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3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4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5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Ex6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mlopez\Desktop\DIRECCION FLR\Paco office\OFICINA TRANSFORMACIÓN\"/>
    </mc:Choice>
  </mc:AlternateContent>
  <xr:revisionPtr revIDLastSave="0" documentId="13_ncr:1_{48B99DEA-B876-490B-8E13-835EBFC71043}" xr6:coauthVersionLast="47" xr6:coauthVersionMax="47" xr10:uidLastSave="{00000000-0000-0000-0000-000000000000}"/>
  <bookViews>
    <workbookView xWindow="-120" yWindow="-120" windowWidth="29040" windowHeight="15720" tabRatio="800" activeTab="9" xr2:uid="{00000000-000D-0000-FFFF-FFFF00000000}"/>
  </bookViews>
  <sheets>
    <sheet name="Entrevista Patrimonio F." sheetId="3" r:id="rId1"/>
    <sheet name="Cálculos y Supuestos Edo.Res" sheetId="1" state="hidden" r:id="rId2"/>
    <sheet name="Desacumulación" sheetId="4" state="hidden" r:id="rId3"/>
    <sheet name="Objetivos" sheetId="8" state="hidden" r:id="rId4"/>
    <sheet name="Auxiliar" sheetId="7" state="hidden" r:id="rId5"/>
    <sheet name="Patrimonio Financiero" sheetId="2" r:id="rId6"/>
    <sheet name="Entrevista Balance" sheetId="9" r:id="rId7"/>
    <sheet name="Cálculos y Supuestos Balance" sheetId="10" r:id="rId8"/>
    <sheet name="Balance" sheetId="12" r:id="rId9"/>
    <sheet name="To do list" sheetId="15" r:id="rId10"/>
    <sheet name="Patrimonio Neto" sheetId="13" r:id="rId11"/>
    <sheet name="Potencial del balance" sheetId="14" r:id="rId12"/>
  </sheets>
  <externalReferences>
    <externalReference r:id="rId13"/>
  </externalReferences>
  <definedNames>
    <definedName name="_xlnm._FilterDatabase" localSheetId="8" hidden="1">Balance!#REF!</definedName>
    <definedName name="_xlnm._FilterDatabase" localSheetId="5" hidden="1">'Patrimonio Financiero'!#REF!</definedName>
    <definedName name="_xlnm._FilterDatabase" localSheetId="9" hidden="1">'To do list'!#REF!</definedName>
    <definedName name="_xlchart.v1.1" hidden="1">'Cálculos y Supuestos Balance'!$X$29:$X$33</definedName>
    <definedName name="_xlchart.v1.2" hidden="1">'Cálculos y Supuestos Balance'!$Z$29:$Z$33</definedName>
    <definedName name="_xlchart.v1.3" hidden="1">'Cálculos y Supuestos Balance'!$Y$11:$Y$14</definedName>
    <definedName name="_xlchart.v1.4" hidden="1">'Cálculos y Supuestos Balance'!$Z$11:$Z$14</definedName>
    <definedName name="_xlchart.v1.5" hidden="1">'Cálculos y Supuestos Balance'!$Y$24:$Y$25</definedName>
    <definedName name="_xlchart.v1.6" hidden="1">'Cálculos y Supuestos Balance'!$Z$24:$Z$25</definedName>
    <definedName name="_xlchart.v2.0" hidden="1">'Cálculos y Supuestos Balance'!$Z$29:$Z$33</definedName>
    <definedName name="Acumulación" localSheetId="11">'[1]Entrevista Balance'!$D$17</definedName>
    <definedName name="Acumulación">'Entrevista Balance'!$D$17</definedName>
    <definedName name="Afore" localSheetId="11">'[1]Entrevista Balance'!$D$24</definedName>
    <definedName name="Afore">'Entrevista Balance'!$D$24</definedName>
    <definedName name="_xlnm.Print_Area" localSheetId="8">Balance!$B$3:$DD$5</definedName>
    <definedName name="_xlnm.Print_Area" localSheetId="0">'Entrevista Patrimonio F.'!$A$1:$T$60</definedName>
    <definedName name="_xlnm.Print_Area" localSheetId="5">'Patrimonio Financiero'!$C$3:$DE$215</definedName>
    <definedName name="_xlnm.Print_Area" localSheetId="9">'To do list'!$B$3:$DD$5</definedName>
    <definedName name="CapacidaddeAhorro" localSheetId="11">'[1]Entrevista Balance'!$G$28</definedName>
    <definedName name="CapacidaddeAhorro">'Entrevista Balance'!$G$28</definedName>
    <definedName name="CapitalHumanoPotencialVF">'Cálculos y Supuestos Balance'!$C$25</definedName>
    <definedName name="CapitalHumanoPotencialVP">'Cálculos y Supuestos Balance'!$C$24</definedName>
    <definedName name="CapRatePropiedades">'Cálculos y Supuestos Balance'!$C$5</definedName>
    <definedName name="CoberturaCortoPlazo">'Cálculos y Supuestos Balance'!$I$5</definedName>
    <definedName name="CostoSegurodeVidaporMillón">'Cálculos y Supuestos Balance'!$C$6</definedName>
    <definedName name="DependientesEconómicos">'Entrevista Balance'!$D$10</definedName>
    <definedName name="EdadActual" localSheetId="8">'Entrevista Balance'!$D$6</definedName>
    <definedName name="EdadActual" localSheetId="7">'Entrevista Balance'!$D$6</definedName>
    <definedName name="EdadActual" localSheetId="9">'Entrevista Balance'!$D$6</definedName>
    <definedName name="EdadActual">'Cálculos y Supuestos Edo.Res'!$C$7</definedName>
    <definedName name="EdadActual2">'Cálculos y Supuestos Edo.Res'!$C$7</definedName>
    <definedName name="EdaddeDefunción" localSheetId="11">'[1]Cálculos y Supuestos Balance'!$C$4</definedName>
    <definedName name="EdaddeDefunción">'Cálculos y Supuestos Balance'!$C$4</definedName>
    <definedName name="EdaddeRetiro" localSheetId="11">'[1]Entrevista Balance'!$D$34</definedName>
    <definedName name="EdaddeRetiro">'Entrevista Balance'!$D$34</definedName>
    <definedName name="FinRecursos" localSheetId="11">'[1]Cálculos y Supuestos Edo.Res'!$C$9</definedName>
    <definedName name="FinRecursos">'Cálculos y Supuestos Edo.Res'!$C$9</definedName>
    <definedName name="IngresosPrincipales">'Cálculos y Supuestos Balance'!$C$9</definedName>
    <definedName name="InicioDesacumulacion" localSheetId="11">'[1]Cálculos y Supuestos Edo.Res'!$C$8</definedName>
    <definedName name="InicioDesacumulacion">'Cálculos y Supuestos Edo.Res'!$C$8</definedName>
    <definedName name="MensualidaddeseadaenelRetiro" localSheetId="11">'[1]Entrevista Balance'!$D$36</definedName>
    <definedName name="MensualidaddeseadaenelRetiro">'Entrevista Balance'!$D$36</definedName>
    <definedName name="MiNivel">'Cálculos y Supuestos Balance'!$I$22</definedName>
    <definedName name="MLey73" localSheetId="11">'[1]Entrevista Balance'!$D$32</definedName>
    <definedName name="MLey73">'Entrevista Balance'!$D$32</definedName>
    <definedName name="Montoaproximadodeinversión" localSheetId="11">'[1]Cálculos y Supuestos Balance'!$T$21</definedName>
    <definedName name="Montoaproximadodeinversión">'Cálculos y Supuestos Balance'!$T$21</definedName>
    <definedName name="Númerodeperiodosacumulación" localSheetId="11">'[1]Cálculos y Supuestos Balance'!$C$23</definedName>
    <definedName name="Númerodeperiodosacumulación">'Cálculos y Supuestos Balance'!$C$23</definedName>
    <definedName name="Númerodeperiodosdesacumulación">'Cálculos y Supuestos Balance'!$C$20</definedName>
    <definedName name="OtrosIngresos" localSheetId="11">'[1]Entrevista Balance'!$G$32</definedName>
    <definedName name="OtrosIngresos">'Entrevista Balance'!$G$32</definedName>
    <definedName name="OtrosPlanesdeSegurosparaRetiro" localSheetId="11">'[1]Entrevista Balance'!$D$30</definedName>
    <definedName name="OtrosPlanesdeSegurosparaRetiro">'Entrevista Balance'!$D$30</definedName>
    <definedName name="PatrimonioFinancieroActualTotal" localSheetId="11">'[1]Cálculos y Supuestos Balance'!$C$22</definedName>
    <definedName name="PatrimonioFinancieroActualTotal">'Cálculos y Supuestos Balance'!$C$22</definedName>
    <definedName name="PatrimonioFinancieroActualTotalVF" localSheetId="11">'[1]Cálculos y Supuestos Balance'!$C$34</definedName>
    <definedName name="PatrimonioFinancieroActualTotalVF">'Cálculos y Supuestos Balance'!$C$34</definedName>
    <definedName name="PlanesdeSeguroAcumulación1" localSheetId="11">'[1]Entrevista Balance'!$D$19</definedName>
    <definedName name="PlanesdeSeguroAcumulación1">'Entrevista Balance'!$D$19</definedName>
    <definedName name="PlanPrivadodePensión" localSheetId="11">'[1]Entrevista Balance'!$D$28</definedName>
    <definedName name="PlanPrivadodePensión">'Entrevista Balance'!$D$28</definedName>
    <definedName name="Plazo2">'Entrevista Balance'!$D$22</definedName>
    <definedName name="PPR" localSheetId="11">'[1]Entrevista Balance'!$D$26</definedName>
    <definedName name="PPR">'Entrevista Balance'!$D$26</definedName>
    <definedName name="Rentas" localSheetId="11">'[1]Entrevista Balance'!$G$30</definedName>
    <definedName name="Rentas">'Entrevista Balance'!$G$30</definedName>
    <definedName name="ReservaCortoPlazo" localSheetId="11">'[1]Entrevista Balance'!$D$15</definedName>
    <definedName name="ReservaCortoPlazo">'Entrevista Balance'!$D$15</definedName>
    <definedName name="Saldoenesquemasderetiro">'Cálculos y Supuestos Balance'!$C$10</definedName>
    <definedName name="SumaAseguradadeSegurodeVida">'Cálculos y Supuestos Balance'!$C$81</definedName>
    <definedName name="TasaReal" localSheetId="8">'Cálculos y Supuestos Balance'!$C$3</definedName>
    <definedName name="TasaReal" localSheetId="7">'Cálculos y Supuestos Balance'!$C$3</definedName>
    <definedName name="TasaReal" localSheetId="11">'[1]Cálculos y Supuestos Edo.Res'!$C$4</definedName>
    <definedName name="TasaReal" localSheetId="9">'Cálculos y Supuestos Balance'!$C$3</definedName>
    <definedName name="TasaReal">'Cálculos y Supuestos Edo.Res'!$C$4</definedName>
    <definedName name="Tipo">'Cálculos y Supuestos Balance'!$C$21</definedName>
    <definedName name="TsaReal">'Cálculos y Supuestos Edo.Res'!$C$4</definedName>
    <definedName name="ValorActualEsquemasdePension" localSheetId="11">'[1]Cálculos y Supuestos Balance'!$C$28</definedName>
    <definedName name="ValorActualEsquemasdePension">'Cálculos y Supuestos Balance'!$C$28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6" i="15" l="1"/>
  <c r="H10" i="15"/>
  <c r="BJ36" i="15"/>
  <c r="Z11" i="10" l="1"/>
  <c r="Z12" i="10"/>
  <c r="Z7" i="10"/>
  <c r="Z8" i="10"/>
  <c r="BB27" i="12"/>
  <c r="BJ101" i="12"/>
  <c r="T109" i="10"/>
  <c r="R111" i="10" s="1"/>
  <c r="T131" i="10"/>
  <c r="R150" i="10" s="1"/>
  <c r="BJ169" i="2"/>
  <c r="I169" i="2"/>
  <c r="CS14" i="15" l="1"/>
  <c r="CK38" i="12"/>
  <c r="CS12" i="15"/>
  <c r="CK36" i="12"/>
  <c r="R138" i="10"/>
  <c r="Z6" i="10"/>
  <c r="AV10" i="15" s="1"/>
  <c r="R136" i="10"/>
  <c r="R135" i="10"/>
  <c r="R137" i="10"/>
  <c r="R134" i="10"/>
  <c r="R118" i="10"/>
  <c r="R149" i="10"/>
  <c r="R119" i="10"/>
  <c r="R120" i="10"/>
  <c r="R121" i="10"/>
  <c r="R147" i="10"/>
  <c r="R146" i="10"/>
  <c r="R117" i="10"/>
  <c r="R148" i="10"/>
  <c r="R124" i="10"/>
  <c r="R141" i="10"/>
  <c r="R113" i="10"/>
  <c r="R125" i="10"/>
  <c r="R142" i="10"/>
  <c r="R143" i="10"/>
  <c r="R115" i="10"/>
  <c r="R127" i="10"/>
  <c r="R144" i="10"/>
  <c r="R114" i="10"/>
  <c r="R126" i="10"/>
  <c r="R116" i="10"/>
  <c r="R112" i="10"/>
  <c r="C85" i="10" s="1"/>
  <c r="R145" i="10"/>
  <c r="R122" i="10"/>
  <c r="R139" i="10"/>
  <c r="R133" i="10"/>
  <c r="R123" i="10"/>
  <c r="R140" i="10"/>
  <c r="R128" i="10"/>
  <c r="Z5" i="10" l="1"/>
  <c r="Z13" i="10" s="1"/>
  <c r="Z14" i="10"/>
  <c r="AA14" i="10" s="1"/>
  <c r="AA6" i="10"/>
  <c r="AA5" i="10" s="1"/>
  <c r="C84" i="10"/>
  <c r="C87" i="10"/>
  <c r="C88" i="10"/>
  <c r="BP95" i="10"/>
  <c r="BP94" i="10"/>
  <c r="BP97" i="10"/>
  <c r="BP96" i="10"/>
  <c r="AD42" i="12" l="1"/>
  <c r="AA13" i="10"/>
  <c r="AA11" i="10"/>
  <c r="AA12" i="10"/>
  <c r="BP98" i="10"/>
  <c r="BP99" i="10"/>
  <c r="BP100" i="10"/>
  <c r="BP101" i="10"/>
  <c r="BP102" i="10"/>
  <c r="C77" i="10"/>
  <c r="C78" i="10" s="1"/>
  <c r="C47" i="1"/>
  <c r="G23" i="1"/>
  <c r="CN82" i="12"/>
  <c r="CN80" i="12"/>
  <c r="CN78" i="12"/>
  <c r="CN76" i="12"/>
  <c r="BV82" i="12"/>
  <c r="BV80" i="12"/>
  <c r="BV78" i="12"/>
  <c r="BV76" i="12"/>
  <c r="D27" i="14"/>
  <c r="C1" i="13"/>
  <c r="I9" i="13" s="1"/>
  <c r="K1" i="13"/>
  <c r="N1" i="13" s="1"/>
  <c r="I7" i="13"/>
  <c r="I5" i="13"/>
  <c r="AI70" i="10"/>
  <c r="BH74" i="10"/>
  <c r="BM74" i="10"/>
  <c r="BL74" i="10"/>
  <c r="BK74" i="10"/>
  <c r="BJ74" i="10"/>
  <c r="BI74" i="10"/>
  <c r="BD74" i="10"/>
  <c r="BC74" i="10"/>
  <c r="BB74" i="10"/>
  <c r="BA74" i="10"/>
  <c r="AZ74" i="10"/>
  <c r="AY74" i="10"/>
  <c r="AX74" i="10"/>
  <c r="AW74" i="10"/>
  <c r="AR74" i="10"/>
  <c r="AQ74" i="10"/>
  <c r="AP74" i="10"/>
  <c r="AO74" i="10"/>
  <c r="AN74" i="10"/>
  <c r="AM74" i="10"/>
  <c r="AL74" i="10"/>
  <c r="AK74" i="10"/>
  <c r="AF74" i="10"/>
  <c r="AE74" i="10"/>
  <c r="AD74" i="10"/>
  <c r="AC74" i="10"/>
  <c r="AB74" i="10"/>
  <c r="AA74" i="10"/>
  <c r="BP129" i="12"/>
  <c r="BL128" i="12" s="1"/>
  <c r="CL129" i="12"/>
  <c r="CH128" i="12" s="1"/>
  <c r="B5" i="7"/>
  <c r="AD38" i="12" l="1"/>
  <c r="AD40" i="12"/>
  <c r="J13" i="13"/>
  <c r="J9" i="13"/>
  <c r="J12" i="13"/>
  <c r="J11" i="13"/>
  <c r="J10" i="13"/>
  <c r="J8" i="13"/>
  <c r="J7" i="13"/>
  <c r="J6" i="13"/>
  <c r="J5" i="13"/>
  <c r="K5" i="13"/>
  <c r="I12" i="13"/>
  <c r="I11" i="13"/>
  <c r="O15" i="13" s="1"/>
  <c r="I13" i="13"/>
  <c r="O12" i="13"/>
  <c r="O10" i="13"/>
  <c r="O8" i="13"/>
  <c r="O6" i="13"/>
  <c r="N12" i="13"/>
  <c r="N10" i="13"/>
  <c r="N8" i="13"/>
  <c r="N6" i="13"/>
  <c r="M12" i="13"/>
  <c r="M10" i="13"/>
  <c r="M8" i="13"/>
  <c r="M6" i="13"/>
  <c r="L12" i="13"/>
  <c r="L10" i="13"/>
  <c r="L8" i="13"/>
  <c r="L6" i="13"/>
  <c r="K12" i="13"/>
  <c r="K10" i="13"/>
  <c r="K8" i="13"/>
  <c r="K6" i="13"/>
  <c r="O13" i="13"/>
  <c r="O11" i="13"/>
  <c r="O9" i="13"/>
  <c r="O7" i="13"/>
  <c r="O5" i="13"/>
  <c r="N13" i="13"/>
  <c r="N11" i="13"/>
  <c r="N9" i="13"/>
  <c r="N7" i="13"/>
  <c r="N5" i="13"/>
  <c r="M13" i="13"/>
  <c r="M11" i="13"/>
  <c r="M9" i="13"/>
  <c r="M7" i="13"/>
  <c r="M5" i="13"/>
  <c r="L13" i="13"/>
  <c r="L11" i="13"/>
  <c r="L9" i="13"/>
  <c r="L7" i="13"/>
  <c r="L5" i="13"/>
  <c r="K13" i="13"/>
  <c r="K11" i="13"/>
  <c r="K9" i="13"/>
  <c r="K7" i="13"/>
  <c r="I6" i="13"/>
  <c r="M15" i="13" s="1"/>
  <c r="I8" i="13"/>
  <c r="I10" i="13"/>
  <c r="AG74" i="10"/>
  <c r="AS74" i="10"/>
  <c r="BE74" i="10"/>
  <c r="AH74" i="10"/>
  <c r="AT74" i="10"/>
  <c r="BF74" i="10"/>
  <c r="AI74" i="10"/>
  <c r="AU74" i="10"/>
  <c r="BG74" i="10"/>
  <c r="AJ74" i="10"/>
  <c r="AV74" i="10"/>
  <c r="BT92" i="12"/>
  <c r="CF92" i="12" s="1"/>
  <c r="CR92" i="12" s="1"/>
  <c r="C21" i="10"/>
  <c r="CL120" i="12"/>
  <c r="C13" i="10"/>
  <c r="E15" i="12"/>
  <c r="E12" i="12"/>
  <c r="E9" i="12"/>
  <c r="V9" i="12"/>
  <c r="AM9" i="12"/>
  <c r="V12" i="12"/>
  <c r="AM12" i="12"/>
  <c r="V15" i="12"/>
  <c r="AL122" i="12" s="1"/>
  <c r="AM15" i="12"/>
  <c r="V18" i="12"/>
  <c r="AA8" i="10" s="1"/>
  <c r="V21" i="12"/>
  <c r="CT124" i="12" s="1"/>
  <c r="DB127" i="12" s="1"/>
  <c r="C44" i="10"/>
  <c r="C45" i="10"/>
  <c r="C46" i="10"/>
  <c r="Z64" i="10" s="1"/>
  <c r="AC64" i="10" s="1"/>
  <c r="C48" i="10"/>
  <c r="C49" i="10"/>
  <c r="C50" i="10"/>
  <c r="Z65" i="10" s="1"/>
  <c r="C52" i="10"/>
  <c r="C53" i="10"/>
  <c r="C54" i="10"/>
  <c r="Z66" i="10" s="1"/>
  <c r="AC66" i="10" s="1"/>
  <c r="C56" i="10"/>
  <c r="C57" i="10"/>
  <c r="C58" i="10"/>
  <c r="Z67" i="10" s="1"/>
  <c r="AC67" i="10" s="1"/>
  <c r="C60" i="10"/>
  <c r="CU38" i="12" l="1"/>
  <c r="BL122" i="12"/>
  <c r="AA7" i="10"/>
  <c r="N15" i="13"/>
  <c r="K15" i="13"/>
  <c r="L15" i="13"/>
  <c r="J15" i="13"/>
  <c r="E7" i="14"/>
  <c r="E11" i="14" s="1"/>
  <c r="C76" i="10"/>
  <c r="C79" i="10" s="1"/>
  <c r="C80" i="10" s="1"/>
  <c r="C81" i="10" s="1"/>
  <c r="D21" i="14"/>
  <c r="D29" i="14" s="1"/>
  <c r="E8" i="14"/>
  <c r="E12" i="14" s="1"/>
  <c r="N122" i="12"/>
  <c r="V25" i="12"/>
  <c r="Z22" i="10" s="1"/>
  <c r="BM76" i="10"/>
  <c r="R5" i="7"/>
  <c r="R6" i="7" s="1"/>
  <c r="R7" i="7" s="1"/>
  <c r="R8" i="7" s="1"/>
  <c r="R9" i="7" s="1"/>
  <c r="R10" i="7" s="1"/>
  <c r="R11" i="7" s="1"/>
  <c r="R12" i="7" s="1"/>
  <c r="R13" i="7" s="1"/>
  <c r="R14" i="7" s="1"/>
  <c r="R15" i="7" s="1"/>
  <c r="R16" i="7" s="1"/>
  <c r="R17" i="7" s="1"/>
  <c r="R18" i="7" s="1"/>
  <c r="R19" i="7" s="1"/>
  <c r="R20" i="7" s="1"/>
  <c r="R21" i="7" s="1"/>
  <c r="R22" i="7" s="1"/>
  <c r="R23" i="7" s="1"/>
  <c r="R24" i="7" s="1"/>
  <c r="R25" i="7" s="1"/>
  <c r="R26" i="7" s="1"/>
  <c r="R27" i="7" s="1"/>
  <c r="R28" i="7" s="1"/>
  <c r="R29" i="7" s="1"/>
  <c r="R30" i="7" s="1"/>
  <c r="R31" i="7" s="1"/>
  <c r="R32" i="7" s="1"/>
  <c r="R33" i="7" s="1"/>
  <c r="R34" i="7" s="1"/>
  <c r="R35" i="7" s="1"/>
  <c r="R36" i="7" s="1"/>
  <c r="R37" i="7" s="1"/>
  <c r="R38" i="7" s="1"/>
  <c r="R39" i="7" s="1"/>
  <c r="R40" i="7" s="1"/>
  <c r="R41" i="7" s="1"/>
  <c r="R42" i="7" s="1"/>
  <c r="R43" i="7" s="1"/>
  <c r="R44" i="7" s="1"/>
  <c r="R45" i="7" s="1"/>
  <c r="R46" i="7" s="1"/>
  <c r="R47" i="7" s="1"/>
  <c r="R48" i="7" s="1"/>
  <c r="R49" i="7" s="1"/>
  <c r="R50" i="7" s="1"/>
  <c r="C10" i="10"/>
  <c r="BF91" i="10"/>
  <c r="AF76" i="10"/>
  <c r="CZ126" i="12"/>
  <c r="Z30" i="10"/>
  <c r="AM25" i="12"/>
  <c r="AG76" i="10"/>
  <c r="AH78" i="10"/>
  <c r="C11" i="10"/>
  <c r="AP78" i="10"/>
  <c r="C12" i="10"/>
  <c r="AQ77" i="10"/>
  <c r="AR77" i="10"/>
  <c r="Z69" i="10"/>
  <c r="AS78" i="10"/>
  <c r="AT77" i="10"/>
  <c r="BB91" i="10"/>
  <c r="BC91" i="10"/>
  <c r="AD75" i="10"/>
  <c r="BD77" i="10"/>
  <c r="AE77" i="10"/>
  <c r="BE76" i="10"/>
  <c r="AI76" i="10"/>
  <c r="C26" i="10"/>
  <c r="C27" i="10" s="1"/>
  <c r="AJ78" i="10"/>
  <c r="AV78" i="10"/>
  <c r="AU77" i="10"/>
  <c r="AH64" i="10"/>
  <c r="AK64" i="10" s="1"/>
  <c r="AL76" i="10"/>
  <c r="BJ133" i="12"/>
  <c r="AK77" i="10"/>
  <c r="BI78" i="10"/>
  <c r="Z74" i="10"/>
  <c r="Z77" i="10" s="1"/>
  <c r="Z86" i="10" s="1"/>
  <c r="BJ77" i="10"/>
  <c r="AO64" i="10"/>
  <c r="AA76" i="10"/>
  <c r="AM75" i="10"/>
  <c r="AB76" i="10"/>
  <c r="AN75" i="10"/>
  <c r="BG91" i="10"/>
  <c r="C28" i="10"/>
  <c r="C29" i="10" s="1"/>
  <c r="AW78" i="10"/>
  <c r="AX77" i="10"/>
  <c r="AC75" i="10"/>
  <c r="AO75" i="10"/>
  <c r="BA76" i="10"/>
  <c r="AF77" i="10"/>
  <c r="BK78" i="10"/>
  <c r="C16" i="10"/>
  <c r="C20" i="10"/>
  <c r="E18" i="12"/>
  <c r="Z29" i="10" s="1"/>
  <c r="Z32" i="10"/>
  <c r="C22" i="10"/>
  <c r="C34" i="10" s="1"/>
  <c r="C35" i="10" s="1"/>
  <c r="T21" i="10"/>
  <c r="U60" i="10" s="1"/>
  <c r="S24" i="10"/>
  <c r="S25" i="10" s="1"/>
  <c r="S26" i="10" s="1"/>
  <c r="S27" i="10" s="1"/>
  <c r="S28" i="10" s="1"/>
  <c r="S29" i="10" s="1"/>
  <c r="S30" i="10" s="1"/>
  <c r="S31" i="10" s="1"/>
  <c r="S32" i="10" s="1"/>
  <c r="S33" i="10" s="1"/>
  <c r="S34" i="10" s="1"/>
  <c r="S35" i="10" s="1"/>
  <c r="S36" i="10" s="1"/>
  <c r="S37" i="10" s="1"/>
  <c r="S38" i="10" s="1"/>
  <c r="S39" i="10" s="1"/>
  <c r="S40" i="10" s="1"/>
  <c r="S41" i="10" s="1"/>
  <c r="S42" i="10" s="1"/>
  <c r="S43" i="10" s="1"/>
  <c r="S44" i="10" s="1"/>
  <c r="S45" i="10" s="1"/>
  <c r="S46" i="10" s="1"/>
  <c r="S47" i="10" s="1"/>
  <c r="S48" i="10" s="1"/>
  <c r="S49" i="10" s="1"/>
  <c r="S50" i="10" s="1"/>
  <c r="S51" i="10" s="1"/>
  <c r="S52" i="10" s="1"/>
  <c r="S53" i="10" s="1"/>
  <c r="S54" i="10" s="1"/>
  <c r="S55" i="10" s="1"/>
  <c r="S56" i="10" s="1"/>
  <c r="S57" i="10" s="1"/>
  <c r="S58" i="10" s="1"/>
  <c r="S59" i="10" s="1"/>
  <c r="S60" i="10" s="1"/>
  <c r="S61" i="10" s="1"/>
  <c r="S62" i="10" s="1"/>
  <c r="S63" i="10" s="1"/>
  <c r="S64" i="10" s="1"/>
  <c r="S65" i="10" s="1"/>
  <c r="S66" i="10" s="1"/>
  <c r="S67" i="10" s="1"/>
  <c r="S68" i="10" s="1"/>
  <c r="S69" i="10" s="1"/>
  <c r="S70" i="10" s="1"/>
  <c r="S71" i="10" s="1"/>
  <c r="S72" i="10" s="1"/>
  <c r="S73" i="10" s="1"/>
  <c r="S74" i="10" s="1"/>
  <c r="S75" i="10" s="1"/>
  <c r="S76" i="10" s="1"/>
  <c r="S77" i="10" s="1"/>
  <c r="S78" i="10" s="1"/>
  <c r="S79" i="10" s="1"/>
  <c r="AV6" i="10"/>
  <c r="AV7" i="10" s="1"/>
  <c r="AV8" i="10" s="1"/>
  <c r="AV9" i="10" s="1"/>
  <c r="AV10" i="10" s="1"/>
  <c r="AV11" i="10" s="1"/>
  <c r="AV12" i="10" s="1"/>
  <c r="AV13" i="10" s="1"/>
  <c r="AV14" i="10" s="1"/>
  <c r="AV15" i="10" s="1"/>
  <c r="AV16" i="10" s="1"/>
  <c r="AV17" i="10" s="1"/>
  <c r="AV18" i="10" s="1"/>
  <c r="AV19" i="10" s="1"/>
  <c r="AV20" i="10" s="1"/>
  <c r="AV21" i="10" s="1"/>
  <c r="AV22" i="10" s="1"/>
  <c r="AV23" i="10" s="1"/>
  <c r="AV24" i="10" s="1"/>
  <c r="AV25" i="10" s="1"/>
  <c r="AV26" i="10" s="1"/>
  <c r="AV27" i="10" s="1"/>
  <c r="AV28" i="10" s="1"/>
  <c r="AV29" i="10" s="1"/>
  <c r="AV30" i="10" s="1"/>
  <c r="AV31" i="10" s="1"/>
  <c r="AV32" i="10" s="1"/>
  <c r="AV33" i="10" s="1"/>
  <c r="AV34" i="10" s="1"/>
  <c r="AV35" i="10" s="1"/>
  <c r="AV36" i="10" s="1"/>
  <c r="AV37" i="10" s="1"/>
  <c r="AV38" i="10" s="1"/>
  <c r="AV39" i="10" s="1"/>
  <c r="AV40" i="10" s="1"/>
  <c r="AV41" i="10" s="1"/>
  <c r="AV42" i="10" s="1"/>
  <c r="AV43" i="10" s="1"/>
  <c r="AV44" i="10" s="1"/>
  <c r="AV45" i="10" s="1"/>
  <c r="AV46" i="10" s="1"/>
  <c r="AV47" i="10" s="1"/>
  <c r="AV48" i="10" s="1"/>
  <c r="AV49" i="10" s="1"/>
  <c r="AV50" i="10" s="1"/>
  <c r="AV51" i="10" s="1"/>
  <c r="C23" i="10"/>
  <c r="H5" i="10"/>
  <c r="AA67" i="10"/>
  <c r="AB67" i="10"/>
  <c r="T92" i="12"/>
  <c r="CH122" i="12"/>
  <c r="Z33" i="10"/>
  <c r="C59" i="10"/>
  <c r="C47" i="10"/>
  <c r="AA66" i="10"/>
  <c r="AB66" i="10"/>
  <c r="AA65" i="10"/>
  <c r="AB65" i="10"/>
  <c r="AB64" i="10"/>
  <c r="AA64" i="10"/>
  <c r="C62" i="10"/>
  <c r="C63" i="10" s="1"/>
  <c r="C51" i="10"/>
  <c r="C55" i="10"/>
  <c r="R133" i="12" l="1"/>
  <c r="CU36" i="12"/>
  <c r="E13" i="14"/>
  <c r="Y72" i="12"/>
  <c r="AA57" i="10"/>
  <c r="K18" i="13"/>
  <c r="D20" i="14"/>
  <c r="BW40" i="12"/>
  <c r="E6" i="14"/>
  <c r="F7" i="14"/>
  <c r="F8" i="14" s="1"/>
  <c r="Z31" i="10"/>
  <c r="AA33" i="10" s="1"/>
  <c r="CN22" i="12"/>
  <c r="Z24" i="10"/>
  <c r="E25" i="12"/>
  <c r="AA69" i="10"/>
  <c r="BM75" i="10"/>
  <c r="BE78" i="10"/>
  <c r="BE91" i="10"/>
  <c r="BE93" i="10" s="1"/>
  <c r="AY79" i="10"/>
  <c r="V65" i="10"/>
  <c r="BF92" i="10"/>
  <c r="BF93" i="10"/>
  <c r="BC93" i="10"/>
  <c r="BC92" i="10"/>
  <c r="BB92" i="10"/>
  <c r="BB93" i="10"/>
  <c r="BG92" i="10"/>
  <c r="BG93" i="10"/>
  <c r="T51" i="10"/>
  <c r="AF75" i="10"/>
  <c r="BM91" i="10"/>
  <c r="BM77" i="10"/>
  <c r="AT78" i="10"/>
  <c r="BF77" i="10"/>
  <c r="AS75" i="10"/>
  <c r="BG75" i="10"/>
  <c r="BF78" i="10"/>
  <c r="BG76" i="10"/>
  <c r="BG79" i="10"/>
  <c r="AF91" i="10"/>
  <c r="AA77" i="10"/>
  <c r="AA86" i="10" s="1"/>
  <c r="BF79" i="10"/>
  <c r="BF76" i="10"/>
  <c r="AD91" i="10"/>
  <c r="BF75" i="10"/>
  <c r="AF78" i="10"/>
  <c r="BB75" i="10"/>
  <c r="AD76" i="10"/>
  <c r="AA75" i="10"/>
  <c r="AG75" i="10"/>
  <c r="AV77" i="10"/>
  <c r="BG77" i="10"/>
  <c r="AM91" i="10"/>
  <c r="AL78" i="10"/>
  <c r="AB78" i="10"/>
  <c r="AC78" i="10"/>
  <c r="AD78" i="10"/>
  <c r="BD78" i="10"/>
  <c r="BD76" i="10"/>
  <c r="BM78" i="10"/>
  <c r="AP75" i="10"/>
  <c r="AC91" i="10"/>
  <c r="AE78" i="10"/>
  <c r="BD79" i="10"/>
  <c r="BD91" i="10"/>
  <c r="BM79" i="10"/>
  <c r="AG77" i="10"/>
  <c r="AE91" i="10"/>
  <c r="BD75" i="10"/>
  <c r="AD77" i="10"/>
  <c r="AL91" i="10"/>
  <c r="AV91" i="10"/>
  <c r="C37" i="10"/>
  <c r="C38" i="10" s="1"/>
  <c r="AM133" i="12" s="1"/>
  <c r="CA133" i="12" s="1"/>
  <c r="U54" i="10"/>
  <c r="V29" i="10"/>
  <c r="BB77" i="10"/>
  <c r="AQ78" i="10"/>
  <c r="AU76" i="10"/>
  <c r="BE79" i="10"/>
  <c r="AQ91" i="10"/>
  <c r="BE77" i="10"/>
  <c r="BE75" i="10"/>
  <c r="AN76" i="10"/>
  <c r="AQ76" i="10"/>
  <c r="AB91" i="10"/>
  <c r="AB77" i="10"/>
  <c r="AP91" i="10"/>
  <c r="AE75" i="10"/>
  <c r="BG78" i="10"/>
  <c r="BB76" i="10"/>
  <c r="BJ79" i="10"/>
  <c r="BJ91" i="10"/>
  <c r="AX78" i="10"/>
  <c r="BC79" i="10"/>
  <c r="BC75" i="10"/>
  <c r="AK76" i="10"/>
  <c r="AN78" i="10"/>
  <c r="AQ75" i="10"/>
  <c r="AK75" i="10"/>
  <c r="AN91" i="10"/>
  <c r="AB75" i="10"/>
  <c r="AW75" i="10"/>
  <c r="BC77" i="10"/>
  <c r="AN77" i="10"/>
  <c r="AP77" i="10"/>
  <c r="Z91" i="10"/>
  <c r="AX76" i="10"/>
  <c r="AI78" i="10"/>
  <c r="BC78" i="10"/>
  <c r="BC76" i="10"/>
  <c r="AP76" i="10"/>
  <c r="AE76" i="10"/>
  <c r="AX91" i="10"/>
  <c r="BB78" i="10"/>
  <c r="Z76" i="10"/>
  <c r="BB79" i="10"/>
  <c r="BH91" i="10"/>
  <c r="BH76" i="10"/>
  <c r="BH77" i="10"/>
  <c r="AO78" i="10"/>
  <c r="AM76" i="10"/>
  <c r="BH78" i="10"/>
  <c r="AI91" i="10"/>
  <c r="BH75" i="10"/>
  <c r="BI91" i="10"/>
  <c r="BI77" i="10"/>
  <c r="AA78" i="10"/>
  <c r="AO77" i="10"/>
  <c r="AM78" i="10"/>
  <c r="BI79" i="10"/>
  <c r="AL77" i="10"/>
  <c r="AL75" i="10"/>
  <c r="BA79" i="10"/>
  <c r="BA91" i="10"/>
  <c r="BA77" i="10"/>
  <c r="BA78" i="10"/>
  <c r="BA75" i="10"/>
  <c r="AM77" i="10"/>
  <c r="AJ76" i="10"/>
  <c r="AJ77" i="10"/>
  <c r="AX75" i="10"/>
  <c r="BJ76" i="10"/>
  <c r="AO91" i="10"/>
  <c r="Z75" i="10"/>
  <c r="BH79" i="10"/>
  <c r="BI76" i="10"/>
  <c r="AO76" i="10"/>
  <c r="AI75" i="10"/>
  <c r="AK78" i="10"/>
  <c r="BJ75" i="10"/>
  <c r="AZ75" i="10"/>
  <c r="AZ91" i="10"/>
  <c r="AZ76" i="10"/>
  <c r="AZ79" i="10"/>
  <c r="AZ78" i="10"/>
  <c r="AZ77" i="10"/>
  <c r="AI77" i="10"/>
  <c r="AK91" i="10"/>
  <c r="AW76" i="10"/>
  <c r="AV76" i="10"/>
  <c r="BI75" i="10"/>
  <c r="AY75" i="10"/>
  <c r="AY78" i="10"/>
  <c r="AY77" i="10"/>
  <c r="AY91" i="10"/>
  <c r="AY76" i="10"/>
  <c r="AV75" i="10"/>
  <c r="AC77" i="10"/>
  <c r="AC76" i="10"/>
  <c r="AW77" i="10"/>
  <c r="AJ91" i="10"/>
  <c r="BL77" i="10"/>
  <c r="BL91" i="10"/>
  <c r="BL79" i="10"/>
  <c r="BL75" i="10"/>
  <c r="BL78" i="10"/>
  <c r="BL76" i="10"/>
  <c r="AA91" i="10"/>
  <c r="Z78" i="10"/>
  <c r="AJ75" i="10"/>
  <c r="AW91" i="10"/>
  <c r="BJ78" i="10"/>
  <c r="BK91" i="10"/>
  <c r="BK79" i="10"/>
  <c r="BK76" i="10"/>
  <c r="BK77" i="10"/>
  <c r="BK75" i="10"/>
  <c r="AU75" i="10"/>
  <c r="AU78" i="10"/>
  <c r="AU91" i="10"/>
  <c r="AH91" i="10"/>
  <c r="AH77" i="10"/>
  <c r="AH75" i="10"/>
  <c r="AT91" i="10"/>
  <c r="AT76" i="10"/>
  <c r="AT75" i="10"/>
  <c r="V50" i="10"/>
  <c r="U72" i="10"/>
  <c r="T69" i="10"/>
  <c r="T60" i="10"/>
  <c r="U30" i="10"/>
  <c r="U42" i="10"/>
  <c r="T24" i="10"/>
  <c r="V39" i="10"/>
  <c r="V24" i="10"/>
  <c r="U48" i="10"/>
  <c r="U24" i="10"/>
  <c r="V60" i="10"/>
  <c r="AG78" i="10"/>
  <c r="AR76" i="10"/>
  <c r="AR75" i="10"/>
  <c r="AH76" i="10"/>
  <c r="AR78" i="10"/>
  <c r="AS91" i="10"/>
  <c r="AS77" i="10"/>
  <c r="AG91" i="10"/>
  <c r="AR91" i="10"/>
  <c r="AS76" i="10"/>
  <c r="C14" i="10"/>
  <c r="AC69" i="10" s="1"/>
  <c r="V70" i="10"/>
  <c r="T42" i="10"/>
  <c r="U66" i="10"/>
  <c r="V75" i="10"/>
  <c r="V34" i="10"/>
  <c r="T33" i="10"/>
  <c r="U36" i="10"/>
  <c r="V45" i="10"/>
  <c r="V55" i="10"/>
  <c r="U78" i="10"/>
  <c r="T78" i="10"/>
  <c r="C65" i="10"/>
  <c r="AF79" i="10"/>
  <c r="AR79" i="10"/>
  <c r="AI79" i="10"/>
  <c r="AG79" i="10"/>
  <c r="AS79" i="10"/>
  <c r="AH79" i="10"/>
  <c r="AT79" i="10"/>
  <c r="AU79" i="10"/>
  <c r="AL79" i="10"/>
  <c r="AN79" i="10"/>
  <c r="Z79" i="10"/>
  <c r="AM79" i="10"/>
  <c r="AO79" i="10"/>
  <c r="AP79" i="10"/>
  <c r="AE79" i="10"/>
  <c r="AK79" i="10"/>
  <c r="AA79" i="10"/>
  <c r="AD79" i="10"/>
  <c r="AJ79" i="10"/>
  <c r="AV79" i="10"/>
  <c r="AB79" i="10"/>
  <c r="AQ79" i="10"/>
  <c r="AW79" i="10"/>
  <c r="AX79" i="10"/>
  <c r="Z68" i="10"/>
  <c r="AC79" i="10"/>
  <c r="D20" i="15" l="1"/>
  <c r="AD56" i="12"/>
  <c r="D24" i="14"/>
  <c r="D28" i="14"/>
  <c r="D31" i="14" s="1"/>
  <c r="P30" i="12"/>
  <c r="BW52" i="12"/>
  <c r="D31" i="12"/>
  <c r="Z39" i="10"/>
  <c r="BW47" i="12"/>
  <c r="D33" i="14"/>
  <c r="Z21" i="10"/>
  <c r="Z98" i="10"/>
  <c r="BE92" i="10"/>
  <c r="BG95" i="10"/>
  <c r="BB96" i="10"/>
  <c r="BC96" i="10"/>
  <c r="BG96" i="10"/>
  <c r="BF96" i="10"/>
  <c r="BF95" i="10"/>
  <c r="BB95" i="10"/>
  <c r="BC95" i="10"/>
  <c r="BE96" i="10"/>
  <c r="BE95" i="10"/>
  <c r="AR95" i="10"/>
  <c r="AR92" i="10"/>
  <c r="AR96" i="10"/>
  <c r="AR93" i="10"/>
  <c r="AU92" i="10"/>
  <c r="AU93" i="10"/>
  <c r="AU96" i="10"/>
  <c r="AU95" i="10"/>
  <c r="AK93" i="10"/>
  <c r="AK95" i="10"/>
  <c r="AK92" i="10"/>
  <c r="AK96" i="10"/>
  <c r="BA96" i="10"/>
  <c r="BA93" i="10"/>
  <c r="BA95" i="10"/>
  <c r="BA92" i="10"/>
  <c r="AB93" i="10"/>
  <c r="AB92" i="10"/>
  <c r="AB96" i="10"/>
  <c r="AB95" i="10"/>
  <c r="AC96" i="10"/>
  <c r="AC93" i="10"/>
  <c r="AC95" i="10"/>
  <c r="AC92" i="10"/>
  <c r="AS92" i="10"/>
  <c r="AS96" i="10"/>
  <c r="AS93" i="10"/>
  <c r="AS95" i="10"/>
  <c r="AV96" i="10"/>
  <c r="AV93" i="10"/>
  <c r="AV95" i="10"/>
  <c r="AV92" i="10"/>
  <c r="AA96" i="10"/>
  <c r="AA93" i="10"/>
  <c r="AA95" i="10"/>
  <c r="AA92" i="10"/>
  <c r="Z96" i="10"/>
  <c r="Z93" i="10"/>
  <c r="Z92" i="10"/>
  <c r="Z95" i="10"/>
  <c r="AL96" i="10"/>
  <c r="AL93" i="10"/>
  <c r="AL95" i="10"/>
  <c r="AL92" i="10"/>
  <c r="BH96" i="10"/>
  <c r="BH93" i="10"/>
  <c r="BH95" i="10"/>
  <c r="BH92" i="10"/>
  <c r="AZ93" i="10"/>
  <c r="AZ92" i="10"/>
  <c r="AZ96" i="10"/>
  <c r="AZ95" i="10"/>
  <c r="BJ96" i="10"/>
  <c r="BJ93" i="10"/>
  <c r="BJ95" i="10"/>
  <c r="BJ92" i="10"/>
  <c r="AQ93" i="10"/>
  <c r="AQ92" i="10"/>
  <c r="AQ95" i="10"/>
  <c r="AQ96" i="10"/>
  <c r="AE93" i="10"/>
  <c r="AE95" i="10"/>
  <c r="AE92" i="10"/>
  <c r="AE96" i="10"/>
  <c r="AD96" i="10"/>
  <c r="AD93" i="10"/>
  <c r="AD95" i="10"/>
  <c r="AD92" i="10"/>
  <c r="BM96" i="10"/>
  <c r="BM93" i="10"/>
  <c r="BM95" i="10"/>
  <c r="BM92" i="10"/>
  <c r="AG92" i="10"/>
  <c r="AG96" i="10"/>
  <c r="AG93" i="10"/>
  <c r="AG95" i="10"/>
  <c r="AW96" i="10"/>
  <c r="AW93" i="10"/>
  <c r="AW95" i="10"/>
  <c r="AW92" i="10"/>
  <c r="AH93" i="10"/>
  <c r="AH95" i="10"/>
  <c r="AH92" i="10"/>
  <c r="AH96" i="10"/>
  <c r="AO96" i="10"/>
  <c r="AO93" i="10"/>
  <c r="AO95" i="10"/>
  <c r="AO92" i="10"/>
  <c r="AY96" i="10"/>
  <c r="AY93" i="10"/>
  <c r="AY95" i="10"/>
  <c r="AY92" i="10"/>
  <c r="BL93" i="10"/>
  <c r="BL95" i="10"/>
  <c r="BL96" i="10"/>
  <c r="BL92" i="10"/>
  <c r="BI93" i="10"/>
  <c r="BI95" i="10"/>
  <c r="BI92" i="10"/>
  <c r="BI96" i="10"/>
  <c r="AX95" i="10"/>
  <c r="AX92" i="10"/>
  <c r="AX96" i="10"/>
  <c r="AX93" i="10"/>
  <c r="AN95" i="10"/>
  <c r="AN96" i="10"/>
  <c r="AN93" i="10"/>
  <c r="AN92" i="10"/>
  <c r="BD95" i="10"/>
  <c r="BD96" i="10"/>
  <c r="BD92" i="10"/>
  <c r="BD93" i="10"/>
  <c r="AM92" i="10"/>
  <c r="AM96" i="10"/>
  <c r="AM93" i="10"/>
  <c r="AM95" i="10"/>
  <c r="AT96" i="10"/>
  <c r="AT92" i="10"/>
  <c r="AT93" i="10"/>
  <c r="AT95" i="10"/>
  <c r="BK92" i="10"/>
  <c r="BK96" i="10"/>
  <c r="BK93" i="10"/>
  <c r="BK95" i="10"/>
  <c r="AJ96" i="10"/>
  <c r="AJ93" i="10"/>
  <c r="AJ95" i="10"/>
  <c r="AJ92" i="10"/>
  <c r="AI92" i="10"/>
  <c r="AI95" i="10"/>
  <c r="AI96" i="10"/>
  <c r="AI93" i="10"/>
  <c r="AP95" i="10"/>
  <c r="AP92" i="10"/>
  <c r="AP93" i="10"/>
  <c r="AP96" i="10"/>
  <c r="AF95" i="10"/>
  <c r="AF92" i="10"/>
  <c r="AF96" i="10"/>
  <c r="AF93" i="10"/>
  <c r="AB86" i="10"/>
  <c r="AC85" i="10"/>
  <c r="C40" i="10"/>
  <c r="C42" i="10" s="1"/>
  <c r="AE85" i="10"/>
  <c r="AQ94" i="12"/>
  <c r="AG85" i="10"/>
  <c r="AC87" i="10"/>
  <c r="AD86" i="10"/>
  <c r="AB85" i="10"/>
  <c r="AF85" i="10"/>
  <c r="Z85" i="10"/>
  <c r="AE87" i="10"/>
  <c r="AD85" i="10"/>
  <c r="AD87" i="10"/>
  <c r="BF86" i="10"/>
  <c r="AC86" i="10"/>
  <c r="AA85" i="10"/>
  <c r="AE86" i="10"/>
  <c r="AF87" i="10"/>
  <c r="AM86" i="10"/>
  <c r="Z87" i="10"/>
  <c r="AF86" i="10"/>
  <c r="BJ87" i="10"/>
  <c r="AG86" i="10"/>
  <c r="BK86" i="10"/>
  <c r="AQ86" i="10"/>
  <c r="AA87" i="10"/>
  <c r="AO85" i="10"/>
  <c r="Z81" i="10"/>
  <c r="BL86" i="10"/>
  <c r="BA86" i="10"/>
  <c r="BH86" i="10"/>
  <c r="AB87" i="10"/>
  <c r="AH85" i="10"/>
  <c r="AP87" i="10"/>
  <c r="BA87" i="10"/>
  <c r="AQ85" i="10"/>
  <c r="BF85" i="10"/>
  <c r="AJ85" i="10"/>
  <c r="BE87" i="10"/>
  <c r="BG85" i="10"/>
  <c r="BH85" i="10"/>
  <c r="BI85" i="10"/>
  <c r="BC86" i="10"/>
  <c r="BD85" i="10"/>
  <c r="BK87" i="10"/>
  <c r="AM85" i="10"/>
  <c r="BI87" i="10"/>
  <c r="BJ85" i="10"/>
  <c r="BL87" i="10"/>
  <c r="BJ86" i="10"/>
  <c r="BB87" i="10"/>
  <c r="BM85" i="10"/>
  <c r="AI85" i="10"/>
  <c r="BG87" i="10"/>
  <c r="AI86" i="10"/>
  <c r="BG86" i="10"/>
  <c r="BE85" i="10"/>
  <c r="BC87" i="10"/>
  <c r="AL85" i="10"/>
  <c r="AK86" i="10"/>
  <c r="AZ87" i="10"/>
  <c r="AO86" i="10"/>
  <c r="BD86" i="10"/>
  <c r="BF87" i="10"/>
  <c r="AY85" i="10"/>
  <c r="AY87" i="10"/>
  <c r="AP85" i="10"/>
  <c r="BH87" i="10"/>
  <c r="BM86" i="10"/>
  <c r="AZ85" i="10"/>
  <c r="AK85" i="10"/>
  <c r="BL85" i="10"/>
  <c r="BB85" i="10"/>
  <c r="AZ86" i="10"/>
  <c r="BI86" i="10"/>
  <c r="BK85" i="10"/>
  <c r="BB86" i="10"/>
  <c r="BD87" i="10"/>
  <c r="BM87" i="10"/>
  <c r="AN86" i="10"/>
  <c r="AP86" i="10"/>
  <c r="AV85" i="10"/>
  <c r="BE86" i="10"/>
  <c r="BC85" i="10"/>
  <c r="BA85" i="10"/>
  <c r="AY86" i="10"/>
  <c r="C18" i="10"/>
  <c r="AC61" i="10" s="1"/>
  <c r="AM64" i="10" s="1"/>
  <c r="AN85" i="10"/>
  <c r="AR86" i="10"/>
  <c r="AJ86" i="10"/>
  <c r="AH86" i="10"/>
  <c r="AL86" i="10"/>
  <c r="AU85" i="10"/>
  <c r="AX85" i="10"/>
  <c r="AT85" i="10"/>
  <c r="AS85" i="10"/>
  <c r="AV86" i="10"/>
  <c r="AU86" i="10"/>
  <c r="AT87" i="10"/>
  <c r="AG87" i="10"/>
  <c r="AL87" i="10"/>
  <c r="AW87" i="10"/>
  <c r="AI87" i="10"/>
  <c r="AS87" i="10"/>
  <c r="AJ87" i="10"/>
  <c r="AT86" i="10"/>
  <c r="AR85" i="10"/>
  <c r="AW85" i="10"/>
  <c r="AN87" i="10"/>
  <c r="AK87" i="10"/>
  <c r="AM87" i="10"/>
  <c r="AQ87" i="10"/>
  <c r="AH87" i="10"/>
  <c r="AU87" i="10"/>
  <c r="AO87" i="10"/>
  <c r="AR87" i="10"/>
  <c r="AX87" i="10"/>
  <c r="AV87" i="10"/>
  <c r="AX86" i="10"/>
  <c r="AW86" i="10"/>
  <c r="AS86" i="10"/>
  <c r="BW25" i="12"/>
  <c r="BW22" i="12"/>
  <c r="Y74" i="12" s="1"/>
  <c r="Y76" i="12" s="1"/>
  <c r="C33" i="10"/>
  <c r="BD9" i="12"/>
  <c r="BD25" i="12" s="1"/>
  <c r="Z25" i="10" s="1"/>
  <c r="AA31" i="10"/>
  <c r="AA32" i="10"/>
  <c r="AA30" i="10"/>
  <c r="AA29" i="10"/>
  <c r="AA68" i="10"/>
  <c r="X68" i="10" s="1"/>
  <c r="AB68" i="10"/>
  <c r="Z43" i="10" l="1"/>
  <c r="P29" i="15"/>
  <c r="AD54" i="12"/>
  <c r="L23" i="14"/>
  <c r="BV74" i="12"/>
  <c r="AD52" i="12"/>
  <c r="AD48" i="12"/>
  <c r="AD50" i="12"/>
  <c r="K23" i="14"/>
  <c r="K22" i="14"/>
  <c r="K21" i="14"/>
  <c r="K20" i="14"/>
  <c r="D40" i="14"/>
  <c r="D39" i="14"/>
  <c r="Z41" i="10"/>
  <c r="P67" i="12"/>
  <c r="AO90" i="12" s="1"/>
  <c r="Z42" i="10"/>
  <c r="Z44" i="10"/>
  <c r="Z45" i="10"/>
  <c r="X69" i="10"/>
  <c r="X66" i="10"/>
  <c r="X67" i="10"/>
  <c r="X64" i="10"/>
  <c r="X65" i="10"/>
  <c r="C67" i="10"/>
  <c r="N25" i="12"/>
  <c r="CN25" i="12"/>
  <c r="F1" i="13" s="1"/>
  <c r="AE25" i="12"/>
  <c r="L22" i="14" l="1"/>
  <c r="L21" i="14"/>
  <c r="L20" i="14"/>
  <c r="M4" i="13"/>
  <c r="K4" i="13"/>
  <c r="J4" i="13"/>
  <c r="O4" i="13"/>
  <c r="N4" i="13"/>
  <c r="L4" i="13"/>
  <c r="AB58" i="10"/>
  <c r="AB57" i="10"/>
  <c r="Z57" i="10" s="1"/>
  <c r="E2" i="14"/>
  <c r="CN74" i="12"/>
  <c r="AA39" i="10"/>
  <c r="AB39" i="10" s="1"/>
  <c r="T90" i="12"/>
  <c r="T94" i="12" s="1"/>
  <c r="AF66" i="10"/>
  <c r="AF70" i="10"/>
  <c r="AF65" i="10"/>
  <c r="AG67" i="10"/>
  <c r="AH65" i="10"/>
  <c r="AG68" i="10"/>
  <c r="AG69" i="10"/>
  <c r="AG65" i="10"/>
  <c r="AM65" i="10" s="1"/>
  <c r="AH67" i="10"/>
  <c r="AH70" i="10"/>
  <c r="AG70" i="10"/>
  <c r="AF69" i="10"/>
  <c r="AH68" i="10"/>
  <c r="AF67" i="10"/>
  <c r="AH66" i="10"/>
  <c r="AF68" i="10"/>
  <c r="AH69" i="10"/>
  <c r="AG66" i="10"/>
  <c r="BO62" i="12" l="1"/>
  <c r="E24" i="15"/>
  <c r="F12" i="14"/>
  <c r="F11" i="14"/>
  <c r="E4" i="14"/>
  <c r="AI66" i="10"/>
  <c r="AI65" i="10"/>
  <c r="AI67" i="10"/>
  <c r="AI69" i="10"/>
  <c r="AJ69" i="10" s="1"/>
  <c r="AL69" i="10" s="1"/>
  <c r="AJ70" i="10"/>
  <c r="AL70" i="10" s="1"/>
  <c r="AK70" i="10"/>
  <c r="AI64" i="10"/>
  <c r="AJ64" i="10" s="1"/>
  <c r="AL64" i="10" s="1"/>
  <c r="AN64" i="10" s="1"/>
  <c r="AK69" i="10"/>
  <c r="AI68" i="10"/>
  <c r="AM66" i="10"/>
  <c r="AK67" i="10"/>
  <c r="AJ67" i="10"/>
  <c r="AL67" i="10" s="1"/>
  <c r="AJ68" i="10"/>
  <c r="AL68" i="10" s="1"/>
  <c r="AJ66" i="10"/>
  <c r="AL66" i="10" s="1"/>
  <c r="AK66" i="10"/>
  <c r="AJ65" i="10"/>
  <c r="AL65" i="10" s="1"/>
  <c r="AK65" i="10"/>
  <c r="AK68" i="10"/>
  <c r="F13" i="14" l="1"/>
  <c r="J2" i="14"/>
  <c r="AN65" i="10"/>
  <c r="AQ65" i="10" s="1"/>
  <c r="AM67" i="10"/>
  <c r="AN67" i="10" s="1"/>
  <c r="AN66" i="10"/>
  <c r="AQ64" i="10"/>
  <c r="AP64" i="10"/>
  <c r="BB27" i="15" l="1"/>
  <c r="BB24" i="15"/>
  <c r="D79" i="12"/>
  <c r="D82" i="12"/>
  <c r="AM68" i="10"/>
  <c r="AM69" i="10" s="1"/>
  <c r="AP65" i="10"/>
  <c r="AO65" i="10"/>
  <c r="AQ66" i="10"/>
  <c r="AP66" i="10"/>
  <c r="AO66" i="10"/>
  <c r="AN68" i="10" l="1"/>
  <c r="AM70" i="10"/>
  <c r="AN70" i="10" s="1"/>
  <c r="AQ70" i="10" s="1"/>
  <c r="AN69" i="10"/>
  <c r="AQ69" i="10" s="1"/>
  <c r="AO67" i="10"/>
  <c r="AP67" i="10"/>
  <c r="AQ67" i="10"/>
  <c r="AP70" i="10" l="1"/>
  <c r="AO70" i="10"/>
  <c r="AN71" i="10"/>
  <c r="AO69" i="10"/>
  <c r="AP69" i="10"/>
  <c r="AO68" i="10"/>
  <c r="AP68" i="10"/>
  <c r="AQ68" i="10"/>
  <c r="AU80" i="10" l="1"/>
  <c r="AQ80" i="10"/>
  <c r="AL80" i="10"/>
  <c r="AF80" i="10"/>
  <c r="AS80" i="10"/>
  <c r="BD80" i="10"/>
  <c r="BB80" i="10"/>
  <c r="AT80" i="10"/>
  <c r="AW80" i="10"/>
  <c r="BE80" i="10"/>
  <c r="AY80" i="10"/>
  <c r="AV80" i="10"/>
  <c r="AN80" i="10"/>
  <c r="AP80" i="10"/>
  <c r="AM80" i="10"/>
  <c r="AK80" i="10"/>
  <c r="BF80" i="10"/>
  <c r="AX80" i="10"/>
  <c r="AR80" i="10"/>
  <c r="AG80" i="10"/>
  <c r="AE80" i="10"/>
  <c r="AI80" i="10"/>
  <c r="AJ80" i="10"/>
  <c r="BA80" i="10"/>
  <c r="AH80" i="10"/>
  <c r="AO80" i="10"/>
  <c r="BK80" i="10"/>
  <c r="BM80" i="10"/>
  <c r="Z80" i="10"/>
  <c r="Z94" i="10" s="1"/>
  <c r="Z99" i="10" s="1"/>
  <c r="BC80" i="10"/>
  <c r="BL80" i="10"/>
  <c r="BJ80" i="10"/>
  <c r="BH80" i="10"/>
  <c r="AZ80" i="10"/>
  <c r="BG80" i="10"/>
  <c r="BI80" i="10"/>
  <c r="AD80" i="10"/>
  <c r="AA80" i="10"/>
  <c r="AC80" i="10"/>
  <c r="AB80" i="10"/>
  <c r="C31" i="10"/>
  <c r="C69" i="10" s="1"/>
  <c r="C71" i="10" s="1"/>
  <c r="AX120" i="12" l="1"/>
  <c r="Z82" i="10"/>
  <c r="AA81" i="10" s="1"/>
  <c r="AA82" i="10" s="1"/>
  <c r="AB81" i="10" s="1"/>
  <c r="AB82" i="10" s="1"/>
  <c r="AC81" i="10" s="1"/>
  <c r="AC82" i="10" s="1"/>
  <c r="AD81" i="10" s="1"/>
  <c r="AD82" i="10" s="1"/>
  <c r="AE81" i="10" s="1"/>
  <c r="AE82" i="10" s="1"/>
  <c r="AF81" i="10" s="1"/>
  <c r="AF82" i="10" s="1"/>
  <c r="AG81" i="10" s="1"/>
  <c r="AG82" i="10" s="1"/>
  <c r="AH81" i="10" s="1"/>
  <c r="AH82" i="10" s="1"/>
  <c r="AI81" i="10" s="1"/>
  <c r="AI82" i="10" s="1"/>
  <c r="AJ81" i="10" s="1"/>
  <c r="AJ82" i="10" s="1"/>
  <c r="AK81" i="10" s="1"/>
  <c r="AK82" i="10" s="1"/>
  <c r="AL81" i="10" s="1"/>
  <c r="AL82" i="10" s="1"/>
  <c r="AM81" i="10" s="1"/>
  <c r="AM82" i="10" s="1"/>
  <c r="AN81" i="10" s="1"/>
  <c r="AN82" i="10" s="1"/>
  <c r="AO81" i="10" s="1"/>
  <c r="AO82" i="10" s="1"/>
  <c r="AP81" i="10" s="1"/>
  <c r="AP82" i="10" s="1"/>
  <c r="AQ81" i="10" s="1"/>
  <c r="AQ82" i="10" s="1"/>
  <c r="AR81" i="10" s="1"/>
  <c r="AR82" i="10" s="1"/>
  <c r="AS81" i="10" s="1"/>
  <c r="AS82" i="10" s="1"/>
  <c r="AT81" i="10" s="1"/>
  <c r="AT82" i="10" s="1"/>
  <c r="AU81" i="10" s="1"/>
  <c r="AU82" i="10" s="1"/>
  <c r="AV81" i="10" s="1"/>
  <c r="AV82" i="10" s="1"/>
  <c r="AW81" i="10" s="1"/>
  <c r="AW82" i="10" s="1"/>
  <c r="AX81" i="10" s="1"/>
  <c r="AX82" i="10" s="1"/>
  <c r="AY81" i="10" s="1"/>
  <c r="AY82" i="10" s="1"/>
  <c r="AZ81" i="10" s="1"/>
  <c r="AZ82" i="10" s="1"/>
  <c r="BA81" i="10" s="1"/>
  <c r="BA82" i="10" s="1"/>
  <c r="BB81" i="10" s="1"/>
  <c r="BB82" i="10" l="1"/>
  <c r="BC81" i="10" s="1"/>
  <c r="BC82" i="10" s="1"/>
  <c r="BD81" i="10" s="1"/>
  <c r="BD82" i="10" s="1"/>
  <c r="BE81" i="10" s="1"/>
  <c r="BE82" i="10" s="1"/>
  <c r="BF81" i="10" s="1"/>
  <c r="BF82" i="10" s="1"/>
  <c r="BG81" i="10" s="1"/>
  <c r="BG82" i="10" s="1"/>
  <c r="BH81" i="10" s="1"/>
  <c r="BH82" i="10" s="1"/>
  <c r="BI81" i="10" s="1"/>
  <c r="BI82" i="10" s="1"/>
  <c r="BJ81" i="10" s="1"/>
  <c r="BJ82" i="10" s="1"/>
  <c r="BK81" i="10" s="1"/>
  <c r="BK82" i="10" s="1"/>
  <c r="BL81" i="10" s="1"/>
  <c r="BL82" i="10" s="1"/>
  <c r="BM81" i="10" s="1"/>
  <c r="BM82" i="10" s="1"/>
  <c r="AA98" i="10"/>
  <c r="AA94" i="10" s="1"/>
  <c r="Z97" i="10" l="1"/>
  <c r="C24" i="1"/>
  <c r="G10" i="1"/>
  <c r="C16" i="1"/>
  <c r="AA99" i="10" l="1"/>
  <c r="AB98" i="10" s="1"/>
  <c r="AB94" i="10" s="1"/>
  <c r="AA97" i="10"/>
  <c r="CQ210" i="2"/>
  <c r="G36" i="1"/>
  <c r="W8" i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P17" i="1"/>
  <c r="P16" i="1"/>
  <c r="P15" i="1"/>
  <c r="P14" i="1"/>
  <c r="P13" i="1"/>
  <c r="P12" i="1"/>
  <c r="P11" i="1"/>
  <c r="P10" i="1"/>
  <c r="P9" i="1"/>
  <c r="P8" i="1"/>
  <c r="P7" i="1"/>
  <c r="R8" i="1"/>
  <c r="O5" i="1"/>
  <c r="O8" i="1" s="1"/>
  <c r="N5" i="1"/>
  <c r="N15" i="1" s="1"/>
  <c r="M5" i="1"/>
  <c r="M10" i="1" s="1"/>
  <c r="E35" i="8"/>
  <c r="D57" i="8"/>
  <c r="D50" i="8"/>
  <c r="D43" i="8"/>
  <c r="D36" i="8"/>
  <c r="D29" i="8"/>
  <c r="E56" i="8"/>
  <c r="E49" i="8"/>
  <c r="D55" i="8"/>
  <c r="D48" i="8"/>
  <c r="E42" i="8"/>
  <c r="E43" i="8" s="1"/>
  <c r="D41" i="8"/>
  <c r="B27" i="8"/>
  <c r="B33" i="8"/>
  <c r="B40" i="8"/>
  <c r="B47" i="8"/>
  <c r="B54" i="8"/>
  <c r="C54" i="8"/>
  <c r="C47" i="8"/>
  <c r="D47" i="8" s="1"/>
  <c r="C40" i="8"/>
  <c r="AGI40" i="8" s="1"/>
  <c r="C33" i="8"/>
  <c r="ZF33" i="8" s="1"/>
  <c r="C27" i="8"/>
  <c r="AJP27" i="8" s="1"/>
  <c r="L9" i="2"/>
  <c r="AN190" i="2"/>
  <c r="X3" i="1"/>
  <c r="Z12" i="1" s="1"/>
  <c r="O16" i="1" l="1"/>
  <c r="M12" i="1"/>
  <c r="AB97" i="10"/>
  <c r="Y19" i="1"/>
  <c r="Z28" i="1"/>
  <c r="Y25" i="1"/>
  <c r="Z33" i="1"/>
  <c r="Y43" i="1"/>
  <c r="Z48" i="1"/>
  <c r="X16" i="1"/>
  <c r="Y49" i="1"/>
  <c r="Z53" i="1"/>
  <c r="Y31" i="1"/>
  <c r="Y37" i="1"/>
  <c r="Z43" i="1"/>
  <c r="X7" i="1"/>
  <c r="X25" i="1"/>
  <c r="Y55" i="1"/>
  <c r="Z58" i="1"/>
  <c r="X34" i="1"/>
  <c r="Y61" i="1"/>
  <c r="Y7" i="1"/>
  <c r="Z17" i="1"/>
  <c r="Y13" i="1"/>
  <c r="Z22" i="1"/>
  <c r="Z38" i="1"/>
  <c r="X43" i="1"/>
  <c r="Z7" i="1"/>
  <c r="X61" i="1"/>
  <c r="X52" i="1"/>
  <c r="M9" i="1"/>
  <c r="N9" i="1"/>
  <c r="O9" i="1"/>
  <c r="O13" i="1"/>
  <c r="O14" i="1"/>
  <c r="O15" i="1"/>
  <c r="O10" i="1"/>
  <c r="O7" i="1"/>
  <c r="O11" i="1"/>
  <c r="M8" i="1"/>
  <c r="N12" i="1"/>
  <c r="N8" i="1"/>
  <c r="O12" i="1"/>
  <c r="N10" i="1"/>
  <c r="M7" i="1"/>
  <c r="M11" i="1"/>
  <c r="N7" i="1"/>
  <c r="N11" i="1"/>
  <c r="N13" i="1"/>
  <c r="N14" i="1"/>
  <c r="R9" i="1"/>
  <c r="F56" i="8"/>
  <c r="E50" i="8"/>
  <c r="E58" i="8"/>
  <c r="E57" i="8"/>
  <c r="E51" i="8"/>
  <c r="F49" i="8"/>
  <c r="E44" i="8"/>
  <c r="E33" i="8"/>
  <c r="D33" i="8"/>
  <c r="D27" i="8"/>
  <c r="D40" i="8"/>
  <c r="CR40" i="8"/>
  <c r="IM40" i="8"/>
  <c r="PE40" i="8"/>
  <c r="VV40" i="8"/>
  <c r="ADK40" i="8"/>
  <c r="I27" i="8"/>
  <c r="AI27" i="8"/>
  <c r="BI27" i="8"/>
  <c r="CI27" i="8"/>
  <c r="DI27" i="8"/>
  <c r="EJ27" i="8"/>
  <c r="FJ27" i="8"/>
  <c r="GJ27" i="8"/>
  <c r="HJ27" i="8"/>
  <c r="IJ27" i="8"/>
  <c r="JK27" i="8"/>
  <c r="KK27" i="8"/>
  <c r="LK27" i="8"/>
  <c r="MK27" i="8"/>
  <c r="NK27" i="8"/>
  <c r="OK27" i="8"/>
  <c r="PQ27" i="8"/>
  <c r="QX27" i="8"/>
  <c r="SB27" i="8"/>
  <c r="TI27" i="8"/>
  <c r="UP27" i="8"/>
  <c r="VT27" i="8"/>
  <c r="XA27" i="8"/>
  <c r="YH27" i="8"/>
  <c r="AAD27" i="8"/>
  <c r="ACA27" i="8"/>
  <c r="J27" i="8"/>
  <c r="W27" i="8"/>
  <c r="AJ27" i="8"/>
  <c r="AW27" i="8"/>
  <c r="BJ27" i="8"/>
  <c r="BW27" i="8"/>
  <c r="CJ27" i="8"/>
  <c r="CW27" i="8"/>
  <c r="DK27" i="8"/>
  <c r="DX27" i="8"/>
  <c r="EK27" i="8"/>
  <c r="EX27" i="8"/>
  <c r="FK27" i="8"/>
  <c r="FX27" i="8"/>
  <c r="GK27" i="8"/>
  <c r="GX27" i="8"/>
  <c r="HK27" i="8"/>
  <c r="HX27" i="8"/>
  <c r="IK27" i="8"/>
  <c r="IY27" i="8"/>
  <c r="JL27" i="8"/>
  <c r="JY27" i="8"/>
  <c r="KL27" i="8"/>
  <c r="KY27" i="8"/>
  <c r="LL27" i="8"/>
  <c r="LY27" i="8"/>
  <c r="ML27" i="8"/>
  <c r="MY27" i="8"/>
  <c r="NL27" i="8"/>
  <c r="NY27" i="8"/>
  <c r="OM27" i="8"/>
  <c r="PC27" i="8"/>
  <c r="PR27" i="8"/>
  <c r="QG27" i="8"/>
  <c r="QY27" i="8"/>
  <c r="RN27" i="8"/>
  <c r="SC27" i="8"/>
  <c r="SU27" i="8"/>
  <c r="TJ27" i="8"/>
  <c r="TY27" i="8"/>
  <c r="UQ27" i="8"/>
  <c r="VF27" i="8"/>
  <c r="VU27" i="8"/>
  <c r="WM27" i="8"/>
  <c r="XB27" i="8"/>
  <c r="XQ27" i="8"/>
  <c r="YI27" i="8"/>
  <c r="YX27" i="8"/>
  <c r="ZM27" i="8"/>
  <c r="AAE27" i="8"/>
  <c r="AAT27" i="8"/>
  <c r="ABI27" i="8"/>
  <c r="ACB27" i="8"/>
  <c r="ACR27" i="8"/>
  <c r="ADL27" i="8"/>
  <c r="AEB27" i="8"/>
  <c r="AEV27" i="8"/>
  <c r="AFL27" i="8"/>
  <c r="AGF27" i="8"/>
  <c r="AGY27" i="8"/>
  <c r="AIC27" i="8"/>
  <c r="AJM27" i="8"/>
  <c r="ANW27" i="8"/>
  <c r="DD40" i="8"/>
  <c r="JA40" i="8"/>
  <c r="PS40" i="8"/>
  <c r="WK40" i="8"/>
  <c r="AEC40" i="8"/>
  <c r="V27" i="8"/>
  <c r="AV27" i="8"/>
  <c r="BV27" i="8"/>
  <c r="CV27" i="8"/>
  <c r="DW27" i="8"/>
  <c r="EW27" i="8"/>
  <c r="FW27" i="8"/>
  <c r="GW27" i="8"/>
  <c r="HW27" i="8"/>
  <c r="IW27" i="8"/>
  <c r="JX27" i="8"/>
  <c r="KX27" i="8"/>
  <c r="LX27" i="8"/>
  <c r="MX27" i="8"/>
  <c r="NX27" i="8"/>
  <c r="PB27" i="8"/>
  <c r="QF27" i="8"/>
  <c r="RM27" i="8"/>
  <c r="ST27" i="8"/>
  <c r="TX27" i="8"/>
  <c r="VE27" i="8"/>
  <c r="WL27" i="8"/>
  <c r="XP27" i="8"/>
  <c r="YW27" i="8"/>
  <c r="ZL27" i="8"/>
  <c r="AAS27" i="8"/>
  <c r="ABH27" i="8"/>
  <c r="ACQ27" i="8"/>
  <c r="ADK27" i="8"/>
  <c r="AEA27" i="8"/>
  <c r="AEU27" i="8"/>
  <c r="K27" i="8"/>
  <c r="X27" i="8"/>
  <c r="AK27" i="8"/>
  <c r="AX27" i="8"/>
  <c r="BK27" i="8"/>
  <c r="BX27" i="8"/>
  <c r="CK27" i="8"/>
  <c r="CY27" i="8"/>
  <c r="DL27" i="8"/>
  <c r="DY27" i="8"/>
  <c r="EL27" i="8"/>
  <c r="EY27" i="8"/>
  <c r="FL27" i="8"/>
  <c r="FY27" i="8"/>
  <c r="GL27" i="8"/>
  <c r="GY27" i="8"/>
  <c r="HL27" i="8"/>
  <c r="HY27" i="8"/>
  <c r="IM27" i="8"/>
  <c r="IZ27" i="8"/>
  <c r="JM27" i="8"/>
  <c r="JZ27" i="8"/>
  <c r="KM27" i="8"/>
  <c r="KZ27" i="8"/>
  <c r="LM27" i="8"/>
  <c r="LZ27" i="8"/>
  <c r="MM27" i="8"/>
  <c r="MZ27" i="8"/>
  <c r="NM27" i="8"/>
  <c r="OA27" i="8"/>
  <c r="ON27" i="8"/>
  <c r="PD27" i="8"/>
  <c r="PS27" i="8"/>
  <c r="QI27" i="8"/>
  <c r="QZ27" i="8"/>
  <c r="RO27" i="8"/>
  <c r="SE27" i="8"/>
  <c r="SV27" i="8"/>
  <c r="TK27" i="8"/>
  <c r="UA27" i="8"/>
  <c r="UR27" i="8"/>
  <c r="VG27" i="8"/>
  <c r="VW27" i="8"/>
  <c r="WN27" i="8"/>
  <c r="XC27" i="8"/>
  <c r="XS27" i="8"/>
  <c r="YJ27" i="8"/>
  <c r="YY27" i="8"/>
  <c r="ZO27" i="8"/>
  <c r="AAF27" i="8"/>
  <c r="AAU27" i="8"/>
  <c r="ABK27" i="8"/>
  <c r="ACC27" i="8"/>
  <c r="ACU27" i="8"/>
  <c r="ADM27" i="8"/>
  <c r="AEE27" i="8"/>
  <c r="AEW27" i="8"/>
  <c r="AFO27" i="8"/>
  <c r="AGG27" i="8"/>
  <c r="AHC27" i="8"/>
  <c r="AIE27" i="8"/>
  <c r="AJO27" i="8"/>
  <c r="AOI27" i="8"/>
  <c r="DP40" i="8"/>
  <c r="JQ40" i="8"/>
  <c r="QG40" i="8"/>
  <c r="XC40" i="8"/>
  <c r="AEU40" i="8"/>
  <c r="L27" i="8"/>
  <c r="Y27" i="8"/>
  <c r="AL27" i="8"/>
  <c r="AY27" i="8"/>
  <c r="BL27" i="8"/>
  <c r="BY27" i="8"/>
  <c r="CM27" i="8"/>
  <c r="CZ27" i="8"/>
  <c r="DM27" i="8"/>
  <c r="DZ27" i="8"/>
  <c r="EM27" i="8"/>
  <c r="EZ27" i="8"/>
  <c r="FM27" i="8"/>
  <c r="FZ27" i="8"/>
  <c r="GM27" i="8"/>
  <c r="GZ27" i="8"/>
  <c r="HM27" i="8"/>
  <c r="IA27" i="8"/>
  <c r="IN27" i="8"/>
  <c r="JA27" i="8"/>
  <c r="JN27" i="8"/>
  <c r="KA27" i="8"/>
  <c r="KN27" i="8"/>
  <c r="LA27" i="8"/>
  <c r="LN27" i="8"/>
  <c r="MA27" i="8"/>
  <c r="MN27" i="8"/>
  <c r="NA27" i="8"/>
  <c r="NO27" i="8"/>
  <c r="OB27" i="8"/>
  <c r="OP27" i="8"/>
  <c r="PE27" i="8"/>
  <c r="PT27" i="8"/>
  <c r="QL27" i="8"/>
  <c r="RA27" i="8"/>
  <c r="RP27" i="8"/>
  <c r="SH27" i="8"/>
  <c r="SW27" i="8"/>
  <c r="TL27" i="8"/>
  <c r="UD27" i="8"/>
  <c r="US27" i="8"/>
  <c r="VH27" i="8"/>
  <c r="VZ27" i="8"/>
  <c r="WO27" i="8"/>
  <c r="XD27" i="8"/>
  <c r="XV27" i="8"/>
  <c r="YK27" i="8"/>
  <c r="YZ27" i="8"/>
  <c r="ZR27" i="8"/>
  <c r="AAG27" i="8"/>
  <c r="AAV27" i="8"/>
  <c r="ABN27" i="8"/>
  <c r="ACD27" i="8"/>
  <c r="ACX27" i="8"/>
  <c r="ADN27" i="8"/>
  <c r="AEH27" i="8"/>
  <c r="AEX27" i="8"/>
  <c r="AFR27" i="8"/>
  <c r="AGH27" i="8"/>
  <c r="AHD27" i="8"/>
  <c r="AIF27" i="8"/>
  <c r="DN33" i="8"/>
  <c r="EB40" i="8"/>
  <c r="KE40" i="8"/>
  <c r="QU40" i="8"/>
  <c r="XR40" i="8"/>
  <c r="AFM40" i="8"/>
  <c r="AOH27" i="8"/>
  <c r="ANV27" i="8"/>
  <c r="ANJ27" i="8"/>
  <c r="AMX27" i="8"/>
  <c r="AML27" i="8"/>
  <c r="ALZ27" i="8"/>
  <c r="ALN27" i="8"/>
  <c r="ALB27" i="8"/>
  <c r="AKP27" i="8"/>
  <c r="AKD27" i="8"/>
  <c r="AJR27" i="8"/>
  <c r="AJF27" i="8"/>
  <c r="AIT27" i="8"/>
  <c r="AIH27" i="8"/>
  <c r="AHV27" i="8"/>
  <c r="AHJ27" i="8"/>
  <c r="AGX27" i="8"/>
  <c r="AGL27" i="8"/>
  <c r="AFZ27" i="8"/>
  <c r="AFN27" i="8"/>
  <c r="AFB27" i="8"/>
  <c r="AEP27" i="8"/>
  <c r="AED27" i="8"/>
  <c r="ADR27" i="8"/>
  <c r="ADF27" i="8"/>
  <c r="ACT27" i="8"/>
  <c r="ACH27" i="8"/>
  <c r="ABV27" i="8"/>
  <c r="ABJ27" i="8"/>
  <c r="AAX27" i="8"/>
  <c r="AAL27" i="8"/>
  <c r="ZZ27" i="8"/>
  <c r="ZN27" i="8"/>
  <c r="ZB27" i="8"/>
  <c r="YP27" i="8"/>
  <c r="YD27" i="8"/>
  <c r="XR27" i="8"/>
  <c r="XF27" i="8"/>
  <c r="WT27" i="8"/>
  <c r="WH27" i="8"/>
  <c r="VV27" i="8"/>
  <c r="VJ27" i="8"/>
  <c r="UX27" i="8"/>
  <c r="UL27" i="8"/>
  <c r="TZ27" i="8"/>
  <c r="TN27" i="8"/>
  <c r="TB27" i="8"/>
  <c r="SP27" i="8"/>
  <c r="SD27" i="8"/>
  <c r="RR27" i="8"/>
  <c r="RF27" i="8"/>
  <c r="QT27" i="8"/>
  <c r="QH27" i="8"/>
  <c r="PV27" i="8"/>
  <c r="PJ27" i="8"/>
  <c r="OX27" i="8"/>
  <c r="OL27" i="8"/>
  <c r="NZ27" i="8"/>
  <c r="NN27" i="8"/>
  <c r="NB27" i="8"/>
  <c r="MP27" i="8"/>
  <c r="MD27" i="8"/>
  <c r="LR27" i="8"/>
  <c r="LF27" i="8"/>
  <c r="KT27" i="8"/>
  <c r="KH27" i="8"/>
  <c r="JV27" i="8"/>
  <c r="JJ27" i="8"/>
  <c r="IX27" i="8"/>
  <c r="IL27" i="8"/>
  <c r="HZ27" i="8"/>
  <c r="HN27" i="8"/>
  <c r="HB27" i="8"/>
  <c r="GP27" i="8"/>
  <c r="GD27" i="8"/>
  <c r="FR27" i="8"/>
  <c r="FF27" i="8"/>
  <c r="ET27" i="8"/>
  <c r="EH27" i="8"/>
  <c r="DV27" i="8"/>
  <c r="DJ27" i="8"/>
  <c r="CX27" i="8"/>
  <c r="CL27" i="8"/>
  <c r="BZ27" i="8"/>
  <c r="BN27" i="8"/>
  <c r="BB27" i="8"/>
  <c r="AP27" i="8"/>
  <c r="AD27" i="8"/>
  <c r="R27" i="8"/>
  <c r="F27" i="8"/>
  <c r="AOG27" i="8"/>
  <c r="ANU27" i="8"/>
  <c r="ANI27" i="8"/>
  <c r="AMW27" i="8"/>
  <c r="AMK27" i="8"/>
  <c r="ALY27" i="8"/>
  <c r="ALM27" i="8"/>
  <c r="ALA27" i="8"/>
  <c r="AKO27" i="8"/>
  <c r="AKC27" i="8"/>
  <c r="AJQ27" i="8"/>
  <c r="AJE27" i="8"/>
  <c r="AIS27" i="8"/>
  <c r="AIG27" i="8"/>
  <c r="AHU27" i="8"/>
  <c r="AHI27" i="8"/>
  <c r="AGW27" i="8"/>
  <c r="AGK27" i="8"/>
  <c r="AFY27" i="8"/>
  <c r="AFM27" i="8"/>
  <c r="AFA27" i="8"/>
  <c r="AEO27" i="8"/>
  <c r="AEC27" i="8"/>
  <c r="ADQ27" i="8"/>
  <c r="ADE27" i="8"/>
  <c r="ACS27" i="8"/>
  <c r="ACG27" i="8"/>
  <c r="ABU27" i="8"/>
  <c r="AOF27" i="8"/>
  <c r="ANT27" i="8"/>
  <c r="ANH27" i="8"/>
  <c r="AMV27" i="8"/>
  <c r="AMJ27" i="8"/>
  <c r="ALX27" i="8"/>
  <c r="ALL27" i="8"/>
  <c r="AKZ27" i="8"/>
  <c r="AKN27" i="8"/>
  <c r="AKB27" i="8"/>
  <c r="AOQ27" i="8"/>
  <c r="AOE27" i="8"/>
  <c r="ANS27" i="8"/>
  <c r="ANG27" i="8"/>
  <c r="AMU27" i="8"/>
  <c r="AMI27" i="8"/>
  <c r="ALW27" i="8"/>
  <c r="ALK27" i="8"/>
  <c r="AKY27" i="8"/>
  <c r="AKM27" i="8"/>
  <c r="AKA27" i="8"/>
  <c r="AOP27" i="8"/>
  <c r="AOD27" i="8"/>
  <c r="ANR27" i="8"/>
  <c r="ANF27" i="8"/>
  <c r="AMT27" i="8"/>
  <c r="AMH27" i="8"/>
  <c r="ALV27" i="8"/>
  <c r="ALJ27" i="8"/>
  <c r="AKX27" i="8"/>
  <c r="AKL27" i="8"/>
  <c r="AJZ27" i="8"/>
  <c r="AJN27" i="8"/>
  <c r="AJB27" i="8"/>
  <c r="AIP27" i="8"/>
  <c r="AID27" i="8"/>
  <c r="AHR27" i="8"/>
  <c r="AOO27" i="8"/>
  <c r="AOC27" i="8"/>
  <c r="ANQ27" i="8"/>
  <c r="ANE27" i="8"/>
  <c r="AMS27" i="8"/>
  <c r="AMG27" i="8"/>
  <c r="ALU27" i="8"/>
  <c r="ALI27" i="8"/>
  <c r="AKW27" i="8"/>
  <c r="AKK27" i="8"/>
  <c r="AJY27" i="8"/>
  <c r="AON27" i="8"/>
  <c r="AOB27" i="8"/>
  <c r="ANP27" i="8"/>
  <c r="AND27" i="8"/>
  <c r="AMR27" i="8"/>
  <c r="AMF27" i="8"/>
  <c r="ALT27" i="8"/>
  <c r="ALH27" i="8"/>
  <c r="AKV27" i="8"/>
  <c r="AKJ27" i="8"/>
  <c r="AJX27" i="8"/>
  <c r="AJL27" i="8"/>
  <c r="AIZ27" i="8"/>
  <c r="AIN27" i="8"/>
  <c r="AIB27" i="8"/>
  <c r="AHP27" i="8"/>
  <c r="AOM27" i="8"/>
  <c r="AOA27" i="8"/>
  <c r="ANO27" i="8"/>
  <c r="ANC27" i="8"/>
  <c r="AMQ27" i="8"/>
  <c r="AME27" i="8"/>
  <c r="ALS27" i="8"/>
  <c r="ALG27" i="8"/>
  <c r="AKU27" i="8"/>
  <c r="AKI27" i="8"/>
  <c r="AJW27" i="8"/>
  <c r="AJK27" i="8"/>
  <c r="AIY27" i="8"/>
  <c r="AIM27" i="8"/>
  <c r="AIA27" i="8"/>
  <c r="AHO27" i="8"/>
  <c r="AOL27" i="8"/>
  <c r="ANZ27" i="8"/>
  <c r="ANN27" i="8"/>
  <c r="ANB27" i="8"/>
  <c r="AMP27" i="8"/>
  <c r="AMD27" i="8"/>
  <c r="ALR27" i="8"/>
  <c r="ALF27" i="8"/>
  <c r="AKT27" i="8"/>
  <c r="AKH27" i="8"/>
  <c r="AJV27" i="8"/>
  <c r="AJJ27" i="8"/>
  <c r="AIX27" i="8"/>
  <c r="AIL27" i="8"/>
  <c r="AHZ27" i="8"/>
  <c r="AHN27" i="8"/>
  <c r="AHB27" i="8"/>
  <c r="AGP27" i="8"/>
  <c r="AOK27" i="8"/>
  <c r="ANY27" i="8"/>
  <c r="ANM27" i="8"/>
  <c r="ANA27" i="8"/>
  <c r="AMO27" i="8"/>
  <c r="AMC27" i="8"/>
  <c r="ALQ27" i="8"/>
  <c r="ALE27" i="8"/>
  <c r="AKS27" i="8"/>
  <c r="AKG27" i="8"/>
  <c r="AJU27" i="8"/>
  <c r="AJI27" i="8"/>
  <c r="AIW27" i="8"/>
  <c r="AIK27" i="8"/>
  <c r="AHY27" i="8"/>
  <c r="AHM27" i="8"/>
  <c r="AHA27" i="8"/>
  <c r="AGO27" i="8"/>
  <c r="AGC27" i="8"/>
  <c r="AFQ27" i="8"/>
  <c r="AFE27" i="8"/>
  <c r="AES27" i="8"/>
  <c r="AEG27" i="8"/>
  <c r="ADU27" i="8"/>
  <c r="ADI27" i="8"/>
  <c r="ACW27" i="8"/>
  <c r="ACK27" i="8"/>
  <c r="ABY27" i="8"/>
  <c r="ABM27" i="8"/>
  <c r="ABA27" i="8"/>
  <c r="AAO27" i="8"/>
  <c r="AAC27" i="8"/>
  <c r="ZQ27" i="8"/>
  <c r="ZE27" i="8"/>
  <c r="YS27" i="8"/>
  <c r="YG27" i="8"/>
  <c r="XU27" i="8"/>
  <c r="XI27" i="8"/>
  <c r="WW27" i="8"/>
  <c r="WK27" i="8"/>
  <c r="VY27" i="8"/>
  <c r="VM27" i="8"/>
  <c r="VA27" i="8"/>
  <c r="UO27" i="8"/>
  <c r="UC27" i="8"/>
  <c r="TQ27" i="8"/>
  <c r="TE27" i="8"/>
  <c r="SS27" i="8"/>
  <c r="SG27" i="8"/>
  <c r="RU27" i="8"/>
  <c r="RI27" i="8"/>
  <c r="QW27" i="8"/>
  <c r="QK27" i="8"/>
  <c r="PY27" i="8"/>
  <c r="PM27" i="8"/>
  <c r="PA27" i="8"/>
  <c r="OO27" i="8"/>
  <c r="AOJ27" i="8"/>
  <c r="ANX27" i="8"/>
  <c r="ANL27" i="8"/>
  <c r="AMZ27" i="8"/>
  <c r="AMN27" i="8"/>
  <c r="AMB27" i="8"/>
  <c r="ALP27" i="8"/>
  <c r="ALD27" i="8"/>
  <c r="AKR27" i="8"/>
  <c r="AKF27" i="8"/>
  <c r="AJT27" i="8"/>
  <c r="AJH27" i="8"/>
  <c r="AIV27" i="8"/>
  <c r="AIJ27" i="8"/>
  <c r="AHX27" i="8"/>
  <c r="AHL27" i="8"/>
  <c r="AGZ27" i="8"/>
  <c r="AGN27" i="8"/>
  <c r="AGB27" i="8"/>
  <c r="AFP27" i="8"/>
  <c r="AFD27" i="8"/>
  <c r="AER27" i="8"/>
  <c r="AEF27" i="8"/>
  <c r="ADT27" i="8"/>
  <c r="ADH27" i="8"/>
  <c r="ACV27" i="8"/>
  <c r="ACJ27" i="8"/>
  <c r="ABX27" i="8"/>
  <c r="ABL27" i="8"/>
  <c r="AAZ27" i="8"/>
  <c r="AAN27" i="8"/>
  <c r="AAB27" i="8"/>
  <c r="ZP27" i="8"/>
  <c r="ZD27" i="8"/>
  <c r="YR27" i="8"/>
  <c r="YF27" i="8"/>
  <c r="XT27" i="8"/>
  <c r="XH27" i="8"/>
  <c r="WV27" i="8"/>
  <c r="WJ27" i="8"/>
  <c r="VX27" i="8"/>
  <c r="VL27" i="8"/>
  <c r="UZ27" i="8"/>
  <c r="UN27" i="8"/>
  <c r="UB27" i="8"/>
  <c r="TP27" i="8"/>
  <c r="TD27" i="8"/>
  <c r="SR27" i="8"/>
  <c r="SF27" i="8"/>
  <c r="RT27" i="8"/>
  <c r="RH27" i="8"/>
  <c r="QV27" i="8"/>
  <c r="QJ27" i="8"/>
  <c r="PX27" i="8"/>
  <c r="PL27" i="8"/>
  <c r="OZ27" i="8"/>
  <c r="AOJ54" i="8"/>
  <c r="ANX54" i="8"/>
  <c r="ANL54" i="8"/>
  <c r="AMZ54" i="8"/>
  <c r="AMN54" i="8"/>
  <c r="AMB54" i="8"/>
  <c r="ALP54" i="8"/>
  <c r="ALD54" i="8"/>
  <c r="AKR54" i="8"/>
  <c r="AKF54" i="8"/>
  <c r="AJT54" i="8"/>
  <c r="AJH54" i="8"/>
  <c r="AIV54" i="8"/>
  <c r="AIJ54" i="8"/>
  <c r="AHX54" i="8"/>
  <c r="AHL54" i="8"/>
  <c r="AGZ54" i="8"/>
  <c r="AGN54" i="8"/>
  <c r="AGB54" i="8"/>
  <c r="AFP54" i="8"/>
  <c r="AOI54" i="8"/>
  <c r="ANW54" i="8"/>
  <c r="ANK54" i="8"/>
  <c r="AMY54" i="8"/>
  <c r="AMM54" i="8"/>
  <c r="AMA54" i="8"/>
  <c r="ALO54" i="8"/>
  <c r="ALC54" i="8"/>
  <c r="AOH54" i="8"/>
  <c r="ANV54" i="8"/>
  <c r="ANJ54" i="8"/>
  <c r="AMX54" i="8"/>
  <c r="AML54" i="8"/>
  <c r="ALZ54" i="8"/>
  <c r="ALN54" i="8"/>
  <c r="ALB54" i="8"/>
  <c r="AKP54" i="8"/>
  <c r="AKD54" i="8"/>
  <c r="AJR54" i="8"/>
  <c r="AJF54" i="8"/>
  <c r="AIT54" i="8"/>
  <c r="AIH54" i="8"/>
  <c r="AHV54" i="8"/>
  <c r="AHJ54" i="8"/>
  <c r="AGX54" i="8"/>
  <c r="AOQ54" i="8"/>
  <c r="AOE54" i="8"/>
  <c r="ANS54" i="8"/>
  <c r="ANG54" i="8"/>
  <c r="AMU54" i="8"/>
  <c r="AMI54" i="8"/>
  <c r="ALW54" i="8"/>
  <c r="ALK54" i="8"/>
  <c r="AKY54" i="8"/>
  <c r="AKM54" i="8"/>
  <c r="AKA54" i="8"/>
  <c r="AJO54" i="8"/>
  <c r="AJC54" i="8"/>
  <c r="AIQ54" i="8"/>
  <c r="AIE54" i="8"/>
  <c r="AHS54" i="8"/>
  <c r="AHG54" i="8"/>
  <c r="AGU54" i="8"/>
  <c r="AOP54" i="8"/>
  <c r="AOO54" i="8"/>
  <c r="AON54" i="8"/>
  <c r="AOB54" i="8"/>
  <c r="ANP54" i="8"/>
  <c r="AND54" i="8"/>
  <c r="AMR54" i="8"/>
  <c r="AMF54" i="8"/>
  <c r="ALT54" i="8"/>
  <c r="ALH54" i="8"/>
  <c r="AKV54" i="8"/>
  <c r="AKJ54" i="8"/>
  <c r="AJX54" i="8"/>
  <c r="AJL54" i="8"/>
  <c r="AIZ54" i="8"/>
  <c r="AIN54" i="8"/>
  <c r="AIB54" i="8"/>
  <c r="AHP54" i="8"/>
  <c r="AHD54" i="8"/>
  <c r="AGR54" i="8"/>
  <c r="AGF54" i="8"/>
  <c r="AFT54" i="8"/>
  <c r="AFH54" i="8"/>
  <c r="AEV54" i="8"/>
  <c r="AEJ54" i="8"/>
  <c r="ADX54" i="8"/>
  <c r="ADL54" i="8"/>
  <c r="ACZ54" i="8"/>
  <c r="ACN54" i="8"/>
  <c r="ACB54" i="8"/>
  <c r="ABP54" i="8"/>
  <c r="ABD54" i="8"/>
  <c r="AAR54" i="8"/>
  <c r="AAF54" i="8"/>
  <c r="ZT54" i="8"/>
  <c r="ZH54" i="8"/>
  <c r="YV54" i="8"/>
  <c r="YJ54" i="8"/>
  <c r="XX54" i="8"/>
  <c r="XL54" i="8"/>
  <c r="WZ54" i="8"/>
  <c r="WN54" i="8"/>
  <c r="WB54" i="8"/>
  <c r="VP54" i="8"/>
  <c r="VD54" i="8"/>
  <c r="UR54" i="8"/>
  <c r="UF54" i="8"/>
  <c r="TT54" i="8"/>
  <c r="TH54" i="8"/>
  <c r="SV54" i="8"/>
  <c r="SJ54" i="8"/>
  <c r="RX54" i="8"/>
  <c r="RL54" i="8"/>
  <c r="QZ54" i="8"/>
  <c r="QN54" i="8"/>
  <c r="QB54" i="8"/>
  <c r="PP54" i="8"/>
  <c r="PD54" i="8"/>
  <c r="OR54" i="8"/>
  <c r="OF54" i="8"/>
  <c r="NT54" i="8"/>
  <c r="NH54" i="8"/>
  <c r="MV54" i="8"/>
  <c r="MJ54" i="8"/>
  <c r="LX54" i="8"/>
  <c r="LL54" i="8"/>
  <c r="KZ54" i="8"/>
  <c r="KN54" i="8"/>
  <c r="KB54" i="8"/>
  <c r="JP54" i="8"/>
  <c r="JD54" i="8"/>
  <c r="IR54" i="8"/>
  <c r="IF54" i="8"/>
  <c r="HT54" i="8"/>
  <c r="HH54" i="8"/>
  <c r="GV54" i="8"/>
  <c r="GJ54" i="8"/>
  <c r="FX54" i="8"/>
  <c r="FL54" i="8"/>
  <c r="EZ54" i="8"/>
  <c r="EN54" i="8"/>
  <c r="EB54" i="8"/>
  <c r="DP54" i="8"/>
  <c r="DD54" i="8"/>
  <c r="CR54" i="8"/>
  <c r="CF54" i="8"/>
  <c r="BT54" i="8"/>
  <c r="AOM54" i="8"/>
  <c r="ANR54" i="8"/>
  <c r="AOL54" i="8"/>
  <c r="ANQ54" i="8"/>
  <c r="AMV54" i="8"/>
  <c r="AMC54" i="8"/>
  <c r="ALG54" i="8"/>
  <c r="AOK54" i="8"/>
  <c r="AOG54" i="8"/>
  <c r="AOF54" i="8"/>
  <c r="AOD54" i="8"/>
  <c r="AOC54" i="8"/>
  <c r="AOA54" i="8"/>
  <c r="ANY54" i="8"/>
  <c r="ANU54" i="8"/>
  <c r="ANB54" i="8"/>
  <c r="AMG54" i="8"/>
  <c r="ALL54" i="8"/>
  <c r="AKS54" i="8"/>
  <c r="AJZ54" i="8"/>
  <c r="AJI54" i="8"/>
  <c r="AIP54" i="8"/>
  <c r="AHY54" i="8"/>
  <c r="AHF54" i="8"/>
  <c r="AGO54" i="8"/>
  <c r="AFZ54" i="8"/>
  <c r="AFL54" i="8"/>
  <c r="AEY54" i="8"/>
  <c r="AEL54" i="8"/>
  <c r="ADY54" i="8"/>
  <c r="ADK54" i="8"/>
  <c r="ACX54" i="8"/>
  <c r="ACK54" i="8"/>
  <c r="ABX54" i="8"/>
  <c r="ABK54" i="8"/>
  <c r="AAX54" i="8"/>
  <c r="AAK54" i="8"/>
  <c r="ZX54" i="8"/>
  <c r="ZK54" i="8"/>
  <c r="YX54" i="8"/>
  <c r="YK54" i="8"/>
  <c r="XW54" i="8"/>
  <c r="XJ54" i="8"/>
  <c r="WW54" i="8"/>
  <c r="WJ54" i="8"/>
  <c r="VW54" i="8"/>
  <c r="VJ54" i="8"/>
  <c r="UW54" i="8"/>
  <c r="UJ54" i="8"/>
  <c r="TW54" i="8"/>
  <c r="TJ54" i="8"/>
  <c r="SW54" i="8"/>
  <c r="SI54" i="8"/>
  <c r="RV54" i="8"/>
  <c r="RI54" i="8"/>
  <c r="QV54" i="8"/>
  <c r="QI54" i="8"/>
  <c r="PV54" i="8"/>
  <c r="PI54" i="8"/>
  <c r="OV54" i="8"/>
  <c r="OI54" i="8"/>
  <c r="NV54" i="8"/>
  <c r="NI54" i="8"/>
  <c r="MU54" i="8"/>
  <c r="MH54" i="8"/>
  <c r="LU54" i="8"/>
  <c r="LH54" i="8"/>
  <c r="KU54" i="8"/>
  <c r="KH54" i="8"/>
  <c r="JU54" i="8"/>
  <c r="JH54" i="8"/>
  <c r="IU54" i="8"/>
  <c r="IH54" i="8"/>
  <c r="HU54" i="8"/>
  <c r="HG54" i="8"/>
  <c r="GT54" i="8"/>
  <c r="GG54" i="8"/>
  <c r="FT54" i="8"/>
  <c r="FG54" i="8"/>
  <c r="ET54" i="8"/>
  <c r="EG54" i="8"/>
  <c r="DT54" i="8"/>
  <c r="DG54" i="8"/>
  <c r="CT54" i="8"/>
  <c r="CG54" i="8"/>
  <c r="BS54" i="8"/>
  <c r="BG54" i="8"/>
  <c r="AU54" i="8"/>
  <c r="AI54" i="8"/>
  <c r="W54" i="8"/>
  <c r="K54" i="8"/>
  <c r="ANZ54" i="8"/>
  <c r="AMT54" i="8"/>
  <c r="ALV54" i="8"/>
  <c r="AKX54" i="8"/>
  <c r="AKE54" i="8"/>
  <c r="AJK54" i="8"/>
  <c r="AIR54" i="8"/>
  <c r="AHW54" i="8"/>
  <c r="AHC54" i="8"/>
  <c r="AGK54" i="8"/>
  <c r="AFV54" i="8"/>
  <c r="AFF54" i="8"/>
  <c r="AER54" i="8"/>
  <c r="AED54" i="8"/>
  <c r="ADP54" i="8"/>
  <c r="ADB54" i="8"/>
  <c r="ACM54" i="8"/>
  <c r="ABY54" i="8"/>
  <c r="ABJ54" i="8"/>
  <c r="AAV54" i="8"/>
  <c r="AAH54" i="8"/>
  <c r="ZS54" i="8"/>
  <c r="ZE54" i="8"/>
  <c r="YQ54" i="8"/>
  <c r="YC54" i="8"/>
  <c r="XO54" i="8"/>
  <c r="XA54" i="8"/>
  <c r="WL54" i="8"/>
  <c r="VX54" i="8"/>
  <c r="VI54" i="8"/>
  <c r="UU54" i="8"/>
  <c r="UG54" i="8"/>
  <c r="TR54" i="8"/>
  <c r="TD54" i="8"/>
  <c r="SP54" i="8"/>
  <c r="SB54" i="8"/>
  <c r="RN54" i="8"/>
  <c r="QY54" i="8"/>
  <c r="QK54" i="8"/>
  <c r="PW54" i="8"/>
  <c r="PH54" i="8"/>
  <c r="OT54" i="8"/>
  <c r="OE54" i="8"/>
  <c r="NQ54" i="8"/>
  <c r="NC54" i="8"/>
  <c r="MO54" i="8"/>
  <c r="MA54" i="8"/>
  <c r="LM54" i="8"/>
  <c r="KX54" i="8"/>
  <c r="KJ54" i="8"/>
  <c r="JV54" i="8"/>
  <c r="JG54" i="8"/>
  <c r="IS54" i="8"/>
  <c r="ID54" i="8"/>
  <c r="HP54" i="8"/>
  <c r="HB54" i="8"/>
  <c r="GN54" i="8"/>
  <c r="FZ54" i="8"/>
  <c r="FK54" i="8"/>
  <c r="EW54" i="8"/>
  <c r="EI54" i="8"/>
  <c r="DU54" i="8"/>
  <c r="DF54" i="8"/>
  <c r="CQ54" i="8"/>
  <c r="CC54" i="8"/>
  <c r="BO54" i="8"/>
  <c r="BB54" i="8"/>
  <c r="AO54" i="8"/>
  <c r="AB54" i="8"/>
  <c r="O54" i="8"/>
  <c r="ANT54" i="8"/>
  <c r="AMS54" i="8"/>
  <c r="ALU54" i="8"/>
  <c r="AKW54" i="8"/>
  <c r="AKC54" i="8"/>
  <c r="AJJ54" i="8"/>
  <c r="AIO54" i="8"/>
  <c r="AHU54" i="8"/>
  <c r="AHB54" i="8"/>
  <c r="AGJ54" i="8"/>
  <c r="AFU54" i="8"/>
  <c r="AFE54" i="8"/>
  <c r="AEQ54" i="8"/>
  <c r="AEC54" i="8"/>
  <c r="ADO54" i="8"/>
  <c r="ADA54" i="8"/>
  <c r="ACL54" i="8"/>
  <c r="ABW54" i="8"/>
  <c r="ABI54" i="8"/>
  <c r="AAU54" i="8"/>
  <c r="AAG54" i="8"/>
  <c r="ZR54" i="8"/>
  <c r="ZD54" i="8"/>
  <c r="YP54" i="8"/>
  <c r="YB54" i="8"/>
  <c r="XN54" i="8"/>
  <c r="WY54" i="8"/>
  <c r="WK54" i="8"/>
  <c r="VV54" i="8"/>
  <c r="VH54" i="8"/>
  <c r="UT54" i="8"/>
  <c r="UE54" i="8"/>
  <c r="TQ54" i="8"/>
  <c r="TC54" i="8"/>
  <c r="SO54" i="8"/>
  <c r="SA54" i="8"/>
  <c r="RM54" i="8"/>
  <c r="QX54" i="8"/>
  <c r="QJ54" i="8"/>
  <c r="PU54" i="8"/>
  <c r="PG54" i="8"/>
  <c r="OS54" i="8"/>
  <c r="OD54" i="8"/>
  <c r="NP54" i="8"/>
  <c r="NB54" i="8"/>
  <c r="MN54" i="8"/>
  <c r="LZ54" i="8"/>
  <c r="LK54" i="8"/>
  <c r="ANO54" i="8"/>
  <c r="AMQ54" i="8"/>
  <c r="ALS54" i="8"/>
  <c r="AKU54" i="8"/>
  <c r="AKB54" i="8"/>
  <c r="AJG54" i="8"/>
  <c r="AIM54" i="8"/>
  <c r="AHT54" i="8"/>
  <c r="AHA54" i="8"/>
  <c r="AGI54" i="8"/>
  <c r="AFS54" i="8"/>
  <c r="AFD54" i="8"/>
  <c r="AEP54" i="8"/>
  <c r="AEB54" i="8"/>
  <c r="ADN54" i="8"/>
  <c r="ACY54" i="8"/>
  <c r="ACJ54" i="8"/>
  <c r="ABV54" i="8"/>
  <c r="ABH54" i="8"/>
  <c r="AAT54" i="8"/>
  <c r="AAE54" i="8"/>
  <c r="ZQ54" i="8"/>
  <c r="ZC54" i="8"/>
  <c r="YO54" i="8"/>
  <c r="YA54" i="8"/>
  <c r="XM54" i="8"/>
  <c r="WX54" i="8"/>
  <c r="WI54" i="8"/>
  <c r="VU54" i="8"/>
  <c r="VG54" i="8"/>
  <c r="US54" i="8"/>
  <c r="UD54" i="8"/>
  <c r="TP54" i="8"/>
  <c r="TB54" i="8"/>
  <c r="SN54" i="8"/>
  <c r="RZ54" i="8"/>
  <c r="RK54" i="8"/>
  <c r="QW54" i="8"/>
  <c r="ANN54" i="8"/>
  <c r="AMP54" i="8"/>
  <c r="ALR54" i="8"/>
  <c r="AKT54" i="8"/>
  <c r="AJY54" i="8"/>
  <c r="AJE54" i="8"/>
  <c r="AIL54" i="8"/>
  <c r="AHR54" i="8"/>
  <c r="AGY54" i="8"/>
  <c r="AGH54" i="8"/>
  <c r="AFR54" i="8"/>
  <c r="AFC54" i="8"/>
  <c r="AEO54" i="8"/>
  <c r="AEA54" i="8"/>
  <c r="ADM54" i="8"/>
  <c r="ACW54" i="8"/>
  <c r="ACI54" i="8"/>
  <c r="ABU54" i="8"/>
  <c r="ABG54" i="8"/>
  <c r="AAS54" i="8"/>
  <c r="AAD54" i="8"/>
  <c r="ZP54" i="8"/>
  <c r="ZB54" i="8"/>
  <c r="YN54" i="8"/>
  <c r="XZ54" i="8"/>
  <c r="XK54" i="8"/>
  <c r="WV54" i="8"/>
  <c r="WH54" i="8"/>
  <c r="VT54" i="8"/>
  <c r="VF54" i="8"/>
  <c r="UQ54" i="8"/>
  <c r="UC54" i="8"/>
  <c r="TO54" i="8"/>
  <c r="TA54" i="8"/>
  <c r="ANM54" i="8"/>
  <c r="AMO54" i="8"/>
  <c r="ALQ54" i="8"/>
  <c r="AKQ54" i="8"/>
  <c r="AJW54" i="8"/>
  <c r="AJD54" i="8"/>
  <c r="AIK54" i="8"/>
  <c r="AHQ54" i="8"/>
  <c r="AGW54" i="8"/>
  <c r="AGG54" i="8"/>
  <c r="AFQ54" i="8"/>
  <c r="AFB54" i="8"/>
  <c r="AEN54" i="8"/>
  <c r="ADZ54" i="8"/>
  <c r="ADJ54" i="8"/>
  <c r="ACV54" i="8"/>
  <c r="ACH54" i="8"/>
  <c r="ABT54" i="8"/>
  <c r="ABF54" i="8"/>
  <c r="AAQ54" i="8"/>
  <c r="AAC54" i="8"/>
  <c r="ZO54" i="8"/>
  <c r="ZA54" i="8"/>
  <c r="YM54" i="8"/>
  <c r="XY54" i="8"/>
  <c r="XI54" i="8"/>
  <c r="WU54" i="8"/>
  <c r="WG54" i="8"/>
  <c r="VS54" i="8"/>
  <c r="VE54" i="8"/>
  <c r="UP54" i="8"/>
  <c r="UB54" i="8"/>
  <c r="TN54" i="8"/>
  <c r="SZ54" i="8"/>
  <c r="SL54" i="8"/>
  <c r="ANI54" i="8"/>
  <c r="AMK54" i="8"/>
  <c r="ALM54" i="8"/>
  <c r="AKO54" i="8"/>
  <c r="AJV54" i="8"/>
  <c r="AJB54" i="8"/>
  <c r="AII54" i="8"/>
  <c r="AHO54" i="8"/>
  <c r="AGV54" i="8"/>
  <c r="AGE54" i="8"/>
  <c r="AFO54" i="8"/>
  <c r="AFA54" i="8"/>
  <c r="AEM54" i="8"/>
  <c r="ADW54" i="8"/>
  <c r="ADI54" i="8"/>
  <c r="ACU54" i="8"/>
  <c r="ACG54" i="8"/>
  <c r="ABS54" i="8"/>
  <c r="ABE54" i="8"/>
  <c r="AAP54" i="8"/>
  <c r="AAB54" i="8"/>
  <c r="ZN54" i="8"/>
  <c r="YZ54" i="8"/>
  <c r="YL54" i="8"/>
  <c r="XV54" i="8"/>
  <c r="XH54" i="8"/>
  <c r="WT54" i="8"/>
  <c r="WF54" i="8"/>
  <c r="VR54" i="8"/>
  <c r="VC54" i="8"/>
  <c r="UO54" i="8"/>
  <c r="UA54" i="8"/>
  <c r="ANH54" i="8"/>
  <c r="AMJ54" i="8"/>
  <c r="ALJ54" i="8"/>
  <c r="AKN54" i="8"/>
  <c r="AJU54" i="8"/>
  <c r="AJA54" i="8"/>
  <c r="AIG54" i="8"/>
  <c r="AHN54" i="8"/>
  <c r="AGT54" i="8"/>
  <c r="AGD54" i="8"/>
  <c r="AFN54" i="8"/>
  <c r="AEZ54" i="8"/>
  <c r="AEK54" i="8"/>
  <c r="ADV54" i="8"/>
  <c r="ADH54" i="8"/>
  <c r="ACT54" i="8"/>
  <c r="ACF54" i="8"/>
  <c r="ABR54" i="8"/>
  <c r="ABC54" i="8"/>
  <c r="AAO54" i="8"/>
  <c r="AAA54" i="8"/>
  <c r="ZM54" i="8"/>
  <c r="YY54" i="8"/>
  <c r="YI54" i="8"/>
  <c r="XU54" i="8"/>
  <c r="XG54" i="8"/>
  <c r="WS54" i="8"/>
  <c r="WE54" i="8"/>
  <c r="VQ54" i="8"/>
  <c r="VB54" i="8"/>
  <c r="UN54" i="8"/>
  <c r="TZ54" i="8"/>
  <c r="ANF54" i="8"/>
  <c r="AMH54" i="8"/>
  <c r="ALI54" i="8"/>
  <c r="AKL54" i="8"/>
  <c r="AJS54" i="8"/>
  <c r="AIY54" i="8"/>
  <c r="AIF54" i="8"/>
  <c r="AHM54" i="8"/>
  <c r="AGS54" i="8"/>
  <c r="AGC54" i="8"/>
  <c r="AFM54" i="8"/>
  <c r="AEX54" i="8"/>
  <c r="AEI54" i="8"/>
  <c r="ADU54" i="8"/>
  <c r="ADG54" i="8"/>
  <c r="ACS54" i="8"/>
  <c r="ACE54" i="8"/>
  <c r="ABQ54" i="8"/>
  <c r="ABB54" i="8"/>
  <c r="AAN54" i="8"/>
  <c r="ZZ54" i="8"/>
  <c r="ZL54" i="8"/>
  <c r="YW54" i="8"/>
  <c r="YH54" i="8"/>
  <c r="XT54" i="8"/>
  <c r="XF54" i="8"/>
  <c r="WR54" i="8"/>
  <c r="WD54" i="8"/>
  <c r="VO54" i="8"/>
  <c r="VA54" i="8"/>
  <c r="UM54" i="8"/>
  <c r="TY54" i="8"/>
  <c r="ANE54" i="8"/>
  <c r="AME54" i="8"/>
  <c r="ALF54" i="8"/>
  <c r="AKK54" i="8"/>
  <c r="AJQ54" i="8"/>
  <c r="AIX54" i="8"/>
  <c r="AID54" i="8"/>
  <c r="AHK54" i="8"/>
  <c r="AGQ54" i="8"/>
  <c r="AGA54" i="8"/>
  <c r="AFK54" i="8"/>
  <c r="AEW54" i="8"/>
  <c r="AEH54" i="8"/>
  <c r="ADT54" i="8"/>
  <c r="ADF54" i="8"/>
  <c r="ACR54" i="8"/>
  <c r="ACD54" i="8"/>
  <c r="ABO54" i="8"/>
  <c r="ABA54" i="8"/>
  <c r="AAM54" i="8"/>
  <c r="ZY54" i="8"/>
  <c r="ZJ54" i="8"/>
  <c r="YU54" i="8"/>
  <c r="YG54" i="8"/>
  <c r="XS54" i="8"/>
  <c r="XE54" i="8"/>
  <c r="ANC54" i="8"/>
  <c r="AMD54" i="8"/>
  <c r="ALE54" i="8"/>
  <c r="AKI54" i="8"/>
  <c r="AJP54" i="8"/>
  <c r="AIW54" i="8"/>
  <c r="AIC54" i="8"/>
  <c r="AHI54" i="8"/>
  <c r="AGP54" i="8"/>
  <c r="AFY54" i="8"/>
  <c r="AFJ54" i="8"/>
  <c r="AEU54" i="8"/>
  <c r="AEG54" i="8"/>
  <c r="ADS54" i="8"/>
  <c r="ADE54" i="8"/>
  <c r="ACQ54" i="8"/>
  <c r="ACC54" i="8"/>
  <c r="ABN54" i="8"/>
  <c r="AAZ54" i="8"/>
  <c r="AAL54" i="8"/>
  <c r="ZW54" i="8"/>
  <c r="ZI54" i="8"/>
  <c r="YT54" i="8"/>
  <c r="YF54" i="8"/>
  <c r="XR54" i="8"/>
  <c r="XD54" i="8"/>
  <c r="WP54" i="8"/>
  <c r="WA54" i="8"/>
  <c r="VM54" i="8"/>
  <c r="UY54" i="8"/>
  <c r="UK54" i="8"/>
  <c r="TV54" i="8"/>
  <c r="ANA54" i="8"/>
  <c r="ALY54" i="8"/>
  <c r="ALA54" i="8"/>
  <c r="AKH54" i="8"/>
  <c r="AJN54" i="8"/>
  <c r="AIU54" i="8"/>
  <c r="AIA54" i="8"/>
  <c r="AHH54" i="8"/>
  <c r="AGM54" i="8"/>
  <c r="AFX54" i="8"/>
  <c r="AFI54" i="8"/>
  <c r="AET54" i="8"/>
  <c r="AEF54" i="8"/>
  <c r="ADR54" i="8"/>
  <c r="ADD54" i="8"/>
  <c r="ACP54" i="8"/>
  <c r="ACA54" i="8"/>
  <c r="ABM54" i="8"/>
  <c r="AAY54" i="8"/>
  <c r="AAJ54" i="8"/>
  <c r="ZV54" i="8"/>
  <c r="ZG54" i="8"/>
  <c r="YS54" i="8"/>
  <c r="YE54" i="8"/>
  <c r="XQ54" i="8"/>
  <c r="XC54" i="8"/>
  <c r="WO54" i="8"/>
  <c r="VZ54" i="8"/>
  <c r="VL54" i="8"/>
  <c r="UX54" i="8"/>
  <c r="UI54" i="8"/>
  <c r="TU54" i="8"/>
  <c r="AMW54" i="8"/>
  <c r="AEE54" i="8"/>
  <c r="XP54" i="8"/>
  <c r="TX54" i="8"/>
  <c r="ST54" i="8"/>
  <c r="RY54" i="8"/>
  <c r="RF54" i="8"/>
  <c r="QO54" i="8"/>
  <c r="PX54" i="8"/>
  <c r="PE54" i="8"/>
  <c r="ON54" i="8"/>
  <c r="NX54" i="8"/>
  <c r="NF54" i="8"/>
  <c r="MP54" i="8"/>
  <c r="LW54" i="8"/>
  <c r="LF54" i="8"/>
  <c r="KQ54" i="8"/>
  <c r="KA54" i="8"/>
  <c r="JL54" i="8"/>
  <c r="IW54" i="8"/>
  <c r="IG54" i="8"/>
  <c r="HQ54" i="8"/>
  <c r="HA54" i="8"/>
  <c r="GL54" i="8"/>
  <c r="FV54" i="8"/>
  <c r="FF54" i="8"/>
  <c r="EQ54" i="8"/>
  <c r="EA54" i="8"/>
  <c r="DL54" i="8"/>
  <c r="CW54" i="8"/>
  <c r="CH54" i="8"/>
  <c r="BQ54" i="8"/>
  <c r="BC54" i="8"/>
  <c r="AN54" i="8"/>
  <c r="Z54" i="8"/>
  <c r="L54" i="8"/>
  <c r="ALX54" i="8"/>
  <c r="ADQ54" i="8"/>
  <c r="XB54" i="8"/>
  <c r="TS54" i="8"/>
  <c r="SS54" i="8"/>
  <c r="RW54" i="8"/>
  <c r="RE54" i="8"/>
  <c r="QM54" i="8"/>
  <c r="PT54" i="8"/>
  <c r="PC54" i="8"/>
  <c r="OM54" i="8"/>
  <c r="NW54" i="8"/>
  <c r="NE54" i="8"/>
  <c r="MM54" i="8"/>
  <c r="LV54" i="8"/>
  <c r="LE54" i="8"/>
  <c r="KP54" i="8"/>
  <c r="JZ54" i="8"/>
  <c r="JK54" i="8"/>
  <c r="IV54" i="8"/>
  <c r="IE54" i="8"/>
  <c r="HO54" i="8"/>
  <c r="GZ54" i="8"/>
  <c r="GK54" i="8"/>
  <c r="FU54" i="8"/>
  <c r="FE54" i="8"/>
  <c r="EP54" i="8"/>
  <c r="DZ54" i="8"/>
  <c r="DK54" i="8"/>
  <c r="CV54" i="8"/>
  <c r="CE54" i="8"/>
  <c r="BP54" i="8"/>
  <c r="BA54" i="8"/>
  <c r="AM54" i="8"/>
  <c r="Y54" i="8"/>
  <c r="J54" i="8"/>
  <c r="AKZ54" i="8"/>
  <c r="ADC54" i="8"/>
  <c r="WQ54" i="8"/>
  <c r="TM54" i="8"/>
  <c r="SR54" i="8"/>
  <c r="RU54" i="8"/>
  <c r="RD54" i="8"/>
  <c r="QL54" i="8"/>
  <c r="PS54" i="8"/>
  <c r="PB54" i="8"/>
  <c r="OL54" i="8"/>
  <c r="NU54" i="8"/>
  <c r="ND54" i="8"/>
  <c r="ML54" i="8"/>
  <c r="LT54" i="8"/>
  <c r="LD54" i="8"/>
  <c r="KO54" i="8"/>
  <c r="JY54" i="8"/>
  <c r="JJ54" i="8"/>
  <c r="IT54" i="8"/>
  <c r="IC54" i="8"/>
  <c r="HN54" i="8"/>
  <c r="GY54" i="8"/>
  <c r="GI54" i="8"/>
  <c r="FS54" i="8"/>
  <c r="FD54" i="8"/>
  <c r="EO54" i="8"/>
  <c r="DY54" i="8"/>
  <c r="DJ54" i="8"/>
  <c r="CU54" i="8"/>
  <c r="CD54" i="8"/>
  <c r="BN54" i="8"/>
  <c r="AZ54" i="8"/>
  <c r="AL54" i="8"/>
  <c r="X54" i="8"/>
  <c r="I54" i="8"/>
  <c r="AKG54" i="8"/>
  <c r="ACO54" i="8"/>
  <c r="WM54" i="8"/>
  <c r="TL54" i="8"/>
  <c r="SQ54" i="8"/>
  <c r="RT54" i="8"/>
  <c r="RC54" i="8"/>
  <c r="QH54" i="8"/>
  <c r="PR54" i="8"/>
  <c r="PA54" i="8"/>
  <c r="OK54" i="8"/>
  <c r="NS54" i="8"/>
  <c r="NA54" i="8"/>
  <c r="MK54" i="8"/>
  <c r="LS54" i="8"/>
  <c r="LC54" i="8"/>
  <c r="KM54" i="8"/>
  <c r="JX54" i="8"/>
  <c r="JI54" i="8"/>
  <c r="IQ54" i="8"/>
  <c r="IB54" i="8"/>
  <c r="HM54" i="8"/>
  <c r="GX54" i="8"/>
  <c r="GH54" i="8"/>
  <c r="FR54" i="8"/>
  <c r="FC54" i="8"/>
  <c r="EM54" i="8"/>
  <c r="DX54" i="8"/>
  <c r="DI54" i="8"/>
  <c r="CS54" i="8"/>
  <c r="CB54" i="8"/>
  <c r="BM54" i="8"/>
  <c r="AY54" i="8"/>
  <c r="AK54" i="8"/>
  <c r="V54" i="8"/>
  <c r="H54" i="8"/>
  <c r="AJM54" i="8"/>
  <c r="ABZ54" i="8"/>
  <c r="WC54" i="8"/>
  <c r="TK54" i="8"/>
  <c r="SM54" i="8"/>
  <c r="RS54" i="8"/>
  <c r="RB54" i="8"/>
  <c r="QG54" i="8"/>
  <c r="PQ54" i="8"/>
  <c r="OZ54" i="8"/>
  <c r="OJ54" i="8"/>
  <c r="NR54" i="8"/>
  <c r="MZ54" i="8"/>
  <c r="MI54" i="8"/>
  <c r="LR54" i="8"/>
  <c r="LB54" i="8"/>
  <c r="KL54" i="8"/>
  <c r="JW54" i="8"/>
  <c r="JF54" i="8"/>
  <c r="IP54" i="8"/>
  <c r="IA54" i="8"/>
  <c r="HL54" i="8"/>
  <c r="GW54" i="8"/>
  <c r="GF54" i="8"/>
  <c r="FQ54" i="8"/>
  <c r="FB54" i="8"/>
  <c r="EL54" i="8"/>
  <c r="DW54" i="8"/>
  <c r="DH54" i="8"/>
  <c r="CP54" i="8"/>
  <c r="CA54" i="8"/>
  <c r="BL54" i="8"/>
  <c r="AX54" i="8"/>
  <c r="AJ54" i="8"/>
  <c r="U54" i="8"/>
  <c r="G54" i="8"/>
  <c r="AIS54" i="8"/>
  <c r="ABL54" i="8"/>
  <c r="VY54" i="8"/>
  <c r="TI54" i="8"/>
  <c r="SK54" i="8"/>
  <c r="RR54" i="8"/>
  <c r="RA54" i="8"/>
  <c r="QF54" i="8"/>
  <c r="PO54" i="8"/>
  <c r="OY54" i="8"/>
  <c r="OH54" i="8"/>
  <c r="NO54" i="8"/>
  <c r="MY54" i="8"/>
  <c r="MG54" i="8"/>
  <c r="LQ54" i="8"/>
  <c r="LA54" i="8"/>
  <c r="KK54" i="8"/>
  <c r="JT54" i="8"/>
  <c r="JE54" i="8"/>
  <c r="IO54" i="8"/>
  <c r="HZ54" i="8"/>
  <c r="HK54" i="8"/>
  <c r="GU54" i="8"/>
  <c r="GE54" i="8"/>
  <c r="FP54" i="8"/>
  <c r="FA54" i="8"/>
  <c r="EK54" i="8"/>
  <c r="DV54" i="8"/>
  <c r="DE54" i="8"/>
  <c r="CO54" i="8"/>
  <c r="BZ54" i="8"/>
  <c r="BK54" i="8"/>
  <c r="AW54" i="8"/>
  <c r="AH54" i="8"/>
  <c r="T54" i="8"/>
  <c r="F54" i="8"/>
  <c r="AHZ54" i="8"/>
  <c r="AAW54" i="8"/>
  <c r="VN54" i="8"/>
  <c r="TG54" i="8"/>
  <c r="SH54" i="8"/>
  <c r="RQ54" i="8"/>
  <c r="QU54" i="8"/>
  <c r="QE54" i="8"/>
  <c r="PN54" i="8"/>
  <c r="OX54" i="8"/>
  <c r="OG54" i="8"/>
  <c r="NN54" i="8"/>
  <c r="MX54" i="8"/>
  <c r="MF54" i="8"/>
  <c r="LP54" i="8"/>
  <c r="KY54" i="8"/>
  <c r="KI54" i="8"/>
  <c r="JS54" i="8"/>
  <c r="JC54" i="8"/>
  <c r="IN54" i="8"/>
  <c r="HY54" i="8"/>
  <c r="HJ54" i="8"/>
  <c r="GS54" i="8"/>
  <c r="GD54" i="8"/>
  <c r="FO54" i="8"/>
  <c r="EY54" i="8"/>
  <c r="EJ54" i="8"/>
  <c r="DS54" i="8"/>
  <c r="DC54" i="8"/>
  <c r="CN54" i="8"/>
  <c r="BY54" i="8"/>
  <c r="BJ54" i="8"/>
  <c r="AV54" i="8"/>
  <c r="AG54" i="8"/>
  <c r="S54" i="8"/>
  <c r="E54" i="8"/>
  <c r="AHE54" i="8"/>
  <c r="AAI54" i="8"/>
  <c r="VK54" i="8"/>
  <c r="TF54" i="8"/>
  <c r="SG54" i="8"/>
  <c r="RP54" i="8"/>
  <c r="QT54" i="8"/>
  <c r="QD54" i="8"/>
  <c r="PM54" i="8"/>
  <c r="OW54" i="8"/>
  <c r="OC54" i="8"/>
  <c r="NM54" i="8"/>
  <c r="MW54" i="8"/>
  <c r="ME54" i="8"/>
  <c r="LO54" i="8"/>
  <c r="KW54" i="8"/>
  <c r="KG54" i="8"/>
  <c r="JR54" i="8"/>
  <c r="JB54" i="8"/>
  <c r="IM54" i="8"/>
  <c r="HX54" i="8"/>
  <c r="HI54" i="8"/>
  <c r="GR54" i="8"/>
  <c r="GC54" i="8"/>
  <c r="FN54" i="8"/>
  <c r="EX54" i="8"/>
  <c r="EH54" i="8"/>
  <c r="DR54" i="8"/>
  <c r="DB54" i="8"/>
  <c r="CM54" i="8"/>
  <c r="BX54" i="8"/>
  <c r="BI54" i="8"/>
  <c r="AT54" i="8"/>
  <c r="AF54" i="8"/>
  <c r="R54" i="8"/>
  <c r="AGL54" i="8"/>
  <c r="ZU54" i="8"/>
  <c r="UZ54" i="8"/>
  <c r="TE54" i="8"/>
  <c r="SF54" i="8"/>
  <c r="RO54" i="8"/>
  <c r="QS54" i="8"/>
  <c r="QC54" i="8"/>
  <c r="PL54" i="8"/>
  <c r="OU54" i="8"/>
  <c r="OB54" i="8"/>
  <c r="NL54" i="8"/>
  <c r="MT54" i="8"/>
  <c r="MD54" i="8"/>
  <c r="LN54" i="8"/>
  <c r="KV54" i="8"/>
  <c r="KF54" i="8"/>
  <c r="JQ54" i="8"/>
  <c r="JA54" i="8"/>
  <c r="IL54" i="8"/>
  <c r="HW54" i="8"/>
  <c r="HF54" i="8"/>
  <c r="GQ54" i="8"/>
  <c r="GB54" i="8"/>
  <c r="FM54" i="8"/>
  <c r="EV54" i="8"/>
  <c r="EF54" i="8"/>
  <c r="DQ54" i="8"/>
  <c r="DA54" i="8"/>
  <c r="CL54" i="8"/>
  <c r="BW54" i="8"/>
  <c r="BH54" i="8"/>
  <c r="AS54" i="8"/>
  <c r="AE54" i="8"/>
  <c r="Q54" i="8"/>
  <c r="AFW54" i="8"/>
  <c r="ZF54" i="8"/>
  <c r="UV54" i="8"/>
  <c r="SY54" i="8"/>
  <c r="SE54" i="8"/>
  <c r="RJ54" i="8"/>
  <c r="QR54" i="8"/>
  <c r="QA54" i="8"/>
  <c r="PK54" i="8"/>
  <c r="OQ54" i="8"/>
  <c r="OA54" i="8"/>
  <c r="NK54" i="8"/>
  <c r="MS54" i="8"/>
  <c r="MC54" i="8"/>
  <c r="LJ54" i="8"/>
  <c r="KT54" i="8"/>
  <c r="KE54" i="8"/>
  <c r="JO54" i="8"/>
  <c r="IZ54" i="8"/>
  <c r="IK54" i="8"/>
  <c r="HV54" i="8"/>
  <c r="HE54" i="8"/>
  <c r="GP54" i="8"/>
  <c r="GA54" i="8"/>
  <c r="FJ54" i="8"/>
  <c r="EU54" i="8"/>
  <c r="EE54" i="8"/>
  <c r="DO54" i="8"/>
  <c r="CZ54" i="8"/>
  <c r="CK54" i="8"/>
  <c r="BV54" i="8"/>
  <c r="BF54" i="8"/>
  <c r="AR54" i="8"/>
  <c r="AD54" i="8"/>
  <c r="P54" i="8"/>
  <c r="AFG54" i="8"/>
  <c r="YR54" i="8"/>
  <c r="UL54" i="8"/>
  <c r="SX54" i="8"/>
  <c r="SD54" i="8"/>
  <c r="RH54" i="8"/>
  <c r="QQ54" i="8"/>
  <c r="PZ54" i="8"/>
  <c r="PJ54" i="8"/>
  <c r="OP54" i="8"/>
  <c r="NZ54" i="8"/>
  <c r="NJ54" i="8"/>
  <c r="MR54" i="8"/>
  <c r="MB54" i="8"/>
  <c r="LI54" i="8"/>
  <c r="KS54" i="8"/>
  <c r="KD54" i="8"/>
  <c r="JN54" i="8"/>
  <c r="IY54" i="8"/>
  <c r="IJ54" i="8"/>
  <c r="HS54" i="8"/>
  <c r="HD54" i="8"/>
  <c r="GO54" i="8"/>
  <c r="FY54" i="8"/>
  <c r="FI54" i="8"/>
  <c r="ES54" i="8"/>
  <c r="ED54" i="8"/>
  <c r="DN54" i="8"/>
  <c r="CY54" i="8"/>
  <c r="CJ54" i="8"/>
  <c r="BU54" i="8"/>
  <c r="BE54" i="8"/>
  <c r="AQ54" i="8"/>
  <c r="AC54" i="8"/>
  <c r="N54" i="8"/>
  <c r="AES54" i="8"/>
  <c r="MQ54" i="8"/>
  <c r="FH54" i="8"/>
  <c r="YD54" i="8"/>
  <c r="LY54" i="8"/>
  <c r="ER54" i="8"/>
  <c r="UH54" i="8"/>
  <c r="LG54" i="8"/>
  <c r="EC54" i="8"/>
  <c r="SU54" i="8"/>
  <c r="KR54" i="8"/>
  <c r="DM54" i="8"/>
  <c r="SC54" i="8"/>
  <c r="KC54" i="8"/>
  <c r="CX54" i="8"/>
  <c r="RG54" i="8"/>
  <c r="JM54" i="8"/>
  <c r="CI54" i="8"/>
  <c r="QP54" i="8"/>
  <c r="IX54" i="8"/>
  <c r="BR54" i="8"/>
  <c r="PY54" i="8"/>
  <c r="II54" i="8"/>
  <c r="BD54" i="8"/>
  <c r="PF54" i="8"/>
  <c r="HR54" i="8"/>
  <c r="AP54" i="8"/>
  <c r="OO54" i="8"/>
  <c r="HC54" i="8"/>
  <c r="AA54" i="8"/>
  <c r="NY54" i="8"/>
  <c r="GM54" i="8"/>
  <c r="M54" i="8"/>
  <c r="NG54" i="8"/>
  <c r="FW54" i="8"/>
  <c r="M27" i="8"/>
  <c r="Z27" i="8"/>
  <c r="AM27" i="8"/>
  <c r="AZ27" i="8"/>
  <c r="BM27" i="8"/>
  <c r="CA27" i="8"/>
  <c r="CN27" i="8"/>
  <c r="DA27" i="8"/>
  <c r="DN27" i="8"/>
  <c r="EA27" i="8"/>
  <c r="EN27" i="8"/>
  <c r="FA27" i="8"/>
  <c r="FN27" i="8"/>
  <c r="GA27" i="8"/>
  <c r="GN27" i="8"/>
  <c r="HA27" i="8"/>
  <c r="HO27" i="8"/>
  <c r="IB27" i="8"/>
  <c r="IO27" i="8"/>
  <c r="JB27" i="8"/>
  <c r="JO27" i="8"/>
  <c r="KB27" i="8"/>
  <c r="KO27" i="8"/>
  <c r="LB27" i="8"/>
  <c r="LO27" i="8"/>
  <c r="MB27" i="8"/>
  <c r="MO27" i="8"/>
  <c r="NC27" i="8"/>
  <c r="NP27" i="8"/>
  <c r="OC27" i="8"/>
  <c r="OQ27" i="8"/>
  <c r="PF27" i="8"/>
  <c r="PU27" i="8"/>
  <c r="QM27" i="8"/>
  <c r="RB27" i="8"/>
  <c r="RQ27" i="8"/>
  <c r="SI27" i="8"/>
  <c r="SX27" i="8"/>
  <c r="TM27" i="8"/>
  <c r="UE27" i="8"/>
  <c r="UT27" i="8"/>
  <c r="VI27" i="8"/>
  <c r="WA27" i="8"/>
  <c r="WP27" i="8"/>
  <c r="XE27" i="8"/>
  <c r="XW27" i="8"/>
  <c r="YL27" i="8"/>
  <c r="ZA27" i="8"/>
  <c r="ZS27" i="8"/>
  <c r="AAH27" i="8"/>
  <c r="AAW27" i="8"/>
  <c r="ABO27" i="8"/>
  <c r="ACE27" i="8"/>
  <c r="ACY27" i="8"/>
  <c r="ADO27" i="8"/>
  <c r="AEI27" i="8"/>
  <c r="AEY27" i="8"/>
  <c r="AFS27" i="8"/>
  <c r="AGI27" i="8"/>
  <c r="AHE27" i="8"/>
  <c r="AII27" i="8"/>
  <c r="AJS27" i="8"/>
  <c r="EN40" i="8"/>
  <c r="KS40" i="8"/>
  <c r="RI40" i="8"/>
  <c r="YG40" i="8"/>
  <c r="AJG27" i="8"/>
  <c r="AOL40" i="8"/>
  <c r="ANZ40" i="8"/>
  <c r="AON40" i="8"/>
  <c r="AOA40" i="8"/>
  <c r="ANN40" i="8"/>
  <c r="ANB40" i="8"/>
  <c r="AMP40" i="8"/>
  <c r="AMD40" i="8"/>
  <c r="ALR40" i="8"/>
  <c r="ALF40" i="8"/>
  <c r="AKT40" i="8"/>
  <c r="AKH40" i="8"/>
  <c r="AJV40" i="8"/>
  <c r="AJJ40" i="8"/>
  <c r="AIX40" i="8"/>
  <c r="AIL40" i="8"/>
  <c r="AHZ40" i="8"/>
  <c r="AHN40" i="8"/>
  <c r="AHB40" i="8"/>
  <c r="AGP40" i="8"/>
  <c r="AGD40" i="8"/>
  <c r="AFR40" i="8"/>
  <c r="AFF40" i="8"/>
  <c r="AET40" i="8"/>
  <c r="AEH40" i="8"/>
  <c r="ADV40" i="8"/>
  <c r="ADJ40" i="8"/>
  <c r="ACX40" i="8"/>
  <c r="ACL40" i="8"/>
  <c r="ABZ40" i="8"/>
  <c r="ABN40" i="8"/>
  <c r="ABB40" i="8"/>
  <c r="AAP40" i="8"/>
  <c r="AAD40" i="8"/>
  <c r="ZR40" i="8"/>
  <c r="ZF40" i="8"/>
  <c r="YT40" i="8"/>
  <c r="YH40" i="8"/>
  <c r="XV40" i="8"/>
  <c r="XJ40" i="8"/>
  <c r="WX40" i="8"/>
  <c r="WL40" i="8"/>
  <c r="VZ40" i="8"/>
  <c r="VN40" i="8"/>
  <c r="VB40" i="8"/>
  <c r="UP40" i="8"/>
  <c r="UD40" i="8"/>
  <c r="TR40" i="8"/>
  <c r="TF40" i="8"/>
  <c r="ST40" i="8"/>
  <c r="SH40" i="8"/>
  <c r="RV40" i="8"/>
  <c r="RJ40" i="8"/>
  <c r="QX40" i="8"/>
  <c r="QL40" i="8"/>
  <c r="PZ40" i="8"/>
  <c r="PN40" i="8"/>
  <c r="PB40" i="8"/>
  <c r="OP40" i="8"/>
  <c r="OD40" i="8"/>
  <c r="NR40" i="8"/>
  <c r="NF40" i="8"/>
  <c r="MT40" i="8"/>
  <c r="MH40" i="8"/>
  <c r="LV40" i="8"/>
  <c r="LJ40" i="8"/>
  <c r="KX40" i="8"/>
  <c r="KL40" i="8"/>
  <c r="JZ40" i="8"/>
  <c r="JN40" i="8"/>
  <c r="JB40" i="8"/>
  <c r="IP40" i="8"/>
  <c r="ID40" i="8"/>
  <c r="HR40" i="8"/>
  <c r="HF40" i="8"/>
  <c r="GT40" i="8"/>
  <c r="GH40" i="8"/>
  <c r="FV40" i="8"/>
  <c r="FJ40" i="8"/>
  <c r="AOM40" i="8"/>
  <c r="ANY40" i="8"/>
  <c r="ANM40" i="8"/>
  <c r="ANA40" i="8"/>
  <c r="AMO40" i="8"/>
  <c r="AMC40" i="8"/>
  <c r="ALQ40" i="8"/>
  <c r="ALE40" i="8"/>
  <c r="AKS40" i="8"/>
  <c r="AKG40" i="8"/>
  <c r="AJU40" i="8"/>
  <c r="AJI40" i="8"/>
  <c r="AIW40" i="8"/>
  <c r="AIK40" i="8"/>
  <c r="AHY40" i="8"/>
  <c r="AHM40" i="8"/>
  <c r="AHA40" i="8"/>
  <c r="AGO40" i="8"/>
  <c r="AGC40" i="8"/>
  <c r="AFQ40" i="8"/>
  <c r="AFE40" i="8"/>
  <c r="AES40" i="8"/>
  <c r="AEG40" i="8"/>
  <c r="ADU40" i="8"/>
  <c r="ADI40" i="8"/>
  <c r="ACW40" i="8"/>
  <c r="ACK40" i="8"/>
  <c r="ABY40" i="8"/>
  <c r="AOK40" i="8"/>
  <c r="ANX40" i="8"/>
  <c r="ANL40" i="8"/>
  <c r="AMZ40" i="8"/>
  <c r="AMN40" i="8"/>
  <c r="AMB40" i="8"/>
  <c r="ALP40" i="8"/>
  <c r="ALD40" i="8"/>
  <c r="AKR40" i="8"/>
  <c r="AKF40" i="8"/>
  <c r="AJT40" i="8"/>
  <c r="AJH40" i="8"/>
  <c r="AIV40" i="8"/>
  <c r="AOJ40" i="8"/>
  <c r="ANW40" i="8"/>
  <c r="ANK40" i="8"/>
  <c r="AMY40" i="8"/>
  <c r="AMM40" i="8"/>
  <c r="AMA40" i="8"/>
  <c r="ALO40" i="8"/>
  <c r="ALC40" i="8"/>
  <c r="AKQ40" i="8"/>
  <c r="AKE40" i="8"/>
  <c r="AJS40" i="8"/>
  <c r="AJG40" i="8"/>
  <c r="AIU40" i="8"/>
  <c r="AII40" i="8"/>
  <c r="AHW40" i="8"/>
  <c r="AHK40" i="8"/>
  <c r="AGY40" i="8"/>
  <c r="AOI40" i="8"/>
  <c r="ANV40" i="8"/>
  <c r="ANJ40" i="8"/>
  <c r="AMX40" i="8"/>
  <c r="AML40" i="8"/>
  <c r="ALZ40" i="8"/>
  <c r="ALN40" i="8"/>
  <c r="ALB40" i="8"/>
  <c r="AKP40" i="8"/>
  <c r="AKD40" i="8"/>
  <c r="AJR40" i="8"/>
  <c r="AJF40" i="8"/>
  <c r="AIT40" i="8"/>
  <c r="AIH40" i="8"/>
  <c r="AHV40" i="8"/>
  <c r="AHJ40" i="8"/>
  <c r="AGX40" i="8"/>
  <c r="AGL40" i="8"/>
  <c r="AFZ40" i="8"/>
  <c r="AFN40" i="8"/>
  <c r="AOH40" i="8"/>
  <c r="ANU40" i="8"/>
  <c r="ANI40" i="8"/>
  <c r="AMW40" i="8"/>
  <c r="AMK40" i="8"/>
  <c r="ALY40" i="8"/>
  <c r="ALM40" i="8"/>
  <c r="ALA40" i="8"/>
  <c r="AKO40" i="8"/>
  <c r="AKC40" i="8"/>
  <c r="AJQ40" i="8"/>
  <c r="AJE40" i="8"/>
  <c r="AIS40" i="8"/>
  <c r="AOG40" i="8"/>
  <c r="ANT40" i="8"/>
  <c r="ANH40" i="8"/>
  <c r="AMV40" i="8"/>
  <c r="AMJ40" i="8"/>
  <c r="ALX40" i="8"/>
  <c r="ALL40" i="8"/>
  <c r="AKZ40" i="8"/>
  <c r="AKN40" i="8"/>
  <c r="AKB40" i="8"/>
  <c r="AJP40" i="8"/>
  <c r="AJD40" i="8"/>
  <c r="AIR40" i="8"/>
  <c r="AIF40" i="8"/>
  <c r="AHT40" i="8"/>
  <c r="AHH40" i="8"/>
  <c r="AOF40" i="8"/>
  <c r="ANS40" i="8"/>
  <c r="ANG40" i="8"/>
  <c r="AMU40" i="8"/>
  <c r="AMI40" i="8"/>
  <c r="ALW40" i="8"/>
  <c r="ALK40" i="8"/>
  <c r="AKY40" i="8"/>
  <c r="AKM40" i="8"/>
  <c r="AKA40" i="8"/>
  <c r="AJO40" i="8"/>
  <c r="AJC40" i="8"/>
  <c r="AOE40" i="8"/>
  <c r="ANR40" i="8"/>
  <c r="ANF40" i="8"/>
  <c r="AMT40" i="8"/>
  <c r="AMH40" i="8"/>
  <c r="ALV40" i="8"/>
  <c r="ALJ40" i="8"/>
  <c r="AKX40" i="8"/>
  <c r="AKL40" i="8"/>
  <c r="AJZ40" i="8"/>
  <c r="AJN40" i="8"/>
  <c r="AJB40" i="8"/>
  <c r="AIP40" i="8"/>
  <c r="AID40" i="8"/>
  <c r="AOQ40" i="8"/>
  <c r="AOD40" i="8"/>
  <c r="ANQ40" i="8"/>
  <c r="ANE40" i="8"/>
  <c r="AMS40" i="8"/>
  <c r="AMG40" i="8"/>
  <c r="ALU40" i="8"/>
  <c r="ALI40" i="8"/>
  <c r="AKW40" i="8"/>
  <c r="AKK40" i="8"/>
  <c r="AJY40" i="8"/>
  <c r="AJM40" i="8"/>
  <c r="AJA40" i="8"/>
  <c r="AIO40" i="8"/>
  <c r="AIC40" i="8"/>
  <c r="AHQ40" i="8"/>
  <c r="AHE40" i="8"/>
  <c r="AGS40" i="8"/>
  <c r="AGG40" i="8"/>
  <c r="AFU40" i="8"/>
  <c r="AFI40" i="8"/>
  <c r="AEW40" i="8"/>
  <c r="AEK40" i="8"/>
  <c r="ADY40" i="8"/>
  <c r="ADM40" i="8"/>
  <c r="ADA40" i="8"/>
  <c r="ACO40" i="8"/>
  <c r="ACC40" i="8"/>
  <c r="ABQ40" i="8"/>
  <c r="ABE40" i="8"/>
  <c r="AAS40" i="8"/>
  <c r="AAG40" i="8"/>
  <c r="ZU40" i="8"/>
  <c r="ZI40" i="8"/>
  <c r="YW40" i="8"/>
  <c r="YK40" i="8"/>
  <c r="XY40" i="8"/>
  <c r="XM40" i="8"/>
  <c r="XA40" i="8"/>
  <c r="WO40" i="8"/>
  <c r="WC40" i="8"/>
  <c r="VQ40" i="8"/>
  <c r="AOP40" i="8"/>
  <c r="AOC40" i="8"/>
  <c r="ANP40" i="8"/>
  <c r="AND40" i="8"/>
  <c r="AMR40" i="8"/>
  <c r="AMF40" i="8"/>
  <c r="ALT40" i="8"/>
  <c r="ALH40" i="8"/>
  <c r="AKV40" i="8"/>
  <c r="AKJ40" i="8"/>
  <c r="AJX40" i="8"/>
  <c r="AJL40" i="8"/>
  <c r="AIZ40" i="8"/>
  <c r="AIN40" i="8"/>
  <c r="AIB40" i="8"/>
  <c r="AHP40" i="8"/>
  <c r="AHD40" i="8"/>
  <c r="AGR40" i="8"/>
  <c r="AGF40" i="8"/>
  <c r="AFT40" i="8"/>
  <c r="AFH40" i="8"/>
  <c r="AEV40" i="8"/>
  <c r="AEJ40" i="8"/>
  <c r="ADX40" i="8"/>
  <c r="ADL40" i="8"/>
  <c r="ACZ40" i="8"/>
  <c r="ACN40" i="8"/>
  <c r="ACB40" i="8"/>
  <c r="ABP40" i="8"/>
  <c r="ABD40" i="8"/>
  <c r="AAR40" i="8"/>
  <c r="AAF40" i="8"/>
  <c r="ZT40" i="8"/>
  <c r="ZH40" i="8"/>
  <c r="YV40" i="8"/>
  <c r="YJ40" i="8"/>
  <c r="XX40" i="8"/>
  <c r="XL40" i="8"/>
  <c r="WZ40" i="8"/>
  <c r="WN40" i="8"/>
  <c r="WB40" i="8"/>
  <c r="VP40" i="8"/>
  <c r="VD40" i="8"/>
  <c r="UR40" i="8"/>
  <c r="UF40" i="8"/>
  <c r="TT40" i="8"/>
  <c r="TH40" i="8"/>
  <c r="SV40" i="8"/>
  <c r="SJ40" i="8"/>
  <c r="RX40" i="8"/>
  <c r="RL40" i="8"/>
  <c r="QZ40" i="8"/>
  <c r="QN40" i="8"/>
  <c r="QB40" i="8"/>
  <c r="PP40" i="8"/>
  <c r="PD40" i="8"/>
  <c r="OR40" i="8"/>
  <c r="OF40" i="8"/>
  <c r="NT40" i="8"/>
  <c r="NH40" i="8"/>
  <c r="MV40" i="8"/>
  <c r="MJ40" i="8"/>
  <c r="LX40" i="8"/>
  <c r="LL40" i="8"/>
  <c r="KZ40" i="8"/>
  <c r="KN40" i="8"/>
  <c r="KB40" i="8"/>
  <c r="JP40" i="8"/>
  <c r="JD40" i="8"/>
  <c r="IR40" i="8"/>
  <c r="AMQ40" i="8"/>
  <c r="AIG40" i="8"/>
  <c r="AHC40" i="8"/>
  <c r="AGH40" i="8"/>
  <c r="AFL40" i="8"/>
  <c r="AER40" i="8"/>
  <c r="AEB40" i="8"/>
  <c r="ADH40" i="8"/>
  <c r="ACR40" i="8"/>
  <c r="ABX40" i="8"/>
  <c r="ABI40" i="8"/>
  <c r="AAT40" i="8"/>
  <c r="AAB40" i="8"/>
  <c r="ZM40" i="8"/>
  <c r="YX40" i="8"/>
  <c r="YF40" i="8"/>
  <c r="XQ40" i="8"/>
  <c r="XB40" i="8"/>
  <c r="WJ40" i="8"/>
  <c r="VU40" i="8"/>
  <c r="VF40" i="8"/>
  <c r="UQ40" i="8"/>
  <c r="UB40" i="8"/>
  <c r="TN40" i="8"/>
  <c r="SZ40" i="8"/>
  <c r="SL40" i="8"/>
  <c r="RW40" i="8"/>
  <c r="RH40" i="8"/>
  <c r="QT40" i="8"/>
  <c r="QF40" i="8"/>
  <c r="PR40" i="8"/>
  <c r="PC40" i="8"/>
  <c r="ON40" i="8"/>
  <c r="NZ40" i="8"/>
  <c r="NL40" i="8"/>
  <c r="MX40" i="8"/>
  <c r="MI40" i="8"/>
  <c r="LT40" i="8"/>
  <c r="LF40" i="8"/>
  <c r="KR40" i="8"/>
  <c r="KD40" i="8"/>
  <c r="JO40" i="8"/>
  <c r="IZ40" i="8"/>
  <c r="IL40" i="8"/>
  <c r="HY40" i="8"/>
  <c r="HL40" i="8"/>
  <c r="GY40" i="8"/>
  <c r="GL40" i="8"/>
  <c r="FY40" i="8"/>
  <c r="FL40" i="8"/>
  <c r="EY40" i="8"/>
  <c r="EM40" i="8"/>
  <c r="EA40" i="8"/>
  <c r="DO40" i="8"/>
  <c r="DC40" i="8"/>
  <c r="CQ40" i="8"/>
  <c r="CE40" i="8"/>
  <c r="BS40" i="8"/>
  <c r="BG40" i="8"/>
  <c r="AU40" i="8"/>
  <c r="AI40" i="8"/>
  <c r="W40" i="8"/>
  <c r="K40" i="8"/>
  <c r="AME40" i="8"/>
  <c r="AIE40" i="8"/>
  <c r="AGZ40" i="8"/>
  <c r="AGE40" i="8"/>
  <c r="AFK40" i="8"/>
  <c r="AEQ40" i="8"/>
  <c r="AEA40" i="8"/>
  <c r="ADG40" i="8"/>
  <c r="ACQ40" i="8"/>
  <c r="ABW40" i="8"/>
  <c r="ABH40" i="8"/>
  <c r="AAQ40" i="8"/>
  <c r="AAA40" i="8"/>
  <c r="ZL40" i="8"/>
  <c r="YU40" i="8"/>
  <c r="YE40" i="8"/>
  <c r="XP40" i="8"/>
  <c r="WY40" i="8"/>
  <c r="WI40" i="8"/>
  <c r="VT40" i="8"/>
  <c r="VE40" i="8"/>
  <c r="UO40" i="8"/>
  <c r="UA40" i="8"/>
  <c r="TM40" i="8"/>
  <c r="SY40" i="8"/>
  <c r="SK40" i="8"/>
  <c r="RU40" i="8"/>
  <c r="RG40" i="8"/>
  <c r="QS40" i="8"/>
  <c r="QE40" i="8"/>
  <c r="PQ40" i="8"/>
  <c r="PA40" i="8"/>
  <c r="OM40" i="8"/>
  <c r="NY40" i="8"/>
  <c r="NK40" i="8"/>
  <c r="MW40" i="8"/>
  <c r="MG40" i="8"/>
  <c r="LS40" i="8"/>
  <c r="LE40" i="8"/>
  <c r="KQ40" i="8"/>
  <c r="KC40" i="8"/>
  <c r="JM40" i="8"/>
  <c r="IY40" i="8"/>
  <c r="IK40" i="8"/>
  <c r="HX40" i="8"/>
  <c r="HK40" i="8"/>
  <c r="GX40" i="8"/>
  <c r="GK40" i="8"/>
  <c r="FX40" i="8"/>
  <c r="FK40" i="8"/>
  <c r="EX40" i="8"/>
  <c r="EL40" i="8"/>
  <c r="DZ40" i="8"/>
  <c r="DN40" i="8"/>
  <c r="DB40" i="8"/>
  <c r="CP40" i="8"/>
  <c r="CD40" i="8"/>
  <c r="BR40" i="8"/>
  <c r="BF40" i="8"/>
  <c r="AT40" i="8"/>
  <c r="AH40" i="8"/>
  <c r="V40" i="8"/>
  <c r="J40" i="8"/>
  <c r="ALS40" i="8"/>
  <c r="AIA40" i="8"/>
  <c r="AGW40" i="8"/>
  <c r="AGB40" i="8"/>
  <c r="AFJ40" i="8"/>
  <c r="AEP40" i="8"/>
  <c r="ADZ40" i="8"/>
  <c r="ADF40" i="8"/>
  <c r="ACP40" i="8"/>
  <c r="ABV40" i="8"/>
  <c r="ABG40" i="8"/>
  <c r="AAO40" i="8"/>
  <c r="ZZ40" i="8"/>
  <c r="ZK40" i="8"/>
  <c r="YS40" i="8"/>
  <c r="YD40" i="8"/>
  <c r="XO40" i="8"/>
  <c r="WW40" i="8"/>
  <c r="WH40" i="8"/>
  <c r="VS40" i="8"/>
  <c r="VC40" i="8"/>
  <c r="UN40" i="8"/>
  <c r="TZ40" i="8"/>
  <c r="TL40" i="8"/>
  <c r="SX40" i="8"/>
  <c r="SI40" i="8"/>
  <c r="RT40" i="8"/>
  <c r="RF40" i="8"/>
  <c r="QR40" i="8"/>
  <c r="QD40" i="8"/>
  <c r="PO40" i="8"/>
  <c r="OZ40" i="8"/>
  <c r="OL40" i="8"/>
  <c r="NX40" i="8"/>
  <c r="NJ40" i="8"/>
  <c r="MU40" i="8"/>
  <c r="MF40" i="8"/>
  <c r="LR40" i="8"/>
  <c r="LD40" i="8"/>
  <c r="KP40" i="8"/>
  <c r="KA40" i="8"/>
  <c r="JL40" i="8"/>
  <c r="IX40" i="8"/>
  <c r="IJ40" i="8"/>
  <c r="HW40" i="8"/>
  <c r="HJ40" i="8"/>
  <c r="GW40" i="8"/>
  <c r="GJ40" i="8"/>
  <c r="FW40" i="8"/>
  <c r="FI40" i="8"/>
  <c r="EW40" i="8"/>
  <c r="EK40" i="8"/>
  <c r="DY40" i="8"/>
  <c r="DM40" i="8"/>
  <c r="DA40" i="8"/>
  <c r="CO40" i="8"/>
  <c r="CC40" i="8"/>
  <c r="BQ40" i="8"/>
  <c r="BE40" i="8"/>
  <c r="AS40" i="8"/>
  <c r="AG40" i="8"/>
  <c r="U40" i="8"/>
  <c r="I40" i="8"/>
  <c r="ALG40" i="8"/>
  <c r="AHX40" i="8"/>
  <c r="AGV40" i="8"/>
  <c r="AGA40" i="8"/>
  <c r="AFG40" i="8"/>
  <c r="AEO40" i="8"/>
  <c r="ADW40" i="8"/>
  <c r="ADE40" i="8"/>
  <c r="ACM40" i="8"/>
  <c r="ABU40" i="8"/>
  <c r="ABF40" i="8"/>
  <c r="AAN40" i="8"/>
  <c r="ZY40" i="8"/>
  <c r="ZJ40" i="8"/>
  <c r="YR40" i="8"/>
  <c r="YC40" i="8"/>
  <c r="XN40" i="8"/>
  <c r="WV40" i="8"/>
  <c r="WG40" i="8"/>
  <c r="VR40" i="8"/>
  <c r="VA40" i="8"/>
  <c r="UM40" i="8"/>
  <c r="TY40" i="8"/>
  <c r="TK40" i="8"/>
  <c r="SW40" i="8"/>
  <c r="SG40" i="8"/>
  <c r="RS40" i="8"/>
  <c r="RE40" i="8"/>
  <c r="QQ40" i="8"/>
  <c r="QC40" i="8"/>
  <c r="PM40" i="8"/>
  <c r="OY40" i="8"/>
  <c r="OK40" i="8"/>
  <c r="NW40" i="8"/>
  <c r="NI40" i="8"/>
  <c r="MS40" i="8"/>
  <c r="ME40" i="8"/>
  <c r="LQ40" i="8"/>
  <c r="LC40" i="8"/>
  <c r="KO40" i="8"/>
  <c r="JY40" i="8"/>
  <c r="JK40" i="8"/>
  <c r="IW40" i="8"/>
  <c r="II40" i="8"/>
  <c r="HV40" i="8"/>
  <c r="HI40" i="8"/>
  <c r="GV40" i="8"/>
  <c r="GI40" i="8"/>
  <c r="FU40" i="8"/>
  <c r="FH40" i="8"/>
  <c r="EV40" i="8"/>
  <c r="EJ40" i="8"/>
  <c r="DX40" i="8"/>
  <c r="DL40" i="8"/>
  <c r="CZ40" i="8"/>
  <c r="CN40" i="8"/>
  <c r="CB40" i="8"/>
  <c r="BP40" i="8"/>
  <c r="BD40" i="8"/>
  <c r="AR40" i="8"/>
  <c r="AF40" i="8"/>
  <c r="T40" i="8"/>
  <c r="H40" i="8"/>
  <c r="AKU40" i="8"/>
  <c r="AHU40" i="8"/>
  <c r="AGU40" i="8"/>
  <c r="AFY40" i="8"/>
  <c r="AFD40" i="8"/>
  <c r="AEN40" i="8"/>
  <c r="ADT40" i="8"/>
  <c r="ADD40" i="8"/>
  <c r="ACJ40" i="8"/>
  <c r="ABT40" i="8"/>
  <c r="ABC40" i="8"/>
  <c r="AAM40" i="8"/>
  <c r="ZX40" i="8"/>
  <c r="ZG40" i="8"/>
  <c r="YQ40" i="8"/>
  <c r="YB40" i="8"/>
  <c r="XK40" i="8"/>
  <c r="WU40" i="8"/>
  <c r="WF40" i="8"/>
  <c r="VO40" i="8"/>
  <c r="UZ40" i="8"/>
  <c r="UL40" i="8"/>
  <c r="TX40" i="8"/>
  <c r="TJ40" i="8"/>
  <c r="SU40" i="8"/>
  <c r="SF40" i="8"/>
  <c r="RR40" i="8"/>
  <c r="RD40" i="8"/>
  <c r="QP40" i="8"/>
  <c r="QA40" i="8"/>
  <c r="PL40" i="8"/>
  <c r="OX40" i="8"/>
  <c r="OJ40" i="8"/>
  <c r="NV40" i="8"/>
  <c r="NG40" i="8"/>
  <c r="MR40" i="8"/>
  <c r="MD40" i="8"/>
  <c r="LP40" i="8"/>
  <c r="LB40" i="8"/>
  <c r="KM40" i="8"/>
  <c r="JX40" i="8"/>
  <c r="JJ40" i="8"/>
  <c r="IV40" i="8"/>
  <c r="IH40" i="8"/>
  <c r="HU40" i="8"/>
  <c r="HH40" i="8"/>
  <c r="GU40" i="8"/>
  <c r="GG40" i="8"/>
  <c r="FT40" i="8"/>
  <c r="FG40" i="8"/>
  <c r="EU40" i="8"/>
  <c r="EI40" i="8"/>
  <c r="DW40" i="8"/>
  <c r="DK40" i="8"/>
  <c r="CY40" i="8"/>
  <c r="CM40" i="8"/>
  <c r="CA40" i="8"/>
  <c r="BO40" i="8"/>
  <c r="BC40" i="8"/>
  <c r="AQ40" i="8"/>
  <c r="AE40" i="8"/>
  <c r="S40" i="8"/>
  <c r="G40" i="8"/>
  <c r="AKI40" i="8"/>
  <c r="AHS40" i="8"/>
  <c r="AGT40" i="8"/>
  <c r="AFX40" i="8"/>
  <c r="AFC40" i="8"/>
  <c r="AEM40" i="8"/>
  <c r="ADS40" i="8"/>
  <c r="ADC40" i="8"/>
  <c r="ACI40" i="8"/>
  <c r="ABS40" i="8"/>
  <c r="ABA40" i="8"/>
  <c r="AAL40" i="8"/>
  <c r="ZW40" i="8"/>
  <c r="ZE40" i="8"/>
  <c r="YP40" i="8"/>
  <c r="YA40" i="8"/>
  <c r="XI40" i="8"/>
  <c r="WT40" i="8"/>
  <c r="WE40" i="8"/>
  <c r="VM40" i="8"/>
  <c r="UY40" i="8"/>
  <c r="UK40" i="8"/>
  <c r="TW40" i="8"/>
  <c r="TI40" i="8"/>
  <c r="SS40" i="8"/>
  <c r="SE40" i="8"/>
  <c r="RQ40" i="8"/>
  <c r="RC40" i="8"/>
  <c r="QO40" i="8"/>
  <c r="PY40" i="8"/>
  <c r="PK40" i="8"/>
  <c r="OW40" i="8"/>
  <c r="OI40" i="8"/>
  <c r="NU40" i="8"/>
  <c r="NE40" i="8"/>
  <c r="MQ40" i="8"/>
  <c r="MC40" i="8"/>
  <c r="LO40" i="8"/>
  <c r="LA40" i="8"/>
  <c r="KK40" i="8"/>
  <c r="JW40" i="8"/>
  <c r="JI40" i="8"/>
  <c r="IU40" i="8"/>
  <c r="IG40" i="8"/>
  <c r="HT40" i="8"/>
  <c r="HG40" i="8"/>
  <c r="GS40" i="8"/>
  <c r="GF40" i="8"/>
  <c r="FS40" i="8"/>
  <c r="FF40" i="8"/>
  <c r="ET40" i="8"/>
  <c r="EH40" i="8"/>
  <c r="DV40" i="8"/>
  <c r="DJ40" i="8"/>
  <c r="CX40" i="8"/>
  <c r="CL40" i="8"/>
  <c r="BZ40" i="8"/>
  <c r="BN40" i="8"/>
  <c r="BB40" i="8"/>
  <c r="AP40" i="8"/>
  <c r="AD40" i="8"/>
  <c r="R40" i="8"/>
  <c r="F40" i="8"/>
  <c r="AJW40" i="8"/>
  <c r="AHR40" i="8"/>
  <c r="AGQ40" i="8"/>
  <c r="AFW40" i="8"/>
  <c r="AFB40" i="8"/>
  <c r="AEL40" i="8"/>
  <c r="ADR40" i="8"/>
  <c r="ADB40" i="8"/>
  <c r="ACH40" i="8"/>
  <c r="ABR40" i="8"/>
  <c r="AAZ40" i="8"/>
  <c r="AAK40" i="8"/>
  <c r="ZV40" i="8"/>
  <c r="ZD40" i="8"/>
  <c r="YO40" i="8"/>
  <c r="XZ40" i="8"/>
  <c r="XH40" i="8"/>
  <c r="WS40" i="8"/>
  <c r="WD40" i="8"/>
  <c r="VL40" i="8"/>
  <c r="UX40" i="8"/>
  <c r="UJ40" i="8"/>
  <c r="TV40" i="8"/>
  <c r="TG40" i="8"/>
  <c r="SR40" i="8"/>
  <c r="SD40" i="8"/>
  <c r="RP40" i="8"/>
  <c r="RB40" i="8"/>
  <c r="QM40" i="8"/>
  <c r="PX40" i="8"/>
  <c r="PJ40" i="8"/>
  <c r="OV40" i="8"/>
  <c r="OH40" i="8"/>
  <c r="NS40" i="8"/>
  <c r="ND40" i="8"/>
  <c r="MP40" i="8"/>
  <c r="MB40" i="8"/>
  <c r="LN40" i="8"/>
  <c r="KY40" i="8"/>
  <c r="KJ40" i="8"/>
  <c r="JV40" i="8"/>
  <c r="JH40" i="8"/>
  <c r="IT40" i="8"/>
  <c r="IF40" i="8"/>
  <c r="HS40" i="8"/>
  <c r="HE40" i="8"/>
  <c r="GR40" i="8"/>
  <c r="GE40" i="8"/>
  <c r="FR40" i="8"/>
  <c r="FE40" i="8"/>
  <c r="ES40" i="8"/>
  <c r="EG40" i="8"/>
  <c r="DU40" i="8"/>
  <c r="DI40" i="8"/>
  <c r="CW40" i="8"/>
  <c r="CK40" i="8"/>
  <c r="BY40" i="8"/>
  <c r="BM40" i="8"/>
  <c r="BA40" i="8"/>
  <c r="AO40" i="8"/>
  <c r="AC40" i="8"/>
  <c r="Q40" i="8"/>
  <c r="E40" i="8"/>
  <c r="AJK40" i="8"/>
  <c r="AHO40" i="8"/>
  <c r="AGN40" i="8"/>
  <c r="AFV40" i="8"/>
  <c r="AFA40" i="8"/>
  <c r="AEI40" i="8"/>
  <c r="ADQ40" i="8"/>
  <c r="ACY40" i="8"/>
  <c r="ACG40" i="8"/>
  <c r="ABO40" i="8"/>
  <c r="AAY40" i="8"/>
  <c r="AAJ40" i="8"/>
  <c r="ZS40" i="8"/>
  <c r="ZC40" i="8"/>
  <c r="YN40" i="8"/>
  <c r="XW40" i="8"/>
  <c r="XG40" i="8"/>
  <c r="WR40" i="8"/>
  <c r="WA40" i="8"/>
  <c r="VK40" i="8"/>
  <c r="UW40" i="8"/>
  <c r="UI40" i="8"/>
  <c r="TU40" i="8"/>
  <c r="TE40" i="8"/>
  <c r="SQ40" i="8"/>
  <c r="SC40" i="8"/>
  <c r="RO40" i="8"/>
  <c r="RA40" i="8"/>
  <c r="QK40" i="8"/>
  <c r="PW40" i="8"/>
  <c r="PI40" i="8"/>
  <c r="OU40" i="8"/>
  <c r="OG40" i="8"/>
  <c r="NQ40" i="8"/>
  <c r="NC40" i="8"/>
  <c r="MO40" i="8"/>
  <c r="MA40" i="8"/>
  <c r="LM40" i="8"/>
  <c r="KW40" i="8"/>
  <c r="KI40" i="8"/>
  <c r="JU40" i="8"/>
  <c r="JG40" i="8"/>
  <c r="IS40" i="8"/>
  <c r="IE40" i="8"/>
  <c r="HQ40" i="8"/>
  <c r="HD40" i="8"/>
  <c r="GQ40" i="8"/>
  <c r="GD40" i="8"/>
  <c r="FQ40" i="8"/>
  <c r="FD40" i="8"/>
  <c r="ER40" i="8"/>
  <c r="EF40" i="8"/>
  <c r="DT40" i="8"/>
  <c r="DH40" i="8"/>
  <c r="CV40" i="8"/>
  <c r="CJ40" i="8"/>
  <c r="BX40" i="8"/>
  <c r="BL40" i="8"/>
  <c r="AZ40" i="8"/>
  <c r="AN40" i="8"/>
  <c r="AB40" i="8"/>
  <c r="P40" i="8"/>
  <c r="AOO40" i="8"/>
  <c r="AIY40" i="8"/>
  <c r="AHL40" i="8"/>
  <c r="AGM40" i="8"/>
  <c r="AFS40" i="8"/>
  <c r="AEZ40" i="8"/>
  <c r="AEF40" i="8"/>
  <c r="ADP40" i="8"/>
  <c r="ACV40" i="8"/>
  <c r="ACF40" i="8"/>
  <c r="ABM40" i="8"/>
  <c r="AAX40" i="8"/>
  <c r="AAI40" i="8"/>
  <c r="ZQ40" i="8"/>
  <c r="ZB40" i="8"/>
  <c r="YM40" i="8"/>
  <c r="XU40" i="8"/>
  <c r="XF40" i="8"/>
  <c r="WQ40" i="8"/>
  <c r="VY40" i="8"/>
  <c r="VJ40" i="8"/>
  <c r="UV40" i="8"/>
  <c r="UH40" i="8"/>
  <c r="TS40" i="8"/>
  <c r="TD40" i="8"/>
  <c r="SP40" i="8"/>
  <c r="SB40" i="8"/>
  <c r="RN40" i="8"/>
  <c r="QY40" i="8"/>
  <c r="QJ40" i="8"/>
  <c r="PV40" i="8"/>
  <c r="PH40" i="8"/>
  <c r="OT40" i="8"/>
  <c r="OE40" i="8"/>
  <c r="NP40" i="8"/>
  <c r="NB40" i="8"/>
  <c r="MN40" i="8"/>
  <c r="LZ40" i="8"/>
  <c r="LK40" i="8"/>
  <c r="KV40" i="8"/>
  <c r="KH40" i="8"/>
  <c r="JT40" i="8"/>
  <c r="JF40" i="8"/>
  <c r="IQ40" i="8"/>
  <c r="IC40" i="8"/>
  <c r="HP40" i="8"/>
  <c r="HC40" i="8"/>
  <c r="GP40" i="8"/>
  <c r="GC40" i="8"/>
  <c r="FP40" i="8"/>
  <c r="FC40" i="8"/>
  <c r="EQ40" i="8"/>
  <c r="EE40" i="8"/>
  <c r="DS40" i="8"/>
  <c r="DG40" i="8"/>
  <c r="CU40" i="8"/>
  <c r="CI40" i="8"/>
  <c r="BW40" i="8"/>
  <c r="BK40" i="8"/>
  <c r="AY40" i="8"/>
  <c r="AM40" i="8"/>
  <c r="AA40" i="8"/>
  <c r="O40" i="8"/>
  <c r="AOB40" i="8"/>
  <c r="AIQ40" i="8"/>
  <c r="AHI40" i="8"/>
  <c r="AGK40" i="8"/>
  <c r="AFP40" i="8"/>
  <c r="AEY40" i="8"/>
  <c r="AEE40" i="8"/>
  <c r="ADO40" i="8"/>
  <c r="ACU40" i="8"/>
  <c r="ACE40" i="8"/>
  <c r="ABL40" i="8"/>
  <c r="AAW40" i="8"/>
  <c r="AAH40" i="8"/>
  <c r="ZP40" i="8"/>
  <c r="ZA40" i="8"/>
  <c r="YL40" i="8"/>
  <c r="XT40" i="8"/>
  <c r="XE40" i="8"/>
  <c r="WP40" i="8"/>
  <c r="VX40" i="8"/>
  <c r="VI40" i="8"/>
  <c r="UU40" i="8"/>
  <c r="UG40" i="8"/>
  <c r="TQ40" i="8"/>
  <c r="TC40" i="8"/>
  <c r="SO40" i="8"/>
  <c r="SA40" i="8"/>
  <c r="RM40" i="8"/>
  <c r="QW40" i="8"/>
  <c r="QI40" i="8"/>
  <c r="PU40" i="8"/>
  <c r="PG40" i="8"/>
  <c r="OS40" i="8"/>
  <c r="OC40" i="8"/>
  <c r="NO40" i="8"/>
  <c r="NA40" i="8"/>
  <c r="MM40" i="8"/>
  <c r="LY40" i="8"/>
  <c r="LI40" i="8"/>
  <c r="KU40" i="8"/>
  <c r="KG40" i="8"/>
  <c r="JS40" i="8"/>
  <c r="JE40" i="8"/>
  <c r="IO40" i="8"/>
  <c r="IB40" i="8"/>
  <c r="HO40" i="8"/>
  <c r="HB40" i="8"/>
  <c r="GO40" i="8"/>
  <c r="GB40" i="8"/>
  <c r="FO40" i="8"/>
  <c r="FB40" i="8"/>
  <c r="EP40" i="8"/>
  <c r="ED40" i="8"/>
  <c r="DR40" i="8"/>
  <c r="DF40" i="8"/>
  <c r="CT40" i="8"/>
  <c r="CH40" i="8"/>
  <c r="BV40" i="8"/>
  <c r="BJ40" i="8"/>
  <c r="AX40" i="8"/>
  <c r="AL40" i="8"/>
  <c r="Z40" i="8"/>
  <c r="N40" i="8"/>
  <c r="ANO40" i="8"/>
  <c r="AIM40" i="8"/>
  <c r="AHG40" i="8"/>
  <c r="AGJ40" i="8"/>
  <c r="AFO40" i="8"/>
  <c r="AEX40" i="8"/>
  <c r="AED40" i="8"/>
  <c r="ADN40" i="8"/>
  <c r="ACT40" i="8"/>
  <c r="ACD40" i="8"/>
  <c r="ABK40" i="8"/>
  <c r="AAV40" i="8"/>
  <c r="AAE40" i="8"/>
  <c r="ZO40" i="8"/>
  <c r="YZ40" i="8"/>
  <c r="YI40" i="8"/>
  <c r="XS40" i="8"/>
  <c r="XD40" i="8"/>
  <c r="WM40" i="8"/>
  <c r="VW40" i="8"/>
  <c r="VH40" i="8"/>
  <c r="UT40" i="8"/>
  <c r="UE40" i="8"/>
  <c r="TP40" i="8"/>
  <c r="TB40" i="8"/>
  <c r="SN40" i="8"/>
  <c r="RZ40" i="8"/>
  <c r="RK40" i="8"/>
  <c r="QV40" i="8"/>
  <c r="QH40" i="8"/>
  <c r="PT40" i="8"/>
  <c r="PF40" i="8"/>
  <c r="OQ40" i="8"/>
  <c r="OB40" i="8"/>
  <c r="NN40" i="8"/>
  <c r="MZ40" i="8"/>
  <c r="ML40" i="8"/>
  <c r="LW40" i="8"/>
  <c r="LH40" i="8"/>
  <c r="KT40" i="8"/>
  <c r="KF40" i="8"/>
  <c r="JR40" i="8"/>
  <c r="JC40" i="8"/>
  <c r="IN40" i="8"/>
  <c r="IA40" i="8"/>
  <c r="HN40" i="8"/>
  <c r="HA40" i="8"/>
  <c r="GN40" i="8"/>
  <c r="GA40" i="8"/>
  <c r="FN40" i="8"/>
  <c r="FA40" i="8"/>
  <c r="EO40" i="8"/>
  <c r="EC40" i="8"/>
  <c r="DQ40" i="8"/>
  <c r="DE40" i="8"/>
  <c r="CS40" i="8"/>
  <c r="CG40" i="8"/>
  <c r="BU40" i="8"/>
  <c r="BI40" i="8"/>
  <c r="AW40" i="8"/>
  <c r="AK40" i="8"/>
  <c r="Y40" i="8"/>
  <c r="M40" i="8"/>
  <c r="N27" i="8"/>
  <c r="AA27" i="8"/>
  <c r="AN27" i="8"/>
  <c r="BA27" i="8"/>
  <c r="BO27" i="8"/>
  <c r="CB27" i="8"/>
  <c r="CO27" i="8"/>
  <c r="DB27" i="8"/>
  <c r="DO27" i="8"/>
  <c r="EB27" i="8"/>
  <c r="EO27" i="8"/>
  <c r="FB27" i="8"/>
  <c r="FO27" i="8"/>
  <c r="GB27" i="8"/>
  <c r="GO27" i="8"/>
  <c r="HC27" i="8"/>
  <c r="HP27" i="8"/>
  <c r="IC27" i="8"/>
  <c r="IP27" i="8"/>
  <c r="JC27" i="8"/>
  <c r="JP27" i="8"/>
  <c r="KC27" i="8"/>
  <c r="KP27" i="8"/>
  <c r="LC27" i="8"/>
  <c r="LP27" i="8"/>
  <c r="MC27" i="8"/>
  <c r="MQ27" i="8"/>
  <c r="ND27" i="8"/>
  <c r="NQ27" i="8"/>
  <c r="OD27" i="8"/>
  <c r="OR27" i="8"/>
  <c r="PG27" i="8"/>
  <c r="PW27" i="8"/>
  <c r="QN27" i="8"/>
  <c r="RC27" i="8"/>
  <c r="RS27" i="8"/>
  <c r="SJ27" i="8"/>
  <c r="SY27" i="8"/>
  <c r="TO27" i="8"/>
  <c r="UF27" i="8"/>
  <c r="UU27" i="8"/>
  <c r="VK27" i="8"/>
  <c r="WB27" i="8"/>
  <c r="WQ27" i="8"/>
  <c r="XG27" i="8"/>
  <c r="XX27" i="8"/>
  <c r="YM27" i="8"/>
  <c r="ZC27" i="8"/>
  <c r="ZT27" i="8"/>
  <c r="AAI27" i="8"/>
  <c r="AAY27" i="8"/>
  <c r="ABP27" i="8"/>
  <c r="ACF27" i="8"/>
  <c r="ACZ27" i="8"/>
  <c r="ADP27" i="8"/>
  <c r="AEJ27" i="8"/>
  <c r="AEZ27" i="8"/>
  <c r="AFT27" i="8"/>
  <c r="AGJ27" i="8"/>
  <c r="AHF27" i="8"/>
  <c r="AIO27" i="8"/>
  <c r="AKE27" i="8"/>
  <c r="L40" i="8"/>
  <c r="EZ40" i="8"/>
  <c r="LG40" i="8"/>
  <c r="RY40" i="8"/>
  <c r="YY40" i="8"/>
  <c r="AHF40" i="8"/>
  <c r="ANK27" i="8"/>
  <c r="AOM33" i="8"/>
  <c r="YK33" i="8"/>
  <c r="DF33" i="8"/>
  <c r="QA33" i="8"/>
  <c r="K33" i="8"/>
  <c r="PZ33" i="8"/>
  <c r="J33" i="8"/>
  <c r="PR33" i="8"/>
  <c r="LW33" i="8"/>
  <c r="LV33" i="8"/>
  <c r="LN33" i="8"/>
  <c r="AJI33" i="8"/>
  <c r="HS33" i="8"/>
  <c r="AJF33" i="8"/>
  <c r="HR33" i="8"/>
  <c r="AIL33" i="8"/>
  <c r="HJ33" i="8"/>
  <c r="ZG33" i="8"/>
  <c r="DO33" i="8"/>
  <c r="AOL47" i="8"/>
  <c r="ANZ47" i="8"/>
  <c r="ANN47" i="8"/>
  <c r="ANB47" i="8"/>
  <c r="AMP47" i="8"/>
  <c r="AMD47" i="8"/>
  <c r="ALR47" i="8"/>
  <c r="ALF47" i="8"/>
  <c r="AOO47" i="8"/>
  <c r="AOB47" i="8"/>
  <c r="ANO47" i="8"/>
  <c r="ANA47" i="8"/>
  <c r="AMN47" i="8"/>
  <c r="AMA47" i="8"/>
  <c r="ALN47" i="8"/>
  <c r="ALA47" i="8"/>
  <c r="AKO47" i="8"/>
  <c r="AKC47" i="8"/>
  <c r="AJQ47" i="8"/>
  <c r="AJE47" i="8"/>
  <c r="AIS47" i="8"/>
  <c r="AIG47" i="8"/>
  <c r="AHU47" i="8"/>
  <c r="AOJ47" i="8"/>
  <c r="ANV47" i="8"/>
  <c r="ANH47" i="8"/>
  <c r="AMT47" i="8"/>
  <c r="AMF47" i="8"/>
  <c r="ALQ47" i="8"/>
  <c r="ALC47" i="8"/>
  <c r="AKP47" i="8"/>
  <c r="AKB47" i="8"/>
  <c r="AJO47" i="8"/>
  <c r="AJB47" i="8"/>
  <c r="AIO47" i="8"/>
  <c r="AIB47" i="8"/>
  <c r="AHO47" i="8"/>
  <c r="AHC47" i="8"/>
  <c r="AGQ47" i="8"/>
  <c r="AGE47" i="8"/>
  <c r="AFS47" i="8"/>
  <c r="AFG47" i="8"/>
  <c r="AEU47" i="8"/>
  <c r="AEI47" i="8"/>
  <c r="ADW47" i="8"/>
  <c r="ADK47" i="8"/>
  <c r="ACY47" i="8"/>
  <c r="ACM47" i="8"/>
  <c r="ACA47" i="8"/>
  <c r="ABO47" i="8"/>
  <c r="ABC47" i="8"/>
  <c r="AAQ47" i="8"/>
  <c r="AAE47" i="8"/>
  <c r="ZS47" i="8"/>
  <c r="ZG47" i="8"/>
  <c r="YU47" i="8"/>
  <c r="YI47" i="8"/>
  <c r="XW47" i="8"/>
  <c r="XK47" i="8"/>
  <c r="WY47" i="8"/>
  <c r="WM47" i="8"/>
  <c r="WA47" i="8"/>
  <c r="VO47" i="8"/>
  <c r="VC47" i="8"/>
  <c r="UQ47" i="8"/>
  <c r="UE47" i="8"/>
  <c r="TS47" i="8"/>
  <c r="TG47" i="8"/>
  <c r="SU47" i="8"/>
  <c r="SI47" i="8"/>
  <c r="RW47" i="8"/>
  <c r="RK47" i="8"/>
  <c r="QY47" i="8"/>
  <c r="QM47" i="8"/>
  <c r="QA47" i="8"/>
  <c r="PO47" i="8"/>
  <c r="PC47" i="8"/>
  <c r="OQ47" i="8"/>
  <c r="OE47" i="8"/>
  <c r="NS47" i="8"/>
  <c r="NG47" i="8"/>
  <c r="MU47" i="8"/>
  <c r="MI47" i="8"/>
  <c r="LW47" i="8"/>
  <c r="LK47" i="8"/>
  <c r="KY47" i="8"/>
  <c r="KM47" i="8"/>
  <c r="KA47" i="8"/>
  <c r="JO47" i="8"/>
  <c r="JC47" i="8"/>
  <c r="IQ47" i="8"/>
  <c r="IE47" i="8"/>
  <c r="HS47" i="8"/>
  <c r="HG47" i="8"/>
  <c r="GU47" i="8"/>
  <c r="GI47" i="8"/>
  <c r="FW47" i="8"/>
  <c r="FK47" i="8"/>
  <c r="EY47" i="8"/>
  <c r="EM47" i="8"/>
  <c r="EA47" i="8"/>
  <c r="DO47" i="8"/>
  <c r="DC47" i="8"/>
  <c r="CQ47" i="8"/>
  <c r="CE47" i="8"/>
  <c r="BS47" i="8"/>
  <c r="BG47" i="8"/>
  <c r="AU47" i="8"/>
  <c r="AI47" i="8"/>
  <c r="W47" i="8"/>
  <c r="K47" i="8"/>
  <c r="AOI47" i="8"/>
  <c r="ANU47" i="8"/>
  <c r="ANG47" i="8"/>
  <c r="AMS47" i="8"/>
  <c r="AME47" i="8"/>
  <c r="ALP47" i="8"/>
  <c r="ALB47" i="8"/>
  <c r="AKN47" i="8"/>
  <c r="AKA47" i="8"/>
  <c r="AJN47" i="8"/>
  <c r="AJA47" i="8"/>
  <c r="AIN47" i="8"/>
  <c r="AIA47" i="8"/>
  <c r="AHN47" i="8"/>
  <c r="AHB47" i="8"/>
  <c r="AGP47" i="8"/>
  <c r="AGD47" i="8"/>
  <c r="AFR47" i="8"/>
  <c r="AFF47" i="8"/>
  <c r="AET47" i="8"/>
  <c r="AEH47" i="8"/>
  <c r="ADV47" i="8"/>
  <c r="ADJ47" i="8"/>
  <c r="ACX47" i="8"/>
  <c r="ACL47" i="8"/>
  <c r="ABZ47" i="8"/>
  <c r="ABN47" i="8"/>
  <c r="ABB47" i="8"/>
  <c r="AAP47" i="8"/>
  <c r="AAD47" i="8"/>
  <c r="ZR47" i="8"/>
  <c r="ZF47" i="8"/>
  <c r="YT47" i="8"/>
  <c r="YH47" i="8"/>
  <c r="XV47" i="8"/>
  <c r="XJ47" i="8"/>
  <c r="WX47" i="8"/>
  <c r="WL47" i="8"/>
  <c r="VZ47" i="8"/>
  <c r="VN47" i="8"/>
  <c r="AOH47" i="8"/>
  <c r="ANT47" i="8"/>
  <c r="ANF47" i="8"/>
  <c r="AMR47" i="8"/>
  <c r="AMC47" i="8"/>
  <c r="ALO47" i="8"/>
  <c r="AKZ47" i="8"/>
  <c r="AKM47" i="8"/>
  <c r="AJZ47" i="8"/>
  <c r="AJM47" i="8"/>
  <c r="AIZ47" i="8"/>
  <c r="AIM47" i="8"/>
  <c r="AHZ47" i="8"/>
  <c r="AHM47" i="8"/>
  <c r="AHA47" i="8"/>
  <c r="AGO47" i="8"/>
  <c r="AGC47" i="8"/>
  <c r="AFQ47" i="8"/>
  <c r="AFE47" i="8"/>
  <c r="AES47" i="8"/>
  <c r="AEG47" i="8"/>
  <c r="ADU47" i="8"/>
  <c r="ADI47" i="8"/>
  <c r="ACW47" i="8"/>
  <c r="ACK47" i="8"/>
  <c r="ABY47" i="8"/>
  <c r="ABM47" i="8"/>
  <c r="ABA47" i="8"/>
  <c r="AAO47" i="8"/>
  <c r="AAC47" i="8"/>
  <c r="ZQ47" i="8"/>
  <c r="AOG47" i="8"/>
  <c r="ANS47" i="8"/>
  <c r="ANE47" i="8"/>
  <c r="AMQ47" i="8"/>
  <c r="AMB47" i="8"/>
  <c r="ALM47" i="8"/>
  <c r="AKY47" i="8"/>
  <c r="AKL47" i="8"/>
  <c r="AJY47" i="8"/>
  <c r="AJL47" i="8"/>
  <c r="AIY47" i="8"/>
  <c r="AIL47" i="8"/>
  <c r="AHY47" i="8"/>
  <c r="AHL47" i="8"/>
  <c r="AGZ47" i="8"/>
  <c r="AGN47" i="8"/>
  <c r="AGB47" i="8"/>
  <c r="AFP47" i="8"/>
  <c r="AFD47" i="8"/>
  <c r="AER47" i="8"/>
  <c r="AEF47" i="8"/>
  <c r="ADT47" i="8"/>
  <c r="ADH47" i="8"/>
  <c r="ACV47" i="8"/>
  <c r="AOF47" i="8"/>
  <c r="ANR47" i="8"/>
  <c r="AND47" i="8"/>
  <c r="AMO47" i="8"/>
  <c r="ALZ47" i="8"/>
  <c r="ALL47" i="8"/>
  <c r="AKX47" i="8"/>
  <c r="AKK47" i="8"/>
  <c r="AJX47" i="8"/>
  <c r="AJK47" i="8"/>
  <c r="AIX47" i="8"/>
  <c r="AIK47" i="8"/>
  <c r="AHX47" i="8"/>
  <c r="AHK47" i="8"/>
  <c r="AGY47" i="8"/>
  <c r="AGM47" i="8"/>
  <c r="AGA47" i="8"/>
  <c r="AFO47" i="8"/>
  <c r="AFC47" i="8"/>
  <c r="AEQ47" i="8"/>
  <c r="AEE47" i="8"/>
  <c r="ADS47" i="8"/>
  <c r="ADG47" i="8"/>
  <c r="ACU47" i="8"/>
  <c r="ACI47" i="8"/>
  <c r="ABW47" i="8"/>
  <c r="ABK47" i="8"/>
  <c r="AAY47" i="8"/>
  <c r="AAM47" i="8"/>
  <c r="AAA47" i="8"/>
  <c r="ZO47" i="8"/>
  <c r="AOE47" i="8"/>
  <c r="ANQ47" i="8"/>
  <c r="ANC47" i="8"/>
  <c r="AMM47" i="8"/>
  <c r="ALY47" i="8"/>
  <c r="ALK47" i="8"/>
  <c r="AKW47" i="8"/>
  <c r="AKJ47" i="8"/>
  <c r="AJW47" i="8"/>
  <c r="AJJ47" i="8"/>
  <c r="AIW47" i="8"/>
  <c r="AIJ47" i="8"/>
  <c r="AHW47" i="8"/>
  <c r="AHJ47" i="8"/>
  <c r="AGX47" i="8"/>
  <c r="AGL47" i="8"/>
  <c r="AFZ47" i="8"/>
  <c r="AFN47" i="8"/>
  <c r="AFB47" i="8"/>
  <c r="AEP47" i="8"/>
  <c r="AED47" i="8"/>
  <c r="ADR47" i="8"/>
  <c r="ADF47" i="8"/>
  <c r="ACT47" i="8"/>
  <c r="AOD47" i="8"/>
  <c r="ANP47" i="8"/>
  <c r="AMZ47" i="8"/>
  <c r="AML47" i="8"/>
  <c r="ALX47" i="8"/>
  <c r="ALJ47" i="8"/>
  <c r="AKV47" i="8"/>
  <c r="AKI47" i="8"/>
  <c r="AJV47" i="8"/>
  <c r="AJI47" i="8"/>
  <c r="AIV47" i="8"/>
  <c r="AII47" i="8"/>
  <c r="AHV47" i="8"/>
  <c r="AHI47" i="8"/>
  <c r="AGW47" i="8"/>
  <c r="AGK47" i="8"/>
  <c r="AFY47" i="8"/>
  <c r="AFM47" i="8"/>
  <c r="AFA47" i="8"/>
  <c r="AEO47" i="8"/>
  <c r="AEC47" i="8"/>
  <c r="ADQ47" i="8"/>
  <c r="ADE47" i="8"/>
  <c r="ACS47" i="8"/>
  <c r="ACG47" i="8"/>
  <c r="AOQ47" i="8"/>
  <c r="AOC47" i="8"/>
  <c r="ANM47" i="8"/>
  <c r="AMY47" i="8"/>
  <c r="AMK47" i="8"/>
  <c r="ALW47" i="8"/>
  <c r="ALI47" i="8"/>
  <c r="AKU47" i="8"/>
  <c r="AKH47" i="8"/>
  <c r="AJU47" i="8"/>
  <c r="AJH47" i="8"/>
  <c r="AIU47" i="8"/>
  <c r="AIH47" i="8"/>
  <c r="AHT47" i="8"/>
  <c r="AHH47" i="8"/>
  <c r="AGV47" i="8"/>
  <c r="AGJ47" i="8"/>
  <c r="AFX47" i="8"/>
  <c r="AFL47" i="8"/>
  <c r="AEZ47" i="8"/>
  <c r="AEN47" i="8"/>
  <c r="AEB47" i="8"/>
  <c r="ADP47" i="8"/>
  <c r="ADD47" i="8"/>
  <c r="ACR47" i="8"/>
  <c r="AOP47" i="8"/>
  <c r="AOA47" i="8"/>
  <c r="ANL47" i="8"/>
  <c r="AMX47" i="8"/>
  <c r="AMJ47" i="8"/>
  <c r="ALV47" i="8"/>
  <c r="ALH47" i="8"/>
  <c r="AKT47" i="8"/>
  <c r="AKG47" i="8"/>
  <c r="AJT47" i="8"/>
  <c r="AJG47" i="8"/>
  <c r="AIT47" i="8"/>
  <c r="AIF47" i="8"/>
  <c r="AHS47" i="8"/>
  <c r="AHG47" i="8"/>
  <c r="AGU47" i="8"/>
  <c r="AGI47" i="8"/>
  <c r="AFW47" i="8"/>
  <c r="AFK47" i="8"/>
  <c r="AEY47" i="8"/>
  <c r="AEM47" i="8"/>
  <c r="AEA47" i="8"/>
  <c r="ADO47" i="8"/>
  <c r="ADC47" i="8"/>
  <c r="ACQ47" i="8"/>
  <c r="AON47" i="8"/>
  <c r="ANY47" i="8"/>
  <c r="ANK47" i="8"/>
  <c r="AMW47" i="8"/>
  <c r="AMI47" i="8"/>
  <c r="ALU47" i="8"/>
  <c r="ALG47" i="8"/>
  <c r="AKS47" i="8"/>
  <c r="AKF47" i="8"/>
  <c r="AJS47" i="8"/>
  <c r="AJF47" i="8"/>
  <c r="AIR47" i="8"/>
  <c r="AIE47" i="8"/>
  <c r="AHR47" i="8"/>
  <c r="AHF47" i="8"/>
  <c r="AGT47" i="8"/>
  <c r="AGH47" i="8"/>
  <c r="AFV47" i="8"/>
  <c r="AFJ47" i="8"/>
  <c r="AEX47" i="8"/>
  <c r="AEL47" i="8"/>
  <c r="ADZ47" i="8"/>
  <c r="ADN47" i="8"/>
  <c r="ADB47" i="8"/>
  <c r="ACP47" i="8"/>
  <c r="ACD47" i="8"/>
  <c r="ABR47" i="8"/>
  <c r="ABF47" i="8"/>
  <c r="AAT47" i="8"/>
  <c r="AAH47" i="8"/>
  <c r="ZV47" i="8"/>
  <c r="ZJ47" i="8"/>
  <c r="YX47" i="8"/>
  <c r="YL47" i="8"/>
  <c r="XZ47" i="8"/>
  <c r="XN47" i="8"/>
  <c r="XB47" i="8"/>
  <c r="WP47" i="8"/>
  <c r="WD47" i="8"/>
  <c r="VR47" i="8"/>
  <c r="VF47" i="8"/>
  <c r="UT47" i="8"/>
  <c r="UH47" i="8"/>
  <c r="TV47" i="8"/>
  <c r="TJ47" i="8"/>
  <c r="SX47" i="8"/>
  <c r="SL47" i="8"/>
  <c r="RZ47" i="8"/>
  <c r="RN47" i="8"/>
  <c r="RB47" i="8"/>
  <c r="AOM47" i="8"/>
  <c r="ANX47" i="8"/>
  <c r="ANJ47" i="8"/>
  <c r="AMV47" i="8"/>
  <c r="AMH47" i="8"/>
  <c r="ALT47" i="8"/>
  <c r="ALE47" i="8"/>
  <c r="AKR47" i="8"/>
  <c r="AKE47" i="8"/>
  <c r="AJR47" i="8"/>
  <c r="AJD47" i="8"/>
  <c r="AIQ47" i="8"/>
  <c r="AID47" i="8"/>
  <c r="AHQ47" i="8"/>
  <c r="AHE47" i="8"/>
  <c r="AGS47" i="8"/>
  <c r="AGG47" i="8"/>
  <c r="AFU47" i="8"/>
  <c r="AFI47" i="8"/>
  <c r="AEW47" i="8"/>
  <c r="AEK47" i="8"/>
  <c r="ADY47" i="8"/>
  <c r="ADM47" i="8"/>
  <c r="ADA47" i="8"/>
  <c r="ACO47" i="8"/>
  <c r="ACC47" i="8"/>
  <c r="ABQ47" i="8"/>
  <c r="ABE47" i="8"/>
  <c r="AAS47" i="8"/>
  <c r="AAG47" i="8"/>
  <c r="ZU47" i="8"/>
  <c r="ZI47" i="8"/>
  <c r="YW47" i="8"/>
  <c r="YK47" i="8"/>
  <c r="XY47" i="8"/>
  <c r="XM47" i="8"/>
  <c r="XA47" i="8"/>
  <c r="WO47" i="8"/>
  <c r="WC47" i="8"/>
  <c r="VQ47" i="8"/>
  <c r="VE47" i="8"/>
  <c r="US47" i="8"/>
  <c r="UG47" i="8"/>
  <c r="TU47" i="8"/>
  <c r="TI47" i="8"/>
  <c r="SW47" i="8"/>
  <c r="SK47" i="8"/>
  <c r="ANW47" i="8"/>
  <c r="AHP47" i="8"/>
  <c r="ACJ47" i="8"/>
  <c r="ABJ47" i="8"/>
  <c r="AAL47" i="8"/>
  <c r="ZN47" i="8"/>
  <c r="YV47" i="8"/>
  <c r="YD47" i="8"/>
  <c r="XL47" i="8"/>
  <c r="WT47" i="8"/>
  <c r="WB47" i="8"/>
  <c r="VJ47" i="8"/>
  <c r="UU47" i="8"/>
  <c r="UC47" i="8"/>
  <c r="TN47" i="8"/>
  <c r="SY47" i="8"/>
  <c r="SG47" i="8"/>
  <c r="RS47" i="8"/>
  <c r="RE47" i="8"/>
  <c r="QQ47" i="8"/>
  <c r="QD47" i="8"/>
  <c r="PQ47" i="8"/>
  <c r="PD47" i="8"/>
  <c r="OP47" i="8"/>
  <c r="OC47" i="8"/>
  <c r="NP47" i="8"/>
  <c r="NC47" i="8"/>
  <c r="MP47" i="8"/>
  <c r="MC47" i="8"/>
  <c r="LP47" i="8"/>
  <c r="LC47" i="8"/>
  <c r="KP47" i="8"/>
  <c r="KC47" i="8"/>
  <c r="JP47" i="8"/>
  <c r="JB47" i="8"/>
  <c r="IO47" i="8"/>
  <c r="IB47" i="8"/>
  <c r="HO47" i="8"/>
  <c r="HB47" i="8"/>
  <c r="GO47" i="8"/>
  <c r="GB47" i="8"/>
  <c r="FO47" i="8"/>
  <c r="FB47" i="8"/>
  <c r="EO47" i="8"/>
  <c r="EB47" i="8"/>
  <c r="DN47" i="8"/>
  <c r="DA47" i="8"/>
  <c r="CN47" i="8"/>
  <c r="CA47" i="8"/>
  <c r="BN47" i="8"/>
  <c r="BA47" i="8"/>
  <c r="AN47" i="8"/>
  <c r="AA47" i="8"/>
  <c r="N47" i="8"/>
  <c r="ANI47" i="8"/>
  <c r="AHD47" i="8"/>
  <c r="ACH47" i="8"/>
  <c r="ABI47" i="8"/>
  <c r="AAK47" i="8"/>
  <c r="ZM47" i="8"/>
  <c r="YS47" i="8"/>
  <c r="YC47" i="8"/>
  <c r="XI47" i="8"/>
  <c r="WS47" i="8"/>
  <c r="VY47" i="8"/>
  <c r="VI47" i="8"/>
  <c r="UR47" i="8"/>
  <c r="UB47" i="8"/>
  <c r="TM47" i="8"/>
  <c r="SV47" i="8"/>
  <c r="SF47" i="8"/>
  <c r="RR47" i="8"/>
  <c r="RD47" i="8"/>
  <c r="QP47" i="8"/>
  <c r="QC47" i="8"/>
  <c r="PP47" i="8"/>
  <c r="PB47" i="8"/>
  <c r="OO47" i="8"/>
  <c r="OB47" i="8"/>
  <c r="NO47" i="8"/>
  <c r="NB47" i="8"/>
  <c r="MO47" i="8"/>
  <c r="MB47" i="8"/>
  <c r="LO47" i="8"/>
  <c r="LB47" i="8"/>
  <c r="KO47" i="8"/>
  <c r="KB47" i="8"/>
  <c r="JN47" i="8"/>
  <c r="JA47" i="8"/>
  <c r="IN47" i="8"/>
  <c r="IA47" i="8"/>
  <c r="HN47" i="8"/>
  <c r="HA47" i="8"/>
  <c r="GN47" i="8"/>
  <c r="GA47" i="8"/>
  <c r="FN47" i="8"/>
  <c r="FA47" i="8"/>
  <c r="EN47" i="8"/>
  <c r="DZ47" i="8"/>
  <c r="DM47" i="8"/>
  <c r="CZ47" i="8"/>
  <c r="CM47" i="8"/>
  <c r="BZ47" i="8"/>
  <c r="BM47" i="8"/>
  <c r="AZ47" i="8"/>
  <c r="AM47" i="8"/>
  <c r="Z47" i="8"/>
  <c r="M47" i="8"/>
  <c r="AMU47" i="8"/>
  <c r="AGR47" i="8"/>
  <c r="ACF47" i="8"/>
  <c r="ABH47" i="8"/>
  <c r="AAJ47" i="8"/>
  <c r="ZL47" i="8"/>
  <c r="YR47" i="8"/>
  <c r="YB47" i="8"/>
  <c r="XH47" i="8"/>
  <c r="WR47" i="8"/>
  <c r="VX47" i="8"/>
  <c r="VH47" i="8"/>
  <c r="UP47" i="8"/>
  <c r="UA47" i="8"/>
  <c r="TL47" i="8"/>
  <c r="ST47" i="8"/>
  <c r="SE47" i="8"/>
  <c r="RQ47" i="8"/>
  <c r="RC47" i="8"/>
  <c r="QO47" i="8"/>
  <c r="QB47" i="8"/>
  <c r="PN47" i="8"/>
  <c r="PA47" i="8"/>
  <c r="ON47" i="8"/>
  <c r="OA47" i="8"/>
  <c r="NN47" i="8"/>
  <c r="NA47" i="8"/>
  <c r="MN47" i="8"/>
  <c r="MA47" i="8"/>
  <c r="LN47" i="8"/>
  <c r="LA47" i="8"/>
  <c r="KN47" i="8"/>
  <c r="JZ47" i="8"/>
  <c r="JM47" i="8"/>
  <c r="IZ47" i="8"/>
  <c r="IM47" i="8"/>
  <c r="HZ47" i="8"/>
  <c r="HM47" i="8"/>
  <c r="GZ47" i="8"/>
  <c r="GM47" i="8"/>
  <c r="FZ47" i="8"/>
  <c r="FM47" i="8"/>
  <c r="EZ47" i="8"/>
  <c r="EL47" i="8"/>
  <c r="DY47" i="8"/>
  <c r="DL47" i="8"/>
  <c r="CY47" i="8"/>
  <c r="CL47" i="8"/>
  <c r="BY47" i="8"/>
  <c r="BL47" i="8"/>
  <c r="AY47" i="8"/>
  <c r="AL47" i="8"/>
  <c r="Y47" i="8"/>
  <c r="L47" i="8"/>
  <c r="AMG47" i="8"/>
  <c r="AGF47" i="8"/>
  <c r="ACE47" i="8"/>
  <c r="ABG47" i="8"/>
  <c r="AAI47" i="8"/>
  <c r="ZK47" i="8"/>
  <c r="YQ47" i="8"/>
  <c r="YA47" i="8"/>
  <c r="XG47" i="8"/>
  <c r="WQ47" i="8"/>
  <c r="VW47" i="8"/>
  <c r="VG47" i="8"/>
  <c r="UO47" i="8"/>
  <c r="TZ47" i="8"/>
  <c r="TK47" i="8"/>
  <c r="SS47" i="8"/>
  <c r="SD47" i="8"/>
  <c r="RP47" i="8"/>
  <c r="RA47" i="8"/>
  <c r="QN47" i="8"/>
  <c r="PZ47" i="8"/>
  <c r="PM47" i="8"/>
  <c r="OZ47" i="8"/>
  <c r="OM47" i="8"/>
  <c r="NZ47" i="8"/>
  <c r="NM47" i="8"/>
  <c r="MZ47" i="8"/>
  <c r="MM47" i="8"/>
  <c r="LZ47" i="8"/>
  <c r="LM47" i="8"/>
  <c r="KZ47" i="8"/>
  <c r="KL47" i="8"/>
  <c r="JY47" i="8"/>
  <c r="JL47" i="8"/>
  <c r="IY47" i="8"/>
  <c r="IL47" i="8"/>
  <c r="HY47" i="8"/>
  <c r="HL47" i="8"/>
  <c r="GY47" i="8"/>
  <c r="GL47" i="8"/>
  <c r="FY47" i="8"/>
  <c r="FL47" i="8"/>
  <c r="EX47" i="8"/>
  <c r="EK47" i="8"/>
  <c r="DX47" i="8"/>
  <c r="DK47" i="8"/>
  <c r="CX47" i="8"/>
  <c r="CK47" i="8"/>
  <c r="BX47" i="8"/>
  <c r="BK47" i="8"/>
  <c r="AX47" i="8"/>
  <c r="AK47" i="8"/>
  <c r="X47" i="8"/>
  <c r="J47" i="8"/>
  <c r="ALS47" i="8"/>
  <c r="AFT47" i="8"/>
  <c r="ACB47" i="8"/>
  <c r="ABD47" i="8"/>
  <c r="AAF47" i="8"/>
  <c r="ZH47" i="8"/>
  <c r="YP47" i="8"/>
  <c r="XX47" i="8"/>
  <c r="XF47" i="8"/>
  <c r="WN47" i="8"/>
  <c r="VV47" i="8"/>
  <c r="VD47" i="8"/>
  <c r="UN47" i="8"/>
  <c r="TY47" i="8"/>
  <c r="TH47" i="8"/>
  <c r="SR47" i="8"/>
  <c r="SC47" i="8"/>
  <c r="RO47" i="8"/>
  <c r="QZ47" i="8"/>
  <c r="QL47" i="8"/>
  <c r="PY47" i="8"/>
  <c r="PL47" i="8"/>
  <c r="OY47" i="8"/>
  <c r="OL47" i="8"/>
  <c r="NY47" i="8"/>
  <c r="NL47" i="8"/>
  <c r="MY47" i="8"/>
  <c r="ML47" i="8"/>
  <c r="LY47" i="8"/>
  <c r="LL47" i="8"/>
  <c r="KX47" i="8"/>
  <c r="KK47" i="8"/>
  <c r="JX47" i="8"/>
  <c r="JK47" i="8"/>
  <c r="IX47" i="8"/>
  <c r="IK47" i="8"/>
  <c r="HX47" i="8"/>
  <c r="HK47" i="8"/>
  <c r="GX47" i="8"/>
  <c r="GK47" i="8"/>
  <c r="FX47" i="8"/>
  <c r="FJ47" i="8"/>
  <c r="EW47" i="8"/>
  <c r="EJ47" i="8"/>
  <c r="DW47" i="8"/>
  <c r="DJ47" i="8"/>
  <c r="CW47" i="8"/>
  <c r="CJ47" i="8"/>
  <c r="BW47" i="8"/>
  <c r="BJ47" i="8"/>
  <c r="AW47" i="8"/>
  <c r="AJ47" i="8"/>
  <c r="V47" i="8"/>
  <c r="I47" i="8"/>
  <c r="ALD47" i="8"/>
  <c r="AFH47" i="8"/>
  <c r="ABX47" i="8"/>
  <c r="AAZ47" i="8"/>
  <c r="AAB47" i="8"/>
  <c r="ZE47" i="8"/>
  <c r="YO47" i="8"/>
  <c r="XU47" i="8"/>
  <c r="XE47" i="8"/>
  <c r="WK47" i="8"/>
  <c r="VU47" i="8"/>
  <c r="VB47" i="8"/>
  <c r="UM47" i="8"/>
  <c r="TX47" i="8"/>
  <c r="TF47" i="8"/>
  <c r="SQ47" i="8"/>
  <c r="SB47" i="8"/>
  <c r="RM47" i="8"/>
  <c r="QX47" i="8"/>
  <c r="QK47" i="8"/>
  <c r="PX47" i="8"/>
  <c r="PK47" i="8"/>
  <c r="OX47" i="8"/>
  <c r="OK47" i="8"/>
  <c r="NX47" i="8"/>
  <c r="NK47" i="8"/>
  <c r="MX47" i="8"/>
  <c r="MK47" i="8"/>
  <c r="LX47" i="8"/>
  <c r="LJ47" i="8"/>
  <c r="KW47" i="8"/>
  <c r="KJ47" i="8"/>
  <c r="JW47" i="8"/>
  <c r="JJ47" i="8"/>
  <c r="IW47" i="8"/>
  <c r="IJ47" i="8"/>
  <c r="HW47" i="8"/>
  <c r="HJ47" i="8"/>
  <c r="GW47" i="8"/>
  <c r="GJ47" i="8"/>
  <c r="FV47" i="8"/>
  <c r="FI47" i="8"/>
  <c r="EV47" i="8"/>
  <c r="EI47" i="8"/>
  <c r="DV47" i="8"/>
  <c r="DI47" i="8"/>
  <c r="CV47" i="8"/>
  <c r="CI47" i="8"/>
  <c r="BV47" i="8"/>
  <c r="BI47" i="8"/>
  <c r="AV47" i="8"/>
  <c r="AH47" i="8"/>
  <c r="U47" i="8"/>
  <c r="H47" i="8"/>
  <c r="AKQ47" i="8"/>
  <c r="AEV47" i="8"/>
  <c r="ABV47" i="8"/>
  <c r="AAX47" i="8"/>
  <c r="ZZ47" i="8"/>
  <c r="ZD47" i="8"/>
  <c r="YN47" i="8"/>
  <c r="XT47" i="8"/>
  <c r="XD47" i="8"/>
  <c r="WJ47" i="8"/>
  <c r="VT47" i="8"/>
  <c r="VA47" i="8"/>
  <c r="UL47" i="8"/>
  <c r="TW47" i="8"/>
  <c r="TE47" i="8"/>
  <c r="SP47" i="8"/>
  <c r="SA47" i="8"/>
  <c r="RL47" i="8"/>
  <c r="QW47" i="8"/>
  <c r="QJ47" i="8"/>
  <c r="PW47" i="8"/>
  <c r="PJ47" i="8"/>
  <c r="OW47" i="8"/>
  <c r="OJ47" i="8"/>
  <c r="NW47" i="8"/>
  <c r="NJ47" i="8"/>
  <c r="MW47" i="8"/>
  <c r="MJ47" i="8"/>
  <c r="LV47" i="8"/>
  <c r="LI47" i="8"/>
  <c r="KV47" i="8"/>
  <c r="KI47" i="8"/>
  <c r="JV47" i="8"/>
  <c r="JI47" i="8"/>
  <c r="IV47" i="8"/>
  <c r="II47" i="8"/>
  <c r="HV47" i="8"/>
  <c r="HI47" i="8"/>
  <c r="GV47" i="8"/>
  <c r="GH47" i="8"/>
  <c r="FU47" i="8"/>
  <c r="FH47" i="8"/>
  <c r="EU47" i="8"/>
  <c r="EH47" i="8"/>
  <c r="DU47" i="8"/>
  <c r="DH47" i="8"/>
  <c r="CU47" i="8"/>
  <c r="CH47" i="8"/>
  <c r="BU47" i="8"/>
  <c r="BH47" i="8"/>
  <c r="AT47" i="8"/>
  <c r="AG47" i="8"/>
  <c r="T47" i="8"/>
  <c r="G47" i="8"/>
  <c r="AKD47" i="8"/>
  <c r="AEJ47" i="8"/>
  <c r="ABU47" i="8"/>
  <c r="AAW47" i="8"/>
  <c r="ZY47" i="8"/>
  <c r="ZC47" i="8"/>
  <c r="YM47" i="8"/>
  <c r="XS47" i="8"/>
  <c r="XC47" i="8"/>
  <c r="WI47" i="8"/>
  <c r="VS47" i="8"/>
  <c r="UZ47" i="8"/>
  <c r="UK47" i="8"/>
  <c r="TT47" i="8"/>
  <c r="TD47" i="8"/>
  <c r="SO47" i="8"/>
  <c r="RY47" i="8"/>
  <c r="RJ47" i="8"/>
  <c r="QV47" i="8"/>
  <c r="QI47" i="8"/>
  <c r="PV47" i="8"/>
  <c r="PI47" i="8"/>
  <c r="OV47" i="8"/>
  <c r="OI47" i="8"/>
  <c r="NV47" i="8"/>
  <c r="NI47" i="8"/>
  <c r="MV47" i="8"/>
  <c r="MH47" i="8"/>
  <c r="LU47" i="8"/>
  <c r="LH47" i="8"/>
  <c r="KU47" i="8"/>
  <c r="KH47" i="8"/>
  <c r="JU47" i="8"/>
  <c r="JH47" i="8"/>
  <c r="IU47" i="8"/>
  <c r="IH47" i="8"/>
  <c r="HU47" i="8"/>
  <c r="HH47" i="8"/>
  <c r="GT47" i="8"/>
  <c r="GG47" i="8"/>
  <c r="FT47" i="8"/>
  <c r="FG47" i="8"/>
  <c r="ET47" i="8"/>
  <c r="EG47" i="8"/>
  <c r="DT47" i="8"/>
  <c r="DG47" i="8"/>
  <c r="CT47" i="8"/>
  <c r="CG47" i="8"/>
  <c r="BT47" i="8"/>
  <c r="BF47" i="8"/>
  <c r="AS47" i="8"/>
  <c r="AF47" i="8"/>
  <c r="S47" i="8"/>
  <c r="F47" i="8"/>
  <c r="AJP47" i="8"/>
  <c r="ADX47" i="8"/>
  <c r="ABT47" i="8"/>
  <c r="AAV47" i="8"/>
  <c r="ZX47" i="8"/>
  <c r="ZB47" i="8"/>
  <c r="YJ47" i="8"/>
  <c r="XR47" i="8"/>
  <c r="WZ47" i="8"/>
  <c r="WH47" i="8"/>
  <c r="VP47" i="8"/>
  <c r="UY47" i="8"/>
  <c r="UJ47" i="8"/>
  <c r="TR47" i="8"/>
  <c r="TC47" i="8"/>
  <c r="SN47" i="8"/>
  <c r="RX47" i="8"/>
  <c r="RI47" i="8"/>
  <c r="QU47" i="8"/>
  <c r="QH47" i="8"/>
  <c r="PU47" i="8"/>
  <c r="PH47" i="8"/>
  <c r="OU47" i="8"/>
  <c r="OH47" i="8"/>
  <c r="NU47" i="8"/>
  <c r="NH47" i="8"/>
  <c r="MT47" i="8"/>
  <c r="MG47" i="8"/>
  <c r="LT47" i="8"/>
  <c r="LG47" i="8"/>
  <c r="KT47" i="8"/>
  <c r="KG47" i="8"/>
  <c r="JT47" i="8"/>
  <c r="JG47" i="8"/>
  <c r="IT47" i="8"/>
  <c r="IG47" i="8"/>
  <c r="HT47" i="8"/>
  <c r="HF47" i="8"/>
  <c r="GS47" i="8"/>
  <c r="GF47" i="8"/>
  <c r="FS47" i="8"/>
  <c r="FF47" i="8"/>
  <c r="ES47" i="8"/>
  <c r="EF47" i="8"/>
  <c r="DS47" i="8"/>
  <c r="DF47" i="8"/>
  <c r="CS47" i="8"/>
  <c r="CF47" i="8"/>
  <c r="BR47" i="8"/>
  <c r="BE47" i="8"/>
  <c r="AR47" i="8"/>
  <c r="AE47" i="8"/>
  <c r="R47" i="8"/>
  <c r="E47" i="8"/>
  <c r="AJC47" i="8"/>
  <c r="ADL47" i="8"/>
  <c r="ABS47" i="8"/>
  <c r="AAU47" i="8"/>
  <c r="ZW47" i="8"/>
  <c r="ZA47" i="8"/>
  <c r="YG47" i="8"/>
  <c r="XQ47" i="8"/>
  <c r="WW47" i="8"/>
  <c r="WG47" i="8"/>
  <c r="VM47" i="8"/>
  <c r="UX47" i="8"/>
  <c r="UI47" i="8"/>
  <c r="TQ47" i="8"/>
  <c r="TB47" i="8"/>
  <c r="SM47" i="8"/>
  <c r="RV47" i="8"/>
  <c r="RH47" i="8"/>
  <c r="QT47" i="8"/>
  <c r="QG47" i="8"/>
  <c r="PT47" i="8"/>
  <c r="PG47" i="8"/>
  <c r="OT47" i="8"/>
  <c r="OG47" i="8"/>
  <c r="NT47" i="8"/>
  <c r="NF47" i="8"/>
  <c r="MS47" i="8"/>
  <c r="MF47" i="8"/>
  <c r="LS47" i="8"/>
  <c r="LF47" i="8"/>
  <c r="KS47" i="8"/>
  <c r="KF47" i="8"/>
  <c r="JS47" i="8"/>
  <c r="JF47" i="8"/>
  <c r="IS47" i="8"/>
  <c r="IF47" i="8"/>
  <c r="HR47" i="8"/>
  <c r="HE47" i="8"/>
  <c r="GR47" i="8"/>
  <c r="GE47" i="8"/>
  <c r="FR47" i="8"/>
  <c r="FE47" i="8"/>
  <c r="ER47" i="8"/>
  <c r="EE47" i="8"/>
  <c r="DR47" i="8"/>
  <c r="DE47" i="8"/>
  <c r="CR47" i="8"/>
  <c r="CD47" i="8"/>
  <c r="BQ47" i="8"/>
  <c r="BD47" i="8"/>
  <c r="AQ47" i="8"/>
  <c r="AD47" i="8"/>
  <c r="Q47" i="8"/>
  <c r="AIP47" i="8"/>
  <c r="ACZ47" i="8"/>
  <c r="ABP47" i="8"/>
  <c r="AAR47" i="8"/>
  <c r="ZT47" i="8"/>
  <c r="YZ47" i="8"/>
  <c r="YF47" i="8"/>
  <c r="XP47" i="8"/>
  <c r="WV47" i="8"/>
  <c r="WF47" i="8"/>
  <c r="VL47" i="8"/>
  <c r="UW47" i="8"/>
  <c r="UF47" i="8"/>
  <c r="TP47" i="8"/>
  <c r="TA47" i="8"/>
  <c r="SJ47" i="8"/>
  <c r="RU47" i="8"/>
  <c r="RG47" i="8"/>
  <c r="QS47" i="8"/>
  <c r="QF47" i="8"/>
  <c r="PS47" i="8"/>
  <c r="PF47" i="8"/>
  <c r="OS47" i="8"/>
  <c r="OF47" i="8"/>
  <c r="NR47" i="8"/>
  <c r="NE47" i="8"/>
  <c r="MR47" i="8"/>
  <c r="ME47" i="8"/>
  <c r="LR47" i="8"/>
  <c r="LE47" i="8"/>
  <c r="KR47" i="8"/>
  <c r="KE47" i="8"/>
  <c r="JR47" i="8"/>
  <c r="JE47" i="8"/>
  <c r="IR47" i="8"/>
  <c r="ID47" i="8"/>
  <c r="HQ47" i="8"/>
  <c r="HD47" i="8"/>
  <c r="GQ47" i="8"/>
  <c r="GD47" i="8"/>
  <c r="FQ47" i="8"/>
  <c r="FD47" i="8"/>
  <c r="EQ47" i="8"/>
  <c r="ED47" i="8"/>
  <c r="DQ47" i="8"/>
  <c r="DD47" i="8"/>
  <c r="CP47" i="8"/>
  <c r="CC47" i="8"/>
  <c r="BP47" i="8"/>
  <c r="BC47" i="8"/>
  <c r="AP47" i="8"/>
  <c r="AC47" i="8"/>
  <c r="P47" i="8"/>
  <c r="WE47" i="8"/>
  <c r="PE47" i="8"/>
  <c r="JD47" i="8"/>
  <c r="DB47" i="8"/>
  <c r="VK47" i="8"/>
  <c r="OR47" i="8"/>
  <c r="IP47" i="8"/>
  <c r="CO47" i="8"/>
  <c r="AOK47" i="8"/>
  <c r="UV47" i="8"/>
  <c r="OD47" i="8"/>
  <c r="IC47" i="8"/>
  <c r="CB47" i="8"/>
  <c r="AIC47" i="8"/>
  <c r="UD47" i="8"/>
  <c r="NQ47" i="8"/>
  <c r="HP47" i="8"/>
  <c r="BO47" i="8"/>
  <c r="ACN47" i="8"/>
  <c r="TO47" i="8"/>
  <c r="ND47" i="8"/>
  <c r="HC47" i="8"/>
  <c r="BB47" i="8"/>
  <c r="ABL47" i="8"/>
  <c r="SZ47" i="8"/>
  <c r="MQ47" i="8"/>
  <c r="GP47" i="8"/>
  <c r="AO47" i="8"/>
  <c r="AAN47" i="8"/>
  <c r="SH47" i="8"/>
  <c r="MD47" i="8"/>
  <c r="GC47" i="8"/>
  <c r="AB47" i="8"/>
  <c r="ZP47" i="8"/>
  <c r="RT47" i="8"/>
  <c r="LQ47" i="8"/>
  <c r="FP47" i="8"/>
  <c r="O47" i="8"/>
  <c r="YY47" i="8"/>
  <c r="RF47" i="8"/>
  <c r="LD47" i="8"/>
  <c r="FC47" i="8"/>
  <c r="YE47" i="8"/>
  <c r="QR47" i="8"/>
  <c r="KQ47" i="8"/>
  <c r="EP47" i="8"/>
  <c r="XO47" i="8"/>
  <c r="QE47" i="8"/>
  <c r="KD47" i="8"/>
  <c r="EC47" i="8"/>
  <c r="O27" i="8"/>
  <c r="AB27" i="8"/>
  <c r="AO27" i="8"/>
  <c r="BC27" i="8"/>
  <c r="BP27" i="8"/>
  <c r="CC27" i="8"/>
  <c r="CP27" i="8"/>
  <c r="DC27" i="8"/>
  <c r="DP27" i="8"/>
  <c r="EC27" i="8"/>
  <c r="EP27" i="8"/>
  <c r="FC27" i="8"/>
  <c r="FP27" i="8"/>
  <c r="GC27" i="8"/>
  <c r="GQ27" i="8"/>
  <c r="HD27" i="8"/>
  <c r="HQ27" i="8"/>
  <c r="ID27" i="8"/>
  <c r="IQ27" i="8"/>
  <c r="JD27" i="8"/>
  <c r="JQ27" i="8"/>
  <c r="KD27" i="8"/>
  <c r="KQ27" i="8"/>
  <c r="LD27" i="8"/>
  <c r="LQ27" i="8"/>
  <c r="ME27" i="8"/>
  <c r="MR27" i="8"/>
  <c r="NE27" i="8"/>
  <c r="NR27" i="8"/>
  <c r="OE27" i="8"/>
  <c r="OS27" i="8"/>
  <c r="PH27" i="8"/>
  <c r="PZ27" i="8"/>
  <c r="QO27" i="8"/>
  <c r="RD27" i="8"/>
  <c r="RV27" i="8"/>
  <c r="SK27" i="8"/>
  <c r="SZ27" i="8"/>
  <c r="TR27" i="8"/>
  <c r="UG27" i="8"/>
  <c r="UV27" i="8"/>
  <c r="VN27" i="8"/>
  <c r="WC27" i="8"/>
  <c r="WR27" i="8"/>
  <c r="XJ27" i="8"/>
  <c r="XY27" i="8"/>
  <c r="YN27" i="8"/>
  <c r="ZF27" i="8"/>
  <c r="ZU27" i="8"/>
  <c r="AAJ27" i="8"/>
  <c r="ABB27" i="8"/>
  <c r="ABQ27" i="8"/>
  <c r="ACI27" i="8"/>
  <c r="ADA27" i="8"/>
  <c r="ADS27" i="8"/>
  <c r="AEK27" i="8"/>
  <c r="AFC27" i="8"/>
  <c r="AFU27" i="8"/>
  <c r="AGM27" i="8"/>
  <c r="AHG27" i="8"/>
  <c r="AIQ27" i="8"/>
  <c r="AKQ27" i="8"/>
  <c r="X40" i="8"/>
  <c r="FM40" i="8"/>
  <c r="LU40" i="8"/>
  <c r="SM40" i="8"/>
  <c r="ZN40" i="8"/>
  <c r="AIJ40" i="8"/>
  <c r="P27" i="8"/>
  <c r="AC27" i="8"/>
  <c r="AQ27" i="8"/>
  <c r="BD27" i="8"/>
  <c r="BQ27" i="8"/>
  <c r="CD27" i="8"/>
  <c r="CQ27" i="8"/>
  <c r="DD27" i="8"/>
  <c r="DQ27" i="8"/>
  <c r="ED27" i="8"/>
  <c r="EQ27" i="8"/>
  <c r="FD27" i="8"/>
  <c r="FQ27" i="8"/>
  <c r="GE27" i="8"/>
  <c r="GR27" i="8"/>
  <c r="HE27" i="8"/>
  <c r="HR27" i="8"/>
  <c r="IE27" i="8"/>
  <c r="IR27" i="8"/>
  <c r="JE27" i="8"/>
  <c r="JR27" i="8"/>
  <c r="KE27" i="8"/>
  <c r="KR27" i="8"/>
  <c r="LE27" i="8"/>
  <c r="LS27" i="8"/>
  <c r="MF27" i="8"/>
  <c r="MS27" i="8"/>
  <c r="NF27" i="8"/>
  <c r="NS27" i="8"/>
  <c r="OF27" i="8"/>
  <c r="OT27" i="8"/>
  <c r="PI27" i="8"/>
  <c r="QA27" i="8"/>
  <c r="QP27" i="8"/>
  <c r="RE27" i="8"/>
  <c r="RW27" i="8"/>
  <c r="SL27" i="8"/>
  <c r="TA27" i="8"/>
  <c r="TS27" i="8"/>
  <c r="UH27" i="8"/>
  <c r="UW27" i="8"/>
  <c r="VO27" i="8"/>
  <c r="WD27" i="8"/>
  <c r="WS27" i="8"/>
  <c r="XK27" i="8"/>
  <c r="XZ27" i="8"/>
  <c r="YO27" i="8"/>
  <c r="ZG27" i="8"/>
  <c r="ZV27" i="8"/>
  <c r="AAK27" i="8"/>
  <c r="ABC27" i="8"/>
  <c r="ABR27" i="8"/>
  <c r="ACL27" i="8"/>
  <c r="ADB27" i="8"/>
  <c r="ADV27" i="8"/>
  <c r="AEL27" i="8"/>
  <c r="AFF27" i="8"/>
  <c r="AFV27" i="8"/>
  <c r="AGQ27" i="8"/>
  <c r="AHH27" i="8"/>
  <c r="AIR27" i="8"/>
  <c r="ALC27" i="8"/>
  <c r="AJ40" i="8"/>
  <c r="FZ40" i="8"/>
  <c r="MK40" i="8"/>
  <c r="TA40" i="8"/>
  <c r="AAC40" i="8"/>
  <c r="ANC40" i="8"/>
  <c r="AGE27" i="8"/>
  <c r="D54" i="8"/>
  <c r="Q27" i="8"/>
  <c r="AE27" i="8"/>
  <c r="AR27" i="8"/>
  <c r="BE27" i="8"/>
  <c r="BR27" i="8"/>
  <c r="CE27" i="8"/>
  <c r="CR27" i="8"/>
  <c r="DE27" i="8"/>
  <c r="DR27" i="8"/>
  <c r="EE27" i="8"/>
  <c r="ER27" i="8"/>
  <c r="FE27" i="8"/>
  <c r="FS27" i="8"/>
  <c r="GF27" i="8"/>
  <c r="GS27" i="8"/>
  <c r="HF27" i="8"/>
  <c r="HS27" i="8"/>
  <c r="IF27" i="8"/>
  <c r="IS27" i="8"/>
  <c r="JF27" i="8"/>
  <c r="JS27" i="8"/>
  <c r="KF27" i="8"/>
  <c r="KS27" i="8"/>
  <c r="LG27" i="8"/>
  <c r="LT27" i="8"/>
  <c r="MG27" i="8"/>
  <c r="MT27" i="8"/>
  <c r="NG27" i="8"/>
  <c r="NT27" i="8"/>
  <c r="OG27" i="8"/>
  <c r="OU27" i="8"/>
  <c r="PK27" i="8"/>
  <c r="QB27" i="8"/>
  <c r="QQ27" i="8"/>
  <c r="RG27" i="8"/>
  <c r="RX27" i="8"/>
  <c r="SM27" i="8"/>
  <c r="TC27" i="8"/>
  <c r="TT27" i="8"/>
  <c r="UI27" i="8"/>
  <c r="UY27" i="8"/>
  <c r="VP27" i="8"/>
  <c r="WE27" i="8"/>
  <c r="WU27" i="8"/>
  <c r="XL27" i="8"/>
  <c r="YA27" i="8"/>
  <c r="YQ27" i="8"/>
  <c r="ZH27" i="8"/>
  <c r="ZW27" i="8"/>
  <c r="AAM27" i="8"/>
  <c r="ABD27" i="8"/>
  <c r="ABS27" i="8"/>
  <c r="ACM27" i="8"/>
  <c r="ADC27" i="8"/>
  <c r="ADW27" i="8"/>
  <c r="AEM27" i="8"/>
  <c r="AFG27" i="8"/>
  <c r="AFW27" i="8"/>
  <c r="AGR27" i="8"/>
  <c r="AHK27" i="8"/>
  <c r="AIU27" i="8"/>
  <c r="ALO27" i="8"/>
  <c r="AV40" i="8"/>
  <c r="GM40" i="8"/>
  <c r="MY40" i="8"/>
  <c r="TO40" i="8"/>
  <c r="AAU40" i="8"/>
  <c r="DP47" i="8"/>
  <c r="AGV27" i="8"/>
  <c r="E27" i="8"/>
  <c r="S27" i="8"/>
  <c r="AF27" i="8"/>
  <c r="AS27" i="8"/>
  <c r="BF27" i="8"/>
  <c r="BS27" i="8"/>
  <c r="CF27" i="8"/>
  <c r="CS27" i="8"/>
  <c r="DF27" i="8"/>
  <c r="DS27" i="8"/>
  <c r="EF27" i="8"/>
  <c r="ES27" i="8"/>
  <c r="FG27" i="8"/>
  <c r="FT27" i="8"/>
  <c r="GG27" i="8"/>
  <c r="GT27" i="8"/>
  <c r="HG27" i="8"/>
  <c r="HT27" i="8"/>
  <c r="IG27" i="8"/>
  <c r="IT27" i="8"/>
  <c r="JG27" i="8"/>
  <c r="JT27" i="8"/>
  <c r="KG27" i="8"/>
  <c r="KU27" i="8"/>
  <c r="LH27" i="8"/>
  <c r="LU27" i="8"/>
  <c r="MH27" i="8"/>
  <c r="MU27" i="8"/>
  <c r="NH27" i="8"/>
  <c r="NU27" i="8"/>
  <c r="OH27" i="8"/>
  <c r="OV27" i="8"/>
  <c r="PN27" i="8"/>
  <c r="QC27" i="8"/>
  <c r="QR27" i="8"/>
  <c r="RJ27" i="8"/>
  <c r="RY27" i="8"/>
  <c r="SN27" i="8"/>
  <c r="TF27" i="8"/>
  <c r="TU27" i="8"/>
  <c r="UJ27" i="8"/>
  <c r="VB27" i="8"/>
  <c r="VQ27" i="8"/>
  <c r="WF27" i="8"/>
  <c r="WX27" i="8"/>
  <c r="XM27" i="8"/>
  <c r="YB27" i="8"/>
  <c r="YT27" i="8"/>
  <c r="ZI27" i="8"/>
  <c r="ZX27" i="8"/>
  <c r="AAP27" i="8"/>
  <c r="ABE27" i="8"/>
  <c r="ABT27" i="8"/>
  <c r="ACN27" i="8"/>
  <c r="ADD27" i="8"/>
  <c r="ADX27" i="8"/>
  <c r="AEN27" i="8"/>
  <c r="AFH27" i="8"/>
  <c r="AFX27" i="8"/>
  <c r="AGS27" i="8"/>
  <c r="AHQ27" i="8"/>
  <c r="AJA27" i="8"/>
  <c r="AMA27" i="8"/>
  <c r="BH40" i="8"/>
  <c r="GZ40" i="8"/>
  <c r="NM40" i="8"/>
  <c r="UC40" i="8"/>
  <c r="ABJ40" i="8"/>
  <c r="JQ47" i="8"/>
  <c r="AFK27" i="8"/>
  <c r="G27" i="8"/>
  <c r="T27" i="8"/>
  <c r="AG27" i="8"/>
  <c r="AT27" i="8"/>
  <c r="BG27" i="8"/>
  <c r="BT27" i="8"/>
  <c r="CG27" i="8"/>
  <c r="CT27" i="8"/>
  <c r="DG27" i="8"/>
  <c r="DT27" i="8"/>
  <c r="EG27" i="8"/>
  <c r="EU27" i="8"/>
  <c r="FH27" i="8"/>
  <c r="FU27" i="8"/>
  <c r="GH27" i="8"/>
  <c r="GU27" i="8"/>
  <c r="HH27" i="8"/>
  <c r="HU27" i="8"/>
  <c r="IH27" i="8"/>
  <c r="IU27" i="8"/>
  <c r="JH27" i="8"/>
  <c r="JU27" i="8"/>
  <c r="KI27" i="8"/>
  <c r="KV27" i="8"/>
  <c r="LI27" i="8"/>
  <c r="LV27" i="8"/>
  <c r="MI27" i="8"/>
  <c r="MV27" i="8"/>
  <c r="NI27" i="8"/>
  <c r="NV27" i="8"/>
  <c r="OI27" i="8"/>
  <c r="OW27" i="8"/>
  <c r="PO27" i="8"/>
  <c r="QD27" i="8"/>
  <c r="QS27" i="8"/>
  <c r="RK27" i="8"/>
  <c r="RZ27" i="8"/>
  <c r="SO27" i="8"/>
  <c r="TG27" i="8"/>
  <c r="TV27" i="8"/>
  <c r="UK27" i="8"/>
  <c r="VC27" i="8"/>
  <c r="VR27" i="8"/>
  <c r="WG27" i="8"/>
  <c r="WY27" i="8"/>
  <c r="XN27" i="8"/>
  <c r="YC27" i="8"/>
  <c r="YU27" i="8"/>
  <c r="ZJ27" i="8"/>
  <c r="ZY27" i="8"/>
  <c r="AAQ27" i="8"/>
  <c r="ABF27" i="8"/>
  <c r="ABW27" i="8"/>
  <c r="ACO27" i="8"/>
  <c r="ADG27" i="8"/>
  <c r="ADY27" i="8"/>
  <c r="AEQ27" i="8"/>
  <c r="AFI27" i="8"/>
  <c r="AGA27" i="8"/>
  <c r="AGT27" i="8"/>
  <c r="AHS27" i="8"/>
  <c r="AJC27" i="8"/>
  <c r="AMM27" i="8"/>
  <c r="BT40" i="8"/>
  <c r="HM40" i="8"/>
  <c r="OA40" i="8"/>
  <c r="US40" i="8"/>
  <c r="ACA40" i="8"/>
  <c r="PR47" i="8"/>
  <c r="AHW27" i="8"/>
  <c r="H27" i="8"/>
  <c r="U27" i="8"/>
  <c r="AH27" i="8"/>
  <c r="AU27" i="8"/>
  <c r="BH27" i="8"/>
  <c r="BU27" i="8"/>
  <c r="CH27" i="8"/>
  <c r="CU27" i="8"/>
  <c r="DH27" i="8"/>
  <c r="DU27" i="8"/>
  <c r="EI27" i="8"/>
  <c r="EV27" i="8"/>
  <c r="FI27" i="8"/>
  <c r="FV27" i="8"/>
  <c r="GI27" i="8"/>
  <c r="GV27" i="8"/>
  <c r="HI27" i="8"/>
  <c r="HV27" i="8"/>
  <c r="II27" i="8"/>
  <c r="IV27" i="8"/>
  <c r="JI27" i="8"/>
  <c r="JW27" i="8"/>
  <c r="KJ27" i="8"/>
  <c r="KW27" i="8"/>
  <c r="LJ27" i="8"/>
  <c r="LW27" i="8"/>
  <c r="MJ27" i="8"/>
  <c r="MW27" i="8"/>
  <c r="NJ27" i="8"/>
  <c r="NW27" i="8"/>
  <c r="OJ27" i="8"/>
  <c r="OY27" i="8"/>
  <c r="PP27" i="8"/>
  <c r="QE27" i="8"/>
  <c r="QU27" i="8"/>
  <c r="RL27" i="8"/>
  <c r="SA27" i="8"/>
  <c r="SQ27" i="8"/>
  <c r="TH27" i="8"/>
  <c r="TW27" i="8"/>
  <c r="UM27" i="8"/>
  <c r="VD27" i="8"/>
  <c r="VS27" i="8"/>
  <c r="WI27" i="8"/>
  <c r="WZ27" i="8"/>
  <c r="XO27" i="8"/>
  <c r="YE27" i="8"/>
  <c r="YV27" i="8"/>
  <c r="ZK27" i="8"/>
  <c r="AAA27" i="8"/>
  <c r="AAR27" i="8"/>
  <c r="ABG27" i="8"/>
  <c r="ABZ27" i="8"/>
  <c r="ACP27" i="8"/>
  <c r="ADJ27" i="8"/>
  <c r="ADZ27" i="8"/>
  <c r="AET27" i="8"/>
  <c r="AFJ27" i="8"/>
  <c r="AGD27" i="8"/>
  <c r="AGU27" i="8"/>
  <c r="AHT27" i="8"/>
  <c r="AJD27" i="8"/>
  <c r="AMY27" i="8"/>
  <c r="CF40" i="8"/>
  <c r="HZ40" i="8"/>
  <c r="OO40" i="8"/>
  <c r="VG40" i="8"/>
  <c r="ACS40" i="8"/>
  <c r="WU47" i="8"/>
  <c r="L33" i="8"/>
  <c r="DP33" i="8"/>
  <c r="HT33" i="8"/>
  <c r="LX33" i="8"/>
  <c r="AJJ33" i="8"/>
  <c r="QB33" i="8"/>
  <c r="AL33" i="8"/>
  <c r="EP33" i="8"/>
  <c r="IT33" i="8"/>
  <c r="MX33" i="8"/>
  <c r="RV33" i="8"/>
  <c r="ABV33" i="8"/>
  <c r="ALS33" i="8"/>
  <c r="ZI33" i="8"/>
  <c r="AT33" i="8"/>
  <c r="EX33" i="8"/>
  <c r="JB33" i="8"/>
  <c r="NF33" i="8"/>
  <c r="SP33" i="8"/>
  <c r="ACM33" i="8"/>
  <c r="AMO33" i="8"/>
  <c r="AU33" i="8"/>
  <c r="EY33" i="8"/>
  <c r="JC33" i="8"/>
  <c r="NG33" i="8"/>
  <c r="SS33" i="8"/>
  <c r="ACO33" i="8"/>
  <c r="AMP33" i="8"/>
  <c r="AV33" i="8"/>
  <c r="EZ33" i="8"/>
  <c r="JD33" i="8"/>
  <c r="NH33" i="8"/>
  <c r="ST33" i="8"/>
  <c r="ACT33" i="8"/>
  <c r="AMQ33" i="8"/>
  <c r="BV33" i="8"/>
  <c r="FZ33" i="8"/>
  <c r="KD33" i="8"/>
  <c r="OH33" i="8"/>
  <c r="VC33" i="8"/>
  <c r="AFE33" i="8"/>
  <c r="CD33" i="8"/>
  <c r="GH33" i="8"/>
  <c r="KL33" i="8"/>
  <c r="OP33" i="8"/>
  <c r="VY33" i="8"/>
  <c r="AFU33" i="8"/>
  <c r="CE33" i="8"/>
  <c r="GI33" i="8"/>
  <c r="KM33" i="8"/>
  <c r="OQ33" i="8"/>
  <c r="VZ33" i="8"/>
  <c r="AFZ33" i="8"/>
  <c r="CF33" i="8"/>
  <c r="GJ33" i="8"/>
  <c r="KN33" i="8"/>
  <c r="OR33" i="8"/>
  <c r="WA33" i="8"/>
  <c r="AGC33" i="8"/>
  <c r="N33" i="8"/>
  <c r="AX33" i="8"/>
  <c r="CH33" i="8"/>
  <c r="DR33" i="8"/>
  <c r="FB33" i="8"/>
  <c r="GL33" i="8"/>
  <c r="HV33" i="8"/>
  <c r="JF33" i="8"/>
  <c r="KP33" i="8"/>
  <c r="LZ33" i="8"/>
  <c r="NJ33" i="8"/>
  <c r="OT33" i="8"/>
  <c r="QD33" i="8"/>
  <c r="SW33" i="8"/>
  <c r="WH33" i="8"/>
  <c r="ZQ33" i="8"/>
  <c r="ACX33" i="8"/>
  <c r="AGE33" i="8"/>
  <c r="AJM33" i="8"/>
  <c r="AMX33" i="8"/>
  <c r="V33" i="8"/>
  <c r="BF33" i="8"/>
  <c r="CP33" i="8"/>
  <c r="DZ33" i="8"/>
  <c r="FJ33" i="8"/>
  <c r="GT33" i="8"/>
  <c r="ID33" i="8"/>
  <c r="JN33" i="8"/>
  <c r="KX33" i="8"/>
  <c r="MH33" i="8"/>
  <c r="NR33" i="8"/>
  <c r="PB33" i="8"/>
  <c r="QL33" i="8"/>
  <c r="TR33" i="8"/>
  <c r="WY33" i="8"/>
  <c r="AAG33" i="8"/>
  <c r="ADR33" i="8"/>
  <c r="AHA33" i="8"/>
  <c r="AKH33" i="8"/>
  <c r="ANO33" i="8"/>
  <c r="W33" i="8"/>
  <c r="BG33" i="8"/>
  <c r="CQ33" i="8"/>
  <c r="EA33" i="8"/>
  <c r="FK33" i="8"/>
  <c r="GU33" i="8"/>
  <c r="IE33" i="8"/>
  <c r="JO33" i="8"/>
  <c r="KY33" i="8"/>
  <c r="MI33" i="8"/>
  <c r="NS33" i="8"/>
  <c r="PC33" i="8"/>
  <c r="QM33" i="8"/>
  <c r="TS33" i="8"/>
  <c r="XA33" i="8"/>
  <c r="AAL33" i="8"/>
  <c r="ADU33" i="8"/>
  <c r="AHB33" i="8"/>
  <c r="AKI33" i="8"/>
  <c r="ANQ33" i="8"/>
  <c r="X33" i="8"/>
  <c r="BH33" i="8"/>
  <c r="CR33" i="8"/>
  <c r="EB33" i="8"/>
  <c r="FL33" i="8"/>
  <c r="GV33" i="8"/>
  <c r="IF33" i="8"/>
  <c r="JP33" i="8"/>
  <c r="KZ33" i="8"/>
  <c r="MJ33" i="8"/>
  <c r="NT33" i="8"/>
  <c r="PD33" i="8"/>
  <c r="QN33" i="8"/>
  <c r="TU33" i="8"/>
  <c r="XF33" i="8"/>
  <c r="AAO33" i="8"/>
  <c r="ADV33" i="8"/>
  <c r="AHC33" i="8"/>
  <c r="AKK33" i="8"/>
  <c r="ANV33" i="8"/>
  <c r="Z33" i="8"/>
  <c r="BJ33" i="8"/>
  <c r="CT33" i="8"/>
  <c r="ED33" i="8"/>
  <c r="FN33" i="8"/>
  <c r="GX33" i="8"/>
  <c r="IH33" i="8"/>
  <c r="JR33" i="8"/>
  <c r="LB33" i="8"/>
  <c r="ML33" i="8"/>
  <c r="NV33" i="8"/>
  <c r="PF33" i="8"/>
  <c r="QT33" i="8"/>
  <c r="UC33" i="8"/>
  <c r="XJ33" i="8"/>
  <c r="AAQ33" i="8"/>
  <c r="ADY33" i="8"/>
  <c r="AHJ33" i="8"/>
  <c r="AKS33" i="8"/>
  <c r="ANZ33" i="8"/>
  <c r="AH33" i="8"/>
  <c r="BR33" i="8"/>
  <c r="DB33" i="8"/>
  <c r="EL33" i="8"/>
  <c r="FV33" i="8"/>
  <c r="HF33" i="8"/>
  <c r="IP33" i="8"/>
  <c r="JZ33" i="8"/>
  <c r="LJ33" i="8"/>
  <c r="MT33" i="8"/>
  <c r="OD33" i="8"/>
  <c r="PN33" i="8"/>
  <c r="RK33" i="8"/>
  <c r="US33" i="8"/>
  <c r="YD33" i="8"/>
  <c r="ABM33" i="8"/>
  <c r="AET33" i="8"/>
  <c r="AIA33" i="8"/>
  <c r="ALI33" i="8"/>
  <c r="AI33" i="8"/>
  <c r="BS33" i="8"/>
  <c r="DC33" i="8"/>
  <c r="EM33" i="8"/>
  <c r="FW33" i="8"/>
  <c r="HG33" i="8"/>
  <c r="IQ33" i="8"/>
  <c r="KA33" i="8"/>
  <c r="LK33" i="8"/>
  <c r="MU33" i="8"/>
  <c r="OE33" i="8"/>
  <c r="PO33" i="8"/>
  <c r="RM33" i="8"/>
  <c r="UX33" i="8"/>
  <c r="YG33" i="8"/>
  <c r="ABN33" i="8"/>
  <c r="AEU33" i="8"/>
  <c r="AIC33" i="8"/>
  <c r="ALN33" i="8"/>
  <c r="AJ33" i="8"/>
  <c r="BT33" i="8"/>
  <c r="DD33" i="8"/>
  <c r="EN33" i="8"/>
  <c r="FX33" i="8"/>
  <c r="HH33" i="8"/>
  <c r="IR33" i="8"/>
  <c r="KB33" i="8"/>
  <c r="LL33" i="8"/>
  <c r="MV33" i="8"/>
  <c r="OF33" i="8"/>
  <c r="PP33" i="8"/>
  <c r="RR33" i="8"/>
  <c r="VA33" i="8"/>
  <c r="YH33" i="8"/>
  <c r="ABO33" i="8"/>
  <c r="AEW33" i="8"/>
  <c r="AIH33" i="8"/>
  <c r="ALQ33" i="8"/>
  <c r="M33" i="8"/>
  <c r="Y33" i="8"/>
  <c r="AK33" i="8"/>
  <c r="AW33" i="8"/>
  <c r="BI33" i="8"/>
  <c r="BU33" i="8"/>
  <c r="CG33" i="8"/>
  <c r="CS33" i="8"/>
  <c r="DE33" i="8"/>
  <c r="DQ33" i="8"/>
  <c r="EC33" i="8"/>
  <c r="EO33" i="8"/>
  <c r="FA33" i="8"/>
  <c r="FM33" i="8"/>
  <c r="FY33" i="8"/>
  <c r="GK33" i="8"/>
  <c r="GW33" i="8"/>
  <c r="HI33" i="8"/>
  <c r="HU33" i="8"/>
  <c r="IG33" i="8"/>
  <c r="IS33" i="8"/>
  <c r="JE33" i="8"/>
  <c r="JQ33" i="8"/>
  <c r="KC33" i="8"/>
  <c r="KO33" i="8"/>
  <c r="LA33" i="8"/>
  <c r="LM33" i="8"/>
  <c r="LY33" i="8"/>
  <c r="MK33" i="8"/>
  <c r="MW33" i="8"/>
  <c r="NI33" i="8"/>
  <c r="NU33" i="8"/>
  <c r="OG33" i="8"/>
  <c r="OS33" i="8"/>
  <c r="PE33" i="8"/>
  <c r="PQ33" i="8"/>
  <c r="QC33" i="8"/>
  <c r="QO33" i="8"/>
  <c r="RU33" i="8"/>
  <c r="SU33" i="8"/>
  <c r="TZ33" i="8"/>
  <c r="VB33" i="8"/>
  <c r="WC33" i="8"/>
  <c r="XI33" i="8"/>
  <c r="YI33" i="8"/>
  <c r="ZN33" i="8"/>
  <c r="AAP33" i="8"/>
  <c r="ABQ33" i="8"/>
  <c r="ACW33" i="8"/>
  <c r="ADW33" i="8"/>
  <c r="AFB33" i="8"/>
  <c r="AGD33" i="8"/>
  <c r="AHE33" i="8"/>
  <c r="AIK33" i="8"/>
  <c r="AJK33" i="8"/>
  <c r="AKP33" i="8"/>
  <c r="ALR33" i="8"/>
  <c r="AMS33" i="8"/>
  <c r="ANY33" i="8"/>
  <c r="O33" i="8"/>
  <c r="AA33" i="8"/>
  <c r="AM33" i="8"/>
  <c r="AY33" i="8"/>
  <c r="BK33" i="8"/>
  <c r="BW33" i="8"/>
  <c r="CI33" i="8"/>
  <c r="CU33" i="8"/>
  <c r="DG33" i="8"/>
  <c r="DS33" i="8"/>
  <c r="EE33" i="8"/>
  <c r="EQ33" i="8"/>
  <c r="FC33" i="8"/>
  <c r="FO33" i="8"/>
  <c r="GA33" i="8"/>
  <c r="GM33" i="8"/>
  <c r="GY33" i="8"/>
  <c r="HK33" i="8"/>
  <c r="HW33" i="8"/>
  <c r="II33" i="8"/>
  <c r="IU33" i="8"/>
  <c r="JG33" i="8"/>
  <c r="JS33" i="8"/>
  <c r="KE33" i="8"/>
  <c r="KQ33" i="8"/>
  <c r="LC33" i="8"/>
  <c r="LO33" i="8"/>
  <c r="MA33" i="8"/>
  <c r="MM33" i="8"/>
  <c r="MY33" i="8"/>
  <c r="NK33" i="8"/>
  <c r="NW33" i="8"/>
  <c r="OI33" i="8"/>
  <c r="OU33" i="8"/>
  <c r="PG33" i="8"/>
  <c r="PS33" i="8"/>
  <c r="QE33" i="8"/>
  <c r="QW33" i="8"/>
  <c r="RW33" i="8"/>
  <c r="TB33" i="8"/>
  <c r="UD33" i="8"/>
  <c r="VE33" i="8"/>
  <c r="WK33" i="8"/>
  <c r="XK33" i="8"/>
  <c r="YP33" i="8"/>
  <c r="ZR33" i="8"/>
  <c r="AAS33" i="8"/>
  <c r="ABY33" i="8"/>
  <c r="ACY33" i="8"/>
  <c r="AED33" i="8"/>
  <c r="AFF33" i="8"/>
  <c r="AGG33" i="8"/>
  <c r="AHM33" i="8"/>
  <c r="AIM33" i="8"/>
  <c r="AJR33" i="8"/>
  <c r="AKT33" i="8"/>
  <c r="ALU33" i="8"/>
  <c r="ANA33" i="8"/>
  <c r="AOA33" i="8"/>
  <c r="P33" i="8"/>
  <c r="AB33" i="8"/>
  <c r="AN33" i="8"/>
  <c r="AZ33" i="8"/>
  <c r="BL33" i="8"/>
  <c r="BX33" i="8"/>
  <c r="CJ33" i="8"/>
  <c r="CV33" i="8"/>
  <c r="DH33" i="8"/>
  <c r="DT33" i="8"/>
  <c r="EF33" i="8"/>
  <c r="ER33" i="8"/>
  <c r="FD33" i="8"/>
  <c r="FP33" i="8"/>
  <c r="GB33" i="8"/>
  <c r="GN33" i="8"/>
  <c r="GZ33" i="8"/>
  <c r="HL33" i="8"/>
  <c r="HX33" i="8"/>
  <c r="IJ33" i="8"/>
  <c r="IV33" i="8"/>
  <c r="JH33" i="8"/>
  <c r="JT33" i="8"/>
  <c r="KF33" i="8"/>
  <c r="KR33" i="8"/>
  <c r="LD33" i="8"/>
  <c r="LP33" i="8"/>
  <c r="MB33" i="8"/>
  <c r="MN33" i="8"/>
  <c r="MZ33" i="8"/>
  <c r="NL33" i="8"/>
  <c r="NX33" i="8"/>
  <c r="OJ33" i="8"/>
  <c r="OV33" i="8"/>
  <c r="PH33" i="8"/>
  <c r="PT33" i="8"/>
  <c r="QF33" i="8"/>
  <c r="QX33" i="8"/>
  <c r="RY33" i="8"/>
  <c r="TE33" i="8"/>
  <c r="UE33" i="8"/>
  <c r="VJ33" i="8"/>
  <c r="WL33" i="8"/>
  <c r="XM33" i="8"/>
  <c r="YS33" i="8"/>
  <c r="ZS33" i="8"/>
  <c r="AAX33" i="8"/>
  <c r="ABZ33" i="8"/>
  <c r="ADA33" i="8"/>
  <c r="AEG33" i="8"/>
  <c r="AFG33" i="8"/>
  <c r="AGL33" i="8"/>
  <c r="AHN33" i="8"/>
  <c r="AIO33" i="8"/>
  <c r="AJU33" i="8"/>
  <c r="AKU33" i="8"/>
  <c r="ALZ33" i="8"/>
  <c r="ANB33" i="8"/>
  <c r="AOC33" i="8"/>
  <c r="Q33" i="8"/>
  <c r="AC33" i="8"/>
  <c r="AO33" i="8"/>
  <c r="BA33" i="8"/>
  <c r="BM33" i="8"/>
  <c r="BY33" i="8"/>
  <c r="CK33" i="8"/>
  <c r="CW33" i="8"/>
  <c r="DI33" i="8"/>
  <c r="DU33" i="8"/>
  <c r="EG33" i="8"/>
  <c r="ES33" i="8"/>
  <c r="FE33" i="8"/>
  <c r="FQ33" i="8"/>
  <c r="GC33" i="8"/>
  <c r="GO33" i="8"/>
  <c r="HA33" i="8"/>
  <c r="HM33" i="8"/>
  <c r="HY33" i="8"/>
  <c r="IK33" i="8"/>
  <c r="IW33" i="8"/>
  <c r="JI33" i="8"/>
  <c r="JU33" i="8"/>
  <c r="KG33" i="8"/>
  <c r="KS33" i="8"/>
  <c r="LE33" i="8"/>
  <c r="LQ33" i="8"/>
  <c r="MC33" i="8"/>
  <c r="MO33" i="8"/>
  <c r="NA33" i="8"/>
  <c r="NM33" i="8"/>
  <c r="NY33" i="8"/>
  <c r="OK33" i="8"/>
  <c r="OW33" i="8"/>
  <c r="PI33" i="8"/>
  <c r="PU33" i="8"/>
  <c r="QG33" i="8"/>
  <c r="QY33" i="8"/>
  <c r="SD33" i="8"/>
  <c r="TF33" i="8"/>
  <c r="UG33" i="8"/>
  <c r="VM33" i="8"/>
  <c r="WM33" i="8"/>
  <c r="XR33" i="8"/>
  <c r="YT33" i="8"/>
  <c r="ZU33" i="8"/>
  <c r="ABA33" i="8"/>
  <c r="ACA33" i="8"/>
  <c r="ADF33" i="8"/>
  <c r="AEH33" i="8"/>
  <c r="AFI33" i="8"/>
  <c r="AGO33" i="8"/>
  <c r="AHO33" i="8"/>
  <c r="AIT33" i="8"/>
  <c r="AJV33" i="8"/>
  <c r="AKW33" i="8"/>
  <c r="AMC33" i="8"/>
  <c r="ANC33" i="8"/>
  <c r="AOH33" i="8"/>
  <c r="F33" i="8"/>
  <c r="R33" i="8"/>
  <c r="AD33" i="8"/>
  <c r="AP33" i="8"/>
  <c r="BB33" i="8"/>
  <c r="BN33" i="8"/>
  <c r="BZ33" i="8"/>
  <c r="CL33" i="8"/>
  <c r="CX33" i="8"/>
  <c r="DJ33" i="8"/>
  <c r="DV33" i="8"/>
  <c r="EH33" i="8"/>
  <c r="ET33" i="8"/>
  <c r="FF33" i="8"/>
  <c r="FR33" i="8"/>
  <c r="GD33" i="8"/>
  <c r="GP33" i="8"/>
  <c r="HB33" i="8"/>
  <c r="HN33" i="8"/>
  <c r="HZ33" i="8"/>
  <c r="IL33" i="8"/>
  <c r="IX33" i="8"/>
  <c r="JJ33" i="8"/>
  <c r="JV33" i="8"/>
  <c r="KH33" i="8"/>
  <c r="KT33" i="8"/>
  <c r="LF33" i="8"/>
  <c r="LR33" i="8"/>
  <c r="MD33" i="8"/>
  <c r="MP33" i="8"/>
  <c r="NB33" i="8"/>
  <c r="NN33" i="8"/>
  <c r="NZ33" i="8"/>
  <c r="OL33" i="8"/>
  <c r="OX33" i="8"/>
  <c r="PJ33" i="8"/>
  <c r="PV33" i="8"/>
  <c r="QH33" i="8"/>
  <c r="RA33" i="8"/>
  <c r="SG33" i="8"/>
  <c r="TG33" i="8"/>
  <c r="UL33" i="8"/>
  <c r="VN33" i="8"/>
  <c r="WO33" i="8"/>
  <c r="XU33" i="8"/>
  <c r="YU33" i="8"/>
  <c r="ZZ33" i="8"/>
  <c r="ABB33" i="8"/>
  <c r="ACC33" i="8"/>
  <c r="ADI33" i="8"/>
  <c r="AEI33" i="8"/>
  <c r="AFN33" i="8"/>
  <c r="AGP33" i="8"/>
  <c r="AHQ33" i="8"/>
  <c r="AIW33" i="8"/>
  <c r="AJW33" i="8"/>
  <c r="ALB33" i="8"/>
  <c r="AMD33" i="8"/>
  <c r="ANE33" i="8"/>
  <c r="AOK33" i="8"/>
  <c r="G33" i="8"/>
  <c r="S33" i="8"/>
  <c r="AE33" i="8"/>
  <c r="AQ33" i="8"/>
  <c r="BC33" i="8"/>
  <c r="BO33" i="8"/>
  <c r="CA33" i="8"/>
  <c r="CM33" i="8"/>
  <c r="CY33" i="8"/>
  <c r="DK33" i="8"/>
  <c r="DW33" i="8"/>
  <c r="EI33" i="8"/>
  <c r="EU33" i="8"/>
  <c r="FG33" i="8"/>
  <c r="FS33" i="8"/>
  <c r="GE33" i="8"/>
  <c r="GQ33" i="8"/>
  <c r="HC33" i="8"/>
  <c r="HO33" i="8"/>
  <c r="IA33" i="8"/>
  <c r="IM33" i="8"/>
  <c r="IY33" i="8"/>
  <c r="JK33" i="8"/>
  <c r="JW33" i="8"/>
  <c r="KI33" i="8"/>
  <c r="KU33" i="8"/>
  <c r="LG33" i="8"/>
  <c r="LS33" i="8"/>
  <c r="ME33" i="8"/>
  <c r="MQ33" i="8"/>
  <c r="NC33" i="8"/>
  <c r="NO33" i="8"/>
  <c r="OA33" i="8"/>
  <c r="OM33" i="8"/>
  <c r="OY33" i="8"/>
  <c r="PK33" i="8"/>
  <c r="PW33" i="8"/>
  <c r="QI33" i="8"/>
  <c r="RF33" i="8"/>
  <c r="SH33" i="8"/>
  <c r="TI33" i="8"/>
  <c r="UO33" i="8"/>
  <c r="VO33" i="8"/>
  <c r="WT33" i="8"/>
  <c r="XV33" i="8"/>
  <c r="YW33" i="8"/>
  <c r="AAC33" i="8"/>
  <c r="ABC33" i="8"/>
  <c r="ACH33" i="8"/>
  <c r="ADJ33" i="8"/>
  <c r="AEK33" i="8"/>
  <c r="AFQ33" i="8"/>
  <c r="AGQ33" i="8"/>
  <c r="AHV33" i="8"/>
  <c r="AIX33" i="8"/>
  <c r="AJY33" i="8"/>
  <c r="ALE33" i="8"/>
  <c r="AME33" i="8"/>
  <c r="ANJ33" i="8"/>
  <c r="AOL33" i="8"/>
  <c r="H33" i="8"/>
  <c r="T33" i="8"/>
  <c r="AF33" i="8"/>
  <c r="AR33" i="8"/>
  <c r="BD33" i="8"/>
  <c r="BP33" i="8"/>
  <c r="CB33" i="8"/>
  <c r="CN33" i="8"/>
  <c r="CZ33" i="8"/>
  <c r="DL33" i="8"/>
  <c r="DX33" i="8"/>
  <c r="EJ33" i="8"/>
  <c r="EV33" i="8"/>
  <c r="FH33" i="8"/>
  <c r="FT33" i="8"/>
  <c r="GF33" i="8"/>
  <c r="GR33" i="8"/>
  <c r="HD33" i="8"/>
  <c r="HP33" i="8"/>
  <c r="IB33" i="8"/>
  <c r="IN33" i="8"/>
  <c r="IZ33" i="8"/>
  <c r="JL33" i="8"/>
  <c r="JX33" i="8"/>
  <c r="KJ33" i="8"/>
  <c r="KV33" i="8"/>
  <c r="LH33" i="8"/>
  <c r="LT33" i="8"/>
  <c r="MF33" i="8"/>
  <c r="MR33" i="8"/>
  <c r="ND33" i="8"/>
  <c r="NP33" i="8"/>
  <c r="OB33" i="8"/>
  <c r="ON33" i="8"/>
  <c r="OZ33" i="8"/>
  <c r="PL33" i="8"/>
  <c r="PX33" i="8"/>
  <c r="QJ33" i="8"/>
  <c r="RI33" i="8"/>
  <c r="SI33" i="8"/>
  <c r="TN33" i="8"/>
  <c r="UP33" i="8"/>
  <c r="VQ33" i="8"/>
  <c r="WW33" i="8"/>
  <c r="XW33" i="8"/>
  <c r="ZB33" i="8"/>
  <c r="AAD33" i="8"/>
  <c r="ABE33" i="8"/>
  <c r="ACK33" i="8"/>
  <c r="ADK33" i="8"/>
  <c r="AEP33" i="8"/>
  <c r="AFR33" i="8"/>
  <c r="AGS33" i="8"/>
  <c r="AHY33" i="8"/>
  <c r="AIY33" i="8"/>
  <c r="AKD33" i="8"/>
  <c r="ALF33" i="8"/>
  <c r="AMG33" i="8"/>
  <c r="ANM33" i="8"/>
  <c r="AOJ33" i="8"/>
  <c r="ANX33" i="8"/>
  <c r="ANL33" i="8"/>
  <c r="AMZ33" i="8"/>
  <c r="AMN33" i="8"/>
  <c r="AMB33" i="8"/>
  <c r="ALP33" i="8"/>
  <c r="ALD33" i="8"/>
  <c r="AKR33" i="8"/>
  <c r="AKF33" i="8"/>
  <c r="AJT33" i="8"/>
  <c r="AJH33" i="8"/>
  <c r="AIV33" i="8"/>
  <c r="AIJ33" i="8"/>
  <c r="AHX33" i="8"/>
  <c r="AHL33" i="8"/>
  <c r="AGZ33" i="8"/>
  <c r="AGN33" i="8"/>
  <c r="AGB33" i="8"/>
  <c r="AFP33" i="8"/>
  <c r="AFD33" i="8"/>
  <c r="AER33" i="8"/>
  <c r="AEF33" i="8"/>
  <c r="ADT33" i="8"/>
  <c r="ADH33" i="8"/>
  <c r="ACV33" i="8"/>
  <c r="ACJ33" i="8"/>
  <c r="ABX33" i="8"/>
  <c r="ABL33" i="8"/>
  <c r="AAZ33" i="8"/>
  <c r="AAN33" i="8"/>
  <c r="AAB33" i="8"/>
  <c r="ZP33" i="8"/>
  <c r="ZD33" i="8"/>
  <c r="YR33" i="8"/>
  <c r="YF33" i="8"/>
  <c r="XT33" i="8"/>
  <c r="XH33" i="8"/>
  <c r="WV33" i="8"/>
  <c r="WJ33" i="8"/>
  <c r="VX33" i="8"/>
  <c r="VL33" i="8"/>
  <c r="UZ33" i="8"/>
  <c r="UN33" i="8"/>
  <c r="UB33" i="8"/>
  <c r="TP33" i="8"/>
  <c r="TD33" i="8"/>
  <c r="SR33" i="8"/>
  <c r="SF33" i="8"/>
  <c r="RT33" i="8"/>
  <c r="RH33" i="8"/>
  <c r="QV33" i="8"/>
  <c r="AOI33" i="8"/>
  <c r="ANW33" i="8"/>
  <c r="ANK33" i="8"/>
  <c r="AMY33" i="8"/>
  <c r="AMM33" i="8"/>
  <c r="AMA33" i="8"/>
  <c r="ALO33" i="8"/>
  <c r="ALC33" i="8"/>
  <c r="AKQ33" i="8"/>
  <c r="AKE33" i="8"/>
  <c r="AJS33" i="8"/>
  <c r="AJG33" i="8"/>
  <c r="AIU33" i="8"/>
  <c r="AII33" i="8"/>
  <c r="AHW33" i="8"/>
  <c r="AHK33" i="8"/>
  <c r="AGY33" i="8"/>
  <c r="AGM33" i="8"/>
  <c r="AGA33" i="8"/>
  <c r="AFO33" i="8"/>
  <c r="AFC33" i="8"/>
  <c r="AEQ33" i="8"/>
  <c r="AEE33" i="8"/>
  <c r="ADS33" i="8"/>
  <c r="ADG33" i="8"/>
  <c r="ACU33" i="8"/>
  <c r="ACI33" i="8"/>
  <c r="ABW33" i="8"/>
  <c r="ABK33" i="8"/>
  <c r="AAY33" i="8"/>
  <c r="AAM33" i="8"/>
  <c r="AAA33" i="8"/>
  <c r="ZO33" i="8"/>
  <c r="ZC33" i="8"/>
  <c r="YQ33" i="8"/>
  <c r="YE33" i="8"/>
  <c r="XS33" i="8"/>
  <c r="XG33" i="8"/>
  <c r="WU33" i="8"/>
  <c r="WI33" i="8"/>
  <c r="VW33" i="8"/>
  <c r="VK33" i="8"/>
  <c r="UY33" i="8"/>
  <c r="UM33" i="8"/>
  <c r="UA33" i="8"/>
  <c r="TO33" i="8"/>
  <c r="TC33" i="8"/>
  <c r="SQ33" i="8"/>
  <c r="SE33" i="8"/>
  <c r="RS33" i="8"/>
  <c r="RG33" i="8"/>
  <c r="QU33" i="8"/>
  <c r="AOG33" i="8"/>
  <c r="ANU33" i="8"/>
  <c r="ANI33" i="8"/>
  <c r="AMW33" i="8"/>
  <c r="AMK33" i="8"/>
  <c r="ALY33" i="8"/>
  <c r="ALM33" i="8"/>
  <c r="ALA33" i="8"/>
  <c r="AKO33" i="8"/>
  <c r="AKC33" i="8"/>
  <c r="AJQ33" i="8"/>
  <c r="AJE33" i="8"/>
  <c r="AIS33" i="8"/>
  <c r="AIG33" i="8"/>
  <c r="AHU33" i="8"/>
  <c r="AHI33" i="8"/>
  <c r="AGW33" i="8"/>
  <c r="AGK33" i="8"/>
  <c r="AFY33" i="8"/>
  <c r="AFM33" i="8"/>
  <c r="AFA33" i="8"/>
  <c r="AEO33" i="8"/>
  <c r="AEC33" i="8"/>
  <c r="ADQ33" i="8"/>
  <c r="ADE33" i="8"/>
  <c r="ACS33" i="8"/>
  <c r="ACG33" i="8"/>
  <c r="ABU33" i="8"/>
  <c r="ABI33" i="8"/>
  <c r="AAW33" i="8"/>
  <c r="AAK33" i="8"/>
  <c r="ZY33" i="8"/>
  <c r="ZM33" i="8"/>
  <c r="ZA33" i="8"/>
  <c r="YO33" i="8"/>
  <c r="YC33" i="8"/>
  <c r="XQ33" i="8"/>
  <c r="XE33" i="8"/>
  <c r="WS33" i="8"/>
  <c r="WG33" i="8"/>
  <c r="VU33" i="8"/>
  <c r="VI33" i="8"/>
  <c r="UW33" i="8"/>
  <c r="UK33" i="8"/>
  <c r="TY33" i="8"/>
  <c r="TM33" i="8"/>
  <c r="TA33" i="8"/>
  <c r="SO33" i="8"/>
  <c r="SC33" i="8"/>
  <c r="RQ33" i="8"/>
  <c r="RE33" i="8"/>
  <c r="QS33" i="8"/>
  <c r="AOF33" i="8"/>
  <c r="ANT33" i="8"/>
  <c r="ANH33" i="8"/>
  <c r="AMV33" i="8"/>
  <c r="AMJ33" i="8"/>
  <c r="ALX33" i="8"/>
  <c r="ALL33" i="8"/>
  <c r="AKZ33" i="8"/>
  <c r="AKN33" i="8"/>
  <c r="AKB33" i="8"/>
  <c r="AJP33" i="8"/>
  <c r="AJD33" i="8"/>
  <c r="AIR33" i="8"/>
  <c r="AIF33" i="8"/>
  <c r="AHT33" i="8"/>
  <c r="AHH33" i="8"/>
  <c r="AGV33" i="8"/>
  <c r="AGJ33" i="8"/>
  <c r="AFX33" i="8"/>
  <c r="AFL33" i="8"/>
  <c r="AEZ33" i="8"/>
  <c r="AEN33" i="8"/>
  <c r="AEB33" i="8"/>
  <c r="ADP33" i="8"/>
  <c r="ADD33" i="8"/>
  <c r="ACR33" i="8"/>
  <c r="ACF33" i="8"/>
  <c r="ABT33" i="8"/>
  <c r="ABH33" i="8"/>
  <c r="AAV33" i="8"/>
  <c r="AAJ33" i="8"/>
  <c r="ZX33" i="8"/>
  <c r="ZL33" i="8"/>
  <c r="YZ33" i="8"/>
  <c r="YN33" i="8"/>
  <c r="YB33" i="8"/>
  <c r="XP33" i="8"/>
  <c r="XD33" i="8"/>
  <c r="WR33" i="8"/>
  <c r="WF33" i="8"/>
  <c r="VT33" i="8"/>
  <c r="VH33" i="8"/>
  <c r="UV33" i="8"/>
  <c r="UJ33" i="8"/>
  <c r="TX33" i="8"/>
  <c r="TL33" i="8"/>
  <c r="SZ33" i="8"/>
  <c r="SN33" i="8"/>
  <c r="SB33" i="8"/>
  <c r="RP33" i="8"/>
  <c r="RD33" i="8"/>
  <c r="QR33" i="8"/>
  <c r="AOQ33" i="8"/>
  <c r="AOE33" i="8"/>
  <c r="ANS33" i="8"/>
  <c r="ANG33" i="8"/>
  <c r="AMU33" i="8"/>
  <c r="AMI33" i="8"/>
  <c r="ALW33" i="8"/>
  <c r="ALK33" i="8"/>
  <c r="AKY33" i="8"/>
  <c r="AKM33" i="8"/>
  <c r="AKA33" i="8"/>
  <c r="AJO33" i="8"/>
  <c r="AJC33" i="8"/>
  <c r="AIQ33" i="8"/>
  <c r="AIE33" i="8"/>
  <c r="AHS33" i="8"/>
  <c r="AHG33" i="8"/>
  <c r="AGU33" i="8"/>
  <c r="AGI33" i="8"/>
  <c r="AFW33" i="8"/>
  <c r="AFK33" i="8"/>
  <c r="AEY33" i="8"/>
  <c r="AEM33" i="8"/>
  <c r="AEA33" i="8"/>
  <c r="ADO33" i="8"/>
  <c r="ADC33" i="8"/>
  <c r="ACQ33" i="8"/>
  <c r="ACE33" i="8"/>
  <c r="ABS33" i="8"/>
  <c r="ABG33" i="8"/>
  <c r="AAU33" i="8"/>
  <c r="AAI33" i="8"/>
  <c r="ZW33" i="8"/>
  <c r="ZK33" i="8"/>
  <c r="YY33" i="8"/>
  <c r="YM33" i="8"/>
  <c r="YA33" i="8"/>
  <c r="XO33" i="8"/>
  <c r="XC33" i="8"/>
  <c r="WQ33" i="8"/>
  <c r="WE33" i="8"/>
  <c r="VS33" i="8"/>
  <c r="VG33" i="8"/>
  <c r="UU33" i="8"/>
  <c r="UI33" i="8"/>
  <c r="TW33" i="8"/>
  <c r="TK33" i="8"/>
  <c r="SY33" i="8"/>
  <c r="SM33" i="8"/>
  <c r="SA33" i="8"/>
  <c r="RO33" i="8"/>
  <c r="RC33" i="8"/>
  <c r="QQ33" i="8"/>
  <c r="AOP33" i="8"/>
  <c r="AOD33" i="8"/>
  <c r="ANR33" i="8"/>
  <c r="ANF33" i="8"/>
  <c r="AMT33" i="8"/>
  <c r="AMH33" i="8"/>
  <c r="ALV33" i="8"/>
  <c r="ALJ33" i="8"/>
  <c r="AKX33" i="8"/>
  <c r="AKL33" i="8"/>
  <c r="AJZ33" i="8"/>
  <c r="AJN33" i="8"/>
  <c r="AJB33" i="8"/>
  <c r="AIP33" i="8"/>
  <c r="AID33" i="8"/>
  <c r="AHR33" i="8"/>
  <c r="AHF33" i="8"/>
  <c r="AGT33" i="8"/>
  <c r="AGH33" i="8"/>
  <c r="AFV33" i="8"/>
  <c r="AFJ33" i="8"/>
  <c r="AEX33" i="8"/>
  <c r="AEL33" i="8"/>
  <c r="ADZ33" i="8"/>
  <c r="ADN33" i="8"/>
  <c r="ADB33" i="8"/>
  <c r="ACP33" i="8"/>
  <c r="ACD33" i="8"/>
  <c r="ABR33" i="8"/>
  <c r="ABF33" i="8"/>
  <c r="AAT33" i="8"/>
  <c r="AAH33" i="8"/>
  <c r="ZV33" i="8"/>
  <c r="ZJ33" i="8"/>
  <c r="YX33" i="8"/>
  <c r="YL33" i="8"/>
  <c r="XZ33" i="8"/>
  <c r="XN33" i="8"/>
  <c r="XB33" i="8"/>
  <c r="WP33" i="8"/>
  <c r="WD33" i="8"/>
  <c r="VR33" i="8"/>
  <c r="VF33" i="8"/>
  <c r="UT33" i="8"/>
  <c r="UH33" i="8"/>
  <c r="TV33" i="8"/>
  <c r="TJ33" i="8"/>
  <c r="SX33" i="8"/>
  <c r="SL33" i="8"/>
  <c r="RZ33" i="8"/>
  <c r="RN33" i="8"/>
  <c r="RB33" i="8"/>
  <c r="QP33" i="8"/>
  <c r="AON33" i="8"/>
  <c r="AOB33" i="8"/>
  <c r="ANP33" i="8"/>
  <c r="AND33" i="8"/>
  <c r="AMR33" i="8"/>
  <c r="AMF33" i="8"/>
  <c r="ALT33" i="8"/>
  <c r="ALH33" i="8"/>
  <c r="AKV33" i="8"/>
  <c r="AKJ33" i="8"/>
  <c r="AJX33" i="8"/>
  <c r="AJL33" i="8"/>
  <c r="AIZ33" i="8"/>
  <c r="AIN33" i="8"/>
  <c r="AIB33" i="8"/>
  <c r="AHP33" i="8"/>
  <c r="AHD33" i="8"/>
  <c r="AGR33" i="8"/>
  <c r="AGF33" i="8"/>
  <c r="AFT33" i="8"/>
  <c r="AFH33" i="8"/>
  <c r="AEV33" i="8"/>
  <c r="AEJ33" i="8"/>
  <c r="ADX33" i="8"/>
  <c r="ADL33" i="8"/>
  <c r="ACZ33" i="8"/>
  <c r="ACN33" i="8"/>
  <c r="ACB33" i="8"/>
  <c r="ABP33" i="8"/>
  <c r="ABD33" i="8"/>
  <c r="AAR33" i="8"/>
  <c r="AAF33" i="8"/>
  <c r="ZT33" i="8"/>
  <c r="ZH33" i="8"/>
  <c r="YV33" i="8"/>
  <c r="YJ33" i="8"/>
  <c r="XX33" i="8"/>
  <c r="XL33" i="8"/>
  <c r="WZ33" i="8"/>
  <c r="WN33" i="8"/>
  <c r="WB33" i="8"/>
  <c r="VP33" i="8"/>
  <c r="VD33" i="8"/>
  <c r="UR33" i="8"/>
  <c r="UF33" i="8"/>
  <c r="TT33" i="8"/>
  <c r="TH33" i="8"/>
  <c r="SV33" i="8"/>
  <c r="SJ33" i="8"/>
  <c r="RX33" i="8"/>
  <c r="RL33" i="8"/>
  <c r="QZ33" i="8"/>
  <c r="I33" i="8"/>
  <c r="U33" i="8"/>
  <c r="AG33" i="8"/>
  <c r="AS33" i="8"/>
  <c r="BE33" i="8"/>
  <c r="BQ33" i="8"/>
  <c r="CC33" i="8"/>
  <c r="CO33" i="8"/>
  <c r="DA33" i="8"/>
  <c r="DM33" i="8"/>
  <c r="DY33" i="8"/>
  <c r="EK33" i="8"/>
  <c r="EW33" i="8"/>
  <c r="FI33" i="8"/>
  <c r="FU33" i="8"/>
  <c r="GG33" i="8"/>
  <c r="GS33" i="8"/>
  <c r="HE33" i="8"/>
  <c r="HQ33" i="8"/>
  <c r="IC33" i="8"/>
  <c r="IO33" i="8"/>
  <c r="JA33" i="8"/>
  <c r="JM33" i="8"/>
  <c r="JY33" i="8"/>
  <c r="KK33" i="8"/>
  <c r="KW33" i="8"/>
  <c r="LI33" i="8"/>
  <c r="LU33" i="8"/>
  <c r="MG33" i="8"/>
  <c r="MS33" i="8"/>
  <c r="NE33" i="8"/>
  <c r="NQ33" i="8"/>
  <c r="OC33" i="8"/>
  <c r="OO33" i="8"/>
  <c r="PA33" i="8"/>
  <c r="PM33" i="8"/>
  <c r="PY33" i="8"/>
  <c r="QK33" i="8"/>
  <c r="RJ33" i="8"/>
  <c r="SK33" i="8"/>
  <c r="TQ33" i="8"/>
  <c r="UQ33" i="8"/>
  <c r="VV33" i="8"/>
  <c r="WX33" i="8"/>
  <c r="XY33" i="8"/>
  <c r="ZE33" i="8"/>
  <c r="AAE33" i="8"/>
  <c r="ABJ33" i="8"/>
  <c r="ACL33" i="8"/>
  <c r="ADM33" i="8"/>
  <c r="AES33" i="8"/>
  <c r="AFS33" i="8"/>
  <c r="AGX33" i="8"/>
  <c r="AHZ33" i="8"/>
  <c r="AJA33" i="8"/>
  <c r="AKG33" i="8"/>
  <c r="ALG33" i="8"/>
  <c r="AML33" i="8"/>
  <c r="ANN33" i="8"/>
  <c r="AOO33" i="8"/>
  <c r="C40" i="1"/>
  <c r="AB99" i="10" l="1"/>
  <c r="AC98" i="10" s="1"/>
  <c r="AC94" i="10" s="1"/>
  <c r="U7" i="1"/>
  <c r="T7" i="1"/>
  <c r="T8" i="1" s="1"/>
  <c r="S7" i="1"/>
  <c r="R10" i="1"/>
  <c r="F51" i="8"/>
  <c r="F50" i="8"/>
  <c r="F58" i="8"/>
  <c r="F57" i="8"/>
  <c r="G56" i="8"/>
  <c r="D7" i="4"/>
  <c r="BS213" i="2"/>
  <c r="C35" i="1"/>
  <c r="T9" i="1" l="1"/>
  <c r="S8" i="1"/>
  <c r="U8" i="1"/>
  <c r="R11" i="1"/>
  <c r="G58" i="8"/>
  <c r="G57" i="8"/>
  <c r="E17" i="8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AH17" i="8" s="1"/>
  <c r="AI17" i="8" s="1"/>
  <c r="AJ17" i="8" s="1"/>
  <c r="AK17" i="8" s="1"/>
  <c r="AL17" i="8" s="1"/>
  <c r="AM17" i="8" s="1"/>
  <c r="AN17" i="8" s="1"/>
  <c r="AO17" i="8" s="1"/>
  <c r="AP17" i="8" s="1"/>
  <c r="AQ17" i="8" s="1"/>
  <c r="AR17" i="8" s="1"/>
  <c r="AS17" i="8" s="1"/>
  <c r="AT17" i="8" s="1"/>
  <c r="AU17" i="8" s="1"/>
  <c r="AV17" i="8" s="1"/>
  <c r="AW17" i="8" s="1"/>
  <c r="AX17" i="8" s="1"/>
  <c r="AY17" i="8" s="1"/>
  <c r="AZ17" i="8" s="1"/>
  <c r="BA17" i="8" s="1"/>
  <c r="BB17" i="8" s="1"/>
  <c r="BC17" i="8" s="1"/>
  <c r="BD17" i="8" s="1"/>
  <c r="BE17" i="8" s="1"/>
  <c r="BF17" i="8" s="1"/>
  <c r="BG17" i="8" s="1"/>
  <c r="BH17" i="8" s="1"/>
  <c r="BI17" i="8" s="1"/>
  <c r="BJ17" i="8" s="1"/>
  <c r="BK17" i="8" s="1"/>
  <c r="BL17" i="8" s="1"/>
  <c r="BM17" i="8" s="1"/>
  <c r="BN17" i="8" s="1"/>
  <c r="BO17" i="8" s="1"/>
  <c r="BP17" i="8" s="1"/>
  <c r="BQ17" i="8" s="1"/>
  <c r="BR17" i="8" s="1"/>
  <c r="BS17" i="8" s="1"/>
  <c r="BT17" i="8" s="1"/>
  <c r="BU17" i="8" s="1"/>
  <c r="BV17" i="8" s="1"/>
  <c r="BW17" i="8" s="1"/>
  <c r="BX17" i="8" s="1"/>
  <c r="BY17" i="8" s="1"/>
  <c r="BZ17" i="8" s="1"/>
  <c r="CA17" i="8" s="1"/>
  <c r="CB17" i="8" s="1"/>
  <c r="CC17" i="8" s="1"/>
  <c r="CD17" i="8" s="1"/>
  <c r="CE17" i="8" s="1"/>
  <c r="CF17" i="8" s="1"/>
  <c r="CG17" i="8" s="1"/>
  <c r="CH17" i="8" s="1"/>
  <c r="CI17" i="8" s="1"/>
  <c r="CJ17" i="8" s="1"/>
  <c r="CK17" i="8" s="1"/>
  <c r="CL17" i="8" s="1"/>
  <c r="CM17" i="8" s="1"/>
  <c r="CN17" i="8" s="1"/>
  <c r="CO17" i="8" s="1"/>
  <c r="CP17" i="8" s="1"/>
  <c r="CQ17" i="8" s="1"/>
  <c r="CR17" i="8" s="1"/>
  <c r="CS17" i="8" s="1"/>
  <c r="CT17" i="8" s="1"/>
  <c r="CU17" i="8" s="1"/>
  <c r="CV17" i="8" s="1"/>
  <c r="CW17" i="8" s="1"/>
  <c r="CX17" i="8" s="1"/>
  <c r="CY17" i="8" s="1"/>
  <c r="CZ17" i="8" s="1"/>
  <c r="DA17" i="8" s="1"/>
  <c r="DB17" i="8" s="1"/>
  <c r="DC17" i="8" s="1"/>
  <c r="DD17" i="8" s="1"/>
  <c r="DE17" i="8" s="1"/>
  <c r="DF17" i="8" s="1"/>
  <c r="DG17" i="8" s="1"/>
  <c r="DH17" i="8" s="1"/>
  <c r="DI17" i="8" s="1"/>
  <c r="DJ17" i="8" s="1"/>
  <c r="DK17" i="8" s="1"/>
  <c r="DL17" i="8" s="1"/>
  <c r="DM17" i="8" s="1"/>
  <c r="DN17" i="8" s="1"/>
  <c r="DO17" i="8" s="1"/>
  <c r="DP17" i="8" s="1"/>
  <c r="DQ17" i="8" s="1"/>
  <c r="DR17" i="8" s="1"/>
  <c r="DS17" i="8" s="1"/>
  <c r="DT17" i="8" s="1"/>
  <c r="DU17" i="8" s="1"/>
  <c r="DV17" i="8" s="1"/>
  <c r="DW17" i="8" s="1"/>
  <c r="DX17" i="8" s="1"/>
  <c r="DY17" i="8" s="1"/>
  <c r="DZ17" i="8" s="1"/>
  <c r="EA17" i="8" s="1"/>
  <c r="EB17" i="8" s="1"/>
  <c r="EC17" i="8" s="1"/>
  <c r="ED17" i="8" s="1"/>
  <c r="EE17" i="8" s="1"/>
  <c r="EF17" i="8" s="1"/>
  <c r="EG17" i="8" s="1"/>
  <c r="EH17" i="8" s="1"/>
  <c r="EI17" i="8" s="1"/>
  <c r="EJ17" i="8" s="1"/>
  <c r="EK17" i="8" s="1"/>
  <c r="EL17" i="8" s="1"/>
  <c r="EM17" i="8" s="1"/>
  <c r="EN17" i="8" s="1"/>
  <c r="EO17" i="8" s="1"/>
  <c r="EP17" i="8" s="1"/>
  <c r="EQ17" i="8" s="1"/>
  <c r="ER17" i="8" s="1"/>
  <c r="ES17" i="8" s="1"/>
  <c r="ET17" i="8" s="1"/>
  <c r="EU17" i="8" s="1"/>
  <c r="EV17" i="8" s="1"/>
  <c r="EW17" i="8" s="1"/>
  <c r="EX17" i="8" s="1"/>
  <c r="EY17" i="8" s="1"/>
  <c r="EZ17" i="8" s="1"/>
  <c r="FA17" i="8" s="1"/>
  <c r="FB17" i="8" s="1"/>
  <c r="FC17" i="8" s="1"/>
  <c r="FD17" i="8" s="1"/>
  <c r="FE17" i="8" s="1"/>
  <c r="FF17" i="8" s="1"/>
  <c r="FG17" i="8" s="1"/>
  <c r="FH17" i="8" s="1"/>
  <c r="FI17" i="8" s="1"/>
  <c r="FJ17" i="8" s="1"/>
  <c r="FK17" i="8" s="1"/>
  <c r="FL17" i="8" s="1"/>
  <c r="FM17" i="8" s="1"/>
  <c r="FN17" i="8" s="1"/>
  <c r="FO17" i="8" s="1"/>
  <c r="FP17" i="8" s="1"/>
  <c r="FQ17" i="8" s="1"/>
  <c r="FR17" i="8" s="1"/>
  <c r="FS17" i="8" s="1"/>
  <c r="FT17" i="8" s="1"/>
  <c r="FU17" i="8" s="1"/>
  <c r="FV17" i="8" s="1"/>
  <c r="FW17" i="8" s="1"/>
  <c r="FX17" i="8" s="1"/>
  <c r="FY17" i="8" s="1"/>
  <c r="FZ17" i="8" s="1"/>
  <c r="GA17" i="8" s="1"/>
  <c r="GB17" i="8" s="1"/>
  <c r="GC17" i="8" s="1"/>
  <c r="GD17" i="8" s="1"/>
  <c r="GE17" i="8" s="1"/>
  <c r="GF17" i="8" s="1"/>
  <c r="GG17" i="8" s="1"/>
  <c r="GH17" i="8" s="1"/>
  <c r="GI17" i="8" s="1"/>
  <c r="GJ17" i="8" s="1"/>
  <c r="GK17" i="8" s="1"/>
  <c r="GL17" i="8" s="1"/>
  <c r="GM17" i="8" s="1"/>
  <c r="GN17" i="8" s="1"/>
  <c r="GO17" i="8" s="1"/>
  <c r="GP17" i="8" s="1"/>
  <c r="GQ17" i="8" s="1"/>
  <c r="GR17" i="8" s="1"/>
  <c r="GS17" i="8" s="1"/>
  <c r="GT17" i="8" s="1"/>
  <c r="GU17" i="8" s="1"/>
  <c r="GV17" i="8" s="1"/>
  <c r="GW17" i="8" s="1"/>
  <c r="GX17" i="8" s="1"/>
  <c r="GY17" i="8" s="1"/>
  <c r="GZ17" i="8" s="1"/>
  <c r="HA17" i="8" s="1"/>
  <c r="HB17" i="8" s="1"/>
  <c r="HC17" i="8" s="1"/>
  <c r="HD17" i="8" s="1"/>
  <c r="HE17" i="8" s="1"/>
  <c r="HF17" i="8" s="1"/>
  <c r="HG17" i="8" s="1"/>
  <c r="HH17" i="8" s="1"/>
  <c r="HI17" i="8" s="1"/>
  <c r="HJ17" i="8" s="1"/>
  <c r="HK17" i="8" s="1"/>
  <c r="HL17" i="8" s="1"/>
  <c r="HM17" i="8" s="1"/>
  <c r="HN17" i="8" s="1"/>
  <c r="HO17" i="8" s="1"/>
  <c r="HP17" i="8" s="1"/>
  <c r="HQ17" i="8" s="1"/>
  <c r="HR17" i="8" s="1"/>
  <c r="HS17" i="8" s="1"/>
  <c r="HT17" i="8" s="1"/>
  <c r="HU17" i="8" s="1"/>
  <c r="HV17" i="8" s="1"/>
  <c r="HW17" i="8" s="1"/>
  <c r="HX17" i="8" s="1"/>
  <c r="HY17" i="8" s="1"/>
  <c r="HZ17" i="8" s="1"/>
  <c r="IA17" i="8" s="1"/>
  <c r="IB17" i="8" s="1"/>
  <c r="IC17" i="8" s="1"/>
  <c r="ID17" i="8" s="1"/>
  <c r="IE17" i="8" s="1"/>
  <c r="IF17" i="8" s="1"/>
  <c r="IG17" i="8" s="1"/>
  <c r="IH17" i="8" s="1"/>
  <c r="II17" i="8" s="1"/>
  <c r="IJ17" i="8" s="1"/>
  <c r="IK17" i="8" s="1"/>
  <c r="IL17" i="8" s="1"/>
  <c r="IM17" i="8" s="1"/>
  <c r="IN17" i="8" s="1"/>
  <c r="IO17" i="8" s="1"/>
  <c r="IP17" i="8" s="1"/>
  <c r="IQ17" i="8" s="1"/>
  <c r="IR17" i="8" s="1"/>
  <c r="IS17" i="8" s="1"/>
  <c r="IT17" i="8" s="1"/>
  <c r="IU17" i="8" s="1"/>
  <c r="IV17" i="8" s="1"/>
  <c r="IW17" i="8" s="1"/>
  <c r="IX17" i="8" s="1"/>
  <c r="IY17" i="8" s="1"/>
  <c r="IZ17" i="8" s="1"/>
  <c r="JA17" i="8" s="1"/>
  <c r="JB17" i="8" s="1"/>
  <c r="JC17" i="8" s="1"/>
  <c r="JD17" i="8" s="1"/>
  <c r="JE17" i="8" s="1"/>
  <c r="JF17" i="8" s="1"/>
  <c r="JG17" i="8" s="1"/>
  <c r="JH17" i="8" s="1"/>
  <c r="JI17" i="8" s="1"/>
  <c r="JJ17" i="8" s="1"/>
  <c r="JK17" i="8" s="1"/>
  <c r="JL17" i="8" s="1"/>
  <c r="JM17" i="8" s="1"/>
  <c r="JN17" i="8" s="1"/>
  <c r="JO17" i="8" s="1"/>
  <c r="JP17" i="8" s="1"/>
  <c r="JQ17" i="8" s="1"/>
  <c r="JR17" i="8" s="1"/>
  <c r="JS17" i="8" s="1"/>
  <c r="JT17" i="8" s="1"/>
  <c r="JU17" i="8" s="1"/>
  <c r="JV17" i="8" s="1"/>
  <c r="JW17" i="8" s="1"/>
  <c r="JX17" i="8" s="1"/>
  <c r="JY17" i="8" s="1"/>
  <c r="JZ17" i="8" s="1"/>
  <c r="KA17" i="8" s="1"/>
  <c r="KB17" i="8" s="1"/>
  <c r="KC17" i="8" s="1"/>
  <c r="KD17" i="8" s="1"/>
  <c r="KE17" i="8" s="1"/>
  <c r="KF17" i="8" s="1"/>
  <c r="KG17" i="8" s="1"/>
  <c r="KH17" i="8" s="1"/>
  <c r="KI17" i="8" s="1"/>
  <c r="KJ17" i="8" s="1"/>
  <c r="KK17" i="8" s="1"/>
  <c r="KL17" i="8" s="1"/>
  <c r="KM17" i="8" s="1"/>
  <c r="KN17" i="8" s="1"/>
  <c r="KO17" i="8" s="1"/>
  <c r="KP17" i="8" s="1"/>
  <c r="KQ17" i="8" s="1"/>
  <c r="KR17" i="8" s="1"/>
  <c r="KS17" i="8" s="1"/>
  <c r="KT17" i="8" s="1"/>
  <c r="KU17" i="8" s="1"/>
  <c r="KV17" i="8" s="1"/>
  <c r="KW17" i="8" s="1"/>
  <c r="KX17" i="8" s="1"/>
  <c r="KY17" i="8" s="1"/>
  <c r="KZ17" i="8" s="1"/>
  <c r="LA17" i="8" s="1"/>
  <c r="LB17" i="8" s="1"/>
  <c r="LC17" i="8" s="1"/>
  <c r="LD17" i="8" s="1"/>
  <c r="LE17" i="8" s="1"/>
  <c r="LF17" i="8" s="1"/>
  <c r="LG17" i="8" s="1"/>
  <c r="LH17" i="8" s="1"/>
  <c r="LI17" i="8" s="1"/>
  <c r="LJ17" i="8" s="1"/>
  <c r="LK17" i="8" s="1"/>
  <c r="LL17" i="8" s="1"/>
  <c r="LM17" i="8" s="1"/>
  <c r="LN17" i="8" s="1"/>
  <c r="LO17" i="8" s="1"/>
  <c r="LP17" i="8" s="1"/>
  <c r="LQ17" i="8" s="1"/>
  <c r="LR17" i="8" s="1"/>
  <c r="LS17" i="8" s="1"/>
  <c r="LT17" i="8" s="1"/>
  <c r="LU17" i="8" s="1"/>
  <c r="LV17" i="8" s="1"/>
  <c r="LW17" i="8" s="1"/>
  <c r="LX17" i="8" s="1"/>
  <c r="LY17" i="8" s="1"/>
  <c r="LZ17" i="8" s="1"/>
  <c r="MA17" i="8" s="1"/>
  <c r="MB17" i="8" s="1"/>
  <c r="MC17" i="8" s="1"/>
  <c r="MD17" i="8" s="1"/>
  <c r="ME17" i="8" s="1"/>
  <c r="MF17" i="8" s="1"/>
  <c r="MG17" i="8" s="1"/>
  <c r="MH17" i="8" s="1"/>
  <c r="MI17" i="8" s="1"/>
  <c r="MJ17" i="8" s="1"/>
  <c r="MK17" i="8" s="1"/>
  <c r="ML17" i="8" s="1"/>
  <c r="MM17" i="8" s="1"/>
  <c r="MN17" i="8" s="1"/>
  <c r="MO17" i="8" s="1"/>
  <c r="MP17" i="8" s="1"/>
  <c r="MQ17" i="8" s="1"/>
  <c r="MR17" i="8" s="1"/>
  <c r="MS17" i="8" s="1"/>
  <c r="MT17" i="8" s="1"/>
  <c r="MU17" i="8" s="1"/>
  <c r="MV17" i="8" s="1"/>
  <c r="MW17" i="8" s="1"/>
  <c r="MX17" i="8" s="1"/>
  <c r="MY17" i="8" s="1"/>
  <c r="MZ17" i="8" s="1"/>
  <c r="NA17" i="8" s="1"/>
  <c r="NB17" i="8" s="1"/>
  <c r="NC17" i="8" s="1"/>
  <c r="ND17" i="8" s="1"/>
  <c r="NE17" i="8" s="1"/>
  <c r="NF17" i="8" s="1"/>
  <c r="NG17" i="8" s="1"/>
  <c r="NH17" i="8" s="1"/>
  <c r="NI17" i="8" s="1"/>
  <c r="NJ17" i="8" s="1"/>
  <c r="NK17" i="8" s="1"/>
  <c r="NL17" i="8" s="1"/>
  <c r="NM17" i="8" s="1"/>
  <c r="NN17" i="8" s="1"/>
  <c r="NO17" i="8" s="1"/>
  <c r="NP17" i="8" s="1"/>
  <c r="NQ17" i="8" s="1"/>
  <c r="NR17" i="8" s="1"/>
  <c r="NS17" i="8" s="1"/>
  <c r="NT17" i="8" s="1"/>
  <c r="NU17" i="8" s="1"/>
  <c r="NV17" i="8" s="1"/>
  <c r="NW17" i="8" s="1"/>
  <c r="NX17" i="8" s="1"/>
  <c r="NY17" i="8" s="1"/>
  <c r="NZ17" i="8" s="1"/>
  <c r="OA17" i="8" s="1"/>
  <c r="OB17" i="8" s="1"/>
  <c r="OC17" i="8" s="1"/>
  <c r="OD17" i="8" s="1"/>
  <c r="OE17" i="8" s="1"/>
  <c r="OF17" i="8" s="1"/>
  <c r="OG17" i="8" s="1"/>
  <c r="OH17" i="8" s="1"/>
  <c r="OI17" i="8" s="1"/>
  <c r="OJ17" i="8" s="1"/>
  <c r="OK17" i="8" s="1"/>
  <c r="OL17" i="8" s="1"/>
  <c r="OM17" i="8" s="1"/>
  <c r="ON17" i="8" s="1"/>
  <c r="OO17" i="8" s="1"/>
  <c r="OP17" i="8" s="1"/>
  <c r="OQ17" i="8" s="1"/>
  <c r="OR17" i="8" s="1"/>
  <c r="OS17" i="8" s="1"/>
  <c r="OT17" i="8" s="1"/>
  <c r="OU17" i="8" s="1"/>
  <c r="OV17" i="8" s="1"/>
  <c r="OW17" i="8" s="1"/>
  <c r="OX17" i="8" s="1"/>
  <c r="OY17" i="8" s="1"/>
  <c r="OZ17" i="8" s="1"/>
  <c r="PA17" i="8" s="1"/>
  <c r="PB17" i="8" s="1"/>
  <c r="PC17" i="8" s="1"/>
  <c r="PD17" i="8" s="1"/>
  <c r="PE17" i="8" s="1"/>
  <c r="PF17" i="8" s="1"/>
  <c r="PG17" i="8" s="1"/>
  <c r="PH17" i="8" s="1"/>
  <c r="PI17" i="8" s="1"/>
  <c r="PJ17" i="8" s="1"/>
  <c r="PK17" i="8" s="1"/>
  <c r="PL17" i="8" s="1"/>
  <c r="PM17" i="8" s="1"/>
  <c r="PN17" i="8" s="1"/>
  <c r="PO17" i="8" s="1"/>
  <c r="PP17" i="8" s="1"/>
  <c r="PQ17" i="8" s="1"/>
  <c r="PR17" i="8" s="1"/>
  <c r="PS17" i="8" s="1"/>
  <c r="PT17" i="8" s="1"/>
  <c r="PU17" i="8" s="1"/>
  <c r="PV17" i="8" s="1"/>
  <c r="PW17" i="8" s="1"/>
  <c r="PX17" i="8" s="1"/>
  <c r="PY17" i="8" s="1"/>
  <c r="PZ17" i="8" s="1"/>
  <c r="QA17" i="8" s="1"/>
  <c r="QB17" i="8" s="1"/>
  <c r="QC17" i="8" s="1"/>
  <c r="QD17" i="8" s="1"/>
  <c r="QE17" i="8" s="1"/>
  <c r="QF17" i="8" s="1"/>
  <c r="QG17" i="8" s="1"/>
  <c r="QH17" i="8" s="1"/>
  <c r="QI17" i="8" s="1"/>
  <c r="QJ17" i="8" s="1"/>
  <c r="QK17" i="8" s="1"/>
  <c r="QL17" i="8" s="1"/>
  <c r="QM17" i="8" s="1"/>
  <c r="QN17" i="8" s="1"/>
  <c r="QO17" i="8" s="1"/>
  <c r="QP17" i="8" s="1"/>
  <c r="QQ17" i="8" s="1"/>
  <c r="QR17" i="8" s="1"/>
  <c r="QS17" i="8" s="1"/>
  <c r="QT17" i="8" s="1"/>
  <c r="QU17" i="8" s="1"/>
  <c r="QV17" i="8" s="1"/>
  <c r="QW17" i="8" s="1"/>
  <c r="QX17" i="8" s="1"/>
  <c r="QY17" i="8" s="1"/>
  <c r="QZ17" i="8" s="1"/>
  <c r="RA17" i="8" s="1"/>
  <c r="RB17" i="8" s="1"/>
  <c r="RC17" i="8" s="1"/>
  <c r="RD17" i="8" s="1"/>
  <c r="RE17" i="8" s="1"/>
  <c r="RF17" i="8" s="1"/>
  <c r="RG17" i="8" s="1"/>
  <c r="RH17" i="8" s="1"/>
  <c r="RI17" i="8" s="1"/>
  <c r="RJ17" i="8" s="1"/>
  <c r="RK17" i="8" s="1"/>
  <c r="RL17" i="8" s="1"/>
  <c r="RM17" i="8" s="1"/>
  <c r="RN17" i="8" s="1"/>
  <c r="RO17" i="8" s="1"/>
  <c r="RP17" i="8" s="1"/>
  <c r="RQ17" i="8" s="1"/>
  <c r="RR17" i="8" s="1"/>
  <c r="RS17" i="8" s="1"/>
  <c r="RT17" i="8" s="1"/>
  <c r="RU17" i="8" s="1"/>
  <c r="RV17" i="8" s="1"/>
  <c r="RW17" i="8" s="1"/>
  <c r="RX17" i="8" s="1"/>
  <c r="RY17" i="8" s="1"/>
  <c r="RZ17" i="8" s="1"/>
  <c r="SA17" i="8" s="1"/>
  <c r="SB17" i="8" s="1"/>
  <c r="SC17" i="8" s="1"/>
  <c r="SD17" i="8" s="1"/>
  <c r="SE17" i="8" s="1"/>
  <c r="SF17" i="8" s="1"/>
  <c r="SG17" i="8" s="1"/>
  <c r="SH17" i="8" s="1"/>
  <c r="SI17" i="8" s="1"/>
  <c r="SJ17" i="8" s="1"/>
  <c r="SK17" i="8" s="1"/>
  <c r="SL17" i="8" s="1"/>
  <c r="SM17" i="8" s="1"/>
  <c r="SN17" i="8" s="1"/>
  <c r="SO17" i="8" s="1"/>
  <c r="SP17" i="8" s="1"/>
  <c r="SQ17" i="8" s="1"/>
  <c r="SR17" i="8" s="1"/>
  <c r="SS17" i="8" s="1"/>
  <c r="ST17" i="8" s="1"/>
  <c r="SU17" i="8" s="1"/>
  <c r="SV17" i="8" s="1"/>
  <c r="SW17" i="8" s="1"/>
  <c r="SX17" i="8" s="1"/>
  <c r="SY17" i="8" s="1"/>
  <c r="SZ17" i="8" s="1"/>
  <c r="TA17" i="8" s="1"/>
  <c r="TB17" i="8" s="1"/>
  <c r="TC17" i="8" s="1"/>
  <c r="TD17" i="8" s="1"/>
  <c r="TE17" i="8" s="1"/>
  <c r="TF17" i="8" s="1"/>
  <c r="TG17" i="8" s="1"/>
  <c r="TH17" i="8" s="1"/>
  <c r="TI17" i="8" s="1"/>
  <c r="TJ17" i="8" s="1"/>
  <c r="TK17" i="8" s="1"/>
  <c r="TL17" i="8" s="1"/>
  <c r="TM17" i="8" s="1"/>
  <c r="TN17" i="8" s="1"/>
  <c r="TO17" i="8" s="1"/>
  <c r="TP17" i="8" s="1"/>
  <c r="TQ17" i="8" s="1"/>
  <c r="TR17" i="8" s="1"/>
  <c r="TS17" i="8" s="1"/>
  <c r="TT17" i="8" s="1"/>
  <c r="TU17" i="8" s="1"/>
  <c r="TV17" i="8" s="1"/>
  <c r="TW17" i="8" s="1"/>
  <c r="TX17" i="8" s="1"/>
  <c r="TY17" i="8" s="1"/>
  <c r="TZ17" i="8" s="1"/>
  <c r="UA17" i="8" s="1"/>
  <c r="UB17" i="8" s="1"/>
  <c r="UC17" i="8" s="1"/>
  <c r="UD17" i="8" s="1"/>
  <c r="UE17" i="8" s="1"/>
  <c r="UF17" i="8" s="1"/>
  <c r="UG17" i="8" s="1"/>
  <c r="UH17" i="8" s="1"/>
  <c r="UI17" i="8" s="1"/>
  <c r="UJ17" i="8" s="1"/>
  <c r="UK17" i="8" s="1"/>
  <c r="UL17" i="8" s="1"/>
  <c r="UM17" i="8" s="1"/>
  <c r="UN17" i="8" s="1"/>
  <c r="UO17" i="8" s="1"/>
  <c r="UP17" i="8" s="1"/>
  <c r="UQ17" i="8" s="1"/>
  <c r="UR17" i="8" s="1"/>
  <c r="US17" i="8" s="1"/>
  <c r="UT17" i="8" s="1"/>
  <c r="UU17" i="8" s="1"/>
  <c r="UV17" i="8" s="1"/>
  <c r="UW17" i="8" s="1"/>
  <c r="UX17" i="8" s="1"/>
  <c r="UY17" i="8" s="1"/>
  <c r="UZ17" i="8" s="1"/>
  <c r="VA17" i="8" s="1"/>
  <c r="VB17" i="8" s="1"/>
  <c r="VC17" i="8" s="1"/>
  <c r="VD17" i="8" s="1"/>
  <c r="VE17" i="8" s="1"/>
  <c r="VF17" i="8" s="1"/>
  <c r="VG17" i="8" s="1"/>
  <c r="VH17" i="8" s="1"/>
  <c r="VI17" i="8" s="1"/>
  <c r="VJ17" i="8" s="1"/>
  <c r="VK17" i="8" s="1"/>
  <c r="VL17" i="8" s="1"/>
  <c r="VM17" i="8" s="1"/>
  <c r="VN17" i="8" s="1"/>
  <c r="VO17" i="8" s="1"/>
  <c r="VP17" i="8" s="1"/>
  <c r="VQ17" i="8" s="1"/>
  <c r="VR17" i="8" s="1"/>
  <c r="VS17" i="8" s="1"/>
  <c r="VT17" i="8" s="1"/>
  <c r="VU17" i="8" s="1"/>
  <c r="VV17" i="8" s="1"/>
  <c r="VW17" i="8" s="1"/>
  <c r="VX17" i="8" s="1"/>
  <c r="VY17" i="8" s="1"/>
  <c r="VZ17" i="8" s="1"/>
  <c r="WA17" i="8" s="1"/>
  <c r="WB17" i="8" s="1"/>
  <c r="WC17" i="8" s="1"/>
  <c r="WD17" i="8" s="1"/>
  <c r="WE17" i="8" s="1"/>
  <c r="WF17" i="8" s="1"/>
  <c r="WG17" i="8" s="1"/>
  <c r="WH17" i="8" s="1"/>
  <c r="WI17" i="8" s="1"/>
  <c r="WJ17" i="8" s="1"/>
  <c r="WK17" i="8" s="1"/>
  <c r="WL17" i="8" s="1"/>
  <c r="WM17" i="8" s="1"/>
  <c r="WN17" i="8" s="1"/>
  <c r="WO17" i="8" s="1"/>
  <c r="WP17" i="8" s="1"/>
  <c r="WQ17" i="8" s="1"/>
  <c r="WR17" i="8" s="1"/>
  <c r="WS17" i="8" s="1"/>
  <c r="WT17" i="8" s="1"/>
  <c r="WU17" i="8" s="1"/>
  <c r="WV17" i="8" s="1"/>
  <c r="WW17" i="8" s="1"/>
  <c r="WX17" i="8" s="1"/>
  <c r="WY17" i="8" s="1"/>
  <c r="WZ17" i="8" s="1"/>
  <c r="XA17" i="8" s="1"/>
  <c r="XB17" i="8" s="1"/>
  <c r="XC17" i="8" s="1"/>
  <c r="XD17" i="8" s="1"/>
  <c r="XE17" i="8" s="1"/>
  <c r="XF17" i="8" s="1"/>
  <c r="XG17" i="8" s="1"/>
  <c r="XH17" i="8" s="1"/>
  <c r="XI17" i="8" s="1"/>
  <c r="XJ17" i="8" s="1"/>
  <c r="XK17" i="8" s="1"/>
  <c r="XL17" i="8" s="1"/>
  <c r="XM17" i="8" s="1"/>
  <c r="XN17" i="8" s="1"/>
  <c r="XO17" i="8" s="1"/>
  <c r="XP17" i="8" s="1"/>
  <c r="XQ17" i="8" s="1"/>
  <c r="XR17" i="8" s="1"/>
  <c r="XS17" i="8" s="1"/>
  <c r="XT17" i="8" s="1"/>
  <c r="XU17" i="8" s="1"/>
  <c r="XV17" i="8" s="1"/>
  <c r="XW17" i="8" s="1"/>
  <c r="XX17" i="8" s="1"/>
  <c r="XY17" i="8" s="1"/>
  <c r="XZ17" i="8" s="1"/>
  <c r="YA17" i="8" s="1"/>
  <c r="YB17" i="8" s="1"/>
  <c r="YC17" i="8" s="1"/>
  <c r="YD17" i="8" s="1"/>
  <c r="YE17" i="8" s="1"/>
  <c r="YF17" i="8" s="1"/>
  <c r="YG17" i="8" s="1"/>
  <c r="YH17" i="8" s="1"/>
  <c r="YI17" i="8" s="1"/>
  <c r="YJ17" i="8" s="1"/>
  <c r="YK17" i="8" s="1"/>
  <c r="YL17" i="8" s="1"/>
  <c r="YM17" i="8" s="1"/>
  <c r="YN17" i="8" s="1"/>
  <c r="YO17" i="8" s="1"/>
  <c r="YP17" i="8" s="1"/>
  <c r="YQ17" i="8" s="1"/>
  <c r="YR17" i="8" s="1"/>
  <c r="YS17" i="8" s="1"/>
  <c r="YT17" i="8" s="1"/>
  <c r="YU17" i="8" s="1"/>
  <c r="YV17" i="8" s="1"/>
  <c r="YW17" i="8" s="1"/>
  <c r="YX17" i="8" s="1"/>
  <c r="YY17" i="8" s="1"/>
  <c r="YZ17" i="8" s="1"/>
  <c r="ZA17" i="8" s="1"/>
  <c r="ZB17" i="8" s="1"/>
  <c r="ZC17" i="8" s="1"/>
  <c r="ZD17" i="8" s="1"/>
  <c r="ZE17" i="8" s="1"/>
  <c r="ZF17" i="8" s="1"/>
  <c r="ZG17" i="8" s="1"/>
  <c r="ZH17" i="8" s="1"/>
  <c r="ZI17" i="8" s="1"/>
  <c r="ZJ17" i="8" s="1"/>
  <c r="ZK17" i="8" s="1"/>
  <c r="ZL17" i="8" s="1"/>
  <c r="ZM17" i="8" s="1"/>
  <c r="ZN17" i="8" s="1"/>
  <c r="ZO17" i="8" s="1"/>
  <c r="ZP17" i="8" s="1"/>
  <c r="ZQ17" i="8" s="1"/>
  <c r="ZR17" i="8" s="1"/>
  <c r="ZS17" i="8" s="1"/>
  <c r="ZT17" i="8" s="1"/>
  <c r="ZU17" i="8" s="1"/>
  <c r="ZV17" i="8" s="1"/>
  <c r="ZW17" i="8" s="1"/>
  <c r="ZX17" i="8" s="1"/>
  <c r="ZY17" i="8" s="1"/>
  <c r="ZZ17" i="8" s="1"/>
  <c r="AAA17" i="8" s="1"/>
  <c r="AAB17" i="8" s="1"/>
  <c r="AAC17" i="8" s="1"/>
  <c r="AAD17" i="8" s="1"/>
  <c r="AAE17" i="8" s="1"/>
  <c r="AAF17" i="8" s="1"/>
  <c r="AAG17" i="8" s="1"/>
  <c r="AAH17" i="8" s="1"/>
  <c r="AAI17" i="8" s="1"/>
  <c r="AAJ17" i="8" s="1"/>
  <c r="AAK17" i="8" s="1"/>
  <c r="AAL17" i="8" s="1"/>
  <c r="AAM17" i="8" s="1"/>
  <c r="AAN17" i="8" s="1"/>
  <c r="AAO17" i="8" s="1"/>
  <c r="AAP17" i="8" s="1"/>
  <c r="AAQ17" i="8" s="1"/>
  <c r="AAR17" i="8" s="1"/>
  <c r="AAS17" i="8" s="1"/>
  <c r="AAT17" i="8" s="1"/>
  <c r="AAU17" i="8" s="1"/>
  <c r="AAV17" i="8" s="1"/>
  <c r="AAW17" i="8" s="1"/>
  <c r="AAX17" i="8" s="1"/>
  <c r="AAY17" i="8" s="1"/>
  <c r="AAZ17" i="8" s="1"/>
  <c r="ABA17" i="8" s="1"/>
  <c r="ABB17" i="8" s="1"/>
  <c r="ABC17" i="8" s="1"/>
  <c r="ABD17" i="8" s="1"/>
  <c r="ABE17" i="8" s="1"/>
  <c r="ABF17" i="8" s="1"/>
  <c r="ABG17" i="8" s="1"/>
  <c r="ABH17" i="8" s="1"/>
  <c r="ABI17" i="8" s="1"/>
  <c r="ABJ17" i="8" s="1"/>
  <c r="ABK17" i="8" s="1"/>
  <c r="ABL17" i="8" s="1"/>
  <c r="ABM17" i="8" s="1"/>
  <c r="ABN17" i="8" s="1"/>
  <c r="ABO17" i="8" s="1"/>
  <c r="ABP17" i="8" s="1"/>
  <c r="ABQ17" i="8" s="1"/>
  <c r="ABR17" i="8" s="1"/>
  <c r="ABS17" i="8" s="1"/>
  <c r="ABT17" i="8" s="1"/>
  <c r="ABU17" i="8" s="1"/>
  <c r="ABV17" i="8" s="1"/>
  <c r="ABW17" i="8" s="1"/>
  <c r="ABX17" i="8" s="1"/>
  <c r="ABY17" i="8" s="1"/>
  <c r="ABZ17" i="8" s="1"/>
  <c r="ACA17" i="8" s="1"/>
  <c r="ACB17" i="8" s="1"/>
  <c r="ACC17" i="8" s="1"/>
  <c r="ACD17" i="8" s="1"/>
  <c r="ACE17" i="8" s="1"/>
  <c r="ACF17" i="8" s="1"/>
  <c r="ACG17" i="8" s="1"/>
  <c r="ACH17" i="8" s="1"/>
  <c r="ACI17" i="8" s="1"/>
  <c r="ACJ17" i="8" s="1"/>
  <c r="ACK17" i="8" s="1"/>
  <c r="ACL17" i="8" s="1"/>
  <c r="ACM17" i="8" s="1"/>
  <c r="ACN17" i="8" s="1"/>
  <c r="ACO17" i="8" s="1"/>
  <c r="ACP17" i="8" s="1"/>
  <c r="ACQ17" i="8" s="1"/>
  <c r="ACR17" i="8" s="1"/>
  <c r="ACS17" i="8" s="1"/>
  <c r="ACT17" i="8" s="1"/>
  <c r="ACU17" i="8" s="1"/>
  <c r="ACV17" i="8" s="1"/>
  <c r="ACW17" i="8" s="1"/>
  <c r="ACX17" i="8" s="1"/>
  <c r="ACY17" i="8" s="1"/>
  <c r="ACZ17" i="8" s="1"/>
  <c r="ADA17" i="8" s="1"/>
  <c r="ADB17" i="8" s="1"/>
  <c r="ADC17" i="8" s="1"/>
  <c r="ADD17" i="8" s="1"/>
  <c r="ADE17" i="8" s="1"/>
  <c r="ADF17" i="8" s="1"/>
  <c r="ADG17" i="8" s="1"/>
  <c r="ADH17" i="8" s="1"/>
  <c r="ADI17" i="8" s="1"/>
  <c r="ADJ17" i="8" s="1"/>
  <c r="ADK17" i="8" s="1"/>
  <c r="ADL17" i="8" s="1"/>
  <c r="ADM17" i="8" s="1"/>
  <c r="ADN17" i="8" s="1"/>
  <c r="ADO17" i="8" s="1"/>
  <c r="ADP17" i="8" s="1"/>
  <c r="ADQ17" i="8" s="1"/>
  <c r="ADR17" i="8" s="1"/>
  <c r="ADS17" i="8" s="1"/>
  <c r="ADT17" i="8" s="1"/>
  <c r="ADU17" i="8" s="1"/>
  <c r="ADV17" i="8" s="1"/>
  <c r="ADW17" i="8" s="1"/>
  <c r="ADX17" i="8" s="1"/>
  <c r="ADY17" i="8" s="1"/>
  <c r="ADZ17" i="8" s="1"/>
  <c r="AEA17" i="8" s="1"/>
  <c r="AEB17" i="8" s="1"/>
  <c r="AEC17" i="8" s="1"/>
  <c r="AED17" i="8" s="1"/>
  <c r="AEE17" i="8" s="1"/>
  <c r="AEF17" i="8" s="1"/>
  <c r="AEG17" i="8" s="1"/>
  <c r="AEH17" i="8" s="1"/>
  <c r="AEI17" i="8" s="1"/>
  <c r="AEJ17" i="8" s="1"/>
  <c r="AEK17" i="8" s="1"/>
  <c r="AEL17" i="8" s="1"/>
  <c r="AEM17" i="8" s="1"/>
  <c r="AEN17" i="8" s="1"/>
  <c r="AEO17" i="8" s="1"/>
  <c r="AEP17" i="8" s="1"/>
  <c r="AEQ17" i="8" s="1"/>
  <c r="AER17" i="8" s="1"/>
  <c r="AES17" i="8" s="1"/>
  <c r="AET17" i="8" s="1"/>
  <c r="AEU17" i="8" s="1"/>
  <c r="AEV17" i="8" s="1"/>
  <c r="AEW17" i="8" s="1"/>
  <c r="AEX17" i="8" s="1"/>
  <c r="AEY17" i="8" s="1"/>
  <c r="AEZ17" i="8" s="1"/>
  <c r="AFA17" i="8" s="1"/>
  <c r="AFB17" i="8" s="1"/>
  <c r="AFC17" i="8" s="1"/>
  <c r="AFD17" i="8" s="1"/>
  <c r="AFE17" i="8" s="1"/>
  <c r="AFF17" i="8" s="1"/>
  <c r="AFG17" i="8" s="1"/>
  <c r="AFH17" i="8" s="1"/>
  <c r="AFI17" i="8" s="1"/>
  <c r="AFJ17" i="8" s="1"/>
  <c r="AFK17" i="8" s="1"/>
  <c r="AFL17" i="8" s="1"/>
  <c r="AFM17" i="8" s="1"/>
  <c r="AFN17" i="8" s="1"/>
  <c r="AFO17" i="8" s="1"/>
  <c r="AFP17" i="8" s="1"/>
  <c r="AFQ17" i="8" s="1"/>
  <c r="AFR17" i="8" s="1"/>
  <c r="AFS17" i="8" s="1"/>
  <c r="AFT17" i="8" s="1"/>
  <c r="AFU17" i="8" s="1"/>
  <c r="AFV17" i="8" s="1"/>
  <c r="AFW17" i="8" s="1"/>
  <c r="AFX17" i="8" s="1"/>
  <c r="AFY17" i="8" s="1"/>
  <c r="AFZ17" i="8" s="1"/>
  <c r="AGA17" i="8" s="1"/>
  <c r="AGB17" i="8" s="1"/>
  <c r="AGC17" i="8" s="1"/>
  <c r="AGD17" i="8" s="1"/>
  <c r="AGE17" i="8" s="1"/>
  <c r="AGF17" i="8" s="1"/>
  <c r="AGG17" i="8" s="1"/>
  <c r="AGH17" i="8" s="1"/>
  <c r="AGI17" i="8" s="1"/>
  <c r="AGJ17" i="8" s="1"/>
  <c r="AGK17" i="8" s="1"/>
  <c r="AGL17" i="8" s="1"/>
  <c r="AGM17" i="8" s="1"/>
  <c r="AGN17" i="8" s="1"/>
  <c r="AGO17" i="8" s="1"/>
  <c r="AGP17" i="8" s="1"/>
  <c r="AGQ17" i="8" s="1"/>
  <c r="AGR17" i="8" s="1"/>
  <c r="AGS17" i="8" s="1"/>
  <c r="AGT17" i="8" s="1"/>
  <c r="AGU17" i="8" s="1"/>
  <c r="AGV17" i="8" s="1"/>
  <c r="AGW17" i="8" s="1"/>
  <c r="AGX17" i="8" s="1"/>
  <c r="AGY17" i="8" s="1"/>
  <c r="AGZ17" i="8" s="1"/>
  <c r="AHA17" i="8" s="1"/>
  <c r="AHB17" i="8" s="1"/>
  <c r="AHC17" i="8" s="1"/>
  <c r="AHD17" i="8" s="1"/>
  <c r="AHE17" i="8" s="1"/>
  <c r="AHF17" i="8" s="1"/>
  <c r="AHG17" i="8" s="1"/>
  <c r="AHH17" i="8" s="1"/>
  <c r="AHI17" i="8" s="1"/>
  <c r="AHJ17" i="8" s="1"/>
  <c r="AHK17" i="8" s="1"/>
  <c r="AHL17" i="8" s="1"/>
  <c r="AHM17" i="8" s="1"/>
  <c r="AHN17" i="8" s="1"/>
  <c r="AHO17" i="8" s="1"/>
  <c r="AHP17" i="8" s="1"/>
  <c r="AHQ17" i="8" s="1"/>
  <c r="AHR17" i="8" s="1"/>
  <c r="AHS17" i="8" s="1"/>
  <c r="AHT17" i="8" s="1"/>
  <c r="AHU17" i="8" s="1"/>
  <c r="AHV17" i="8" s="1"/>
  <c r="AHW17" i="8" s="1"/>
  <c r="AHX17" i="8" s="1"/>
  <c r="AHY17" i="8" s="1"/>
  <c r="AHZ17" i="8" s="1"/>
  <c r="AIA17" i="8" s="1"/>
  <c r="AIB17" i="8" s="1"/>
  <c r="AIC17" i="8" s="1"/>
  <c r="AID17" i="8" s="1"/>
  <c r="AIE17" i="8" s="1"/>
  <c r="AIF17" i="8" s="1"/>
  <c r="AIG17" i="8" s="1"/>
  <c r="AIH17" i="8" s="1"/>
  <c r="AII17" i="8" s="1"/>
  <c r="AIJ17" i="8" s="1"/>
  <c r="AIK17" i="8" s="1"/>
  <c r="AIL17" i="8" s="1"/>
  <c r="AIM17" i="8" s="1"/>
  <c r="AIN17" i="8" s="1"/>
  <c r="AIO17" i="8" s="1"/>
  <c r="AIP17" i="8" s="1"/>
  <c r="AIQ17" i="8" s="1"/>
  <c r="AIR17" i="8" s="1"/>
  <c r="AIS17" i="8" s="1"/>
  <c r="AIT17" i="8" s="1"/>
  <c r="AIU17" i="8" s="1"/>
  <c r="AIV17" i="8" s="1"/>
  <c r="AIW17" i="8" s="1"/>
  <c r="AIX17" i="8" s="1"/>
  <c r="AIY17" i="8" s="1"/>
  <c r="AIZ17" i="8" s="1"/>
  <c r="AJA17" i="8" s="1"/>
  <c r="AJB17" i="8" s="1"/>
  <c r="AJC17" i="8" s="1"/>
  <c r="AJD17" i="8" s="1"/>
  <c r="AJE17" i="8" s="1"/>
  <c r="AJF17" i="8" s="1"/>
  <c r="AJG17" i="8" s="1"/>
  <c r="AJH17" i="8" s="1"/>
  <c r="AJI17" i="8" s="1"/>
  <c r="AJJ17" i="8" s="1"/>
  <c r="AJK17" i="8" s="1"/>
  <c r="AJL17" i="8" s="1"/>
  <c r="AJM17" i="8" s="1"/>
  <c r="AJN17" i="8" s="1"/>
  <c r="AJO17" i="8" s="1"/>
  <c r="AJP17" i="8" s="1"/>
  <c r="AJQ17" i="8" s="1"/>
  <c r="AJR17" i="8" s="1"/>
  <c r="AJS17" i="8" s="1"/>
  <c r="AJT17" i="8" s="1"/>
  <c r="AJU17" i="8" s="1"/>
  <c r="AJV17" i="8" s="1"/>
  <c r="AJW17" i="8" s="1"/>
  <c r="AJX17" i="8" s="1"/>
  <c r="AJY17" i="8" s="1"/>
  <c r="AJZ17" i="8" s="1"/>
  <c r="AKA17" i="8" s="1"/>
  <c r="AKB17" i="8" s="1"/>
  <c r="AKC17" i="8" s="1"/>
  <c r="AKD17" i="8" s="1"/>
  <c r="AKE17" i="8" s="1"/>
  <c r="AKF17" i="8" s="1"/>
  <c r="AKG17" i="8" s="1"/>
  <c r="AKH17" i="8" s="1"/>
  <c r="AKI17" i="8" s="1"/>
  <c r="AKJ17" i="8" s="1"/>
  <c r="AKK17" i="8" s="1"/>
  <c r="AKL17" i="8" s="1"/>
  <c r="AKM17" i="8" s="1"/>
  <c r="AKN17" i="8" s="1"/>
  <c r="AKO17" i="8" s="1"/>
  <c r="AKP17" i="8" s="1"/>
  <c r="AKQ17" i="8" s="1"/>
  <c r="AKR17" i="8" s="1"/>
  <c r="AKS17" i="8" s="1"/>
  <c r="AKT17" i="8" s="1"/>
  <c r="AKU17" i="8" s="1"/>
  <c r="AKV17" i="8" s="1"/>
  <c r="AKW17" i="8" s="1"/>
  <c r="AKX17" i="8" s="1"/>
  <c r="AKY17" i="8" s="1"/>
  <c r="AKZ17" i="8" s="1"/>
  <c r="ALA17" i="8" s="1"/>
  <c r="ALB17" i="8" s="1"/>
  <c r="ALC17" i="8" s="1"/>
  <c r="ALD17" i="8" s="1"/>
  <c r="ALE17" i="8" s="1"/>
  <c r="ALF17" i="8" s="1"/>
  <c r="ALG17" i="8" s="1"/>
  <c r="ALH17" i="8" s="1"/>
  <c r="ALI17" i="8" s="1"/>
  <c r="ALJ17" i="8" s="1"/>
  <c r="ALK17" i="8" s="1"/>
  <c r="ALL17" i="8" s="1"/>
  <c r="ALM17" i="8" s="1"/>
  <c r="ALN17" i="8" s="1"/>
  <c r="ALO17" i="8" s="1"/>
  <c r="ALP17" i="8" s="1"/>
  <c r="ALQ17" i="8" s="1"/>
  <c r="ALR17" i="8" s="1"/>
  <c r="ALS17" i="8" s="1"/>
  <c r="ALT17" i="8" s="1"/>
  <c r="ALU17" i="8" s="1"/>
  <c r="ALV17" i="8" s="1"/>
  <c r="ALW17" i="8" s="1"/>
  <c r="ALX17" i="8" s="1"/>
  <c r="ALY17" i="8" s="1"/>
  <c r="ALZ17" i="8" s="1"/>
  <c r="AMA17" i="8" s="1"/>
  <c r="AMB17" i="8" s="1"/>
  <c r="AMC17" i="8" s="1"/>
  <c r="AMD17" i="8" s="1"/>
  <c r="AME17" i="8" s="1"/>
  <c r="AMF17" i="8" s="1"/>
  <c r="AMG17" i="8" s="1"/>
  <c r="AMH17" i="8" s="1"/>
  <c r="AMI17" i="8" s="1"/>
  <c r="AMJ17" i="8" s="1"/>
  <c r="AMK17" i="8" s="1"/>
  <c r="AML17" i="8" s="1"/>
  <c r="AMM17" i="8" s="1"/>
  <c r="AMN17" i="8" s="1"/>
  <c r="AMO17" i="8" s="1"/>
  <c r="AMP17" i="8" s="1"/>
  <c r="AMQ17" i="8" s="1"/>
  <c r="AMR17" i="8" s="1"/>
  <c r="AMS17" i="8" s="1"/>
  <c r="AMT17" i="8" s="1"/>
  <c r="AMU17" i="8" s="1"/>
  <c r="AMV17" i="8" s="1"/>
  <c r="AMW17" i="8" s="1"/>
  <c r="AMX17" i="8" s="1"/>
  <c r="AMY17" i="8" s="1"/>
  <c r="AMZ17" i="8" s="1"/>
  <c r="ANA17" i="8" s="1"/>
  <c r="ANB17" i="8" s="1"/>
  <c r="ANC17" i="8" s="1"/>
  <c r="AND17" i="8" s="1"/>
  <c r="ANE17" i="8" s="1"/>
  <c r="ANF17" i="8" s="1"/>
  <c r="ANG17" i="8" s="1"/>
  <c r="ANH17" i="8" s="1"/>
  <c r="ANI17" i="8" s="1"/>
  <c r="ANJ17" i="8" s="1"/>
  <c r="ANK17" i="8" s="1"/>
  <c r="ANL17" i="8" s="1"/>
  <c r="ANM17" i="8" s="1"/>
  <c r="ANN17" i="8" s="1"/>
  <c r="ANO17" i="8" s="1"/>
  <c r="ANP17" i="8" s="1"/>
  <c r="ANQ17" i="8" s="1"/>
  <c r="ANR17" i="8" s="1"/>
  <c r="ANS17" i="8" s="1"/>
  <c r="ANT17" i="8" s="1"/>
  <c r="ANU17" i="8" s="1"/>
  <c r="ANV17" i="8" s="1"/>
  <c r="ANW17" i="8" s="1"/>
  <c r="ANX17" i="8" s="1"/>
  <c r="ANY17" i="8" s="1"/>
  <c r="ANZ17" i="8" s="1"/>
  <c r="AOA17" i="8" s="1"/>
  <c r="AOB17" i="8" s="1"/>
  <c r="AOC17" i="8" s="1"/>
  <c r="AOD17" i="8" s="1"/>
  <c r="AOE17" i="8" s="1"/>
  <c r="AOF17" i="8" s="1"/>
  <c r="AOG17" i="8" s="1"/>
  <c r="AOH17" i="8" s="1"/>
  <c r="AOI17" i="8" s="1"/>
  <c r="AOJ17" i="8" s="1"/>
  <c r="AOK17" i="8" s="1"/>
  <c r="AOL17" i="8" s="1"/>
  <c r="AOM17" i="8" s="1"/>
  <c r="AON17" i="8" s="1"/>
  <c r="AOO17" i="8" s="1"/>
  <c r="AOP17" i="8" s="1"/>
  <c r="AOQ17" i="8" s="1"/>
  <c r="C6" i="8"/>
  <c r="P16" i="8"/>
  <c r="AB16" i="8" s="1"/>
  <c r="AN16" i="8" s="1"/>
  <c r="E16" i="8"/>
  <c r="P15" i="8"/>
  <c r="AB15" i="8" s="1"/>
  <c r="E15" i="8"/>
  <c r="F15" i="8" s="1"/>
  <c r="C10" i="8"/>
  <c r="AC97" i="10" l="1"/>
  <c r="AC99" i="10"/>
  <c r="AD98" i="10" s="1"/>
  <c r="AD94" i="10" s="1"/>
  <c r="U9" i="1"/>
  <c r="S9" i="1"/>
  <c r="T10" i="1"/>
  <c r="T11" i="1"/>
  <c r="R12" i="1"/>
  <c r="C3" i="8"/>
  <c r="D3" i="4"/>
  <c r="F16" i="8"/>
  <c r="G16" i="8" s="1"/>
  <c r="Q16" i="8"/>
  <c r="AC16" i="8" s="1"/>
  <c r="AO16" i="8" s="1"/>
  <c r="BA16" i="8" s="1"/>
  <c r="BM16" i="8" s="1"/>
  <c r="AN15" i="8"/>
  <c r="AZ16" i="8"/>
  <c r="G15" i="8"/>
  <c r="R15" i="8"/>
  <c r="Q15" i="8"/>
  <c r="U10" i="1" l="1"/>
  <c r="S10" i="1"/>
  <c r="T12" i="1"/>
  <c r="R13" i="1"/>
  <c r="R16" i="8"/>
  <c r="AD16" i="8" s="1"/>
  <c r="AP16" i="8" s="1"/>
  <c r="BB16" i="8" s="1"/>
  <c r="BN16" i="8" s="1"/>
  <c r="BZ16" i="8" s="1"/>
  <c r="CL16" i="8" s="1"/>
  <c r="S16" i="8"/>
  <c r="H16" i="8"/>
  <c r="AD15" i="8"/>
  <c r="BL16" i="8"/>
  <c r="AC15" i="8"/>
  <c r="BY16" i="8"/>
  <c r="H15" i="8"/>
  <c r="S15" i="8"/>
  <c r="AZ15" i="8"/>
  <c r="AD97" i="10" l="1"/>
  <c r="AD99" i="10"/>
  <c r="AE98" i="10" s="1"/>
  <c r="AE94" i="10" s="1"/>
  <c r="S11" i="1"/>
  <c r="U11" i="1"/>
  <c r="T13" i="1"/>
  <c r="R14" i="1"/>
  <c r="AP15" i="8"/>
  <c r="I16" i="8"/>
  <c r="T16" i="8"/>
  <c r="AE16" i="8"/>
  <c r="T15" i="8"/>
  <c r="I15" i="8"/>
  <c r="CX16" i="8"/>
  <c r="CK16" i="8"/>
  <c r="AE15" i="8"/>
  <c r="BL15" i="8"/>
  <c r="AO15" i="8"/>
  <c r="BX16" i="8"/>
  <c r="AE99" i="10" l="1"/>
  <c r="AF98" i="10" s="1"/>
  <c r="AF94" i="10" s="1"/>
  <c r="AE97" i="10"/>
  <c r="S12" i="1"/>
  <c r="U12" i="1"/>
  <c r="T14" i="1"/>
  <c r="R15" i="1"/>
  <c r="AQ15" i="8"/>
  <c r="BA15" i="8"/>
  <c r="CW16" i="8"/>
  <c r="AF16" i="8"/>
  <c r="AF15" i="8"/>
  <c r="AQ16" i="8"/>
  <c r="DJ16" i="8"/>
  <c r="J16" i="8"/>
  <c r="U16" i="8"/>
  <c r="BX15" i="8"/>
  <c r="CJ16" i="8"/>
  <c r="BB15" i="8"/>
  <c r="J15" i="8"/>
  <c r="U15" i="8"/>
  <c r="S13" i="1" l="1"/>
  <c r="U13" i="1"/>
  <c r="T15" i="1"/>
  <c r="R16" i="1"/>
  <c r="DI16" i="8"/>
  <c r="CV16" i="8"/>
  <c r="K16" i="8"/>
  <c r="V16" i="8"/>
  <c r="AG15" i="8"/>
  <c r="BC16" i="8"/>
  <c r="BM15" i="8"/>
  <c r="DV16" i="8"/>
  <c r="K15" i="8"/>
  <c r="V15" i="8"/>
  <c r="CJ15" i="8"/>
  <c r="AR15" i="8"/>
  <c r="BN15" i="8"/>
  <c r="AG16" i="8"/>
  <c r="AR16" i="8"/>
  <c r="BC15" i="8"/>
  <c r="AF97" i="10" l="1"/>
  <c r="AF99" i="10"/>
  <c r="AG98" i="10" s="1"/>
  <c r="AG94" i="10" s="1"/>
  <c r="T16" i="1"/>
  <c r="U14" i="1"/>
  <c r="S14" i="1"/>
  <c r="R17" i="1"/>
  <c r="AS15" i="8"/>
  <c r="BY15" i="8"/>
  <c r="AH16" i="8"/>
  <c r="CV15" i="8"/>
  <c r="L16" i="8"/>
  <c r="W16" i="8"/>
  <c r="BZ15" i="8"/>
  <c r="BD15" i="8"/>
  <c r="BO16" i="8"/>
  <c r="AH15" i="8"/>
  <c r="DH16" i="8"/>
  <c r="L15" i="8"/>
  <c r="W15" i="8"/>
  <c r="AS16" i="8"/>
  <c r="BD16" i="8"/>
  <c r="EH16" i="8"/>
  <c r="BO15" i="8"/>
  <c r="DU16" i="8"/>
  <c r="S15" i="1" l="1"/>
  <c r="U15" i="1"/>
  <c r="T17" i="1"/>
  <c r="R18" i="1"/>
  <c r="CA16" i="8"/>
  <c r="CK15" i="8"/>
  <c r="CA15" i="8"/>
  <c r="BP16" i="8"/>
  <c r="X15" i="8"/>
  <c r="M15" i="8"/>
  <c r="AI16" i="8"/>
  <c r="ET16" i="8"/>
  <c r="M16" i="8"/>
  <c r="X16" i="8"/>
  <c r="CL15" i="8"/>
  <c r="DT16" i="8"/>
  <c r="AI15" i="8"/>
  <c r="EG16" i="8"/>
  <c r="BP15" i="8"/>
  <c r="DH15" i="8"/>
  <c r="BE15" i="8"/>
  <c r="AT15" i="8"/>
  <c r="BE16" i="8"/>
  <c r="AT16" i="8"/>
  <c r="AG97" i="10" l="1"/>
  <c r="AG99" i="10"/>
  <c r="AH98" i="10" s="1"/>
  <c r="AH94" i="10" s="1"/>
  <c r="U16" i="1"/>
  <c r="T18" i="1"/>
  <c r="S16" i="1"/>
  <c r="R19" i="1"/>
  <c r="BQ15" i="8"/>
  <c r="DT15" i="8"/>
  <c r="N15" i="8"/>
  <c r="Y15" i="8"/>
  <c r="CW15" i="8"/>
  <c r="AU15" i="8"/>
  <c r="BF16" i="8"/>
  <c r="AU16" i="8"/>
  <c r="AJ16" i="8"/>
  <c r="CM16" i="8"/>
  <c r="BQ16" i="8"/>
  <c r="CB15" i="8"/>
  <c r="N16" i="8"/>
  <c r="Y16" i="8"/>
  <c r="AJ15" i="8"/>
  <c r="CB16" i="8"/>
  <c r="BF15" i="8"/>
  <c r="ES16" i="8"/>
  <c r="EF16" i="8"/>
  <c r="FF16" i="8"/>
  <c r="CX15" i="8"/>
  <c r="CM15" i="8"/>
  <c r="AH97" i="10" l="1"/>
  <c r="S17" i="1"/>
  <c r="U17" i="1"/>
  <c r="T19" i="1"/>
  <c r="R20" i="1"/>
  <c r="BR15" i="8"/>
  <c r="O15" i="8"/>
  <c r="Z15" i="8"/>
  <c r="AK16" i="8"/>
  <c r="CY16" i="8"/>
  <c r="EF15" i="8"/>
  <c r="BG15" i="8"/>
  <c r="FR16" i="8"/>
  <c r="O16" i="8"/>
  <c r="Z16" i="8"/>
  <c r="CY15" i="8"/>
  <c r="CN16" i="8"/>
  <c r="CC15" i="8"/>
  <c r="BR16" i="8"/>
  <c r="DJ15" i="8"/>
  <c r="ER16" i="8"/>
  <c r="CN15" i="8"/>
  <c r="AV16" i="8"/>
  <c r="AK15" i="8"/>
  <c r="DI15" i="8"/>
  <c r="AV15" i="8"/>
  <c r="FE16" i="8"/>
  <c r="CC16" i="8"/>
  <c r="BG16" i="8"/>
  <c r="AH99" i="10" l="1"/>
  <c r="AI98" i="10" s="1"/>
  <c r="AI94" i="10" s="1"/>
  <c r="U18" i="1"/>
  <c r="T20" i="1"/>
  <c r="S18" i="1"/>
  <c r="R21" i="1"/>
  <c r="FD16" i="8"/>
  <c r="CD15" i="8"/>
  <c r="ER15" i="8"/>
  <c r="GD16" i="8"/>
  <c r="AW15" i="8"/>
  <c r="DK15" i="8"/>
  <c r="DK16" i="8"/>
  <c r="AA15" i="8"/>
  <c r="CZ16" i="8"/>
  <c r="DV15" i="8"/>
  <c r="AW16" i="8"/>
  <c r="CO15" i="8"/>
  <c r="AL16" i="8"/>
  <c r="DU15" i="8"/>
  <c r="BS16" i="8"/>
  <c r="CO16" i="8"/>
  <c r="CD16" i="8"/>
  <c r="CZ15" i="8"/>
  <c r="AA16" i="8"/>
  <c r="FQ16" i="8"/>
  <c r="BH15" i="8"/>
  <c r="BH16" i="8"/>
  <c r="BS15" i="8"/>
  <c r="AL15" i="8"/>
  <c r="AI97" i="10" l="1"/>
  <c r="S19" i="1"/>
  <c r="U19" i="1"/>
  <c r="T21" i="1"/>
  <c r="R22" i="1"/>
  <c r="BT15" i="8"/>
  <c r="CE16" i="8"/>
  <c r="BT16" i="8"/>
  <c r="DA15" i="8"/>
  <c r="AM15" i="8"/>
  <c r="GC16" i="8"/>
  <c r="DW16" i="8"/>
  <c r="GP16" i="8"/>
  <c r="CP16" i="8"/>
  <c r="EG15" i="8"/>
  <c r="EH15" i="8"/>
  <c r="CP15" i="8"/>
  <c r="AM16" i="8"/>
  <c r="AX16" i="8"/>
  <c r="DW15" i="8"/>
  <c r="FD15" i="8"/>
  <c r="DA16" i="8"/>
  <c r="DL16" i="8"/>
  <c r="BI16" i="8"/>
  <c r="AX15" i="8"/>
  <c r="CE15" i="8"/>
  <c r="DL15" i="8"/>
  <c r="BI15" i="8"/>
  <c r="FP16" i="8"/>
  <c r="AI99" i="10" l="1"/>
  <c r="AJ98" i="10" s="1"/>
  <c r="AJ94" i="10" s="1"/>
  <c r="T22" i="1"/>
  <c r="U20" i="1"/>
  <c r="S20" i="1"/>
  <c r="R23" i="1"/>
  <c r="BU16" i="8"/>
  <c r="CQ16" i="8"/>
  <c r="GB16" i="8"/>
  <c r="DX16" i="8"/>
  <c r="DB15" i="8"/>
  <c r="HB16" i="8"/>
  <c r="AY15" i="8"/>
  <c r="BJ16" i="8"/>
  <c r="EI16" i="8"/>
  <c r="CF15" i="8"/>
  <c r="DB16" i="8"/>
  <c r="AY16" i="8"/>
  <c r="DX15" i="8"/>
  <c r="ET15" i="8"/>
  <c r="GO16" i="8"/>
  <c r="FP15" i="8"/>
  <c r="DM15" i="8"/>
  <c r="BU15" i="8"/>
  <c r="BJ15" i="8"/>
  <c r="CF16" i="8"/>
  <c r="CQ15" i="8"/>
  <c r="DM16" i="8"/>
  <c r="EI15" i="8"/>
  <c r="ES15" i="8"/>
  <c r="S21" i="1" l="1"/>
  <c r="U21" i="1"/>
  <c r="T23" i="1"/>
  <c r="R24" i="1"/>
  <c r="DN16" i="8"/>
  <c r="BV15" i="8"/>
  <c r="DC16" i="8"/>
  <c r="DY15" i="8"/>
  <c r="BK15" i="8"/>
  <c r="CR15" i="8"/>
  <c r="GB15" i="8"/>
  <c r="EJ15" i="8"/>
  <c r="HN16" i="8"/>
  <c r="EU16" i="8"/>
  <c r="DC15" i="8"/>
  <c r="CG15" i="8"/>
  <c r="EU15" i="8"/>
  <c r="HA16" i="8"/>
  <c r="DN15" i="8"/>
  <c r="CG16" i="8"/>
  <c r="BK16" i="8"/>
  <c r="FF15" i="8"/>
  <c r="GN16" i="8"/>
  <c r="CR16" i="8"/>
  <c r="FE15" i="8"/>
  <c r="DY16" i="8"/>
  <c r="BV16" i="8"/>
  <c r="EJ16" i="8"/>
  <c r="AJ97" i="10" l="1"/>
  <c r="AJ99" i="10"/>
  <c r="AK98" i="10" s="1"/>
  <c r="AK94" i="10" s="1"/>
  <c r="S22" i="1"/>
  <c r="T24" i="1"/>
  <c r="U22" i="1"/>
  <c r="R25" i="1"/>
  <c r="EV15" i="8"/>
  <c r="EV16" i="8"/>
  <c r="FR15" i="8"/>
  <c r="FQ15" i="8"/>
  <c r="FG16" i="8"/>
  <c r="BW16" i="8"/>
  <c r="GN15" i="8"/>
  <c r="DD16" i="8"/>
  <c r="DO15" i="8"/>
  <c r="FG15" i="8"/>
  <c r="CH15" i="8"/>
  <c r="GZ16" i="8"/>
  <c r="CS15" i="8"/>
  <c r="EK15" i="8"/>
  <c r="EK16" i="8"/>
  <c r="DD15" i="8"/>
  <c r="DO16" i="8"/>
  <c r="HZ16" i="8"/>
  <c r="DZ16" i="8"/>
  <c r="BW15" i="8"/>
  <c r="HM16" i="8"/>
  <c r="CH16" i="8"/>
  <c r="CS16" i="8"/>
  <c r="DZ15" i="8"/>
  <c r="U23" i="1" l="1"/>
  <c r="S23" i="1"/>
  <c r="T25" i="1"/>
  <c r="R26" i="1"/>
  <c r="HL16" i="8"/>
  <c r="CI16" i="8"/>
  <c r="GD15" i="8"/>
  <c r="DE16" i="8"/>
  <c r="EW16" i="8"/>
  <c r="CT15" i="8"/>
  <c r="FS16" i="8"/>
  <c r="EW15" i="8"/>
  <c r="FH16" i="8"/>
  <c r="EA16" i="8"/>
  <c r="FS15" i="8"/>
  <c r="EL15" i="8"/>
  <c r="EA15" i="8"/>
  <c r="DP16" i="8"/>
  <c r="CT16" i="8"/>
  <c r="CI15" i="8"/>
  <c r="GC15" i="8"/>
  <c r="FH15" i="8"/>
  <c r="DP15" i="8"/>
  <c r="IL16" i="8"/>
  <c r="HY16" i="8"/>
  <c r="EL16" i="8"/>
  <c r="DE15" i="8"/>
  <c r="GZ15" i="8"/>
  <c r="AK97" i="10" l="1"/>
  <c r="AK99" i="10"/>
  <c r="AL98" i="10" s="1"/>
  <c r="AL94" i="10" s="1"/>
  <c r="T26" i="1"/>
  <c r="S24" i="1"/>
  <c r="U24" i="1"/>
  <c r="R27" i="1"/>
  <c r="IK16" i="8"/>
  <c r="IX16" i="8"/>
  <c r="GE15" i="8"/>
  <c r="DQ16" i="8"/>
  <c r="EB16" i="8"/>
  <c r="EM16" i="8"/>
  <c r="FT15" i="8"/>
  <c r="EX16" i="8"/>
  <c r="EM15" i="8"/>
  <c r="FT16" i="8"/>
  <c r="DF15" i="8"/>
  <c r="GP15" i="8"/>
  <c r="EB15" i="8"/>
  <c r="CU15" i="8"/>
  <c r="CU16" i="8"/>
  <c r="HL15" i="8"/>
  <c r="EX15" i="8"/>
  <c r="GE16" i="8"/>
  <c r="DF16" i="8"/>
  <c r="HX16" i="8"/>
  <c r="FI15" i="8"/>
  <c r="GO15" i="8"/>
  <c r="DQ15" i="8"/>
  <c r="FI16" i="8"/>
  <c r="AL97" i="10" l="1"/>
  <c r="S25" i="1"/>
  <c r="U25" i="1"/>
  <c r="T27" i="1"/>
  <c r="R28" i="1"/>
  <c r="EN16" i="8"/>
  <c r="HA15" i="8"/>
  <c r="DR16" i="8"/>
  <c r="HB15" i="8"/>
  <c r="GF15" i="8"/>
  <c r="EC16" i="8"/>
  <c r="DR15" i="8"/>
  <c r="GQ15" i="8"/>
  <c r="FU15" i="8"/>
  <c r="DG15" i="8"/>
  <c r="GF16" i="8"/>
  <c r="FJ15" i="8"/>
  <c r="JJ16" i="8"/>
  <c r="FJ16" i="8"/>
  <c r="IW16" i="8"/>
  <c r="EC15" i="8"/>
  <c r="EN15" i="8"/>
  <c r="EY15" i="8"/>
  <c r="DG16" i="8"/>
  <c r="FU16" i="8"/>
  <c r="GQ16" i="8"/>
  <c r="IJ16" i="8"/>
  <c r="HX15" i="8"/>
  <c r="EY16" i="8"/>
  <c r="AL99" i="10" l="1"/>
  <c r="AM98" i="10" s="1"/>
  <c r="AM94" i="10" s="1"/>
  <c r="T28" i="1"/>
  <c r="S26" i="1"/>
  <c r="U26" i="1"/>
  <c r="R29" i="1"/>
  <c r="HC15" i="8"/>
  <c r="GR16" i="8"/>
  <c r="HM15" i="8"/>
  <c r="GR15" i="8"/>
  <c r="FV16" i="8"/>
  <c r="EZ16" i="8"/>
  <c r="FK16" i="8"/>
  <c r="DS15" i="8"/>
  <c r="EO16" i="8"/>
  <c r="EO15" i="8"/>
  <c r="JV16" i="8"/>
  <c r="EZ15" i="8"/>
  <c r="ED15" i="8"/>
  <c r="HN15" i="8"/>
  <c r="IJ15" i="8"/>
  <c r="GG16" i="8"/>
  <c r="DS16" i="8"/>
  <c r="IV16" i="8"/>
  <c r="FK15" i="8"/>
  <c r="GG15" i="8"/>
  <c r="ED16" i="8"/>
  <c r="HC16" i="8"/>
  <c r="JI16" i="8"/>
  <c r="FV15" i="8"/>
  <c r="U27" i="1" l="1"/>
  <c r="S27" i="1"/>
  <c r="T29" i="1"/>
  <c r="R30" i="1"/>
  <c r="GS16" i="8"/>
  <c r="EP15" i="8"/>
  <c r="GH15" i="8"/>
  <c r="FL15" i="8"/>
  <c r="IV15" i="8"/>
  <c r="KH16" i="8"/>
  <c r="HD15" i="8"/>
  <c r="FW16" i="8"/>
  <c r="GH16" i="8"/>
  <c r="GS15" i="8"/>
  <c r="FW15" i="8"/>
  <c r="HO16" i="8"/>
  <c r="FA15" i="8"/>
  <c r="HY15" i="8"/>
  <c r="FL16" i="8"/>
  <c r="HO15" i="8"/>
  <c r="EE15" i="8"/>
  <c r="JH16" i="8"/>
  <c r="EP16" i="8"/>
  <c r="FA16" i="8"/>
  <c r="JU16" i="8"/>
  <c r="EE16" i="8"/>
  <c r="HZ15" i="8"/>
  <c r="HD16" i="8"/>
  <c r="AM97" i="10" l="1"/>
  <c r="AM99" i="10"/>
  <c r="AN98" i="10" s="1"/>
  <c r="AN94" i="10" s="1"/>
  <c r="S28" i="1"/>
  <c r="T30" i="1"/>
  <c r="U28" i="1"/>
  <c r="R31" i="1"/>
  <c r="IK15" i="8"/>
  <c r="FB15" i="8"/>
  <c r="JH15" i="8"/>
  <c r="FM16" i="8"/>
  <c r="IA15" i="8"/>
  <c r="FM15" i="8"/>
  <c r="GI16" i="8"/>
  <c r="GI15" i="8"/>
  <c r="FX15" i="8"/>
  <c r="HE16" i="8"/>
  <c r="EQ15" i="8"/>
  <c r="FX16" i="8"/>
  <c r="IA16" i="8"/>
  <c r="FB16" i="8"/>
  <c r="HE15" i="8"/>
  <c r="EQ16" i="8"/>
  <c r="HP15" i="8"/>
  <c r="KG16" i="8"/>
  <c r="JT16" i="8"/>
  <c r="GT16" i="8"/>
  <c r="GT15" i="8"/>
  <c r="KT16" i="8"/>
  <c r="IL15" i="8"/>
  <c r="HP16" i="8"/>
  <c r="U29" i="1" l="1"/>
  <c r="S29" i="1"/>
  <c r="T31" i="1"/>
  <c r="R32" i="1"/>
  <c r="IX15" i="8"/>
  <c r="FC15" i="8"/>
  <c r="FN15" i="8"/>
  <c r="FN16" i="8"/>
  <c r="LF16" i="8"/>
  <c r="FY15" i="8"/>
  <c r="HQ16" i="8"/>
  <c r="IM16" i="8"/>
  <c r="GU15" i="8"/>
  <c r="IM15" i="8"/>
  <c r="IW15" i="8"/>
  <c r="HF15" i="8"/>
  <c r="FC16" i="8"/>
  <c r="GJ15" i="8"/>
  <c r="GJ16" i="8"/>
  <c r="FY16" i="8"/>
  <c r="KS16" i="8"/>
  <c r="IB15" i="8"/>
  <c r="IB16" i="8"/>
  <c r="KF16" i="8"/>
  <c r="HQ15" i="8"/>
  <c r="GU16" i="8"/>
  <c r="HF16" i="8"/>
  <c r="JT15" i="8"/>
  <c r="AN97" i="10" l="1"/>
  <c r="AN99" i="10"/>
  <c r="AO98" i="10" s="1"/>
  <c r="AO94" i="10" s="1"/>
  <c r="T32" i="1"/>
  <c r="S30" i="1"/>
  <c r="U30" i="1"/>
  <c r="R33" i="1"/>
  <c r="GV16" i="8"/>
  <c r="JI15" i="8"/>
  <c r="GK15" i="8"/>
  <c r="HG16" i="8"/>
  <c r="IY15" i="8"/>
  <c r="FO15" i="8"/>
  <c r="GV15" i="8"/>
  <c r="IC15" i="8"/>
  <c r="LR16" i="8"/>
  <c r="KF15" i="8"/>
  <c r="KR16" i="8"/>
  <c r="LE16" i="8"/>
  <c r="FO16" i="8"/>
  <c r="HG15" i="8"/>
  <c r="FZ16" i="8"/>
  <c r="GK16" i="8"/>
  <c r="IY16" i="8"/>
  <c r="FZ15" i="8"/>
  <c r="IN15" i="8"/>
  <c r="IN16" i="8"/>
  <c r="HR15" i="8"/>
  <c r="IC16" i="8"/>
  <c r="HR16" i="8"/>
  <c r="JJ15" i="8"/>
  <c r="S31" i="1" l="1"/>
  <c r="U31" i="1"/>
  <c r="T33" i="1"/>
  <c r="R34" i="1"/>
  <c r="GA16" i="8"/>
  <c r="ID16" i="8"/>
  <c r="LQ16" i="8"/>
  <c r="JK15" i="8"/>
  <c r="GW15" i="8"/>
  <c r="GL15" i="8"/>
  <c r="LD16" i="8"/>
  <c r="GL16" i="8"/>
  <c r="JU15" i="8"/>
  <c r="ID15" i="8"/>
  <c r="HH15" i="8"/>
  <c r="JV15" i="8"/>
  <c r="KR15" i="8"/>
  <c r="IZ15" i="8"/>
  <c r="IZ16" i="8"/>
  <c r="HS15" i="8"/>
  <c r="HH16" i="8"/>
  <c r="GW16" i="8"/>
  <c r="IO16" i="8"/>
  <c r="MD16" i="8"/>
  <c r="IO15" i="8"/>
  <c r="JK16" i="8"/>
  <c r="GA15" i="8"/>
  <c r="HS16" i="8"/>
  <c r="AO97" i="10" l="1"/>
  <c r="AO99" i="10"/>
  <c r="AP98" i="10" s="1"/>
  <c r="AP94" i="10" s="1"/>
  <c r="T34" i="1"/>
  <c r="U32" i="1"/>
  <c r="S32" i="1"/>
  <c r="R35" i="1"/>
  <c r="JW15" i="8"/>
  <c r="HT16" i="8"/>
  <c r="GX15" i="8"/>
  <c r="KH15" i="8"/>
  <c r="KG15" i="8"/>
  <c r="IP15" i="8"/>
  <c r="GM15" i="8"/>
  <c r="MP16" i="8"/>
  <c r="IE15" i="8"/>
  <c r="MC16" i="8"/>
  <c r="JW16" i="8"/>
  <c r="LD15" i="8"/>
  <c r="HT15" i="8"/>
  <c r="GX16" i="8"/>
  <c r="JA16" i="8"/>
  <c r="JL16" i="8"/>
  <c r="IP16" i="8"/>
  <c r="HI15" i="8"/>
  <c r="IE16" i="8"/>
  <c r="GM16" i="8"/>
  <c r="JL15" i="8"/>
  <c r="HI16" i="8"/>
  <c r="JA15" i="8"/>
  <c r="LP16" i="8"/>
  <c r="AP97" i="10" l="1"/>
  <c r="S33" i="1"/>
  <c r="U33" i="1"/>
  <c r="T35" i="1"/>
  <c r="R36" i="1"/>
  <c r="HJ16" i="8"/>
  <c r="IQ15" i="8"/>
  <c r="JX15" i="8"/>
  <c r="HU15" i="8"/>
  <c r="NB16" i="8"/>
  <c r="HJ15" i="8"/>
  <c r="IF15" i="8"/>
  <c r="JB16" i="8"/>
  <c r="IF16" i="8"/>
  <c r="GY16" i="8"/>
  <c r="GY15" i="8"/>
  <c r="KS15" i="8"/>
  <c r="LP15" i="8"/>
  <c r="MO16" i="8"/>
  <c r="KI15" i="8"/>
  <c r="KT15" i="8"/>
  <c r="JX16" i="8"/>
  <c r="JB15" i="8"/>
  <c r="JM15" i="8"/>
  <c r="KI16" i="8"/>
  <c r="MB16" i="8"/>
  <c r="HU16" i="8"/>
  <c r="IQ16" i="8"/>
  <c r="JM16" i="8"/>
  <c r="AP99" i="10" l="1"/>
  <c r="AQ98" i="10" s="1"/>
  <c r="AQ94" i="10" s="1"/>
  <c r="T36" i="1"/>
  <c r="U34" i="1"/>
  <c r="S34" i="1"/>
  <c r="R37" i="1"/>
  <c r="KU16" i="8"/>
  <c r="NN16" i="8"/>
  <c r="JY16" i="8"/>
  <c r="JN16" i="8"/>
  <c r="NA16" i="8"/>
  <c r="JC15" i="8"/>
  <c r="LE15" i="8"/>
  <c r="HK15" i="8"/>
  <c r="IG15" i="8"/>
  <c r="IR15" i="8"/>
  <c r="HV16" i="8"/>
  <c r="IG16" i="8"/>
  <c r="MB15" i="8"/>
  <c r="HK16" i="8"/>
  <c r="JY15" i="8"/>
  <c r="JC16" i="8"/>
  <c r="MN16" i="8"/>
  <c r="JN15" i="8"/>
  <c r="IR16" i="8"/>
  <c r="HV15" i="8"/>
  <c r="KU15" i="8"/>
  <c r="KJ15" i="8"/>
  <c r="LF15" i="8"/>
  <c r="KJ16" i="8"/>
  <c r="AQ97" i="10" l="1"/>
  <c r="S35" i="1"/>
  <c r="U35" i="1"/>
  <c r="T37" i="1"/>
  <c r="R38" i="1"/>
  <c r="MN15" i="8"/>
  <c r="IH15" i="8"/>
  <c r="IS15" i="8"/>
  <c r="JD16" i="8"/>
  <c r="IS16" i="8"/>
  <c r="NZ16" i="8"/>
  <c r="HW15" i="8"/>
  <c r="KV16" i="8"/>
  <c r="LG15" i="8"/>
  <c r="JZ15" i="8"/>
  <c r="IH16" i="8"/>
  <c r="NM16" i="8"/>
  <c r="KK15" i="8"/>
  <c r="LQ15" i="8"/>
  <c r="JD15" i="8"/>
  <c r="LG16" i="8"/>
  <c r="KV15" i="8"/>
  <c r="MZ16" i="8"/>
  <c r="JO15" i="8"/>
  <c r="JZ16" i="8"/>
  <c r="KK16" i="8"/>
  <c r="LR15" i="8"/>
  <c r="JO16" i="8"/>
  <c r="HW16" i="8"/>
  <c r="AQ99" i="10" l="1"/>
  <c r="AR98" i="10" s="1"/>
  <c r="AR94" i="10" s="1"/>
  <c r="U36" i="1"/>
  <c r="T38" i="1"/>
  <c r="S36" i="1"/>
  <c r="R39" i="1"/>
  <c r="JP16" i="8"/>
  <c r="KA16" i="8"/>
  <c r="KL16" i="8"/>
  <c r="LS16" i="8"/>
  <c r="MC15" i="8"/>
  <c r="NY16" i="8"/>
  <c r="LH16" i="8"/>
  <c r="KW16" i="8"/>
  <c r="KA15" i="8"/>
  <c r="IT16" i="8"/>
  <c r="MZ15" i="8"/>
  <c r="II15" i="8"/>
  <c r="JE15" i="8"/>
  <c r="NL16" i="8"/>
  <c r="OL16" i="8"/>
  <c r="JP15" i="8"/>
  <c r="KW15" i="8"/>
  <c r="KL15" i="8"/>
  <c r="IT15" i="8"/>
  <c r="II16" i="8"/>
  <c r="LH15" i="8"/>
  <c r="MD15" i="8"/>
  <c r="LS15" i="8"/>
  <c r="JE16" i="8"/>
  <c r="S37" i="1" l="1"/>
  <c r="U37" i="1"/>
  <c r="T39" i="1"/>
  <c r="R40" i="1"/>
  <c r="MP15" i="8"/>
  <c r="JQ15" i="8"/>
  <c r="ME16" i="8"/>
  <c r="KX15" i="8"/>
  <c r="OX16" i="8"/>
  <c r="KX16" i="8"/>
  <c r="IU15" i="8"/>
  <c r="JF16" i="8"/>
  <c r="LT16" i="8"/>
  <c r="KM16" i="8"/>
  <c r="JQ16" i="8"/>
  <c r="OK16" i="8"/>
  <c r="KB15" i="8"/>
  <c r="KB16" i="8"/>
  <c r="NL15" i="8"/>
  <c r="ME15" i="8"/>
  <c r="IU16" i="8"/>
  <c r="LI15" i="8"/>
  <c r="KM15" i="8"/>
  <c r="JF15" i="8"/>
  <c r="NX16" i="8"/>
  <c r="LT15" i="8"/>
  <c r="LI16" i="8"/>
  <c r="MO15" i="8"/>
  <c r="AR97" i="10" l="1"/>
  <c r="AR99" i="10"/>
  <c r="AS98" i="10" s="1"/>
  <c r="AS94" i="10" s="1"/>
  <c r="S38" i="1"/>
  <c r="U38" i="1"/>
  <c r="T40" i="1"/>
  <c r="R41" i="1"/>
  <c r="LJ16" i="8"/>
  <c r="KC15" i="8"/>
  <c r="KY15" i="8"/>
  <c r="PJ16" i="8"/>
  <c r="JR16" i="8"/>
  <c r="NX15" i="8"/>
  <c r="OW16" i="8"/>
  <c r="MF15" i="8"/>
  <c r="MQ15" i="8"/>
  <c r="KC16" i="8"/>
  <c r="OJ16" i="8"/>
  <c r="LU15" i="8"/>
  <c r="KN16" i="8"/>
  <c r="JG15" i="8"/>
  <c r="LJ15" i="8"/>
  <c r="NA15" i="8"/>
  <c r="KY16" i="8"/>
  <c r="NB15" i="8"/>
  <c r="MF16" i="8"/>
  <c r="MQ16" i="8"/>
  <c r="KN15" i="8"/>
  <c r="LU16" i="8"/>
  <c r="JR15" i="8"/>
  <c r="JG16" i="8"/>
  <c r="AS97" i="10" l="1"/>
  <c r="T41" i="1"/>
  <c r="U39" i="1"/>
  <c r="S39" i="1"/>
  <c r="R42" i="1"/>
  <c r="MG16" i="8"/>
  <c r="KZ16" i="8"/>
  <c r="LK15" i="8"/>
  <c r="KZ15" i="8"/>
  <c r="NM15" i="8"/>
  <c r="NC15" i="8"/>
  <c r="OJ15" i="8"/>
  <c r="LK16" i="8"/>
  <c r="NN15" i="8"/>
  <c r="KO15" i="8"/>
  <c r="JS16" i="8"/>
  <c r="NC16" i="8"/>
  <c r="MG15" i="8"/>
  <c r="OV16" i="8"/>
  <c r="KD16" i="8"/>
  <c r="MR16" i="8"/>
  <c r="LV16" i="8"/>
  <c r="KD15" i="8"/>
  <c r="LV15" i="8"/>
  <c r="MR15" i="8"/>
  <c r="PV16" i="8"/>
  <c r="PI16" i="8"/>
  <c r="JS15" i="8"/>
  <c r="KO16" i="8"/>
  <c r="AS99" i="10" l="1"/>
  <c r="AT98" i="10" s="1"/>
  <c r="AT94" i="10" s="1"/>
  <c r="S40" i="1"/>
  <c r="U40" i="1"/>
  <c r="T42" i="1"/>
  <c r="R43" i="1"/>
  <c r="LA16" i="8"/>
  <c r="KE16" i="8"/>
  <c r="NO15" i="8"/>
  <c r="KE15" i="8"/>
  <c r="KP16" i="8"/>
  <c r="LW15" i="8"/>
  <c r="PH16" i="8"/>
  <c r="NZ15" i="8"/>
  <c r="LL16" i="8"/>
  <c r="LA15" i="8"/>
  <c r="NY15" i="8"/>
  <c r="MH16" i="8"/>
  <c r="LW16" i="8"/>
  <c r="ND15" i="8"/>
  <c r="PU16" i="8"/>
  <c r="MH15" i="8"/>
  <c r="MS15" i="8"/>
  <c r="MS16" i="8"/>
  <c r="QH16" i="8"/>
  <c r="ND16" i="8"/>
  <c r="NO16" i="8"/>
  <c r="OV15" i="8"/>
  <c r="KP15" i="8"/>
  <c r="LL15" i="8"/>
  <c r="AT97" i="10" l="1"/>
  <c r="U41" i="1"/>
  <c r="S41" i="1"/>
  <c r="T43" i="1"/>
  <c r="R44" i="1"/>
  <c r="OA15" i="8"/>
  <c r="NE16" i="8"/>
  <c r="MT16" i="8"/>
  <c r="LX15" i="8"/>
  <c r="NP16" i="8"/>
  <c r="NP15" i="8"/>
  <c r="OL15" i="8"/>
  <c r="LB16" i="8"/>
  <c r="KQ16" i="8"/>
  <c r="OK15" i="8"/>
  <c r="PT16" i="8"/>
  <c r="OA16" i="8"/>
  <c r="LM16" i="8"/>
  <c r="QT16" i="8"/>
  <c r="NE15" i="8"/>
  <c r="LB15" i="8"/>
  <c r="MI15" i="8"/>
  <c r="KQ15" i="8"/>
  <c r="QG16" i="8"/>
  <c r="LM15" i="8"/>
  <c r="MI16" i="8"/>
  <c r="MT15" i="8"/>
  <c r="PH15" i="8"/>
  <c r="LX16" i="8"/>
  <c r="AT99" i="10" l="1"/>
  <c r="AU98" i="10" s="1"/>
  <c r="AU94" i="10" s="1"/>
  <c r="S42" i="1"/>
  <c r="T44" i="1"/>
  <c r="U42" i="1"/>
  <c r="R45" i="1"/>
  <c r="NF15" i="8"/>
  <c r="LY15" i="8"/>
  <c r="LN15" i="8"/>
  <c r="OM16" i="8"/>
  <c r="LY16" i="8"/>
  <c r="QF16" i="8"/>
  <c r="OX15" i="8"/>
  <c r="LN16" i="8"/>
  <c r="NF16" i="8"/>
  <c r="LC15" i="8"/>
  <c r="OW15" i="8"/>
  <c r="OB15" i="8"/>
  <c r="QS16" i="8"/>
  <c r="NQ16" i="8"/>
  <c r="OB16" i="8"/>
  <c r="MU16" i="8"/>
  <c r="NQ15" i="8"/>
  <c r="LC16" i="8"/>
  <c r="OM15" i="8"/>
  <c r="MJ15" i="8"/>
  <c r="MJ16" i="8"/>
  <c r="PT15" i="8"/>
  <c r="MU15" i="8"/>
  <c r="RF16" i="8"/>
  <c r="AU97" i="10" l="1"/>
  <c r="U43" i="1"/>
  <c r="S43" i="1"/>
  <c r="T45" i="1"/>
  <c r="R46" i="1"/>
  <c r="PJ15" i="8"/>
  <c r="LZ15" i="8"/>
  <c r="MV16" i="8"/>
  <c r="LO16" i="8"/>
  <c r="OC16" i="8"/>
  <c r="NR16" i="8"/>
  <c r="QR16" i="8"/>
  <c r="MK15" i="8"/>
  <c r="RR16" i="8"/>
  <c r="ON15" i="8"/>
  <c r="MK16" i="8"/>
  <c r="QF15" i="8"/>
  <c r="OC15" i="8"/>
  <c r="NG15" i="8"/>
  <c r="MV15" i="8"/>
  <c r="PI15" i="8"/>
  <c r="NR15" i="8"/>
  <c r="NG16" i="8"/>
  <c r="LZ16" i="8"/>
  <c r="LO15" i="8"/>
  <c r="OY15" i="8"/>
  <c r="ON16" i="8"/>
  <c r="RE16" i="8"/>
  <c r="OY16" i="8"/>
  <c r="AU99" i="10" l="1"/>
  <c r="AV98" i="10" s="1"/>
  <c r="AV94" i="10" s="1"/>
  <c r="T46" i="1"/>
  <c r="S44" i="1"/>
  <c r="U44" i="1"/>
  <c r="R47" i="1"/>
  <c r="MW16" i="8"/>
  <c r="OD15" i="8"/>
  <c r="QR15" i="8"/>
  <c r="OD16" i="8"/>
  <c r="NS15" i="8"/>
  <c r="OZ15" i="8"/>
  <c r="OO16" i="8"/>
  <c r="PU15" i="8"/>
  <c r="PV15" i="8"/>
  <c r="ML15" i="8"/>
  <c r="MA16" i="8"/>
  <c r="RD16" i="8"/>
  <c r="RQ16" i="8"/>
  <c r="ML16" i="8"/>
  <c r="SD16" i="8"/>
  <c r="OZ16" i="8"/>
  <c r="OO15" i="8"/>
  <c r="NH16" i="8"/>
  <c r="NS16" i="8"/>
  <c r="PK15" i="8"/>
  <c r="MA15" i="8"/>
  <c r="NH15" i="8"/>
  <c r="PK16" i="8"/>
  <c r="MW15" i="8"/>
  <c r="U45" i="1" l="1"/>
  <c r="S45" i="1"/>
  <c r="T47" i="1"/>
  <c r="R48" i="1"/>
  <c r="NT16" i="8"/>
  <c r="MM16" i="8"/>
  <c r="NT15" i="8"/>
  <c r="OE15" i="8"/>
  <c r="RD15" i="8"/>
  <c r="MX15" i="8"/>
  <c r="PA15" i="8"/>
  <c r="PA16" i="8"/>
  <c r="OP16" i="8"/>
  <c r="MX16" i="8"/>
  <c r="OP15" i="8"/>
  <c r="QG15" i="8"/>
  <c r="MM15" i="8"/>
  <c r="PW15" i="8"/>
  <c r="QH15" i="8"/>
  <c r="SC16" i="8"/>
  <c r="PL16" i="8"/>
  <c r="RP16" i="8"/>
  <c r="PL15" i="8"/>
  <c r="NI16" i="8"/>
  <c r="NI15" i="8"/>
  <c r="OE16" i="8"/>
  <c r="SP16" i="8"/>
  <c r="PW16" i="8"/>
  <c r="AV97" i="10" l="1"/>
  <c r="AV99" i="10"/>
  <c r="AW98" i="10" s="1"/>
  <c r="AW94" i="10" s="1"/>
  <c r="T48" i="1"/>
  <c r="S46" i="1"/>
  <c r="U46" i="1"/>
  <c r="R49" i="1"/>
  <c r="SB16" i="8"/>
  <c r="NJ16" i="8"/>
  <c r="RP15" i="8"/>
  <c r="MY16" i="8"/>
  <c r="PB15" i="8"/>
  <c r="SO16" i="8"/>
  <c r="MY15" i="8"/>
  <c r="OF16" i="8"/>
  <c r="PX16" i="8"/>
  <c r="PX15" i="8"/>
  <c r="PB16" i="8"/>
  <c r="OQ15" i="8"/>
  <c r="QI16" i="8"/>
  <c r="NU16" i="8"/>
  <c r="PM15" i="8"/>
  <c r="QS15" i="8"/>
  <c r="PM16" i="8"/>
  <c r="OF15" i="8"/>
  <c r="QI15" i="8"/>
  <c r="OQ16" i="8"/>
  <c r="TB16" i="8"/>
  <c r="NU15" i="8"/>
  <c r="QT15" i="8"/>
  <c r="NJ15" i="8"/>
  <c r="AW97" i="10" l="1"/>
  <c r="U47" i="1"/>
  <c r="S47" i="1"/>
  <c r="T49" i="1"/>
  <c r="R50" i="1"/>
  <c r="OG15" i="8"/>
  <c r="PY15" i="8"/>
  <c r="QJ15" i="8"/>
  <c r="NK15" i="8"/>
  <c r="SB15" i="8"/>
  <c r="OR16" i="8"/>
  <c r="NV15" i="8"/>
  <c r="TN16" i="8"/>
  <c r="OG16" i="8"/>
  <c r="QJ16" i="8"/>
  <c r="NK16" i="8"/>
  <c r="TA16" i="8"/>
  <c r="NV16" i="8"/>
  <c r="PY16" i="8"/>
  <c r="QU16" i="8"/>
  <c r="PC15" i="8"/>
  <c r="PN15" i="8"/>
  <c r="PC16" i="8"/>
  <c r="RF15" i="8"/>
  <c r="SN16" i="8"/>
  <c r="OR15" i="8"/>
  <c r="RE15" i="8"/>
  <c r="QU15" i="8"/>
  <c r="PN16" i="8"/>
  <c r="AW99" i="10" l="1"/>
  <c r="AX98" i="10" s="1"/>
  <c r="AX94" i="10" s="1"/>
  <c r="S48" i="1"/>
  <c r="U48" i="1"/>
  <c r="T50" i="1"/>
  <c r="R51" i="1"/>
  <c r="PZ16" i="8"/>
  <c r="PZ15" i="8"/>
  <c r="QV16" i="8"/>
  <c r="QV15" i="8"/>
  <c r="PD16" i="8"/>
  <c r="PO15" i="8"/>
  <c r="OS16" i="8"/>
  <c r="QK15" i="8"/>
  <c r="PD15" i="8"/>
  <c r="TZ16" i="8"/>
  <c r="RQ15" i="8"/>
  <c r="SN15" i="8"/>
  <c r="PO16" i="8"/>
  <c r="OH16" i="8"/>
  <c r="OH15" i="8"/>
  <c r="OS15" i="8"/>
  <c r="RR15" i="8"/>
  <c r="RG15" i="8"/>
  <c r="RG16" i="8"/>
  <c r="TM16" i="8"/>
  <c r="NW15" i="8"/>
  <c r="SZ16" i="8"/>
  <c r="QK16" i="8"/>
  <c r="NW16" i="8"/>
  <c r="S49" i="1" l="1"/>
  <c r="T51" i="1"/>
  <c r="U49" i="1"/>
  <c r="R52" i="1"/>
  <c r="RH15" i="8"/>
  <c r="RS15" i="8"/>
  <c r="PP15" i="8"/>
  <c r="RS16" i="8"/>
  <c r="SZ15" i="8"/>
  <c r="QA15" i="8"/>
  <c r="RH16" i="8"/>
  <c r="QW15" i="8"/>
  <c r="QL15" i="8"/>
  <c r="PE16" i="8"/>
  <c r="TL16" i="8"/>
  <c r="OT15" i="8"/>
  <c r="OI16" i="8"/>
  <c r="OI15" i="8"/>
  <c r="SD15" i="8"/>
  <c r="SC15" i="8"/>
  <c r="PP16" i="8"/>
  <c r="QL16" i="8"/>
  <c r="PE15" i="8"/>
  <c r="QW16" i="8"/>
  <c r="OT16" i="8"/>
  <c r="TY16" i="8"/>
  <c r="UL16" i="8"/>
  <c r="QA16" i="8"/>
  <c r="AX97" i="10" l="1"/>
  <c r="AX99" i="10"/>
  <c r="AY98" i="10" s="1"/>
  <c r="AY94" i="10" s="1"/>
  <c r="U50" i="1"/>
  <c r="S50" i="1"/>
  <c r="T52" i="1"/>
  <c r="R53" i="1"/>
  <c r="QM16" i="8"/>
  <c r="TL15" i="8"/>
  <c r="SE15" i="8"/>
  <c r="TX16" i="8"/>
  <c r="RI15" i="8"/>
  <c r="RT15" i="8"/>
  <c r="SP15" i="8"/>
  <c r="PQ16" i="8"/>
  <c r="PF15" i="8"/>
  <c r="UX16" i="8"/>
  <c r="QB16" i="8"/>
  <c r="OU15" i="8"/>
  <c r="SE16" i="8"/>
  <c r="QX15" i="8"/>
  <c r="RT16" i="8"/>
  <c r="PF16" i="8"/>
  <c r="SO15" i="8"/>
  <c r="OU16" i="8"/>
  <c r="QM15" i="8"/>
  <c r="QB15" i="8"/>
  <c r="RI16" i="8"/>
  <c r="PQ15" i="8"/>
  <c r="UK16" i="8"/>
  <c r="QX16" i="8"/>
  <c r="T53" i="1" l="1"/>
  <c r="S51" i="1"/>
  <c r="U51" i="1"/>
  <c r="R54" i="1"/>
  <c r="TA15" i="8"/>
  <c r="RJ15" i="8"/>
  <c r="RU15" i="8"/>
  <c r="TX15" i="8"/>
  <c r="PR15" i="8"/>
  <c r="QN16" i="8"/>
  <c r="QC16" i="8"/>
  <c r="PR16" i="8"/>
  <c r="QY16" i="8"/>
  <c r="PG15" i="8"/>
  <c r="VJ16" i="8"/>
  <c r="QN15" i="8"/>
  <c r="QY15" i="8"/>
  <c r="TB15" i="8"/>
  <c r="UJ16" i="8"/>
  <c r="SQ15" i="8"/>
  <c r="SQ16" i="8"/>
  <c r="RJ16" i="8"/>
  <c r="RU16" i="8"/>
  <c r="UW16" i="8"/>
  <c r="SF16" i="8"/>
  <c r="QC15" i="8"/>
  <c r="PG16" i="8"/>
  <c r="SF15" i="8"/>
  <c r="AY97" i="10" l="1"/>
  <c r="AY99" i="10"/>
  <c r="AZ98" i="10" s="1"/>
  <c r="AZ94" i="10" s="1"/>
  <c r="U52" i="1"/>
  <c r="S52" i="1"/>
  <c r="T54" i="1"/>
  <c r="R55" i="1"/>
  <c r="RK15" i="8"/>
  <c r="QO16" i="8"/>
  <c r="TM15" i="8"/>
  <c r="SG16" i="8"/>
  <c r="RK16" i="8"/>
  <c r="QZ16" i="8"/>
  <c r="QO15" i="8"/>
  <c r="TC15" i="8"/>
  <c r="SG15" i="8"/>
  <c r="QZ15" i="8"/>
  <c r="QD15" i="8"/>
  <c r="SR15" i="8"/>
  <c r="TC16" i="8"/>
  <c r="PS15" i="8"/>
  <c r="UV16" i="8"/>
  <c r="QD16" i="8"/>
  <c r="PS16" i="8"/>
  <c r="UJ15" i="8"/>
  <c r="RV16" i="8"/>
  <c r="VV16" i="8"/>
  <c r="RV15" i="8"/>
  <c r="SR16" i="8"/>
  <c r="VI16" i="8"/>
  <c r="TN15" i="8"/>
  <c r="AZ97" i="10" l="1"/>
  <c r="S53" i="1"/>
  <c r="U53" i="1"/>
  <c r="T55" i="1"/>
  <c r="R56" i="1"/>
  <c r="TD15" i="8"/>
  <c r="TY15" i="8"/>
  <c r="SH16" i="8"/>
  <c r="QE15" i="8"/>
  <c r="SS15" i="8"/>
  <c r="RA16" i="8"/>
  <c r="RW16" i="8"/>
  <c r="TZ15" i="8"/>
  <c r="QP15" i="8"/>
  <c r="TO15" i="8"/>
  <c r="VU16" i="8"/>
  <c r="QE16" i="8"/>
  <c r="RW15" i="8"/>
  <c r="RA15" i="8"/>
  <c r="UV15" i="8"/>
  <c r="TO16" i="8"/>
  <c r="RL15" i="8"/>
  <c r="SS16" i="8"/>
  <c r="SH15" i="8"/>
  <c r="WH16" i="8"/>
  <c r="QP16" i="8"/>
  <c r="TD16" i="8"/>
  <c r="VH16" i="8"/>
  <c r="RL16" i="8"/>
  <c r="AZ99" i="10" l="1"/>
  <c r="BA98" i="10" s="1"/>
  <c r="BA94" i="10" s="1"/>
  <c r="T56" i="1"/>
  <c r="S54" i="1"/>
  <c r="U54" i="1"/>
  <c r="R57" i="1"/>
  <c r="RM15" i="8"/>
  <c r="TE15" i="8"/>
  <c r="UA16" i="8"/>
  <c r="UK15" i="8"/>
  <c r="RX16" i="8"/>
  <c r="QQ15" i="8"/>
  <c r="RX15" i="8"/>
  <c r="VT16" i="8"/>
  <c r="UL15" i="8"/>
  <c r="ST16" i="8"/>
  <c r="ST15" i="8"/>
  <c r="SI15" i="8"/>
  <c r="UA15" i="8"/>
  <c r="SI16" i="8"/>
  <c r="TP15" i="8"/>
  <c r="VH15" i="8"/>
  <c r="TP16" i="8"/>
  <c r="QQ16" i="8"/>
  <c r="RM16" i="8"/>
  <c r="RB15" i="8"/>
  <c r="TE16" i="8"/>
  <c r="RB16" i="8"/>
  <c r="WT16" i="8"/>
  <c r="WG16" i="8"/>
  <c r="BA97" i="10" l="1"/>
  <c r="S55" i="1"/>
  <c r="U55" i="1"/>
  <c r="T57" i="1"/>
  <c r="R58" i="1"/>
  <c r="RN16" i="8"/>
  <c r="RC15" i="8"/>
  <c r="UB15" i="8"/>
  <c r="UM16" i="8"/>
  <c r="RC16" i="8"/>
  <c r="TQ16" i="8"/>
  <c r="UB16" i="8"/>
  <c r="TF15" i="8"/>
  <c r="SU16" i="8"/>
  <c r="SJ16" i="8"/>
  <c r="TF16" i="8"/>
  <c r="WF16" i="8"/>
  <c r="WS16" i="8"/>
  <c r="RN15" i="8"/>
  <c r="VT15" i="8"/>
  <c r="UM15" i="8"/>
  <c r="TQ15" i="8"/>
  <c r="UW15" i="8"/>
  <c r="SJ15" i="8"/>
  <c r="RY15" i="8"/>
  <c r="SU15" i="8"/>
  <c r="XF16" i="8"/>
  <c r="RY16" i="8"/>
  <c r="UX15" i="8"/>
  <c r="BA99" i="10" l="1"/>
  <c r="BB98" i="10" s="1"/>
  <c r="BB94" i="10" s="1"/>
  <c r="U56" i="1"/>
  <c r="S56" i="1"/>
  <c r="T58" i="1"/>
  <c r="R59" i="1"/>
  <c r="TG16" i="8"/>
  <c r="RZ15" i="8"/>
  <c r="WF15" i="8"/>
  <c r="UC15" i="8"/>
  <c r="TR15" i="8"/>
  <c r="TG15" i="8"/>
  <c r="SV15" i="8"/>
  <c r="XE16" i="8"/>
  <c r="UN15" i="8"/>
  <c r="WR16" i="8"/>
  <c r="UN16" i="8"/>
  <c r="RO15" i="8"/>
  <c r="UY15" i="8"/>
  <c r="UC16" i="8"/>
  <c r="UY16" i="8"/>
  <c r="TR16" i="8"/>
  <c r="SK15" i="8"/>
  <c r="RO16" i="8"/>
  <c r="RZ16" i="8"/>
  <c r="VJ15" i="8"/>
  <c r="SK16" i="8"/>
  <c r="VI15" i="8"/>
  <c r="XR16" i="8"/>
  <c r="SV16" i="8"/>
  <c r="S57" i="1" l="1"/>
  <c r="U57" i="1"/>
  <c r="T59" i="1"/>
  <c r="R60" i="1"/>
  <c r="XQ16" i="8"/>
  <c r="YD16" i="8"/>
  <c r="SL16" i="8"/>
  <c r="SA15" i="8"/>
  <c r="VK16" i="8"/>
  <c r="UO15" i="8"/>
  <c r="SA16" i="8"/>
  <c r="TH15" i="8"/>
  <c r="WR15" i="8"/>
  <c r="SW15" i="8"/>
  <c r="UZ16" i="8"/>
  <c r="UO16" i="8"/>
  <c r="XD16" i="8"/>
  <c r="TS15" i="8"/>
  <c r="SL15" i="8"/>
  <c r="VU15" i="8"/>
  <c r="TH16" i="8"/>
  <c r="UD15" i="8"/>
  <c r="UD16" i="8"/>
  <c r="UZ15" i="8"/>
  <c r="TS16" i="8"/>
  <c r="SW16" i="8"/>
  <c r="VK15" i="8"/>
  <c r="VV15" i="8"/>
  <c r="BB97" i="10" l="1"/>
  <c r="BB99" i="10"/>
  <c r="BC98" i="10" s="1"/>
  <c r="BC94" i="10" s="1"/>
  <c r="S58" i="1"/>
  <c r="T60" i="1"/>
  <c r="U58" i="1"/>
  <c r="R61" i="1"/>
  <c r="TI16" i="8"/>
  <c r="UP15" i="8"/>
  <c r="UE16" i="8"/>
  <c r="VA16" i="8"/>
  <c r="SX16" i="8"/>
  <c r="XP16" i="8"/>
  <c r="WG15" i="8"/>
  <c r="YP16" i="8"/>
  <c r="VL15" i="8"/>
  <c r="TT16" i="8"/>
  <c r="SX15" i="8"/>
  <c r="XD15" i="8"/>
  <c r="VW16" i="8"/>
  <c r="SM15" i="8"/>
  <c r="YC16" i="8"/>
  <c r="WH15" i="8"/>
  <c r="VW15" i="8"/>
  <c r="VL16" i="8"/>
  <c r="TT15" i="8"/>
  <c r="TI15" i="8"/>
  <c r="VA15" i="8"/>
  <c r="UP16" i="8"/>
  <c r="UE15" i="8"/>
  <c r="SM16" i="8"/>
  <c r="U59" i="1" l="1"/>
  <c r="S59" i="1"/>
  <c r="T61" i="1"/>
  <c r="R62" i="1"/>
  <c r="WT15" i="8"/>
  <c r="XP15" i="8"/>
  <c r="ZB16" i="8"/>
  <c r="TJ16" i="8"/>
  <c r="WI15" i="8"/>
  <c r="YO16" i="8"/>
  <c r="VM16" i="8"/>
  <c r="WI16" i="8"/>
  <c r="VX16" i="8"/>
  <c r="TU15" i="8"/>
  <c r="TJ15" i="8"/>
  <c r="WS15" i="8"/>
  <c r="VB15" i="8"/>
  <c r="VX15" i="8"/>
  <c r="UF15" i="8"/>
  <c r="TU16" i="8"/>
  <c r="VM15" i="8"/>
  <c r="UQ15" i="8"/>
  <c r="UF16" i="8"/>
  <c r="SY16" i="8"/>
  <c r="VB16" i="8"/>
  <c r="SY15" i="8"/>
  <c r="YB16" i="8"/>
  <c r="UQ16" i="8"/>
  <c r="BC97" i="10" l="1"/>
  <c r="BC99" i="10"/>
  <c r="S60" i="1"/>
  <c r="T62" i="1"/>
  <c r="U60" i="1"/>
  <c r="YN16" i="8"/>
  <c r="UG16" i="8"/>
  <c r="VY16" i="8"/>
  <c r="UG15" i="8"/>
  <c r="YB15" i="8"/>
  <c r="VC16" i="8"/>
  <c r="TK15" i="8"/>
  <c r="UR16" i="8"/>
  <c r="VN15" i="8"/>
  <c r="ZN16" i="8"/>
  <c r="WJ16" i="8"/>
  <c r="ZA16" i="8"/>
  <c r="VY15" i="8"/>
  <c r="WJ15" i="8"/>
  <c r="VN16" i="8"/>
  <c r="XE15" i="8"/>
  <c r="WU16" i="8"/>
  <c r="WU15" i="8"/>
  <c r="XF15" i="8"/>
  <c r="TV15" i="8"/>
  <c r="VC15" i="8"/>
  <c r="TK16" i="8"/>
  <c r="UR15" i="8"/>
  <c r="TV16" i="8"/>
  <c r="CT133" i="12" l="1"/>
  <c r="AL56" i="15"/>
  <c r="CM135" i="12"/>
  <c r="BD98" i="10"/>
  <c r="BD94" i="10" s="1"/>
  <c r="U61" i="1"/>
  <c r="S61" i="1"/>
  <c r="XG15" i="8"/>
  <c r="ZZ16" i="8"/>
  <c r="VZ15" i="8"/>
  <c r="TW16" i="8"/>
  <c r="XG16" i="8"/>
  <c r="WV15" i="8"/>
  <c r="VD16" i="8"/>
  <c r="XQ15" i="8"/>
  <c r="TW15" i="8"/>
  <c r="UH16" i="8"/>
  <c r="VO15" i="8"/>
  <c r="WK15" i="8"/>
  <c r="WK16" i="8"/>
  <c r="WV16" i="8"/>
  <c r="VZ16" i="8"/>
  <c r="VO16" i="8"/>
  <c r="US16" i="8"/>
  <c r="ZM16" i="8"/>
  <c r="XR15" i="8"/>
  <c r="YZ16" i="8"/>
  <c r="US15" i="8"/>
  <c r="VD15" i="8"/>
  <c r="UH15" i="8"/>
  <c r="YN15" i="8"/>
  <c r="BD97" i="10" l="1"/>
  <c r="BD99" i="10"/>
  <c r="BE98" i="10" s="1"/>
  <c r="BE94" i="10" s="1"/>
  <c r="S62" i="1"/>
  <c r="U62" i="1"/>
  <c r="WA16" i="8"/>
  <c r="VP16" i="8"/>
  <c r="UI15" i="8"/>
  <c r="UT16" i="8"/>
  <c r="YZ15" i="8"/>
  <c r="VP15" i="8"/>
  <c r="YD15" i="8"/>
  <c r="AAL16" i="8"/>
  <c r="XH15" i="8"/>
  <c r="VE15" i="8"/>
  <c r="WL16" i="8"/>
  <c r="XS16" i="8"/>
  <c r="XS15" i="8"/>
  <c r="WW15" i="8"/>
  <c r="YC15" i="8"/>
  <c r="UI16" i="8"/>
  <c r="ZL16" i="8"/>
  <c r="WA15" i="8"/>
  <c r="WW16" i="8"/>
  <c r="ZY16" i="8"/>
  <c r="UT15" i="8"/>
  <c r="VE16" i="8"/>
  <c r="XH16" i="8"/>
  <c r="WL15" i="8"/>
  <c r="VF16" i="8" l="1"/>
  <c r="UU16" i="8"/>
  <c r="XI15" i="8"/>
  <c r="VQ15" i="8"/>
  <c r="YP15" i="8"/>
  <c r="UU15" i="8"/>
  <c r="WM15" i="8"/>
  <c r="YO15" i="8"/>
  <c r="YE15" i="8"/>
  <c r="YE16" i="8"/>
  <c r="XT15" i="8"/>
  <c r="ZX16" i="8"/>
  <c r="AAX16" i="8"/>
  <c r="WB15" i="8"/>
  <c r="WB16" i="8"/>
  <c r="WX15" i="8"/>
  <c r="VF15" i="8"/>
  <c r="WM16" i="8"/>
  <c r="XT16" i="8"/>
  <c r="AAK16" i="8"/>
  <c r="VQ16" i="8"/>
  <c r="XI16" i="8"/>
  <c r="WX16" i="8"/>
  <c r="ZL15" i="8"/>
  <c r="BE97" i="10" l="1"/>
  <c r="BE99" i="10"/>
  <c r="BF98" i="10" s="1"/>
  <c r="BF94" i="10" s="1"/>
  <c r="WC16" i="8"/>
  <c r="WN15" i="8"/>
  <c r="ZX15" i="8"/>
  <c r="AAW16" i="8"/>
  <c r="VR15" i="8"/>
  <c r="ABJ16" i="8"/>
  <c r="WY15" i="8"/>
  <c r="WC15" i="8"/>
  <c r="AAJ16" i="8"/>
  <c r="YQ15" i="8"/>
  <c r="VG15" i="8"/>
  <c r="XJ16" i="8"/>
  <c r="XJ15" i="8"/>
  <c r="XU15" i="8"/>
  <c r="YF15" i="8"/>
  <c r="VG16" i="8"/>
  <c r="YF16" i="8"/>
  <c r="WY16" i="8"/>
  <c r="WN16" i="8"/>
  <c r="XU16" i="8"/>
  <c r="YQ16" i="8"/>
  <c r="ZA15" i="8"/>
  <c r="ZB15" i="8"/>
  <c r="VR16" i="8"/>
  <c r="XK16" i="8" l="1"/>
  <c r="XK15" i="8"/>
  <c r="WD16" i="8"/>
  <c r="ZC15" i="8"/>
  <c r="ZM15" i="8"/>
  <c r="YR15" i="8"/>
  <c r="ABV16" i="8"/>
  <c r="AAV16" i="8"/>
  <c r="VS15" i="8"/>
  <c r="XV15" i="8"/>
  <c r="ZN15" i="8"/>
  <c r="YR16" i="8"/>
  <c r="WD15" i="8"/>
  <c r="WZ15" i="8"/>
  <c r="XV16" i="8"/>
  <c r="VS16" i="8"/>
  <c r="YG15" i="8"/>
  <c r="ABI16" i="8"/>
  <c r="WO16" i="8"/>
  <c r="ZC16" i="8"/>
  <c r="YG16" i="8"/>
  <c r="WZ16" i="8"/>
  <c r="WO15" i="8"/>
  <c r="AAJ15" i="8"/>
  <c r="BF97" i="10" l="1"/>
  <c r="BF99" i="10"/>
  <c r="BG98" i="10" s="1"/>
  <c r="BG94" i="10" s="1"/>
  <c r="XL15" i="8"/>
  <c r="ZY15" i="8"/>
  <c r="WE16" i="8"/>
  <c r="WP16" i="8"/>
  <c r="YS15" i="8"/>
  <c r="ACH16" i="8"/>
  <c r="WP15" i="8"/>
  <c r="ZO16" i="8"/>
  <c r="YH15" i="8"/>
  <c r="ZO15" i="8"/>
  <c r="XW15" i="8"/>
  <c r="ZD16" i="8"/>
  <c r="YS16" i="8"/>
  <c r="XA15" i="8"/>
  <c r="ZZ15" i="8"/>
  <c r="WE15" i="8"/>
  <c r="AAV15" i="8"/>
  <c r="XA16" i="8"/>
  <c r="ABU16" i="8"/>
  <c r="XW16" i="8"/>
  <c r="XL16" i="8"/>
  <c r="ZD15" i="8"/>
  <c r="YH16" i="8"/>
  <c r="ABH16" i="8"/>
  <c r="BG97" i="10" l="1"/>
  <c r="ABH15" i="8"/>
  <c r="ZP16" i="8"/>
  <c r="ACT16" i="8"/>
  <c r="WQ16" i="8"/>
  <c r="XM15" i="8"/>
  <c r="XX16" i="8"/>
  <c r="YI15" i="8"/>
  <c r="AAK15" i="8"/>
  <c r="AAA15" i="8"/>
  <c r="ZE15" i="8"/>
  <c r="YI16" i="8"/>
  <c r="YT16" i="8"/>
  <c r="XB15" i="8"/>
  <c r="XB16" i="8"/>
  <c r="XX15" i="8"/>
  <c r="AAA16" i="8"/>
  <c r="ACG16" i="8"/>
  <c r="ZP15" i="8"/>
  <c r="YT15" i="8"/>
  <c r="ABT16" i="8"/>
  <c r="WQ15" i="8"/>
  <c r="XM16" i="8"/>
  <c r="AAL15" i="8"/>
  <c r="ZE16" i="8"/>
  <c r="BG99" i="10" l="1"/>
  <c r="BH98" i="10" s="1"/>
  <c r="BH94" i="10" s="1"/>
  <c r="YU16" i="8"/>
  <c r="YJ16" i="8"/>
  <c r="AAB15" i="8"/>
  <c r="XN16" i="8"/>
  <c r="XC16" i="8"/>
  <c r="ZQ16" i="8"/>
  <c r="XC15" i="8"/>
  <c r="ADF16" i="8"/>
  <c r="YJ15" i="8"/>
  <c r="ACS16" i="8"/>
  <c r="AAX15" i="8"/>
  <c r="ACF16" i="8"/>
  <c r="ZQ15" i="8"/>
  <c r="AAW15" i="8"/>
  <c r="AAB16" i="8"/>
  <c r="XN15" i="8"/>
  <c r="XY15" i="8"/>
  <c r="ABT15" i="8"/>
  <c r="XY16" i="8"/>
  <c r="AAM16" i="8"/>
  <c r="AAM15" i="8"/>
  <c r="ZF15" i="8"/>
  <c r="ZF16" i="8"/>
  <c r="YU15" i="8"/>
  <c r="ACR16" i="8" l="1"/>
  <c r="XZ16" i="8"/>
  <c r="AAN16" i="8"/>
  <c r="XO15" i="8"/>
  <c r="AAN15" i="8"/>
  <c r="ACF15" i="8"/>
  <c r="AAY16" i="8"/>
  <c r="ABI15" i="8"/>
  <c r="ABJ15" i="8"/>
  <c r="YV16" i="8"/>
  <c r="ADR16" i="8"/>
  <c r="YK15" i="8"/>
  <c r="ZR16" i="8"/>
  <c r="YK16" i="8"/>
  <c r="ADE16" i="8"/>
  <c r="AAY15" i="8"/>
  <c r="ZG16" i="8"/>
  <c r="XZ15" i="8"/>
  <c r="AAC15" i="8"/>
  <c r="AAC16" i="8"/>
  <c r="ZG15" i="8"/>
  <c r="ZR15" i="8"/>
  <c r="YV15" i="8"/>
  <c r="XO16" i="8"/>
  <c r="BH97" i="10" l="1"/>
  <c r="BH99" i="10"/>
  <c r="BI98" i="10" s="1"/>
  <c r="BI94" i="10" s="1"/>
  <c r="ZS15" i="8"/>
  <c r="YA16" i="8"/>
  <c r="AAO16" i="8"/>
  <c r="ZS16" i="8"/>
  <c r="ZH16" i="8"/>
  <c r="ADQ16" i="8"/>
  <c r="YW16" i="8"/>
  <c r="ABU15" i="8"/>
  <c r="AAZ15" i="8"/>
  <c r="AAO15" i="8"/>
  <c r="AAD16" i="8"/>
  <c r="YL16" i="8"/>
  <c r="AED16" i="8"/>
  <c r="ABK16" i="8"/>
  <c r="YA15" i="8"/>
  <c r="ADD16" i="8"/>
  <c r="YL15" i="8"/>
  <c r="YW15" i="8"/>
  <c r="ZH15" i="8"/>
  <c r="AAD15" i="8"/>
  <c r="ABK15" i="8"/>
  <c r="ABV15" i="8"/>
  <c r="ACR15" i="8"/>
  <c r="AAZ16" i="8"/>
  <c r="ABA15" i="8" l="1"/>
  <c r="AAE16" i="8"/>
  <c r="ZT15" i="8"/>
  <c r="ZI16" i="8"/>
  <c r="ACH15" i="8"/>
  <c r="ABA16" i="8"/>
  <c r="ZI15" i="8"/>
  <c r="ABW15" i="8"/>
  <c r="YX15" i="8"/>
  <c r="AEC16" i="8"/>
  <c r="ADP16" i="8"/>
  <c r="AEP16" i="8"/>
  <c r="YM16" i="8"/>
  <c r="YX16" i="8"/>
  <c r="ABL16" i="8"/>
  <c r="ABL15" i="8"/>
  <c r="AAE15" i="8"/>
  <c r="YM15" i="8"/>
  <c r="ADD15" i="8"/>
  <c r="AAP16" i="8"/>
  <c r="AAP15" i="8"/>
  <c r="ABW16" i="8"/>
  <c r="ACG15" i="8"/>
  <c r="ZT16" i="8"/>
  <c r="BI97" i="10" l="1"/>
  <c r="BI99" i="10"/>
  <c r="BJ98" i="10" s="1"/>
  <c r="BJ94" i="10" s="1"/>
  <c r="ABB15" i="8"/>
  <c r="ABX16" i="8"/>
  <c r="ZJ15" i="8"/>
  <c r="AAF15" i="8"/>
  <c r="YY16" i="8"/>
  <c r="ABB16" i="8"/>
  <c r="AFB16" i="8"/>
  <c r="ACI15" i="8"/>
  <c r="AAQ16" i="8"/>
  <c r="AEB16" i="8"/>
  <c r="ACT15" i="8"/>
  <c r="AAF16" i="8"/>
  <c r="ACS15" i="8"/>
  <c r="ABM15" i="8"/>
  <c r="AAQ15" i="8"/>
  <c r="ADP15" i="8"/>
  <c r="ABX15" i="8"/>
  <c r="ZU15" i="8"/>
  <c r="ACI16" i="8"/>
  <c r="ZJ16" i="8"/>
  <c r="ABM16" i="8"/>
  <c r="YY15" i="8"/>
  <c r="AEO16" i="8"/>
  <c r="ZU16" i="8"/>
  <c r="AFN16" i="8" l="1"/>
  <c r="ABY16" i="8"/>
  <c r="ADE15" i="8"/>
  <c r="AEN16" i="8"/>
  <c r="ACJ15" i="8"/>
  <c r="ABN16" i="8"/>
  <c r="AAG15" i="8"/>
  <c r="ZV16" i="8"/>
  <c r="ABC15" i="8"/>
  <c r="ZK16" i="8"/>
  <c r="ADF15" i="8"/>
  <c r="AFA16" i="8"/>
  <c r="AAR16" i="8"/>
  <c r="ABC16" i="8"/>
  <c r="ACU16" i="8"/>
  <c r="ACJ16" i="8"/>
  <c r="AAR15" i="8"/>
  <c r="ZK15" i="8"/>
  <c r="ABY15" i="8"/>
  <c r="ABN15" i="8"/>
  <c r="AAG16" i="8"/>
  <c r="AEB15" i="8"/>
  <c r="ACU15" i="8"/>
  <c r="ZV15" i="8"/>
  <c r="BJ97" i="10" l="1"/>
  <c r="BJ99" i="10"/>
  <c r="BK98" i="10" s="1"/>
  <c r="BK94" i="10" s="1"/>
  <c r="ADG16" i="8"/>
  <c r="ADQ15" i="8"/>
  <c r="ZW16" i="8"/>
  <c r="AAS15" i="8"/>
  <c r="ABO16" i="8"/>
  <c r="ABO15" i="8"/>
  <c r="ABZ16" i="8"/>
  <c r="ABD16" i="8"/>
  <c r="ACK16" i="8"/>
  <c r="ADR15" i="8"/>
  <c r="AAS16" i="8"/>
  <c r="ACK15" i="8"/>
  <c r="AAH15" i="8"/>
  <c r="AAH16" i="8"/>
  <c r="ADG15" i="8"/>
  <c r="ABD15" i="8"/>
  <c r="AFM16" i="8"/>
  <c r="ACV15" i="8"/>
  <c r="AFZ16" i="8"/>
  <c r="ABZ15" i="8"/>
  <c r="ZW15" i="8"/>
  <c r="ACV16" i="8"/>
  <c r="AEZ16" i="8"/>
  <c r="AEN15" i="8"/>
  <c r="ACW16" i="8" l="1"/>
  <c r="ADH16" i="8"/>
  <c r="AGL16" i="8"/>
  <c r="ADS15" i="8"/>
  <c r="ACA16" i="8"/>
  <c r="AAI16" i="8"/>
  <c r="ACW15" i="8"/>
  <c r="ABP16" i="8"/>
  <c r="AEC15" i="8"/>
  <c r="ADH15" i="8"/>
  <c r="ABE16" i="8"/>
  <c r="ABE15" i="8"/>
  <c r="AFY16" i="8"/>
  <c r="ACA15" i="8"/>
  <c r="ADS16" i="8"/>
  <c r="AAT15" i="8"/>
  <c r="AAI15" i="8"/>
  <c r="AAT16" i="8"/>
  <c r="AED15" i="8"/>
  <c r="ACL16" i="8"/>
  <c r="AEZ15" i="8"/>
  <c r="AFL16" i="8"/>
  <c r="ACL15" i="8"/>
  <c r="ABP15" i="8"/>
  <c r="BK97" i="10" l="1"/>
  <c r="BK99" i="10"/>
  <c r="BL98" i="10" s="1"/>
  <c r="BL94" i="10" s="1"/>
  <c r="ABQ15" i="8"/>
  <c r="AEE15" i="8"/>
  <c r="AAU15" i="8"/>
  <c r="ACX16" i="8"/>
  <c r="ABF15" i="8"/>
  <c r="ABQ16" i="8"/>
  <c r="AGX16" i="8"/>
  <c r="AGK16" i="8"/>
  <c r="ADI15" i="8"/>
  <c r="AEE16" i="8"/>
  <c r="ADT16" i="8"/>
  <c r="ADT15" i="8"/>
  <c r="AAU16" i="8"/>
  <c r="AFX16" i="8"/>
  <c r="AEP15" i="8"/>
  <c r="ADI16" i="8"/>
  <c r="ACM16" i="8"/>
  <c r="AFL15" i="8"/>
  <c r="ACX15" i="8"/>
  <c r="ACB16" i="8"/>
  <c r="AEO15" i="8"/>
  <c r="ACB15" i="8"/>
  <c r="ABF16" i="8"/>
  <c r="ACM15" i="8"/>
  <c r="AFX15" i="8" l="1"/>
  <c r="AFB15" i="8"/>
  <c r="AHJ16" i="8"/>
  <c r="ACC15" i="8"/>
  <c r="ACN15" i="8"/>
  <c r="AGJ16" i="8"/>
  <c r="AEQ16" i="8"/>
  <c r="AEQ15" i="8"/>
  <c r="AFA15" i="8"/>
  <c r="ACY16" i="8"/>
  <c r="ABG16" i="8"/>
  <c r="ACC16" i="8"/>
  <c r="ABG15" i="8"/>
  <c r="ABR16" i="8"/>
  <c r="ACN16" i="8"/>
  <c r="ADU16" i="8"/>
  <c r="AEF15" i="8"/>
  <c r="ADU15" i="8"/>
  <c r="ABR15" i="8"/>
  <c r="ACY15" i="8"/>
  <c r="ADJ15" i="8"/>
  <c r="AEF16" i="8"/>
  <c r="AGW16" i="8"/>
  <c r="ADJ16" i="8"/>
  <c r="BL97" i="10" l="1"/>
  <c r="BL99" i="10"/>
  <c r="BM98" i="10" s="1"/>
  <c r="BM94" i="10" s="1"/>
  <c r="ADV16" i="8"/>
  <c r="AEG15" i="8"/>
  <c r="ACD16" i="8"/>
  <c r="ACO16" i="8"/>
  <c r="AFC15" i="8"/>
  <c r="ACO15" i="8"/>
  <c r="AFN15" i="8"/>
  <c r="AER15" i="8"/>
  <c r="AHV16" i="8"/>
  <c r="ABS16" i="8"/>
  <c r="ADK15" i="8"/>
  <c r="AEG16" i="8"/>
  <c r="AFC16" i="8"/>
  <c r="AGJ15" i="8"/>
  <c r="AHI16" i="8"/>
  <c r="ACZ15" i="8"/>
  <c r="ACZ16" i="8"/>
  <c r="AGV16" i="8"/>
  <c r="ADK16" i="8"/>
  <c r="AFM15" i="8"/>
  <c r="ADV15" i="8"/>
  <c r="AER16" i="8"/>
  <c r="ACD15" i="8"/>
  <c r="ABS15" i="8"/>
  <c r="BM97" i="10" l="1"/>
  <c r="ADW16" i="8"/>
  <c r="AFD15" i="8"/>
  <c r="ADW15" i="8"/>
  <c r="AFO15" i="8"/>
  <c r="ACP16" i="8"/>
  <c r="AFD16" i="8"/>
  <c r="AHH16" i="8"/>
  <c r="ADA15" i="8"/>
  <c r="AHU16" i="8"/>
  <c r="ACE15" i="8"/>
  <c r="ADL16" i="8"/>
  <c r="AFZ15" i="8"/>
  <c r="ADA16" i="8"/>
  <c r="AES15" i="8"/>
  <c r="AEH15" i="8"/>
  <c r="AGV15" i="8"/>
  <c r="ACE16" i="8"/>
  <c r="AIH16" i="8"/>
  <c r="AEH16" i="8"/>
  <c r="AFY15" i="8"/>
  <c r="AFO16" i="8"/>
  <c r="ACP15" i="8"/>
  <c r="ADL15" i="8"/>
  <c r="AES16" i="8"/>
  <c r="BM99" i="10" l="1"/>
  <c r="ACQ15" i="8"/>
  <c r="AFE15" i="8"/>
  <c r="AHT16" i="8"/>
  <c r="AEI15" i="8"/>
  <c r="ACQ16" i="8"/>
  <c r="AFE16" i="8"/>
  <c r="ADM16" i="8"/>
  <c r="AFP16" i="8"/>
  <c r="AIG16" i="8"/>
  <c r="AFP15" i="8"/>
  <c r="AHH15" i="8"/>
  <c r="AGL15" i="8"/>
  <c r="AET16" i="8"/>
  <c r="ADM15" i="8"/>
  <c r="ADB16" i="8"/>
  <c r="AGA16" i="8"/>
  <c r="AET15" i="8"/>
  <c r="AEI16" i="8"/>
  <c r="AIT16" i="8"/>
  <c r="ADX16" i="8"/>
  <c r="AGA15" i="8"/>
  <c r="AGK15" i="8"/>
  <c r="ADB15" i="8"/>
  <c r="ADX15" i="8"/>
  <c r="AGB16" i="8" l="1"/>
  <c r="ADY15" i="8"/>
  <c r="AFF16" i="8"/>
  <c r="AGM15" i="8"/>
  <c r="AGB15" i="8"/>
  <c r="ADY16" i="8"/>
  <c r="AFQ15" i="8"/>
  <c r="AGW15" i="8"/>
  <c r="AEJ15" i="8"/>
  <c r="AIS16" i="8"/>
  <c r="AFQ16" i="8"/>
  <c r="ADC15" i="8"/>
  <c r="AEJ16" i="8"/>
  <c r="AGX15" i="8"/>
  <c r="ADC16" i="8"/>
  <c r="ADN15" i="8"/>
  <c r="AHT15" i="8"/>
  <c r="AEU15" i="8"/>
  <c r="AEU16" i="8"/>
  <c r="AFF15" i="8"/>
  <c r="AGM16" i="8"/>
  <c r="AJF16" i="8"/>
  <c r="ADN16" i="8"/>
  <c r="AIF16" i="8"/>
  <c r="AEK16" i="8" l="1"/>
  <c r="AFR16" i="8"/>
  <c r="AFR15" i="8"/>
  <c r="AFG16" i="8"/>
  <c r="AEV15" i="8"/>
  <c r="AGN15" i="8"/>
  <c r="ADO15" i="8"/>
  <c r="AIR16" i="8"/>
  <c r="AFG15" i="8"/>
  <c r="AIF15" i="8"/>
  <c r="AHJ15" i="8"/>
  <c r="AHI15" i="8"/>
  <c r="AGY15" i="8"/>
  <c r="AEK15" i="8"/>
  <c r="AGC16" i="8"/>
  <c r="ADO16" i="8"/>
  <c r="ADZ16" i="8"/>
  <c r="AGN16" i="8"/>
  <c r="AJR16" i="8"/>
  <c r="ADZ15" i="8"/>
  <c r="AGY16" i="8"/>
  <c r="AEV16" i="8"/>
  <c r="AJE16" i="8"/>
  <c r="AGC15" i="8"/>
  <c r="AIR15" i="8" l="1"/>
  <c r="AEL15" i="8"/>
  <c r="AEW15" i="8"/>
  <c r="AEA16" i="8"/>
  <c r="AHK15" i="8"/>
  <c r="AHV15" i="8"/>
  <c r="AGZ15" i="8"/>
  <c r="AGD15" i="8"/>
  <c r="AFS15" i="8"/>
  <c r="AGD16" i="8"/>
  <c r="AJQ16" i="8"/>
  <c r="AGO16" i="8"/>
  <c r="AHU15" i="8"/>
  <c r="AFH15" i="8"/>
  <c r="AJD16" i="8"/>
  <c r="AEW16" i="8"/>
  <c r="AEL16" i="8"/>
  <c r="AGO15" i="8"/>
  <c r="AFH16" i="8"/>
  <c r="AFS16" i="8"/>
  <c r="AKD16" i="8"/>
  <c r="AGZ16" i="8"/>
  <c r="AHK16" i="8"/>
  <c r="AEA15" i="8"/>
  <c r="AIH15" i="8" l="1"/>
  <c r="AHL16" i="8"/>
  <c r="AKC16" i="8"/>
  <c r="AEM15" i="8"/>
  <c r="AFT16" i="8"/>
  <c r="AFI15" i="8"/>
  <c r="AFT15" i="8"/>
  <c r="AHA15" i="8"/>
  <c r="AGP16" i="8"/>
  <c r="AGP15" i="8"/>
  <c r="AEX15" i="8"/>
  <c r="AJP16" i="8"/>
  <c r="AHW15" i="8"/>
  <c r="AKP16" i="8"/>
  <c r="AEX16" i="8"/>
  <c r="AJD15" i="8"/>
  <c r="AHA16" i="8"/>
  <c r="AIG15" i="8"/>
  <c r="AEM16" i="8"/>
  <c r="AHW16" i="8"/>
  <c r="AGE15" i="8"/>
  <c r="AHL15" i="8"/>
  <c r="AGE16" i="8"/>
  <c r="AFI16" i="8"/>
  <c r="AKB16" i="8" l="1"/>
  <c r="AHX16" i="8"/>
  <c r="AHX15" i="8"/>
  <c r="AFU15" i="8"/>
  <c r="AII16" i="8"/>
  <c r="AFJ16" i="8"/>
  <c r="AFJ15" i="8"/>
  <c r="AGF16" i="8"/>
  <c r="AHM16" i="8"/>
  <c r="AIT15" i="8"/>
  <c r="AFU16" i="8"/>
  <c r="AGQ15" i="8"/>
  <c r="ALB16" i="8"/>
  <c r="AHB15" i="8"/>
  <c r="AGF15" i="8"/>
  <c r="AEY15" i="8"/>
  <c r="AHM15" i="8"/>
  <c r="AKO16" i="8"/>
  <c r="AGQ16" i="8"/>
  <c r="AII15" i="8"/>
  <c r="AHB16" i="8"/>
  <c r="AEY16" i="8"/>
  <c r="AIS15" i="8"/>
  <c r="AJP15" i="8"/>
  <c r="AHC16" i="8" l="1"/>
  <c r="AJF15" i="8"/>
  <c r="AFV16" i="8"/>
  <c r="AIJ15" i="8"/>
  <c r="AGR15" i="8"/>
  <c r="ALA16" i="8"/>
  <c r="AIJ16" i="8"/>
  <c r="AHN15" i="8"/>
  <c r="AHY16" i="8"/>
  <c r="AFV15" i="8"/>
  <c r="AFK16" i="8"/>
  <c r="AHN16" i="8"/>
  <c r="AIU16" i="8"/>
  <c r="AJE15" i="8"/>
  <c r="AIU15" i="8"/>
  <c r="ALN16" i="8"/>
  <c r="AGR16" i="8"/>
  <c r="AKN16" i="8"/>
  <c r="AHY15" i="8"/>
  <c r="AKB15" i="8"/>
  <c r="AGG16" i="8"/>
  <c r="AFK15" i="8"/>
  <c r="AHC15" i="8"/>
  <c r="AGG15" i="8"/>
  <c r="AGH16" i="8" l="1"/>
  <c r="AHD16" i="8"/>
  <c r="AGS16" i="8"/>
  <c r="AIK16" i="8"/>
  <c r="ALM16" i="8"/>
  <c r="AJG16" i="8"/>
  <c r="AJR15" i="8"/>
  <c r="AKN15" i="8"/>
  <c r="AHZ15" i="8"/>
  <c r="AHZ16" i="8"/>
  <c r="AHO16" i="8"/>
  <c r="AJG15" i="8"/>
  <c r="AHD15" i="8"/>
  <c r="AGS15" i="8"/>
  <c r="AFW16" i="8"/>
  <c r="AIK15" i="8"/>
  <c r="AHO15" i="8"/>
  <c r="AIV16" i="8"/>
  <c r="AIV15" i="8"/>
  <c r="ALZ16" i="8"/>
  <c r="AFW15" i="8"/>
  <c r="AKZ16" i="8"/>
  <c r="AJQ15" i="8"/>
  <c r="AGH15" i="8"/>
  <c r="AKD15" i="8" l="1"/>
  <c r="AIW16" i="8"/>
  <c r="AHE15" i="8"/>
  <c r="AJS16" i="8"/>
  <c r="AHE16" i="8"/>
  <c r="AJH15" i="8"/>
  <c r="AIW15" i="8"/>
  <c r="AHP15" i="8"/>
  <c r="AIL15" i="8"/>
  <c r="ALY16" i="8"/>
  <c r="AGI15" i="8"/>
  <c r="AJH16" i="8"/>
  <c r="AJS15" i="8"/>
  <c r="AGI16" i="8"/>
  <c r="AKZ15" i="8"/>
  <c r="AHP16" i="8"/>
  <c r="AIA15" i="8"/>
  <c r="AIL16" i="8"/>
  <c r="AKC15" i="8"/>
  <c r="AGT16" i="8"/>
  <c r="AGT15" i="8"/>
  <c r="ALL16" i="8"/>
  <c r="AML16" i="8"/>
  <c r="AIA16" i="8"/>
  <c r="AKO15" i="8" l="1"/>
  <c r="ALL15" i="8"/>
  <c r="AJT16" i="8"/>
  <c r="AHQ15" i="8"/>
  <c r="AIM16" i="8"/>
  <c r="AHF15" i="8"/>
  <c r="AGU15" i="8"/>
  <c r="AIB15" i="8"/>
  <c r="AJT15" i="8"/>
  <c r="AIX16" i="8"/>
  <c r="AJI16" i="8"/>
  <c r="AGU16" i="8"/>
  <c r="AHQ16" i="8"/>
  <c r="AMX16" i="8"/>
  <c r="ALX16" i="8"/>
  <c r="AKE16" i="8"/>
  <c r="AKP15" i="8"/>
  <c r="AHF16" i="8"/>
  <c r="AMK16" i="8"/>
  <c r="AIM15" i="8"/>
  <c r="AKE15" i="8"/>
  <c r="AIB16" i="8"/>
  <c r="AIX15" i="8"/>
  <c r="AJI15" i="8"/>
  <c r="AHR15" i="8" l="1"/>
  <c r="AKQ15" i="8"/>
  <c r="AKF15" i="8"/>
  <c r="AKQ16" i="8"/>
  <c r="AIC16" i="8"/>
  <c r="AIY16" i="8"/>
  <c r="ALA15" i="8"/>
  <c r="AJU15" i="8"/>
  <c r="AIN15" i="8"/>
  <c r="AMW16" i="8"/>
  <c r="AMJ16" i="8"/>
  <c r="AIC15" i="8"/>
  <c r="AIN16" i="8"/>
  <c r="AHG16" i="8"/>
  <c r="AJJ15" i="8"/>
  <c r="ANJ16" i="8"/>
  <c r="AHG15" i="8"/>
  <c r="AJU16" i="8"/>
  <c r="AHR16" i="8"/>
  <c r="AIY15" i="8"/>
  <c r="ALB15" i="8"/>
  <c r="AKF16" i="8"/>
  <c r="AJJ16" i="8"/>
  <c r="ALX15" i="8"/>
  <c r="AKR16" i="8" l="1"/>
  <c r="AJV15" i="8"/>
  <c r="AKG15" i="8"/>
  <c r="AIO16" i="8"/>
  <c r="ANI16" i="8"/>
  <c r="AHS15" i="8"/>
  <c r="ALC16" i="8"/>
  <c r="ALN15" i="8"/>
  <c r="AHS16" i="8"/>
  <c r="ALM15" i="8"/>
  <c r="AKG16" i="8"/>
  <c r="AMV16" i="8"/>
  <c r="AID15" i="8"/>
  <c r="AMJ15" i="8"/>
  <c r="AJK15" i="8"/>
  <c r="ANV16" i="8"/>
  <c r="AIZ16" i="8"/>
  <c r="AJV16" i="8"/>
  <c r="AKR15" i="8"/>
  <c r="AID16" i="8"/>
  <c r="AJK16" i="8"/>
  <c r="AIO15" i="8"/>
  <c r="AIZ15" i="8"/>
  <c r="ALC15" i="8"/>
  <c r="AJL16" i="8" l="1"/>
  <c r="AIP15" i="8"/>
  <c r="ALZ15" i="8"/>
  <c r="AJA16" i="8"/>
  <c r="AKS15" i="8"/>
  <c r="AJW16" i="8"/>
  <c r="ALD15" i="8"/>
  <c r="AOH16" i="8"/>
  <c r="ALO16" i="8"/>
  <c r="ANH16" i="8"/>
  <c r="AKH15" i="8"/>
  <c r="ALY15" i="8"/>
  <c r="ALO15" i="8"/>
  <c r="AKS16" i="8"/>
  <c r="AIE15" i="8"/>
  <c r="ALD16" i="8"/>
  <c r="AJL15" i="8"/>
  <c r="AIP16" i="8"/>
  <c r="AJW15" i="8"/>
  <c r="AJA15" i="8"/>
  <c r="AMV15" i="8"/>
  <c r="ANU16" i="8"/>
  <c r="AKH16" i="8"/>
  <c r="AIE16" i="8"/>
  <c r="ANH15" i="8" l="1"/>
  <c r="ALP16" i="8"/>
  <c r="ALP15" i="8"/>
  <c r="AJB16" i="8"/>
  <c r="AIQ15" i="8"/>
  <c r="ANT16" i="8"/>
  <c r="AKI16" i="8"/>
  <c r="AML15" i="8"/>
  <c r="AMK15" i="8"/>
  <c r="AKI15" i="8"/>
  <c r="ALE16" i="8"/>
  <c r="ALE15" i="8"/>
  <c r="AJM15" i="8"/>
  <c r="AJX15" i="8"/>
  <c r="AKT16" i="8"/>
  <c r="AJB15" i="8"/>
  <c r="AMA15" i="8"/>
  <c r="AKT15" i="8"/>
  <c r="AMA16" i="8"/>
  <c r="AIQ16" i="8"/>
  <c r="AJX16" i="8"/>
  <c r="AOG16" i="8"/>
  <c r="AJM16" i="8"/>
  <c r="ALQ15" i="8" l="1"/>
  <c r="ALF16" i="8"/>
  <c r="ANT15" i="8"/>
  <c r="AMB16" i="8"/>
  <c r="AKU15" i="8"/>
  <c r="AMX15" i="8"/>
  <c r="AJN16" i="8"/>
  <c r="AJN15" i="8"/>
  <c r="AJY16" i="8"/>
  <c r="ALF15" i="8"/>
  <c r="AKJ15" i="8"/>
  <c r="ALQ16" i="8"/>
  <c r="AKU16" i="8"/>
  <c r="AJC15" i="8"/>
  <c r="AMM15" i="8"/>
  <c r="AJY15" i="8"/>
  <c r="AMB15" i="8"/>
  <c r="AJC16" i="8"/>
  <c r="AMM16" i="8"/>
  <c r="AKJ16" i="8"/>
  <c r="AMW15" i="8"/>
  <c r="AOF16" i="8"/>
  <c r="ALG15" i="8" l="1"/>
  <c r="AKK15" i="8"/>
  <c r="AMY15" i="8"/>
  <c r="AKV15" i="8"/>
  <c r="AMC16" i="8"/>
  <c r="AJZ16" i="8"/>
  <c r="AMN16" i="8"/>
  <c r="ALR15" i="8"/>
  <c r="AOF15" i="8"/>
  <c r="AJO15" i="8"/>
  <c r="AMC15" i="8"/>
  <c r="ANI15" i="8"/>
  <c r="AJO16" i="8"/>
  <c r="AKK16" i="8"/>
  <c r="ANJ15" i="8"/>
  <c r="AMY16" i="8"/>
  <c r="ALG16" i="8"/>
  <c r="ALR16" i="8"/>
  <c r="AKV16" i="8"/>
  <c r="AMN15" i="8"/>
  <c r="AJZ15" i="8"/>
  <c r="AMO16" i="8" l="1"/>
  <c r="AKW15" i="8"/>
  <c r="ALH16" i="8"/>
  <c r="ANV15" i="8"/>
  <c r="AMD15" i="8"/>
  <c r="AMZ15" i="8"/>
  <c r="ALS16" i="8"/>
  <c r="AMO15" i="8"/>
  <c r="AKL15" i="8"/>
  <c r="AKL16" i="8"/>
  <c r="AKW16" i="8"/>
  <c r="ALS15" i="8"/>
  <c r="AKA15" i="8"/>
  <c r="AMD16" i="8"/>
  <c r="AKA16" i="8"/>
  <c r="ALH15" i="8"/>
  <c r="ANU15" i="8"/>
  <c r="AMZ16" i="8"/>
  <c r="ANK16" i="8"/>
  <c r="ANK15" i="8"/>
  <c r="AME15" i="8" l="1"/>
  <c r="ALI15" i="8"/>
  <c r="AME16" i="8"/>
  <c r="ALI16" i="8"/>
  <c r="AOH15" i="8"/>
  <c r="ANW16" i="8"/>
  <c r="AKX16" i="8"/>
  <c r="ANL15" i="8"/>
  <c r="ANA16" i="8"/>
  <c r="ALT16" i="8"/>
  <c r="ALT15" i="8"/>
  <c r="AKX15" i="8"/>
  <c r="ANL16" i="8"/>
  <c r="AKM15" i="8"/>
  <c r="AMP15" i="8"/>
  <c r="ANA15" i="8"/>
  <c r="AMP16" i="8"/>
  <c r="ANW15" i="8"/>
  <c r="AOG15" i="8"/>
  <c r="AKM16" i="8"/>
  <c r="AKY16" i="8" l="1"/>
  <c r="AMQ16" i="8"/>
  <c r="ANM15" i="8"/>
  <c r="AOI16" i="8"/>
  <c r="ANX16" i="8"/>
  <c r="ANM16" i="8"/>
  <c r="ANB15" i="8"/>
  <c r="ALU15" i="8"/>
  <c r="ALJ15" i="8"/>
  <c r="ANX15" i="8"/>
  <c r="AOI15" i="8"/>
  <c r="AMF15" i="8"/>
  <c r="ALJ16" i="8"/>
  <c r="AMQ15" i="8"/>
  <c r="ANB16" i="8"/>
  <c r="AMF16" i="8"/>
  <c r="ALU16" i="8"/>
  <c r="AKY15" i="8"/>
  <c r="ALV15" i="8" l="1"/>
  <c r="ANN15" i="8"/>
  <c r="ALV16" i="8"/>
  <c r="AMG15" i="8"/>
  <c r="AMR16" i="8"/>
  <c r="ANY16" i="8"/>
  <c r="ANY15" i="8"/>
  <c r="AOJ16" i="8"/>
  <c r="ANC16" i="8"/>
  <c r="ANC15" i="8"/>
  <c r="ALK15" i="8"/>
  <c r="AMG16" i="8"/>
  <c r="ANN16" i="8"/>
  <c r="ALK16" i="8"/>
  <c r="AMR15" i="8"/>
  <c r="AOJ15" i="8"/>
  <c r="ANZ16" i="8" l="1"/>
  <c r="AOK15" i="8"/>
  <c r="AMH16" i="8"/>
  <c r="AND15" i="8"/>
  <c r="AMS16" i="8"/>
  <c r="AOK16" i="8"/>
  <c r="AMH15" i="8"/>
  <c r="ANO16" i="8"/>
  <c r="AND16" i="8"/>
  <c r="ANZ15" i="8"/>
  <c r="AMS15" i="8"/>
  <c r="ANO15" i="8"/>
  <c r="ALW16" i="8"/>
  <c r="ALW15" i="8"/>
  <c r="ANP16" i="8" l="1"/>
  <c r="AOA16" i="8"/>
  <c r="AMT15" i="8"/>
  <c r="AMI16" i="8"/>
  <c r="ANE15" i="8"/>
  <c r="AMT16" i="8"/>
  <c r="AOL16" i="8"/>
  <c r="ANE16" i="8"/>
  <c r="AOL15" i="8"/>
  <c r="ANP15" i="8"/>
  <c r="AOA15" i="8"/>
  <c r="AMI15" i="8"/>
  <c r="AOM15" i="8" l="1"/>
  <c r="ANQ15" i="8"/>
  <c r="AOM16" i="8"/>
  <c r="AOB15" i="8"/>
  <c r="ANF15" i="8"/>
  <c r="AOB16" i="8"/>
  <c r="AMU16" i="8"/>
  <c r="ANQ16" i="8"/>
  <c r="ANF16" i="8"/>
  <c r="AMU15" i="8"/>
  <c r="ANG16" i="8" l="1"/>
  <c r="ANG15" i="8"/>
  <c r="AON16" i="8"/>
  <c r="AOC15" i="8"/>
  <c r="ANR16" i="8"/>
  <c r="ANR15" i="8"/>
  <c r="AON15" i="8"/>
  <c r="AOC16" i="8"/>
  <c r="AOO15" i="8" l="1"/>
  <c r="AOD15" i="8"/>
  <c r="AOO16" i="8"/>
  <c r="AOD16" i="8"/>
  <c r="ANS15" i="8"/>
  <c r="ANS16" i="8"/>
  <c r="AOP16" i="8" l="1"/>
  <c r="AOE16" i="8"/>
  <c r="AOE15" i="8"/>
  <c r="AOP15" i="8"/>
  <c r="AOQ15" i="8" l="1"/>
  <c r="AOQ16" i="8"/>
  <c r="P34" i="7" l="1"/>
  <c r="P23" i="7"/>
  <c r="P22" i="7"/>
  <c r="P21" i="7"/>
  <c r="P19" i="7"/>
  <c r="P17" i="7"/>
  <c r="P5" i="7"/>
  <c r="G36" i="7"/>
  <c r="P36" i="7" s="1"/>
  <c r="G29" i="7"/>
  <c r="P29" i="7" s="1"/>
  <c r="B6" i="7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C33" i="1" l="1"/>
  <c r="C7" i="1"/>
  <c r="C8" i="8" l="1"/>
  <c r="C5" i="8"/>
  <c r="D10" i="4"/>
  <c r="C29" i="1"/>
  <c r="AOF18" i="8" l="1"/>
  <c r="BS18" i="8"/>
  <c r="ALE18" i="8"/>
  <c r="HQ18" i="8"/>
  <c r="AAF18" i="8"/>
  <c r="F18" i="8"/>
  <c r="HS18" i="8"/>
  <c r="AAH18" i="8"/>
  <c r="BB18" i="8"/>
  <c r="QY18" i="8"/>
  <c r="AKD18" i="8"/>
  <c r="JA18" i="8"/>
  <c r="ACG18" i="8"/>
  <c r="CI18" i="8"/>
  <c r="SX18" i="8"/>
  <c r="ALX18" i="8"/>
  <c r="JF18" i="8"/>
  <c r="ACK18" i="8"/>
  <c r="TQ18" i="8"/>
  <c r="LB18" i="8"/>
  <c r="AEG18" i="8"/>
  <c r="OZ18" i="8"/>
  <c r="II18" i="8"/>
  <c r="ABC18" i="8"/>
  <c r="ALF18" i="8"/>
  <c r="MY18" i="8"/>
  <c r="AGE18" i="8"/>
  <c r="CX18" i="8"/>
  <c r="Y18" i="8"/>
  <c r="IV18" i="8"/>
  <c r="ABT18" i="8"/>
  <c r="ED18" i="8"/>
  <c r="IX18" i="8"/>
  <c r="ABU18" i="8"/>
  <c r="CE18" i="8"/>
  <c r="SL18" i="8"/>
  <c r="ALT18" i="8"/>
  <c r="KN18" i="8"/>
  <c r="ADT18" i="8"/>
  <c r="DM18" i="8"/>
  <c r="UI18" i="8"/>
  <c r="AOA18" i="8"/>
  <c r="KY18" i="8"/>
  <c r="AED18" i="8"/>
  <c r="AND18" i="8"/>
  <c r="MN18" i="8"/>
  <c r="AFS18" i="8"/>
  <c r="VD18" i="8"/>
  <c r="JP18" i="8"/>
  <c r="ACW18" i="8"/>
  <c r="V18" i="8"/>
  <c r="OL18" i="8"/>
  <c r="AHP18" i="8"/>
  <c r="EB18" i="8"/>
  <c r="GI18" i="8"/>
  <c r="KH18" i="8"/>
  <c r="ADN18" i="8"/>
  <c r="LR18" i="8"/>
  <c r="KJ18" i="8"/>
  <c r="ADO18" i="8"/>
  <c r="DF18" i="8"/>
  <c r="UE18" i="8"/>
  <c r="ANM18" i="8"/>
  <c r="MH18" i="8"/>
  <c r="AFN18" i="8"/>
  <c r="EN18" i="8"/>
  <c r="VU18" i="8"/>
  <c r="ADB18" i="8"/>
  <c r="ML18" i="8"/>
  <c r="AFQ18" i="8"/>
  <c r="P18" i="8"/>
  <c r="OH18" i="8"/>
  <c r="AHM18" i="8"/>
  <c r="AAE18" i="8"/>
  <c r="LD18" i="8"/>
  <c r="AEH18" i="8"/>
  <c r="AO18" i="8"/>
  <c r="QF18" i="8"/>
  <c r="AJC18" i="8"/>
  <c r="WX18" i="8"/>
  <c r="FD18" i="8"/>
  <c r="GH18" i="8"/>
  <c r="H18" i="8"/>
  <c r="NN18" i="8"/>
  <c r="AGL18" i="8"/>
  <c r="I18" i="8"/>
  <c r="NQ18" i="8"/>
  <c r="AGV18" i="8"/>
  <c r="FP18" i="8"/>
  <c r="XD18" i="8"/>
  <c r="AI18" i="8"/>
  <c r="PO18" i="8"/>
  <c r="AIL18" i="8"/>
  <c r="GX18" i="8"/>
  <c r="ZB18" i="8"/>
  <c r="AK18" i="8"/>
  <c r="PR18" i="8"/>
  <c r="AIX18" i="8"/>
  <c r="BL18" i="8"/>
  <c r="RO18" i="8"/>
  <c r="AKN18" i="8"/>
  <c r="U18" i="8"/>
  <c r="OJ18" i="8"/>
  <c r="AHO18" i="8"/>
  <c r="CU18" i="8"/>
  <c r="TE18" i="8"/>
  <c r="AMP18" i="8"/>
  <c r="HL18" i="8"/>
  <c r="Z18" i="8"/>
  <c r="PA18" i="8"/>
  <c r="AIF18" i="8"/>
  <c r="AC18" i="8"/>
  <c r="PC18" i="8"/>
  <c r="AIH18" i="8"/>
  <c r="GT18" i="8"/>
  <c r="YY18" i="8"/>
  <c r="BD18" i="8"/>
  <c r="QZ18" i="8"/>
  <c r="AKF18" i="8"/>
  <c r="IC18" i="8"/>
  <c r="AAV18" i="8"/>
  <c r="BG18" i="8"/>
  <c r="RE18" i="8"/>
  <c r="AKJ18" i="8"/>
  <c r="CL18" i="8"/>
  <c r="SZ18" i="8"/>
  <c r="AMK18" i="8"/>
  <c r="AN18" i="8"/>
  <c r="PV18" i="8"/>
  <c r="AJB18" i="8"/>
  <c r="DV18" i="8"/>
  <c r="UX18" i="8"/>
  <c r="IN18" i="8"/>
  <c r="W18" i="8"/>
  <c r="ON18" i="8"/>
  <c r="AHT18" i="8"/>
  <c r="EL18" i="8"/>
  <c r="MJ18" i="8"/>
  <c r="UJ18" i="8"/>
  <c r="ACJ18" i="8"/>
  <c r="AKI18" i="8"/>
  <c r="X18" i="8"/>
  <c r="AX18" i="8"/>
  <c r="QM18" i="8"/>
  <c r="AJR18" i="8"/>
  <c r="BA18" i="8"/>
  <c r="QW18" i="8"/>
  <c r="AJU18" i="8"/>
  <c r="HV18" i="8"/>
  <c r="AAK18" i="8"/>
  <c r="CH18" i="8"/>
  <c r="SM18" i="8"/>
  <c r="ALW18" i="8"/>
  <c r="JC18" i="8"/>
  <c r="ACH18" i="8"/>
  <c r="CJ18" i="8"/>
  <c r="SY18" i="8"/>
  <c r="AMJ18" i="8"/>
  <c r="DR18" i="8"/>
  <c r="UN18" i="8"/>
  <c r="AOG18" i="8"/>
  <c r="BM18" i="8"/>
  <c r="RP18" i="8"/>
  <c r="AKX18" i="8"/>
  <c r="EZ18" i="8"/>
  <c r="WK18" i="8"/>
  <c r="OX18" i="8"/>
  <c r="AR18" i="8"/>
  <c r="QG18" i="8"/>
  <c r="AJN18" i="8"/>
  <c r="FC18" i="8"/>
  <c r="NB18" i="8"/>
  <c r="VB18" i="8"/>
  <c r="ACZ18" i="8"/>
  <c r="ALD18" i="8"/>
  <c r="DY18" i="8"/>
  <c r="LW18" i="8"/>
  <c r="TX18" i="8"/>
  <c r="ABV18" i="8"/>
  <c r="AJV18" i="8"/>
  <c r="BZ18" i="8"/>
  <c r="JZ18" i="8"/>
  <c r="RX18" i="8"/>
  <c r="ZX18" i="8"/>
  <c r="AHX18" i="8"/>
  <c r="T18" i="8"/>
  <c r="HJ18" i="8"/>
  <c r="PI18" i="8"/>
  <c r="XI18" i="8"/>
  <c r="AFG18" i="8"/>
  <c r="ANP18" i="8"/>
  <c r="QB18" i="8"/>
  <c r="YA18" i="8"/>
  <c r="AFZ18" i="8"/>
  <c r="JM18" i="8"/>
  <c r="RK18" i="8"/>
  <c r="ZL18" i="8"/>
  <c r="AHJ18" i="8"/>
  <c r="CF18" i="8"/>
  <c r="KE18" i="8"/>
  <c r="SD18" i="8"/>
  <c r="AAD18" i="8"/>
  <c r="AID18" i="8"/>
  <c r="ANS18" i="8"/>
  <c r="AJY18" i="8"/>
  <c r="AEK18" i="8"/>
  <c r="YW18" i="8"/>
  <c r="TI18" i="8"/>
  <c r="NU18" i="8"/>
  <c r="IG18" i="8"/>
  <c r="CS18" i="8"/>
  <c r="AKE18" i="8"/>
  <c r="AEQ18" i="8"/>
  <c r="ZC18" i="8"/>
  <c r="TO18" i="8"/>
  <c r="OA18" i="8"/>
  <c r="IM18" i="8"/>
  <c r="CY18" i="8"/>
  <c r="DP18" i="8"/>
  <c r="KG18" i="8"/>
  <c r="QX18" i="8"/>
  <c r="XO18" i="8"/>
  <c r="AEF18" i="8"/>
  <c r="AKV18" i="8"/>
  <c r="AS18" i="8"/>
  <c r="DA18" i="8"/>
  <c r="TT18" i="8"/>
  <c r="ANI18" i="8"/>
  <c r="DD18" i="8"/>
  <c r="TV18" i="8"/>
  <c r="ANL18" i="8"/>
  <c r="KM18" i="8"/>
  <c r="ADP18" i="8"/>
  <c r="EM18" i="8"/>
  <c r="VT18" i="8"/>
  <c r="ABO18" i="8"/>
  <c r="MI18" i="8"/>
  <c r="AFP18" i="8"/>
  <c r="ET18" i="8"/>
  <c r="WF18" i="8"/>
  <c r="RV18" i="8"/>
  <c r="FW18" i="8"/>
  <c r="XU18" i="8"/>
  <c r="TP18" i="8"/>
  <c r="DS18" i="8"/>
  <c r="UW18" i="8"/>
  <c r="AOJ18" i="8"/>
  <c r="HF18" i="8"/>
  <c r="ZQ18" i="8"/>
  <c r="AJO18" i="8"/>
  <c r="CV18" i="8"/>
  <c r="TN18" i="8"/>
  <c r="AMT18" i="8"/>
  <c r="GL18" i="8"/>
  <c r="OK18" i="8"/>
  <c r="WJ18" i="8"/>
  <c r="AEI18" i="8"/>
  <c r="AMO18" i="8"/>
  <c r="FF18" i="8"/>
  <c r="NG18" i="8"/>
  <c r="VF18" i="8"/>
  <c r="ADE18" i="8"/>
  <c r="ALG18" i="8"/>
  <c r="DI18" i="8"/>
  <c r="LH18" i="8"/>
  <c r="TG18" i="8"/>
  <c r="ABG18" i="8"/>
  <c r="AJF18" i="8"/>
  <c r="AV18" i="8"/>
  <c r="IR18" i="8"/>
  <c r="QR18" i="8"/>
  <c r="YP18" i="8"/>
  <c r="AGQ18" i="8"/>
  <c r="JL18" i="8"/>
  <c r="RJ18" i="8"/>
  <c r="ZJ18" i="8"/>
  <c r="AHI18" i="8"/>
  <c r="KT18" i="8"/>
  <c r="SU18" i="8"/>
  <c r="AAT18" i="8"/>
  <c r="AIS18" i="8"/>
  <c r="DN18" i="8"/>
  <c r="LN18" i="8"/>
  <c r="TM18" i="8"/>
  <c r="ABM18" i="8"/>
  <c r="AJL18" i="8"/>
  <c r="AOO18" i="8"/>
  <c r="AJA18" i="8"/>
  <c r="ADM18" i="8"/>
  <c r="XY18" i="8"/>
  <c r="SK18" i="8"/>
  <c r="MW18" i="8"/>
  <c r="HI18" i="8"/>
  <c r="BU18" i="8"/>
  <c r="AJG18" i="8"/>
  <c r="ADS18" i="8"/>
  <c r="YE18" i="8"/>
  <c r="SQ18" i="8"/>
  <c r="NC18" i="8"/>
  <c r="HO18" i="8"/>
  <c r="CA18" i="8"/>
  <c r="ES18" i="8"/>
  <c r="LJ18" i="8"/>
  <c r="SA18" i="8"/>
  <c r="YR18" i="8"/>
  <c r="AFH18" i="8"/>
  <c r="ALY18" i="8"/>
  <c r="AOL18" i="8"/>
  <c r="EX18" i="8"/>
  <c r="QH18" i="8"/>
  <c r="AEZ18" i="8"/>
  <c r="VP18" i="8"/>
  <c r="PD18" i="8"/>
  <c r="UH18" i="8"/>
  <c r="PP18" i="8"/>
  <c r="OF18" i="8"/>
  <c r="HA18" i="8"/>
  <c r="IT18" i="8"/>
  <c r="AML18" i="8"/>
  <c r="ACX18" i="8"/>
  <c r="DX18" i="8"/>
  <c r="ZS18" i="8"/>
  <c r="DC18" i="8"/>
  <c r="PB18" i="8"/>
  <c r="ZA18" i="8"/>
  <c r="AIZ18" i="8"/>
  <c r="EP18" i="8"/>
  <c r="OO18" i="8"/>
  <c r="XW18" i="8"/>
  <c r="AHF18" i="8"/>
  <c r="AU18" i="8"/>
  <c r="KQ18" i="8"/>
  <c r="UP18" i="8"/>
  <c r="ADX18" i="8"/>
  <c r="ANO18" i="8"/>
  <c r="GB18" i="8"/>
  <c r="QA18" i="8"/>
  <c r="ZZ18" i="8"/>
  <c r="AJH18" i="8"/>
  <c r="NK18" i="8"/>
  <c r="WS18" i="8"/>
  <c r="AGR18" i="8"/>
  <c r="MD18" i="8"/>
  <c r="VL18" i="8"/>
  <c r="AES18" i="8"/>
  <c r="AZ18" i="8"/>
  <c r="KW18" i="8"/>
  <c r="UV18" i="8"/>
  <c r="AEC18" i="8"/>
  <c r="ANY18" i="8"/>
  <c r="AKW18" i="8"/>
  <c r="ADY18" i="8"/>
  <c r="XA18" i="8"/>
  <c r="QO18" i="8"/>
  <c r="KC18" i="8"/>
  <c r="DQ18" i="8"/>
  <c r="AJS18" i="8"/>
  <c r="ACU18" i="8"/>
  <c r="WI18" i="8"/>
  <c r="PW18" i="8"/>
  <c r="JK18" i="8"/>
  <c r="CM18" i="8"/>
  <c r="FV18" i="8"/>
  <c r="NP18" i="8"/>
  <c r="VI18" i="8"/>
  <c r="ADC18" i="8"/>
  <c r="ALK18" i="8"/>
  <c r="G18" i="8"/>
  <c r="GA18" i="8"/>
  <c r="MR18" i="8"/>
  <c r="TH18" i="8"/>
  <c r="ZY18" i="8"/>
  <c r="AGP18" i="8"/>
  <c r="ANH18" i="8"/>
  <c r="AB12" i="8"/>
  <c r="AB21" i="8" s="1"/>
  <c r="ZV18" i="8"/>
  <c r="ALR18" i="8"/>
  <c r="XC18" i="8"/>
  <c r="VR18" i="8"/>
  <c r="XN18" i="8"/>
  <c r="RD18" i="8"/>
  <c r="UL18" i="8"/>
  <c r="IH18" i="8"/>
  <c r="AIE18" i="8"/>
  <c r="KF18" i="8"/>
  <c r="AEL18" i="8"/>
  <c r="FB18" i="8"/>
  <c r="ABN18" i="8"/>
  <c r="DT18" i="8"/>
  <c r="PS18" i="8"/>
  <c r="ZR18" i="8"/>
  <c r="AJQ18" i="8"/>
  <c r="FX18" i="8"/>
  <c r="PF18" i="8"/>
  <c r="GM18" i="8"/>
  <c r="CC18" i="8"/>
  <c r="J18" i="8"/>
  <c r="K18" i="8"/>
  <c r="L18" i="8"/>
  <c r="AKG18" i="8"/>
  <c r="AOB18" i="8"/>
  <c r="AAZ18" i="8"/>
  <c r="MX18" i="8"/>
  <c r="IJ18" i="8"/>
  <c r="HP18" i="8"/>
  <c r="LP18" i="8"/>
  <c r="M18" i="8"/>
  <c r="JB18" i="8"/>
  <c r="TA18" i="8"/>
  <c r="AFA18" i="8"/>
  <c r="AF18" i="8"/>
  <c r="JG18" i="8"/>
  <c r="SN18" i="8"/>
  <c r="ACM18" i="8"/>
  <c r="AMU18" i="8"/>
  <c r="FZ18" i="8"/>
  <c r="PH18" i="8"/>
  <c r="YO18" i="8"/>
  <c r="AIN18" i="8"/>
  <c r="CB18" i="8"/>
  <c r="LI18" i="8"/>
  <c r="UQ18" i="8"/>
  <c r="ADZ18" i="8"/>
  <c r="AOP18" i="8"/>
  <c r="SS18" i="8"/>
  <c r="ACA18" i="8"/>
  <c r="ALL18" i="8"/>
  <c r="QD18" i="8"/>
  <c r="AAC18" i="8"/>
  <c r="AKB18" i="8"/>
  <c r="GF18" i="8"/>
  <c r="PN18" i="8"/>
  <c r="YU18" i="8"/>
  <c r="AIT18" i="8"/>
  <c r="ANQ18" i="8"/>
  <c r="AHE18" i="8"/>
  <c r="AAS18" i="8"/>
  <c r="UG18" i="8"/>
  <c r="NI18" i="8"/>
  <c r="GK18" i="8"/>
  <c r="AMY18" i="8"/>
  <c r="AGM18" i="8"/>
  <c r="AAA18" i="8"/>
  <c r="TC18" i="8"/>
  <c r="ME18" i="8"/>
  <c r="FS18" i="8"/>
  <c r="BK18" i="8"/>
  <c r="JD18" i="8"/>
  <c r="RL18" i="8"/>
  <c r="ZT18" i="8"/>
  <c r="AHN18" i="8"/>
  <c r="AKZ18" i="8"/>
  <c r="CD18" i="8"/>
  <c r="JI18" i="8"/>
  <c r="PZ18" i="8"/>
  <c r="WQ18" i="8"/>
  <c r="ADH18" i="8"/>
  <c r="AJX18" i="8"/>
  <c r="LU18" i="8"/>
  <c r="EH18" i="8"/>
  <c r="AD18" i="8"/>
  <c r="DL18" i="8"/>
  <c r="AJ18" i="8"/>
  <c r="N18" i="8"/>
  <c r="ANC18" i="8"/>
  <c r="ACL18" i="8"/>
  <c r="AEV18" i="8"/>
  <c r="AGH18" i="8"/>
  <c r="MG18" i="8"/>
  <c r="AGX18" i="8"/>
  <c r="GZ18" i="8"/>
  <c r="WG18" i="8"/>
  <c r="XV18" i="8"/>
  <c r="AKY18" i="8"/>
  <c r="JU18" i="8"/>
  <c r="BE18" i="8"/>
  <c r="QK18" i="8"/>
  <c r="ADR18" i="8"/>
  <c r="BX18" i="8"/>
  <c r="PX18" i="8"/>
  <c r="AAO18" i="8"/>
  <c r="ANN18" i="8"/>
  <c r="HY18" i="8"/>
  <c r="TY18" i="8"/>
  <c r="AFF18" i="8"/>
  <c r="AH18" i="8"/>
  <c r="MA18" i="8"/>
  <c r="WR18" i="8"/>
  <c r="AIP18" i="8"/>
  <c r="OT18" i="8"/>
  <c r="AAR18" i="8"/>
  <c r="AMF18" i="8"/>
  <c r="TL18" i="8"/>
  <c r="AEB18" i="8"/>
  <c r="CW18" i="8"/>
  <c r="OE18" i="8"/>
  <c r="ZM18" i="8"/>
  <c r="ALQ18" i="8"/>
  <c r="ALI18" i="8"/>
  <c r="ACO18" i="8"/>
  <c r="VE18" i="8"/>
  <c r="MK18" i="8"/>
  <c r="FA18" i="8"/>
  <c r="AKQ18" i="8"/>
  <c r="ABW18" i="8"/>
  <c r="UM18" i="8"/>
  <c r="LS18" i="8"/>
  <c r="EI18" i="8"/>
  <c r="FH18" i="8"/>
  <c r="OR18" i="8"/>
  <c r="YC18" i="8"/>
  <c r="AIB18" i="8"/>
  <c r="AMQ18" i="8"/>
  <c r="FL18" i="8"/>
  <c r="NT18" i="8"/>
  <c r="VN18" i="8"/>
  <c r="ADV18" i="8"/>
  <c r="ALP18" i="8"/>
  <c r="RG18" i="8"/>
  <c r="ABL18" i="8"/>
  <c r="AE18" i="8"/>
  <c r="YH18" i="8"/>
  <c r="AOM18" i="8"/>
  <c r="FK18" i="8"/>
  <c r="SG18" i="8"/>
  <c r="AIJ18" i="8"/>
  <c r="AFV18" i="8"/>
  <c r="AKP18" i="8"/>
  <c r="UB18" i="8"/>
  <c r="XK18" i="8"/>
  <c r="AOE18" i="8"/>
  <c r="RM18" i="8"/>
  <c r="YQ18" i="8"/>
  <c r="IP18" i="8"/>
  <c r="IU18" i="8"/>
  <c r="E12" i="8"/>
  <c r="E21" i="8" s="1"/>
  <c r="NL18" i="8"/>
  <c r="RA18" i="8"/>
  <c r="JV18" i="8"/>
  <c r="AEX18" i="8"/>
  <c r="NR18" i="8"/>
  <c r="ANZ18" i="8"/>
  <c r="ID18" i="8"/>
  <c r="ZN18" i="8"/>
  <c r="ZP18" i="8"/>
  <c r="VC18" i="8"/>
  <c r="MZ18" i="8"/>
  <c r="BT18" i="8"/>
  <c r="RB18" i="8"/>
  <c r="AFR18" i="8"/>
  <c r="CP18" i="8"/>
  <c r="QP18" i="8"/>
  <c r="ABF18" i="8"/>
  <c r="AOK18" i="8"/>
  <c r="IQ18" i="8"/>
  <c r="VG18" i="8"/>
  <c r="AFX18" i="8"/>
  <c r="BJ18" i="8"/>
  <c r="MS18" i="8"/>
  <c r="XZ18" i="8"/>
  <c r="AJZ18" i="8"/>
  <c r="PJ18" i="8"/>
  <c r="ABI18" i="8"/>
  <c r="AMX18" i="8"/>
  <c r="UC18" i="8"/>
  <c r="AFK18" i="8"/>
  <c r="EF18" i="8"/>
  <c r="OV18" i="8"/>
  <c r="AAU18" i="8"/>
  <c r="AMI18" i="8"/>
  <c r="AKK18" i="8"/>
  <c r="ACC18" i="8"/>
  <c r="US18" i="8"/>
  <c r="LY18" i="8"/>
  <c r="EO18" i="8"/>
  <c r="AIU18" i="8"/>
  <c r="ABK18" i="8"/>
  <c r="UA18" i="8"/>
  <c r="LG18" i="8"/>
  <c r="DW18" i="8"/>
  <c r="GJ18" i="8"/>
  <c r="PG18" i="8"/>
  <c r="ZF18" i="8"/>
  <c r="AIQ18" i="8"/>
  <c r="ANF18" i="8"/>
  <c r="GO18" i="8"/>
  <c r="OI18" i="8"/>
  <c r="WB18" i="8"/>
  <c r="AEJ18" i="8"/>
  <c r="AMD18" i="8"/>
  <c r="ADL18" i="8"/>
  <c r="AHK18" i="8"/>
  <c r="O18" i="8"/>
  <c r="IB18" i="8"/>
  <c r="AKH18" i="8"/>
  <c r="QN18" i="8"/>
  <c r="AGB18" i="8"/>
  <c r="SI18" i="8"/>
  <c r="AHU18" i="8"/>
  <c r="HT18" i="8"/>
  <c r="UO18" i="8"/>
  <c r="XX18" i="8"/>
  <c r="RI18" i="8"/>
  <c r="AER18" i="8"/>
  <c r="AJK18" i="8"/>
  <c r="AHQ18" i="8"/>
  <c r="AOI18" i="8"/>
  <c r="QU18" i="8"/>
  <c r="TD18" i="8"/>
  <c r="RC18" i="8"/>
  <c r="FJ18" i="8"/>
  <c r="UD18" i="8"/>
  <c r="JE18" i="8"/>
  <c r="AGJ18" i="8"/>
  <c r="FN18" i="8"/>
  <c r="ACF18" i="8"/>
  <c r="BF18" i="8"/>
  <c r="XQ18" i="8"/>
  <c r="AIY18" i="8"/>
  <c r="AFT18" i="8"/>
  <c r="AW18" i="8"/>
  <c r="RU18" i="8"/>
  <c r="CK18" i="8"/>
  <c r="RT18" i="8"/>
  <c r="AGI18" i="8"/>
  <c r="DH18" i="8"/>
  <c r="RF18" i="8"/>
  <c r="ADW18" i="8"/>
  <c r="D18" i="8"/>
  <c r="JH18" i="8"/>
  <c r="VY18" i="8"/>
  <c r="AGO18" i="8"/>
  <c r="CT18" i="8"/>
  <c r="NJ18" i="8"/>
  <c r="ZH18" i="8"/>
  <c r="AKR18" i="8"/>
  <c r="QS18" i="8"/>
  <c r="ACR18" i="8"/>
  <c r="ANT18" i="8"/>
  <c r="UT18" i="8"/>
  <c r="AGC18" i="8"/>
  <c r="EW18" i="8"/>
  <c r="QE18" i="8"/>
  <c r="ACD18" i="8"/>
  <c r="ANA18" i="8"/>
  <c r="AJM18" i="8"/>
  <c r="ABQ18" i="8"/>
  <c r="TU18" i="8"/>
  <c r="LM18" i="8"/>
  <c r="EC18" i="8"/>
  <c r="AII18" i="8"/>
  <c r="AAY18" i="8"/>
  <c r="SE18" i="8"/>
  <c r="KU18" i="8"/>
  <c r="DK18" i="8"/>
  <c r="GY18" i="8"/>
  <c r="PU18" i="8"/>
  <c r="AAI18" i="8"/>
  <c r="AJE18" i="8"/>
  <c r="ANV18" i="8"/>
  <c r="HD18" i="8"/>
  <c r="OW18" i="8"/>
  <c r="XE18" i="8"/>
  <c r="AEY18" i="8"/>
  <c r="AMR18" i="8"/>
  <c r="BW18" i="8"/>
  <c r="GN18" i="8"/>
  <c r="AFD18" i="8"/>
  <c r="FR18" i="8"/>
  <c r="ZD18" i="8"/>
  <c r="LQ18" i="8"/>
  <c r="QL18" i="8"/>
  <c r="CZ18" i="8"/>
  <c r="VA18" i="8"/>
  <c r="FT18" i="8"/>
  <c r="SJ18" i="8"/>
  <c r="AHA18" i="8"/>
  <c r="GP18" i="8"/>
  <c r="RW18" i="8"/>
  <c r="AEN18" i="8"/>
  <c r="R18" i="8"/>
  <c r="LZ18" i="8"/>
  <c r="WP18" i="8"/>
  <c r="AHG18" i="8"/>
  <c r="DJ18" i="8"/>
  <c r="NZ18" i="8"/>
  <c r="AAQ18" i="8"/>
  <c r="ALJ18" i="8"/>
  <c r="SB18" i="8"/>
  <c r="ADJ18" i="8"/>
  <c r="KD18" i="8"/>
  <c r="WD18" i="8"/>
  <c r="AGT18" i="8"/>
  <c r="FO18" i="8"/>
  <c r="QV18" i="8"/>
  <c r="ACV18" i="8"/>
  <c r="D12" i="8"/>
  <c r="D21" i="8" s="1"/>
  <c r="AIO18" i="8"/>
  <c r="ABE18" i="8"/>
  <c r="SW18" i="8"/>
  <c r="LA18" i="8"/>
  <c r="DE18" i="8"/>
  <c r="AHW18" i="8"/>
  <c r="AAM18" i="8"/>
  <c r="RS18" i="8"/>
  <c r="KI18" i="8"/>
  <c r="BO18" i="8"/>
  <c r="HM18" i="8"/>
  <c r="QJ18" i="8"/>
  <c r="AAW18" i="8"/>
  <c r="AJT18" i="8"/>
  <c r="S18" i="8"/>
  <c r="HR18" i="8"/>
  <c r="PL18" i="8"/>
  <c r="XT18" i="8"/>
  <c r="AFM18" i="8"/>
  <c r="ANX18" i="8"/>
  <c r="EG18" i="8"/>
  <c r="LV18" i="8"/>
  <c r="AGW18" i="8"/>
  <c r="KX18" i="8"/>
  <c r="AAX18" i="8"/>
  <c r="YI18" i="8"/>
  <c r="YL18" i="8"/>
  <c r="NE18" i="8"/>
  <c r="WM18" i="8"/>
  <c r="HB18" i="8"/>
  <c r="TS18" i="8"/>
  <c r="AHR18" i="8"/>
  <c r="HG18" i="8"/>
  <c r="TF18" i="8"/>
  <c r="AFE18" i="8"/>
  <c r="AG18" i="8"/>
  <c r="MP18" i="8"/>
  <c r="XH18" i="8"/>
  <c r="AJW18" i="8"/>
  <c r="EA18" i="8"/>
  <c r="OQ18" i="8"/>
  <c r="ABH18" i="8"/>
  <c r="AME18" i="8"/>
  <c r="TK18" i="8"/>
  <c r="AEA18" i="8"/>
  <c r="LL18" i="8"/>
  <c r="WT18" i="8"/>
  <c r="AIA18" i="8"/>
  <c r="GV18" i="8"/>
  <c r="RN18" i="8"/>
  <c r="AOQ18" i="8"/>
  <c r="AIC18" i="8"/>
  <c r="AAG18" i="8"/>
  <c r="RY18" i="8"/>
  <c r="KO18" i="8"/>
  <c r="CG18" i="8"/>
  <c r="ZO18" i="8"/>
  <c r="JW18" i="8"/>
  <c r="SO18" i="8"/>
  <c r="IF18" i="8"/>
  <c r="AIK18" i="8"/>
  <c r="YG18" i="8"/>
  <c r="HX18" i="8"/>
  <c r="BI18" i="8"/>
  <c r="ER18" i="8"/>
  <c r="ABY18" i="8"/>
  <c r="MU18" i="8"/>
  <c r="HN18" i="8"/>
  <c r="ZU18" i="8"/>
  <c r="AGY18" i="8"/>
  <c r="AA18" i="8"/>
  <c r="ABZ18" i="8"/>
  <c r="YV18" i="8"/>
  <c r="ACQ18" i="8"/>
  <c r="IE18" i="8"/>
  <c r="ZI18" i="8"/>
  <c r="XS18" i="8"/>
  <c r="ALH18" i="8"/>
  <c r="AEU18" i="8"/>
  <c r="AQ18" i="8"/>
  <c r="UR18" i="8"/>
  <c r="ANG18" i="8"/>
  <c r="AGA18" i="8"/>
  <c r="NW18" i="8"/>
  <c r="AHC18" i="8"/>
  <c r="BQ18" i="8"/>
  <c r="VS18" i="8"/>
  <c r="NH18" i="8"/>
  <c r="AMW18" i="8"/>
  <c r="SV18" i="8"/>
  <c r="JQ18" i="8"/>
  <c r="IY18" i="8"/>
  <c r="AMN18" i="8"/>
  <c r="AHD18" i="8"/>
  <c r="KB18" i="8"/>
  <c r="AFL18" i="8"/>
  <c r="ANW18" i="8"/>
  <c r="SH18" i="8"/>
  <c r="YX18" i="8"/>
  <c r="FQ18" i="8"/>
  <c r="XP18" i="8"/>
  <c r="BV18" i="8"/>
  <c r="CO18" i="8"/>
  <c r="GD18" i="8"/>
  <c r="ABR18" i="8"/>
  <c r="ACY18" i="8"/>
  <c r="IK18" i="8"/>
  <c r="XB18" i="8"/>
  <c r="ALV18" i="8"/>
  <c r="IO18" i="8"/>
  <c r="VV18" i="8"/>
  <c r="AGN18" i="8"/>
  <c r="CQ18" i="8"/>
  <c r="NY18" i="8"/>
  <c r="ZG18" i="8"/>
  <c r="RZ18" i="8"/>
  <c r="AFJ18" i="8"/>
  <c r="YB18" i="8"/>
  <c r="AKT18" i="8"/>
  <c r="AGS18" i="8"/>
  <c r="WY18" i="8"/>
  <c r="ALS18" i="8"/>
  <c r="HW18" i="8"/>
  <c r="AHB18" i="8"/>
  <c r="AL18" i="8"/>
  <c r="GC18" i="8"/>
  <c r="LE18" i="8"/>
  <c r="BR18" i="8"/>
  <c r="AGF18" i="8"/>
  <c r="KK18" i="8"/>
  <c r="YJ18" i="8"/>
  <c r="AOD18" i="8"/>
  <c r="KP18" i="8"/>
  <c r="XF18" i="8"/>
  <c r="AIM18" i="8"/>
  <c r="EQ18" i="8"/>
  <c r="PY18" i="8"/>
  <c r="ABX18" i="8"/>
  <c r="AMV18" i="8"/>
  <c r="HZ18" i="8"/>
  <c r="TJ18" i="8"/>
  <c r="AEP18" i="8"/>
  <c r="LK18" i="8"/>
  <c r="WA18" i="8"/>
  <c r="AIR18" i="8"/>
  <c r="OU18" i="8"/>
  <c r="ABJ18" i="8"/>
  <c r="AMH18" i="8"/>
  <c r="JN18" i="8"/>
  <c r="WE18" i="8"/>
  <c r="AGU18" i="8"/>
  <c r="ANE18" i="8"/>
  <c r="AFU18" i="8"/>
  <c r="XM18" i="8"/>
  <c r="PQ18" i="8"/>
  <c r="HU18" i="8"/>
  <c r="AMM18" i="8"/>
  <c r="AFC18" i="8"/>
  <c r="WU18" i="8"/>
  <c r="OY18" i="8"/>
  <c r="GQ18" i="8"/>
  <c r="BY18" i="8"/>
  <c r="LX18" i="8"/>
  <c r="UU18" i="8"/>
  <c r="AET18" i="8"/>
  <c r="AOH18" i="8"/>
  <c r="CR18" i="8"/>
  <c r="KZ18" i="8"/>
  <c r="ST18" i="8"/>
  <c r="ABB18" i="8"/>
  <c r="AIV18" i="8"/>
  <c r="YM18" i="8"/>
  <c r="ADD18" i="8"/>
  <c r="NV18" i="8"/>
  <c r="AIW18" i="8"/>
  <c r="EV18" i="8"/>
  <c r="HE18" i="8"/>
  <c r="RR18" i="8"/>
  <c r="GG18" i="8"/>
  <c r="ALB18" i="8"/>
  <c r="LC18" i="8"/>
  <c r="AAJ18" i="8"/>
  <c r="Q18" i="8"/>
  <c r="LF18" i="8"/>
  <c r="YN18" i="8"/>
  <c r="AJD18" i="8"/>
  <c r="FI18" i="8"/>
  <c r="QQ18" i="8"/>
  <c r="ACP18" i="8"/>
  <c r="AON18" i="8"/>
  <c r="JJ18" i="8"/>
  <c r="TZ18" i="8"/>
  <c r="AFY18" i="8"/>
  <c r="MB18" i="8"/>
  <c r="XJ18" i="8"/>
  <c r="AJI18" i="8"/>
  <c r="PM18" i="8"/>
  <c r="ACB18" i="8"/>
  <c r="AMZ18" i="8"/>
  <c r="MF18" i="8"/>
  <c r="WV18" i="8"/>
  <c r="AHL18" i="8"/>
  <c r="AMS18" i="8"/>
  <c r="AFI18" i="8"/>
  <c r="WO18" i="8"/>
  <c r="PE18" i="8"/>
  <c r="GW18" i="8"/>
  <c r="AMA18" i="8"/>
  <c r="AEE18" i="8"/>
  <c r="VW18" i="8"/>
  <c r="OM18" i="8"/>
  <c r="GE18" i="8"/>
  <c r="CN18" i="8"/>
  <c r="MM18" i="8"/>
  <c r="VX18" i="8"/>
  <c r="AFW18" i="8"/>
  <c r="AKL18" i="8"/>
  <c r="DG18" i="8"/>
  <c r="LO18" i="8"/>
  <c r="TW18" i="8"/>
  <c r="ABP18" i="8"/>
  <c r="AJJ18" i="8"/>
  <c r="ND18" i="8"/>
  <c r="EK18" i="8"/>
  <c r="YZ18" i="8"/>
  <c r="DO18" i="8"/>
  <c r="JO18" i="8"/>
  <c r="TB18" i="8"/>
  <c r="YF18" i="8"/>
  <c r="HK18" i="8"/>
  <c r="AB18" i="8"/>
  <c r="LT18" i="8"/>
  <c r="ABA18" i="8"/>
  <c r="AT18" i="8"/>
  <c r="MO18" i="8"/>
  <c r="ZE18" i="8"/>
  <c r="AKO18" i="8"/>
  <c r="GR18" i="8"/>
  <c r="RH18" i="8"/>
  <c r="ADF18" i="8"/>
  <c r="KA18" i="8"/>
  <c r="VH18" i="8"/>
  <c r="AHH18" i="8"/>
  <c r="MT18" i="8"/>
  <c r="YS18" i="8"/>
  <c r="AKA18" i="8"/>
  <c r="QT18" i="8"/>
  <c r="ACT18" i="8"/>
  <c r="ANU18" i="8"/>
  <c r="MV18" i="8"/>
  <c r="XL18" i="8"/>
  <c r="AKC18" i="8"/>
  <c r="AMG18" i="8"/>
  <c r="AEW18" i="8"/>
  <c r="WC18" i="8"/>
  <c r="OS18" i="8"/>
  <c r="FY18" i="8"/>
  <c r="ALO18" i="8"/>
  <c r="ADG18" i="8"/>
  <c r="VK18" i="8"/>
  <c r="NO18" i="8"/>
  <c r="FG18" i="8"/>
  <c r="DB18" i="8"/>
  <c r="NA18" i="8"/>
  <c r="WL18" i="8"/>
  <c r="AGK18" i="8"/>
  <c r="ALN18" i="8"/>
  <c r="DU18" i="8"/>
  <c r="MC18" i="8"/>
  <c r="UK18" i="8"/>
  <c r="ACE18" i="8"/>
  <c r="AKM18" i="8"/>
  <c r="P12" i="8"/>
  <c r="P21" i="8" s="1"/>
  <c r="WW18" i="8"/>
  <c r="IZ18" i="8"/>
  <c r="AAL18" i="8"/>
  <c r="FU18" i="8"/>
  <c r="PT18" i="8"/>
  <c r="WH18" i="8"/>
  <c r="ABD18" i="8"/>
  <c r="IL18" i="8"/>
  <c r="AP18" i="8"/>
  <c r="NS18" i="8"/>
  <c r="ABS18" i="8"/>
  <c r="BH18" i="8"/>
  <c r="NX18" i="8"/>
  <c r="GU18" i="8"/>
  <c r="ZW18" i="8"/>
  <c r="KR18" i="8"/>
  <c r="SC18" i="8"/>
  <c r="ALU18" i="8"/>
  <c r="ACI18" i="8"/>
  <c r="JS18" i="8"/>
  <c r="BC18" i="8"/>
  <c r="AHS18" i="8"/>
  <c r="ADU18" i="8"/>
  <c r="AHV18" i="8"/>
  <c r="SR18" i="8"/>
  <c r="YT18" i="8"/>
  <c r="AGG18" i="8"/>
  <c r="XG18" i="8"/>
  <c r="KV18" i="8"/>
  <c r="BP18" i="8"/>
  <c r="AIG18" i="8"/>
  <c r="FE18" i="8"/>
  <c r="ALZ18" i="8"/>
  <c r="VZ18" i="8"/>
  <c r="ADK18" i="8"/>
  <c r="ADA18" i="8"/>
  <c r="UY18" i="8"/>
  <c r="OD18" i="8"/>
  <c r="EJ18" i="8"/>
  <c r="ALA18" i="8"/>
  <c r="EY18" i="8"/>
  <c r="DZ18" i="8"/>
  <c r="ADI18" i="8"/>
  <c r="ALM18" i="8"/>
  <c r="YK18" i="8"/>
  <c r="QI18" i="8"/>
  <c r="TR18" i="8"/>
  <c r="JX18" i="8"/>
  <c r="JR18" i="8"/>
  <c r="HH18" i="8"/>
  <c r="AHY18" i="8"/>
  <c r="BN18" i="8"/>
  <c r="VQ18" i="8"/>
  <c r="PK18" i="8"/>
  <c r="UF18" i="8"/>
  <c r="KL18" i="8"/>
  <c r="AJP18" i="8"/>
  <c r="OP18" i="8"/>
  <c r="KS18" i="8"/>
  <c r="IW18" i="8"/>
  <c r="QC18" i="8"/>
  <c r="MQ18" i="8"/>
  <c r="WZ18" i="8"/>
  <c r="NF18" i="8"/>
  <c r="AFB18" i="8"/>
  <c r="AOC18" i="8"/>
  <c r="AMC18" i="8"/>
  <c r="AEM18" i="8"/>
  <c r="SP18" i="8"/>
  <c r="OB18" i="8"/>
  <c r="NM18" i="8"/>
  <c r="OG18" i="8"/>
  <c r="IA18" i="8"/>
  <c r="ACN18" i="8"/>
  <c r="RQ18" i="8"/>
  <c r="JT18" i="8"/>
  <c r="AAP18" i="8"/>
  <c r="VJ18" i="8"/>
  <c r="VM18" i="8"/>
  <c r="IS18" i="8"/>
  <c r="HC18" i="8"/>
  <c r="ADQ18" i="8"/>
  <c r="SF18" i="8"/>
  <c r="XR18" i="8"/>
  <c r="AEO18" i="8"/>
  <c r="AAB18" i="8"/>
  <c r="YD18" i="8"/>
  <c r="FM18" i="8"/>
  <c r="EU18" i="8"/>
  <c r="AGZ18" i="8"/>
  <c r="UZ18" i="8"/>
  <c r="ANJ18" i="8"/>
  <c r="AMB18" i="8"/>
  <c r="AHZ18" i="8"/>
  <c r="AGD18" i="8"/>
  <c r="ANK18" i="8"/>
  <c r="AM18" i="8"/>
  <c r="ANB18" i="8"/>
  <c r="ZK18" i="8"/>
  <c r="VO18" i="8"/>
  <c r="JY18" i="8"/>
  <c r="E18" i="8"/>
  <c r="AKS18" i="8"/>
  <c r="AKU18" i="8"/>
  <c r="ALC18" i="8"/>
  <c r="AY18" i="8"/>
  <c r="ANR18" i="8"/>
  <c r="AAN18" i="8"/>
  <c r="WN18" i="8"/>
  <c r="GS18" i="8"/>
  <c r="OC18" i="8"/>
  <c r="AFO18" i="8"/>
  <c r="EE18" i="8"/>
  <c r="ACS18" i="8"/>
  <c r="F12" i="8"/>
  <c r="F21" i="8" s="1"/>
  <c r="Q12" i="8"/>
  <c r="Q21" i="8" s="1"/>
  <c r="G12" i="8"/>
  <c r="G21" i="8" s="1"/>
  <c r="AN12" i="8"/>
  <c r="AN21" i="8" s="1"/>
  <c r="AZ12" i="8"/>
  <c r="AZ21" i="8" s="1"/>
  <c r="AC12" i="8"/>
  <c r="AC21" i="8" s="1"/>
  <c r="S12" i="8"/>
  <c r="S21" i="8" s="1"/>
  <c r="R12" i="8"/>
  <c r="R21" i="8" s="1"/>
  <c r="AD12" i="8"/>
  <c r="AD21" i="8" s="1"/>
  <c r="H12" i="8"/>
  <c r="H21" i="8" s="1"/>
  <c r="AE12" i="8"/>
  <c r="AE21" i="8" s="1"/>
  <c r="AO12" i="8"/>
  <c r="AO21" i="8" s="1"/>
  <c r="BX12" i="8"/>
  <c r="BX21" i="8" s="1"/>
  <c r="T12" i="8"/>
  <c r="T21" i="8" s="1"/>
  <c r="I12" i="8"/>
  <c r="I21" i="8" s="1"/>
  <c r="BL12" i="8"/>
  <c r="BL21" i="8" s="1"/>
  <c r="AP12" i="8"/>
  <c r="AP21" i="8" s="1"/>
  <c r="BB12" i="8"/>
  <c r="BB21" i="8" s="1"/>
  <c r="U12" i="8"/>
  <c r="U21" i="8" s="1"/>
  <c r="BA12" i="8"/>
  <c r="BA21" i="8" s="1"/>
  <c r="J12" i="8"/>
  <c r="J21" i="8" s="1"/>
  <c r="AQ12" i="8"/>
  <c r="AQ21" i="8" s="1"/>
  <c r="AF12" i="8"/>
  <c r="AF21" i="8" s="1"/>
  <c r="CJ12" i="8"/>
  <c r="CJ21" i="8" s="1"/>
  <c r="AR12" i="8"/>
  <c r="AR21" i="8" s="1"/>
  <c r="BM12" i="8"/>
  <c r="BM21" i="8" s="1"/>
  <c r="K12" i="8"/>
  <c r="K21" i="8" s="1"/>
  <c r="BC12" i="8"/>
  <c r="BC21" i="8" s="1"/>
  <c r="V12" i="8"/>
  <c r="V21" i="8" s="1"/>
  <c r="BN12" i="8"/>
  <c r="BN21" i="8" s="1"/>
  <c r="AG12" i="8"/>
  <c r="AG21" i="8" s="1"/>
  <c r="CV12" i="8"/>
  <c r="CV21" i="8" s="1"/>
  <c r="AS12" i="8"/>
  <c r="AS21" i="8" s="1"/>
  <c r="AH12" i="8"/>
  <c r="AH21" i="8" s="1"/>
  <c r="BZ12" i="8"/>
  <c r="BZ21" i="8" s="1"/>
  <c r="BO12" i="8"/>
  <c r="BO21" i="8" s="1"/>
  <c r="W12" i="8"/>
  <c r="W21" i="8" s="1"/>
  <c r="BY12" i="8"/>
  <c r="BY21" i="8" s="1"/>
  <c r="BD12" i="8"/>
  <c r="BD21" i="8" s="1"/>
  <c r="L12" i="8"/>
  <c r="L21" i="8" s="1"/>
  <c r="CA12" i="8"/>
  <c r="CA21" i="8" s="1"/>
  <c r="DH12" i="8"/>
  <c r="DH21" i="8" s="1"/>
  <c r="CL12" i="8"/>
  <c r="CL21" i="8" s="1"/>
  <c r="X12" i="8"/>
  <c r="X21" i="8" s="1"/>
  <c r="CK12" i="8"/>
  <c r="CK21" i="8" s="1"/>
  <c r="BE12" i="8"/>
  <c r="BE21" i="8" s="1"/>
  <c r="BP12" i="8"/>
  <c r="BP21" i="8" s="1"/>
  <c r="AT12" i="8"/>
  <c r="AT21" i="8" s="1"/>
  <c r="M12" i="8"/>
  <c r="M21" i="8" s="1"/>
  <c r="AI12" i="8"/>
  <c r="AI21" i="8" s="1"/>
  <c r="DT12" i="8"/>
  <c r="DT21" i="8" s="1"/>
  <c r="CW12" i="8"/>
  <c r="CW21" i="8" s="1"/>
  <c r="AU12" i="8"/>
  <c r="AU21" i="8" s="1"/>
  <c r="BF12" i="8"/>
  <c r="BF21" i="8" s="1"/>
  <c r="CB12" i="8"/>
  <c r="CB21" i="8" s="1"/>
  <c r="AJ12" i="8"/>
  <c r="AJ21" i="8" s="1"/>
  <c r="BQ12" i="8"/>
  <c r="BQ21" i="8" s="1"/>
  <c r="CM12" i="8"/>
  <c r="CM21" i="8" s="1"/>
  <c r="N12" i="8"/>
  <c r="N21" i="8" s="1"/>
  <c r="CX12" i="8"/>
  <c r="CX21" i="8" s="1"/>
  <c r="Y12" i="8"/>
  <c r="Y21" i="8" s="1"/>
  <c r="EF12" i="8"/>
  <c r="EF21" i="8" s="1"/>
  <c r="DI12" i="8"/>
  <c r="DI21" i="8" s="1"/>
  <c r="BG12" i="8"/>
  <c r="BG21" i="8" s="1"/>
  <c r="CY12" i="8"/>
  <c r="CY21" i="8" s="1"/>
  <c r="DJ12" i="8"/>
  <c r="DJ21" i="8" s="1"/>
  <c r="BR12" i="8"/>
  <c r="BR21" i="8" s="1"/>
  <c r="O12" i="8"/>
  <c r="O21" i="8" s="1"/>
  <c r="CC12" i="8"/>
  <c r="CC21" i="8" s="1"/>
  <c r="AV12" i="8"/>
  <c r="AV21" i="8" s="1"/>
  <c r="Z12" i="8"/>
  <c r="Z21" i="8" s="1"/>
  <c r="AK12" i="8"/>
  <c r="AK21" i="8" s="1"/>
  <c r="CN12" i="8"/>
  <c r="CN21" i="8" s="1"/>
  <c r="ER12" i="8"/>
  <c r="ER21" i="8" s="1"/>
  <c r="BS12" i="8"/>
  <c r="BS21" i="8" s="1"/>
  <c r="CD12" i="8"/>
  <c r="CD21" i="8" s="1"/>
  <c r="AL12" i="8"/>
  <c r="AL21" i="8" s="1"/>
  <c r="CO12" i="8"/>
  <c r="CO21" i="8" s="1"/>
  <c r="DV12" i="8"/>
  <c r="DV21" i="8" s="1"/>
  <c r="CZ12" i="8"/>
  <c r="CZ21" i="8" s="1"/>
  <c r="DU12" i="8"/>
  <c r="DU21" i="8" s="1"/>
  <c r="DK12" i="8"/>
  <c r="DK21" i="8" s="1"/>
  <c r="BH12" i="8"/>
  <c r="BH21" i="8" s="1"/>
  <c r="AA12" i="8"/>
  <c r="AA21" i="8" s="1"/>
  <c r="AW12" i="8"/>
  <c r="AW21" i="8" s="1"/>
  <c r="FD12" i="8"/>
  <c r="FD21" i="8" s="1"/>
  <c r="AX12" i="8"/>
  <c r="AX21" i="8" s="1"/>
  <c r="AM12" i="8"/>
  <c r="AM21" i="8" s="1"/>
  <c r="BT12" i="8"/>
  <c r="BT21" i="8" s="1"/>
  <c r="BI12" i="8"/>
  <c r="BI21" i="8" s="1"/>
  <c r="DA12" i="8"/>
  <c r="DA21" i="8" s="1"/>
  <c r="DW12" i="8"/>
  <c r="DW21" i="8" s="1"/>
  <c r="CP12" i="8"/>
  <c r="CP21" i="8" s="1"/>
  <c r="CE12" i="8"/>
  <c r="CE21" i="8" s="1"/>
  <c r="DL12" i="8"/>
  <c r="DL21" i="8" s="1"/>
  <c r="EH12" i="8"/>
  <c r="EH21" i="8" s="1"/>
  <c r="EG12" i="8"/>
  <c r="EG21" i="8" s="1"/>
  <c r="FP12" i="8"/>
  <c r="FP21" i="8" s="1"/>
  <c r="CF12" i="8"/>
  <c r="CF21" i="8" s="1"/>
  <c r="AY12" i="8"/>
  <c r="AY21" i="8" s="1"/>
  <c r="DX12" i="8"/>
  <c r="DX21" i="8" s="1"/>
  <c r="EI12" i="8"/>
  <c r="EI21" i="8" s="1"/>
  <c r="DM12" i="8"/>
  <c r="DM21" i="8" s="1"/>
  <c r="DB12" i="8"/>
  <c r="DB21" i="8" s="1"/>
  <c r="BJ12" i="8"/>
  <c r="BJ21" i="8" s="1"/>
  <c r="ET12" i="8"/>
  <c r="ET21" i="8" s="1"/>
  <c r="BU12" i="8"/>
  <c r="BU21" i="8" s="1"/>
  <c r="ES12" i="8"/>
  <c r="ES21" i="8" s="1"/>
  <c r="CQ12" i="8"/>
  <c r="CQ21" i="8" s="1"/>
  <c r="GB12" i="8"/>
  <c r="GB21" i="8" s="1"/>
  <c r="DN12" i="8"/>
  <c r="DN21" i="8" s="1"/>
  <c r="DY12" i="8"/>
  <c r="DY21" i="8" s="1"/>
  <c r="CR12" i="8"/>
  <c r="CR21" i="8" s="1"/>
  <c r="FE12" i="8"/>
  <c r="FE21" i="8" s="1"/>
  <c r="EU12" i="8"/>
  <c r="EU21" i="8" s="1"/>
  <c r="BK12" i="8"/>
  <c r="BK21" i="8" s="1"/>
  <c r="BV12" i="8"/>
  <c r="BV21" i="8" s="1"/>
  <c r="FF12" i="8"/>
  <c r="FF21" i="8" s="1"/>
  <c r="EJ12" i="8"/>
  <c r="EJ21" i="8" s="1"/>
  <c r="DC12" i="8"/>
  <c r="DC21" i="8" s="1"/>
  <c r="CG12" i="8"/>
  <c r="CG21" i="8" s="1"/>
  <c r="GN12" i="8"/>
  <c r="GN21" i="8" s="1"/>
  <c r="CH12" i="8"/>
  <c r="CH21" i="8" s="1"/>
  <c r="FG12" i="8"/>
  <c r="FG21" i="8" s="1"/>
  <c r="EV12" i="8"/>
  <c r="EV21" i="8" s="1"/>
  <c r="DO12" i="8"/>
  <c r="DO21" i="8" s="1"/>
  <c r="DZ12" i="8"/>
  <c r="DZ21" i="8" s="1"/>
  <c r="CS12" i="8"/>
  <c r="CS21" i="8" s="1"/>
  <c r="FR12" i="8"/>
  <c r="FR21" i="8" s="1"/>
  <c r="DD12" i="8"/>
  <c r="DD21" i="8" s="1"/>
  <c r="BW12" i="8"/>
  <c r="BW21" i="8" s="1"/>
  <c r="FQ12" i="8"/>
  <c r="FQ21" i="8" s="1"/>
  <c r="EK12" i="8"/>
  <c r="EK21" i="8" s="1"/>
  <c r="GZ12" i="8"/>
  <c r="GZ21" i="8" s="1"/>
  <c r="EA12" i="8"/>
  <c r="EA21" i="8" s="1"/>
  <c r="GD12" i="8"/>
  <c r="GD21" i="8" s="1"/>
  <c r="DE12" i="8"/>
  <c r="DE21" i="8" s="1"/>
  <c r="FH12" i="8"/>
  <c r="FH21" i="8" s="1"/>
  <c r="CI12" i="8"/>
  <c r="CI21" i="8" s="1"/>
  <c r="EL12" i="8"/>
  <c r="EL21" i="8" s="1"/>
  <c r="GC12" i="8"/>
  <c r="GC21" i="8" s="1"/>
  <c r="FS12" i="8"/>
  <c r="FS21" i="8" s="1"/>
  <c r="CT12" i="8"/>
  <c r="CT21" i="8" s="1"/>
  <c r="EW12" i="8"/>
  <c r="EW21" i="8" s="1"/>
  <c r="DP12" i="8"/>
  <c r="DP21" i="8" s="1"/>
  <c r="HL12" i="8"/>
  <c r="HL21" i="8" s="1"/>
  <c r="GP12" i="8"/>
  <c r="GP21" i="8" s="1"/>
  <c r="CU12" i="8"/>
  <c r="CU21" i="8" s="1"/>
  <c r="DQ12" i="8"/>
  <c r="DQ21" i="8" s="1"/>
  <c r="GO12" i="8"/>
  <c r="GO21" i="8" s="1"/>
  <c r="EX12" i="8"/>
  <c r="EX21" i="8" s="1"/>
  <c r="FI12" i="8"/>
  <c r="FI21" i="8" s="1"/>
  <c r="GE12" i="8"/>
  <c r="GE21" i="8" s="1"/>
  <c r="EM12" i="8"/>
  <c r="EM21" i="8" s="1"/>
  <c r="EB12" i="8"/>
  <c r="EB21" i="8" s="1"/>
  <c r="DF12" i="8"/>
  <c r="DF21" i="8" s="1"/>
  <c r="FT12" i="8"/>
  <c r="FT21" i="8" s="1"/>
  <c r="HB12" i="8"/>
  <c r="HB21" i="8" s="1"/>
  <c r="EY12" i="8"/>
  <c r="EY21" i="8" s="1"/>
  <c r="EC12" i="8"/>
  <c r="EC21" i="8" s="1"/>
  <c r="FJ12" i="8"/>
  <c r="FJ21" i="8" s="1"/>
  <c r="DR12" i="8"/>
  <c r="DR21" i="8" s="1"/>
  <c r="GQ12" i="8"/>
  <c r="GQ21" i="8" s="1"/>
  <c r="HA12" i="8"/>
  <c r="HA21" i="8" s="1"/>
  <c r="EN12" i="8"/>
  <c r="EN21" i="8" s="1"/>
  <c r="HX12" i="8"/>
  <c r="HX21" i="8" s="1"/>
  <c r="GF12" i="8"/>
  <c r="GF21" i="8" s="1"/>
  <c r="DG12" i="8"/>
  <c r="DG21" i="8" s="1"/>
  <c r="FU12" i="8"/>
  <c r="FU21" i="8" s="1"/>
  <c r="HM12" i="8"/>
  <c r="HM21" i="8" s="1"/>
  <c r="ED12" i="8"/>
  <c r="ED21" i="8" s="1"/>
  <c r="EZ12" i="8"/>
  <c r="EZ21" i="8" s="1"/>
  <c r="GG12" i="8"/>
  <c r="GG21" i="8" s="1"/>
  <c r="IJ12" i="8"/>
  <c r="IJ21" i="8" s="1"/>
  <c r="EO12" i="8"/>
  <c r="EO21" i="8" s="1"/>
  <c r="DS12" i="8"/>
  <c r="DS21" i="8" s="1"/>
  <c r="HN12" i="8"/>
  <c r="HN21" i="8" s="1"/>
  <c r="HC12" i="8"/>
  <c r="HC21" i="8" s="1"/>
  <c r="FV12" i="8"/>
  <c r="FV21" i="8" s="1"/>
  <c r="GR12" i="8"/>
  <c r="GR21" i="8" s="1"/>
  <c r="FK12" i="8"/>
  <c r="FK21" i="8" s="1"/>
  <c r="EP12" i="8"/>
  <c r="EP21" i="8" s="1"/>
  <c r="GH12" i="8"/>
  <c r="GH21" i="8" s="1"/>
  <c r="GS12" i="8"/>
  <c r="GS21" i="8" s="1"/>
  <c r="FL12" i="8"/>
  <c r="FL21" i="8" s="1"/>
  <c r="HO12" i="8"/>
  <c r="HO21" i="8" s="1"/>
  <c r="FW12" i="8"/>
  <c r="FW21" i="8" s="1"/>
  <c r="HZ12" i="8"/>
  <c r="HZ21" i="8" s="1"/>
  <c r="FA12" i="8"/>
  <c r="FA21" i="8" s="1"/>
  <c r="HY12" i="8"/>
  <c r="HY21" i="8" s="1"/>
  <c r="EE12" i="8"/>
  <c r="EE21" i="8" s="1"/>
  <c r="IV12" i="8"/>
  <c r="IV21" i="8" s="1"/>
  <c r="HD12" i="8"/>
  <c r="HD21" i="8" s="1"/>
  <c r="JH12" i="8"/>
  <c r="JH21" i="8" s="1"/>
  <c r="FB12" i="8"/>
  <c r="FB21" i="8" s="1"/>
  <c r="HP12" i="8"/>
  <c r="HP21" i="8" s="1"/>
  <c r="FX12" i="8"/>
  <c r="FX21" i="8" s="1"/>
  <c r="HE12" i="8"/>
  <c r="HE21" i="8" s="1"/>
  <c r="FM12" i="8"/>
  <c r="FM21" i="8" s="1"/>
  <c r="IA12" i="8"/>
  <c r="IA21" i="8" s="1"/>
  <c r="IK12" i="8"/>
  <c r="IK21" i="8" s="1"/>
  <c r="EQ12" i="8"/>
  <c r="EQ21" i="8" s="1"/>
  <c r="IL12" i="8"/>
  <c r="IL21" i="8" s="1"/>
  <c r="GI12" i="8"/>
  <c r="GI21" i="8" s="1"/>
  <c r="GT12" i="8"/>
  <c r="GT21" i="8" s="1"/>
  <c r="IB12" i="8"/>
  <c r="IB21" i="8" s="1"/>
  <c r="FY12" i="8"/>
  <c r="FY21" i="8" s="1"/>
  <c r="IM12" i="8"/>
  <c r="IM21" i="8" s="1"/>
  <c r="FC12" i="8"/>
  <c r="FC21" i="8" s="1"/>
  <c r="GJ12" i="8"/>
  <c r="GJ21" i="8" s="1"/>
  <c r="HQ12" i="8"/>
  <c r="HQ21" i="8" s="1"/>
  <c r="HF12" i="8"/>
  <c r="HF21" i="8" s="1"/>
  <c r="GU12" i="8"/>
  <c r="GU21" i="8" s="1"/>
  <c r="IX12" i="8"/>
  <c r="IX21" i="8" s="1"/>
  <c r="JT12" i="8"/>
  <c r="JT21" i="8" s="1"/>
  <c r="IW12" i="8"/>
  <c r="IW21" i="8" s="1"/>
  <c r="FN12" i="8"/>
  <c r="FN21" i="8" s="1"/>
  <c r="KF12" i="8"/>
  <c r="KF21" i="8" s="1"/>
  <c r="IC12" i="8"/>
  <c r="IC21" i="8" s="1"/>
  <c r="IN12" i="8"/>
  <c r="IN21" i="8" s="1"/>
  <c r="JJ12" i="8"/>
  <c r="JJ21" i="8" s="1"/>
  <c r="JI12" i="8"/>
  <c r="JI21" i="8" s="1"/>
  <c r="FO12" i="8"/>
  <c r="FO21" i="8" s="1"/>
  <c r="HG12" i="8"/>
  <c r="HG21" i="8" s="1"/>
  <c r="HR12" i="8"/>
  <c r="HR21" i="8" s="1"/>
  <c r="IY12" i="8"/>
  <c r="IY21" i="8" s="1"/>
  <c r="GV12" i="8"/>
  <c r="GV21" i="8" s="1"/>
  <c r="GK12" i="8"/>
  <c r="GK21" i="8" s="1"/>
  <c r="FZ12" i="8"/>
  <c r="FZ21" i="8" s="1"/>
  <c r="GL12" i="8"/>
  <c r="GL21" i="8" s="1"/>
  <c r="KR12" i="8"/>
  <c r="KR21" i="8" s="1"/>
  <c r="GA12" i="8"/>
  <c r="GA21" i="8" s="1"/>
  <c r="HH12" i="8"/>
  <c r="HH21" i="8" s="1"/>
  <c r="JK12" i="8"/>
  <c r="JK21" i="8" s="1"/>
  <c r="ID12" i="8"/>
  <c r="ID21" i="8" s="1"/>
  <c r="IO12" i="8"/>
  <c r="IO21" i="8" s="1"/>
  <c r="JV12" i="8"/>
  <c r="JV21" i="8" s="1"/>
  <c r="JU12" i="8"/>
  <c r="JU21" i="8" s="1"/>
  <c r="GW12" i="8"/>
  <c r="GW21" i="8" s="1"/>
  <c r="HS12" i="8"/>
  <c r="HS21" i="8" s="1"/>
  <c r="IZ12" i="8"/>
  <c r="IZ21" i="8" s="1"/>
  <c r="LD12" i="8"/>
  <c r="LD21" i="8" s="1"/>
  <c r="GM12" i="8"/>
  <c r="GM21" i="8" s="1"/>
  <c r="HI12" i="8"/>
  <c r="HI21" i="8" s="1"/>
  <c r="HT12" i="8"/>
  <c r="HT21" i="8" s="1"/>
  <c r="JA12" i="8"/>
  <c r="JA21" i="8" s="1"/>
  <c r="JW12" i="8"/>
  <c r="JW21" i="8" s="1"/>
  <c r="KG12" i="8"/>
  <c r="KG21" i="8" s="1"/>
  <c r="GX12" i="8"/>
  <c r="GX21" i="8" s="1"/>
  <c r="JL12" i="8"/>
  <c r="JL21" i="8" s="1"/>
  <c r="KH12" i="8"/>
  <c r="KH21" i="8" s="1"/>
  <c r="IP12" i="8"/>
  <c r="IP21" i="8" s="1"/>
  <c r="IE12" i="8"/>
  <c r="IE21" i="8" s="1"/>
  <c r="LP12" i="8"/>
  <c r="LP21" i="8" s="1"/>
  <c r="IQ12" i="8"/>
  <c r="IQ21" i="8" s="1"/>
  <c r="GY12" i="8"/>
  <c r="GY21" i="8" s="1"/>
  <c r="KI12" i="8"/>
  <c r="KI21" i="8" s="1"/>
  <c r="HJ12" i="8"/>
  <c r="HJ21" i="8" s="1"/>
  <c r="HU12" i="8"/>
  <c r="HU21" i="8" s="1"/>
  <c r="KT12" i="8"/>
  <c r="KT21" i="8" s="1"/>
  <c r="JX12" i="8"/>
  <c r="JX21" i="8" s="1"/>
  <c r="JM12" i="8"/>
  <c r="JM21" i="8" s="1"/>
  <c r="JB12" i="8"/>
  <c r="JB21" i="8" s="1"/>
  <c r="KS12" i="8"/>
  <c r="KS21" i="8" s="1"/>
  <c r="IF12" i="8"/>
  <c r="IF21" i="8" s="1"/>
  <c r="IG12" i="8"/>
  <c r="IG21" i="8" s="1"/>
  <c r="HK12" i="8"/>
  <c r="HK21" i="8" s="1"/>
  <c r="JN12" i="8"/>
  <c r="JN21" i="8" s="1"/>
  <c r="JY12" i="8"/>
  <c r="JY21" i="8" s="1"/>
  <c r="KJ12" i="8"/>
  <c r="KJ21" i="8" s="1"/>
  <c r="HV12" i="8"/>
  <c r="HV21" i="8" s="1"/>
  <c r="KU12" i="8"/>
  <c r="KU21" i="8" s="1"/>
  <c r="LF12" i="8"/>
  <c r="LF21" i="8" s="1"/>
  <c r="IR12" i="8"/>
  <c r="IR21" i="8" s="1"/>
  <c r="MN12" i="8"/>
  <c r="MN21" i="8" s="1"/>
  <c r="MB12" i="8"/>
  <c r="MB21" i="8" s="1"/>
  <c r="JC12" i="8"/>
  <c r="JC21" i="8" s="1"/>
  <c r="LE12" i="8"/>
  <c r="LE21" i="8" s="1"/>
  <c r="LG12" i="8"/>
  <c r="LG21" i="8" s="1"/>
  <c r="HW12" i="8"/>
  <c r="HW21" i="8" s="1"/>
  <c r="JD12" i="8"/>
  <c r="JD21" i="8" s="1"/>
  <c r="KK12" i="8"/>
  <c r="KK21" i="8" s="1"/>
  <c r="IS12" i="8"/>
  <c r="IS21" i="8" s="1"/>
  <c r="KV12" i="8"/>
  <c r="KV21" i="8" s="1"/>
  <c r="LR12" i="8"/>
  <c r="LR21" i="8" s="1"/>
  <c r="JO12" i="8"/>
  <c r="JO21" i="8" s="1"/>
  <c r="IH12" i="8"/>
  <c r="IH21" i="8" s="1"/>
  <c r="JZ12" i="8"/>
  <c r="JZ21" i="8" s="1"/>
  <c r="LQ12" i="8"/>
  <c r="LQ21" i="8" s="1"/>
  <c r="JP12" i="8"/>
  <c r="JP21" i="8" s="1"/>
  <c r="MC12" i="8"/>
  <c r="MC21" i="8" s="1"/>
  <c r="JE12" i="8"/>
  <c r="JE21" i="8" s="1"/>
  <c r="II12" i="8"/>
  <c r="II21" i="8" s="1"/>
  <c r="MZ12" i="8"/>
  <c r="MZ21" i="8" s="1"/>
  <c r="LH12" i="8"/>
  <c r="LH21" i="8" s="1"/>
  <c r="KA12" i="8"/>
  <c r="KA21" i="8" s="1"/>
  <c r="KL12" i="8"/>
  <c r="KL21" i="8" s="1"/>
  <c r="MD12" i="8"/>
  <c r="MD21" i="8" s="1"/>
  <c r="KW12" i="8"/>
  <c r="KW21" i="8" s="1"/>
  <c r="IT12" i="8"/>
  <c r="IT21" i="8" s="1"/>
  <c r="LS12" i="8"/>
  <c r="LS21" i="8" s="1"/>
  <c r="NL12" i="8"/>
  <c r="NL21" i="8" s="1"/>
  <c r="NX12" i="8"/>
  <c r="NX21" i="8" s="1"/>
  <c r="LT12" i="8"/>
  <c r="LT21" i="8" s="1"/>
  <c r="IU12" i="8"/>
  <c r="IU21" i="8" s="1"/>
  <c r="ME12" i="8"/>
  <c r="ME21" i="8" s="1"/>
  <c r="KB12" i="8"/>
  <c r="KB21" i="8" s="1"/>
  <c r="JF12" i="8"/>
  <c r="JF21" i="8" s="1"/>
  <c r="MO12" i="8"/>
  <c r="MO21" i="8" s="1"/>
  <c r="KX12" i="8"/>
  <c r="KX21" i="8" s="1"/>
  <c r="JQ12" i="8"/>
  <c r="JQ21" i="8" s="1"/>
  <c r="KM12" i="8"/>
  <c r="KM21" i="8" s="1"/>
  <c r="LI12" i="8"/>
  <c r="LI21" i="8" s="1"/>
  <c r="MP12" i="8"/>
  <c r="MP21" i="8" s="1"/>
  <c r="JR12" i="8"/>
  <c r="JR21" i="8" s="1"/>
  <c r="JG12" i="8"/>
  <c r="JG21" i="8" s="1"/>
  <c r="MQ12" i="8"/>
  <c r="MQ21" i="8" s="1"/>
  <c r="LU12" i="8"/>
  <c r="LU21" i="8" s="1"/>
  <c r="NA12" i="8"/>
  <c r="NA21" i="8" s="1"/>
  <c r="NB12" i="8"/>
  <c r="NB21" i="8" s="1"/>
  <c r="MF12" i="8"/>
  <c r="MF21" i="8" s="1"/>
  <c r="KY12" i="8"/>
  <c r="KY21" i="8" s="1"/>
  <c r="KC12" i="8"/>
  <c r="KC21" i="8" s="1"/>
  <c r="KN12" i="8"/>
  <c r="KN21" i="8" s="1"/>
  <c r="LJ12" i="8"/>
  <c r="LJ21" i="8" s="1"/>
  <c r="OJ12" i="8"/>
  <c r="OJ21" i="8" s="1"/>
  <c r="KD12" i="8"/>
  <c r="KD21" i="8" s="1"/>
  <c r="MR12" i="8"/>
  <c r="MR21" i="8" s="1"/>
  <c r="NC12" i="8"/>
  <c r="NC21" i="8" s="1"/>
  <c r="LK12" i="8"/>
  <c r="LK21" i="8" s="1"/>
  <c r="LV12" i="8"/>
  <c r="LV21" i="8" s="1"/>
  <c r="KO12" i="8"/>
  <c r="KO21" i="8" s="1"/>
  <c r="NM12" i="8"/>
  <c r="NM21" i="8" s="1"/>
  <c r="MG12" i="8"/>
  <c r="MG21" i="8" s="1"/>
  <c r="JS12" i="8"/>
  <c r="JS21" i="8" s="1"/>
  <c r="NN12" i="8"/>
  <c r="NN21" i="8" s="1"/>
  <c r="KZ12" i="8"/>
  <c r="KZ21" i="8" s="1"/>
  <c r="OV12" i="8"/>
  <c r="OV21" i="8" s="1"/>
  <c r="ND12" i="8"/>
  <c r="ND21" i="8" s="1"/>
  <c r="LW12" i="8"/>
  <c r="LW21" i="8" s="1"/>
  <c r="LA12" i="8"/>
  <c r="LA21" i="8" s="1"/>
  <c r="LL12" i="8"/>
  <c r="LL21" i="8" s="1"/>
  <c r="NO12" i="8"/>
  <c r="NO21" i="8" s="1"/>
  <c r="NZ12" i="8"/>
  <c r="NZ21" i="8" s="1"/>
  <c r="NY12" i="8"/>
  <c r="NY21" i="8" s="1"/>
  <c r="KP12" i="8"/>
  <c r="KP21" i="8" s="1"/>
  <c r="MH12" i="8"/>
  <c r="MH21" i="8" s="1"/>
  <c r="MS12" i="8"/>
  <c r="MS21" i="8" s="1"/>
  <c r="KE12" i="8"/>
  <c r="KE21" i="8" s="1"/>
  <c r="PH12" i="8"/>
  <c r="PH21" i="8" s="1"/>
  <c r="NP12" i="8"/>
  <c r="NP21" i="8" s="1"/>
  <c r="MI12" i="8"/>
  <c r="MI21" i="8" s="1"/>
  <c r="LX12" i="8"/>
  <c r="LX21" i="8" s="1"/>
  <c r="OL12" i="8"/>
  <c r="OL21" i="8" s="1"/>
  <c r="MT12" i="8"/>
  <c r="MT21" i="8" s="1"/>
  <c r="LM12" i="8"/>
  <c r="LM21" i="8" s="1"/>
  <c r="OK12" i="8"/>
  <c r="OK21" i="8" s="1"/>
  <c r="OA12" i="8"/>
  <c r="OA21" i="8" s="1"/>
  <c r="LB12" i="8"/>
  <c r="LB21" i="8" s="1"/>
  <c r="NE12" i="8"/>
  <c r="NE21" i="8" s="1"/>
  <c r="KQ12" i="8"/>
  <c r="KQ21" i="8" s="1"/>
  <c r="PT12" i="8"/>
  <c r="PT21" i="8" s="1"/>
  <c r="LN12" i="8"/>
  <c r="LN21" i="8" s="1"/>
  <c r="LY12" i="8"/>
  <c r="LY21" i="8" s="1"/>
  <c r="NQ12" i="8"/>
  <c r="NQ21" i="8" s="1"/>
  <c r="MU12" i="8"/>
  <c r="MU21" i="8" s="1"/>
  <c r="LC12" i="8"/>
  <c r="LC21" i="8" s="1"/>
  <c r="NF12" i="8"/>
  <c r="NF21" i="8" s="1"/>
  <c r="OW12" i="8"/>
  <c r="OW21" i="8" s="1"/>
  <c r="OB12" i="8"/>
  <c r="OB21" i="8" s="1"/>
  <c r="OX12" i="8"/>
  <c r="OX21" i="8" s="1"/>
  <c r="OM12" i="8"/>
  <c r="OM21" i="8" s="1"/>
  <c r="MJ12" i="8"/>
  <c r="MJ21" i="8" s="1"/>
  <c r="QF12" i="8"/>
  <c r="QF21" i="8" s="1"/>
  <c r="LZ12" i="8"/>
  <c r="LZ21" i="8" s="1"/>
  <c r="MV12" i="8"/>
  <c r="MV21" i="8" s="1"/>
  <c r="MK12" i="8"/>
  <c r="MK21" i="8" s="1"/>
  <c r="PJ12" i="8"/>
  <c r="PJ21" i="8" s="1"/>
  <c r="OC12" i="8"/>
  <c r="OC21" i="8" s="1"/>
  <c r="NG12" i="8"/>
  <c r="NG21" i="8" s="1"/>
  <c r="ON12" i="8"/>
  <c r="ON21" i="8" s="1"/>
  <c r="NR12" i="8"/>
  <c r="NR21" i="8" s="1"/>
  <c r="QR12" i="8"/>
  <c r="QR21" i="8" s="1"/>
  <c r="PI12" i="8"/>
  <c r="PI21" i="8" s="1"/>
  <c r="LO12" i="8"/>
  <c r="LO21" i="8" s="1"/>
  <c r="OY12" i="8"/>
  <c r="OY21" i="8" s="1"/>
  <c r="ML12" i="8"/>
  <c r="ML21" i="8" s="1"/>
  <c r="MW12" i="8"/>
  <c r="MW21" i="8" s="1"/>
  <c r="PV12" i="8"/>
  <c r="PV21" i="8" s="1"/>
  <c r="NS12" i="8"/>
  <c r="NS21" i="8" s="1"/>
  <c r="OZ12" i="8"/>
  <c r="OZ21" i="8" s="1"/>
  <c r="NH12" i="8"/>
  <c r="NH21" i="8" s="1"/>
  <c r="PU12" i="8"/>
  <c r="PU21" i="8" s="1"/>
  <c r="PK12" i="8"/>
  <c r="PK21" i="8" s="1"/>
  <c r="MA12" i="8"/>
  <c r="MA21" i="8" s="1"/>
  <c r="OO12" i="8"/>
  <c r="OO21" i="8" s="1"/>
  <c r="OD12" i="8"/>
  <c r="OD21" i="8" s="1"/>
  <c r="RD12" i="8"/>
  <c r="OP12" i="8"/>
  <c r="OP21" i="8" s="1"/>
  <c r="OE12" i="8"/>
  <c r="OE21" i="8" s="1"/>
  <c r="PA12" i="8"/>
  <c r="PA21" i="8" s="1"/>
  <c r="PL12" i="8"/>
  <c r="PL21" i="8" s="1"/>
  <c r="QH12" i="8"/>
  <c r="QH21" i="8" s="1"/>
  <c r="MM12" i="8"/>
  <c r="MM21" i="8" s="1"/>
  <c r="QG12" i="8"/>
  <c r="QG21" i="8" s="1"/>
  <c r="NT12" i="8"/>
  <c r="NT21" i="8" s="1"/>
  <c r="NI12" i="8"/>
  <c r="NI21" i="8" s="1"/>
  <c r="MX12" i="8"/>
  <c r="MX21" i="8" s="1"/>
  <c r="PW12" i="8"/>
  <c r="PW21" i="8" s="1"/>
  <c r="PX12" i="8"/>
  <c r="PX21" i="8" s="1"/>
  <c r="OF12" i="8"/>
  <c r="OF21" i="8" s="1"/>
  <c r="QS12" i="8"/>
  <c r="QS21" i="8" s="1"/>
  <c r="NU12" i="8"/>
  <c r="NU21" i="8" s="1"/>
  <c r="MY12" i="8"/>
  <c r="MY21" i="8" s="1"/>
  <c r="OQ12" i="8"/>
  <c r="OQ21" i="8" s="1"/>
  <c r="PM12" i="8"/>
  <c r="PM21" i="8" s="1"/>
  <c r="RP12" i="8"/>
  <c r="RP21" i="8" s="1"/>
  <c r="PB12" i="8"/>
  <c r="PB21" i="8" s="1"/>
  <c r="QT12" i="8"/>
  <c r="QT21" i="8" s="1"/>
  <c r="NJ12" i="8"/>
  <c r="NJ21" i="8" s="1"/>
  <c r="QI12" i="8"/>
  <c r="QI21" i="8" s="1"/>
  <c r="SB12" i="8"/>
  <c r="SB21" i="8" s="1"/>
  <c r="OR12" i="8"/>
  <c r="OR21" i="8" s="1"/>
  <c r="QU12" i="8"/>
  <c r="QU21" i="8" s="1"/>
  <c r="PY12" i="8"/>
  <c r="PY21" i="8" s="1"/>
  <c r="PN12" i="8"/>
  <c r="PN21" i="8" s="1"/>
  <c r="QJ12" i="8"/>
  <c r="QJ21" i="8" s="1"/>
  <c r="PC12" i="8"/>
  <c r="PC21" i="8" s="1"/>
  <c r="NK12" i="8"/>
  <c r="NK21" i="8" s="1"/>
  <c r="RE12" i="8"/>
  <c r="RE21" i="8" s="1"/>
  <c r="OG12" i="8"/>
  <c r="OG21" i="8" s="1"/>
  <c r="RF12" i="8"/>
  <c r="RF21" i="8" s="1"/>
  <c r="NV12" i="8"/>
  <c r="NV21" i="8" s="1"/>
  <c r="SN12" i="8"/>
  <c r="SN21" i="8" s="1"/>
  <c r="PZ12" i="8"/>
  <c r="PZ21" i="8" s="1"/>
  <c r="PD12" i="8"/>
  <c r="PD21" i="8" s="1"/>
  <c r="OS12" i="8"/>
  <c r="OS21" i="8" s="1"/>
  <c r="QV12" i="8"/>
  <c r="QV21" i="8" s="1"/>
  <c r="QK12" i="8"/>
  <c r="QK21" i="8" s="1"/>
  <c r="OH12" i="8"/>
  <c r="OH21" i="8" s="1"/>
  <c r="NW12" i="8"/>
  <c r="NW21" i="8" s="1"/>
  <c r="RG12" i="8"/>
  <c r="RG21" i="8" s="1"/>
  <c r="RR12" i="8"/>
  <c r="RR21" i="8" s="1"/>
  <c r="RQ12" i="8"/>
  <c r="RQ21" i="8" s="1"/>
  <c r="PO12" i="8"/>
  <c r="PO21" i="8" s="1"/>
  <c r="SZ12" i="8"/>
  <c r="SZ21" i="8" s="1"/>
  <c r="OT12" i="8"/>
  <c r="OT21" i="8" s="1"/>
  <c r="QL12" i="8"/>
  <c r="QL21" i="8" s="1"/>
  <c r="RH12" i="8"/>
  <c r="RH21" i="8" s="1"/>
  <c r="PP12" i="8"/>
  <c r="PP21" i="8" s="1"/>
  <c r="SD12" i="8"/>
  <c r="SD21" i="8" s="1"/>
  <c r="PE12" i="8"/>
  <c r="PE21" i="8" s="1"/>
  <c r="QA12" i="8"/>
  <c r="QA21" i="8" s="1"/>
  <c r="QW12" i="8"/>
  <c r="QW21" i="8" s="1"/>
  <c r="SC12" i="8"/>
  <c r="SC21" i="8" s="1"/>
  <c r="OI12" i="8"/>
  <c r="OI21" i="8" s="1"/>
  <c r="RS12" i="8"/>
  <c r="RS21" i="8" s="1"/>
  <c r="RI12" i="8"/>
  <c r="RI21" i="8" s="1"/>
  <c r="SP12" i="8"/>
  <c r="SP21" i="8" s="1"/>
  <c r="RT12" i="8"/>
  <c r="RT21" i="8" s="1"/>
  <c r="QB12" i="8"/>
  <c r="QB21" i="8" s="1"/>
  <c r="QX12" i="8"/>
  <c r="QX21" i="8" s="1"/>
  <c r="PF12" i="8"/>
  <c r="PF21" i="8" s="1"/>
  <c r="QM12" i="8"/>
  <c r="QM21" i="8" s="1"/>
  <c r="SO12" i="8"/>
  <c r="SO21" i="8" s="1"/>
  <c r="TL12" i="8"/>
  <c r="TL21" i="8" s="1"/>
  <c r="PQ12" i="8"/>
  <c r="PQ21" i="8" s="1"/>
  <c r="OU12" i="8"/>
  <c r="OU21" i="8" s="1"/>
  <c r="SE12" i="8"/>
  <c r="SE21" i="8" s="1"/>
  <c r="TX12" i="8"/>
  <c r="TX21" i="8" s="1"/>
  <c r="RJ12" i="8"/>
  <c r="RJ21" i="8" s="1"/>
  <c r="QC12" i="8"/>
  <c r="QC21" i="8" s="1"/>
  <c r="RU12" i="8"/>
  <c r="RU21" i="8" s="1"/>
  <c r="QY12" i="8"/>
  <c r="QY21" i="8" s="1"/>
  <c r="PR12" i="8"/>
  <c r="PR21" i="8" s="1"/>
  <c r="QN12" i="8"/>
  <c r="QN21" i="8" s="1"/>
  <c r="SF12" i="8"/>
  <c r="SF21" i="8" s="1"/>
  <c r="TA12" i="8"/>
  <c r="TA21" i="8" s="1"/>
  <c r="SQ12" i="8"/>
  <c r="SQ21" i="8" s="1"/>
  <c r="PG12" i="8"/>
  <c r="PG21" i="8" s="1"/>
  <c r="TB12" i="8"/>
  <c r="TB21" i="8" s="1"/>
  <c r="UJ12" i="8"/>
  <c r="UJ21" i="8" s="1"/>
  <c r="SG12" i="8"/>
  <c r="SG21" i="8" s="1"/>
  <c r="QO12" i="8"/>
  <c r="QO21" i="8" s="1"/>
  <c r="RK12" i="8"/>
  <c r="RK21" i="8" s="1"/>
  <c r="SR12" i="8"/>
  <c r="SR21" i="8" s="1"/>
  <c r="QD12" i="8"/>
  <c r="QD21" i="8" s="1"/>
  <c r="PS12" i="8"/>
  <c r="PS21" i="8" s="1"/>
  <c r="TC12" i="8"/>
  <c r="TC21" i="8" s="1"/>
  <c r="TM12" i="8"/>
  <c r="TM21" i="8" s="1"/>
  <c r="RV12" i="8"/>
  <c r="RV21" i="8" s="1"/>
  <c r="TN12" i="8"/>
  <c r="TN21" i="8" s="1"/>
  <c r="QZ12" i="8"/>
  <c r="QZ21" i="8" s="1"/>
  <c r="TZ12" i="8"/>
  <c r="TZ21" i="8" s="1"/>
  <c r="QE12" i="8"/>
  <c r="QE21" i="8" s="1"/>
  <c r="RA12" i="8"/>
  <c r="RA21" i="8" s="1"/>
  <c r="UV12" i="8"/>
  <c r="UV21" i="8" s="1"/>
  <c r="RL12" i="8"/>
  <c r="RL21" i="8" s="1"/>
  <c r="RW12" i="8"/>
  <c r="RW21" i="8" s="1"/>
  <c r="TO12" i="8"/>
  <c r="TO21" i="8" s="1"/>
  <c r="QP12" i="8"/>
  <c r="QP21" i="8" s="1"/>
  <c r="SH12" i="8"/>
  <c r="SH21" i="8" s="1"/>
  <c r="SS12" i="8"/>
  <c r="SS21" i="8" s="1"/>
  <c r="TY12" i="8"/>
  <c r="TY21" i="8" s="1"/>
  <c r="TD12" i="8"/>
  <c r="TD21" i="8" s="1"/>
  <c r="VH12" i="8"/>
  <c r="VH21" i="8" s="1"/>
  <c r="QQ12" i="8"/>
  <c r="QQ21" i="8" s="1"/>
  <c r="UK12" i="8"/>
  <c r="UK21" i="8" s="1"/>
  <c r="ST12" i="8"/>
  <c r="ST21" i="8" s="1"/>
  <c r="RB12" i="8"/>
  <c r="RB21" i="8" s="1"/>
  <c r="TE12" i="8"/>
  <c r="TE21" i="8" s="1"/>
  <c r="UA12" i="8"/>
  <c r="UA21" i="8" s="1"/>
  <c r="SI12" i="8"/>
  <c r="SI21" i="8" s="1"/>
  <c r="UL12" i="8"/>
  <c r="UL21" i="8" s="1"/>
  <c r="TP12" i="8"/>
  <c r="TP21" i="8" s="1"/>
  <c r="RM12" i="8"/>
  <c r="RM21" i="8" s="1"/>
  <c r="RX12" i="8"/>
  <c r="RX21" i="8" s="1"/>
  <c r="UX12" i="8"/>
  <c r="UX21" i="8" s="1"/>
  <c r="RY12" i="8"/>
  <c r="RY21" i="8" s="1"/>
  <c r="SU12" i="8"/>
  <c r="SU21" i="8" s="1"/>
  <c r="UM12" i="8"/>
  <c r="UM21" i="8" s="1"/>
  <c r="TF12" i="8"/>
  <c r="TF21" i="8" s="1"/>
  <c r="UB12" i="8"/>
  <c r="UB21" i="8" s="1"/>
  <c r="RC12" i="8"/>
  <c r="RC21" i="8" s="1"/>
  <c r="SJ12" i="8"/>
  <c r="SJ21" i="8" s="1"/>
  <c r="VT12" i="8"/>
  <c r="VT21" i="8" s="1"/>
  <c r="UW12" i="8"/>
  <c r="UW21" i="8" s="1"/>
  <c r="TQ12" i="8"/>
  <c r="TQ21" i="8" s="1"/>
  <c r="RN12" i="8"/>
  <c r="RN21" i="8" s="1"/>
  <c r="WF12" i="8"/>
  <c r="WF21" i="8" s="1"/>
  <c r="TG12" i="8"/>
  <c r="TG21" i="8" s="1"/>
  <c r="SV12" i="8"/>
  <c r="SV21" i="8" s="1"/>
  <c r="UN12" i="8"/>
  <c r="UN21" i="8" s="1"/>
  <c r="RZ12" i="8"/>
  <c r="RZ21" i="8" s="1"/>
  <c r="SK12" i="8"/>
  <c r="SK21" i="8" s="1"/>
  <c r="UY12" i="8"/>
  <c r="UY21" i="8" s="1"/>
  <c r="RO12" i="8"/>
  <c r="RO21" i="8" s="1"/>
  <c r="VI12" i="8"/>
  <c r="VI21" i="8" s="1"/>
  <c r="UC12" i="8"/>
  <c r="UC21" i="8" s="1"/>
  <c r="VJ12" i="8"/>
  <c r="VJ21" i="8" s="1"/>
  <c r="TR12" i="8"/>
  <c r="TR21" i="8" s="1"/>
  <c r="WR12" i="8"/>
  <c r="WR21" i="8" s="1"/>
  <c r="VV12" i="8"/>
  <c r="VV21" i="8" s="1"/>
  <c r="VU12" i="8"/>
  <c r="VU21" i="8" s="1"/>
  <c r="VK12" i="8"/>
  <c r="VK21" i="8" s="1"/>
  <c r="SA12" i="8"/>
  <c r="SA21" i="8" s="1"/>
  <c r="SW12" i="8"/>
  <c r="SW21" i="8" s="1"/>
  <c r="UZ12" i="8"/>
  <c r="UZ21" i="8" s="1"/>
  <c r="SL12" i="8"/>
  <c r="SL21" i="8" s="1"/>
  <c r="UD12" i="8"/>
  <c r="UD21" i="8" s="1"/>
  <c r="TH12" i="8"/>
  <c r="TH21" i="8" s="1"/>
  <c r="UO12" i="8"/>
  <c r="UO21" i="8" s="1"/>
  <c r="TS12" i="8"/>
  <c r="TS21" i="8" s="1"/>
  <c r="TT12" i="8"/>
  <c r="TT21" i="8" s="1"/>
  <c r="UE12" i="8"/>
  <c r="UE21" i="8" s="1"/>
  <c r="XD12" i="8"/>
  <c r="SM12" i="8"/>
  <c r="SM21" i="8" s="1"/>
  <c r="WG12" i="8"/>
  <c r="WG21" i="8" s="1"/>
  <c r="SX12" i="8"/>
  <c r="SX21" i="8" s="1"/>
  <c r="VL12" i="8"/>
  <c r="VL21" i="8" s="1"/>
  <c r="WH12" i="8"/>
  <c r="WH21" i="8" s="1"/>
  <c r="VA12" i="8"/>
  <c r="VA21" i="8" s="1"/>
  <c r="UP12" i="8"/>
  <c r="UP21" i="8" s="1"/>
  <c r="TI12" i="8"/>
  <c r="TI21" i="8" s="1"/>
  <c r="XP12" i="8"/>
  <c r="VW12" i="8"/>
  <c r="VW21" i="8" s="1"/>
  <c r="UQ12" i="8"/>
  <c r="UQ21" i="8" s="1"/>
  <c r="WS12" i="8"/>
  <c r="WS21" i="8" s="1"/>
  <c r="SY12" i="8"/>
  <c r="SY21" i="8" s="1"/>
  <c r="VB12" i="8"/>
  <c r="VB21" i="8" s="1"/>
  <c r="VX12" i="8"/>
  <c r="VX21" i="8" s="1"/>
  <c r="WI12" i="8"/>
  <c r="WI21" i="8" s="1"/>
  <c r="TU12" i="8"/>
  <c r="TU21" i="8" s="1"/>
  <c r="WT12" i="8"/>
  <c r="WT21" i="8" s="1"/>
  <c r="UF12" i="8"/>
  <c r="UF21" i="8" s="1"/>
  <c r="TJ12" i="8"/>
  <c r="TJ21" i="8" s="1"/>
  <c r="VM12" i="8"/>
  <c r="VM21" i="8" s="1"/>
  <c r="YB12" i="8"/>
  <c r="YB21" i="8" s="1"/>
  <c r="UG12" i="8"/>
  <c r="UG21" i="8" s="1"/>
  <c r="TK12" i="8"/>
  <c r="TK21" i="8" s="1"/>
  <c r="TV12" i="8"/>
  <c r="TV21" i="8" s="1"/>
  <c r="VN12" i="8"/>
  <c r="VN21" i="8" s="1"/>
  <c r="XF12" i="8"/>
  <c r="XF21" i="8" s="1"/>
  <c r="VC12" i="8"/>
  <c r="VC21" i="8" s="1"/>
  <c r="UR12" i="8"/>
  <c r="UR21" i="8" s="1"/>
  <c r="XE12" i="8"/>
  <c r="XE21" i="8" s="1"/>
  <c r="WU12" i="8"/>
  <c r="WU21" i="8" s="1"/>
  <c r="VY12" i="8"/>
  <c r="VY21" i="8" s="1"/>
  <c r="WJ12" i="8"/>
  <c r="WJ21" i="8" s="1"/>
  <c r="YN12" i="8"/>
  <c r="YN21" i="8" s="1"/>
  <c r="WK12" i="8"/>
  <c r="WK21" i="8" s="1"/>
  <c r="XQ12" i="8"/>
  <c r="XQ21" i="8" s="1"/>
  <c r="TW12" i="8"/>
  <c r="TW21" i="8" s="1"/>
  <c r="UH12" i="8"/>
  <c r="UH21" i="8" s="1"/>
  <c r="VO12" i="8"/>
  <c r="VO21" i="8" s="1"/>
  <c r="VZ12" i="8"/>
  <c r="VZ21" i="8" s="1"/>
  <c r="US12" i="8"/>
  <c r="US21" i="8" s="1"/>
  <c r="WV12" i="8"/>
  <c r="WV21" i="8" s="1"/>
  <c r="VD12" i="8"/>
  <c r="VD21" i="8" s="1"/>
  <c r="XR12" i="8"/>
  <c r="XR21" i="8" s="1"/>
  <c r="XG12" i="8"/>
  <c r="XG21" i="8" s="1"/>
  <c r="YZ12" i="8"/>
  <c r="YZ21" i="8" s="1"/>
  <c r="YC12" i="8"/>
  <c r="YC21" i="8" s="1"/>
  <c r="WA12" i="8"/>
  <c r="WA21" i="8" s="1"/>
  <c r="XH12" i="8"/>
  <c r="XH21" i="8" s="1"/>
  <c r="UT12" i="8"/>
  <c r="UT21" i="8" s="1"/>
  <c r="YD12" i="8"/>
  <c r="YD21" i="8" s="1"/>
  <c r="VE12" i="8"/>
  <c r="VE21" i="8" s="1"/>
  <c r="VP12" i="8"/>
  <c r="VP21" i="8" s="1"/>
  <c r="WL12" i="8"/>
  <c r="WL21" i="8" s="1"/>
  <c r="UI12" i="8"/>
  <c r="UI21" i="8" s="1"/>
  <c r="XS12" i="8"/>
  <c r="XS21" i="8" s="1"/>
  <c r="WW12" i="8"/>
  <c r="WW21" i="8" s="1"/>
  <c r="ZL12" i="8"/>
  <c r="ZL21" i="8" s="1"/>
  <c r="XI12" i="8"/>
  <c r="XI21" i="8" s="1"/>
  <c r="VF12" i="8"/>
  <c r="VF21" i="8" s="1"/>
  <c r="WM12" i="8"/>
  <c r="WM21" i="8" s="1"/>
  <c r="YP12" i="8"/>
  <c r="YP21" i="8" s="1"/>
  <c r="YE12" i="8"/>
  <c r="YE21" i="8" s="1"/>
  <c r="UU12" i="8"/>
  <c r="UU21" i="8" s="1"/>
  <c r="WB12" i="8"/>
  <c r="WB21" i="8" s="1"/>
  <c r="VQ12" i="8"/>
  <c r="VQ21" i="8" s="1"/>
  <c r="XT12" i="8"/>
  <c r="XT21" i="8" s="1"/>
  <c r="ZX12" i="8"/>
  <c r="ZX21" i="8" s="1"/>
  <c r="WX12" i="8"/>
  <c r="WX21" i="8" s="1"/>
  <c r="YO12" i="8"/>
  <c r="YO21" i="8" s="1"/>
  <c r="YQ12" i="8"/>
  <c r="YQ21" i="8" s="1"/>
  <c r="VR12" i="8"/>
  <c r="VR21" i="8" s="1"/>
  <c r="WY12" i="8"/>
  <c r="WY21" i="8" s="1"/>
  <c r="ZA12" i="8"/>
  <c r="ZA21" i="8" s="1"/>
  <c r="ZB12" i="8"/>
  <c r="ZB21" i="8" s="1"/>
  <c r="XJ12" i="8"/>
  <c r="XJ21" i="8" s="1"/>
  <c r="XU12" i="8"/>
  <c r="XU21" i="8" s="1"/>
  <c r="VG12" i="8"/>
  <c r="VG21" i="8" s="1"/>
  <c r="WN12" i="8"/>
  <c r="WN21" i="8" s="1"/>
  <c r="YF12" i="8"/>
  <c r="YF21" i="8" s="1"/>
  <c r="WC12" i="8"/>
  <c r="WC21" i="8" s="1"/>
  <c r="AAJ12" i="8"/>
  <c r="WO12" i="8"/>
  <c r="WO21" i="8" s="1"/>
  <c r="XK12" i="8"/>
  <c r="XK21" i="8" s="1"/>
  <c r="WD12" i="8"/>
  <c r="WD21" i="8" s="1"/>
  <c r="ZM12" i="8"/>
  <c r="ZM21" i="8" s="1"/>
  <c r="XV12" i="8"/>
  <c r="XV21" i="8" s="1"/>
  <c r="ZN12" i="8"/>
  <c r="ZN21" i="8" s="1"/>
  <c r="YR12" i="8"/>
  <c r="YR21" i="8" s="1"/>
  <c r="YG12" i="8"/>
  <c r="YG21" i="8" s="1"/>
  <c r="WZ12" i="8"/>
  <c r="WZ21" i="8" s="1"/>
  <c r="VS12" i="8"/>
  <c r="VS21" i="8" s="1"/>
  <c r="ZC12" i="8"/>
  <c r="ZC21" i="8" s="1"/>
  <c r="YS12" i="8"/>
  <c r="YS21" i="8" s="1"/>
  <c r="XW12" i="8"/>
  <c r="XW21" i="8" s="1"/>
  <c r="YH12" i="8"/>
  <c r="YH21" i="8" s="1"/>
  <c r="AAV12" i="8"/>
  <c r="AAV21" i="8" s="1"/>
  <c r="ZZ12" i="8"/>
  <c r="ZZ21" i="8" s="1"/>
  <c r="XL12" i="8"/>
  <c r="XL21" i="8" s="1"/>
  <c r="ABH12" i="8"/>
  <c r="ABH21" i="8" s="1"/>
  <c r="ZO12" i="8"/>
  <c r="ZO21" i="8" s="1"/>
  <c r="XA12" i="8"/>
  <c r="XA21" i="8" s="1"/>
  <c r="WP12" i="8"/>
  <c r="WP21" i="8" s="1"/>
  <c r="ZD12" i="8"/>
  <c r="ZD21" i="8" s="1"/>
  <c r="WE12" i="8"/>
  <c r="WE21" i="8" s="1"/>
  <c r="ZY12" i="8"/>
  <c r="ZY21" i="8" s="1"/>
  <c r="ZE12" i="8"/>
  <c r="ZE21" i="8" s="1"/>
  <c r="AAL12" i="8"/>
  <c r="AAL21" i="8" s="1"/>
  <c r="XM12" i="8"/>
  <c r="XM21" i="8" s="1"/>
  <c r="YI12" i="8"/>
  <c r="YI21" i="8" s="1"/>
  <c r="AAK12" i="8"/>
  <c r="AAK21" i="8" s="1"/>
  <c r="ZP12" i="8"/>
  <c r="ZP21" i="8" s="1"/>
  <c r="YT12" i="8"/>
  <c r="YT21" i="8" s="1"/>
  <c r="AAA12" i="8"/>
  <c r="AAA21" i="8" s="1"/>
  <c r="XX12" i="8"/>
  <c r="XX21" i="8" s="1"/>
  <c r="WQ12" i="8"/>
  <c r="WQ21" i="8" s="1"/>
  <c r="XB12" i="8"/>
  <c r="XB21" i="8" s="1"/>
  <c r="ABT12" i="8"/>
  <c r="ABT21" i="8" s="1"/>
  <c r="AAX12" i="8"/>
  <c r="AAX21" i="8" s="1"/>
  <c r="ZQ12" i="8"/>
  <c r="ZQ21" i="8" s="1"/>
  <c r="YJ12" i="8"/>
  <c r="YJ21" i="8" s="1"/>
  <c r="ZF12" i="8"/>
  <c r="ZF21" i="8" s="1"/>
  <c r="XY12" i="8"/>
  <c r="XY21" i="8" s="1"/>
  <c r="XN12" i="8"/>
  <c r="XN21" i="8" s="1"/>
  <c r="AAM12" i="8"/>
  <c r="AAM21" i="8" s="1"/>
  <c r="YU12" i="8"/>
  <c r="YU21" i="8" s="1"/>
  <c r="AAW12" i="8"/>
  <c r="AAW21" i="8" s="1"/>
  <c r="AAB12" i="8"/>
  <c r="AAB21" i="8" s="1"/>
  <c r="XC12" i="8"/>
  <c r="XC21" i="8" s="1"/>
  <c r="ACF12" i="8"/>
  <c r="ACF21" i="8" s="1"/>
  <c r="ZR12" i="8"/>
  <c r="ZR21" i="8" s="1"/>
  <c r="AAC12" i="8"/>
  <c r="AAC21" i="8" s="1"/>
  <c r="ABI12" i="8"/>
  <c r="ABI21" i="8" s="1"/>
  <c r="YK12" i="8"/>
  <c r="YK21" i="8" s="1"/>
  <c r="ABJ12" i="8"/>
  <c r="ABJ21" i="8" s="1"/>
  <c r="AAY12" i="8"/>
  <c r="AAY21" i="8" s="1"/>
  <c r="AAN12" i="8"/>
  <c r="AAN21" i="8" s="1"/>
  <c r="XZ12" i="8"/>
  <c r="XZ21" i="8" s="1"/>
  <c r="XO12" i="8"/>
  <c r="XO21" i="8" s="1"/>
  <c r="YV12" i="8"/>
  <c r="YV21" i="8" s="1"/>
  <c r="ZG12" i="8"/>
  <c r="ZG21" i="8" s="1"/>
  <c r="ACR12" i="8"/>
  <c r="ACR21" i="8" s="1"/>
  <c r="AAD12" i="8"/>
  <c r="AAD21" i="8" s="1"/>
  <c r="YA12" i="8"/>
  <c r="YA21" i="8" s="1"/>
  <c r="YW12" i="8"/>
  <c r="YW21" i="8" s="1"/>
  <c r="ABK12" i="8"/>
  <c r="ABK21" i="8" s="1"/>
  <c r="ABV12" i="8"/>
  <c r="ABV21" i="8" s="1"/>
  <c r="AAO12" i="8"/>
  <c r="AAO21" i="8" s="1"/>
  <c r="ABU12" i="8"/>
  <c r="ABU21" i="8" s="1"/>
  <c r="ZH12" i="8"/>
  <c r="ZH21" i="8" s="1"/>
  <c r="ZS12" i="8"/>
  <c r="ZS21" i="8" s="1"/>
  <c r="YL12" i="8"/>
  <c r="YL21" i="8" s="1"/>
  <c r="AAZ12" i="8"/>
  <c r="AAZ21" i="8" s="1"/>
  <c r="YM12" i="8"/>
  <c r="YM21" i="8" s="1"/>
  <c r="ABW12" i="8"/>
  <c r="ABW21" i="8" s="1"/>
  <c r="ACG12" i="8"/>
  <c r="ACG21" i="8" s="1"/>
  <c r="ACH12" i="8"/>
  <c r="ACH21" i="8" s="1"/>
  <c r="AAP12" i="8"/>
  <c r="AAP21" i="8" s="1"/>
  <c r="ADD12" i="8"/>
  <c r="ADD21" i="8" s="1"/>
  <c r="ZT12" i="8"/>
  <c r="ZT21" i="8" s="1"/>
  <c r="YX12" i="8"/>
  <c r="YX21" i="8" s="1"/>
  <c r="ABA12" i="8"/>
  <c r="ABA21" i="8" s="1"/>
  <c r="ABL12" i="8"/>
  <c r="ABL21" i="8" s="1"/>
  <c r="AAE12" i="8"/>
  <c r="AAE21" i="8" s="1"/>
  <c r="ZI12" i="8"/>
  <c r="ZI21" i="8" s="1"/>
  <c r="ADP12" i="8"/>
  <c r="ADP21" i="8" s="1"/>
  <c r="ABX12" i="8"/>
  <c r="ABX21" i="8" s="1"/>
  <c r="ZU12" i="8"/>
  <c r="ZU21" i="8" s="1"/>
  <c r="AAQ12" i="8"/>
  <c r="AAQ21" i="8" s="1"/>
  <c r="ABB12" i="8"/>
  <c r="ABB21" i="8" s="1"/>
  <c r="YY12" i="8"/>
  <c r="YY21" i="8" s="1"/>
  <c r="ABM12" i="8"/>
  <c r="ABM21" i="8" s="1"/>
  <c r="ACT12" i="8"/>
  <c r="ACT21" i="8" s="1"/>
  <c r="ZJ12" i="8"/>
  <c r="ZJ21" i="8" s="1"/>
  <c r="AAF12" i="8"/>
  <c r="AAF21" i="8" s="1"/>
  <c r="ACI12" i="8"/>
  <c r="ACI21" i="8" s="1"/>
  <c r="ACS12" i="8"/>
  <c r="ACS21" i="8" s="1"/>
  <c r="AEB12" i="8"/>
  <c r="AEB21" i="8" s="1"/>
  <c r="ZV12" i="8"/>
  <c r="ZV21" i="8" s="1"/>
  <c r="ADF12" i="8"/>
  <c r="ADF21" i="8" s="1"/>
  <c r="ACJ12" i="8"/>
  <c r="ACJ21" i="8" s="1"/>
  <c r="ABC12" i="8"/>
  <c r="ABC21" i="8" s="1"/>
  <c r="ACU12" i="8"/>
  <c r="ACU21" i="8" s="1"/>
  <c r="AAG12" i="8"/>
  <c r="AAG21" i="8" s="1"/>
  <c r="ADE12" i="8"/>
  <c r="ADE21" i="8" s="1"/>
  <c r="AAR12" i="8"/>
  <c r="AAR21" i="8" s="1"/>
  <c r="ABN12" i="8"/>
  <c r="ABN21" i="8" s="1"/>
  <c r="ZK12" i="8"/>
  <c r="ZK21" i="8" s="1"/>
  <c r="ABY12" i="8"/>
  <c r="ABY21" i="8" s="1"/>
  <c r="ABZ12" i="8"/>
  <c r="ABZ21" i="8" s="1"/>
  <c r="AAS12" i="8"/>
  <c r="AAS21" i="8" s="1"/>
  <c r="AAH12" i="8"/>
  <c r="AAH21" i="8" s="1"/>
  <c r="ACK12" i="8"/>
  <c r="ACK21" i="8" s="1"/>
  <c r="AEN12" i="8"/>
  <c r="AEN21" i="8" s="1"/>
  <c r="ADQ12" i="8"/>
  <c r="ADQ21" i="8" s="1"/>
  <c r="ADG12" i="8"/>
  <c r="ADG21" i="8" s="1"/>
  <c r="ACV12" i="8"/>
  <c r="ACV21" i="8" s="1"/>
  <c r="ABD12" i="8"/>
  <c r="ABD21" i="8" s="1"/>
  <c r="ADR12" i="8"/>
  <c r="ADR21" i="8" s="1"/>
  <c r="ABO12" i="8"/>
  <c r="ABO21" i="8" s="1"/>
  <c r="ZW12" i="8"/>
  <c r="ZW21" i="8" s="1"/>
  <c r="AEZ12" i="8"/>
  <c r="AEZ21" i="8" s="1"/>
  <c r="ADH12" i="8"/>
  <c r="ADH21" i="8" s="1"/>
  <c r="AEC12" i="8"/>
  <c r="AEC21" i="8" s="1"/>
  <c r="AAI12" i="8"/>
  <c r="AAI21" i="8" s="1"/>
  <c r="ACW12" i="8"/>
  <c r="ACW21" i="8" s="1"/>
  <c r="ABE12" i="8"/>
  <c r="ABE21" i="8" s="1"/>
  <c r="ACA12" i="8"/>
  <c r="ACA21" i="8" s="1"/>
  <c r="AAT12" i="8"/>
  <c r="AAT21" i="8" s="1"/>
  <c r="AED12" i="8"/>
  <c r="AED21" i="8" s="1"/>
  <c r="ADS12" i="8"/>
  <c r="ADS21" i="8" s="1"/>
  <c r="ACL12" i="8"/>
  <c r="ACL21" i="8" s="1"/>
  <c r="ABP12" i="8"/>
  <c r="ABP21" i="8" s="1"/>
  <c r="AFL12" i="8"/>
  <c r="AFL21" i="8" s="1"/>
  <c r="AEO12" i="8"/>
  <c r="AEO21" i="8" s="1"/>
  <c r="ACB12" i="8"/>
  <c r="ACB21" i="8" s="1"/>
  <c r="ACM12" i="8"/>
  <c r="ACM21" i="8" s="1"/>
  <c r="AAU12" i="8"/>
  <c r="AAU21" i="8" s="1"/>
  <c r="ABQ12" i="8"/>
  <c r="ABQ21" i="8" s="1"/>
  <c r="ADT12" i="8"/>
  <c r="ADT21" i="8" s="1"/>
  <c r="ABF12" i="8"/>
  <c r="ABF21" i="8" s="1"/>
  <c r="ADI12" i="8"/>
  <c r="ADI21" i="8" s="1"/>
  <c r="ACX12" i="8"/>
  <c r="ACX21" i="8" s="1"/>
  <c r="AEE12" i="8"/>
  <c r="AEE21" i="8" s="1"/>
  <c r="AEP12" i="8"/>
  <c r="AEP21" i="8" s="1"/>
  <c r="AFX12" i="8"/>
  <c r="AFX21" i="8" s="1"/>
  <c r="AFA12" i="8"/>
  <c r="AFA21" i="8" s="1"/>
  <c r="ADU12" i="8"/>
  <c r="ADU21" i="8" s="1"/>
  <c r="ACY12" i="8"/>
  <c r="ACY21" i="8" s="1"/>
  <c r="ABG12" i="8"/>
  <c r="ABG21" i="8" s="1"/>
  <c r="ACN12" i="8"/>
  <c r="ACN21" i="8" s="1"/>
  <c r="ADJ12" i="8"/>
  <c r="ADJ21" i="8" s="1"/>
  <c r="AEF12" i="8"/>
  <c r="AEF21" i="8" s="1"/>
  <c r="AFB12" i="8"/>
  <c r="AFB21" i="8" s="1"/>
  <c r="AEQ12" i="8"/>
  <c r="AEQ21" i="8" s="1"/>
  <c r="ABR12" i="8"/>
  <c r="ABR21" i="8" s="1"/>
  <c r="ACC12" i="8"/>
  <c r="ACC21" i="8" s="1"/>
  <c r="AGJ12" i="8"/>
  <c r="AGJ21" i="8" s="1"/>
  <c r="ACD12" i="8"/>
  <c r="ACD21" i="8" s="1"/>
  <c r="ACZ12" i="8"/>
  <c r="ACZ21" i="8" s="1"/>
  <c r="AFM12" i="8"/>
  <c r="AFM21" i="8" s="1"/>
  <c r="ADK12" i="8"/>
  <c r="ADK21" i="8" s="1"/>
  <c r="ADV12" i="8"/>
  <c r="ADV21" i="8" s="1"/>
  <c r="AER12" i="8"/>
  <c r="AER21" i="8" s="1"/>
  <c r="AFC12" i="8"/>
  <c r="AFC21" i="8" s="1"/>
  <c r="AFN12" i="8"/>
  <c r="AFN21" i="8" s="1"/>
  <c r="ABS12" i="8"/>
  <c r="ABS21" i="8" s="1"/>
  <c r="ACO12" i="8"/>
  <c r="ACO21" i="8" s="1"/>
  <c r="AEG12" i="8"/>
  <c r="AEG21" i="8" s="1"/>
  <c r="AGV12" i="8"/>
  <c r="AGV21" i="8" s="1"/>
  <c r="ACE12" i="8"/>
  <c r="ACE21" i="8" s="1"/>
  <c r="ACP12" i="8"/>
  <c r="ACP21" i="8" s="1"/>
  <c r="AFO12" i="8"/>
  <c r="AFO21" i="8" s="1"/>
  <c r="ADA12" i="8"/>
  <c r="ADA21" i="8" s="1"/>
  <c r="AFD12" i="8"/>
  <c r="AFD21" i="8" s="1"/>
  <c r="AES12" i="8"/>
  <c r="AES21" i="8" s="1"/>
  <c r="AFY12" i="8"/>
  <c r="AFY21" i="8" s="1"/>
  <c r="AFZ12" i="8"/>
  <c r="AFZ21" i="8" s="1"/>
  <c r="AEH12" i="8"/>
  <c r="AEH21" i="8" s="1"/>
  <c r="ADL12" i="8"/>
  <c r="ADL21" i="8" s="1"/>
  <c r="ADW12" i="8"/>
  <c r="ADW21" i="8" s="1"/>
  <c r="AHH12" i="8"/>
  <c r="AHH21" i="8" s="1"/>
  <c r="AEI12" i="8"/>
  <c r="AEI21" i="8" s="1"/>
  <c r="ACQ12" i="8"/>
  <c r="ACQ21" i="8" s="1"/>
  <c r="AFE12" i="8"/>
  <c r="AFE21" i="8" s="1"/>
  <c r="AGL12" i="8"/>
  <c r="AGL21" i="8" s="1"/>
  <c r="AFP12" i="8"/>
  <c r="AFP21" i="8" s="1"/>
  <c r="ADM12" i="8"/>
  <c r="ADM21" i="8" s="1"/>
  <c r="AGA12" i="8"/>
  <c r="AGA21" i="8" s="1"/>
  <c r="ADX12" i="8"/>
  <c r="ADX21" i="8" s="1"/>
  <c r="AGK12" i="8"/>
  <c r="AGK21" i="8" s="1"/>
  <c r="AET12" i="8"/>
  <c r="AET21" i="8" s="1"/>
  <c r="ADB12" i="8"/>
  <c r="ADB21" i="8" s="1"/>
  <c r="AHT12" i="8"/>
  <c r="AHT21" i="8" s="1"/>
  <c r="ADY12" i="8"/>
  <c r="ADY21" i="8" s="1"/>
  <c r="ADC12" i="8"/>
  <c r="ADC21" i="8" s="1"/>
  <c r="AFQ12" i="8"/>
  <c r="AFQ21" i="8" s="1"/>
  <c r="AEJ12" i="8"/>
  <c r="AEJ21" i="8" s="1"/>
  <c r="AFF12" i="8"/>
  <c r="AFF21" i="8" s="1"/>
  <c r="AGX12" i="8"/>
  <c r="AGX21" i="8" s="1"/>
  <c r="AGW12" i="8"/>
  <c r="AGW21" i="8" s="1"/>
  <c r="AGB12" i="8"/>
  <c r="AGB21" i="8" s="1"/>
  <c r="ADN12" i="8"/>
  <c r="ADN21" i="8" s="1"/>
  <c r="AGM12" i="8"/>
  <c r="AGM21" i="8" s="1"/>
  <c r="AEU12" i="8"/>
  <c r="AEU21" i="8" s="1"/>
  <c r="AIF12" i="8"/>
  <c r="AIF21" i="8" s="1"/>
  <c r="AFG12" i="8"/>
  <c r="AFG21" i="8" s="1"/>
  <c r="AIR12" i="8"/>
  <c r="AIR21" i="8" s="1"/>
  <c r="AGC12" i="8"/>
  <c r="AGC21" i="8" s="1"/>
  <c r="AGY12" i="8"/>
  <c r="AGY21" i="8" s="1"/>
  <c r="AEV12" i="8"/>
  <c r="AEV21" i="8" s="1"/>
  <c r="AFR12" i="8"/>
  <c r="AFR21" i="8" s="1"/>
  <c r="AHJ12" i="8"/>
  <c r="AHJ21" i="8" s="1"/>
  <c r="AEK12" i="8"/>
  <c r="AEK21" i="8" s="1"/>
  <c r="AHI12" i="8"/>
  <c r="AHI21" i="8" s="1"/>
  <c r="AGN12" i="8"/>
  <c r="AGN21" i="8" s="1"/>
  <c r="ADZ12" i="8"/>
  <c r="ADZ21" i="8" s="1"/>
  <c r="ADO12" i="8"/>
  <c r="ADO21" i="8" s="1"/>
  <c r="AHV12" i="8"/>
  <c r="AHV21" i="8" s="1"/>
  <c r="AGZ12" i="8"/>
  <c r="AGZ21" i="8" s="1"/>
  <c r="AFS12" i="8"/>
  <c r="AFS21" i="8" s="1"/>
  <c r="AEA12" i="8"/>
  <c r="AEA21" i="8" s="1"/>
  <c r="AGD12" i="8"/>
  <c r="AGD21" i="8" s="1"/>
  <c r="AGO12" i="8"/>
  <c r="AGO21" i="8" s="1"/>
  <c r="AEL12" i="8"/>
  <c r="AEL21" i="8" s="1"/>
  <c r="AHK12" i="8"/>
  <c r="AHK21" i="8" s="1"/>
  <c r="AHU12" i="8"/>
  <c r="AHU21" i="8" s="1"/>
  <c r="AEW12" i="8"/>
  <c r="AEW21" i="8" s="1"/>
  <c r="AFH12" i="8"/>
  <c r="AFH21" i="8" s="1"/>
  <c r="AJD12" i="8"/>
  <c r="AJD21" i="8" s="1"/>
  <c r="AIH12" i="8"/>
  <c r="AIH21" i="8" s="1"/>
  <c r="AGP12" i="8"/>
  <c r="AGP21" i="8" s="1"/>
  <c r="AFT12" i="8"/>
  <c r="AFT21" i="8" s="1"/>
  <c r="AGE12" i="8"/>
  <c r="AGE21" i="8" s="1"/>
  <c r="AEX12" i="8"/>
  <c r="AEX21" i="8" s="1"/>
  <c r="AFI12" i="8"/>
  <c r="AFI21" i="8" s="1"/>
  <c r="AEM12" i="8"/>
  <c r="AEM21" i="8" s="1"/>
  <c r="AHL12" i="8"/>
  <c r="AHL21" i="8" s="1"/>
  <c r="AIG12" i="8"/>
  <c r="AIG21" i="8" s="1"/>
  <c r="AHA12" i="8"/>
  <c r="AHA21" i="8" s="1"/>
  <c r="AHW12" i="8"/>
  <c r="AHW21" i="8" s="1"/>
  <c r="AJP12" i="8"/>
  <c r="AJP21" i="8" s="1"/>
  <c r="AGQ12" i="8"/>
  <c r="AGQ21" i="8" s="1"/>
  <c r="AFU12" i="8"/>
  <c r="AFU21" i="8" s="1"/>
  <c r="AEY12" i="8"/>
  <c r="AEY21" i="8" s="1"/>
  <c r="AHX12" i="8"/>
  <c r="AHX21" i="8" s="1"/>
  <c r="AFJ12" i="8"/>
  <c r="AFJ21" i="8" s="1"/>
  <c r="AHB12" i="8"/>
  <c r="AHB21" i="8" s="1"/>
  <c r="AIS12" i="8"/>
  <c r="AIS21" i="8" s="1"/>
  <c r="AIT12" i="8"/>
  <c r="AIT21" i="8" s="1"/>
  <c r="AGF12" i="8"/>
  <c r="AGF21" i="8" s="1"/>
  <c r="AII12" i="8"/>
  <c r="AII21" i="8" s="1"/>
  <c r="AHM12" i="8"/>
  <c r="AHM21" i="8" s="1"/>
  <c r="AHC12" i="8"/>
  <c r="AHC21" i="8" s="1"/>
  <c r="AHN12" i="8"/>
  <c r="AHN21" i="8" s="1"/>
  <c r="AFV12" i="8"/>
  <c r="AFV21" i="8" s="1"/>
  <c r="AKB12" i="8"/>
  <c r="AKB21" i="8" s="1"/>
  <c r="AGG12" i="8"/>
  <c r="AGG21" i="8" s="1"/>
  <c r="AIU12" i="8"/>
  <c r="AIU21" i="8" s="1"/>
  <c r="AJF12" i="8"/>
  <c r="AJF21" i="8" s="1"/>
  <c r="AKN12" i="8"/>
  <c r="AKN21" i="8" s="1"/>
  <c r="AHY12" i="8"/>
  <c r="AHY21" i="8" s="1"/>
  <c r="AJE12" i="8"/>
  <c r="AJE21" i="8" s="1"/>
  <c r="AGR12" i="8"/>
  <c r="AGR21" i="8" s="1"/>
  <c r="AIJ12" i="8"/>
  <c r="AIJ21" i="8" s="1"/>
  <c r="AFK12" i="8"/>
  <c r="AFK21" i="8" s="1"/>
  <c r="AGS12" i="8"/>
  <c r="AGS21" i="8" s="1"/>
  <c r="AJQ12" i="8"/>
  <c r="AJQ21" i="8" s="1"/>
  <c r="AHD12" i="8"/>
  <c r="AHD21" i="8" s="1"/>
  <c r="AIK12" i="8"/>
  <c r="AIK21" i="8" s="1"/>
  <c r="AJG12" i="8"/>
  <c r="AJG21" i="8" s="1"/>
  <c r="AGH12" i="8"/>
  <c r="AGH21" i="8" s="1"/>
  <c r="AFW12" i="8"/>
  <c r="AFW21" i="8" s="1"/>
  <c r="AHO12" i="8"/>
  <c r="AHO21" i="8" s="1"/>
  <c r="AJR12" i="8"/>
  <c r="AJR21" i="8" s="1"/>
  <c r="AIV12" i="8"/>
  <c r="AIV21" i="8" s="1"/>
  <c r="AHZ12" i="8"/>
  <c r="AHZ21" i="8" s="1"/>
  <c r="AJS12" i="8"/>
  <c r="AJS21" i="8" s="1"/>
  <c r="AKC12" i="8"/>
  <c r="AKC21" i="8" s="1"/>
  <c r="AHP12" i="8"/>
  <c r="AHP21" i="8" s="1"/>
  <c r="AIA12" i="8"/>
  <c r="AIA21" i="8" s="1"/>
  <c r="AIL12" i="8"/>
  <c r="AIL21" i="8" s="1"/>
  <c r="AKD12" i="8"/>
  <c r="AKD21" i="8" s="1"/>
  <c r="AGI12" i="8"/>
  <c r="AGI21" i="8" s="1"/>
  <c r="AHE12" i="8"/>
  <c r="AHE21" i="8" s="1"/>
  <c r="AIW12" i="8"/>
  <c r="AIW21" i="8" s="1"/>
  <c r="AGT12" i="8"/>
  <c r="AGT21" i="8" s="1"/>
  <c r="AKZ12" i="8"/>
  <c r="AKZ21" i="8" s="1"/>
  <c r="AJH12" i="8"/>
  <c r="AJH21" i="8" s="1"/>
  <c r="ALL12" i="8"/>
  <c r="ALL21" i="8" s="1"/>
  <c r="AHQ12" i="8"/>
  <c r="AHQ21" i="8" s="1"/>
  <c r="AHF12" i="8"/>
  <c r="AHF21" i="8" s="1"/>
  <c r="AJT12" i="8"/>
  <c r="AJT21" i="8" s="1"/>
  <c r="AIX12" i="8"/>
  <c r="AIX21" i="8" s="1"/>
  <c r="AKP12" i="8"/>
  <c r="AKP21" i="8" s="1"/>
  <c r="AKO12" i="8"/>
  <c r="AKO21" i="8" s="1"/>
  <c r="AKE12" i="8"/>
  <c r="AKE21" i="8" s="1"/>
  <c r="AIM12" i="8"/>
  <c r="AIM21" i="8" s="1"/>
  <c r="AIB12" i="8"/>
  <c r="AIB21" i="8" s="1"/>
  <c r="AJI12" i="8"/>
  <c r="AJI21" i="8" s="1"/>
  <c r="AGU12" i="8"/>
  <c r="AGU21" i="8" s="1"/>
  <c r="ALX12" i="8"/>
  <c r="ALX21" i="8" s="1"/>
  <c r="AHR12" i="8"/>
  <c r="AHR21" i="8" s="1"/>
  <c r="AKF12" i="8"/>
  <c r="AKF21" i="8" s="1"/>
  <c r="ALA12" i="8"/>
  <c r="ALA21" i="8" s="1"/>
  <c r="AIY12" i="8"/>
  <c r="AIY21" i="8" s="1"/>
  <c r="AJU12" i="8"/>
  <c r="AJU21" i="8" s="1"/>
  <c r="AIN12" i="8"/>
  <c r="AIN21" i="8" s="1"/>
  <c r="AJJ12" i="8"/>
  <c r="AJJ21" i="8" s="1"/>
  <c r="AKQ12" i="8"/>
  <c r="AKQ21" i="8" s="1"/>
  <c r="AIC12" i="8"/>
  <c r="AIC21" i="8" s="1"/>
  <c r="ALB12" i="8"/>
  <c r="ALB21" i="8" s="1"/>
  <c r="AHG12" i="8"/>
  <c r="AHG21" i="8" s="1"/>
  <c r="AMJ12" i="8"/>
  <c r="AMJ21" i="8" s="1"/>
  <c r="AIZ12" i="8"/>
  <c r="AIZ21" i="8" s="1"/>
  <c r="AJK12" i="8"/>
  <c r="AJK21" i="8" s="1"/>
  <c r="ALN12" i="8"/>
  <c r="ALN21" i="8" s="1"/>
  <c r="ALC12" i="8"/>
  <c r="ALC21" i="8" s="1"/>
  <c r="AHS12" i="8"/>
  <c r="AHS21" i="8" s="1"/>
  <c r="ALM12" i="8"/>
  <c r="ALM21" i="8" s="1"/>
  <c r="AJV12" i="8"/>
  <c r="AJV21" i="8" s="1"/>
  <c r="AKR12" i="8"/>
  <c r="AKR21" i="8" s="1"/>
  <c r="AID12" i="8"/>
  <c r="AID21" i="8" s="1"/>
  <c r="AKG12" i="8"/>
  <c r="AKG21" i="8" s="1"/>
  <c r="AIO12" i="8"/>
  <c r="AIO21" i="8" s="1"/>
  <c r="ALY12" i="8"/>
  <c r="ALY21" i="8" s="1"/>
  <c r="ALO12" i="8"/>
  <c r="ALO21" i="8" s="1"/>
  <c r="AMV12" i="8"/>
  <c r="AMV21" i="8" s="1"/>
  <c r="AIP12" i="8"/>
  <c r="AIP21" i="8" s="1"/>
  <c r="ALD12" i="8"/>
  <c r="ALD21" i="8" s="1"/>
  <c r="AJA12" i="8"/>
  <c r="AJA21" i="8" s="1"/>
  <c r="AKH12" i="8"/>
  <c r="AKH21" i="8" s="1"/>
  <c r="ALZ12" i="8"/>
  <c r="ALZ21" i="8" s="1"/>
  <c r="AKS12" i="8"/>
  <c r="AKS21" i="8" s="1"/>
  <c r="AJW12" i="8"/>
  <c r="AJW21" i="8" s="1"/>
  <c r="AJL12" i="8"/>
  <c r="AJL21" i="8" s="1"/>
  <c r="AIE12" i="8"/>
  <c r="AIE21" i="8" s="1"/>
  <c r="ANH12" i="8"/>
  <c r="ANH21" i="8" s="1"/>
  <c r="AJM12" i="8"/>
  <c r="AJM21" i="8" s="1"/>
  <c r="AIQ12" i="8"/>
  <c r="AIQ21" i="8" s="1"/>
  <c r="AMA12" i="8"/>
  <c r="AMA21" i="8" s="1"/>
  <c r="AKT12" i="8"/>
  <c r="AKT21" i="8" s="1"/>
  <c r="ALE12" i="8"/>
  <c r="ALE21" i="8" s="1"/>
  <c r="AJX12" i="8"/>
  <c r="AJX21" i="8" s="1"/>
  <c r="AMK12" i="8"/>
  <c r="AMK21" i="8" s="1"/>
  <c r="AML12" i="8"/>
  <c r="AML21" i="8" s="1"/>
  <c r="ALP12" i="8"/>
  <c r="ALP21" i="8" s="1"/>
  <c r="AJB12" i="8"/>
  <c r="AJB21" i="8" s="1"/>
  <c r="ANT12" i="8"/>
  <c r="ANT21" i="8" s="1"/>
  <c r="AKI12" i="8"/>
  <c r="AKI21" i="8" s="1"/>
  <c r="ALQ12" i="8"/>
  <c r="ALQ21" i="8" s="1"/>
  <c r="AJY12" i="8"/>
  <c r="AJY21" i="8" s="1"/>
  <c r="AJN12" i="8"/>
  <c r="AJN21" i="8" s="1"/>
  <c r="AMB12" i="8"/>
  <c r="AMB21" i="8" s="1"/>
  <c r="AMW12" i="8"/>
  <c r="AMW21" i="8" s="1"/>
  <c r="ALF12" i="8"/>
  <c r="ALF21" i="8" s="1"/>
  <c r="AKJ12" i="8"/>
  <c r="AKJ21" i="8" s="1"/>
  <c r="AMX12" i="8"/>
  <c r="AMX21" i="8" s="1"/>
  <c r="AMM12" i="8"/>
  <c r="AMM21" i="8" s="1"/>
  <c r="AKU12" i="8"/>
  <c r="AKU21" i="8" s="1"/>
  <c r="AJC12" i="8"/>
  <c r="AJC21" i="8" s="1"/>
  <c r="AOF12" i="8"/>
  <c r="AOF21" i="8" s="1"/>
  <c r="ANI12" i="8"/>
  <c r="ANI21" i="8" s="1"/>
  <c r="AMN12" i="8"/>
  <c r="AMN21" i="8" s="1"/>
  <c r="AMY12" i="8"/>
  <c r="AMY21" i="8" s="1"/>
  <c r="AJO12" i="8"/>
  <c r="AJO21" i="8" s="1"/>
  <c r="AKV12" i="8"/>
  <c r="AKV21" i="8" s="1"/>
  <c r="ALR12" i="8"/>
  <c r="ALR21" i="8" s="1"/>
  <c r="ANJ12" i="8"/>
  <c r="ANJ21" i="8" s="1"/>
  <c r="AMC12" i="8"/>
  <c r="AMC21" i="8" s="1"/>
  <c r="AJZ12" i="8"/>
  <c r="AJZ21" i="8" s="1"/>
  <c r="ALG12" i="8"/>
  <c r="ALG21" i="8" s="1"/>
  <c r="AKK12" i="8"/>
  <c r="AKK21" i="8" s="1"/>
  <c r="ALH12" i="8"/>
  <c r="ALH21" i="8" s="1"/>
  <c r="ANU12" i="8"/>
  <c r="ANU21" i="8" s="1"/>
  <c r="AMD12" i="8"/>
  <c r="AMD21" i="8" s="1"/>
  <c r="ANV12" i="8"/>
  <c r="ANV21" i="8" s="1"/>
  <c r="AKL12" i="8"/>
  <c r="AKL21" i="8" s="1"/>
  <c r="AMZ12" i="8"/>
  <c r="AMZ21" i="8" s="1"/>
  <c r="ANK12" i="8"/>
  <c r="ANK21" i="8" s="1"/>
  <c r="AKA12" i="8"/>
  <c r="AKA21" i="8" s="1"/>
  <c r="ALS12" i="8"/>
  <c r="ALS21" i="8" s="1"/>
  <c r="AKW12" i="8"/>
  <c r="AKW21" i="8" s="1"/>
  <c r="AMO12" i="8"/>
  <c r="AMO21" i="8" s="1"/>
  <c r="AOH12" i="8"/>
  <c r="AOH21" i="8" s="1"/>
  <c r="AKX12" i="8"/>
  <c r="AKX21" i="8" s="1"/>
  <c r="AKM12" i="8"/>
  <c r="AKM21" i="8" s="1"/>
  <c r="ANL12" i="8"/>
  <c r="ANL21" i="8" s="1"/>
  <c r="ALT12" i="8"/>
  <c r="ALT21" i="8" s="1"/>
  <c r="ALI12" i="8"/>
  <c r="ALI21" i="8" s="1"/>
  <c r="ANW12" i="8"/>
  <c r="ANW21" i="8" s="1"/>
  <c r="AME12" i="8"/>
  <c r="AME21" i="8" s="1"/>
  <c r="ANA12" i="8"/>
  <c r="ANA21" i="8" s="1"/>
  <c r="AMP12" i="8"/>
  <c r="AMP21" i="8" s="1"/>
  <c r="AOG12" i="8"/>
  <c r="AOG21" i="8" s="1"/>
  <c r="AMQ12" i="8"/>
  <c r="AMQ21" i="8" s="1"/>
  <c r="AKY12" i="8"/>
  <c r="AKY21" i="8" s="1"/>
  <c r="AMF12" i="8"/>
  <c r="AMF21" i="8" s="1"/>
  <c r="ALU12" i="8"/>
  <c r="ALU21" i="8" s="1"/>
  <c r="ANB12" i="8"/>
  <c r="ANB21" i="8" s="1"/>
  <c r="ANX12" i="8"/>
  <c r="ANX21" i="8" s="1"/>
  <c r="ANM12" i="8"/>
  <c r="ANM21" i="8" s="1"/>
  <c r="ALJ12" i="8"/>
  <c r="ALJ21" i="8" s="1"/>
  <c r="AOI12" i="8"/>
  <c r="AOI21" i="8" s="1"/>
  <c r="ANY12" i="8"/>
  <c r="ANY21" i="8" s="1"/>
  <c r="ANC12" i="8"/>
  <c r="ANC21" i="8" s="1"/>
  <c r="ANN12" i="8"/>
  <c r="ANN21" i="8" s="1"/>
  <c r="ALK12" i="8"/>
  <c r="ALK21" i="8" s="1"/>
  <c r="ALV12" i="8"/>
  <c r="ALV21" i="8" s="1"/>
  <c r="AOJ12" i="8"/>
  <c r="AOJ21" i="8" s="1"/>
  <c r="AMR12" i="8"/>
  <c r="AMR21" i="8" s="1"/>
  <c r="AMG12" i="8"/>
  <c r="AMG21" i="8" s="1"/>
  <c r="AOK12" i="8"/>
  <c r="AOK21" i="8" s="1"/>
  <c r="AND12" i="8"/>
  <c r="AND21" i="8" s="1"/>
  <c r="ANZ12" i="8"/>
  <c r="ANZ21" i="8" s="1"/>
  <c r="AMS12" i="8"/>
  <c r="AMS21" i="8" s="1"/>
  <c r="ANO12" i="8"/>
  <c r="ANO21" i="8" s="1"/>
  <c r="AMH12" i="8"/>
  <c r="AMH21" i="8" s="1"/>
  <c r="ALW12" i="8"/>
  <c r="ALW21" i="8" s="1"/>
  <c r="AMT12" i="8"/>
  <c r="AMT21" i="8" s="1"/>
  <c r="ANE12" i="8"/>
  <c r="ANE21" i="8" s="1"/>
  <c r="AOL12" i="8"/>
  <c r="AOL21" i="8" s="1"/>
  <c r="ANP12" i="8"/>
  <c r="ANP21" i="8" s="1"/>
  <c r="AOA12" i="8"/>
  <c r="AOA21" i="8" s="1"/>
  <c r="AMI12" i="8"/>
  <c r="AMI21" i="8" s="1"/>
  <c r="AOM12" i="8"/>
  <c r="AOM21" i="8" s="1"/>
  <c r="ANF12" i="8"/>
  <c r="ANF21" i="8" s="1"/>
  <c r="AMU12" i="8"/>
  <c r="AMU21" i="8" s="1"/>
  <c r="AOB12" i="8"/>
  <c r="AOB21" i="8" s="1"/>
  <c r="ANQ12" i="8"/>
  <c r="ANQ21" i="8" s="1"/>
  <c r="AON12" i="8"/>
  <c r="AON21" i="8" s="1"/>
  <c r="ANR12" i="8"/>
  <c r="ANR21" i="8" s="1"/>
  <c r="AOC12" i="8"/>
  <c r="AOC21" i="8" s="1"/>
  <c r="ANG12" i="8"/>
  <c r="ANG21" i="8" s="1"/>
  <c r="AOO12" i="8"/>
  <c r="AOO21" i="8" s="1"/>
  <c r="AOD12" i="8"/>
  <c r="AOD21" i="8" s="1"/>
  <c r="ANS12" i="8"/>
  <c r="ANS21" i="8" s="1"/>
  <c r="AOP12" i="8"/>
  <c r="AOP21" i="8" s="1"/>
  <c r="AOE12" i="8"/>
  <c r="AOE21" i="8" s="1"/>
  <c r="AOQ12" i="8"/>
  <c r="AOQ21" i="8" s="1"/>
  <c r="X75" i="2"/>
  <c r="O18" i="4"/>
  <c r="AA18" i="4" s="1"/>
  <c r="AM18" i="4" s="1"/>
  <c r="AY18" i="4" s="1"/>
  <c r="BK18" i="4" s="1"/>
  <c r="BW18" i="4" s="1"/>
  <c r="CI18" i="4" s="1"/>
  <c r="CU18" i="4" s="1"/>
  <c r="DG18" i="4" s="1"/>
  <c r="DS18" i="4" s="1"/>
  <c r="EE18" i="4" s="1"/>
  <c r="EQ18" i="4" s="1"/>
  <c r="FC18" i="4" s="1"/>
  <c r="FO18" i="4" s="1"/>
  <c r="GA18" i="4" s="1"/>
  <c r="GM18" i="4" s="1"/>
  <c r="GY18" i="4" s="1"/>
  <c r="HK18" i="4" s="1"/>
  <c r="HW18" i="4" s="1"/>
  <c r="II18" i="4" s="1"/>
  <c r="IU18" i="4" s="1"/>
  <c r="JG18" i="4" s="1"/>
  <c r="JS18" i="4" s="1"/>
  <c r="KE18" i="4" s="1"/>
  <c r="KQ18" i="4" s="1"/>
  <c r="LC18" i="4" s="1"/>
  <c r="LO18" i="4" s="1"/>
  <c r="MA18" i="4" s="1"/>
  <c r="MM18" i="4" s="1"/>
  <c r="MY18" i="4" s="1"/>
  <c r="NK18" i="4" s="1"/>
  <c r="NW18" i="4" s="1"/>
  <c r="OI18" i="4" s="1"/>
  <c r="OU18" i="4" s="1"/>
  <c r="PG18" i="4" s="1"/>
  <c r="PS18" i="4" s="1"/>
  <c r="QE18" i="4" s="1"/>
  <c r="QQ18" i="4" s="1"/>
  <c r="RC18" i="4" s="1"/>
  <c r="RO18" i="4" s="1"/>
  <c r="SA18" i="4" s="1"/>
  <c r="SM18" i="4" s="1"/>
  <c r="SY18" i="4" s="1"/>
  <c r="TK18" i="4" s="1"/>
  <c r="TW18" i="4" s="1"/>
  <c r="UI18" i="4" s="1"/>
  <c r="UU18" i="4" s="1"/>
  <c r="VG18" i="4" s="1"/>
  <c r="VS18" i="4" s="1"/>
  <c r="WE18" i="4" s="1"/>
  <c r="WQ18" i="4" s="1"/>
  <c r="XC18" i="4" s="1"/>
  <c r="XO18" i="4" s="1"/>
  <c r="YA18" i="4" s="1"/>
  <c r="YM18" i="4" s="1"/>
  <c r="YY18" i="4" s="1"/>
  <c r="ZK18" i="4" s="1"/>
  <c r="ZW18" i="4" s="1"/>
  <c r="AAI18" i="4" s="1"/>
  <c r="AAU18" i="4" s="1"/>
  <c r="ABG18" i="4" s="1"/>
  <c r="ABS18" i="4" s="1"/>
  <c r="ACE18" i="4" s="1"/>
  <c r="ACQ18" i="4" s="1"/>
  <c r="ADC18" i="4" s="1"/>
  <c r="ADO18" i="4" s="1"/>
  <c r="AEA18" i="4" s="1"/>
  <c r="AEM18" i="4" s="1"/>
  <c r="AEY18" i="4" s="1"/>
  <c r="AFK18" i="4" s="1"/>
  <c r="AFW18" i="4" s="1"/>
  <c r="AGI18" i="4" s="1"/>
  <c r="AGU18" i="4" s="1"/>
  <c r="D18" i="4"/>
  <c r="P18" i="4" s="1"/>
  <c r="AB18" i="4" s="1"/>
  <c r="AN18" i="4" s="1"/>
  <c r="AZ18" i="4" s="1"/>
  <c r="BL18" i="4" s="1"/>
  <c r="BX18" i="4" s="1"/>
  <c r="CJ18" i="4" s="1"/>
  <c r="CV18" i="4" s="1"/>
  <c r="DH18" i="4" s="1"/>
  <c r="DT18" i="4" s="1"/>
  <c r="EF18" i="4" s="1"/>
  <c r="ER18" i="4" s="1"/>
  <c r="FD18" i="4" s="1"/>
  <c r="FP18" i="4" s="1"/>
  <c r="GB18" i="4" s="1"/>
  <c r="GN18" i="4" s="1"/>
  <c r="GZ18" i="4" s="1"/>
  <c r="HL18" i="4" s="1"/>
  <c r="HX18" i="4" s="1"/>
  <c r="IJ18" i="4" s="1"/>
  <c r="IV18" i="4" s="1"/>
  <c r="JH18" i="4" s="1"/>
  <c r="JT18" i="4" s="1"/>
  <c r="KF18" i="4" s="1"/>
  <c r="KR18" i="4" s="1"/>
  <c r="LD18" i="4" s="1"/>
  <c r="LP18" i="4" s="1"/>
  <c r="MB18" i="4" s="1"/>
  <c r="MN18" i="4" s="1"/>
  <c r="MZ18" i="4" s="1"/>
  <c r="NL18" i="4" s="1"/>
  <c r="NX18" i="4" s="1"/>
  <c r="OJ18" i="4" s="1"/>
  <c r="OV18" i="4" s="1"/>
  <c r="PH18" i="4" s="1"/>
  <c r="PT18" i="4" s="1"/>
  <c r="QF18" i="4" s="1"/>
  <c r="QR18" i="4" s="1"/>
  <c r="RD18" i="4" s="1"/>
  <c r="RP18" i="4" s="1"/>
  <c r="SB18" i="4" s="1"/>
  <c r="SN18" i="4" s="1"/>
  <c r="SZ18" i="4" s="1"/>
  <c r="TL18" i="4" s="1"/>
  <c r="TX18" i="4" s="1"/>
  <c r="UJ18" i="4" s="1"/>
  <c r="UV18" i="4" s="1"/>
  <c r="VH18" i="4" s="1"/>
  <c r="VT18" i="4" s="1"/>
  <c r="WF18" i="4" s="1"/>
  <c r="WR18" i="4" s="1"/>
  <c r="XD18" i="4" s="1"/>
  <c r="XP18" i="4" s="1"/>
  <c r="YB18" i="4" s="1"/>
  <c r="YN18" i="4" s="1"/>
  <c r="YZ18" i="4" s="1"/>
  <c r="ZL18" i="4" s="1"/>
  <c r="ZX18" i="4" s="1"/>
  <c r="AAJ18" i="4" s="1"/>
  <c r="AAV18" i="4" s="1"/>
  <c r="ABH18" i="4" s="1"/>
  <c r="ABT18" i="4" s="1"/>
  <c r="ACF18" i="4" s="1"/>
  <c r="ACR18" i="4" s="1"/>
  <c r="ADD18" i="4" s="1"/>
  <c r="ADP18" i="4" s="1"/>
  <c r="AEB18" i="4" s="1"/>
  <c r="AEN18" i="4" s="1"/>
  <c r="AEZ18" i="4" s="1"/>
  <c r="AFL18" i="4" s="1"/>
  <c r="AFX18" i="4" s="1"/>
  <c r="AGJ18" i="4" s="1"/>
  <c r="AGV18" i="4" s="1"/>
  <c r="AHH18" i="4" s="1"/>
  <c r="AHT18" i="4" s="1"/>
  <c r="AIF18" i="4" s="1"/>
  <c r="AIR18" i="4" s="1"/>
  <c r="AJD18" i="4" s="1"/>
  <c r="AJP18" i="4" s="1"/>
  <c r="AKB18" i="4" s="1"/>
  <c r="AKN18" i="4" s="1"/>
  <c r="AKZ18" i="4" s="1"/>
  <c r="ALL18" i="4" s="1"/>
  <c r="ALX18" i="4" s="1"/>
  <c r="AMJ18" i="4" s="1"/>
  <c r="AMV18" i="4" s="1"/>
  <c r="ANH18" i="4" s="1"/>
  <c r="ANT18" i="4" s="1"/>
  <c r="AOF18" i="4" s="1"/>
  <c r="O17" i="4"/>
  <c r="AA17" i="4" s="1"/>
  <c r="AM17" i="4" s="1"/>
  <c r="AY17" i="4" s="1"/>
  <c r="BK17" i="4" s="1"/>
  <c r="D17" i="4"/>
  <c r="E17" i="4" s="1"/>
  <c r="P17" i="4" l="1"/>
  <c r="F17" i="4"/>
  <c r="Q17" i="4"/>
  <c r="E18" i="4"/>
  <c r="F18" i="4" s="1"/>
  <c r="G18" i="4" s="1"/>
  <c r="AHG18" i="4"/>
  <c r="R17" i="4"/>
  <c r="G17" i="4"/>
  <c r="AB17" i="4"/>
  <c r="AC17" i="4"/>
  <c r="BW17" i="4"/>
  <c r="R18" i="4" l="1"/>
  <c r="Q18" i="4"/>
  <c r="AD18" i="4"/>
  <c r="AO17" i="4"/>
  <c r="AHS18" i="4"/>
  <c r="CI17" i="4"/>
  <c r="AN17" i="4"/>
  <c r="H18" i="4"/>
  <c r="S18" i="4"/>
  <c r="H17" i="4"/>
  <c r="S17" i="4"/>
  <c r="AC18" i="4"/>
  <c r="AD17" i="4"/>
  <c r="AZ17" i="4" l="1"/>
  <c r="BA17" i="4"/>
  <c r="AE17" i="4"/>
  <c r="I17" i="4"/>
  <c r="T17" i="4"/>
  <c r="CU17" i="4"/>
  <c r="AP18" i="4"/>
  <c r="AO18" i="4"/>
  <c r="AE18" i="4"/>
  <c r="AP17" i="4"/>
  <c r="I18" i="4"/>
  <c r="T18" i="4"/>
  <c r="AIE18" i="4"/>
  <c r="AIQ18" i="4" l="1"/>
  <c r="U17" i="4"/>
  <c r="J17" i="4"/>
  <c r="BA18" i="4"/>
  <c r="AF18" i="4"/>
  <c r="U18" i="4"/>
  <c r="J18" i="4"/>
  <c r="BB18" i="4"/>
  <c r="BM17" i="4"/>
  <c r="AQ17" i="4"/>
  <c r="BB17" i="4"/>
  <c r="AF17" i="4"/>
  <c r="BL17" i="4"/>
  <c r="AQ18" i="4"/>
  <c r="DG17" i="4"/>
  <c r="BM18" i="4" l="1"/>
  <c r="BX17" i="4"/>
  <c r="BN17" i="4"/>
  <c r="BN18" i="4"/>
  <c r="K18" i="4"/>
  <c r="V18" i="4"/>
  <c r="K17" i="4"/>
  <c r="V17" i="4"/>
  <c r="AG18" i="4"/>
  <c r="AG17" i="4"/>
  <c r="BY17" i="4"/>
  <c r="DS17" i="4"/>
  <c r="AR17" i="4"/>
  <c r="AR18" i="4"/>
  <c r="AJC18" i="4"/>
  <c r="BC17" i="4"/>
  <c r="BC18" i="4"/>
  <c r="EE17" i="4" l="1"/>
  <c r="AH17" i="4"/>
  <c r="L17" i="4"/>
  <c r="W17" i="4"/>
  <c r="BO18" i="4"/>
  <c r="BZ17" i="4"/>
  <c r="BO17" i="4"/>
  <c r="CK17" i="4"/>
  <c r="AS18" i="4"/>
  <c r="AJO18" i="4"/>
  <c r="AH18" i="4"/>
  <c r="CJ17" i="4"/>
  <c r="L18" i="4"/>
  <c r="W18" i="4"/>
  <c r="BD17" i="4"/>
  <c r="BZ18" i="4"/>
  <c r="BD18" i="4"/>
  <c r="AS17" i="4"/>
  <c r="BY18" i="4"/>
  <c r="CL18" i="4" l="1"/>
  <c r="BP17" i="4"/>
  <c r="CA18" i="4"/>
  <c r="AT17" i="4"/>
  <c r="CK18" i="4"/>
  <c r="AI18" i="4"/>
  <c r="AT18" i="4"/>
  <c r="BE18" i="4"/>
  <c r="CL17" i="4"/>
  <c r="EQ17" i="4"/>
  <c r="AKA18" i="4"/>
  <c r="CW17" i="4"/>
  <c r="BE17" i="4"/>
  <c r="CV17" i="4"/>
  <c r="CA17" i="4"/>
  <c r="M18" i="4"/>
  <c r="X18" i="4"/>
  <c r="BP18" i="4"/>
  <c r="AI17" i="4"/>
  <c r="X17" i="4"/>
  <c r="M17" i="4"/>
  <c r="AU17" i="4" l="1"/>
  <c r="DI17" i="4"/>
  <c r="CX17" i="4"/>
  <c r="CB17" i="4"/>
  <c r="FC17" i="4"/>
  <c r="BF17" i="4"/>
  <c r="DH17" i="4"/>
  <c r="BQ18" i="4"/>
  <c r="AKM18" i="4"/>
  <c r="CM17" i="4"/>
  <c r="BQ17" i="4"/>
  <c r="CB18" i="4"/>
  <c r="N17" i="4"/>
  <c r="Y17" i="4"/>
  <c r="CX18" i="4"/>
  <c r="AU18" i="4"/>
  <c r="AJ18" i="4"/>
  <c r="BF18" i="4"/>
  <c r="CW18" i="4"/>
  <c r="AJ17" i="4"/>
  <c r="N18" i="4"/>
  <c r="Y18" i="4"/>
  <c r="CM18" i="4"/>
  <c r="Z17" i="4" l="1"/>
  <c r="CY17" i="4"/>
  <c r="AV18" i="4"/>
  <c r="AV17" i="4"/>
  <c r="DT17" i="4"/>
  <c r="DJ17" i="4"/>
  <c r="Z18" i="4"/>
  <c r="BR17" i="4"/>
  <c r="CC18" i="4"/>
  <c r="BG18" i="4"/>
  <c r="DI18" i="4"/>
  <c r="CC17" i="4"/>
  <c r="AKY18" i="4"/>
  <c r="AK18" i="4"/>
  <c r="CN18" i="4"/>
  <c r="DJ18" i="4"/>
  <c r="FO17" i="4"/>
  <c r="DU17" i="4"/>
  <c r="AK17" i="4"/>
  <c r="CY18" i="4"/>
  <c r="BR18" i="4"/>
  <c r="CN17" i="4"/>
  <c r="BG17" i="4"/>
  <c r="DK18" i="4" l="1"/>
  <c r="CO18" i="4"/>
  <c r="DV17" i="4"/>
  <c r="DV18" i="4"/>
  <c r="CO17" i="4"/>
  <c r="CD17" i="4"/>
  <c r="DK17" i="4"/>
  <c r="AW17" i="4"/>
  <c r="GA17" i="4"/>
  <c r="BS17" i="4"/>
  <c r="CZ18" i="4"/>
  <c r="DU18" i="4"/>
  <c r="EF17" i="4"/>
  <c r="EG17" i="4"/>
  <c r="BH18" i="4"/>
  <c r="AL17" i="4"/>
  <c r="CD18" i="4"/>
  <c r="ALK18" i="4"/>
  <c r="AW18" i="4"/>
  <c r="BS18" i="4"/>
  <c r="CZ17" i="4"/>
  <c r="AL18" i="4"/>
  <c r="BH17" i="4"/>
  <c r="CE17" i="4" l="1"/>
  <c r="ES17" i="4"/>
  <c r="EH17" i="4"/>
  <c r="DA17" i="4"/>
  <c r="DL18" i="4"/>
  <c r="ALW18" i="4"/>
  <c r="AX17" i="4"/>
  <c r="DA18" i="4"/>
  <c r="EH18" i="4"/>
  <c r="DW18" i="4"/>
  <c r="CP17" i="4"/>
  <c r="CP18" i="4"/>
  <c r="DL17" i="4"/>
  <c r="BI18" i="4"/>
  <c r="EG18" i="4"/>
  <c r="GM17" i="4"/>
  <c r="BI17" i="4"/>
  <c r="ER17" i="4"/>
  <c r="CE18" i="4"/>
  <c r="BT17" i="4"/>
  <c r="AX18" i="4"/>
  <c r="BT18" i="4"/>
  <c r="DW17" i="4"/>
  <c r="BJ17" i="4" l="1"/>
  <c r="CQ18" i="4"/>
  <c r="GY17" i="4"/>
  <c r="DB17" i="4"/>
  <c r="ET17" i="4"/>
  <c r="CQ17" i="4"/>
  <c r="DX17" i="4"/>
  <c r="EI18" i="4"/>
  <c r="CF17" i="4"/>
  <c r="ES18" i="4"/>
  <c r="AMI18" i="4"/>
  <c r="DM18" i="4"/>
  <c r="FD17" i="4"/>
  <c r="ET18" i="4"/>
  <c r="EI17" i="4"/>
  <c r="CF18" i="4"/>
  <c r="BU18" i="4"/>
  <c r="DX18" i="4"/>
  <c r="DM17" i="4"/>
  <c r="DB18" i="4"/>
  <c r="BU17" i="4"/>
  <c r="BJ18" i="4"/>
  <c r="FE17" i="4"/>
  <c r="DC17" i="4" l="1"/>
  <c r="DN18" i="4"/>
  <c r="EU17" i="4"/>
  <c r="FP17" i="4"/>
  <c r="FF17" i="4"/>
  <c r="FQ17" i="4"/>
  <c r="DY17" i="4"/>
  <c r="EU18" i="4"/>
  <c r="FF18" i="4"/>
  <c r="DN17" i="4"/>
  <c r="DY18" i="4"/>
  <c r="DC18" i="4"/>
  <c r="CR17" i="4"/>
  <c r="CG18" i="4"/>
  <c r="AMU18" i="4"/>
  <c r="EJ17" i="4"/>
  <c r="BV17" i="4"/>
  <c r="EJ18" i="4"/>
  <c r="CG17" i="4"/>
  <c r="HK17" i="4"/>
  <c r="BV18" i="4"/>
  <c r="CR18" i="4"/>
  <c r="FE18" i="4"/>
  <c r="DO18" i="4" l="1"/>
  <c r="FG17" i="4"/>
  <c r="CH18" i="4"/>
  <c r="GC17" i="4"/>
  <c r="ANG18" i="4"/>
  <c r="EV18" i="4"/>
  <c r="FR18" i="4"/>
  <c r="CH17" i="4"/>
  <c r="EK18" i="4"/>
  <c r="DZ18" i="4"/>
  <c r="EK17" i="4"/>
  <c r="HW17" i="4"/>
  <c r="FG18" i="4"/>
  <c r="FR17" i="4"/>
  <c r="DO17" i="4"/>
  <c r="DD18" i="4"/>
  <c r="DZ17" i="4"/>
  <c r="EV17" i="4"/>
  <c r="DD17" i="4"/>
  <c r="CS18" i="4"/>
  <c r="FQ18" i="4"/>
  <c r="CS17" i="4"/>
  <c r="GB17" i="4"/>
  <c r="EA17" i="4" l="1"/>
  <c r="EL17" i="4"/>
  <c r="EW18" i="4"/>
  <c r="DE17" i="4"/>
  <c r="FH18" i="4"/>
  <c r="EA18" i="4"/>
  <c r="DE18" i="4"/>
  <c r="DP18" i="4"/>
  <c r="CT17" i="4"/>
  <c r="CT18" i="4"/>
  <c r="FH17" i="4"/>
  <c r="ANS18" i="4"/>
  <c r="II17" i="4"/>
  <c r="FS17" i="4"/>
  <c r="GC18" i="4"/>
  <c r="GD17" i="4"/>
  <c r="DP17" i="4"/>
  <c r="EW17" i="4"/>
  <c r="GN17" i="4"/>
  <c r="FS18" i="4"/>
  <c r="GO17" i="4"/>
  <c r="EL18" i="4"/>
  <c r="GD18" i="4"/>
  <c r="DF18" i="4" l="1"/>
  <c r="HA17" i="4"/>
  <c r="DF17" i="4"/>
  <c r="FT18" i="4"/>
  <c r="FI18" i="4"/>
  <c r="IU17" i="4"/>
  <c r="GP17" i="4"/>
  <c r="FI17" i="4"/>
  <c r="AOE18" i="4"/>
  <c r="DQ18" i="4"/>
  <c r="GP18" i="4"/>
  <c r="GE18" i="4"/>
  <c r="GO18" i="4"/>
  <c r="EX17" i="4"/>
  <c r="EM18" i="4"/>
  <c r="GE17" i="4"/>
  <c r="EX18" i="4"/>
  <c r="EB17" i="4"/>
  <c r="EB18" i="4"/>
  <c r="DQ17" i="4"/>
  <c r="EM17" i="4"/>
  <c r="GZ17" i="4"/>
  <c r="FT17" i="4"/>
  <c r="GF18" i="4" l="1"/>
  <c r="GQ17" i="4"/>
  <c r="HB17" i="4"/>
  <c r="HL17" i="4"/>
  <c r="DR17" i="4"/>
  <c r="HA18" i="4"/>
  <c r="EY18" i="4"/>
  <c r="FJ17" i="4"/>
  <c r="GQ18" i="4"/>
  <c r="FU17" i="4"/>
  <c r="EN18" i="4"/>
  <c r="EY17" i="4"/>
  <c r="GF17" i="4"/>
  <c r="EC17" i="4"/>
  <c r="JG17" i="4"/>
  <c r="HM17" i="4"/>
  <c r="EC18" i="4"/>
  <c r="HB18" i="4"/>
  <c r="FJ18" i="4"/>
  <c r="EN17" i="4"/>
  <c r="FU18" i="4"/>
  <c r="DR18" i="4"/>
  <c r="FK18" i="4" l="1"/>
  <c r="FK17" i="4"/>
  <c r="HM18" i="4"/>
  <c r="HC17" i="4"/>
  <c r="HY17" i="4"/>
  <c r="HN18" i="4"/>
  <c r="JS17" i="4"/>
  <c r="EZ18" i="4"/>
  <c r="HN17" i="4"/>
  <c r="EZ17" i="4"/>
  <c r="HX17" i="4"/>
  <c r="GR18" i="4"/>
  <c r="ED18" i="4"/>
  <c r="GG17" i="4"/>
  <c r="FV18" i="4"/>
  <c r="EO17" i="4"/>
  <c r="GG18" i="4"/>
  <c r="ED17" i="4"/>
  <c r="HC18" i="4"/>
  <c r="EO18" i="4"/>
  <c r="GR17" i="4"/>
  <c r="FV17" i="4"/>
  <c r="HZ17" i="4" l="1"/>
  <c r="HZ18" i="4"/>
  <c r="GH18" i="4"/>
  <c r="HY18" i="4"/>
  <c r="HO17" i="4"/>
  <c r="FL18" i="4"/>
  <c r="FL17" i="4"/>
  <c r="FA17" i="4"/>
  <c r="HO18" i="4"/>
  <c r="KE17" i="4"/>
  <c r="FW17" i="4"/>
  <c r="HD18" i="4"/>
  <c r="GH17" i="4"/>
  <c r="GS18" i="4"/>
  <c r="IJ17" i="4"/>
  <c r="HD17" i="4"/>
  <c r="GS17" i="4"/>
  <c r="FW18" i="4"/>
  <c r="EP18" i="4"/>
  <c r="IK17" i="4"/>
  <c r="FA18" i="4"/>
  <c r="EP17" i="4"/>
  <c r="FM18" i="4" l="1"/>
  <c r="IW17" i="4"/>
  <c r="HE18" i="4"/>
  <c r="HE17" i="4"/>
  <c r="HP18" i="4"/>
  <c r="FM17" i="4"/>
  <c r="IL18" i="4"/>
  <c r="IA18" i="4"/>
  <c r="FB18" i="4"/>
  <c r="KQ17" i="4"/>
  <c r="HP17" i="4"/>
  <c r="IV17" i="4"/>
  <c r="GI17" i="4"/>
  <c r="IK18" i="4"/>
  <c r="GT17" i="4"/>
  <c r="FB17" i="4"/>
  <c r="IL17" i="4"/>
  <c r="FX18" i="4"/>
  <c r="FX17" i="4"/>
  <c r="IA17" i="4"/>
  <c r="GT18" i="4"/>
  <c r="GI18" i="4"/>
  <c r="GJ18" i="4" l="1"/>
  <c r="GU17" i="4"/>
  <c r="FY17" i="4"/>
  <c r="IW18" i="4"/>
  <c r="JI17" i="4"/>
  <c r="HF17" i="4"/>
  <c r="IM17" i="4"/>
  <c r="JH17" i="4"/>
  <c r="IB18" i="4"/>
  <c r="IX17" i="4"/>
  <c r="FY18" i="4"/>
  <c r="LC17" i="4"/>
  <c r="GJ17" i="4"/>
  <c r="FN18" i="4"/>
  <c r="HQ17" i="4"/>
  <c r="IM18" i="4"/>
  <c r="HQ18" i="4"/>
  <c r="HF18" i="4"/>
  <c r="GU18" i="4"/>
  <c r="FN17" i="4"/>
  <c r="IB17" i="4"/>
  <c r="IX18" i="4"/>
  <c r="LO17" i="4" l="1"/>
  <c r="GK17" i="4"/>
  <c r="FZ18" i="4"/>
  <c r="GK18" i="4"/>
  <c r="IN17" i="4"/>
  <c r="IC18" i="4"/>
  <c r="JU17" i="4"/>
  <c r="HG17" i="4"/>
  <c r="IY17" i="4"/>
  <c r="IC17" i="4"/>
  <c r="JT17" i="4"/>
  <c r="HR18" i="4"/>
  <c r="HR17" i="4"/>
  <c r="IY18" i="4"/>
  <c r="GV17" i="4"/>
  <c r="JJ17" i="4"/>
  <c r="GV18" i="4"/>
  <c r="JJ18" i="4"/>
  <c r="FZ17" i="4"/>
  <c r="HG18" i="4"/>
  <c r="IN18" i="4"/>
  <c r="JI18" i="4"/>
  <c r="JK18" i="4" l="1"/>
  <c r="IO18" i="4"/>
  <c r="HH18" i="4"/>
  <c r="GW17" i="4"/>
  <c r="IO17" i="4"/>
  <c r="GW18" i="4"/>
  <c r="HS18" i="4"/>
  <c r="GL18" i="4"/>
  <c r="IZ17" i="4"/>
  <c r="KF17" i="4"/>
  <c r="ID17" i="4"/>
  <c r="HS17" i="4"/>
  <c r="KG17" i="4"/>
  <c r="JU18" i="4"/>
  <c r="HH17" i="4"/>
  <c r="JK17" i="4"/>
  <c r="JV17" i="4"/>
  <c r="ID18" i="4"/>
  <c r="JV18" i="4"/>
  <c r="IZ18" i="4"/>
  <c r="GL17" i="4"/>
  <c r="MA17" i="4"/>
  <c r="HI18" i="4" l="1"/>
  <c r="GX17" i="4"/>
  <c r="IP17" i="4"/>
  <c r="JL17" i="4"/>
  <c r="JW18" i="4"/>
  <c r="KG18" i="4"/>
  <c r="JA17" i="4"/>
  <c r="JL18" i="4"/>
  <c r="JA18" i="4"/>
  <c r="MM17" i="4"/>
  <c r="JW17" i="4"/>
  <c r="HI17" i="4"/>
  <c r="KH18" i="4"/>
  <c r="KS17" i="4"/>
  <c r="HT17" i="4"/>
  <c r="GX18" i="4"/>
  <c r="KH17" i="4"/>
  <c r="IP18" i="4"/>
  <c r="IE17" i="4"/>
  <c r="KR17" i="4"/>
  <c r="IE18" i="4"/>
  <c r="HT18" i="4"/>
  <c r="KT18" i="4" l="1"/>
  <c r="KT17" i="4"/>
  <c r="JB17" i="4"/>
  <c r="JB18" i="4"/>
  <c r="IF17" i="4"/>
  <c r="JX17" i="4"/>
  <c r="MY17" i="4"/>
  <c r="JM17" i="4"/>
  <c r="JM18" i="4"/>
  <c r="JX18" i="4"/>
  <c r="IF18" i="4"/>
  <c r="HJ18" i="4"/>
  <c r="KS18" i="4"/>
  <c r="HJ17" i="4"/>
  <c r="KI17" i="4"/>
  <c r="IQ18" i="4"/>
  <c r="HU17" i="4"/>
  <c r="LD17" i="4"/>
  <c r="IQ17" i="4"/>
  <c r="HU18" i="4"/>
  <c r="LE17" i="4"/>
  <c r="KI18" i="4"/>
  <c r="LP17" i="4" l="1"/>
  <c r="HV18" i="4"/>
  <c r="IR17" i="4"/>
  <c r="LF17" i="4"/>
  <c r="HV17" i="4"/>
  <c r="IR18" i="4"/>
  <c r="JN17" i="4"/>
  <c r="JY17" i="4"/>
  <c r="KU18" i="4"/>
  <c r="NK17" i="4"/>
  <c r="JN18" i="4"/>
  <c r="IG18" i="4"/>
  <c r="KJ18" i="4"/>
  <c r="KU17" i="4"/>
  <c r="LF18" i="4"/>
  <c r="IG17" i="4"/>
  <c r="LQ17" i="4"/>
  <c r="JC17" i="4"/>
  <c r="KJ17" i="4"/>
  <c r="JC18" i="4"/>
  <c r="LE18" i="4"/>
  <c r="JY18" i="4"/>
  <c r="JD18" i="4" l="1"/>
  <c r="JO17" i="4"/>
  <c r="IH18" i="4"/>
  <c r="LG17" i="4"/>
  <c r="LG18" i="4"/>
  <c r="KV18" i="4"/>
  <c r="IH17" i="4"/>
  <c r="JO18" i="4"/>
  <c r="IS18" i="4"/>
  <c r="KK17" i="4"/>
  <c r="KK18" i="4"/>
  <c r="LR17" i="4"/>
  <c r="JZ18" i="4"/>
  <c r="LQ18" i="4"/>
  <c r="KV17" i="4"/>
  <c r="JZ17" i="4"/>
  <c r="MC17" i="4"/>
  <c r="IS17" i="4"/>
  <c r="MB17" i="4"/>
  <c r="LR18" i="4"/>
  <c r="NW17" i="4"/>
  <c r="JD17" i="4"/>
  <c r="MD18" i="4" l="1"/>
  <c r="LH17" i="4"/>
  <c r="IT18" i="4"/>
  <c r="KW17" i="4"/>
  <c r="MO17" i="4"/>
  <c r="MN17" i="4"/>
  <c r="KW18" i="4"/>
  <c r="KA18" i="4"/>
  <c r="JE17" i="4"/>
  <c r="MD17" i="4"/>
  <c r="MC18" i="4"/>
  <c r="KA17" i="4"/>
  <c r="KL18" i="4"/>
  <c r="IT17" i="4"/>
  <c r="LS17" i="4"/>
  <c r="JE18" i="4"/>
  <c r="JP17" i="4"/>
  <c r="OI17" i="4"/>
  <c r="LS18" i="4"/>
  <c r="JP18" i="4"/>
  <c r="KL17" i="4"/>
  <c r="LH18" i="4"/>
  <c r="NA17" i="4" l="1"/>
  <c r="KM18" i="4"/>
  <c r="LI17" i="4"/>
  <c r="MO18" i="4"/>
  <c r="KX18" i="4"/>
  <c r="KB18" i="4"/>
  <c r="JQ18" i="4"/>
  <c r="MP17" i="4"/>
  <c r="OU17" i="4"/>
  <c r="KB17" i="4"/>
  <c r="JF18" i="4"/>
  <c r="KX17" i="4"/>
  <c r="KM17" i="4"/>
  <c r="ME17" i="4"/>
  <c r="MZ17" i="4"/>
  <c r="JQ17" i="4"/>
  <c r="LT17" i="4"/>
  <c r="JF17" i="4"/>
  <c r="LI18" i="4"/>
  <c r="ME18" i="4"/>
  <c r="LT18" i="4"/>
  <c r="MP18" i="4"/>
  <c r="LU17" i="4" l="1"/>
  <c r="KY18" i="4"/>
  <c r="NL17" i="4"/>
  <c r="LJ17" i="4"/>
  <c r="KN18" i="4"/>
  <c r="MF18" i="4"/>
  <c r="KC17" i="4"/>
  <c r="MQ17" i="4"/>
  <c r="KN17" i="4"/>
  <c r="MF17" i="4"/>
  <c r="LJ18" i="4"/>
  <c r="KC18" i="4"/>
  <c r="MQ18" i="4"/>
  <c r="JR17" i="4"/>
  <c r="NB18" i="4"/>
  <c r="PG17" i="4"/>
  <c r="NA18" i="4"/>
  <c r="NM17" i="4"/>
  <c r="NB17" i="4"/>
  <c r="LU18" i="4"/>
  <c r="KY17" i="4"/>
  <c r="JR18" i="4"/>
  <c r="NM18" i="4" l="1"/>
  <c r="NC18" i="4"/>
  <c r="LK18" i="4"/>
  <c r="PS17" i="4"/>
  <c r="MR17" i="4"/>
  <c r="MR18" i="4"/>
  <c r="NX17" i="4"/>
  <c r="MG17" i="4"/>
  <c r="LV17" i="4"/>
  <c r="KO18" i="4"/>
  <c r="KZ18" i="4"/>
  <c r="MG18" i="4"/>
  <c r="KD17" i="4"/>
  <c r="NN17" i="4"/>
  <c r="KD18" i="4"/>
  <c r="KZ17" i="4"/>
  <c r="LV18" i="4"/>
  <c r="LK17" i="4"/>
  <c r="KO17" i="4"/>
  <c r="NY17" i="4"/>
  <c r="NN18" i="4"/>
  <c r="NC17" i="4"/>
  <c r="LA17" i="4" l="1"/>
  <c r="LL17" i="4"/>
  <c r="KP17" i="4"/>
  <c r="MS17" i="4"/>
  <c r="QE17" i="4"/>
  <c r="ND17" i="4"/>
  <c r="MH17" i="4"/>
  <c r="MS18" i="4"/>
  <c r="NO18" i="4"/>
  <c r="OJ17" i="4"/>
  <c r="LW18" i="4"/>
  <c r="NY18" i="4"/>
  <c r="OK17" i="4"/>
  <c r="NZ17" i="4"/>
  <c r="KP18" i="4"/>
  <c r="LL18" i="4"/>
  <c r="LA18" i="4"/>
  <c r="LW17" i="4"/>
  <c r="NO17" i="4"/>
  <c r="NZ18" i="4"/>
  <c r="MH18" i="4"/>
  <c r="ND18" i="4"/>
  <c r="OV17" i="4" l="1"/>
  <c r="NP18" i="4"/>
  <c r="OL17" i="4"/>
  <c r="NP17" i="4"/>
  <c r="LX17" i="4"/>
  <c r="LB17" i="4"/>
  <c r="QQ17" i="4"/>
  <c r="LM17" i="4"/>
  <c r="LM18" i="4"/>
  <c r="OW17" i="4"/>
  <c r="OA18" i="4"/>
  <c r="MT17" i="4"/>
  <c r="OL18" i="4"/>
  <c r="OA17" i="4"/>
  <c r="MT18" i="4"/>
  <c r="MI17" i="4"/>
  <c r="LX18" i="4"/>
  <c r="OK18" i="4"/>
  <c r="NE18" i="4"/>
  <c r="NE17" i="4"/>
  <c r="LB18" i="4"/>
  <c r="MI18" i="4"/>
  <c r="MU17" i="4" l="1"/>
  <c r="NF17" i="4"/>
  <c r="OM18" i="4"/>
  <c r="RC17" i="4"/>
  <c r="NQ17" i="4"/>
  <c r="NF18" i="4"/>
  <c r="LY18" i="4"/>
  <c r="OX17" i="4"/>
  <c r="OB18" i="4"/>
  <c r="MJ17" i="4"/>
  <c r="OX18" i="4"/>
  <c r="MU18" i="4"/>
  <c r="PH17" i="4"/>
  <c r="NQ18" i="4"/>
  <c r="LN18" i="4"/>
  <c r="LN17" i="4"/>
  <c r="OB17" i="4"/>
  <c r="MJ18" i="4"/>
  <c r="PI17" i="4"/>
  <c r="OW18" i="4"/>
  <c r="OM17" i="4"/>
  <c r="LY17" i="4"/>
  <c r="NR18" i="4" l="1"/>
  <c r="PU17" i="4"/>
  <c r="MV18" i="4"/>
  <c r="OC17" i="4"/>
  <c r="NR17" i="4"/>
  <c r="LZ18" i="4"/>
  <c r="OY17" i="4"/>
  <c r="NG18" i="4"/>
  <c r="PJ17" i="4"/>
  <c r="OC18" i="4"/>
  <c r="PT17" i="4"/>
  <c r="RO17" i="4"/>
  <c r="NG17" i="4"/>
  <c r="MV17" i="4"/>
  <c r="ON18" i="4"/>
  <c r="ON17" i="4"/>
  <c r="PI18" i="4"/>
  <c r="PJ18" i="4"/>
  <c r="MK18" i="4"/>
  <c r="MK17" i="4"/>
  <c r="LZ17" i="4"/>
  <c r="OY18" i="4"/>
  <c r="PU18" i="4" l="1"/>
  <c r="PV17" i="4"/>
  <c r="NS18" i="4"/>
  <c r="OD17" i="4"/>
  <c r="NS17" i="4"/>
  <c r="OO18" i="4"/>
  <c r="NH17" i="4"/>
  <c r="QG17" i="4"/>
  <c r="ML17" i="4"/>
  <c r="QF17" i="4"/>
  <c r="OZ18" i="4"/>
  <c r="SA17" i="4"/>
  <c r="MW17" i="4"/>
  <c r="PK17" i="4"/>
  <c r="OO17" i="4"/>
  <c r="OD18" i="4"/>
  <c r="ML18" i="4"/>
  <c r="OZ17" i="4"/>
  <c r="MW18" i="4"/>
  <c r="PK18" i="4"/>
  <c r="PV18" i="4"/>
  <c r="NH18" i="4"/>
  <c r="MX17" i="4" l="1"/>
  <c r="NT17" i="4"/>
  <c r="PW18" i="4"/>
  <c r="PA17" i="4"/>
  <c r="SM17" i="4"/>
  <c r="PA18" i="4"/>
  <c r="OE18" i="4"/>
  <c r="NI18" i="4"/>
  <c r="QS17" i="4"/>
  <c r="QH17" i="4"/>
  <c r="PL17" i="4"/>
  <c r="NI17" i="4"/>
  <c r="OE17" i="4"/>
  <c r="QG18" i="4"/>
  <c r="MX18" i="4"/>
  <c r="QR17" i="4"/>
  <c r="PW17" i="4"/>
  <c r="OP18" i="4"/>
  <c r="NT18" i="4"/>
  <c r="PL18" i="4"/>
  <c r="QH18" i="4"/>
  <c r="OP17" i="4"/>
  <c r="PX18" i="4" l="1"/>
  <c r="PX17" i="4"/>
  <c r="OF17" i="4"/>
  <c r="OF18" i="4"/>
  <c r="NJ18" i="4"/>
  <c r="PM17" i="4"/>
  <c r="NU18" i="4"/>
  <c r="SY17" i="4"/>
  <c r="QS18" i="4"/>
  <c r="QI17" i="4"/>
  <c r="PB18" i="4"/>
  <c r="RE17" i="4"/>
  <c r="QI18" i="4"/>
  <c r="NJ17" i="4"/>
  <c r="PB17" i="4"/>
  <c r="PM18" i="4"/>
  <c r="QT17" i="4"/>
  <c r="OQ17" i="4"/>
  <c r="OQ18" i="4"/>
  <c r="RD17" i="4"/>
  <c r="NU17" i="4"/>
  <c r="QT18" i="4"/>
  <c r="PC17" i="4" l="1"/>
  <c r="OG17" i="4"/>
  <c r="NV17" i="4"/>
  <c r="QU17" i="4"/>
  <c r="QJ17" i="4"/>
  <c r="RF17" i="4"/>
  <c r="PY17" i="4"/>
  <c r="RE18" i="4"/>
  <c r="OR18" i="4"/>
  <c r="PN18" i="4"/>
  <c r="RP17" i="4"/>
  <c r="PY18" i="4"/>
  <c r="QU18" i="4"/>
  <c r="QJ18" i="4"/>
  <c r="NV18" i="4"/>
  <c r="PC18" i="4"/>
  <c r="TK17" i="4"/>
  <c r="OR17" i="4"/>
  <c r="RF18" i="4"/>
  <c r="OG18" i="4"/>
  <c r="RQ17" i="4"/>
  <c r="PN17" i="4"/>
  <c r="QV17" i="4" l="1"/>
  <c r="SC17" i="4"/>
  <c r="QV18" i="4"/>
  <c r="RR17" i="4"/>
  <c r="QK17" i="4"/>
  <c r="RG17" i="4"/>
  <c r="PZ18" i="4"/>
  <c r="OS18" i="4"/>
  <c r="PD18" i="4"/>
  <c r="OH17" i="4"/>
  <c r="PO18" i="4"/>
  <c r="RG18" i="4"/>
  <c r="TW17" i="4"/>
  <c r="PZ17" i="4"/>
  <c r="OH18" i="4"/>
  <c r="QK18" i="4"/>
  <c r="PO17" i="4"/>
  <c r="SB17" i="4"/>
  <c r="OS17" i="4"/>
  <c r="RR18" i="4"/>
  <c r="RQ18" i="4"/>
  <c r="PD17" i="4"/>
  <c r="SC18" i="4" l="1"/>
  <c r="QA17" i="4"/>
  <c r="QL17" i="4"/>
  <c r="OT17" i="4"/>
  <c r="QW17" i="4"/>
  <c r="PP17" i="4"/>
  <c r="RS17" i="4"/>
  <c r="SD18" i="4"/>
  <c r="PP18" i="4"/>
  <c r="RH17" i="4"/>
  <c r="QW18" i="4"/>
  <c r="QA18" i="4"/>
  <c r="SN17" i="4"/>
  <c r="PE18" i="4"/>
  <c r="SO17" i="4"/>
  <c r="OT18" i="4"/>
  <c r="UI17" i="4"/>
  <c r="QL18" i="4"/>
  <c r="SD17" i="4"/>
  <c r="RH18" i="4"/>
  <c r="PE17" i="4"/>
  <c r="RS18" i="4"/>
  <c r="PF18" i="4" l="1"/>
  <c r="PQ18" i="4"/>
  <c r="RI18" i="4"/>
  <c r="QX17" i="4"/>
  <c r="TA17" i="4"/>
  <c r="QB18" i="4"/>
  <c r="QM18" i="4"/>
  <c r="PF17" i="4"/>
  <c r="QB17" i="4"/>
  <c r="QX18" i="4"/>
  <c r="PQ17" i="4"/>
  <c r="QM17" i="4"/>
  <c r="SE18" i="4"/>
  <c r="SP17" i="4"/>
  <c r="UU17" i="4"/>
  <c r="SZ17" i="4"/>
  <c r="SE17" i="4"/>
  <c r="SO18" i="4"/>
  <c r="RT18" i="4"/>
  <c r="SP18" i="4"/>
  <c r="RT17" i="4"/>
  <c r="RI17" i="4"/>
  <c r="SF17" i="4" l="1"/>
  <c r="RU18" i="4"/>
  <c r="QY17" i="4"/>
  <c r="PR17" i="4"/>
  <c r="TM17" i="4"/>
  <c r="TB17" i="4"/>
  <c r="QY18" i="4"/>
  <c r="QN17" i="4"/>
  <c r="TA18" i="4"/>
  <c r="QC17" i="4"/>
  <c r="VG17" i="4"/>
  <c r="RJ17" i="4"/>
  <c r="QN18" i="4"/>
  <c r="RU17" i="4"/>
  <c r="SQ17" i="4"/>
  <c r="SQ18" i="4"/>
  <c r="TL17" i="4"/>
  <c r="QC18" i="4"/>
  <c r="TB18" i="4"/>
  <c r="PR18" i="4"/>
  <c r="SF18" i="4"/>
  <c r="RJ18" i="4"/>
  <c r="QZ17" i="4" l="1"/>
  <c r="TY17" i="4"/>
  <c r="SG18" i="4"/>
  <c r="SG17" i="4"/>
  <c r="QZ18" i="4"/>
  <c r="QO17" i="4"/>
  <c r="TN18" i="4"/>
  <c r="RK18" i="4"/>
  <c r="SR17" i="4"/>
  <c r="TC17" i="4"/>
  <c r="RV17" i="4"/>
  <c r="QO18" i="4"/>
  <c r="QD17" i="4"/>
  <c r="TN17" i="4"/>
  <c r="SR18" i="4"/>
  <c r="TC18" i="4"/>
  <c r="TM18" i="4"/>
  <c r="RK17" i="4"/>
  <c r="VS17" i="4"/>
  <c r="QD18" i="4"/>
  <c r="RV18" i="4"/>
  <c r="TX17" i="4"/>
  <c r="WE17" i="4" l="1"/>
  <c r="TD17" i="4"/>
  <c r="RA18" i="4"/>
  <c r="SS17" i="4"/>
  <c r="SS18" i="4"/>
  <c r="UJ17" i="4"/>
  <c r="RW18" i="4"/>
  <c r="RA17" i="4"/>
  <c r="RW17" i="4"/>
  <c r="UK17" i="4"/>
  <c r="SH18" i="4"/>
  <c r="TO17" i="4"/>
  <c r="TY18" i="4"/>
  <c r="RL18" i="4"/>
  <c r="QP18" i="4"/>
  <c r="SH17" i="4"/>
  <c r="RL17" i="4"/>
  <c r="TD18" i="4"/>
  <c r="TO18" i="4"/>
  <c r="QP17" i="4"/>
  <c r="TZ18" i="4"/>
  <c r="TZ17" i="4"/>
  <c r="TP17" i="4" l="1"/>
  <c r="ST17" i="4"/>
  <c r="RB17" i="4"/>
  <c r="UW17" i="4"/>
  <c r="WQ17" i="4"/>
  <c r="SI18" i="4"/>
  <c r="UA18" i="4"/>
  <c r="RX18" i="4"/>
  <c r="SI17" i="4"/>
  <c r="UV17" i="4"/>
  <c r="UL18" i="4"/>
  <c r="RM18" i="4"/>
  <c r="TP18" i="4"/>
  <c r="TE18" i="4"/>
  <c r="UA17" i="4"/>
  <c r="TE17" i="4"/>
  <c r="RB18" i="4"/>
  <c r="UL17" i="4"/>
  <c r="RX17" i="4"/>
  <c r="UK18" i="4"/>
  <c r="ST18" i="4"/>
  <c r="RM17" i="4"/>
  <c r="TQ18" i="4" l="1"/>
  <c r="UM18" i="4"/>
  <c r="UB17" i="4"/>
  <c r="UX17" i="4"/>
  <c r="VI17" i="4"/>
  <c r="RY17" i="4"/>
  <c r="RN18" i="4"/>
  <c r="UB18" i="4"/>
  <c r="SU18" i="4"/>
  <c r="UM17" i="4"/>
  <c r="VH17" i="4"/>
  <c r="TQ17" i="4"/>
  <c r="RN17" i="4"/>
  <c r="UW18" i="4"/>
  <c r="RY18" i="4"/>
  <c r="SJ17" i="4"/>
  <c r="XC17" i="4"/>
  <c r="TF18" i="4"/>
  <c r="SU17" i="4"/>
  <c r="UX18" i="4"/>
  <c r="SJ18" i="4"/>
  <c r="TF17" i="4"/>
  <c r="UY17" i="4" l="1"/>
  <c r="SK18" i="4"/>
  <c r="SK17" i="4"/>
  <c r="UY18" i="4"/>
  <c r="RZ18" i="4"/>
  <c r="TG17" i="4"/>
  <c r="XO17" i="4"/>
  <c r="TG18" i="4"/>
  <c r="VU17" i="4"/>
  <c r="VI18" i="4"/>
  <c r="TR18" i="4"/>
  <c r="VT17" i="4"/>
  <c r="UC17" i="4"/>
  <c r="TR17" i="4"/>
  <c r="RZ17" i="4"/>
  <c r="UC18" i="4"/>
  <c r="VJ17" i="4"/>
  <c r="SV18" i="4"/>
  <c r="SV17" i="4"/>
  <c r="UN18" i="4"/>
  <c r="UN17" i="4"/>
  <c r="VJ18" i="4"/>
  <c r="SL17" i="4" l="1"/>
  <c r="WF17" i="4"/>
  <c r="SW17" i="4"/>
  <c r="WG17" i="4"/>
  <c r="VK18" i="4"/>
  <c r="UZ17" i="4"/>
  <c r="YA17" i="4"/>
  <c r="SW18" i="4"/>
  <c r="VV17" i="4"/>
  <c r="UD18" i="4"/>
  <c r="TS18" i="4"/>
  <c r="TH18" i="4"/>
  <c r="UO17" i="4"/>
  <c r="TS17" i="4"/>
  <c r="VK17" i="4"/>
  <c r="UD17" i="4"/>
  <c r="UZ18" i="4"/>
  <c r="VV18" i="4"/>
  <c r="TH17" i="4"/>
  <c r="UO18" i="4"/>
  <c r="VU18" i="4"/>
  <c r="SL18" i="4"/>
  <c r="VA17" i="4" l="1"/>
  <c r="UE18" i="4"/>
  <c r="YM17" i="4"/>
  <c r="VW18" i="4"/>
  <c r="VA18" i="4"/>
  <c r="WS17" i="4"/>
  <c r="WR17" i="4"/>
  <c r="WH18" i="4"/>
  <c r="VW17" i="4"/>
  <c r="UP18" i="4"/>
  <c r="TT17" i="4"/>
  <c r="UE17" i="4"/>
  <c r="TI17" i="4"/>
  <c r="VL18" i="4"/>
  <c r="WH17" i="4"/>
  <c r="VL17" i="4"/>
  <c r="SX17" i="4"/>
  <c r="WG18" i="4"/>
  <c r="UP17" i="4"/>
  <c r="SX18" i="4"/>
  <c r="TT18" i="4"/>
  <c r="TI18" i="4"/>
  <c r="UQ17" i="4" l="1"/>
  <c r="XE17" i="4"/>
  <c r="YY17" i="4"/>
  <c r="WT18" i="4"/>
  <c r="TJ17" i="4"/>
  <c r="UF17" i="4"/>
  <c r="TJ18" i="4"/>
  <c r="VX17" i="4"/>
  <c r="XD17" i="4"/>
  <c r="VM17" i="4"/>
  <c r="VX18" i="4"/>
  <c r="VM18" i="4"/>
  <c r="UF18" i="4"/>
  <c r="WS18" i="4"/>
  <c r="TU18" i="4"/>
  <c r="WT17" i="4"/>
  <c r="TU17" i="4"/>
  <c r="VB18" i="4"/>
  <c r="WI18" i="4"/>
  <c r="WI17" i="4"/>
  <c r="UQ18" i="4"/>
  <c r="VB17" i="4"/>
  <c r="UG17" i="4" l="1"/>
  <c r="XE18" i="4"/>
  <c r="TV17" i="4"/>
  <c r="ZK17" i="4"/>
  <c r="VC18" i="4"/>
  <c r="VY17" i="4"/>
  <c r="XQ17" i="4"/>
  <c r="UR17" i="4"/>
  <c r="XF17" i="4"/>
  <c r="WJ17" i="4"/>
  <c r="XF18" i="4"/>
  <c r="VN18" i="4"/>
  <c r="XP17" i="4"/>
  <c r="UG18" i="4"/>
  <c r="VY18" i="4"/>
  <c r="TV18" i="4"/>
  <c r="VC17" i="4"/>
  <c r="UR18" i="4"/>
  <c r="WU17" i="4"/>
  <c r="VN17" i="4"/>
  <c r="WU18" i="4"/>
  <c r="WJ18" i="4"/>
  <c r="XG17" i="4" l="1"/>
  <c r="VO17" i="4"/>
  <c r="YB17" i="4"/>
  <c r="XQ18" i="4"/>
  <c r="VO18" i="4"/>
  <c r="WK17" i="4"/>
  <c r="US17" i="4"/>
  <c r="WV17" i="4"/>
  <c r="VD17" i="4"/>
  <c r="UH17" i="4"/>
  <c r="UH18" i="4"/>
  <c r="WK18" i="4"/>
  <c r="VZ18" i="4"/>
  <c r="XR17" i="4"/>
  <c r="VZ17" i="4"/>
  <c r="WV18" i="4"/>
  <c r="XG18" i="4"/>
  <c r="ZW17" i="4"/>
  <c r="VD18" i="4"/>
  <c r="US18" i="4"/>
  <c r="XR18" i="4"/>
  <c r="YC17" i="4"/>
  <c r="VP18" i="4" l="1"/>
  <c r="UT18" i="4"/>
  <c r="WW18" i="4"/>
  <c r="WL17" i="4"/>
  <c r="XH17" i="4"/>
  <c r="YO17" i="4"/>
  <c r="VE18" i="4"/>
  <c r="AAI17" i="4"/>
  <c r="UT17" i="4"/>
  <c r="VE17" i="4"/>
  <c r="YC18" i="4"/>
  <c r="WA17" i="4"/>
  <c r="XH18" i="4"/>
  <c r="XS17" i="4"/>
  <c r="YD17" i="4"/>
  <c r="YN17" i="4"/>
  <c r="WA18" i="4"/>
  <c r="YD18" i="4"/>
  <c r="WW17" i="4"/>
  <c r="XS18" i="4"/>
  <c r="WL18" i="4"/>
  <c r="VP17" i="4"/>
  <c r="WM17" i="4" l="1"/>
  <c r="XT17" i="4"/>
  <c r="VF18" i="4"/>
  <c r="WX18" i="4"/>
  <c r="XT18" i="4"/>
  <c r="WX17" i="4"/>
  <c r="YE18" i="4"/>
  <c r="YP17" i="4"/>
  <c r="YO18" i="4"/>
  <c r="VF17" i="4"/>
  <c r="YZ17" i="4"/>
  <c r="YE17" i="4"/>
  <c r="VQ17" i="4"/>
  <c r="WB18" i="4"/>
  <c r="XI18" i="4"/>
  <c r="ZA17" i="4"/>
  <c r="VQ18" i="4"/>
  <c r="WM18" i="4"/>
  <c r="AAU17" i="4"/>
  <c r="XI17" i="4"/>
  <c r="WB17" i="4"/>
  <c r="YP18" i="4"/>
  <c r="YF17" i="4" l="1"/>
  <c r="VR17" i="4"/>
  <c r="WN17" i="4"/>
  <c r="WC18" i="4"/>
  <c r="ZA18" i="4"/>
  <c r="XJ17" i="4"/>
  <c r="ZL17" i="4"/>
  <c r="ZB18" i="4"/>
  <c r="YQ18" i="4"/>
  <c r="XU17" i="4"/>
  <c r="WN18" i="4"/>
  <c r="ZB17" i="4"/>
  <c r="WY17" i="4"/>
  <c r="YQ17" i="4"/>
  <c r="YF18" i="4"/>
  <c r="ABG17" i="4"/>
  <c r="ZM17" i="4"/>
  <c r="WC17" i="4"/>
  <c r="XU18" i="4"/>
  <c r="VR18" i="4"/>
  <c r="WY18" i="4"/>
  <c r="XJ18" i="4"/>
  <c r="WO18" i="4" l="1"/>
  <c r="YG18" i="4"/>
  <c r="YR17" i="4"/>
  <c r="ZX17" i="4"/>
  <c r="YG17" i="4"/>
  <c r="XV18" i="4"/>
  <c r="WO17" i="4"/>
  <c r="YR18" i="4"/>
  <c r="ZC18" i="4"/>
  <c r="WZ17" i="4"/>
  <c r="ZN17" i="4"/>
  <c r="XV17" i="4"/>
  <c r="ABS17" i="4"/>
  <c r="WD17" i="4"/>
  <c r="ZC17" i="4"/>
  <c r="ZN18" i="4"/>
  <c r="WD18" i="4"/>
  <c r="XK17" i="4"/>
  <c r="XK18" i="4"/>
  <c r="ZY17" i="4"/>
  <c r="WZ18" i="4"/>
  <c r="ZM18" i="4"/>
  <c r="ZO17" i="4" l="1"/>
  <c r="WP18" i="4"/>
  <c r="XL17" i="4"/>
  <c r="AAK17" i="4"/>
  <c r="WP17" i="4"/>
  <c r="ZO18" i="4"/>
  <c r="XW18" i="4"/>
  <c r="ZZ18" i="4"/>
  <c r="ZZ17" i="4"/>
  <c r="ZD18" i="4"/>
  <c r="AAJ17" i="4"/>
  <c r="YS18" i="4"/>
  <c r="XA17" i="4"/>
  <c r="XL18" i="4"/>
  <c r="YS17" i="4"/>
  <c r="XW17" i="4"/>
  <c r="ZD17" i="4"/>
  <c r="YH18" i="4"/>
  <c r="YH17" i="4"/>
  <c r="ZY18" i="4"/>
  <c r="ACE17" i="4"/>
  <c r="XA18" i="4"/>
  <c r="ZE18" i="4" l="1"/>
  <c r="XB18" i="4"/>
  <c r="ACQ17" i="4"/>
  <c r="AAK18" i="4"/>
  <c r="YI18" i="4"/>
  <c r="XB17" i="4"/>
  <c r="AAL17" i="4"/>
  <c r="XM18" i="4"/>
  <c r="YT17" i="4"/>
  <c r="YI17" i="4"/>
  <c r="AAW17" i="4"/>
  <c r="XM17" i="4"/>
  <c r="ZP17" i="4"/>
  <c r="AAV17" i="4"/>
  <c r="YT18" i="4"/>
  <c r="ZP18" i="4"/>
  <c r="AAA17" i="4"/>
  <c r="ZE17" i="4"/>
  <c r="XX17" i="4"/>
  <c r="XX18" i="4"/>
  <c r="AAL18" i="4"/>
  <c r="AAA18" i="4"/>
  <c r="AAW18" i="4" l="1"/>
  <c r="ZF18" i="4"/>
  <c r="AAX17" i="4"/>
  <c r="YU17" i="4"/>
  <c r="ADC17" i="4"/>
  <c r="AAX18" i="4"/>
  <c r="ABH17" i="4"/>
  <c r="XN18" i="4"/>
  <c r="ZQ17" i="4"/>
  <c r="YJ18" i="4"/>
  <c r="AAM17" i="4"/>
  <c r="ZF17" i="4"/>
  <c r="XN17" i="4"/>
  <c r="AAB18" i="4"/>
  <c r="AAB17" i="4"/>
  <c r="XY17" i="4"/>
  <c r="AAM18" i="4"/>
  <c r="YJ17" i="4"/>
  <c r="ABI17" i="4"/>
  <c r="XY18" i="4"/>
  <c r="YU18" i="4"/>
  <c r="ZQ18" i="4"/>
  <c r="YV18" i="4" l="1"/>
  <c r="AAY17" i="4"/>
  <c r="ABU17" i="4"/>
  <c r="ADO17" i="4"/>
  <c r="YK17" i="4"/>
  <c r="ZR18" i="4"/>
  <c r="ZG18" i="4"/>
  <c r="ABJ17" i="4"/>
  <c r="AAN18" i="4"/>
  <c r="ZR17" i="4"/>
  <c r="ABT17" i="4"/>
  <c r="ZG17" i="4"/>
  <c r="YK18" i="4"/>
  <c r="AAN17" i="4"/>
  <c r="YV17" i="4"/>
  <c r="AAC17" i="4"/>
  <c r="ABI18" i="4"/>
  <c r="AAY18" i="4"/>
  <c r="AAC18" i="4"/>
  <c r="XZ17" i="4"/>
  <c r="XZ18" i="4"/>
  <c r="ABJ18" i="4"/>
  <c r="ZS17" i="4" l="1"/>
  <c r="ABK17" i="4"/>
  <c r="YL17" i="4"/>
  <c r="AAO18" i="4"/>
  <c r="ZH17" i="4"/>
  <c r="ACF17" i="4"/>
  <c r="AAD18" i="4"/>
  <c r="AAO17" i="4"/>
  <c r="ABK18" i="4"/>
  <c r="AAD17" i="4"/>
  <c r="AEA17" i="4"/>
  <c r="ABU18" i="4"/>
  <c r="AAZ17" i="4"/>
  <c r="ZH18" i="4"/>
  <c r="ZS18" i="4"/>
  <c r="ABV18" i="4"/>
  <c r="YW18" i="4"/>
  <c r="AAZ18" i="4"/>
  <c r="ACG17" i="4"/>
  <c r="YW17" i="4"/>
  <c r="YL18" i="4"/>
  <c r="ABV17" i="4"/>
  <c r="ABA18" i="4" l="1"/>
  <c r="ACH18" i="4"/>
  <c r="ZI18" i="4"/>
  <c r="ACH17" i="4"/>
  <c r="AAP18" i="4"/>
  <c r="YX17" i="4"/>
  <c r="AAP17" i="4"/>
  <c r="AAE18" i="4"/>
  <c r="ACR17" i="4"/>
  <c r="AAE17" i="4"/>
  <c r="ZT18" i="4"/>
  <c r="ABW18" i="4"/>
  <c r="ABW17" i="4"/>
  <c r="ABL17" i="4"/>
  <c r="ZI17" i="4"/>
  <c r="AEM17" i="4"/>
  <c r="ACS17" i="4"/>
  <c r="ABA17" i="4"/>
  <c r="ACG18" i="4"/>
  <c r="YX18" i="4"/>
  <c r="ABL18" i="4"/>
  <c r="ZT17" i="4"/>
  <c r="ZU18" i="4" l="1"/>
  <c r="AAQ17" i="4"/>
  <c r="ABX18" i="4"/>
  <c r="ZU17" i="4"/>
  <c r="AEY17" i="4"/>
  <c r="ADD17" i="4"/>
  <c r="ZJ17" i="4"/>
  <c r="ACT17" i="4"/>
  <c r="ACI18" i="4"/>
  <c r="ABB17" i="4"/>
  <c r="ABX17" i="4"/>
  <c r="AAQ18" i="4"/>
  <c r="ABB18" i="4"/>
  <c r="ACT18" i="4"/>
  <c r="ADE17" i="4"/>
  <c r="AAF18" i="4"/>
  <c r="ABM17" i="4"/>
  <c r="ABM18" i="4"/>
  <c r="ACI17" i="4"/>
  <c r="ZJ18" i="4"/>
  <c r="ACS18" i="4"/>
  <c r="AAF17" i="4"/>
  <c r="AAR17" i="4" l="1"/>
  <c r="ZV17" i="4"/>
  <c r="ABN17" i="4"/>
  <c r="ADF18" i="4"/>
  <c r="ABC17" i="4"/>
  <c r="ZV18" i="4"/>
  <c r="AAR18" i="4"/>
  <c r="ADP17" i="4"/>
  <c r="ABN18" i="4"/>
  <c r="AAG18" i="4"/>
  <c r="ADE18" i="4"/>
  <c r="ABY17" i="4"/>
  <c r="ACU17" i="4"/>
  <c r="ACU18" i="4"/>
  <c r="ABC18" i="4"/>
  <c r="AAG17" i="4"/>
  <c r="ABY18" i="4"/>
  <c r="ADQ17" i="4"/>
  <c r="ADF17" i="4"/>
  <c r="ACJ17" i="4"/>
  <c r="AFK17" i="4"/>
  <c r="ACJ18" i="4"/>
  <c r="ACK18" i="4" l="1"/>
  <c r="ADG17" i="4"/>
  <c r="AAH18" i="4"/>
  <c r="ABO18" i="4"/>
  <c r="ABD17" i="4"/>
  <c r="ABZ18" i="4"/>
  <c r="ABO17" i="4"/>
  <c r="AEB17" i="4"/>
  <c r="AAS18" i="4"/>
  <c r="ADG18" i="4"/>
  <c r="AEC17" i="4"/>
  <c r="AAS17" i="4"/>
  <c r="ACK17" i="4"/>
  <c r="ADR18" i="4"/>
  <c r="AAH17" i="4"/>
  <c r="ADQ18" i="4"/>
  <c r="ACV17" i="4"/>
  <c r="ACV18" i="4"/>
  <c r="ADR17" i="4"/>
  <c r="AFW17" i="4"/>
  <c r="ABD18" i="4"/>
  <c r="ABZ17" i="4"/>
  <c r="AEN17" i="4" l="1"/>
  <c r="ADS17" i="4"/>
  <c r="AGI17" i="4"/>
  <c r="ABP17" i="4"/>
  <c r="ABE17" i="4"/>
  <c r="AEO17" i="4"/>
  <c r="ACW18" i="4"/>
  <c r="AEC18" i="4"/>
  <c r="AED18" i="4"/>
  <c r="AED17" i="4"/>
  <c r="ADS18" i="4"/>
  <c r="ACA17" i="4"/>
  <c r="ACA18" i="4"/>
  <c r="ACL17" i="4"/>
  <c r="ABP18" i="4"/>
  <c r="ADH18" i="4"/>
  <c r="ACW17" i="4"/>
  <c r="ABE18" i="4"/>
  <c r="AAT18" i="4"/>
  <c r="AAT17" i="4"/>
  <c r="ADH17" i="4"/>
  <c r="ACL18" i="4"/>
  <c r="ADT18" i="4" l="1"/>
  <c r="AEE18" i="4"/>
  <c r="ABQ17" i="4"/>
  <c r="AEE17" i="4"/>
  <c r="ACM18" i="4"/>
  <c r="ABF17" i="4"/>
  <c r="ACB18" i="4"/>
  <c r="AEP17" i="4"/>
  <c r="ADI17" i="4"/>
  <c r="ACM17" i="4"/>
  <c r="AGU17" i="4"/>
  <c r="ACX17" i="4"/>
  <c r="ACB17" i="4"/>
  <c r="AEO18" i="4"/>
  <c r="ADI18" i="4"/>
  <c r="AEZ17" i="4"/>
  <c r="AFA17" i="4"/>
  <c r="ACX18" i="4"/>
  <c r="ABQ18" i="4"/>
  <c r="ADT17" i="4"/>
  <c r="ABF18" i="4"/>
  <c r="AEP18" i="4"/>
  <c r="AEQ17" i="4" l="1"/>
  <c r="ACC17" i="4"/>
  <c r="ADU18" i="4"/>
  <c r="ADU17" i="4"/>
  <c r="AEQ18" i="4"/>
  <c r="AFB17" i="4"/>
  <c r="ACN18" i="4"/>
  <c r="AFM17" i="4"/>
  <c r="ACN17" i="4"/>
  <c r="AHG17" i="4"/>
  <c r="ABR17" i="4"/>
  <c r="AEF18" i="4"/>
  <c r="ADJ18" i="4"/>
  <c r="AFA18" i="4"/>
  <c r="AEF17" i="4"/>
  <c r="AFB18" i="4"/>
  <c r="AFL17" i="4"/>
  <c r="ACY18" i="4"/>
  <c r="ABR18" i="4"/>
  <c r="ACC18" i="4"/>
  <c r="ADJ17" i="4"/>
  <c r="ACY17" i="4"/>
  <c r="AER17" i="4" l="1"/>
  <c r="ACD17" i="4"/>
  <c r="AFY17" i="4"/>
  <c r="ACO17" i="4"/>
  <c r="AEG18" i="4"/>
  <c r="AFX17" i="4"/>
  <c r="ACZ18" i="4"/>
  <c r="ADV17" i="4"/>
  <c r="ACD18" i="4"/>
  <c r="AFC18" i="4"/>
  <c r="AFN17" i="4"/>
  <c r="AFN18" i="4"/>
  <c r="AFC17" i="4"/>
  <c r="ACO18" i="4"/>
  <c r="AFM18" i="4"/>
  <c r="AHS17" i="4"/>
  <c r="AER18" i="4"/>
  <c r="ADK18" i="4"/>
  <c r="AEG17" i="4"/>
  <c r="ADK17" i="4"/>
  <c r="ADV18" i="4"/>
  <c r="ACZ17" i="4"/>
  <c r="AEH18" i="4" l="1"/>
  <c r="AES17" i="4"/>
  <c r="AGJ17" i="4"/>
  <c r="AGK17" i="4"/>
  <c r="ACP18" i="4"/>
  <c r="ADW18" i="4"/>
  <c r="AEH17" i="4"/>
  <c r="AIE17" i="4"/>
  <c r="AFZ18" i="4"/>
  <c r="ACP17" i="4"/>
  <c r="AFY18" i="4"/>
  <c r="AFD18" i="4"/>
  <c r="AFZ17" i="4"/>
  <c r="AES18" i="4"/>
  <c r="AFD17" i="4"/>
  <c r="AFO17" i="4"/>
  <c r="ADW17" i="4"/>
  <c r="ADL17" i="4"/>
  <c r="ADA18" i="4"/>
  <c r="ADL18" i="4"/>
  <c r="AFO18" i="4"/>
  <c r="ADA17" i="4"/>
  <c r="AGV17" i="4" l="1"/>
  <c r="AGL17" i="4"/>
  <c r="AFP18" i="4"/>
  <c r="AIQ17" i="4"/>
  <c r="ADB17" i="4"/>
  <c r="ADM18" i="4"/>
  <c r="AET17" i="4"/>
  <c r="AFP17" i="4"/>
  <c r="ADM17" i="4"/>
  <c r="AGK18" i="4"/>
  <c r="AGL18" i="4"/>
  <c r="AGW17" i="4"/>
  <c r="AET18" i="4"/>
  <c r="AFE17" i="4"/>
  <c r="ADX17" i="4"/>
  <c r="AFE18" i="4"/>
  <c r="AEI18" i="4"/>
  <c r="AEI17" i="4"/>
  <c r="AGA17" i="4"/>
  <c r="ADX18" i="4"/>
  <c r="AGA18" i="4"/>
  <c r="ADB18" i="4"/>
  <c r="AGB18" i="4" l="1"/>
  <c r="AGW18" i="4"/>
  <c r="AGX18" i="4"/>
  <c r="AGX17" i="4"/>
  <c r="AEJ18" i="4"/>
  <c r="AFF17" i="4"/>
  <c r="ADN17" i="4"/>
  <c r="AFQ17" i="4"/>
  <c r="AGM17" i="4"/>
  <c r="AEU17" i="4"/>
  <c r="ADN18" i="4"/>
  <c r="ADY17" i="4"/>
  <c r="AHH17" i="4"/>
  <c r="AEU18" i="4"/>
  <c r="AFF18" i="4"/>
  <c r="ADY18" i="4"/>
  <c r="AJC17" i="4"/>
  <c r="AFQ18" i="4"/>
  <c r="AHI17" i="4"/>
  <c r="AEJ17" i="4"/>
  <c r="AGM18" i="4"/>
  <c r="AGB17" i="4"/>
  <c r="AGC18" i="4" l="1"/>
  <c r="AHT17" i="4"/>
  <c r="AGY17" i="4"/>
  <c r="AHJ18" i="4"/>
  <c r="AGY18" i="4"/>
  <c r="AEV17" i="4"/>
  <c r="AEK17" i="4"/>
  <c r="AGC17" i="4"/>
  <c r="AHJ17" i="4"/>
  <c r="AEV18" i="4"/>
  <c r="AJO17" i="4"/>
  <c r="AFR18" i="4"/>
  <c r="AHI18" i="4"/>
  <c r="AEK18" i="4"/>
  <c r="AFG18" i="4"/>
  <c r="ADZ18" i="4"/>
  <c r="ADZ17" i="4"/>
  <c r="AGN18" i="4"/>
  <c r="AFR17" i="4"/>
  <c r="AHU17" i="4"/>
  <c r="AGN17" i="4"/>
  <c r="AFG17" i="4"/>
  <c r="AGZ17" i="4" l="1"/>
  <c r="AEL18" i="4"/>
  <c r="AHK18" i="4"/>
  <c r="AGD17" i="4"/>
  <c r="AHV17" i="4"/>
  <c r="AFS18" i="4"/>
  <c r="AGD18" i="4"/>
  <c r="AGO17" i="4"/>
  <c r="AHV18" i="4"/>
  <c r="AEW18" i="4"/>
  <c r="AEW17" i="4"/>
  <c r="AEL17" i="4"/>
  <c r="AGO18" i="4"/>
  <c r="AHK17" i="4"/>
  <c r="AKA17" i="4"/>
  <c r="AIG17" i="4"/>
  <c r="AGZ18" i="4"/>
  <c r="AIF17" i="4"/>
  <c r="AFS17" i="4"/>
  <c r="AHU18" i="4"/>
  <c r="AFH18" i="4"/>
  <c r="AFH17" i="4"/>
  <c r="AIS17" i="4" l="1"/>
  <c r="AHW17" i="4"/>
  <c r="AEX17" i="4"/>
  <c r="AGE18" i="4"/>
  <c r="AHW18" i="4"/>
  <c r="AKM17" i="4"/>
  <c r="AGE17" i="4"/>
  <c r="AHA18" i="4"/>
  <c r="AFT17" i="4"/>
  <c r="AIH17" i="4"/>
  <c r="AEX18" i="4"/>
  <c r="AGP17" i="4"/>
  <c r="AIR17" i="4"/>
  <c r="AFI18" i="4"/>
  <c r="AFI17" i="4"/>
  <c r="AIH18" i="4"/>
  <c r="AHL17" i="4"/>
  <c r="AGP18" i="4"/>
  <c r="AFT18" i="4"/>
  <c r="AHL18" i="4"/>
  <c r="AIG18" i="4"/>
  <c r="AHA17" i="4"/>
  <c r="AFJ17" i="4" l="1"/>
  <c r="AGQ17" i="4"/>
  <c r="AGF17" i="4"/>
  <c r="AKY17" i="4"/>
  <c r="AFU17" i="4"/>
  <c r="AII17" i="4"/>
  <c r="AIS18" i="4"/>
  <c r="AHB18" i="4"/>
  <c r="AJE17" i="4"/>
  <c r="AHX18" i="4"/>
  <c r="AHB17" i="4"/>
  <c r="AHM18" i="4"/>
  <c r="AII18" i="4"/>
  <c r="AGF18" i="4"/>
  <c r="AFJ18" i="4"/>
  <c r="AHX17" i="4"/>
  <c r="AGQ18" i="4"/>
  <c r="AHM17" i="4"/>
  <c r="AJD17" i="4"/>
  <c r="AFU18" i="4"/>
  <c r="AIT18" i="4"/>
  <c r="AIT17" i="4"/>
  <c r="AHN18" i="4" l="1"/>
  <c r="ALK17" i="4"/>
  <c r="AJQ17" i="4"/>
  <c r="AHY17" i="4"/>
  <c r="AHY18" i="4"/>
  <c r="AGR17" i="4"/>
  <c r="AJE18" i="4"/>
  <c r="AIU18" i="4"/>
  <c r="AHC18" i="4"/>
  <c r="AHN17" i="4"/>
  <c r="AIU17" i="4"/>
  <c r="AIJ17" i="4"/>
  <c r="AGG18" i="4"/>
  <c r="AIJ18" i="4"/>
  <c r="AFV18" i="4"/>
  <c r="AJF17" i="4"/>
  <c r="AGR18" i="4"/>
  <c r="AGG17" i="4"/>
  <c r="AFV17" i="4"/>
  <c r="AJF18" i="4"/>
  <c r="AJP17" i="4"/>
  <c r="AHC17" i="4"/>
  <c r="AGS18" i="4" l="1"/>
  <c r="AHO18" i="4"/>
  <c r="AKB17" i="4"/>
  <c r="AHD17" i="4"/>
  <c r="ALW17" i="4"/>
  <c r="AJR17" i="4"/>
  <c r="AJG18" i="4"/>
  <c r="AGH17" i="4"/>
  <c r="AJG17" i="4"/>
  <c r="AIK18" i="4"/>
  <c r="AHZ18" i="4"/>
  <c r="AGH18" i="4"/>
  <c r="AJR18" i="4"/>
  <c r="AHD18" i="4"/>
  <c r="AHZ17" i="4"/>
  <c r="AIK17" i="4"/>
  <c r="AHO17" i="4"/>
  <c r="AGS17" i="4"/>
  <c r="AKC17" i="4"/>
  <c r="AIV18" i="4"/>
  <c r="AIV17" i="4"/>
  <c r="AJQ18" i="4"/>
  <c r="AKD17" i="4" l="1"/>
  <c r="AJH18" i="4"/>
  <c r="AIL18" i="4"/>
  <c r="AGT17" i="4"/>
  <c r="AHE17" i="4"/>
  <c r="AIL17" i="4"/>
  <c r="AIA18" i="4"/>
  <c r="AIW18" i="4"/>
  <c r="AMI17" i="4"/>
  <c r="AIW17" i="4"/>
  <c r="AGT18" i="4"/>
  <c r="AKN17" i="4"/>
  <c r="AKO17" i="4"/>
  <c r="AKC18" i="4"/>
  <c r="AKD18" i="4"/>
  <c r="AJS17" i="4"/>
  <c r="AHE18" i="4"/>
  <c r="AJS18" i="4"/>
  <c r="AHP17" i="4"/>
  <c r="AJH17" i="4"/>
  <c r="AIA17" i="4"/>
  <c r="AHP18" i="4"/>
  <c r="AHF18" i="4" l="1"/>
  <c r="AJT18" i="4"/>
  <c r="AIB17" i="4"/>
  <c r="AJI17" i="4"/>
  <c r="AJT17" i="4"/>
  <c r="AIX18" i="4"/>
  <c r="AIB18" i="4"/>
  <c r="AKE18" i="4"/>
  <c r="AIX17" i="4"/>
  <c r="AJI18" i="4"/>
  <c r="ALA17" i="4"/>
  <c r="AKP17" i="4"/>
  <c r="AKP18" i="4"/>
  <c r="AKO18" i="4"/>
  <c r="AHQ18" i="4"/>
  <c r="AHQ17" i="4"/>
  <c r="AHF17" i="4"/>
  <c r="AIM17" i="4"/>
  <c r="AMU17" i="4"/>
  <c r="AIM18" i="4"/>
  <c r="AKE17" i="4"/>
  <c r="AKZ17" i="4"/>
  <c r="AIC17" i="4" l="1"/>
  <c r="AIY18" i="4"/>
  <c r="AIY17" i="4"/>
  <c r="AKQ18" i="4"/>
  <c r="AIN17" i="4"/>
  <c r="ALM17" i="4"/>
  <c r="AJU17" i="4"/>
  <c r="AIC18" i="4"/>
  <c r="AIN18" i="4"/>
  <c r="AHR18" i="4"/>
  <c r="AKF17" i="4"/>
  <c r="ALL17" i="4"/>
  <c r="AHR17" i="4"/>
  <c r="AJU18" i="4"/>
  <c r="ALB17" i="4"/>
  <c r="ALA18" i="4"/>
  <c r="AJJ17" i="4"/>
  <c r="AKF18" i="4"/>
  <c r="AKQ17" i="4"/>
  <c r="ANG17" i="4"/>
  <c r="ALB18" i="4"/>
  <c r="AJJ18" i="4"/>
  <c r="AKR17" i="4" l="1"/>
  <c r="ALC18" i="4"/>
  <c r="AJK18" i="4"/>
  <c r="AJV17" i="4"/>
  <c r="AIZ17" i="4"/>
  <c r="AKG18" i="4"/>
  <c r="AID18" i="4"/>
  <c r="AKG17" i="4"/>
  <c r="ALN17" i="4"/>
  <c r="ALM18" i="4"/>
  <c r="AKR18" i="4"/>
  <c r="AIO17" i="4"/>
  <c r="ALX17" i="4"/>
  <c r="ALN18" i="4"/>
  <c r="AID17" i="4"/>
  <c r="ALY17" i="4"/>
  <c r="AIO18" i="4"/>
  <c r="ALC17" i="4"/>
  <c r="AJV18" i="4"/>
  <c r="AIZ18" i="4"/>
  <c r="AJK17" i="4"/>
  <c r="ANS17" i="4"/>
  <c r="AJW17" i="4" l="1"/>
  <c r="AJL18" i="4"/>
  <c r="AKS17" i="4"/>
  <c r="AKH17" i="4"/>
  <c r="ALD17" i="4"/>
  <c r="ALD18" i="4"/>
  <c r="AKH18" i="4"/>
  <c r="AMJ17" i="4"/>
  <c r="ALZ18" i="4"/>
  <c r="AMK17" i="4"/>
  <c r="ALZ17" i="4"/>
  <c r="AIP18" i="4"/>
  <c r="AJA18" i="4"/>
  <c r="AJW18" i="4"/>
  <c r="ALO18" i="4"/>
  <c r="AOE17" i="4"/>
  <c r="ALO17" i="4"/>
  <c r="AJA17" i="4"/>
  <c r="ALY18" i="4"/>
  <c r="AIP17" i="4"/>
  <c r="AJL17" i="4"/>
  <c r="AKS18" i="4"/>
  <c r="AKI18" i="4" l="1"/>
  <c r="AJX17" i="4"/>
  <c r="AKI17" i="4"/>
  <c r="AJX18" i="4"/>
  <c r="AJM18" i="4"/>
  <c r="AJB17" i="4"/>
  <c r="AMA17" i="4"/>
  <c r="AJB18" i="4"/>
  <c r="AMV17" i="4"/>
  <c r="ALP17" i="4"/>
  <c r="AMW17" i="4"/>
  <c r="AKT18" i="4"/>
  <c r="ALP18" i="4"/>
  <c r="AMK18" i="4"/>
  <c r="AKT17" i="4"/>
  <c r="AML17" i="4"/>
  <c r="AJM17" i="4"/>
  <c r="AMA18" i="4"/>
  <c r="ALE18" i="4"/>
  <c r="AML18" i="4"/>
  <c r="ALE17" i="4"/>
  <c r="AKJ17" i="4" l="1"/>
  <c r="ALQ18" i="4"/>
  <c r="AMW18" i="4"/>
  <c r="AKU17" i="4"/>
  <c r="AJN17" i="4"/>
  <c r="ALF17" i="4"/>
  <c r="AMB18" i="4"/>
  <c r="ALQ17" i="4"/>
  <c r="AMM18" i="4"/>
  <c r="ANI17" i="4"/>
  <c r="AKU18" i="4"/>
  <c r="AMM17" i="4"/>
  <c r="AJY17" i="4"/>
  <c r="ANH17" i="4"/>
  <c r="AJY18" i="4"/>
  <c r="ALF18" i="4"/>
  <c r="AMX18" i="4"/>
  <c r="AMB17" i="4"/>
  <c r="AMX17" i="4"/>
  <c r="AJN18" i="4"/>
  <c r="AKJ18" i="4"/>
  <c r="AMC17" i="4" l="1"/>
  <c r="ANJ17" i="4"/>
  <c r="ALR18" i="4"/>
  <c r="ALG18" i="4"/>
  <c r="AMC18" i="4"/>
  <c r="AKV17" i="4"/>
  <c r="AKK17" i="4"/>
  <c r="AMY17" i="4"/>
  <c r="AJZ17" i="4"/>
  <c r="AKK18" i="4"/>
  <c r="ALR17" i="4"/>
  <c r="ANT17" i="4"/>
  <c r="AMN18" i="4"/>
  <c r="ANU17" i="4"/>
  <c r="ALG17" i="4"/>
  <c r="AMN17" i="4"/>
  <c r="AKV18" i="4"/>
  <c r="AJZ18" i="4"/>
  <c r="ANJ18" i="4"/>
  <c r="ANI18" i="4"/>
  <c r="AMY18" i="4"/>
  <c r="AKW17" i="4" l="1"/>
  <c r="ALH17" i="4"/>
  <c r="AMD17" i="4"/>
  <c r="AMO17" i="4"/>
  <c r="AMZ18" i="4"/>
  <c r="ANV17" i="4"/>
  <c r="ANK18" i="4"/>
  <c r="ANK17" i="4"/>
  <c r="AMO18" i="4"/>
  <c r="AKL17" i="4"/>
  <c r="ANU18" i="4"/>
  <c r="AKL18" i="4"/>
  <c r="ALS18" i="4"/>
  <c r="ALH18" i="4"/>
  <c r="AMZ17" i="4"/>
  <c r="ANV18" i="4"/>
  <c r="AOF17" i="4"/>
  <c r="ALS17" i="4"/>
  <c r="AOG17" i="4"/>
  <c r="AKW18" i="4"/>
  <c r="AMD18" i="4"/>
  <c r="ALT18" i="4" l="1"/>
  <c r="AOG18" i="4"/>
  <c r="ANW18" i="4"/>
  <c r="ANA17" i="4"/>
  <c r="ALT17" i="4"/>
  <c r="ANL18" i="4"/>
  <c r="AMP18" i="4"/>
  <c r="AME18" i="4"/>
  <c r="AKX18" i="4"/>
  <c r="AOH17" i="4"/>
  <c r="AMP17" i="4"/>
  <c r="ALI18" i="4"/>
  <c r="ALI17" i="4"/>
  <c r="ANL17" i="4"/>
  <c r="AKX17" i="4"/>
  <c r="AME17" i="4"/>
  <c r="AOH18" i="4"/>
  <c r="ANA18" i="4"/>
  <c r="ANW17" i="4"/>
  <c r="ALJ18" i="4" l="1"/>
  <c r="ALJ17" i="4"/>
  <c r="AOI18" i="4"/>
  <c r="AOI17" i="4"/>
  <c r="ANX17" i="4"/>
  <c r="ANX18" i="4"/>
  <c r="AMF18" i="4"/>
  <c r="ANB17" i="4"/>
  <c r="AMF17" i="4"/>
  <c r="ANM17" i="4"/>
  <c r="ALU17" i="4"/>
  <c r="ANM18" i="4"/>
  <c r="AMQ18" i="4"/>
  <c r="ANB18" i="4"/>
  <c r="AMQ17" i="4"/>
  <c r="ALU18" i="4"/>
  <c r="AOJ17" i="4" l="1"/>
  <c r="AMG17" i="4"/>
  <c r="AMR17" i="4"/>
  <c r="AMR18" i="4"/>
  <c r="ANY17" i="4"/>
  <c r="ALV17" i="4"/>
  <c r="AMG18" i="4"/>
  <c r="ANN17" i="4"/>
  <c r="AOJ18" i="4"/>
  <c r="ANC18" i="4"/>
  <c r="ANC17" i="4"/>
  <c r="ANN18" i="4"/>
  <c r="ANY18" i="4"/>
  <c r="ALV18" i="4"/>
  <c r="AMS17" i="4" l="1"/>
  <c r="AMS18" i="4"/>
  <c r="AOK17" i="4"/>
  <c r="AND17" i="4"/>
  <c r="ANO18" i="4"/>
  <c r="AMH17" i="4"/>
  <c r="AND18" i="4"/>
  <c r="AMH18" i="4"/>
  <c r="ANO17" i="4"/>
  <c r="AOK18" i="4"/>
  <c r="ANZ18" i="4"/>
  <c r="ANZ17" i="4"/>
  <c r="AOA18" i="4" l="1"/>
  <c r="AOL18" i="4"/>
  <c r="ANP17" i="4"/>
  <c r="ANP18" i="4"/>
  <c r="ANE18" i="4"/>
  <c r="AMT18" i="4"/>
  <c r="AOA17" i="4"/>
  <c r="ANE17" i="4"/>
  <c r="AOL17" i="4"/>
  <c r="AMT17" i="4"/>
  <c r="AOB17" i="4" l="1"/>
  <c r="ANF17" i="4"/>
  <c r="ANQ18" i="4"/>
  <c r="AOM17" i="4"/>
  <c r="ANQ17" i="4"/>
  <c r="AOM18" i="4"/>
  <c r="AOB18" i="4"/>
  <c r="ANF18" i="4"/>
  <c r="ANR17" i="4" l="1"/>
  <c r="AON17" i="4"/>
  <c r="AOC18" i="4"/>
  <c r="ANR18" i="4"/>
  <c r="AON18" i="4"/>
  <c r="AOC17" i="4"/>
  <c r="AOD17" i="4" l="1"/>
  <c r="AOD18" i="4"/>
  <c r="AOO18" i="4"/>
  <c r="AOO17" i="4"/>
  <c r="AOP18" i="4" l="1"/>
  <c r="AOP17" i="4"/>
  <c r="G71" i="1" l="1"/>
  <c r="C54" i="1" l="1"/>
  <c r="C55" i="1" l="1"/>
  <c r="C37" i="1"/>
  <c r="C31" i="1"/>
  <c r="C30" i="1"/>
  <c r="C13" i="1"/>
  <c r="C8" i="1"/>
  <c r="G30" i="1" l="1"/>
  <c r="H50" i="1"/>
  <c r="G50" i="1" s="1"/>
  <c r="G51" i="1"/>
  <c r="D5" i="4" s="1"/>
  <c r="C9" i="8"/>
  <c r="LN14" i="8" s="1"/>
  <c r="G33" i="7"/>
  <c r="P33" i="7" s="1"/>
  <c r="AI104" i="2"/>
  <c r="H25" i="7"/>
  <c r="D9" i="4"/>
  <c r="C11" i="1"/>
  <c r="C44" i="1"/>
  <c r="H68" i="1" s="1"/>
  <c r="Y53" i="3"/>
  <c r="Y54" i="3" s="1"/>
  <c r="Y55" i="3" s="1"/>
  <c r="Y56" i="3" s="1"/>
  <c r="Y57" i="3" s="1"/>
  <c r="C12" i="1"/>
  <c r="C10" i="1"/>
  <c r="G32" i="1"/>
  <c r="J26" i="7" s="1"/>
  <c r="G22" i="1"/>
  <c r="BG77" i="2" s="1"/>
  <c r="C34" i="1"/>
  <c r="C32" i="1"/>
  <c r="G31" i="1" s="1"/>
  <c r="C22" i="1"/>
  <c r="C18" i="1"/>
  <c r="C17" i="1"/>
  <c r="AI109" i="2" s="1"/>
  <c r="O2" i="3"/>
  <c r="CD7" i="2" s="1"/>
  <c r="E112" i="2"/>
  <c r="C19" i="1" l="1"/>
  <c r="H26" i="7"/>
  <c r="CO119" i="2"/>
  <c r="AOL13" i="8"/>
  <c r="AOL22" i="8" s="1"/>
  <c r="LE14" i="8"/>
  <c r="BL161" i="2"/>
  <c r="AMZ13" i="8"/>
  <c r="AMZ22" i="8" s="1"/>
  <c r="AMN13" i="8"/>
  <c r="AMN22" i="8" s="1"/>
  <c r="SE13" i="8"/>
  <c r="ADI13" i="8"/>
  <c r="ANE13" i="8"/>
  <c r="ANE22" i="8" s="1"/>
  <c r="FH13" i="8"/>
  <c r="FH22" i="8" s="1"/>
  <c r="AMS13" i="8"/>
  <c r="AMS22" i="8" s="1"/>
  <c r="CB13" i="8"/>
  <c r="CB22" i="8" s="1"/>
  <c r="AKE13" i="8"/>
  <c r="AKE22" i="8" s="1"/>
  <c r="MC13" i="8"/>
  <c r="MC22" i="8" s="1"/>
  <c r="VY13" i="8"/>
  <c r="ACN13" i="8"/>
  <c r="ADW13" i="8"/>
  <c r="G13" i="8"/>
  <c r="G22" i="8" s="1"/>
  <c r="AIE13" i="8"/>
  <c r="AMT13" i="8"/>
  <c r="AMT22" i="8" s="1"/>
  <c r="RQ13" i="8"/>
  <c r="AMA13" i="8"/>
  <c r="AMA22" i="8" s="1"/>
  <c r="YN13" i="8"/>
  <c r="ADQ13" i="8"/>
  <c r="ACY13" i="8"/>
  <c r="AAP13" i="8"/>
  <c r="AFQ14" i="8"/>
  <c r="AKR13" i="8"/>
  <c r="AKR22" i="8" s="1"/>
  <c r="AFH13" i="8"/>
  <c r="AJX14" i="8"/>
  <c r="ZH13" i="8"/>
  <c r="AHN13" i="8"/>
  <c r="DE13" i="8"/>
  <c r="DE22" i="8" s="1"/>
  <c r="ZY14" i="8"/>
  <c r="QM13" i="8"/>
  <c r="QM22" i="8" s="1"/>
  <c r="ALB13" i="8"/>
  <c r="ALB22" i="8" s="1"/>
  <c r="AHD13" i="8"/>
  <c r="RL13" i="8"/>
  <c r="VU13" i="8"/>
  <c r="MO13" i="8"/>
  <c r="MO22" i="8" s="1"/>
  <c r="QX14" i="8"/>
  <c r="ADE13" i="8"/>
  <c r="AHB13" i="8"/>
  <c r="AFL13" i="8"/>
  <c r="AIP13" i="8"/>
  <c r="AAD13" i="8"/>
  <c r="QA13" i="8"/>
  <c r="QA22" i="8" s="1"/>
  <c r="QJ13" i="8"/>
  <c r="QJ22" i="8" s="1"/>
  <c r="OI13" i="8"/>
  <c r="OI22" i="8" s="1"/>
  <c r="ZZ14" i="8"/>
  <c r="GJ13" i="8"/>
  <c r="GJ22" i="8" s="1"/>
  <c r="AOP13" i="8"/>
  <c r="AOP22" i="8" s="1"/>
  <c r="PW13" i="8"/>
  <c r="PW22" i="8" s="1"/>
  <c r="AOF13" i="8"/>
  <c r="AOF22" i="8" s="1"/>
  <c r="EL13" i="8"/>
  <c r="EL22" i="8" s="1"/>
  <c r="AJV13" i="8"/>
  <c r="AJV22" i="8" s="1"/>
  <c r="AGM13" i="8"/>
  <c r="AHA13" i="8"/>
  <c r="ABJ13" i="8"/>
  <c r="DN13" i="8"/>
  <c r="DN22" i="8" s="1"/>
  <c r="XD13" i="8"/>
  <c r="LF13" i="8"/>
  <c r="LF22" i="8" s="1"/>
  <c r="QN13" i="8"/>
  <c r="QN22" i="8" s="1"/>
  <c r="ALY14" i="8"/>
  <c r="ADM14" i="8"/>
  <c r="WP14" i="8"/>
  <c r="QB14" i="8"/>
  <c r="ANQ13" i="8"/>
  <c r="ANQ22" i="8" s="1"/>
  <c r="AIN13" i="8"/>
  <c r="ADF13" i="8"/>
  <c r="AHQ13" i="8"/>
  <c r="AKD13" i="8"/>
  <c r="AKD22" i="8" s="1"/>
  <c r="AAZ13" i="8"/>
  <c r="AMU13" i="8"/>
  <c r="AMU22" i="8" s="1"/>
  <c r="AEA13" i="8"/>
  <c r="LK13" i="8"/>
  <c r="LK22" i="8" s="1"/>
  <c r="ALP13" i="8"/>
  <c r="ALP22" i="8" s="1"/>
  <c r="ACW13" i="8"/>
  <c r="AJZ13" i="8"/>
  <c r="AJZ22" i="8" s="1"/>
  <c r="ANT13" i="8"/>
  <c r="ANT22" i="8" s="1"/>
  <c r="AHC13" i="8"/>
  <c r="AFO13" i="8"/>
  <c r="TK13" i="8"/>
  <c r="AAQ13" i="8"/>
  <c r="VX13" i="8"/>
  <c r="AAR13" i="8"/>
  <c r="EC13" i="8"/>
  <c r="EC22" i="8" s="1"/>
  <c r="MF13" i="8"/>
  <c r="MF22" i="8" s="1"/>
  <c r="OH13" i="8"/>
  <c r="OH22" i="8" s="1"/>
  <c r="TJ13" i="8"/>
  <c r="ZJ13" i="8"/>
  <c r="EB13" i="8"/>
  <c r="EB22" i="8" s="1"/>
  <c r="II13" i="8"/>
  <c r="II22" i="8" s="1"/>
  <c r="BK13" i="8"/>
  <c r="BK22" i="8" s="1"/>
  <c r="HB13" i="8"/>
  <c r="HB22" i="8" s="1"/>
  <c r="AHR14" i="8"/>
  <c r="AEG14" i="8"/>
  <c r="YZ14" i="8"/>
  <c r="OQ14" i="8"/>
  <c r="MZ13" i="8"/>
  <c r="MZ22" i="8" s="1"/>
  <c r="AHW13" i="8"/>
  <c r="ALU13" i="8"/>
  <c r="ALU22" i="8" s="1"/>
  <c r="FE13" i="8"/>
  <c r="FE22" i="8" s="1"/>
  <c r="AAF13" i="8"/>
  <c r="ADP13" i="8"/>
  <c r="AIJ13" i="8"/>
  <c r="QD13" i="8"/>
  <c r="QD22" i="8" s="1"/>
  <c r="AND13" i="8"/>
  <c r="AND22" i="8" s="1"/>
  <c r="AGC13" i="8"/>
  <c r="IF13" i="8"/>
  <c r="IF22" i="8" s="1"/>
  <c r="ALZ13" i="8"/>
  <c r="ALZ22" i="8" s="1"/>
  <c r="ABY13" i="8"/>
  <c r="AJG13" i="8"/>
  <c r="AJG22" i="8" s="1"/>
  <c r="AJX13" i="8"/>
  <c r="AJX22" i="8" s="1"/>
  <c r="AII13" i="8"/>
  <c r="ABR13" i="8"/>
  <c r="UL13" i="8"/>
  <c r="AAE13" i="8"/>
  <c r="SX13" i="8"/>
  <c r="ACI13" i="8"/>
  <c r="FI13" i="8"/>
  <c r="FI22" i="8" s="1"/>
  <c r="NL13" i="8"/>
  <c r="NL22" i="8" s="1"/>
  <c r="NK13" i="8"/>
  <c r="NK22" i="8" s="1"/>
  <c r="VW13" i="8"/>
  <c r="ZI13" i="8"/>
  <c r="EA13" i="8"/>
  <c r="EA22" i="8" s="1"/>
  <c r="LG13" i="8"/>
  <c r="LG22" i="8" s="1"/>
  <c r="DL13" i="8"/>
  <c r="DL22" i="8" s="1"/>
  <c r="CR13" i="8"/>
  <c r="CR22" i="8" s="1"/>
  <c r="AJU14" i="8"/>
  <c r="AER14" i="8"/>
  <c r="UT14" i="8"/>
  <c r="PM14" i="8"/>
  <c r="ALH13" i="8"/>
  <c r="ALH22" i="8" s="1"/>
  <c r="ANN13" i="8"/>
  <c r="ANN22" i="8" s="1"/>
  <c r="BW13" i="8"/>
  <c r="BW22" i="8" s="1"/>
  <c r="IH13" i="8"/>
  <c r="IH22" i="8" s="1"/>
  <c r="UO13" i="8"/>
  <c r="ALC13" i="8"/>
  <c r="ALC22" i="8" s="1"/>
  <c r="NT13" i="8"/>
  <c r="NT22" i="8" s="1"/>
  <c r="AES13" i="8"/>
  <c r="AGU13" i="8"/>
  <c r="YA13" i="8"/>
  <c r="AKZ13" i="8"/>
  <c r="AKZ22" i="8" s="1"/>
  <c r="ACR13" i="8"/>
  <c r="AOE13" i="8"/>
  <c r="AOE22" i="8" s="1"/>
  <c r="AEY13" i="8"/>
  <c r="QS13" i="8"/>
  <c r="QS22" i="8" s="1"/>
  <c r="ALJ13" i="8"/>
  <c r="ALJ22" i="8" s="1"/>
  <c r="AEI13" i="8"/>
  <c r="ALQ13" i="8"/>
  <c r="ALQ22" i="8" s="1"/>
  <c r="AKG13" i="8"/>
  <c r="AKG22" i="8" s="1"/>
  <c r="PA13" i="8"/>
  <c r="PA22" i="8" s="1"/>
  <c r="AGR13" i="8"/>
  <c r="AKH13" i="8"/>
  <c r="AKH22" i="8" s="1"/>
  <c r="AEM13" i="8"/>
  <c r="ADT13" i="8"/>
  <c r="SN13" i="8"/>
  <c r="XW13" i="8"/>
  <c r="VK13" i="8"/>
  <c r="ABW13" i="8"/>
  <c r="GC13" i="8"/>
  <c r="GC22" i="8" s="1"/>
  <c r="KA13" i="8"/>
  <c r="KA22" i="8" s="1"/>
  <c r="OF13" i="8"/>
  <c r="OF22" i="8" s="1"/>
  <c r="VV13" i="8"/>
  <c r="YW13" i="8"/>
  <c r="DO13" i="8"/>
  <c r="DO22" i="8" s="1"/>
  <c r="KJ13" i="8"/>
  <c r="KJ22" i="8" s="1"/>
  <c r="CL13" i="8"/>
  <c r="CL22" i="8" s="1"/>
  <c r="M13" i="8"/>
  <c r="M22" i="8" s="1"/>
  <c r="AIM14" i="8"/>
  <c r="AEF14" i="8"/>
  <c r="WW14" i="8"/>
  <c r="MY14" i="8"/>
  <c r="ANC13" i="8"/>
  <c r="ANC22" i="8" s="1"/>
  <c r="UQ13" i="8"/>
  <c r="RT14" i="8"/>
  <c r="AKP13" i="8"/>
  <c r="AKP22" i="8" s="1"/>
  <c r="ADJ13" i="8"/>
  <c r="JZ13" i="8"/>
  <c r="JZ22" i="8" s="1"/>
  <c r="AV13" i="8"/>
  <c r="AV22" i="8" s="1"/>
  <c r="AJQ13" i="8"/>
  <c r="AJQ22" i="8" s="1"/>
  <c r="YQ13" i="8"/>
  <c r="AOM13" i="8"/>
  <c r="AOM22" i="8" s="1"/>
  <c r="ADO13" i="8"/>
  <c r="NY13" i="8"/>
  <c r="NY22" i="8" s="1"/>
  <c r="AME13" i="8"/>
  <c r="AME22" i="8" s="1"/>
  <c r="AFZ13" i="8"/>
  <c r="AFC13" i="8"/>
  <c r="AHG13" i="8"/>
  <c r="JS13" i="8"/>
  <c r="JS22" i="8" s="1"/>
  <c r="AGF13" i="8"/>
  <c r="AGL13" i="8"/>
  <c r="ABA13" i="8"/>
  <c r="LT13" i="8"/>
  <c r="LT22" i="8" s="1"/>
  <c r="ADN13" i="8"/>
  <c r="AMC13" i="8"/>
  <c r="AMC22" i="8" s="1"/>
  <c r="SB13" i="8"/>
  <c r="WK13" i="8"/>
  <c r="BA13" i="8"/>
  <c r="BA22" i="8" s="1"/>
  <c r="FK13" i="8"/>
  <c r="FK22" i="8" s="1"/>
  <c r="JP13" i="8"/>
  <c r="JP22" i="8" s="1"/>
  <c r="QU13" i="8"/>
  <c r="QU22" i="8" s="1"/>
  <c r="TV13" i="8"/>
  <c r="AE13" i="8"/>
  <c r="AE22" i="8" s="1"/>
  <c r="GP13" i="8"/>
  <c r="GP22" i="8" s="1"/>
  <c r="QV13" i="8"/>
  <c r="QV22" i="8" s="1"/>
  <c r="ANZ14" i="8"/>
  <c r="AGH14" i="8"/>
  <c r="ACV14" i="8"/>
  <c r="UE14" i="8"/>
  <c r="OB14" i="8"/>
  <c r="AIS13" i="8"/>
  <c r="AIS22" i="8" s="1"/>
  <c r="WG13" i="8"/>
  <c r="ANZ13" i="8"/>
  <c r="ANZ22" i="8" s="1"/>
  <c r="AGK13" i="8"/>
  <c r="MB13" i="8"/>
  <c r="MB22" i="8" s="1"/>
  <c r="ALS13" i="8"/>
  <c r="ALS22" i="8" s="1"/>
  <c r="ACO13" i="8"/>
  <c r="LR13" i="8"/>
  <c r="LR22" i="8" s="1"/>
  <c r="AIX13" i="8"/>
  <c r="AIX22" i="8" s="1"/>
  <c r="KI13" i="8"/>
  <c r="KI22" i="8" s="1"/>
  <c r="AFT13" i="8"/>
  <c r="ACP13" i="8"/>
  <c r="XM13" i="8"/>
  <c r="IZ13" i="8"/>
  <c r="IZ22" i="8" s="1"/>
  <c r="ABX13" i="8"/>
  <c r="AJN13" i="8"/>
  <c r="AJN22" i="8" s="1"/>
  <c r="MY13" i="8"/>
  <c r="MY22" i="8" s="1"/>
  <c r="WU13" i="8"/>
  <c r="R13" i="8"/>
  <c r="R22" i="8" s="1"/>
  <c r="DG13" i="8"/>
  <c r="DG22" i="8" s="1"/>
  <c r="KK13" i="8"/>
  <c r="KK22" i="8" s="1"/>
  <c r="OQ13" i="8"/>
  <c r="OQ22" i="8" s="1"/>
  <c r="WI13" i="8"/>
  <c r="F13" i="8"/>
  <c r="F22" i="8" s="1"/>
  <c r="DP13" i="8"/>
  <c r="DP22" i="8" s="1"/>
  <c r="MW13" i="8"/>
  <c r="MW22" i="8" s="1"/>
  <c r="AMH14" i="8"/>
  <c r="AIK14" i="8"/>
  <c r="ABD14" i="8"/>
  <c r="XD14" i="8"/>
  <c r="AD14" i="8"/>
  <c r="HV14" i="8"/>
  <c r="IT14" i="8"/>
  <c r="NL14" i="8"/>
  <c r="NB14" i="8"/>
  <c r="MR14" i="8"/>
  <c r="NY14" i="8"/>
  <c r="LX14" i="8"/>
  <c r="MJ14" i="8"/>
  <c r="LO14" i="8"/>
  <c r="MW14" i="8"/>
  <c r="PA14" i="8"/>
  <c r="RP14" i="8"/>
  <c r="NV14" i="8"/>
  <c r="SN14" i="8"/>
  <c r="QL14" i="8"/>
  <c r="SO14" i="8"/>
  <c r="PG14" i="8"/>
  <c r="QD14" i="8"/>
  <c r="RA14" i="8"/>
  <c r="UK14" i="8"/>
  <c r="TF14" i="8"/>
  <c r="VI14" i="8"/>
  <c r="VV14" i="8"/>
  <c r="WG14" i="8"/>
  <c r="VB14" i="8"/>
  <c r="UG14" i="8"/>
  <c r="UH14" i="8"/>
  <c r="VP14" i="8"/>
  <c r="ZL14" i="8"/>
  <c r="VG14" i="8"/>
  <c r="ZC14" i="8"/>
  <c r="YS14" i="8"/>
  <c r="XB14" i="8"/>
  <c r="AAM14" i="8"/>
  <c r="AAY14" i="8"/>
  <c r="YL14" i="8"/>
  <c r="ACH14" i="8"/>
  <c r="ACT14" i="8"/>
  <c r="ADF14" i="8"/>
  <c r="AAH14" i="8"/>
  <c r="AEC14" i="8"/>
  <c r="ACB14" i="8"/>
  <c r="ACC14" i="8"/>
  <c r="ADV14" i="8"/>
  <c r="ACP14" i="8"/>
  <c r="AFP14" i="8"/>
  <c r="AEJ14" i="8"/>
  <c r="AIF14" i="8"/>
  <c r="AGD14" i="8"/>
  <c r="AFT14" i="8"/>
  <c r="AFJ14" i="8"/>
  <c r="AJF14" i="8"/>
  <c r="AHZ14" i="8"/>
  <c r="AKC14" i="8"/>
  <c r="AIX14" i="8"/>
  <c r="AIY14" i="8"/>
  <c r="AHS14" i="8"/>
  <c r="AKH14" i="8"/>
  <c r="AKI14" i="8"/>
  <c r="AJC14" i="8"/>
  <c r="AJZ14" i="8"/>
  <c r="AMO14" i="8"/>
  <c r="ANW14" i="8"/>
  <c r="ANB14" i="8"/>
  <c r="ALV14" i="8"/>
  <c r="ANE14" i="8"/>
  <c r="AON14" i="8"/>
  <c r="CX13" i="8"/>
  <c r="CX22" i="8" s="1"/>
  <c r="FM13" i="8"/>
  <c r="FM22" i="8" s="1"/>
  <c r="OV13" i="8"/>
  <c r="OV22" i="8" s="1"/>
  <c r="SG13" i="8"/>
  <c r="ZX13" i="8"/>
  <c r="ABQ13" i="8"/>
  <c r="AKC13" i="8"/>
  <c r="AKC22" i="8" s="1"/>
  <c r="BE13" i="8"/>
  <c r="BE22" i="8" s="1"/>
  <c r="FA13" i="8"/>
  <c r="FA22" i="8" s="1"/>
  <c r="NC13" i="8"/>
  <c r="NC22" i="8" s="1"/>
  <c r="QC13" i="8"/>
  <c r="QC22" i="8" s="1"/>
  <c r="ZL13" i="8"/>
  <c r="Y13" i="8"/>
  <c r="Y22" i="8" s="1"/>
  <c r="JH13" i="8"/>
  <c r="JH22" i="8" s="1"/>
  <c r="MS13" i="8"/>
  <c r="MS22" i="8" s="1"/>
  <c r="TC13" i="8"/>
  <c r="WC13" i="8"/>
  <c r="BQ13" i="8"/>
  <c r="BQ22" i="8" s="1"/>
  <c r="KK14" i="8"/>
  <c r="II14" i="8"/>
  <c r="ME14" i="8"/>
  <c r="NA14" i="8"/>
  <c r="NM14" i="8"/>
  <c r="MS14" i="8"/>
  <c r="LB14" i="8"/>
  <c r="MU14" i="8"/>
  <c r="QF14" i="8"/>
  <c r="PV14" i="8"/>
  <c r="MM14" i="8"/>
  <c r="QS14" i="8"/>
  <c r="RE14" i="8"/>
  <c r="PZ14" i="8"/>
  <c r="SD14" i="8"/>
  <c r="OU14" i="8"/>
  <c r="QN14" i="8"/>
  <c r="PS14" i="8"/>
  <c r="RW14" i="8"/>
  <c r="TE14" i="8"/>
  <c r="UX14" i="8"/>
  <c r="RO14" i="8"/>
  <c r="TH14" i="8"/>
  <c r="VW14" i="8"/>
  <c r="SY14" i="8"/>
  <c r="WU14" i="8"/>
  <c r="XQ14" i="8"/>
  <c r="XH14" i="8"/>
  <c r="UU14" i="8"/>
  <c r="ZA14" i="8"/>
  <c r="XK14" i="8"/>
  <c r="XL14" i="8"/>
  <c r="AAA14" i="8"/>
  <c r="AAB14" i="8"/>
  <c r="YK14" i="8"/>
  <c r="AAZ14" i="8"/>
  <c r="AAE14" i="8"/>
  <c r="ZU14" i="8"/>
  <c r="ACU14" i="8"/>
  <c r="ACK14" i="8"/>
  <c r="ACL14" i="8"/>
  <c r="ACM14" i="8"/>
  <c r="ADJ14" i="8"/>
  <c r="AFN14" i="8"/>
  <c r="AGV14" i="8"/>
  <c r="ADX14" i="8"/>
  <c r="ADY14" i="8"/>
  <c r="AEV14" i="8"/>
  <c r="AIR14" i="8"/>
  <c r="AEM14" i="8"/>
  <c r="AII14" i="8"/>
  <c r="AHY14" i="8"/>
  <c r="AKN14" i="8"/>
  <c r="AJH14" i="8"/>
  <c r="AHF14" i="8"/>
  <c r="AJJ14" i="8"/>
  <c r="AJV14" i="8"/>
  <c r="AJL14" i="8"/>
  <c r="AIQ14" i="8"/>
  <c r="AMX14" i="8"/>
  <c r="AOF14" i="8"/>
  <c r="AMD14" i="8"/>
  <c r="ALT14" i="8"/>
  <c r="ALJ14" i="8"/>
  <c r="ALK14" i="8"/>
  <c r="AOA14" i="8"/>
  <c r="AOD14" i="8"/>
  <c r="AK13" i="8"/>
  <c r="AK22" i="8" s="1"/>
  <c r="GU13" i="8"/>
  <c r="GU22" i="8" s="1"/>
  <c r="LB13" i="8"/>
  <c r="LB22" i="8" s="1"/>
  <c r="UV13" i="8"/>
  <c r="YR13" i="8"/>
  <c r="ACC13" i="8"/>
  <c r="ALL13" i="8"/>
  <c r="ALL22" i="8" s="1"/>
  <c r="BF13" i="8"/>
  <c r="BF22" i="8" s="1"/>
  <c r="GT13" i="8"/>
  <c r="GT22" i="8" s="1"/>
  <c r="NO13" i="8"/>
  <c r="NO22" i="8" s="1"/>
  <c r="UJ13" i="8"/>
  <c r="WY13" i="8"/>
  <c r="DI13" i="8"/>
  <c r="DI22" i="8" s="1"/>
  <c r="IW13" i="8"/>
  <c r="IW22" i="8" s="1"/>
  <c r="MT13" i="8"/>
  <c r="MT22" i="8" s="1"/>
  <c r="TO13" i="8"/>
  <c r="KV14" i="8"/>
  <c r="JP14" i="8"/>
  <c r="MP14" i="8"/>
  <c r="MF14" i="8"/>
  <c r="JS14" i="8"/>
  <c r="NO14" i="8"/>
  <c r="LM14" i="8"/>
  <c r="LC14" i="8"/>
  <c r="MV14" i="8"/>
  <c r="ML14" i="8"/>
  <c r="NI14" i="8"/>
  <c r="NU14" i="8"/>
  <c r="OG14" i="8"/>
  <c r="OS14" i="8"/>
  <c r="RH14" i="8"/>
  <c r="QM14" i="8"/>
  <c r="RJ14" i="8"/>
  <c r="SG14" i="8"/>
  <c r="TD14" i="8"/>
  <c r="SI14" i="8"/>
  <c r="RC14" i="8"/>
  <c r="VJ14" i="8"/>
  <c r="VU14" i="8"/>
  <c r="SX14" i="8"/>
  <c r="UQ14" i="8"/>
  <c r="WJ14" i="8"/>
  <c r="XR14" i="8"/>
  <c r="VE14" i="8"/>
  <c r="XT14" i="8"/>
  <c r="ZX14" i="8"/>
  <c r="YG14" i="8"/>
  <c r="WE14" i="8"/>
  <c r="WQ14" i="8"/>
  <c r="ABT14" i="8"/>
  <c r="XZ14" i="8"/>
  <c r="AAD14" i="8"/>
  <c r="ADD14" i="8"/>
  <c r="ACI14" i="8"/>
  <c r="ABN14" i="8"/>
  <c r="AEN14" i="8"/>
  <c r="AED14" i="8"/>
  <c r="ACX14" i="8"/>
  <c r="AFA14" i="8"/>
  <c r="AGJ14" i="8"/>
  <c r="ACE14" i="8"/>
  <c r="AEI14" i="8"/>
  <c r="ADN14" i="8"/>
  <c r="AHJ14" i="8"/>
  <c r="AGZ14" i="8"/>
  <c r="AGE14" i="8"/>
  <c r="AHX14" i="8"/>
  <c r="AFK14" i="8"/>
  <c r="AIV14" i="8"/>
  <c r="AIA14" i="8"/>
  <c r="AGU14" i="8"/>
  <c r="ALA14" i="8"/>
  <c r="AIO14" i="8"/>
  <c r="ALD14" i="8"/>
  <c r="ALE14" i="8"/>
  <c r="ALQ14" i="8"/>
  <c r="AKK14" i="8"/>
  <c r="ALH14" i="8"/>
  <c r="ALI14" i="8"/>
  <c r="AMF14" i="8"/>
  <c r="AOJ14" i="8"/>
  <c r="AOL14" i="8"/>
  <c r="AOO14" i="8"/>
  <c r="CO13" i="8"/>
  <c r="CO22" i="8" s="1"/>
  <c r="GV13" i="8"/>
  <c r="GV22" i="8" s="1"/>
  <c r="OX13" i="8"/>
  <c r="OX22" i="8" s="1"/>
  <c r="RX13" i="8"/>
  <c r="ZY13" i="8"/>
  <c r="ADK13" i="8"/>
  <c r="AKF13" i="8"/>
  <c r="AKF22" i="8" s="1"/>
  <c r="Z13" i="8"/>
  <c r="Z22" i="8" s="1"/>
  <c r="HQ13" i="8"/>
  <c r="HQ22" i="8" s="1"/>
  <c r="MI13" i="8"/>
  <c r="MI22" i="8" s="1"/>
  <c r="RW13" i="8"/>
  <c r="ZM13" i="8"/>
  <c r="DV13" i="8"/>
  <c r="DV22" i="8" s="1"/>
  <c r="JI13" i="8"/>
  <c r="JI22" i="8" s="1"/>
  <c r="OB13" i="8"/>
  <c r="OB22" i="8" s="1"/>
  <c r="UK13" i="8"/>
  <c r="LR14" i="8"/>
  <c r="KA14" i="8"/>
  <c r="JF14" i="8"/>
  <c r="KN14" i="8"/>
  <c r="LK14" i="8"/>
  <c r="KP14" i="8"/>
  <c r="NE14" i="8"/>
  <c r="NF14" i="8"/>
  <c r="NG14" i="8"/>
  <c r="OO14" i="8"/>
  <c r="OE14" i="8"/>
  <c r="OF14" i="8"/>
  <c r="NK14" i="8"/>
  <c r="QK14" i="8"/>
  <c r="SC14" i="8"/>
  <c r="TL14" i="8"/>
  <c r="SQ14" i="8"/>
  <c r="QZ14" i="8"/>
  <c r="TZ14" i="8"/>
  <c r="RM14" i="8"/>
  <c r="UW14" i="8"/>
  <c r="UY14" i="8"/>
  <c r="VK14" i="8"/>
  <c r="TT14" i="8"/>
  <c r="TU14" i="8"/>
  <c r="UR14" i="8"/>
  <c r="WV14" i="8"/>
  <c r="YD14" i="8"/>
  <c r="VF14" i="8"/>
  <c r="XJ14" i="8"/>
  <c r="VS14" i="8"/>
  <c r="XA14" i="8"/>
  <c r="ZE14" i="8"/>
  <c r="ZF14" i="8"/>
  <c r="ZR14" i="8"/>
  <c r="YA14" i="8"/>
  <c r="ZT14" i="8"/>
  <c r="ABB14" i="8"/>
  <c r="ABY14" i="8"/>
  <c r="AAS14" i="8"/>
  <c r="AAT14" i="8"/>
  <c r="AFL14" i="8"/>
  <c r="ABG14" i="8"/>
  <c r="ADK14" i="8"/>
  <c r="AEH14" i="8"/>
  <c r="ADB14" i="8"/>
  <c r="AGX14" i="8"/>
  <c r="AGC14" i="8"/>
  <c r="AHK14" i="8"/>
  <c r="AFI14" i="8"/>
  <c r="AEY14" i="8"/>
  <c r="AKB14" i="8"/>
  <c r="AGS14" i="8"/>
  <c r="AJS14" i="8"/>
  <c r="AKO14" i="8"/>
  <c r="AHG14" i="8"/>
  <c r="AKR14" i="8"/>
  <c r="AMV14" i="8"/>
  <c r="AMA14" i="8"/>
  <c r="AMM14" i="8"/>
  <c r="AMC14" i="8"/>
  <c r="AKL14" i="8"/>
  <c r="ANL14" i="8"/>
  <c r="AKY14" i="8"/>
  <c r="ALW14" i="8"/>
  <c r="ANP14" i="8"/>
  <c r="ANS14" i="8"/>
  <c r="AX13" i="8"/>
  <c r="AX22" i="8" s="1"/>
  <c r="GW13" i="8"/>
  <c r="GW22" i="8" s="1"/>
  <c r="OC13" i="8"/>
  <c r="OC22" i="8" s="1"/>
  <c r="SJ13" i="8"/>
  <c r="YT13" i="8"/>
  <c r="ACE13" i="8"/>
  <c r="ALM13" i="8"/>
  <c r="ALM22" i="8" s="1"/>
  <c r="BH13" i="8"/>
  <c r="BH22" i="8" s="1"/>
  <c r="HG13" i="8"/>
  <c r="HG22" i="8" s="1"/>
  <c r="OM13" i="8"/>
  <c r="OM22" i="8" s="1"/>
  <c r="ST13" i="8"/>
  <c r="ZZ13" i="8"/>
  <c r="HW14" i="8"/>
  <c r="LH14" i="8"/>
  <c r="MO14" i="8"/>
  <c r="LJ14" i="8"/>
  <c r="KO14" i="8"/>
  <c r="KE14" i="8"/>
  <c r="MT14" i="8"/>
  <c r="OX14" i="8"/>
  <c r="PJ14" i="8"/>
  <c r="OD14" i="8"/>
  <c r="NT14" i="8"/>
  <c r="PB14" i="8"/>
  <c r="PC14" i="8"/>
  <c r="QV14" i="8"/>
  <c r="OT14" i="8"/>
  <c r="PF14" i="8"/>
  <c r="QY14" i="8"/>
  <c r="SR14" i="8"/>
  <c r="QE14" i="8"/>
  <c r="RB14" i="8"/>
  <c r="RN14" i="8"/>
  <c r="WF14" i="8"/>
  <c r="UZ14" i="8"/>
  <c r="UP14" i="8"/>
  <c r="VM14" i="8"/>
  <c r="VY14" i="8"/>
  <c r="VD14" i="8"/>
  <c r="XS14" i="8"/>
  <c r="WM14" i="8"/>
  <c r="ZB14" i="8"/>
  <c r="WO14" i="8"/>
  <c r="AAV14" i="8"/>
  <c r="XM14" i="8"/>
  <c r="ZQ14" i="8"/>
  <c r="ZG14" i="8"/>
  <c r="ABU14" i="8"/>
  <c r="AAP14" i="8"/>
  <c r="AAF14" i="8"/>
  <c r="ABC14" i="8"/>
  <c r="ADQ14" i="8"/>
  <c r="ABE14" i="8"/>
  <c r="AEP14" i="8"/>
  <c r="ACY14" i="8"/>
  <c r="AFM14" i="8"/>
  <c r="AFO14" i="8"/>
  <c r="AHH14" i="8"/>
  <c r="ADC14" i="8"/>
  <c r="AFG14" i="8"/>
  <c r="AEW14" i="8"/>
  <c r="AEX14" i="8"/>
  <c r="AGQ14" i="8"/>
  <c r="AHC14" i="8"/>
  <c r="AFW14" i="8"/>
  <c r="AKZ14" i="8"/>
  <c r="AJT14" i="8"/>
  <c r="AIC14" i="8"/>
  <c r="ALC14" i="8"/>
  <c r="ALZ14" i="8"/>
  <c r="ALP14" i="8"/>
  <c r="AJN14" i="8"/>
  <c r="ALR14" i="8"/>
  <c r="ANV14" i="8"/>
  <c r="AKX14" i="8"/>
  <c r="ANX14" i="8"/>
  <c r="AND14" i="8"/>
  <c r="ANF14" i="8"/>
  <c r="AOP14" i="8"/>
  <c r="DB13" i="8"/>
  <c r="DB22" i="8" s="1"/>
  <c r="IE13" i="8"/>
  <c r="IE22" i="8" s="1"/>
  <c r="PV13" i="8"/>
  <c r="PV22" i="8" s="1"/>
  <c r="TG13" i="8"/>
  <c r="YJ13" i="8"/>
  <c r="AHH13" i="8"/>
  <c r="ALD13" i="8"/>
  <c r="ALD22" i="8" s="1"/>
  <c r="DW13" i="8"/>
  <c r="DW22" i="8" s="1"/>
  <c r="GL13" i="8"/>
  <c r="GL22" i="8" s="1"/>
  <c r="MV13" i="8"/>
  <c r="MV22" i="8" s="1"/>
  <c r="RC13" i="8"/>
  <c r="RC22" i="8" s="1"/>
  <c r="AAK13" i="8"/>
  <c r="FP13" i="8"/>
  <c r="FP22" i="8" s="1"/>
  <c r="JL13" i="8"/>
  <c r="JL22" i="8" s="1"/>
  <c r="OO13" i="8"/>
  <c r="OO22" i="8" s="1"/>
  <c r="TR13" i="8"/>
  <c r="JZ14" i="8"/>
  <c r="MD14" i="8"/>
  <c r="KB14" i="8"/>
  <c r="MQ14" i="8"/>
  <c r="LV14" i="8"/>
  <c r="LL14" i="8"/>
  <c r="OK14" i="8"/>
  <c r="PT14" i="8"/>
  <c r="MK14" i="8"/>
  <c r="PU14" i="8"/>
  <c r="PL14" i="8"/>
  <c r="NJ14" i="8"/>
  <c r="SB14" i="8"/>
  <c r="RQ14" i="8"/>
  <c r="QA14" i="8"/>
  <c r="SP14" i="8"/>
  <c r="PR14" i="8"/>
  <c r="QO14" i="8"/>
  <c r="TO14" i="8"/>
  <c r="TP14" i="8"/>
  <c r="SU14" i="8"/>
  <c r="UN14" i="8"/>
  <c r="TS14" i="8"/>
  <c r="WH14" i="8"/>
  <c r="VX14" i="8"/>
  <c r="TK14" i="8"/>
  <c r="XG14" i="8"/>
  <c r="WL14" i="8"/>
  <c r="YO14" i="8"/>
  <c r="XU14" i="8"/>
  <c r="WZ14" i="8"/>
  <c r="ZD14" i="8"/>
  <c r="YT14" i="8"/>
  <c r="YU14" i="8"/>
  <c r="YV14" i="8"/>
  <c r="ABV14" i="8"/>
  <c r="ACG14" i="8"/>
  <c r="YY14" i="8"/>
  <c r="ZK14" i="8"/>
  <c r="ABZ14" i="8"/>
  <c r="ABP14" i="8"/>
  <c r="ADT14" i="8"/>
  <c r="IH14" i="8"/>
  <c r="MZ14" i="8"/>
  <c r="IU14" i="8"/>
  <c r="KC14" i="8"/>
  <c r="OJ14" i="8"/>
  <c r="ND14" i="8"/>
  <c r="OL14" i="8"/>
  <c r="OW14" i="8"/>
  <c r="PI14" i="8"/>
  <c r="MA14" i="8"/>
  <c r="RD14" i="8"/>
  <c r="QT14" i="8"/>
  <c r="RF14" i="8"/>
  <c r="PD14" i="8"/>
  <c r="SZ14" i="8"/>
  <c r="SE14" i="8"/>
  <c r="TX14" i="8"/>
  <c r="RV14" i="8"/>
  <c r="SS14" i="8"/>
  <c r="VH14" i="8"/>
  <c r="SJ14" i="8"/>
  <c r="TG14" i="8"/>
  <c r="WR14" i="8"/>
  <c r="VA14" i="8"/>
  <c r="WT14" i="8"/>
  <c r="VC14" i="8"/>
  <c r="US14" i="8"/>
  <c r="YC14" i="8"/>
  <c r="WX14" i="8"/>
  <c r="YF14" i="8"/>
  <c r="ZN14" i="8"/>
  <c r="YH14" i="8"/>
  <c r="ABH14" i="8"/>
  <c r="XY14" i="8"/>
  <c r="ABI14" i="8"/>
  <c r="ZH14" i="8"/>
  <c r="ABL14" i="8"/>
  <c r="ADP14" i="8"/>
  <c r="ZV14" i="8"/>
  <c r="ADR14" i="8"/>
  <c r="ADH14" i="8"/>
  <c r="ADI14" i="8"/>
  <c r="AFB14" i="8"/>
  <c r="ACZ14" i="8"/>
  <c r="AFZ14" i="8"/>
  <c r="AGK14" i="8"/>
  <c r="AHT14" i="8"/>
  <c r="AEK14" i="8"/>
  <c r="AFH14" i="8"/>
  <c r="AIG14" i="8"/>
  <c r="AIT14" i="8"/>
  <c r="AIJ14" i="8"/>
  <c r="AJR14" i="8"/>
  <c r="AIL14" i="8"/>
  <c r="AKE14" i="8"/>
  <c r="AIN14" i="8"/>
  <c r="AID14" i="8"/>
  <c r="AIE14" i="8"/>
  <c r="ANH14" i="8"/>
  <c r="AKU14" i="8"/>
  <c r="AMY14" i="8"/>
  <c r="AKA14" i="8"/>
  <c r="AME14" i="8"/>
  <c r="AOI14" i="8"/>
  <c r="AOK14" i="8"/>
  <c r="AOB14" i="8"/>
  <c r="AOQ14" i="8"/>
  <c r="FG13" i="8"/>
  <c r="FG22" i="8" s="1"/>
  <c r="IG13" i="8"/>
  <c r="IG22" i="8" s="1"/>
  <c r="NU13" i="8"/>
  <c r="NU22" i="8" s="1"/>
  <c r="TI13" i="8"/>
  <c r="AAO13" i="8"/>
  <c r="AIF13" i="8"/>
  <c r="AJY13" i="8"/>
  <c r="AJY22" i="8" s="1"/>
  <c r="EJ13" i="8"/>
  <c r="EJ22" i="8" s="1"/>
  <c r="IQ13" i="8"/>
  <c r="IQ22" i="8" s="1"/>
  <c r="OP13" i="8"/>
  <c r="OP22" i="8" s="1"/>
  <c r="TH13" i="8"/>
  <c r="ZG13" i="8"/>
  <c r="GN13" i="8"/>
  <c r="GN22" i="8" s="1"/>
  <c r="HV13" i="8"/>
  <c r="HV22" i="8" s="1"/>
  <c r="QI13" i="8"/>
  <c r="QI22" i="8" s="1"/>
  <c r="VA13" i="8"/>
  <c r="JO14" i="8"/>
  <c r="KL14" i="8"/>
  <c r="LI14" i="8"/>
  <c r="NX14" i="8"/>
  <c r="NC14" i="8"/>
  <c r="MH14" i="8"/>
  <c r="PH14" i="8"/>
  <c r="NQ14" i="8"/>
  <c r="ON14" i="8"/>
  <c r="NH14" i="8"/>
  <c r="QH14" i="8"/>
  <c r="QI14" i="8"/>
  <c r="PN14" i="8"/>
  <c r="PO14" i="8"/>
  <c r="PP14" i="8"/>
  <c r="RI14" i="8"/>
  <c r="RU14" i="8"/>
  <c r="RK14" i="8"/>
  <c r="QP14" i="8"/>
  <c r="QQ14" i="8"/>
  <c r="UB14" i="8"/>
  <c r="RZ14" i="8"/>
  <c r="UO14" i="8"/>
  <c r="SM14" i="8"/>
  <c r="WS14" i="8"/>
  <c r="XF14" i="8"/>
  <c r="VO14" i="8"/>
  <c r="WA14" i="8"/>
  <c r="WB14" i="8"/>
  <c r="WY14" i="8"/>
  <c r="ZM14" i="8"/>
  <c r="XW14" i="8"/>
  <c r="AAL14" i="8"/>
  <c r="XN14" i="8"/>
  <c r="ABJ14" i="8"/>
  <c r="AAO14" i="8"/>
  <c r="YM14" i="8"/>
  <c r="ZJ14" i="8"/>
  <c r="ADE14" i="8"/>
  <c r="ZW14" i="8"/>
  <c r="AEZ14" i="8"/>
  <c r="AEE14" i="8"/>
  <c r="AFX14" i="8"/>
  <c r="ACD14" i="8"/>
  <c r="AES14" i="8"/>
  <c r="AGL14" i="8"/>
  <c r="AGB14" i="8"/>
  <c r="AFR14" i="8"/>
  <c r="AHV14" i="8"/>
  <c r="AGP14" i="8"/>
  <c r="AHB14" i="8"/>
  <c r="AIU14" i="8"/>
  <c r="AJG14" i="8"/>
  <c r="AIW14" i="8"/>
  <c r="AHQ14" i="8"/>
  <c r="ALX14" i="8"/>
  <c r="AIZ14" i="8"/>
  <c r="AJW14" i="8"/>
  <c r="AML14" i="8"/>
  <c r="AJY14" i="8"/>
  <c r="ANJ14" i="8"/>
  <c r="AKW14" i="8"/>
  <c r="AOH14" i="8"/>
  <c r="ANY14" i="8"/>
  <c r="ANO14" i="8"/>
  <c r="ANQ14" i="8"/>
  <c r="AB13" i="8"/>
  <c r="AB22" i="8" s="1"/>
  <c r="CI13" i="8"/>
  <c r="CI22" i="8" s="1"/>
  <c r="JO13" i="8"/>
  <c r="JO22" i="8" s="1"/>
  <c r="RE13" i="8"/>
  <c r="VM13" i="8"/>
  <c r="ACH13" i="8"/>
  <c r="AEW13" i="8"/>
  <c r="AKK13" i="8"/>
  <c r="AKK22" i="8" s="1"/>
  <c r="CS13" i="8"/>
  <c r="CS22" i="8" s="1"/>
  <c r="LE13" i="8"/>
  <c r="LE22" i="8" s="1"/>
  <c r="RP13" i="8"/>
  <c r="VL13" i="8"/>
  <c r="E13" i="8"/>
  <c r="E22" i="8" s="1"/>
  <c r="GD13" i="8"/>
  <c r="GD22" i="8" s="1"/>
  <c r="IS13" i="8"/>
  <c r="IS22" i="8" s="1"/>
  <c r="RF13" i="8"/>
  <c r="TU13" i="8"/>
  <c r="LG14" i="8"/>
  <c r="JE14" i="8"/>
  <c r="LT14" i="8"/>
  <c r="JG14" i="8"/>
  <c r="MG14" i="8"/>
  <c r="LW14" i="8"/>
  <c r="MI14" i="8"/>
  <c r="OM14" i="8"/>
  <c r="LZ14" i="8"/>
  <c r="NS14" i="8"/>
  <c r="OP14" i="8"/>
  <c r="PX14" i="8"/>
  <c r="PY14" i="8"/>
  <c r="RR14" i="8"/>
  <c r="RS14" i="8"/>
  <c r="PQ14" i="8"/>
  <c r="TA14" i="8"/>
  <c r="TC14" i="8"/>
  <c r="UV14" i="8"/>
  <c r="ST14" i="8"/>
  <c r="UM14" i="8"/>
  <c r="UC14" i="8"/>
  <c r="SA14" i="8"/>
  <c r="TI14" i="8"/>
  <c r="WI14" i="8"/>
  <c r="YB14" i="8"/>
  <c r="VZ14" i="8"/>
  <c r="UI14" i="8"/>
  <c r="YP14" i="8"/>
  <c r="YQ14" i="8"/>
  <c r="YR14" i="8"/>
  <c r="ZO14" i="8"/>
  <c r="ZP14" i="8"/>
  <c r="XC14" i="8"/>
  <c r="AAC14" i="8"/>
  <c r="YW14" i="8"/>
  <c r="ABW14" i="8"/>
  <c r="ACS14" i="8"/>
  <c r="ACJ14" i="8"/>
  <c r="ADG14" i="8"/>
  <c r="ADS14" i="8"/>
  <c r="AAU14" i="8"/>
  <c r="ADU14" i="8"/>
  <c r="ACO14" i="8"/>
  <c r="ADA14" i="8"/>
  <c r="AET14" i="8"/>
  <c r="AGW14" i="8"/>
  <c r="AGN14" i="8"/>
  <c r="AFS14" i="8"/>
  <c r="AIH14" i="8"/>
  <c r="AIS14" i="8"/>
  <c r="AJE14" i="8"/>
  <c r="AHO14" i="8"/>
  <c r="AGT14" i="8"/>
  <c r="AKP14" i="8"/>
  <c r="ALB14" i="8"/>
  <c r="ALM14" i="8"/>
  <c r="AKS14" i="8"/>
  <c r="AJM14" i="8"/>
  <c r="AKJ14" i="8"/>
  <c r="ANI14" i="8"/>
  <c r="ANK14" i="8"/>
  <c r="AMP14" i="8"/>
  <c r="AMG14" i="8"/>
  <c r="AMS14" i="8"/>
  <c r="AOM14" i="8"/>
  <c r="AD13" i="8"/>
  <c r="AD22" i="8" s="1"/>
  <c r="GE13" i="8"/>
  <c r="GE22" i="8" s="1"/>
  <c r="KW13" i="8"/>
  <c r="KW22" i="8" s="1"/>
  <c r="RR13" i="8"/>
  <c r="VC13" i="8"/>
  <c r="YY13" i="8"/>
  <c r="AIH13" i="8"/>
  <c r="P13" i="8"/>
  <c r="P22" i="8" s="1"/>
  <c r="CT13" i="8"/>
  <c r="CT22" i="8" s="1"/>
  <c r="JD13" i="8"/>
  <c r="JD22" i="8" s="1"/>
  <c r="OG13" i="8"/>
  <c r="OG22" i="8" s="1"/>
  <c r="UF13" i="8"/>
  <c r="AP13" i="8"/>
  <c r="AP22" i="8" s="1"/>
  <c r="HL13" i="8"/>
  <c r="HL22" i="8" s="1"/>
  <c r="KL13" i="8"/>
  <c r="KL22" i="8" s="1"/>
  <c r="PO13" i="8"/>
  <c r="PO22" i="8" s="1"/>
  <c r="XE13" i="8"/>
  <c r="AO13" i="8"/>
  <c r="AO22" i="8" s="1"/>
  <c r="MN14" i="8"/>
  <c r="KD14" i="8"/>
  <c r="OY14" i="8"/>
  <c r="QU14" i="8"/>
  <c r="TB14" i="8"/>
  <c r="TQ14" i="8"/>
  <c r="XP14" i="8"/>
  <c r="VQ14" i="8"/>
  <c r="YI14" i="8"/>
  <c r="ABA14" i="8"/>
  <c r="ACW14" i="8"/>
  <c r="ABS14" i="8"/>
  <c r="AFF14" i="8"/>
  <c r="AJD14" i="8"/>
  <c r="AHD14" i="8"/>
  <c r="AKQ14" i="8"/>
  <c r="AJB14" i="8"/>
  <c r="ANU14" i="8"/>
  <c r="AMT14" i="8"/>
  <c r="ED13" i="8"/>
  <c r="ED22" i="8" s="1"/>
  <c r="XH13" i="8"/>
  <c r="BX13" i="8"/>
  <c r="BX22" i="8" s="1"/>
  <c r="PP13" i="8"/>
  <c r="PP22" i="8" s="1"/>
  <c r="GF13" i="8"/>
  <c r="GF22" i="8" s="1"/>
  <c r="TB13" i="8"/>
  <c r="D13" i="8"/>
  <c r="D22" i="8" s="1"/>
  <c r="EY13" i="8"/>
  <c r="EY22" i="8" s="1"/>
  <c r="JQ13" i="8"/>
  <c r="JQ22" i="8" s="1"/>
  <c r="PE13" i="8"/>
  <c r="PE22" i="8" s="1"/>
  <c r="VZ13" i="8"/>
  <c r="V13" i="8"/>
  <c r="V22" i="8" s="1"/>
  <c r="FJ13" i="8"/>
  <c r="FJ22" i="8" s="1"/>
  <c r="KM13" i="8"/>
  <c r="KM22" i="8" s="1"/>
  <c r="QL13" i="8"/>
  <c r="QL22" i="8" s="1"/>
  <c r="VO13" i="8"/>
  <c r="Q13" i="8"/>
  <c r="Q22" i="8" s="1"/>
  <c r="FT13" i="8"/>
  <c r="FT22" i="8" s="1"/>
  <c r="IT13" i="8"/>
  <c r="IT22" i="8" s="1"/>
  <c r="NW13" i="8"/>
  <c r="NW22" i="8" s="1"/>
  <c r="UG13" i="8"/>
  <c r="BL13" i="8"/>
  <c r="BL22" i="8" s="1"/>
  <c r="EN13" i="8"/>
  <c r="EN22" i="8" s="1"/>
  <c r="LI13" i="8"/>
  <c r="LI22" i="8" s="1"/>
  <c r="OT13" i="8"/>
  <c r="OT22" i="8" s="1"/>
  <c r="XR13" i="8"/>
  <c r="BD13" i="8"/>
  <c r="BD22" i="8" s="1"/>
  <c r="IV13" i="8"/>
  <c r="IV22" i="8" s="1"/>
  <c r="OJ13" i="8"/>
  <c r="OJ22" i="8" s="1"/>
  <c r="PG13" i="8"/>
  <c r="PG22" i="8" s="1"/>
  <c r="UU13" i="8"/>
  <c r="BC13" i="8"/>
  <c r="BC22" i="8" s="1"/>
  <c r="EO13" i="8"/>
  <c r="EO22" i="8" s="1"/>
  <c r="NX13" i="8"/>
  <c r="NX22" i="8" s="1"/>
  <c r="PF13" i="8"/>
  <c r="PF22" i="8" s="1"/>
  <c r="XS13" i="8"/>
  <c r="H13" i="8"/>
  <c r="H22" i="8" s="1"/>
  <c r="CU13" i="8"/>
  <c r="CU22" i="8" s="1"/>
  <c r="MD13" i="8"/>
  <c r="MD22" i="8" s="1"/>
  <c r="RG13" i="8"/>
  <c r="WJ13" i="8"/>
  <c r="ACS13" i="8"/>
  <c r="AGP13" i="8"/>
  <c r="S13" i="8"/>
  <c r="S22" i="8" s="1"/>
  <c r="ZW13" i="8"/>
  <c r="AHE13" i="8"/>
  <c r="AKV13" i="8"/>
  <c r="AKV22" i="8" s="1"/>
  <c r="AJD13" i="8"/>
  <c r="AJD22" i="8" s="1"/>
  <c r="WE13" i="8"/>
  <c r="AJP13" i="8"/>
  <c r="AJP22" i="8" s="1"/>
  <c r="AOC13" i="8"/>
  <c r="AOC22" i="8" s="1"/>
  <c r="OY13" i="8"/>
  <c r="OY22" i="8" s="1"/>
  <c r="AGA13" i="8"/>
  <c r="AMB13" i="8"/>
  <c r="AMB22" i="8" s="1"/>
  <c r="ANO13" i="8"/>
  <c r="ANO22" i="8" s="1"/>
  <c r="ACU13" i="8"/>
  <c r="AIK13" i="8"/>
  <c r="ANR13" i="8"/>
  <c r="ANR22" i="8" s="1"/>
  <c r="RI13" i="8"/>
  <c r="AFF13" i="8"/>
  <c r="ANU13" i="8"/>
  <c r="ANU22" i="8" s="1"/>
  <c r="BZ13" i="8"/>
  <c r="BZ22" i="8" s="1"/>
  <c r="ACV13" i="8"/>
  <c r="AIB13" i="8"/>
  <c r="TD13" i="8"/>
  <c r="SQ13" i="8"/>
  <c r="AEJ13" i="8"/>
  <c r="AKA13" i="8"/>
  <c r="AKA22" i="8" s="1"/>
  <c r="AT13" i="8"/>
  <c r="AT22" i="8" s="1"/>
  <c r="ADG13" i="8"/>
  <c r="AIM13" i="8"/>
  <c r="PC13" i="8"/>
  <c r="PC22" i="8" s="1"/>
  <c r="TT13" i="8"/>
  <c r="AHV13" i="8"/>
  <c r="ANA13" i="8"/>
  <c r="ANA22" i="8" s="1"/>
  <c r="JY13" i="8"/>
  <c r="JY22" i="8" s="1"/>
  <c r="AER13" i="8"/>
  <c r="AIQ13" i="8"/>
  <c r="AIV13" i="8"/>
  <c r="AIV22" i="8" s="1"/>
  <c r="AML13" i="8"/>
  <c r="AML22" i="8" s="1"/>
  <c r="SC13" i="8"/>
  <c r="ANJ13" i="8"/>
  <c r="ANJ22" i="8" s="1"/>
  <c r="BB13" i="8"/>
  <c r="BB22" i="8" s="1"/>
  <c r="AIL13" i="8"/>
  <c r="ACZ13" i="8"/>
  <c r="UY13" i="8"/>
  <c r="AOH13" i="8"/>
  <c r="AOH22" i="8" s="1"/>
  <c r="DM13" i="8"/>
  <c r="DM22" i="8" s="1"/>
  <c r="ACA13" i="8"/>
  <c r="AGO13" i="8"/>
  <c r="SA13" i="8"/>
  <c r="AEL13" i="8"/>
  <c r="EU13" i="8"/>
  <c r="EU22" i="8" s="1"/>
  <c r="ABF13" i="8"/>
  <c r="AHR13" i="8"/>
  <c r="XU13" i="8"/>
  <c r="AHL13" i="8"/>
  <c r="KP13" i="8"/>
  <c r="KP22" i="8" s="1"/>
  <c r="ADL13" i="8"/>
  <c r="AKU13" i="8"/>
  <c r="AKU22" i="8" s="1"/>
  <c r="ANM13" i="8"/>
  <c r="ANM22" i="8" s="1"/>
  <c r="LQ14" i="8"/>
  <c r="KZ14" i="8"/>
  <c r="NR14" i="8"/>
  <c r="QJ14" i="8"/>
  <c r="QC14" i="8"/>
  <c r="RY14" i="8"/>
  <c r="TJ14" i="8"/>
  <c r="YE14" i="8"/>
  <c r="AAK14" i="8"/>
  <c r="YX14" i="8"/>
  <c r="AAI14" i="8"/>
  <c r="AFC14" i="8"/>
  <c r="AGM14" i="8"/>
  <c r="AHW14" i="8"/>
  <c r="AJQ14" i="8"/>
  <c r="AKF14" i="8"/>
  <c r="AMK14" i="8"/>
  <c r="AKM14" i="8"/>
  <c r="AMI14" i="8"/>
  <c r="HO13" i="8"/>
  <c r="HO22" i="8" s="1"/>
  <c r="WB13" i="8"/>
  <c r="L13" i="8"/>
  <c r="L22" i="8" s="1"/>
  <c r="QB13" i="8"/>
  <c r="QB22" i="8" s="1"/>
  <c r="HM13" i="8"/>
  <c r="HM22" i="8" s="1"/>
  <c r="UB13" i="8"/>
  <c r="AG13" i="8"/>
  <c r="AG22" i="8" s="1"/>
  <c r="GR13" i="8"/>
  <c r="GR22" i="8" s="1"/>
  <c r="NB13" i="8"/>
  <c r="NB22" i="8" s="1"/>
  <c r="RT13" i="8"/>
  <c r="YZ13" i="8"/>
  <c r="AS13" i="8"/>
  <c r="AS22" i="8" s="1"/>
  <c r="GG13" i="8"/>
  <c r="GG22" i="8" s="1"/>
  <c r="LU13" i="8"/>
  <c r="LU22" i="8" s="1"/>
  <c r="QX13" i="8"/>
  <c r="QX22" i="8" s="1"/>
  <c r="YC13" i="8"/>
  <c r="I13" i="8"/>
  <c r="I22" i="8" s="1"/>
  <c r="HX13" i="8"/>
  <c r="HX22" i="8" s="1"/>
  <c r="KX13" i="8"/>
  <c r="KX22" i="8" s="1"/>
  <c r="QW13" i="8"/>
  <c r="QW22" i="8" s="1"/>
  <c r="XQ13" i="8"/>
  <c r="AR13" i="8"/>
  <c r="AR22" i="8" s="1"/>
  <c r="EZ13" i="8"/>
  <c r="EZ22" i="8" s="1"/>
  <c r="LJ13" i="8"/>
  <c r="LJ22" i="8" s="1"/>
  <c r="SP13" i="8"/>
  <c r="UI13" i="8"/>
  <c r="AU13" i="8"/>
  <c r="AU22" i="8" s="1"/>
  <c r="IA13" i="8"/>
  <c r="IA22" i="8" s="1"/>
  <c r="LA13" i="8"/>
  <c r="LA22" i="8" s="1"/>
  <c r="RV13" i="8"/>
  <c r="WN13" i="8"/>
  <c r="CK13" i="8"/>
  <c r="CK22" i="8" s="1"/>
  <c r="HY13" i="8"/>
  <c r="HY22" i="8" s="1"/>
  <c r="NN13" i="8"/>
  <c r="NN22" i="8" s="1"/>
  <c r="RJ13" i="8"/>
  <c r="VQ13" i="8"/>
  <c r="J13" i="8"/>
  <c r="J22" i="8" s="1"/>
  <c r="DR13" i="8"/>
  <c r="DR22" i="8" s="1"/>
  <c r="KB13" i="8"/>
  <c r="KB22" i="8" s="1"/>
  <c r="SD13" i="8"/>
  <c r="VD13" i="8"/>
  <c r="ZV13" i="8"/>
  <c r="AGQ13" i="8"/>
  <c r="AL13" i="8"/>
  <c r="AL22" i="8" s="1"/>
  <c r="ABP13" i="8"/>
  <c r="AKO13" i="8"/>
  <c r="AKO22" i="8" s="1"/>
  <c r="AMI13" i="8"/>
  <c r="AMI22" i="8" s="1"/>
  <c r="ADD13" i="8"/>
  <c r="AIU13" i="8"/>
  <c r="AIU22" i="8" s="1"/>
  <c r="LQ13" i="8"/>
  <c r="LQ22" i="8" s="1"/>
  <c r="AGX13" i="8"/>
  <c r="AAS13" i="8"/>
  <c r="AFR13" i="8"/>
  <c r="AJU13" i="8"/>
  <c r="AJU22" i="8" s="1"/>
  <c r="ANL13" i="8"/>
  <c r="ANL22" i="8" s="1"/>
  <c r="AEV13" i="8"/>
  <c r="ANB13" i="8"/>
  <c r="ANB22" i="8" s="1"/>
  <c r="AMX13" i="8"/>
  <c r="AMX22" i="8" s="1"/>
  <c r="AIZ13" i="8"/>
  <c r="AIZ22" i="8" s="1"/>
  <c r="WM13" i="8"/>
  <c r="FW13" i="8"/>
  <c r="FW22" i="8" s="1"/>
  <c r="AMJ13" i="8"/>
  <c r="AMJ22" i="8" s="1"/>
  <c r="JD14" i="8"/>
  <c r="NN14" i="8"/>
  <c r="OC14" i="8"/>
  <c r="OR14" i="8"/>
  <c r="SF14" i="8"/>
  <c r="VT14" i="8"/>
  <c r="UF14" i="8"/>
  <c r="XI14" i="8"/>
  <c r="XX14" i="8"/>
  <c r="ZI14" i="8"/>
  <c r="ACA14" i="8"/>
  <c r="AFY14" i="8"/>
  <c r="ADZ14" i="8"/>
  <c r="AGF14" i="8"/>
  <c r="AKD14" i="8"/>
  <c r="AKG14" i="8"/>
  <c r="AMB14" i="8"/>
  <c r="ANA14" i="8"/>
  <c r="AMU14" i="8"/>
  <c r="KT13" i="8"/>
  <c r="KT22" i="8" s="1"/>
  <c r="XO13" i="8"/>
  <c r="CQ13" i="8"/>
  <c r="CQ22" i="8" s="1"/>
  <c r="SV13" i="8"/>
  <c r="GS13" i="8"/>
  <c r="GS22" i="8" s="1"/>
  <c r="WR13" i="8"/>
  <c r="AH13" i="8"/>
  <c r="AH22" i="8" s="1"/>
  <c r="HD13" i="8"/>
  <c r="HD22" i="8" s="1"/>
  <c r="MG13" i="8"/>
  <c r="MG22" i="8" s="1"/>
  <c r="PR13" i="8"/>
  <c r="PR22" i="8" s="1"/>
  <c r="YO13" i="8"/>
  <c r="X13" i="8"/>
  <c r="X22" i="8" s="1"/>
  <c r="HZ13" i="8"/>
  <c r="HZ22" i="8" s="1"/>
  <c r="KZ13" i="8"/>
  <c r="KZ22" i="8" s="1"/>
  <c r="TX13" i="8"/>
  <c r="YP13" i="8"/>
  <c r="BN13" i="8"/>
  <c r="BN22" i="8" s="1"/>
  <c r="IJ13" i="8"/>
  <c r="IJ22" i="8" s="1"/>
  <c r="NA13" i="8"/>
  <c r="NA22" i="8" s="1"/>
  <c r="TL13" i="8"/>
  <c r="YD13" i="8"/>
  <c r="BO13" i="8"/>
  <c r="BO22" i="8" s="1"/>
  <c r="EE13" i="8"/>
  <c r="EE22" i="8" s="1"/>
  <c r="NM13" i="8"/>
  <c r="NM22" i="8" s="1"/>
  <c r="SF13" i="8"/>
  <c r="YE13" i="8"/>
  <c r="O13" i="8"/>
  <c r="O22" i="8" s="1"/>
  <c r="IX13" i="8"/>
  <c r="IX22" i="8" s="1"/>
  <c r="LX13" i="8"/>
  <c r="LX22" i="8" s="1"/>
  <c r="TY13" i="8"/>
  <c r="WZ13" i="8"/>
  <c r="N13" i="8"/>
  <c r="N22" i="8" s="1"/>
  <c r="IK13" i="8"/>
  <c r="IK22" i="8" s="1"/>
  <c r="NZ13" i="8"/>
  <c r="NZ22" i="8" s="1"/>
  <c r="TM13" i="8"/>
  <c r="YF13" i="8"/>
  <c r="CJ13" i="8"/>
  <c r="CJ22" i="8" s="1"/>
  <c r="HN13" i="8"/>
  <c r="HN22" i="8" s="1"/>
  <c r="KC13" i="8"/>
  <c r="KC22" i="8" s="1"/>
  <c r="PQ13" i="8"/>
  <c r="PQ22" i="8" s="1"/>
  <c r="WW13" i="8"/>
  <c r="ACK13" i="8"/>
  <c r="AFK13" i="8"/>
  <c r="DQ13" i="8"/>
  <c r="DQ22" i="8" s="1"/>
  <c r="AEE13" i="8"/>
  <c r="AKQ13" i="8"/>
  <c r="AKQ22" i="8" s="1"/>
  <c r="NP13" i="8"/>
  <c r="NP22" i="8" s="1"/>
  <c r="ANY13" i="8"/>
  <c r="ANY22" i="8" s="1"/>
  <c r="ABM13" i="8"/>
  <c r="AGH13" i="8"/>
  <c r="AFA13" i="8"/>
  <c r="UW13" i="8"/>
  <c r="AHJ13" i="8"/>
  <c r="AKX13" i="8"/>
  <c r="AKX22" i="8" s="1"/>
  <c r="BT13" i="8"/>
  <c r="BT22" i="8" s="1"/>
  <c r="AED13" i="8"/>
  <c r="ALA13" i="8"/>
  <c r="ALA22" i="8" s="1"/>
  <c r="ALG13" i="8"/>
  <c r="ALG22" i="8" s="1"/>
  <c r="WA13" i="8"/>
  <c r="AGE13" i="8"/>
  <c r="AMQ13" i="8"/>
  <c r="AMQ22" i="8" s="1"/>
  <c r="FV13" i="8"/>
  <c r="FV22" i="8" s="1"/>
  <c r="AEQ13" i="8"/>
  <c r="ALK13" i="8"/>
  <c r="ALK22" i="8" s="1"/>
  <c r="AFI13" i="8"/>
  <c r="AFB13" i="8"/>
  <c r="KW14" i="8"/>
  <c r="NZ14" i="8"/>
  <c r="QR14" i="8"/>
  <c r="RG14" i="8"/>
  <c r="UJ14" i="8"/>
  <c r="TR14" i="8"/>
  <c r="XE14" i="8"/>
  <c r="WC14" i="8"/>
  <c r="AAW14" i="8"/>
  <c r="ABM14" i="8"/>
  <c r="ABQ14" i="8"/>
  <c r="ADL14" i="8"/>
  <c r="AHI14" i="8"/>
  <c r="AFU14" i="8"/>
  <c r="AGI14" i="8"/>
  <c r="ALN14" i="8"/>
  <c r="ALF14" i="8"/>
  <c r="AOG14" i="8"/>
  <c r="ANR14" i="8"/>
  <c r="MP13" i="8"/>
  <c r="MP22" i="8" s="1"/>
  <c r="AEB13" i="8"/>
  <c r="GO13" i="8"/>
  <c r="GO22" i="8" s="1"/>
  <c r="UR13" i="8"/>
  <c r="GA13" i="8"/>
  <c r="GA22" i="8" s="1"/>
  <c r="XG13" i="8"/>
  <c r="AI13" i="8"/>
  <c r="AI22" i="8" s="1"/>
  <c r="EQ13" i="8"/>
  <c r="EQ22" i="8" s="1"/>
  <c r="LW13" i="8"/>
  <c r="LW22" i="8" s="1"/>
  <c r="TN13" i="8"/>
  <c r="VR13" i="8"/>
  <c r="CW13" i="8"/>
  <c r="CW22" i="8" s="1"/>
  <c r="HE13" i="8"/>
  <c r="HE22" i="8" s="1"/>
  <c r="KE13" i="8"/>
  <c r="KE22" i="8" s="1"/>
  <c r="RK13" i="8"/>
  <c r="VG13" i="8"/>
  <c r="BY13" i="8"/>
  <c r="BY22" i="8" s="1"/>
  <c r="FL13" i="8"/>
  <c r="FL22" i="8" s="1"/>
  <c r="KO13" i="8"/>
  <c r="KO22" i="8" s="1"/>
  <c r="RU13" i="8"/>
  <c r="VF13" i="8"/>
  <c r="CM13" i="8"/>
  <c r="CM22" i="8" s="1"/>
  <c r="HP13" i="8"/>
  <c r="HP22" i="8" s="1"/>
  <c r="MH13" i="8"/>
  <c r="MH22" i="8" s="1"/>
  <c r="QO13" i="8"/>
  <c r="QO22" i="8" s="1"/>
  <c r="XJ13" i="8"/>
  <c r="AW13" i="8"/>
  <c r="AW22" i="8" s="1"/>
  <c r="FO13" i="8"/>
  <c r="FO22" i="8" s="1"/>
  <c r="LY13" i="8"/>
  <c r="LY22" i="8" s="1"/>
  <c r="SI13" i="8"/>
  <c r="AAV13" i="8"/>
  <c r="BG13" i="8"/>
  <c r="BG22" i="8" s="1"/>
  <c r="IM13" i="8"/>
  <c r="IM22" i="8" s="1"/>
  <c r="NE13" i="8"/>
  <c r="NE22" i="8" s="1"/>
  <c r="RA13" i="8"/>
  <c r="RA22" i="8" s="1"/>
  <c r="YG13" i="8"/>
  <c r="BP13" i="8"/>
  <c r="BP22" i="8" s="1"/>
  <c r="GH13" i="8"/>
  <c r="GH22" i="8" s="1"/>
  <c r="MR13" i="8"/>
  <c r="MR22" i="8" s="1"/>
  <c r="TA13" i="8"/>
  <c r="XT13" i="8"/>
  <c r="ACL13" i="8"/>
  <c r="AJR13" i="8"/>
  <c r="AJR22" i="8" s="1"/>
  <c r="JJ13" i="8"/>
  <c r="JJ22" i="8" s="1"/>
  <c r="ADU13" i="8"/>
  <c r="AJL13" i="8"/>
  <c r="AJL22" i="8" s="1"/>
  <c r="XK13" i="8"/>
  <c r="AC13" i="8"/>
  <c r="AC22" i="8" s="1"/>
  <c r="AAH13" i="8"/>
  <c r="AJS13" i="8"/>
  <c r="AJS22" i="8" s="1"/>
  <c r="ALN13" i="8"/>
  <c r="ALN22" i="8" s="1"/>
  <c r="US13" i="8"/>
  <c r="AHK13" i="8"/>
  <c r="ANX13" i="8"/>
  <c r="ANX22" i="8" s="1"/>
  <c r="FU13" i="8"/>
  <c r="FU22" i="8" s="1"/>
  <c r="AAU13" i="8"/>
  <c r="AHS13" i="8"/>
  <c r="OL13" i="8"/>
  <c r="OL22" i="8" s="1"/>
  <c r="AAW13" i="8"/>
  <c r="AIT13" i="8"/>
  <c r="AIT22" i="8" s="1"/>
  <c r="AMG13" i="8"/>
  <c r="AMG22" i="8" s="1"/>
  <c r="HI13" i="8"/>
  <c r="HI22" i="8" s="1"/>
  <c r="AEG13" i="8"/>
  <c r="AMV13" i="8"/>
  <c r="AMV22" i="8" s="1"/>
  <c r="EF13" i="8"/>
  <c r="EF22" i="8" s="1"/>
  <c r="AAN13" i="8"/>
  <c r="MC14" i="8"/>
  <c r="LA14" i="8"/>
  <c r="OZ14" i="8"/>
  <c r="NW14" i="8"/>
  <c r="TN14" i="8"/>
  <c r="SK14" i="8"/>
  <c r="TV14" i="8"/>
  <c r="VR14" i="8"/>
  <c r="YJ14" i="8"/>
  <c r="ABX14" i="8"/>
  <c r="ABF14" i="8"/>
  <c r="ADW14" i="8"/>
  <c r="AGY14" i="8"/>
  <c r="AHM14" i="8"/>
  <c r="AHE14" i="8"/>
  <c r="AMJ14" i="8"/>
  <c r="ANT14" i="8"/>
  <c r="ALU14" i="8"/>
  <c r="ANG14" i="8"/>
  <c r="JR13" i="8"/>
  <c r="JR22" i="8" s="1"/>
  <c r="ABZ13" i="8"/>
  <c r="HA13" i="8"/>
  <c r="HA22" i="8" s="1"/>
  <c r="UH13" i="8"/>
  <c r="JX13" i="8"/>
  <c r="JX22" i="8" s="1"/>
  <c r="WL13" i="8"/>
  <c r="BR13" i="8"/>
  <c r="BR22" i="8" s="1"/>
  <c r="FY13" i="8"/>
  <c r="FY22" i="8" s="1"/>
  <c r="LM13" i="8"/>
  <c r="LM22" i="8" s="1"/>
  <c r="QE13" i="8"/>
  <c r="QE22" i="8" s="1"/>
  <c r="XV13" i="8"/>
  <c r="CN13" i="8"/>
  <c r="CN22" i="8" s="1"/>
  <c r="IB13" i="8"/>
  <c r="IB22" i="8" s="1"/>
  <c r="OA13" i="8"/>
  <c r="OA22" i="8" s="1"/>
  <c r="TZ13" i="8"/>
  <c r="AAJ13" i="8"/>
  <c r="DH13" i="8"/>
  <c r="DH22" i="8" s="1"/>
  <c r="FX13" i="8"/>
  <c r="FX22" i="8" s="1"/>
  <c r="ND13" i="8"/>
  <c r="ND22" i="8" s="1"/>
  <c r="PS13" i="8"/>
  <c r="PS22" i="8" s="1"/>
  <c r="ZA13" i="8"/>
  <c r="CC13" i="8"/>
  <c r="CC22" i="8" s="1"/>
  <c r="FN13" i="8"/>
  <c r="FN22" i="8" s="1"/>
  <c r="OK13" i="8"/>
  <c r="OK22" i="8" s="1"/>
  <c r="QP13" i="8"/>
  <c r="QP22" i="8" s="1"/>
  <c r="ZN13" i="8"/>
  <c r="CE13" i="8"/>
  <c r="CE22" i="8" s="1"/>
  <c r="JV13" i="8"/>
  <c r="JV22" i="8" s="1"/>
  <c r="LO13" i="8"/>
  <c r="LO22" i="8" s="1"/>
  <c r="TQ13" i="8"/>
  <c r="ZE13" i="8"/>
  <c r="AA13" i="8"/>
  <c r="AA22" i="8" s="1"/>
  <c r="IN13" i="8"/>
  <c r="IN22" i="8" s="1"/>
  <c r="NF13" i="8"/>
  <c r="NF22" i="8" s="1"/>
  <c r="TE13" i="8"/>
  <c r="YS13" i="8"/>
  <c r="DT13" i="8"/>
  <c r="DT22" i="8" s="1"/>
  <c r="FB13" i="8"/>
  <c r="FB22" i="8" s="1"/>
  <c r="LL13" i="8"/>
  <c r="LL22" i="8" s="1"/>
  <c r="QZ13" i="8"/>
  <c r="QZ22" i="8" s="1"/>
  <c r="ZB13" i="8"/>
  <c r="ACX13" i="8"/>
  <c r="AIW13" i="8"/>
  <c r="AIW22" i="8" s="1"/>
  <c r="LS13" i="8"/>
  <c r="LS22" i="8" s="1"/>
  <c r="ABS13" i="8"/>
  <c r="AJM13" i="8"/>
  <c r="AJM22" i="8" s="1"/>
  <c r="ADH13" i="8"/>
  <c r="BS13" i="8"/>
  <c r="BS22" i="8" s="1"/>
  <c r="ABE13" i="8"/>
  <c r="AJT13" i="8"/>
  <c r="AJT22" i="8" s="1"/>
  <c r="WD13" i="8"/>
  <c r="ABH13" i="8"/>
  <c r="AFJ13" i="8"/>
  <c r="AMR13" i="8"/>
  <c r="AMR22" i="8" s="1"/>
  <c r="KR13" i="8"/>
  <c r="KR22" i="8" s="1"/>
  <c r="AFM13" i="8"/>
  <c r="AJA13" i="8"/>
  <c r="AJA22" i="8" s="1"/>
  <c r="AGY13" i="8"/>
  <c r="YX13" i="8"/>
  <c r="AJE13" i="8"/>
  <c r="AJE22" i="8" s="1"/>
  <c r="ANP13" i="8"/>
  <c r="ANP22" i="8" s="1"/>
  <c r="JG13" i="8"/>
  <c r="JG22" i="8" s="1"/>
  <c r="AEH13" i="8"/>
  <c r="AJB13" i="8"/>
  <c r="AJB22" i="8" s="1"/>
  <c r="AAT13" i="8"/>
  <c r="ZT13" i="8"/>
  <c r="LS14" i="8"/>
  <c r="OV14" i="8"/>
  <c r="PK14" i="8"/>
  <c r="OH14" i="8"/>
  <c r="TM14" i="8"/>
  <c r="SV14" i="8"/>
  <c r="VN14" i="8"/>
  <c r="WN14" i="8"/>
  <c r="AAX14" i="8"/>
  <c r="AAQ14" i="8"/>
  <c r="AEO14" i="8"/>
  <c r="AFD14" i="8"/>
  <c r="ADO14" i="8"/>
  <c r="AJP14" i="8"/>
  <c r="AHP14" i="8"/>
  <c r="AJK14" i="8"/>
  <c r="AMW14" i="8"/>
  <c r="AMQ14" i="8"/>
  <c r="AOC14" i="8"/>
  <c r="KD13" i="8"/>
  <c r="KD22" i="8" s="1"/>
  <c r="ADS13" i="8"/>
  <c r="DS13" i="8"/>
  <c r="DS22" i="8" s="1"/>
  <c r="VE13" i="8"/>
  <c r="JF13" i="8"/>
  <c r="JF22" i="8" s="1"/>
  <c r="XI13" i="8"/>
  <c r="ER13" i="8"/>
  <c r="ER22" i="8" s="1"/>
  <c r="KF13" i="8"/>
  <c r="KF22" i="8" s="1"/>
  <c r="PT13" i="8"/>
  <c r="PT22" i="8" s="1"/>
  <c r="VH13" i="8"/>
  <c r="XA13" i="8"/>
  <c r="DU13" i="8"/>
  <c r="DU22" i="8" s="1"/>
  <c r="IY13" i="8"/>
  <c r="IY22" i="8" s="1"/>
  <c r="NQ13" i="8"/>
  <c r="NQ22" i="8" s="1"/>
  <c r="QQ13" i="8"/>
  <c r="QQ22" i="8" s="1"/>
  <c r="WP13" i="8"/>
  <c r="DJ13" i="8"/>
  <c r="DJ22" i="8" s="1"/>
  <c r="FC13" i="8"/>
  <c r="FC22" i="8" s="1"/>
  <c r="KQ13" i="8"/>
  <c r="KQ22" i="8" s="1"/>
  <c r="SH13" i="8"/>
  <c r="WO13" i="8"/>
  <c r="CZ13" i="8"/>
  <c r="CZ22" i="8" s="1"/>
  <c r="IC13" i="8"/>
  <c r="IC22" i="8" s="1"/>
  <c r="OW13" i="8"/>
  <c r="OW22" i="8" s="1"/>
  <c r="RM13" i="8"/>
  <c r="ZD13" i="8"/>
  <c r="EI13" i="8"/>
  <c r="EI22" i="8" s="1"/>
  <c r="JA13" i="8"/>
  <c r="JA22" i="8" s="1"/>
  <c r="OD13" i="8"/>
  <c r="OD22" i="8" s="1"/>
  <c r="RO13" i="8"/>
  <c r="ZF13" i="8"/>
  <c r="BI13" i="8"/>
  <c r="BI22" i="8" s="1"/>
  <c r="JK13" i="8"/>
  <c r="JK22" i="8" s="1"/>
  <c r="PI13" i="8"/>
  <c r="PI22" i="8" s="1"/>
  <c r="TF13" i="8"/>
  <c r="ZP13" i="8"/>
  <c r="CY13" i="8"/>
  <c r="CY22" i="8" s="1"/>
  <c r="HF13" i="8"/>
  <c r="HF22" i="8" s="1"/>
  <c r="PH13" i="8"/>
  <c r="PH22" i="8" s="1"/>
  <c r="SS13" i="8"/>
  <c r="ZC13" i="8"/>
  <c r="AFX13" i="8"/>
  <c r="AHF13" i="8"/>
  <c r="LN13" i="8"/>
  <c r="LN22" i="8" s="1"/>
  <c r="AET13" i="8"/>
  <c r="AMW13" i="8"/>
  <c r="AMW22" i="8" s="1"/>
  <c r="AGB13" i="8"/>
  <c r="EX13" i="8"/>
  <c r="EX22" i="8" s="1"/>
  <c r="AEP13" i="8"/>
  <c r="AJK13" i="8"/>
  <c r="AJK22" i="8" s="1"/>
  <c r="AFW13" i="8"/>
  <c r="ABL13" i="8"/>
  <c r="AHY13" i="8"/>
  <c r="AOA13" i="8"/>
  <c r="AOA22" i="8" s="1"/>
  <c r="IU13" i="8"/>
  <c r="IU22" i="8" s="1"/>
  <c r="AFY13" i="8"/>
  <c r="ALE13" i="8"/>
  <c r="ALE22" i="8" s="1"/>
  <c r="AOG13" i="8"/>
  <c r="AOG22" i="8" s="1"/>
  <c r="ABC13" i="8"/>
  <c r="AHO13" i="8"/>
  <c r="AOD13" i="8"/>
  <c r="AOD22" i="8" s="1"/>
  <c r="PU13" i="8"/>
  <c r="PU22" i="8" s="1"/>
  <c r="KX14" i="8"/>
  <c r="NP14" i="8"/>
  <c r="QG14" i="8"/>
  <c r="PE14" i="8"/>
  <c r="RL14" i="8"/>
  <c r="SL14" i="8"/>
  <c r="TW14" i="8"/>
  <c r="XV14" i="8"/>
  <c r="ACF14" i="8"/>
  <c r="AEB14" i="8"/>
  <c r="ACN14" i="8"/>
  <c r="AFE14" i="8"/>
  <c r="AEL14" i="8"/>
  <c r="AHN14" i="8"/>
  <c r="AIB14" i="8"/>
  <c r="AIP14" i="8"/>
  <c r="ALG14" i="8"/>
  <c r="ANM14" i="8"/>
  <c r="AOE14" i="8"/>
  <c r="RD13" i="8"/>
  <c r="AFQ13" i="8"/>
  <c r="KG13" i="8"/>
  <c r="KG22" i="8" s="1"/>
  <c r="AAB13" i="8"/>
  <c r="KN13" i="8"/>
  <c r="KN22" i="8" s="1"/>
  <c r="VS13" i="8"/>
  <c r="CP13" i="8"/>
  <c r="CP22" i="8" s="1"/>
  <c r="ID13" i="8"/>
  <c r="ID22" i="8" s="1"/>
  <c r="LZ13" i="8"/>
  <c r="LZ22" i="8" s="1"/>
  <c r="RN13" i="8"/>
  <c r="AAL13" i="8"/>
  <c r="EG13" i="8"/>
  <c r="EG22" i="8" s="1"/>
  <c r="HH13" i="8"/>
  <c r="HH22" i="8" s="1"/>
  <c r="NR13" i="8"/>
  <c r="NR22" i="8" s="1"/>
  <c r="VT13" i="8"/>
  <c r="YI13" i="8"/>
  <c r="CD13" i="8"/>
  <c r="CD22" i="8" s="1"/>
  <c r="HR13" i="8"/>
  <c r="HR22" i="8" s="1"/>
  <c r="MJ13" i="8"/>
  <c r="MJ22" i="8" s="1"/>
  <c r="UA13" i="8"/>
  <c r="XL13" i="8"/>
  <c r="AM13" i="8"/>
  <c r="AM22" i="8" s="1"/>
  <c r="HS13" i="8"/>
  <c r="HS22" i="8" s="1"/>
  <c r="MK13" i="8"/>
  <c r="MK22" i="8" s="1"/>
  <c r="SU13" i="8"/>
  <c r="AAA13" i="8"/>
  <c r="BV13" i="8"/>
  <c r="BV22" i="8" s="1"/>
  <c r="LP13" i="8"/>
  <c r="LP22" i="8" s="1"/>
  <c r="QG13" i="8"/>
  <c r="QG22" i="8" s="1"/>
  <c r="SL13" i="8"/>
  <c r="ZR13" i="8"/>
  <c r="AY13" i="8"/>
  <c r="AY22" i="8" s="1"/>
  <c r="LD13" i="8"/>
  <c r="LD22" i="8" s="1"/>
  <c r="MA13" i="8"/>
  <c r="MA22" i="8" s="1"/>
  <c r="VJ13" i="8"/>
  <c r="ABT13" i="8"/>
  <c r="DK13" i="8"/>
  <c r="DK22" i="8" s="1"/>
  <c r="FZ13" i="8"/>
  <c r="FZ22" i="8" s="1"/>
  <c r="LC13" i="8"/>
  <c r="LC22" i="8" s="1"/>
  <c r="RB13" i="8"/>
  <c r="RB22" i="8" s="1"/>
  <c r="YH13" i="8"/>
  <c r="AGJ13" i="8"/>
  <c r="AJJ13" i="8"/>
  <c r="AJJ22" i="8" s="1"/>
  <c r="QK13" i="8"/>
  <c r="QK22" i="8" s="1"/>
  <c r="ADC13" i="8"/>
  <c r="AJO13" i="8"/>
  <c r="AJO22" i="8" s="1"/>
  <c r="AHX13" i="8"/>
  <c r="GK13" i="8"/>
  <c r="GK22" i="8" s="1"/>
  <c r="ABG13" i="8"/>
  <c r="AJW13" i="8"/>
  <c r="AJW22" i="8" s="1"/>
  <c r="AOB13" i="8"/>
  <c r="AOB22" i="8" s="1"/>
  <c r="ABN13" i="8"/>
  <c r="AGS13" i="8"/>
  <c r="AON13" i="8"/>
  <c r="AON22" i="8" s="1"/>
  <c r="ON13" i="8"/>
  <c r="ON22" i="8" s="1"/>
  <c r="ADB13" i="8"/>
  <c r="AKJ13" i="8"/>
  <c r="AKJ22" i="8" s="1"/>
  <c r="K13" i="8"/>
  <c r="K22" i="8" s="1"/>
  <c r="ADR13" i="8"/>
  <c r="AIA13" i="8"/>
  <c r="WT13" i="8"/>
  <c r="SO13" i="8"/>
  <c r="AGW13" i="8"/>
  <c r="AMO13" i="8"/>
  <c r="AMO22" i="8" s="1"/>
  <c r="CA13" i="8"/>
  <c r="CA22" i="8" s="1"/>
  <c r="ABO13" i="8"/>
  <c r="JQ14" i="8"/>
  <c r="OA14" i="8"/>
  <c r="MX14" i="8"/>
  <c r="QW14" i="8"/>
  <c r="TY14" i="8"/>
  <c r="UD14" i="8"/>
  <c r="YN14" i="8"/>
  <c r="WD14" i="8"/>
  <c r="AAN14" i="8"/>
  <c r="AAR14" i="8"/>
  <c r="ABR14" i="8"/>
  <c r="ACQ14" i="8"/>
  <c r="AHU14" i="8"/>
  <c r="AGG14" i="8"/>
  <c r="AJI14" i="8"/>
  <c r="ALO14" i="8"/>
  <c r="AMN14" i="8"/>
  <c r="ANN14" i="8"/>
  <c r="U13" i="8"/>
  <c r="U22" i="8" s="1"/>
  <c r="SZ13" i="8"/>
  <c r="AFU13" i="8"/>
  <c r="JE13" i="8"/>
  <c r="JE22" i="8" s="1"/>
  <c r="AF13" i="8"/>
  <c r="AF22" i="8" s="1"/>
  <c r="LV13" i="8"/>
  <c r="LV22" i="8" s="1"/>
  <c r="ZO13" i="8"/>
  <c r="DX13" i="8"/>
  <c r="DX22" i="8" s="1"/>
  <c r="IP13" i="8"/>
  <c r="IP22" i="8" s="1"/>
  <c r="NH13" i="8"/>
  <c r="NH22" i="8" s="1"/>
  <c r="RZ13" i="8"/>
  <c r="XC13" i="8"/>
  <c r="ET13" i="8"/>
  <c r="ET22" i="8" s="1"/>
  <c r="HT13" i="8"/>
  <c r="HT22" i="8" s="1"/>
  <c r="NS13" i="8"/>
  <c r="NS22" i="8" s="1"/>
  <c r="WF13" i="8"/>
  <c r="AAX13" i="8"/>
  <c r="FD13" i="8"/>
  <c r="FD22" i="8" s="1"/>
  <c r="IO13" i="8"/>
  <c r="IO22" i="8" s="1"/>
  <c r="PJ13" i="8"/>
  <c r="PJ22" i="8" s="1"/>
  <c r="UX13" i="8"/>
  <c r="XB13" i="8"/>
  <c r="BJ13" i="8"/>
  <c r="BJ22" i="8" s="1"/>
  <c r="GM13" i="8"/>
  <c r="GM22" i="8" s="1"/>
  <c r="OZ13" i="8"/>
  <c r="OZ22" i="8" s="1"/>
  <c r="UN13" i="8"/>
  <c r="AAM13" i="8"/>
  <c r="EV13" i="8"/>
  <c r="EV22" i="8" s="1"/>
  <c r="HK13" i="8"/>
  <c r="HK22" i="8" s="1"/>
  <c r="PM13" i="8"/>
  <c r="PM22" i="8" s="1"/>
  <c r="UP13" i="8"/>
  <c r="ZS13" i="8"/>
  <c r="GB13" i="8"/>
  <c r="GB22" i="8" s="1"/>
  <c r="JB13" i="8"/>
  <c r="JB22" i="8" s="1"/>
  <c r="NI13" i="8"/>
  <c r="NI22" i="8" s="1"/>
  <c r="SW13" i="8"/>
  <c r="AAY13" i="8"/>
  <c r="EH13" i="8"/>
  <c r="EH22" i="8" s="1"/>
  <c r="JU13" i="8"/>
  <c r="JU22" i="8" s="1"/>
  <c r="NG13" i="8"/>
  <c r="NG22" i="8" s="1"/>
  <c r="RY13" i="8"/>
  <c r="XX13" i="8"/>
  <c r="AFD13" i="8"/>
  <c r="AID13" i="8"/>
  <c r="TP13" i="8"/>
  <c r="AHI13" i="8"/>
  <c r="ANK13" i="8"/>
  <c r="ANK22" i="8" s="1"/>
  <c r="AIC13" i="8"/>
  <c r="LH13" i="8"/>
  <c r="LH22" i="8" s="1"/>
  <c r="AGV13" i="8"/>
  <c r="AMK13" i="8"/>
  <c r="AMK22" i="8" s="1"/>
  <c r="AQ13" i="8"/>
  <c r="AQ22" i="8" s="1"/>
  <c r="ABD13" i="8"/>
  <c r="AHP13" i="8"/>
  <c r="EW13" i="8"/>
  <c r="EW22" i="8" s="1"/>
  <c r="RS13" i="8"/>
  <c r="AEU13" i="8"/>
  <c r="ANV13" i="8"/>
  <c r="ANV22" i="8" s="1"/>
  <c r="BU13" i="8"/>
  <c r="BU22" i="8" s="1"/>
  <c r="AAI13" i="8"/>
  <c r="AIY13" i="8"/>
  <c r="AIY22" i="8" s="1"/>
  <c r="AIG13" i="8"/>
  <c r="SK13" i="8"/>
  <c r="AIR13" i="8"/>
  <c r="AIR22" i="8" s="1"/>
  <c r="AKM13" i="8"/>
  <c r="AKM22" i="8" s="1"/>
  <c r="KM14" i="8"/>
  <c r="KQ14" i="8"/>
  <c r="PW14" i="8"/>
  <c r="OI14" i="8"/>
  <c r="SH14" i="8"/>
  <c r="SW14" i="8"/>
  <c r="WK14" i="8"/>
  <c r="AAJ14" i="8"/>
  <c r="XO14" i="8"/>
  <c r="AAG14" i="8"/>
  <c r="AEQ14" i="8"/>
  <c r="AGA14" i="8"/>
  <c r="AEA14" i="8"/>
  <c r="AFV14" i="8"/>
  <c r="ALL14" i="8"/>
  <c r="AJA14" i="8"/>
  <c r="AKV14" i="8"/>
  <c r="ANC14" i="8"/>
  <c r="CV13" i="8"/>
  <c r="CV22" i="8" s="1"/>
  <c r="OU13" i="8"/>
  <c r="OU22" i="8" s="1"/>
  <c r="AKB13" i="8"/>
  <c r="AKB22" i="8" s="1"/>
  <c r="ME13" i="8"/>
  <c r="ME22" i="8" s="1"/>
  <c r="W13" i="8"/>
  <c r="W22" i="8" s="1"/>
  <c r="QF13" i="8"/>
  <c r="QF22" i="8" s="1"/>
  <c r="WQ13" i="8"/>
  <c r="FF13" i="8"/>
  <c r="FF22" i="8" s="1"/>
  <c r="HU13" i="8"/>
  <c r="HU22" i="8" s="1"/>
  <c r="PL13" i="8"/>
  <c r="PL22" i="8" s="1"/>
  <c r="UD13" i="8"/>
  <c r="ABI13" i="8"/>
  <c r="CG13" i="8"/>
  <c r="CG22" i="8" s="1"/>
  <c r="HJ13" i="8"/>
  <c r="HJ22" i="8" s="1"/>
  <c r="MX13" i="8"/>
  <c r="MX22" i="8" s="1"/>
  <c r="UZ13" i="8"/>
  <c r="ACF13" i="8"/>
  <c r="CF13" i="8"/>
  <c r="CF22" i="8" s="1"/>
  <c r="JW13" i="8"/>
  <c r="JW22" i="8" s="1"/>
  <c r="QR13" i="8"/>
  <c r="QR22" i="8" s="1"/>
  <c r="UC13" i="8"/>
  <c r="XY13" i="8"/>
  <c r="DC13" i="8"/>
  <c r="DC22" i="8" s="1"/>
  <c r="GY13" i="8"/>
  <c r="GY22" i="8" s="1"/>
  <c r="OE13" i="8"/>
  <c r="OE22" i="8" s="1"/>
  <c r="TS13" i="8"/>
  <c r="YK13" i="8"/>
  <c r="FS13" i="8"/>
  <c r="FS22" i="8" s="1"/>
  <c r="HW13" i="8"/>
  <c r="HW22" i="8" s="1"/>
  <c r="PY13" i="8"/>
  <c r="PY22" i="8" s="1"/>
  <c r="XP13" i="8"/>
  <c r="ACG13" i="8"/>
  <c r="DD13" i="8"/>
  <c r="DD22" i="8" s="1"/>
  <c r="KU13" i="8"/>
  <c r="KU22" i="8" s="1"/>
  <c r="QT13" i="8"/>
  <c r="QT22" i="8" s="1"/>
  <c r="WH13" i="8"/>
  <c r="YL13" i="8"/>
  <c r="ES13" i="8"/>
  <c r="ES22" i="8" s="1"/>
  <c r="KH13" i="8"/>
  <c r="KH22" i="8" s="1"/>
  <c r="PK13" i="8"/>
  <c r="PK22" i="8" s="1"/>
  <c r="VI13" i="8"/>
  <c r="YU13" i="8"/>
  <c r="AFP13" i="8"/>
  <c r="AKS13" i="8"/>
  <c r="AKS22" i="8" s="1"/>
  <c r="VN13" i="8"/>
  <c r="AFS13" i="8"/>
  <c r="ALI13" i="8"/>
  <c r="ALI22" i="8" s="1"/>
  <c r="AOK13" i="8"/>
  <c r="AOK22" i="8" s="1"/>
  <c r="MU13" i="8"/>
  <c r="MU22" i="8" s="1"/>
  <c r="ACQ13" i="8"/>
  <c r="ALF13" i="8"/>
  <c r="ALF22" i="8" s="1"/>
  <c r="DA13" i="8"/>
  <c r="DA22" i="8" s="1"/>
  <c r="AEZ13" i="8"/>
  <c r="AJI13" i="8"/>
  <c r="AJI22" i="8" s="1"/>
  <c r="AAG13" i="8"/>
  <c r="UM13" i="8"/>
  <c r="AEK13" i="8"/>
  <c r="AMP13" i="8"/>
  <c r="AMP22" i="8" s="1"/>
  <c r="HC13" i="8"/>
  <c r="HC22" i="8" s="1"/>
  <c r="AEO13" i="8"/>
  <c r="AIO13" i="8"/>
  <c r="ALT13" i="8"/>
  <c r="ALT22" i="8" s="1"/>
  <c r="UT13" i="8"/>
  <c r="ACT13" i="8"/>
  <c r="AKY13" i="8"/>
  <c r="AKY22" i="8" s="1"/>
  <c r="PZ13" i="8"/>
  <c r="PZ22" i="8" s="1"/>
  <c r="AKL13" i="8"/>
  <c r="AKL22" i="8" s="1"/>
  <c r="SR13" i="8"/>
  <c r="AMD13" i="8"/>
  <c r="AMD22" i="8" s="1"/>
  <c r="ADA13" i="8"/>
  <c r="GI13" i="8"/>
  <c r="GI22" i="8" s="1"/>
  <c r="ALR13" i="8"/>
  <c r="ALR22" i="8" s="1"/>
  <c r="ACJ13" i="8"/>
  <c r="AKT13" i="8"/>
  <c r="AKT22" i="8" s="1"/>
  <c r="AHZ13" i="8"/>
  <c r="EP13" i="8"/>
  <c r="EP22" i="8" s="1"/>
  <c r="ADM13" i="8"/>
  <c r="ADV13" i="8"/>
  <c r="TW13" i="8"/>
  <c r="GQ13" i="8"/>
  <c r="GQ22" i="8" s="1"/>
  <c r="NV13" i="8"/>
  <c r="NV22" i="8" s="1"/>
  <c r="AKI13" i="8"/>
  <c r="AKI22" i="8" s="1"/>
  <c r="QH13" i="8"/>
  <c r="QH22" i="8" s="1"/>
  <c r="WS13" i="8"/>
  <c r="ZU13" i="8"/>
  <c r="EM13" i="8"/>
  <c r="EM22" i="8" s="1"/>
  <c r="JC13" i="8"/>
  <c r="JC22" i="8" s="1"/>
  <c r="MM13" i="8"/>
  <c r="MM22" i="8" s="1"/>
  <c r="SM13" i="8"/>
  <c r="ABU13" i="8"/>
  <c r="FQ13" i="8"/>
  <c r="FQ22" i="8" s="1"/>
  <c r="MQ13" i="8"/>
  <c r="MQ22" i="8" s="1"/>
  <c r="AMR14" i="8"/>
  <c r="AGR14" i="8"/>
  <c r="ABO14" i="8"/>
  <c r="VL14" i="8"/>
  <c r="LY14" i="8"/>
  <c r="QY13" i="8"/>
  <c r="QY22" i="8" s="1"/>
  <c r="ADZ13" i="8"/>
  <c r="ABV13" i="8"/>
  <c r="AKT14" i="8"/>
  <c r="AEN13" i="8"/>
  <c r="AAC13" i="8"/>
  <c r="AOQ13" i="8"/>
  <c r="AOQ22" i="8" s="1"/>
  <c r="ANF13" i="8"/>
  <c r="ANF22" i="8" s="1"/>
  <c r="AGT13" i="8"/>
  <c r="AMH13" i="8"/>
  <c r="AMH22" i="8" s="1"/>
  <c r="AHU13" i="8"/>
  <c r="PX13" i="8"/>
  <c r="PX22" i="8" s="1"/>
  <c r="AMY13" i="8"/>
  <c r="AMY22" i="8" s="1"/>
  <c r="ACD13" i="8"/>
  <c r="EK13" i="8"/>
  <c r="EK22" i="8" s="1"/>
  <c r="AJC13" i="8"/>
  <c r="AJC22" i="8" s="1"/>
  <c r="ABB13" i="8"/>
  <c r="ACM13" i="8"/>
  <c r="AGG13" i="8"/>
  <c r="DY13" i="8"/>
  <c r="DY22" i="8" s="1"/>
  <c r="ZK13" i="8"/>
  <c r="ML13" i="8"/>
  <c r="ML22" i="8" s="1"/>
  <c r="AJF13" i="8"/>
  <c r="AJF22" i="8" s="1"/>
  <c r="ALV13" i="8"/>
  <c r="ALV22" i="8" s="1"/>
  <c r="ANG13" i="8"/>
  <c r="ANG22" i="8" s="1"/>
  <c r="AGD13" i="8"/>
  <c r="KV13" i="8"/>
  <c r="KV22" i="8" s="1"/>
  <c r="RH13" i="8"/>
  <c r="VP13" i="8"/>
  <c r="BM13" i="8"/>
  <c r="BM22" i="8" s="1"/>
  <c r="DF13" i="8"/>
  <c r="DF22" i="8" s="1"/>
  <c r="MN13" i="8"/>
  <c r="MN22" i="8" s="1"/>
  <c r="PD13" i="8"/>
  <c r="PD22" i="8" s="1"/>
  <c r="YB13" i="8"/>
  <c r="ABK13" i="8"/>
  <c r="AZ13" i="8"/>
  <c r="AZ22" i="8" s="1"/>
  <c r="AMZ14" i="8"/>
  <c r="AHA14" i="8"/>
  <c r="ZS14" i="8"/>
  <c r="UA14" i="8"/>
  <c r="JR14" i="8"/>
  <c r="AFN13" i="8"/>
  <c r="AFV13" i="8"/>
  <c r="DZ13" i="8"/>
  <c r="DZ22" i="8" s="1"/>
  <c r="AEU14" i="8"/>
  <c r="AEC13" i="8"/>
  <c r="PB13" i="8"/>
  <c r="PB22" i="8" s="1"/>
  <c r="AEX13" i="8"/>
  <c r="AGZ13" i="8"/>
  <c r="AOI13" i="8"/>
  <c r="AOI22" i="8" s="1"/>
  <c r="AFG13" i="8"/>
  <c r="IL13" i="8"/>
  <c r="IL22" i="8" s="1"/>
  <c r="AMM13" i="8"/>
  <c r="AMM22" i="8" s="1"/>
  <c r="AEF13" i="8"/>
  <c r="AJ13" i="8"/>
  <c r="AJ22" i="8" s="1"/>
  <c r="ALY13" i="8"/>
  <c r="ALY22" i="8" s="1"/>
  <c r="XZ13" i="8"/>
  <c r="JT13" i="8"/>
  <c r="JT22" i="8" s="1"/>
  <c r="AHM13" i="8"/>
  <c r="ALX13" i="8"/>
  <c r="ALX22" i="8" s="1"/>
  <c r="YM13" i="8"/>
  <c r="KY13" i="8"/>
  <c r="KY22" i="8" s="1"/>
  <c r="SY13" i="8"/>
  <c r="AMF13" i="8"/>
  <c r="AMF22" i="8" s="1"/>
  <c r="ALW13" i="8"/>
  <c r="ALW22" i="8" s="1"/>
  <c r="AGN13" i="8"/>
  <c r="IR13" i="8"/>
  <c r="IR22" i="8" s="1"/>
  <c r="OS13" i="8"/>
  <c r="OS22" i="8" s="1"/>
  <c r="WV13" i="8"/>
  <c r="T13" i="8"/>
  <c r="T22" i="8" s="1"/>
  <c r="GZ13" i="8"/>
  <c r="GZ22" i="8" s="1"/>
  <c r="JN13" i="8"/>
  <c r="JN22" i="8" s="1"/>
  <c r="PN13" i="8"/>
  <c r="PN22" i="8" s="1"/>
  <c r="VB13" i="8"/>
  <c r="YV13" i="8"/>
  <c r="ANH13" i="8"/>
  <c r="ANH22" i="8" s="1"/>
  <c r="ALS14" i="8"/>
  <c r="AHL14" i="8"/>
  <c r="ABK14" i="8"/>
  <c r="RX14" i="8"/>
  <c r="KY14" i="8"/>
  <c r="ADX13" i="8"/>
  <c r="ANW13" i="8"/>
  <c r="ANW22" i="8" s="1"/>
  <c r="AHT13" i="8"/>
  <c r="CH13" i="8"/>
  <c r="CH22" i="8" s="1"/>
  <c r="ALO13" i="8"/>
  <c r="ALO22" i="8" s="1"/>
  <c r="ACB13" i="8"/>
  <c r="ANI13" i="8"/>
  <c r="ANI22" i="8" s="1"/>
  <c r="AJH13" i="8"/>
  <c r="AJH22" i="8" s="1"/>
  <c r="WX13" i="8"/>
  <c r="AOO13" i="8"/>
  <c r="AOO22" i="8" s="1"/>
  <c r="AFE13" i="8"/>
  <c r="ANS13" i="8"/>
  <c r="ANS22" i="8" s="1"/>
  <c r="XN13" i="8"/>
  <c r="GX13" i="8"/>
  <c r="GX22" i="8" s="1"/>
  <c r="AGI13" i="8"/>
  <c r="AKW13" i="8"/>
  <c r="AKW22" i="8" s="1"/>
  <c r="AOJ13" i="8"/>
  <c r="AOJ22" i="8" s="1"/>
  <c r="ADY13" i="8"/>
  <c r="KS13" i="8"/>
  <c r="KS22" i="8" s="1"/>
  <c r="OR13" i="8"/>
  <c r="OR22" i="8" s="1"/>
  <c r="XF13" i="8"/>
  <c r="AN13" i="8"/>
  <c r="AN22" i="8" s="1"/>
  <c r="FR13" i="8"/>
  <c r="FR22" i="8" s="1"/>
  <c r="JM13" i="8"/>
  <c r="JM22" i="8" s="1"/>
  <c r="NJ13" i="8"/>
  <c r="NJ22" i="8" s="1"/>
  <c r="UE13" i="8"/>
  <c r="ZQ13" i="8"/>
  <c r="AKN13" i="8"/>
  <c r="AKN22" i="8" s="1"/>
  <c r="AJO14" i="8"/>
  <c r="AGO14" i="8"/>
  <c r="ACR14" i="8"/>
  <c r="UL14" i="8"/>
  <c r="LU14" i="8"/>
  <c r="JY14" i="8"/>
  <c r="HK14" i="8"/>
  <c r="IS14" i="8"/>
  <c r="KU14" i="8"/>
  <c r="IR14" i="8"/>
  <c r="JC14" i="8"/>
  <c r="LF14" i="8"/>
  <c r="JN14" i="8"/>
  <c r="MB14" i="8"/>
  <c r="KT14" i="8"/>
  <c r="JM14" i="8"/>
  <c r="GY14" i="8"/>
  <c r="JX14" i="8"/>
  <c r="HU14" i="8"/>
  <c r="JB14" i="8"/>
  <c r="KJ14" i="8"/>
  <c r="KI14" i="8"/>
  <c r="KS14" i="8"/>
  <c r="LD14" i="8"/>
  <c r="IE14" i="8"/>
  <c r="HJ14" i="8"/>
  <c r="IP14" i="8"/>
  <c r="JL14" i="8"/>
  <c r="IQ14" i="8"/>
  <c r="GM14" i="8"/>
  <c r="LP14" i="8"/>
  <c r="G33" i="1"/>
  <c r="G42" i="1" s="1"/>
  <c r="H51" i="1"/>
  <c r="AG161" i="2" s="1"/>
  <c r="HI14" i="8"/>
  <c r="GX14" i="8"/>
  <c r="HT14" i="8"/>
  <c r="KG14" i="8"/>
  <c r="JW14" i="8"/>
  <c r="IO14" i="8"/>
  <c r="KH14" i="8"/>
  <c r="HH14" i="8"/>
  <c r="GA14" i="8"/>
  <c r="GW14" i="8"/>
  <c r="GL14" i="8"/>
  <c r="JV14" i="8"/>
  <c r="IZ14" i="8"/>
  <c r="KR14" i="8"/>
  <c r="HS14" i="8"/>
  <c r="JK14" i="8"/>
  <c r="GK14" i="8"/>
  <c r="FO14" i="8"/>
  <c r="KF14" i="8"/>
  <c r="GV14" i="8"/>
  <c r="HR14" i="8"/>
  <c r="ID14" i="8"/>
  <c r="JJ14" i="8"/>
  <c r="IC14" i="8"/>
  <c r="FZ14" i="8"/>
  <c r="IN14" i="8"/>
  <c r="FC14" i="8"/>
  <c r="FY14" i="8"/>
  <c r="IY14" i="8"/>
  <c r="FN14" i="8"/>
  <c r="HF14" i="8"/>
  <c r="JT14" i="8"/>
  <c r="IK14" i="8"/>
  <c r="HG14" i="8"/>
  <c r="EQ14" i="8"/>
  <c r="IM14" i="8"/>
  <c r="GJ14" i="8"/>
  <c r="FB14" i="8"/>
  <c r="HQ14" i="8"/>
  <c r="FM14" i="8"/>
  <c r="IW14" i="8"/>
  <c r="C32" i="4"/>
  <c r="D32" i="4" s="1"/>
  <c r="I5" i="4"/>
  <c r="I6" i="4" s="1"/>
  <c r="IB14" i="8"/>
  <c r="G35" i="1"/>
  <c r="G37" i="7"/>
  <c r="P37" i="7" s="1"/>
  <c r="G70" i="1"/>
  <c r="FX14" i="8"/>
  <c r="GT14" i="8"/>
  <c r="IA14" i="8"/>
  <c r="GU14" i="8"/>
  <c r="GI14" i="8"/>
  <c r="HD14" i="8"/>
  <c r="FA14" i="8"/>
  <c r="JH14" i="8"/>
  <c r="HP14" i="8"/>
  <c r="IV14" i="8"/>
  <c r="HZ14" i="8"/>
  <c r="GS14" i="8"/>
  <c r="IL14" i="8"/>
  <c r="HY14" i="8"/>
  <c r="HO14" i="8"/>
  <c r="EZ14" i="8"/>
  <c r="GR14" i="8"/>
  <c r="EP14" i="8"/>
  <c r="ED14" i="8"/>
  <c r="HB14" i="8"/>
  <c r="GF14" i="8"/>
  <c r="EN14" i="8"/>
  <c r="DR14" i="8"/>
  <c r="GH14" i="8"/>
  <c r="HM14" i="8"/>
  <c r="FU14" i="8"/>
  <c r="EX14" i="8"/>
  <c r="DQ14" i="8"/>
  <c r="DS14" i="8"/>
  <c r="GG14" i="8"/>
  <c r="DF14" i="8"/>
  <c r="GO14" i="8"/>
  <c r="EB14" i="8"/>
  <c r="FI14" i="8"/>
  <c r="HA14" i="8"/>
  <c r="HX14" i="8"/>
  <c r="CT14" i="8"/>
  <c r="DP14" i="8"/>
  <c r="GD14" i="8"/>
  <c r="FH14" i="8"/>
  <c r="FW14" i="8"/>
  <c r="FK14" i="8"/>
  <c r="FT14" i="8"/>
  <c r="GC14" i="8"/>
  <c r="EK14" i="8"/>
  <c r="FR14" i="8"/>
  <c r="DZ14" i="8"/>
  <c r="EA14" i="8"/>
  <c r="CI14" i="8"/>
  <c r="CH14" i="8"/>
  <c r="HN14" i="8"/>
  <c r="EY14" i="8"/>
  <c r="GE14" i="8"/>
  <c r="EL14" i="8"/>
  <c r="DD14" i="8"/>
  <c r="EO14" i="8"/>
  <c r="FJ14" i="8"/>
  <c r="EM14" i="8"/>
  <c r="EW14" i="8"/>
  <c r="GB14" i="8"/>
  <c r="HL14" i="8"/>
  <c r="GZ14" i="8"/>
  <c r="CR14" i="8"/>
  <c r="HC14" i="8"/>
  <c r="GQ14" i="8"/>
  <c r="CU14" i="8"/>
  <c r="FQ14" i="8"/>
  <c r="FL14" i="8"/>
  <c r="IJ14" i="8"/>
  <c r="EC14" i="8"/>
  <c r="FS14" i="8"/>
  <c r="EV14" i="8"/>
  <c r="EU14" i="8"/>
  <c r="EJ14" i="8"/>
  <c r="BW14" i="8"/>
  <c r="GN14" i="8"/>
  <c r="DM14" i="8"/>
  <c r="ET14" i="8"/>
  <c r="FP14" i="8"/>
  <c r="EI14" i="8"/>
  <c r="DO14" i="8"/>
  <c r="IG14" i="8"/>
  <c r="IF14" i="8"/>
  <c r="JA14" i="8"/>
  <c r="JU14" i="8"/>
  <c r="JI14" i="8"/>
  <c r="IX14" i="8"/>
  <c r="HE14" i="8"/>
  <c r="EE14" i="8"/>
  <c r="FV14" i="8"/>
  <c r="DG14" i="8"/>
  <c r="GP14" i="8"/>
  <c r="DE14" i="8"/>
  <c r="DN14" i="8"/>
  <c r="CF14" i="8"/>
  <c r="AY14" i="8"/>
  <c r="CG14" i="8"/>
  <c r="EG14" i="8"/>
  <c r="FD14" i="8"/>
  <c r="FE14" i="8"/>
  <c r="BT14" i="8"/>
  <c r="AM14" i="8"/>
  <c r="CP14" i="8"/>
  <c r="ES14" i="8"/>
  <c r="CE14" i="8"/>
  <c r="CZ14" i="8"/>
  <c r="CO14" i="8"/>
  <c r="DU14" i="8"/>
  <c r="FF14" i="8"/>
  <c r="DX14" i="8"/>
  <c r="EH14" i="8"/>
  <c r="CD14" i="8"/>
  <c r="BV14" i="8"/>
  <c r="BU14" i="8"/>
  <c r="DA14" i="8"/>
  <c r="ER14" i="8"/>
  <c r="CS14" i="8"/>
  <c r="DY14" i="8"/>
  <c r="BJ14" i="8"/>
  <c r="DW14" i="8"/>
  <c r="BS14" i="8"/>
  <c r="DC14" i="8"/>
  <c r="CQ14" i="8"/>
  <c r="BI14" i="8"/>
  <c r="AL14" i="8"/>
  <c r="FG14" i="8"/>
  <c r="BK14" i="8"/>
  <c r="DB14" i="8"/>
  <c r="DL14" i="8"/>
  <c r="DK14" i="8"/>
  <c r="AX14" i="8"/>
  <c r="AW14" i="8"/>
  <c r="AA14" i="8"/>
  <c r="DI14" i="8"/>
  <c r="O14" i="8"/>
  <c r="BG14" i="8"/>
  <c r="BH14" i="8"/>
  <c r="EF14" i="8"/>
  <c r="DV14" i="8"/>
  <c r="BR14" i="8"/>
  <c r="AK14" i="8"/>
  <c r="AV14" i="8"/>
  <c r="CC14" i="8"/>
  <c r="CW14" i="8"/>
  <c r="N14" i="8"/>
  <c r="CX14" i="8"/>
  <c r="CK14" i="8"/>
  <c r="BE14" i="8"/>
  <c r="DH14" i="8"/>
  <c r="AT14" i="8"/>
  <c r="DJ14" i="8"/>
  <c r="BP14" i="8"/>
  <c r="BY14" i="8"/>
  <c r="BO14" i="8"/>
  <c r="BD14" i="8"/>
  <c r="AI128" i="2"/>
  <c r="AH14" i="8"/>
  <c r="L14" i="8"/>
  <c r="DT14" i="8"/>
  <c r="K14" i="8"/>
  <c r="AJ14" i="8"/>
  <c r="AG14" i="8"/>
  <c r="CJ14" i="8"/>
  <c r="BA14" i="8"/>
  <c r="BB14" i="8"/>
  <c r="AQ14" i="8"/>
  <c r="Z14" i="8"/>
  <c r="BF14" i="8"/>
  <c r="AI14" i="8"/>
  <c r="AS14" i="8"/>
  <c r="AF14" i="8"/>
  <c r="BQ14" i="8"/>
  <c r="X14" i="8"/>
  <c r="AR14" i="8"/>
  <c r="CY14" i="8"/>
  <c r="CM14" i="8"/>
  <c r="CA14" i="8"/>
  <c r="V14" i="8"/>
  <c r="CN14" i="8"/>
  <c r="CB14" i="8"/>
  <c r="BZ14" i="8"/>
  <c r="BM14" i="8"/>
  <c r="Y14" i="8"/>
  <c r="CL14" i="8"/>
  <c r="W14" i="8"/>
  <c r="BN14" i="8"/>
  <c r="AU14" i="8"/>
  <c r="M14" i="8"/>
  <c r="CV14" i="8"/>
  <c r="BC14" i="8"/>
  <c r="AO14" i="8"/>
  <c r="I14" i="8"/>
  <c r="AE14" i="8"/>
  <c r="BL14" i="8"/>
  <c r="AP14" i="8"/>
  <c r="H14" i="8"/>
  <c r="R14" i="8"/>
  <c r="Q14" i="8"/>
  <c r="BX14" i="8"/>
  <c r="AN14" i="8"/>
  <c r="G14" i="8"/>
  <c r="F14" i="8"/>
  <c r="H5" i="8"/>
  <c r="H6" i="8" s="1"/>
  <c r="T14" i="8"/>
  <c r="E14" i="8"/>
  <c r="AZ14" i="8"/>
  <c r="P14" i="8"/>
  <c r="J14" i="8"/>
  <c r="S14" i="8"/>
  <c r="D14" i="8"/>
  <c r="U14" i="8"/>
  <c r="AC14" i="8"/>
  <c r="AB14" i="8"/>
  <c r="G40" i="1"/>
  <c r="ANJ16" i="4"/>
  <c r="QP16" i="4"/>
  <c r="QP23" i="4" s="1"/>
  <c r="HX16" i="4"/>
  <c r="HX23" i="4" s="1"/>
  <c r="AP16" i="4"/>
  <c r="AP23" i="4" s="1"/>
  <c r="IZ16" i="4"/>
  <c r="IZ23" i="4" s="1"/>
  <c r="EE16" i="4"/>
  <c r="EE23" i="4" s="1"/>
  <c r="CJ16" i="4"/>
  <c r="CJ23" i="4" s="1"/>
  <c r="U16" i="4"/>
  <c r="U23" i="4" s="1"/>
  <c r="LD16" i="4"/>
  <c r="LD23" i="4" s="1"/>
  <c r="AAT16" i="4"/>
  <c r="CO16" i="4"/>
  <c r="CO23" i="4" s="1"/>
  <c r="OO16" i="4"/>
  <c r="OO23" i="4" s="1"/>
  <c r="AFQ16" i="4"/>
  <c r="FH16" i="4"/>
  <c r="FH23" i="4" s="1"/>
  <c r="SG16" i="4"/>
  <c r="SG23" i="4" s="1"/>
  <c r="AKU16" i="4"/>
  <c r="CU16" i="4"/>
  <c r="CU23" i="4" s="1"/>
  <c r="OW16" i="4"/>
  <c r="OW23" i="4" s="1"/>
  <c r="AGA16" i="4"/>
  <c r="EQ16" i="4"/>
  <c r="EQ23" i="4" s="1"/>
  <c r="RH16" i="4"/>
  <c r="RH23" i="4" s="1"/>
  <c r="AJI16" i="4"/>
  <c r="DU16" i="4"/>
  <c r="DU23" i="4" s="1"/>
  <c r="QE16" i="4"/>
  <c r="QE23" i="4" s="1"/>
  <c r="AHV16" i="4"/>
  <c r="ES16" i="4"/>
  <c r="ES23" i="4" s="1"/>
  <c r="RN16" i="4"/>
  <c r="RN23" i="4" s="1"/>
  <c r="AJO16" i="4"/>
  <c r="ET16" i="4"/>
  <c r="ET23" i="4" s="1"/>
  <c r="RO16" i="4"/>
  <c r="RO23" i="4" s="1"/>
  <c r="AJQ16" i="4"/>
  <c r="FU16" i="4"/>
  <c r="FU23" i="4" s="1"/>
  <c r="SX16" i="4"/>
  <c r="SX23" i="4" s="1"/>
  <c r="ALS16" i="4"/>
  <c r="AB16" i="4"/>
  <c r="AB23" i="4" s="1"/>
  <c r="HJ16" i="4"/>
  <c r="HJ23" i="4" s="1"/>
  <c r="QA16" i="4"/>
  <c r="QA23" i="4" s="1"/>
  <c r="ABC16" i="4"/>
  <c r="AOA16" i="4"/>
  <c r="AJZ16" i="4"/>
  <c r="AJJ16" i="4"/>
  <c r="ADV16" i="4"/>
  <c r="YH16" i="4"/>
  <c r="ST16" i="4"/>
  <c r="ST23" i="4" s="1"/>
  <c r="NF16" i="4"/>
  <c r="NF23" i="4" s="1"/>
  <c r="HR16" i="4"/>
  <c r="HR23" i="4" s="1"/>
  <c r="CD16" i="4"/>
  <c r="CD23" i="4" s="1"/>
  <c r="ALP16" i="4"/>
  <c r="AFK16" i="4"/>
  <c r="ALZ16" i="4"/>
  <c r="AFT16" i="4"/>
  <c r="ZS16" i="4"/>
  <c r="TQ16" i="4"/>
  <c r="TQ23" i="4" s="1"/>
  <c r="NP16" i="4"/>
  <c r="NP23" i="4" s="1"/>
  <c r="HO16" i="4"/>
  <c r="HO23" i="4" s="1"/>
  <c r="BN16" i="4"/>
  <c r="BN23" i="4" s="1"/>
  <c r="AJM16" i="4"/>
  <c r="ACE16" i="4"/>
  <c r="VO16" i="4"/>
  <c r="AJS16" i="4"/>
  <c r="ACN16" i="4"/>
  <c r="VV16" i="4"/>
  <c r="PG16" i="4"/>
  <c r="PG23" i="4" s="1"/>
  <c r="IR16" i="4"/>
  <c r="IR23" i="4" s="1"/>
  <c r="CB16" i="4"/>
  <c r="CB23" i="4" s="1"/>
  <c r="AJC16" i="4"/>
  <c r="AAN16" i="4"/>
  <c r="SR16" i="4"/>
  <c r="SR23" i="4" s="1"/>
  <c r="LM16" i="4"/>
  <c r="LM23" i="4" s="1"/>
  <c r="AMF16" i="4"/>
  <c r="ADG16" i="4"/>
  <c r="VF16" i="4"/>
  <c r="NV16" i="4"/>
  <c r="NV23" i="4" s="1"/>
  <c r="AJP16" i="4"/>
  <c r="AAY16" i="4"/>
  <c r="AOJ16" i="4"/>
  <c r="AOJ23" i="4" s="1"/>
  <c r="AFC16" i="4"/>
  <c r="WW16" i="4"/>
  <c r="PJ16" i="4"/>
  <c r="PJ23" i="4" s="1"/>
  <c r="DT16" i="4"/>
  <c r="DT23" i="4" s="1"/>
  <c r="LN16" i="4"/>
  <c r="LN23" i="4" s="1"/>
  <c r="VJ16" i="4"/>
  <c r="AHU16" i="4"/>
  <c r="Q16" i="4"/>
  <c r="Q23" i="4" s="1"/>
  <c r="XL16" i="4"/>
  <c r="LX16" i="4"/>
  <c r="LX23" i="4" s="1"/>
  <c r="HY16" i="4"/>
  <c r="HY23" i="4" s="1"/>
  <c r="NI16" i="4"/>
  <c r="NI23" i="4" s="1"/>
  <c r="RU16" i="4"/>
  <c r="RU23" i="4" s="1"/>
  <c r="FZ16" i="4"/>
  <c r="FZ23" i="4" s="1"/>
  <c r="AR16" i="4"/>
  <c r="AR23" i="4" s="1"/>
  <c r="ME16" i="4"/>
  <c r="ME23" i="4" s="1"/>
  <c r="ACD16" i="4"/>
  <c r="DL16" i="4"/>
  <c r="DL23" i="4" s="1"/>
  <c r="PV16" i="4"/>
  <c r="PV23" i="4" s="1"/>
  <c r="AHF16" i="4"/>
  <c r="GG16" i="4"/>
  <c r="GG23" i="4" s="1"/>
  <c r="TM16" i="4"/>
  <c r="TM23" i="4" s="1"/>
  <c r="AMM16" i="4"/>
  <c r="DP16" i="4"/>
  <c r="DP23" i="4" s="1"/>
  <c r="PX16" i="4"/>
  <c r="PX23" i="4" s="1"/>
  <c r="AHM16" i="4"/>
  <c r="FM16" i="4"/>
  <c r="FM23" i="4" s="1"/>
  <c r="SL16" i="4"/>
  <c r="SL23" i="4" s="1"/>
  <c r="AKZ16" i="4"/>
  <c r="ER16" i="4"/>
  <c r="ER23" i="4" s="1"/>
  <c r="RI16" i="4"/>
  <c r="RI23" i="4" s="1"/>
  <c r="AJK16" i="4"/>
  <c r="FQ16" i="4"/>
  <c r="FQ23" i="4" s="1"/>
  <c r="SS16" i="4"/>
  <c r="SS23" i="4" s="1"/>
  <c r="ALH16" i="4"/>
  <c r="FT16" i="4"/>
  <c r="FT23" i="4" s="1"/>
  <c r="SW16" i="4"/>
  <c r="SW23" i="4" s="1"/>
  <c r="ALQ16" i="4"/>
  <c r="GU16" i="4"/>
  <c r="GU23" i="4" s="1"/>
  <c r="UG16" i="4"/>
  <c r="UG23" i="4" s="1"/>
  <c r="ANK16" i="4"/>
  <c r="AQ16" i="4"/>
  <c r="AQ23" i="4" s="1"/>
  <c r="HZ16" i="4"/>
  <c r="HZ23" i="4" s="1"/>
  <c r="QT16" i="4"/>
  <c r="QT23" i="4" s="1"/>
  <c r="ACC16" i="4"/>
  <c r="ANO16" i="4"/>
  <c r="AOP16" i="4"/>
  <c r="AOP23" i="4" s="1"/>
  <c r="AIX16" i="4"/>
  <c r="ADJ16" i="4"/>
  <c r="XV16" i="4"/>
  <c r="SH16" i="4"/>
  <c r="SH23" i="4" s="1"/>
  <c r="MT16" i="4"/>
  <c r="MT23" i="4" s="1"/>
  <c r="HF16" i="4"/>
  <c r="HF23" i="4" s="1"/>
  <c r="BR16" i="4"/>
  <c r="BR23" i="4" s="1"/>
  <c r="ALB16" i="4"/>
  <c r="AEX16" i="4"/>
  <c r="ALL16" i="4"/>
  <c r="AFG16" i="4"/>
  <c r="ZE16" i="4"/>
  <c r="TD16" i="4"/>
  <c r="TD23" i="4" s="1"/>
  <c r="NC16" i="4"/>
  <c r="NC23" i="4" s="1"/>
  <c r="HB16" i="4"/>
  <c r="HB23" i="4" s="1"/>
  <c r="BA16" i="4"/>
  <c r="BA23" i="4" s="1"/>
  <c r="AIV16" i="4"/>
  <c r="ABP16" i="4"/>
  <c r="UZ16" i="4"/>
  <c r="AJD16" i="4"/>
  <c r="ABX16" i="4"/>
  <c r="VH16" i="4"/>
  <c r="OS16" i="4"/>
  <c r="OS23" i="4" s="1"/>
  <c r="IC16" i="4"/>
  <c r="IC23" i="4" s="1"/>
  <c r="BM16" i="4"/>
  <c r="BM23" i="4" s="1"/>
  <c r="AIJ16" i="4"/>
  <c r="ZW16" i="4"/>
  <c r="SB16" i="4"/>
  <c r="SB23" i="4" s="1"/>
  <c r="KW16" i="4"/>
  <c r="KW23" i="4" s="1"/>
  <c r="ALI16" i="4"/>
  <c r="ACO16" i="4"/>
  <c r="UN16" i="4"/>
  <c r="NG16" i="4"/>
  <c r="NG23" i="4" s="1"/>
  <c r="AIW16" i="4"/>
  <c r="AAI16" i="4"/>
  <c r="ANM16" i="4"/>
  <c r="AEL16" i="4"/>
  <c r="WG16" i="4"/>
  <c r="OU16" i="4"/>
  <c r="OU23" i="4" s="1"/>
  <c r="EI16" i="4"/>
  <c r="EI23" i="4" s="1"/>
  <c r="MF16" i="4"/>
  <c r="MF23" i="4" s="1"/>
  <c r="WH16" i="4"/>
  <c r="AIU16" i="4"/>
  <c r="DG16" i="4"/>
  <c r="DG23" i="4" s="1"/>
  <c r="AGV16" i="4"/>
  <c r="QS16" i="4"/>
  <c r="QS23" i="4" s="1"/>
  <c r="AAJ16" i="4"/>
  <c r="TA16" i="4"/>
  <c r="TA23" i="4" s="1"/>
  <c r="AKB16" i="4"/>
  <c r="OI16" i="4"/>
  <c r="OI23" i="4" s="1"/>
  <c r="BQ16" i="4"/>
  <c r="BQ23" i="4" s="1"/>
  <c r="NJ16" i="4"/>
  <c r="NJ23" i="4" s="1"/>
  <c r="ADY16" i="4"/>
  <c r="EJ16" i="4"/>
  <c r="EJ23" i="4" s="1"/>
  <c r="RA16" i="4"/>
  <c r="RA23" i="4" s="1"/>
  <c r="AIZ16" i="4"/>
  <c r="HG16" i="4"/>
  <c r="HG23" i="4" s="1"/>
  <c r="UY16" i="4"/>
  <c r="AOK16" i="4"/>
  <c r="AOK23" i="4" s="1"/>
  <c r="EP16" i="4"/>
  <c r="EP23" i="4" s="1"/>
  <c r="RG16" i="4"/>
  <c r="RG23" i="4" s="1"/>
  <c r="AJH16" i="4"/>
  <c r="GM16" i="4"/>
  <c r="GM23" i="4" s="1"/>
  <c r="TV16" i="4"/>
  <c r="TV23" i="4" s="1"/>
  <c r="AMX16" i="4"/>
  <c r="FP16" i="4"/>
  <c r="FP23" i="4" s="1"/>
  <c r="SO16" i="4"/>
  <c r="SO23" i="4" s="1"/>
  <c r="ALG16" i="4"/>
  <c r="GP16" i="4"/>
  <c r="GP23" i="4" s="1"/>
  <c r="UA16" i="4"/>
  <c r="UA23" i="4" s="1"/>
  <c r="ANF16" i="4"/>
  <c r="GQ16" i="4"/>
  <c r="GQ23" i="4" s="1"/>
  <c r="UB16" i="4"/>
  <c r="UB23" i="4" s="1"/>
  <c r="ANH16" i="4"/>
  <c r="HU16" i="4"/>
  <c r="HU23" i="4" s="1"/>
  <c r="VU16" i="4"/>
  <c r="BG16" i="4"/>
  <c r="BG23" i="4" s="1"/>
  <c r="IS16" i="4"/>
  <c r="IS23" i="4" s="1"/>
  <c r="RP16" i="4"/>
  <c r="RP23" i="4" s="1"/>
  <c r="ADE16" i="4"/>
  <c r="ANC16" i="4"/>
  <c r="AOC16" i="4"/>
  <c r="AIL16" i="4"/>
  <c r="ACX16" i="4"/>
  <c r="XJ16" i="4"/>
  <c r="RV16" i="4"/>
  <c r="RV23" i="4" s="1"/>
  <c r="MH16" i="4"/>
  <c r="MH23" i="4" s="1"/>
  <c r="GT16" i="4"/>
  <c r="GT23" i="4" s="1"/>
  <c r="BF16" i="4"/>
  <c r="BF23" i="4" s="1"/>
  <c r="AKN16" i="4"/>
  <c r="AEK16" i="4"/>
  <c r="AKW16" i="4"/>
  <c r="AES16" i="4"/>
  <c r="YR16" i="4"/>
  <c r="SQ16" i="4"/>
  <c r="SQ23" i="4" s="1"/>
  <c r="MP16" i="4"/>
  <c r="MP23" i="4" s="1"/>
  <c r="GO16" i="4"/>
  <c r="GO23" i="4" s="1"/>
  <c r="AN16" i="4"/>
  <c r="AN23" i="4" s="1"/>
  <c r="AIF16" i="4"/>
  <c r="ABA16" i="4"/>
  <c r="UL16" i="4"/>
  <c r="AIO16" i="4"/>
  <c r="ABI16" i="4"/>
  <c r="UT16" i="4"/>
  <c r="OE16" i="4"/>
  <c r="OE23" i="4" s="1"/>
  <c r="HN16" i="4"/>
  <c r="HN23" i="4" s="1"/>
  <c r="AY16" i="4"/>
  <c r="AY23" i="4" s="1"/>
  <c r="AHR16" i="4"/>
  <c r="ZG16" i="4"/>
  <c r="RM16" i="4"/>
  <c r="RM23" i="4" s="1"/>
  <c r="KG16" i="4"/>
  <c r="KG23" i="4" s="1"/>
  <c r="AKP16" i="4"/>
  <c r="ABU16" i="4"/>
  <c r="TW16" i="4"/>
  <c r="TW23" i="4" s="1"/>
  <c r="MQ16" i="4"/>
  <c r="MQ23" i="4" s="1"/>
  <c r="AID16" i="4"/>
  <c r="ZP16" i="4"/>
  <c r="AMQ16" i="4"/>
  <c r="ADQ16" i="4"/>
  <c r="VP16" i="4"/>
  <c r="OF16" i="4"/>
  <c r="OF23" i="4" s="1"/>
  <c r="EY16" i="4"/>
  <c r="EY23" i="4" s="1"/>
  <c r="GX16" i="4"/>
  <c r="GX23" i="4" s="1"/>
  <c r="AM16" i="4"/>
  <c r="AM23" i="4" s="1"/>
  <c r="YY16" i="4"/>
  <c r="BJ16" i="4"/>
  <c r="BJ23" i="4" s="1"/>
  <c r="ACA16" i="4"/>
  <c r="CI16" i="4"/>
  <c r="CI23" i="4" s="1"/>
  <c r="VY16" i="4"/>
  <c r="CL16" i="4"/>
  <c r="CL23" i="4" s="1"/>
  <c r="OM16" i="4"/>
  <c r="OM23" i="4" s="1"/>
  <c r="AFO16" i="4"/>
  <c r="FG16" i="4"/>
  <c r="FG23" i="4" s="1"/>
  <c r="SF16" i="4"/>
  <c r="SF23" i="4" s="1"/>
  <c r="AKR16" i="4"/>
  <c r="IG16" i="4"/>
  <c r="IG23" i="4" s="1"/>
  <c r="WM16" i="4"/>
  <c r="TC16" i="4"/>
  <c r="TC23" i="4" s="1"/>
  <c r="FK16" i="4"/>
  <c r="FK23" i="4" s="1"/>
  <c r="SI16" i="4"/>
  <c r="SI23" i="4" s="1"/>
  <c r="AKV16" i="4"/>
  <c r="HK16" i="4"/>
  <c r="HK23" i="4" s="1"/>
  <c r="VI16" i="4"/>
  <c r="PS16" i="4"/>
  <c r="PS23" i="4" s="1"/>
  <c r="GN16" i="4"/>
  <c r="GN23" i="4" s="1"/>
  <c r="TZ16" i="4"/>
  <c r="TZ23" i="4" s="1"/>
  <c r="ANE16" i="4"/>
  <c r="HP16" i="4"/>
  <c r="HP23" i="4" s="1"/>
  <c r="VL16" i="4"/>
  <c r="SC16" i="4"/>
  <c r="SC23" i="4" s="1"/>
  <c r="HT16" i="4"/>
  <c r="HT23" i="4" s="1"/>
  <c r="VT16" i="4"/>
  <c r="UU16" i="4"/>
  <c r="IT16" i="4"/>
  <c r="IT23" i="4" s="1"/>
  <c r="XH16" i="4"/>
  <c r="BV16" i="4"/>
  <c r="BV23" i="4" s="1"/>
  <c r="JI16" i="4"/>
  <c r="JI23" i="4" s="1"/>
  <c r="SK16" i="4"/>
  <c r="SK23" i="4" s="1"/>
  <c r="AEG16" i="4"/>
  <c r="AOG16" i="4"/>
  <c r="AOG23" i="4" s="1"/>
  <c r="ANP16" i="4"/>
  <c r="AHZ16" i="4"/>
  <c r="ACL16" i="4"/>
  <c r="WX16" i="4"/>
  <c r="RJ16" i="4"/>
  <c r="RJ23" i="4" s="1"/>
  <c r="LV16" i="4"/>
  <c r="LV23" i="4" s="1"/>
  <c r="GH16" i="4"/>
  <c r="GH23" i="4" s="1"/>
  <c r="AT16" i="4"/>
  <c r="AT23" i="4" s="1"/>
  <c r="AJY16" i="4"/>
  <c r="ADX16" i="4"/>
  <c r="AKI16" i="4"/>
  <c r="AEF16" i="4"/>
  <c r="YE16" i="4"/>
  <c r="SD16" i="4"/>
  <c r="SD23" i="4" s="1"/>
  <c r="MC16" i="4"/>
  <c r="MC23" i="4" s="1"/>
  <c r="GB16" i="4"/>
  <c r="GB23" i="4" s="1"/>
  <c r="AA16" i="4"/>
  <c r="AA23" i="4" s="1"/>
  <c r="AHQ16" i="4"/>
  <c r="AAM16" i="4"/>
  <c r="TX16" i="4"/>
  <c r="TX23" i="4" s="1"/>
  <c r="AHY16" i="4"/>
  <c r="AAU16" i="4"/>
  <c r="UF16" i="4"/>
  <c r="UF23" i="4" s="1"/>
  <c r="NO16" i="4"/>
  <c r="NO23" i="4" s="1"/>
  <c r="GZ16" i="4"/>
  <c r="GZ23" i="4" s="1"/>
  <c r="AK16" i="4"/>
  <c r="AK23" i="4" s="1"/>
  <c r="AGY16" i="4"/>
  <c r="YN16" i="4"/>
  <c r="QV16" i="4"/>
  <c r="QV23" i="4" s="1"/>
  <c r="JR16" i="4"/>
  <c r="JR23" i="4" s="1"/>
  <c r="AJU16" i="4"/>
  <c r="ABD16" i="4"/>
  <c r="TG16" i="4"/>
  <c r="TG23" i="4" s="1"/>
  <c r="MA16" i="4"/>
  <c r="MA23" i="4" s="1"/>
  <c r="AHL16" i="4"/>
  <c r="YZ16" i="4"/>
  <c r="ALW16" i="4"/>
  <c r="ACZ16" i="4"/>
  <c r="UX16" i="4"/>
  <c r="NN16" i="4"/>
  <c r="NN23" i="4" s="1"/>
  <c r="FN16" i="4"/>
  <c r="FN23" i="4" s="1"/>
  <c r="KY16" i="4"/>
  <c r="KY23" i="4" s="1"/>
  <c r="EC16" i="4"/>
  <c r="EC23" i="4" s="1"/>
  <c r="AIN16" i="4"/>
  <c r="EZ16" i="4"/>
  <c r="EZ23" i="4" s="1"/>
  <c r="ALX16" i="4"/>
  <c r="FY16" i="4"/>
  <c r="FY23" i="4" s="1"/>
  <c r="AFB16" i="4"/>
  <c r="DK16" i="4"/>
  <c r="DK23" i="4" s="1"/>
  <c r="PT16" i="4"/>
  <c r="PT23" i="4" s="1"/>
  <c r="AHE16" i="4"/>
  <c r="GF16" i="4"/>
  <c r="GF23" i="4" s="1"/>
  <c r="TL16" i="4"/>
  <c r="TL23" i="4" s="1"/>
  <c r="AML16" i="4"/>
  <c r="JG16" i="4"/>
  <c r="JG23" i="4" s="1"/>
  <c r="XZ16" i="4"/>
  <c r="ACB16" i="4"/>
  <c r="GK16" i="4"/>
  <c r="GK23" i="4" s="1"/>
  <c r="TU16" i="4"/>
  <c r="TU23" i="4" s="1"/>
  <c r="AMW16" i="4"/>
  <c r="IK16" i="4"/>
  <c r="IK23" i="4" s="1"/>
  <c r="WU16" i="4"/>
  <c r="WB16" i="4"/>
  <c r="HM16" i="4"/>
  <c r="HM23" i="4" s="1"/>
  <c r="VK16" i="4"/>
  <c r="XS16" i="4"/>
  <c r="IN16" i="4"/>
  <c r="IN23" i="4" s="1"/>
  <c r="WZ16" i="4"/>
  <c r="ZA16" i="4"/>
  <c r="IQ16" i="4"/>
  <c r="IQ23" i="4" s="1"/>
  <c r="XB16" i="4"/>
  <c r="ADW16" i="4"/>
  <c r="JU16" i="4"/>
  <c r="JU23" i="4" s="1"/>
  <c r="YU16" i="4"/>
  <c r="CK16" i="4"/>
  <c r="CK23" i="4" s="1"/>
  <c r="JY16" i="4"/>
  <c r="JY23" i="4" s="1"/>
  <c r="TE16" i="4"/>
  <c r="TE23" i="4" s="1"/>
  <c r="AFJ16" i="4"/>
  <c r="ANT16" i="4"/>
  <c r="ANB16" i="4"/>
  <c r="AHN16" i="4"/>
  <c r="ABZ16" i="4"/>
  <c r="WL16" i="4"/>
  <c r="QX16" i="4"/>
  <c r="QX23" i="4" s="1"/>
  <c r="LJ16" i="4"/>
  <c r="LJ23" i="4" s="1"/>
  <c r="FV16" i="4"/>
  <c r="FV23" i="4" s="1"/>
  <c r="AH16" i="4"/>
  <c r="AH23" i="4" s="1"/>
  <c r="AJL16" i="4"/>
  <c r="ADK16" i="4"/>
  <c r="AJT16" i="4"/>
  <c r="ADS16" i="4"/>
  <c r="XR16" i="4"/>
  <c r="RQ16" i="4"/>
  <c r="RQ23" i="4" s="1"/>
  <c r="LP16" i="4"/>
  <c r="LP23" i="4" s="1"/>
  <c r="FO16" i="4"/>
  <c r="FO23" i="4" s="1"/>
  <c r="N16" i="4"/>
  <c r="N23" i="4" s="1"/>
  <c r="AHA16" i="4"/>
  <c r="ZY16" i="4"/>
  <c r="TJ16" i="4"/>
  <c r="TJ23" i="4" s="1"/>
  <c r="AHI16" i="4"/>
  <c r="AAG16" i="4"/>
  <c r="TP16" i="4"/>
  <c r="TP23" i="4" s="1"/>
  <c r="NA16" i="4"/>
  <c r="NA23" i="4" s="1"/>
  <c r="GL16" i="4"/>
  <c r="GL23" i="4" s="1"/>
  <c r="W16" i="4"/>
  <c r="W23" i="4" s="1"/>
  <c r="AGF16" i="4"/>
  <c r="XX16" i="4"/>
  <c r="QG16" i="4"/>
  <c r="QG23" i="4" s="1"/>
  <c r="JA16" i="4"/>
  <c r="JA23" i="4" s="1"/>
  <c r="AJB16" i="4"/>
  <c r="AAL16" i="4"/>
  <c r="SP16" i="4"/>
  <c r="SP23" i="4" s="1"/>
  <c r="LL16" i="4"/>
  <c r="LL23" i="4" s="1"/>
  <c r="AGR16" i="4"/>
  <c r="YJ16" i="4"/>
  <c r="ALA16" i="4"/>
  <c r="ACG16" i="4"/>
  <c r="UH16" i="4"/>
  <c r="UH23" i="4" s="1"/>
  <c r="MY16" i="4"/>
  <c r="MY23" i="4" s="1"/>
  <c r="GE16" i="4"/>
  <c r="GE23" i="4" s="1"/>
  <c r="ON16" i="4"/>
  <c r="ON23" i="4" s="1"/>
  <c r="ZI16" i="4"/>
  <c r="PL16" i="4"/>
  <c r="PL23" i="4" s="1"/>
  <c r="HV16" i="4"/>
  <c r="HV23" i="4" s="1"/>
  <c r="BK16" i="4"/>
  <c r="BK23" i="4" s="1"/>
  <c r="IV16" i="4"/>
  <c r="IV23" i="4" s="1"/>
  <c r="CH16" i="4"/>
  <c r="CH23" i="4" s="1"/>
  <c r="JW16" i="4"/>
  <c r="JW23" i="4" s="1"/>
  <c r="P16" i="4"/>
  <c r="P23" i="4" s="1"/>
  <c r="EH16" i="4"/>
  <c r="EH23" i="4" s="1"/>
  <c r="QY16" i="4"/>
  <c r="QY23" i="4" s="1"/>
  <c r="AIR16" i="4"/>
  <c r="HE16" i="4"/>
  <c r="HE23" i="4" s="1"/>
  <c r="UW16" i="4"/>
  <c r="AOH16" i="4"/>
  <c r="AOH23" i="4" s="1"/>
  <c r="KE16" i="4"/>
  <c r="KE23" i="4" s="1"/>
  <c r="ZL16" i="4"/>
  <c r="AFI16" i="4"/>
  <c r="HI16" i="4"/>
  <c r="HI23" i="4" s="1"/>
  <c r="VC16" i="4"/>
  <c r="JJ16" i="4"/>
  <c r="JJ23" i="4" s="1"/>
  <c r="YD16" i="4"/>
  <c r="AAR16" i="4"/>
  <c r="IM16" i="4"/>
  <c r="IM23" i="4" s="1"/>
  <c r="WV16" i="4"/>
  <c r="AKM16" i="4"/>
  <c r="JM16" i="4"/>
  <c r="JM23" i="4" s="1"/>
  <c r="YL16" i="4"/>
  <c r="AMA16" i="4"/>
  <c r="JS16" i="4"/>
  <c r="JS23" i="4" s="1"/>
  <c r="YS16" i="4"/>
  <c r="M16" i="4"/>
  <c r="M23" i="4" s="1"/>
  <c r="KR16" i="4"/>
  <c r="KR23" i="4" s="1"/>
  <c r="AAC16" i="4"/>
  <c r="CZ16" i="4"/>
  <c r="CZ23" i="4" s="1"/>
  <c r="KQ16" i="4"/>
  <c r="KQ23" i="4" s="1"/>
  <c r="UC16" i="4"/>
  <c r="UC23" i="4" s="1"/>
  <c r="AGM16" i="4"/>
  <c r="ANG16" i="4"/>
  <c r="AMP16" i="4"/>
  <c r="AHB16" i="4"/>
  <c r="ABN16" i="4"/>
  <c r="VZ16" i="4"/>
  <c r="QL16" i="4"/>
  <c r="QL23" i="4" s="1"/>
  <c r="KX16" i="4"/>
  <c r="KX23" i="4" s="1"/>
  <c r="FJ16" i="4"/>
  <c r="FJ23" i="4" s="1"/>
  <c r="V16" i="4"/>
  <c r="V23" i="4" s="1"/>
  <c r="AIY16" i="4"/>
  <c r="ACW16" i="4"/>
  <c r="AJG16" i="4"/>
  <c r="ADF16" i="4"/>
  <c r="XE16" i="4"/>
  <c r="RD16" i="4"/>
  <c r="RD23" i="4" s="1"/>
  <c r="LC16" i="4"/>
  <c r="LC23" i="4" s="1"/>
  <c r="FB16" i="4"/>
  <c r="FB23" i="4" s="1"/>
  <c r="AOE16" i="4"/>
  <c r="AOE23" i="4" s="1"/>
  <c r="AGL16" i="4"/>
  <c r="ZK16" i="4"/>
  <c r="AOO16" i="4"/>
  <c r="AOO23" i="4" s="1"/>
  <c r="AGS16" i="4"/>
  <c r="ZQ16" i="4"/>
  <c r="TB16" i="4"/>
  <c r="TB23" i="4" s="1"/>
  <c r="MM16" i="4"/>
  <c r="MM23" i="4" s="1"/>
  <c r="FX16" i="4"/>
  <c r="FX23" i="4" s="1"/>
  <c r="H16" i="4"/>
  <c r="H23" i="4" s="1"/>
  <c r="AFM16" i="4"/>
  <c r="XG16" i="4"/>
  <c r="PR16" i="4"/>
  <c r="PR23" i="4" s="1"/>
  <c r="IL16" i="4"/>
  <c r="IL23" i="4" s="1"/>
  <c r="AII16" i="4"/>
  <c r="ZV16" i="4"/>
  <c r="SA16" i="4"/>
  <c r="SA23" i="4" s="1"/>
  <c r="KU16" i="4"/>
  <c r="KU23" i="4" s="1"/>
  <c r="AFZ16" i="4"/>
  <c r="XQ16" i="4"/>
  <c r="AKF16" i="4"/>
  <c r="ABM16" i="4"/>
  <c r="TO16" i="4"/>
  <c r="TO23" i="4" s="1"/>
  <c r="O16" i="4"/>
  <c r="O23" i="4" s="1"/>
  <c r="GV16" i="4"/>
  <c r="GV23" i="4" s="1"/>
  <c r="PI16" i="4"/>
  <c r="PI23" i="4" s="1"/>
  <c r="AAH16" i="4"/>
  <c r="ANN16" i="4"/>
  <c r="FR16" i="4"/>
  <c r="FR23" i="4" s="1"/>
  <c r="NY16" i="4"/>
  <c r="NY23" i="4" s="1"/>
  <c r="XK16" i="4"/>
  <c r="LW16" i="4"/>
  <c r="LW23" i="4" s="1"/>
  <c r="FA16" i="4"/>
  <c r="FA23" i="4" s="1"/>
  <c r="MZ16" i="4"/>
  <c r="MZ23" i="4" s="1"/>
  <c r="FW16" i="4"/>
  <c r="FW23" i="4" s="1"/>
  <c r="OH16" i="4"/>
  <c r="OH23" i="4" s="1"/>
  <c r="DF16" i="4"/>
  <c r="DF23" i="4" s="1"/>
  <c r="FF16" i="4"/>
  <c r="FF23" i="4" s="1"/>
  <c r="SE16" i="4"/>
  <c r="SE23" i="4" s="1"/>
  <c r="AKO16" i="4"/>
  <c r="IF16" i="4"/>
  <c r="IF23" i="4" s="1"/>
  <c r="WK16" i="4"/>
  <c r="Y16" i="4"/>
  <c r="Y23" i="4" s="1"/>
  <c r="LF16" i="4"/>
  <c r="LF23" i="4" s="1"/>
  <c r="AAX16" i="4"/>
  <c r="AHD16" i="4"/>
  <c r="IJ16" i="4"/>
  <c r="IJ23" i="4" s="1"/>
  <c r="WT16" i="4"/>
  <c r="F16" i="4"/>
  <c r="F23" i="4" s="1"/>
  <c r="KK16" i="4"/>
  <c r="KK23" i="4" s="1"/>
  <c r="ZU16" i="4"/>
  <c r="AIP16" i="4"/>
  <c r="JL16" i="4"/>
  <c r="JL23" i="4" s="1"/>
  <c r="YK16" i="4"/>
  <c r="I16" i="4"/>
  <c r="I23" i="4" s="1"/>
  <c r="KN16" i="4"/>
  <c r="KN23" i="4" s="1"/>
  <c r="ZZ16" i="4"/>
  <c r="K16" i="4"/>
  <c r="K23" i="4" s="1"/>
  <c r="KO16" i="4"/>
  <c r="KO23" i="4" s="1"/>
  <c r="AAA16" i="4"/>
  <c r="AL16" i="4"/>
  <c r="AL23" i="4" s="1"/>
  <c r="LU16" i="4"/>
  <c r="LU23" i="4" s="1"/>
  <c r="ABT16" i="4"/>
  <c r="DQ16" i="4"/>
  <c r="DQ23" i="4" s="1"/>
  <c r="LH16" i="4"/>
  <c r="LH23" i="4" s="1"/>
  <c r="VD16" i="4"/>
  <c r="AHO16" i="4"/>
  <c r="AMT16" i="4"/>
  <c r="AMD16" i="4"/>
  <c r="AGP16" i="4"/>
  <c r="ABB16" i="4"/>
  <c r="VN16" i="4"/>
  <c r="PZ16" i="4"/>
  <c r="PZ23" i="4" s="1"/>
  <c r="KL16" i="4"/>
  <c r="KL23" i="4" s="1"/>
  <c r="EX16" i="4"/>
  <c r="EX23" i="4" s="1"/>
  <c r="J16" i="4"/>
  <c r="J23" i="4" s="1"/>
  <c r="AIK16" i="4"/>
  <c r="ACJ16" i="4"/>
  <c r="AIT16" i="4"/>
  <c r="ACS16" i="4"/>
  <c r="WR16" i="4"/>
  <c r="QQ16" i="4"/>
  <c r="QQ23" i="4" s="1"/>
  <c r="KP16" i="4"/>
  <c r="KP23" i="4" s="1"/>
  <c r="EO16" i="4"/>
  <c r="EO23" i="4" s="1"/>
  <c r="ANL16" i="4"/>
  <c r="AFV16" i="4"/>
  <c r="YW16" i="4"/>
  <c r="ANV16" i="4"/>
  <c r="AGC16" i="4"/>
  <c r="ZC16" i="4"/>
  <c r="SN16" i="4"/>
  <c r="SN23" i="4" s="1"/>
  <c r="LY16" i="4"/>
  <c r="LY23" i="4" s="1"/>
  <c r="FI16" i="4"/>
  <c r="FI23" i="4" s="1"/>
  <c r="ANY16" i="4"/>
  <c r="AEU16" i="4"/>
  <c r="WO16" i="4"/>
  <c r="PA16" i="4"/>
  <c r="PA23" i="4" s="1"/>
  <c r="HW16" i="4"/>
  <c r="HW23" i="4" s="1"/>
  <c r="AHP16" i="4"/>
  <c r="ZD16" i="4"/>
  <c r="RK16" i="4"/>
  <c r="RK23" i="4" s="1"/>
  <c r="AOL16" i="4"/>
  <c r="AOL23" i="4" s="1"/>
  <c r="AFH16" i="4"/>
  <c r="XA16" i="4"/>
  <c r="AJN16" i="4"/>
  <c r="AAW16" i="4"/>
  <c r="SY16" i="4"/>
  <c r="SY23" i="4" s="1"/>
  <c r="AD16" i="4"/>
  <c r="AD23" i="4" s="1"/>
  <c r="HL16" i="4"/>
  <c r="HL23" i="4" s="1"/>
  <c r="AGU16" i="4"/>
  <c r="QR16" i="4"/>
  <c r="QR23" i="4" s="1"/>
  <c r="IW16" i="4"/>
  <c r="IW23" i="4" s="1"/>
  <c r="RW16" i="4"/>
  <c r="RW23" i="4" s="1"/>
  <c r="JV16" i="4"/>
  <c r="JV23" i="4" s="1"/>
  <c r="UM16" i="4"/>
  <c r="GW16" i="4"/>
  <c r="GW23" i="4" s="1"/>
  <c r="GD16" i="4"/>
  <c r="GD23" i="4" s="1"/>
  <c r="TI16" i="4"/>
  <c r="TI23" i="4" s="1"/>
  <c r="AMI16" i="4"/>
  <c r="JE16" i="4"/>
  <c r="JE23" i="4" s="1"/>
  <c r="XY16" i="4"/>
  <c r="AV16" i="4"/>
  <c r="AV23" i="4" s="1"/>
  <c r="MI16" i="4"/>
  <c r="MI23" i="4" s="1"/>
  <c r="ACM16" i="4"/>
  <c r="AOD16" i="4"/>
  <c r="JH16" i="4"/>
  <c r="JH23" i="4" s="1"/>
  <c r="YB16" i="4"/>
  <c r="AC16" i="4"/>
  <c r="AC23" i="4" s="1"/>
  <c r="LI16" i="4"/>
  <c r="LI23" i="4" s="1"/>
  <c r="ABG16" i="4"/>
  <c r="G16" i="4"/>
  <c r="G23" i="4" s="1"/>
  <c r="KM16" i="4"/>
  <c r="KM23" i="4" s="1"/>
  <c r="ZX16" i="4"/>
  <c r="AF16" i="4"/>
  <c r="AF23" i="4" s="1"/>
  <c r="LQ16" i="4"/>
  <c r="LQ23" i="4" s="1"/>
  <c r="ABK16" i="4"/>
  <c r="AJ16" i="4"/>
  <c r="AJ23" i="4" s="1"/>
  <c r="LT16" i="4"/>
  <c r="LT23" i="4" s="1"/>
  <c r="ABR16" i="4"/>
  <c r="BH16" i="4"/>
  <c r="BH23" i="4" s="1"/>
  <c r="MW16" i="4"/>
  <c r="MW23" i="4" s="1"/>
  <c r="ADI16" i="4"/>
  <c r="EF16" i="4"/>
  <c r="EF23" i="4" s="1"/>
  <c r="MD16" i="4"/>
  <c r="MD23" i="4" s="1"/>
  <c r="WD16" i="4"/>
  <c r="AIQ16" i="4"/>
  <c r="AMH16" i="4"/>
  <c r="ALR16" i="4"/>
  <c r="AGD16" i="4"/>
  <c r="AAP16" i="4"/>
  <c r="VB16" i="4"/>
  <c r="PN16" i="4"/>
  <c r="PN23" i="4" s="1"/>
  <c r="JZ16" i="4"/>
  <c r="JZ23" i="4" s="1"/>
  <c r="EL16" i="4"/>
  <c r="EL23" i="4" s="1"/>
  <c r="T16" i="4"/>
  <c r="T23" i="4" s="1"/>
  <c r="YV16" i="4"/>
  <c r="NB16" i="4"/>
  <c r="NB23" i="4" s="1"/>
  <c r="AAK16" i="4"/>
  <c r="OG16" i="4"/>
  <c r="OG23" i="4" s="1"/>
  <c r="ADO16" i="4"/>
  <c r="KT16" i="4"/>
  <c r="KT23" i="4" s="1"/>
  <c r="HD16" i="4"/>
  <c r="HD23" i="4" s="1"/>
  <c r="UV16" i="4"/>
  <c r="AOF16" i="4"/>
  <c r="AOF23" i="4" s="1"/>
  <c r="KD16" i="4"/>
  <c r="KD23" i="4" s="1"/>
  <c r="ZJ16" i="4"/>
  <c r="BT16" i="4"/>
  <c r="BT23" i="4" s="1"/>
  <c r="NL16" i="4"/>
  <c r="NL23" i="4" s="1"/>
  <c r="AED16" i="4"/>
  <c r="E16" i="4"/>
  <c r="E23" i="4" s="1"/>
  <c r="KJ16" i="4"/>
  <c r="KJ23" i="4" s="1"/>
  <c r="ZT16" i="4"/>
  <c r="BB16" i="4"/>
  <c r="BB23" i="4" s="1"/>
  <c r="MN16" i="4"/>
  <c r="MN23" i="4" s="1"/>
  <c r="ACV16" i="4"/>
  <c r="AE16" i="4"/>
  <c r="AE23" i="4" s="1"/>
  <c r="LO16" i="4"/>
  <c r="LO23" i="4" s="1"/>
  <c r="ABJ16" i="4"/>
  <c r="BD16" i="4"/>
  <c r="BD23" i="4" s="1"/>
  <c r="MS16" i="4"/>
  <c r="MS23" i="4" s="1"/>
  <c r="ADA16" i="4"/>
  <c r="BE16" i="4"/>
  <c r="BE23" i="4" s="1"/>
  <c r="MU16" i="4"/>
  <c r="MU23" i="4" s="1"/>
  <c r="ADD16" i="4"/>
  <c r="CG16" i="4"/>
  <c r="CG23" i="4" s="1"/>
  <c r="OB16" i="4"/>
  <c r="OB23" i="4" s="1"/>
  <c r="AFA16" i="4"/>
  <c r="EV16" i="4"/>
  <c r="EV23" i="4" s="1"/>
  <c r="MV16" i="4"/>
  <c r="MV23" i="4" s="1"/>
  <c r="XC16" i="4"/>
  <c r="AJR16" i="4"/>
  <c r="ALV16" i="4"/>
  <c r="ALF16" i="4"/>
  <c r="AFR16" i="4"/>
  <c r="AAD16" i="4"/>
  <c r="UP16" i="4"/>
  <c r="PB16" i="4"/>
  <c r="PB23" i="4" s="1"/>
  <c r="JN16" i="4"/>
  <c r="JN23" i="4" s="1"/>
  <c r="DZ16" i="4"/>
  <c r="DZ23" i="4" s="1"/>
  <c r="ANX16" i="4"/>
  <c r="AHK16" i="4"/>
  <c r="AOI16" i="4"/>
  <c r="AOI23" i="4" s="1"/>
  <c r="AHT16" i="4"/>
  <c r="ABS16" i="4"/>
  <c r="VR16" i="4"/>
  <c r="PQ16" i="4"/>
  <c r="PQ23" i="4" s="1"/>
  <c r="JP16" i="4"/>
  <c r="JP23" i="4" s="1"/>
  <c r="DO16" i="4"/>
  <c r="DO23" i="4" s="1"/>
  <c r="AMB16" i="4"/>
  <c r="AEP16" i="4"/>
  <c r="XT16" i="4"/>
  <c r="AMK16" i="4"/>
  <c r="AEY16" i="4"/>
  <c r="YA16" i="4"/>
  <c r="RL16" i="4"/>
  <c r="RL23" i="4" s="1"/>
  <c r="KV16" i="4"/>
  <c r="KV23" i="4" s="1"/>
  <c r="EG16" i="4"/>
  <c r="EG23" i="4" s="1"/>
  <c r="AMG16" i="4"/>
  <c r="ADH16" i="4"/>
  <c r="VG16" i="4"/>
  <c r="NW16" i="4"/>
  <c r="NW23" i="4" s="1"/>
  <c r="GR16" i="4"/>
  <c r="GR23" i="4" s="1"/>
  <c r="AGE16" i="4"/>
  <c r="XW16" i="4"/>
  <c r="QF16" i="4"/>
  <c r="QF23" i="4" s="1"/>
  <c r="AMV16" i="4"/>
  <c r="ADU16" i="4"/>
  <c r="VS16" i="4"/>
  <c r="AIB16" i="4"/>
  <c r="DJ16" i="4"/>
  <c r="DJ23" i="4" s="1"/>
  <c r="UK16" i="4"/>
  <c r="WF16" i="4"/>
  <c r="CR16" i="4"/>
  <c r="CR23" i="4" s="1"/>
  <c r="LG16" i="4"/>
  <c r="LG23" i="4" s="1"/>
  <c r="AEJ16" i="4"/>
  <c r="BZ16" i="4"/>
  <c r="BZ23" i="4" s="1"/>
  <c r="OA16" i="4"/>
  <c r="OA23" i="4" s="1"/>
  <c r="AGN16" i="4"/>
  <c r="YC16" i="4"/>
  <c r="AFF16" i="4"/>
  <c r="JB16" i="4"/>
  <c r="JB23" i="4" s="1"/>
  <c r="AGK16" i="4"/>
  <c r="AAS16" i="4"/>
  <c r="IO16" i="4"/>
  <c r="IO23" i="4" s="1"/>
  <c r="ADL16" i="4"/>
  <c r="ADR16" i="4"/>
  <c r="JT16" i="4"/>
  <c r="JT23" i="4" s="1"/>
  <c r="ABV16" i="4"/>
  <c r="ANW16" i="4"/>
  <c r="OZ16" i="4"/>
  <c r="OZ23" i="4" s="1"/>
  <c r="UJ16" i="4"/>
  <c r="RT16" i="4"/>
  <c r="RT23" i="4" s="1"/>
  <c r="KB16" i="4"/>
  <c r="KB23" i="4" s="1"/>
  <c r="ABH16" i="4"/>
  <c r="AW16" i="4"/>
  <c r="AW23" i="4" s="1"/>
  <c r="IX16" i="4"/>
  <c r="IX23" i="4" s="1"/>
  <c r="SU16" i="4"/>
  <c r="SU23" i="4" s="1"/>
  <c r="AEV16" i="4"/>
  <c r="AX16" i="4"/>
  <c r="AX23" i="4" s="1"/>
  <c r="II16" i="4"/>
  <c r="II23" i="4" s="1"/>
  <c r="RF16" i="4"/>
  <c r="RF23" i="4" s="1"/>
  <c r="ACR16" i="4"/>
  <c r="AEW16" i="4"/>
  <c r="Z16" i="4"/>
  <c r="Z23" i="4" s="1"/>
  <c r="ABQ16" i="4"/>
  <c r="AMR16" i="4"/>
  <c r="QN16" i="4"/>
  <c r="QN23" i="4" s="1"/>
  <c r="AKH16" i="4"/>
  <c r="KC16" i="4"/>
  <c r="KC23" i="4" s="1"/>
  <c r="WI16" i="4"/>
  <c r="HQ16" i="4"/>
  <c r="HQ23" i="4" s="1"/>
  <c r="AOB16" i="4"/>
  <c r="AEC16" i="4"/>
  <c r="KH16" i="4"/>
  <c r="KH23" i="4" s="1"/>
  <c r="IH16" i="4"/>
  <c r="IH23" i="4" s="1"/>
  <c r="HC16" i="4"/>
  <c r="HC23" i="4" s="1"/>
  <c r="ADN16" i="4"/>
  <c r="XU16" i="4"/>
  <c r="DM16" i="4"/>
  <c r="DM23" i="4" s="1"/>
  <c r="ML16" i="4"/>
  <c r="ML23" i="4" s="1"/>
  <c r="AGB16" i="4"/>
  <c r="CX16" i="4"/>
  <c r="CX23" i="4" s="1"/>
  <c r="PE16" i="4"/>
  <c r="PE23" i="4" s="1"/>
  <c r="AIH16" i="4"/>
  <c r="ZB16" i="4"/>
  <c r="AET16" i="4"/>
  <c r="IP16" i="4"/>
  <c r="IP23" i="4" s="1"/>
  <c r="AFX16" i="4"/>
  <c r="AAF16" i="4"/>
  <c r="IB16" i="4"/>
  <c r="IB23" i="4" s="1"/>
  <c r="ACU16" i="4"/>
  <c r="ADC16" i="4"/>
  <c r="JF16" i="4"/>
  <c r="JF23" i="4" s="1"/>
  <c r="ABE16" i="4"/>
  <c r="AMY16" i="4"/>
  <c r="OK16" i="4"/>
  <c r="OK23" i="4" s="1"/>
  <c r="TT16" i="4"/>
  <c r="TT23" i="4" s="1"/>
  <c r="RE16" i="4"/>
  <c r="RE23" i="4" s="1"/>
  <c r="KS16" i="4"/>
  <c r="KS23" i="4" s="1"/>
  <c r="ACH16" i="4"/>
  <c r="BL16" i="4"/>
  <c r="BL23" i="4" s="1"/>
  <c r="JO16" i="4"/>
  <c r="JO23" i="4" s="1"/>
  <c r="TN16" i="4"/>
  <c r="TN23" i="4" s="1"/>
  <c r="AFU16" i="4"/>
  <c r="BO16" i="4"/>
  <c r="BO23" i="4" s="1"/>
  <c r="IY16" i="4"/>
  <c r="IY23" i="4" s="1"/>
  <c r="RY16" i="4"/>
  <c r="RY23" i="4" s="1"/>
  <c r="ADT16" i="4"/>
  <c r="SV16" i="4"/>
  <c r="SV23" i="4" s="1"/>
  <c r="AJF16" i="4"/>
  <c r="AKD16" i="4"/>
  <c r="GY16" i="4"/>
  <c r="GY23" i="4" s="1"/>
  <c r="AEO16" i="4"/>
  <c r="OD16" i="4"/>
  <c r="OD23" i="4" s="1"/>
  <c r="AFE16" i="4"/>
  <c r="XI16" i="4"/>
  <c r="HA16" i="4"/>
  <c r="HA23" i="4" s="1"/>
  <c r="KA16" i="4"/>
  <c r="KA23" i="4" s="1"/>
  <c r="ABF16" i="4"/>
  <c r="JK16" i="4"/>
  <c r="JK23" i="4" s="1"/>
  <c r="ABO16" i="4"/>
  <c r="LB16" i="4"/>
  <c r="LB23" i="4" s="1"/>
  <c r="ANR16" i="4"/>
  <c r="ZH16" i="4"/>
  <c r="EK16" i="4"/>
  <c r="EK23" i="4" s="1"/>
  <c r="NM16" i="4"/>
  <c r="NM23" i="4" s="1"/>
  <c r="AHS16" i="4"/>
  <c r="DV16" i="4"/>
  <c r="DV23" i="4" s="1"/>
  <c r="QM16" i="4"/>
  <c r="QM23" i="4" s="1"/>
  <c r="AJX16" i="4"/>
  <c r="AAB16" i="4"/>
  <c r="AEH16" i="4"/>
  <c r="ID16" i="4"/>
  <c r="ID23" i="4" s="1"/>
  <c r="ABW16" i="4"/>
  <c r="WE16" i="4"/>
  <c r="EB16" i="4"/>
  <c r="EB23" i="4" s="1"/>
  <c r="YI16" i="4"/>
  <c r="YO16" i="4"/>
  <c r="EU16" i="4"/>
  <c r="EU23" i="4" s="1"/>
  <c r="VX16" i="4"/>
  <c r="AGW16" i="4"/>
  <c r="ANQ16" i="4"/>
  <c r="AIS16" i="4"/>
  <c r="QO16" i="4"/>
  <c r="QO23" i="4" s="1"/>
  <c r="MX16" i="4"/>
  <c r="MX23" i="4" s="1"/>
  <c r="ADM16" i="4"/>
  <c r="CC16" i="4"/>
  <c r="CC23" i="4" s="1"/>
  <c r="KF16" i="4"/>
  <c r="KF23" i="4" s="1"/>
  <c r="UQ16" i="4"/>
  <c r="AGZ16" i="4"/>
  <c r="CE16" i="4"/>
  <c r="CE23" i="4" s="1"/>
  <c r="JQ16" i="4"/>
  <c r="JQ23" i="4" s="1"/>
  <c r="ACY16" i="4"/>
  <c r="OC16" i="4"/>
  <c r="OC23" i="4" s="1"/>
  <c r="MB16" i="4"/>
  <c r="MB23" i="4" s="1"/>
  <c r="ABL16" i="4"/>
  <c r="AZ16" i="4"/>
  <c r="AZ23" i="4" s="1"/>
  <c r="AEB16" i="4"/>
  <c r="S16" i="4"/>
  <c r="S23" i="4" s="1"/>
  <c r="AGH16" i="4"/>
  <c r="AJV16" i="4"/>
  <c r="ACP16" i="4"/>
  <c r="AG16" i="4"/>
  <c r="AG23" i="4" s="1"/>
  <c r="HS16" i="4"/>
  <c r="HS23" i="4" s="1"/>
  <c r="AIM16" i="4"/>
  <c r="ANU16" i="4"/>
  <c r="X16" i="4"/>
  <c r="X23" i="4" s="1"/>
  <c r="OR16" i="4"/>
  <c r="OR23" i="4" s="1"/>
  <c r="AAZ16" i="4"/>
  <c r="BC16" i="4"/>
  <c r="BC23" i="4" s="1"/>
  <c r="NX16" i="4"/>
  <c r="NX23" i="4" s="1"/>
  <c r="AEZ16" i="4"/>
  <c r="AKY16" i="4"/>
  <c r="ZR16" i="4"/>
  <c r="DN16" i="4"/>
  <c r="DN23" i="4" s="1"/>
  <c r="ANS16" i="4"/>
  <c r="VE16" i="4"/>
  <c r="DA16" i="4"/>
  <c r="DA23" i="4" s="1"/>
  <c r="XF16" i="4"/>
  <c r="XM16" i="4"/>
  <c r="DS16" i="4"/>
  <c r="DS23" i="4" s="1"/>
  <c r="UO16" i="4"/>
  <c r="AFL16" i="4"/>
  <c r="ALY16" i="4"/>
  <c r="AHH16" i="4"/>
  <c r="PY16" i="4"/>
  <c r="PY23" i="4" s="1"/>
  <c r="NT16" i="4"/>
  <c r="NT23" i="4" s="1"/>
  <c r="AEM16" i="4"/>
  <c r="CS16" i="4"/>
  <c r="CS23" i="4" s="1"/>
  <c r="KZ16" i="4"/>
  <c r="KZ23" i="4" s="1"/>
  <c r="VM16" i="4"/>
  <c r="AIA16" i="4"/>
  <c r="CT16" i="4"/>
  <c r="CT23" i="4" s="1"/>
  <c r="KI16" i="4"/>
  <c r="KI23" i="4" s="1"/>
  <c r="TS16" i="4"/>
  <c r="TS23" i="4" s="1"/>
  <c r="AFY16" i="4"/>
  <c r="US16" i="4"/>
  <c r="IA16" i="4"/>
  <c r="IA23" i="4" s="1"/>
  <c r="UI16" i="4"/>
  <c r="OX16" i="4"/>
  <c r="OX23" i="4" s="1"/>
  <c r="AHX16" i="4"/>
  <c r="LK16" i="4"/>
  <c r="LK23" i="4" s="1"/>
  <c r="R16" i="4"/>
  <c r="R23" i="4" s="1"/>
  <c r="AAQ16" i="4"/>
  <c r="FE16" i="4"/>
  <c r="FE23" i="4" s="1"/>
  <c r="AEA16" i="4"/>
  <c r="YG16" i="4"/>
  <c r="AO16" i="4"/>
  <c r="AO23" i="4" s="1"/>
  <c r="JX16" i="4"/>
  <c r="JX23" i="4" s="1"/>
  <c r="AU16" i="4"/>
  <c r="AU23" i="4" s="1"/>
  <c r="PW16" i="4"/>
  <c r="PW23" i="4" s="1"/>
  <c r="ACT16" i="4"/>
  <c r="BY16" i="4"/>
  <c r="BY23" i="4" s="1"/>
  <c r="PC16" i="4"/>
  <c r="PC23" i="4" s="1"/>
  <c r="AGJ16" i="4"/>
  <c r="AMC16" i="4"/>
  <c r="ZF16" i="4"/>
  <c r="DB16" i="4"/>
  <c r="DB23" i="4" s="1"/>
  <c r="AND16" i="4"/>
  <c r="UR16" i="4"/>
  <c r="CN16" i="4"/>
  <c r="CN23" i="4" s="1"/>
  <c r="WQ16" i="4"/>
  <c r="WY16" i="4"/>
  <c r="DE16" i="4"/>
  <c r="DE23" i="4" s="1"/>
  <c r="TY16" i="4"/>
  <c r="TY23" i="4" s="1"/>
  <c r="AER16" i="4"/>
  <c r="ALE16" i="4"/>
  <c r="AGO16" i="4"/>
  <c r="AS16" i="4"/>
  <c r="AS23" i="4" s="1"/>
  <c r="QC16" i="4"/>
  <c r="QC23" i="4" s="1"/>
  <c r="AFP16" i="4"/>
  <c r="DH16" i="4"/>
  <c r="DH23" i="4" s="1"/>
  <c r="LR16" i="4"/>
  <c r="LR23" i="4" s="1"/>
  <c r="WP16" i="4"/>
  <c r="AJE16" i="4"/>
  <c r="DI16" i="4"/>
  <c r="DI23" i="4" s="1"/>
  <c r="LA16" i="4"/>
  <c r="LA23" i="4" s="1"/>
  <c r="AHC16" i="4"/>
  <c r="AAV16" i="4"/>
  <c r="PU16" i="4"/>
  <c r="PU23" i="4" s="1"/>
  <c r="QJ16" i="4"/>
  <c r="QJ23" i="4" s="1"/>
  <c r="ACK16" i="4"/>
  <c r="AFN16" i="4"/>
  <c r="ACQ16" i="4"/>
  <c r="DY16" i="4"/>
  <c r="DY23" i="4" s="1"/>
  <c r="JC16" i="4"/>
  <c r="JC23" i="4" s="1"/>
  <c r="SJ16" i="4"/>
  <c r="SJ23" i="4" s="1"/>
  <c r="ED16" i="4"/>
  <c r="ED23" i="4" s="1"/>
  <c r="LZ16" i="4"/>
  <c r="LZ23" i="4" s="1"/>
  <c r="BS16" i="4"/>
  <c r="BS23" i="4" s="1"/>
  <c r="RB16" i="4"/>
  <c r="RB23" i="4" s="1"/>
  <c r="AEE16" i="4"/>
  <c r="CW16" i="4"/>
  <c r="CW23" i="4" s="1"/>
  <c r="QH16" i="4"/>
  <c r="QH23" i="4" s="1"/>
  <c r="AIE16" i="4"/>
  <c r="L16" i="4"/>
  <c r="L23" i="4" s="1"/>
  <c r="AOM16" i="4"/>
  <c r="AOM23" i="4" s="1"/>
  <c r="YT16" i="4"/>
  <c r="CP16" i="4"/>
  <c r="CP23" i="4" s="1"/>
  <c r="AMN16" i="4"/>
  <c r="UE16" i="4"/>
  <c r="UE23" i="4" s="1"/>
  <c r="CA16" i="4"/>
  <c r="CA23" i="4" s="1"/>
  <c r="WC16" i="4"/>
  <c r="WJ16" i="4"/>
  <c r="CQ16" i="4"/>
  <c r="CQ23" i="4" s="1"/>
  <c r="TH16" i="4"/>
  <c r="TH23" i="4" s="1"/>
  <c r="ADZ16" i="4"/>
  <c r="AKJ16" i="4"/>
  <c r="AFW16" i="4"/>
  <c r="BI16" i="4"/>
  <c r="BI23" i="4" s="1"/>
  <c r="QZ16" i="4"/>
  <c r="QZ23" i="4" s="1"/>
  <c r="AGQ16" i="4"/>
  <c r="DW16" i="4"/>
  <c r="DW23" i="4" s="1"/>
  <c r="MJ16" i="4"/>
  <c r="MJ23" i="4" s="1"/>
  <c r="XN16" i="4"/>
  <c r="AKE16" i="4"/>
  <c r="DX16" i="4"/>
  <c r="DX23" i="4" s="1"/>
  <c r="LS16" i="4"/>
  <c r="LS23" i="4" s="1"/>
  <c r="VQ16" i="4"/>
  <c r="AIC16" i="4"/>
  <c r="PH16" i="4"/>
  <c r="PH23" i="4" s="1"/>
  <c r="AGG16" i="4"/>
  <c r="AJW16" i="4"/>
  <c r="C16" i="4"/>
  <c r="C23" i="4" s="1"/>
  <c r="OV16" i="4"/>
  <c r="OV23" i="4" s="1"/>
  <c r="JD16" i="4"/>
  <c r="JD23" i="4" s="1"/>
  <c r="XO16" i="4"/>
  <c r="QB16" i="4"/>
  <c r="QB23" i="4" s="1"/>
  <c r="AEI16" i="4"/>
  <c r="RX16" i="4"/>
  <c r="RX23" i="4" s="1"/>
  <c r="SZ16" i="4"/>
  <c r="SZ23" i="4" s="1"/>
  <c r="PK16" i="4"/>
  <c r="PK23" i="4" s="1"/>
  <c r="LE16" i="4"/>
  <c r="LE23" i="4" s="1"/>
  <c r="AFS16" i="4"/>
  <c r="BW16" i="4"/>
  <c r="BW23" i="4" s="1"/>
  <c r="MO16" i="4"/>
  <c r="MO23" i="4" s="1"/>
  <c r="AEQ16" i="4"/>
  <c r="DC16" i="4"/>
  <c r="DC23" i="4" s="1"/>
  <c r="FL16" i="4"/>
  <c r="FL23" i="4" s="1"/>
  <c r="ALJ16" i="4"/>
  <c r="UD16" i="4"/>
  <c r="UD23" i="4" s="1"/>
  <c r="AON16" i="4"/>
  <c r="AON23" i="4" s="1"/>
  <c r="AIG16" i="4"/>
  <c r="QD16" i="4"/>
  <c r="QD23" i="4" s="1"/>
  <c r="AMU16" i="4"/>
  <c r="ANA16" i="4"/>
  <c r="RZ16" i="4"/>
  <c r="RZ23" i="4" s="1"/>
  <c r="AMZ16" i="4"/>
  <c r="OL16" i="4"/>
  <c r="OL23" i="4" s="1"/>
  <c r="YM16" i="4"/>
  <c r="AEN16" i="4"/>
  <c r="AAE16" i="4"/>
  <c r="BX16" i="4"/>
  <c r="BX23" i="4" s="1"/>
  <c r="RS16" i="4"/>
  <c r="RS23" i="4" s="1"/>
  <c r="AKA16" i="4"/>
  <c r="EM16" i="4"/>
  <c r="EM23" i="4" s="1"/>
  <c r="ND16" i="4"/>
  <c r="ND23" i="4" s="1"/>
  <c r="YP16" i="4"/>
  <c r="ALN16" i="4"/>
  <c r="EN16" i="4"/>
  <c r="EN23" i="4" s="1"/>
  <c r="MK16" i="4"/>
  <c r="MK23" i="4" s="1"/>
  <c r="WS16" i="4"/>
  <c r="NS16" i="4"/>
  <c r="NS23" i="4" s="1"/>
  <c r="VW16" i="4"/>
  <c r="GJ16" i="4"/>
  <c r="GJ23" i="4" s="1"/>
  <c r="CY16" i="4"/>
  <c r="CY23" i="4" s="1"/>
  <c r="ACF16" i="4"/>
  <c r="QU16" i="4"/>
  <c r="QU23" i="4" s="1"/>
  <c r="RC16" i="4"/>
  <c r="RC23" i="4" s="1"/>
  <c r="BU16" i="4"/>
  <c r="BU23" i="4" s="1"/>
  <c r="NR16" i="4"/>
  <c r="NR23" i="4" s="1"/>
  <c r="GC16" i="4"/>
  <c r="GC23" i="4" s="1"/>
  <c r="ADP16" i="4"/>
  <c r="ABY16" i="4"/>
  <c r="WA16" i="4"/>
  <c r="MG16" i="4"/>
  <c r="MG23" i="4" s="1"/>
  <c r="AHJ16" i="4"/>
  <c r="CV16" i="4"/>
  <c r="CV23" i="4" s="1"/>
  <c r="NU16" i="4"/>
  <c r="NU23" i="4" s="1"/>
  <c r="AGI16" i="4"/>
  <c r="EA16" i="4"/>
  <c r="EA23" i="4" s="1"/>
  <c r="GA16" i="4"/>
  <c r="GA23" i="4" s="1"/>
  <c r="AKX16" i="4"/>
  <c r="TR16" i="4"/>
  <c r="TR23" i="4" s="1"/>
  <c r="ANI16" i="4"/>
  <c r="AHG16" i="4"/>
  <c r="PD16" i="4"/>
  <c r="PD23" i="4" s="1"/>
  <c r="ALK16" i="4"/>
  <c r="ALT16" i="4"/>
  <c r="QW16" i="4"/>
  <c r="QW23" i="4" s="1"/>
  <c r="ALM16" i="4"/>
  <c r="NH16" i="4"/>
  <c r="NH23" i="4" s="1"/>
  <c r="XD16" i="4"/>
  <c r="ADB16" i="4"/>
  <c r="ZN16" i="4"/>
  <c r="CM16" i="4"/>
  <c r="CM23" i="4" s="1"/>
  <c r="SM16" i="4"/>
  <c r="SM23" i="4" s="1"/>
  <c r="ALD16" i="4"/>
  <c r="FC16" i="4"/>
  <c r="FC23" i="4" s="1"/>
  <c r="OT16" i="4"/>
  <c r="OT23" i="4" s="1"/>
  <c r="ZM16" i="4"/>
  <c r="AMO16" i="4"/>
  <c r="FD16" i="4"/>
  <c r="FD23" i="4" s="1"/>
  <c r="NE16" i="4"/>
  <c r="NE23" i="4" s="1"/>
  <c r="XP16" i="4"/>
  <c r="AKG16" i="4"/>
  <c r="NQ16" i="4"/>
  <c r="NQ23" i="4" s="1"/>
  <c r="AKC16" i="4"/>
  <c r="YF16" i="4"/>
  <c r="ZO16" i="4"/>
  <c r="OJ16" i="4"/>
  <c r="OJ23" i="4" s="1"/>
  <c r="HH16" i="4"/>
  <c r="HH23" i="4" s="1"/>
  <c r="PO16" i="4"/>
  <c r="PO23" i="4" s="1"/>
  <c r="PF16" i="4"/>
  <c r="PF23" i="4" s="1"/>
  <c r="VA16" i="4"/>
  <c r="QK16" i="4"/>
  <c r="QK23" i="4" s="1"/>
  <c r="ALU16" i="4"/>
  <c r="AFD16" i="4"/>
  <c r="NK16" i="4"/>
  <c r="NK23" i="4" s="1"/>
  <c r="AJA16" i="4"/>
  <c r="DR16" i="4"/>
  <c r="DR23" i="4" s="1"/>
  <c r="OY16" i="4"/>
  <c r="OY23" i="4" s="1"/>
  <c r="AHW16" i="4"/>
  <c r="EW16" i="4"/>
  <c r="EW23" i="4" s="1"/>
  <c r="GS16" i="4"/>
  <c r="GS23" i="4" s="1"/>
  <c r="AKL16" i="4"/>
  <c r="TF16" i="4"/>
  <c r="TF23" i="4" s="1"/>
  <c r="AMS16" i="4"/>
  <c r="AGT16" i="4"/>
  <c r="OQ16" i="4"/>
  <c r="OQ23" i="4" s="1"/>
  <c r="AKS16" i="4"/>
  <c r="ALC16" i="4"/>
  <c r="QI16" i="4"/>
  <c r="QI23" i="4" s="1"/>
  <c r="AKQ16" i="4"/>
  <c r="MR16" i="4"/>
  <c r="MR23" i="4" s="1"/>
  <c r="WN16" i="4"/>
  <c r="ACI16" i="4"/>
  <c r="YX16" i="4"/>
  <c r="DD16" i="4"/>
  <c r="DD23" i="4" s="1"/>
  <c r="TK16" i="4"/>
  <c r="TK23" i="4" s="1"/>
  <c r="AMJ16" i="4"/>
  <c r="GI16" i="4"/>
  <c r="GI23" i="4" s="1"/>
  <c r="PM16" i="4"/>
  <c r="PM23" i="4" s="1"/>
  <c r="AAO16" i="4"/>
  <c r="ANZ16" i="4"/>
  <c r="FS16" i="4"/>
  <c r="FS23" i="4" s="1"/>
  <c r="NZ16" i="4"/>
  <c r="NZ23" i="4" s="1"/>
  <c r="YQ16" i="4"/>
  <c r="ALO16" i="4"/>
  <c r="CF16" i="4"/>
  <c r="CF23" i="4" s="1"/>
  <c r="AKT16" i="4"/>
  <c r="OP16" i="4"/>
  <c r="OP23" i="4" s="1"/>
  <c r="AME16" i="4"/>
  <c r="AKK16" i="4"/>
  <c r="IE16" i="4"/>
  <c r="IE23" i="4" s="1"/>
  <c r="D16" i="4"/>
  <c r="D23" i="4" s="1"/>
  <c r="BP16" i="4"/>
  <c r="BP23" i="4" s="1"/>
  <c r="IU16" i="4"/>
  <c r="IU23" i="4" s="1"/>
  <c r="RR16" i="4"/>
  <c r="RR23" i="4" s="1"/>
  <c r="AGX16" i="4"/>
  <c r="PP16" i="4"/>
  <c r="PP23" i="4" s="1"/>
  <c r="AI16" i="4"/>
  <c r="AI23" i="4" s="1"/>
  <c r="C36" i="1"/>
  <c r="C45" i="1"/>
  <c r="M11" i="2"/>
  <c r="CJ161" i="2" l="1"/>
  <c r="G34" i="1"/>
  <c r="CT74" i="2"/>
  <c r="E32" i="4"/>
  <c r="I26" i="7"/>
  <c r="D8" i="4"/>
  <c r="D6" i="4"/>
  <c r="C50" i="1"/>
  <c r="E116" i="2"/>
  <c r="F32" i="4" l="1"/>
  <c r="AI107" i="2"/>
  <c r="G27" i="7"/>
  <c r="P27" i="7" s="1"/>
  <c r="G52" i="1"/>
  <c r="H52" i="1" s="1"/>
  <c r="CO121" i="2"/>
  <c r="E14" i="4"/>
  <c r="E21" i="4" s="1"/>
  <c r="O14" i="4"/>
  <c r="O21" i="4" s="1"/>
  <c r="P14" i="4"/>
  <c r="P21" i="4" s="1"/>
  <c r="AM14" i="4"/>
  <c r="AM21" i="4" s="1"/>
  <c r="BK14" i="4"/>
  <c r="BK21" i="4" s="1"/>
  <c r="AA14" i="4"/>
  <c r="AA21" i="4" s="1"/>
  <c r="D14" i="4"/>
  <c r="D21" i="4" s="1"/>
  <c r="F14" i="4"/>
  <c r="F21" i="4" s="1"/>
  <c r="AY14" i="4"/>
  <c r="AY21" i="4" s="1"/>
  <c r="C14" i="4"/>
  <c r="C21" i="4" s="1"/>
  <c r="C24" i="4" s="1"/>
  <c r="BW14" i="4"/>
  <c r="BW21" i="4" s="1"/>
  <c r="AB14" i="4"/>
  <c r="AB21" i="4" s="1"/>
  <c r="R14" i="4"/>
  <c r="R21" i="4" s="1"/>
  <c r="Q14" i="4"/>
  <c r="Q21" i="4" s="1"/>
  <c r="G14" i="4"/>
  <c r="G21" i="4" s="1"/>
  <c r="H14" i="4"/>
  <c r="H21" i="4" s="1"/>
  <c r="CI14" i="4"/>
  <c r="CI21" i="4" s="1"/>
  <c r="AD14" i="4"/>
  <c r="AD21" i="4" s="1"/>
  <c r="AC14" i="4"/>
  <c r="AC21" i="4" s="1"/>
  <c r="S14" i="4"/>
  <c r="S21" i="4" s="1"/>
  <c r="AN14" i="4"/>
  <c r="AN21" i="4" s="1"/>
  <c r="AZ14" i="4"/>
  <c r="AZ21" i="4" s="1"/>
  <c r="I14" i="4"/>
  <c r="I21" i="4" s="1"/>
  <c r="AO14" i="4"/>
  <c r="AO21" i="4" s="1"/>
  <c r="AE14" i="4"/>
  <c r="AE21" i="4" s="1"/>
  <c r="CU14" i="4"/>
  <c r="CU21" i="4" s="1"/>
  <c r="AP14" i="4"/>
  <c r="AP21" i="4" s="1"/>
  <c r="T14" i="4"/>
  <c r="T21" i="4" s="1"/>
  <c r="DG14" i="4"/>
  <c r="DG21" i="4" s="1"/>
  <c r="BA14" i="4"/>
  <c r="BA21" i="4" s="1"/>
  <c r="BL14" i="4"/>
  <c r="BL21" i="4" s="1"/>
  <c r="BB14" i="4"/>
  <c r="BB21" i="4" s="1"/>
  <c r="J14" i="4"/>
  <c r="J21" i="4" s="1"/>
  <c r="AF14" i="4"/>
  <c r="AF21" i="4" s="1"/>
  <c r="U14" i="4"/>
  <c r="U21" i="4" s="1"/>
  <c r="AQ14" i="4"/>
  <c r="AQ21" i="4" s="1"/>
  <c r="BC14" i="4"/>
  <c r="BC21" i="4" s="1"/>
  <c r="BX14" i="4"/>
  <c r="BX21" i="4" s="1"/>
  <c r="BM14" i="4"/>
  <c r="BM21" i="4" s="1"/>
  <c r="K14" i="4"/>
  <c r="K21" i="4" s="1"/>
  <c r="AR14" i="4"/>
  <c r="AR21" i="4" s="1"/>
  <c r="BN14" i="4"/>
  <c r="BN21" i="4" s="1"/>
  <c r="DS14" i="4"/>
  <c r="DS21" i="4" s="1"/>
  <c r="AG14" i="4"/>
  <c r="AG21" i="4" s="1"/>
  <c r="V14" i="4"/>
  <c r="V21" i="4" s="1"/>
  <c r="BY14" i="4"/>
  <c r="BY21" i="4" s="1"/>
  <c r="L14" i="4"/>
  <c r="L21" i="4" s="1"/>
  <c r="BD14" i="4"/>
  <c r="BD21" i="4" s="1"/>
  <c r="W14" i="4"/>
  <c r="W21" i="4" s="1"/>
  <c r="BZ14" i="4"/>
  <c r="BZ21" i="4" s="1"/>
  <c r="AS14" i="4"/>
  <c r="AS21" i="4" s="1"/>
  <c r="BO14" i="4"/>
  <c r="BO21" i="4" s="1"/>
  <c r="AH14" i="4"/>
  <c r="AH21" i="4" s="1"/>
  <c r="CJ14" i="4"/>
  <c r="CJ21" i="4" s="1"/>
  <c r="EE14" i="4"/>
  <c r="EE21" i="4" s="1"/>
  <c r="X14" i="4"/>
  <c r="X21" i="4" s="1"/>
  <c r="EQ14" i="4"/>
  <c r="EQ21" i="4" s="1"/>
  <c r="AT14" i="4"/>
  <c r="AT21" i="4" s="1"/>
  <c r="CK14" i="4"/>
  <c r="CK21" i="4" s="1"/>
  <c r="M14" i="4"/>
  <c r="M21" i="4" s="1"/>
  <c r="CA14" i="4"/>
  <c r="CA21" i="4" s="1"/>
  <c r="BP14" i="4"/>
  <c r="BP21" i="4" s="1"/>
  <c r="CL14" i="4"/>
  <c r="CL21" i="4" s="1"/>
  <c r="CV14" i="4"/>
  <c r="CV21" i="4" s="1"/>
  <c r="BE14" i="4"/>
  <c r="BE21" i="4" s="1"/>
  <c r="AI14" i="4"/>
  <c r="AI21" i="4" s="1"/>
  <c r="DH14" i="4"/>
  <c r="DH21" i="4" s="1"/>
  <c r="FC14" i="4"/>
  <c r="FC21" i="4" s="1"/>
  <c r="CM14" i="4"/>
  <c r="CM21" i="4" s="1"/>
  <c r="BQ14" i="4"/>
  <c r="BQ21" i="4" s="1"/>
  <c r="CW14" i="4"/>
  <c r="CW21" i="4" s="1"/>
  <c r="Y14" i="4"/>
  <c r="Y21" i="4" s="1"/>
  <c r="N14" i="4"/>
  <c r="N21" i="4" s="1"/>
  <c r="AJ14" i="4"/>
  <c r="AJ21" i="4" s="1"/>
  <c r="BF14" i="4"/>
  <c r="BF21" i="4" s="1"/>
  <c r="CB14" i="4"/>
  <c r="CB21" i="4" s="1"/>
  <c r="AU14" i="4"/>
  <c r="AU21" i="4" s="1"/>
  <c r="CX14" i="4"/>
  <c r="CX21" i="4" s="1"/>
  <c r="CN14" i="4"/>
  <c r="CN21" i="4" s="1"/>
  <c r="BR14" i="4"/>
  <c r="BR21" i="4" s="1"/>
  <c r="BG14" i="4"/>
  <c r="BG21" i="4" s="1"/>
  <c r="DJ14" i="4"/>
  <c r="DJ21" i="4" s="1"/>
  <c r="CY14" i="4"/>
  <c r="CY21" i="4" s="1"/>
  <c r="CC14" i="4"/>
  <c r="CC21" i="4" s="1"/>
  <c r="AK14" i="4"/>
  <c r="AK21" i="4" s="1"/>
  <c r="FO14" i="4"/>
  <c r="FO21" i="4" s="1"/>
  <c r="AV14" i="4"/>
  <c r="AV21" i="4" s="1"/>
  <c r="Z14" i="4"/>
  <c r="Z21" i="4" s="1"/>
  <c r="DI14" i="4"/>
  <c r="DI21" i="4" s="1"/>
  <c r="DT14" i="4"/>
  <c r="DT21" i="4" s="1"/>
  <c r="CZ14" i="4"/>
  <c r="CZ21" i="4" s="1"/>
  <c r="CD14" i="4"/>
  <c r="CD21" i="4" s="1"/>
  <c r="EF14" i="4"/>
  <c r="EF21" i="4" s="1"/>
  <c r="AW14" i="4"/>
  <c r="AW21" i="4" s="1"/>
  <c r="DU14" i="4"/>
  <c r="DU21" i="4" s="1"/>
  <c r="DK14" i="4"/>
  <c r="DK21" i="4" s="1"/>
  <c r="GA14" i="4"/>
  <c r="GA21" i="4" s="1"/>
  <c r="CO14" i="4"/>
  <c r="CO21" i="4" s="1"/>
  <c r="DV14" i="4"/>
  <c r="DV21" i="4" s="1"/>
  <c r="BS14" i="4"/>
  <c r="BS21" i="4" s="1"/>
  <c r="BH14" i="4"/>
  <c r="BH21" i="4" s="1"/>
  <c r="AL14" i="4"/>
  <c r="AL21" i="4" s="1"/>
  <c r="BI14" i="4"/>
  <c r="BI21" i="4" s="1"/>
  <c r="DA14" i="4"/>
  <c r="DA21" i="4" s="1"/>
  <c r="DL14" i="4"/>
  <c r="DL21" i="4" s="1"/>
  <c r="ER14" i="4"/>
  <c r="ER21" i="4" s="1"/>
  <c r="CE14" i="4"/>
  <c r="CE21" i="4" s="1"/>
  <c r="EH14" i="4"/>
  <c r="EH21" i="4" s="1"/>
  <c r="GM14" i="4"/>
  <c r="GM21" i="4" s="1"/>
  <c r="BT14" i="4"/>
  <c r="BT21" i="4" s="1"/>
  <c r="CP14" i="4"/>
  <c r="CP21" i="4" s="1"/>
  <c r="DW14" i="4"/>
  <c r="DW21" i="4" s="1"/>
  <c r="EG14" i="4"/>
  <c r="EG21" i="4" s="1"/>
  <c r="AX14" i="4"/>
  <c r="AX21" i="4" s="1"/>
  <c r="ES14" i="4"/>
  <c r="ES21" i="4" s="1"/>
  <c r="DX14" i="4"/>
  <c r="DX21" i="4" s="1"/>
  <c r="DM14" i="4"/>
  <c r="DM21" i="4" s="1"/>
  <c r="DB14" i="4"/>
  <c r="DB21" i="4" s="1"/>
  <c r="GY14" i="4"/>
  <c r="GY21" i="4" s="1"/>
  <c r="CF14" i="4"/>
  <c r="CF21" i="4" s="1"/>
  <c r="CQ14" i="4"/>
  <c r="CQ21" i="4" s="1"/>
  <c r="BU14" i="4"/>
  <c r="BU21" i="4" s="1"/>
  <c r="FD14" i="4"/>
  <c r="FD21" i="4" s="1"/>
  <c r="EI14" i="4"/>
  <c r="EI21" i="4" s="1"/>
  <c r="BJ14" i="4"/>
  <c r="BJ21" i="4" s="1"/>
  <c r="ET14" i="4"/>
  <c r="ET21" i="4" s="1"/>
  <c r="FP14" i="4"/>
  <c r="FP21" i="4" s="1"/>
  <c r="HK14" i="4"/>
  <c r="HK21" i="4" s="1"/>
  <c r="FF14" i="4"/>
  <c r="FF21" i="4" s="1"/>
  <c r="CR14" i="4"/>
  <c r="CR21" i="4" s="1"/>
  <c r="EJ14" i="4"/>
  <c r="EJ21" i="4" s="1"/>
  <c r="DC14" i="4"/>
  <c r="DC21" i="4" s="1"/>
  <c r="CG14" i="4"/>
  <c r="CG21" i="4" s="1"/>
  <c r="FE14" i="4"/>
  <c r="FE21" i="4" s="1"/>
  <c r="EU14" i="4"/>
  <c r="EU21" i="4" s="1"/>
  <c r="BV14" i="4"/>
  <c r="BV21" i="4" s="1"/>
  <c r="DY14" i="4"/>
  <c r="DY21" i="4" s="1"/>
  <c r="DN14" i="4"/>
  <c r="DN21" i="4" s="1"/>
  <c r="FG14" i="4"/>
  <c r="FG21" i="4" s="1"/>
  <c r="DO14" i="4"/>
  <c r="DO21" i="4" s="1"/>
  <c r="FR14" i="4"/>
  <c r="FR21" i="4" s="1"/>
  <c r="CS14" i="4"/>
  <c r="CS21" i="4" s="1"/>
  <c r="GB14" i="4"/>
  <c r="GB21" i="4" s="1"/>
  <c r="EK14" i="4"/>
  <c r="EK21" i="4" s="1"/>
  <c r="CH14" i="4"/>
  <c r="CH21" i="4" s="1"/>
  <c r="EV14" i="4"/>
  <c r="EV21" i="4" s="1"/>
  <c r="HW14" i="4"/>
  <c r="HW21" i="4" s="1"/>
  <c r="FQ14" i="4"/>
  <c r="FQ21" i="4" s="1"/>
  <c r="DZ14" i="4"/>
  <c r="DZ21" i="4" s="1"/>
  <c r="DD14" i="4"/>
  <c r="DD21" i="4" s="1"/>
  <c r="FS14" i="4"/>
  <c r="FS21" i="4" s="1"/>
  <c r="CT14" i="4"/>
  <c r="CT21" i="4" s="1"/>
  <c r="DP14" i="4"/>
  <c r="DP21" i="4" s="1"/>
  <c r="EA14" i="4"/>
  <c r="EA21" i="4" s="1"/>
  <c r="EL14" i="4"/>
  <c r="EL21" i="4" s="1"/>
  <c r="GN14" i="4"/>
  <c r="GN21" i="4" s="1"/>
  <c r="II14" i="4"/>
  <c r="II21" i="4" s="1"/>
  <c r="GC14" i="4"/>
  <c r="GC21" i="4" s="1"/>
  <c r="FH14" i="4"/>
  <c r="FH21" i="4" s="1"/>
  <c r="EW14" i="4"/>
  <c r="EW21" i="4" s="1"/>
  <c r="DE14" i="4"/>
  <c r="DE21" i="4" s="1"/>
  <c r="GD14" i="4"/>
  <c r="GD21" i="4" s="1"/>
  <c r="DF14" i="4"/>
  <c r="DF21" i="4" s="1"/>
  <c r="EB14" i="4"/>
  <c r="EB21" i="4" s="1"/>
  <c r="DQ14" i="4"/>
  <c r="DQ21" i="4" s="1"/>
  <c r="GO14" i="4"/>
  <c r="GO21" i="4" s="1"/>
  <c r="FT14" i="4"/>
  <c r="FT21" i="4" s="1"/>
  <c r="GZ14" i="4"/>
  <c r="GZ21" i="4" s="1"/>
  <c r="FI14" i="4"/>
  <c r="FI21" i="4" s="1"/>
  <c r="EM14" i="4"/>
  <c r="EM21" i="4" s="1"/>
  <c r="EX14" i="4"/>
  <c r="EX21" i="4" s="1"/>
  <c r="GP14" i="4"/>
  <c r="GP21" i="4" s="1"/>
  <c r="IU14" i="4"/>
  <c r="IU21" i="4" s="1"/>
  <c r="GE14" i="4"/>
  <c r="GE21" i="4" s="1"/>
  <c r="HB14" i="4"/>
  <c r="HB21" i="4" s="1"/>
  <c r="HL14" i="4"/>
  <c r="HL21" i="4" s="1"/>
  <c r="EY14" i="4"/>
  <c r="EY21" i="4" s="1"/>
  <c r="GF14" i="4"/>
  <c r="GF21" i="4" s="1"/>
  <c r="JG14" i="4"/>
  <c r="JG21" i="4" s="1"/>
  <c r="GQ14" i="4"/>
  <c r="GQ21" i="4" s="1"/>
  <c r="HA14" i="4"/>
  <c r="HA21" i="4" s="1"/>
  <c r="FU14" i="4"/>
  <c r="FU21" i="4" s="1"/>
  <c r="DR14" i="4"/>
  <c r="DR21" i="4" s="1"/>
  <c r="EN14" i="4"/>
  <c r="EN21" i="4" s="1"/>
  <c r="FJ14" i="4"/>
  <c r="FJ21" i="4" s="1"/>
  <c r="EC14" i="4"/>
  <c r="EC21" i="4" s="1"/>
  <c r="EZ14" i="4"/>
  <c r="EZ21" i="4" s="1"/>
  <c r="GR14" i="4"/>
  <c r="GR21" i="4" s="1"/>
  <c r="ED14" i="4"/>
  <c r="ED21" i="4" s="1"/>
  <c r="HN14" i="4"/>
  <c r="HN21" i="4" s="1"/>
  <c r="FK14" i="4"/>
  <c r="FK21" i="4" s="1"/>
  <c r="HC14" i="4"/>
  <c r="HC21" i="4" s="1"/>
  <c r="JS14" i="4"/>
  <c r="JS21" i="4" s="1"/>
  <c r="GG14" i="4"/>
  <c r="GG21" i="4" s="1"/>
  <c r="HX14" i="4"/>
  <c r="HX21" i="4" s="1"/>
  <c r="FV14" i="4"/>
  <c r="FV21" i="4" s="1"/>
  <c r="HM14" i="4"/>
  <c r="HM21" i="4" s="1"/>
  <c r="EO14" i="4"/>
  <c r="EO21" i="4" s="1"/>
  <c r="HD14" i="4"/>
  <c r="HD21" i="4" s="1"/>
  <c r="FW14" i="4"/>
  <c r="FW21" i="4" s="1"/>
  <c r="FL14" i="4"/>
  <c r="FL21" i="4" s="1"/>
  <c r="EP14" i="4"/>
  <c r="EP21" i="4" s="1"/>
  <c r="KE14" i="4"/>
  <c r="KE21" i="4" s="1"/>
  <c r="FA14" i="4"/>
  <c r="FA21" i="4" s="1"/>
  <c r="HO14" i="4"/>
  <c r="HO21" i="4" s="1"/>
  <c r="HY14" i="4"/>
  <c r="HY21" i="4" s="1"/>
  <c r="GH14" i="4"/>
  <c r="GH21" i="4" s="1"/>
  <c r="IJ14" i="4"/>
  <c r="IJ21" i="4" s="1"/>
  <c r="HZ14" i="4"/>
  <c r="HZ21" i="4" s="1"/>
  <c r="GS14" i="4"/>
  <c r="GS21" i="4" s="1"/>
  <c r="FM14" i="4"/>
  <c r="FM21" i="4" s="1"/>
  <c r="IL14" i="4"/>
  <c r="IL21" i="4" s="1"/>
  <c r="FB14" i="4"/>
  <c r="FB21" i="4" s="1"/>
  <c r="IK14" i="4"/>
  <c r="IK21" i="4" s="1"/>
  <c r="HE14" i="4"/>
  <c r="HE21" i="4" s="1"/>
  <c r="GI14" i="4"/>
  <c r="GI21" i="4" s="1"/>
  <c r="IV14" i="4"/>
  <c r="IV21" i="4" s="1"/>
  <c r="HP14" i="4"/>
  <c r="HP21" i="4" s="1"/>
  <c r="FX14" i="4"/>
  <c r="FX21" i="4" s="1"/>
  <c r="KQ14" i="4"/>
  <c r="KQ21" i="4" s="1"/>
  <c r="GT14" i="4"/>
  <c r="GT21" i="4" s="1"/>
  <c r="IA14" i="4"/>
  <c r="IA21" i="4" s="1"/>
  <c r="IW14" i="4"/>
  <c r="IW21" i="4" s="1"/>
  <c r="HQ14" i="4"/>
  <c r="HQ21" i="4" s="1"/>
  <c r="GJ14" i="4"/>
  <c r="GJ21" i="4" s="1"/>
  <c r="LC14" i="4"/>
  <c r="LC21" i="4" s="1"/>
  <c r="HF14" i="4"/>
  <c r="HF21" i="4" s="1"/>
  <c r="IM14" i="4"/>
  <c r="IM21" i="4" s="1"/>
  <c r="JH14" i="4"/>
  <c r="JH21" i="4" s="1"/>
  <c r="FN14" i="4"/>
  <c r="FN21" i="4" s="1"/>
  <c r="FY14" i="4"/>
  <c r="FY21" i="4" s="1"/>
  <c r="IX14" i="4"/>
  <c r="IX21" i="4" s="1"/>
  <c r="GU14" i="4"/>
  <c r="GU21" i="4" s="1"/>
  <c r="IB14" i="4"/>
  <c r="IB21" i="4" s="1"/>
  <c r="LO14" i="4"/>
  <c r="LO21" i="4" s="1"/>
  <c r="GK14" i="4"/>
  <c r="GK21" i="4" s="1"/>
  <c r="IY14" i="4"/>
  <c r="IY21" i="4" s="1"/>
  <c r="JJ14" i="4"/>
  <c r="JJ21" i="4" s="1"/>
  <c r="IN14" i="4"/>
  <c r="IN21" i="4" s="1"/>
  <c r="JT14" i="4"/>
  <c r="JT21" i="4" s="1"/>
  <c r="HG14" i="4"/>
  <c r="HG21" i="4" s="1"/>
  <c r="IC14" i="4"/>
  <c r="IC21" i="4" s="1"/>
  <c r="GV14" i="4"/>
  <c r="GV21" i="4" s="1"/>
  <c r="HR14" i="4"/>
  <c r="HR21" i="4" s="1"/>
  <c r="JI14" i="4"/>
  <c r="JI21" i="4" s="1"/>
  <c r="FZ14" i="4"/>
  <c r="FZ21" i="4" s="1"/>
  <c r="HH14" i="4"/>
  <c r="HH21" i="4" s="1"/>
  <c r="JU14" i="4"/>
  <c r="JU21" i="4" s="1"/>
  <c r="ID14" i="4"/>
  <c r="ID21" i="4" s="1"/>
  <c r="GW14" i="4"/>
  <c r="GW21" i="4" s="1"/>
  <c r="JV14" i="4"/>
  <c r="JV21" i="4" s="1"/>
  <c r="IZ14" i="4"/>
  <c r="IZ21" i="4" s="1"/>
  <c r="KF14" i="4"/>
  <c r="KF21" i="4" s="1"/>
  <c r="GL14" i="4"/>
  <c r="GL21" i="4" s="1"/>
  <c r="IO14" i="4"/>
  <c r="IO21" i="4" s="1"/>
  <c r="HS14" i="4"/>
  <c r="HS21" i="4" s="1"/>
  <c r="JK14" i="4"/>
  <c r="JK21" i="4" s="1"/>
  <c r="MA14" i="4"/>
  <c r="MA21" i="4" s="1"/>
  <c r="HT14" i="4"/>
  <c r="HT21" i="4" s="1"/>
  <c r="JW14" i="4"/>
  <c r="JW21" i="4" s="1"/>
  <c r="GX14" i="4"/>
  <c r="GX21" i="4" s="1"/>
  <c r="KH14" i="4"/>
  <c r="KH21" i="4" s="1"/>
  <c r="KR14" i="4"/>
  <c r="KR21" i="4" s="1"/>
  <c r="MM14" i="4"/>
  <c r="MM21" i="4" s="1"/>
  <c r="HI14" i="4"/>
  <c r="HI21" i="4" s="1"/>
  <c r="IP14" i="4"/>
  <c r="IP21" i="4" s="1"/>
  <c r="KG14" i="4"/>
  <c r="KG21" i="4" s="1"/>
  <c r="JA14" i="4"/>
  <c r="JA21" i="4" s="1"/>
  <c r="IE14" i="4"/>
  <c r="IE21" i="4" s="1"/>
  <c r="JL14" i="4"/>
  <c r="JL21" i="4" s="1"/>
  <c r="MY14" i="4"/>
  <c r="MY21" i="4" s="1"/>
  <c r="JM14" i="4"/>
  <c r="JM21" i="4" s="1"/>
  <c r="JB14" i="4"/>
  <c r="JB21" i="4" s="1"/>
  <c r="IF14" i="4"/>
  <c r="IF21" i="4" s="1"/>
  <c r="HU14" i="4"/>
  <c r="HU21" i="4" s="1"/>
  <c r="LD14" i="4"/>
  <c r="LD21" i="4" s="1"/>
  <c r="HJ14" i="4"/>
  <c r="HJ21" i="4" s="1"/>
  <c r="IQ14" i="4"/>
  <c r="IQ21" i="4" s="1"/>
  <c r="KS14" i="4"/>
  <c r="KS21" i="4" s="1"/>
  <c r="KT14" i="4"/>
  <c r="KT21" i="4" s="1"/>
  <c r="JX14" i="4"/>
  <c r="JX21" i="4" s="1"/>
  <c r="KI14" i="4"/>
  <c r="KI21" i="4" s="1"/>
  <c r="JY14" i="4"/>
  <c r="JY21" i="4" s="1"/>
  <c r="KJ14" i="4"/>
  <c r="KJ21" i="4" s="1"/>
  <c r="IR14" i="4"/>
  <c r="IR21" i="4" s="1"/>
  <c r="LP14" i="4"/>
  <c r="LP21" i="4" s="1"/>
  <c r="HV14" i="4"/>
  <c r="HV21" i="4" s="1"/>
  <c r="NK14" i="4"/>
  <c r="NK21" i="4" s="1"/>
  <c r="JC14" i="4"/>
  <c r="JC21" i="4" s="1"/>
  <c r="LF14" i="4"/>
  <c r="LF21" i="4" s="1"/>
  <c r="JN14" i="4"/>
  <c r="JN21" i="4" s="1"/>
  <c r="LE14" i="4"/>
  <c r="LE21" i="4" s="1"/>
  <c r="IG14" i="4"/>
  <c r="IG21" i="4" s="1"/>
  <c r="KU14" i="4"/>
  <c r="KU21" i="4" s="1"/>
  <c r="LQ14" i="4"/>
  <c r="LQ21" i="4" s="1"/>
  <c r="KV14" i="4"/>
  <c r="KV21" i="4" s="1"/>
  <c r="JZ14" i="4"/>
  <c r="JZ21" i="4" s="1"/>
  <c r="LG14" i="4"/>
  <c r="LG21" i="4" s="1"/>
  <c r="JD14" i="4"/>
  <c r="JD21" i="4" s="1"/>
  <c r="KK14" i="4"/>
  <c r="KK21" i="4" s="1"/>
  <c r="JO14" i="4"/>
  <c r="JO21" i="4" s="1"/>
  <c r="MB14" i="4"/>
  <c r="MB21" i="4" s="1"/>
  <c r="IH14" i="4"/>
  <c r="IH21" i="4" s="1"/>
  <c r="IS14" i="4"/>
  <c r="IS21" i="4" s="1"/>
  <c r="LR14" i="4"/>
  <c r="LR21" i="4" s="1"/>
  <c r="NW14" i="4"/>
  <c r="NW21" i="4" s="1"/>
  <c r="IT14" i="4"/>
  <c r="IT21" i="4" s="1"/>
  <c r="MD14" i="4"/>
  <c r="MD21" i="4" s="1"/>
  <c r="JP14" i="4"/>
  <c r="JP21" i="4" s="1"/>
  <c r="JE14" i="4"/>
  <c r="JE21" i="4" s="1"/>
  <c r="KA14" i="4"/>
  <c r="KA21" i="4" s="1"/>
  <c r="LS14" i="4"/>
  <c r="LS21" i="4" s="1"/>
  <c r="MN14" i="4"/>
  <c r="MN21" i="4" s="1"/>
  <c r="MC14" i="4"/>
  <c r="MC21" i="4" s="1"/>
  <c r="KW14" i="4"/>
  <c r="KW21" i="4" s="1"/>
  <c r="OI14" i="4"/>
  <c r="OI21" i="4" s="1"/>
  <c r="KL14" i="4"/>
  <c r="KL21" i="4" s="1"/>
  <c r="LH14" i="4"/>
  <c r="LH21" i="4" s="1"/>
  <c r="OU14" i="4"/>
  <c r="OU21" i="4" s="1"/>
  <c r="JF14" i="4"/>
  <c r="JF21" i="4" s="1"/>
  <c r="JQ14" i="4"/>
  <c r="JQ21" i="4" s="1"/>
  <c r="MZ14" i="4"/>
  <c r="MZ21" i="4" s="1"/>
  <c r="KB14" i="4"/>
  <c r="KB21" i="4" s="1"/>
  <c r="KX14" i="4"/>
  <c r="KX21" i="4" s="1"/>
  <c r="MO14" i="4"/>
  <c r="MO21" i="4" s="1"/>
  <c r="ME14" i="4"/>
  <c r="ME21" i="4" s="1"/>
  <c r="LI14" i="4"/>
  <c r="LI21" i="4" s="1"/>
  <c r="LT14" i="4"/>
  <c r="LT21" i="4" s="1"/>
  <c r="MP14" i="4"/>
  <c r="MP21" i="4" s="1"/>
  <c r="KM14" i="4"/>
  <c r="KM21" i="4" s="1"/>
  <c r="LU14" i="4"/>
  <c r="LU21" i="4" s="1"/>
  <c r="MQ14" i="4"/>
  <c r="MQ21" i="4" s="1"/>
  <c r="PG14" i="4"/>
  <c r="PG21" i="4" s="1"/>
  <c r="KN14" i="4"/>
  <c r="KN21" i="4" s="1"/>
  <c r="LJ14" i="4"/>
  <c r="LJ21" i="4" s="1"/>
  <c r="NL14" i="4"/>
  <c r="NL21" i="4" s="1"/>
  <c r="JR14" i="4"/>
  <c r="JR21" i="4" s="1"/>
  <c r="MF14" i="4"/>
  <c r="MF21" i="4" s="1"/>
  <c r="KY14" i="4"/>
  <c r="KY21" i="4" s="1"/>
  <c r="NA14" i="4"/>
  <c r="NA21" i="4" s="1"/>
  <c r="NB14" i="4"/>
  <c r="NB21" i="4" s="1"/>
  <c r="KC14" i="4"/>
  <c r="KC21" i="4" s="1"/>
  <c r="PS14" i="4"/>
  <c r="PS21" i="4" s="1"/>
  <c r="MR14" i="4"/>
  <c r="MR21" i="4" s="1"/>
  <c r="LK14" i="4"/>
  <c r="LK21" i="4" s="1"/>
  <c r="KO14" i="4"/>
  <c r="KO21" i="4" s="1"/>
  <c r="NM14" i="4"/>
  <c r="NM21" i="4" s="1"/>
  <c r="MG14" i="4"/>
  <c r="MG21" i="4" s="1"/>
  <c r="NN14" i="4"/>
  <c r="NN21" i="4" s="1"/>
  <c r="KD14" i="4"/>
  <c r="KD21" i="4" s="1"/>
  <c r="KZ14" i="4"/>
  <c r="KZ21" i="4" s="1"/>
  <c r="NX14" i="4"/>
  <c r="NX21" i="4" s="1"/>
  <c r="NC14" i="4"/>
  <c r="NC21" i="4" s="1"/>
  <c r="LV14" i="4"/>
  <c r="LV21" i="4" s="1"/>
  <c r="LW14" i="4"/>
  <c r="LW21" i="4" s="1"/>
  <c r="NY14" i="4"/>
  <c r="NY21" i="4" s="1"/>
  <c r="MS14" i="4"/>
  <c r="MS21" i="4" s="1"/>
  <c r="LA14" i="4"/>
  <c r="LA21" i="4" s="1"/>
  <c r="LL14" i="4"/>
  <c r="LL21" i="4" s="1"/>
  <c r="QE14" i="4"/>
  <c r="QE21" i="4" s="1"/>
  <c r="NZ14" i="4"/>
  <c r="NZ21" i="4" s="1"/>
  <c r="NO14" i="4"/>
  <c r="NO21" i="4" s="1"/>
  <c r="MH14" i="4"/>
  <c r="MH21" i="4" s="1"/>
  <c r="ND14" i="4"/>
  <c r="ND21" i="4" s="1"/>
  <c r="OJ14" i="4"/>
  <c r="OJ21" i="4" s="1"/>
  <c r="KP14" i="4"/>
  <c r="KP21" i="4" s="1"/>
  <c r="OL14" i="4"/>
  <c r="OL21" i="4" s="1"/>
  <c r="LX14" i="4"/>
  <c r="LX21" i="4" s="1"/>
  <c r="OK14" i="4"/>
  <c r="OK21" i="4" s="1"/>
  <c r="MT14" i="4"/>
  <c r="MT21" i="4" s="1"/>
  <c r="LM14" i="4"/>
  <c r="LM21" i="4" s="1"/>
  <c r="OV14" i="4"/>
  <c r="OV21" i="4" s="1"/>
  <c r="NE14" i="4"/>
  <c r="NE21" i="4" s="1"/>
  <c r="MI14" i="4"/>
  <c r="MI21" i="4" s="1"/>
  <c r="OA14" i="4"/>
  <c r="OA21" i="4" s="1"/>
  <c r="QQ14" i="4"/>
  <c r="QQ21" i="4" s="1"/>
  <c r="NP14" i="4"/>
  <c r="NP21" i="4" s="1"/>
  <c r="LB14" i="4"/>
  <c r="LB21" i="4" s="1"/>
  <c r="OM14" i="4"/>
  <c r="OM21" i="4" s="1"/>
  <c r="RC14" i="4"/>
  <c r="RC21" i="4" s="1"/>
  <c r="PH14" i="4"/>
  <c r="PH21" i="4" s="1"/>
  <c r="LN14" i="4"/>
  <c r="LN21" i="4" s="1"/>
  <c r="OX14" i="4"/>
  <c r="OX21" i="4" s="1"/>
  <c r="LY14" i="4"/>
  <c r="LY21" i="4" s="1"/>
  <c r="OB14" i="4"/>
  <c r="OB21" i="4" s="1"/>
  <c r="OW14" i="4"/>
  <c r="OW21" i="4" s="1"/>
  <c r="NF14" i="4"/>
  <c r="NF21" i="4" s="1"/>
  <c r="MU14" i="4"/>
  <c r="MU21" i="4" s="1"/>
  <c r="MJ14" i="4"/>
  <c r="MJ21" i="4" s="1"/>
  <c r="NQ14" i="4"/>
  <c r="NQ21" i="4" s="1"/>
  <c r="ON14" i="4"/>
  <c r="ON21" i="4" s="1"/>
  <c r="NR14" i="4"/>
  <c r="NR21" i="4" s="1"/>
  <c r="MV14" i="4"/>
  <c r="MV21" i="4" s="1"/>
  <c r="OC14" i="4"/>
  <c r="OC21" i="4" s="1"/>
  <c r="LZ14" i="4"/>
  <c r="LZ21" i="4" s="1"/>
  <c r="PI14" i="4"/>
  <c r="PI21" i="4" s="1"/>
  <c r="PJ14" i="4"/>
  <c r="PJ21" i="4" s="1"/>
  <c r="PT14" i="4"/>
  <c r="PT21" i="4" s="1"/>
  <c r="NG14" i="4"/>
  <c r="NG21" i="4" s="1"/>
  <c r="RO14" i="4"/>
  <c r="RO21" i="4" s="1"/>
  <c r="MK14" i="4"/>
  <c r="MK21" i="4" s="1"/>
  <c r="OY14" i="4"/>
  <c r="OY21" i="4" s="1"/>
  <c r="OO14" i="4"/>
  <c r="OO21" i="4" s="1"/>
  <c r="OD14" i="4"/>
  <c r="OD21" i="4" s="1"/>
  <c r="MW14" i="4"/>
  <c r="MW21" i="4" s="1"/>
  <c r="PV14" i="4"/>
  <c r="PV21" i="4" s="1"/>
  <c r="SA14" i="4"/>
  <c r="SA21" i="4" s="1"/>
  <c r="NS14" i="4"/>
  <c r="NS21" i="4" s="1"/>
  <c r="PK14" i="4"/>
  <c r="PK21" i="4" s="1"/>
  <c r="NH14" i="4"/>
  <c r="NH21" i="4" s="1"/>
  <c r="PU14" i="4"/>
  <c r="PU21" i="4" s="1"/>
  <c r="QF14" i="4"/>
  <c r="QF21" i="4" s="1"/>
  <c r="OZ14" i="4"/>
  <c r="OZ21" i="4" s="1"/>
  <c r="ML14" i="4"/>
  <c r="ML21" i="4" s="1"/>
  <c r="OP14" i="4"/>
  <c r="OP21" i="4" s="1"/>
  <c r="QH14" i="4"/>
  <c r="QH21" i="4" s="1"/>
  <c r="NI14" i="4"/>
  <c r="NI21" i="4" s="1"/>
  <c r="PW14" i="4"/>
  <c r="PW21" i="4" s="1"/>
  <c r="SM14" i="4"/>
  <c r="SM21" i="4" s="1"/>
  <c r="PL14" i="4"/>
  <c r="PL21" i="4" s="1"/>
  <c r="OE14" i="4"/>
  <c r="OE21" i="4" s="1"/>
  <c r="NT14" i="4"/>
  <c r="NT21" i="4" s="1"/>
  <c r="MX14" i="4"/>
  <c r="MX21" i="4" s="1"/>
  <c r="QG14" i="4"/>
  <c r="QG21" i="4" s="1"/>
  <c r="PA14" i="4"/>
  <c r="PA21" i="4" s="1"/>
  <c r="QR14" i="4"/>
  <c r="QR21" i="4" s="1"/>
  <c r="RD14" i="4"/>
  <c r="RD21" i="4" s="1"/>
  <c r="SY14" i="4"/>
  <c r="SY21" i="4" s="1"/>
  <c r="PM14" i="4"/>
  <c r="PM21" i="4" s="1"/>
  <c r="QS14" i="4"/>
  <c r="QS21" i="4" s="1"/>
  <c r="PX14" i="4"/>
  <c r="PX21" i="4" s="1"/>
  <c r="QI14" i="4"/>
  <c r="QI21" i="4" s="1"/>
  <c r="NJ14" i="4"/>
  <c r="NJ21" i="4" s="1"/>
  <c r="QT14" i="4"/>
  <c r="QT21" i="4" s="1"/>
  <c r="OF14" i="4"/>
  <c r="OF21" i="4" s="1"/>
  <c r="PB14" i="4"/>
  <c r="PB21" i="4" s="1"/>
  <c r="NU14" i="4"/>
  <c r="NU21" i="4" s="1"/>
  <c r="OQ14" i="4"/>
  <c r="OQ21" i="4" s="1"/>
  <c r="RP14" i="4"/>
  <c r="RP21" i="4" s="1"/>
  <c r="OR14" i="4"/>
  <c r="OR21" i="4" s="1"/>
  <c r="RE14" i="4"/>
  <c r="RE21" i="4" s="1"/>
  <c r="QU14" i="4"/>
  <c r="QU21" i="4" s="1"/>
  <c r="PN14" i="4"/>
  <c r="PN21" i="4" s="1"/>
  <c r="QJ14" i="4"/>
  <c r="QJ21" i="4" s="1"/>
  <c r="OG14" i="4"/>
  <c r="OG21" i="4" s="1"/>
  <c r="NV14" i="4"/>
  <c r="NV21" i="4" s="1"/>
  <c r="TK14" i="4"/>
  <c r="TK21" i="4" s="1"/>
  <c r="PY14" i="4"/>
  <c r="PY21" i="4" s="1"/>
  <c r="RF14" i="4"/>
  <c r="RF21" i="4" s="1"/>
  <c r="PC14" i="4"/>
  <c r="PC21" i="4" s="1"/>
  <c r="QK14" i="4"/>
  <c r="QK21" i="4" s="1"/>
  <c r="RG14" i="4"/>
  <c r="RG21" i="4" s="1"/>
  <c r="TW14" i="4"/>
  <c r="TW21" i="4" s="1"/>
  <c r="OS14" i="4"/>
  <c r="OS21" i="4" s="1"/>
  <c r="PO14" i="4"/>
  <c r="PO21" i="4" s="1"/>
  <c r="RR14" i="4"/>
  <c r="RR21" i="4" s="1"/>
  <c r="OH14" i="4"/>
  <c r="OH21" i="4" s="1"/>
  <c r="PZ14" i="4"/>
  <c r="PZ21" i="4" s="1"/>
  <c r="RQ14" i="4"/>
  <c r="RQ21" i="4" s="1"/>
  <c r="SB14" i="4"/>
  <c r="SB21" i="4" s="1"/>
  <c r="PD14" i="4"/>
  <c r="PD21" i="4" s="1"/>
  <c r="QV14" i="4"/>
  <c r="QV21" i="4" s="1"/>
  <c r="SN14" i="4"/>
  <c r="SN21" i="4" s="1"/>
  <c r="QA14" i="4"/>
  <c r="QA21" i="4" s="1"/>
  <c r="PE14" i="4"/>
  <c r="PE21" i="4" s="1"/>
  <c r="RH14" i="4"/>
  <c r="RH21" i="4" s="1"/>
  <c r="OT14" i="4"/>
  <c r="OT21" i="4" s="1"/>
  <c r="UI14" i="4"/>
  <c r="UI21" i="4" s="1"/>
  <c r="PP14" i="4"/>
  <c r="PP21" i="4" s="1"/>
  <c r="RS14" i="4"/>
  <c r="RS21" i="4" s="1"/>
  <c r="QL14" i="4"/>
  <c r="QL21" i="4" s="1"/>
  <c r="SC14" i="4"/>
  <c r="SC21" i="4" s="1"/>
  <c r="SD14" i="4"/>
  <c r="SD21" i="4" s="1"/>
  <c r="QW14" i="4"/>
  <c r="QW21" i="4" s="1"/>
  <c r="UU14" i="4"/>
  <c r="UU21" i="4" s="1"/>
  <c r="QX14" i="4"/>
  <c r="QX21" i="4" s="1"/>
  <c r="QM14" i="4"/>
  <c r="QM21" i="4" s="1"/>
  <c r="SP14" i="4"/>
  <c r="SP21" i="4" s="1"/>
  <c r="PF14" i="4"/>
  <c r="PF21" i="4" s="1"/>
  <c r="SZ14" i="4"/>
  <c r="SZ21" i="4" s="1"/>
  <c r="QB14" i="4"/>
  <c r="QB21" i="4" s="1"/>
  <c r="RI14" i="4"/>
  <c r="RI21" i="4" s="1"/>
  <c r="PQ14" i="4"/>
  <c r="PQ21" i="4" s="1"/>
  <c r="SO14" i="4"/>
  <c r="SO21" i="4" s="1"/>
  <c r="SE14" i="4"/>
  <c r="SE21" i="4" s="1"/>
  <c r="RT14" i="4"/>
  <c r="RT21" i="4" s="1"/>
  <c r="TL14" i="4"/>
  <c r="TL21" i="4" s="1"/>
  <c r="TB14" i="4"/>
  <c r="TB21" i="4" s="1"/>
  <c r="RU14" i="4"/>
  <c r="RU21" i="4" s="1"/>
  <c r="TA14" i="4"/>
  <c r="TA21" i="4" s="1"/>
  <c r="QC14" i="4"/>
  <c r="QC21" i="4" s="1"/>
  <c r="VG14" i="4"/>
  <c r="VG21" i="4" s="1"/>
  <c r="PR14" i="4"/>
  <c r="PR21" i="4" s="1"/>
  <c r="QY14" i="4"/>
  <c r="QY21" i="4" s="1"/>
  <c r="RJ14" i="4"/>
  <c r="RJ21" i="4" s="1"/>
  <c r="SF14" i="4"/>
  <c r="SF21" i="4" s="1"/>
  <c r="SQ14" i="4"/>
  <c r="SQ21" i="4" s="1"/>
  <c r="QN14" i="4"/>
  <c r="QN21" i="4" s="1"/>
  <c r="SG14" i="4"/>
  <c r="SG21" i="4" s="1"/>
  <c r="RV14" i="4"/>
  <c r="RV21" i="4" s="1"/>
  <c r="TX14" i="4"/>
  <c r="TX21" i="4" s="1"/>
  <c r="TM14" i="4"/>
  <c r="TM21" i="4" s="1"/>
  <c r="SR14" i="4"/>
  <c r="SR21" i="4" s="1"/>
  <c r="TC14" i="4"/>
  <c r="TC21" i="4" s="1"/>
  <c r="QD14" i="4"/>
  <c r="QD21" i="4" s="1"/>
  <c r="RK14" i="4"/>
  <c r="RK21" i="4" s="1"/>
  <c r="TN14" i="4"/>
  <c r="TN21" i="4" s="1"/>
  <c r="VS14" i="4"/>
  <c r="VS21" i="4" s="1"/>
  <c r="QO14" i="4"/>
  <c r="QO21" i="4" s="1"/>
  <c r="QZ14" i="4"/>
  <c r="QZ21" i="4" s="1"/>
  <c r="WE14" i="4"/>
  <c r="WE21" i="4" s="1"/>
  <c r="TZ14" i="4"/>
  <c r="TZ21" i="4" s="1"/>
  <c r="RW14" i="4"/>
  <c r="RW21" i="4" s="1"/>
  <c r="QP14" i="4"/>
  <c r="QP21" i="4" s="1"/>
  <c r="RA14" i="4"/>
  <c r="RA21" i="4" s="1"/>
  <c r="TD14" i="4"/>
  <c r="TD21" i="4" s="1"/>
  <c r="RL14" i="4"/>
  <c r="RL21" i="4" s="1"/>
  <c r="TY14" i="4"/>
  <c r="TY21" i="4" s="1"/>
  <c r="UJ14" i="4"/>
  <c r="UJ21" i="4" s="1"/>
  <c r="TO14" i="4"/>
  <c r="TO21" i="4" s="1"/>
  <c r="SS14" i="4"/>
  <c r="SS21" i="4" s="1"/>
  <c r="SH14" i="4"/>
  <c r="SH21" i="4" s="1"/>
  <c r="WQ14" i="4"/>
  <c r="WQ21" i="4" s="1"/>
  <c r="ST14" i="4"/>
  <c r="ST21" i="4" s="1"/>
  <c r="UA14" i="4"/>
  <c r="UA21" i="4" s="1"/>
  <c r="RM14" i="4"/>
  <c r="RM21" i="4" s="1"/>
  <c r="UV14" i="4"/>
  <c r="UV21" i="4" s="1"/>
  <c r="TE14" i="4"/>
  <c r="TE21" i="4" s="1"/>
  <c r="UL14" i="4"/>
  <c r="UL21" i="4" s="1"/>
  <c r="TP14" i="4"/>
  <c r="TP21" i="4" s="1"/>
  <c r="RB14" i="4"/>
  <c r="RB21" i="4" s="1"/>
  <c r="UK14" i="4"/>
  <c r="UK21" i="4" s="1"/>
  <c r="RX14" i="4"/>
  <c r="RX21" i="4" s="1"/>
  <c r="SI14" i="4"/>
  <c r="SI21" i="4" s="1"/>
  <c r="TF14" i="4"/>
  <c r="TF21" i="4" s="1"/>
  <c r="UX14" i="4"/>
  <c r="UX21" i="4" s="1"/>
  <c r="VH14" i="4"/>
  <c r="VH21" i="4" s="1"/>
  <c r="SU14" i="4"/>
  <c r="SU21" i="4" s="1"/>
  <c r="UB14" i="4"/>
  <c r="UB21" i="4" s="1"/>
  <c r="TQ14" i="4"/>
  <c r="TQ21" i="4" s="1"/>
  <c r="XC14" i="4"/>
  <c r="XC21" i="4" s="1"/>
  <c r="SJ14" i="4"/>
  <c r="SJ21" i="4" s="1"/>
  <c r="UM14" i="4"/>
  <c r="UM21" i="4" s="1"/>
  <c r="RY14" i="4"/>
  <c r="RY21" i="4" s="1"/>
  <c r="UW14" i="4"/>
  <c r="UW21" i="4" s="1"/>
  <c r="RN14" i="4"/>
  <c r="RN21" i="4" s="1"/>
  <c r="UY14" i="4"/>
  <c r="UY21" i="4" s="1"/>
  <c r="RZ14" i="4"/>
  <c r="RZ21" i="4" s="1"/>
  <c r="VJ14" i="4"/>
  <c r="VJ21" i="4" s="1"/>
  <c r="VT14" i="4"/>
  <c r="VT21" i="4" s="1"/>
  <c r="TR14" i="4"/>
  <c r="TR21" i="4" s="1"/>
  <c r="TG14" i="4"/>
  <c r="TG21" i="4" s="1"/>
  <c r="SV14" i="4"/>
  <c r="SV21" i="4" s="1"/>
  <c r="VI14" i="4"/>
  <c r="VI21" i="4" s="1"/>
  <c r="UN14" i="4"/>
  <c r="UN21" i="4" s="1"/>
  <c r="XO14" i="4"/>
  <c r="XO21" i="4" s="1"/>
  <c r="SK14" i="4"/>
  <c r="SK21" i="4" s="1"/>
  <c r="UC14" i="4"/>
  <c r="UC21" i="4" s="1"/>
  <c r="UD14" i="4"/>
  <c r="UD21" i="4" s="1"/>
  <c r="SW14" i="4"/>
  <c r="SW21" i="4" s="1"/>
  <c r="UO14" i="4"/>
  <c r="UO21" i="4" s="1"/>
  <c r="UZ14" i="4"/>
  <c r="UZ21" i="4" s="1"/>
  <c r="TH14" i="4"/>
  <c r="TH21" i="4" s="1"/>
  <c r="VU14" i="4"/>
  <c r="VU21" i="4" s="1"/>
  <c r="VV14" i="4"/>
  <c r="VV21" i="4" s="1"/>
  <c r="VK14" i="4"/>
  <c r="VK21" i="4" s="1"/>
  <c r="TS14" i="4"/>
  <c r="TS21" i="4" s="1"/>
  <c r="YA14" i="4"/>
  <c r="YA21" i="4" s="1"/>
  <c r="WF14" i="4"/>
  <c r="WF21" i="4" s="1"/>
  <c r="SL14" i="4"/>
  <c r="SL21" i="4" s="1"/>
  <c r="VL14" i="4"/>
  <c r="VL21" i="4" s="1"/>
  <c r="VA14" i="4"/>
  <c r="VA21" i="4" s="1"/>
  <c r="SX14" i="4"/>
  <c r="SX21" i="4" s="1"/>
  <c r="VW14" i="4"/>
  <c r="VW21" i="4" s="1"/>
  <c r="WG14" i="4"/>
  <c r="WG21" i="4" s="1"/>
  <c r="TI14" i="4"/>
  <c r="TI21" i="4" s="1"/>
  <c r="TT14" i="4"/>
  <c r="TT21" i="4" s="1"/>
  <c r="WR14" i="4"/>
  <c r="WR21" i="4" s="1"/>
  <c r="UP14" i="4"/>
  <c r="UP21" i="4" s="1"/>
  <c r="WH14" i="4"/>
  <c r="WH21" i="4" s="1"/>
  <c r="YM14" i="4"/>
  <c r="YM21" i="4" s="1"/>
  <c r="UE14" i="4"/>
  <c r="UE21" i="4" s="1"/>
  <c r="UQ14" i="4"/>
  <c r="UQ21" i="4" s="1"/>
  <c r="WT14" i="4"/>
  <c r="WT21" i="4" s="1"/>
  <c r="TJ14" i="4"/>
  <c r="TJ21" i="4" s="1"/>
  <c r="VX14" i="4"/>
  <c r="VX21" i="4" s="1"/>
  <c r="UF14" i="4"/>
  <c r="UF21" i="4" s="1"/>
  <c r="XD14" i="4"/>
  <c r="XD21" i="4" s="1"/>
  <c r="TU14" i="4"/>
  <c r="TU21" i="4" s="1"/>
  <c r="WI14" i="4"/>
  <c r="WI21" i="4" s="1"/>
  <c r="VB14" i="4"/>
  <c r="VB21" i="4" s="1"/>
  <c r="WS14" i="4"/>
  <c r="WS21" i="4" s="1"/>
  <c r="YY14" i="4"/>
  <c r="YY21" i="4" s="1"/>
  <c r="VM14" i="4"/>
  <c r="VM21" i="4" s="1"/>
  <c r="TV14" i="4"/>
  <c r="TV21" i="4" s="1"/>
  <c r="WU14" i="4"/>
  <c r="WU21" i="4" s="1"/>
  <c r="VY14" i="4"/>
  <c r="VY21" i="4" s="1"/>
  <c r="ZK14" i="4"/>
  <c r="ZK21" i="4" s="1"/>
  <c r="XP14" i="4"/>
  <c r="XP21" i="4" s="1"/>
  <c r="VC14" i="4"/>
  <c r="VC21" i="4" s="1"/>
  <c r="UR14" i="4"/>
  <c r="UR21" i="4" s="1"/>
  <c r="UG14" i="4"/>
  <c r="UG21" i="4" s="1"/>
  <c r="VN14" i="4"/>
  <c r="VN21" i="4" s="1"/>
  <c r="XF14" i="4"/>
  <c r="XF21" i="4" s="1"/>
  <c r="WJ14" i="4"/>
  <c r="WJ21" i="4" s="1"/>
  <c r="XE14" i="4"/>
  <c r="XE21" i="4" s="1"/>
  <c r="XQ14" i="4"/>
  <c r="XQ21" i="4" s="1"/>
  <c r="VD14" i="4"/>
  <c r="VD21" i="4" s="1"/>
  <c r="US14" i="4"/>
  <c r="US21" i="4" s="1"/>
  <c r="WV14" i="4"/>
  <c r="WV21" i="4" s="1"/>
  <c r="ZW14" i="4"/>
  <c r="ZW21" i="4" s="1"/>
  <c r="XR14" i="4"/>
  <c r="XR21" i="4" s="1"/>
  <c r="XG14" i="4"/>
  <c r="XG21" i="4" s="1"/>
  <c r="VO14" i="4"/>
  <c r="VO21" i="4" s="1"/>
  <c r="WK14" i="4"/>
  <c r="WK21" i="4" s="1"/>
  <c r="VZ14" i="4"/>
  <c r="VZ21" i="4" s="1"/>
  <c r="UH14" i="4"/>
  <c r="UH21" i="4" s="1"/>
  <c r="YB14" i="4"/>
  <c r="YB21" i="4" s="1"/>
  <c r="YD14" i="4"/>
  <c r="YD21" i="4" s="1"/>
  <c r="VE14" i="4"/>
  <c r="VE21" i="4" s="1"/>
  <c r="YC14" i="4"/>
  <c r="YC21" i="4" s="1"/>
  <c r="XH14" i="4"/>
  <c r="XH21" i="4" s="1"/>
  <c r="XS14" i="4"/>
  <c r="XS21" i="4" s="1"/>
  <c r="WA14" i="4"/>
  <c r="WA21" i="4" s="1"/>
  <c r="UT14" i="4"/>
  <c r="UT21" i="4" s="1"/>
  <c r="YN14" i="4"/>
  <c r="YN21" i="4" s="1"/>
  <c r="WL14" i="4"/>
  <c r="WL21" i="4" s="1"/>
  <c r="WW14" i="4"/>
  <c r="WW21" i="4" s="1"/>
  <c r="VP14" i="4"/>
  <c r="VP21" i="4" s="1"/>
  <c r="AAI14" i="4"/>
  <c r="AAI21" i="4" s="1"/>
  <c r="WB14" i="4"/>
  <c r="WB21" i="4" s="1"/>
  <c r="AAU14" i="4"/>
  <c r="AAU21" i="4" s="1"/>
  <c r="WX14" i="4"/>
  <c r="WX21" i="4" s="1"/>
  <c r="YP14" i="4"/>
  <c r="YP21" i="4" s="1"/>
  <c r="VF14" i="4"/>
  <c r="VF21" i="4" s="1"/>
  <c r="XI14" i="4"/>
  <c r="XI21" i="4" s="1"/>
  <c r="YZ14" i="4"/>
  <c r="YZ21" i="4" s="1"/>
  <c r="YE14" i="4"/>
  <c r="YE21" i="4" s="1"/>
  <c r="VQ14" i="4"/>
  <c r="VQ21" i="4" s="1"/>
  <c r="YO14" i="4"/>
  <c r="YO21" i="4" s="1"/>
  <c r="XT14" i="4"/>
  <c r="XT21" i="4" s="1"/>
  <c r="WM14" i="4"/>
  <c r="WM21" i="4" s="1"/>
  <c r="ZB14" i="4"/>
  <c r="ZB21" i="4" s="1"/>
  <c r="ZA14" i="4"/>
  <c r="ZA21" i="4" s="1"/>
  <c r="XJ14" i="4"/>
  <c r="XJ21" i="4" s="1"/>
  <c r="VR14" i="4"/>
  <c r="VR21" i="4" s="1"/>
  <c r="XU14" i="4"/>
  <c r="XU21" i="4" s="1"/>
  <c r="ABG14" i="4"/>
  <c r="ABG21" i="4" s="1"/>
  <c r="WY14" i="4"/>
  <c r="WY21" i="4" s="1"/>
  <c r="YQ14" i="4"/>
  <c r="YQ21" i="4" s="1"/>
  <c r="WN14" i="4"/>
  <c r="WN21" i="4" s="1"/>
  <c r="WC14" i="4"/>
  <c r="WC21" i="4" s="1"/>
  <c r="YF14" i="4"/>
  <c r="YF21" i="4" s="1"/>
  <c r="ZL14" i="4"/>
  <c r="ZL21" i="4" s="1"/>
  <c r="ZX14" i="4"/>
  <c r="ZX21" i="4" s="1"/>
  <c r="WO14" i="4"/>
  <c r="WO21" i="4" s="1"/>
  <c r="YG14" i="4"/>
  <c r="YG21" i="4" s="1"/>
  <c r="XK14" i="4"/>
  <c r="XK21" i="4" s="1"/>
  <c r="ZN14" i="4"/>
  <c r="ZN21" i="4" s="1"/>
  <c r="WZ14" i="4"/>
  <c r="WZ21" i="4" s="1"/>
  <c r="YR14" i="4"/>
  <c r="YR21" i="4" s="1"/>
  <c r="ZC14" i="4"/>
  <c r="ZC21" i="4" s="1"/>
  <c r="XV14" i="4"/>
  <c r="XV21" i="4" s="1"/>
  <c r="ABS14" i="4"/>
  <c r="ABS21" i="4" s="1"/>
  <c r="WD14" i="4"/>
  <c r="WD21" i="4" s="1"/>
  <c r="ZM14" i="4"/>
  <c r="ZM21" i="4" s="1"/>
  <c r="XW14" i="4"/>
  <c r="XW21" i="4" s="1"/>
  <c r="ZO14" i="4"/>
  <c r="ZO21" i="4" s="1"/>
  <c r="AAJ14" i="4"/>
  <c r="AAJ21" i="4" s="1"/>
  <c r="ZY14" i="4"/>
  <c r="ZY21" i="4" s="1"/>
  <c r="WP14" i="4"/>
  <c r="WP21" i="4" s="1"/>
  <c r="ZD14" i="4"/>
  <c r="ZD21" i="4" s="1"/>
  <c r="YS14" i="4"/>
  <c r="YS21" i="4" s="1"/>
  <c r="XA14" i="4"/>
  <c r="XA21" i="4" s="1"/>
  <c r="XL14" i="4"/>
  <c r="XL21" i="4" s="1"/>
  <c r="ZZ14" i="4"/>
  <c r="ZZ21" i="4" s="1"/>
  <c r="ACE14" i="4"/>
  <c r="ACE21" i="4" s="1"/>
  <c r="YH14" i="4"/>
  <c r="YH21" i="4" s="1"/>
  <c r="XX14" i="4"/>
  <c r="XX21" i="4" s="1"/>
  <c r="ZE14" i="4"/>
  <c r="ZE21" i="4" s="1"/>
  <c r="ACQ14" i="4"/>
  <c r="ACQ21" i="4" s="1"/>
  <c r="AAL14" i="4"/>
  <c r="AAL21" i="4" s="1"/>
  <c r="YT14" i="4"/>
  <c r="YT21" i="4" s="1"/>
  <c r="AAK14" i="4"/>
  <c r="AAK21" i="4" s="1"/>
  <c r="AAV14" i="4"/>
  <c r="AAV21" i="4" s="1"/>
  <c r="XM14" i="4"/>
  <c r="XM21" i="4" s="1"/>
  <c r="AAA14" i="4"/>
  <c r="AAA21" i="4" s="1"/>
  <c r="ZP14" i="4"/>
  <c r="ZP21" i="4" s="1"/>
  <c r="YI14" i="4"/>
  <c r="YI21" i="4" s="1"/>
  <c r="XB14" i="4"/>
  <c r="XB21" i="4" s="1"/>
  <c r="AAX14" i="4"/>
  <c r="AAX21" i="4" s="1"/>
  <c r="AAM14" i="4"/>
  <c r="AAM21" i="4" s="1"/>
  <c r="ABH14" i="4"/>
  <c r="ABH21" i="4" s="1"/>
  <c r="AAW14" i="4"/>
  <c r="AAW21" i="4" s="1"/>
  <c r="YU14" i="4"/>
  <c r="YU21" i="4" s="1"/>
  <c r="ZQ14" i="4"/>
  <c r="ZQ21" i="4" s="1"/>
  <c r="AAB14" i="4"/>
  <c r="AAB21" i="4" s="1"/>
  <c r="ZF14" i="4"/>
  <c r="ZF21" i="4" s="1"/>
  <c r="YJ14" i="4"/>
  <c r="YJ21" i="4" s="1"/>
  <c r="XY14" i="4"/>
  <c r="XY21" i="4" s="1"/>
  <c r="ADC14" i="4"/>
  <c r="ADC21" i="4" s="1"/>
  <c r="XN14" i="4"/>
  <c r="XN21" i="4" s="1"/>
  <c r="ABJ14" i="4"/>
  <c r="ABJ21" i="4" s="1"/>
  <c r="AAN14" i="4"/>
  <c r="AAN21" i="4" s="1"/>
  <c r="ADO14" i="4"/>
  <c r="ADO21" i="4" s="1"/>
  <c r="ABI14" i="4"/>
  <c r="ABI21" i="4" s="1"/>
  <c r="YK14" i="4"/>
  <c r="YK21" i="4" s="1"/>
  <c r="ZG14" i="4"/>
  <c r="ZG21" i="4" s="1"/>
  <c r="ABT14" i="4"/>
  <c r="ABT21" i="4" s="1"/>
  <c r="ZR14" i="4"/>
  <c r="ZR21" i="4" s="1"/>
  <c r="YV14" i="4"/>
  <c r="YV21" i="4" s="1"/>
  <c r="AAC14" i="4"/>
  <c r="AAC21" i="4" s="1"/>
  <c r="AAY14" i="4"/>
  <c r="AAY21" i="4" s="1"/>
  <c r="XZ14" i="4"/>
  <c r="XZ21" i="4" s="1"/>
  <c r="ZH14" i="4"/>
  <c r="ZH21" i="4" s="1"/>
  <c r="AAO14" i="4"/>
  <c r="AAO21" i="4" s="1"/>
  <c r="ZS14" i="4"/>
  <c r="ZS21" i="4" s="1"/>
  <c r="YL14" i="4"/>
  <c r="YL21" i="4" s="1"/>
  <c r="ACF14" i="4"/>
  <c r="ACF21" i="4" s="1"/>
  <c r="AAD14" i="4"/>
  <c r="AAD21" i="4" s="1"/>
  <c r="ABK14" i="4"/>
  <c r="ABK21" i="4" s="1"/>
  <c r="ABV14" i="4"/>
  <c r="ABV21" i="4" s="1"/>
  <c r="YW14" i="4"/>
  <c r="YW21" i="4" s="1"/>
  <c r="AEA14" i="4"/>
  <c r="AEA21" i="4" s="1"/>
  <c r="ABU14" i="4"/>
  <c r="ABU21" i="4" s="1"/>
  <c r="AAZ14" i="4"/>
  <c r="AAZ21" i="4" s="1"/>
  <c r="AEM14" i="4"/>
  <c r="AEM21" i="4" s="1"/>
  <c r="ZI14" i="4"/>
  <c r="ZI21" i="4" s="1"/>
  <c r="ACR14" i="4"/>
  <c r="ACR21" i="4" s="1"/>
  <c r="AAE14" i="4"/>
  <c r="AAE21" i="4" s="1"/>
  <c r="ABW14" i="4"/>
  <c r="ABW21" i="4" s="1"/>
  <c r="ABA14" i="4"/>
  <c r="ABA21" i="4" s="1"/>
  <c r="ACH14" i="4"/>
  <c r="ACH21" i="4" s="1"/>
  <c r="ZT14" i="4"/>
  <c r="ZT21" i="4" s="1"/>
  <c r="AAP14" i="4"/>
  <c r="AAP21" i="4" s="1"/>
  <c r="YX14" i="4"/>
  <c r="YX21" i="4" s="1"/>
  <c r="ABL14" i="4"/>
  <c r="ABL21" i="4" s="1"/>
  <c r="ACG14" i="4"/>
  <c r="ACG21" i="4" s="1"/>
  <c r="ZJ14" i="4"/>
  <c r="ZJ21" i="4" s="1"/>
  <c r="AAF14" i="4"/>
  <c r="AAF21" i="4" s="1"/>
  <c r="ADD14" i="4"/>
  <c r="ADD21" i="4" s="1"/>
  <c r="ACT14" i="4"/>
  <c r="ACT21" i="4" s="1"/>
  <c r="AAQ14" i="4"/>
  <c r="AAQ21" i="4" s="1"/>
  <c r="AEY14" i="4"/>
  <c r="AEY21" i="4" s="1"/>
  <c r="ABM14" i="4"/>
  <c r="ABM21" i="4" s="1"/>
  <c r="ABB14" i="4"/>
  <c r="ABB21" i="4" s="1"/>
  <c r="ABX14" i="4"/>
  <c r="ABX21" i="4" s="1"/>
  <c r="ACI14" i="4"/>
  <c r="ACI21" i="4" s="1"/>
  <c r="ZU14" i="4"/>
  <c r="ZU21" i="4" s="1"/>
  <c r="ACS14" i="4"/>
  <c r="ACS21" i="4" s="1"/>
  <c r="ACJ14" i="4"/>
  <c r="ACJ21" i="4" s="1"/>
  <c r="AFK14" i="4"/>
  <c r="AFK21" i="4" s="1"/>
  <c r="ABY14" i="4"/>
  <c r="ABY21" i="4" s="1"/>
  <c r="ZV14" i="4"/>
  <c r="ZV21" i="4" s="1"/>
  <c r="AAR14" i="4"/>
  <c r="AAR21" i="4" s="1"/>
  <c r="ADP14" i="4"/>
  <c r="ADP21" i="4" s="1"/>
  <c r="ACU14" i="4"/>
  <c r="ACU21" i="4" s="1"/>
  <c r="AAG14" i="4"/>
  <c r="AAG21" i="4" s="1"/>
  <c r="ABC14" i="4"/>
  <c r="ABC21" i="4" s="1"/>
  <c r="ADF14" i="4"/>
  <c r="ADF21" i="4" s="1"/>
  <c r="ADE14" i="4"/>
  <c r="ADE21" i="4" s="1"/>
  <c r="ABN14" i="4"/>
  <c r="ABN21" i="4" s="1"/>
  <c r="AEB14" i="4"/>
  <c r="AEB21" i="4" s="1"/>
  <c r="ADQ14" i="4"/>
  <c r="ADQ21" i="4" s="1"/>
  <c r="AFW14" i="4"/>
  <c r="AFW21" i="4" s="1"/>
  <c r="ACK14" i="4"/>
  <c r="ACK21" i="4" s="1"/>
  <c r="AAS14" i="4"/>
  <c r="AAS21" i="4" s="1"/>
  <c r="ACV14" i="4"/>
  <c r="ACV21" i="4" s="1"/>
  <c r="ABO14" i="4"/>
  <c r="ABO21" i="4" s="1"/>
  <c r="ADG14" i="4"/>
  <c r="ADG21" i="4" s="1"/>
  <c r="AAH14" i="4"/>
  <c r="AAH21" i="4" s="1"/>
  <c r="ADR14" i="4"/>
  <c r="ADR21" i="4" s="1"/>
  <c r="ABZ14" i="4"/>
  <c r="ABZ21" i="4" s="1"/>
  <c r="ABD14" i="4"/>
  <c r="ABD21" i="4" s="1"/>
  <c r="ABP14" i="4"/>
  <c r="ABP21" i="4" s="1"/>
  <c r="ACL14" i="4"/>
  <c r="ACL21" i="4" s="1"/>
  <c r="ADH14" i="4"/>
  <c r="ADH21" i="4" s="1"/>
  <c r="ADS14" i="4"/>
  <c r="ADS21" i="4" s="1"/>
  <c r="ABE14" i="4"/>
  <c r="ABE21" i="4" s="1"/>
  <c r="AEC14" i="4"/>
  <c r="AEC21" i="4" s="1"/>
  <c r="ACW14" i="4"/>
  <c r="ACW21" i="4" s="1"/>
  <c r="AAT14" i="4"/>
  <c r="AAT21" i="4" s="1"/>
  <c r="ACA14" i="4"/>
  <c r="ACA21" i="4" s="1"/>
  <c r="AEN14" i="4"/>
  <c r="AEN21" i="4" s="1"/>
  <c r="AED14" i="4"/>
  <c r="AED21" i="4" s="1"/>
  <c r="AGI14" i="4"/>
  <c r="AGI21" i="4" s="1"/>
  <c r="AEZ14" i="4"/>
  <c r="AEZ21" i="4" s="1"/>
  <c r="ADT14" i="4"/>
  <c r="ADT21" i="4" s="1"/>
  <c r="ACB14" i="4"/>
  <c r="ACB21" i="4" s="1"/>
  <c r="ACM14" i="4"/>
  <c r="ACM21" i="4" s="1"/>
  <c r="ACX14" i="4"/>
  <c r="ACX21" i="4" s="1"/>
  <c r="AEO14" i="4"/>
  <c r="AEO21" i="4" s="1"/>
  <c r="AEE14" i="4"/>
  <c r="AEE21" i="4" s="1"/>
  <c r="AEP14" i="4"/>
  <c r="AEP21" i="4" s="1"/>
  <c r="ABQ14" i="4"/>
  <c r="ABQ21" i="4" s="1"/>
  <c r="ABF14" i="4"/>
  <c r="ABF21" i="4" s="1"/>
  <c r="ADI14" i="4"/>
  <c r="ADI21" i="4" s="1"/>
  <c r="AGU14" i="4"/>
  <c r="AGU21" i="4" s="1"/>
  <c r="AFL14" i="4"/>
  <c r="AFL21" i="4" s="1"/>
  <c r="AFB14" i="4"/>
  <c r="AFB21" i="4" s="1"/>
  <c r="ACY14" i="4"/>
  <c r="ACY21" i="4" s="1"/>
  <c r="AHG14" i="4"/>
  <c r="AHG21" i="4" s="1"/>
  <c r="ACC14" i="4"/>
  <c r="ACC21" i="4" s="1"/>
  <c r="ACN14" i="4"/>
  <c r="ACN21" i="4" s="1"/>
  <c r="ADJ14" i="4"/>
  <c r="ADJ21" i="4" s="1"/>
  <c r="AEF14" i="4"/>
  <c r="AEF21" i="4" s="1"/>
  <c r="ABR14" i="4"/>
  <c r="ABR21" i="4" s="1"/>
  <c r="AEQ14" i="4"/>
  <c r="AEQ21" i="4" s="1"/>
  <c r="AFA14" i="4"/>
  <c r="AFA21" i="4" s="1"/>
  <c r="ADU14" i="4"/>
  <c r="ADU21" i="4" s="1"/>
  <c r="AFM14" i="4"/>
  <c r="AFM21" i="4" s="1"/>
  <c r="ADK14" i="4"/>
  <c r="ADK21" i="4" s="1"/>
  <c r="ADV14" i="4"/>
  <c r="ADV21" i="4" s="1"/>
  <c r="AER14" i="4"/>
  <c r="AER21" i="4" s="1"/>
  <c r="AFC14" i="4"/>
  <c r="AFC21" i="4" s="1"/>
  <c r="ACD14" i="4"/>
  <c r="ACD21" i="4" s="1"/>
  <c r="AFX14" i="4"/>
  <c r="AFX21" i="4" s="1"/>
  <c r="ACO14" i="4"/>
  <c r="ACO21" i="4" s="1"/>
  <c r="AEG14" i="4"/>
  <c r="AEG21" i="4" s="1"/>
  <c r="AFN14" i="4"/>
  <c r="AFN21" i="4" s="1"/>
  <c r="AHS14" i="4"/>
  <c r="AHS21" i="4" s="1"/>
  <c r="ACZ14" i="4"/>
  <c r="ACZ21" i="4" s="1"/>
  <c r="ADA14" i="4"/>
  <c r="ADA21" i="4" s="1"/>
  <c r="AEH14" i="4"/>
  <c r="AEH21" i="4" s="1"/>
  <c r="ADL14" i="4"/>
  <c r="ADL21" i="4" s="1"/>
  <c r="AFY14" i="4"/>
  <c r="AFY21" i="4" s="1"/>
  <c r="AFZ14" i="4"/>
  <c r="AFZ21" i="4" s="1"/>
  <c r="AFD14" i="4"/>
  <c r="AFD21" i="4" s="1"/>
  <c r="AFO14" i="4"/>
  <c r="AFO21" i="4" s="1"/>
  <c r="ACP14" i="4"/>
  <c r="ACP21" i="4" s="1"/>
  <c r="AGJ14" i="4"/>
  <c r="AGJ21" i="4" s="1"/>
  <c r="AES14" i="4"/>
  <c r="AES21" i="4" s="1"/>
  <c r="ADW14" i="4"/>
  <c r="ADW21" i="4" s="1"/>
  <c r="AIE14" i="4"/>
  <c r="AIE21" i="4" s="1"/>
  <c r="AIQ14" i="4"/>
  <c r="AIQ21" i="4" s="1"/>
  <c r="AGV14" i="4"/>
  <c r="AGV21" i="4" s="1"/>
  <c r="AEI14" i="4"/>
  <c r="AEI21" i="4" s="1"/>
  <c r="AET14" i="4"/>
  <c r="AET21" i="4" s="1"/>
  <c r="AFP14" i="4"/>
  <c r="AFP21" i="4" s="1"/>
  <c r="AFE14" i="4"/>
  <c r="AFE21" i="4" s="1"/>
  <c r="AGL14" i="4"/>
  <c r="AGL21" i="4" s="1"/>
  <c r="AGA14" i="4"/>
  <c r="AGA21" i="4" s="1"/>
  <c r="AGK14" i="4"/>
  <c r="AGK21" i="4" s="1"/>
  <c r="ADX14" i="4"/>
  <c r="ADX21" i="4" s="1"/>
  <c r="ADM14" i="4"/>
  <c r="ADM21" i="4" s="1"/>
  <c r="ADB14" i="4"/>
  <c r="ADB21" i="4" s="1"/>
  <c r="AFF14" i="4"/>
  <c r="AFF21" i="4" s="1"/>
  <c r="AGW14" i="4"/>
  <c r="AGW21" i="4" s="1"/>
  <c r="AEU14" i="4"/>
  <c r="AEU21" i="4" s="1"/>
  <c r="AJC14" i="4"/>
  <c r="AJC21" i="4" s="1"/>
  <c r="AFQ14" i="4"/>
  <c r="AFQ21" i="4" s="1"/>
  <c r="AGB14" i="4"/>
  <c r="AGB21" i="4" s="1"/>
  <c r="AHH14" i="4"/>
  <c r="AHH21" i="4" s="1"/>
  <c r="AEJ14" i="4"/>
  <c r="AEJ21" i="4" s="1"/>
  <c r="ADY14" i="4"/>
  <c r="ADY21" i="4" s="1"/>
  <c r="AGX14" i="4"/>
  <c r="AGX21" i="4" s="1"/>
  <c r="AGM14" i="4"/>
  <c r="AGM21" i="4" s="1"/>
  <c r="ADN14" i="4"/>
  <c r="ADN21" i="4" s="1"/>
  <c r="AGC14" i="4"/>
  <c r="AGC21" i="4" s="1"/>
  <c r="ADZ14" i="4"/>
  <c r="ADZ21" i="4" s="1"/>
  <c r="AHI14" i="4"/>
  <c r="AHI21" i="4" s="1"/>
  <c r="AFR14" i="4"/>
  <c r="AFR21" i="4" s="1"/>
  <c r="AHJ14" i="4"/>
  <c r="AHJ21" i="4" s="1"/>
  <c r="AJO14" i="4"/>
  <c r="AJO21" i="4" s="1"/>
  <c r="AHT14" i="4"/>
  <c r="AHT21" i="4" s="1"/>
  <c r="AGY14" i="4"/>
  <c r="AGY21" i="4" s="1"/>
  <c r="AEV14" i="4"/>
  <c r="AEV21" i="4" s="1"/>
  <c r="AEK14" i="4"/>
  <c r="AEK21" i="4" s="1"/>
  <c r="AFG14" i="4"/>
  <c r="AFG21" i="4" s="1"/>
  <c r="AGN14" i="4"/>
  <c r="AGN21" i="4" s="1"/>
  <c r="AEL14" i="4"/>
  <c r="AEL21" i="4" s="1"/>
  <c r="AKA14" i="4"/>
  <c r="AKA21" i="4" s="1"/>
  <c r="AGO14" i="4"/>
  <c r="AGO21" i="4" s="1"/>
  <c r="AHV14" i="4"/>
  <c r="AHV21" i="4" s="1"/>
  <c r="AGD14" i="4"/>
  <c r="AGD21" i="4" s="1"/>
  <c r="AIF14" i="4"/>
  <c r="AIF21" i="4" s="1"/>
  <c r="AGZ14" i="4"/>
  <c r="AGZ21" i="4" s="1"/>
  <c r="AFS14" i="4"/>
  <c r="AFS21" i="4" s="1"/>
  <c r="AEW14" i="4"/>
  <c r="AEW21" i="4" s="1"/>
  <c r="AFH14" i="4"/>
  <c r="AFH21" i="4" s="1"/>
  <c r="AHU14" i="4"/>
  <c r="AHU21" i="4" s="1"/>
  <c r="AHK14" i="4"/>
  <c r="AHK21" i="4" s="1"/>
  <c r="AHA14" i="4"/>
  <c r="AHA21" i="4" s="1"/>
  <c r="AIG14" i="4"/>
  <c r="AIG21" i="4" s="1"/>
  <c r="AHW14" i="4"/>
  <c r="AHW21" i="4" s="1"/>
  <c r="AGP14" i="4"/>
  <c r="AGP21" i="4" s="1"/>
  <c r="AIR14" i="4"/>
  <c r="AIR21" i="4" s="1"/>
  <c r="AFI14" i="4"/>
  <c r="AFI21" i="4" s="1"/>
  <c r="AHL14" i="4"/>
  <c r="AHL21" i="4" s="1"/>
  <c r="AEX14" i="4"/>
  <c r="AEX21" i="4" s="1"/>
  <c r="AGE14" i="4"/>
  <c r="AGE21" i="4" s="1"/>
  <c r="AKM14" i="4"/>
  <c r="AKM21" i="4" s="1"/>
  <c r="AFT14" i="4"/>
  <c r="AFT21" i="4" s="1"/>
  <c r="AIH14" i="4"/>
  <c r="AIH21" i="4" s="1"/>
  <c r="AHM14" i="4"/>
  <c r="AHM21" i="4" s="1"/>
  <c r="AGF14" i="4"/>
  <c r="AGF21" i="4" s="1"/>
  <c r="AHB14" i="4"/>
  <c r="AHB21" i="4" s="1"/>
  <c r="AFU14" i="4"/>
  <c r="AFU21" i="4" s="1"/>
  <c r="AKY14" i="4"/>
  <c r="AKY21" i="4" s="1"/>
  <c r="AGQ14" i="4"/>
  <c r="AGQ21" i="4" s="1"/>
  <c r="AIS14" i="4"/>
  <c r="AIS21" i="4" s="1"/>
  <c r="AII14" i="4"/>
  <c r="AII21" i="4" s="1"/>
  <c r="AJD14" i="4"/>
  <c r="AJD21" i="4" s="1"/>
  <c r="AHX14" i="4"/>
  <c r="AHX21" i="4" s="1"/>
  <c r="AFJ14" i="4"/>
  <c r="AFJ21" i="4" s="1"/>
  <c r="AIT14" i="4"/>
  <c r="AIT21" i="4" s="1"/>
  <c r="AGG14" i="4"/>
  <c r="AGG21" i="4" s="1"/>
  <c r="AHC14" i="4"/>
  <c r="AHC21" i="4" s="1"/>
  <c r="AIU14" i="4"/>
  <c r="AIU21" i="4" s="1"/>
  <c r="AJP14" i="4"/>
  <c r="AJP21" i="4" s="1"/>
  <c r="AFV14" i="4"/>
  <c r="AFV21" i="4" s="1"/>
  <c r="AJF14" i="4"/>
  <c r="AJF21" i="4" s="1"/>
  <c r="AHN14" i="4"/>
  <c r="AHN21" i="4" s="1"/>
  <c r="AIJ14" i="4"/>
  <c r="AIJ21" i="4" s="1"/>
  <c r="AHY14" i="4"/>
  <c r="AHY21" i="4" s="1"/>
  <c r="AGR14" i="4"/>
  <c r="AGR21" i="4" s="1"/>
  <c r="ALK14" i="4"/>
  <c r="ALK21" i="4" s="1"/>
  <c r="AJE14" i="4"/>
  <c r="AJE21" i="4" s="1"/>
  <c r="AKB14" i="4"/>
  <c r="AKB21" i="4" s="1"/>
  <c r="AIV14" i="4"/>
  <c r="AIV21" i="4" s="1"/>
  <c r="AJQ14" i="4"/>
  <c r="AJQ21" i="4" s="1"/>
  <c r="AGS14" i="4"/>
  <c r="AGS21" i="4" s="1"/>
  <c r="AHO14" i="4"/>
  <c r="AHO21" i="4" s="1"/>
  <c r="AIK14" i="4"/>
  <c r="AIK21" i="4" s="1"/>
  <c r="AJR14" i="4"/>
  <c r="AJR21" i="4" s="1"/>
  <c r="AHZ14" i="4"/>
  <c r="AHZ21" i="4" s="1"/>
  <c r="AJG14" i="4"/>
  <c r="AJG21" i="4" s="1"/>
  <c r="ALW14" i="4"/>
  <c r="ALW21" i="4" s="1"/>
  <c r="AGH14" i="4"/>
  <c r="AGH21" i="4" s="1"/>
  <c r="AHD14" i="4"/>
  <c r="AHD21" i="4" s="1"/>
  <c r="AHP14" i="4"/>
  <c r="AHP21" i="4" s="1"/>
  <c r="AJH14" i="4"/>
  <c r="AJH21" i="4" s="1"/>
  <c r="AHE14" i="4"/>
  <c r="AHE21" i="4" s="1"/>
  <c r="AGT14" i="4"/>
  <c r="AGT21" i="4" s="1"/>
  <c r="AIL14" i="4"/>
  <c r="AIL21" i="4" s="1"/>
  <c r="AKD14" i="4"/>
  <c r="AKD21" i="4" s="1"/>
  <c r="AJS14" i="4"/>
  <c r="AJS21" i="4" s="1"/>
  <c r="AIA14" i="4"/>
  <c r="AIA21" i="4" s="1"/>
  <c r="AMI14" i="4"/>
  <c r="AMI21" i="4" s="1"/>
  <c r="AKC14" i="4"/>
  <c r="AKC21" i="4" s="1"/>
  <c r="AKN14" i="4"/>
  <c r="AKN21" i="4" s="1"/>
  <c r="AIW14" i="4"/>
  <c r="AIW21" i="4" s="1"/>
  <c r="AIM14" i="4"/>
  <c r="AIM21" i="4" s="1"/>
  <c r="AHF14" i="4"/>
  <c r="AHF21" i="4" s="1"/>
  <c r="AKZ14" i="4"/>
  <c r="AKZ21" i="4" s="1"/>
  <c r="AJT14" i="4"/>
  <c r="AJT21" i="4" s="1"/>
  <c r="AKP14" i="4"/>
  <c r="AKP21" i="4" s="1"/>
  <c r="AHQ14" i="4"/>
  <c r="AHQ21" i="4" s="1"/>
  <c r="AMU14" i="4"/>
  <c r="AMU21" i="4" s="1"/>
  <c r="AJI14" i="4"/>
  <c r="AJI21" i="4" s="1"/>
  <c r="AIB14" i="4"/>
  <c r="AIB21" i="4" s="1"/>
  <c r="AKO14" i="4"/>
  <c r="AKO21" i="4" s="1"/>
  <c r="AKE14" i="4"/>
  <c r="AKE21" i="4" s="1"/>
  <c r="AIX14" i="4"/>
  <c r="AIX21" i="4" s="1"/>
  <c r="AIC14" i="4"/>
  <c r="AIC21" i="4" s="1"/>
  <c r="AHR14" i="4"/>
  <c r="AHR21" i="4" s="1"/>
  <c r="AIN14" i="4"/>
  <c r="AIN21" i="4" s="1"/>
  <c r="AJU14" i="4"/>
  <c r="AJU21" i="4" s="1"/>
  <c r="ALL14" i="4"/>
  <c r="ALL21" i="4" s="1"/>
  <c r="AKQ14" i="4"/>
  <c r="AKQ21" i="4" s="1"/>
  <c r="AIY14" i="4"/>
  <c r="AIY21" i="4" s="1"/>
  <c r="ALA14" i="4"/>
  <c r="ALA21" i="4" s="1"/>
  <c r="ANG14" i="4"/>
  <c r="ANG21" i="4" s="1"/>
  <c r="ALB14" i="4"/>
  <c r="ALB21" i="4" s="1"/>
  <c r="AKF14" i="4"/>
  <c r="AKF21" i="4" s="1"/>
  <c r="AJJ14" i="4"/>
  <c r="AJJ21" i="4" s="1"/>
  <c r="AID14" i="4"/>
  <c r="AID21" i="4" s="1"/>
  <c r="AJV14" i="4"/>
  <c r="AJV21" i="4" s="1"/>
  <c r="AIZ14" i="4"/>
  <c r="AIZ21" i="4" s="1"/>
  <c r="AIO14" i="4"/>
  <c r="AIO21" i="4" s="1"/>
  <c r="ALM14" i="4"/>
  <c r="ALM21" i="4" s="1"/>
  <c r="ALX14" i="4"/>
  <c r="ALX21" i="4" s="1"/>
  <c r="ANS14" i="4"/>
  <c r="ANS21" i="4" s="1"/>
  <c r="ALN14" i="4"/>
  <c r="ALN21" i="4" s="1"/>
  <c r="AJK14" i="4"/>
  <c r="AJK21" i="4" s="1"/>
  <c r="ALC14" i="4"/>
  <c r="ALC21" i="4" s="1"/>
  <c r="AKG14" i="4"/>
  <c r="AKG21" i="4" s="1"/>
  <c r="AKR14" i="4"/>
  <c r="AKR21" i="4" s="1"/>
  <c r="AOE14" i="4"/>
  <c r="AOE21" i="4" s="1"/>
  <c r="AKH14" i="4"/>
  <c r="AKH21" i="4" s="1"/>
  <c r="AJW14" i="4"/>
  <c r="AJW21" i="4" s="1"/>
  <c r="ALO14" i="4"/>
  <c r="ALO21" i="4" s="1"/>
  <c r="AJL14" i="4"/>
  <c r="AJL21" i="4" s="1"/>
  <c r="ALD14" i="4"/>
  <c r="ALD21" i="4" s="1"/>
  <c r="AMJ14" i="4"/>
  <c r="AMJ21" i="4" s="1"/>
  <c r="AKS14" i="4"/>
  <c r="AKS21" i="4" s="1"/>
  <c r="ALZ14" i="4"/>
  <c r="ALZ21" i="4" s="1"/>
  <c r="AJA14" i="4"/>
  <c r="AJA21" i="4" s="1"/>
  <c r="AIP14" i="4"/>
  <c r="AIP21" i="4" s="1"/>
  <c r="ALY14" i="4"/>
  <c r="ALY21" i="4" s="1"/>
  <c r="ALP14" i="4"/>
  <c r="ALP21" i="4" s="1"/>
  <c r="ALE14" i="4"/>
  <c r="ALE21" i="4" s="1"/>
  <c r="AMA14" i="4"/>
  <c r="AMA21" i="4" s="1"/>
  <c r="AMK14" i="4"/>
  <c r="AMK21" i="4" s="1"/>
  <c r="AKT14" i="4"/>
  <c r="AKT21" i="4" s="1"/>
  <c r="AML14" i="4"/>
  <c r="AML21" i="4" s="1"/>
  <c r="AMV14" i="4"/>
  <c r="AMV21" i="4" s="1"/>
  <c r="AJM14" i="4"/>
  <c r="AJM21" i="4" s="1"/>
  <c r="AKI14" i="4"/>
  <c r="AKI21" i="4" s="1"/>
  <c r="AJB14" i="4"/>
  <c r="AJB21" i="4" s="1"/>
  <c r="AJX14" i="4"/>
  <c r="AJX21" i="4" s="1"/>
  <c r="ANH14" i="4"/>
  <c r="ANH21" i="4" s="1"/>
  <c r="AMB14" i="4"/>
  <c r="AMB21" i="4" s="1"/>
  <c r="ALF14" i="4"/>
  <c r="ALF21" i="4" s="1"/>
  <c r="AJY14" i="4"/>
  <c r="AJY21" i="4" s="1"/>
  <c r="AKJ14" i="4"/>
  <c r="AKJ21" i="4" s="1"/>
  <c r="AJN14" i="4"/>
  <c r="AJN21" i="4" s="1"/>
  <c r="AMX14" i="4"/>
  <c r="AMX21" i="4" s="1"/>
  <c r="AMW14" i="4"/>
  <c r="AMW21" i="4" s="1"/>
  <c r="AMM14" i="4"/>
  <c r="AMM21" i="4" s="1"/>
  <c r="ALQ14" i="4"/>
  <c r="ALQ21" i="4" s="1"/>
  <c r="AKU14" i="4"/>
  <c r="AKU21" i="4" s="1"/>
  <c r="AMY14" i="4"/>
  <c r="AMY21" i="4" s="1"/>
  <c r="AKV14" i="4"/>
  <c r="AKV21" i="4" s="1"/>
  <c r="AMC14" i="4"/>
  <c r="AMC21" i="4" s="1"/>
  <c r="ALG14" i="4"/>
  <c r="ALG21" i="4" s="1"/>
  <c r="AMN14" i="4"/>
  <c r="AMN21" i="4" s="1"/>
  <c r="ANJ14" i="4"/>
  <c r="ANJ21" i="4" s="1"/>
  <c r="ANT14" i="4"/>
  <c r="ANT21" i="4" s="1"/>
  <c r="AKK14" i="4"/>
  <c r="AKK21" i="4" s="1"/>
  <c r="ALR14" i="4"/>
  <c r="ALR21" i="4" s="1"/>
  <c r="ANI14" i="4"/>
  <c r="ANI21" i="4" s="1"/>
  <c r="AJZ14" i="4"/>
  <c r="AJZ21" i="4" s="1"/>
  <c r="AMZ14" i="4"/>
  <c r="AMZ21" i="4" s="1"/>
  <c r="AKW14" i="4"/>
  <c r="AKW21" i="4" s="1"/>
  <c r="AMD14" i="4"/>
  <c r="AMD21" i="4" s="1"/>
  <c r="AMO14" i="4"/>
  <c r="AMO21" i="4" s="1"/>
  <c r="AOF14" i="4"/>
  <c r="AOF21" i="4" s="1"/>
  <c r="ANV14" i="4"/>
  <c r="ANV21" i="4" s="1"/>
  <c r="ANK14" i="4"/>
  <c r="ANK21" i="4" s="1"/>
  <c r="ALH14" i="4"/>
  <c r="ALH21" i="4" s="1"/>
  <c r="ANU14" i="4"/>
  <c r="ANU21" i="4" s="1"/>
  <c r="AKL14" i="4"/>
  <c r="AKL21" i="4" s="1"/>
  <c r="ALS14" i="4"/>
  <c r="ALS21" i="4" s="1"/>
  <c r="AOG14" i="4"/>
  <c r="AOG21" i="4" s="1"/>
  <c r="ALI14" i="4"/>
  <c r="ALI21" i="4" s="1"/>
  <c r="ANA14" i="4"/>
  <c r="ANA21" i="4" s="1"/>
  <c r="ANW14" i="4"/>
  <c r="ANW21" i="4" s="1"/>
  <c r="AOH14" i="4"/>
  <c r="AOH21" i="4" s="1"/>
  <c r="ANL14" i="4"/>
  <c r="ANL21" i="4" s="1"/>
  <c r="ALT14" i="4"/>
  <c r="ALT21" i="4" s="1"/>
  <c r="AMP14" i="4"/>
  <c r="AMP21" i="4" s="1"/>
  <c r="AKX14" i="4"/>
  <c r="AKX21" i="4" s="1"/>
  <c r="AME14" i="4"/>
  <c r="AME21" i="4" s="1"/>
  <c r="AOI14" i="4"/>
  <c r="AOI21" i="4" s="1"/>
  <c r="ANB14" i="4"/>
  <c r="ANB21" i="4" s="1"/>
  <c r="ALU14" i="4"/>
  <c r="ALU21" i="4" s="1"/>
  <c r="AMF14" i="4"/>
  <c r="AMF21" i="4" s="1"/>
  <c r="AMQ14" i="4"/>
  <c r="AMQ21" i="4" s="1"/>
  <c r="ANM14" i="4"/>
  <c r="ANM21" i="4" s="1"/>
  <c r="ALJ14" i="4"/>
  <c r="ALJ21" i="4" s="1"/>
  <c r="ANX14" i="4"/>
  <c r="ANX21" i="4" s="1"/>
  <c r="AOJ14" i="4"/>
  <c r="AOJ21" i="4" s="1"/>
  <c r="ANN14" i="4"/>
  <c r="ANN21" i="4" s="1"/>
  <c r="AMR14" i="4"/>
  <c r="AMR21" i="4" s="1"/>
  <c r="AMG14" i="4"/>
  <c r="AMG21" i="4" s="1"/>
  <c r="ALV14" i="4"/>
  <c r="ALV21" i="4" s="1"/>
  <c r="ANY14" i="4"/>
  <c r="ANY21" i="4" s="1"/>
  <c r="ANC14" i="4"/>
  <c r="ANC21" i="4" s="1"/>
  <c r="AOK14" i="4"/>
  <c r="AOK21" i="4" s="1"/>
  <c r="AMH14" i="4"/>
  <c r="AMH21" i="4" s="1"/>
  <c r="ANO14" i="4"/>
  <c r="ANO21" i="4" s="1"/>
  <c r="AND14" i="4"/>
  <c r="AND21" i="4" s="1"/>
  <c r="ANZ14" i="4"/>
  <c r="ANZ21" i="4" s="1"/>
  <c r="AMS14" i="4"/>
  <c r="AMS21" i="4" s="1"/>
  <c r="AOL14" i="4"/>
  <c r="AOL21" i="4" s="1"/>
  <c r="ANP14" i="4"/>
  <c r="ANP21" i="4" s="1"/>
  <c r="AOA14" i="4"/>
  <c r="AOA21" i="4" s="1"/>
  <c r="ANE14" i="4"/>
  <c r="ANE21" i="4" s="1"/>
  <c r="AMT14" i="4"/>
  <c r="AMT21" i="4" s="1"/>
  <c r="AOM14" i="4"/>
  <c r="AOM21" i="4" s="1"/>
  <c r="AOB14" i="4"/>
  <c r="AOB21" i="4" s="1"/>
  <c r="ANQ14" i="4"/>
  <c r="ANQ21" i="4" s="1"/>
  <c r="ANF14" i="4"/>
  <c r="ANF21" i="4" s="1"/>
  <c r="ANR14" i="4"/>
  <c r="ANR21" i="4" s="1"/>
  <c r="AON14" i="4"/>
  <c r="AON21" i="4" s="1"/>
  <c r="AOC14" i="4"/>
  <c r="AOC21" i="4" s="1"/>
  <c r="AOO14" i="4"/>
  <c r="AOO21" i="4" s="1"/>
  <c r="AOD14" i="4"/>
  <c r="AOD21" i="4" s="1"/>
  <c r="AOP14" i="4"/>
  <c r="AOP21" i="4" s="1"/>
  <c r="BK15" i="4"/>
  <c r="BK22" i="4" s="1"/>
  <c r="E15" i="4"/>
  <c r="E22" i="4" s="1"/>
  <c r="P15" i="4"/>
  <c r="P22" i="4" s="1"/>
  <c r="F15" i="4"/>
  <c r="F22" i="4" s="1"/>
  <c r="AM15" i="4"/>
  <c r="AM22" i="4" s="1"/>
  <c r="O15" i="4"/>
  <c r="O22" i="4" s="1"/>
  <c r="Q15" i="4"/>
  <c r="Q22" i="4" s="1"/>
  <c r="AY15" i="4"/>
  <c r="AY22" i="4" s="1"/>
  <c r="C15" i="4"/>
  <c r="C22" i="4" s="1"/>
  <c r="D15" i="4"/>
  <c r="D22" i="4" s="1"/>
  <c r="AA15" i="4"/>
  <c r="AA22" i="4" s="1"/>
  <c r="R15" i="4"/>
  <c r="R22" i="4" s="1"/>
  <c r="G15" i="4"/>
  <c r="G22" i="4" s="1"/>
  <c r="AB15" i="4"/>
  <c r="AB22" i="4" s="1"/>
  <c r="AC15" i="4"/>
  <c r="AC22" i="4" s="1"/>
  <c r="BW15" i="4"/>
  <c r="BW22" i="4" s="1"/>
  <c r="H15" i="4"/>
  <c r="H22" i="4" s="1"/>
  <c r="AN15" i="4"/>
  <c r="AN22" i="4" s="1"/>
  <c r="S15" i="4"/>
  <c r="S22" i="4" s="1"/>
  <c r="AD15" i="4"/>
  <c r="AD22" i="4" s="1"/>
  <c r="CI15" i="4"/>
  <c r="CI22" i="4" s="1"/>
  <c r="AO15" i="4"/>
  <c r="AO22" i="4" s="1"/>
  <c r="AZ15" i="4"/>
  <c r="AZ22" i="4" s="1"/>
  <c r="BA15" i="4"/>
  <c r="BA22" i="4" s="1"/>
  <c r="CU15" i="4"/>
  <c r="CU22" i="4" s="1"/>
  <c r="I15" i="4"/>
  <c r="I22" i="4" s="1"/>
  <c r="AE15" i="4"/>
  <c r="AE22" i="4" s="1"/>
  <c r="AP15" i="4"/>
  <c r="AP22" i="4" s="1"/>
  <c r="T15" i="4"/>
  <c r="T22" i="4" s="1"/>
  <c r="DG15" i="4"/>
  <c r="DG22" i="4" s="1"/>
  <c r="AF15" i="4"/>
  <c r="AF22" i="4" s="1"/>
  <c r="BB15" i="4"/>
  <c r="BB22" i="4" s="1"/>
  <c r="BL15" i="4"/>
  <c r="BL22" i="4" s="1"/>
  <c r="AQ15" i="4"/>
  <c r="AQ22" i="4" s="1"/>
  <c r="J15" i="4"/>
  <c r="J22" i="4" s="1"/>
  <c r="U15" i="4"/>
  <c r="U22" i="4" s="1"/>
  <c r="BM15" i="4"/>
  <c r="BM22" i="4" s="1"/>
  <c r="BX15" i="4"/>
  <c r="BX22" i="4" s="1"/>
  <c r="BN15" i="4"/>
  <c r="BN22" i="4" s="1"/>
  <c r="V15" i="4"/>
  <c r="V22" i="4" s="1"/>
  <c r="AG15" i="4"/>
  <c r="AG22" i="4" s="1"/>
  <c r="DS15" i="4"/>
  <c r="DS22" i="4" s="1"/>
  <c r="AR15" i="4"/>
  <c r="AR22" i="4" s="1"/>
  <c r="BC15" i="4"/>
  <c r="BC22" i="4" s="1"/>
  <c r="BY15" i="4"/>
  <c r="BY22" i="4" s="1"/>
  <c r="K15" i="4"/>
  <c r="K22" i="4" s="1"/>
  <c r="AS15" i="4"/>
  <c r="AS22" i="4" s="1"/>
  <c r="BZ15" i="4"/>
  <c r="BZ22" i="4" s="1"/>
  <c r="EE15" i="4"/>
  <c r="EE22" i="4" s="1"/>
  <c r="CK15" i="4"/>
  <c r="CK22" i="4" s="1"/>
  <c r="BD15" i="4"/>
  <c r="BD22" i="4" s="1"/>
  <c r="L15" i="4"/>
  <c r="L22" i="4" s="1"/>
  <c r="CJ15" i="4"/>
  <c r="CJ22" i="4" s="1"/>
  <c r="BO15" i="4"/>
  <c r="BO22" i="4" s="1"/>
  <c r="W15" i="4"/>
  <c r="W22" i="4" s="1"/>
  <c r="AH15" i="4"/>
  <c r="AH22" i="4" s="1"/>
  <c r="EQ15" i="4"/>
  <c r="EQ22" i="4" s="1"/>
  <c r="AT15" i="4"/>
  <c r="AT22" i="4" s="1"/>
  <c r="CW15" i="4"/>
  <c r="CW22" i="4" s="1"/>
  <c r="CL15" i="4"/>
  <c r="CL22" i="4" s="1"/>
  <c r="BP15" i="4"/>
  <c r="BP22" i="4" s="1"/>
  <c r="CA15" i="4"/>
  <c r="CA22" i="4" s="1"/>
  <c r="BE15" i="4"/>
  <c r="BE22" i="4" s="1"/>
  <c r="AI15" i="4"/>
  <c r="AI22" i="4" s="1"/>
  <c r="CV15" i="4"/>
  <c r="CV22" i="4" s="1"/>
  <c r="M15" i="4"/>
  <c r="M22" i="4" s="1"/>
  <c r="X15" i="4"/>
  <c r="X22" i="4" s="1"/>
  <c r="DH15" i="4"/>
  <c r="DH22" i="4" s="1"/>
  <c r="AU15" i="4"/>
  <c r="AU22" i="4" s="1"/>
  <c r="CX15" i="4"/>
  <c r="CX22" i="4" s="1"/>
  <c r="BQ15" i="4"/>
  <c r="BQ22" i="4" s="1"/>
  <c r="N15" i="4"/>
  <c r="N22" i="4" s="1"/>
  <c r="Y15" i="4"/>
  <c r="Y22" i="4" s="1"/>
  <c r="AJ15" i="4"/>
  <c r="AJ22" i="4" s="1"/>
  <c r="DI15" i="4"/>
  <c r="DI22" i="4" s="1"/>
  <c r="BF15" i="4"/>
  <c r="BF22" i="4" s="1"/>
  <c r="FC15" i="4"/>
  <c r="FC22" i="4" s="1"/>
  <c r="CM15" i="4"/>
  <c r="CM22" i="4" s="1"/>
  <c r="CB15" i="4"/>
  <c r="CB22" i="4" s="1"/>
  <c r="Z15" i="4"/>
  <c r="Z22" i="4" s="1"/>
  <c r="AV15" i="4"/>
  <c r="AV22" i="4" s="1"/>
  <c r="CY15" i="4"/>
  <c r="CY22" i="4" s="1"/>
  <c r="DT15" i="4"/>
  <c r="DT22" i="4" s="1"/>
  <c r="BR15" i="4"/>
  <c r="BR22" i="4" s="1"/>
  <c r="AK15" i="4"/>
  <c r="AK22" i="4" s="1"/>
  <c r="FO15" i="4"/>
  <c r="FO22" i="4" s="1"/>
  <c r="CN15" i="4"/>
  <c r="CN22" i="4" s="1"/>
  <c r="DJ15" i="4"/>
  <c r="DJ22" i="4" s="1"/>
  <c r="DU15" i="4"/>
  <c r="DU22" i="4" s="1"/>
  <c r="CC15" i="4"/>
  <c r="CC22" i="4" s="1"/>
  <c r="BG15" i="4"/>
  <c r="BG22" i="4" s="1"/>
  <c r="AW15" i="4"/>
  <c r="AW22" i="4" s="1"/>
  <c r="DK15" i="4"/>
  <c r="DK22" i="4" s="1"/>
  <c r="EF15" i="4"/>
  <c r="EF22" i="4" s="1"/>
  <c r="AL15" i="4"/>
  <c r="AL22" i="4" s="1"/>
  <c r="CZ15" i="4"/>
  <c r="CZ22" i="4" s="1"/>
  <c r="BS15" i="4"/>
  <c r="BS22" i="4" s="1"/>
  <c r="EG15" i="4"/>
  <c r="EG22" i="4" s="1"/>
  <c r="CO15" i="4"/>
  <c r="CO22" i="4" s="1"/>
  <c r="GA15" i="4"/>
  <c r="GA22" i="4" s="1"/>
  <c r="DV15" i="4"/>
  <c r="DV22" i="4" s="1"/>
  <c r="BH15" i="4"/>
  <c r="BH22" i="4" s="1"/>
  <c r="CD15" i="4"/>
  <c r="CD22" i="4" s="1"/>
  <c r="EH15" i="4"/>
  <c r="EH22" i="4" s="1"/>
  <c r="ES15" i="4"/>
  <c r="ES22" i="4" s="1"/>
  <c r="CE15" i="4"/>
  <c r="CE22" i="4" s="1"/>
  <c r="AX15" i="4"/>
  <c r="AX22" i="4" s="1"/>
  <c r="ER15" i="4"/>
  <c r="ER22" i="4" s="1"/>
  <c r="DA15" i="4"/>
  <c r="DA22" i="4" s="1"/>
  <c r="GM15" i="4"/>
  <c r="GM22" i="4" s="1"/>
  <c r="BI15" i="4"/>
  <c r="BI22" i="4" s="1"/>
  <c r="DL15" i="4"/>
  <c r="DL22" i="4" s="1"/>
  <c r="BT15" i="4"/>
  <c r="BT22" i="4" s="1"/>
  <c r="CP15" i="4"/>
  <c r="CP22" i="4" s="1"/>
  <c r="DW15" i="4"/>
  <c r="DW22" i="4" s="1"/>
  <c r="BJ15" i="4"/>
  <c r="BJ22" i="4" s="1"/>
  <c r="ET15" i="4"/>
  <c r="ET22" i="4" s="1"/>
  <c r="FE15" i="4"/>
  <c r="FE22" i="4" s="1"/>
  <c r="CF15" i="4"/>
  <c r="CF22" i="4" s="1"/>
  <c r="GY15" i="4"/>
  <c r="GY22" i="4" s="1"/>
  <c r="DX15" i="4"/>
  <c r="DX22" i="4" s="1"/>
  <c r="EI15" i="4"/>
  <c r="EI22" i="4" s="1"/>
  <c r="FD15" i="4"/>
  <c r="FD22" i="4" s="1"/>
  <c r="CQ15" i="4"/>
  <c r="CQ22" i="4" s="1"/>
  <c r="DM15" i="4"/>
  <c r="DM22" i="4" s="1"/>
  <c r="BU15" i="4"/>
  <c r="BU22" i="4" s="1"/>
  <c r="DB15" i="4"/>
  <c r="DB22" i="4" s="1"/>
  <c r="DN15" i="4"/>
  <c r="DN22" i="4" s="1"/>
  <c r="FP15" i="4"/>
  <c r="FP22" i="4" s="1"/>
  <c r="HK15" i="4"/>
  <c r="HK22" i="4" s="1"/>
  <c r="EJ15" i="4"/>
  <c r="EJ22" i="4" s="1"/>
  <c r="CR15" i="4"/>
  <c r="CR22" i="4" s="1"/>
  <c r="BV15" i="4"/>
  <c r="BV22" i="4" s="1"/>
  <c r="CG15" i="4"/>
  <c r="CG22" i="4" s="1"/>
  <c r="FF15" i="4"/>
  <c r="FF22" i="4" s="1"/>
  <c r="FQ15" i="4"/>
  <c r="FQ22" i="4" s="1"/>
  <c r="DY15" i="4"/>
  <c r="DY22" i="4" s="1"/>
  <c r="EU15" i="4"/>
  <c r="EU22" i="4" s="1"/>
  <c r="DC15" i="4"/>
  <c r="DC22" i="4" s="1"/>
  <c r="EK15" i="4"/>
  <c r="EK22" i="4" s="1"/>
  <c r="DO15" i="4"/>
  <c r="DO22" i="4" s="1"/>
  <c r="GB15" i="4"/>
  <c r="GB22" i="4" s="1"/>
  <c r="DZ15" i="4"/>
  <c r="DZ22" i="4" s="1"/>
  <c r="FR15" i="4"/>
  <c r="FR22" i="4" s="1"/>
  <c r="FG15" i="4"/>
  <c r="FG22" i="4" s="1"/>
  <c r="CS15" i="4"/>
  <c r="CS22" i="4" s="1"/>
  <c r="HW15" i="4"/>
  <c r="HW22" i="4" s="1"/>
  <c r="CH15" i="4"/>
  <c r="CH22" i="4" s="1"/>
  <c r="GC15" i="4"/>
  <c r="GC22" i="4" s="1"/>
  <c r="EV15" i="4"/>
  <c r="EV22" i="4" s="1"/>
  <c r="DD15" i="4"/>
  <c r="DD22" i="4" s="1"/>
  <c r="FH15" i="4"/>
  <c r="FH22" i="4" s="1"/>
  <c r="DP15" i="4"/>
  <c r="DP22" i="4" s="1"/>
  <c r="GO15" i="4"/>
  <c r="GO22" i="4" s="1"/>
  <c r="II15" i="4"/>
  <c r="II22" i="4" s="1"/>
  <c r="EL15" i="4"/>
  <c r="EL22" i="4" s="1"/>
  <c r="EA15" i="4"/>
  <c r="EA22" i="4" s="1"/>
  <c r="GD15" i="4"/>
  <c r="GD22" i="4" s="1"/>
  <c r="DE15" i="4"/>
  <c r="DE22" i="4" s="1"/>
  <c r="GN15" i="4"/>
  <c r="GN22" i="4" s="1"/>
  <c r="CT15" i="4"/>
  <c r="CT22" i="4" s="1"/>
  <c r="FS15" i="4"/>
  <c r="FS22" i="4" s="1"/>
  <c r="EW15" i="4"/>
  <c r="EW22" i="4" s="1"/>
  <c r="HA15" i="4"/>
  <c r="HA22" i="4" s="1"/>
  <c r="DF15" i="4"/>
  <c r="DF22" i="4" s="1"/>
  <c r="GE15" i="4"/>
  <c r="GE22" i="4" s="1"/>
  <c r="EX15" i="4"/>
  <c r="EX22" i="4" s="1"/>
  <c r="GZ15" i="4"/>
  <c r="GZ22" i="4" s="1"/>
  <c r="FT15" i="4"/>
  <c r="FT22" i="4" s="1"/>
  <c r="DQ15" i="4"/>
  <c r="DQ22" i="4" s="1"/>
  <c r="IU15" i="4"/>
  <c r="IU22" i="4" s="1"/>
  <c r="EM15" i="4"/>
  <c r="EM22" i="4" s="1"/>
  <c r="GP15" i="4"/>
  <c r="GP22" i="4" s="1"/>
  <c r="FI15" i="4"/>
  <c r="FI22" i="4" s="1"/>
  <c r="EB15" i="4"/>
  <c r="EB22" i="4" s="1"/>
  <c r="HL15" i="4"/>
  <c r="HL22" i="4" s="1"/>
  <c r="FJ15" i="4"/>
  <c r="FJ22" i="4" s="1"/>
  <c r="JG15" i="4"/>
  <c r="JG22" i="4" s="1"/>
  <c r="GQ15" i="4"/>
  <c r="GQ22" i="4" s="1"/>
  <c r="EN15" i="4"/>
  <c r="EN22" i="4" s="1"/>
  <c r="DR15" i="4"/>
  <c r="DR22" i="4" s="1"/>
  <c r="HB15" i="4"/>
  <c r="HB22" i="4" s="1"/>
  <c r="HM15" i="4"/>
  <c r="HM22" i="4" s="1"/>
  <c r="EY15" i="4"/>
  <c r="EY22" i="4" s="1"/>
  <c r="EC15" i="4"/>
  <c r="EC22" i="4" s="1"/>
  <c r="FU15" i="4"/>
  <c r="FU22" i="4" s="1"/>
  <c r="GF15" i="4"/>
  <c r="GF22" i="4" s="1"/>
  <c r="GR15" i="4"/>
  <c r="GR22" i="4" s="1"/>
  <c r="ED15" i="4"/>
  <c r="ED22" i="4" s="1"/>
  <c r="FK15" i="4"/>
  <c r="FK22" i="4" s="1"/>
  <c r="GG15" i="4"/>
  <c r="GG22" i="4" s="1"/>
  <c r="HN15" i="4"/>
  <c r="HN22" i="4" s="1"/>
  <c r="EZ15" i="4"/>
  <c r="EZ22" i="4" s="1"/>
  <c r="HX15" i="4"/>
  <c r="HX22" i="4" s="1"/>
  <c r="HC15" i="4"/>
  <c r="HC22" i="4" s="1"/>
  <c r="EO15" i="4"/>
  <c r="EO22" i="4" s="1"/>
  <c r="FV15" i="4"/>
  <c r="FV22" i="4" s="1"/>
  <c r="HY15" i="4"/>
  <c r="HY22" i="4" s="1"/>
  <c r="JS15" i="4"/>
  <c r="JS22" i="4" s="1"/>
  <c r="EP15" i="4"/>
  <c r="EP22" i="4" s="1"/>
  <c r="IJ15" i="4"/>
  <c r="IJ22" i="4" s="1"/>
  <c r="FW15" i="4"/>
  <c r="FW22" i="4" s="1"/>
  <c r="HD15" i="4"/>
  <c r="HD22" i="4" s="1"/>
  <c r="FA15" i="4"/>
  <c r="FA22" i="4" s="1"/>
  <c r="HZ15" i="4"/>
  <c r="HZ22" i="4" s="1"/>
  <c r="GH15" i="4"/>
  <c r="GH22" i="4" s="1"/>
  <c r="IK15" i="4"/>
  <c r="IK22" i="4" s="1"/>
  <c r="FL15" i="4"/>
  <c r="FL22" i="4" s="1"/>
  <c r="HO15" i="4"/>
  <c r="HO22" i="4" s="1"/>
  <c r="GS15" i="4"/>
  <c r="GS22" i="4" s="1"/>
  <c r="KE15" i="4"/>
  <c r="KE22" i="4" s="1"/>
  <c r="GI15" i="4"/>
  <c r="GI22" i="4" s="1"/>
  <c r="IW15" i="4"/>
  <c r="IW22" i="4" s="1"/>
  <c r="GT15" i="4"/>
  <c r="GT22" i="4" s="1"/>
  <c r="KQ15" i="4"/>
  <c r="KQ22" i="4" s="1"/>
  <c r="FB15" i="4"/>
  <c r="FB22" i="4" s="1"/>
  <c r="HE15" i="4"/>
  <c r="HE22" i="4" s="1"/>
  <c r="IV15" i="4"/>
  <c r="IV22" i="4" s="1"/>
  <c r="IA15" i="4"/>
  <c r="IA22" i="4" s="1"/>
  <c r="FX15" i="4"/>
  <c r="FX22" i="4" s="1"/>
  <c r="FM15" i="4"/>
  <c r="FM22" i="4" s="1"/>
  <c r="HP15" i="4"/>
  <c r="HP22" i="4" s="1"/>
  <c r="IL15" i="4"/>
  <c r="IL22" i="4" s="1"/>
  <c r="IB15" i="4"/>
  <c r="IB22" i="4" s="1"/>
  <c r="IX15" i="4"/>
  <c r="IX22" i="4" s="1"/>
  <c r="JH15" i="4"/>
  <c r="JH22" i="4" s="1"/>
  <c r="LC15" i="4"/>
  <c r="LC22" i="4" s="1"/>
  <c r="FY15" i="4"/>
  <c r="FY22" i="4" s="1"/>
  <c r="GJ15" i="4"/>
  <c r="GJ22" i="4" s="1"/>
  <c r="JI15" i="4"/>
  <c r="JI22" i="4" s="1"/>
  <c r="GU15" i="4"/>
  <c r="GU22" i="4" s="1"/>
  <c r="HF15" i="4"/>
  <c r="HF22" i="4" s="1"/>
  <c r="IM15" i="4"/>
  <c r="IM22" i="4" s="1"/>
  <c r="FN15" i="4"/>
  <c r="FN22" i="4" s="1"/>
  <c r="HQ15" i="4"/>
  <c r="HQ22" i="4" s="1"/>
  <c r="IC15" i="4"/>
  <c r="IC22" i="4" s="1"/>
  <c r="JJ15" i="4"/>
  <c r="JJ22" i="4" s="1"/>
  <c r="HG15" i="4"/>
  <c r="HG22" i="4" s="1"/>
  <c r="GV15" i="4"/>
  <c r="GV22" i="4" s="1"/>
  <c r="HR15" i="4"/>
  <c r="HR22" i="4" s="1"/>
  <c r="IN15" i="4"/>
  <c r="IN22" i="4" s="1"/>
  <c r="JU15" i="4"/>
  <c r="JU22" i="4" s="1"/>
  <c r="GK15" i="4"/>
  <c r="GK22" i="4" s="1"/>
  <c r="IY15" i="4"/>
  <c r="IY22" i="4" s="1"/>
  <c r="JT15" i="4"/>
  <c r="JT22" i="4" s="1"/>
  <c r="FZ15" i="4"/>
  <c r="FZ22" i="4" s="1"/>
  <c r="LO15" i="4"/>
  <c r="LO22" i="4" s="1"/>
  <c r="JK15" i="4"/>
  <c r="JK22" i="4" s="1"/>
  <c r="JV15" i="4"/>
  <c r="JV22" i="4" s="1"/>
  <c r="GW15" i="4"/>
  <c r="GW22" i="4" s="1"/>
  <c r="IO15" i="4"/>
  <c r="IO22" i="4" s="1"/>
  <c r="KF15" i="4"/>
  <c r="KF22" i="4" s="1"/>
  <c r="MA15" i="4"/>
  <c r="MA22" i="4" s="1"/>
  <c r="GL15" i="4"/>
  <c r="GL22" i="4" s="1"/>
  <c r="HS15" i="4"/>
  <c r="HS22" i="4" s="1"/>
  <c r="HH15" i="4"/>
  <c r="HH22" i="4" s="1"/>
  <c r="KG15" i="4"/>
  <c r="KG22" i="4" s="1"/>
  <c r="ID15" i="4"/>
  <c r="ID22" i="4" s="1"/>
  <c r="IZ15" i="4"/>
  <c r="IZ22" i="4" s="1"/>
  <c r="HI15" i="4"/>
  <c r="HI22" i="4" s="1"/>
  <c r="JL15" i="4"/>
  <c r="JL22" i="4" s="1"/>
  <c r="MM15" i="4"/>
  <c r="MM22" i="4" s="1"/>
  <c r="KS15" i="4"/>
  <c r="KS22" i="4" s="1"/>
  <c r="JA15" i="4"/>
  <c r="JA22" i="4" s="1"/>
  <c r="HT15" i="4"/>
  <c r="HT22" i="4" s="1"/>
  <c r="KR15" i="4"/>
  <c r="KR22" i="4" s="1"/>
  <c r="KH15" i="4"/>
  <c r="KH22" i="4" s="1"/>
  <c r="IP15" i="4"/>
  <c r="IP22" i="4" s="1"/>
  <c r="JW15" i="4"/>
  <c r="JW22" i="4" s="1"/>
  <c r="IE15" i="4"/>
  <c r="IE22" i="4" s="1"/>
  <c r="GX15" i="4"/>
  <c r="GX22" i="4" s="1"/>
  <c r="HU15" i="4"/>
  <c r="HU22" i="4" s="1"/>
  <c r="HJ15" i="4"/>
  <c r="HJ22" i="4" s="1"/>
  <c r="LE15" i="4"/>
  <c r="LE22" i="4" s="1"/>
  <c r="LD15" i="4"/>
  <c r="LD22" i="4" s="1"/>
  <c r="JB15" i="4"/>
  <c r="JB22" i="4" s="1"/>
  <c r="JM15" i="4"/>
  <c r="JM22" i="4" s="1"/>
  <c r="KI15" i="4"/>
  <c r="KI22" i="4" s="1"/>
  <c r="IQ15" i="4"/>
  <c r="IQ22" i="4" s="1"/>
  <c r="JX15" i="4"/>
  <c r="JX22" i="4" s="1"/>
  <c r="IF15" i="4"/>
  <c r="IF22" i="4" s="1"/>
  <c r="KT15" i="4"/>
  <c r="KT22" i="4" s="1"/>
  <c r="MY15" i="4"/>
  <c r="MY22" i="4" s="1"/>
  <c r="IR15" i="4"/>
  <c r="IR22" i="4" s="1"/>
  <c r="IG15" i="4"/>
  <c r="IG22" i="4" s="1"/>
  <c r="LP15" i="4"/>
  <c r="LP22" i="4" s="1"/>
  <c r="KJ15" i="4"/>
  <c r="KJ22" i="4" s="1"/>
  <c r="NK15" i="4"/>
  <c r="NK22" i="4" s="1"/>
  <c r="HV15" i="4"/>
  <c r="HV22" i="4" s="1"/>
  <c r="LF15" i="4"/>
  <c r="LF22" i="4" s="1"/>
  <c r="JY15" i="4"/>
  <c r="JY22" i="4" s="1"/>
  <c r="JN15" i="4"/>
  <c r="JN22" i="4" s="1"/>
  <c r="JC15" i="4"/>
  <c r="JC22" i="4" s="1"/>
  <c r="LQ15" i="4"/>
  <c r="LQ22" i="4" s="1"/>
  <c r="KU15" i="4"/>
  <c r="KU22" i="4" s="1"/>
  <c r="NW15" i="4"/>
  <c r="NW22" i="4" s="1"/>
  <c r="MB15" i="4"/>
  <c r="MB22" i="4" s="1"/>
  <c r="JD15" i="4"/>
  <c r="JD22" i="4" s="1"/>
  <c r="JO15" i="4"/>
  <c r="JO22" i="4" s="1"/>
  <c r="KV15" i="4"/>
  <c r="KV22" i="4" s="1"/>
  <c r="KK15" i="4"/>
  <c r="KK22" i="4" s="1"/>
  <c r="IH15" i="4"/>
  <c r="IH22" i="4" s="1"/>
  <c r="IS15" i="4"/>
  <c r="IS22" i="4" s="1"/>
  <c r="JZ15" i="4"/>
  <c r="JZ22" i="4" s="1"/>
  <c r="LG15" i="4"/>
  <c r="LG22" i="4" s="1"/>
  <c r="LR15" i="4"/>
  <c r="LR22" i="4" s="1"/>
  <c r="MC15" i="4"/>
  <c r="MC22" i="4" s="1"/>
  <c r="JE15" i="4"/>
  <c r="JE22" i="4" s="1"/>
  <c r="LH15" i="4"/>
  <c r="LH22" i="4" s="1"/>
  <c r="MO15" i="4"/>
  <c r="MO22" i="4" s="1"/>
  <c r="KL15" i="4"/>
  <c r="KL22" i="4" s="1"/>
  <c r="KW15" i="4"/>
  <c r="KW22" i="4" s="1"/>
  <c r="JP15" i="4"/>
  <c r="JP22" i="4" s="1"/>
  <c r="IT15" i="4"/>
  <c r="IT22" i="4" s="1"/>
  <c r="KA15" i="4"/>
  <c r="KA22" i="4" s="1"/>
  <c r="OI15" i="4"/>
  <c r="OI22" i="4" s="1"/>
  <c r="MD15" i="4"/>
  <c r="MD22" i="4" s="1"/>
  <c r="LS15" i="4"/>
  <c r="LS22" i="4" s="1"/>
  <c r="MN15" i="4"/>
  <c r="MN22" i="4" s="1"/>
  <c r="JQ15" i="4"/>
  <c r="JQ22" i="4" s="1"/>
  <c r="NA15" i="4"/>
  <c r="NA22" i="4" s="1"/>
  <c r="MP15" i="4"/>
  <c r="MP22" i="4" s="1"/>
  <c r="KB15" i="4"/>
  <c r="KB22" i="4" s="1"/>
  <c r="OU15" i="4"/>
  <c r="OU22" i="4" s="1"/>
  <c r="KX15" i="4"/>
  <c r="KX22" i="4" s="1"/>
  <c r="ME15" i="4"/>
  <c r="ME22" i="4" s="1"/>
  <c r="LI15" i="4"/>
  <c r="LI22" i="4" s="1"/>
  <c r="MZ15" i="4"/>
  <c r="MZ22" i="4" s="1"/>
  <c r="JF15" i="4"/>
  <c r="JF22" i="4" s="1"/>
  <c r="LT15" i="4"/>
  <c r="LT22" i="4" s="1"/>
  <c r="KM15" i="4"/>
  <c r="KM22" i="4" s="1"/>
  <c r="MF15" i="4"/>
  <c r="MF22" i="4" s="1"/>
  <c r="MQ15" i="4"/>
  <c r="MQ22" i="4" s="1"/>
  <c r="KY15" i="4"/>
  <c r="KY22" i="4" s="1"/>
  <c r="NL15" i="4"/>
  <c r="NL22" i="4" s="1"/>
  <c r="LJ15" i="4"/>
  <c r="LJ22" i="4" s="1"/>
  <c r="KC15" i="4"/>
  <c r="KC22" i="4" s="1"/>
  <c r="NM15" i="4"/>
  <c r="NM22" i="4" s="1"/>
  <c r="JR15" i="4"/>
  <c r="JR22" i="4" s="1"/>
  <c r="NB15" i="4"/>
  <c r="NB22" i="4" s="1"/>
  <c r="KN15" i="4"/>
  <c r="KN22" i="4" s="1"/>
  <c r="PG15" i="4"/>
  <c r="PG22" i="4" s="1"/>
  <c r="LU15" i="4"/>
  <c r="LU22" i="4" s="1"/>
  <c r="MR15" i="4"/>
  <c r="MR22" i="4" s="1"/>
  <c r="KO15" i="4"/>
  <c r="KO22" i="4" s="1"/>
  <c r="NY15" i="4"/>
  <c r="NY22" i="4" s="1"/>
  <c r="NN15" i="4"/>
  <c r="NN22" i="4" s="1"/>
  <c r="MG15" i="4"/>
  <c r="MG22" i="4" s="1"/>
  <c r="LK15" i="4"/>
  <c r="LK22" i="4" s="1"/>
  <c r="NC15" i="4"/>
  <c r="NC22" i="4" s="1"/>
  <c r="PS15" i="4"/>
  <c r="PS22" i="4" s="1"/>
  <c r="LV15" i="4"/>
  <c r="LV22" i="4" s="1"/>
  <c r="KD15" i="4"/>
  <c r="KD22" i="4" s="1"/>
  <c r="KZ15" i="4"/>
  <c r="KZ22" i="4" s="1"/>
  <c r="NX15" i="4"/>
  <c r="NX22" i="4" s="1"/>
  <c r="LL15" i="4"/>
  <c r="LL22" i="4" s="1"/>
  <c r="OK15" i="4"/>
  <c r="OK22" i="4" s="1"/>
  <c r="LW15" i="4"/>
  <c r="LW22" i="4" s="1"/>
  <c r="OJ15" i="4"/>
  <c r="OJ22" i="4" s="1"/>
  <c r="KP15" i="4"/>
  <c r="KP22" i="4" s="1"/>
  <c r="MH15" i="4"/>
  <c r="MH22" i="4" s="1"/>
  <c r="NO15" i="4"/>
  <c r="NO22" i="4" s="1"/>
  <c r="LA15" i="4"/>
  <c r="LA22" i="4" s="1"/>
  <c r="QE15" i="4"/>
  <c r="QE22" i="4" s="1"/>
  <c r="MS15" i="4"/>
  <c r="MS22" i="4" s="1"/>
  <c r="NZ15" i="4"/>
  <c r="NZ22" i="4" s="1"/>
  <c r="ND15" i="4"/>
  <c r="ND22" i="4" s="1"/>
  <c r="NE15" i="4"/>
  <c r="NE22" i="4" s="1"/>
  <c r="LB15" i="4"/>
  <c r="LB22" i="4" s="1"/>
  <c r="LM15" i="4"/>
  <c r="LM22" i="4" s="1"/>
  <c r="NP15" i="4"/>
  <c r="NP22" i="4" s="1"/>
  <c r="OL15" i="4"/>
  <c r="OL22" i="4" s="1"/>
  <c r="LX15" i="4"/>
  <c r="LX22" i="4" s="1"/>
  <c r="MT15" i="4"/>
  <c r="MT22" i="4" s="1"/>
  <c r="MI15" i="4"/>
  <c r="MI22" i="4" s="1"/>
  <c r="OW15" i="4"/>
  <c r="OW22" i="4" s="1"/>
  <c r="QQ15" i="4"/>
  <c r="QQ22" i="4" s="1"/>
  <c r="OV15" i="4"/>
  <c r="OV22" i="4" s="1"/>
  <c r="OA15" i="4"/>
  <c r="OA22" i="4" s="1"/>
  <c r="PH15" i="4"/>
  <c r="PH22" i="4" s="1"/>
  <c r="OM15" i="4"/>
  <c r="OM22" i="4" s="1"/>
  <c r="OX15" i="4"/>
  <c r="OX22" i="4" s="1"/>
  <c r="RC15" i="4"/>
  <c r="RC22" i="4" s="1"/>
  <c r="PI15" i="4"/>
  <c r="PI22" i="4" s="1"/>
  <c r="LY15" i="4"/>
  <c r="LY22" i="4" s="1"/>
  <c r="NF15" i="4"/>
  <c r="NF22" i="4" s="1"/>
  <c r="MU15" i="4"/>
  <c r="MU22" i="4" s="1"/>
  <c r="MJ15" i="4"/>
  <c r="MJ22" i="4" s="1"/>
  <c r="LN15" i="4"/>
  <c r="LN22" i="4" s="1"/>
  <c r="NQ15" i="4"/>
  <c r="NQ22" i="4" s="1"/>
  <c r="OB15" i="4"/>
  <c r="OB22" i="4" s="1"/>
  <c r="RO15" i="4"/>
  <c r="RO22" i="4" s="1"/>
  <c r="MV15" i="4"/>
  <c r="MV22" i="4" s="1"/>
  <c r="ON15" i="4"/>
  <c r="ON22" i="4" s="1"/>
  <c r="PU15" i="4"/>
  <c r="PU22" i="4" s="1"/>
  <c r="LZ15" i="4"/>
  <c r="LZ22" i="4" s="1"/>
  <c r="NR15" i="4"/>
  <c r="NR22" i="4" s="1"/>
  <c r="MK15" i="4"/>
  <c r="MK22" i="4" s="1"/>
  <c r="OY15" i="4"/>
  <c r="OY22" i="4" s="1"/>
  <c r="PJ15" i="4"/>
  <c r="PJ22" i="4" s="1"/>
  <c r="OC15" i="4"/>
  <c r="OC22" i="4" s="1"/>
  <c r="PT15" i="4"/>
  <c r="PT22" i="4" s="1"/>
  <c r="NG15" i="4"/>
  <c r="NG22" i="4" s="1"/>
  <c r="SA15" i="4"/>
  <c r="SA22" i="4" s="1"/>
  <c r="QF15" i="4"/>
  <c r="QF22" i="4" s="1"/>
  <c r="OD15" i="4"/>
  <c r="OD22" i="4" s="1"/>
  <c r="OZ15" i="4"/>
  <c r="OZ22" i="4" s="1"/>
  <c r="ML15" i="4"/>
  <c r="ML22" i="4" s="1"/>
  <c r="PV15" i="4"/>
  <c r="PV22" i="4" s="1"/>
  <c r="PK15" i="4"/>
  <c r="PK22" i="4" s="1"/>
  <c r="QG15" i="4"/>
  <c r="QG22" i="4" s="1"/>
  <c r="MW15" i="4"/>
  <c r="MW22" i="4" s="1"/>
  <c r="NS15" i="4"/>
  <c r="NS22" i="4" s="1"/>
  <c r="NH15" i="4"/>
  <c r="NH22" i="4" s="1"/>
  <c r="OO15" i="4"/>
  <c r="OO22" i="4" s="1"/>
  <c r="QS15" i="4"/>
  <c r="QS22" i="4" s="1"/>
  <c r="NI15" i="4"/>
  <c r="NI22" i="4" s="1"/>
  <c r="PA15" i="4"/>
  <c r="PA22" i="4" s="1"/>
  <c r="QH15" i="4"/>
  <c r="QH22" i="4" s="1"/>
  <c r="OE15" i="4"/>
  <c r="OE22" i="4" s="1"/>
  <c r="SM15" i="4"/>
  <c r="SM22" i="4" s="1"/>
  <c r="NT15" i="4"/>
  <c r="NT22" i="4" s="1"/>
  <c r="OP15" i="4"/>
  <c r="OP22" i="4" s="1"/>
  <c r="PL15" i="4"/>
  <c r="PL22" i="4" s="1"/>
  <c r="QR15" i="4"/>
  <c r="QR22" i="4" s="1"/>
  <c r="MX15" i="4"/>
  <c r="MX22" i="4" s="1"/>
  <c r="PW15" i="4"/>
  <c r="PW22" i="4" s="1"/>
  <c r="SY15" i="4"/>
  <c r="SY22" i="4" s="1"/>
  <c r="OQ15" i="4"/>
  <c r="OQ22" i="4" s="1"/>
  <c r="PX15" i="4"/>
  <c r="PX22" i="4" s="1"/>
  <c r="RD15" i="4"/>
  <c r="RD22" i="4" s="1"/>
  <c r="NJ15" i="4"/>
  <c r="NJ22" i="4" s="1"/>
  <c r="QT15" i="4"/>
  <c r="QT22" i="4" s="1"/>
  <c r="OF15" i="4"/>
  <c r="OF22" i="4" s="1"/>
  <c r="NU15" i="4"/>
  <c r="NU22" i="4" s="1"/>
  <c r="RE15" i="4"/>
  <c r="RE22" i="4" s="1"/>
  <c r="PM15" i="4"/>
  <c r="PM22" i="4" s="1"/>
  <c r="QI15" i="4"/>
  <c r="QI22" i="4" s="1"/>
  <c r="PB15" i="4"/>
  <c r="PB22" i="4" s="1"/>
  <c r="OR15" i="4"/>
  <c r="OR22" i="4" s="1"/>
  <c r="PC15" i="4"/>
  <c r="PC22" i="4" s="1"/>
  <c r="RP15" i="4"/>
  <c r="RP22" i="4" s="1"/>
  <c r="QU15" i="4"/>
  <c r="QU22" i="4" s="1"/>
  <c r="RQ15" i="4"/>
  <c r="RQ22" i="4" s="1"/>
  <c r="NV15" i="4"/>
  <c r="NV22" i="4" s="1"/>
  <c r="QJ15" i="4"/>
  <c r="QJ22" i="4" s="1"/>
  <c r="TK15" i="4"/>
  <c r="TK22" i="4" s="1"/>
  <c r="PN15" i="4"/>
  <c r="PN22" i="4" s="1"/>
  <c r="OG15" i="4"/>
  <c r="OG22" i="4" s="1"/>
  <c r="RF15" i="4"/>
  <c r="RF22" i="4" s="1"/>
  <c r="PY15" i="4"/>
  <c r="PY22" i="4" s="1"/>
  <c r="RG15" i="4"/>
  <c r="RG22" i="4" s="1"/>
  <c r="PO15" i="4"/>
  <c r="PO22" i="4" s="1"/>
  <c r="PD15" i="4"/>
  <c r="PD22" i="4" s="1"/>
  <c r="TW15" i="4"/>
  <c r="TW22" i="4" s="1"/>
  <c r="QV15" i="4"/>
  <c r="QV22" i="4" s="1"/>
  <c r="RR15" i="4"/>
  <c r="RR22" i="4" s="1"/>
  <c r="OS15" i="4"/>
  <c r="OS22" i="4" s="1"/>
  <c r="PZ15" i="4"/>
  <c r="PZ22" i="4" s="1"/>
  <c r="OH15" i="4"/>
  <c r="OH22" i="4" s="1"/>
  <c r="SB15" i="4"/>
  <c r="SB22" i="4" s="1"/>
  <c r="SC15" i="4"/>
  <c r="SC22" i="4" s="1"/>
  <c r="QK15" i="4"/>
  <c r="QK22" i="4" s="1"/>
  <c r="SO15" i="4"/>
  <c r="SO22" i="4" s="1"/>
  <c r="PE15" i="4"/>
  <c r="PE22" i="4" s="1"/>
  <c r="QW15" i="4"/>
  <c r="QW22" i="4" s="1"/>
  <c r="QA15" i="4"/>
  <c r="QA22" i="4" s="1"/>
  <c r="SN15" i="4"/>
  <c r="SN22" i="4" s="1"/>
  <c r="RS15" i="4"/>
  <c r="RS22" i="4" s="1"/>
  <c r="OT15" i="4"/>
  <c r="OT22" i="4" s="1"/>
  <c r="PP15" i="4"/>
  <c r="PP22" i="4" s="1"/>
  <c r="SD15" i="4"/>
  <c r="SD22" i="4" s="1"/>
  <c r="UI15" i="4"/>
  <c r="UI22" i="4" s="1"/>
  <c r="QL15" i="4"/>
  <c r="QL22" i="4" s="1"/>
  <c r="RH15" i="4"/>
  <c r="RH22" i="4" s="1"/>
  <c r="SP15" i="4"/>
  <c r="SP22" i="4" s="1"/>
  <c r="SZ15" i="4"/>
  <c r="SZ22" i="4" s="1"/>
  <c r="RI15" i="4"/>
  <c r="RI22" i="4" s="1"/>
  <c r="UU15" i="4"/>
  <c r="UU22" i="4" s="1"/>
  <c r="QX15" i="4"/>
  <c r="QX22" i="4" s="1"/>
  <c r="TA15" i="4"/>
  <c r="TA22" i="4" s="1"/>
  <c r="RT15" i="4"/>
  <c r="RT22" i="4" s="1"/>
  <c r="QB15" i="4"/>
  <c r="QB22" i="4" s="1"/>
  <c r="QM15" i="4"/>
  <c r="QM22" i="4" s="1"/>
  <c r="PF15" i="4"/>
  <c r="PF22" i="4" s="1"/>
  <c r="PQ15" i="4"/>
  <c r="PQ22" i="4" s="1"/>
  <c r="SE15" i="4"/>
  <c r="SE22" i="4" s="1"/>
  <c r="QC15" i="4"/>
  <c r="QC22" i="4" s="1"/>
  <c r="QY15" i="4"/>
  <c r="QY22" i="4" s="1"/>
  <c r="QN15" i="4"/>
  <c r="QN22" i="4" s="1"/>
  <c r="PR15" i="4"/>
  <c r="PR22" i="4" s="1"/>
  <c r="TM15" i="4"/>
  <c r="TM22" i="4" s="1"/>
  <c r="RU15" i="4"/>
  <c r="RU22" i="4" s="1"/>
  <c r="TB15" i="4"/>
  <c r="TB22" i="4" s="1"/>
  <c r="TL15" i="4"/>
  <c r="TL22" i="4" s="1"/>
  <c r="VG15" i="4"/>
  <c r="VG22" i="4" s="1"/>
  <c r="SF15" i="4"/>
  <c r="SF22" i="4" s="1"/>
  <c r="SQ15" i="4"/>
  <c r="SQ22" i="4" s="1"/>
  <c r="RJ15" i="4"/>
  <c r="RJ22" i="4" s="1"/>
  <c r="TY15" i="4"/>
  <c r="TY22" i="4" s="1"/>
  <c r="RV15" i="4"/>
  <c r="RV22" i="4" s="1"/>
  <c r="TN15" i="4"/>
  <c r="TN22" i="4" s="1"/>
  <c r="VS15" i="4"/>
  <c r="VS22" i="4" s="1"/>
  <c r="SR15" i="4"/>
  <c r="SR22" i="4" s="1"/>
  <c r="QD15" i="4"/>
  <c r="QD22" i="4" s="1"/>
  <c r="QZ15" i="4"/>
  <c r="QZ22" i="4" s="1"/>
  <c r="TC15" i="4"/>
  <c r="TC22" i="4" s="1"/>
  <c r="TX15" i="4"/>
  <c r="TX22" i="4" s="1"/>
  <c r="QO15" i="4"/>
  <c r="QO22" i="4" s="1"/>
  <c r="RK15" i="4"/>
  <c r="RK22" i="4" s="1"/>
  <c r="SG15" i="4"/>
  <c r="SG22" i="4" s="1"/>
  <c r="SS15" i="4"/>
  <c r="SS22" i="4" s="1"/>
  <c r="RA15" i="4"/>
  <c r="RA22" i="4" s="1"/>
  <c r="TD15" i="4"/>
  <c r="TD22" i="4" s="1"/>
  <c r="RL15" i="4"/>
  <c r="RL22" i="4" s="1"/>
  <c r="RW15" i="4"/>
  <c r="RW22" i="4" s="1"/>
  <c r="TO15" i="4"/>
  <c r="TO22" i="4" s="1"/>
  <c r="QP15" i="4"/>
  <c r="QP22" i="4" s="1"/>
  <c r="UJ15" i="4"/>
  <c r="UJ22" i="4" s="1"/>
  <c r="TZ15" i="4"/>
  <c r="TZ22" i="4" s="1"/>
  <c r="SH15" i="4"/>
  <c r="SH22" i="4" s="1"/>
  <c r="UK15" i="4"/>
  <c r="UK22" i="4" s="1"/>
  <c r="WE15" i="4"/>
  <c r="WE22" i="4" s="1"/>
  <c r="UW15" i="4"/>
  <c r="UW22" i="4" s="1"/>
  <c r="UV15" i="4"/>
  <c r="UV22" i="4" s="1"/>
  <c r="ST15" i="4"/>
  <c r="ST22" i="4" s="1"/>
  <c r="WQ15" i="4"/>
  <c r="WQ22" i="4" s="1"/>
  <c r="RM15" i="4"/>
  <c r="RM22" i="4" s="1"/>
  <c r="SI15" i="4"/>
  <c r="SI22" i="4" s="1"/>
  <c r="RB15" i="4"/>
  <c r="RB22" i="4" s="1"/>
  <c r="TP15" i="4"/>
  <c r="TP22" i="4" s="1"/>
  <c r="UA15" i="4"/>
  <c r="UA22" i="4" s="1"/>
  <c r="TE15" i="4"/>
  <c r="TE22" i="4" s="1"/>
  <c r="UL15" i="4"/>
  <c r="UL22" i="4" s="1"/>
  <c r="RX15" i="4"/>
  <c r="RX22" i="4" s="1"/>
  <c r="UX15" i="4"/>
  <c r="UX22" i="4" s="1"/>
  <c r="VH15" i="4"/>
  <c r="VH22" i="4" s="1"/>
  <c r="UM15" i="4"/>
  <c r="UM22" i="4" s="1"/>
  <c r="TQ15" i="4"/>
  <c r="TQ22" i="4" s="1"/>
  <c r="UB15" i="4"/>
  <c r="UB22" i="4" s="1"/>
  <c r="SU15" i="4"/>
  <c r="SU22" i="4" s="1"/>
  <c r="XC15" i="4"/>
  <c r="XC22" i="4" s="1"/>
  <c r="TF15" i="4"/>
  <c r="TF22" i="4" s="1"/>
  <c r="RN15" i="4"/>
  <c r="RN22" i="4" s="1"/>
  <c r="SJ15" i="4"/>
  <c r="SJ22" i="4" s="1"/>
  <c r="VI15" i="4"/>
  <c r="VI22" i="4" s="1"/>
  <c r="RY15" i="4"/>
  <c r="RY22" i="4" s="1"/>
  <c r="TR15" i="4"/>
  <c r="TR22" i="4" s="1"/>
  <c r="VJ15" i="4"/>
  <c r="VJ22" i="4" s="1"/>
  <c r="UC15" i="4"/>
  <c r="UC22" i="4" s="1"/>
  <c r="SV15" i="4"/>
  <c r="SV22" i="4" s="1"/>
  <c r="UN15" i="4"/>
  <c r="UN22" i="4" s="1"/>
  <c r="RZ15" i="4"/>
  <c r="RZ22" i="4" s="1"/>
  <c r="VT15" i="4"/>
  <c r="VT22" i="4" s="1"/>
  <c r="TG15" i="4"/>
  <c r="TG22" i="4" s="1"/>
  <c r="UY15" i="4"/>
  <c r="UY22" i="4" s="1"/>
  <c r="XO15" i="4"/>
  <c r="XO22" i="4" s="1"/>
  <c r="SK15" i="4"/>
  <c r="SK22" i="4" s="1"/>
  <c r="VU15" i="4"/>
  <c r="VU22" i="4" s="1"/>
  <c r="UZ15" i="4"/>
  <c r="UZ22" i="4" s="1"/>
  <c r="TH15" i="4"/>
  <c r="TH22" i="4" s="1"/>
  <c r="SL15" i="4"/>
  <c r="SL22" i="4" s="1"/>
  <c r="TS15" i="4"/>
  <c r="TS22" i="4" s="1"/>
  <c r="WF15" i="4"/>
  <c r="WF22" i="4" s="1"/>
  <c r="WG15" i="4"/>
  <c r="WG22" i="4" s="1"/>
  <c r="SW15" i="4"/>
  <c r="SW22" i="4" s="1"/>
  <c r="UO15" i="4"/>
  <c r="UO22" i="4" s="1"/>
  <c r="UD15" i="4"/>
  <c r="UD22" i="4" s="1"/>
  <c r="YA15" i="4"/>
  <c r="YA22" i="4" s="1"/>
  <c r="VK15" i="4"/>
  <c r="VK22" i="4" s="1"/>
  <c r="VV15" i="4"/>
  <c r="VV22" i="4" s="1"/>
  <c r="SX15" i="4"/>
  <c r="SX22" i="4" s="1"/>
  <c r="UP15" i="4"/>
  <c r="UP22" i="4" s="1"/>
  <c r="TT15" i="4"/>
  <c r="TT22" i="4" s="1"/>
  <c r="WH15" i="4"/>
  <c r="WH22" i="4" s="1"/>
  <c r="TI15" i="4"/>
  <c r="TI22" i="4" s="1"/>
  <c r="UE15" i="4"/>
  <c r="UE22" i="4" s="1"/>
  <c r="WS15" i="4"/>
  <c r="WS22" i="4" s="1"/>
  <c r="VL15" i="4"/>
  <c r="VL22" i="4" s="1"/>
  <c r="VA15" i="4"/>
  <c r="VA22" i="4" s="1"/>
  <c r="WR15" i="4"/>
  <c r="WR22" i="4" s="1"/>
  <c r="YM15" i="4"/>
  <c r="YM22" i="4" s="1"/>
  <c r="VW15" i="4"/>
  <c r="VW22" i="4" s="1"/>
  <c r="VM15" i="4"/>
  <c r="VM22" i="4" s="1"/>
  <c r="UQ15" i="4"/>
  <c r="UQ22" i="4" s="1"/>
  <c r="TU15" i="4"/>
  <c r="TU22" i="4" s="1"/>
  <c r="VB15" i="4"/>
  <c r="VB22" i="4" s="1"/>
  <c r="XE15" i="4"/>
  <c r="XE22" i="4" s="1"/>
  <c r="UF15" i="4"/>
  <c r="UF22" i="4" s="1"/>
  <c r="TJ15" i="4"/>
  <c r="TJ22" i="4" s="1"/>
  <c r="XD15" i="4"/>
  <c r="XD22" i="4" s="1"/>
  <c r="WT15" i="4"/>
  <c r="WT22" i="4" s="1"/>
  <c r="VX15" i="4"/>
  <c r="VX22" i="4" s="1"/>
  <c r="WI15" i="4"/>
  <c r="WI22" i="4" s="1"/>
  <c r="YY15" i="4"/>
  <c r="YY22" i="4" s="1"/>
  <c r="VY15" i="4"/>
  <c r="VY22" i="4" s="1"/>
  <c r="VC15" i="4"/>
  <c r="VC22" i="4" s="1"/>
  <c r="WJ15" i="4"/>
  <c r="WJ22" i="4" s="1"/>
  <c r="TV15" i="4"/>
  <c r="TV22" i="4" s="1"/>
  <c r="WU15" i="4"/>
  <c r="WU22" i="4" s="1"/>
  <c r="UG15" i="4"/>
  <c r="UG22" i="4" s="1"/>
  <c r="ZK15" i="4"/>
  <c r="ZK22" i="4" s="1"/>
  <c r="XF15" i="4"/>
  <c r="XF22" i="4" s="1"/>
  <c r="UR15" i="4"/>
  <c r="UR22" i="4" s="1"/>
  <c r="XP15" i="4"/>
  <c r="XP22" i="4" s="1"/>
  <c r="XQ15" i="4"/>
  <c r="XQ22" i="4" s="1"/>
  <c r="VN15" i="4"/>
  <c r="VN22" i="4" s="1"/>
  <c r="VD15" i="4"/>
  <c r="VD22" i="4" s="1"/>
  <c r="YC15" i="4"/>
  <c r="YC22" i="4" s="1"/>
  <c r="VO15" i="4"/>
  <c r="VO22" i="4" s="1"/>
  <c r="VZ15" i="4"/>
  <c r="VZ22" i="4" s="1"/>
  <c r="WV15" i="4"/>
  <c r="WV22" i="4" s="1"/>
  <c r="XG15" i="4"/>
  <c r="XG22" i="4" s="1"/>
  <c r="YB15" i="4"/>
  <c r="YB22" i="4" s="1"/>
  <c r="ZW15" i="4"/>
  <c r="ZW22" i="4" s="1"/>
  <c r="XR15" i="4"/>
  <c r="XR22" i="4" s="1"/>
  <c r="US15" i="4"/>
  <c r="US22" i="4" s="1"/>
  <c r="WK15" i="4"/>
  <c r="WK22" i="4" s="1"/>
  <c r="UH15" i="4"/>
  <c r="UH22" i="4" s="1"/>
  <c r="YO15" i="4"/>
  <c r="YO22" i="4" s="1"/>
  <c r="YN15" i="4"/>
  <c r="YN22" i="4" s="1"/>
  <c r="WA15" i="4"/>
  <c r="WA22" i="4" s="1"/>
  <c r="AAI15" i="4"/>
  <c r="AAI22" i="4" s="1"/>
  <c r="WL15" i="4"/>
  <c r="WL22" i="4" s="1"/>
  <c r="WW15" i="4"/>
  <c r="WW22" i="4" s="1"/>
  <c r="XS15" i="4"/>
  <c r="XS22" i="4" s="1"/>
  <c r="VE15" i="4"/>
  <c r="VE22" i="4" s="1"/>
  <c r="XH15" i="4"/>
  <c r="XH22" i="4" s="1"/>
  <c r="YD15" i="4"/>
  <c r="YD22" i="4" s="1"/>
  <c r="VP15" i="4"/>
  <c r="VP22" i="4" s="1"/>
  <c r="UT15" i="4"/>
  <c r="UT22" i="4" s="1"/>
  <c r="XT15" i="4"/>
  <c r="XT22" i="4" s="1"/>
  <c r="WM15" i="4"/>
  <c r="WM22" i="4" s="1"/>
  <c r="AAU15" i="4"/>
  <c r="AAU22" i="4" s="1"/>
  <c r="WX15" i="4"/>
  <c r="WX22" i="4" s="1"/>
  <c r="YP15" i="4"/>
  <c r="YP22" i="4" s="1"/>
  <c r="YZ15" i="4"/>
  <c r="YZ22" i="4" s="1"/>
  <c r="VF15" i="4"/>
  <c r="VF22" i="4" s="1"/>
  <c r="ZA15" i="4"/>
  <c r="ZA22" i="4" s="1"/>
  <c r="WB15" i="4"/>
  <c r="WB22" i="4" s="1"/>
  <c r="XI15" i="4"/>
  <c r="XI22" i="4" s="1"/>
  <c r="YE15" i="4"/>
  <c r="YE22" i="4" s="1"/>
  <c r="VQ15" i="4"/>
  <c r="VQ22" i="4" s="1"/>
  <c r="XU15" i="4"/>
  <c r="XU22" i="4" s="1"/>
  <c r="WY15" i="4"/>
  <c r="WY22" i="4" s="1"/>
  <c r="ABG15" i="4"/>
  <c r="ABG22" i="4" s="1"/>
  <c r="ZM15" i="4"/>
  <c r="ZM22" i="4" s="1"/>
  <c r="YQ15" i="4"/>
  <c r="YQ22" i="4" s="1"/>
  <c r="ZB15" i="4"/>
  <c r="ZB22" i="4" s="1"/>
  <c r="XJ15" i="4"/>
  <c r="XJ22" i="4" s="1"/>
  <c r="VR15" i="4"/>
  <c r="VR22" i="4" s="1"/>
  <c r="WC15" i="4"/>
  <c r="WC22" i="4" s="1"/>
  <c r="YF15" i="4"/>
  <c r="YF22" i="4" s="1"/>
  <c r="WN15" i="4"/>
  <c r="WN22" i="4" s="1"/>
  <c r="ZL15" i="4"/>
  <c r="ZL22" i="4" s="1"/>
  <c r="YR15" i="4"/>
  <c r="YR22" i="4" s="1"/>
  <c r="ZC15" i="4"/>
  <c r="ZC22" i="4" s="1"/>
  <c r="ZX15" i="4"/>
  <c r="ZX22" i="4" s="1"/>
  <c r="WO15" i="4"/>
  <c r="WO22" i="4" s="1"/>
  <c r="ABS15" i="4"/>
  <c r="ABS22" i="4" s="1"/>
  <c r="XV15" i="4"/>
  <c r="XV22" i="4" s="1"/>
  <c r="ZN15" i="4"/>
  <c r="ZN22" i="4" s="1"/>
  <c r="ZY15" i="4"/>
  <c r="ZY22" i="4" s="1"/>
  <c r="WD15" i="4"/>
  <c r="WD22" i="4" s="1"/>
  <c r="WZ15" i="4"/>
  <c r="WZ22" i="4" s="1"/>
  <c r="XK15" i="4"/>
  <c r="XK22" i="4" s="1"/>
  <c r="YG15" i="4"/>
  <c r="YG22" i="4" s="1"/>
  <c r="AAK15" i="4"/>
  <c r="AAK22" i="4" s="1"/>
  <c r="YS15" i="4"/>
  <c r="YS22" i="4" s="1"/>
  <c r="XL15" i="4"/>
  <c r="XL22" i="4" s="1"/>
  <c r="ZO15" i="4"/>
  <c r="ZO22" i="4" s="1"/>
  <c r="XA15" i="4"/>
  <c r="XA22" i="4" s="1"/>
  <c r="ZD15" i="4"/>
  <c r="ZD22" i="4" s="1"/>
  <c r="AAJ15" i="4"/>
  <c r="AAJ22" i="4" s="1"/>
  <c r="WP15" i="4"/>
  <c r="WP22" i="4" s="1"/>
  <c r="YH15" i="4"/>
  <c r="YH22" i="4" s="1"/>
  <c r="XW15" i="4"/>
  <c r="XW22" i="4" s="1"/>
  <c r="ZZ15" i="4"/>
  <c r="ZZ22" i="4" s="1"/>
  <c r="ACE15" i="4"/>
  <c r="ACE22" i="4" s="1"/>
  <c r="ACQ15" i="4"/>
  <c r="ACQ22" i="4" s="1"/>
  <c r="XM15" i="4"/>
  <c r="XM22" i="4" s="1"/>
  <c r="AAA15" i="4"/>
  <c r="AAA22" i="4" s="1"/>
  <c r="XX15" i="4"/>
  <c r="XX22" i="4" s="1"/>
  <c r="AAW15" i="4"/>
  <c r="AAW22" i="4" s="1"/>
  <c r="AAL15" i="4"/>
  <c r="AAL22" i="4" s="1"/>
  <c r="ZE15" i="4"/>
  <c r="ZE22" i="4" s="1"/>
  <c r="XB15" i="4"/>
  <c r="XB22" i="4" s="1"/>
  <c r="AAV15" i="4"/>
  <c r="AAV22" i="4" s="1"/>
  <c r="ZP15" i="4"/>
  <c r="ZP22" i="4" s="1"/>
  <c r="YT15" i="4"/>
  <c r="YT22" i="4" s="1"/>
  <c r="YI15" i="4"/>
  <c r="YI22" i="4" s="1"/>
  <c r="XY15" i="4"/>
  <c r="XY22" i="4" s="1"/>
  <c r="ABH15" i="4"/>
  <c r="ABH22" i="4" s="1"/>
  <c r="AAX15" i="4"/>
  <c r="AAX22" i="4" s="1"/>
  <c r="XN15" i="4"/>
  <c r="XN22" i="4" s="1"/>
  <c r="ZQ15" i="4"/>
  <c r="ZQ22" i="4" s="1"/>
  <c r="YU15" i="4"/>
  <c r="YU22" i="4" s="1"/>
  <c r="AAM15" i="4"/>
  <c r="AAM22" i="4" s="1"/>
  <c r="ABI15" i="4"/>
  <c r="ABI22" i="4" s="1"/>
  <c r="ZF15" i="4"/>
  <c r="ZF22" i="4" s="1"/>
  <c r="AAB15" i="4"/>
  <c r="AAB22" i="4" s="1"/>
  <c r="YJ15" i="4"/>
  <c r="YJ22" i="4" s="1"/>
  <c r="ADC15" i="4"/>
  <c r="ADC22" i="4" s="1"/>
  <c r="YV15" i="4"/>
  <c r="YV22" i="4" s="1"/>
  <c r="ABJ15" i="4"/>
  <c r="ABJ22" i="4" s="1"/>
  <c r="ZG15" i="4"/>
  <c r="ZG22" i="4" s="1"/>
  <c r="AAY15" i="4"/>
  <c r="AAY22" i="4" s="1"/>
  <c r="ABT15" i="4"/>
  <c r="ABT22" i="4" s="1"/>
  <c r="ADO15" i="4"/>
  <c r="ADO22" i="4" s="1"/>
  <c r="AAN15" i="4"/>
  <c r="AAN22" i="4" s="1"/>
  <c r="XZ15" i="4"/>
  <c r="XZ22" i="4" s="1"/>
  <c r="AAC15" i="4"/>
  <c r="AAC22" i="4" s="1"/>
  <c r="ZR15" i="4"/>
  <c r="ZR22" i="4" s="1"/>
  <c r="ABU15" i="4"/>
  <c r="ABU22" i="4" s="1"/>
  <c r="YK15" i="4"/>
  <c r="YK22" i="4" s="1"/>
  <c r="ACG15" i="4"/>
  <c r="ACG22" i="4" s="1"/>
  <c r="ZH15" i="4"/>
  <c r="ZH22" i="4" s="1"/>
  <c r="AAD15" i="4"/>
  <c r="AAD22" i="4" s="1"/>
  <c r="AAO15" i="4"/>
  <c r="AAO22" i="4" s="1"/>
  <c r="ABK15" i="4"/>
  <c r="ABK22" i="4" s="1"/>
  <c r="ACF15" i="4"/>
  <c r="ACF22" i="4" s="1"/>
  <c r="ZS15" i="4"/>
  <c r="ZS22" i="4" s="1"/>
  <c r="YL15" i="4"/>
  <c r="YL22" i="4" s="1"/>
  <c r="AAZ15" i="4"/>
  <c r="AAZ22" i="4" s="1"/>
  <c r="ABV15" i="4"/>
  <c r="ABV22" i="4" s="1"/>
  <c r="YW15" i="4"/>
  <c r="YW22" i="4" s="1"/>
  <c r="AEA15" i="4"/>
  <c r="AEA22" i="4" s="1"/>
  <c r="ZT15" i="4"/>
  <c r="ZT22" i="4" s="1"/>
  <c r="ABL15" i="4"/>
  <c r="ABL22" i="4" s="1"/>
  <c r="ABA15" i="4"/>
  <c r="ABA22" i="4" s="1"/>
  <c r="ACR15" i="4"/>
  <c r="ACR22" i="4" s="1"/>
  <c r="AAE15" i="4"/>
  <c r="AAE22" i="4" s="1"/>
  <c r="ACH15" i="4"/>
  <c r="ACH22" i="4" s="1"/>
  <c r="ZI15" i="4"/>
  <c r="ZI22" i="4" s="1"/>
  <c r="AAP15" i="4"/>
  <c r="AAP22" i="4" s="1"/>
  <c r="YX15" i="4"/>
  <c r="YX22" i="4" s="1"/>
  <c r="ABW15" i="4"/>
  <c r="ABW22" i="4" s="1"/>
  <c r="AEM15" i="4"/>
  <c r="AEM22" i="4" s="1"/>
  <c r="ACS15" i="4"/>
  <c r="ACS22" i="4" s="1"/>
  <c r="ACI15" i="4"/>
  <c r="ACI22" i="4" s="1"/>
  <c r="ZJ15" i="4"/>
  <c r="ZJ22" i="4" s="1"/>
  <c r="AEY15" i="4"/>
  <c r="AEY22" i="4" s="1"/>
  <c r="ABM15" i="4"/>
  <c r="ABM22" i="4" s="1"/>
  <c r="ADE15" i="4"/>
  <c r="ADE22" i="4" s="1"/>
  <c r="ACT15" i="4"/>
  <c r="ACT22" i="4" s="1"/>
  <c r="ABB15" i="4"/>
  <c r="ABB22" i="4" s="1"/>
  <c r="ZU15" i="4"/>
  <c r="ZU22" i="4" s="1"/>
  <c r="AAF15" i="4"/>
  <c r="AAF22" i="4" s="1"/>
  <c r="ABX15" i="4"/>
  <c r="ABX22" i="4" s="1"/>
  <c r="AAQ15" i="4"/>
  <c r="AAQ22" i="4" s="1"/>
  <c r="ADD15" i="4"/>
  <c r="ADD22" i="4" s="1"/>
  <c r="ABC15" i="4"/>
  <c r="ABC22" i="4" s="1"/>
  <c r="ABY15" i="4"/>
  <c r="ABY22" i="4" s="1"/>
  <c r="ADP15" i="4"/>
  <c r="ADP22" i="4" s="1"/>
  <c r="AFK15" i="4"/>
  <c r="AFK22" i="4" s="1"/>
  <c r="AAG15" i="4"/>
  <c r="AAG22" i="4" s="1"/>
  <c r="ADF15" i="4"/>
  <c r="ADF22" i="4" s="1"/>
  <c r="ZV15" i="4"/>
  <c r="ZV22" i="4" s="1"/>
  <c r="ABN15" i="4"/>
  <c r="ABN22" i="4" s="1"/>
  <c r="ACU15" i="4"/>
  <c r="ACU22" i="4" s="1"/>
  <c r="AAR15" i="4"/>
  <c r="AAR22" i="4" s="1"/>
  <c r="ADQ15" i="4"/>
  <c r="ADQ22" i="4" s="1"/>
  <c r="ACJ15" i="4"/>
  <c r="ACJ22" i="4" s="1"/>
  <c r="AEC15" i="4"/>
  <c r="AEC22" i="4" s="1"/>
  <c r="ACK15" i="4"/>
  <c r="ACK22" i="4" s="1"/>
  <c r="AAS15" i="4"/>
  <c r="AAS22" i="4" s="1"/>
  <c r="AEB15" i="4"/>
  <c r="AEB22" i="4" s="1"/>
  <c r="ABO15" i="4"/>
  <c r="ABO22" i="4" s="1"/>
  <c r="ACV15" i="4"/>
  <c r="ACV22" i="4" s="1"/>
  <c r="AFW15" i="4"/>
  <c r="AFW22" i="4" s="1"/>
  <c r="ADG15" i="4"/>
  <c r="ADG22" i="4" s="1"/>
  <c r="ABZ15" i="4"/>
  <c r="ABZ22" i="4" s="1"/>
  <c r="ADR15" i="4"/>
  <c r="ADR22" i="4" s="1"/>
  <c r="ABD15" i="4"/>
  <c r="ABD22" i="4" s="1"/>
  <c r="AAH15" i="4"/>
  <c r="AAH22" i="4" s="1"/>
  <c r="AEO15" i="4"/>
  <c r="AEO22" i="4" s="1"/>
  <c r="ABP15" i="4"/>
  <c r="ABP22" i="4" s="1"/>
  <c r="ABE15" i="4"/>
  <c r="ABE22" i="4" s="1"/>
  <c r="ADH15" i="4"/>
  <c r="ADH22" i="4" s="1"/>
  <c r="AEN15" i="4"/>
  <c r="AEN22" i="4" s="1"/>
  <c r="ACL15" i="4"/>
  <c r="ACL22" i="4" s="1"/>
  <c r="AAT15" i="4"/>
  <c r="AAT22" i="4" s="1"/>
  <c r="ACW15" i="4"/>
  <c r="ACW22" i="4" s="1"/>
  <c r="AED15" i="4"/>
  <c r="AED22" i="4" s="1"/>
  <c r="ACA15" i="4"/>
  <c r="ACA22" i="4" s="1"/>
  <c r="ADS15" i="4"/>
  <c r="ADS22" i="4" s="1"/>
  <c r="AGI15" i="4"/>
  <c r="AGI22" i="4" s="1"/>
  <c r="AEP15" i="4"/>
  <c r="AEP22" i="4" s="1"/>
  <c r="AEE15" i="4"/>
  <c r="AEE22" i="4" s="1"/>
  <c r="ACB15" i="4"/>
  <c r="ACB22" i="4" s="1"/>
  <c r="ADI15" i="4"/>
  <c r="ADI22" i="4" s="1"/>
  <c r="ABQ15" i="4"/>
  <c r="ABQ22" i="4" s="1"/>
  <c r="ADT15" i="4"/>
  <c r="ADT22" i="4" s="1"/>
  <c r="AFA15" i="4"/>
  <c r="AFA22" i="4" s="1"/>
  <c r="AGU15" i="4"/>
  <c r="AGU22" i="4" s="1"/>
  <c r="AEZ15" i="4"/>
  <c r="AEZ22" i="4" s="1"/>
  <c r="ACM15" i="4"/>
  <c r="ACM22" i="4" s="1"/>
  <c r="ACX15" i="4"/>
  <c r="ACX22" i="4" s="1"/>
  <c r="ABF15" i="4"/>
  <c r="ABF22" i="4" s="1"/>
  <c r="AEQ15" i="4"/>
  <c r="AEQ22" i="4" s="1"/>
  <c r="ABR15" i="4"/>
  <c r="ABR22" i="4" s="1"/>
  <c r="ADU15" i="4"/>
  <c r="ADU22" i="4" s="1"/>
  <c r="ADJ15" i="4"/>
  <c r="ADJ22" i="4" s="1"/>
  <c r="AFM15" i="4"/>
  <c r="AFM22" i="4" s="1"/>
  <c r="AEF15" i="4"/>
  <c r="AEF22" i="4" s="1"/>
  <c r="ACY15" i="4"/>
  <c r="ACY22" i="4" s="1"/>
  <c r="AHG15" i="4"/>
  <c r="AHG22" i="4" s="1"/>
  <c r="AFL15" i="4"/>
  <c r="AFL22" i="4" s="1"/>
  <c r="ACC15" i="4"/>
  <c r="ACC22" i="4" s="1"/>
  <c r="AFB15" i="4"/>
  <c r="AFB22" i="4" s="1"/>
  <c r="ACN15" i="4"/>
  <c r="ACN22" i="4" s="1"/>
  <c r="ADK15" i="4"/>
  <c r="ADK22" i="4" s="1"/>
  <c r="ACZ15" i="4"/>
  <c r="ACZ22" i="4" s="1"/>
  <c r="AEG15" i="4"/>
  <c r="AEG22" i="4" s="1"/>
  <c r="AFN15" i="4"/>
  <c r="AFN22" i="4" s="1"/>
  <c r="AFX15" i="4"/>
  <c r="AFX22" i="4" s="1"/>
  <c r="ADV15" i="4"/>
  <c r="ADV22" i="4" s="1"/>
  <c r="AHS15" i="4"/>
  <c r="AHS22" i="4" s="1"/>
  <c r="AFC15" i="4"/>
  <c r="AFC22" i="4" s="1"/>
  <c r="ACD15" i="4"/>
  <c r="ACD22" i="4" s="1"/>
  <c r="AER15" i="4"/>
  <c r="AER22" i="4" s="1"/>
  <c r="ACO15" i="4"/>
  <c r="ACO22" i="4" s="1"/>
  <c r="AFY15" i="4"/>
  <c r="AFY22" i="4" s="1"/>
  <c r="ADW15" i="4"/>
  <c r="ADW22" i="4" s="1"/>
  <c r="AFZ15" i="4"/>
  <c r="AFZ22" i="4" s="1"/>
  <c r="AES15" i="4"/>
  <c r="AES22" i="4" s="1"/>
  <c r="AGJ15" i="4"/>
  <c r="AGJ22" i="4" s="1"/>
  <c r="AGK15" i="4"/>
  <c r="AGK22" i="4" s="1"/>
  <c r="AEH15" i="4"/>
  <c r="AEH22" i="4" s="1"/>
  <c r="AFO15" i="4"/>
  <c r="AFO22" i="4" s="1"/>
  <c r="AFD15" i="4"/>
  <c r="AFD22" i="4" s="1"/>
  <c r="ADL15" i="4"/>
  <c r="ADL22" i="4" s="1"/>
  <c r="ADA15" i="4"/>
  <c r="ADA22" i="4" s="1"/>
  <c r="ACP15" i="4"/>
  <c r="ACP22" i="4" s="1"/>
  <c r="AIE15" i="4"/>
  <c r="AIE22" i="4" s="1"/>
  <c r="AGV15" i="4"/>
  <c r="AGV22" i="4" s="1"/>
  <c r="AFE15" i="4"/>
  <c r="AFE22" i="4" s="1"/>
  <c r="AGW15" i="4"/>
  <c r="AGW22" i="4" s="1"/>
  <c r="AFP15" i="4"/>
  <c r="AFP22" i="4" s="1"/>
  <c r="ADB15" i="4"/>
  <c r="ADB22" i="4" s="1"/>
  <c r="AGL15" i="4"/>
  <c r="AGL22" i="4" s="1"/>
  <c r="ADM15" i="4"/>
  <c r="ADM22" i="4" s="1"/>
  <c r="AGA15" i="4"/>
  <c r="AGA22" i="4" s="1"/>
  <c r="AET15" i="4"/>
  <c r="AET22" i="4" s="1"/>
  <c r="AIQ15" i="4"/>
  <c r="AIQ22" i="4" s="1"/>
  <c r="AEI15" i="4"/>
  <c r="AEI22" i="4" s="1"/>
  <c r="ADX15" i="4"/>
  <c r="ADX22" i="4" s="1"/>
  <c r="AHH15" i="4"/>
  <c r="AHH22" i="4" s="1"/>
  <c r="ADY15" i="4"/>
  <c r="ADY22" i="4" s="1"/>
  <c r="AFQ15" i="4"/>
  <c r="AFQ22" i="4" s="1"/>
  <c r="AGM15" i="4"/>
  <c r="AGM22" i="4" s="1"/>
  <c r="AFF15" i="4"/>
  <c r="AFF22" i="4" s="1"/>
  <c r="AHI15" i="4"/>
  <c r="AHI22" i="4" s="1"/>
  <c r="AEU15" i="4"/>
  <c r="AEU22" i="4" s="1"/>
  <c r="AJC15" i="4"/>
  <c r="AJC22" i="4" s="1"/>
  <c r="AGX15" i="4"/>
  <c r="AGX22" i="4" s="1"/>
  <c r="AGB15" i="4"/>
  <c r="AGB22" i="4" s="1"/>
  <c r="ADN15" i="4"/>
  <c r="ADN22" i="4" s="1"/>
  <c r="AEJ15" i="4"/>
  <c r="AEJ22" i="4" s="1"/>
  <c r="AGN15" i="4"/>
  <c r="AGN22" i="4" s="1"/>
  <c r="AHT15" i="4"/>
  <c r="AHT22" i="4" s="1"/>
  <c r="AGY15" i="4"/>
  <c r="AGY22" i="4" s="1"/>
  <c r="AHU15" i="4"/>
  <c r="AHU22" i="4" s="1"/>
  <c r="AEV15" i="4"/>
  <c r="AEV22" i="4" s="1"/>
  <c r="AGC15" i="4"/>
  <c r="AGC22" i="4" s="1"/>
  <c r="AFG15" i="4"/>
  <c r="AFG22" i="4" s="1"/>
  <c r="AEK15" i="4"/>
  <c r="AEK22" i="4" s="1"/>
  <c r="AFR15" i="4"/>
  <c r="AFR22" i="4" s="1"/>
  <c r="ADZ15" i="4"/>
  <c r="ADZ22" i="4" s="1"/>
  <c r="AJO15" i="4"/>
  <c r="AJO22" i="4" s="1"/>
  <c r="AHJ15" i="4"/>
  <c r="AHJ22" i="4" s="1"/>
  <c r="AGZ15" i="4"/>
  <c r="AGZ22" i="4" s="1"/>
  <c r="AIG15" i="4"/>
  <c r="AIG22" i="4" s="1"/>
  <c r="AFS15" i="4"/>
  <c r="AFS22" i="4" s="1"/>
  <c r="AKA15" i="4"/>
  <c r="AKA22" i="4" s="1"/>
  <c r="AGO15" i="4"/>
  <c r="AGO22" i="4" s="1"/>
  <c r="AGD15" i="4"/>
  <c r="AGD22" i="4" s="1"/>
  <c r="AHK15" i="4"/>
  <c r="AHK22" i="4" s="1"/>
  <c r="AEW15" i="4"/>
  <c r="AEW22" i="4" s="1"/>
  <c r="AFH15" i="4"/>
  <c r="AFH22" i="4" s="1"/>
  <c r="AHV15" i="4"/>
  <c r="AHV22" i="4" s="1"/>
  <c r="AIF15" i="4"/>
  <c r="AIF22" i="4" s="1"/>
  <c r="AEL15" i="4"/>
  <c r="AEL22" i="4" s="1"/>
  <c r="AHW15" i="4"/>
  <c r="AHW22" i="4" s="1"/>
  <c r="AHA15" i="4"/>
  <c r="AHA22" i="4" s="1"/>
  <c r="AGE15" i="4"/>
  <c r="AGE22" i="4" s="1"/>
  <c r="AHL15" i="4"/>
  <c r="AHL22" i="4" s="1"/>
  <c r="AEX15" i="4"/>
  <c r="AEX22" i="4" s="1"/>
  <c r="AIR15" i="4"/>
  <c r="AIR22" i="4" s="1"/>
  <c r="AIH15" i="4"/>
  <c r="AIH22" i="4" s="1"/>
  <c r="AFT15" i="4"/>
  <c r="AFT22" i="4" s="1"/>
  <c r="AIS15" i="4"/>
  <c r="AIS22" i="4" s="1"/>
  <c r="AFI15" i="4"/>
  <c r="AFI22" i="4" s="1"/>
  <c r="AKM15" i="4"/>
  <c r="AKM22" i="4" s="1"/>
  <c r="AGP15" i="4"/>
  <c r="AGP22" i="4" s="1"/>
  <c r="AII15" i="4"/>
  <c r="AII22" i="4" s="1"/>
  <c r="AGF15" i="4"/>
  <c r="AGF22" i="4" s="1"/>
  <c r="AFU15" i="4"/>
  <c r="AFU22" i="4" s="1"/>
  <c r="AJE15" i="4"/>
  <c r="AJE22" i="4" s="1"/>
  <c r="AIT15" i="4"/>
  <c r="AIT22" i="4" s="1"/>
  <c r="AHX15" i="4"/>
  <c r="AHX22" i="4" s="1"/>
  <c r="AFJ15" i="4"/>
  <c r="AFJ22" i="4" s="1"/>
  <c r="AJD15" i="4"/>
  <c r="AJD22" i="4" s="1"/>
  <c r="AKY15" i="4"/>
  <c r="AKY22" i="4" s="1"/>
  <c r="AHB15" i="4"/>
  <c r="AHB22" i="4" s="1"/>
  <c r="AHM15" i="4"/>
  <c r="AHM22" i="4" s="1"/>
  <c r="AGQ15" i="4"/>
  <c r="AGQ22" i="4" s="1"/>
  <c r="AHC15" i="4"/>
  <c r="AHC22" i="4" s="1"/>
  <c r="AJF15" i="4"/>
  <c r="AJF22" i="4" s="1"/>
  <c r="AGG15" i="4"/>
  <c r="AGG22" i="4" s="1"/>
  <c r="AJQ15" i="4"/>
  <c r="AJQ22" i="4" s="1"/>
  <c r="AFV15" i="4"/>
  <c r="AFV22" i="4" s="1"/>
  <c r="AHN15" i="4"/>
  <c r="AHN22" i="4" s="1"/>
  <c r="AHY15" i="4"/>
  <c r="AHY22" i="4" s="1"/>
  <c r="AJP15" i="4"/>
  <c r="AJP22" i="4" s="1"/>
  <c r="AIJ15" i="4"/>
  <c r="AIJ22" i="4" s="1"/>
  <c r="ALK15" i="4"/>
  <c r="ALK22" i="4" s="1"/>
  <c r="AIU15" i="4"/>
  <c r="AIU22" i="4" s="1"/>
  <c r="AGR15" i="4"/>
  <c r="AGR22" i="4" s="1"/>
  <c r="AJR15" i="4"/>
  <c r="AJR22" i="4" s="1"/>
  <c r="AKC15" i="4"/>
  <c r="AKC22" i="4" s="1"/>
  <c r="AHD15" i="4"/>
  <c r="AHD22" i="4" s="1"/>
  <c r="AHO15" i="4"/>
  <c r="AHO22" i="4" s="1"/>
  <c r="ALW15" i="4"/>
  <c r="ALW22" i="4" s="1"/>
  <c r="AHZ15" i="4"/>
  <c r="AHZ22" i="4" s="1"/>
  <c r="AGH15" i="4"/>
  <c r="AGH22" i="4" s="1"/>
  <c r="AGS15" i="4"/>
  <c r="AGS22" i="4" s="1"/>
  <c r="AIK15" i="4"/>
  <c r="AIK22" i="4" s="1"/>
  <c r="AIV15" i="4"/>
  <c r="AIV22" i="4" s="1"/>
  <c r="AJG15" i="4"/>
  <c r="AJG22" i="4" s="1"/>
  <c r="AKB15" i="4"/>
  <c r="AKB22" i="4" s="1"/>
  <c r="AKD15" i="4"/>
  <c r="AKD22" i="4" s="1"/>
  <c r="AHE15" i="4"/>
  <c r="AHE22" i="4" s="1"/>
  <c r="AIA15" i="4"/>
  <c r="AIA22" i="4" s="1"/>
  <c r="AMI15" i="4"/>
  <c r="AMI22" i="4" s="1"/>
  <c r="AGT15" i="4"/>
  <c r="AGT22" i="4" s="1"/>
  <c r="AHP15" i="4"/>
  <c r="AHP22" i="4" s="1"/>
  <c r="AJS15" i="4"/>
  <c r="AJS22" i="4" s="1"/>
  <c r="AKN15" i="4"/>
  <c r="AKN22" i="4" s="1"/>
  <c r="AIW15" i="4"/>
  <c r="AIW22" i="4" s="1"/>
  <c r="AIL15" i="4"/>
  <c r="AIL22" i="4" s="1"/>
  <c r="AJH15" i="4"/>
  <c r="AJH22" i="4" s="1"/>
  <c r="AKO15" i="4"/>
  <c r="AKO22" i="4" s="1"/>
  <c r="ALA15" i="4"/>
  <c r="ALA22" i="4" s="1"/>
  <c r="AKZ15" i="4"/>
  <c r="AKZ22" i="4" s="1"/>
  <c r="AIM15" i="4"/>
  <c r="AIM22" i="4" s="1"/>
  <c r="AHQ15" i="4"/>
  <c r="AHQ22" i="4" s="1"/>
  <c r="AJI15" i="4"/>
  <c r="AJI22" i="4" s="1"/>
  <c r="AHF15" i="4"/>
  <c r="AHF22" i="4" s="1"/>
  <c r="AMU15" i="4"/>
  <c r="AMU22" i="4" s="1"/>
  <c r="AIB15" i="4"/>
  <c r="AIB22" i="4" s="1"/>
  <c r="AKE15" i="4"/>
  <c r="AKE22" i="4" s="1"/>
  <c r="AKP15" i="4"/>
  <c r="AKP22" i="4" s="1"/>
  <c r="AJT15" i="4"/>
  <c r="AJT22" i="4" s="1"/>
  <c r="AIX15" i="4"/>
  <c r="AIX22" i="4" s="1"/>
  <c r="AIC15" i="4"/>
  <c r="AIC22" i="4" s="1"/>
  <c r="ALL15" i="4"/>
  <c r="ALL22" i="4" s="1"/>
  <c r="AIY15" i="4"/>
  <c r="AIY22" i="4" s="1"/>
  <c r="ALM15" i="4"/>
  <c r="ALM22" i="4" s="1"/>
  <c r="AKQ15" i="4"/>
  <c r="AKQ22" i="4" s="1"/>
  <c r="AJU15" i="4"/>
  <c r="AJU22" i="4" s="1"/>
  <c r="ALB15" i="4"/>
  <c r="ALB22" i="4" s="1"/>
  <c r="AHR15" i="4"/>
  <c r="AHR22" i="4" s="1"/>
  <c r="ANG15" i="4"/>
  <c r="ANG22" i="4" s="1"/>
  <c r="AKF15" i="4"/>
  <c r="AKF22" i="4" s="1"/>
  <c r="AJJ15" i="4"/>
  <c r="AJJ22" i="4" s="1"/>
  <c r="AIN15" i="4"/>
  <c r="AIN22" i="4" s="1"/>
  <c r="ALC15" i="4"/>
  <c r="ALC22" i="4" s="1"/>
  <c r="AIO15" i="4"/>
  <c r="AIO22" i="4" s="1"/>
  <c r="AJV15" i="4"/>
  <c r="AJV22" i="4" s="1"/>
  <c r="AIZ15" i="4"/>
  <c r="AIZ22" i="4" s="1"/>
  <c r="AJK15" i="4"/>
  <c r="AJK22" i="4" s="1"/>
  <c r="AKG15" i="4"/>
  <c r="AKG22" i="4" s="1"/>
  <c r="ALY15" i="4"/>
  <c r="ALY22" i="4" s="1"/>
  <c r="ALX15" i="4"/>
  <c r="ALX22" i="4" s="1"/>
  <c r="AKR15" i="4"/>
  <c r="AKR22" i="4" s="1"/>
  <c r="AID15" i="4"/>
  <c r="AID22" i="4" s="1"/>
  <c r="ANS15" i="4"/>
  <c r="ANS22" i="4" s="1"/>
  <c r="ALN15" i="4"/>
  <c r="ALN22" i="4" s="1"/>
  <c r="AMK15" i="4"/>
  <c r="AMK22" i="4" s="1"/>
  <c r="AIP15" i="4"/>
  <c r="AIP22" i="4" s="1"/>
  <c r="ALO15" i="4"/>
  <c r="ALO22" i="4" s="1"/>
  <c r="AJL15" i="4"/>
  <c r="AJL22" i="4" s="1"/>
  <c r="AJW15" i="4"/>
  <c r="AJW22" i="4" s="1"/>
  <c r="AMJ15" i="4"/>
  <c r="AMJ22" i="4" s="1"/>
  <c r="AJA15" i="4"/>
  <c r="AJA22" i="4" s="1"/>
  <c r="AKH15" i="4"/>
  <c r="AKH22" i="4" s="1"/>
  <c r="ALZ15" i="4"/>
  <c r="ALZ22" i="4" s="1"/>
  <c r="ALD15" i="4"/>
  <c r="ALD22" i="4" s="1"/>
  <c r="AKS15" i="4"/>
  <c r="AKS22" i="4" s="1"/>
  <c r="AOE15" i="4"/>
  <c r="AOE22" i="4" s="1"/>
  <c r="AJX15" i="4"/>
  <c r="AJX22" i="4" s="1"/>
  <c r="ALP15" i="4"/>
  <c r="ALP22" i="4" s="1"/>
  <c r="ALE15" i="4"/>
  <c r="ALE22" i="4" s="1"/>
  <c r="AJM15" i="4"/>
  <c r="AJM22" i="4" s="1"/>
  <c r="AML15" i="4"/>
  <c r="AML22" i="4" s="1"/>
  <c r="AKI15" i="4"/>
  <c r="AKI22" i="4" s="1"/>
  <c r="AJB15" i="4"/>
  <c r="AJB22" i="4" s="1"/>
  <c r="AMV15" i="4"/>
  <c r="AMV22" i="4" s="1"/>
  <c r="AMW15" i="4"/>
  <c r="AMW22" i="4" s="1"/>
  <c r="AKT15" i="4"/>
  <c r="AKT22" i="4" s="1"/>
  <c r="AMA15" i="4"/>
  <c r="AMA22" i="4" s="1"/>
  <c r="ANH15" i="4"/>
  <c r="ANH22" i="4" s="1"/>
  <c r="ALQ15" i="4"/>
  <c r="ALQ22" i="4" s="1"/>
  <c r="AJY15" i="4"/>
  <c r="AJY22" i="4" s="1"/>
  <c r="AMX15" i="4"/>
  <c r="AMX22" i="4" s="1"/>
  <c r="ANI15" i="4"/>
  <c r="ANI22" i="4" s="1"/>
  <c r="ALF15" i="4"/>
  <c r="ALF22" i="4" s="1"/>
  <c r="AMM15" i="4"/>
  <c r="AMM22" i="4" s="1"/>
  <c r="AJN15" i="4"/>
  <c r="AJN22" i="4" s="1"/>
  <c r="AMB15" i="4"/>
  <c r="AMB22" i="4" s="1"/>
  <c r="AKU15" i="4"/>
  <c r="AKU22" i="4" s="1"/>
  <c r="AKJ15" i="4"/>
  <c r="AKJ22" i="4" s="1"/>
  <c r="AKK15" i="4"/>
  <c r="AKK22" i="4" s="1"/>
  <c r="ALG15" i="4"/>
  <c r="ALG22" i="4" s="1"/>
  <c r="AKV15" i="4"/>
  <c r="AKV22" i="4" s="1"/>
  <c r="AMY15" i="4"/>
  <c r="AMY22" i="4" s="1"/>
  <c r="ANU15" i="4"/>
  <c r="ANU22" i="4" s="1"/>
  <c r="AJZ15" i="4"/>
  <c r="AJZ22" i="4" s="1"/>
  <c r="ANT15" i="4"/>
  <c r="ANT22" i="4" s="1"/>
  <c r="AMN15" i="4"/>
  <c r="AMN22" i="4" s="1"/>
  <c r="AMC15" i="4"/>
  <c r="AMC22" i="4" s="1"/>
  <c r="ALR15" i="4"/>
  <c r="ALR22" i="4" s="1"/>
  <c r="ANJ15" i="4"/>
  <c r="ANJ22" i="4" s="1"/>
  <c r="AOG15" i="4"/>
  <c r="AOG22" i="4" s="1"/>
  <c r="ANK15" i="4"/>
  <c r="ANK22" i="4" s="1"/>
  <c r="AKL15" i="4"/>
  <c r="AKL22" i="4" s="1"/>
  <c r="ALS15" i="4"/>
  <c r="ALS22" i="4" s="1"/>
  <c r="AKW15" i="4"/>
  <c r="AKW22" i="4" s="1"/>
  <c r="AMZ15" i="4"/>
  <c r="AMZ22" i="4" s="1"/>
  <c r="ANV15" i="4"/>
  <c r="ANV22" i="4" s="1"/>
  <c r="AMD15" i="4"/>
  <c r="AMD22" i="4" s="1"/>
  <c r="AMO15" i="4"/>
  <c r="AMO22" i="4" s="1"/>
  <c r="AOF15" i="4"/>
  <c r="AOF22" i="4" s="1"/>
  <c r="ALH15" i="4"/>
  <c r="ALH22" i="4" s="1"/>
  <c r="AKX15" i="4"/>
  <c r="AKX22" i="4" s="1"/>
  <c r="AMP15" i="4"/>
  <c r="AMP22" i="4" s="1"/>
  <c r="ANL15" i="4"/>
  <c r="ANL22" i="4" s="1"/>
  <c r="AOH15" i="4"/>
  <c r="AOH22" i="4" s="1"/>
  <c r="ALT15" i="4"/>
  <c r="ALT22" i="4" s="1"/>
  <c r="ANW15" i="4"/>
  <c r="ANW22" i="4" s="1"/>
  <c r="ANA15" i="4"/>
  <c r="ANA22" i="4" s="1"/>
  <c r="AME15" i="4"/>
  <c r="AME22" i="4" s="1"/>
  <c r="ALI15" i="4"/>
  <c r="ALI22" i="4" s="1"/>
  <c r="AMQ15" i="4"/>
  <c r="AMQ22" i="4" s="1"/>
  <c r="ALJ15" i="4"/>
  <c r="ALJ22" i="4" s="1"/>
  <c r="ANX15" i="4"/>
  <c r="ANX22" i="4" s="1"/>
  <c r="ALU15" i="4"/>
  <c r="ALU22" i="4" s="1"/>
  <c r="AOI15" i="4"/>
  <c r="AOI22" i="4" s="1"/>
  <c r="ANM15" i="4"/>
  <c r="ANM22" i="4" s="1"/>
  <c r="ANB15" i="4"/>
  <c r="ANB22" i="4" s="1"/>
  <c r="AMF15" i="4"/>
  <c r="AMF22" i="4" s="1"/>
  <c r="ALV15" i="4"/>
  <c r="ALV22" i="4" s="1"/>
  <c r="ANY15" i="4"/>
  <c r="ANY22" i="4" s="1"/>
  <c r="ANC15" i="4"/>
  <c r="ANC22" i="4" s="1"/>
  <c r="AMG15" i="4"/>
  <c r="AMG22" i="4" s="1"/>
  <c r="ANN15" i="4"/>
  <c r="ANN22" i="4" s="1"/>
  <c r="AMR15" i="4"/>
  <c r="AMR22" i="4" s="1"/>
  <c r="AOJ15" i="4"/>
  <c r="AOJ22" i="4" s="1"/>
  <c r="ANO15" i="4"/>
  <c r="ANO22" i="4" s="1"/>
  <c r="AMS15" i="4"/>
  <c r="AMS22" i="4" s="1"/>
  <c r="AND15" i="4"/>
  <c r="AND22" i="4" s="1"/>
  <c r="AMH15" i="4"/>
  <c r="AMH22" i="4" s="1"/>
  <c r="ANZ15" i="4"/>
  <c r="ANZ22" i="4" s="1"/>
  <c r="AOK15" i="4"/>
  <c r="AOK22" i="4" s="1"/>
  <c r="ANP15" i="4"/>
  <c r="ANP22" i="4" s="1"/>
  <c r="AOL15" i="4"/>
  <c r="AOL22" i="4" s="1"/>
  <c r="AOA15" i="4"/>
  <c r="AOA22" i="4" s="1"/>
  <c r="AMT15" i="4"/>
  <c r="AMT22" i="4" s="1"/>
  <c r="ANE15" i="4"/>
  <c r="ANE22" i="4" s="1"/>
  <c r="ANQ15" i="4"/>
  <c r="ANQ22" i="4" s="1"/>
  <c r="AOM15" i="4"/>
  <c r="AOM22" i="4" s="1"/>
  <c r="ANF15" i="4"/>
  <c r="ANF22" i="4" s="1"/>
  <c r="AOB15" i="4"/>
  <c r="AOB22" i="4" s="1"/>
  <c r="AON15" i="4"/>
  <c r="AON22" i="4" s="1"/>
  <c r="ANR15" i="4"/>
  <c r="ANR22" i="4" s="1"/>
  <c r="AOC15" i="4"/>
  <c r="AOC22" i="4" s="1"/>
  <c r="AOD15" i="4"/>
  <c r="AOD22" i="4" s="1"/>
  <c r="AOO15" i="4"/>
  <c r="AOO22" i="4" s="1"/>
  <c r="AOP15" i="4"/>
  <c r="AOP22" i="4" s="1"/>
  <c r="G58" i="1"/>
  <c r="G57" i="1"/>
  <c r="G56" i="1"/>
  <c r="G41" i="1"/>
  <c r="G39" i="1"/>
  <c r="C25" i="1"/>
  <c r="C23" i="1"/>
  <c r="X78" i="2" s="1"/>
  <c r="G15" i="1"/>
  <c r="G9" i="7" s="1"/>
  <c r="G14" i="1"/>
  <c r="G11" i="7" s="1"/>
  <c r="P11" i="7" l="1"/>
  <c r="G44" i="1"/>
  <c r="G59" i="1" s="1"/>
  <c r="G60" i="1" s="1"/>
  <c r="P9" i="7"/>
  <c r="G32" i="4"/>
  <c r="X80" i="2"/>
  <c r="X83" i="2" s="1"/>
  <c r="C25" i="4"/>
  <c r="D20" i="4" s="1"/>
  <c r="D24" i="4" s="1"/>
  <c r="CO123" i="2"/>
  <c r="G28" i="7"/>
  <c r="P28" i="7" s="1"/>
  <c r="C26" i="1"/>
  <c r="D25" i="1"/>
  <c r="I7" i="7" s="1"/>
  <c r="H58" i="1"/>
  <c r="G16" i="1"/>
  <c r="G17" i="1" s="1"/>
  <c r="D23" i="1"/>
  <c r="J7" i="7" s="1"/>
  <c r="H40" i="1"/>
  <c r="H41" i="1"/>
  <c r="H42" i="1"/>
  <c r="H57" i="1"/>
  <c r="I29" i="7" l="1"/>
  <c r="K32" i="7" s="1"/>
  <c r="G32" i="7" s="1"/>
  <c r="P32" i="7" s="1"/>
  <c r="G31" i="7"/>
  <c r="P31" i="7" s="1"/>
  <c r="I31" i="7"/>
  <c r="AI114" i="2" s="1"/>
  <c r="H32" i="4"/>
  <c r="AI124" i="2"/>
  <c r="J18" i="7"/>
  <c r="BG80" i="2" s="1"/>
  <c r="D25" i="4"/>
  <c r="E20" i="4" s="1"/>
  <c r="E24" i="4" s="1"/>
  <c r="X84" i="2"/>
  <c r="G45" i="1"/>
  <c r="G46" i="1" s="1"/>
  <c r="G12" i="7"/>
  <c r="BW84" i="2"/>
  <c r="H49" i="1" l="1"/>
  <c r="AI112" i="2"/>
  <c r="I7" i="4"/>
  <c r="E114" i="2"/>
  <c r="G14" i="7"/>
  <c r="G16" i="7" s="1"/>
  <c r="H22" i="7"/>
  <c r="I32" i="4"/>
  <c r="P12" i="7"/>
  <c r="AN188" i="2"/>
  <c r="AN192" i="2" s="1"/>
  <c r="E25" i="4"/>
  <c r="F20" i="4" s="1"/>
  <c r="G24" i="1"/>
  <c r="G18" i="1"/>
  <c r="G19" i="1" s="1"/>
  <c r="G10" i="7" s="1"/>
  <c r="P10" i="7" s="1"/>
  <c r="G61" i="1"/>
  <c r="G11" i="1"/>
  <c r="G27" i="1"/>
  <c r="H10" i="1"/>
  <c r="H46" i="1"/>
  <c r="C46" i="1" l="1"/>
  <c r="G13" i="7"/>
  <c r="G66" i="1"/>
  <c r="G54" i="1"/>
  <c r="G49" i="1"/>
  <c r="F24" i="4"/>
  <c r="F25" i="4" s="1"/>
  <c r="G20" i="4" s="1"/>
  <c r="ZF23" i="4"/>
  <c r="UW23" i="4"/>
  <c r="ABE23" i="4"/>
  <c r="WM23" i="4"/>
  <c r="ABA23" i="4"/>
  <c r="AAH23" i="4"/>
  <c r="ABF23" i="4"/>
  <c r="WQ23" i="4"/>
  <c r="ZS23" i="4"/>
  <c r="ZD23" i="4"/>
  <c r="XY23" i="4"/>
  <c r="VO23" i="4"/>
  <c r="ACH23" i="4"/>
  <c r="AAM23" i="4"/>
  <c r="VX23" i="4"/>
  <c r="YR23" i="4"/>
  <c r="XO23" i="4"/>
  <c r="ZJ23" i="4"/>
  <c r="AAS23" i="4"/>
  <c r="UK23" i="4"/>
  <c r="ZE23" i="4"/>
  <c r="UO23" i="4"/>
  <c r="YP23" i="4"/>
  <c r="ABB23" i="4"/>
  <c r="YE23" i="4"/>
  <c r="ZZ23" i="4"/>
  <c r="YM23" i="4"/>
  <c r="XI23" i="4"/>
  <c r="XS23" i="4"/>
  <c r="WR23" i="4"/>
  <c r="ZI23" i="4"/>
  <c r="WI23" i="4"/>
  <c r="YY23" i="4"/>
  <c r="WF23" i="4"/>
  <c r="ZK23" i="4"/>
  <c r="UV23" i="4"/>
  <c r="ZR23" i="4"/>
  <c r="ABO23" i="4"/>
  <c r="ZV23" i="4"/>
  <c r="VC23" i="4"/>
  <c r="WB23" i="4"/>
  <c r="VS23" i="4"/>
  <c r="XH23" i="4"/>
  <c r="UP23" i="4"/>
  <c r="UY23" i="4"/>
  <c r="YZ23" i="4"/>
  <c r="ABG23" i="4"/>
  <c r="AAW23" i="4"/>
  <c r="ABM23" i="4"/>
  <c r="XQ23" i="4"/>
  <c r="ABI23" i="4"/>
  <c r="ABC23" i="4"/>
  <c r="VB23" i="4"/>
  <c r="AAT23" i="4"/>
  <c r="UJ23" i="4"/>
  <c r="YW23" i="4"/>
  <c r="ZM23" i="4"/>
  <c r="ZP23" i="4"/>
  <c r="YT23" i="4"/>
  <c r="XW23" i="4"/>
  <c r="VL23" i="4"/>
  <c r="XJ23" i="4"/>
  <c r="VJ23" i="4"/>
  <c r="AAE23" i="4"/>
  <c r="ZY23" i="4"/>
  <c r="AAP23" i="4"/>
  <c r="ABU23" i="4"/>
  <c r="XV23" i="4"/>
  <c r="AAC23" i="4"/>
  <c r="VE23" i="4"/>
  <c r="ACP23" i="4"/>
  <c r="UT23" i="4"/>
  <c r="XX23" i="4"/>
  <c r="XR23" i="4"/>
  <c r="ACO23" i="4"/>
  <c r="ABS23" i="4"/>
  <c r="VI23" i="4"/>
  <c r="VA23" i="4"/>
  <c r="VH23" i="4"/>
  <c r="YH23" i="4"/>
  <c r="YK23" i="4"/>
  <c r="AAK23" i="4"/>
  <c r="AAA23" i="4"/>
  <c r="ACK23" i="4"/>
  <c r="AAL23" i="4"/>
  <c r="ACG23" i="4"/>
  <c r="AAR23" i="4"/>
  <c r="XN23" i="4"/>
  <c r="VR23" i="4"/>
  <c r="YA23" i="4"/>
  <c r="VW23" i="4"/>
  <c r="YS23" i="4"/>
  <c r="XK23" i="4"/>
  <c r="ZX23" i="4"/>
  <c r="ABJ23" i="4"/>
  <c r="ABL23" i="4"/>
  <c r="YU23" i="4"/>
  <c r="ZC23" i="4"/>
  <c r="UL23" i="4"/>
  <c r="ZN23" i="4"/>
  <c r="YD23" i="4"/>
  <c r="VU23" i="4"/>
  <c r="YO23" i="4"/>
  <c r="YQ23" i="4"/>
  <c r="XD23" i="4"/>
  <c r="WZ23" i="4"/>
  <c r="WC23" i="4"/>
  <c r="YV23" i="4"/>
  <c r="AAJ23" i="4"/>
  <c r="ACF23" i="4"/>
  <c r="ACC23" i="4"/>
  <c r="VG23" i="4"/>
  <c r="ZT23" i="4"/>
  <c r="VK23" i="4"/>
  <c r="ACI23" i="4"/>
  <c r="AAZ23" i="4"/>
  <c r="WV23" i="4"/>
  <c r="XP23" i="4"/>
  <c r="UM23" i="4"/>
  <c r="AAO23" i="4"/>
  <c r="ABX23" i="4"/>
  <c r="WP23" i="4"/>
  <c r="ACE23" i="4"/>
  <c r="XA23" i="4"/>
  <c r="WU23" i="4"/>
  <c r="ACJ23" i="4"/>
  <c r="WX23" i="4"/>
  <c r="WY23" i="4"/>
  <c r="ABZ23" i="4"/>
  <c r="AAN23" i="4"/>
  <c r="XU23" i="4"/>
  <c r="ABV23" i="4"/>
  <c r="US23" i="4"/>
  <c r="XZ23" i="4"/>
  <c r="XF23" i="4"/>
  <c r="WO23" i="4"/>
  <c r="AAI23" i="4"/>
  <c r="VQ23" i="4"/>
  <c r="XL23" i="4"/>
  <c r="ACM23" i="4"/>
  <c r="ZL23" i="4"/>
  <c r="VM23" i="4"/>
  <c r="XB23" i="4"/>
  <c r="VP23" i="4"/>
  <c r="XE23" i="4"/>
  <c r="WK23" i="4"/>
  <c r="ZW23" i="4"/>
  <c r="WT23" i="4"/>
  <c r="UU23" i="4"/>
  <c r="AAV23" i="4"/>
  <c r="WN23" i="4"/>
  <c r="AAB23" i="4"/>
  <c r="ZG23" i="4"/>
  <c r="ABN23" i="4"/>
  <c r="XT23" i="4"/>
  <c r="YL23" i="4"/>
  <c r="VF23" i="4"/>
  <c r="UZ23" i="4"/>
  <c r="WH23" i="4"/>
  <c r="VD23" i="4"/>
  <c r="XM23" i="4"/>
  <c r="UI23" i="4"/>
  <c r="AAU23" i="4"/>
  <c r="ABK23" i="4"/>
  <c r="ABH23" i="4"/>
  <c r="ACL23" i="4"/>
  <c r="UQ23" i="4"/>
  <c r="ABD23" i="4"/>
  <c r="YF23" i="4"/>
  <c r="VN23" i="4"/>
  <c r="VV23" i="4"/>
  <c r="YG23" i="4"/>
  <c r="ACN23" i="4"/>
  <c r="YX23" i="4"/>
  <c r="AAG23" i="4"/>
  <c r="ABP23" i="4"/>
  <c r="WG23" i="4"/>
  <c r="YI23" i="4"/>
  <c r="WE23" i="4"/>
  <c r="ACD23" i="4"/>
  <c r="AAF23" i="4"/>
  <c r="VT23" i="4"/>
  <c r="YN23" i="4"/>
  <c r="VZ23" i="4"/>
  <c r="WS23" i="4"/>
  <c r="WD23" i="4"/>
  <c r="XC23" i="4"/>
  <c r="AAQ23" i="4"/>
  <c r="ZH23" i="4"/>
  <c r="ABR23" i="4"/>
  <c r="ZO23" i="4"/>
  <c r="ZQ23" i="4"/>
  <c r="ACA23" i="4"/>
  <c r="AAD23" i="4"/>
  <c r="AAX23" i="4"/>
  <c r="WW23" i="4"/>
  <c r="ZA23" i="4"/>
  <c r="WA23" i="4"/>
  <c r="ABQ23" i="4"/>
  <c r="AAY23" i="4"/>
  <c r="WL23" i="4"/>
  <c r="XG23" i="4"/>
  <c r="ZB23" i="4"/>
  <c r="YC23" i="4"/>
  <c r="UN23" i="4"/>
  <c r="ABW23" i="4"/>
  <c r="VY23" i="4"/>
  <c r="YB23" i="4"/>
  <c r="ABY23" i="4"/>
  <c r="ACB23" i="4"/>
  <c r="WJ23" i="4"/>
  <c r="ABT23" i="4"/>
  <c r="UR23" i="4"/>
  <c r="UX23" i="4"/>
  <c r="ZU23" i="4"/>
  <c r="YJ23" i="4"/>
  <c r="CR192" i="2"/>
  <c r="S136" i="2"/>
  <c r="ACQ23" i="4"/>
  <c r="P14" i="7"/>
  <c r="H7" i="8"/>
  <c r="J32" i="4"/>
  <c r="AN69" i="2"/>
  <c r="K7" i="7"/>
  <c r="G4" i="7"/>
  <c r="P4" i="7" s="1"/>
  <c r="G18" i="7"/>
  <c r="P18" i="7" s="1"/>
  <c r="AOD23" i="4"/>
  <c r="ANR23" i="4"/>
  <c r="ANF23" i="4"/>
  <c r="AMT23" i="4"/>
  <c r="AMH23" i="4"/>
  <c r="ALV23" i="4"/>
  <c r="ALJ23" i="4"/>
  <c r="AKX23" i="4"/>
  <c r="AKL23" i="4"/>
  <c r="AJZ23" i="4"/>
  <c r="AJN23" i="4"/>
  <c r="AJB23" i="4"/>
  <c r="AIP23" i="4"/>
  <c r="AID23" i="4"/>
  <c r="AHR23" i="4"/>
  <c r="AHF23" i="4"/>
  <c r="AGT23" i="4"/>
  <c r="AGH23" i="4"/>
  <c r="AFV23" i="4"/>
  <c r="AFJ23" i="4"/>
  <c r="AEX23" i="4"/>
  <c r="AEL23" i="4"/>
  <c r="ADZ23" i="4"/>
  <c r="ADN23" i="4"/>
  <c r="ADB23" i="4"/>
  <c r="AMV23" i="4"/>
  <c r="AGJ23" i="4"/>
  <c r="ALW23" i="4"/>
  <c r="AIQ23" i="4"/>
  <c r="AEM23" i="4"/>
  <c r="AOC23" i="4"/>
  <c r="ANQ23" i="4"/>
  <c r="ANE23" i="4"/>
  <c r="AMS23" i="4"/>
  <c r="AMG23" i="4"/>
  <c r="ALU23" i="4"/>
  <c r="ALI23" i="4"/>
  <c r="AKW23" i="4"/>
  <c r="AKK23" i="4"/>
  <c r="AJY23" i="4"/>
  <c r="AJM23" i="4"/>
  <c r="AJA23" i="4"/>
  <c r="AIO23" i="4"/>
  <c r="AIC23" i="4"/>
  <c r="AHQ23" i="4"/>
  <c r="AHE23" i="4"/>
  <c r="AGS23" i="4"/>
  <c r="AGG23" i="4"/>
  <c r="AFU23" i="4"/>
  <c r="AFI23" i="4"/>
  <c r="AEW23" i="4"/>
  <c r="AEK23" i="4"/>
  <c r="ADY23" i="4"/>
  <c r="ADM23" i="4"/>
  <c r="ADA23" i="4"/>
  <c r="ANH23" i="4"/>
  <c r="AFX23" i="4"/>
  <c r="AKM23" i="4"/>
  <c r="AJC23" i="4"/>
  <c r="AEY23" i="4"/>
  <c r="AOB23" i="4"/>
  <c r="ANP23" i="4"/>
  <c r="AND23" i="4"/>
  <c r="AMR23" i="4"/>
  <c r="AMF23" i="4"/>
  <c r="ALT23" i="4"/>
  <c r="ALH23" i="4"/>
  <c r="AKV23" i="4"/>
  <c r="AKJ23" i="4"/>
  <c r="AJX23" i="4"/>
  <c r="AJL23" i="4"/>
  <c r="AIZ23" i="4"/>
  <c r="AIN23" i="4"/>
  <c r="AIB23" i="4"/>
  <c r="AHP23" i="4"/>
  <c r="AHD23" i="4"/>
  <c r="AGR23" i="4"/>
  <c r="AGF23" i="4"/>
  <c r="AFT23" i="4"/>
  <c r="AFH23" i="4"/>
  <c r="AEV23" i="4"/>
  <c r="AEJ23" i="4"/>
  <c r="ADX23" i="4"/>
  <c r="ADL23" i="4"/>
  <c r="ACZ23" i="4"/>
  <c r="ALX23" i="4"/>
  <c r="AIF23" i="4"/>
  <c r="ADP23" i="4"/>
  <c r="ANS23" i="4"/>
  <c r="AGI23" i="4"/>
  <c r="AOA23" i="4"/>
  <c r="ANO23" i="4"/>
  <c r="ANC23" i="4"/>
  <c r="AMQ23" i="4"/>
  <c r="AME23" i="4"/>
  <c r="ALS23" i="4"/>
  <c r="ALG23" i="4"/>
  <c r="AKU23" i="4"/>
  <c r="AKI23" i="4"/>
  <c r="AJW23" i="4"/>
  <c r="AJK23" i="4"/>
  <c r="AIY23" i="4"/>
  <c r="AIM23" i="4"/>
  <c r="AIA23" i="4"/>
  <c r="AHO23" i="4"/>
  <c r="AHC23" i="4"/>
  <c r="AGQ23" i="4"/>
  <c r="AGE23" i="4"/>
  <c r="AFS23" i="4"/>
  <c r="AFG23" i="4"/>
  <c r="AEU23" i="4"/>
  <c r="AEI23" i="4"/>
  <c r="ADW23" i="4"/>
  <c r="ADK23" i="4"/>
  <c r="ACY23" i="4"/>
  <c r="AMJ23" i="4"/>
  <c r="AHH23" i="4"/>
  <c r="ADD23" i="4"/>
  <c r="AMI23" i="4"/>
  <c r="AHG23" i="4"/>
  <c r="ANZ23" i="4"/>
  <c r="ANN23" i="4"/>
  <c r="ANB23" i="4"/>
  <c r="AMP23" i="4"/>
  <c r="AMD23" i="4"/>
  <c r="ALR23" i="4"/>
  <c r="ALF23" i="4"/>
  <c r="AKT23" i="4"/>
  <c r="AKH23" i="4"/>
  <c r="AJV23" i="4"/>
  <c r="AJJ23" i="4"/>
  <c r="AIX23" i="4"/>
  <c r="AIL23" i="4"/>
  <c r="AHZ23" i="4"/>
  <c r="AHN23" i="4"/>
  <c r="AHB23" i="4"/>
  <c r="AGP23" i="4"/>
  <c r="AGD23" i="4"/>
  <c r="AFR23" i="4"/>
  <c r="AFF23" i="4"/>
  <c r="AET23" i="4"/>
  <c r="AEH23" i="4"/>
  <c r="ADV23" i="4"/>
  <c r="ADJ23" i="4"/>
  <c r="ACX23" i="4"/>
  <c r="ALL23" i="4"/>
  <c r="AJD23" i="4"/>
  <c r="AFL23" i="4"/>
  <c r="ALK23" i="4"/>
  <c r="AIE23" i="4"/>
  <c r="AEA23" i="4"/>
  <c r="ANY23" i="4"/>
  <c r="ANM23" i="4"/>
  <c r="ANA23" i="4"/>
  <c r="AMO23" i="4"/>
  <c r="AMC23" i="4"/>
  <c r="ALQ23" i="4"/>
  <c r="ALE23" i="4"/>
  <c r="AKS23" i="4"/>
  <c r="AKG23" i="4"/>
  <c r="AJU23" i="4"/>
  <c r="AJI23" i="4"/>
  <c r="AIW23" i="4"/>
  <c r="AIK23" i="4"/>
  <c r="AHY23" i="4"/>
  <c r="AHM23" i="4"/>
  <c r="AHA23" i="4"/>
  <c r="AGO23" i="4"/>
  <c r="AGC23" i="4"/>
  <c r="AFQ23" i="4"/>
  <c r="AFE23" i="4"/>
  <c r="AES23" i="4"/>
  <c r="AEG23" i="4"/>
  <c r="ADU23" i="4"/>
  <c r="ADI23" i="4"/>
  <c r="ACW23" i="4"/>
  <c r="ANK23" i="4"/>
  <c r="AMY23" i="4"/>
  <c r="AMA23" i="4"/>
  <c r="ALO23" i="4"/>
  <c r="AKQ23" i="4"/>
  <c r="AJS23" i="4"/>
  <c r="AIU23" i="4"/>
  <c r="AHW23" i="4"/>
  <c r="AGY23" i="4"/>
  <c r="AGA23" i="4"/>
  <c r="AFC23" i="4"/>
  <c r="AEQ23" i="4"/>
  <c r="ADS23" i="4"/>
  <c r="ACU23" i="4"/>
  <c r="ANT23" i="4"/>
  <c r="AKB23" i="4"/>
  <c r="AGV23" i="4"/>
  <c r="ACR23" i="4"/>
  <c r="AKA23" i="4"/>
  <c r="AGU23" i="4"/>
  <c r="ADO23" i="4"/>
  <c r="ANX23" i="4"/>
  <c r="ANL23" i="4"/>
  <c r="AMZ23" i="4"/>
  <c r="AMN23" i="4"/>
  <c r="AMB23" i="4"/>
  <c r="ALP23" i="4"/>
  <c r="ALD23" i="4"/>
  <c r="AKR23" i="4"/>
  <c r="AKF23" i="4"/>
  <c r="AJT23" i="4"/>
  <c r="AJH23" i="4"/>
  <c r="AIV23" i="4"/>
  <c r="AIJ23" i="4"/>
  <c r="AHX23" i="4"/>
  <c r="AHL23" i="4"/>
  <c r="AGZ23" i="4"/>
  <c r="AGN23" i="4"/>
  <c r="AGB23" i="4"/>
  <c r="AFP23" i="4"/>
  <c r="AFD23" i="4"/>
  <c r="AER23" i="4"/>
  <c r="AEF23" i="4"/>
  <c r="ADT23" i="4"/>
  <c r="ADH23" i="4"/>
  <c r="ACV23" i="4"/>
  <c r="ANW23" i="4"/>
  <c r="AMM23" i="4"/>
  <c r="ALC23" i="4"/>
  <c r="AKE23" i="4"/>
  <c r="AJG23" i="4"/>
  <c r="AII23" i="4"/>
  <c r="AHK23" i="4"/>
  <c r="AGM23" i="4"/>
  <c r="AFO23" i="4"/>
  <c r="AEE23" i="4"/>
  <c r="ADG23" i="4"/>
  <c r="AJP23" i="4"/>
  <c r="AEZ23" i="4"/>
  <c r="ANG23" i="4"/>
  <c r="AFW23" i="4"/>
  <c r="ANV23" i="4"/>
  <c r="ANJ23" i="4"/>
  <c r="AMX23" i="4"/>
  <c r="AML23" i="4"/>
  <c r="ALZ23" i="4"/>
  <c r="ALN23" i="4"/>
  <c r="ALB23" i="4"/>
  <c r="AKP23" i="4"/>
  <c r="AKD23" i="4"/>
  <c r="AJR23" i="4"/>
  <c r="AJF23" i="4"/>
  <c r="AIT23" i="4"/>
  <c r="AIH23" i="4"/>
  <c r="AHV23" i="4"/>
  <c r="AHJ23" i="4"/>
  <c r="AGX23" i="4"/>
  <c r="AGL23" i="4"/>
  <c r="AFZ23" i="4"/>
  <c r="AFN23" i="4"/>
  <c r="AFB23" i="4"/>
  <c r="AEP23" i="4"/>
  <c r="AED23" i="4"/>
  <c r="ADR23" i="4"/>
  <c r="ADF23" i="4"/>
  <c r="ACT23" i="4"/>
  <c r="AKZ23" i="4"/>
  <c r="AIR23" i="4"/>
  <c r="AEN23" i="4"/>
  <c r="AKY23" i="4"/>
  <c r="AJO23" i="4"/>
  <c r="AFK23" i="4"/>
  <c r="ANU23" i="4"/>
  <c r="ANI23" i="4"/>
  <c r="AMW23" i="4"/>
  <c r="AMK23" i="4"/>
  <c r="ALY23" i="4"/>
  <c r="ALM23" i="4"/>
  <c r="ALA23" i="4"/>
  <c r="AKO23" i="4"/>
  <c r="AKC23" i="4"/>
  <c r="AJQ23" i="4"/>
  <c r="AJE23" i="4"/>
  <c r="AIS23" i="4"/>
  <c r="AIG23" i="4"/>
  <c r="AHU23" i="4"/>
  <c r="AHI23" i="4"/>
  <c r="AGW23" i="4"/>
  <c r="AGK23" i="4"/>
  <c r="AFY23" i="4"/>
  <c r="AFM23" i="4"/>
  <c r="AFA23" i="4"/>
  <c r="AEO23" i="4"/>
  <c r="AEC23" i="4"/>
  <c r="ADQ23" i="4"/>
  <c r="ADE23" i="4"/>
  <c r="ACS23" i="4"/>
  <c r="AKN23" i="4"/>
  <c r="AHT23" i="4"/>
  <c r="AEB23" i="4"/>
  <c r="AMU23" i="4"/>
  <c r="AHS23" i="4"/>
  <c r="ADC23" i="4"/>
  <c r="G25" i="1"/>
  <c r="AN74" i="2"/>
  <c r="C51" i="1"/>
  <c r="C52" i="1" s="1"/>
  <c r="G67" i="1" l="1"/>
  <c r="P13" i="7"/>
  <c r="AI121" i="2"/>
  <c r="G24" i="4"/>
  <c r="G25" i="4" s="1"/>
  <c r="H20" i="4" s="1"/>
  <c r="G53" i="1"/>
  <c r="CO126" i="2"/>
  <c r="AN194" i="2" s="1"/>
  <c r="K32" i="4"/>
  <c r="C7" i="8"/>
  <c r="G15" i="7"/>
  <c r="P15" i="7" s="1"/>
  <c r="P16" i="7"/>
  <c r="G35" i="7"/>
  <c r="C53" i="1"/>
  <c r="H59" i="1"/>
  <c r="G62" i="1"/>
  <c r="H62" i="1" s="1"/>
  <c r="G68" i="1" l="1"/>
  <c r="CA132" i="2"/>
  <c r="G30" i="7"/>
  <c r="P30" i="7" s="1"/>
  <c r="H24" i="4"/>
  <c r="H25" i="4" s="1"/>
  <c r="I20" i="4" s="1"/>
  <c r="SS22" i="8"/>
  <c r="AID22" i="8"/>
  <c r="AGA22" i="8"/>
  <c r="ADL22" i="8"/>
  <c r="AFR22" i="8"/>
  <c r="AHC22" i="8"/>
  <c r="ACZ22" i="8"/>
  <c r="AGW22" i="8"/>
  <c r="ADA22" i="8"/>
  <c r="ACW22" i="8"/>
  <c r="ADC22" i="8"/>
  <c r="AIK22" i="8"/>
  <c r="AIF22" i="8"/>
  <c r="ADQ22" i="8"/>
  <c r="ACS22" i="8"/>
  <c r="AGQ22" i="8"/>
  <c r="AGY22" i="8"/>
  <c r="ADP22" i="8"/>
  <c r="AFV22" i="8"/>
  <c r="AGF22" i="8"/>
  <c r="ACV22" i="8"/>
  <c r="AEN22" i="8"/>
  <c r="AIN22" i="8"/>
  <c r="AFZ22" i="8"/>
  <c r="AHO22" i="8"/>
  <c r="AGD22" i="8"/>
  <c r="ADE22" i="8"/>
  <c r="AER22" i="8"/>
  <c r="ADK22" i="8"/>
  <c r="AEY22" i="8"/>
  <c r="ADX22" i="8"/>
  <c r="AHF22" i="8"/>
  <c r="AHS22" i="8"/>
  <c r="AEG22" i="8"/>
  <c r="AFU22" i="8"/>
  <c r="AGG22" i="8"/>
  <c r="AGN22" i="8"/>
  <c r="AHH22" i="8"/>
  <c r="ADV22" i="8"/>
  <c r="AGM22" i="8"/>
  <c r="AFL22" i="8"/>
  <c r="AEB22" i="8"/>
  <c r="ADZ22" i="8"/>
  <c r="AEE22" i="8"/>
  <c r="AGK22" i="8"/>
  <c r="ADN22" i="8"/>
  <c r="AEA22" i="8"/>
  <c r="AEC22" i="8"/>
  <c r="AHI22" i="8"/>
  <c r="ADU22" i="8"/>
  <c r="AIM22" i="8"/>
  <c r="AIE22" i="8"/>
  <c r="AFD22" i="8"/>
  <c r="AEF22" i="8"/>
  <c r="AHG22" i="8"/>
  <c r="AGS22" i="8"/>
  <c r="AIP22" i="8"/>
  <c r="AHN22" i="8"/>
  <c r="AEQ22" i="8"/>
  <c r="AHZ22" i="8"/>
  <c r="AGO22" i="8"/>
  <c r="AGI22" i="8"/>
  <c r="AHM22" i="8"/>
  <c r="AEU22" i="8"/>
  <c r="AEJ22" i="8"/>
  <c r="AFH22" i="8"/>
  <c r="AGC22" i="8"/>
  <c r="AFJ22" i="8"/>
  <c r="AFN22" i="8"/>
  <c r="AGR22" i="8"/>
  <c r="ADS22" i="8"/>
  <c r="AFS22" i="8"/>
  <c r="ADI22" i="8"/>
  <c r="AFA22" i="8"/>
  <c r="AIG22" i="8"/>
  <c r="AGZ22" i="8"/>
  <c r="AHT22" i="8"/>
  <c r="AHU22" i="8"/>
  <c r="AFX22" i="8"/>
  <c r="AIQ22" i="8"/>
  <c r="AHL22" i="8"/>
  <c r="ACU22" i="8"/>
  <c r="AFK22" i="8"/>
  <c r="AFP22" i="8"/>
  <c r="AGU22" i="8"/>
  <c r="AEH22" i="8"/>
  <c r="AIH22" i="8"/>
  <c r="AGT22" i="8"/>
  <c r="ADD22" i="8"/>
  <c r="AGV22" i="8"/>
  <c r="ADH22" i="8"/>
  <c r="AEX22" i="8"/>
  <c r="AEO22" i="8"/>
  <c r="AFM22" i="8"/>
  <c r="ACR22" i="8"/>
  <c r="ACX22" i="8"/>
  <c r="AGE22" i="8"/>
  <c r="AIB22" i="8"/>
  <c r="AHP22" i="8"/>
  <c r="AIJ22" i="8"/>
  <c r="AFI22" i="8"/>
  <c r="AED22" i="8"/>
  <c r="AHD22" i="8"/>
  <c r="AIL22" i="8"/>
  <c r="AFQ22" i="8"/>
  <c r="ADG22" i="8"/>
  <c r="AIO22" i="8"/>
  <c r="ADR22" i="8"/>
  <c r="ADT22" i="8"/>
  <c r="AFB22" i="8"/>
  <c r="AEL22" i="8"/>
  <c r="ADW22" i="8"/>
  <c r="ADJ22" i="8"/>
  <c r="AGJ22" i="8"/>
  <c r="AFO22" i="8"/>
  <c r="AHJ22" i="8"/>
  <c r="ADM22" i="8"/>
  <c r="AEK22" i="8"/>
  <c r="AFF22" i="8"/>
  <c r="AGB22" i="8"/>
  <c r="AHE22" i="8"/>
  <c r="AIC22" i="8"/>
  <c r="AHX22" i="8"/>
  <c r="ACY22" i="8"/>
  <c r="AES22" i="8"/>
  <c r="AGP22" i="8"/>
  <c r="AEI22" i="8"/>
  <c r="AHQ22" i="8"/>
  <c r="AFW22" i="8"/>
  <c r="ADF22" i="8"/>
  <c r="AHV22" i="8"/>
  <c r="AEZ22" i="8"/>
  <c r="ADY22" i="8"/>
  <c r="AFT22" i="8"/>
  <c r="AGH22" i="8"/>
  <c r="ADO22" i="8"/>
  <c r="AIA22" i="8"/>
  <c r="AFY22" i="8"/>
  <c r="ADB22" i="8"/>
  <c r="AHB22" i="8"/>
  <c r="AFE22" i="8"/>
  <c r="AEW22" i="8"/>
  <c r="AGL22" i="8"/>
  <c r="AHK22" i="8"/>
  <c r="AHA22" i="8"/>
  <c r="AFC22" i="8"/>
  <c r="AEP22" i="8"/>
  <c r="AFG22" i="8"/>
  <c r="AII22" i="8"/>
  <c r="AHR22" i="8"/>
  <c r="AHW22" i="8"/>
  <c r="AET22" i="8"/>
  <c r="AEV22" i="8"/>
  <c r="AHY22" i="8"/>
  <c r="ACT22" i="8"/>
  <c r="AGX22" i="8"/>
  <c r="AEM22" i="8"/>
  <c r="UL22" i="8"/>
  <c r="ACM22" i="8"/>
  <c r="WD22" i="8"/>
  <c r="SH22" i="8"/>
  <c r="ABA22" i="8"/>
  <c r="TD22" i="8"/>
  <c r="ABZ22" i="8"/>
  <c r="VQ22" i="8"/>
  <c r="VK22" i="8"/>
  <c r="TC22" i="8"/>
  <c r="WC22" i="8"/>
  <c r="ABC22" i="8"/>
  <c r="WS22" i="8"/>
  <c r="YK22" i="8"/>
  <c r="YT22" i="8"/>
  <c r="WI22" i="8"/>
  <c r="WQ22" i="8"/>
  <c r="TK22" i="8"/>
  <c r="RS22" i="8"/>
  <c r="ZJ22" i="8"/>
  <c r="UR22" i="8"/>
  <c r="XH22" i="8"/>
  <c r="RJ22" i="8"/>
  <c r="ZG22" i="8"/>
  <c r="XU22" i="8"/>
  <c r="YP22" i="8"/>
  <c r="XB22" i="8"/>
  <c r="UW22" i="8"/>
  <c r="VR22" i="8"/>
  <c r="XK22" i="8"/>
  <c r="AAX22" i="8"/>
  <c r="WW22" i="8"/>
  <c r="UQ22" i="8"/>
  <c r="AAM22" i="8"/>
  <c r="RI22" i="8"/>
  <c r="TA22" i="8"/>
  <c r="YH22" i="8"/>
  <c r="XC22" i="8"/>
  <c r="VA22" i="8"/>
  <c r="ABW22" i="8"/>
  <c r="ST22" i="8"/>
  <c r="UN22" i="8"/>
  <c r="ACG22" i="8"/>
  <c r="XV22" i="8"/>
  <c r="ABR22" i="8"/>
  <c r="VT22" i="8"/>
  <c r="VF22" i="8"/>
  <c r="ZT22" i="8"/>
  <c r="WY22" i="8"/>
  <c r="ABT22" i="8"/>
  <c r="SW22" i="8"/>
  <c r="TL22" i="8"/>
  <c r="RK22" i="8"/>
  <c r="AAH22" i="8"/>
  <c r="ABH22" i="8"/>
  <c r="WH22" i="8"/>
  <c r="ZI22" i="8"/>
  <c r="WO22" i="8"/>
  <c r="TJ22" i="8"/>
  <c r="YQ22" i="8"/>
  <c r="XG22" i="8"/>
  <c r="SU22" i="8"/>
  <c r="AAA22" i="8"/>
  <c r="ZU22" i="8"/>
  <c r="ABK22" i="8"/>
  <c r="TS22" i="8"/>
  <c r="ACH22" i="8"/>
  <c r="SV22" i="8"/>
  <c r="AAY22" i="8"/>
  <c r="ABY22" i="8"/>
  <c r="AAF22" i="8"/>
  <c r="TZ22" i="8"/>
  <c r="VW22" i="8"/>
  <c r="SY22" i="8"/>
  <c r="ZK22" i="8"/>
  <c r="SQ22" i="8"/>
  <c r="UH22" i="8"/>
  <c r="WF22" i="8"/>
  <c r="YD22" i="8"/>
  <c r="WA22" i="8"/>
  <c r="ABE22" i="8"/>
  <c r="VG22" i="8"/>
  <c r="US22" i="8"/>
  <c r="RM22" i="8"/>
  <c r="VH22" i="8"/>
  <c r="XT22" i="8"/>
  <c r="VS22" i="8"/>
  <c r="ABJ22" i="8"/>
  <c r="ABQ22" i="8"/>
  <c r="ACJ22" i="8"/>
  <c r="SD22" i="8"/>
  <c r="VD22" i="8"/>
  <c r="AAT22" i="8"/>
  <c r="WK22" i="8"/>
  <c r="ZE22" i="8"/>
  <c r="RP22" i="8"/>
  <c r="ZQ22" i="8"/>
  <c r="XI22" i="8"/>
  <c r="SN22" i="8"/>
  <c r="WV22" i="8"/>
  <c r="ABP22" i="8"/>
  <c r="XJ22" i="8"/>
  <c r="VY22" i="8"/>
  <c r="AAJ22" i="8"/>
  <c r="UT22" i="8"/>
  <c r="AAZ22" i="8"/>
  <c r="ABU22" i="8"/>
  <c r="RT22" i="8"/>
  <c r="AAL22" i="8"/>
  <c r="RH22" i="8"/>
  <c r="TQ22" i="8"/>
  <c r="ACL22" i="8"/>
  <c r="WT22" i="8"/>
  <c r="TF22" i="8"/>
  <c r="UF22" i="8"/>
  <c r="ACC22" i="8"/>
  <c r="AAD22" i="8"/>
  <c r="ZW22" i="8"/>
  <c r="YX22" i="8"/>
  <c r="ABV22" i="8"/>
  <c r="RU22" i="8"/>
  <c r="XW22" i="8"/>
  <c r="ZV22" i="8"/>
  <c r="ZB22" i="8"/>
  <c r="AAI22" i="8"/>
  <c r="WG22" i="8"/>
  <c r="YW22" i="8"/>
  <c r="YC22" i="8"/>
  <c r="ABO22" i="8"/>
  <c r="AAR22" i="8"/>
  <c r="TE22" i="8"/>
  <c r="AAK22" i="8"/>
  <c r="RV22" i="8"/>
  <c r="VZ22" i="8"/>
  <c r="UM22" i="8"/>
  <c r="XM22" i="8"/>
  <c r="AAU22" i="8"/>
  <c r="VJ22" i="8"/>
  <c r="ABD22" i="8"/>
  <c r="TO22" i="8"/>
  <c r="XR22" i="8"/>
  <c r="RW22" i="8"/>
  <c r="TW22" i="8"/>
  <c r="SC22" i="8"/>
  <c r="RN22" i="8"/>
  <c r="ACF22" i="8"/>
  <c r="ACE22" i="8"/>
  <c r="RQ22" i="8"/>
  <c r="TV22" i="8"/>
  <c r="UC22" i="8"/>
  <c r="AAG22" i="8"/>
  <c r="UO22" i="8"/>
  <c r="YE22" i="8"/>
  <c r="ABM22" i="8"/>
  <c r="XL22" i="8"/>
  <c r="ZF22" i="8"/>
  <c r="TG22" i="8"/>
  <c r="WB22" i="8"/>
  <c r="ABS22" i="8"/>
  <c r="XS22" i="8"/>
  <c r="UK22" i="8"/>
  <c r="VX22" i="8"/>
  <c r="TX22" i="8"/>
  <c r="ZH22" i="8"/>
  <c r="SE22" i="8"/>
  <c r="ZA22" i="8"/>
  <c r="RE22" i="8"/>
  <c r="ABN22" i="8"/>
  <c r="SM22" i="8"/>
  <c r="YZ22" i="8"/>
  <c r="ZR22" i="8"/>
  <c r="WR22" i="8"/>
  <c r="WZ22" i="8"/>
  <c r="ABG22" i="8"/>
  <c r="ZS22" i="8"/>
  <c r="ZP22" i="8"/>
  <c r="YU22" i="8"/>
  <c r="WP22" i="8"/>
  <c r="ZX22" i="8"/>
  <c r="VV22" i="8"/>
  <c r="XQ22" i="8"/>
  <c r="UP22" i="8"/>
  <c r="WJ22" i="8"/>
  <c r="SP22" i="8"/>
  <c r="VO22" i="8"/>
  <c r="RX22" i="8"/>
  <c r="ACP22" i="8"/>
  <c r="AAW22" i="8"/>
  <c r="SO22" i="8"/>
  <c r="SK22" i="8"/>
  <c r="AAO22" i="8"/>
  <c r="WU22" i="8"/>
  <c r="SI22" i="8"/>
  <c r="XN22" i="8"/>
  <c r="AAS22" i="8"/>
  <c r="TI22" i="8"/>
  <c r="VI22" i="8"/>
  <c r="UY22" i="8"/>
  <c r="TT22" i="8"/>
  <c r="ZD22" i="8"/>
  <c r="RR22" i="8"/>
  <c r="ACD22" i="8"/>
  <c r="XO22" i="8"/>
  <c r="TY22" i="8"/>
  <c r="XA22" i="8"/>
  <c r="UA22" i="8"/>
  <c r="ACO22" i="8"/>
  <c r="YJ22" i="8"/>
  <c r="VE22" i="8"/>
  <c r="XD22" i="8"/>
  <c r="UI22" i="8"/>
  <c r="TB22" i="8"/>
  <c r="YL22" i="8"/>
  <c r="WM22" i="8"/>
  <c r="UE22" i="8"/>
  <c r="WL22" i="8"/>
  <c r="UB22" i="8"/>
  <c r="VP22" i="8"/>
  <c r="ZN22" i="8"/>
  <c r="VM22" i="8"/>
  <c r="SG22" i="8"/>
  <c r="TH22" i="8"/>
  <c r="YY22" i="8"/>
  <c r="YR22" i="8"/>
  <c r="YV22" i="8"/>
  <c r="TM22" i="8"/>
  <c r="ABB22" i="8"/>
  <c r="ACA22" i="8"/>
  <c r="YG22" i="8"/>
  <c r="XX22" i="8"/>
  <c r="ACQ22" i="8"/>
  <c r="UG22" i="8"/>
  <c r="ZY22" i="8"/>
  <c r="YM22" i="8"/>
  <c r="AAN22" i="8"/>
  <c r="TP22" i="8"/>
  <c r="VU22" i="8"/>
  <c r="RL22" i="8"/>
  <c r="ACI22" i="8"/>
  <c r="AAV22" i="8"/>
  <c r="ABI22" i="8"/>
  <c r="XF22" i="8"/>
  <c r="AAB22" i="8"/>
  <c r="VN22" i="8"/>
  <c r="RD22" i="8"/>
  <c r="SF22" i="8"/>
  <c r="TN22" i="8"/>
  <c r="ZZ22" i="8"/>
  <c r="RO22" i="8"/>
  <c r="VC22" i="8"/>
  <c r="UV22" i="8"/>
  <c r="WE22" i="8"/>
  <c r="UU22" i="8"/>
  <c r="ZM22" i="8"/>
  <c r="SL22" i="8"/>
  <c r="SR22" i="8"/>
  <c r="RF22" i="8"/>
  <c r="SZ22" i="8"/>
  <c r="YA22" i="8"/>
  <c r="RZ22" i="8"/>
  <c r="XY22" i="8"/>
  <c r="TU22" i="8"/>
  <c r="AAE22" i="8"/>
  <c r="UX22" i="8"/>
  <c r="YB22" i="8"/>
  <c r="YF22" i="8"/>
  <c r="ZL22" i="8"/>
  <c r="SJ22" i="8"/>
  <c r="ZC22" i="8"/>
  <c r="SA22" i="8"/>
  <c r="YO22" i="8"/>
  <c r="ACK22" i="8"/>
  <c r="ABL22" i="8"/>
  <c r="ACN22" i="8"/>
  <c r="VB22" i="8"/>
  <c r="ABX22" i="8"/>
  <c r="UJ22" i="8"/>
  <c r="AAP22" i="8"/>
  <c r="AAQ22" i="8"/>
  <c r="YN22" i="8"/>
  <c r="WX22" i="8"/>
  <c r="WN22" i="8"/>
  <c r="ABF22" i="8"/>
  <c r="YS22" i="8"/>
  <c r="YI22" i="8"/>
  <c r="AAC22" i="8"/>
  <c r="XZ22" i="8"/>
  <c r="TR22" i="8"/>
  <c r="UD22" i="8"/>
  <c r="VL22" i="8"/>
  <c r="SX22" i="8"/>
  <c r="ACB22" i="8"/>
  <c r="XE22" i="8"/>
  <c r="SB22" i="8"/>
  <c r="XP22" i="8"/>
  <c r="RG22" i="8"/>
  <c r="RY22" i="8"/>
  <c r="L32" i="4"/>
  <c r="ZO22" i="8"/>
  <c r="UZ22" i="8"/>
  <c r="P35" i="7"/>
  <c r="I24" i="4" l="1"/>
  <c r="I25" i="4" s="1"/>
  <c r="J20" i="4" s="1"/>
  <c r="J24" i="4" s="1"/>
  <c r="C4" i="8"/>
  <c r="M32" i="4"/>
  <c r="J25" i="4" l="1"/>
  <c r="K20" i="4" s="1"/>
  <c r="K24" i="4" s="1"/>
  <c r="XP21" i="8"/>
  <c r="XD21" i="8"/>
  <c r="RD21" i="8"/>
  <c r="AAJ21" i="8"/>
  <c r="N32" i="4"/>
  <c r="BS132" i="2"/>
  <c r="H53" i="1"/>
  <c r="K25" i="4" l="1"/>
  <c r="L20" i="4" s="1"/>
  <c r="L24" i="4" s="1"/>
  <c r="O32" i="4"/>
  <c r="L25" i="4" l="1"/>
  <c r="M20" i="4" s="1"/>
  <c r="M24" i="4" s="1"/>
  <c r="P32" i="4"/>
  <c r="M25" i="4" l="1"/>
  <c r="N20" i="4" s="1"/>
  <c r="N24" i="4" s="1"/>
  <c r="Q32" i="4"/>
  <c r="N25" i="4" l="1"/>
  <c r="O20" i="4" s="1"/>
  <c r="O24" i="4" s="1"/>
  <c r="O25" i="4" s="1"/>
  <c r="P20" i="4" s="1"/>
  <c r="P24" i="4" s="1"/>
  <c r="R32" i="4"/>
  <c r="S32" i="4" l="1"/>
  <c r="P25" i="4"/>
  <c r="Q20" i="4" s="1"/>
  <c r="Q24" i="4" s="1"/>
  <c r="T32" i="4" l="1"/>
  <c r="Q25" i="4"/>
  <c r="R20" i="4" s="1"/>
  <c r="R24" i="4" s="1"/>
  <c r="U32" i="4" l="1"/>
  <c r="R25" i="4"/>
  <c r="S20" i="4" s="1"/>
  <c r="S24" i="4" s="1"/>
  <c r="V32" i="4" l="1"/>
  <c r="S25" i="4"/>
  <c r="T20" i="4" s="1"/>
  <c r="T24" i="4" s="1"/>
  <c r="W32" i="4" l="1"/>
  <c r="T25" i="4"/>
  <c r="U20" i="4" s="1"/>
  <c r="U24" i="4" s="1"/>
  <c r="X32" i="4" l="1"/>
  <c r="U25" i="4"/>
  <c r="V20" i="4" s="1"/>
  <c r="V24" i="4" s="1"/>
  <c r="Y32" i="4" l="1"/>
  <c r="V25" i="4"/>
  <c r="W20" i="4" s="1"/>
  <c r="W24" i="4" s="1"/>
  <c r="Z32" i="4" l="1"/>
  <c r="W25" i="4"/>
  <c r="X20" i="4" s="1"/>
  <c r="X24" i="4" s="1"/>
  <c r="AA32" i="4" l="1"/>
  <c r="X25" i="4"/>
  <c r="Y20" i="4" s="1"/>
  <c r="Y24" i="4" s="1"/>
  <c r="Y25" i="4" l="1"/>
  <c r="Z20" i="4" s="1"/>
  <c r="Z24" i="4" s="1"/>
  <c r="Z25" i="4" l="1"/>
  <c r="AA20" i="4" s="1"/>
  <c r="AA24" i="4" s="1"/>
  <c r="AA25" i="4" l="1"/>
  <c r="AB20" i="4" s="1"/>
  <c r="AB24" i="4" s="1"/>
  <c r="AB25" i="4" l="1"/>
  <c r="AC20" i="4" s="1"/>
  <c r="AC24" i="4" s="1"/>
  <c r="AC25" i="4" l="1"/>
  <c r="AD20" i="4" s="1"/>
  <c r="AD24" i="4" s="1"/>
  <c r="AD25" i="4" l="1"/>
  <c r="AE20" i="4" s="1"/>
  <c r="AE24" i="4" s="1"/>
  <c r="AE25" i="4" l="1"/>
  <c r="AF20" i="4" s="1"/>
  <c r="AF24" i="4" s="1"/>
  <c r="AF25" i="4" l="1"/>
  <c r="AG20" i="4" s="1"/>
  <c r="AG24" i="4" s="1"/>
  <c r="AG25" i="4" l="1"/>
  <c r="AH20" i="4" s="1"/>
  <c r="AH24" i="4" s="1"/>
  <c r="AH25" i="4" l="1"/>
  <c r="AI20" i="4" s="1"/>
  <c r="AI24" i="4" s="1"/>
  <c r="AI25" i="4" l="1"/>
  <c r="AJ20" i="4" s="1"/>
  <c r="AJ24" i="4" s="1"/>
  <c r="AJ25" i="4" l="1"/>
  <c r="AK20" i="4" s="1"/>
  <c r="AK24" i="4" s="1"/>
  <c r="AK25" i="4" l="1"/>
  <c r="AL20" i="4" s="1"/>
  <c r="AL24" i="4" s="1"/>
  <c r="AL25" i="4" l="1"/>
  <c r="AM20" i="4" s="1"/>
  <c r="AM24" i="4" s="1"/>
  <c r="AM25" i="4" l="1"/>
  <c r="AN20" i="4" s="1"/>
  <c r="AN24" i="4" s="1"/>
  <c r="AN25" i="4" l="1"/>
  <c r="AO20" i="4" s="1"/>
  <c r="AO24" i="4" s="1"/>
  <c r="AO25" i="4" l="1"/>
  <c r="AP20" i="4" s="1"/>
  <c r="AP24" i="4" s="1"/>
  <c r="AP25" i="4" l="1"/>
  <c r="AQ20" i="4" s="1"/>
  <c r="AQ24" i="4" s="1"/>
  <c r="AQ25" i="4" l="1"/>
  <c r="AR20" i="4" s="1"/>
  <c r="AR24" i="4" s="1"/>
  <c r="AR25" i="4" l="1"/>
  <c r="AS20" i="4" s="1"/>
  <c r="AS24" i="4" s="1"/>
  <c r="AS25" i="4" l="1"/>
  <c r="AT20" i="4" s="1"/>
  <c r="AT24" i="4" s="1"/>
  <c r="AT25" i="4" l="1"/>
  <c r="AU20" i="4" s="1"/>
  <c r="AU24" i="4" s="1"/>
  <c r="AU25" i="4" l="1"/>
  <c r="AV20" i="4" s="1"/>
  <c r="AV24" i="4" s="1"/>
  <c r="AV25" i="4" l="1"/>
  <c r="AW20" i="4" s="1"/>
  <c r="AW24" i="4" s="1"/>
  <c r="AW25" i="4" l="1"/>
  <c r="AX20" i="4" s="1"/>
  <c r="AX24" i="4" s="1"/>
  <c r="AX25" i="4" l="1"/>
  <c r="AY20" i="4" s="1"/>
  <c r="AY24" i="4" s="1"/>
  <c r="AY25" i="4" l="1"/>
  <c r="AZ20" i="4" s="1"/>
  <c r="AZ24" i="4" s="1"/>
  <c r="AZ25" i="4" l="1"/>
  <c r="BA20" i="4" s="1"/>
  <c r="BA24" i="4" s="1"/>
  <c r="BA25" i="4" l="1"/>
  <c r="BB20" i="4" s="1"/>
  <c r="BB24" i="4" s="1"/>
  <c r="BB25" i="4" l="1"/>
  <c r="BC20" i="4" s="1"/>
  <c r="BC24" i="4" s="1"/>
  <c r="BC25" i="4" l="1"/>
  <c r="BD20" i="4" s="1"/>
  <c r="BD24" i="4" s="1"/>
  <c r="BD25" i="4" l="1"/>
  <c r="BE20" i="4" s="1"/>
  <c r="BE24" i="4" s="1"/>
  <c r="BE25" i="4" l="1"/>
  <c r="BF20" i="4" s="1"/>
  <c r="BF24" i="4" s="1"/>
  <c r="BF25" i="4" l="1"/>
  <c r="BG20" i="4" s="1"/>
  <c r="BG24" i="4" s="1"/>
  <c r="BG25" i="4" l="1"/>
  <c r="BH20" i="4" s="1"/>
  <c r="BH24" i="4" s="1"/>
  <c r="BH25" i="4" l="1"/>
  <c r="BI20" i="4" s="1"/>
  <c r="BI24" i="4" s="1"/>
  <c r="BI25" i="4" l="1"/>
  <c r="BJ20" i="4" s="1"/>
  <c r="BJ24" i="4" s="1"/>
  <c r="BJ25" i="4" l="1"/>
  <c r="BK20" i="4" s="1"/>
  <c r="BK24" i="4" s="1"/>
  <c r="BK25" i="4" l="1"/>
  <c r="BL20" i="4" s="1"/>
  <c r="BL24" i="4" s="1"/>
  <c r="BL25" i="4" l="1"/>
  <c r="BM20" i="4" s="1"/>
  <c r="BM24" i="4" s="1"/>
  <c r="BM25" i="4" l="1"/>
  <c r="BN20" i="4" s="1"/>
  <c r="BN24" i="4" s="1"/>
  <c r="BN25" i="4" l="1"/>
  <c r="BO20" i="4" s="1"/>
  <c r="BO24" i="4" s="1"/>
  <c r="BO25" i="4" l="1"/>
  <c r="BP20" i="4" s="1"/>
  <c r="BP24" i="4" s="1"/>
  <c r="BP25" i="4" l="1"/>
  <c r="BQ20" i="4" s="1"/>
  <c r="BQ24" i="4" s="1"/>
  <c r="BQ25" i="4" l="1"/>
  <c r="BR20" i="4" s="1"/>
  <c r="BR24" i="4" s="1"/>
  <c r="BR25" i="4" l="1"/>
  <c r="BS20" i="4" s="1"/>
  <c r="BS24" i="4" s="1"/>
  <c r="BS25" i="4" l="1"/>
  <c r="BT20" i="4" s="1"/>
  <c r="BT24" i="4" s="1"/>
  <c r="BT25" i="4" l="1"/>
  <c r="BU20" i="4" s="1"/>
  <c r="BU24" i="4" s="1"/>
  <c r="BU25" i="4" l="1"/>
  <c r="BV20" i="4" s="1"/>
  <c r="BV24" i="4" s="1"/>
  <c r="BV25" i="4" l="1"/>
  <c r="BW20" i="4" s="1"/>
  <c r="BW24" i="4" s="1"/>
  <c r="BW25" i="4" l="1"/>
  <c r="BX20" i="4" s="1"/>
  <c r="BX24" i="4" s="1"/>
  <c r="BX25" i="4" l="1"/>
  <c r="BY20" i="4" s="1"/>
  <c r="BY24" i="4" s="1"/>
  <c r="BY25" i="4" l="1"/>
  <c r="BZ20" i="4" s="1"/>
  <c r="BZ24" i="4" s="1"/>
  <c r="BZ25" i="4" l="1"/>
  <c r="CA20" i="4" s="1"/>
  <c r="CA24" i="4" s="1"/>
  <c r="CA25" i="4" l="1"/>
  <c r="CB20" i="4" s="1"/>
  <c r="CB24" i="4" s="1"/>
  <c r="CB25" i="4" l="1"/>
  <c r="CC20" i="4" s="1"/>
  <c r="CC24" i="4" s="1"/>
  <c r="CC25" i="4" l="1"/>
  <c r="CD20" i="4" s="1"/>
  <c r="CD24" i="4" s="1"/>
  <c r="CD25" i="4" l="1"/>
  <c r="CE20" i="4" s="1"/>
  <c r="CE24" i="4" s="1"/>
  <c r="CE25" i="4" l="1"/>
  <c r="CF20" i="4" s="1"/>
  <c r="CF24" i="4" s="1"/>
  <c r="CF25" i="4" l="1"/>
  <c r="CG20" i="4" s="1"/>
  <c r="CG24" i="4" s="1"/>
  <c r="CG25" i="4" l="1"/>
  <c r="CH20" i="4" s="1"/>
  <c r="CH24" i="4" s="1"/>
  <c r="CH25" i="4" l="1"/>
  <c r="CI20" i="4" s="1"/>
  <c r="CI24" i="4" s="1"/>
  <c r="CI25" i="4" l="1"/>
  <c r="CJ20" i="4" s="1"/>
  <c r="CJ24" i="4" s="1"/>
  <c r="CJ25" i="4" l="1"/>
  <c r="CK20" i="4" s="1"/>
  <c r="CK24" i="4" s="1"/>
  <c r="CK25" i="4" l="1"/>
  <c r="CL20" i="4" s="1"/>
  <c r="CL24" i="4" s="1"/>
  <c r="CL25" i="4" l="1"/>
  <c r="CM20" i="4" s="1"/>
  <c r="CM24" i="4" s="1"/>
  <c r="CM25" i="4" l="1"/>
  <c r="CN20" i="4" s="1"/>
  <c r="CN24" i="4" s="1"/>
  <c r="CN25" i="4" l="1"/>
  <c r="CO20" i="4" s="1"/>
  <c r="CO24" i="4" s="1"/>
  <c r="CO25" i="4" l="1"/>
  <c r="CP20" i="4" s="1"/>
  <c r="CP24" i="4" s="1"/>
  <c r="CP25" i="4" l="1"/>
  <c r="CQ20" i="4" s="1"/>
  <c r="CQ24" i="4" s="1"/>
  <c r="CQ25" i="4" l="1"/>
  <c r="CR20" i="4" s="1"/>
  <c r="CR24" i="4" s="1"/>
  <c r="CR25" i="4" l="1"/>
  <c r="CS20" i="4" s="1"/>
  <c r="CS24" i="4" s="1"/>
  <c r="CS25" i="4" l="1"/>
  <c r="CT20" i="4" s="1"/>
  <c r="CT24" i="4" s="1"/>
  <c r="CT25" i="4" l="1"/>
  <c r="CU20" i="4" s="1"/>
  <c r="CU24" i="4" s="1"/>
  <c r="CU25" i="4" l="1"/>
  <c r="CV20" i="4" s="1"/>
  <c r="CV24" i="4" s="1"/>
  <c r="CV25" i="4" l="1"/>
  <c r="CW20" i="4" s="1"/>
  <c r="CW24" i="4" s="1"/>
  <c r="CW25" i="4" l="1"/>
  <c r="CX20" i="4" s="1"/>
  <c r="CX24" i="4" s="1"/>
  <c r="CX25" i="4" l="1"/>
  <c r="CY20" i="4" s="1"/>
  <c r="CY24" i="4" s="1"/>
  <c r="CY25" i="4" l="1"/>
  <c r="CZ20" i="4" s="1"/>
  <c r="CZ24" i="4" s="1"/>
  <c r="CZ25" i="4" l="1"/>
  <c r="DA20" i="4" s="1"/>
  <c r="DA24" i="4" s="1"/>
  <c r="DA25" i="4" l="1"/>
  <c r="DB20" i="4" s="1"/>
  <c r="DB24" i="4" s="1"/>
  <c r="DB25" i="4" l="1"/>
  <c r="DC20" i="4" s="1"/>
  <c r="DC24" i="4" s="1"/>
  <c r="DC25" i="4" l="1"/>
  <c r="DD20" i="4" s="1"/>
  <c r="DD24" i="4" s="1"/>
  <c r="DD25" i="4" l="1"/>
  <c r="DE20" i="4" s="1"/>
  <c r="DE24" i="4" s="1"/>
  <c r="DE25" i="4" l="1"/>
  <c r="DF20" i="4" s="1"/>
  <c r="DF24" i="4" s="1"/>
  <c r="DF25" i="4" l="1"/>
  <c r="DG20" i="4" s="1"/>
  <c r="DG24" i="4" s="1"/>
  <c r="DG25" i="4" l="1"/>
  <c r="DH20" i="4" s="1"/>
  <c r="DH24" i="4" s="1"/>
  <c r="DH25" i="4" l="1"/>
  <c r="DI20" i="4" s="1"/>
  <c r="DI24" i="4" s="1"/>
  <c r="DI25" i="4" l="1"/>
  <c r="DJ20" i="4" s="1"/>
  <c r="DJ24" i="4" s="1"/>
  <c r="DJ25" i="4" l="1"/>
  <c r="DK20" i="4" s="1"/>
  <c r="DK24" i="4" s="1"/>
  <c r="DK25" i="4" l="1"/>
  <c r="DL20" i="4" s="1"/>
  <c r="DL24" i="4" s="1"/>
  <c r="DL25" i="4" l="1"/>
  <c r="DM20" i="4" s="1"/>
  <c r="DM24" i="4" s="1"/>
  <c r="DM25" i="4" l="1"/>
  <c r="DN20" i="4" s="1"/>
  <c r="DN24" i="4" s="1"/>
  <c r="DN25" i="4" l="1"/>
  <c r="DO20" i="4" s="1"/>
  <c r="DO24" i="4" s="1"/>
  <c r="DO25" i="4" l="1"/>
  <c r="DP20" i="4" s="1"/>
  <c r="DP24" i="4" s="1"/>
  <c r="DP25" i="4" l="1"/>
  <c r="DQ20" i="4" s="1"/>
  <c r="DQ24" i="4" s="1"/>
  <c r="DQ25" i="4" l="1"/>
  <c r="DR20" i="4" s="1"/>
  <c r="DR24" i="4" s="1"/>
  <c r="DR25" i="4" l="1"/>
  <c r="DS20" i="4" s="1"/>
  <c r="DS24" i="4" s="1"/>
  <c r="DS25" i="4" l="1"/>
  <c r="DT20" i="4" s="1"/>
  <c r="DT24" i="4" s="1"/>
  <c r="DT25" i="4" l="1"/>
  <c r="DU20" i="4" s="1"/>
  <c r="DU24" i="4" s="1"/>
  <c r="DU25" i="4" l="1"/>
  <c r="DV20" i="4" s="1"/>
  <c r="DV24" i="4" s="1"/>
  <c r="DV25" i="4" l="1"/>
  <c r="DW20" i="4" s="1"/>
  <c r="DW24" i="4" s="1"/>
  <c r="DW25" i="4" l="1"/>
  <c r="DX20" i="4" s="1"/>
  <c r="DX24" i="4" s="1"/>
  <c r="DX25" i="4" l="1"/>
  <c r="DY20" i="4" s="1"/>
  <c r="DY24" i="4" s="1"/>
  <c r="DY25" i="4" l="1"/>
  <c r="DZ20" i="4" s="1"/>
  <c r="DZ24" i="4" s="1"/>
  <c r="DZ25" i="4" l="1"/>
  <c r="EA20" i="4" s="1"/>
  <c r="EA24" i="4" s="1"/>
  <c r="EA25" i="4" l="1"/>
  <c r="EB20" i="4" s="1"/>
  <c r="EB24" i="4" s="1"/>
  <c r="EB25" i="4" l="1"/>
  <c r="EC20" i="4" s="1"/>
  <c r="EC24" i="4" s="1"/>
  <c r="EC25" i="4" l="1"/>
  <c r="ED20" i="4" s="1"/>
  <c r="ED24" i="4" s="1"/>
  <c r="ED25" i="4" l="1"/>
  <c r="EE20" i="4" s="1"/>
  <c r="EE24" i="4" s="1"/>
  <c r="EE25" i="4" l="1"/>
  <c r="EF20" i="4" s="1"/>
  <c r="EF24" i="4" s="1"/>
  <c r="EF25" i="4" l="1"/>
  <c r="EG20" i="4" s="1"/>
  <c r="EG24" i="4" s="1"/>
  <c r="EG25" i="4" l="1"/>
  <c r="EH20" i="4" s="1"/>
  <c r="EH24" i="4" s="1"/>
  <c r="EH25" i="4" l="1"/>
  <c r="EI20" i="4" s="1"/>
  <c r="EI24" i="4" s="1"/>
  <c r="EI25" i="4" l="1"/>
  <c r="EJ20" i="4" s="1"/>
  <c r="EJ24" i="4" s="1"/>
  <c r="EJ25" i="4" l="1"/>
  <c r="EK20" i="4" s="1"/>
  <c r="EK24" i="4" s="1"/>
  <c r="EK25" i="4" l="1"/>
  <c r="EL20" i="4" s="1"/>
  <c r="EL24" i="4" s="1"/>
  <c r="EL25" i="4" l="1"/>
  <c r="EM20" i="4" s="1"/>
  <c r="EM24" i="4" s="1"/>
  <c r="EM25" i="4" l="1"/>
  <c r="EN20" i="4" s="1"/>
  <c r="EN24" i="4" s="1"/>
  <c r="EN25" i="4" l="1"/>
  <c r="EO20" i="4" s="1"/>
  <c r="EO24" i="4" s="1"/>
  <c r="EO25" i="4" l="1"/>
  <c r="EP20" i="4" s="1"/>
  <c r="EP24" i="4" s="1"/>
  <c r="EP25" i="4" l="1"/>
  <c r="EQ20" i="4" s="1"/>
  <c r="EQ24" i="4" s="1"/>
  <c r="EQ25" i="4" l="1"/>
  <c r="ER20" i="4" s="1"/>
  <c r="ER24" i="4" s="1"/>
  <c r="ER25" i="4" l="1"/>
  <c r="ES20" i="4" s="1"/>
  <c r="ES24" i="4" s="1"/>
  <c r="ES25" i="4" l="1"/>
  <c r="ET20" i="4" s="1"/>
  <c r="ET24" i="4" s="1"/>
  <c r="ET25" i="4" l="1"/>
  <c r="EU20" i="4" s="1"/>
  <c r="EU24" i="4" s="1"/>
  <c r="EU25" i="4" l="1"/>
  <c r="EV20" i="4" s="1"/>
  <c r="EV24" i="4" s="1"/>
  <c r="EV25" i="4" l="1"/>
  <c r="EW20" i="4" s="1"/>
  <c r="EW24" i="4" s="1"/>
  <c r="EW25" i="4" l="1"/>
  <c r="EX20" i="4" s="1"/>
  <c r="EX24" i="4" s="1"/>
  <c r="EX25" i="4" l="1"/>
  <c r="EY20" i="4" s="1"/>
  <c r="EY24" i="4" s="1"/>
  <c r="EY25" i="4" l="1"/>
  <c r="EZ20" i="4" s="1"/>
  <c r="EZ24" i="4" s="1"/>
  <c r="EZ25" i="4" l="1"/>
  <c r="FA20" i="4" s="1"/>
  <c r="FA24" i="4" s="1"/>
  <c r="FA25" i="4" l="1"/>
  <c r="FB20" i="4" s="1"/>
  <c r="FB24" i="4" s="1"/>
  <c r="FB25" i="4" l="1"/>
  <c r="FC20" i="4" s="1"/>
  <c r="FC24" i="4" s="1"/>
  <c r="FC25" i="4" l="1"/>
  <c r="FD20" i="4" s="1"/>
  <c r="FD24" i="4" s="1"/>
  <c r="FD25" i="4" l="1"/>
  <c r="FE20" i="4" s="1"/>
  <c r="FE24" i="4" s="1"/>
  <c r="FE25" i="4" l="1"/>
  <c r="FF20" i="4" s="1"/>
  <c r="FF24" i="4" s="1"/>
  <c r="FF25" i="4" l="1"/>
  <c r="FG20" i="4" s="1"/>
  <c r="FG24" i="4" s="1"/>
  <c r="FG25" i="4" l="1"/>
  <c r="FH20" i="4" s="1"/>
  <c r="FH24" i="4" s="1"/>
  <c r="FH25" i="4" l="1"/>
  <c r="FI20" i="4" s="1"/>
  <c r="FI24" i="4" s="1"/>
  <c r="FI25" i="4" l="1"/>
  <c r="FJ20" i="4" s="1"/>
  <c r="FJ24" i="4" s="1"/>
  <c r="FJ25" i="4" l="1"/>
  <c r="FK20" i="4" s="1"/>
  <c r="FK24" i="4" s="1"/>
  <c r="FK25" i="4" l="1"/>
  <c r="FL20" i="4" s="1"/>
  <c r="FL24" i="4" s="1"/>
  <c r="FL25" i="4" l="1"/>
  <c r="FM20" i="4" s="1"/>
  <c r="FM24" i="4" s="1"/>
  <c r="FM25" i="4" l="1"/>
  <c r="FN20" i="4" s="1"/>
  <c r="FN24" i="4" s="1"/>
  <c r="FN25" i="4" l="1"/>
  <c r="FO20" i="4" s="1"/>
  <c r="FO24" i="4" s="1"/>
  <c r="FO25" i="4" l="1"/>
  <c r="FP20" i="4" s="1"/>
  <c r="FP24" i="4" s="1"/>
  <c r="FP25" i="4" l="1"/>
  <c r="FQ20" i="4" s="1"/>
  <c r="FQ24" i="4" s="1"/>
  <c r="FQ25" i="4" l="1"/>
  <c r="FR20" i="4" s="1"/>
  <c r="FR24" i="4" s="1"/>
  <c r="FR25" i="4" l="1"/>
  <c r="FS20" i="4" s="1"/>
  <c r="FS24" i="4" s="1"/>
  <c r="FS25" i="4" l="1"/>
  <c r="FT20" i="4" s="1"/>
  <c r="FT24" i="4" s="1"/>
  <c r="FT25" i="4" l="1"/>
  <c r="FU20" i="4" s="1"/>
  <c r="FU24" i="4" s="1"/>
  <c r="FU25" i="4" l="1"/>
  <c r="FV20" i="4" s="1"/>
  <c r="FV24" i="4" s="1"/>
  <c r="FV25" i="4" l="1"/>
  <c r="FW20" i="4" s="1"/>
  <c r="FW24" i="4" s="1"/>
  <c r="FW25" i="4" l="1"/>
  <c r="FX20" i="4" s="1"/>
  <c r="FX24" i="4" s="1"/>
  <c r="FX25" i="4" l="1"/>
  <c r="FY20" i="4" s="1"/>
  <c r="FY24" i="4" s="1"/>
  <c r="FY25" i="4" l="1"/>
  <c r="FZ20" i="4" s="1"/>
  <c r="FZ24" i="4" s="1"/>
  <c r="FZ25" i="4" l="1"/>
  <c r="GA20" i="4" s="1"/>
  <c r="GA24" i="4" s="1"/>
  <c r="GA25" i="4" l="1"/>
  <c r="GB20" i="4" s="1"/>
  <c r="GB24" i="4" s="1"/>
  <c r="GB25" i="4" l="1"/>
  <c r="GC20" i="4" s="1"/>
  <c r="GC24" i="4" s="1"/>
  <c r="GC25" i="4" l="1"/>
  <c r="GD20" i="4" s="1"/>
  <c r="GD24" i="4" s="1"/>
  <c r="GD25" i="4" l="1"/>
  <c r="GE20" i="4" s="1"/>
  <c r="GE24" i="4" s="1"/>
  <c r="GE25" i="4" l="1"/>
  <c r="GF20" i="4" s="1"/>
  <c r="GF24" i="4" s="1"/>
  <c r="GF25" i="4" l="1"/>
  <c r="GG20" i="4" s="1"/>
  <c r="GG24" i="4" s="1"/>
  <c r="GG25" i="4" l="1"/>
  <c r="GH20" i="4" s="1"/>
  <c r="GH24" i="4" s="1"/>
  <c r="GH25" i="4" l="1"/>
  <c r="GI20" i="4" s="1"/>
  <c r="GI24" i="4" s="1"/>
  <c r="GI25" i="4" l="1"/>
  <c r="GJ20" i="4" s="1"/>
  <c r="GJ24" i="4" s="1"/>
  <c r="GJ25" i="4" l="1"/>
  <c r="GK20" i="4" s="1"/>
  <c r="GK24" i="4" s="1"/>
  <c r="GK25" i="4" l="1"/>
  <c r="GL20" i="4" s="1"/>
  <c r="GL24" i="4" s="1"/>
  <c r="GL25" i="4" l="1"/>
  <c r="GM20" i="4" s="1"/>
  <c r="GM24" i="4" s="1"/>
  <c r="GM25" i="4" l="1"/>
  <c r="GN20" i="4" s="1"/>
  <c r="GN24" i="4" s="1"/>
  <c r="GN25" i="4" l="1"/>
  <c r="GO20" i="4" s="1"/>
  <c r="GO24" i="4" s="1"/>
  <c r="GO25" i="4" l="1"/>
  <c r="GP20" i="4" s="1"/>
  <c r="GP24" i="4" s="1"/>
  <c r="GP25" i="4" l="1"/>
  <c r="GQ20" i="4" s="1"/>
  <c r="GQ24" i="4" s="1"/>
  <c r="GQ25" i="4" l="1"/>
  <c r="GR20" i="4" s="1"/>
  <c r="GR24" i="4" s="1"/>
  <c r="GR25" i="4" l="1"/>
  <c r="GS20" i="4" s="1"/>
  <c r="GS24" i="4" s="1"/>
  <c r="GS25" i="4" l="1"/>
  <c r="GT20" i="4" s="1"/>
  <c r="GT24" i="4" s="1"/>
  <c r="GT25" i="4" l="1"/>
  <c r="GU20" i="4" s="1"/>
  <c r="GU24" i="4" s="1"/>
  <c r="GU25" i="4" l="1"/>
  <c r="GV20" i="4" s="1"/>
  <c r="GV24" i="4" s="1"/>
  <c r="GV25" i="4" l="1"/>
  <c r="GW20" i="4" s="1"/>
  <c r="GW24" i="4" s="1"/>
  <c r="GW25" i="4" l="1"/>
  <c r="GX20" i="4" s="1"/>
  <c r="GX24" i="4" s="1"/>
  <c r="GX25" i="4" l="1"/>
  <c r="GY20" i="4" s="1"/>
  <c r="GY24" i="4" s="1"/>
  <c r="GY25" i="4" l="1"/>
  <c r="GZ20" i="4" s="1"/>
  <c r="GZ24" i="4" s="1"/>
  <c r="GZ25" i="4" l="1"/>
  <c r="HA20" i="4" s="1"/>
  <c r="HA24" i="4" s="1"/>
  <c r="HA25" i="4" l="1"/>
  <c r="HB20" i="4" s="1"/>
  <c r="HB24" i="4" s="1"/>
  <c r="HB25" i="4" l="1"/>
  <c r="HC20" i="4" s="1"/>
  <c r="HC24" i="4" s="1"/>
  <c r="HC25" i="4" l="1"/>
  <c r="HD20" i="4" s="1"/>
  <c r="HD24" i="4" s="1"/>
  <c r="HD25" i="4" l="1"/>
  <c r="HE20" i="4" s="1"/>
  <c r="HE24" i="4" s="1"/>
  <c r="HE25" i="4" l="1"/>
  <c r="HF20" i="4" s="1"/>
  <c r="HF24" i="4" s="1"/>
  <c r="HF25" i="4" l="1"/>
  <c r="HG20" i="4" s="1"/>
  <c r="HG24" i="4" s="1"/>
  <c r="HG25" i="4" l="1"/>
  <c r="HH20" i="4" s="1"/>
  <c r="HH24" i="4" s="1"/>
  <c r="HH25" i="4" l="1"/>
  <c r="HI20" i="4" s="1"/>
  <c r="HI24" i="4" s="1"/>
  <c r="HI25" i="4" l="1"/>
  <c r="HJ20" i="4" s="1"/>
  <c r="HJ24" i="4" s="1"/>
  <c r="HJ25" i="4" l="1"/>
  <c r="HK20" i="4" s="1"/>
  <c r="HK24" i="4" s="1"/>
  <c r="HK25" i="4" l="1"/>
  <c r="HL20" i="4" s="1"/>
  <c r="HL24" i="4" s="1"/>
  <c r="HL25" i="4" l="1"/>
  <c r="HM20" i="4" s="1"/>
  <c r="HM24" i="4" s="1"/>
  <c r="HM25" i="4" l="1"/>
  <c r="HN20" i="4" s="1"/>
  <c r="HN24" i="4" s="1"/>
  <c r="HN25" i="4" l="1"/>
  <c r="HO20" i="4" s="1"/>
  <c r="HO24" i="4" s="1"/>
  <c r="HO25" i="4" l="1"/>
  <c r="HP20" i="4" s="1"/>
  <c r="HP24" i="4" s="1"/>
  <c r="HP25" i="4" l="1"/>
  <c r="HQ20" i="4" s="1"/>
  <c r="HQ24" i="4" s="1"/>
  <c r="HQ25" i="4" l="1"/>
  <c r="HR20" i="4" s="1"/>
  <c r="HR24" i="4" s="1"/>
  <c r="HR25" i="4" l="1"/>
  <c r="HS20" i="4" s="1"/>
  <c r="HS24" i="4" s="1"/>
  <c r="HS25" i="4" l="1"/>
  <c r="HT20" i="4" s="1"/>
  <c r="HT24" i="4" s="1"/>
  <c r="HT25" i="4" l="1"/>
  <c r="HU20" i="4" s="1"/>
  <c r="HU24" i="4" s="1"/>
  <c r="HU25" i="4" l="1"/>
  <c r="HV20" i="4" s="1"/>
  <c r="HV24" i="4" s="1"/>
  <c r="HV25" i="4" l="1"/>
  <c r="HW20" i="4" s="1"/>
  <c r="HW24" i="4" s="1"/>
  <c r="HW25" i="4" l="1"/>
  <c r="HX20" i="4" s="1"/>
  <c r="HX24" i="4" s="1"/>
  <c r="HX25" i="4" l="1"/>
  <c r="HY20" i="4" s="1"/>
  <c r="HY24" i="4" s="1"/>
  <c r="HY25" i="4" l="1"/>
  <c r="HZ20" i="4" s="1"/>
  <c r="HZ24" i="4" s="1"/>
  <c r="HZ25" i="4" l="1"/>
  <c r="IA20" i="4" s="1"/>
  <c r="IA24" i="4" s="1"/>
  <c r="IA25" i="4" l="1"/>
  <c r="IB20" i="4" s="1"/>
  <c r="IB24" i="4" s="1"/>
  <c r="IB25" i="4" l="1"/>
  <c r="IC20" i="4" s="1"/>
  <c r="IC24" i="4" s="1"/>
  <c r="IC25" i="4" l="1"/>
  <c r="ID20" i="4" s="1"/>
  <c r="ID24" i="4" s="1"/>
  <c r="ID25" i="4" l="1"/>
  <c r="IE20" i="4" s="1"/>
  <c r="IE24" i="4" s="1"/>
  <c r="IE25" i="4" l="1"/>
  <c r="IF20" i="4" s="1"/>
  <c r="IF24" i="4" s="1"/>
  <c r="IF25" i="4" l="1"/>
  <c r="IG20" i="4" s="1"/>
  <c r="IG24" i="4" s="1"/>
  <c r="IG25" i="4" l="1"/>
  <c r="IH20" i="4" s="1"/>
  <c r="IH24" i="4" s="1"/>
  <c r="IH25" i="4" l="1"/>
  <c r="II20" i="4" s="1"/>
  <c r="II24" i="4" s="1"/>
  <c r="II25" i="4" l="1"/>
  <c r="IJ20" i="4" s="1"/>
  <c r="IJ24" i="4" s="1"/>
  <c r="IJ25" i="4" l="1"/>
  <c r="IK20" i="4" s="1"/>
  <c r="IK24" i="4" s="1"/>
  <c r="IK25" i="4" l="1"/>
  <c r="IL20" i="4" s="1"/>
  <c r="IL24" i="4" s="1"/>
  <c r="IL25" i="4" l="1"/>
  <c r="IM20" i="4" s="1"/>
  <c r="IM24" i="4" s="1"/>
  <c r="IM25" i="4" l="1"/>
  <c r="IN20" i="4" s="1"/>
  <c r="IN24" i="4" s="1"/>
  <c r="IN25" i="4" l="1"/>
  <c r="IO20" i="4" s="1"/>
  <c r="IO24" i="4" s="1"/>
  <c r="IO25" i="4" l="1"/>
  <c r="IP20" i="4" s="1"/>
  <c r="IP24" i="4" s="1"/>
  <c r="IP25" i="4" l="1"/>
  <c r="IQ20" i="4" s="1"/>
  <c r="IQ24" i="4" s="1"/>
  <c r="IQ25" i="4" l="1"/>
  <c r="IR20" i="4" s="1"/>
  <c r="IR24" i="4" s="1"/>
  <c r="IR25" i="4" l="1"/>
  <c r="IS20" i="4" s="1"/>
  <c r="IS24" i="4" s="1"/>
  <c r="IS25" i="4" l="1"/>
  <c r="IT20" i="4" s="1"/>
  <c r="IT24" i="4" s="1"/>
  <c r="IT25" i="4" l="1"/>
  <c r="IU20" i="4" s="1"/>
  <c r="IU24" i="4" s="1"/>
  <c r="IU25" i="4" l="1"/>
  <c r="IV20" i="4" s="1"/>
  <c r="IV24" i="4" s="1"/>
  <c r="IV25" i="4" l="1"/>
  <c r="IW20" i="4" s="1"/>
  <c r="IW24" i="4" s="1"/>
  <c r="IW25" i="4" l="1"/>
  <c r="IX20" i="4" s="1"/>
  <c r="IX24" i="4" s="1"/>
  <c r="IX25" i="4" l="1"/>
  <c r="IY20" i="4" s="1"/>
  <c r="IY24" i="4" s="1"/>
  <c r="IY25" i="4" l="1"/>
  <c r="IZ20" i="4" s="1"/>
  <c r="IZ24" i="4" s="1"/>
  <c r="IZ25" i="4" l="1"/>
  <c r="JA20" i="4" s="1"/>
  <c r="JA24" i="4" s="1"/>
  <c r="JA25" i="4" l="1"/>
  <c r="JB20" i="4" s="1"/>
  <c r="JB24" i="4" s="1"/>
  <c r="JB25" i="4" l="1"/>
  <c r="JC20" i="4" s="1"/>
  <c r="JC24" i="4" s="1"/>
  <c r="JC25" i="4" l="1"/>
  <c r="JD20" i="4" s="1"/>
  <c r="JD24" i="4" s="1"/>
  <c r="JD25" i="4" l="1"/>
  <c r="JE20" i="4" s="1"/>
  <c r="JE24" i="4" s="1"/>
  <c r="JE25" i="4" l="1"/>
  <c r="JF20" i="4" s="1"/>
  <c r="JF24" i="4" s="1"/>
  <c r="JF25" i="4" l="1"/>
  <c r="JG20" i="4" s="1"/>
  <c r="JG24" i="4" s="1"/>
  <c r="JG25" i="4" l="1"/>
  <c r="JH20" i="4" s="1"/>
  <c r="JH24" i="4" s="1"/>
  <c r="JH25" i="4" l="1"/>
  <c r="JI20" i="4" s="1"/>
  <c r="JI24" i="4" s="1"/>
  <c r="JI25" i="4" l="1"/>
  <c r="JJ20" i="4" s="1"/>
  <c r="JJ24" i="4" s="1"/>
  <c r="JJ25" i="4" l="1"/>
  <c r="JK20" i="4" s="1"/>
  <c r="JK24" i="4" s="1"/>
  <c r="JK25" i="4" l="1"/>
  <c r="JL20" i="4" s="1"/>
  <c r="JL24" i="4" s="1"/>
  <c r="JL25" i="4" l="1"/>
  <c r="JM20" i="4" s="1"/>
  <c r="JM24" i="4" s="1"/>
  <c r="JM25" i="4" l="1"/>
  <c r="JN20" i="4" s="1"/>
  <c r="JN24" i="4" s="1"/>
  <c r="JN25" i="4" l="1"/>
  <c r="JO20" i="4" s="1"/>
  <c r="JO24" i="4" s="1"/>
  <c r="JO25" i="4" l="1"/>
  <c r="JP20" i="4" s="1"/>
  <c r="JP24" i="4" s="1"/>
  <c r="JP25" i="4" l="1"/>
  <c r="JQ20" i="4" s="1"/>
  <c r="JQ24" i="4" s="1"/>
  <c r="JQ25" i="4" l="1"/>
  <c r="JR20" i="4" s="1"/>
  <c r="JR24" i="4" s="1"/>
  <c r="JR25" i="4" l="1"/>
  <c r="JS20" i="4" s="1"/>
  <c r="JS24" i="4" s="1"/>
  <c r="JS25" i="4" l="1"/>
  <c r="JT20" i="4" s="1"/>
  <c r="JT24" i="4" s="1"/>
  <c r="JT25" i="4" l="1"/>
  <c r="JU20" i="4" s="1"/>
  <c r="JU24" i="4" s="1"/>
  <c r="JU25" i="4" l="1"/>
  <c r="JV20" i="4" s="1"/>
  <c r="JV24" i="4" s="1"/>
  <c r="JV25" i="4" l="1"/>
  <c r="JW20" i="4" s="1"/>
  <c r="JW24" i="4" s="1"/>
  <c r="JW25" i="4" l="1"/>
  <c r="JX20" i="4" s="1"/>
  <c r="JX24" i="4" s="1"/>
  <c r="JX25" i="4" l="1"/>
  <c r="JY20" i="4" s="1"/>
  <c r="JY24" i="4" s="1"/>
  <c r="JY25" i="4" l="1"/>
  <c r="JZ20" i="4" s="1"/>
  <c r="JZ24" i="4" s="1"/>
  <c r="JZ25" i="4" l="1"/>
  <c r="KA20" i="4" s="1"/>
  <c r="KA24" i="4" s="1"/>
  <c r="KA25" i="4" l="1"/>
  <c r="KB20" i="4" s="1"/>
  <c r="KB24" i="4" s="1"/>
  <c r="KB25" i="4" l="1"/>
  <c r="KC20" i="4" s="1"/>
  <c r="KC24" i="4" s="1"/>
  <c r="KC25" i="4" l="1"/>
  <c r="KD20" i="4" s="1"/>
  <c r="KD24" i="4" s="1"/>
  <c r="KD25" i="4" l="1"/>
  <c r="KE20" i="4" s="1"/>
  <c r="KE24" i="4" s="1"/>
  <c r="KE25" i="4" l="1"/>
  <c r="KF20" i="4" s="1"/>
  <c r="KF24" i="4" s="1"/>
  <c r="KF25" i="4" l="1"/>
  <c r="KG20" i="4" s="1"/>
  <c r="KG24" i="4" s="1"/>
  <c r="KG25" i="4" l="1"/>
  <c r="KH20" i="4" s="1"/>
  <c r="KH24" i="4" s="1"/>
  <c r="KH25" i="4" l="1"/>
  <c r="KI20" i="4" s="1"/>
  <c r="KI24" i="4" s="1"/>
  <c r="KI25" i="4" l="1"/>
  <c r="KJ20" i="4" s="1"/>
  <c r="KJ24" i="4" s="1"/>
  <c r="KJ25" i="4" l="1"/>
  <c r="KK20" i="4" s="1"/>
  <c r="KK24" i="4" s="1"/>
  <c r="KK25" i="4" l="1"/>
  <c r="KL20" i="4" s="1"/>
  <c r="KL24" i="4" s="1"/>
  <c r="KL25" i="4" l="1"/>
  <c r="KM20" i="4" s="1"/>
  <c r="KM24" i="4" s="1"/>
  <c r="KM25" i="4" l="1"/>
  <c r="KN20" i="4" s="1"/>
  <c r="KN24" i="4" s="1"/>
  <c r="KN25" i="4" l="1"/>
  <c r="KO20" i="4" s="1"/>
  <c r="KO24" i="4" s="1"/>
  <c r="KO25" i="4" l="1"/>
  <c r="KP20" i="4" s="1"/>
  <c r="KP24" i="4" s="1"/>
  <c r="KP25" i="4" l="1"/>
  <c r="KQ20" i="4" s="1"/>
  <c r="KQ24" i="4" s="1"/>
  <c r="KQ25" i="4" l="1"/>
  <c r="KR20" i="4" s="1"/>
  <c r="KR24" i="4" s="1"/>
  <c r="KR25" i="4" l="1"/>
  <c r="KS20" i="4" s="1"/>
  <c r="KS24" i="4" s="1"/>
  <c r="KS25" i="4" l="1"/>
  <c r="KT20" i="4" s="1"/>
  <c r="KT24" i="4" s="1"/>
  <c r="KT25" i="4" l="1"/>
  <c r="KU20" i="4" s="1"/>
  <c r="KU24" i="4" s="1"/>
  <c r="KU25" i="4" l="1"/>
  <c r="KV20" i="4" s="1"/>
  <c r="KV24" i="4" s="1"/>
  <c r="KV25" i="4" l="1"/>
  <c r="KW20" i="4" s="1"/>
  <c r="KW24" i="4" s="1"/>
  <c r="KW25" i="4" l="1"/>
  <c r="KX20" i="4" s="1"/>
  <c r="KX24" i="4" s="1"/>
  <c r="KX25" i="4" l="1"/>
  <c r="KY20" i="4" s="1"/>
  <c r="KY24" i="4" s="1"/>
  <c r="KY25" i="4" l="1"/>
  <c r="KZ20" i="4" s="1"/>
  <c r="KZ24" i="4" s="1"/>
  <c r="KZ25" i="4" l="1"/>
  <c r="LA20" i="4" s="1"/>
  <c r="LA24" i="4" s="1"/>
  <c r="LA25" i="4" l="1"/>
  <c r="LB20" i="4" s="1"/>
  <c r="LB24" i="4" s="1"/>
  <c r="LB25" i="4" l="1"/>
  <c r="LC20" i="4" s="1"/>
  <c r="LC24" i="4" s="1"/>
  <c r="LC25" i="4" l="1"/>
  <c r="LD20" i="4" s="1"/>
  <c r="LD24" i="4" s="1"/>
  <c r="LD25" i="4" l="1"/>
  <c r="LE20" i="4" s="1"/>
  <c r="LE24" i="4" s="1"/>
  <c r="LE25" i="4" l="1"/>
  <c r="LF20" i="4" s="1"/>
  <c r="LF24" i="4" s="1"/>
  <c r="LF25" i="4" l="1"/>
  <c r="LG20" i="4" s="1"/>
  <c r="LG24" i="4" s="1"/>
  <c r="LG25" i="4" l="1"/>
  <c r="LH20" i="4" s="1"/>
  <c r="LH24" i="4" s="1"/>
  <c r="LH25" i="4" l="1"/>
  <c r="LI20" i="4" s="1"/>
  <c r="LI24" i="4" s="1"/>
  <c r="LI25" i="4" l="1"/>
  <c r="LJ20" i="4" s="1"/>
  <c r="LJ24" i="4" s="1"/>
  <c r="LJ25" i="4" l="1"/>
  <c r="LK20" i="4" s="1"/>
  <c r="LK24" i="4" s="1"/>
  <c r="LK25" i="4" l="1"/>
  <c r="LL20" i="4" s="1"/>
  <c r="LL24" i="4" s="1"/>
  <c r="LL25" i="4" l="1"/>
  <c r="LM20" i="4" s="1"/>
  <c r="LM24" i="4" s="1"/>
  <c r="LM25" i="4" l="1"/>
  <c r="LN20" i="4" s="1"/>
  <c r="LN24" i="4" s="1"/>
  <c r="LN25" i="4" l="1"/>
  <c r="LO20" i="4" s="1"/>
  <c r="LO24" i="4" s="1"/>
  <c r="LO25" i="4" l="1"/>
  <c r="LP20" i="4" s="1"/>
  <c r="LP24" i="4" s="1"/>
  <c r="LP25" i="4" l="1"/>
  <c r="LQ20" i="4" s="1"/>
  <c r="LQ24" i="4" s="1"/>
  <c r="LQ25" i="4" l="1"/>
  <c r="LR20" i="4" s="1"/>
  <c r="LR24" i="4" s="1"/>
  <c r="LR25" i="4" l="1"/>
  <c r="LS20" i="4" s="1"/>
  <c r="LS24" i="4" s="1"/>
  <c r="LS25" i="4" l="1"/>
  <c r="LT20" i="4" s="1"/>
  <c r="LT24" i="4" s="1"/>
  <c r="LT25" i="4" l="1"/>
  <c r="LU20" i="4" s="1"/>
  <c r="LU24" i="4" s="1"/>
  <c r="LU25" i="4" l="1"/>
  <c r="LV20" i="4" s="1"/>
  <c r="LV24" i="4" s="1"/>
  <c r="LV25" i="4" l="1"/>
  <c r="LW20" i="4" s="1"/>
  <c r="LW24" i="4" s="1"/>
  <c r="LW25" i="4" l="1"/>
  <c r="LX20" i="4" s="1"/>
  <c r="LX24" i="4" s="1"/>
  <c r="LX25" i="4" l="1"/>
  <c r="LY20" i="4" s="1"/>
  <c r="LY24" i="4" s="1"/>
  <c r="LY25" i="4" l="1"/>
  <c r="LZ20" i="4" s="1"/>
  <c r="LZ24" i="4" s="1"/>
  <c r="LZ25" i="4" l="1"/>
  <c r="MA20" i="4" s="1"/>
  <c r="MA24" i="4" s="1"/>
  <c r="MA25" i="4" l="1"/>
  <c r="MB20" i="4" s="1"/>
  <c r="MB24" i="4" s="1"/>
  <c r="MB25" i="4" l="1"/>
  <c r="MC20" i="4" s="1"/>
  <c r="MC24" i="4" s="1"/>
  <c r="MC25" i="4" l="1"/>
  <c r="MD20" i="4" s="1"/>
  <c r="MD24" i="4" s="1"/>
  <c r="MD25" i="4" l="1"/>
  <c r="ME20" i="4" s="1"/>
  <c r="ME24" i="4" s="1"/>
  <c r="ME25" i="4" l="1"/>
  <c r="MF20" i="4" s="1"/>
  <c r="MF24" i="4" s="1"/>
  <c r="MF25" i="4" l="1"/>
  <c r="MG20" i="4" s="1"/>
  <c r="MG24" i="4" s="1"/>
  <c r="MG25" i="4" l="1"/>
  <c r="MH20" i="4" s="1"/>
  <c r="MH24" i="4" s="1"/>
  <c r="MH25" i="4" l="1"/>
  <c r="MI20" i="4" s="1"/>
  <c r="MI24" i="4" s="1"/>
  <c r="MI25" i="4" l="1"/>
  <c r="MJ20" i="4" s="1"/>
  <c r="MJ24" i="4" s="1"/>
  <c r="MJ25" i="4" l="1"/>
  <c r="MK20" i="4" s="1"/>
  <c r="MK24" i="4" s="1"/>
  <c r="MK25" i="4" l="1"/>
  <c r="ML20" i="4" s="1"/>
  <c r="ML24" i="4" s="1"/>
  <c r="ML25" i="4" l="1"/>
  <c r="MM20" i="4" s="1"/>
  <c r="MM24" i="4" s="1"/>
  <c r="MM25" i="4" l="1"/>
  <c r="MN20" i="4" s="1"/>
  <c r="MN24" i="4" s="1"/>
  <c r="MN25" i="4" l="1"/>
  <c r="MO20" i="4" s="1"/>
  <c r="MO24" i="4" s="1"/>
  <c r="MO25" i="4" l="1"/>
  <c r="MP20" i="4" s="1"/>
  <c r="MP24" i="4" s="1"/>
  <c r="MP25" i="4" l="1"/>
  <c r="MQ20" i="4" s="1"/>
  <c r="MQ24" i="4" s="1"/>
  <c r="MQ25" i="4" l="1"/>
  <c r="MR20" i="4" s="1"/>
  <c r="MR24" i="4" s="1"/>
  <c r="MR25" i="4" l="1"/>
  <c r="MS20" i="4" s="1"/>
  <c r="MS24" i="4" s="1"/>
  <c r="MS25" i="4" l="1"/>
  <c r="MT20" i="4" s="1"/>
  <c r="MT24" i="4" s="1"/>
  <c r="MT25" i="4" l="1"/>
  <c r="MU20" i="4" s="1"/>
  <c r="MU24" i="4" s="1"/>
  <c r="MU25" i="4" l="1"/>
  <c r="MV20" i="4" s="1"/>
  <c r="MV24" i="4" s="1"/>
  <c r="MV25" i="4" l="1"/>
  <c r="MW20" i="4" s="1"/>
  <c r="MW24" i="4" s="1"/>
  <c r="MW25" i="4" l="1"/>
  <c r="MX20" i="4" s="1"/>
  <c r="MX24" i="4" s="1"/>
  <c r="MX25" i="4" l="1"/>
  <c r="MY20" i="4" s="1"/>
  <c r="MY24" i="4" s="1"/>
  <c r="MY25" i="4" l="1"/>
  <c r="MZ20" i="4" s="1"/>
  <c r="MZ24" i="4" s="1"/>
  <c r="MZ25" i="4" l="1"/>
  <c r="NA20" i="4" s="1"/>
  <c r="NA24" i="4" s="1"/>
  <c r="NA25" i="4" l="1"/>
  <c r="NB20" i="4" s="1"/>
  <c r="NB24" i="4" s="1"/>
  <c r="NB25" i="4" l="1"/>
  <c r="NC20" i="4" s="1"/>
  <c r="NC24" i="4" s="1"/>
  <c r="NC25" i="4" l="1"/>
  <c r="ND20" i="4" s="1"/>
  <c r="ND24" i="4" s="1"/>
  <c r="ND25" i="4" l="1"/>
  <c r="NE20" i="4" s="1"/>
  <c r="NE24" i="4" s="1"/>
  <c r="NE25" i="4" l="1"/>
  <c r="NF20" i="4" s="1"/>
  <c r="NF24" i="4" s="1"/>
  <c r="NF25" i="4" l="1"/>
  <c r="NG20" i="4" s="1"/>
  <c r="NG24" i="4" s="1"/>
  <c r="NG25" i="4" l="1"/>
  <c r="NH20" i="4" s="1"/>
  <c r="NH24" i="4" s="1"/>
  <c r="NH25" i="4" l="1"/>
  <c r="NI20" i="4" s="1"/>
  <c r="NI24" i="4" s="1"/>
  <c r="NI25" i="4" l="1"/>
  <c r="NJ20" i="4" s="1"/>
  <c r="NJ24" i="4" s="1"/>
  <c r="NJ25" i="4" l="1"/>
  <c r="NK20" i="4" s="1"/>
  <c r="NK24" i="4" s="1"/>
  <c r="NK25" i="4" l="1"/>
  <c r="NL20" i="4" s="1"/>
  <c r="NL24" i="4" s="1"/>
  <c r="NL25" i="4" l="1"/>
  <c r="NM20" i="4" s="1"/>
  <c r="NM24" i="4" s="1"/>
  <c r="NM25" i="4" l="1"/>
  <c r="NN20" i="4" s="1"/>
  <c r="NN24" i="4" s="1"/>
  <c r="NN25" i="4" l="1"/>
  <c r="NO20" i="4" s="1"/>
  <c r="NO24" i="4" s="1"/>
  <c r="NO25" i="4" l="1"/>
  <c r="NP20" i="4" s="1"/>
  <c r="NP24" i="4" s="1"/>
  <c r="NP25" i="4" l="1"/>
  <c r="NQ20" i="4" s="1"/>
  <c r="NQ24" i="4" s="1"/>
  <c r="NQ25" i="4" l="1"/>
  <c r="NR20" i="4" s="1"/>
  <c r="NR24" i="4" s="1"/>
  <c r="NR25" i="4" l="1"/>
  <c r="NS20" i="4" s="1"/>
  <c r="NS24" i="4" s="1"/>
  <c r="NS25" i="4" l="1"/>
  <c r="NT20" i="4" s="1"/>
  <c r="NT24" i="4" s="1"/>
  <c r="NT25" i="4" l="1"/>
  <c r="NU20" i="4" s="1"/>
  <c r="NU24" i="4" s="1"/>
  <c r="NU25" i="4" l="1"/>
  <c r="NV20" i="4" s="1"/>
  <c r="NV24" i="4" s="1"/>
  <c r="NV25" i="4" l="1"/>
  <c r="NW20" i="4" s="1"/>
  <c r="NW24" i="4" s="1"/>
  <c r="NW25" i="4" l="1"/>
  <c r="NX20" i="4" s="1"/>
  <c r="NX24" i="4" s="1"/>
  <c r="NX25" i="4" l="1"/>
  <c r="NY20" i="4" s="1"/>
  <c r="NY24" i="4" s="1"/>
  <c r="NY25" i="4" l="1"/>
  <c r="NZ20" i="4" s="1"/>
  <c r="NZ24" i="4" s="1"/>
  <c r="NZ25" i="4" l="1"/>
  <c r="OA20" i="4" s="1"/>
  <c r="OA24" i="4" s="1"/>
  <c r="OA25" i="4" l="1"/>
  <c r="OB20" i="4" s="1"/>
  <c r="OB24" i="4" s="1"/>
  <c r="OB25" i="4" l="1"/>
  <c r="OC20" i="4" s="1"/>
  <c r="OC24" i="4" s="1"/>
  <c r="OC25" i="4" l="1"/>
  <c r="OD20" i="4" s="1"/>
  <c r="OD24" i="4" s="1"/>
  <c r="OD25" i="4" l="1"/>
  <c r="OE20" i="4" s="1"/>
  <c r="OE24" i="4" s="1"/>
  <c r="OE25" i="4" l="1"/>
  <c r="OF20" i="4" s="1"/>
  <c r="OF24" i="4" s="1"/>
  <c r="OF25" i="4" l="1"/>
  <c r="OG20" i="4" s="1"/>
  <c r="OG24" i="4" s="1"/>
  <c r="OG25" i="4" l="1"/>
  <c r="OH20" i="4" s="1"/>
  <c r="OH24" i="4" s="1"/>
  <c r="OH25" i="4" l="1"/>
  <c r="OI20" i="4" s="1"/>
  <c r="OI24" i="4" s="1"/>
  <c r="OI25" i="4" l="1"/>
  <c r="OJ20" i="4" s="1"/>
  <c r="OJ24" i="4" s="1"/>
  <c r="OJ25" i="4" l="1"/>
  <c r="OK20" i="4" s="1"/>
  <c r="OK24" i="4" s="1"/>
  <c r="OK25" i="4" l="1"/>
  <c r="OL20" i="4" s="1"/>
  <c r="OL24" i="4" s="1"/>
  <c r="OL25" i="4" l="1"/>
  <c r="OM20" i="4" s="1"/>
  <c r="OM24" i="4" s="1"/>
  <c r="OM25" i="4" l="1"/>
  <c r="ON20" i="4" s="1"/>
  <c r="ON24" i="4" s="1"/>
  <c r="ON25" i="4" l="1"/>
  <c r="OO20" i="4" s="1"/>
  <c r="OO24" i="4" s="1"/>
  <c r="OO25" i="4" l="1"/>
  <c r="OP20" i="4" s="1"/>
  <c r="OP24" i="4" s="1"/>
  <c r="OP25" i="4" l="1"/>
  <c r="OQ20" i="4" s="1"/>
  <c r="OQ24" i="4" s="1"/>
  <c r="OQ25" i="4" l="1"/>
  <c r="OR20" i="4" s="1"/>
  <c r="OR24" i="4" s="1"/>
  <c r="OR25" i="4" l="1"/>
  <c r="OS20" i="4" s="1"/>
  <c r="OS24" i="4" s="1"/>
  <c r="OS25" i="4" l="1"/>
  <c r="OT20" i="4" s="1"/>
  <c r="OT24" i="4" s="1"/>
  <c r="OT25" i="4" l="1"/>
  <c r="OU20" i="4" s="1"/>
  <c r="OU24" i="4" s="1"/>
  <c r="OU25" i="4" l="1"/>
  <c r="OV20" i="4" s="1"/>
  <c r="OV24" i="4" s="1"/>
  <c r="OV25" i="4" l="1"/>
  <c r="OW20" i="4" s="1"/>
  <c r="OW24" i="4" s="1"/>
  <c r="OW25" i="4" l="1"/>
  <c r="OX20" i="4" s="1"/>
  <c r="OX24" i="4" s="1"/>
  <c r="OX25" i="4" l="1"/>
  <c r="OY20" i="4" s="1"/>
  <c r="OY24" i="4" s="1"/>
  <c r="OY25" i="4" l="1"/>
  <c r="OZ20" i="4" s="1"/>
  <c r="OZ24" i="4" s="1"/>
  <c r="OZ25" i="4" l="1"/>
  <c r="PA20" i="4" s="1"/>
  <c r="PA24" i="4" s="1"/>
  <c r="PA25" i="4" l="1"/>
  <c r="PB20" i="4" s="1"/>
  <c r="PB24" i="4" s="1"/>
  <c r="PB25" i="4" l="1"/>
  <c r="PC20" i="4" s="1"/>
  <c r="PC24" i="4" s="1"/>
  <c r="PC25" i="4" l="1"/>
  <c r="PD20" i="4" s="1"/>
  <c r="PD24" i="4" s="1"/>
  <c r="PD25" i="4" l="1"/>
  <c r="PE20" i="4" s="1"/>
  <c r="PE24" i="4" s="1"/>
  <c r="PE25" i="4" l="1"/>
  <c r="PF20" i="4" s="1"/>
  <c r="PF24" i="4" s="1"/>
  <c r="PF25" i="4" l="1"/>
  <c r="PG20" i="4" s="1"/>
  <c r="PG24" i="4" s="1"/>
  <c r="PG25" i="4" l="1"/>
  <c r="PH20" i="4" s="1"/>
  <c r="PH24" i="4" s="1"/>
  <c r="PH25" i="4" l="1"/>
  <c r="PI20" i="4" s="1"/>
  <c r="PI24" i="4" s="1"/>
  <c r="PI25" i="4" l="1"/>
  <c r="PJ20" i="4" s="1"/>
  <c r="PJ24" i="4" s="1"/>
  <c r="PJ25" i="4" l="1"/>
  <c r="PK20" i="4" s="1"/>
  <c r="PK24" i="4" s="1"/>
  <c r="PK25" i="4" l="1"/>
  <c r="PL20" i="4" s="1"/>
  <c r="PL24" i="4" s="1"/>
  <c r="PL25" i="4" l="1"/>
  <c r="PM20" i="4" s="1"/>
  <c r="PM24" i="4" s="1"/>
  <c r="PM25" i="4" l="1"/>
  <c r="PN20" i="4" s="1"/>
  <c r="PN24" i="4" s="1"/>
  <c r="PN25" i="4" l="1"/>
  <c r="PO20" i="4" s="1"/>
  <c r="PO24" i="4" s="1"/>
  <c r="PO25" i="4" l="1"/>
  <c r="PP20" i="4" s="1"/>
  <c r="PP24" i="4" s="1"/>
  <c r="PP25" i="4" l="1"/>
  <c r="PQ20" i="4" s="1"/>
  <c r="PQ24" i="4" s="1"/>
  <c r="PQ25" i="4" l="1"/>
  <c r="PR20" i="4" s="1"/>
  <c r="PR24" i="4" s="1"/>
  <c r="PR25" i="4" l="1"/>
  <c r="PS20" i="4" s="1"/>
  <c r="PS24" i="4" s="1"/>
  <c r="PS25" i="4" l="1"/>
  <c r="PT20" i="4" s="1"/>
  <c r="PT24" i="4" s="1"/>
  <c r="PT25" i="4" l="1"/>
  <c r="PU20" i="4" s="1"/>
  <c r="PU24" i="4" s="1"/>
  <c r="PU25" i="4" l="1"/>
  <c r="PV20" i="4" s="1"/>
  <c r="PV24" i="4" s="1"/>
  <c r="PV25" i="4" l="1"/>
  <c r="PW20" i="4" s="1"/>
  <c r="PW24" i="4" s="1"/>
  <c r="PW25" i="4" l="1"/>
  <c r="PX20" i="4" s="1"/>
  <c r="PX24" i="4" s="1"/>
  <c r="PX25" i="4" l="1"/>
  <c r="PY20" i="4" s="1"/>
  <c r="PY24" i="4" s="1"/>
  <c r="PY25" i="4" l="1"/>
  <c r="PZ20" i="4" s="1"/>
  <c r="PZ24" i="4" s="1"/>
  <c r="PZ25" i="4" l="1"/>
  <c r="QA20" i="4" s="1"/>
  <c r="QA24" i="4" s="1"/>
  <c r="QA25" i="4" l="1"/>
  <c r="QB20" i="4" s="1"/>
  <c r="QB24" i="4" s="1"/>
  <c r="QB25" i="4" l="1"/>
  <c r="QC20" i="4" s="1"/>
  <c r="QC24" i="4" s="1"/>
  <c r="QC25" i="4" l="1"/>
  <c r="QD20" i="4" s="1"/>
  <c r="QD24" i="4" s="1"/>
  <c r="QD25" i="4" l="1"/>
  <c r="QE20" i="4" s="1"/>
  <c r="QE24" i="4" s="1"/>
  <c r="QE25" i="4" l="1"/>
  <c r="QF20" i="4" s="1"/>
  <c r="QF24" i="4" s="1"/>
  <c r="QF25" i="4" l="1"/>
  <c r="QG20" i="4" s="1"/>
  <c r="QG24" i="4" s="1"/>
  <c r="QG25" i="4" l="1"/>
  <c r="QH20" i="4" s="1"/>
  <c r="QH24" i="4" s="1"/>
  <c r="QH25" i="4" l="1"/>
  <c r="QI20" i="4" s="1"/>
  <c r="QI24" i="4" s="1"/>
  <c r="QI25" i="4" l="1"/>
  <c r="QJ20" i="4" s="1"/>
  <c r="QJ24" i="4" s="1"/>
  <c r="QJ25" i="4" l="1"/>
  <c r="QK20" i="4" s="1"/>
  <c r="QK24" i="4" s="1"/>
  <c r="QK25" i="4" l="1"/>
  <c r="QL20" i="4" s="1"/>
  <c r="QL24" i="4" s="1"/>
  <c r="QL25" i="4" l="1"/>
  <c r="QM20" i="4" s="1"/>
  <c r="QM24" i="4" s="1"/>
  <c r="QM25" i="4" l="1"/>
  <c r="QN20" i="4" s="1"/>
  <c r="QN24" i="4" s="1"/>
  <c r="QN25" i="4" l="1"/>
  <c r="QO20" i="4" s="1"/>
  <c r="QO24" i="4" s="1"/>
  <c r="QO25" i="4" l="1"/>
  <c r="QP20" i="4" s="1"/>
  <c r="QP24" i="4" s="1"/>
  <c r="QP25" i="4" l="1"/>
  <c r="QQ20" i="4" s="1"/>
  <c r="QQ24" i="4" s="1"/>
  <c r="QQ25" i="4" l="1"/>
  <c r="QR20" i="4" s="1"/>
  <c r="QR24" i="4" s="1"/>
  <c r="QR25" i="4" l="1"/>
  <c r="QS20" i="4" s="1"/>
  <c r="QS24" i="4" s="1"/>
  <c r="QS25" i="4" l="1"/>
  <c r="QT20" i="4" s="1"/>
  <c r="QT24" i="4" s="1"/>
  <c r="QT25" i="4" l="1"/>
  <c r="QU20" i="4" s="1"/>
  <c r="QU24" i="4" s="1"/>
  <c r="QU25" i="4" l="1"/>
  <c r="QV20" i="4" s="1"/>
  <c r="QV24" i="4" s="1"/>
  <c r="QV25" i="4" l="1"/>
  <c r="QW20" i="4" s="1"/>
  <c r="QW24" i="4" s="1"/>
  <c r="QW25" i="4" l="1"/>
  <c r="QX20" i="4" s="1"/>
  <c r="QX24" i="4" s="1"/>
  <c r="QX25" i="4" l="1"/>
  <c r="QY20" i="4" s="1"/>
  <c r="QY24" i="4" s="1"/>
  <c r="QY25" i="4" l="1"/>
  <c r="QZ20" i="4" s="1"/>
  <c r="QZ24" i="4" s="1"/>
  <c r="QZ25" i="4" l="1"/>
  <c r="RA20" i="4" s="1"/>
  <c r="RA24" i="4" s="1"/>
  <c r="RA25" i="4" l="1"/>
  <c r="RB20" i="4" s="1"/>
  <c r="RB24" i="4" s="1"/>
  <c r="RB25" i="4" l="1"/>
  <c r="RC20" i="4" s="1"/>
  <c r="RC24" i="4" s="1"/>
  <c r="RC25" i="4" l="1"/>
  <c r="RD20" i="4" s="1"/>
  <c r="RD24" i="4" s="1"/>
  <c r="RD25" i="4" l="1"/>
  <c r="RE20" i="4" s="1"/>
  <c r="RE24" i="4" s="1"/>
  <c r="RE25" i="4" l="1"/>
  <c r="RF20" i="4" s="1"/>
  <c r="RF24" i="4" s="1"/>
  <c r="RF25" i="4" l="1"/>
  <c r="RG20" i="4" s="1"/>
  <c r="RG24" i="4" s="1"/>
  <c r="RG25" i="4" l="1"/>
  <c r="RH20" i="4" s="1"/>
  <c r="RH24" i="4" s="1"/>
  <c r="RH25" i="4" l="1"/>
  <c r="RI20" i="4" s="1"/>
  <c r="RI24" i="4" s="1"/>
  <c r="RI25" i="4" l="1"/>
  <c r="RJ20" i="4" s="1"/>
  <c r="RJ24" i="4" s="1"/>
  <c r="RJ25" i="4" l="1"/>
  <c r="RK20" i="4" s="1"/>
  <c r="RK24" i="4" s="1"/>
  <c r="RK25" i="4" l="1"/>
  <c r="RL20" i="4" s="1"/>
  <c r="RL24" i="4" s="1"/>
  <c r="RL25" i="4" l="1"/>
  <c r="RM20" i="4" s="1"/>
  <c r="RM24" i="4" s="1"/>
  <c r="RM25" i="4" l="1"/>
  <c r="RN20" i="4" s="1"/>
  <c r="RN24" i="4" s="1"/>
  <c r="RN25" i="4" l="1"/>
  <c r="RO20" i="4" s="1"/>
  <c r="RO24" i="4" s="1"/>
  <c r="RO25" i="4" l="1"/>
  <c r="RP20" i="4" s="1"/>
  <c r="RP24" i="4" s="1"/>
  <c r="RP25" i="4" l="1"/>
  <c r="RQ20" i="4" s="1"/>
  <c r="RQ24" i="4" s="1"/>
  <c r="RQ25" i="4" l="1"/>
  <c r="RR20" i="4" s="1"/>
  <c r="RR24" i="4" s="1"/>
  <c r="RR25" i="4" l="1"/>
  <c r="RS20" i="4" s="1"/>
  <c r="RS24" i="4" s="1"/>
  <c r="RS25" i="4" l="1"/>
  <c r="RT20" i="4" s="1"/>
  <c r="RT24" i="4" s="1"/>
  <c r="RT25" i="4" l="1"/>
  <c r="RU20" i="4" s="1"/>
  <c r="RU24" i="4" s="1"/>
  <c r="RU25" i="4" l="1"/>
  <c r="RV20" i="4" s="1"/>
  <c r="RV24" i="4" s="1"/>
  <c r="RV25" i="4" l="1"/>
  <c r="RW20" i="4" s="1"/>
  <c r="RW24" i="4" s="1"/>
  <c r="RW25" i="4" l="1"/>
  <c r="RX20" i="4" s="1"/>
  <c r="RX24" i="4" s="1"/>
  <c r="RX25" i="4" l="1"/>
  <c r="RY20" i="4" s="1"/>
  <c r="RY24" i="4" s="1"/>
  <c r="RY25" i="4" l="1"/>
  <c r="RZ20" i="4" s="1"/>
  <c r="RZ24" i="4" s="1"/>
  <c r="RZ25" i="4" l="1"/>
  <c r="SA20" i="4" s="1"/>
  <c r="SA24" i="4" s="1"/>
  <c r="SA25" i="4" l="1"/>
  <c r="SB20" i="4" s="1"/>
  <c r="SB24" i="4" s="1"/>
  <c r="SB25" i="4" l="1"/>
  <c r="SC20" i="4" s="1"/>
  <c r="SC24" i="4" s="1"/>
  <c r="SC25" i="4" l="1"/>
  <c r="SD20" i="4" s="1"/>
  <c r="SD24" i="4" s="1"/>
  <c r="SD25" i="4" l="1"/>
  <c r="SE20" i="4" s="1"/>
  <c r="SE24" i="4" s="1"/>
  <c r="SE25" i="4" l="1"/>
  <c r="SF20" i="4" s="1"/>
  <c r="SF24" i="4" s="1"/>
  <c r="SF25" i="4" l="1"/>
  <c r="SG20" i="4" s="1"/>
  <c r="SG24" i="4" s="1"/>
  <c r="SG25" i="4" l="1"/>
  <c r="SH20" i="4" s="1"/>
  <c r="SH24" i="4" s="1"/>
  <c r="SH25" i="4" l="1"/>
  <c r="SI20" i="4" s="1"/>
  <c r="SI24" i="4" s="1"/>
  <c r="SI25" i="4" l="1"/>
  <c r="SJ20" i="4" s="1"/>
  <c r="SJ24" i="4" s="1"/>
  <c r="SJ25" i="4" l="1"/>
  <c r="SK20" i="4" s="1"/>
  <c r="SK24" i="4" s="1"/>
  <c r="SK25" i="4" l="1"/>
  <c r="SL20" i="4" s="1"/>
  <c r="SL24" i="4" s="1"/>
  <c r="SL25" i="4" l="1"/>
  <c r="SM20" i="4" s="1"/>
  <c r="SM24" i="4" s="1"/>
  <c r="SM25" i="4" l="1"/>
  <c r="SN20" i="4" s="1"/>
  <c r="SN24" i="4" s="1"/>
  <c r="SN25" i="4" l="1"/>
  <c r="SO20" i="4" s="1"/>
  <c r="SO24" i="4" s="1"/>
  <c r="SO25" i="4" l="1"/>
  <c r="SP20" i="4" s="1"/>
  <c r="SP24" i="4" s="1"/>
  <c r="SP25" i="4" l="1"/>
  <c r="SQ20" i="4" s="1"/>
  <c r="SQ24" i="4" s="1"/>
  <c r="SQ25" i="4" l="1"/>
  <c r="SR20" i="4" s="1"/>
  <c r="SR24" i="4" s="1"/>
  <c r="SR25" i="4" l="1"/>
  <c r="SS20" i="4" s="1"/>
  <c r="SS24" i="4" s="1"/>
  <c r="SS25" i="4" l="1"/>
  <c r="ST20" i="4" s="1"/>
  <c r="ST24" i="4" s="1"/>
  <c r="ST25" i="4" l="1"/>
  <c r="SU20" i="4" s="1"/>
  <c r="SU24" i="4" s="1"/>
  <c r="SU25" i="4" l="1"/>
  <c r="SV20" i="4" s="1"/>
  <c r="SV24" i="4" s="1"/>
  <c r="SV25" i="4" l="1"/>
  <c r="SW20" i="4" s="1"/>
  <c r="SW24" i="4" s="1"/>
  <c r="SW25" i="4" l="1"/>
  <c r="SX20" i="4" s="1"/>
  <c r="SX24" i="4" s="1"/>
  <c r="SX25" i="4" l="1"/>
  <c r="SY20" i="4" s="1"/>
  <c r="SY24" i="4" s="1"/>
  <c r="SY25" i="4" l="1"/>
  <c r="SZ20" i="4" s="1"/>
  <c r="SZ24" i="4" s="1"/>
  <c r="SZ25" i="4" l="1"/>
  <c r="TA20" i="4" s="1"/>
  <c r="TA24" i="4" s="1"/>
  <c r="TA25" i="4" l="1"/>
  <c r="TB20" i="4" s="1"/>
  <c r="TB24" i="4" s="1"/>
  <c r="TB25" i="4" l="1"/>
  <c r="TC20" i="4" s="1"/>
  <c r="TC24" i="4" s="1"/>
  <c r="TC25" i="4" l="1"/>
  <c r="TD20" i="4" s="1"/>
  <c r="TD24" i="4" s="1"/>
  <c r="TD25" i="4" l="1"/>
  <c r="TE20" i="4" s="1"/>
  <c r="TE24" i="4" s="1"/>
  <c r="TE25" i="4" l="1"/>
  <c r="TF20" i="4" s="1"/>
  <c r="TF24" i="4" s="1"/>
  <c r="TF25" i="4" l="1"/>
  <c r="TG20" i="4" s="1"/>
  <c r="TG24" i="4" s="1"/>
  <c r="TG25" i="4" l="1"/>
  <c r="TH20" i="4" s="1"/>
  <c r="TH24" i="4" s="1"/>
  <c r="TH25" i="4" l="1"/>
  <c r="TI20" i="4" s="1"/>
  <c r="TI24" i="4" s="1"/>
  <c r="TI25" i="4" l="1"/>
  <c r="TJ20" i="4" s="1"/>
  <c r="TJ24" i="4" s="1"/>
  <c r="TJ25" i="4" l="1"/>
  <c r="TK20" i="4" s="1"/>
  <c r="TK24" i="4" s="1"/>
  <c r="TK25" i="4" l="1"/>
  <c r="TL20" i="4" s="1"/>
  <c r="TL24" i="4" s="1"/>
  <c r="TL25" i="4" l="1"/>
  <c r="TM20" i="4" s="1"/>
  <c r="TM24" i="4" s="1"/>
  <c r="TM25" i="4" l="1"/>
  <c r="TN20" i="4" s="1"/>
  <c r="TN24" i="4" s="1"/>
  <c r="TN25" i="4" l="1"/>
  <c r="TO20" i="4" s="1"/>
  <c r="TO24" i="4" s="1"/>
  <c r="TO25" i="4" l="1"/>
  <c r="TP20" i="4" s="1"/>
  <c r="TP24" i="4" s="1"/>
  <c r="TP25" i="4" l="1"/>
  <c r="TQ20" i="4" s="1"/>
  <c r="TQ24" i="4" s="1"/>
  <c r="TQ25" i="4" l="1"/>
  <c r="TR20" i="4" s="1"/>
  <c r="TR24" i="4" s="1"/>
  <c r="TR25" i="4" l="1"/>
  <c r="TS20" i="4" s="1"/>
  <c r="TS24" i="4" s="1"/>
  <c r="TS25" i="4" l="1"/>
  <c r="TT20" i="4" s="1"/>
  <c r="TT24" i="4" s="1"/>
  <c r="TT25" i="4" l="1"/>
  <c r="TU20" i="4" s="1"/>
  <c r="TU24" i="4" s="1"/>
  <c r="TU25" i="4" l="1"/>
  <c r="TV20" i="4" s="1"/>
  <c r="TV24" i="4" s="1"/>
  <c r="TV25" i="4" l="1"/>
  <c r="TW20" i="4" s="1"/>
  <c r="TW24" i="4" s="1"/>
  <c r="TW25" i="4" l="1"/>
  <c r="TX20" i="4" s="1"/>
  <c r="TX24" i="4" s="1"/>
  <c r="TX25" i="4" l="1"/>
  <c r="TY20" i="4" s="1"/>
  <c r="TY24" i="4" s="1"/>
  <c r="TY25" i="4" l="1"/>
  <c r="TZ20" i="4" s="1"/>
  <c r="TZ24" i="4" s="1"/>
  <c r="TZ25" i="4" l="1"/>
  <c r="UA20" i="4" s="1"/>
  <c r="UA24" i="4" s="1"/>
  <c r="UA25" i="4" l="1"/>
  <c r="UB20" i="4" s="1"/>
  <c r="UB24" i="4" s="1"/>
  <c r="UB25" i="4" l="1"/>
  <c r="UC20" i="4" s="1"/>
  <c r="UC24" i="4" s="1"/>
  <c r="UC25" i="4" l="1"/>
  <c r="UD20" i="4" s="1"/>
  <c r="UD24" i="4" s="1"/>
  <c r="UD25" i="4" l="1"/>
  <c r="UE20" i="4" s="1"/>
  <c r="UE24" i="4" s="1"/>
  <c r="UE25" i="4" l="1"/>
  <c r="UF20" i="4" s="1"/>
  <c r="UF24" i="4" s="1"/>
  <c r="UF25" i="4" l="1"/>
  <c r="UG20" i="4" s="1"/>
  <c r="UG24" i="4" s="1"/>
  <c r="UG25" i="4" l="1"/>
  <c r="UH20" i="4" s="1"/>
  <c r="UH24" i="4" s="1"/>
  <c r="UH25" i="4" l="1"/>
  <c r="UI20" i="4" s="1"/>
  <c r="UI24" i="4" s="1"/>
  <c r="UI25" i="4" l="1"/>
  <c r="UJ20" i="4" s="1"/>
  <c r="UJ24" i="4" s="1"/>
  <c r="UJ25" i="4" l="1"/>
  <c r="UK20" i="4" s="1"/>
  <c r="UK24" i="4" s="1"/>
  <c r="UK25" i="4" l="1"/>
  <c r="UL20" i="4" s="1"/>
  <c r="UL24" i="4" s="1"/>
  <c r="UL25" i="4" l="1"/>
  <c r="UM20" i="4" s="1"/>
  <c r="UM24" i="4" s="1"/>
  <c r="UM25" i="4" l="1"/>
  <c r="UN20" i="4" s="1"/>
  <c r="UN24" i="4" s="1"/>
  <c r="UN25" i="4" l="1"/>
  <c r="UO20" i="4" s="1"/>
  <c r="UO24" i="4" s="1"/>
  <c r="UO25" i="4" l="1"/>
  <c r="UP20" i="4" s="1"/>
  <c r="UP24" i="4" s="1"/>
  <c r="UP25" i="4" l="1"/>
  <c r="UQ20" i="4" s="1"/>
  <c r="UQ24" i="4" s="1"/>
  <c r="UQ25" i="4" l="1"/>
  <c r="UR20" i="4" s="1"/>
  <c r="UR24" i="4" s="1"/>
  <c r="UR25" i="4" l="1"/>
  <c r="US20" i="4" s="1"/>
  <c r="US24" i="4" s="1"/>
  <c r="US25" i="4" l="1"/>
  <c r="UT20" i="4" s="1"/>
  <c r="UT24" i="4" s="1"/>
  <c r="UT25" i="4" l="1"/>
  <c r="UU20" i="4" s="1"/>
  <c r="UU24" i="4" s="1"/>
  <c r="UU25" i="4" l="1"/>
  <c r="UV20" i="4" s="1"/>
  <c r="UV24" i="4" s="1"/>
  <c r="UV25" i="4" l="1"/>
  <c r="UW20" i="4" s="1"/>
  <c r="UW24" i="4" s="1"/>
  <c r="UW25" i="4" l="1"/>
  <c r="UX20" i="4" s="1"/>
  <c r="UX24" i="4" s="1"/>
  <c r="UX25" i="4" l="1"/>
  <c r="UY20" i="4" s="1"/>
  <c r="UY24" i="4" s="1"/>
  <c r="UY25" i="4" l="1"/>
  <c r="UZ20" i="4" s="1"/>
  <c r="UZ24" i="4" s="1"/>
  <c r="UZ25" i="4" l="1"/>
  <c r="VA20" i="4" s="1"/>
  <c r="VA24" i="4" s="1"/>
  <c r="VA25" i="4" l="1"/>
  <c r="VB20" i="4" s="1"/>
  <c r="VB24" i="4" s="1"/>
  <c r="VB25" i="4" l="1"/>
  <c r="VC20" i="4" s="1"/>
  <c r="VC24" i="4" s="1"/>
  <c r="VC25" i="4" l="1"/>
  <c r="VD20" i="4" s="1"/>
  <c r="VD24" i="4" s="1"/>
  <c r="VD25" i="4" l="1"/>
  <c r="VE20" i="4" s="1"/>
  <c r="VE24" i="4" s="1"/>
  <c r="VE25" i="4" l="1"/>
  <c r="VF20" i="4" s="1"/>
  <c r="VF24" i="4" s="1"/>
  <c r="VF25" i="4" l="1"/>
  <c r="VG20" i="4" s="1"/>
  <c r="VG24" i="4" s="1"/>
  <c r="VG25" i="4" l="1"/>
  <c r="VH20" i="4" s="1"/>
  <c r="VH24" i="4" s="1"/>
  <c r="VH25" i="4" l="1"/>
  <c r="VI20" i="4" s="1"/>
  <c r="VI24" i="4" s="1"/>
  <c r="VI25" i="4" l="1"/>
  <c r="VJ20" i="4" s="1"/>
  <c r="VJ24" i="4" s="1"/>
  <c r="VJ25" i="4" l="1"/>
  <c r="VK20" i="4" s="1"/>
  <c r="VK24" i="4" s="1"/>
  <c r="VK25" i="4" l="1"/>
  <c r="VL20" i="4" s="1"/>
  <c r="VL24" i="4" s="1"/>
  <c r="VL25" i="4" l="1"/>
  <c r="VM20" i="4" s="1"/>
  <c r="VM24" i="4" s="1"/>
  <c r="VM25" i="4" l="1"/>
  <c r="VN20" i="4" s="1"/>
  <c r="VN24" i="4" s="1"/>
  <c r="VN25" i="4" l="1"/>
  <c r="VO20" i="4" s="1"/>
  <c r="VO24" i="4" s="1"/>
  <c r="VO25" i="4" l="1"/>
  <c r="VP20" i="4" s="1"/>
  <c r="VP24" i="4" s="1"/>
  <c r="VP25" i="4" l="1"/>
  <c r="VQ20" i="4" s="1"/>
  <c r="VQ24" i="4" s="1"/>
  <c r="VQ25" i="4" l="1"/>
  <c r="VR20" i="4" s="1"/>
  <c r="VR24" i="4" s="1"/>
  <c r="VR25" i="4" l="1"/>
  <c r="VS20" i="4" s="1"/>
  <c r="VS24" i="4" s="1"/>
  <c r="VS25" i="4" l="1"/>
  <c r="VT20" i="4" s="1"/>
  <c r="VT24" i="4" s="1"/>
  <c r="VT25" i="4" l="1"/>
  <c r="VU20" i="4" s="1"/>
  <c r="VU24" i="4" s="1"/>
  <c r="VU25" i="4" l="1"/>
  <c r="VV20" i="4" s="1"/>
  <c r="VV24" i="4" s="1"/>
  <c r="VV25" i="4" l="1"/>
  <c r="VW20" i="4" s="1"/>
  <c r="VW24" i="4" s="1"/>
  <c r="VW25" i="4" l="1"/>
  <c r="VX20" i="4" s="1"/>
  <c r="VX24" i="4" s="1"/>
  <c r="VX25" i="4" l="1"/>
  <c r="VY20" i="4" s="1"/>
  <c r="VY24" i="4" s="1"/>
  <c r="VY25" i="4" l="1"/>
  <c r="VZ20" i="4" s="1"/>
  <c r="VZ24" i="4" s="1"/>
  <c r="VZ25" i="4" l="1"/>
  <c r="WA20" i="4" s="1"/>
  <c r="WA24" i="4" s="1"/>
  <c r="WA25" i="4" l="1"/>
  <c r="WB20" i="4" s="1"/>
  <c r="WB24" i="4" s="1"/>
  <c r="WB25" i="4" l="1"/>
  <c r="WC20" i="4" s="1"/>
  <c r="WC24" i="4" s="1"/>
  <c r="WC25" i="4" l="1"/>
  <c r="WD20" i="4" s="1"/>
  <c r="WD24" i="4" s="1"/>
  <c r="WD25" i="4" l="1"/>
  <c r="WE20" i="4" s="1"/>
  <c r="WE24" i="4" s="1"/>
  <c r="WE25" i="4" l="1"/>
  <c r="WF20" i="4" s="1"/>
  <c r="WF24" i="4" s="1"/>
  <c r="WF25" i="4" l="1"/>
  <c r="WG20" i="4" s="1"/>
  <c r="WG24" i="4" s="1"/>
  <c r="WG25" i="4" l="1"/>
  <c r="WH20" i="4" s="1"/>
  <c r="WH24" i="4" s="1"/>
  <c r="WH25" i="4" l="1"/>
  <c r="WI20" i="4" s="1"/>
  <c r="WI24" i="4" s="1"/>
  <c r="WI25" i="4" l="1"/>
  <c r="WJ20" i="4" s="1"/>
  <c r="WJ24" i="4" s="1"/>
  <c r="WJ25" i="4" l="1"/>
  <c r="WK20" i="4" s="1"/>
  <c r="WK24" i="4" s="1"/>
  <c r="WK25" i="4" l="1"/>
  <c r="WL20" i="4" s="1"/>
  <c r="WL24" i="4" s="1"/>
  <c r="WL25" i="4" l="1"/>
  <c r="WM20" i="4" s="1"/>
  <c r="WM24" i="4" s="1"/>
  <c r="WM25" i="4" l="1"/>
  <c r="WN20" i="4" s="1"/>
  <c r="WN24" i="4" s="1"/>
  <c r="WN25" i="4" l="1"/>
  <c r="WO20" i="4" s="1"/>
  <c r="WO24" i="4" s="1"/>
  <c r="WO25" i="4" l="1"/>
  <c r="WP20" i="4" s="1"/>
  <c r="WP24" i="4" s="1"/>
  <c r="WP25" i="4" l="1"/>
  <c r="WQ20" i="4" s="1"/>
  <c r="WQ24" i="4" s="1"/>
  <c r="WQ25" i="4" l="1"/>
  <c r="WR20" i="4" s="1"/>
  <c r="WR24" i="4" s="1"/>
  <c r="WR25" i="4" l="1"/>
  <c r="WS20" i="4" s="1"/>
  <c r="WS24" i="4" s="1"/>
  <c r="WS25" i="4" l="1"/>
  <c r="WT20" i="4" s="1"/>
  <c r="WT24" i="4" s="1"/>
  <c r="WT25" i="4" l="1"/>
  <c r="WU20" i="4" s="1"/>
  <c r="WU24" i="4" s="1"/>
  <c r="WU25" i="4" l="1"/>
  <c r="WV20" i="4" s="1"/>
  <c r="WV24" i="4" s="1"/>
  <c r="WV25" i="4" l="1"/>
  <c r="WW20" i="4" s="1"/>
  <c r="WW24" i="4" s="1"/>
  <c r="WW25" i="4" l="1"/>
  <c r="WX20" i="4" s="1"/>
  <c r="WX24" i="4" s="1"/>
  <c r="WX25" i="4" l="1"/>
  <c r="WY20" i="4" s="1"/>
  <c r="WY24" i="4" s="1"/>
  <c r="WY25" i="4" l="1"/>
  <c r="WZ20" i="4" s="1"/>
  <c r="WZ24" i="4" s="1"/>
  <c r="WZ25" i="4" l="1"/>
  <c r="XA20" i="4" s="1"/>
  <c r="XA24" i="4" s="1"/>
  <c r="XA25" i="4" l="1"/>
  <c r="XB20" i="4" s="1"/>
  <c r="XB24" i="4" s="1"/>
  <c r="XB25" i="4" l="1"/>
  <c r="XC20" i="4" s="1"/>
  <c r="XC24" i="4" s="1"/>
  <c r="XC25" i="4" l="1"/>
  <c r="XD20" i="4" s="1"/>
  <c r="XD24" i="4" s="1"/>
  <c r="XD25" i="4" l="1"/>
  <c r="XE20" i="4" s="1"/>
  <c r="XE24" i="4" s="1"/>
  <c r="XE25" i="4" l="1"/>
  <c r="XF20" i="4" s="1"/>
  <c r="XF24" i="4" s="1"/>
  <c r="XF25" i="4" l="1"/>
  <c r="XG20" i="4" s="1"/>
  <c r="XG24" i="4" s="1"/>
  <c r="XG25" i="4" l="1"/>
  <c r="XH20" i="4" s="1"/>
  <c r="XH24" i="4" s="1"/>
  <c r="XH25" i="4" l="1"/>
  <c r="XI20" i="4" s="1"/>
  <c r="XI24" i="4" s="1"/>
  <c r="XI25" i="4" l="1"/>
  <c r="XJ20" i="4" s="1"/>
  <c r="XJ24" i="4" s="1"/>
  <c r="XJ25" i="4" l="1"/>
  <c r="XK20" i="4" s="1"/>
  <c r="XK24" i="4" s="1"/>
  <c r="XK25" i="4" l="1"/>
  <c r="XL20" i="4" s="1"/>
  <c r="XL24" i="4" s="1"/>
  <c r="XL25" i="4" l="1"/>
  <c r="XM20" i="4" s="1"/>
  <c r="XM24" i="4" s="1"/>
  <c r="XM25" i="4" l="1"/>
  <c r="XN20" i="4" s="1"/>
  <c r="XN24" i="4" s="1"/>
  <c r="XN25" i="4" l="1"/>
  <c r="XO20" i="4" s="1"/>
  <c r="XO24" i="4" s="1"/>
  <c r="XO25" i="4" l="1"/>
  <c r="XP20" i="4" s="1"/>
  <c r="XP24" i="4" s="1"/>
  <c r="XP25" i="4" l="1"/>
  <c r="XQ20" i="4" s="1"/>
  <c r="XQ24" i="4" s="1"/>
  <c r="XQ25" i="4" l="1"/>
  <c r="XR20" i="4" s="1"/>
  <c r="XR24" i="4" s="1"/>
  <c r="XR25" i="4" l="1"/>
  <c r="XS20" i="4" s="1"/>
  <c r="XS24" i="4" s="1"/>
  <c r="XS25" i="4" l="1"/>
  <c r="XT20" i="4" s="1"/>
  <c r="XT24" i="4" s="1"/>
  <c r="XT25" i="4" l="1"/>
  <c r="XU20" i="4" s="1"/>
  <c r="XU24" i="4" s="1"/>
  <c r="XU25" i="4" l="1"/>
  <c r="XV20" i="4" s="1"/>
  <c r="XV24" i="4" s="1"/>
  <c r="XV25" i="4" l="1"/>
  <c r="XW20" i="4" s="1"/>
  <c r="XW24" i="4" s="1"/>
  <c r="XW25" i="4" l="1"/>
  <c r="XX20" i="4" s="1"/>
  <c r="XX24" i="4" s="1"/>
  <c r="XX25" i="4" l="1"/>
  <c r="XY20" i="4" s="1"/>
  <c r="XY24" i="4" s="1"/>
  <c r="XY25" i="4" l="1"/>
  <c r="XZ20" i="4" s="1"/>
  <c r="XZ24" i="4" s="1"/>
  <c r="XZ25" i="4" l="1"/>
  <c r="YA20" i="4" s="1"/>
  <c r="YA24" i="4" s="1"/>
  <c r="YA25" i="4" l="1"/>
  <c r="YB20" i="4" s="1"/>
  <c r="YB24" i="4" s="1"/>
  <c r="YB25" i="4" l="1"/>
  <c r="YC20" i="4" s="1"/>
  <c r="YC24" i="4" s="1"/>
  <c r="YC25" i="4" l="1"/>
  <c r="YD20" i="4" s="1"/>
  <c r="YD24" i="4" s="1"/>
  <c r="YD25" i="4" l="1"/>
  <c r="YE20" i="4" s="1"/>
  <c r="YE24" i="4" s="1"/>
  <c r="YE25" i="4" l="1"/>
  <c r="YF20" i="4" s="1"/>
  <c r="YF24" i="4" s="1"/>
  <c r="YF25" i="4" l="1"/>
  <c r="YG20" i="4" s="1"/>
  <c r="YG24" i="4" s="1"/>
  <c r="YG25" i="4" l="1"/>
  <c r="YH20" i="4" s="1"/>
  <c r="YH24" i="4" s="1"/>
  <c r="YH25" i="4" l="1"/>
  <c r="YI20" i="4" s="1"/>
  <c r="YI24" i="4" s="1"/>
  <c r="YI25" i="4" l="1"/>
  <c r="YJ20" i="4" s="1"/>
  <c r="YJ24" i="4" s="1"/>
  <c r="YJ25" i="4" l="1"/>
  <c r="YK20" i="4" s="1"/>
  <c r="YK24" i="4" s="1"/>
  <c r="YK25" i="4" l="1"/>
  <c r="YL20" i="4" s="1"/>
  <c r="YL24" i="4" s="1"/>
  <c r="YL25" i="4" l="1"/>
  <c r="YM20" i="4" s="1"/>
  <c r="YM24" i="4" s="1"/>
  <c r="YM25" i="4" l="1"/>
  <c r="YN20" i="4" s="1"/>
  <c r="YN24" i="4" s="1"/>
  <c r="YN25" i="4" l="1"/>
  <c r="YO20" i="4" s="1"/>
  <c r="YO24" i="4" s="1"/>
  <c r="YO25" i="4" l="1"/>
  <c r="YP20" i="4" s="1"/>
  <c r="YP24" i="4" s="1"/>
  <c r="YP25" i="4" l="1"/>
  <c r="YQ20" i="4" s="1"/>
  <c r="YQ24" i="4" s="1"/>
  <c r="YQ25" i="4" l="1"/>
  <c r="YR20" i="4" s="1"/>
  <c r="YR24" i="4" s="1"/>
  <c r="YR25" i="4" l="1"/>
  <c r="YS20" i="4" s="1"/>
  <c r="YS24" i="4" s="1"/>
  <c r="YS25" i="4" l="1"/>
  <c r="YT20" i="4" s="1"/>
  <c r="YT24" i="4" s="1"/>
  <c r="YT25" i="4" l="1"/>
  <c r="YU20" i="4" s="1"/>
  <c r="YU24" i="4" s="1"/>
  <c r="YU25" i="4" l="1"/>
  <c r="YV20" i="4" s="1"/>
  <c r="YV24" i="4" s="1"/>
  <c r="YV25" i="4" l="1"/>
  <c r="YW20" i="4" s="1"/>
  <c r="YW24" i="4" s="1"/>
  <c r="YW25" i="4" l="1"/>
  <c r="YX20" i="4" s="1"/>
  <c r="YX24" i="4" s="1"/>
  <c r="YX25" i="4" l="1"/>
  <c r="YY20" i="4" s="1"/>
  <c r="YY24" i="4" s="1"/>
  <c r="YY25" i="4" l="1"/>
  <c r="YZ20" i="4" s="1"/>
  <c r="YZ24" i="4" s="1"/>
  <c r="YZ25" i="4" l="1"/>
  <c r="ZA20" i="4" s="1"/>
  <c r="ZA24" i="4" s="1"/>
  <c r="ZA25" i="4" l="1"/>
  <c r="ZB20" i="4" s="1"/>
  <c r="ZB24" i="4" s="1"/>
  <c r="ZB25" i="4" l="1"/>
  <c r="ZC20" i="4" s="1"/>
  <c r="ZC24" i="4" s="1"/>
  <c r="ZC25" i="4" l="1"/>
  <c r="ZD20" i="4" s="1"/>
  <c r="ZD24" i="4" s="1"/>
  <c r="ZD25" i="4" l="1"/>
  <c r="ZE20" i="4" s="1"/>
  <c r="ZE24" i="4" s="1"/>
  <c r="ZE25" i="4" l="1"/>
  <c r="ZF20" i="4" s="1"/>
  <c r="ZF24" i="4" s="1"/>
  <c r="ZF25" i="4" l="1"/>
  <c r="ZG20" i="4" s="1"/>
  <c r="ZG24" i="4" s="1"/>
  <c r="ZG25" i="4" l="1"/>
  <c r="ZH20" i="4" s="1"/>
  <c r="ZH24" i="4" s="1"/>
  <c r="ZH25" i="4" l="1"/>
  <c r="ZI20" i="4" s="1"/>
  <c r="ZI24" i="4" s="1"/>
  <c r="ZI25" i="4" l="1"/>
  <c r="ZJ20" i="4" s="1"/>
  <c r="ZJ24" i="4" s="1"/>
  <c r="ZJ25" i="4" l="1"/>
  <c r="ZK20" i="4" s="1"/>
  <c r="ZK24" i="4" s="1"/>
  <c r="ZK25" i="4" l="1"/>
  <c r="ZL20" i="4" s="1"/>
  <c r="ZL24" i="4" s="1"/>
  <c r="ZL25" i="4" l="1"/>
  <c r="ZM20" i="4" s="1"/>
  <c r="ZM24" i="4" s="1"/>
  <c r="ZM25" i="4" l="1"/>
  <c r="ZN20" i="4" s="1"/>
  <c r="ZN24" i="4" s="1"/>
  <c r="ZN25" i="4" l="1"/>
  <c r="ZO20" i="4" s="1"/>
  <c r="ZO24" i="4" s="1"/>
  <c r="ZO25" i="4" l="1"/>
  <c r="ZP20" i="4" s="1"/>
  <c r="ZP24" i="4" s="1"/>
  <c r="ZP25" i="4" l="1"/>
  <c r="ZQ20" i="4" s="1"/>
  <c r="ZQ24" i="4" s="1"/>
  <c r="ZQ25" i="4" l="1"/>
  <c r="ZR20" i="4" s="1"/>
  <c r="ZR24" i="4" s="1"/>
  <c r="ZR25" i="4" l="1"/>
  <c r="ZS20" i="4" s="1"/>
  <c r="ZS24" i="4" s="1"/>
  <c r="ZS25" i="4" l="1"/>
  <c r="ZT20" i="4" s="1"/>
  <c r="ZT24" i="4" s="1"/>
  <c r="ZT25" i="4" l="1"/>
  <c r="ZU20" i="4" s="1"/>
  <c r="ZU24" i="4" s="1"/>
  <c r="ZU25" i="4" l="1"/>
  <c r="ZV20" i="4" s="1"/>
  <c r="ZV24" i="4" s="1"/>
  <c r="ZV25" i="4" l="1"/>
  <c r="ZW20" i="4" s="1"/>
  <c r="ZW24" i="4" s="1"/>
  <c r="ZW25" i="4" l="1"/>
  <c r="ZX20" i="4" s="1"/>
  <c r="ZX24" i="4" s="1"/>
  <c r="ZX25" i="4" l="1"/>
  <c r="ZY20" i="4" s="1"/>
  <c r="ZY24" i="4" s="1"/>
  <c r="ZY25" i="4" l="1"/>
  <c r="ZZ20" i="4" s="1"/>
  <c r="ZZ24" i="4" s="1"/>
  <c r="ZZ25" i="4" l="1"/>
  <c r="AAA20" i="4" s="1"/>
  <c r="AAA24" i="4" s="1"/>
  <c r="AAA25" i="4" l="1"/>
  <c r="AAB20" i="4" s="1"/>
  <c r="AAB24" i="4" s="1"/>
  <c r="AAB25" i="4" l="1"/>
  <c r="AAC20" i="4" s="1"/>
  <c r="AAC24" i="4" s="1"/>
  <c r="AAC25" i="4" l="1"/>
  <c r="AAD20" i="4" s="1"/>
  <c r="AAD24" i="4" s="1"/>
  <c r="AAD25" i="4" l="1"/>
  <c r="AAE20" i="4" s="1"/>
  <c r="AAE24" i="4" s="1"/>
  <c r="AAE25" i="4" l="1"/>
  <c r="AAF20" i="4" s="1"/>
  <c r="AAF24" i="4" s="1"/>
  <c r="AAF25" i="4" l="1"/>
  <c r="AAG20" i="4" s="1"/>
  <c r="AAG24" i="4" s="1"/>
  <c r="AAG25" i="4" l="1"/>
  <c r="AAH20" i="4" s="1"/>
  <c r="AAH24" i="4" s="1"/>
  <c r="AAH25" i="4" l="1"/>
  <c r="AAI20" i="4" s="1"/>
  <c r="I3" i="4" l="1"/>
  <c r="AAI24" i="4"/>
  <c r="AAI25" i="4" s="1"/>
  <c r="AAJ20" i="4" s="1"/>
  <c r="AAJ24" i="4" s="1"/>
  <c r="AAJ25" i="4" l="1"/>
  <c r="AAK20" i="4" s="1"/>
  <c r="AAK24" i="4" s="1"/>
  <c r="AAK25" i="4" l="1"/>
  <c r="AAL20" i="4" s="1"/>
  <c r="AAL24" i="4" s="1"/>
  <c r="AAL25" i="4" l="1"/>
  <c r="AAM20" i="4" s="1"/>
  <c r="AAM24" i="4" s="1"/>
  <c r="AAM25" i="4" l="1"/>
  <c r="AAN20" i="4" s="1"/>
  <c r="AAN24" i="4" s="1"/>
  <c r="AAN25" i="4" l="1"/>
  <c r="AAO20" i="4" s="1"/>
  <c r="AAO24" i="4" s="1"/>
  <c r="AAO25" i="4" l="1"/>
  <c r="AAP20" i="4" s="1"/>
  <c r="AAP24" i="4" s="1"/>
  <c r="AAP25" i="4" l="1"/>
  <c r="AAQ20" i="4" s="1"/>
  <c r="AAQ24" i="4" s="1"/>
  <c r="AAQ25" i="4" l="1"/>
  <c r="AAR20" i="4" s="1"/>
  <c r="AAR24" i="4" s="1"/>
  <c r="AAR25" i="4" l="1"/>
  <c r="AAS20" i="4" s="1"/>
  <c r="AAS24" i="4" s="1"/>
  <c r="AAS25" i="4" l="1"/>
  <c r="AAT20" i="4" s="1"/>
  <c r="AAT24" i="4" s="1"/>
  <c r="AAT25" i="4" l="1"/>
  <c r="AAU20" i="4" s="1"/>
  <c r="AAU24" i="4" s="1"/>
  <c r="AAU25" i="4" l="1"/>
  <c r="AAV20" i="4" s="1"/>
  <c r="AAV24" i="4" s="1"/>
  <c r="AAV25" i="4" l="1"/>
  <c r="AAW20" i="4" s="1"/>
  <c r="AAW24" i="4" s="1"/>
  <c r="AAW25" i="4" l="1"/>
  <c r="AAX20" i="4" s="1"/>
  <c r="AAX24" i="4" s="1"/>
  <c r="AAX25" i="4" l="1"/>
  <c r="AAY20" i="4" s="1"/>
  <c r="AAY24" i="4" s="1"/>
  <c r="AAY25" i="4" l="1"/>
  <c r="AAZ20" i="4" s="1"/>
  <c r="AAZ24" i="4" s="1"/>
  <c r="AAZ25" i="4" l="1"/>
  <c r="ABA20" i="4" s="1"/>
  <c r="ABA24" i="4" s="1"/>
  <c r="ABA25" i="4" l="1"/>
  <c r="ABB20" i="4" s="1"/>
  <c r="ABB24" i="4" s="1"/>
  <c r="ABB25" i="4" l="1"/>
  <c r="ABC20" i="4" s="1"/>
  <c r="ABC24" i="4" s="1"/>
  <c r="ABC25" i="4" l="1"/>
  <c r="ABD20" i="4" s="1"/>
  <c r="ABD24" i="4" s="1"/>
  <c r="ABD25" i="4" l="1"/>
  <c r="ABE20" i="4" s="1"/>
  <c r="ABE24" i="4" s="1"/>
  <c r="ABE25" i="4" l="1"/>
  <c r="ABF20" i="4" s="1"/>
  <c r="ABF24" i="4" s="1"/>
  <c r="ABF25" i="4" l="1"/>
  <c r="ABG20" i="4" s="1"/>
  <c r="ABG24" i="4" s="1"/>
  <c r="ABG25" i="4" l="1"/>
  <c r="ABH20" i="4" s="1"/>
  <c r="ABH24" i="4" s="1"/>
  <c r="ABH25" i="4" l="1"/>
  <c r="ABI20" i="4" s="1"/>
  <c r="ABI24" i="4" s="1"/>
  <c r="ABI25" i="4" l="1"/>
  <c r="ABJ20" i="4" s="1"/>
  <c r="ABJ24" i="4" s="1"/>
  <c r="ABJ25" i="4" l="1"/>
  <c r="ABK20" i="4" s="1"/>
  <c r="ABK24" i="4" s="1"/>
  <c r="ABK25" i="4" l="1"/>
  <c r="ABL20" i="4" s="1"/>
  <c r="ABL24" i="4" s="1"/>
  <c r="ABL25" i="4" l="1"/>
  <c r="ABM20" i="4" s="1"/>
  <c r="ABM24" i="4" s="1"/>
  <c r="ABM25" i="4" l="1"/>
  <c r="ABN20" i="4" s="1"/>
  <c r="ABN24" i="4" s="1"/>
  <c r="ABN25" i="4" l="1"/>
  <c r="ABO20" i="4" s="1"/>
  <c r="ABO24" i="4" s="1"/>
  <c r="ABO25" i="4" l="1"/>
  <c r="ABP20" i="4" s="1"/>
  <c r="ABP24" i="4" s="1"/>
  <c r="ABP25" i="4" l="1"/>
  <c r="ABQ20" i="4" s="1"/>
  <c r="ABQ24" i="4" s="1"/>
  <c r="ABQ25" i="4" l="1"/>
  <c r="ABR20" i="4" s="1"/>
  <c r="ABR24" i="4" s="1"/>
  <c r="ABR25" i="4" l="1"/>
  <c r="ABS20" i="4" s="1"/>
  <c r="ABS24" i="4" s="1"/>
  <c r="ABS25" i="4" l="1"/>
  <c r="ABT20" i="4" s="1"/>
  <c r="ABT24" i="4" s="1"/>
  <c r="ABT25" i="4" l="1"/>
  <c r="ABU20" i="4" s="1"/>
  <c r="ABU24" i="4" s="1"/>
  <c r="ABU25" i="4" l="1"/>
  <c r="ABV20" i="4" s="1"/>
  <c r="ABV24" i="4" s="1"/>
  <c r="ABV25" i="4" l="1"/>
  <c r="ABW20" i="4" s="1"/>
  <c r="ABW24" i="4" s="1"/>
  <c r="ABW25" i="4" l="1"/>
  <c r="ABX20" i="4" s="1"/>
  <c r="ABX24" i="4" s="1"/>
  <c r="ABX25" i="4" l="1"/>
  <c r="ABY20" i="4" s="1"/>
  <c r="ABY24" i="4" s="1"/>
  <c r="ABY25" i="4" l="1"/>
  <c r="ABZ20" i="4" s="1"/>
  <c r="ABZ24" i="4" s="1"/>
  <c r="ABZ25" i="4" l="1"/>
  <c r="ACA20" i="4" s="1"/>
  <c r="ACA24" i="4" s="1"/>
  <c r="ACA25" i="4" l="1"/>
  <c r="ACB20" i="4" s="1"/>
  <c r="ACB24" i="4" s="1"/>
  <c r="ACB25" i="4" l="1"/>
  <c r="ACC20" i="4" s="1"/>
  <c r="ACC24" i="4" s="1"/>
  <c r="ACC25" i="4" l="1"/>
  <c r="ACD20" i="4" s="1"/>
  <c r="ACD24" i="4" s="1"/>
  <c r="ACD25" i="4" l="1"/>
  <c r="ACE20" i="4" s="1"/>
  <c r="ACE24" i="4" s="1"/>
  <c r="ACE25" i="4" l="1"/>
  <c r="ACF20" i="4" s="1"/>
  <c r="ACF24" i="4" s="1"/>
  <c r="ACF25" i="4" l="1"/>
  <c r="ACG20" i="4" s="1"/>
  <c r="ACG24" i="4" s="1"/>
  <c r="ACG25" i="4" l="1"/>
  <c r="ACH20" i="4" s="1"/>
  <c r="ACH24" i="4" s="1"/>
  <c r="ACH25" i="4" l="1"/>
  <c r="ACI20" i="4" s="1"/>
  <c r="ACI24" i="4" s="1"/>
  <c r="ACI25" i="4" l="1"/>
  <c r="ACJ20" i="4" s="1"/>
  <c r="ACJ24" i="4" s="1"/>
  <c r="ACJ25" i="4" l="1"/>
  <c r="ACK20" i="4" s="1"/>
  <c r="ACK24" i="4" s="1"/>
  <c r="ACK25" i="4" l="1"/>
  <c r="ACL20" i="4" s="1"/>
  <c r="ACL24" i="4" s="1"/>
  <c r="ACL25" i="4" l="1"/>
  <c r="ACM20" i="4" s="1"/>
  <c r="ACM24" i="4" s="1"/>
  <c r="ACM25" i="4" l="1"/>
  <c r="ACN20" i="4" s="1"/>
  <c r="ACN24" i="4" s="1"/>
  <c r="ACN25" i="4" l="1"/>
  <c r="ACO20" i="4" s="1"/>
  <c r="ACO24" i="4" s="1"/>
  <c r="ACO25" i="4" l="1"/>
  <c r="ACP20" i="4" s="1"/>
  <c r="ACP24" i="4" s="1"/>
  <c r="ACP25" i="4" l="1"/>
  <c r="ACQ20" i="4" s="1"/>
  <c r="ACQ24" i="4" s="1"/>
  <c r="ACQ25" i="4" l="1"/>
  <c r="ACR20" i="4" s="1"/>
  <c r="ACR24" i="4" l="1"/>
  <c r="ACR25" i="4" s="1"/>
  <c r="ACS20" i="4" s="1"/>
  <c r="ACS24" i="4" l="1"/>
  <c r="ACS25" i="4" s="1"/>
  <c r="ACT20" i="4" s="1"/>
  <c r="ACT24" i="4" l="1"/>
  <c r="ACT25" i="4" s="1"/>
  <c r="ACU20" i="4" s="1"/>
  <c r="ACU24" i="4" l="1"/>
  <c r="ACU25" i="4" s="1"/>
  <c r="ACV20" i="4" s="1"/>
  <c r="ACV24" i="4" l="1"/>
  <c r="ACV25" i="4" s="1"/>
  <c r="ACW20" i="4" s="1"/>
  <c r="ACW24" i="4" l="1"/>
  <c r="ACW25" i="4" s="1"/>
  <c r="ACX20" i="4" s="1"/>
  <c r="ACX24" i="4" l="1"/>
  <c r="ACX25" i="4" s="1"/>
  <c r="ACY20" i="4" s="1"/>
  <c r="ACY24" i="4" l="1"/>
  <c r="ACY25" i="4" s="1"/>
  <c r="ACZ20" i="4" s="1"/>
  <c r="ACZ24" i="4" l="1"/>
  <c r="ACZ25" i="4" s="1"/>
  <c r="ADA20" i="4" s="1"/>
  <c r="ADA24" i="4" l="1"/>
  <c r="ADA25" i="4" s="1"/>
  <c r="ADB20" i="4" s="1"/>
  <c r="ADB24" i="4" l="1"/>
  <c r="ADB25" i="4" s="1"/>
  <c r="ADC20" i="4" s="1"/>
  <c r="ADC24" i="4" l="1"/>
  <c r="ADC25" i="4" s="1"/>
  <c r="ADD20" i="4" s="1"/>
  <c r="ADD24" i="4" l="1"/>
  <c r="ADD25" i="4" s="1"/>
  <c r="ADE20" i="4" s="1"/>
  <c r="ADE24" i="4" l="1"/>
  <c r="ADE25" i="4" s="1"/>
  <c r="ADF20" i="4" s="1"/>
  <c r="ADF24" i="4" l="1"/>
  <c r="ADF25" i="4" s="1"/>
  <c r="ADG20" i="4" s="1"/>
  <c r="ADG24" i="4" l="1"/>
  <c r="ADG25" i="4" s="1"/>
  <c r="ADH20" i="4" s="1"/>
  <c r="ADH24" i="4" l="1"/>
  <c r="ADH25" i="4" s="1"/>
  <c r="ADI20" i="4" s="1"/>
  <c r="ADI24" i="4" l="1"/>
  <c r="ADI25" i="4" s="1"/>
  <c r="ADJ20" i="4" s="1"/>
  <c r="ADJ24" i="4" l="1"/>
  <c r="ADJ25" i="4" s="1"/>
  <c r="ADK20" i="4" s="1"/>
  <c r="ADK24" i="4" l="1"/>
  <c r="ADK25" i="4" s="1"/>
  <c r="ADL20" i="4" s="1"/>
  <c r="ADL24" i="4" l="1"/>
  <c r="ADL25" i="4" s="1"/>
  <c r="ADM20" i="4" s="1"/>
  <c r="ADM24" i="4" l="1"/>
  <c r="ADM25" i="4" s="1"/>
  <c r="ADN20" i="4" s="1"/>
  <c r="ADN24" i="4" l="1"/>
  <c r="ADN25" i="4" s="1"/>
  <c r="ADO20" i="4" s="1"/>
  <c r="ADO24" i="4" l="1"/>
  <c r="ADO25" i="4" s="1"/>
  <c r="ADP20" i="4" s="1"/>
  <c r="ADP24" i="4" l="1"/>
  <c r="ADP25" i="4" s="1"/>
  <c r="ADQ20" i="4" s="1"/>
  <c r="ADQ24" i="4" l="1"/>
  <c r="ADQ25" i="4" s="1"/>
  <c r="ADR20" i="4" s="1"/>
  <c r="ADR24" i="4" l="1"/>
  <c r="ADR25" i="4" s="1"/>
  <c r="ADS20" i="4" s="1"/>
  <c r="ADS24" i="4" l="1"/>
  <c r="ADS25" i="4" s="1"/>
  <c r="ADT20" i="4" s="1"/>
  <c r="ADT24" i="4" l="1"/>
  <c r="ADT25" i="4" s="1"/>
  <c r="ADU20" i="4" s="1"/>
  <c r="ADU24" i="4" l="1"/>
  <c r="ADU25" i="4" s="1"/>
  <c r="ADV20" i="4" s="1"/>
  <c r="ADV24" i="4" l="1"/>
  <c r="ADV25" i="4" s="1"/>
  <c r="ADW20" i="4" s="1"/>
  <c r="ADW24" i="4" l="1"/>
  <c r="ADW25" i="4" s="1"/>
  <c r="ADX20" i="4" s="1"/>
  <c r="ADX24" i="4" l="1"/>
  <c r="ADX25" i="4" s="1"/>
  <c r="ADY20" i="4" s="1"/>
  <c r="ADY24" i="4" l="1"/>
  <c r="ADY25" i="4" s="1"/>
  <c r="ADZ20" i="4" s="1"/>
  <c r="ADZ24" i="4" l="1"/>
  <c r="ADZ25" i="4" s="1"/>
  <c r="AEA20" i="4" s="1"/>
  <c r="AEA24" i="4" s="1"/>
  <c r="AEA25" i="4" l="1"/>
  <c r="AEB20" i="4" s="1"/>
  <c r="AEB24" i="4" s="1"/>
  <c r="AEB25" i="4" l="1"/>
  <c r="AEC20" i="4" s="1"/>
  <c r="AEC24" i="4" s="1"/>
  <c r="AEC25" i="4" l="1"/>
  <c r="AED20" i="4" s="1"/>
  <c r="AED24" i="4" s="1"/>
  <c r="AED25" i="4" l="1"/>
  <c r="AEE20" i="4" s="1"/>
  <c r="AEE24" i="4" s="1"/>
  <c r="AEE25" i="4" l="1"/>
  <c r="AEF20" i="4" s="1"/>
  <c r="AEF24" i="4" s="1"/>
  <c r="AEF25" i="4" l="1"/>
  <c r="AEG20" i="4" s="1"/>
  <c r="AEG24" i="4" s="1"/>
  <c r="AEG25" i="4" l="1"/>
  <c r="AEH20" i="4" s="1"/>
  <c r="AEH24" i="4" s="1"/>
  <c r="AEH25" i="4" l="1"/>
  <c r="AEI20" i="4" s="1"/>
  <c r="AEI24" i="4" s="1"/>
  <c r="AEI25" i="4" l="1"/>
  <c r="AEJ20" i="4" s="1"/>
  <c r="AEJ24" i="4" s="1"/>
  <c r="AEJ25" i="4" l="1"/>
  <c r="AEK20" i="4" s="1"/>
  <c r="AEK24" i="4" s="1"/>
  <c r="AEK25" i="4" l="1"/>
  <c r="AEL20" i="4" s="1"/>
  <c r="AEL24" i="4" s="1"/>
  <c r="AEL25" i="4" s="1"/>
  <c r="AEM20" i="4" l="1"/>
  <c r="AEM24" i="4" s="1"/>
  <c r="AEM25" i="4" l="1"/>
  <c r="AEN20" i="4" s="1"/>
  <c r="AEN24" i="4" s="1"/>
  <c r="AEN25" i="4" l="1"/>
  <c r="AEO20" i="4" s="1"/>
  <c r="AEO24" i="4" s="1"/>
  <c r="AEO25" i="4" l="1"/>
  <c r="AEP20" i="4" s="1"/>
  <c r="AEP24" i="4" s="1"/>
  <c r="AEP25" i="4" l="1"/>
  <c r="AEQ20" i="4" s="1"/>
  <c r="AEQ24" i="4" s="1"/>
  <c r="AEQ25" i="4" l="1"/>
  <c r="AER20" i="4" s="1"/>
  <c r="AER24" i="4" s="1"/>
  <c r="AER25" i="4" l="1"/>
  <c r="AES20" i="4" s="1"/>
  <c r="AES24" i="4" s="1"/>
  <c r="AES25" i="4" l="1"/>
  <c r="AET20" i="4" s="1"/>
  <c r="AET24" i="4" s="1"/>
  <c r="AET25" i="4" l="1"/>
  <c r="AEU20" i="4" s="1"/>
  <c r="AEU24" i="4" s="1"/>
  <c r="AEU25" i="4" l="1"/>
  <c r="AEV20" i="4" s="1"/>
  <c r="AEV24" i="4" s="1"/>
  <c r="AEV25" i="4" l="1"/>
  <c r="AEW20" i="4" s="1"/>
  <c r="AEW24" i="4" s="1"/>
  <c r="AEW25" i="4" l="1"/>
  <c r="AEX20" i="4" s="1"/>
  <c r="AEX24" i="4" s="1"/>
  <c r="AEX25" i="4" l="1"/>
  <c r="AEY20" i="4" l="1"/>
  <c r="AEY24" i="4" s="1"/>
  <c r="AEY25" i="4" l="1"/>
  <c r="AEZ20" i="4" s="1"/>
  <c r="AEZ24" i="4" s="1"/>
  <c r="AEZ25" i="4" l="1"/>
  <c r="AFA20" i="4" s="1"/>
  <c r="AFA24" i="4" s="1"/>
  <c r="AFA25" i="4" l="1"/>
  <c r="AFB20" i="4" s="1"/>
  <c r="AFB24" i="4" s="1"/>
  <c r="AFB25" i="4" l="1"/>
  <c r="AFC20" i="4" s="1"/>
  <c r="AFC24" i="4" s="1"/>
  <c r="AFC25" i="4" l="1"/>
  <c r="AFD20" i="4" s="1"/>
  <c r="AFD24" i="4" s="1"/>
  <c r="AFD25" i="4" l="1"/>
  <c r="AFE20" i="4" s="1"/>
  <c r="AFE24" i="4" s="1"/>
  <c r="AFE25" i="4" l="1"/>
  <c r="AFF20" i="4" s="1"/>
  <c r="AFF24" i="4" s="1"/>
  <c r="AFF25" i="4" l="1"/>
  <c r="AFG20" i="4" s="1"/>
  <c r="AFG24" i="4" s="1"/>
  <c r="AFG25" i="4" l="1"/>
  <c r="AFH20" i="4" s="1"/>
  <c r="AFH24" i="4" s="1"/>
  <c r="AFH25" i="4" l="1"/>
  <c r="AFI20" i="4" s="1"/>
  <c r="AFI24" i="4" s="1"/>
  <c r="AFI25" i="4" l="1"/>
  <c r="AFJ20" i="4" s="1"/>
  <c r="AFJ24" i="4" s="1"/>
  <c r="AFJ25" i="4" l="1"/>
  <c r="AFK20" i="4" l="1"/>
  <c r="AFK24" i="4" s="1"/>
  <c r="AFK25" i="4" l="1"/>
  <c r="AFL20" i="4" s="1"/>
  <c r="AFL24" i="4" s="1"/>
  <c r="AFL25" i="4" l="1"/>
  <c r="AFM20" i="4" s="1"/>
  <c r="AFM24" i="4" s="1"/>
  <c r="AFM25" i="4" l="1"/>
  <c r="AFN20" i="4" s="1"/>
  <c r="AFN24" i="4" s="1"/>
  <c r="AFN25" i="4" l="1"/>
  <c r="AFO20" i="4" s="1"/>
  <c r="AFO24" i="4" s="1"/>
  <c r="AFO25" i="4" l="1"/>
  <c r="AFP20" i="4" s="1"/>
  <c r="AFP24" i="4" s="1"/>
  <c r="AFP25" i="4" l="1"/>
  <c r="AFQ20" i="4" s="1"/>
  <c r="AFQ24" i="4" s="1"/>
  <c r="AFQ25" i="4" l="1"/>
  <c r="AFR20" i="4" s="1"/>
  <c r="AFR24" i="4" s="1"/>
  <c r="AFR25" i="4" l="1"/>
  <c r="AFS20" i="4" s="1"/>
  <c r="AFS24" i="4" s="1"/>
  <c r="AFS25" i="4" l="1"/>
  <c r="AFT20" i="4" s="1"/>
  <c r="AFT24" i="4" s="1"/>
  <c r="AFT25" i="4" l="1"/>
  <c r="AFU20" i="4" s="1"/>
  <c r="AFU24" i="4" s="1"/>
  <c r="AFU25" i="4" l="1"/>
  <c r="AFV20" i="4" s="1"/>
  <c r="AFV24" i="4" s="1"/>
  <c r="AFV25" i="4" l="1"/>
  <c r="AFW20" i="4" l="1"/>
  <c r="AFW24" i="4" s="1"/>
  <c r="AFW25" i="4" l="1"/>
  <c r="AFX20" i="4" s="1"/>
  <c r="AFX24" i="4" s="1"/>
  <c r="AFX25" i="4" l="1"/>
  <c r="AFY20" i="4" s="1"/>
  <c r="AFY24" i="4" s="1"/>
  <c r="AFY25" i="4" l="1"/>
  <c r="AFZ20" i="4" s="1"/>
  <c r="AFZ24" i="4" s="1"/>
  <c r="AFZ25" i="4" l="1"/>
  <c r="AGA20" i="4" s="1"/>
  <c r="AGA24" i="4" s="1"/>
  <c r="AGA25" i="4" l="1"/>
  <c r="AGB20" i="4" s="1"/>
  <c r="AGB24" i="4" s="1"/>
  <c r="AGB25" i="4" l="1"/>
  <c r="AGC20" i="4" s="1"/>
  <c r="AGC24" i="4" s="1"/>
  <c r="AGC25" i="4" l="1"/>
  <c r="AGD20" i="4" s="1"/>
  <c r="AGD24" i="4" s="1"/>
  <c r="AGD25" i="4" l="1"/>
  <c r="AGE20" i="4" s="1"/>
  <c r="AGE24" i="4" s="1"/>
  <c r="AGE25" i="4" l="1"/>
  <c r="AGF20" i="4" s="1"/>
  <c r="AGF24" i="4" s="1"/>
  <c r="AGF25" i="4" l="1"/>
  <c r="AGG20" i="4" s="1"/>
  <c r="AGG24" i="4" s="1"/>
  <c r="AGG25" i="4" l="1"/>
  <c r="AGH20" i="4" s="1"/>
  <c r="AGH24" i="4" s="1"/>
  <c r="AGH25" i="4" l="1"/>
  <c r="AGI20" i="4" l="1"/>
  <c r="AGI24" i="4" s="1"/>
  <c r="AGI25" i="4" l="1"/>
  <c r="AGJ20" i="4" s="1"/>
  <c r="AGJ24" i="4" s="1"/>
  <c r="AGJ25" i="4" l="1"/>
  <c r="AGK20" i="4" s="1"/>
  <c r="AGK24" i="4" s="1"/>
  <c r="AGK25" i="4" l="1"/>
  <c r="AGL20" i="4" s="1"/>
  <c r="AGL24" i="4" s="1"/>
  <c r="AGL25" i="4" l="1"/>
  <c r="AGM20" i="4" s="1"/>
  <c r="AGM24" i="4" s="1"/>
  <c r="AGM25" i="4" l="1"/>
  <c r="AGN20" i="4" s="1"/>
  <c r="AGN24" i="4" s="1"/>
  <c r="AGN25" i="4" l="1"/>
  <c r="AGO20" i="4" s="1"/>
  <c r="AGO24" i="4" s="1"/>
  <c r="AGO25" i="4" l="1"/>
  <c r="AGP20" i="4" s="1"/>
  <c r="AGP24" i="4" s="1"/>
  <c r="AGP25" i="4" l="1"/>
  <c r="AGQ20" i="4" s="1"/>
  <c r="AGQ24" i="4" s="1"/>
  <c r="AGQ25" i="4" l="1"/>
  <c r="AGR20" i="4" s="1"/>
  <c r="AGR24" i="4" s="1"/>
  <c r="AGR25" i="4" l="1"/>
  <c r="AGS20" i="4" s="1"/>
  <c r="AGS24" i="4" s="1"/>
  <c r="AGS25" i="4" l="1"/>
  <c r="AGT20" i="4" s="1"/>
  <c r="AGT24" i="4" s="1"/>
  <c r="AGT25" i="4" l="1"/>
  <c r="AGU20" i="4" l="1"/>
  <c r="AGU24" i="4" s="1"/>
  <c r="AGU25" i="4" l="1"/>
  <c r="AGV20" i="4" s="1"/>
  <c r="AGV24" i="4" s="1"/>
  <c r="AGV25" i="4" l="1"/>
  <c r="AGW20" i="4" s="1"/>
  <c r="AGW24" i="4" s="1"/>
  <c r="AGW25" i="4" l="1"/>
  <c r="AGX20" i="4" s="1"/>
  <c r="AGX24" i="4" s="1"/>
  <c r="AGX25" i="4" l="1"/>
  <c r="AGY20" i="4" s="1"/>
  <c r="AGY24" i="4" s="1"/>
  <c r="AGY25" i="4" l="1"/>
  <c r="AGZ20" i="4" s="1"/>
  <c r="AGZ24" i="4" s="1"/>
  <c r="AGZ25" i="4" l="1"/>
  <c r="AHA20" i="4" s="1"/>
  <c r="AHA24" i="4" s="1"/>
  <c r="AHA25" i="4" l="1"/>
  <c r="AHB20" i="4" s="1"/>
  <c r="AHB24" i="4" s="1"/>
  <c r="AHB25" i="4" l="1"/>
  <c r="AHC20" i="4" s="1"/>
  <c r="AHC24" i="4" s="1"/>
  <c r="AHC25" i="4" l="1"/>
  <c r="AHD20" i="4" s="1"/>
  <c r="AHD24" i="4" s="1"/>
  <c r="AHD25" i="4" l="1"/>
  <c r="AHE20" i="4" s="1"/>
  <c r="AHE24" i="4" s="1"/>
  <c r="AHE25" i="4" l="1"/>
  <c r="AHF20" i="4" s="1"/>
  <c r="AHF24" i="4" s="1"/>
  <c r="AHF25" i="4" l="1"/>
  <c r="AHG20" i="4" l="1"/>
  <c r="AHG24" i="4" s="1"/>
  <c r="AHG25" i="4" l="1"/>
  <c r="AHH20" i="4" s="1"/>
  <c r="AHH24" i="4" s="1"/>
  <c r="AHH25" i="4" l="1"/>
  <c r="AHI20" i="4" s="1"/>
  <c r="AHI24" i="4" s="1"/>
  <c r="AHI25" i="4" l="1"/>
  <c r="AHJ20" i="4" s="1"/>
  <c r="AHJ24" i="4" s="1"/>
  <c r="AHJ25" i="4" l="1"/>
  <c r="AHK20" i="4" s="1"/>
  <c r="AHK24" i="4" s="1"/>
  <c r="AHK25" i="4" l="1"/>
  <c r="AHL20" i="4" s="1"/>
  <c r="AHL24" i="4" s="1"/>
  <c r="AHL25" i="4" l="1"/>
  <c r="AHM20" i="4" s="1"/>
  <c r="AHM24" i="4" s="1"/>
  <c r="AHM25" i="4" l="1"/>
  <c r="AHN20" i="4" s="1"/>
  <c r="AHN24" i="4" s="1"/>
  <c r="AHN25" i="4" l="1"/>
  <c r="AHO20" i="4" s="1"/>
  <c r="AHO24" i="4" s="1"/>
  <c r="AHO25" i="4" l="1"/>
  <c r="AHP20" i="4" s="1"/>
  <c r="AHP24" i="4" s="1"/>
  <c r="AHP25" i="4" l="1"/>
  <c r="AHQ20" i="4" s="1"/>
  <c r="AHQ24" i="4" s="1"/>
  <c r="AHQ25" i="4" l="1"/>
  <c r="AHR20" i="4" s="1"/>
  <c r="AHR24" i="4" s="1"/>
  <c r="AHR25" i="4" l="1"/>
  <c r="AHS20" i="4" l="1"/>
  <c r="AHS24" i="4" s="1"/>
  <c r="AHS25" i="4" l="1"/>
  <c r="AHT20" i="4" s="1"/>
  <c r="AHT24" i="4" s="1"/>
  <c r="AHT25" i="4" l="1"/>
  <c r="AHU20" i="4" s="1"/>
  <c r="AHU24" i="4" s="1"/>
  <c r="AHU25" i="4" l="1"/>
  <c r="AHV20" i="4" s="1"/>
  <c r="AHV24" i="4" s="1"/>
  <c r="AHV25" i="4" l="1"/>
  <c r="AHW20" i="4" s="1"/>
  <c r="AHW24" i="4" s="1"/>
  <c r="AHW25" i="4" l="1"/>
  <c r="AHX20" i="4" s="1"/>
  <c r="AHX24" i="4" s="1"/>
  <c r="AHX25" i="4" l="1"/>
  <c r="AHY20" i="4" s="1"/>
  <c r="AHY24" i="4" s="1"/>
  <c r="AHY25" i="4" l="1"/>
  <c r="AHZ20" i="4" s="1"/>
  <c r="AHZ24" i="4" s="1"/>
  <c r="AHZ25" i="4" l="1"/>
  <c r="AIA20" i="4" s="1"/>
  <c r="AIA24" i="4" s="1"/>
  <c r="AIA25" i="4" l="1"/>
  <c r="AIB20" i="4" s="1"/>
  <c r="AIB24" i="4" s="1"/>
  <c r="AIB25" i="4" l="1"/>
  <c r="AIC20" i="4" s="1"/>
  <c r="AIC24" i="4" s="1"/>
  <c r="AIC25" i="4" l="1"/>
  <c r="AID20" i="4" s="1"/>
  <c r="AID24" i="4" s="1"/>
  <c r="AID25" i="4" l="1"/>
  <c r="AIE20" i="4" l="1"/>
  <c r="AIE24" i="4" s="1"/>
  <c r="AIE25" i="4" l="1"/>
  <c r="AIF20" i="4" s="1"/>
  <c r="AIF24" i="4" s="1"/>
  <c r="AIF25" i="4" l="1"/>
  <c r="AIG20" i="4" s="1"/>
  <c r="AIG24" i="4" s="1"/>
  <c r="AIG25" i="4" l="1"/>
  <c r="AIH20" i="4" s="1"/>
  <c r="AIH24" i="4" s="1"/>
  <c r="AIH25" i="4" l="1"/>
  <c r="AII20" i="4" s="1"/>
  <c r="AII24" i="4" s="1"/>
  <c r="AII25" i="4" l="1"/>
  <c r="AIJ20" i="4" s="1"/>
  <c r="AIJ24" i="4" s="1"/>
  <c r="AIJ25" i="4" l="1"/>
  <c r="AIK20" i="4" s="1"/>
  <c r="AIK24" i="4" s="1"/>
  <c r="AIK25" i="4" l="1"/>
  <c r="AIL20" i="4" s="1"/>
  <c r="AIL24" i="4" s="1"/>
  <c r="AIL25" i="4" l="1"/>
  <c r="AIM20" i="4" s="1"/>
  <c r="AIM24" i="4" s="1"/>
  <c r="AIM25" i="4" l="1"/>
  <c r="AIN20" i="4" s="1"/>
  <c r="AIN24" i="4" s="1"/>
  <c r="AIN25" i="4" l="1"/>
  <c r="AIO20" i="4" s="1"/>
  <c r="AIO24" i="4" s="1"/>
  <c r="AIO25" i="4" l="1"/>
  <c r="AIP20" i="4" s="1"/>
  <c r="AIP24" i="4" s="1"/>
  <c r="AIP25" i="4" l="1"/>
  <c r="AIQ20" i="4" l="1"/>
  <c r="I4" i="4" l="1"/>
  <c r="I8" i="4" s="1"/>
  <c r="AIQ24" i="4"/>
  <c r="AIQ25" i="4" s="1"/>
  <c r="AIR20" i="4" s="1"/>
  <c r="AIR24" i="4" s="1"/>
  <c r="C33" i="4" l="1"/>
  <c r="AIR25" i="4"/>
  <c r="AIS20" i="4" s="1"/>
  <c r="AIS24" i="4" s="1"/>
  <c r="AIS25" i="4" l="1"/>
  <c r="AIT20" i="4" s="1"/>
  <c r="AIT24" i="4" s="1"/>
  <c r="AIT25" i="4" l="1"/>
  <c r="AIU20" i="4" s="1"/>
  <c r="AIU24" i="4" s="1"/>
  <c r="AIU25" i="4" l="1"/>
  <c r="AIV20" i="4" s="1"/>
  <c r="AIV24" i="4" s="1"/>
  <c r="AIV25" i="4" l="1"/>
  <c r="AIW20" i="4" s="1"/>
  <c r="AIW24" i="4" s="1"/>
  <c r="AIW25" i="4" l="1"/>
  <c r="AIX20" i="4" s="1"/>
  <c r="AIX24" i="4" s="1"/>
  <c r="AIX25" i="4" l="1"/>
  <c r="AIY20" i="4" s="1"/>
  <c r="AIY24" i="4" s="1"/>
  <c r="AIY25" i="4" l="1"/>
  <c r="AIZ20" i="4" s="1"/>
  <c r="AIZ24" i="4" s="1"/>
  <c r="AIZ25" i="4" l="1"/>
  <c r="AJA20" i="4" s="1"/>
  <c r="AJA24" i="4" s="1"/>
  <c r="AJA25" i="4" l="1"/>
  <c r="AJB20" i="4" s="1"/>
  <c r="AJB24" i="4" s="1"/>
  <c r="AJB25" i="4" l="1"/>
  <c r="C34" i="4" l="1"/>
  <c r="D33" i="4" s="1"/>
  <c r="AJC20" i="4"/>
  <c r="AJC24" i="4" s="1"/>
  <c r="AJC25" i="4" l="1"/>
  <c r="AJD20" i="4" s="1"/>
  <c r="AJD24" i="4" s="1"/>
  <c r="AJD25" i="4" l="1"/>
  <c r="AJE20" i="4" s="1"/>
  <c r="AJE24" i="4" s="1"/>
  <c r="AJE25" i="4" l="1"/>
  <c r="AJF20" i="4" s="1"/>
  <c r="AJF24" i="4" s="1"/>
  <c r="AJF25" i="4" l="1"/>
  <c r="AJG20" i="4" s="1"/>
  <c r="AJG24" i="4" s="1"/>
  <c r="AJG25" i="4" l="1"/>
  <c r="AJH20" i="4" s="1"/>
  <c r="AJH24" i="4" s="1"/>
  <c r="AJH25" i="4" l="1"/>
  <c r="AJI20" i="4" s="1"/>
  <c r="AJI24" i="4" s="1"/>
  <c r="AJI25" i="4" l="1"/>
  <c r="AJJ20" i="4" s="1"/>
  <c r="AJJ24" i="4" s="1"/>
  <c r="AJJ25" i="4" l="1"/>
  <c r="AJK20" i="4" s="1"/>
  <c r="AJK24" i="4" s="1"/>
  <c r="AJK25" i="4" l="1"/>
  <c r="AJL20" i="4" s="1"/>
  <c r="AJL24" i="4" s="1"/>
  <c r="AJL25" i="4" l="1"/>
  <c r="AJM20" i="4" s="1"/>
  <c r="AJM24" i="4" s="1"/>
  <c r="AJM25" i="4" l="1"/>
  <c r="AJN20" i="4" s="1"/>
  <c r="AJN24" i="4" s="1"/>
  <c r="AJN25" i="4" l="1"/>
  <c r="D34" i="4" l="1"/>
  <c r="E33" i="4" s="1"/>
  <c r="AJO20" i="4"/>
  <c r="AJO24" i="4" s="1"/>
  <c r="AJO25" i="4" l="1"/>
  <c r="AJP20" i="4" s="1"/>
  <c r="AJP24" i="4" s="1"/>
  <c r="AJP25" i="4" l="1"/>
  <c r="AJQ20" i="4" s="1"/>
  <c r="AJQ24" i="4" s="1"/>
  <c r="AJQ25" i="4" l="1"/>
  <c r="AJR20" i="4" s="1"/>
  <c r="AJR24" i="4" s="1"/>
  <c r="AJR25" i="4" l="1"/>
  <c r="AJS20" i="4" s="1"/>
  <c r="AJS24" i="4" s="1"/>
  <c r="AJS25" i="4" l="1"/>
  <c r="AJT20" i="4" s="1"/>
  <c r="AJT24" i="4" s="1"/>
  <c r="AJT25" i="4" l="1"/>
  <c r="AJU20" i="4" s="1"/>
  <c r="AJU24" i="4" s="1"/>
  <c r="AJU25" i="4" l="1"/>
  <c r="AJV20" i="4" s="1"/>
  <c r="AJV24" i="4" s="1"/>
  <c r="AJV25" i="4" l="1"/>
  <c r="AJW20" i="4" s="1"/>
  <c r="AJW24" i="4" s="1"/>
  <c r="AJW25" i="4" l="1"/>
  <c r="AJX20" i="4" s="1"/>
  <c r="AJX24" i="4" s="1"/>
  <c r="AJX25" i="4" l="1"/>
  <c r="AJY20" i="4" s="1"/>
  <c r="AJY24" i="4" s="1"/>
  <c r="AJY25" i="4" l="1"/>
  <c r="AJZ20" i="4" s="1"/>
  <c r="AJZ24" i="4" s="1"/>
  <c r="AJZ25" i="4" l="1"/>
  <c r="E34" i="4" l="1"/>
  <c r="F33" i="4" s="1"/>
  <c r="AKA20" i="4"/>
  <c r="AKA24" i="4" s="1"/>
  <c r="AKA25" i="4" l="1"/>
  <c r="AKB20" i="4" s="1"/>
  <c r="AKB24" i="4" s="1"/>
  <c r="AKB25" i="4" l="1"/>
  <c r="AKC20" i="4" s="1"/>
  <c r="AKC24" i="4" s="1"/>
  <c r="AKC25" i="4" l="1"/>
  <c r="AKD20" i="4" s="1"/>
  <c r="AKD24" i="4" s="1"/>
  <c r="AKD25" i="4" l="1"/>
  <c r="AKE20" i="4" s="1"/>
  <c r="AKE24" i="4" s="1"/>
  <c r="AKE25" i="4" l="1"/>
  <c r="AKF20" i="4" s="1"/>
  <c r="AKF24" i="4" s="1"/>
  <c r="AKF25" i="4" l="1"/>
  <c r="AKG20" i="4" s="1"/>
  <c r="AKG24" i="4" s="1"/>
  <c r="AKG25" i="4" l="1"/>
  <c r="AKH20" i="4" s="1"/>
  <c r="AKH24" i="4" s="1"/>
  <c r="AKH25" i="4" l="1"/>
  <c r="AKI20" i="4" s="1"/>
  <c r="AKI24" i="4" s="1"/>
  <c r="AKI25" i="4" l="1"/>
  <c r="AKJ20" i="4" s="1"/>
  <c r="AKJ24" i="4" s="1"/>
  <c r="AKJ25" i="4" l="1"/>
  <c r="AKK20" i="4" s="1"/>
  <c r="AKK24" i="4" s="1"/>
  <c r="AKK25" i="4" l="1"/>
  <c r="AKL20" i="4" s="1"/>
  <c r="AKL24" i="4" s="1"/>
  <c r="AKL25" i="4" l="1"/>
  <c r="F34" i="4" l="1"/>
  <c r="G33" i="4" s="1"/>
  <c r="AKM20" i="4"/>
  <c r="AKM24" i="4" s="1"/>
  <c r="AKM25" i="4" l="1"/>
  <c r="AKN20" i="4" s="1"/>
  <c r="AKN24" i="4" s="1"/>
  <c r="AKN25" i="4" l="1"/>
  <c r="AKO20" i="4" s="1"/>
  <c r="AKO24" i="4" s="1"/>
  <c r="AKO25" i="4" l="1"/>
  <c r="AKP20" i="4" s="1"/>
  <c r="AKP24" i="4" s="1"/>
  <c r="AKP25" i="4" l="1"/>
  <c r="AKQ20" i="4" s="1"/>
  <c r="AKQ24" i="4" s="1"/>
  <c r="AKQ25" i="4" l="1"/>
  <c r="AKR20" i="4" s="1"/>
  <c r="AKR24" i="4" s="1"/>
  <c r="AKR25" i="4" l="1"/>
  <c r="AKS20" i="4" s="1"/>
  <c r="AKS24" i="4" s="1"/>
  <c r="AKS25" i="4" l="1"/>
  <c r="AKT20" i="4" s="1"/>
  <c r="AKT24" i="4" s="1"/>
  <c r="AKT25" i="4" l="1"/>
  <c r="AKU20" i="4" s="1"/>
  <c r="AKU24" i="4" s="1"/>
  <c r="AKU25" i="4" l="1"/>
  <c r="AKV20" i="4" s="1"/>
  <c r="AKV24" i="4" s="1"/>
  <c r="AKV25" i="4" l="1"/>
  <c r="AKW20" i="4" s="1"/>
  <c r="AKW24" i="4" s="1"/>
  <c r="AKW25" i="4" l="1"/>
  <c r="AKX20" i="4" s="1"/>
  <c r="AKX24" i="4" s="1"/>
  <c r="AKX25" i="4" l="1"/>
  <c r="G34" i="4" l="1"/>
  <c r="H33" i="4" s="1"/>
  <c r="AKY20" i="4"/>
  <c r="AKY24" i="4" s="1"/>
  <c r="AKY25" i="4" l="1"/>
  <c r="AKZ20" i="4" s="1"/>
  <c r="AKZ24" i="4" s="1"/>
  <c r="AKZ25" i="4" l="1"/>
  <c r="ALA20" i="4" s="1"/>
  <c r="ALA24" i="4" s="1"/>
  <c r="ALA25" i="4" l="1"/>
  <c r="ALB20" i="4" s="1"/>
  <c r="ALB24" i="4" s="1"/>
  <c r="ALB25" i="4" l="1"/>
  <c r="ALC20" i="4" s="1"/>
  <c r="ALC24" i="4" s="1"/>
  <c r="ALC25" i="4" l="1"/>
  <c r="ALD20" i="4" s="1"/>
  <c r="ALD24" i="4" s="1"/>
  <c r="ALD25" i="4" l="1"/>
  <c r="ALE20" i="4" s="1"/>
  <c r="ALE24" i="4" s="1"/>
  <c r="ALE25" i="4" l="1"/>
  <c r="ALF20" i="4" s="1"/>
  <c r="ALF24" i="4" s="1"/>
  <c r="ALF25" i="4" l="1"/>
  <c r="ALG20" i="4" s="1"/>
  <c r="ALG24" i="4" s="1"/>
  <c r="ALG25" i="4" l="1"/>
  <c r="ALH20" i="4" s="1"/>
  <c r="ALH24" i="4" s="1"/>
  <c r="ALH25" i="4" l="1"/>
  <c r="ALI20" i="4" s="1"/>
  <c r="ALI24" i="4" s="1"/>
  <c r="ALI25" i="4" l="1"/>
  <c r="ALJ20" i="4" s="1"/>
  <c r="ALJ24" i="4" s="1"/>
  <c r="ALJ25" i="4" l="1"/>
  <c r="H34" i="4" l="1"/>
  <c r="I33" i="4" s="1"/>
  <c r="P34" i="4"/>
  <c r="Q33" i="4" s="1"/>
  <c r="ALK20" i="4"/>
  <c r="ALK24" i="4" s="1"/>
  <c r="ALK25" i="4" l="1"/>
  <c r="ALL20" i="4" s="1"/>
  <c r="ALL24" i="4" s="1"/>
  <c r="ALL25" i="4" l="1"/>
  <c r="ALM20" i="4" s="1"/>
  <c r="ALM24" i="4" s="1"/>
  <c r="ALM25" i="4" l="1"/>
  <c r="ALN20" i="4" s="1"/>
  <c r="ALN24" i="4" s="1"/>
  <c r="ALN25" i="4" l="1"/>
  <c r="ALO20" i="4" s="1"/>
  <c r="ALO24" i="4" s="1"/>
  <c r="ALO25" i="4" l="1"/>
  <c r="ALP20" i="4" s="1"/>
  <c r="ALP24" i="4" s="1"/>
  <c r="ALP25" i="4" l="1"/>
  <c r="ALQ20" i="4" s="1"/>
  <c r="ALQ24" i="4" s="1"/>
  <c r="ALQ25" i="4" l="1"/>
  <c r="ALR20" i="4" s="1"/>
  <c r="ALR24" i="4" s="1"/>
  <c r="ALR25" i="4" l="1"/>
  <c r="ALS20" i="4" s="1"/>
  <c r="ALS24" i="4" s="1"/>
  <c r="ALS25" i="4" l="1"/>
  <c r="ALT20" i="4" s="1"/>
  <c r="ALT24" i="4" s="1"/>
  <c r="ALT25" i="4" l="1"/>
  <c r="ALU20" i="4" s="1"/>
  <c r="ALU24" i="4" s="1"/>
  <c r="ALU25" i="4" l="1"/>
  <c r="ALV20" i="4" s="1"/>
  <c r="ALV24" i="4" s="1"/>
  <c r="ALV25" i="4" l="1"/>
  <c r="I34" i="4" l="1"/>
  <c r="J33" i="4" s="1"/>
  <c r="Q34" i="4"/>
  <c r="R33" i="4" s="1"/>
  <c r="ALW20" i="4"/>
  <c r="ALW24" i="4" s="1"/>
  <c r="ALW25" i="4" l="1"/>
  <c r="ALX20" i="4" s="1"/>
  <c r="ALX24" i="4" s="1"/>
  <c r="ALX25" i="4" l="1"/>
  <c r="ALY20" i="4" s="1"/>
  <c r="ALY24" i="4" s="1"/>
  <c r="ALY25" i="4" l="1"/>
  <c r="ALZ20" i="4" s="1"/>
  <c r="ALZ24" i="4" s="1"/>
  <c r="ALZ25" i="4" l="1"/>
  <c r="AMA20" i="4" s="1"/>
  <c r="AMA24" i="4" s="1"/>
  <c r="AMA25" i="4" l="1"/>
  <c r="AMB20" i="4" s="1"/>
  <c r="AMB24" i="4" s="1"/>
  <c r="AMB25" i="4" l="1"/>
  <c r="AMC20" i="4" s="1"/>
  <c r="AMC24" i="4" s="1"/>
  <c r="AMC25" i="4" l="1"/>
  <c r="AMD20" i="4" s="1"/>
  <c r="AMD24" i="4" s="1"/>
  <c r="AMD25" i="4" l="1"/>
  <c r="AME20" i="4" s="1"/>
  <c r="AME24" i="4" s="1"/>
  <c r="AME25" i="4" l="1"/>
  <c r="AMF20" i="4" s="1"/>
  <c r="AMF24" i="4" s="1"/>
  <c r="AMF25" i="4" l="1"/>
  <c r="AMG20" i="4" s="1"/>
  <c r="AMG24" i="4" s="1"/>
  <c r="AMG25" i="4" l="1"/>
  <c r="AMH20" i="4" s="1"/>
  <c r="AMH24" i="4" s="1"/>
  <c r="AMH25" i="4" l="1"/>
  <c r="J34" i="4" l="1"/>
  <c r="K33" i="4" s="1"/>
  <c r="W34" i="4"/>
  <c r="X33" i="4" s="1"/>
  <c r="R34" i="4"/>
  <c r="S33" i="4" s="1"/>
  <c r="AMI20" i="4"/>
  <c r="AMI24" i="4" s="1"/>
  <c r="AMI25" i="4" l="1"/>
  <c r="AMJ20" i="4" s="1"/>
  <c r="AMJ24" i="4" s="1"/>
  <c r="AMJ25" i="4" l="1"/>
  <c r="AMK20" i="4" s="1"/>
  <c r="AMK24" i="4" s="1"/>
  <c r="AMK25" i="4" l="1"/>
  <c r="AML20" i="4" s="1"/>
  <c r="AML24" i="4" s="1"/>
  <c r="AML25" i="4" l="1"/>
  <c r="AMM20" i="4" s="1"/>
  <c r="AMM24" i="4" s="1"/>
  <c r="AMM25" i="4" l="1"/>
  <c r="AMN20" i="4" s="1"/>
  <c r="AMN24" i="4" s="1"/>
  <c r="AMN25" i="4" l="1"/>
  <c r="AMO20" i="4" s="1"/>
  <c r="AMO24" i="4" s="1"/>
  <c r="AMO25" i="4" l="1"/>
  <c r="AMP20" i="4" s="1"/>
  <c r="AMP24" i="4" s="1"/>
  <c r="AMP25" i="4" l="1"/>
  <c r="AMQ20" i="4" s="1"/>
  <c r="AMQ24" i="4" s="1"/>
  <c r="AMQ25" i="4" l="1"/>
  <c r="AMR20" i="4" s="1"/>
  <c r="AMR24" i="4" s="1"/>
  <c r="AMR25" i="4" l="1"/>
  <c r="AMS20" i="4" s="1"/>
  <c r="AMS24" i="4" s="1"/>
  <c r="AMS25" i="4" l="1"/>
  <c r="AMT20" i="4" s="1"/>
  <c r="AMT24" i="4" s="1"/>
  <c r="AMT25" i="4" l="1"/>
  <c r="K34" i="4" l="1"/>
  <c r="L33" i="4" s="1"/>
  <c r="X34" i="4"/>
  <c r="Y33" i="4" s="1"/>
  <c r="S34" i="4"/>
  <c r="T33" i="4" s="1"/>
  <c r="AMU20" i="4"/>
  <c r="AMU24" i="4" s="1"/>
  <c r="AMU25" i="4" l="1"/>
  <c r="AMV20" i="4" s="1"/>
  <c r="AMV24" i="4" s="1"/>
  <c r="AMV25" i="4" l="1"/>
  <c r="AMW20" i="4" s="1"/>
  <c r="AMW24" i="4" s="1"/>
  <c r="AMW25" i="4" l="1"/>
  <c r="AMX20" i="4" s="1"/>
  <c r="AMX24" i="4" s="1"/>
  <c r="AMX25" i="4" l="1"/>
  <c r="AMY20" i="4" s="1"/>
  <c r="AMY24" i="4" s="1"/>
  <c r="AMY25" i="4" l="1"/>
  <c r="AMZ20" i="4" s="1"/>
  <c r="AMZ24" i="4" s="1"/>
  <c r="AMZ25" i="4" l="1"/>
  <c r="ANA20" i="4" s="1"/>
  <c r="ANA24" i="4" s="1"/>
  <c r="ANA25" i="4" l="1"/>
  <c r="ANB20" i="4" s="1"/>
  <c r="ANB24" i="4" s="1"/>
  <c r="ANB25" i="4" l="1"/>
  <c r="ANC20" i="4" s="1"/>
  <c r="ANC24" i="4" s="1"/>
  <c r="ANC25" i="4" l="1"/>
  <c r="AND20" i="4" s="1"/>
  <c r="AND24" i="4" s="1"/>
  <c r="AND25" i="4" l="1"/>
  <c r="ANE20" i="4" s="1"/>
  <c r="ANE24" i="4" s="1"/>
  <c r="ANE25" i="4" l="1"/>
  <c r="ANF20" i="4" s="1"/>
  <c r="ANF24" i="4" s="1"/>
  <c r="ANF25" i="4" l="1"/>
  <c r="L34" i="4" l="1"/>
  <c r="M33" i="4" s="1"/>
  <c r="Y34" i="4"/>
  <c r="Z33" i="4" s="1"/>
  <c r="T34" i="4"/>
  <c r="U33" i="4" s="1"/>
  <c r="ANG20" i="4"/>
  <c r="ANG24" i="4" s="1"/>
  <c r="ANG25" i="4" l="1"/>
  <c r="ANH20" i="4" s="1"/>
  <c r="ANH24" i="4" s="1"/>
  <c r="ANH25" i="4" l="1"/>
  <c r="ANI20" i="4" s="1"/>
  <c r="ANI24" i="4" s="1"/>
  <c r="ANI25" i="4" l="1"/>
  <c r="ANJ20" i="4" s="1"/>
  <c r="ANJ24" i="4" s="1"/>
  <c r="ANJ25" i="4" l="1"/>
  <c r="ANK20" i="4" s="1"/>
  <c r="ANK24" i="4" s="1"/>
  <c r="ANK25" i="4" l="1"/>
  <c r="ANL20" i="4" s="1"/>
  <c r="ANL24" i="4" s="1"/>
  <c r="ANL25" i="4" l="1"/>
  <c r="ANM20" i="4" s="1"/>
  <c r="ANM24" i="4" s="1"/>
  <c r="ANM25" i="4" l="1"/>
  <c r="ANN20" i="4" s="1"/>
  <c r="ANN24" i="4" s="1"/>
  <c r="ANN25" i="4" l="1"/>
  <c r="ANO20" i="4" s="1"/>
  <c r="ANO24" i="4" s="1"/>
  <c r="ANO25" i="4" l="1"/>
  <c r="ANP20" i="4" s="1"/>
  <c r="ANP24" i="4" s="1"/>
  <c r="ANP25" i="4" l="1"/>
  <c r="ANQ20" i="4" s="1"/>
  <c r="ANQ24" i="4" s="1"/>
  <c r="ANQ25" i="4" l="1"/>
  <c r="ANR20" i="4" s="1"/>
  <c r="ANR24" i="4" s="1"/>
  <c r="ANR25" i="4" l="1"/>
  <c r="M34" i="4" l="1"/>
  <c r="N33" i="4" s="1"/>
  <c r="Z34" i="4"/>
  <c r="AA33" i="4" s="1"/>
  <c r="U34" i="4"/>
  <c r="V33" i="4" s="1"/>
  <c r="ANS20" i="4"/>
  <c r="ANS24" i="4" s="1"/>
  <c r="ANS25" i="4" l="1"/>
  <c r="ANT20" i="4" s="1"/>
  <c r="ANT24" i="4" s="1"/>
  <c r="ANT25" i="4" l="1"/>
  <c r="ANU20" i="4" s="1"/>
  <c r="ANU24" i="4" s="1"/>
  <c r="ANU25" i="4" l="1"/>
  <c r="ANV20" i="4" s="1"/>
  <c r="ANV24" i="4" s="1"/>
  <c r="ANV25" i="4" l="1"/>
  <c r="ANW20" i="4" s="1"/>
  <c r="ANW24" i="4" s="1"/>
  <c r="ANW25" i="4" l="1"/>
  <c r="ANX20" i="4" s="1"/>
  <c r="ANX24" i="4" s="1"/>
  <c r="ANX25" i="4" l="1"/>
  <c r="ANY20" i="4" s="1"/>
  <c r="ANY24" i="4" s="1"/>
  <c r="ANY25" i="4" l="1"/>
  <c r="ANZ20" i="4" s="1"/>
  <c r="ANZ24" i="4" s="1"/>
  <c r="ANZ25" i="4" l="1"/>
  <c r="AOA20" i="4" s="1"/>
  <c r="AOA24" i="4" s="1"/>
  <c r="AOA25" i="4" l="1"/>
  <c r="AOB20" i="4" s="1"/>
  <c r="AOB24" i="4" s="1"/>
  <c r="AOB25" i="4" l="1"/>
  <c r="AOC20" i="4" s="1"/>
  <c r="AOC24" i="4" s="1"/>
  <c r="AOC25" i="4" l="1"/>
  <c r="AOD20" i="4" s="1"/>
  <c r="AOD24" i="4" s="1"/>
  <c r="AOD25" i="4" l="1"/>
  <c r="O34" i="4" l="1"/>
  <c r="P33" i="4" s="1"/>
  <c r="N34" i="4"/>
  <c r="O33" i="4" s="1"/>
  <c r="AA34" i="4"/>
  <c r="V34" i="4"/>
  <c r="W33" i="4" s="1"/>
  <c r="AOE20" i="4"/>
  <c r="AOE24" i="4" s="1"/>
  <c r="AOE25" i="4" l="1"/>
  <c r="AOF20" i="4" s="1"/>
  <c r="AOF24" i="4" s="1"/>
  <c r="AOF25" i="4" l="1"/>
  <c r="AOG20" i="4" s="1"/>
  <c r="AOG24" i="4" s="1"/>
  <c r="AOG25" i="4" l="1"/>
  <c r="AOH20" i="4" s="1"/>
  <c r="AOH24" i="4" s="1"/>
  <c r="AOH25" i="4" l="1"/>
  <c r="AOI20" i="4" s="1"/>
  <c r="AOI24" i="4" s="1"/>
  <c r="AOI25" i="4" l="1"/>
  <c r="AOJ20" i="4" s="1"/>
  <c r="AOJ24" i="4" s="1"/>
  <c r="AOJ25" i="4" l="1"/>
  <c r="AOK20" i="4" s="1"/>
  <c r="AOK24" i="4" s="1"/>
  <c r="AOK25" i="4" l="1"/>
  <c r="AOL20" i="4" s="1"/>
  <c r="AOL24" i="4" s="1"/>
  <c r="AOL25" i="4" l="1"/>
  <c r="AOM20" i="4" s="1"/>
  <c r="AOM24" i="4" s="1"/>
  <c r="AOM25" i="4" l="1"/>
  <c r="AON20" i="4" s="1"/>
  <c r="AON24" i="4" s="1"/>
  <c r="AON25" i="4" l="1"/>
  <c r="AOO20" i="4" s="1"/>
  <c r="AOO24" i="4" s="1"/>
  <c r="AOO25" i="4" l="1"/>
  <c r="AOP20" i="4" s="1"/>
  <c r="AOP24" i="4" s="1"/>
  <c r="AOP25" i="4" l="1"/>
  <c r="D23" i="8" l="1"/>
  <c r="D24" i="8" s="1"/>
  <c r="D25" i="8" l="1"/>
  <c r="E20" i="8" l="1"/>
  <c r="E28" i="8"/>
  <c r="F35" i="8" s="1"/>
  <c r="E30" i="8" l="1"/>
  <c r="E29" i="8"/>
  <c r="E34" i="8"/>
  <c r="E37" i="8" l="1"/>
  <c r="E36" i="8"/>
  <c r="F42" i="8"/>
  <c r="F43" i="8" s="1"/>
  <c r="E55" i="8"/>
  <c r="E48" i="8"/>
  <c r="E41" i="8"/>
  <c r="E23" i="8"/>
  <c r="E24" i="8" s="1"/>
  <c r="E25" i="8" s="1"/>
  <c r="G49" i="8" l="1"/>
  <c r="G50" i="8" s="1"/>
  <c r="F44" i="8"/>
  <c r="F20" i="8"/>
  <c r="F28" i="8"/>
  <c r="G35" i="8" l="1"/>
  <c r="F30" i="8"/>
  <c r="F29" i="8"/>
  <c r="H56" i="8"/>
  <c r="G51" i="8"/>
  <c r="F34" i="8"/>
  <c r="H58" i="8" l="1"/>
  <c r="H57" i="8"/>
  <c r="F37" i="8"/>
  <c r="F36" i="8"/>
  <c r="F41" i="8"/>
  <c r="F55" i="8"/>
  <c r="F48" i="8"/>
  <c r="G42" i="8"/>
  <c r="F23" i="8"/>
  <c r="F24" i="8" s="1"/>
  <c r="F25" i="8" s="1"/>
  <c r="G44" i="8" l="1"/>
  <c r="G43" i="8"/>
  <c r="H49" i="8"/>
  <c r="G20" i="8"/>
  <c r="G28" i="8"/>
  <c r="H35" i="8" l="1"/>
  <c r="H51" i="8"/>
  <c r="H50" i="8"/>
  <c r="G30" i="8"/>
  <c r="G29" i="8"/>
  <c r="I56" i="8"/>
  <c r="G34" i="8"/>
  <c r="G37" i="8" l="1"/>
  <c r="G36" i="8"/>
  <c r="I58" i="8"/>
  <c r="I57" i="8"/>
  <c r="G48" i="8"/>
  <c r="G55" i="8"/>
  <c r="G23" i="8"/>
  <c r="G24" i="8" s="1"/>
  <c r="G25" i="8" s="1"/>
  <c r="G41" i="8"/>
  <c r="H42" i="8"/>
  <c r="H44" i="8" l="1"/>
  <c r="H43" i="8"/>
  <c r="H20" i="8"/>
  <c r="I49" i="8"/>
  <c r="H28" i="8"/>
  <c r="I35" i="8" l="1"/>
  <c r="H30" i="8"/>
  <c r="H29" i="8"/>
  <c r="I51" i="8"/>
  <c r="I50" i="8"/>
  <c r="J56" i="8"/>
  <c r="H34" i="8"/>
  <c r="H37" i="8" l="1"/>
  <c r="H36" i="8"/>
  <c r="J58" i="8"/>
  <c r="J57" i="8"/>
  <c r="H41" i="8"/>
  <c r="H23" i="8"/>
  <c r="H24" i="8" s="1"/>
  <c r="H25" i="8" s="1"/>
  <c r="I42" i="8"/>
  <c r="I43" i="8" s="1"/>
  <c r="H48" i="8"/>
  <c r="H55" i="8"/>
  <c r="J49" i="8" l="1"/>
  <c r="K56" i="8" s="1"/>
  <c r="I44" i="8"/>
  <c r="I20" i="8"/>
  <c r="I28" i="8"/>
  <c r="J35" i="8" l="1"/>
  <c r="K58" i="8"/>
  <c r="K57" i="8"/>
  <c r="I30" i="8"/>
  <c r="I29" i="8"/>
  <c r="J51" i="8"/>
  <c r="J50" i="8"/>
  <c r="I34" i="8"/>
  <c r="I23" i="8" s="1"/>
  <c r="I24" i="8" s="1"/>
  <c r="I25" i="8" s="1"/>
  <c r="I55" i="8" l="1"/>
  <c r="I37" i="8"/>
  <c r="I36" i="8"/>
  <c r="I48" i="8"/>
  <c r="J42" i="8"/>
  <c r="J43" i="8" s="1"/>
  <c r="I41" i="8"/>
  <c r="J28" i="8"/>
  <c r="J20" i="8"/>
  <c r="J34" i="8" l="1"/>
  <c r="K35" i="8"/>
  <c r="J37" i="8"/>
  <c r="J36" i="8"/>
  <c r="J30" i="8"/>
  <c r="J29" i="8"/>
  <c r="J44" i="8"/>
  <c r="K49" i="8"/>
  <c r="K50" i="8" s="1"/>
  <c r="J48" i="8"/>
  <c r="J41" i="8"/>
  <c r="K42" i="8"/>
  <c r="K43" i="8" s="1"/>
  <c r="J23" i="8"/>
  <c r="J24" i="8" s="1"/>
  <c r="J25" i="8" s="1"/>
  <c r="J55" i="8"/>
  <c r="K51" i="8" l="1"/>
  <c r="L56" i="8"/>
  <c r="L49" i="8"/>
  <c r="L50" i="8" s="1"/>
  <c r="K44" i="8"/>
  <c r="K20" i="8"/>
  <c r="K28" i="8"/>
  <c r="L35" i="8" s="1"/>
  <c r="K30" i="8" l="1"/>
  <c r="K29" i="8"/>
  <c r="L58" i="8"/>
  <c r="L57" i="8"/>
  <c r="M56" i="8"/>
  <c r="L51" i="8"/>
  <c r="K34" i="8"/>
  <c r="M58" i="8" l="1"/>
  <c r="M57" i="8"/>
  <c r="K37" i="8"/>
  <c r="K36" i="8"/>
  <c r="K41" i="8"/>
  <c r="K48" i="8"/>
  <c r="K55" i="8"/>
  <c r="K23" i="8"/>
  <c r="K24" i="8" s="1"/>
  <c r="K25" i="8" s="1"/>
  <c r="L20" i="8" s="1"/>
  <c r="L42" i="8"/>
  <c r="M49" i="8" l="1"/>
  <c r="M50" i="8" s="1"/>
  <c r="L43" i="8"/>
  <c r="L44" i="8"/>
  <c r="L28" i="8"/>
  <c r="M35" i="8" s="1"/>
  <c r="L34" i="8" l="1"/>
  <c r="M51" i="8"/>
  <c r="N56" i="8"/>
  <c r="N58" i="8" s="1"/>
  <c r="L37" i="8"/>
  <c r="L36" i="8"/>
  <c r="L30" i="8"/>
  <c r="L29" i="8"/>
  <c r="L41" i="8"/>
  <c r="L55" i="8"/>
  <c r="L48" i="8"/>
  <c r="M42" i="8"/>
  <c r="M43" i="8" s="1"/>
  <c r="L23" i="8"/>
  <c r="L24" i="8" s="1"/>
  <c r="L25" i="8" s="1"/>
  <c r="N57" i="8" l="1"/>
  <c r="N49" i="8"/>
  <c r="N50" i="8" s="1"/>
  <c r="M44" i="8"/>
  <c r="M20" i="8"/>
  <c r="M28" i="8"/>
  <c r="N35" i="8" s="1"/>
  <c r="M30" i="8" l="1"/>
  <c r="M29" i="8"/>
  <c r="O56" i="8"/>
  <c r="N51" i="8"/>
  <c r="M34" i="8"/>
  <c r="M37" i="8" l="1"/>
  <c r="M36" i="8"/>
  <c r="O58" i="8"/>
  <c r="O57" i="8"/>
  <c r="N42" i="8"/>
  <c r="N43" i="8" s="1"/>
  <c r="M55" i="8"/>
  <c r="M41" i="8"/>
  <c r="M23" i="8"/>
  <c r="M24" i="8" s="1"/>
  <c r="M25" i="8" s="1"/>
  <c r="M48" i="8"/>
  <c r="O49" i="8" l="1"/>
  <c r="O50" i="8" s="1"/>
  <c r="N44" i="8"/>
  <c r="N20" i="8"/>
  <c r="N28" i="8"/>
  <c r="O35" i="8" s="1"/>
  <c r="N30" i="8" l="1"/>
  <c r="N29" i="8"/>
  <c r="P56" i="8"/>
  <c r="O51" i="8"/>
  <c r="N34" i="8"/>
  <c r="N37" i="8" l="1"/>
  <c r="N36" i="8"/>
  <c r="P58" i="8"/>
  <c r="P57" i="8"/>
  <c r="O42" i="8"/>
  <c r="O43" i="8" s="1"/>
  <c r="N41" i="8"/>
  <c r="N48" i="8"/>
  <c r="N23" i="8"/>
  <c r="N24" i="8" s="1"/>
  <c r="N25" i="8" s="1"/>
  <c r="N55" i="8"/>
  <c r="P49" i="8" l="1"/>
  <c r="P50" i="8" s="1"/>
  <c r="O44" i="8"/>
  <c r="O20" i="8"/>
  <c r="O28" i="8"/>
  <c r="P35" i="8" s="1"/>
  <c r="O30" i="8" l="1"/>
  <c r="O29" i="8"/>
  <c r="Q56" i="8"/>
  <c r="P51" i="8"/>
  <c r="O34" i="8"/>
  <c r="Q58" i="8" l="1"/>
  <c r="Q57" i="8"/>
  <c r="O37" i="8"/>
  <c r="O36" i="8"/>
  <c r="O48" i="8"/>
  <c r="O23" i="8"/>
  <c r="O24" i="8" s="1"/>
  <c r="O25" i="8" s="1"/>
  <c r="P42" i="8"/>
  <c r="P43" i="8" s="1"/>
  <c r="O41" i="8"/>
  <c r="O55" i="8"/>
  <c r="P28" i="8" l="1"/>
  <c r="Q35" i="8" s="1"/>
  <c r="P20" i="8"/>
  <c r="Q49" i="8"/>
  <c r="Q50" i="8" s="1"/>
  <c r="P44" i="8"/>
  <c r="P34" i="8" l="1"/>
  <c r="P37" i="8"/>
  <c r="P36" i="8"/>
  <c r="P30" i="8"/>
  <c r="P29" i="8"/>
  <c r="R56" i="8"/>
  <c r="Q51" i="8"/>
  <c r="Q42" i="8"/>
  <c r="Q43" i="8" s="1"/>
  <c r="P23" i="8"/>
  <c r="P24" i="8" s="1"/>
  <c r="P25" i="8" s="1"/>
  <c r="P48" i="8"/>
  <c r="P55" i="8"/>
  <c r="P41" i="8"/>
  <c r="R58" i="8" l="1"/>
  <c r="R57" i="8"/>
  <c r="R49" i="8"/>
  <c r="R50" i="8" s="1"/>
  <c r="Q44" i="8"/>
  <c r="Q20" i="8"/>
  <c r="Q28" i="8"/>
  <c r="R35" i="8" s="1"/>
  <c r="Q30" i="8" l="1"/>
  <c r="Q29" i="8"/>
  <c r="S56" i="8"/>
  <c r="R51" i="8"/>
  <c r="Q34" i="8"/>
  <c r="Q37" i="8" l="1"/>
  <c r="Q36" i="8"/>
  <c r="S58" i="8"/>
  <c r="S57" i="8"/>
  <c r="Q55" i="8"/>
  <c r="Q23" i="8"/>
  <c r="Q24" i="8" s="1"/>
  <c r="Q25" i="8" s="1"/>
  <c r="Q48" i="8"/>
  <c r="R42" i="8"/>
  <c r="R43" i="8" s="1"/>
  <c r="Q41" i="8"/>
  <c r="S49" i="8" l="1"/>
  <c r="S50" i="8" s="1"/>
  <c r="R44" i="8"/>
  <c r="R28" i="8"/>
  <c r="S35" i="8" s="1"/>
  <c r="R20" i="8"/>
  <c r="R34" i="8" l="1"/>
  <c r="R37" i="8"/>
  <c r="R36" i="8"/>
  <c r="R30" i="8"/>
  <c r="R29" i="8"/>
  <c r="T56" i="8"/>
  <c r="S51" i="8"/>
  <c r="S42" i="8"/>
  <c r="S43" i="8" s="1"/>
  <c r="R55" i="8"/>
  <c r="R48" i="8"/>
  <c r="R41" i="8"/>
  <c r="R23" i="8"/>
  <c r="R24" i="8" s="1"/>
  <c r="R25" i="8" s="1"/>
  <c r="T58" i="8" l="1"/>
  <c r="T57" i="8"/>
  <c r="T49" i="8"/>
  <c r="T50" i="8" s="1"/>
  <c r="S44" i="8"/>
  <c r="S20" i="8"/>
  <c r="S28" i="8"/>
  <c r="T35" i="8" s="1"/>
  <c r="S30" i="8" l="1"/>
  <c r="S29" i="8"/>
  <c r="U56" i="8"/>
  <c r="T51" i="8"/>
  <c r="S34" i="8"/>
  <c r="S37" i="8" l="1"/>
  <c r="S36" i="8"/>
  <c r="U58" i="8"/>
  <c r="U57" i="8"/>
  <c r="T42" i="8"/>
  <c r="T43" i="8" s="1"/>
  <c r="S55" i="8"/>
  <c r="S48" i="8"/>
  <c r="S41" i="8"/>
  <c r="U49" i="8" l="1"/>
  <c r="U50" i="8" s="1"/>
  <c r="T44" i="8"/>
  <c r="S23" i="8"/>
  <c r="S24" i="8" s="1"/>
  <c r="S25" i="8" s="1"/>
  <c r="V56" i="8" l="1"/>
  <c r="U51" i="8"/>
  <c r="T20" i="8"/>
  <c r="T28" i="8"/>
  <c r="U35" i="8" s="1"/>
  <c r="T30" i="8" l="1"/>
  <c r="T29" i="8"/>
  <c r="V58" i="8"/>
  <c r="V57" i="8"/>
  <c r="T34" i="8"/>
  <c r="T37" i="8" l="1"/>
  <c r="T36" i="8"/>
  <c r="U42" i="8"/>
  <c r="U43" i="8" s="1"/>
  <c r="T55" i="8"/>
  <c r="T48" i="8"/>
  <c r="T41" i="8"/>
  <c r="V49" i="8" l="1"/>
  <c r="V50" i="8" s="1"/>
  <c r="U44" i="8"/>
  <c r="T23" i="8"/>
  <c r="T24" i="8" s="1"/>
  <c r="T25" i="8" s="1"/>
  <c r="W56" i="8" l="1"/>
  <c r="V51" i="8"/>
  <c r="U20" i="8"/>
  <c r="U28" i="8"/>
  <c r="V35" i="8" s="1"/>
  <c r="U30" i="8" l="1"/>
  <c r="U29" i="8"/>
  <c r="W58" i="8"/>
  <c r="W57" i="8"/>
  <c r="U34" i="8"/>
  <c r="U37" i="8" l="1"/>
  <c r="U36" i="8"/>
  <c r="V42" i="8"/>
  <c r="V43" i="8" s="1"/>
  <c r="U55" i="8"/>
  <c r="U48" i="8"/>
  <c r="U41" i="8"/>
  <c r="W49" i="8" l="1"/>
  <c r="W50" i="8" s="1"/>
  <c r="V44" i="8"/>
  <c r="U23" i="8"/>
  <c r="U24" i="8" s="1"/>
  <c r="U25" i="8" s="1"/>
  <c r="X56" i="8" l="1"/>
  <c r="W51" i="8"/>
  <c r="V20" i="8"/>
  <c r="V28" i="8"/>
  <c r="W35" i="8" s="1"/>
  <c r="V30" i="8" l="1"/>
  <c r="V29" i="8"/>
  <c r="X58" i="8"/>
  <c r="X57" i="8"/>
  <c r="V34" i="8"/>
  <c r="V37" i="8" l="1"/>
  <c r="V36" i="8"/>
  <c r="W42" i="8"/>
  <c r="W43" i="8" s="1"/>
  <c r="V55" i="8"/>
  <c r="V48" i="8"/>
  <c r="V41" i="8"/>
  <c r="X49" i="8" l="1"/>
  <c r="X50" i="8" s="1"/>
  <c r="W44" i="8"/>
  <c r="V23" i="8"/>
  <c r="V24" i="8" s="1"/>
  <c r="V25" i="8" s="1"/>
  <c r="Y56" i="8" l="1"/>
  <c r="X51" i="8"/>
  <c r="W28" i="8"/>
  <c r="X35" i="8" s="1"/>
  <c r="W20" i="8"/>
  <c r="W30" i="8" l="1"/>
  <c r="W29" i="8"/>
  <c r="Y58" i="8"/>
  <c r="Y57" i="8"/>
  <c r="W34" i="8"/>
  <c r="W37" i="8" l="1"/>
  <c r="W36" i="8"/>
  <c r="X42" i="8"/>
  <c r="X43" i="8" s="1"/>
  <c r="W55" i="8"/>
  <c r="W48" i="8"/>
  <c r="W41" i="8"/>
  <c r="Y49" i="8" l="1"/>
  <c r="Y50" i="8" s="1"/>
  <c r="X44" i="8"/>
  <c r="W23" i="8"/>
  <c r="W24" i="8" s="1"/>
  <c r="W25" i="8" s="1"/>
  <c r="Z56" i="8" l="1"/>
  <c r="Y51" i="8"/>
  <c r="X20" i="8"/>
  <c r="X28" i="8"/>
  <c r="Y35" i="8" s="1"/>
  <c r="X30" i="8" l="1"/>
  <c r="X29" i="8"/>
  <c r="Z58" i="8"/>
  <c r="Z57" i="8"/>
  <c r="X34" i="8"/>
  <c r="X37" i="8" l="1"/>
  <c r="X36" i="8"/>
  <c r="Y42" i="8"/>
  <c r="Y43" i="8" s="1"/>
  <c r="X55" i="8"/>
  <c r="X48" i="8"/>
  <c r="X41" i="8"/>
  <c r="Z49" i="8" l="1"/>
  <c r="Z50" i="8" s="1"/>
  <c r="Y44" i="8"/>
  <c r="X23" i="8"/>
  <c r="X24" i="8" s="1"/>
  <c r="X25" i="8" s="1"/>
  <c r="AA56" i="8" l="1"/>
  <c r="Z51" i="8"/>
  <c r="Y20" i="8"/>
  <c r="Y28" i="8"/>
  <c r="Z35" i="8" s="1"/>
  <c r="Y30" i="8" l="1"/>
  <c r="Y29" i="8"/>
  <c r="AA58" i="8"/>
  <c r="AA57" i="8"/>
  <c r="Y34" i="8"/>
  <c r="Y37" i="8" l="1"/>
  <c r="Y36" i="8"/>
  <c r="Z42" i="8"/>
  <c r="Z43" i="8" s="1"/>
  <c r="Y55" i="8"/>
  <c r="Y48" i="8"/>
  <c r="Y41" i="8"/>
  <c r="AA49" i="8" l="1"/>
  <c r="AA50" i="8" s="1"/>
  <c r="Z44" i="8"/>
  <c r="Y23" i="8"/>
  <c r="Y24" i="8" s="1"/>
  <c r="Y25" i="8" s="1"/>
  <c r="AB56" i="8" l="1"/>
  <c r="AA51" i="8"/>
  <c r="Z20" i="8"/>
  <c r="Z28" i="8"/>
  <c r="AA35" i="8" s="1"/>
  <c r="Z30" i="8" l="1"/>
  <c r="Z29" i="8"/>
  <c r="AB58" i="8"/>
  <c r="AB57" i="8"/>
  <c r="Z34" i="8"/>
  <c r="Z37" i="8" l="1"/>
  <c r="Z36" i="8"/>
  <c r="AA42" i="8"/>
  <c r="AA43" i="8" s="1"/>
  <c r="Z55" i="8"/>
  <c r="Z48" i="8"/>
  <c r="Z41" i="8"/>
  <c r="Z23" i="8"/>
  <c r="AB49" i="8" l="1"/>
  <c r="AB50" i="8" s="1"/>
  <c r="AA44" i="8"/>
  <c r="Z24" i="8"/>
  <c r="Z25" i="8" s="1"/>
  <c r="AC56" i="8" l="1"/>
  <c r="AB51" i="8"/>
  <c r="AA28" i="8"/>
  <c r="AB35" i="8" s="1"/>
  <c r="AA20" i="8"/>
  <c r="AA30" i="8" l="1"/>
  <c r="AA29" i="8"/>
  <c r="AC58" i="8"/>
  <c r="AC57" i="8"/>
  <c r="AA34" i="8"/>
  <c r="AA37" i="8" l="1"/>
  <c r="AA36" i="8"/>
  <c r="AB42" i="8"/>
  <c r="AB43" i="8" s="1"/>
  <c r="AA55" i="8"/>
  <c r="AA48" i="8"/>
  <c r="AA41" i="8"/>
  <c r="AA23" i="8"/>
  <c r="AA24" i="8" s="1"/>
  <c r="AA25" i="8" s="1"/>
  <c r="AC49" i="8" l="1"/>
  <c r="AC50" i="8" s="1"/>
  <c r="AB44" i="8"/>
  <c r="AB20" i="8"/>
  <c r="AB28" i="8"/>
  <c r="AC35" i="8" s="1"/>
  <c r="AB30" i="8" l="1"/>
  <c r="AB29" i="8"/>
  <c r="AD56" i="8"/>
  <c r="AC51" i="8"/>
  <c r="AB34" i="8"/>
  <c r="AB37" i="8" l="1"/>
  <c r="AB36" i="8"/>
  <c r="AD58" i="8"/>
  <c r="AD57" i="8"/>
  <c r="AC42" i="8"/>
  <c r="AC43" i="8" s="1"/>
  <c r="AB55" i="8"/>
  <c r="AB23" i="8"/>
  <c r="AB24" i="8" s="1"/>
  <c r="AB25" i="8" s="1"/>
  <c r="AB41" i="8"/>
  <c r="AB48" i="8"/>
  <c r="AD49" i="8" l="1"/>
  <c r="AD50" i="8" s="1"/>
  <c r="AC44" i="8"/>
  <c r="AC28" i="8"/>
  <c r="AD35" i="8" s="1"/>
  <c r="AC20" i="8"/>
  <c r="AC34" i="8" l="1"/>
  <c r="AC37" i="8"/>
  <c r="AC36" i="8"/>
  <c r="AC30" i="8"/>
  <c r="AC29" i="8"/>
  <c r="AE56" i="8"/>
  <c r="AD51" i="8"/>
  <c r="AD42" i="8"/>
  <c r="AD43" i="8" s="1"/>
  <c r="AC55" i="8"/>
  <c r="AC48" i="8"/>
  <c r="AC41" i="8"/>
  <c r="AE58" i="8" l="1"/>
  <c r="AE57" i="8"/>
  <c r="AE49" i="8"/>
  <c r="AE50" i="8" s="1"/>
  <c r="AD44" i="8"/>
  <c r="AC23" i="8"/>
  <c r="AC24" i="8" s="1"/>
  <c r="AC25" i="8" s="1"/>
  <c r="AF56" i="8" l="1"/>
  <c r="AE51" i="8"/>
  <c r="AD20" i="8"/>
  <c r="AD28" i="8"/>
  <c r="AE35" i="8" s="1"/>
  <c r="AD30" i="8" l="1"/>
  <c r="AD29" i="8"/>
  <c r="AF58" i="8"/>
  <c r="AF57" i="8"/>
  <c r="AD34" i="8"/>
  <c r="AD37" i="8" l="1"/>
  <c r="AD36" i="8"/>
  <c r="AE42" i="8"/>
  <c r="AE43" i="8" s="1"/>
  <c r="AD55" i="8"/>
  <c r="AD48" i="8"/>
  <c r="AD41" i="8"/>
  <c r="AD23" i="8"/>
  <c r="AD24" i="8" s="1"/>
  <c r="AD25" i="8" s="1"/>
  <c r="AF49" i="8" l="1"/>
  <c r="AF50" i="8" s="1"/>
  <c r="AE44" i="8"/>
  <c r="AE20" i="8"/>
  <c r="AE28" i="8"/>
  <c r="AF35" i="8" s="1"/>
  <c r="AE30" i="8" l="1"/>
  <c r="AE29" i="8"/>
  <c r="AG56" i="8"/>
  <c r="AF51" i="8"/>
  <c r="AE34" i="8"/>
  <c r="AE37" i="8" l="1"/>
  <c r="AE36" i="8"/>
  <c r="AG58" i="8"/>
  <c r="AG57" i="8"/>
  <c r="AF42" i="8"/>
  <c r="AF43" i="8" s="1"/>
  <c r="AE55" i="8"/>
  <c r="AE48" i="8"/>
  <c r="AE41" i="8"/>
  <c r="AE23" i="8"/>
  <c r="AE24" i="8" s="1"/>
  <c r="AE25" i="8" s="1"/>
  <c r="AG49" i="8" l="1"/>
  <c r="AG50" i="8" s="1"/>
  <c r="AF44" i="8"/>
  <c r="AF20" i="8"/>
  <c r="AF28" i="8"/>
  <c r="AG35" i="8" s="1"/>
  <c r="AF30" i="8" l="1"/>
  <c r="AF29" i="8"/>
  <c r="AH56" i="8"/>
  <c r="AG51" i="8"/>
  <c r="AF34" i="8"/>
  <c r="AF37" i="8" l="1"/>
  <c r="AF36" i="8"/>
  <c r="AH58" i="8"/>
  <c r="AH57" i="8"/>
  <c r="AG42" i="8"/>
  <c r="AG43" i="8" s="1"/>
  <c r="AF55" i="8"/>
  <c r="AF48" i="8"/>
  <c r="AF41" i="8"/>
  <c r="AH49" i="8" l="1"/>
  <c r="AH50" i="8" s="1"/>
  <c r="AG44" i="8"/>
  <c r="AF23" i="8"/>
  <c r="AF24" i="8" s="1"/>
  <c r="AF25" i="8" s="1"/>
  <c r="AG20" i="8" s="1"/>
  <c r="AI56" i="8" l="1"/>
  <c r="AH51" i="8"/>
  <c r="AG28" i="8"/>
  <c r="AH35" i="8" s="1"/>
  <c r="AG34" i="8" l="1"/>
  <c r="AG37" i="8"/>
  <c r="AG36" i="8"/>
  <c r="AG30" i="8"/>
  <c r="AG29" i="8"/>
  <c r="AI58" i="8"/>
  <c r="AI57" i="8"/>
  <c r="AH42" i="8"/>
  <c r="AH43" i="8" s="1"/>
  <c r="AG55" i="8"/>
  <c r="AG48" i="8"/>
  <c r="AG41" i="8"/>
  <c r="AI49" i="8" l="1"/>
  <c r="AI50" i="8" s="1"/>
  <c r="AH44" i="8"/>
  <c r="AG23" i="8"/>
  <c r="AG24" i="8" s="1"/>
  <c r="AG25" i="8" s="1"/>
  <c r="AJ56" i="8" l="1"/>
  <c r="AI51" i="8"/>
  <c r="AH20" i="8"/>
  <c r="AH28" i="8"/>
  <c r="AI35" i="8" s="1"/>
  <c r="AH30" i="8" l="1"/>
  <c r="AH29" i="8"/>
  <c r="AJ58" i="8"/>
  <c r="AJ57" i="8"/>
  <c r="AH34" i="8"/>
  <c r="AH37" i="8" l="1"/>
  <c r="AH36" i="8"/>
  <c r="AI42" i="8"/>
  <c r="AI43" i="8" s="1"/>
  <c r="AH55" i="8"/>
  <c r="AH48" i="8"/>
  <c r="AH41" i="8"/>
  <c r="AH23" i="8"/>
  <c r="AH24" i="8" s="1"/>
  <c r="AH25" i="8" s="1"/>
  <c r="AJ49" i="8" l="1"/>
  <c r="AJ50" i="8" s="1"/>
  <c r="AI44" i="8"/>
  <c r="AI20" i="8"/>
  <c r="AI28" i="8"/>
  <c r="AJ35" i="8" s="1"/>
  <c r="AI30" i="8" l="1"/>
  <c r="AI29" i="8"/>
  <c r="AK56" i="8"/>
  <c r="AJ51" i="8"/>
  <c r="AI34" i="8"/>
  <c r="AI37" i="8" l="1"/>
  <c r="AI36" i="8"/>
  <c r="AK58" i="8"/>
  <c r="AK57" i="8"/>
  <c r="AJ42" i="8"/>
  <c r="AJ43" i="8" s="1"/>
  <c r="AI55" i="8"/>
  <c r="AI48" i="8"/>
  <c r="AI41" i="8"/>
  <c r="AK49" i="8" l="1"/>
  <c r="AK50" i="8" s="1"/>
  <c r="AJ44" i="8"/>
  <c r="AI23" i="8"/>
  <c r="AI24" i="8" s="1"/>
  <c r="AI25" i="8" s="1"/>
  <c r="AL56" i="8" l="1"/>
  <c r="AK51" i="8"/>
  <c r="AJ20" i="8"/>
  <c r="AJ28" i="8"/>
  <c r="AK35" i="8" s="1"/>
  <c r="AJ30" i="8" l="1"/>
  <c r="AJ29" i="8"/>
  <c r="AL58" i="8"/>
  <c r="AL57" i="8"/>
  <c r="AJ34" i="8"/>
  <c r="AJ37" i="8" l="1"/>
  <c r="AJ36" i="8"/>
  <c r="AK42" i="8"/>
  <c r="AK43" i="8" s="1"/>
  <c r="AJ55" i="8"/>
  <c r="AJ48" i="8"/>
  <c r="AJ41" i="8"/>
  <c r="AL49" i="8" l="1"/>
  <c r="AL50" i="8" s="1"/>
  <c r="AK44" i="8"/>
  <c r="AJ23" i="8"/>
  <c r="AJ24" i="8" s="1"/>
  <c r="AJ25" i="8" s="1"/>
  <c r="AM56" i="8" l="1"/>
  <c r="AL51" i="8"/>
  <c r="AK20" i="8"/>
  <c r="AK28" i="8"/>
  <c r="AL35" i="8" s="1"/>
  <c r="AK30" i="8" l="1"/>
  <c r="AK29" i="8"/>
  <c r="AM58" i="8"/>
  <c r="AM57" i="8"/>
  <c r="AK34" i="8"/>
  <c r="AK37" i="8" l="1"/>
  <c r="AK36" i="8"/>
  <c r="AL42" i="8"/>
  <c r="AL43" i="8" s="1"/>
  <c r="AK55" i="8"/>
  <c r="AK48" i="8"/>
  <c r="AK41" i="8"/>
  <c r="AM49" i="8" l="1"/>
  <c r="AM50" i="8" s="1"/>
  <c r="AL44" i="8"/>
  <c r="AK23" i="8"/>
  <c r="AK24" i="8" s="1"/>
  <c r="AK25" i="8" s="1"/>
  <c r="AN56" i="8" l="1"/>
  <c r="AM51" i="8"/>
  <c r="AL20" i="8"/>
  <c r="AL28" i="8"/>
  <c r="AM35" i="8" s="1"/>
  <c r="AL30" i="8" l="1"/>
  <c r="AL29" i="8"/>
  <c r="AN58" i="8"/>
  <c r="AN57" i="8"/>
  <c r="AL34" i="8"/>
  <c r="AL37" i="8" l="1"/>
  <c r="AL36" i="8"/>
  <c r="AM42" i="8"/>
  <c r="AM43" i="8" s="1"/>
  <c r="AL55" i="8"/>
  <c r="AL48" i="8"/>
  <c r="AL41" i="8"/>
  <c r="AL23" i="8"/>
  <c r="AL24" i="8" s="1"/>
  <c r="AL25" i="8" s="1"/>
  <c r="AN49" i="8" l="1"/>
  <c r="AN50" i="8" s="1"/>
  <c r="AM44" i="8"/>
  <c r="AM20" i="8"/>
  <c r="AM28" i="8"/>
  <c r="AN35" i="8" s="1"/>
  <c r="AM30" i="8" l="1"/>
  <c r="AM29" i="8"/>
  <c r="AO56" i="8"/>
  <c r="AN51" i="8"/>
  <c r="AM34" i="8"/>
  <c r="AO58" i="8" l="1"/>
  <c r="AO57" i="8"/>
  <c r="AM37" i="8"/>
  <c r="AM36" i="8"/>
  <c r="AN42" i="8"/>
  <c r="AN43" i="8" s="1"/>
  <c r="AM55" i="8"/>
  <c r="AM48" i="8"/>
  <c r="AM41" i="8"/>
  <c r="AM23" i="8"/>
  <c r="AM24" i="8" s="1"/>
  <c r="AM25" i="8" s="1"/>
  <c r="AO49" i="8" l="1"/>
  <c r="AO50" i="8" s="1"/>
  <c r="AN44" i="8"/>
  <c r="AN20" i="8"/>
  <c r="AN28" i="8"/>
  <c r="AO35" i="8" s="1"/>
  <c r="AN30" i="8" l="1"/>
  <c r="AN29" i="8"/>
  <c r="AP56" i="8"/>
  <c r="AO51" i="8"/>
  <c r="AN34" i="8"/>
  <c r="AN37" i="8" l="1"/>
  <c r="AN36" i="8"/>
  <c r="AP58" i="8"/>
  <c r="AP57" i="8"/>
  <c r="AO42" i="8"/>
  <c r="AO43" i="8" s="1"/>
  <c r="AN55" i="8"/>
  <c r="AN48" i="8"/>
  <c r="AN41" i="8"/>
  <c r="AP49" i="8" l="1"/>
  <c r="AP50" i="8" s="1"/>
  <c r="AO44" i="8"/>
  <c r="AN23" i="8"/>
  <c r="AN24" i="8" s="1"/>
  <c r="AN25" i="8" s="1"/>
  <c r="AQ56" i="8" l="1"/>
  <c r="AP51" i="8"/>
  <c r="AO20" i="8"/>
  <c r="AO28" i="8"/>
  <c r="AP35" i="8" s="1"/>
  <c r="AO30" i="8" l="1"/>
  <c r="AO29" i="8"/>
  <c r="AQ58" i="8"/>
  <c r="AQ57" i="8"/>
  <c r="AO34" i="8"/>
  <c r="AO37" i="8" l="1"/>
  <c r="AO36" i="8"/>
  <c r="AP42" i="8"/>
  <c r="AP43" i="8" s="1"/>
  <c r="AO55" i="8"/>
  <c r="AO48" i="8"/>
  <c r="AO41" i="8"/>
  <c r="AQ49" i="8" l="1"/>
  <c r="AQ50" i="8" s="1"/>
  <c r="AP44" i="8"/>
  <c r="AO23" i="8"/>
  <c r="AO24" i="8" s="1"/>
  <c r="AO25" i="8" s="1"/>
  <c r="AR56" i="8" l="1"/>
  <c r="AQ51" i="8"/>
  <c r="AP20" i="8"/>
  <c r="AP28" i="8"/>
  <c r="AQ35" i="8" s="1"/>
  <c r="AP30" i="8" l="1"/>
  <c r="AP29" i="8"/>
  <c r="AR58" i="8"/>
  <c r="AR57" i="8"/>
  <c r="AP34" i="8"/>
  <c r="AP37" i="8" l="1"/>
  <c r="AP36" i="8"/>
  <c r="AQ42" i="8"/>
  <c r="AQ43" i="8" s="1"/>
  <c r="AP55" i="8"/>
  <c r="AP48" i="8"/>
  <c r="AP41" i="8"/>
  <c r="AP23" i="8"/>
  <c r="AP24" i="8" s="1"/>
  <c r="AP25" i="8" s="1"/>
  <c r="AR49" i="8" l="1"/>
  <c r="AR50" i="8" s="1"/>
  <c r="AQ44" i="8"/>
  <c r="AQ20" i="8"/>
  <c r="AQ28" i="8"/>
  <c r="AR35" i="8" s="1"/>
  <c r="AQ30" i="8" l="1"/>
  <c r="AQ29" i="8"/>
  <c r="AS56" i="8"/>
  <c r="AR51" i="8"/>
  <c r="AQ34" i="8"/>
  <c r="AQ37" i="8" l="1"/>
  <c r="AQ36" i="8"/>
  <c r="AS58" i="8"/>
  <c r="AS57" i="8"/>
  <c r="AR42" i="8"/>
  <c r="AR43" i="8" s="1"/>
  <c r="AQ55" i="8"/>
  <c r="AQ48" i="8"/>
  <c r="AQ41" i="8"/>
  <c r="AQ23" i="8"/>
  <c r="AQ24" i="8" s="1"/>
  <c r="AQ25" i="8" s="1"/>
  <c r="AS49" i="8" l="1"/>
  <c r="AS50" i="8" s="1"/>
  <c r="AR44" i="8"/>
  <c r="AR20" i="8"/>
  <c r="AR28" i="8"/>
  <c r="AS35" i="8" s="1"/>
  <c r="AR30" i="8" l="1"/>
  <c r="AR29" i="8"/>
  <c r="AT56" i="8"/>
  <c r="AS51" i="8"/>
  <c r="AR34" i="8"/>
  <c r="AR37" i="8" l="1"/>
  <c r="AR36" i="8"/>
  <c r="AT58" i="8"/>
  <c r="AT57" i="8"/>
  <c r="AS42" i="8"/>
  <c r="AS43" i="8" s="1"/>
  <c r="AR55" i="8"/>
  <c r="AR48" i="8"/>
  <c r="AR41" i="8"/>
  <c r="AT49" i="8" l="1"/>
  <c r="AT50" i="8" s="1"/>
  <c r="AS44" i="8"/>
  <c r="AR23" i="8"/>
  <c r="AR24" i="8" s="1"/>
  <c r="AR25" i="8" s="1"/>
  <c r="AU56" i="8" l="1"/>
  <c r="AT51" i="8"/>
  <c r="AS20" i="8"/>
  <c r="AS28" i="8"/>
  <c r="AT35" i="8" s="1"/>
  <c r="AS30" i="8" l="1"/>
  <c r="AS29" i="8"/>
  <c r="AU58" i="8"/>
  <c r="AU57" i="8"/>
  <c r="AS34" i="8"/>
  <c r="AS37" i="8" l="1"/>
  <c r="AS36" i="8"/>
  <c r="AT42" i="8"/>
  <c r="AT43" i="8" s="1"/>
  <c r="AS55" i="8"/>
  <c r="AS48" i="8"/>
  <c r="AS41" i="8"/>
  <c r="AU49" i="8" l="1"/>
  <c r="AU50" i="8" s="1"/>
  <c r="AT44" i="8"/>
  <c r="AS23" i="8"/>
  <c r="AS24" i="8" s="1"/>
  <c r="AS25" i="8" s="1"/>
  <c r="AV56" i="8" l="1"/>
  <c r="AU51" i="8"/>
  <c r="AT20" i="8"/>
  <c r="AT28" i="8"/>
  <c r="AU35" i="8" s="1"/>
  <c r="AT30" i="8" l="1"/>
  <c r="AT29" i="8"/>
  <c r="AV58" i="8"/>
  <c r="AV57" i="8"/>
  <c r="AT34" i="8"/>
  <c r="AT37" i="8" l="1"/>
  <c r="AT36" i="8"/>
  <c r="AU42" i="8"/>
  <c r="AU43" i="8" s="1"/>
  <c r="AT55" i="8"/>
  <c r="AT48" i="8"/>
  <c r="AT41" i="8"/>
  <c r="AT23" i="8"/>
  <c r="AT24" i="8" s="1"/>
  <c r="AT25" i="8" s="1"/>
  <c r="AV49" i="8" l="1"/>
  <c r="AV50" i="8" s="1"/>
  <c r="AU44" i="8"/>
  <c r="AU20" i="8"/>
  <c r="AU28" i="8"/>
  <c r="AV35" i="8" s="1"/>
  <c r="AU30" i="8" l="1"/>
  <c r="AU29" i="8"/>
  <c r="AW56" i="8"/>
  <c r="AV51" i="8"/>
  <c r="AU34" i="8"/>
  <c r="AU37" i="8" l="1"/>
  <c r="AU36" i="8"/>
  <c r="AW58" i="8"/>
  <c r="AW57" i="8"/>
  <c r="AV42" i="8"/>
  <c r="AV43" i="8" s="1"/>
  <c r="AU55" i="8"/>
  <c r="AU48" i="8"/>
  <c r="AU41" i="8"/>
  <c r="AW49" i="8" l="1"/>
  <c r="AW50" i="8" s="1"/>
  <c r="AV44" i="8"/>
  <c r="AU23" i="8"/>
  <c r="AU24" i="8" s="1"/>
  <c r="AU25" i="8" s="1"/>
  <c r="AX56" i="8" l="1"/>
  <c r="AW51" i="8"/>
  <c r="AV20" i="8"/>
  <c r="AV28" i="8"/>
  <c r="AW35" i="8" s="1"/>
  <c r="AV30" i="8" l="1"/>
  <c r="AV29" i="8"/>
  <c r="AX58" i="8"/>
  <c r="AX57" i="8"/>
  <c r="AV34" i="8"/>
  <c r="AV37" i="8" l="1"/>
  <c r="AV36" i="8"/>
  <c r="AW42" i="8"/>
  <c r="AW43" i="8" s="1"/>
  <c r="AV55" i="8"/>
  <c r="AV48" i="8"/>
  <c r="AV41" i="8"/>
  <c r="AX49" i="8" l="1"/>
  <c r="AX50" i="8" s="1"/>
  <c r="AW44" i="8"/>
  <c r="AV23" i="8"/>
  <c r="AV24" i="8" s="1"/>
  <c r="AV25" i="8" s="1"/>
  <c r="AY56" i="8" l="1"/>
  <c r="AX51" i="8"/>
  <c r="AW20" i="8"/>
  <c r="AW28" i="8"/>
  <c r="AX35" i="8" s="1"/>
  <c r="AW30" i="8" l="1"/>
  <c r="AW29" i="8"/>
  <c r="AY58" i="8"/>
  <c r="AY57" i="8"/>
  <c r="AW34" i="8"/>
  <c r="AW37" i="8" l="1"/>
  <c r="AW36" i="8"/>
  <c r="AX42" i="8"/>
  <c r="AX43" i="8" s="1"/>
  <c r="AW55" i="8"/>
  <c r="AW48" i="8"/>
  <c r="AW41" i="8"/>
  <c r="AY49" i="8" l="1"/>
  <c r="AY50" i="8" s="1"/>
  <c r="AX44" i="8"/>
  <c r="AW23" i="8"/>
  <c r="AW24" i="8" s="1"/>
  <c r="AW25" i="8" s="1"/>
  <c r="AZ56" i="8" l="1"/>
  <c r="AY51" i="8"/>
  <c r="AX20" i="8"/>
  <c r="AX28" i="8"/>
  <c r="AY35" i="8" s="1"/>
  <c r="AX30" i="8" l="1"/>
  <c r="AX29" i="8"/>
  <c r="AZ58" i="8"/>
  <c r="AZ57" i="8"/>
  <c r="AX34" i="8"/>
  <c r="AX37" i="8" l="1"/>
  <c r="AX36" i="8"/>
  <c r="AY42" i="8"/>
  <c r="AY43" i="8" s="1"/>
  <c r="AX55" i="8"/>
  <c r="AX48" i="8"/>
  <c r="AX41" i="8"/>
  <c r="AZ49" i="8" l="1"/>
  <c r="AZ50" i="8" s="1"/>
  <c r="AY44" i="8"/>
  <c r="AX23" i="8"/>
  <c r="AX24" i="8" s="1"/>
  <c r="AX25" i="8" s="1"/>
  <c r="BA56" i="8" l="1"/>
  <c r="AZ51" i="8"/>
  <c r="AY20" i="8"/>
  <c r="AY28" i="8"/>
  <c r="AZ35" i="8" s="1"/>
  <c r="AY30" i="8" l="1"/>
  <c r="AY29" i="8"/>
  <c r="BA58" i="8"/>
  <c r="BA57" i="8"/>
  <c r="AY34" i="8"/>
  <c r="AY37" i="8" l="1"/>
  <c r="AY36" i="8"/>
  <c r="AZ42" i="8"/>
  <c r="AZ43" i="8" s="1"/>
  <c r="AY55" i="8"/>
  <c r="AY48" i="8"/>
  <c r="AY41" i="8"/>
  <c r="BA49" i="8" l="1"/>
  <c r="BA50" i="8" s="1"/>
  <c r="AZ44" i="8"/>
  <c r="AY23" i="8"/>
  <c r="AY24" i="8" s="1"/>
  <c r="AY25" i="8" s="1"/>
  <c r="BB56" i="8" l="1"/>
  <c r="BA51" i="8"/>
  <c r="AZ20" i="8"/>
  <c r="AZ28" i="8"/>
  <c r="BA35" i="8" s="1"/>
  <c r="AZ30" i="8" l="1"/>
  <c r="AZ29" i="8"/>
  <c r="BB58" i="8"/>
  <c r="BB57" i="8"/>
  <c r="AZ34" i="8"/>
  <c r="AZ37" i="8" l="1"/>
  <c r="AZ36" i="8"/>
  <c r="BA42" i="8"/>
  <c r="BA43" i="8" s="1"/>
  <c r="AZ55" i="8"/>
  <c r="AZ48" i="8"/>
  <c r="AZ41" i="8"/>
  <c r="BB49" i="8" l="1"/>
  <c r="BB50" i="8" s="1"/>
  <c r="BA44" i="8"/>
  <c r="AZ23" i="8"/>
  <c r="AZ24" i="8" s="1"/>
  <c r="AZ25" i="8" s="1"/>
  <c r="BC56" i="8" l="1"/>
  <c r="BB51" i="8"/>
  <c r="BA20" i="8"/>
  <c r="BA28" i="8"/>
  <c r="BB35" i="8" s="1"/>
  <c r="BA30" i="8" l="1"/>
  <c r="BA29" i="8"/>
  <c r="BC58" i="8"/>
  <c r="BC57" i="8"/>
  <c r="BA34" i="8"/>
  <c r="BA37" i="8" l="1"/>
  <c r="BA36" i="8"/>
  <c r="BB42" i="8"/>
  <c r="BB43" i="8" s="1"/>
  <c r="BA55" i="8"/>
  <c r="BA48" i="8"/>
  <c r="BA41" i="8"/>
  <c r="BC49" i="8" l="1"/>
  <c r="BC50" i="8" s="1"/>
  <c r="BB44" i="8"/>
  <c r="BA23" i="8"/>
  <c r="BD56" i="8" l="1"/>
  <c r="BC51" i="8"/>
  <c r="BA24" i="8"/>
  <c r="BA25" i="8" s="1"/>
  <c r="BD58" i="8" l="1"/>
  <c r="BD57" i="8"/>
  <c r="BB20" i="8"/>
  <c r="BB28" i="8"/>
  <c r="BC35" i="8" s="1"/>
  <c r="BB30" i="8" l="1"/>
  <c r="BB29" i="8"/>
  <c r="BB34" i="8"/>
  <c r="BB37" i="8" l="1"/>
  <c r="BB36" i="8"/>
  <c r="BC42" i="8"/>
  <c r="BC43" i="8" s="1"/>
  <c r="BB55" i="8"/>
  <c r="BB48" i="8"/>
  <c r="BB41" i="8"/>
  <c r="BB23" i="8"/>
  <c r="BB24" i="8" s="1"/>
  <c r="BB25" i="8" s="1"/>
  <c r="BD49" i="8" l="1"/>
  <c r="BD50" i="8" s="1"/>
  <c r="BC44" i="8"/>
  <c r="BC20" i="8"/>
  <c r="BC28" i="8"/>
  <c r="BD35" i="8" s="1"/>
  <c r="BC30" i="8" l="1"/>
  <c r="BC29" i="8"/>
  <c r="BE56" i="8"/>
  <c r="BD51" i="8"/>
  <c r="BC34" i="8"/>
  <c r="BC37" i="8" l="1"/>
  <c r="BC36" i="8"/>
  <c r="BE58" i="8"/>
  <c r="BE57" i="8"/>
  <c r="BD42" i="8"/>
  <c r="BD43" i="8" s="1"/>
  <c r="BC55" i="8"/>
  <c r="BC48" i="8"/>
  <c r="BC41" i="8"/>
  <c r="BC23" i="8"/>
  <c r="BC24" i="8" s="1"/>
  <c r="BC25" i="8" s="1"/>
  <c r="BE49" i="8" l="1"/>
  <c r="BE50" i="8" s="1"/>
  <c r="BD44" i="8"/>
  <c r="BD20" i="8"/>
  <c r="BD28" i="8"/>
  <c r="BE35" i="8" s="1"/>
  <c r="BD30" i="8" l="1"/>
  <c r="BD29" i="8"/>
  <c r="BF56" i="8"/>
  <c r="BE51" i="8"/>
  <c r="BD34" i="8"/>
  <c r="BD37" i="8" l="1"/>
  <c r="BD36" i="8"/>
  <c r="BF58" i="8"/>
  <c r="BF57" i="8"/>
  <c r="BE42" i="8"/>
  <c r="BE43" i="8" s="1"/>
  <c r="BD55" i="8"/>
  <c r="BD48" i="8"/>
  <c r="BD41" i="8"/>
  <c r="BF49" i="8" l="1"/>
  <c r="BF50" i="8" s="1"/>
  <c r="BE44" i="8"/>
  <c r="BD23" i="8"/>
  <c r="BD24" i="8" s="1"/>
  <c r="BD25" i="8" s="1"/>
  <c r="BG56" i="8" l="1"/>
  <c r="BF51" i="8"/>
  <c r="BE20" i="8"/>
  <c r="BE28" i="8"/>
  <c r="BF35" i="8" s="1"/>
  <c r="BE30" i="8" l="1"/>
  <c r="BE29" i="8"/>
  <c r="BG58" i="8"/>
  <c r="BG57" i="8"/>
  <c r="BE34" i="8"/>
  <c r="BE37" i="8" l="1"/>
  <c r="BE36" i="8"/>
  <c r="BF42" i="8"/>
  <c r="BF43" i="8" s="1"/>
  <c r="BE55" i="8"/>
  <c r="BE48" i="8"/>
  <c r="BE41" i="8"/>
  <c r="BG49" i="8" l="1"/>
  <c r="BG50" i="8" s="1"/>
  <c r="BF44" i="8"/>
  <c r="BE23" i="8"/>
  <c r="BE24" i="8" s="1"/>
  <c r="BE25" i="8" s="1"/>
  <c r="BH56" i="8" l="1"/>
  <c r="BG51" i="8"/>
  <c r="BF20" i="8"/>
  <c r="BF28" i="8"/>
  <c r="BG35" i="8" s="1"/>
  <c r="BF30" i="8" l="1"/>
  <c r="BF29" i="8"/>
  <c r="BH58" i="8"/>
  <c r="BH57" i="8"/>
  <c r="BF34" i="8"/>
  <c r="BF37" i="8" l="1"/>
  <c r="BF36" i="8"/>
  <c r="BG42" i="8"/>
  <c r="BG43" i="8" s="1"/>
  <c r="BF55" i="8"/>
  <c r="BF48" i="8"/>
  <c r="BF41" i="8"/>
  <c r="BH49" i="8" l="1"/>
  <c r="BH50" i="8" s="1"/>
  <c r="BG44" i="8"/>
  <c r="BF23" i="8"/>
  <c r="BF24" i="8" s="1"/>
  <c r="BF25" i="8" s="1"/>
  <c r="BI56" i="8" l="1"/>
  <c r="BH51" i="8"/>
  <c r="BG20" i="8"/>
  <c r="BG28" i="8"/>
  <c r="BH35" i="8" s="1"/>
  <c r="BG30" i="8" l="1"/>
  <c r="BG29" i="8"/>
  <c r="BI58" i="8"/>
  <c r="BI57" i="8"/>
  <c r="BG34" i="8"/>
  <c r="BG37" i="8" l="1"/>
  <c r="BG36" i="8"/>
  <c r="BH42" i="8"/>
  <c r="BH43" i="8" s="1"/>
  <c r="BG55" i="8"/>
  <c r="BG48" i="8"/>
  <c r="BG41" i="8"/>
  <c r="BI49" i="8" l="1"/>
  <c r="BI50" i="8" s="1"/>
  <c r="BH44" i="8"/>
  <c r="BG23" i="8"/>
  <c r="BJ56" i="8" l="1"/>
  <c r="BI51" i="8"/>
  <c r="BG24" i="8"/>
  <c r="BG25" i="8" s="1"/>
  <c r="BJ58" i="8" l="1"/>
  <c r="BJ57" i="8"/>
  <c r="BH20" i="8"/>
  <c r="BH28" i="8"/>
  <c r="BI35" i="8" s="1"/>
  <c r="BH30" i="8" l="1"/>
  <c r="BH29" i="8"/>
  <c r="BH34" i="8"/>
  <c r="BH37" i="8" l="1"/>
  <c r="BH36" i="8"/>
  <c r="BI42" i="8"/>
  <c r="BI43" i="8" s="1"/>
  <c r="BH55" i="8"/>
  <c r="BH48" i="8"/>
  <c r="BH41" i="8"/>
  <c r="BH23" i="8"/>
  <c r="BH24" i="8" s="1"/>
  <c r="BH25" i="8" s="1"/>
  <c r="BJ49" i="8" l="1"/>
  <c r="BJ50" i="8" s="1"/>
  <c r="BI44" i="8"/>
  <c r="BI20" i="8"/>
  <c r="BI28" i="8"/>
  <c r="BJ35" i="8" s="1"/>
  <c r="BI30" i="8" l="1"/>
  <c r="BI29" i="8"/>
  <c r="BK56" i="8"/>
  <c r="BJ51" i="8"/>
  <c r="BI34" i="8"/>
  <c r="BK58" i="8" l="1"/>
  <c r="BK57" i="8"/>
  <c r="BI37" i="8"/>
  <c r="BI36" i="8"/>
  <c r="BJ42" i="8"/>
  <c r="BJ43" i="8" s="1"/>
  <c r="BI55" i="8"/>
  <c r="BI48" i="8"/>
  <c r="BI41" i="8"/>
  <c r="BK49" i="8" l="1"/>
  <c r="BK50" i="8" s="1"/>
  <c r="BJ44" i="8"/>
  <c r="BI23" i="8"/>
  <c r="BI24" i="8" s="1"/>
  <c r="BI25" i="8" s="1"/>
  <c r="BL56" i="8" l="1"/>
  <c r="BK51" i="8"/>
  <c r="BJ20" i="8"/>
  <c r="BJ28" i="8"/>
  <c r="BK35" i="8" s="1"/>
  <c r="BJ30" i="8" l="1"/>
  <c r="BJ29" i="8"/>
  <c r="BL58" i="8"/>
  <c r="BL57" i="8"/>
  <c r="BJ34" i="8"/>
  <c r="BJ37" i="8" l="1"/>
  <c r="BJ36" i="8"/>
  <c r="BK42" i="8"/>
  <c r="BK43" i="8" s="1"/>
  <c r="BJ55" i="8"/>
  <c r="BJ48" i="8"/>
  <c r="BJ41" i="8"/>
  <c r="BJ23" i="8"/>
  <c r="BJ24" i="8" s="1"/>
  <c r="BJ25" i="8" s="1"/>
  <c r="BL49" i="8" l="1"/>
  <c r="BL50" i="8" s="1"/>
  <c r="BK44" i="8"/>
  <c r="BK20" i="8"/>
  <c r="BK28" i="8"/>
  <c r="BL35" i="8" s="1"/>
  <c r="BK30" i="8" l="1"/>
  <c r="BK29" i="8"/>
  <c r="BM56" i="8"/>
  <c r="BL51" i="8"/>
  <c r="BK34" i="8"/>
  <c r="BK37" i="8" l="1"/>
  <c r="BK36" i="8"/>
  <c r="BM58" i="8"/>
  <c r="BM57" i="8"/>
  <c r="BL42" i="8"/>
  <c r="BL43" i="8" s="1"/>
  <c r="BK55" i="8"/>
  <c r="BK48" i="8"/>
  <c r="BK41" i="8"/>
  <c r="BM49" i="8" l="1"/>
  <c r="BM50" i="8" s="1"/>
  <c r="BL44" i="8"/>
  <c r="BK23" i="8"/>
  <c r="BK24" i="8" s="1"/>
  <c r="BK25" i="8" s="1"/>
  <c r="BN56" i="8" l="1"/>
  <c r="BM51" i="8"/>
  <c r="BL20" i="8"/>
  <c r="BL28" i="8"/>
  <c r="BM35" i="8" s="1"/>
  <c r="BL30" i="8" l="1"/>
  <c r="BL29" i="8"/>
  <c r="BN58" i="8"/>
  <c r="BN57" i="8"/>
  <c r="BL34" i="8"/>
  <c r="BL37" i="8" l="1"/>
  <c r="BL36" i="8"/>
  <c r="BM42" i="8"/>
  <c r="BM43" i="8" s="1"/>
  <c r="BL55" i="8"/>
  <c r="BL48" i="8"/>
  <c r="BL41" i="8"/>
  <c r="BN49" i="8" l="1"/>
  <c r="BN50" i="8" s="1"/>
  <c r="BM44" i="8"/>
  <c r="BL23" i="8"/>
  <c r="BL24" i="8" s="1"/>
  <c r="BL25" i="8" s="1"/>
  <c r="BO56" i="8" l="1"/>
  <c r="BN51" i="8"/>
  <c r="BM20" i="8"/>
  <c r="BM28" i="8"/>
  <c r="BN35" i="8" s="1"/>
  <c r="BM30" i="8" l="1"/>
  <c r="BM29" i="8"/>
  <c r="BO58" i="8"/>
  <c r="BO57" i="8"/>
  <c r="BM34" i="8"/>
  <c r="BM37" i="8" l="1"/>
  <c r="BM36" i="8"/>
  <c r="BN42" i="8"/>
  <c r="BN43" i="8" s="1"/>
  <c r="BM55" i="8"/>
  <c r="BM48" i="8"/>
  <c r="BM41" i="8"/>
  <c r="BO49" i="8" l="1"/>
  <c r="BO50" i="8" s="1"/>
  <c r="BN44" i="8"/>
  <c r="BM23" i="8"/>
  <c r="BM24" i="8" s="1"/>
  <c r="BM25" i="8" s="1"/>
  <c r="BP56" i="8" l="1"/>
  <c r="BO51" i="8"/>
  <c r="BN20" i="8"/>
  <c r="BN28" i="8"/>
  <c r="BO35" i="8" s="1"/>
  <c r="BN30" i="8" l="1"/>
  <c r="BN29" i="8"/>
  <c r="BP58" i="8"/>
  <c r="BP57" i="8"/>
  <c r="BN34" i="8"/>
  <c r="BN37" i="8" l="1"/>
  <c r="BN36" i="8"/>
  <c r="BO42" i="8"/>
  <c r="BO43" i="8" s="1"/>
  <c r="BN55" i="8"/>
  <c r="BN48" i="8"/>
  <c r="BN41" i="8"/>
  <c r="BP49" i="8" l="1"/>
  <c r="BP50" i="8" s="1"/>
  <c r="BO44" i="8"/>
  <c r="BN23" i="8"/>
  <c r="BQ56" i="8" l="1"/>
  <c r="BP51" i="8"/>
  <c r="BN24" i="8"/>
  <c r="BN25" i="8" s="1"/>
  <c r="BQ58" i="8" l="1"/>
  <c r="BQ57" i="8"/>
  <c r="BO20" i="8"/>
  <c r="BO28" i="8"/>
  <c r="BP35" i="8" s="1"/>
  <c r="BO30" i="8" l="1"/>
  <c r="BO29" i="8"/>
  <c r="BO34" i="8"/>
  <c r="BO37" i="8" l="1"/>
  <c r="BO36" i="8"/>
  <c r="BP42" i="8"/>
  <c r="BP43" i="8" s="1"/>
  <c r="BO55" i="8"/>
  <c r="BO48" i="8"/>
  <c r="BO41" i="8"/>
  <c r="BQ49" i="8" l="1"/>
  <c r="BQ50" i="8" s="1"/>
  <c r="BP44" i="8"/>
  <c r="BO23" i="8"/>
  <c r="BO24" i="8" s="1"/>
  <c r="BO25" i="8" s="1"/>
  <c r="BR56" i="8" l="1"/>
  <c r="BQ51" i="8"/>
  <c r="BP20" i="8"/>
  <c r="BP28" i="8"/>
  <c r="BQ35" i="8" s="1"/>
  <c r="BP30" i="8" l="1"/>
  <c r="BP29" i="8"/>
  <c r="BR58" i="8"/>
  <c r="BR57" i="8"/>
  <c r="BP34" i="8"/>
  <c r="BP37" i="8" l="1"/>
  <c r="BP36" i="8"/>
  <c r="BQ42" i="8"/>
  <c r="BQ43" i="8" s="1"/>
  <c r="BP55" i="8"/>
  <c r="BP48" i="8"/>
  <c r="BP41" i="8"/>
  <c r="BR49" i="8" l="1"/>
  <c r="BR50" i="8" s="1"/>
  <c r="BQ44" i="8"/>
  <c r="BP23" i="8"/>
  <c r="BP24" i="8" s="1"/>
  <c r="BP25" i="8" s="1"/>
  <c r="BS56" i="8" l="1"/>
  <c r="BR51" i="8"/>
  <c r="BQ20" i="8"/>
  <c r="BQ28" i="8"/>
  <c r="BR35" i="8" s="1"/>
  <c r="BQ30" i="8" l="1"/>
  <c r="BQ29" i="8"/>
  <c r="BS58" i="8"/>
  <c r="BS57" i="8"/>
  <c r="BQ34" i="8"/>
  <c r="BQ37" i="8" l="1"/>
  <c r="BQ36" i="8"/>
  <c r="BR42" i="8"/>
  <c r="BR43" i="8" s="1"/>
  <c r="BQ55" i="8"/>
  <c r="BQ48" i="8"/>
  <c r="BQ41" i="8"/>
  <c r="BS49" i="8" l="1"/>
  <c r="BS50" i="8" s="1"/>
  <c r="BR44" i="8"/>
  <c r="BQ23" i="8"/>
  <c r="BQ24" i="8" s="1"/>
  <c r="BQ25" i="8" s="1"/>
  <c r="BT56" i="8" l="1"/>
  <c r="BS51" i="8"/>
  <c r="BR20" i="8"/>
  <c r="BR28" i="8"/>
  <c r="BS35" i="8" s="1"/>
  <c r="BR30" i="8" l="1"/>
  <c r="BR29" i="8"/>
  <c r="BT58" i="8"/>
  <c r="BT57" i="8"/>
  <c r="BR34" i="8"/>
  <c r="BR37" i="8" l="1"/>
  <c r="BR36" i="8"/>
  <c r="BS42" i="8"/>
  <c r="BS43" i="8" s="1"/>
  <c r="BR55" i="8"/>
  <c r="BR48" i="8"/>
  <c r="BR41" i="8"/>
  <c r="BT49" i="8" l="1"/>
  <c r="BT50" i="8" s="1"/>
  <c r="BS44" i="8"/>
  <c r="BR23" i="8"/>
  <c r="BR24" i="8" s="1"/>
  <c r="BR25" i="8" s="1"/>
  <c r="BU56" i="8" l="1"/>
  <c r="BT51" i="8"/>
  <c r="BS28" i="8"/>
  <c r="BT35" i="8" s="1"/>
  <c r="BS20" i="8"/>
  <c r="BS30" i="8" l="1"/>
  <c r="BS29" i="8"/>
  <c r="BU58" i="8"/>
  <c r="BU57" i="8"/>
  <c r="BS34" i="8"/>
  <c r="BS37" i="8" l="1"/>
  <c r="BS36" i="8"/>
  <c r="BT42" i="8"/>
  <c r="BT43" i="8" s="1"/>
  <c r="BS55" i="8"/>
  <c r="BS48" i="8"/>
  <c r="BS41" i="8"/>
  <c r="BU49" i="8" l="1"/>
  <c r="BU50" i="8" s="1"/>
  <c r="BT44" i="8"/>
  <c r="BS23" i="8"/>
  <c r="BS24" i="8" s="1"/>
  <c r="BS25" i="8" s="1"/>
  <c r="BV56" i="8" l="1"/>
  <c r="BU51" i="8"/>
  <c r="BT20" i="8"/>
  <c r="BT28" i="8"/>
  <c r="BU35" i="8" s="1"/>
  <c r="BT30" i="8" l="1"/>
  <c r="BT29" i="8"/>
  <c r="BV58" i="8"/>
  <c r="BV57" i="8"/>
  <c r="BT34" i="8"/>
  <c r="BT37" i="8" l="1"/>
  <c r="BT36" i="8"/>
  <c r="BU42" i="8"/>
  <c r="BU43" i="8" s="1"/>
  <c r="BT55" i="8"/>
  <c r="BT48" i="8"/>
  <c r="BT41" i="8"/>
  <c r="BV49" i="8" l="1"/>
  <c r="BV50" i="8" s="1"/>
  <c r="BU44" i="8"/>
  <c r="BT23" i="8"/>
  <c r="BT24" i="8" s="1"/>
  <c r="BT25" i="8" s="1"/>
  <c r="BW56" i="8" l="1"/>
  <c r="BV51" i="8"/>
  <c r="BU20" i="8"/>
  <c r="BU28" i="8"/>
  <c r="BV35" i="8" s="1"/>
  <c r="BU30" i="8" l="1"/>
  <c r="BU29" i="8"/>
  <c r="BW58" i="8"/>
  <c r="BW57" i="8"/>
  <c r="BU34" i="8"/>
  <c r="BU37" i="8" l="1"/>
  <c r="BU36" i="8"/>
  <c r="BV42" i="8"/>
  <c r="BV43" i="8" s="1"/>
  <c r="BU55" i="8"/>
  <c r="BU48" i="8"/>
  <c r="BU41" i="8"/>
  <c r="BU23" i="8"/>
  <c r="BU24" i="8" s="1"/>
  <c r="BU25" i="8" s="1"/>
  <c r="BW49" i="8" l="1"/>
  <c r="BW50" i="8" s="1"/>
  <c r="BV44" i="8"/>
  <c r="BV28" i="8"/>
  <c r="BW35" i="8" s="1"/>
  <c r="BV20" i="8"/>
  <c r="BV30" i="8" l="1"/>
  <c r="BV29" i="8"/>
  <c r="BX56" i="8"/>
  <c r="BW51" i="8"/>
  <c r="BV34" i="8"/>
  <c r="BV37" i="8" l="1"/>
  <c r="BV36" i="8"/>
  <c r="BX58" i="8"/>
  <c r="BX57" i="8"/>
  <c r="BW42" i="8"/>
  <c r="BW43" i="8" s="1"/>
  <c r="BV55" i="8"/>
  <c r="BV48" i="8"/>
  <c r="BV41" i="8"/>
  <c r="BX49" i="8" l="1"/>
  <c r="BX50" i="8" s="1"/>
  <c r="BW44" i="8"/>
  <c r="BV23" i="8"/>
  <c r="BV24" i="8" s="1"/>
  <c r="BV25" i="8" s="1"/>
  <c r="BY56" i="8" l="1"/>
  <c r="BX51" i="8"/>
  <c r="BW20" i="8"/>
  <c r="BW28" i="8"/>
  <c r="BX35" i="8" s="1"/>
  <c r="BW30" i="8" l="1"/>
  <c r="BW29" i="8"/>
  <c r="BY58" i="8"/>
  <c r="BY57" i="8"/>
  <c r="BW34" i="8"/>
  <c r="BW37" i="8" l="1"/>
  <c r="BW36" i="8"/>
  <c r="BX42" i="8"/>
  <c r="BX43" i="8" s="1"/>
  <c r="BW55" i="8"/>
  <c r="BW48" i="8"/>
  <c r="BW41" i="8"/>
  <c r="BY49" i="8" l="1"/>
  <c r="BY50" i="8" s="1"/>
  <c r="BX44" i="8"/>
  <c r="BW23" i="8"/>
  <c r="BZ56" i="8" l="1"/>
  <c r="BY51" i="8"/>
  <c r="BW24" i="8"/>
  <c r="BW25" i="8" s="1"/>
  <c r="BZ58" i="8" l="1"/>
  <c r="BZ57" i="8"/>
  <c r="BX20" i="8"/>
  <c r="BX28" i="8"/>
  <c r="BY35" i="8" s="1"/>
  <c r="BX30" i="8" l="1"/>
  <c r="BX29" i="8"/>
  <c r="BX34" i="8"/>
  <c r="BX37" i="8" l="1"/>
  <c r="BX36" i="8"/>
  <c r="BY42" i="8"/>
  <c r="BY43" i="8" s="1"/>
  <c r="BX55" i="8"/>
  <c r="BX48" i="8"/>
  <c r="BX41" i="8"/>
  <c r="BZ49" i="8" l="1"/>
  <c r="BZ50" i="8" s="1"/>
  <c r="BY44" i="8"/>
  <c r="BX23" i="8"/>
  <c r="BX24" i="8" s="1"/>
  <c r="BX25" i="8" s="1"/>
  <c r="CA56" i="8" l="1"/>
  <c r="BZ51" i="8"/>
  <c r="BY20" i="8"/>
  <c r="BY28" i="8"/>
  <c r="BZ35" i="8" s="1"/>
  <c r="BY30" i="8" l="1"/>
  <c r="BY29" i="8"/>
  <c r="CA58" i="8"/>
  <c r="CA57" i="8"/>
  <c r="BY34" i="8"/>
  <c r="BY37" i="8" l="1"/>
  <c r="BY36" i="8"/>
  <c r="BZ42" i="8"/>
  <c r="BZ43" i="8" s="1"/>
  <c r="BY55" i="8"/>
  <c r="BY48" i="8"/>
  <c r="BY41" i="8"/>
  <c r="BY23" i="8"/>
  <c r="BY24" i="8" s="1"/>
  <c r="BY25" i="8" s="1"/>
  <c r="CA49" i="8" l="1"/>
  <c r="CA50" i="8" s="1"/>
  <c r="BZ44" i="8"/>
  <c r="BZ28" i="8"/>
  <c r="CA35" i="8" s="1"/>
  <c r="BZ20" i="8"/>
  <c r="BZ30" i="8" l="1"/>
  <c r="BZ29" i="8"/>
  <c r="CB56" i="8"/>
  <c r="CA51" i="8"/>
  <c r="BZ34" i="8"/>
  <c r="BZ37" i="8" l="1"/>
  <c r="BZ36" i="8"/>
  <c r="CB58" i="8"/>
  <c r="CB57" i="8"/>
  <c r="CA42" i="8"/>
  <c r="CA43" i="8" s="1"/>
  <c r="BZ55" i="8"/>
  <c r="BZ48" i="8"/>
  <c r="BZ41" i="8"/>
  <c r="CB49" i="8" l="1"/>
  <c r="CB50" i="8" s="1"/>
  <c r="CA44" i="8"/>
  <c r="BZ23" i="8"/>
  <c r="BZ24" i="8" s="1"/>
  <c r="BZ25" i="8" s="1"/>
  <c r="CC56" i="8" l="1"/>
  <c r="CB51" i="8"/>
  <c r="CA20" i="8"/>
  <c r="CA28" i="8"/>
  <c r="CB35" i="8" s="1"/>
  <c r="CA30" i="8" l="1"/>
  <c r="CA29" i="8"/>
  <c r="CC58" i="8"/>
  <c r="CC57" i="8"/>
  <c r="CA34" i="8"/>
  <c r="CA37" i="8" l="1"/>
  <c r="CA36" i="8"/>
  <c r="CB42" i="8"/>
  <c r="CB43" i="8" s="1"/>
  <c r="CA55" i="8"/>
  <c r="CA48" i="8"/>
  <c r="CA41" i="8"/>
  <c r="CC49" i="8" l="1"/>
  <c r="CC50" i="8" s="1"/>
  <c r="CB44" i="8"/>
  <c r="CA23" i="8"/>
  <c r="CA24" i="8" s="1"/>
  <c r="CA25" i="8" s="1"/>
  <c r="CD56" i="8" l="1"/>
  <c r="CC51" i="8"/>
  <c r="CB20" i="8"/>
  <c r="CB28" i="8"/>
  <c r="CC35" i="8" s="1"/>
  <c r="CB30" i="8" l="1"/>
  <c r="CB29" i="8"/>
  <c r="CD58" i="8"/>
  <c r="CD57" i="8"/>
  <c r="CB34" i="8"/>
  <c r="CB37" i="8" l="1"/>
  <c r="CB36" i="8"/>
  <c r="CC42" i="8"/>
  <c r="CC43" i="8" s="1"/>
  <c r="CB55" i="8"/>
  <c r="CB48" i="8"/>
  <c r="CB41" i="8"/>
  <c r="CD49" i="8" l="1"/>
  <c r="CD50" i="8" s="1"/>
  <c r="CC44" i="8"/>
  <c r="CB23" i="8"/>
  <c r="CB24" i="8" s="1"/>
  <c r="CB25" i="8" s="1"/>
  <c r="CE56" i="8" l="1"/>
  <c r="CD51" i="8"/>
  <c r="CC20" i="8"/>
  <c r="CC28" i="8"/>
  <c r="CD35" i="8" s="1"/>
  <c r="CC30" i="8" l="1"/>
  <c r="CC29" i="8"/>
  <c r="CE58" i="8"/>
  <c r="CE57" i="8"/>
  <c r="CC34" i="8"/>
  <c r="CC37" i="8" l="1"/>
  <c r="CC36" i="8"/>
  <c r="CD42" i="8"/>
  <c r="CD43" i="8" s="1"/>
  <c r="CC55" i="8"/>
  <c r="CC48" i="8"/>
  <c r="CC41" i="8"/>
  <c r="CE49" i="8" l="1"/>
  <c r="CE50" i="8" s="1"/>
  <c r="CD44" i="8"/>
  <c r="CC23" i="8"/>
  <c r="CC24" i="8" s="1"/>
  <c r="CC25" i="8" s="1"/>
  <c r="CF56" i="8" l="1"/>
  <c r="CE51" i="8"/>
  <c r="CD20" i="8"/>
  <c r="CD28" i="8"/>
  <c r="CE35" i="8" s="1"/>
  <c r="CD30" i="8" l="1"/>
  <c r="CD29" i="8"/>
  <c r="CF58" i="8"/>
  <c r="CF57" i="8"/>
  <c r="CD34" i="8"/>
  <c r="CD37" i="8" l="1"/>
  <c r="CD36" i="8"/>
  <c r="CE42" i="8"/>
  <c r="CE43" i="8" s="1"/>
  <c r="CD55" i="8"/>
  <c r="CD48" i="8"/>
  <c r="CD41" i="8"/>
  <c r="CF49" i="8" l="1"/>
  <c r="CF50" i="8" s="1"/>
  <c r="CE44" i="8"/>
  <c r="CD23" i="8"/>
  <c r="CD24" i="8" s="1"/>
  <c r="CD25" i="8" s="1"/>
  <c r="CG56" i="8" l="1"/>
  <c r="CF51" i="8"/>
  <c r="CE20" i="8"/>
  <c r="CE28" i="8"/>
  <c r="CF35" i="8" s="1"/>
  <c r="CE30" i="8" l="1"/>
  <c r="CE29" i="8"/>
  <c r="CG58" i="8"/>
  <c r="CG57" i="8"/>
  <c r="CE34" i="8"/>
  <c r="CE37" i="8" l="1"/>
  <c r="CE36" i="8"/>
  <c r="CF42" i="8"/>
  <c r="CF43" i="8" s="1"/>
  <c r="CE55" i="8"/>
  <c r="CE48" i="8"/>
  <c r="CE41" i="8"/>
  <c r="CG49" i="8" l="1"/>
  <c r="CG50" i="8" s="1"/>
  <c r="CF44" i="8"/>
  <c r="CE23" i="8"/>
  <c r="CE24" i="8" s="1"/>
  <c r="CE25" i="8" s="1"/>
  <c r="CH56" i="8" l="1"/>
  <c r="CG51" i="8"/>
  <c r="CF20" i="8"/>
  <c r="CF28" i="8"/>
  <c r="CG35" i="8" s="1"/>
  <c r="CF30" i="8" l="1"/>
  <c r="CF29" i="8"/>
  <c r="CH58" i="8"/>
  <c r="CH57" i="8"/>
  <c r="CF34" i="8"/>
  <c r="CF37" i="8" l="1"/>
  <c r="CF36" i="8"/>
  <c r="CG42" i="8"/>
  <c r="CG43" i="8" s="1"/>
  <c r="CF55" i="8"/>
  <c r="CF48" i="8"/>
  <c r="CF41" i="8"/>
  <c r="CH49" i="8" l="1"/>
  <c r="CH50" i="8" s="1"/>
  <c r="CG44" i="8"/>
  <c r="CF23" i="8"/>
  <c r="CF24" i="8" s="1"/>
  <c r="CF25" i="8" s="1"/>
  <c r="CI56" i="8" l="1"/>
  <c r="CH51" i="8"/>
  <c r="CG20" i="8"/>
  <c r="CG28" i="8"/>
  <c r="CH35" i="8" s="1"/>
  <c r="CG30" i="8" l="1"/>
  <c r="CG29" i="8"/>
  <c r="CI58" i="8"/>
  <c r="CI57" i="8"/>
  <c r="CG34" i="8"/>
  <c r="CG37" i="8" l="1"/>
  <c r="CG36" i="8"/>
  <c r="CH42" i="8"/>
  <c r="CH43" i="8" s="1"/>
  <c r="CG55" i="8"/>
  <c r="CG48" i="8"/>
  <c r="CG41" i="8"/>
  <c r="CI49" i="8" l="1"/>
  <c r="CI50" i="8" s="1"/>
  <c r="CH44" i="8"/>
  <c r="CG23" i="8"/>
  <c r="CG24" i="8" s="1"/>
  <c r="CG25" i="8" s="1"/>
  <c r="CJ56" i="8" l="1"/>
  <c r="CI51" i="8"/>
  <c r="CH20" i="8"/>
  <c r="CH28" i="8"/>
  <c r="CI35" i="8" s="1"/>
  <c r="CH30" i="8" l="1"/>
  <c r="CH29" i="8"/>
  <c r="CJ58" i="8"/>
  <c r="CJ57" i="8"/>
  <c r="CH34" i="8"/>
  <c r="CH37" i="8" l="1"/>
  <c r="CH36" i="8"/>
  <c r="CI42" i="8"/>
  <c r="CI43" i="8" s="1"/>
  <c r="CH55" i="8"/>
  <c r="CH48" i="8"/>
  <c r="CH41" i="8"/>
  <c r="CJ49" i="8" l="1"/>
  <c r="CJ50" i="8" s="1"/>
  <c r="CI44" i="8"/>
  <c r="CH23" i="8"/>
  <c r="CH24" i="8" s="1"/>
  <c r="CH25" i="8" s="1"/>
  <c r="CK56" i="8" l="1"/>
  <c r="CJ51" i="8"/>
  <c r="CI20" i="8"/>
  <c r="CI28" i="8"/>
  <c r="CJ35" i="8" s="1"/>
  <c r="CI30" i="8" l="1"/>
  <c r="CI29" i="8"/>
  <c r="CK58" i="8"/>
  <c r="CK57" i="8"/>
  <c r="CI34" i="8"/>
  <c r="CI37" i="8" l="1"/>
  <c r="CI36" i="8"/>
  <c r="CJ42" i="8"/>
  <c r="CJ43" i="8" s="1"/>
  <c r="CI55" i="8"/>
  <c r="CI48" i="8"/>
  <c r="CI41" i="8"/>
  <c r="CK49" i="8" l="1"/>
  <c r="CK50" i="8" s="1"/>
  <c r="CJ44" i="8"/>
  <c r="CI23" i="8"/>
  <c r="CI24" i="8" s="1"/>
  <c r="CI25" i="8" s="1"/>
  <c r="CL56" i="8" l="1"/>
  <c r="CK51" i="8"/>
  <c r="CJ20" i="8"/>
  <c r="CJ28" i="8"/>
  <c r="CK35" i="8" s="1"/>
  <c r="CJ30" i="8" l="1"/>
  <c r="CJ29" i="8"/>
  <c r="CL58" i="8"/>
  <c r="CL57" i="8"/>
  <c r="CJ34" i="8"/>
  <c r="CJ37" i="8" l="1"/>
  <c r="CJ36" i="8"/>
  <c r="CK42" i="8"/>
  <c r="CK43" i="8" s="1"/>
  <c r="CJ55" i="8"/>
  <c r="CJ48" i="8"/>
  <c r="CJ41" i="8"/>
  <c r="CL49" i="8" l="1"/>
  <c r="CL50" i="8" s="1"/>
  <c r="CK44" i="8"/>
  <c r="CJ23" i="8"/>
  <c r="CJ24" i="8" s="1"/>
  <c r="CJ25" i="8" s="1"/>
  <c r="CM56" i="8" l="1"/>
  <c r="CL51" i="8"/>
  <c r="CK20" i="8"/>
  <c r="CK28" i="8"/>
  <c r="CL35" i="8" s="1"/>
  <c r="CK30" i="8" l="1"/>
  <c r="CK29" i="8"/>
  <c r="CM58" i="8"/>
  <c r="CM57" i="8"/>
  <c r="CK34" i="8"/>
  <c r="CK37" i="8" l="1"/>
  <c r="CK36" i="8"/>
  <c r="CL42" i="8"/>
  <c r="CL43" i="8" s="1"/>
  <c r="CK55" i="8"/>
  <c r="CK48" i="8"/>
  <c r="CK41" i="8"/>
  <c r="CM49" i="8" l="1"/>
  <c r="CM50" i="8" s="1"/>
  <c r="CL44" i="8"/>
  <c r="CK23" i="8"/>
  <c r="CK24" i="8" s="1"/>
  <c r="CK25" i="8" s="1"/>
  <c r="CN56" i="8" l="1"/>
  <c r="CM51" i="8"/>
  <c r="CL20" i="8"/>
  <c r="CL28" i="8"/>
  <c r="CM35" i="8" s="1"/>
  <c r="CL30" i="8" l="1"/>
  <c r="CL29" i="8"/>
  <c r="CN58" i="8"/>
  <c r="CN57" i="8"/>
  <c r="CL34" i="8"/>
  <c r="CL37" i="8" l="1"/>
  <c r="CL36" i="8"/>
  <c r="CM42" i="8"/>
  <c r="CM43" i="8" s="1"/>
  <c r="CL55" i="8"/>
  <c r="CL48" i="8"/>
  <c r="CL41" i="8"/>
  <c r="CN49" i="8" l="1"/>
  <c r="CN50" i="8" s="1"/>
  <c r="CM44" i="8"/>
  <c r="CL23" i="8"/>
  <c r="CO56" i="8" l="1"/>
  <c r="CN51" i="8"/>
  <c r="CL24" i="8"/>
  <c r="CL25" i="8" s="1"/>
  <c r="CO58" i="8" l="1"/>
  <c r="CO57" i="8"/>
  <c r="CM20" i="8"/>
  <c r="CM28" i="8"/>
  <c r="CN35" i="8" s="1"/>
  <c r="CM30" i="8" l="1"/>
  <c r="CM29" i="8"/>
  <c r="CM34" i="8"/>
  <c r="CM37" i="8" l="1"/>
  <c r="CM36" i="8"/>
  <c r="CN42" i="8"/>
  <c r="CN43" i="8" s="1"/>
  <c r="CM55" i="8"/>
  <c r="CM48" i="8"/>
  <c r="CM41" i="8"/>
  <c r="CO49" i="8" l="1"/>
  <c r="CO50" i="8" s="1"/>
  <c r="CN44" i="8"/>
  <c r="CM23" i="8"/>
  <c r="CM24" i="8" s="1"/>
  <c r="CM25" i="8" s="1"/>
  <c r="CP56" i="8" l="1"/>
  <c r="CO51" i="8"/>
  <c r="CN20" i="8"/>
  <c r="CN28" i="8"/>
  <c r="CO35" i="8" s="1"/>
  <c r="CN30" i="8" l="1"/>
  <c r="CN29" i="8"/>
  <c r="CP58" i="8"/>
  <c r="CP57" i="8"/>
  <c r="CN34" i="8"/>
  <c r="CN37" i="8" l="1"/>
  <c r="CN36" i="8"/>
  <c r="CO42" i="8"/>
  <c r="CO43" i="8" s="1"/>
  <c r="CN55" i="8"/>
  <c r="CN48" i="8"/>
  <c r="CN41" i="8"/>
  <c r="CP49" i="8" l="1"/>
  <c r="CP50" i="8" s="1"/>
  <c r="CO44" i="8"/>
  <c r="CN23" i="8"/>
  <c r="CN24" i="8" s="1"/>
  <c r="CN25" i="8" s="1"/>
  <c r="CQ56" i="8" l="1"/>
  <c r="CP51" i="8"/>
  <c r="CO20" i="8"/>
  <c r="CO28" i="8"/>
  <c r="CP35" i="8" s="1"/>
  <c r="CO30" i="8" l="1"/>
  <c r="CO29" i="8"/>
  <c r="CQ58" i="8"/>
  <c r="CQ57" i="8"/>
  <c r="CO34" i="8"/>
  <c r="CO37" i="8" l="1"/>
  <c r="CO36" i="8"/>
  <c r="CP42" i="8"/>
  <c r="CP43" i="8" s="1"/>
  <c r="CO55" i="8"/>
  <c r="CO48" i="8"/>
  <c r="CO41" i="8"/>
  <c r="CQ49" i="8" l="1"/>
  <c r="CQ50" i="8" s="1"/>
  <c r="CP44" i="8"/>
  <c r="CO23" i="8"/>
  <c r="CO24" i="8" s="1"/>
  <c r="CO25" i="8" s="1"/>
  <c r="CR56" i="8" l="1"/>
  <c r="CQ51" i="8"/>
  <c r="CP20" i="8"/>
  <c r="CP28" i="8"/>
  <c r="CQ35" i="8" s="1"/>
  <c r="CP30" i="8" l="1"/>
  <c r="CP29" i="8"/>
  <c r="CR58" i="8"/>
  <c r="CR57" i="8"/>
  <c r="CP34" i="8"/>
  <c r="CP37" i="8" l="1"/>
  <c r="CP36" i="8"/>
  <c r="CQ42" i="8"/>
  <c r="CQ43" i="8" s="1"/>
  <c r="CP55" i="8"/>
  <c r="CP48" i="8"/>
  <c r="CP41" i="8"/>
  <c r="CR49" i="8" l="1"/>
  <c r="CR50" i="8" s="1"/>
  <c r="CQ44" i="8"/>
  <c r="CP23" i="8"/>
  <c r="CP24" i="8" s="1"/>
  <c r="CP25" i="8" s="1"/>
  <c r="CS56" i="8" l="1"/>
  <c r="CR51" i="8"/>
  <c r="CQ28" i="8"/>
  <c r="CR35" i="8" s="1"/>
  <c r="CQ20" i="8"/>
  <c r="CQ30" i="8" l="1"/>
  <c r="CQ29" i="8"/>
  <c r="CS58" i="8"/>
  <c r="CS57" i="8"/>
  <c r="CQ34" i="8"/>
  <c r="CQ37" i="8" l="1"/>
  <c r="CQ36" i="8"/>
  <c r="CR42" i="8"/>
  <c r="CR43" i="8" s="1"/>
  <c r="CQ55" i="8"/>
  <c r="CQ48" i="8"/>
  <c r="CQ41" i="8"/>
  <c r="CS49" i="8" l="1"/>
  <c r="CS50" i="8" s="1"/>
  <c r="CR44" i="8"/>
  <c r="CQ23" i="8"/>
  <c r="CT56" i="8" l="1"/>
  <c r="CS51" i="8"/>
  <c r="CQ24" i="8"/>
  <c r="CQ25" i="8" s="1"/>
  <c r="CT58" i="8" l="1"/>
  <c r="CT57" i="8"/>
  <c r="CR20" i="8"/>
  <c r="CR28" i="8"/>
  <c r="CS35" i="8" s="1"/>
  <c r="CR30" i="8" l="1"/>
  <c r="CR29" i="8"/>
  <c r="CR34" i="8"/>
  <c r="CR37" i="8" l="1"/>
  <c r="CR36" i="8"/>
  <c r="CS42" i="8"/>
  <c r="CS43" i="8" s="1"/>
  <c r="CR55" i="8"/>
  <c r="CR48" i="8"/>
  <c r="CR41" i="8"/>
  <c r="CT49" i="8" l="1"/>
  <c r="CT50" i="8" s="1"/>
  <c r="CS44" i="8"/>
  <c r="CR23" i="8"/>
  <c r="CR24" i="8" s="1"/>
  <c r="CR25" i="8" s="1"/>
  <c r="CU56" i="8" l="1"/>
  <c r="CT51" i="8"/>
  <c r="CS20" i="8"/>
  <c r="CS28" i="8"/>
  <c r="CT35" i="8" s="1"/>
  <c r="CS30" i="8" l="1"/>
  <c r="CS29" i="8"/>
  <c r="CU58" i="8"/>
  <c r="CU57" i="8"/>
  <c r="CS34" i="8"/>
  <c r="CS37" i="8" l="1"/>
  <c r="CS36" i="8"/>
  <c r="CT42" i="8"/>
  <c r="CT43" i="8" s="1"/>
  <c r="CS55" i="8"/>
  <c r="CS48" i="8"/>
  <c r="CS41" i="8"/>
  <c r="CU49" i="8" l="1"/>
  <c r="CU50" i="8" s="1"/>
  <c r="CT44" i="8"/>
  <c r="CS23" i="8"/>
  <c r="CS24" i="8" s="1"/>
  <c r="CS25" i="8" s="1"/>
  <c r="CV56" i="8" l="1"/>
  <c r="CU51" i="8"/>
  <c r="CT20" i="8"/>
  <c r="CT28" i="8"/>
  <c r="CU35" i="8" s="1"/>
  <c r="CT30" i="8" l="1"/>
  <c r="CT29" i="8"/>
  <c r="CV58" i="8"/>
  <c r="CV57" i="8"/>
  <c r="CT34" i="8"/>
  <c r="CT37" i="8" l="1"/>
  <c r="CT36" i="8"/>
  <c r="CU42" i="8"/>
  <c r="CU43" i="8" s="1"/>
  <c r="CT55" i="8"/>
  <c r="CT48" i="8"/>
  <c r="CT41" i="8"/>
  <c r="CV49" i="8" l="1"/>
  <c r="CV50" i="8" s="1"/>
  <c r="CU44" i="8"/>
  <c r="CT23" i="8"/>
  <c r="CT24" i="8" s="1"/>
  <c r="CT25" i="8" s="1"/>
  <c r="CW56" i="8" l="1"/>
  <c r="CV51" i="8"/>
  <c r="CU20" i="8"/>
  <c r="CU28" i="8"/>
  <c r="CV35" i="8" s="1"/>
  <c r="CU30" i="8" l="1"/>
  <c r="CU29" i="8"/>
  <c r="CW58" i="8"/>
  <c r="CW57" i="8"/>
  <c r="CU34" i="8"/>
  <c r="CU37" i="8" l="1"/>
  <c r="CU36" i="8"/>
  <c r="CV42" i="8"/>
  <c r="CV43" i="8" s="1"/>
  <c r="CU55" i="8"/>
  <c r="CU48" i="8"/>
  <c r="CU41" i="8"/>
  <c r="CW49" i="8" l="1"/>
  <c r="CW50" i="8" s="1"/>
  <c r="CV44" i="8"/>
  <c r="CU23" i="8"/>
  <c r="CX56" i="8" l="1"/>
  <c r="CW51" i="8"/>
  <c r="CU24" i="8"/>
  <c r="CU25" i="8" s="1"/>
  <c r="CX58" i="8" l="1"/>
  <c r="CX57" i="8"/>
  <c r="CV20" i="8"/>
  <c r="CV28" i="8"/>
  <c r="CW35" i="8" s="1"/>
  <c r="CV30" i="8" l="1"/>
  <c r="CV29" i="8"/>
  <c r="CV34" i="8"/>
  <c r="CV37" i="8" l="1"/>
  <c r="CV36" i="8"/>
  <c r="CW42" i="8"/>
  <c r="CW43" i="8" s="1"/>
  <c r="CV55" i="8"/>
  <c r="CV48" i="8"/>
  <c r="CV41" i="8"/>
  <c r="CX49" i="8" l="1"/>
  <c r="CX50" i="8" s="1"/>
  <c r="CW44" i="8"/>
  <c r="CV23" i="8"/>
  <c r="CV24" i="8" s="1"/>
  <c r="CV25" i="8" s="1"/>
  <c r="CY56" i="8" l="1"/>
  <c r="CX51" i="8"/>
  <c r="CW20" i="8"/>
  <c r="CW28" i="8"/>
  <c r="CX35" i="8" s="1"/>
  <c r="CW30" i="8" l="1"/>
  <c r="CW29" i="8"/>
  <c r="CY58" i="8"/>
  <c r="CY57" i="8"/>
  <c r="CW34" i="8"/>
  <c r="CW37" i="8" l="1"/>
  <c r="CW36" i="8"/>
  <c r="CX42" i="8"/>
  <c r="CX43" i="8" s="1"/>
  <c r="CW55" i="8"/>
  <c r="CW48" i="8"/>
  <c r="CW41" i="8"/>
  <c r="CY49" i="8" l="1"/>
  <c r="CY50" i="8" s="1"/>
  <c r="CX44" i="8"/>
  <c r="CW23" i="8"/>
  <c r="CW24" i="8" s="1"/>
  <c r="CW25" i="8" s="1"/>
  <c r="CZ56" i="8" l="1"/>
  <c r="CY51" i="8"/>
  <c r="CX20" i="8"/>
  <c r="CX28" i="8"/>
  <c r="CY35" i="8" s="1"/>
  <c r="CX30" i="8" l="1"/>
  <c r="CX29" i="8"/>
  <c r="CZ58" i="8"/>
  <c r="CZ57" i="8"/>
  <c r="CX34" i="8"/>
  <c r="CX37" i="8" l="1"/>
  <c r="CX36" i="8"/>
  <c r="CY42" i="8"/>
  <c r="CY43" i="8" s="1"/>
  <c r="CX55" i="8"/>
  <c r="CX48" i="8"/>
  <c r="CX41" i="8"/>
  <c r="CZ49" i="8" l="1"/>
  <c r="CZ50" i="8" s="1"/>
  <c r="CY44" i="8"/>
  <c r="CX23" i="8"/>
  <c r="CX24" i="8" s="1"/>
  <c r="CX25" i="8" s="1"/>
  <c r="DA56" i="8" l="1"/>
  <c r="CZ51" i="8"/>
  <c r="CY20" i="8"/>
  <c r="CY28" i="8"/>
  <c r="CZ35" i="8" s="1"/>
  <c r="CY30" i="8" l="1"/>
  <c r="CY29" i="8"/>
  <c r="DA58" i="8"/>
  <c r="DA57" i="8"/>
  <c r="CY34" i="8"/>
  <c r="CY37" i="8" l="1"/>
  <c r="CY36" i="8"/>
  <c r="CZ42" i="8"/>
  <c r="CZ43" i="8" s="1"/>
  <c r="CY55" i="8"/>
  <c r="CY48" i="8"/>
  <c r="CY41" i="8"/>
  <c r="DA49" i="8" l="1"/>
  <c r="DA50" i="8" s="1"/>
  <c r="CZ44" i="8"/>
  <c r="CY23" i="8"/>
  <c r="CY24" i="8" s="1"/>
  <c r="CY25" i="8" s="1"/>
  <c r="DB56" i="8" l="1"/>
  <c r="DA51" i="8"/>
  <c r="CZ20" i="8"/>
  <c r="CZ28" i="8"/>
  <c r="DA35" i="8" s="1"/>
  <c r="CZ30" i="8" l="1"/>
  <c r="CZ29" i="8"/>
  <c r="DB58" i="8"/>
  <c r="DB57" i="8"/>
  <c r="CZ34" i="8"/>
  <c r="CZ37" i="8" l="1"/>
  <c r="CZ36" i="8"/>
  <c r="DA42" i="8"/>
  <c r="DA43" i="8" s="1"/>
  <c r="CZ55" i="8"/>
  <c r="CZ48" i="8"/>
  <c r="CZ41" i="8"/>
  <c r="DB49" i="8" l="1"/>
  <c r="DB50" i="8" s="1"/>
  <c r="DA44" i="8"/>
  <c r="CZ23" i="8"/>
  <c r="CZ24" i="8" s="1"/>
  <c r="CZ25" i="8" s="1"/>
  <c r="DC56" i="8" l="1"/>
  <c r="DB51" i="8"/>
  <c r="DA20" i="8"/>
  <c r="DA28" i="8"/>
  <c r="DB35" i="8" s="1"/>
  <c r="DA30" i="8" l="1"/>
  <c r="DA29" i="8"/>
  <c r="DC58" i="8"/>
  <c r="DC57" i="8"/>
  <c r="DA34" i="8"/>
  <c r="DA37" i="8" l="1"/>
  <c r="DA36" i="8"/>
  <c r="DB42" i="8"/>
  <c r="DB43" i="8" s="1"/>
  <c r="DA55" i="8"/>
  <c r="DA48" i="8"/>
  <c r="DA41" i="8"/>
  <c r="DC49" i="8" l="1"/>
  <c r="DC50" i="8" s="1"/>
  <c r="DB44" i="8"/>
  <c r="DA23" i="8"/>
  <c r="DA24" i="8" s="1"/>
  <c r="DA25" i="8" s="1"/>
  <c r="DD56" i="8" l="1"/>
  <c r="DC51" i="8"/>
  <c r="DB20" i="8"/>
  <c r="DB28" i="8"/>
  <c r="DC35" i="8" s="1"/>
  <c r="DB30" i="8" l="1"/>
  <c r="DB29" i="8"/>
  <c r="DD58" i="8"/>
  <c r="DD57" i="8"/>
  <c r="DB34" i="8"/>
  <c r="DB37" i="8" l="1"/>
  <c r="DB36" i="8"/>
  <c r="DC42" i="8"/>
  <c r="DC43" i="8" s="1"/>
  <c r="DB55" i="8"/>
  <c r="DB48" i="8"/>
  <c r="DB41" i="8"/>
  <c r="DD49" i="8" l="1"/>
  <c r="DD50" i="8" s="1"/>
  <c r="DC44" i="8"/>
  <c r="DB23" i="8"/>
  <c r="DB24" i="8" s="1"/>
  <c r="DB25" i="8" s="1"/>
  <c r="DE56" i="8" l="1"/>
  <c r="DD51" i="8"/>
  <c r="DC28" i="8"/>
  <c r="DD35" i="8" s="1"/>
  <c r="DC20" i="8"/>
  <c r="DC30" i="8" l="1"/>
  <c r="DC29" i="8"/>
  <c r="DE58" i="8"/>
  <c r="DE57" i="8"/>
  <c r="DC34" i="8"/>
  <c r="DC37" i="8" l="1"/>
  <c r="DC36" i="8"/>
  <c r="DD42" i="8"/>
  <c r="DD43" i="8" s="1"/>
  <c r="DC55" i="8"/>
  <c r="DC48" i="8"/>
  <c r="DC41" i="8"/>
  <c r="DE49" i="8" l="1"/>
  <c r="DE50" i="8" s="1"/>
  <c r="DD44" i="8"/>
  <c r="DC23" i="8"/>
  <c r="DC24" i="8" s="1"/>
  <c r="DC25" i="8" s="1"/>
  <c r="DF56" i="8" l="1"/>
  <c r="DE51" i="8"/>
  <c r="DD20" i="8"/>
  <c r="DD28" i="8"/>
  <c r="DE35" i="8" s="1"/>
  <c r="DD30" i="8" l="1"/>
  <c r="DD29" i="8"/>
  <c r="DF58" i="8"/>
  <c r="DF57" i="8"/>
  <c r="DD34" i="8"/>
  <c r="DD37" i="8" l="1"/>
  <c r="DD36" i="8"/>
  <c r="DE42" i="8"/>
  <c r="DE43" i="8" s="1"/>
  <c r="DD55" i="8"/>
  <c r="DD48" i="8"/>
  <c r="DD41" i="8"/>
  <c r="DF49" i="8" l="1"/>
  <c r="DF50" i="8" s="1"/>
  <c r="DE44" i="8"/>
  <c r="DD23" i="8"/>
  <c r="DD24" i="8" s="1"/>
  <c r="DD25" i="8" s="1"/>
  <c r="DG56" i="8" l="1"/>
  <c r="DF51" i="8"/>
  <c r="DE20" i="8"/>
  <c r="DE28" i="8"/>
  <c r="DF35" i="8" s="1"/>
  <c r="DE30" i="8" l="1"/>
  <c r="DE29" i="8"/>
  <c r="DG58" i="8"/>
  <c r="DG57" i="8"/>
  <c r="DE34" i="8"/>
  <c r="DE37" i="8" l="1"/>
  <c r="DE36" i="8"/>
  <c r="DF42" i="8"/>
  <c r="DF43" i="8" s="1"/>
  <c r="DE55" i="8"/>
  <c r="DE48" i="8"/>
  <c r="DE41" i="8"/>
  <c r="DG49" i="8" l="1"/>
  <c r="DG50" i="8" s="1"/>
  <c r="DF44" i="8"/>
  <c r="DE23" i="8"/>
  <c r="DE24" i="8" s="1"/>
  <c r="DE25" i="8" s="1"/>
  <c r="DH56" i="8" l="1"/>
  <c r="DG51" i="8"/>
  <c r="DF20" i="8"/>
  <c r="DF28" i="8"/>
  <c r="DG35" i="8" s="1"/>
  <c r="DF30" i="8" l="1"/>
  <c r="DF29" i="8"/>
  <c r="DH58" i="8"/>
  <c r="DH57" i="8"/>
  <c r="DF34" i="8"/>
  <c r="DF37" i="8" l="1"/>
  <c r="DF36" i="8"/>
  <c r="DG42" i="8"/>
  <c r="DG43" i="8" s="1"/>
  <c r="DF55" i="8"/>
  <c r="DF48" i="8"/>
  <c r="DF41" i="8"/>
  <c r="DH49" i="8" l="1"/>
  <c r="DH50" i="8" s="1"/>
  <c r="DG44" i="8"/>
  <c r="DF23" i="8"/>
  <c r="DF24" i="8" s="1"/>
  <c r="DF25" i="8" s="1"/>
  <c r="DI56" i="8" l="1"/>
  <c r="DH51" i="8"/>
  <c r="DG20" i="8"/>
  <c r="DG28" i="8"/>
  <c r="DH35" i="8" s="1"/>
  <c r="DG30" i="8" l="1"/>
  <c r="DG29" i="8"/>
  <c r="DI58" i="8"/>
  <c r="DI57" i="8"/>
  <c r="DG34" i="8"/>
  <c r="DG37" i="8" l="1"/>
  <c r="DG36" i="8"/>
  <c r="DH42" i="8"/>
  <c r="DH43" i="8" s="1"/>
  <c r="DG55" i="8"/>
  <c r="DG48" i="8"/>
  <c r="DG41" i="8"/>
  <c r="DI49" i="8" l="1"/>
  <c r="DI50" i="8" s="1"/>
  <c r="DH44" i="8"/>
  <c r="DG23" i="8"/>
  <c r="DG24" i="8" s="1"/>
  <c r="DG25" i="8" s="1"/>
  <c r="DJ56" i="8" l="1"/>
  <c r="DI51" i="8"/>
  <c r="DH20" i="8"/>
  <c r="DH28" i="8"/>
  <c r="DI35" i="8" s="1"/>
  <c r="DH30" i="8" l="1"/>
  <c r="DH29" i="8"/>
  <c r="DJ58" i="8"/>
  <c r="DJ57" i="8"/>
  <c r="DH34" i="8"/>
  <c r="DH37" i="8" l="1"/>
  <c r="DH36" i="8"/>
  <c r="DI42" i="8"/>
  <c r="DI43" i="8" s="1"/>
  <c r="DH55" i="8"/>
  <c r="DH48" i="8"/>
  <c r="DH41" i="8"/>
  <c r="DJ49" i="8" l="1"/>
  <c r="DJ50" i="8" s="1"/>
  <c r="DI44" i="8"/>
  <c r="DH23" i="8"/>
  <c r="DK56" i="8" l="1"/>
  <c r="DJ51" i="8"/>
  <c r="DH24" i="8"/>
  <c r="DH25" i="8" s="1"/>
  <c r="DK58" i="8" l="1"/>
  <c r="DK57" i="8"/>
  <c r="DI20" i="8"/>
  <c r="DI28" i="8"/>
  <c r="DJ35" i="8" s="1"/>
  <c r="DI30" i="8" l="1"/>
  <c r="DI29" i="8"/>
  <c r="DI34" i="8"/>
  <c r="DI37" i="8" l="1"/>
  <c r="DI36" i="8"/>
  <c r="DJ42" i="8"/>
  <c r="DJ43" i="8" s="1"/>
  <c r="DI55" i="8"/>
  <c r="DI48" i="8"/>
  <c r="DI41" i="8"/>
  <c r="DK49" i="8" l="1"/>
  <c r="DK50" i="8" s="1"/>
  <c r="DJ44" i="8"/>
  <c r="DI23" i="8"/>
  <c r="DI24" i="8" s="1"/>
  <c r="DI25" i="8" s="1"/>
  <c r="DL56" i="8" l="1"/>
  <c r="DK51" i="8"/>
  <c r="DJ20" i="8"/>
  <c r="DJ28" i="8"/>
  <c r="DK35" i="8" s="1"/>
  <c r="DJ30" i="8" l="1"/>
  <c r="DJ29" i="8"/>
  <c r="DL58" i="8"/>
  <c r="DL57" i="8"/>
  <c r="DJ34" i="8"/>
  <c r="DJ37" i="8" l="1"/>
  <c r="DJ36" i="8"/>
  <c r="DK42" i="8"/>
  <c r="DK43" i="8" s="1"/>
  <c r="DJ55" i="8"/>
  <c r="DJ48" i="8"/>
  <c r="DJ41" i="8"/>
  <c r="DL49" i="8" l="1"/>
  <c r="DL50" i="8" s="1"/>
  <c r="DK44" i="8"/>
  <c r="DJ23" i="8"/>
  <c r="DJ24" i="8" s="1"/>
  <c r="DJ25" i="8" s="1"/>
  <c r="DM56" i="8" l="1"/>
  <c r="DL51" i="8"/>
  <c r="DK20" i="8"/>
  <c r="DK28" i="8"/>
  <c r="DL35" i="8" s="1"/>
  <c r="DK30" i="8" l="1"/>
  <c r="DK29" i="8"/>
  <c r="DM58" i="8"/>
  <c r="DM57" i="8"/>
  <c r="DK34" i="8"/>
  <c r="DK37" i="8" l="1"/>
  <c r="DK36" i="8"/>
  <c r="DL42" i="8"/>
  <c r="DL43" i="8" s="1"/>
  <c r="DK55" i="8"/>
  <c r="DK48" i="8"/>
  <c r="DK41" i="8"/>
  <c r="DM49" i="8" l="1"/>
  <c r="DM50" i="8" s="1"/>
  <c r="DL44" i="8"/>
  <c r="DK23" i="8"/>
  <c r="DN56" i="8" l="1"/>
  <c r="DM51" i="8"/>
  <c r="DK24" i="8"/>
  <c r="DK25" i="8" s="1"/>
  <c r="DN58" i="8" l="1"/>
  <c r="DN57" i="8"/>
  <c r="DL20" i="8"/>
  <c r="DL28" i="8"/>
  <c r="DM35" i="8" s="1"/>
  <c r="DL30" i="8" l="1"/>
  <c r="DL29" i="8"/>
  <c r="DL34" i="8"/>
  <c r="DL37" i="8" l="1"/>
  <c r="DL36" i="8"/>
  <c r="DM42" i="8"/>
  <c r="DM43" i="8" s="1"/>
  <c r="DL55" i="8"/>
  <c r="DL48" i="8"/>
  <c r="DL41" i="8"/>
  <c r="DN49" i="8" l="1"/>
  <c r="DN50" i="8" s="1"/>
  <c r="DM44" i="8"/>
  <c r="DL23" i="8"/>
  <c r="DL24" i="8" s="1"/>
  <c r="DL25" i="8" s="1"/>
  <c r="DO56" i="8" l="1"/>
  <c r="DN51" i="8"/>
  <c r="DM20" i="8"/>
  <c r="DM28" i="8"/>
  <c r="DN35" i="8" s="1"/>
  <c r="DM30" i="8" l="1"/>
  <c r="DM29" i="8"/>
  <c r="DO58" i="8"/>
  <c r="DO57" i="8"/>
  <c r="DM34" i="8"/>
  <c r="DM37" i="8" l="1"/>
  <c r="DM36" i="8"/>
  <c r="DN42" i="8"/>
  <c r="DN43" i="8" s="1"/>
  <c r="DM55" i="8"/>
  <c r="DM48" i="8"/>
  <c r="DM41" i="8"/>
  <c r="DO49" i="8" l="1"/>
  <c r="DO50" i="8" s="1"/>
  <c r="DN44" i="8"/>
  <c r="DM23" i="8"/>
  <c r="DM24" i="8" s="1"/>
  <c r="DM25" i="8" s="1"/>
  <c r="DP56" i="8" l="1"/>
  <c r="DO51" i="8"/>
  <c r="DN20" i="8"/>
  <c r="DN28" i="8"/>
  <c r="DO35" i="8" s="1"/>
  <c r="DN30" i="8" l="1"/>
  <c r="DN29" i="8"/>
  <c r="DP58" i="8"/>
  <c r="DP57" i="8"/>
  <c r="DN34" i="8"/>
  <c r="DN37" i="8" l="1"/>
  <c r="DN36" i="8"/>
  <c r="DO42" i="8"/>
  <c r="DO43" i="8" s="1"/>
  <c r="DN55" i="8"/>
  <c r="DN48" i="8"/>
  <c r="DN41" i="8"/>
  <c r="DP49" i="8" l="1"/>
  <c r="DP50" i="8" s="1"/>
  <c r="DO44" i="8"/>
  <c r="DN23" i="8"/>
  <c r="DN24" i="8" s="1"/>
  <c r="DN25" i="8" s="1"/>
  <c r="DQ56" i="8" l="1"/>
  <c r="DP51" i="8"/>
  <c r="DO20" i="8"/>
  <c r="DO28" i="8"/>
  <c r="DP35" i="8" s="1"/>
  <c r="DO30" i="8" l="1"/>
  <c r="DO29" i="8"/>
  <c r="DQ58" i="8"/>
  <c r="DQ57" i="8"/>
  <c r="DO34" i="8"/>
  <c r="DO37" i="8" l="1"/>
  <c r="DO36" i="8"/>
  <c r="DP42" i="8"/>
  <c r="DP43" i="8" s="1"/>
  <c r="DO55" i="8"/>
  <c r="DO48" i="8"/>
  <c r="DO41" i="8"/>
  <c r="DQ49" i="8" l="1"/>
  <c r="DQ50" i="8" s="1"/>
  <c r="DP44" i="8"/>
  <c r="DO23" i="8"/>
  <c r="DR56" i="8" l="1"/>
  <c r="DQ51" i="8"/>
  <c r="DO24" i="8"/>
  <c r="DO25" i="8" s="1"/>
  <c r="DR58" i="8" l="1"/>
  <c r="DR57" i="8"/>
  <c r="DP20" i="8"/>
  <c r="DP28" i="8"/>
  <c r="DQ35" i="8" s="1"/>
  <c r="DP30" i="8" l="1"/>
  <c r="DP29" i="8"/>
  <c r="DP34" i="8"/>
  <c r="DP37" i="8" l="1"/>
  <c r="DP36" i="8"/>
  <c r="DQ42" i="8"/>
  <c r="DQ43" i="8" s="1"/>
  <c r="DP55" i="8"/>
  <c r="DP48" i="8"/>
  <c r="DP41" i="8"/>
  <c r="DR49" i="8" l="1"/>
  <c r="DR50" i="8" s="1"/>
  <c r="DQ44" i="8"/>
  <c r="DP23" i="8"/>
  <c r="DP24" i="8" s="1"/>
  <c r="DP25" i="8" s="1"/>
  <c r="DS56" i="8" l="1"/>
  <c r="DR51" i="8"/>
  <c r="DQ20" i="8"/>
  <c r="DQ28" i="8"/>
  <c r="DR35" i="8" s="1"/>
  <c r="DQ30" i="8" l="1"/>
  <c r="DQ29" i="8"/>
  <c r="DS58" i="8"/>
  <c r="DS57" i="8"/>
  <c r="DQ34" i="8"/>
  <c r="DQ37" i="8" l="1"/>
  <c r="DQ36" i="8"/>
  <c r="DR42" i="8"/>
  <c r="DR43" i="8" s="1"/>
  <c r="DQ55" i="8"/>
  <c r="DQ48" i="8"/>
  <c r="DQ41" i="8"/>
  <c r="DS49" i="8" l="1"/>
  <c r="DS50" i="8" s="1"/>
  <c r="DR44" i="8"/>
  <c r="DQ23" i="8"/>
  <c r="DQ24" i="8" s="1"/>
  <c r="DQ25" i="8" s="1"/>
  <c r="DT56" i="8" l="1"/>
  <c r="DS51" i="8"/>
  <c r="DR20" i="8"/>
  <c r="DR28" i="8"/>
  <c r="DS35" i="8" s="1"/>
  <c r="DR30" i="8" l="1"/>
  <c r="DR29" i="8"/>
  <c r="DT58" i="8"/>
  <c r="DT57" i="8"/>
  <c r="DR34" i="8"/>
  <c r="DR37" i="8" l="1"/>
  <c r="DR36" i="8"/>
  <c r="DS42" i="8"/>
  <c r="DS43" i="8" s="1"/>
  <c r="DR55" i="8"/>
  <c r="DR48" i="8"/>
  <c r="DR41" i="8"/>
  <c r="DT49" i="8" l="1"/>
  <c r="DT50" i="8" s="1"/>
  <c r="DS44" i="8"/>
  <c r="DR23" i="8"/>
  <c r="DR24" i="8" s="1"/>
  <c r="DR25" i="8" s="1"/>
  <c r="DU56" i="8" l="1"/>
  <c r="DT51" i="8"/>
  <c r="DS20" i="8"/>
  <c r="DS28" i="8"/>
  <c r="DT35" i="8" s="1"/>
  <c r="DS30" i="8" l="1"/>
  <c r="DS29" i="8"/>
  <c r="DU58" i="8"/>
  <c r="DU57" i="8"/>
  <c r="DS34" i="8"/>
  <c r="DS37" i="8" l="1"/>
  <c r="DS36" i="8"/>
  <c r="DT42" i="8"/>
  <c r="DT43" i="8" s="1"/>
  <c r="DS55" i="8"/>
  <c r="DS48" i="8"/>
  <c r="DS41" i="8"/>
  <c r="DU49" i="8" l="1"/>
  <c r="DU50" i="8" s="1"/>
  <c r="DT44" i="8"/>
  <c r="DS23" i="8"/>
  <c r="DS24" i="8" s="1"/>
  <c r="DS25" i="8" s="1"/>
  <c r="DV56" i="8" l="1"/>
  <c r="DU51" i="8"/>
  <c r="DT20" i="8"/>
  <c r="DT28" i="8"/>
  <c r="DU35" i="8" s="1"/>
  <c r="DT30" i="8" l="1"/>
  <c r="DT29" i="8"/>
  <c r="DV58" i="8"/>
  <c r="DV57" i="8"/>
  <c r="DT34" i="8"/>
  <c r="DT37" i="8" l="1"/>
  <c r="DT36" i="8"/>
  <c r="DU42" i="8"/>
  <c r="DU43" i="8" s="1"/>
  <c r="DT55" i="8"/>
  <c r="DT48" i="8"/>
  <c r="DT41" i="8"/>
  <c r="DV49" i="8" l="1"/>
  <c r="DV50" i="8" s="1"/>
  <c r="DU44" i="8"/>
  <c r="DT23" i="8"/>
  <c r="DT24" i="8" s="1"/>
  <c r="DT25" i="8" s="1"/>
  <c r="DW56" i="8" l="1"/>
  <c r="DV51" i="8"/>
  <c r="DU20" i="8"/>
  <c r="DU28" i="8"/>
  <c r="DV35" i="8" s="1"/>
  <c r="DU30" i="8" l="1"/>
  <c r="DU29" i="8"/>
  <c r="DW58" i="8"/>
  <c r="DW57" i="8"/>
  <c r="DU34" i="8"/>
  <c r="DU37" i="8" l="1"/>
  <c r="DU36" i="8"/>
  <c r="DV42" i="8"/>
  <c r="DV43" i="8" s="1"/>
  <c r="DU55" i="8"/>
  <c r="DU48" i="8"/>
  <c r="DU41" i="8"/>
  <c r="DW49" i="8" l="1"/>
  <c r="DW50" i="8" s="1"/>
  <c r="DV44" i="8"/>
  <c r="DU23" i="8"/>
  <c r="DU24" i="8" s="1"/>
  <c r="DU25" i="8" s="1"/>
  <c r="DX56" i="8" l="1"/>
  <c r="DW51" i="8"/>
  <c r="DV20" i="8"/>
  <c r="DV28" i="8"/>
  <c r="DW35" i="8" s="1"/>
  <c r="DV30" i="8" l="1"/>
  <c r="DV29" i="8"/>
  <c r="DX58" i="8"/>
  <c r="DX57" i="8"/>
  <c r="DV34" i="8"/>
  <c r="DV37" i="8" l="1"/>
  <c r="DV36" i="8"/>
  <c r="DW42" i="8"/>
  <c r="DW43" i="8" s="1"/>
  <c r="DV55" i="8"/>
  <c r="DV48" i="8"/>
  <c r="DV41" i="8"/>
  <c r="DX49" i="8" l="1"/>
  <c r="DX50" i="8" s="1"/>
  <c r="DW44" i="8"/>
  <c r="DV23" i="8"/>
  <c r="DV24" i="8" s="1"/>
  <c r="DV25" i="8" s="1"/>
  <c r="DY56" i="8" l="1"/>
  <c r="DX51" i="8"/>
  <c r="DW20" i="8"/>
  <c r="DW28" i="8"/>
  <c r="DX35" i="8" s="1"/>
  <c r="DW30" i="8" l="1"/>
  <c r="DW29" i="8"/>
  <c r="DY58" i="8"/>
  <c r="DY57" i="8"/>
  <c r="DW34" i="8"/>
  <c r="DW37" i="8" l="1"/>
  <c r="DW36" i="8"/>
  <c r="DX42" i="8"/>
  <c r="DX43" i="8" s="1"/>
  <c r="DW55" i="8"/>
  <c r="DW48" i="8"/>
  <c r="DW41" i="8"/>
  <c r="DY49" i="8" l="1"/>
  <c r="DY50" i="8" s="1"/>
  <c r="DX44" i="8"/>
  <c r="DW23" i="8"/>
  <c r="DW24" i="8" s="1"/>
  <c r="DW25" i="8" s="1"/>
  <c r="DZ56" i="8" l="1"/>
  <c r="DY51" i="8"/>
  <c r="DX20" i="8"/>
  <c r="DX28" i="8"/>
  <c r="DY35" i="8" s="1"/>
  <c r="DX30" i="8" l="1"/>
  <c r="DX29" i="8"/>
  <c r="DZ58" i="8"/>
  <c r="DZ57" i="8"/>
  <c r="DX34" i="8"/>
  <c r="DX37" i="8" l="1"/>
  <c r="DX36" i="8"/>
  <c r="DY42" i="8"/>
  <c r="DY43" i="8" s="1"/>
  <c r="DX55" i="8"/>
  <c r="DX48" i="8"/>
  <c r="DX41" i="8"/>
  <c r="DZ49" i="8" l="1"/>
  <c r="DZ50" i="8" s="1"/>
  <c r="DY44" i="8"/>
  <c r="DX23" i="8"/>
  <c r="DX24" i="8" s="1"/>
  <c r="DX25" i="8" s="1"/>
  <c r="EA56" i="8" l="1"/>
  <c r="DZ51" i="8"/>
  <c r="DY20" i="8"/>
  <c r="DY28" i="8"/>
  <c r="DZ35" i="8" s="1"/>
  <c r="DY30" i="8" l="1"/>
  <c r="DY29" i="8"/>
  <c r="EA58" i="8"/>
  <c r="EA57" i="8"/>
  <c r="DY34" i="8"/>
  <c r="DY37" i="8" l="1"/>
  <c r="DY36" i="8"/>
  <c r="DZ42" i="8"/>
  <c r="DZ43" i="8" s="1"/>
  <c r="DY55" i="8"/>
  <c r="DY48" i="8"/>
  <c r="DY41" i="8"/>
  <c r="EA49" i="8" l="1"/>
  <c r="EA50" i="8" s="1"/>
  <c r="DZ44" i="8"/>
  <c r="DY23" i="8"/>
  <c r="DY24" i="8" s="1"/>
  <c r="DY25" i="8" s="1"/>
  <c r="EB56" i="8" l="1"/>
  <c r="EA51" i="8"/>
  <c r="DZ20" i="8"/>
  <c r="DZ28" i="8"/>
  <c r="EA35" i="8" s="1"/>
  <c r="DZ30" i="8" l="1"/>
  <c r="DZ29" i="8"/>
  <c r="EB58" i="8"/>
  <c r="EB57" i="8"/>
  <c r="DZ34" i="8"/>
  <c r="DZ37" i="8" l="1"/>
  <c r="DZ36" i="8"/>
  <c r="EA42" i="8"/>
  <c r="EA43" i="8" s="1"/>
  <c r="DZ55" i="8"/>
  <c r="DZ48" i="8"/>
  <c r="DZ41" i="8"/>
  <c r="EB49" i="8" l="1"/>
  <c r="EB50" i="8" s="1"/>
  <c r="EA44" i="8"/>
  <c r="DZ23" i="8"/>
  <c r="DZ24" i="8" s="1"/>
  <c r="DZ25" i="8" s="1"/>
  <c r="EC56" i="8" l="1"/>
  <c r="EB51" i="8"/>
  <c r="EA20" i="8"/>
  <c r="EA28" i="8"/>
  <c r="EB35" i="8" s="1"/>
  <c r="EA30" i="8" l="1"/>
  <c r="EA29" i="8"/>
  <c r="EC58" i="8"/>
  <c r="EC57" i="8"/>
  <c r="EA34" i="8"/>
  <c r="EA37" i="8" l="1"/>
  <c r="EA36" i="8"/>
  <c r="EB42" i="8"/>
  <c r="EB43" i="8" s="1"/>
  <c r="EA55" i="8"/>
  <c r="EA48" i="8"/>
  <c r="EA41" i="8"/>
  <c r="EC49" i="8" l="1"/>
  <c r="EC50" i="8" s="1"/>
  <c r="EB44" i="8"/>
  <c r="EA23" i="8"/>
  <c r="EA24" i="8" s="1"/>
  <c r="EA25" i="8" s="1"/>
  <c r="ED56" i="8" l="1"/>
  <c r="EC51" i="8"/>
  <c r="EB20" i="8"/>
  <c r="EB28" i="8"/>
  <c r="EC35" i="8" s="1"/>
  <c r="EB30" i="8" l="1"/>
  <c r="EB29" i="8"/>
  <c r="ED58" i="8"/>
  <c r="ED57" i="8"/>
  <c r="EB34" i="8"/>
  <c r="EB37" i="8" l="1"/>
  <c r="EB36" i="8"/>
  <c r="EC42" i="8"/>
  <c r="EC43" i="8" s="1"/>
  <c r="EB55" i="8"/>
  <c r="EB48" i="8"/>
  <c r="EB41" i="8"/>
  <c r="ED49" i="8" l="1"/>
  <c r="ED50" i="8" s="1"/>
  <c r="EC44" i="8"/>
  <c r="EB23" i="8"/>
  <c r="EB24" i="8" s="1"/>
  <c r="EB25" i="8" s="1"/>
  <c r="EE56" i="8" l="1"/>
  <c r="ED51" i="8"/>
  <c r="EC20" i="8"/>
  <c r="EC28" i="8"/>
  <c r="ED35" i="8" s="1"/>
  <c r="EC30" i="8" l="1"/>
  <c r="EC29" i="8"/>
  <c r="EE58" i="8"/>
  <c r="EE57" i="8"/>
  <c r="EC34" i="8"/>
  <c r="EC37" i="8" l="1"/>
  <c r="EC36" i="8"/>
  <c r="ED42" i="8"/>
  <c r="ED43" i="8" s="1"/>
  <c r="EC55" i="8"/>
  <c r="EC48" i="8"/>
  <c r="EC41" i="8"/>
  <c r="EE49" i="8" l="1"/>
  <c r="EE50" i="8" s="1"/>
  <c r="ED44" i="8"/>
  <c r="EC23" i="8"/>
  <c r="EC24" i="8" s="1"/>
  <c r="EC25" i="8" s="1"/>
  <c r="EF56" i="8" l="1"/>
  <c r="EE51" i="8"/>
  <c r="ED20" i="8"/>
  <c r="ED28" i="8"/>
  <c r="EE35" i="8" s="1"/>
  <c r="ED30" i="8" l="1"/>
  <c r="ED29" i="8"/>
  <c r="EF58" i="8"/>
  <c r="EF57" i="8"/>
  <c r="ED34" i="8"/>
  <c r="ED37" i="8" l="1"/>
  <c r="ED36" i="8"/>
  <c r="EE42" i="8"/>
  <c r="EE43" i="8" s="1"/>
  <c r="ED55" i="8"/>
  <c r="ED48" i="8"/>
  <c r="ED41" i="8"/>
  <c r="EF49" i="8" l="1"/>
  <c r="EF50" i="8" s="1"/>
  <c r="EE44" i="8"/>
  <c r="ED23" i="8"/>
  <c r="ED24" i="8" s="1"/>
  <c r="ED25" i="8" s="1"/>
  <c r="EG56" i="8" l="1"/>
  <c r="EF51" i="8"/>
  <c r="EE20" i="8"/>
  <c r="EE28" i="8"/>
  <c r="EF35" i="8" s="1"/>
  <c r="EE30" i="8" l="1"/>
  <c r="EE29" i="8"/>
  <c r="EG58" i="8"/>
  <c r="EG57" i="8"/>
  <c r="EE34" i="8"/>
  <c r="EE37" i="8" l="1"/>
  <c r="EE36" i="8"/>
  <c r="EF42" i="8"/>
  <c r="EF43" i="8" s="1"/>
  <c r="EE55" i="8"/>
  <c r="EE48" i="8"/>
  <c r="EE41" i="8"/>
  <c r="EG49" i="8" l="1"/>
  <c r="EG50" i="8" s="1"/>
  <c r="EF44" i="8"/>
  <c r="EE23" i="8"/>
  <c r="EE24" i="8" s="1"/>
  <c r="EE25" i="8" s="1"/>
  <c r="EH56" i="8" l="1"/>
  <c r="EG51" i="8"/>
  <c r="EF20" i="8"/>
  <c r="EF28" i="8"/>
  <c r="EG35" i="8" s="1"/>
  <c r="EF30" i="8" l="1"/>
  <c r="EF29" i="8"/>
  <c r="EH58" i="8"/>
  <c r="EH57" i="8"/>
  <c r="EF34" i="8"/>
  <c r="EF37" i="8" l="1"/>
  <c r="EF36" i="8"/>
  <c r="EG42" i="8"/>
  <c r="EG43" i="8" s="1"/>
  <c r="EF55" i="8"/>
  <c r="EF48" i="8"/>
  <c r="EF41" i="8"/>
  <c r="EH49" i="8" l="1"/>
  <c r="EH50" i="8" s="1"/>
  <c r="EG44" i="8"/>
  <c r="EF23" i="8"/>
  <c r="EF24" i="8" s="1"/>
  <c r="EF25" i="8" s="1"/>
  <c r="EI56" i="8" l="1"/>
  <c r="EH51" i="8"/>
  <c r="EG20" i="8"/>
  <c r="EG28" i="8"/>
  <c r="EH35" i="8" s="1"/>
  <c r="EG30" i="8" l="1"/>
  <c r="EG29" i="8"/>
  <c r="EI58" i="8"/>
  <c r="EI57" i="8"/>
  <c r="EG34" i="8"/>
  <c r="EG37" i="8" l="1"/>
  <c r="EG36" i="8"/>
  <c r="EH42" i="8"/>
  <c r="EH43" i="8" s="1"/>
  <c r="EG55" i="8"/>
  <c r="EG48" i="8"/>
  <c r="EG41" i="8"/>
  <c r="EI49" i="8" l="1"/>
  <c r="EI50" i="8" s="1"/>
  <c r="EH44" i="8"/>
  <c r="EG23" i="8"/>
  <c r="EG24" i="8" s="1"/>
  <c r="EG25" i="8" s="1"/>
  <c r="EJ56" i="8" l="1"/>
  <c r="EI51" i="8"/>
  <c r="EH20" i="8"/>
  <c r="EH28" i="8"/>
  <c r="EI35" i="8" s="1"/>
  <c r="EH30" i="8" l="1"/>
  <c r="EH29" i="8"/>
  <c r="EJ58" i="8"/>
  <c r="EJ57" i="8"/>
  <c r="EH34" i="8"/>
  <c r="EH37" i="8" l="1"/>
  <c r="EH36" i="8"/>
  <c r="EI42" i="8"/>
  <c r="EI43" i="8" s="1"/>
  <c r="EH55" i="8"/>
  <c r="EH48" i="8"/>
  <c r="EH41" i="8"/>
  <c r="EJ49" i="8" l="1"/>
  <c r="EJ50" i="8" s="1"/>
  <c r="EI44" i="8"/>
  <c r="EH23" i="8"/>
  <c r="EH24" i="8" s="1"/>
  <c r="EH25" i="8" s="1"/>
  <c r="EK56" i="8" l="1"/>
  <c r="EJ51" i="8"/>
  <c r="EI20" i="8"/>
  <c r="EI28" i="8"/>
  <c r="EJ35" i="8" s="1"/>
  <c r="EI30" i="8" l="1"/>
  <c r="EI29" i="8"/>
  <c r="EK58" i="8"/>
  <c r="EK57" i="8"/>
  <c r="EI34" i="8"/>
  <c r="EI37" i="8" l="1"/>
  <c r="EI36" i="8"/>
  <c r="EJ42" i="8"/>
  <c r="EJ43" i="8" s="1"/>
  <c r="EI55" i="8"/>
  <c r="EI48" i="8"/>
  <c r="EI41" i="8"/>
  <c r="EK49" i="8" l="1"/>
  <c r="EK50" i="8" s="1"/>
  <c r="EJ44" i="8"/>
  <c r="EI23" i="8"/>
  <c r="EI24" i="8" s="1"/>
  <c r="EI25" i="8" s="1"/>
  <c r="EL56" i="8" l="1"/>
  <c r="EK51" i="8"/>
  <c r="EJ20" i="8"/>
  <c r="EJ28" i="8"/>
  <c r="EK35" i="8" s="1"/>
  <c r="EJ30" i="8" l="1"/>
  <c r="EJ29" i="8"/>
  <c r="EL58" i="8"/>
  <c r="EL57" i="8"/>
  <c r="EJ34" i="8"/>
  <c r="EJ37" i="8" l="1"/>
  <c r="EJ36" i="8"/>
  <c r="EK42" i="8"/>
  <c r="EK43" i="8" s="1"/>
  <c r="EJ55" i="8"/>
  <c r="EJ48" i="8"/>
  <c r="EJ41" i="8"/>
  <c r="EL49" i="8" l="1"/>
  <c r="EL50" i="8" s="1"/>
  <c r="EK44" i="8"/>
  <c r="EJ23" i="8"/>
  <c r="EM56" i="8" l="1"/>
  <c r="EL51" i="8"/>
  <c r="EJ24" i="8"/>
  <c r="EJ25" i="8" s="1"/>
  <c r="EM58" i="8" l="1"/>
  <c r="EM57" i="8"/>
  <c r="EK20" i="8"/>
  <c r="EK28" i="8"/>
  <c r="EL35" i="8" s="1"/>
  <c r="EK30" i="8" l="1"/>
  <c r="EK29" i="8"/>
  <c r="EK34" i="8"/>
  <c r="EK37" i="8" l="1"/>
  <c r="EK36" i="8"/>
  <c r="EL42" i="8"/>
  <c r="EL43" i="8" s="1"/>
  <c r="EK55" i="8"/>
  <c r="EK48" i="8"/>
  <c r="EK41" i="8"/>
  <c r="EM49" i="8" l="1"/>
  <c r="EM50" i="8" s="1"/>
  <c r="EL44" i="8"/>
  <c r="EK23" i="8"/>
  <c r="EK24" i="8" s="1"/>
  <c r="EK25" i="8" s="1"/>
  <c r="EN56" i="8" l="1"/>
  <c r="EM51" i="8"/>
  <c r="EL20" i="8"/>
  <c r="EL28" i="8"/>
  <c r="EM35" i="8" s="1"/>
  <c r="EL30" i="8" l="1"/>
  <c r="EL29" i="8"/>
  <c r="EN58" i="8"/>
  <c r="EN57" i="8"/>
  <c r="EL34" i="8"/>
  <c r="EL37" i="8" l="1"/>
  <c r="EL36" i="8"/>
  <c r="EM42" i="8"/>
  <c r="EM43" i="8" s="1"/>
  <c r="EL55" i="8"/>
  <c r="EL48" i="8"/>
  <c r="EL41" i="8"/>
  <c r="EN49" i="8" l="1"/>
  <c r="EN50" i="8" s="1"/>
  <c r="EM44" i="8"/>
  <c r="EL23" i="8"/>
  <c r="EL24" i="8" s="1"/>
  <c r="EL25" i="8" s="1"/>
  <c r="EO56" i="8" l="1"/>
  <c r="EN51" i="8"/>
  <c r="EM20" i="8"/>
  <c r="EM28" i="8"/>
  <c r="EN35" i="8" s="1"/>
  <c r="EM30" i="8" l="1"/>
  <c r="EM29" i="8"/>
  <c r="EO58" i="8"/>
  <c r="EO57" i="8"/>
  <c r="EM34" i="8"/>
  <c r="EM37" i="8" l="1"/>
  <c r="EM36" i="8"/>
  <c r="EN42" i="8"/>
  <c r="EN43" i="8" s="1"/>
  <c r="EM55" i="8"/>
  <c r="EM48" i="8"/>
  <c r="EM41" i="8"/>
  <c r="EO49" i="8" l="1"/>
  <c r="EO50" i="8" s="1"/>
  <c r="EN44" i="8"/>
  <c r="EM23" i="8"/>
  <c r="EM24" i="8" s="1"/>
  <c r="EM25" i="8" s="1"/>
  <c r="EP56" i="8" l="1"/>
  <c r="EO51" i="8"/>
  <c r="EN20" i="8"/>
  <c r="EN28" i="8"/>
  <c r="EO35" i="8" s="1"/>
  <c r="EN30" i="8" l="1"/>
  <c r="EN29" i="8"/>
  <c r="EP58" i="8"/>
  <c r="EP57" i="8"/>
  <c r="EN34" i="8"/>
  <c r="EN37" i="8" l="1"/>
  <c r="EN36" i="8"/>
  <c r="EO42" i="8"/>
  <c r="EO43" i="8" s="1"/>
  <c r="EN55" i="8"/>
  <c r="EN48" i="8"/>
  <c r="EN41" i="8"/>
  <c r="EP49" i="8" l="1"/>
  <c r="EP50" i="8" s="1"/>
  <c r="EO44" i="8"/>
  <c r="EN23" i="8"/>
  <c r="EN24" i="8" s="1"/>
  <c r="EN25" i="8" s="1"/>
  <c r="EQ56" i="8" l="1"/>
  <c r="EP51" i="8"/>
  <c r="EO20" i="8"/>
  <c r="EO28" i="8"/>
  <c r="EP35" i="8" s="1"/>
  <c r="EO30" i="8" l="1"/>
  <c r="EO29" i="8"/>
  <c r="EQ58" i="8"/>
  <c r="EQ57" i="8"/>
  <c r="EO34" i="8"/>
  <c r="EO37" i="8" l="1"/>
  <c r="EO36" i="8"/>
  <c r="EP42" i="8"/>
  <c r="EP43" i="8" s="1"/>
  <c r="EO55" i="8"/>
  <c r="EO48" i="8"/>
  <c r="EO41" i="8"/>
  <c r="EQ49" i="8" l="1"/>
  <c r="EQ50" i="8" s="1"/>
  <c r="EP44" i="8"/>
  <c r="EO23" i="8"/>
  <c r="EO24" i="8" s="1"/>
  <c r="EO25" i="8" s="1"/>
  <c r="ER56" i="8" l="1"/>
  <c r="EQ51" i="8"/>
  <c r="EP20" i="8"/>
  <c r="EP28" i="8"/>
  <c r="EQ35" i="8" s="1"/>
  <c r="EP30" i="8" l="1"/>
  <c r="EP29" i="8"/>
  <c r="ER58" i="8"/>
  <c r="ER57" i="8"/>
  <c r="EP34" i="8"/>
  <c r="EP37" i="8" l="1"/>
  <c r="EP36" i="8"/>
  <c r="EQ42" i="8"/>
  <c r="EQ43" i="8" s="1"/>
  <c r="EP55" i="8"/>
  <c r="EP48" i="8"/>
  <c r="EP41" i="8"/>
  <c r="ER49" i="8" l="1"/>
  <c r="ER50" i="8" s="1"/>
  <c r="EQ44" i="8"/>
  <c r="EP23" i="8"/>
  <c r="EP24" i="8" s="1"/>
  <c r="EP25" i="8" s="1"/>
  <c r="ES56" i="8" l="1"/>
  <c r="ER51" i="8"/>
  <c r="EQ20" i="8"/>
  <c r="EQ28" i="8"/>
  <c r="ER35" i="8" s="1"/>
  <c r="EQ30" i="8" l="1"/>
  <c r="EQ29" i="8"/>
  <c r="ES58" i="8"/>
  <c r="ES57" i="8"/>
  <c r="EQ34" i="8"/>
  <c r="EQ37" i="8" l="1"/>
  <c r="EQ36" i="8"/>
  <c r="ER42" i="8"/>
  <c r="ER43" i="8" s="1"/>
  <c r="EQ55" i="8"/>
  <c r="EQ48" i="8"/>
  <c r="EQ41" i="8"/>
  <c r="ES49" i="8" l="1"/>
  <c r="ES50" i="8" s="1"/>
  <c r="ER44" i="8"/>
  <c r="EQ23" i="8"/>
  <c r="EQ24" i="8" s="1"/>
  <c r="EQ25" i="8" s="1"/>
  <c r="ET56" i="8" l="1"/>
  <c r="ES51" i="8"/>
  <c r="ER20" i="8"/>
  <c r="ER28" i="8"/>
  <c r="ES35" i="8" s="1"/>
  <c r="ER30" i="8" l="1"/>
  <c r="ER29" i="8"/>
  <c r="ET58" i="8"/>
  <c r="ET57" i="8"/>
  <c r="ER34" i="8"/>
  <c r="ER37" i="8" l="1"/>
  <c r="ER36" i="8"/>
  <c r="ES42" i="8"/>
  <c r="ES43" i="8" s="1"/>
  <c r="ER55" i="8"/>
  <c r="ER48" i="8"/>
  <c r="ER41" i="8"/>
  <c r="ET49" i="8" l="1"/>
  <c r="ET50" i="8" s="1"/>
  <c r="ES44" i="8"/>
  <c r="ER23" i="8"/>
  <c r="ER24" i="8" s="1"/>
  <c r="ER25" i="8" s="1"/>
  <c r="EU56" i="8" l="1"/>
  <c r="ET51" i="8"/>
  <c r="ES20" i="8"/>
  <c r="ES28" i="8"/>
  <c r="ET35" i="8" s="1"/>
  <c r="ES30" i="8" l="1"/>
  <c r="ES29" i="8"/>
  <c r="EU58" i="8"/>
  <c r="EU57" i="8"/>
  <c r="ES34" i="8"/>
  <c r="ES37" i="8" l="1"/>
  <c r="ES36" i="8"/>
  <c r="ET42" i="8"/>
  <c r="ET43" i="8" s="1"/>
  <c r="ES55" i="8"/>
  <c r="ES48" i="8"/>
  <c r="ES41" i="8"/>
  <c r="EU49" i="8" l="1"/>
  <c r="EU50" i="8" s="1"/>
  <c r="ET44" i="8"/>
  <c r="ES23" i="8"/>
  <c r="ES24" i="8" s="1"/>
  <c r="ES25" i="8" s="1"/>
  <c r="EV56" i="8" l="1"/>
  <c r="EU51" i="8"/>
  <c r="ET20" i="8"/>
  <c r="ET28" i="8"/>
  <c r="EU35" i="8" s="1"/>
  <c r="ET30" i="8" l="1"/>
  <c r="ET29" i="8"/>
  <c r="EV58" i="8"/>
  <c r="EV57" i="8"/>
  <c r="ET34" i="8"/>
  <c r="ET37" i="8" l="1"/>
  <c r="ET36" i="8"/>
  <c r="EU42" i="8"/>
  <c r="EU43" i="8" s="1"/>
  <c r="ET55" i="8"/>
  <c r="ET48" i="8"/>
  <c r="ET41" i="8"/>
  <c r="EV49" i="8" l="1"/>
  <c r="EV50" i="8" s="1"/>
  <c r="EU44" i="8"/>
  <c r="ET23" i="8"/>
  <c r="ET24" i="8" s="1"/>
  <c r="ET25" i="8" s="1"/>
  <c r="EW56" i="8" l="1"/>
  <c r="EV51" i="8"/>
  <c r="EU20" i="8"/>
  <c r="EU28" i="8"/>
  <c r="EV35" i="8" s="1"/>
  <c r="EU30" i="8" l="1"/>
  <c r="EU29" i="8"/>
  <c r="EW58" i="8"/>
  <c r="EW57" i="8"/>
  <c r="EU34" i="8"/>
  <c r="EU37" i="8" l="1"/>
  <c r="EU36" i="8"/>
  <c r="EV42" i="8"/>
  <c r="EV43" i="8" s="1"/>
  <c r="EU55" i="8"/>
  <c r="EU48" i="8"/>
  <c r="EU41" i="8"/>
  <c r="EW49" i="8" l="1"/>
  <c r="EW50" i="8" s="1"/>
  <c r="EV44" i="8"/>
  <c r="EU23" i="8"/>
  <c r="EU24" i="8" s="1"/>
  <c r="EU25" i="8" s="1"/>
  <c r="EX56" i="8" l="1"/>
  <c r="EW51" i="8"/>
  <c r="EV20" i="8"/>
  <c r="EV28" i="8"/>
  <c r="EW35" i="8" s="1"/>
  <c r="EV30" i="8" l="1"/>
  <c r="EV29" i="8"/>
  <c r="EX58" i="8"/>
  <c r="EX57" i="8"/>
  <c r="EV34" i="8"/>
  <c r="EV37" i="8" l="1"/>
  <c r="EV36" i="8"/>
  <c r="EW42" i="8"/>
  <c r="EW43" i="8" s="1"/>
  <c r="EV55" i="8"/>
  <c r="EV48" i="8"/>
  <c r="EV41" i="8"/>
  <c r="EX49" i="8" l="1"/>
  <c r="EX50" i="8" s="1"/>
  <c r="EW44" i="8"/>
  <c r="EV23" i="8"/>
  <c r="EV24" i="8" s="1"/>
  <c r="EV25" i="8" s="1"/>
  <c r="EY56" i="8" l="1"/>
  <c r="EX51" i="8"/>
  <c r="EW20" i="8"/>
  <c r="EW28" i="8"/>
  <c r="EX35" i="8" s="1"/>
  <c r="EW30" i="8" l="1"/>
  <c r="EW29" i="8"/>
  <c r="EY58" i="8"/>
  <c r="EY57" i="8"/>
  <c r="EW34" i="8"/>
  <c r="EW37" i="8" l="1"/>
  <c r="EW36" i="8"/>
  <c r="EX42" i="8"/>
  <c r="EX43" i="8" s="1"/>
  <c r="EW55" i="8"/>
  <c r="EW48" i="8"/>
  <c r="EW41" i="8"/>
  <c r="EY49" i="8" l="1"/>
  <c r="EY50" i="8" s="1"/>
  <c r="EX44" i="8"/>
  <c r="EW23" i="8"/>
  <c r="EW24" i="8" s="1"/>
  <c r="EW25" i="8" s="1"/>
  <c r="EZ56" i="8" l="1"/>
  <c r="EY51" i="8"/>
  <c r="EX20" i="8"/>
  <c r="EX28" i="8"/>
  <c r="EY35" i="8" s="1"/>
  <c r="EX30" i="8" l="1"/>
  <c r="EX29" i="8"/>
  <c r="EZ58" i="8"/>
  <c r="EZ57" i="8"/>
  <c r="EX34" i="8"/>
  <c r="EX37" i="8" l="1"/>
  <c r="EX36" i="8"/>
  <c r="EY42" i="8"/>
  <c r="EY43" i="8" s="1"/>
  <c r="EX55" i="8"/>
  <c r="EX48" i="8"/>
  <c r="EX41" i="8"/>
  <c r="EZ49" i="8" l="1"/>
  <c r="EZ50" i="8" s="1"/>
  <c r="EY44" i="8"/>
  <c r="EX23" i="8"/>
  <c r="FA56" i="8" l="1"/>
  <c r="EZ51" i="8"/>
  <c r="EX24" i="8"/>
  <c r="EX25" i="8" s="1"/>
  <c r="FA58" i="8" l="1"/>
  <c r="FA57" i="8"/>
  <c r="EY20" i="8"/>
  <c r="EY28" i="8"/>
  <c r="EZ35" i="8" s="1"/>
  <c r="EY30" i="8" l="1"/>
  <c r="EY29" i="8"/>
  <c r="EY34" i="8"/>
  <c r="EY37" i="8" l="1"/>
  <c r="EY36" i="8"/>
  <c r="EZ42" i="8"/>
  <c r="EZ43" i="8" s="1"/>
  <c r="EY55" i="8"/>
  <c r="EY48" i="8"/>
  <c r="EY41" i="8"/>
  <c r="FA49" i="8" l="1"/>
  <c r="FA50" i="8" s="1"/>
  <c r="EZ44" i="8"/>
  <c r="EY23" i="8"/>
  <c r="EY24" i="8" s="1"/>
  <c r="EY25" i="8" s="1"/>
  <c r="FB56" i="8" l="1"/>
  <c r="FA51" i="8"/>
  <c r="EZ20" i="8"/>
  <c r="EZ28" i="8"/>
  <c r="FA35" i="8" s="1"/>
  <c r="EZ30" i="8" l="1"/>
  <c r="EZ29" i="8"/>
  <c r="FB58" i="8"/>
  <c r="FB57" i="8"/>
  <c r="EZ34" i="8"/>
  <c r="EZ37" i="8" l="1"/>
  <c r="EZ36" i="8"/>
  <c r="FA42" i="8"/>
  <c r="FA43" i="8" s="1"/>
  <c r="EZ55" i="8"/>
  <c r="EZ48" i="8"/>
  <c r="EZ41" i="8"/>
  <c r="FB49" i="8" l="1"/>
  <c r="FB50" i="8" s="1"/>
  <c r="FA44" i="8"/>
  <c r="EZ23" i="8"/>
  <c r="EZ24" i="8" s="1"/>
  <c r="EZ25" i="8" s="1"/>
  <c r="FC56" i="8" l="1"/>
  <c r="FB51" i="8"/>
  <c r="FA20" i="8"/>
  <c r="FA28" i="8"/>
  <c r="FB35" i="8" s="1"/>
  <c r="FA30" i="8" l="1"/>
  <c r="FA29" i="8"/>
  <c r="FC58" i="8"/>
  <c r="FC57" i="8"/>
  <c r="FA34" i="8"/>
  <c r="FA37" i="8" l="1"/>
  <c r="FA36" i="8"/>
  <c r="FB42" i="8"/>
  <c r="FB43" i="8" s="1"/>
  <c r="FA55" i="8"/>
  <c r="FA48" i="8"/>
  <c r="FA41" i="8"/>
  <c r="FC49" i="8" l="1"/>
  <c r="FC50" i="8" s="1"/>
  <c r="FB44" i="8"/>
  <c r="FA23" i="8"/>
  <c r="FA24" i="8" s="1"/>
  <c r="FA25" i="8" s="1"/>
  <c r="FD56" i="8" l="1"/>
  <c r="FC51" i="8"/>
  <c r="FB20" i="8"/>
  <c r="FB28" i="8"/>
  <c r="FC35" i="8" s="1"/>
  <c r="FB30" i="8" l="1"/>
  <c r="FB29" i="8"/>
  <c r="FD58" i="8"/>
  <c r="FD57" i="8"/>
  <c r="FB34" i="8"/>
  <c r="FB37" i="8" l="1"/>
  <c r="FB36" i="8"/>
  <c r="FC42" i="8"/>
  <c r="FC43" i="8" s="1"/>
  <c r="FB55" i="8"/>
  <c r="FB48" i="8"/>
  <c r="FB41" i="8"/>
  <c r="FD49" i="8" l="1"/>
  <c r="FD50" i="8" s="1"/>
  <c r="FC44" i="8"/>
  <c r="FB23" i="8"/>
  <c r="FB24" i="8" s="1"/>
  <c r="FB25" i="8" s="1"/>
  <c r="FE56" i="8" l="1"/>
  <c r="FD51" i="8"/>
  <c r="FC20" i="8"/>
  <c r="FC28" i="8"/>
  <c r="FD35" i="8" s="1"/>
  <c r="FC30" i="8" l="1"/>
  <c r="FC29" i="8"/>
  <c r="FE58" i="8"/>
  <c r="FE57" i="8"/>
  <c r="FC34" i="8"/>
  <c r="FC37" i="8" l="1"/>
  <c r="FC36" i="8"/>
  <c r="FD42" i="8"/>
  <c r="FD43" i="8" s="1"/>
  <c r="FC55" i="8"/>
  <c r="FC48" i="8"/>
  <c r="FC41" i="8"/>
  <c r="FE49" i="8" l="1"/>
  <c r="FE50" i="8" s="1"/>
  <c r="FD44" i="8"/>
  <c r="FC23" i="8"/>
  <c r="FC24" i="8" s="1"/>
  <c r="FC25" i="8" s="1"/>
  <c r="FF56" i="8" l="1"/>
  <c r="FE51" i="8"/>
  <c r="FD20" i="8"/>
  <c r="FD28" i="8"/>
  <c r="FE35" i="8" s="1"/>
  <c r="FD30" i="8" l="1"/>
  <c r="FD29" i="8"/>
  <c r="FF58" i="8"/>
  <c r="FF57" i="8"/>
  <c r="FD34" i="8"/>
  <c r="FD37" i="8" l="1"/>
  <c r="FD36" i="8"/>
  <c r="FE42" i="8"/>
  <c r="FE43" i="8" s="1"/>
  <c r="FD55" i="8"/>
  <c r="FD48" i="8"/>
  <c r="FD41" i="8"/>
  <c r="FF49" i="8" l="1"/>
  <c r="FF50" i="8" s="1"/>
  <c r="FE44" i="8"/>
  <c r="FD23" i="8"/>
  <c r="FD24" i="8" s="1"/>
  <c r="FD25" i="8" s="1"/>
  <c r="FG56" i="8" l="1"/>
  <c r="FF51" i="8"/>
  <c r="FE20" i="8"/>
  <c r="FE28" i="8"/>
  <c r="FF35" i="8" s="1"/>
  <c r="FE30" i="8" l="1"/>
  <c r="FE29" i="8"/>
  <c r="FG58" i="8"/>
  <c r="FG57" i="8"/>
  <c r="FE34" i="8"/>
  <c r="FE37" i="8" l="1"/>
  <c r="FE36" i="8"/>
  <c r="FF42" i="8"/>
  <c r="FF43" i="8" s="1"/>
  <c r="FE55" i="8"/>
  <c r="FE48" i="8"/>
  <c r="FE41" i="8"/>
  <c r="FG49" i="8" l="1"/>
  <c r="FG50" i="8" s="1"/>
  <c r="FF44" i="8"/>
  <c r="FE23" i="8"/>
  <c r="FE24" i="8" s="1"/>
  <c r="FE25" i="8" s="1"/>
  <c r="FH56" i="8" l="1"/>
  <c r="FG51" i="8"/>
  <c r="FF20" i="8"/>
  <c r="FF28" i="8"/>
  <c r="FG35" i="8" s="1"/>
  <c r="FF30" i="8" l="1"/>
  <c r="FF29" i="8"/>
  <c r="FH58" i="8"/>
  <c r="FH57" i="8"/>
  <c r="FF34" i="8"/>
  <c r="FF37" i="8" l="1"/>
  <c r="FF36" i="8"/>
  <c r="FG42" i="8"/>
  <c r="FG43" i="8" s="1"/>
  <c r="FF55" i="8"/>
  <c r="FF48" i="8"/>
  <c r="FF41" i="8"/>
  <c r="FH49" i="8" l="1"/>
  <c r="FH50" i="8" s="1"/>
  <c r="FG44" i="8"/>
  <c r="FF23" i="8"/>
  <c r="FF24" i="8" s="1"/>
  <c r="FF25" i="8" s="1"/>
  <c r="FI56" i="8" l="1"/>
  <c r="FH51" i="8"/>
  <c r="FG20" i="8"/>
  <c r="FG28" i="8"/>
  <c r="FH35" i="8" s="1"/>
  <c r="FG30" i="8" l="1"/>
  <c r="FG29" i="8"/>
  <c r="FI58" i="8"/>
  <c r="FI57" i="8"/>
  <c r="FG34" i="8"/>
  <c r="FG37" i="8" l="1"/>
  <c r="FG36" i="8"/>
  <c r="FH42" i="8"/>
  <c r="FH43" i="8" s="1"/>
  <c r="FG55" i="8"/>
  <c r="FG48" i="8"/>
  <c r="FG41" i="8"/>
  <c r="FI49" i="8" l="1"/>
  <c r="FI50" i="8" s="1"/>
  <c r="FH44" i="8"/>
  <c r="FG23" i="8"/>
  <c r="FG24" i="8" s="1"/>
  <c r="FG25" i="8" s="1"/>
  <c r="FJ56" i="8" l="1"/>
  <c r="FI51" i="8"/>
  <c r="FH20" i="8"/>
  <c r="FH28" i="8"/>
  <c r="FI35" i="8" s="1"/>
  <c r="FH30" i="8" l="1"/>
  <c r="FH29" i="8"/>
  <c r="FJ58" i="8"/>
  <c r="FJ57" i="8"/>
  <c r="FH34" i="8"/>
  <c r="FH37" i="8" l="1"/>
  <c r="FH36" i="8"/>
  <c r="FI42" i="8"/>
  <c r="FI43" i="8" s="1"/>
  <c r="FH55" i="8"/>
  <c r="FH48" i="8"/>
  <c r="FH41" i="8"/>
  <c r="FJ49" i="8" l="1"/>
  <c r="FJ50" i="8" s="1"/>
  <c r="FI44" i="8"/>
  <c r="FH23" i="8"/>
  <c r="FH24" i="8" s="1"/>
  <c r="FH25" i="8" s="1"/>
  <c r="FK56" i="8" l="1"/>
  <c r="FJ51" i="8"/>
  <c r="FI20" i="8"/>
  <c r="FI28" i="8"/>
  <c r="FJ35" i="8" s="1"/>
  <c r="FI30" i="8" l="1"/>
  <c r="FI29" i="8"/>
  <c r="FK58" i="8"/>
  <c r="FK57" i="8"/>
  <c r="FI34" i="8"/>
  <c r="FI37" i="8" l="1"/>
  <c r="FI36" i="8"/>
  <c r="FJ42" i="8"/>
  <c r="FJ43" i="8" s="1"/>
  <c r="FI55" i="8"/>
  <c r="FI48" i="8"/>
  <c r="FI41" i="8"/>
  <c r="FK49" i="8" l="1"/>
  <c r="FK50" i="8" s="1"/>
  <c r="FJ44" i="8"/>
  <c r="FI23" i="8"/>
  <c r="FI24" i="8" s="1"/>
  <c r="FI25" i="8" s="1"/>
  <c r="FL56" i="8" l="1"/>
  <c r="FK51" i="8"/>
  <c r="FJ20" i="8"/>
  <c r="FJ28" i="8"/>
  <c r="FK35" i="8" s="1"/>
  <c r="FJ30" i="8" l="1"/>
  <c r="FJ29" i="8"/>
  <c r="FL58" i="8"/>
  <c r="FL57" i="8"/>
  <c r="FJ34" i="8"/>
  <c r="FJ37" i="8" l="1"/>
  <c r="FJ36" i="8"/>
  <c r="FK42" i="8"/>
  <c r="FK43" i="8" s="1"/>
  <c r="FJ55" i="8"/>
  <c r="FJ48" i="8"/>
  <c r="FJ41" i="8"/>
  <c r="FL49" i="8" l="1"/>
  <c r="FL50" i="8" s="1"/>
  <c r="FK44" i="8"/>
  <c r="FJ23" i="8"/>
  <c r="FJ24" i="8" s="1"/>
  <c r="FJ25" i="8" s="1"/>
  <c r="FM56" i="8" l="1"/>
  <c r="FL51" i="8"/>
  <c r="FK20" i="8"/>
  <c r="FK28" i="8"/>
  <c r="FL35" i="8" s="1"/>
  <c r="FK30" i="8" l="1"/>
  <c r="FK29" i="8"/>
  <c r="FM58" i="8"/>
  <c r="FM57" i="8"/>
  <c r="FK34" i="8"/>
  <c r="FK37" i="8" l="1"/>
  <c r="FK36" i="8"/>
  <c r="FL42" i="8"/>
  <c r="FL43" i="8" s="1"/>
  <c r="FK55" i="8"/>
  <c r="FK48" i="8"/>
  <c r="FK41" i="8"/>
  <c r="FM49" i="8" l="1"/>
  <c r="FM50" i="8" s="1"/>
  <c r="FL44" i="8"/>
  <c r="FK23" i="8"/>
  <c r="FK24" i="8" s="1"/>
  <c r="FK25" i="8" s="1"/>
  <c r="FN56" i="8" l="1"/>
  <c r="FM51" i="8"/>
  <c r="FL20" i="8"/>
  <c r="FL28" i="8"/>
  <c r="FM35" i="8" s="1"/>
  <c r="FL30" i="8" l="1"/>
  <c r="FL29" i="8"/>
  <c r="FN58" i="8"/>
  <c r="FN57" i="8"/>
  <c r="FL34" i="8"/>
  <c r="FL37" i="8" l="1"/>
  <c r="FL36" i="8"/>
  <c r="FM42" i="8"/>
  <c r="FM43" i="8" s="1"/>
  <c r="FL55" i="8"/>
  <c r="FL48" i="8"/>
  <c r="FL41" i="8"/>
  <c r="FN49" i="8" l="1"/>
  <c r="FN50" i="8" s="1"/>
  <c r="FM44" i="8"/>
  <c r="FL23" i="8"/>
  <c r="FL24" i="8" s="1"/>
  <c r="FL25" i="8" s="1"/>
  <c r="FO56" i="8" l="1"/>
  <c r="FN51" i="8"/>
  <c r="FM20" i="8"/>
  <c r="FM28" i="8"/>
  <c r="FN35" i="8" s="1"/>
  <c r="FM30" i="8" l="1"/>
  <c r="FM29" i="8"/>
  <c r="FO58" i="8"/>
  <c r="FO57" i="8"/>
  <c r="FM34" i="8"/>
  <c r="FM37" i="8" l="1"/>
  <c r="FM36" i="8"/>
  <c r="FN42" i="8"/>
  <c r="FN43" i="8" s="1"/>
  <c r="FM55" i="8"/>
  <c r="FM48" i="8"/>
  <c r="FM41" i="8"/>
  <c r="FO49" i="8" l="1"/>
  <c r="FO50" i="8" s="1"/>
  <c r="FN44" i="8"/>
  <c r="FM23" i="8"/>
  <c r="FM24" i="8" s="1"/>
  <c r="FM25" i="8" s="1"/>
  <c r="FP56" i="8" l="1"/>
  <c r="FO51" i="8"/>
  <c r="FN20" i="8"/>
  <c r="FN28" i="8"/>
  <c r="FO35" i="8" s="1"/>
  <c r="FN30" i="8" l="1"/>
  <c r="FN29" i="8"/>
  <c r="FP58" i="8"/>
  <c r="FP57" i="8"/>
  <c r="FN34" i="8"/>
  <c r="FN37" i="8" l="1"/>
  <c r="FN36" i="8"/>
  <c r="FO42" i="8"/>
  <c r="FO43" i="8" s="1"/>
  <c r="FN55" i="8"/>
  <c r="FN48" i="8"/>
  <c r="FN41" i="8"/>
  <c r="FP49" i="8" l="1"/>
  <c r="FP50" i="8" s="1"/>
  <c r="FO44" i="8"/>
  <c r="FN23" i="8"/>
  <c r="FN24" i="8" s="1"/>
  <c r="FN25" i="8" s="1"/>
  <c r="FQ56" i="8" l="1"/>
  <c r="FP51" i="8"/>
  <c r="FO20" i="8"/>
  <c r="FO28" i="8"/>
  <c r="FP35" i="8" s="1"/>
  <c r="FO30" i="8" l="1"/>
  <c r="FO29" i="8"/>
  <c r="FQ58" i="8"/>
  <c r="FQ57" i="8"/>
  <c r="FO34" i="8"/>
  <c r="FO37" i="8" l="1"/>
  <c r="FO36" i="8"/>
  <c r="FP42" i="8"/>
  <c r="FP43" i="8" s="1"/>
  <c r="FO55" i="8"/>
  <c r="FO48" i="8"/>
  <c r="FO41" i="8"/>
  <c r="FQ49" i="8" l="1"/>
  <c r="FQ50" i="8" s="1"/>
  <c r="FP44" i="8"/>
  <c r="FO23" i="8"/>
  <c r="FO24" i="8" s="1"/>
  <c r="FO25" i="8" s="1"/>
  <c r="FR56" i="8" l="1"/>
  <c r="FQ51" i="8"/>
  <c r="FP20" i="8"/>
  <c r="FP28" i="8"/>
  <c r="FQ35" i="8" s="1"/>
  <c r="FP30" i="8" l="1"/>
  <c r="FP29" i="8"/>
  <c r="FR58" i="8"/>
  <c r="FR57" i="8"/>
  <c r="FP34" i="8"/>
  <c r="FP37" i="8" l="1"/>
  <c r="FP36" i="8"/>
  <c r="FQ42" i="8"/>
  <c r="FQ43" i="8" s="1"/>
  <c r="FP55" i="8"/>
  <c r="FP48" i="8"/>
  <c r="FP41" i="8"/>
  <c r="FR49" i="8" l="1"/>
  <c r="FR50" i="8" s="1"/>
  <c r="FQ44" i="8"/>
  <c r="FP23" i="8"/>
  <c r="FP24" i="8" s="1"/>
  <c r="FP25" i="8" s="1"/>
  <c r="FS56" i="8" l="1"/>
  <c r="FR51" i="8"/>
  <c r="FQ20" i="8"/>
  <c r="FQ28" i="8"/>
  <c r="FR35" i="8" s="1"/>
  <c r="FQ30" i="8" l="1"/>
  <c r="FQ29" i="8"/>
  <c r="FS58" i="8"/>
  <c r="FS57" i="8"/>
  <c r="FQ34" i="8"/>
  <c r="FQ37" i="8" l="1"/>
  <c r="FQ36" i="8"/>
  <c r="FR42" i="8"/>
  <c r="FR43" i="8" s="1"/>
  <c r="FQ55" i="8"/>
  <c r="FQ48" i="8"/>
  <c r="FQ41" i="8"/>
  <c r="FS49" i="8" l="1"/>
  <c r="FS50" i="8" s="1"/>
  <c r="FR44" i="8"/>
  <c r="FQ23" i="8"/>
  <c r="FQ24" i="8" s="1"/>
  <c r="FQ25" i="8" s="1"/>
  <c r="FT56" i="8" l="1"/>
  <c r="FS51" i="8"/>
  <c r="FR20" i="8"/>
  <c r="FR28" i="8"/>
  <c r="FS35" i="8" s="1"/>
  <c r="FR30" i="8" l="1"/>
  <c r="FR29" i="8"/>
  <c r="FT58" i="8"/>
  <c r="FT57" i="8"/>
  <c r="FR34" i="8"/>
  <c r="FR37" i="8" l="1"/>
  <c r="FR36" i="8"/>
  <c r="FS42" i="8"/>
  <c r="FS43" i="8" s="1"/>
  <c r="FR55" i="8"/>
  <c r="FR48" i="8"/>
  <c r="FR41" i="8"/>
  <c r="FT49" i="8" l="1"/>
  <c r="FT50" i="8" s="1"/>
  <c r="FS44" i="8"/>
  <c r="FR23" i="8"/>
  <c r="FU56" i="8" l="1"/>
  <c r="FT51" i="8"/>
  <c r="FR24" i="8"/>
  <c r="FR25" i="8" s="1"/>
  <c r="FU58" i="8" l="1"/>
  <c r="FU57" i="8"/>
  <c r="FS20" i="8"/>
  <c r="FS28" i="8"/>
  <c r="FT35" i="8" s="1"/>
  <c r="FS30" i="8" l="1"/>
  <c r="FS29" i="8"/>
  <c r="FS34" i="8"/>
  <c r="FS37" i="8" l="1"/>
  <c r="FS36" i="8"/>
  <c r="FT42" i="8"/>
  <c r="FT43" i="8" s="1"/>
  <c r="FS55" i="8"/>
  <c r="FS48" i="8"/>
  <c r="FS41" i="8"/>
  <c r="FU49" i="8" l="1"/>
  <c r="FU50" i="8" s="1"/>
  <c r="FT44" i="8"/>
  <c r="FS23" i="8"/>
  <c r="FS24" i="8" s="1"/>
  <c r="FS25" i="8" s="1"/>
  <c r="FV56" i="8" l="1"/>
  <c r="FU51" i="8"/>
  <c r="FT20" i="8"/>
  <c r="FT28" i="8"/>
  <c r="FU35" i="8" s="1"/>
  <c r="FT30" i="8" l="1"/>
  <c r="FT29" i="8"/>
  <c r="FV58" i="8"/>
  <c r="FV57" i="8"/>
  <c r="FT34" i="8"/>
  <c r="FT37" i="8" l="1"/>
  <c r="FT36" i="8"/>
  <c r="FU42" i="8"/>
  <c r="FU43" i="8" s="1"/>
  <c r="FT55" i="8"/>
  <c r="FT48" i="8"/>
  <c r="FT41" i="8"/>
  <c r="FV49" i="8" l="1"/>
  <c r="FV50" i="8" s="1"/>
  <c r="FU44" i="8"/>
  <c r="FT23" i="8"/>
  <c r="FT24" i="8" s="1"/>
  <c r="FT25" i="8" s="1"/>
  <c r="FW56" i="8" l="1"/>
  <c r="FV51" i="8"/>
  <c r="FU20" i="8"/>
  <c r="FU28" i="8"/>
  <c r="FV35" i="8" s="1"/>
  <c r="FU30" i="8" l="1"/>
  <c r="FU29" i="8"/>
  <c r="FW58" i="8"/>
  <c r="FW57" i="8"/>
  <c r="FU34" i="8"/>
  <c r="FU37" i="8" l="1"/>
  <c r="FU36" i="8"/>
  <c r="FV42" i="8"/>
  <c r="FV43" i="8" s="1"/>
  <c r="FU55" i="8"/>
  <c r="FU48" i="8"/>
  <c r="FU41" i="8"/>
  <c r="FW49" i="8" l="1"/>
  <c r="FW50" i="8" s="1"/>
  <c r="FV44" i="8"/>
  <c r="FU23" i="8"/>
  <c r="FU24" i="8" s="1"/>
  <c r="FU25" i="8" s="1"/>
  <c r="FX56" i="8" l="1"/>
  <c r="FW51" i="8"/>
  <c r="FV20" i="8"/>
  <c r="FV28" i="8"/>
  <c r="FW35" i="8" s="1"/>
  <c r="FV30" i="8" l="1"/>
  <c r="FV29" i="8"/>
  <c r="FX58" i="8"/>
  <c r="FX57" i="8"/>
  <c r="FV34" i="8"/>
  <c r="FV37" i="8" l="1"/>
  <c r="FV36" i="8"/>
  <c r="FW42" i="8"/>
  <c r="FW43" i="8" s="1"/>
  <c r="FV55" i="8"/>
  <c r="FV48" i="8"/>
  <c r="FV41" i="8"/>
  <c r="FX49" i="8" l="1"/>
  <c r="FX50" i="8" s="1"/>
  <c r="FW44" i="8"/>
  <c r="FV23" i="8"/>
  <c r="FV24" i="8" s="1"/>
  <c r="FV25" i="8" s="1"/>
  <c r="FY56" i="8" l="1"/>
  <c r="FX51" i="8"/>
  <c r="FW20" i="8"/>
  <c r="FW28" i="8"/>
  <c r="FX35" i="8" s="1"/>
  <c r="FW30" i="8" l="1"/>
  <c r="FW29" i="8"/>
  <c r="FY58" i="8"/>
  <c r="FY57" i="8"/>
  <c r="FW34" i="8"/>
  <c r="FW37" i="8" l="1"/>
  <c r="FW36" i="8"/>
  <c r="FX42" i="8"/>
  <c r="FX43" i="8" s="1"/>
  <c r="FW55" i="8"/>
  <c r="FW48" i="8"/>
  <c r="FW41" i="8"/>
  <c r="FY49" i="8" l="1"/>
  <c r="FY50" i="8" s="1"/>
  <c r="FX44" i="8"/>
  <c r="FW23" i="8"/>
  <c r="FW24" i="8" s="1"/>
  <c r="FW25" i="8" s="1"/>
  <c r="FZ56" i="8" l="1"/>
  <c r="FY51" i="8"/>
  <c r="FX20" i="8"/>
  <c r="FX28" i="8"/>
  <c r="FY35" i="8" s="1"/>
  <c r="FX30" i="8" l="1"/>
  <c r="FX29" i="8"/>
  <c r="FZ58" i="8"/>
  <c r="FZ57" i="8"/>
  <c r="FX34" i="8"/>
  <c r="FX37" i="8" l="1"/>
  <c r="FX36" i="8"/>
  <c r="FY42" i="8"/>
  <c r="FY43" i="8" s="1"/>
  <c r="FX55" i="8"/>
  <c r="FX48" i="8"/>
  <c r="FX41" i="8"/>
  <c r="FZ49" i="8" l="1"/>
  <c r="FZ50" i="8" s="1"/>
  <c r="FY44" i="8"/>
  <c r="FX23" i="8"/>
  <c r="FX24" i="8" s="1"/>
  <c r="FX25" i="8" s="1"/>
  <c r="GA56" i="8" l="1"/>
  <c r="FZ51" i="8"/>
  <c r="FY20" i="8"/>
  <c r="FY28" i="8"/>
  <c r="FZ35" i="8" s="1"/>
  <c r="FY30" i="8" l="1"/>
  <c r="FY29" i="8"/>
  <c r="GA58" i="8"/>
  <c r="GA57" i="8"/>
  <c r="FY34" i="8"/>
  <c r="FY37" i="8" l="1"/>
  <c r="FY36" i="8"/>
  <c r="FZ42" i="8"/>
  <c r="FZ43" i="8" s="1"/>
  <c r="FY55" i="8"/>
  <c r="FY48" i="8"/>
  <c r="FY41" i="8"/>
  <c r="GA49" i="8" l="1"/>
  <c r="GA50" i="8" s="1"/>
  <c r="FZ44" i="8"/>
  <c r="FY23" i="8"/>
  <c r="FY24" i="8" s="1"/>
  <c r="FY25" i="8" s="1"/>
  <c r="GB56" i="8" l="1"/>
  <c r="GA51" i="8"/>
  <c r="FZ20" i="8"/>
  <c r="FZ28" i="8"/>
  <c r="GA35" i="8" s="1"/>
  <c r="FZ30" i="8" l="1"/>
  <c r="FZ29" i="8"/>
  <c r="GB58" i="8"/>
  <c r="GB57" i="8"/>
  <c r="FZ34" i="8"/>
  <c r="FZ37" i="8" l="1"/>
  <c r="FZ36" i="8"/>
  <c r="GA42" i="8"/>
  <c r="GA43" i="8" s="1"/>
  <c r="FZ55" i="8"/>
  <c r="FZ48" i="8"/>
  <c r="FZ41" i="8"/>
  <c r="GB49" i="8" l="1"/>
  <c r="GB50" i="8" s="1"/>
  <c r="GA44" i="8"/>
  <c r="FZ23" i="8"/>
  <c r="GC56" i="8" l="1"/>
  <c r="GB51" i="8"/>
  <c r="FZ24" i="8"/>
  <c r="FZ25" i="8" s="1"/>
  <c r="GC58" i="8" l="1"/>
  <c r="GC57" i="8"/>
  <c r="GA20" i="8"/>
  <c r="GA28" i="8"/>
  <c r="GB35" i="8" s="1"/>
  <c r="GA30" i="8" l="1"/>
  <c r="GA29" i="8"/>
  <c r="GA34" i="8"/>
  <c r="GA37" i="8" l="1"/>
  <c r="GA36" i="8"/>
  <c r="GB42" i="8"/>
  <c r="GB43" i="8" s="1"/>
  <c r="GA55" i="8"/>
  <c r="GA48" i="8"/>
  <c r="GA41" i="8"/>
  <c r="GC49" i="8" l="1"/>
  <c r="GC50" i="8" s="1"/>
  <c r="GB44" i="8"/>
  <c r="GA23" i="8"/>
  <c r="GA24" i="8" s="1"/>
  <c r="GA25" i="8" s="1"/>
  <c r="GD56" i="8" l="1"/>
  <c r="GC51" i="8"/>
  <c r="GB20" i="8"/>
  <c r="GB28" i="8"/>
  <c r="GC35" i="8" s="1"/>
  <c r="GB30" i="8" l="1"/>
  <c r="GB29" i="8"/>
  <c r="GD58" i="8"/>
  <c r="GD57" i="8"/>
  <c r="GB34" i="8"/>
  <c r="GB37" i="8" l="1"/>
  <c r="GB36" i="8"/>
  <c r="GC42" i="8"/>
  <c r="GC43" i="8" s="1"/>
  <c r="GB55" i="8"/>
  <c r="GB48" i="8"/>
  <c r="GB41" i="8"/>
  <c r="GD49" i="8" l="1"/>
  <c r="GD50" i="8" s="1"/>
  <c r="GC44" i="8"/>
  <c r="GB23" i="8"/>
  <c r="GB24" i="8" s="1"/>
  <c r="GB25" i="8" s="1"/>
  <c r="GE56" i="8" l="1"/>
  <c r="GD51" i="8"/>
  <c r="GC20" i="8"/>
  <c r="GC28" i="8"/>
  <c r="GD35" i="8" s="1"/>
  <c r="GC30" i="8" l="1"/>
  <c r="GC29" i="8"/>
  <c r="GE58" i="8"/>
  <c r="GE57" i="8"/>
  <c r="GC34" i="8"/>
  <c r="GC37" i="8" l="1"/>
  <c r="GC36" i="8"/>
  <c r="GD42" i="8"/>
  <c r="GD43" i="8" s="1"/>
  <c r="GC55" i="8"/>
  <c r="GC48" i="8"/>
  <c r="GC41" i="8"/>
  <c r="GE49" i="8" l="1"/>
  <c r="GE50" i="8" s="1"/>
  <c r="GD44" i="8"/>
  <c r="GC23" i="8"/>
  <c r="GC24" i="8" s="1"/>
  <c r="GC25" i="8" s="1"/>
  <c r="GF56" i="8" l="1"/>
  <c r="GE51" i="8"/>
  <c r="GD20" i="8"/>
  <c r="GD28" i="8"/>
  <c r="GE35" i="8" s="1"/>
  <c r="GD30" i="8" l="1"/>
  <c r="GD29" i="8"/>
  <c r="GF58" i="8"/>
  <c r="GF57" i="8"/>
  <c r="GD34" i="8"/>
  <c r="GD37" i="8" l="1"/>
  <c r="GD36" i="8"/>
  <c r="GE42" i="8"/>
  <c r="GE43" i="8" s="1"/>
  <c r="GD55" i="8"/>
  <c r="GD48" i="8"/>
  <c r="GD41" i="8"/>
  <c r="GF49" i="8" l="1"/>
  <c r="GF50" i="8" s="1"/>
  <c r="GE44" i="8"/>
  <c r="GD23" i="8"/>
  <c r="GD24" i="8" s="1"/>
  <c r="GD25" i="8" s="1"/>
  <c r="GG56" i="8" l="1"/>
  <c r="GF51" i="8"/>
  <c r="GE20" i="8"/>
  <c r="GE28" i="8"/>
  <c r="GF35" i="8" s="1"/>
  <c r="GE30" i="8" l="1"/>
  <c r="GE29" i="8"/>
  <c r="GG58" i="8"/>
  <c r="GG57" i="8"/>
  <c r="GE34" i="8"/>
  <c r="GE37" i="8" l="1"/>
  <c r="GE36" i="8"/>
  <c r="GF42" i="8"/>
  <c r="GF43" i="8" s="1"/>
  <c r="GE55" i="8"/>
  <c r="GE48" i="8"/>
  <c r="GE41" i="8"/>
  <c r="GG49" i="8" l="1"/>
  <c r="GG50" i="8" s="1"/>
  <c r="GF44" i="8"/>
  <c r="GE23" i="8"/>
  <c r="GE24" i="8" s="1"/>
  <c r="GE25" i="8" s="1"/>
  <c r="GH56" i="8" l="1"/>
  <c r="GG51" i="8"/>
  <c r="GF20" i="8"/>
  <c r="GF28" i="8"/>
  <c r="GG35" i="8" s="1"/>
  <c r="GF30" i="8" l="1"/>
  <c r="GF29" i="8"/>
  <c r="GH58" i="8"/>
  <c r="GH57" i="8"/>
  <c r="GF34" i="8"/>
  <c r="GF37" i="8" l="1"/>
  <c r="GF36" i="8"/>
  <c r="GG42" i="8"/>
  <c r="GG43" i="8" s="1"/>
  <c r="GF55" i="8"/>
  <c r="GF48" i="8"/>
  <c r="GF41" i="8"/>
  <c r="GH49" i="8" l="1"/>
  <c r="GH50" i="8" s="1"/>
  <c r="GG44" i="8"/>
  <c r="GF23" i="8"/>
  <c r="GF24" i="8" s="1"/>
  <c r="GF25" i="8" s="1"/>
  <c r="GI56" i="8" l="1"/>
  <c r="GH51" i="8"/>
  <c r="GG20" i="8"/>
  <c r="GG28" i="8"/>
  <c r="GH35" i="8" s="1"/>
  <c r="GG30" i="8" l="1"/>
  <c r="GG29" i="8"/>
  <c r="GI58" i="8"/>
  <c r="GI57" i="8"/>
  <c r="GG34" i="8"/>
  <c r="GG37" i="8" l="1"/>
  <c r="GG36" i="8"/>
  <c r="GH42" i="8"/>
  <c r="GH43" i="8" s="1"/>
  <c r="GG55" i="8"/>
  <c r="GG48" i="8"/>
  <c r="GG41" i="8"/>
  <c r="GI49" i="8" l="1"/>
  <c r="GI50" i="8" s="1"/>
  <c r="GH44" i="8"/>
  <c r="GG23" i="8"/>
  <c r="GG24" i="8" s="1"/>
  <c r="GG25" i="8" s="1"/>
  <c r="GJ56" i="8" l="1"/>
  <c r="GI51" i="8"/>
  <c r="GH20" i="8"/>
  <c r="GH28" i="8"/>
  <c r="GI35" i="8" s="1"/>
  <c r="GH30" i="8" l="1"/>
  <c r="GH29" i="8"/>
  <c r="GJ58" i="8"/>
  <c r="GJ57" i="8"/>
  <c r="GH34" i="8"/>
  <c r="GH37" i="8" l="1"/>
  <c r="GH36" i="8"/>
  <c r="GI42" i="8"/>
  <c r="GI43" i="8" s="1"/>
  <c r="GH55" i="8"/>
  <c r="GH48" i="8"/>
  <c r="GH41" i="8"/>
  <c r="GJ49" i="8" l="1"/>
  <c r="GJ50" i="8" s="1"/>
  <c r="GI44" i="8"/>
  <c r="GH23" i="8"/>
  <c r="GH24" i="8" s="1"/>
  <c r="GH25" i="8" s="1"/>
  <c r="GK56" i="8" l="1"/>
  <c r="GJ51" i="8"/>
  <c r="GI20" i="8"/>
  <c r="GI28" i="8"/>
  <c r="GJ35" i="8" s="1"/>
  <c r="GI30" i="8" l="1"/>
  <c r="GI29" i="8"/>
  <c r="GK58" i="8"/>
  <c r="GK57" i="8"/>
  <c r="GI34" i="8"/>
  <c r="GI37" i="8" l="1"/>
  <c r="GI36" i="8"/>
  <c r="GJ42" i="8"/>
  <c r="GJ43" i="8" s="1"/>
  <c r="GI55" i="8"/>
  <c r="GI48" i="8"/>
  <c r="GI41" i="8"/>
  <c r="GK49" i="8" l="1"/>
  <c r="GK50" i="8" s="1"/>
  <c r="GJ44" i="8"/>
  <c r="GI23" i="8"/>
  <c r="GI24" i="8" s="1"/>
  <c r="GI25" i="8" s="1"/>
  <c r="GL56" i="8" l="1"/>
  <c r="GK51" i="8"/>
  <c r="GJ20" i="8"/>
  <c r="GJ28" i="8"/>
  <c r="GK35" i="8" s="1"/>
  <c r="GJ30" i="8" l="1"/>
  <c r="GJ29" i="8"/>
  <c r="GL58" i="8"/>
  <c r="GL57" i="8"/>
  <c r="GJ34" i="8"/>
  <c r="GJ37" i="8" l="1"/>
  <c r="GJ36" i="8"/>
  <c r="GK42" i="8"/>
  <c r="GK43" i="8" s="1"/>
  <c r="GJ55" i="8"/>
  <c r="GJ48" i="8"/>
  <c r="GJ41" i="8"/>
  <c r="GJ23" i="8"/>
  <c r="GJ24" i="8" s="1"/>
  <c r="GJ25" i="8" s="1"/>
  <c r="GL49" i="8" l="1"/>
  <c r="GL50" i="8" s="1"/>
  <c r="GK44" i="8"/>
  <c r="GK28" i="8"/>
  <c r="GL35" i="8" s="1"/>
  <c r="GK20" i="8"/>
  <c r="GK30" i="8" l="1"/>
  <c r="GK29" i="8"/>
  <c r="GM56" i="8"/>
  <c r="GL51" i="8"/>
  <c r="GK34" i="8"/>
  <c r="GK37" i="8" l="1"/>
  <c r="GK36" i="8"/>
  <c r="GM58" i="8"/>
  <c r="GM57" i="8"/>
  <c r="GL42" i="8"/>
  <c r="GL43" i="8" s="1"/>
  <c r="GK55" i="8"/>
  <c r="GK48" i="8"/>
  <c r="GK41" i="8"/>
  <c r="GM49" i="8" l="1"/>
  <c r="GM50" i="8" s="1"/>
  <c r="GL44" i="8"/>
  <c r="GK23" i="8"/>
  <c r="GK24" i="8" s="1"/>
  <c r="GK25" i="8" s="1"/>
  <c r="GN56" i="8" l="1"/>
  <c r="GM51" i="8"/>
  <c r="GL20" i="8"/>
  <c r="GL28" i="8"/>
  <c r="GM35" i="8" s="1"/>
  <c r="GL30" i="8" l="1"/>
  <c r="GL29" i="8"/>
  <c r="GN58" i="8"/>
  <c r="GN57" i="8"/>
  <c r="GL34" i="8"/>
  <c r="GL37" i="8" l="1"/>
  <c r="GL36" i="8"/>
  <c r="GM42" i="8"/>
  <c r="GM43" i="8" s="1"/>
  <c r="GL55" i="8"/>
  <c r="GL48" i="8"/>
  <c r="GL41" i="8"/>
  <c r="GN49" i="8" l="1"/>
  <c r="GN50" i="8" s="1"/>
  <c r="GM44" i="8"/>
  <c r="GL23" i="8"/>
  <c r="GL24" i="8" s="1"/>
  <c r="GL25" i="8" s="1"/>
  <c r="GO56" i="8" l="1"/>
  <c r="GN51" i="8"/>
  <c r="GM20" i="8"/>
  <c r="GM28" i="8"/>
  <c r="GN35" i="8" s="1"/>
  <c r="GM30" i="8" l="1"/>
  <c r="GM29" i="8"/>
  <c r="GO58" i="8"/>
  <c r="GO57" i="8"/>
  <c r="GM34" i="8"/>
  <c r="GM37" i="8" l="1"/>
  <c r="GM36" i="8"/>
  <c r="GN42" i="8"/>
  <c r="GN43" i="8" s="1"/>
  <c r="GM55" i="8"/>
  <c r="GM48" i="8"/>
  <c r="GM41" i="8"/>
  <c r="GO49" i="8" l="1"/>
  <c r="GO50" i="8" s="1"/>
  <c r="GN44" i="8"/>
  <c r="GM23" i="8"/>
  <c r="GM24" i="8" s="1"/>
  <c r="GM25" i="8" s="1"/>
  <c r="GP56" i="8" l="1"/>
  <c r="GO51" i="8"/>
  <c r="GN20" i="8"/>
  <c r="GN28" i="8"/>
  <c r="GO35" i="8" s="1"/>
  <c r="GN30" i="8" l="1"/>
  <c r="GN29" i="8"/>
  <c r="GP58" i="8"/>
  <c r="GP57" i="8"/>
  <c r="GN34" i="8"/>
  <c r="GN37" i="8" l="1"/>
  <c r="GN36" i="8"/>
  <c r="GO42" i="8"/>
  <c r="GO43" i="8" s="1"/>
  <c r="GN55" i="8"/>
  <c r="GN48" i="8"/>
  <c r="GN41" i="8"/>
  <c r="GP49" i="8" l="1"/>
  <c r="GP50" i="8" s="1"/>
  <c r="GO44" i="8"/>
  <c r="GN23" i="8"/>
  <c r="GQ56" i="8" l="1"/>
  <c r="GP51" i="8"/>
  <c r="GN24" i="8"/>
  <c r="GN25" i="8" s="1"/>
  <c r="GQ58" i="8" l="1"/>
  <c r="GQ57" i="8"/>
  <c r="GO20" i="8"/>
  <c r="GO28" i="8"/>
  <c r="GP35" i="8" s="1"/>
  <c r="GO30" i="8" l="1"/>
  <c r="GO29" i="8"/>
  <c r="GO34" i="8"/>
  <c r="GO37" i="8" l="1"/>
  <c r="GO36" i="8"/>
  <c r="GP42" i="8"/>
  <c r="GP43" i="8" s="1"/>
  <c r="GO55" i="8"/>
  <c r="GO48" i="8"/>
  <c r="GO41" i="8"/>
  <c r="GQ49" i="8" l="1"/>
  <c r="GQ50" i="8" s="1"/>
  <c r="GP44" i="8"/>
  <c r="GO23" i="8"/>
  <c r="GO24" i="8" s="1"/>
  <c r="GO25" i="8" s="1"/>
  <c r="GR56" i="8" l="1"/>
  <c r="GQ51" i="8"/>
  <c r="GP20" i="8"/>
  <c r="GP28" i="8"/>
  <c r="GQ35" i="8" s="1"/>
  <c r="GP30" i="8" l="1"/>
  <c r="GP29" i="8"/>
  <c r="GR58" i="8"/>
  <c r="GR57" i="8"/>
  <c r="GP34" i="8"/>
  <c r="GP37" i="8" l="1"/>
  <c r="GP36" i="8"/>
  <c r="GQ42" i="8"/>
  <c r="GQ43" i="8" s="1"/>
  <c r="GP55" i="8"/>
  <c r="GP48" i="8"/>
  <c r="GP41" i="8"/>
  <c r="GR49" i="8" l="1"/>
  <c r="GR50" i="8" s="1"/>
  <c r="GQ44" i="8"/>
  <c r="GP23" i="8"/>
  <c r="GP24" i="8" s="1"/>
  <c r="GP25" i="8" s="1"/>
  <c r="GS56" i="8" l="1"/>
  <c r="GR51" i="8"/>
  <c r="GQ20" i="8"/>
  <c r="GQ28" i="8"/>
  <c r="GR35" i="8" s="1"/>
  <c r="GQ30" i="8" l="1"/>
  <c r="GQ29" i="8"/>
  <c r="GS58" i="8"/>
  <c r="GS57" i="8"/>
  <c r="GQ34" i="8"/>
  <c r="GQ37" i="8" l="1"/>
  <c r="GQ36" i="8"/>
  <c r="GR42" i="8"/>
  <c r="GR43" i="8" s="1"/>
  <c r="GQ55" i="8"/>
  <c r="GQ48" i="8"/>
  <c r="GQ41" i="8"/>
  <c r="GS49" i="8" l="1"/>
  <c r="GS50" i="8" s="1"/>
  <c r="GR44" i="8"/>
  <c r="GQ23" i="8"/>
  <c r="GQ24" i="8" s="1"/>
  <c r="GQ25" i="8" s="1"/>
  <c r="GT56" i="8" l="1"/>
  <c r="GS51" i="8"/>
  <c r="GR20" i="8"/>
  <c r="GR28" i="8"/>
  <c r="GS35" i="8" s="1"/>
  <c r="GR30" i="8" l="1"/>
  <c r="GR29" i="8"/>
  <c r="GT58" i="8"/>
  <c r="GT57" i="8"/>
  <c r="GR34" i="8"/>
  <c r="GR37" i="8" l="1"/>
  <c r="GR36" i="8"/>
  <c r="GS42" i="8"/>
  <c r="GS43" i="8" s="1"/>
  <c r="GR55" i="8"/>
  <c r="GR48" i="8"/>
  <c r="GR41" i="8"/>
  <c r="GT49" i="8" l="1"/>
  <c r="GT50" i="8" s="1"/>
  <c r="GS44" i="8"/>
  <c r="GR23" i="8"/>
  <c r="GR24" i="8" s="1"/>
  <c r="GR25" i="8" s="1"/>
  <c r="GU56" i="8" l="1"/>
  <c r="GT51" i="8"/>
  <c r="GS20" i="8"/>
  <c r="GS28" i="8"/>
  <c r="GT35" i="8" s="1"/>
  <c r="GS30" i="8" l="1"/>
  <c r="GS29" i="8"/>
  <c r="GU58" i="8"/>
  <c r="GU57" i="8"/>
  <c r="GS34" i="8"/>
  <c r="GS37" i="8" l="1"/>
  <c r="GS36" i="8"/>
  <c r="GT42" i="8"/>
  <c r="GT43" i="8" s="1"/>
  <c r="GS55" i="8"/>
  <c r="GS48" i="8"/>
  <c r="GS41" i="8"/>
  <c r="GU49" i="8" l="1"/>
  <c r="GU50" i="8" s="1"/>
  <c r="GT44" i="8"/>
  <c r="GS23" i="8"/>
  <c r="GS24" i="8" s="1"/>
  <c r="GS25" i="8" s="1"/>
  <c r="GV56" i="8" l="1"/>
  <c r="GU51" i="8"/>
  <c r="GT20" i="8"/>
  <c r="GT28" i="8"/>
  <c r="GU35" i="8" s="1"/>
  <c r="GT30" i="8" l="1"/>
  <c r="GT29" i="8"/>
  <c r="GV58" i="8"/>
  <c r="GV57" i="8"/>
  <c r="GT34" i="8"/>
  <c r="GT37" i="8" l="1"/>
  <c r="GT36" i="8"/>
  <c r="GU42" i="8"/>
  <c r="GU43" i="8" s="1"/>
  <c r="GT55" i="8"/>
  <c r="GT48" i="8"/>
  <c r="GT41" i="8"/>
  <c r="GV49" i="8" l="1"/>
  <c r="GV50" i="8" s="1"/>
  <c r="GU44" i="8"/>
  <c r="GT23" i="8"/>
  <c r="GT24" i="8" s="1"/>
  <c r="GT25" i="8" s="1"/>
  <c r="GW56" i="8" l="1"/>
  <c r="GV51" i="8"/>
  <c r="GU20" i="8"/>
  <c r="GU28" i="8"/>
  <c r="GV35" i="8" s="1"/>
  <c r="GU30" i="8" l="1"/>
  <c r="GU29" i="8"/>
  <c r="GW58" i="8"/>
  <c r="GW57" i="8"/>
  <c r="GU34" i="8"/>
  <c r="GU37" i="8" l="1"/>
  <c r="GU36" i="8"/>
  <c r="GV42" i="8"/>
  <c r="GV43" i="8" s="1"/>
  <c r="GU55" i="8"/>
  <c r="GU48" i="8"/>
  <c r="GU41" i="8"/>
  <c r="GW49" i="8" l="1"/>
  <c r="GW50" i="8" s="1"/>
  <c r="GV44" i="8"/>
  <c r="GU23" i="8"/>
  <c r="GU24" i="8" s="1"/>
  <c r="GU25" i="8" s="1"/>
  <c r="GX56" i="8" l="1"/>
  <c r="GW51" i="8"/>
  <c r="GV20" i="8"/>
  <c r="GV28" i="8"/>
  <c r="GW35" i="8" s="1"/>
  <c r="GV30" i="8" l="1"/>
  <c r="GV29" i="8"/>
  <c r="GX58" i="8"/>
  <c r="GX57" i="8"/>
  <c r="GV34" i="8"/>
  <c r="GV37" i="8" l="1"/>
  <c r="GV36" i="8"/>
  <c r="GW42" i="8"/>
  <c r="GW43" i="8" s="1"/>
  <c r="GV55" i="8"/>
  <c r="GV48" i="8"/>
  <c r="GV41" i="8"/>
  <c r="GX49" i="8" l="1"/>
  <c r="GX50" i="8" s="1"/>
  <c r="GW44" i="8"/>
  <c r="GV23" i="8"/>
  <c r="GV24" i="8" s="1"/>
  <c r="GV25" i="8" s="1"/>
  <c r="GY56" i="8" l="1"/>
  <c r="GX51" i="8"/>
  <c r="GW20" i="8"/>
  <c r="GW28" i="8"/>
  <c r="GX35" i="8" s="1"/>
  <c r="GW30" i="8" l="1"/>
  <c r="GW29" i="8"/>
  <c r="GY58" i="8"/>
  <c r="GY57" i="8"/>
  <c r="GW34" i="8"/>
  <c r="GW37" i="8" l="1"/>
  <c r="GW36" i="8"/>
  <c r="GX42" i="8"/>
  <c r="GX43" i="8" s="1"/>
  <c r="GW55" i="8"/>
  <c r="GW48" i="8"/>
  <c r="GW41" i="8"/>
  <c r="GY49" i="8" l="1"/>
  <c r="GY50" i="8" s="1"/>
  <c r="GX44" i="8"/>
  <c r="GW23" i="8"/>
  <c r="GW24" i="8" s="1"/>
  <c r="GW25" i="8" s="1"/>
  <c r="GZ56" i="8" l="1"/>
  <c r="GY51" i="8"/>
  <c r="GX20" i="8"/>
  <c r="GX28" i="8"/>
  <c r="GY35" i="8" s="1"/>
  <c r="GX30" i="8" l="1"/>
  <c r="GX29" i="8"/>
  <c r="GZ58" i="8"/>
  <c r="GZ57" i="8"/>
  <c r="GX34" i="8"/>
  <c r="GX37" i="8" l="1"/>
  <c r="GX36" i="8"/>
  <c r="GY42" i="8"/>
  <c r="GY43" i="8" s="1"/>
  <c r="GX55" i="8"/>
  <c r="GX48" i="8"/>
  <c r="GX41" i="8"/>
  <c r="GZ49" i="8" l="1"/>
  <c r="GZ50" i="8" s="1"/>
  <c r="GY44" i="8"/>
  <c r="GX23" i="8"/>
  <c r="GX24" i="8" s="1"/>
  <c r="GX25" i="8" s="1"/>
  <c r="HA56" i="8" l="1"/>
  <c r="GZ51" i="8"/>
  <c r="GY20" i="8"/>
  <c r="GY28" i="8"/>
  <c r="GZ35" i="8" s="1"/>
  <c r="GY30" i="8" l="1"/>
  <c r="GY29" i="8"/>
  <c r="HA58" i="8"/>
  <c r="HA57" i="8"/>
  <c r="GY34" i="8"/>
  <c r="GY37" i="8" l="1"/>
  <c r="GY36" i="8"/>
  <c r="GZ42" i="8"/>
  <c r="GZ43" i="8" s="1"/>
  <c r="GY55" i="8"/>
  <c r="GY48" i="8"/>
  <c r="GY41" i="8"/>
  <c r="HA49" i="8" l="1"/>
  <c r="HA50" i="8" s="1"/>
  <c r="GZ44" i="8"/>
  <c r="GY23" i="8"/>
  <c r="GY24" i="8" s="1"/>
  <c r="GY25" i="8" s="1"/>
  <c r="HB56" i="8" l="1"/>
  <c r="HA51" i="8"/>
  <c r="GZ20" i="8"/>
  <c r="GZ28" i="8"/>
  <c r="HA35" i="8" s="1"/>
  <c r="GZ30" i="8" l="1"/>
  <c r="GZ29" i="8"/>
  <c r="HB58" i="8"/>
  <c r="HB57" i="8"/>
  <c r="GZ34" i="8"/>
  <c r="GZ37" i="8" l="1"/>
  <c r="GZ36" i="8"/>
  <c r="HA42" i="8"/>
  <c r="HA43" i="8" s="1"/>
  <c r="GZ55" i="8"/>
  <c r="GZ48" i="8"/>
  <c r="GZ41" i="8"/>
  <c r="HB49" i="8" l="1"/>
  <c r="HB50" i="8" s="1"/>
  <c r="HA44" i="8"/>
  <c r="GZ23" i="8"/>
  <c r="GZ24" i="8" s="1"/>
  <c r="GZ25" i="8" s="1"/>
  <c r="HC56" i="8" l="1"/>
  <c r="HB51" i="8"/>
  <c r="HA20" i="8"/>
  <c r="HA28" i="8"/>
  <c r="HB35" i="8" s="1"/>
  <c r="HA30" i="8" l="1"/>
  <c r="HA29" i="8"/>
  <c r="HC58" i="8"/>
  <c r="HC57" i="8"/>
  <c r="HA34" i="8"/>
  <c r="HA37" i="8" l="1"/>
  <c r="HA36" i="8"/>
  <c r="HB42" i="8"/>
  <c r="HB43" i="8" s="1"/>
  <c r="HA55" i="8"/>
  <c r="HA48" i="8"/>
  <c r="HA41" i="8"/>
  <c r="HC49" i="8" l="1"/>
  <c r="HC50" i="8" s="1"/>
  <c r="HB44" i="8"/>
  <c r="HA23" i="8"/>
  <c r="HA24" i="8" s="1"/>
  <c r="HA25" i="8" s="1"/>
  <c r="HD56" i="8" l="1"/>
  <c r="HC51" i="8"/>
  <c r="HB20" i="8"/>
  <c r="HB28" i="8"/>
  <c r="HC35" i="8" s="1"/>
  <c r="HB30" i="8" l="1"/>
  <c r="HB29" i="8"/>
  <c r="HD58" i="8"/>
  <c r="HD57" i="8"/>
  <c r="HB34" i="8"/>
  <c r="HB37" i="8" l="1"/>
  <c r="HB36" i="8"/>
  <c r="HC42" i="8"/>
  <c r="HC43" i="8" s="1"/>
  <c r="HB55" i="8"/>
  <c r="HB48" i="8"/>
  <c r="HB41" i="8"/>
  <c r="HD49" i="8" l="1"/>
  <c r="HD50" i="8" s="1"/>
  <c r="HC44" i="8"/>
  <c r="HB23" i="8"/>
  <c r="HB24" i="8" s="1"/>
  <c r="HB25" i="8" s="1"/>
  <c r="HE56" i="8" l="1"/>
  <c r="HD51" i="8"/>
  <c r="HC20" i="8"/>
  <c r="HC28" i="8"/>
  <c r="HD35" i="8" s="1"/>
  <c r="HC30" i="8" l="1"/>
  <c r="HC29" i="8"/>
  <c r="HE58" i="8"/>
  <c r="HE57" i="8"/>
  <c r="HC34" i="8"/>
  <c r="HC37" i="8" l="1"/>
  <c r="HC36" i="8"/>
  <c r="HD42" i="8"/>
  <c r="HD43" i="8" s="1"/>
  <c r="HC55" i="8"/>
  <c r="HC48" i="8"/>
  <c r="HC41" i="8"/>
  <c r="HE49" i="8" l="1"/>
  <c r="HE50" i="8" s="1"/>
  <c r="HD44" i="8"/>
  <c r="HC23" i="8"/>
  <c r="HC24" i="8" s="1"/>
  <c r="HC25" i="8" s="1"/>
  <c r="HF56" i="8" l="1"/>
  <c r="HE51" i="8"/>
  <c r="HD20" i="8"/>
  <c r="HD28" i="8"/>
  <c r="HE35" i="8" s="1"/>
  <c r="HD30" i="8" l="1"/>
  <c r="HD29" i="8"/>
  <c r="HF58" i="8"/>
  <c r="HF57" i="8"/>
  <c r="HD34" i="8"/>
  <c r="HD37" i="8" l="1"/>
  <c r="HD36" i="8"/>
  <c r="HE42" i="8"/>
  <c r="HE43" i="8" s="1"/>
  <c r="HD55" i="8"/>
  <c r="HD48" i="8"/>
  <c r="HD41" i="8"/>
  <c r="HD23" i="8"/>
  <c r="HD24" i="8" s="1"/>
  <c r="HD25" i="8" s="1"/>
  <c r="HF49" i="8" l="1"/>
  <c r="HF50" i="8" s="1"/>
  <c r="HE44" i="8"/>
  <c r="HE20" i="8"/>
  <c r="HE28" i="8"/>
  <c r="HF35" i="8" s="1"/>
  <c r="HE30" i="8" l="1"/>
  <c r="HE29" i="8"/>
  <c r="HG56" i="8"/>
  <c r="HF51" i="8"/>
  <c r="HE34" i="8"/>
  <c r="HE37" i="8" l="1"/>
  <c r="HE36" i="8"/>
  <c r="HG58" i="8"/>
  <c r="HG57" i="8"/>
  <c r="HF42" i="8"/>
  <c r="HF43" i="8" s="1"/>
  <c r="HE55" i="8"/>
  <c r="HE48" i="8"/>
  <c r="HE41" i="8"/>
  <c r="HG49" i="8" l="1"/>
  <c r="HG50" i="8" s="1"/>
  <c r="HF44" i="8"/>
  <c r="HE23" i="8"/>
  <c r="HE24" i="8" s="1"/>
  <c r="HE25" i="8" s="1"/>
  <c r="HH56" i="8" l="1"/>
  <c r="HG51" i="8"/>
  <c r="HF20" i="8"/>
  <c r="HF28" i="8"/>
  <c r="HG35" i="8" s="1"/>
  <c r="HF30" i="8" l="1"/>
  <c r="HF29" i="8"/>
  <c r="HH58" i="8"/>
  <c r="HH57" i="8"/>
  <c r="HF34" i="8"/>
  <c r="HF37" i="8" l="1"/>
  <c r="HF36" i="8"/>
  <c r="HG42" i="8"/>
  <c r="HG43" i="8" s="1"/>
  <c r="HF55" i="8"/>
  <c r="HF48" i="8"/>
  <c r="HF41" i="8"/>
  <c r="HH49" i="8" l="1"/>
  <c r="HH50" i="8" s="1"/>
  <c r="HG44" i="8"/>
  <c r="HF23" i="8"/>
  <c r="HF24" i="8" s="1"/>
  <c r="HF25" i="8" s="1"/>
  <c r="HI56" i="8" l="1"/>
  <c r="HH51" i="8"/>
  <c r="HG20" i="8"/>
  <c r="HG28" i="8"/>
  <c r="HH35" i="8" s="1"/>
  <c r="HG30" i="8" l="1"/>
  <c r="HG29" i="8"/>
  <c r="HI58" i="8"/>
  <c r="HI57" i="8"/>
  <c r="HG34" i="8"/>
  <c r="HG37" i="8" l="1"/>
  <c r="HG36" i="8"/>
  <c r="HH42" i="8"/>
  <c r="HH43" i="8" s="1"/>
  <c r="HG55" i="8"/>
  <c r="HG48" i="8"/>
  <c r="HG41" i="8"/>
  <c r="HI49" i="8" l="1"/>
  <c r="HI50" i="8" s="1"/>
  <c r="HH44" i="8"/>
  <c r="HG23" i="8"/>
  <c r="HG24" i="8" s="1"/>
  <c r="HG25" i="8" s="1"/>
  <c r="HJ56" i="8" l="1"/>
  <c r="HI51" i="8"/>
  <c r="HH20" i="8"/>
  <c r="HH28" i="8"/>
  <c r="HI35" i="8" s="1"/>
  <c r="HH30" i="8" l="1"/>
  <c r="HH29" i="8"/>
  <c r="HJ58" i="8"/>
  <c r="HJ57" i="8"/>
  <c r="HH34" i="8"/>
  <c r="HH37" i="8" l="1"/>
  <c r="HH36" i="8"/>
  <c r="HI42" i="8"/>
  <c r="HI43" i="8" s="1"/>
  <c r="HH55" i="8"/>
  <c r="HH48" i="8"/>
  <c r="HH41" i="8"/>
  <c r="HJ49" i="8" l="1"/>
  <c r="HJ50" i="8" s="1"/>
  <c r="HI44" i="8"/>
  <c r="HH23" i="8"/>
  <c r="HH24" i="8" s="1"/>
  <c r="HH25" i="8" s="1"/>
  <c r="HK56" i="8" l="1"/>
  <c r="HJ51" i="8"/>
  <c r="HI20" i="8"/>
  <c r="HI28" i="8"/>
  <c r="HJ35" i="8" s="1"/>
  <c r="HI30" i="8" l="1"/>
  <c r="HI29" i="8"/>
  <c r="HK58" i="8"/>
  <c r="HK57" i="8"/>
  <c r="HI34" i="8"/>
  <c r="HI37" i="8" l="1"/>
  <c r="HI36" i="8"/>
  <c r="HJ42" i="8"/>
  <c r="HJ43" i="8" s="1"/>
  <c r="HI55" i="8"/>
  <c r="HI48" i="8"/>
  <c r="HI41" i="8"/>
  <c r="HK49" i="8" l="1"/>
  <c r="HK50" i="8" s="1"/>
  <c r="HJ44" i="8"/>
  <c r="HI23" i="8"/>
  <c r="HI24" i="8" s="1"/>
  <c r="HI25" i="8" s="1"/>
  <c r="HL56" i="8" l="1"/>
  <c r="HK51" i="8"/>
  <c r="HJ20" i="8"/>
  <c r="HJ28" i="8"/>
  <c r="HK35" i="8" s="1"/>
  <c r="HJ30" i="8" l="1"/>
  <c r="HJ29" i="8"/>
  <c r="HL58" i="8"/>
  <c r="HL57" i="8"/>
  <c r="HJ34" i="8"/>
  <c r="HJ37" i="8" l="1"/>
  <c r="HJ36" i="8"/>
  <c r="HK42" i="8"/>
  <c r="HK43" i="8" s="1"/>
  <c r="HJ55" i="8"/>
  <c r="HJ48" i="8"/>
  <c r="HJ41" i="8"/>
  <c r="HL49" i="8" l="1"/>
  <c r="HL50" i="8" s="1"/>
  <c r="HK44" i="8"/>
  <c r="HJ23" i="8"/>
  <c r="HJ24" i="8" s="1"/>
  <c r="HJ25" i="8" s="1"/>
  <c r="HM56" i="8" l="1"/>
  <c r="HL51" i="8"/>
  <c r="HK20" i="8"/>
  <c r="HK28" i="8"/>
  <c r="HL35" i="8" s="1"/>
  <c r="HK30" i="8" l="1"/>
  <c r="HK29" i="8"/>
  <c r="HM58" i="8"/>
  <c r="HM57" i="8"/>
  <c r="HK34" i="8"/>
  <c r="HK37" i="8" l="1"/>
  <c r="HK36" i="8"/>
  <c r="HL42" i="8"/>
  <c r="HL43" i="8" s="1"/>
  <c r="HK55" i="8"/>
  <c r="HK48" i="8"/>
  <c r="HK41" i="8"/>
  <c r="HM49" i="8" l="1"/>
  <c r="HM50" i="8" s="1"/>
  <c r="HL44" i="8"/>
  <c r="HK23" i="8"/>
  <c r="HK24" i="8" s="1"/>
  <c r="HK25" i="8" s="1"/>
  <c r="HN56" i="8" l="1"/>
  <c r="HM51" i="8"/>
  <c r="HL20" i="8"/>
  <c r="HL28" i="8"/>
  <c r="HM35" i="8" s="1"/>
  <c r="HL30" i="8" l="1"/>
  <c r="HL29" i="8"/>
  <c r="HN58" i="8"/>
  <c r="HN57" i="8"/>
  <c r="HL34" i="8"/>
  <c r="HL37" i="8" l="1"/>
  <c r="HL36" i="8"/>
  <c r="HM42" i="8"/>
  <c r="HM43" i="8" s="1"/>
  <c r="HL55" i="8"/>
  <c r="HL48" i="8"/>
  <c r="HL41" i="8"/>
  <c r="HN49" i="8" l="1"/>
  <c r="HN50" i="8" s="1"/>
  <c r="HM44" i="8"/>
  <c r="HL23" i="8"/>
  <c r="HL24" i="8" s="1"/>
  <c r="HL25" i="8" s="1"/>
  <c r="HO56" i="8" l="1"/>
  <c r="HN51" i="8"/>
  <c r="HM20" i="8"/>
  <c r="HM28" i="8"/>
  <c r="HN35" i="8" s="1"/>
  <c r="HM30" i="8" l="1"/>
  <c r="HM29" i="8"/>
  <c r="HO58" i="8"/>
  <c r="HO57" i="8"/>
  <c r="HM34" i="8"/>
  <c r="HM37" i="8" l="1"/>
  <c r="HM36" i="8"/>
  <c r="HN42" i="8"/>
  <c r="HN43" i="8" s="1"/>
  <c r="HM55" i="8"/>
  <c r="HM48" i="8"/>
  <c r="HM41" i="8"/>
  <c r="HO49" i="8" l="1"/>
  <c r="HO50" i="8" s="1"/>
  <c r="HN44" i="8"/>
  <c r="HM23" i="8"/>
  <c r="HM24" i="8" s="1"/>
  <c r="HM25" i="8" s="1"/>
  <c r="HP56" i="8" l="1"/>
  <c r="HO51" i="8"/>
  <c r="HN20" i="8"/>
  <c r="HN28" i="8"/>
  <c r="HO35" i="8" s="1"/>
  <c r="HN30" i="8" l="1"/>
  <c r="HN29" i="8"/>
  <c r="HP58" i="8"/>
  <c r="HP57" i="8"/>
  <c r="HN34" i="8"/>
  <c r="HN37" i="8" l="1"/>
  <c r="HN36" i="8"/>
  <c r="HO42" i="8"/>
  <c r="HO43" i="8" s="1"/>
  <c r="HN55" i="8"/>
  <c r="HN48" i="8"/>
  <c r="HN41" i="8"/>
  <c r="HP49" i="8" l="1"/>
  <c r="HP50" i="8" s="1"/>
  <c r="HO44" i="8"/>
  <c r="HN23" i="8"/>
  <c r="HN24" i="8" s="1"/>
  <c r="HN25" i="8" s="1"/>
  <c r="HQ56" i="8" l="1"/>
  <c r="HP51" i="8"/>
  <c r="HO20" i="8"/>
  <c r="HO28" i="8"/>
  <c r="HP35" i="8" s="1"/>
  <c r="HO30" i="8" l="1"/>
  <c r="HO29" i="8"/>
  <c r="HQ58" i="8"/>
  <c r="HQ57" i="8"/>
  <c r="HO34" i="8"/>
  <c r="HO37" i="8" l="1"/>
  <c r="HO36" i="8"/>
  <c r="HP42" i="8"/>
  <c r="HP43" i="8" s="1"/>
  <c r="HO55" i="8"/>
  <c r="HO48" i="8"/>
  <c r="HO41" i="8"/>
  <c r="HQ49" i="8" l="1"/>
  <c r="HQ50" i="8" s="1"/>
  <c r="HP44" i="8"/>
  <c r="HO23" i="8"/>
  <c r="HO24" i="8" s="1"/>
  <c r="HO25" i="8" s="1"/>
  <c r="HR56" i="8" l="1"/>
  <c r="HQ51" i="8"/>
  <c r="HP20" i="8"/>
  <c r="HP28" i="8"/>
  <c r="HQ35" i="8" s="1"/>
  <c r="HP30" i="8" l="1"/>
  <c r="HP29" i="8"/>
  <c r="HR58" i="8"/>
  <c r="HR57" i="8"/>
  <c r="HP34" i="8"/>
  <c r="HP37" i="8" l="1"/>
  <c r="HP36" i="8"/>
  <c r="HQ42" i="8"/>
  <c r="HQ43" i="8" s="1"/>
  <c r="HP55" i="8"/>
  <c r="HP48" i="8"/>
  <c r="HP41" i="8"/>
  <c r="HR49" i="8" l="1"/>
  <c r="HR50" i="8" s="1"/>
  <c r="HQ44" i="8"/>
  <c r="HP23" i="8"/>
  <c r="HP24" i="8" s="1"/>
  <c r="HP25" i="8" s="1"/>
  <c r="HS56" i="8" l="1"/>
  <c r="HR51" i="8"/>
  <c r="HQ20" i="8"/>
  <c r="HQ28" i="8"/>
  <c r="HR35" i="8" s="1"/>
  <c r="HQ30" i="8" l="1"/>
  <c r="HQ29" i="8"/>
  <c r="HS58" i="8"/>
  <c r="HS57" i="8"/>
  <c r="HQ34" i="8"/>
  <c r="HQ37" i="8" l="1"/>
  <c r="HQ36" i="8"/>
  <c r="HR42" i="8"/>
  <c r="HR43" i="8" s="1"/>
  <c r="HQ55" i="8"/>
  <c r="HQ48" i="8"/>
  <c r="HQ41" i="8"/>
  <c r="HS49" i="8" l="1"/>
  <c r="HS50" i="8" s="1"/>
  <c r="HR44" i="8"/>
  <c r="HQ23" i="8"/>
  <c r="HQ24" i="8" s="1"/>
  <c r="HQ25" i="8" s="1"/>
  <c r="HT56" i="8" l="1"/>
  <c r="HS51" i="8"/>
  <c r="HR20" i="8"/>
  <c r="HR28" i="8"/>
  <c r="HS35" i="8" s="1"/>
  <c r="HR30" i="8" l="1"/>
  <c r="HR29" i="8"/>
  <c r="HT58" i="8"/>
  <c r="HT57" i="8"/>
  <c r="HR34" i="8"/>
  <c r="HR37" i="8" l="1"/>
  <c r="HR36" i="8"/>
  <c r="HS42" i="8"/>
  <c r="HS43" i="8" s="1"/>
  <c r="HR55" i="8"/>
  <c r="HR48" i="8"/>
  <c r="HR41" i="8"/>
  <c r="HT49" i="8" l="1"/>
  <c r="HT50" i="8" s="1"/>
  <c r="HS44" i="8"/>
  <c r="HR23" i="8"/>
  <c r="HR24" i="8" s="1"/>
  <c r="HR25" i="8" s="1"/>
  <c r="HU56" i="8" l="1"/>
  <c r="HT51" i="8"/>
  <c r="HS20" i="8"/>
  <c r="HS28" i="8"/>
  <c r="HT35" i="8" s="1"/>
  <c r="HS30" i="8" l="1"/>
  <c r="HS29" i="8"/>
  <c r="HU58" i="8"/>
  <c r="HU57" i="8"/>
  <c r="HS34" i="8"/>
  <c r="HS37" i="8" l="1"/>
  <c r="HS36" i="8"/>
  <c r="HT42" i="8"/>
  <c r="HT43" i="8" s="1"/>
  <c r="HS55" i="8"/>
  <c r="HS48" i="8"/>
  <c r="HS41" i="8"/>
  <c r="HU49" i="8" l="1"/>
  <c r="HU50" i="8" s="1"/>
  <c r="HT44" i="8"/>
  <c r="HS23" i="8"/>
  <c r="HS24" i="8" s="1"/>
  <c r="HS25" i="8" s="1"/>
  <c r="HV56" i="8" l="1"/>
  <c r="HU51" i="8"/>
  <c r="HT20" i="8"/>
  <c r="HT28" i="8"/>
  <c r="HU35" i="8" s="1"/>
  <c r="HT30" i="8" l="1"/>
  <c r="HT29" i="8"/>
  <c r="HV58" i="8"/>
  <c r="HV57" i="8"/>
  <c r="HT34" i="8"/>
  <c r="HT37" i="8" l="1"/>
  <c r="HT36" i="8"/>
  <c r="HU42" i="8"/>
  <c r="HU43" i="8" s="1"/>
  <c r="HT55" i="8"/>
  <c r="HT48" i="8"/>
  <c r="HT41" i="8"/>
  <c r="HV49" i="8" l="1"/>
  <c r="HV50" i="8" s="1"/>
  <c r="HU44" i="8"/>
  <c r="HT23" i="8"/>
  <c r="HT24" i="8" s="1"/>
  <c r="HT25" i="8" s="1"/>
  <c r="HW56" i="8" l="1"/>
  <c r="HV51" i="8"/>
  <c r="HU20" i="8"/>
  <c r="HU28" i="8"/>
  <c r="HV35" i="8" s="1"/>
  <c r="HU30" i="8" l="1"/>
  <c r="HU29" i="8"/>
  <c r="HW58" i="8"/>
  <c r="HW57" i="8"/>
  <c r="HU34" i="8"/>
  <c r="HU37" i="8" l="1"/>
  <c r="HU36" i="8"/>
  <c r="HV42" i="8"/>
  <c r="HV43" i="8" s="1"/>
  <c r="HU55" i="8"/>
  <c r="HU48" i="8"/>
  <c r="HU41" i="8"/>
  <c r="HW49" i="8" l="1"/>
  <c r="HW50" i="8" s="1"/>
  <c r="HV44" i="8"/>
  <c r="HU23" i="8"/>
  <c r="HX56" i="8" l="1"/>
  <c r="HW51" i="8"/>
  <c r="HU24" i="8"/>
  <c r="HU25" i="8" s="1"/>
  <c r="HX58" i="8" l="1"/>
  <c r="HX57" i="8"/>
  <c r="HV20" i="8"/>
  <c r="HV28" i="8"/>
  <c r="HW35" i="8" s="1"/>
  <c r="HV30" i="8" l="1"/>
  <c r="HV29" i="8"/>
  <c r="HV34" i="8"/>
  <c r="HV37" i="8" l="1"/>
  <c r="HV36" i="8"/>
  <c r="HW42" i="8"/>
  <c r="HW43" i="8" s="1"/>
  <c r="HV55" i="8"/>
  <c r="HV48" i="8"/>
  <c r="HV41" i="8"/>
  <c r="HX49" i="8" l="1"/>
  <c r="HX50" i="8" s="1"/>
  <c r="HW44" i="8"/>
  <c r="HV23" i="8"/>
  <c r="HV24" i="8" s="1"/>
  <c r="HV25" i="8" s="1"/>
  <c r="HY56" i="8" l="1"/>
  <c r="HX51" i="8"/>
  <c r="HW20" i="8"/>
  <c r="HW28" i="8"/>
  <c r="HX35" i="8" s="1"/>
  <c r="HW30" i="8" l="1"/>
  <c r="HW29" i="8"/>
  <c r="HY58" i="8"/>
  <c r="HY57" i="8"/>
  <c r="HW34" i="8"/>
  <c r="HW37" i="8" l="1"/>
  <c r="HW36" i="8"/>
  <c r="HX42" i="8"/>
  <c r="HX43" i="8" s="1"/>
  <c r="HW55" i="8"/>
  <c r="HW48" i="8"/>
  <c r="HW41" i="8"/>
  <c r="HY49" i="8" l="1"/>
  <c r="HY50" i="8" s="1"/>
  <c r="HX44" i="8"/>
  <c r="HW23" i="8"/>
  <c r="HW24" i="8" s="1"/>
  <c r="HW25" i="8" s="1"/>
  <c r="HZ56" i="8" l="1"/>
  <c r="HY51" i="8"/>
  <c r="HX20" i="8"/>
  <c r="HX28" i="8"/>
  <c r="HY35" i="8" s="1"/>
  <c r="HX30" i="8" l="1"/>
  <c r="HX29" i="8"/>
  <c r="HZ58" i="8"/>
  <c r="HZ57" i="8"/>
  <c r="HX34" i="8"/>
  <c r="HX37" i="8" l="1"/>
  <c r="HX36" i="8"/>
  <c r="HY42" i="8"/>
  <c r="HY43" i="8" s="1"/>
  <c r="HX55" i="8"/>
  <c r="HX48" i="8"/>
  <c r="HX41" i="8"/>
  <c r="HZ49" i="8" l="1"/>
  <c r="HZ50" i="8" s="1"/>
  <c r="HY44" i="8"/>
  <c r="HX23" i="8"/>
  <c r="HX24" i="8" s="1"/>
  <c r="HX25" i="8" s="1"/>
  <c r="IA56" i="8" l="1"/>
  <c r="HZ51" i="8"/>
  <c r="HY20" i="8"/>
  <c r="HY28" i="8"/>
  <c r="HZ35" i="8" s="1"/>
  <c r="HY30" i="8" l="1"/>
  <c r="HY29" i="8"/>
  <c r="IA58" i="8"/>
  <c r="IA57" i="8"/>
  <c r="HY34" i="8"/>
  <c r="HY37" i="8" l="1"/>
  <c r="HY36" i="8"/>
  <c r="HZ42" i="8"/>
  <c r="HZ43" i="8" s="1"/>
  <c r="HY55" i="8"/>
  <c r="HY48" i="8"/>
  <c r="HY41" i="8"/>
  <c r="IA49" i="8" l="1"/>
  <c r="IA50" i="8" s="1"/>
  <c r="HZ44" i="8"/>
  <c r="HY23" i="8"/>
  <c r="HY24" i="8" s="1"/>
  <c r="HY25" i="8" s="1"/>
  <c r="IB56" i="8" l="1"/>
  <c r="IA51" i="8"/>
  <c r="HZ20" i="8"/>
  <c r="HZ28" i="8"/>
  <c r="IA35" i="8" s="1"/>
  <c r="HZ30" i="8" l="1"/>
  <c r="HZ29" i="8"/>
  <c r="IB58" i="8"/>
  <c r="IB57" i="8"/>
  <c r="HZ34" i="8"/>
  <c r="HZ37" i="8" l="1"/>
  <c r="HZ36" i="8"/>
  <c r="IA42" i="8"/>
  <c r="IA43" i="8" s="1"/>
  <c r="HZ55" i="8"/>
  <c r="HZ48" i="8"/>
  <c r="HZ41" i="8"/>
  <c r="IB49" i="8" l="1"/>
  <c r="IB50" i="8" s="1"/>
  <c r="IA44" i="8"/>
  <c r="HZ23" i="8"/>
  <c r="HZ24" i="8" s="1"/>
  <c r="HZ25" i="8" s="1"/>
  <c r="IC56" i="8" l="1"/>
  <c r="IB51" i="8"/>
  <c r="IA20" i="8"/>
  <c r="IA28" i="8"/>
  <c r="IB35" i="8" s="1"/>
  <c r="IA30" i="8" l="1"/>
  <c r="IA29" i="8"/>
  <c r="IC58" i="8"/>
  <c r="IC57" i="8"/>
  <c r="IA34" i="8"/>
  <c r="IA37" i="8" l="1"/>
  <c r="IA36" i="8"/>
  <c r="IB42" i="8"/>
  <c r="IB43" i="8" s="1"/>
  <c r="IA55" i="8"/>
  <c r="IA48" i="8"/>
  <c r="IA41" i="8"/>
  <c r="IC49" i="8" l="1"/>
  <c r="IC50" i="8" s="1"/>
  <c r="IB44" i="8"/>
  <c r="IA23" i="8"/>
  <c r="IA24" i="8" s="1"/>
  <c r="IA25" i="8" s="1"/>
  <c r="ID56" i="8" l="1"/>
  <c r="IC51" i="8"/>
  <c r="IB20" i="8"/>
  <c r="IB28" i="8"/>
  <c r="IC35" i="8" s="1"/>
  <c r="IB30" i="8" l="1"/>
  <c r="IB29" i="8"/>
  <c r="ID58" i="8"/>
  <c r="ID57" i="8"/>
  <c r="IB34" i="8"/>
  <c r="IB37" i="8" l="1"/>
  <c r="IB36" i="8"/>
  <c r="IC42" i="8"/>
  <c r="IC43" i="8" s="1"/>
  <c r="IB55" i="8"/>
  <c r="IB48" i="8"/>
  <c r="IB41" i="8"/>
  <c r="ID49" i="8" l="1"/>
  <c r="ID50" i="8" s="1"/>
  <c r="IC44" i="8"/>
  <c r="IB23" i="8"/>
  <c r="IB24" i="8" s="1"/>
  <c r="IB25" i="8" s="1"/>
  <c r="IE56" i="8" l="1"/>
  <c r="ID51" i="8"/>
  <c r="IC20" i="8"/>
  <c r="IC28" i="8"/>
  <c r="ID35" i="8" s="1"/>
  <c r="IC30" i="8" l="1"/>
  <c r="IC29" i="8"/>
  <c r="IE58" i="8"/>
  <c r="IE57" i="8"/>
  <c r="IC34" i="8"/>
  <c r="IC37" i="8" l="1"/>
  <c r="IC36" i="8"/>
  <c r="ID42" i="8"/>
  <c r="ID43" i="8" s="1"/>
  <c r="IC55" i="8"/>
  <c r="IC48" i="8"/>
  <c r="IC41" i="8"/>
  <c r="IE49" i="8" l="1"/>
  <c r="IE50" i="8" s="1"/>
  <c r="ID44" i="8"/>
  <c r="IC23" i="8"/>
  <c r="IC24" i="8" s="1"/>
  <c r="IC25" i="8" s="1"/>
  <c r="IF56" i="8" l="1"/>
  <c r="IE51" i="8"/>
  <c r="ID20" i="8"/>
  <c r="ID28" i="8"/>
  <c r="IE35" i="8" s="1"/>
  <c r="ID30" i="8" l="1"/>
  <c r="ID29" i="8"/>
  <c r="IF58" i="8"/>
  <c r="IF57" i="8"/>
  <c r="ID34" i="8"/>
  <c r="ID37" i="8" l="1"/>
  <c r="ID36" i="8"/>
  <c r="IE42" i="8"/>
  <c r="IE43" i="8" s="1"/>
  <c r="ID55" i="8"/>
  <c r="ID48" i="8"/>
  <c r="ID41" i="8"/>
  <c r="IF49" i="8" l="1"/>
  <c r="IF50" i="8" s="1"/>
  <c r="IE44" i="8"/>
  <c r="ID23" i="8"/>
  <c r="ID24" i="8" s="1"/>
  <c r="ID25" i="8" s="1"/>
  <c r="IG56" i="8" l="1"/>
  <c r="IF51" i="8"/>
  <c r="IE20" i="8"/>
  <c r="IE28" i="8"/>
  <c r="IF35" i="8" s="1"/>
  <c r="IE30" i="8" l="1"/>
  <c r="IE29" i="8"/>
  <c r="IG58" i="8"/>
  <c r="IG57" i="8"/>
  <c r="IE34" i="8"/>
  <c r="IE37" i="8" l="1"/>
  <c r="IE36" i="8"/>
  <c r="IF42" i="8"/>
  <c r="IF43" i="8" s="1"/>
  <c r="IE55" i="8"/>
  <c r="IE48" i="8"/>
  <c r="IE41" i="8"/>
  <c r="IG49" i="8" l="1"/>
  <c r="IG50" i="8" s="1"/>
  <c r="IF44" i="8"/>
  <c r="IE23" i="8"/>
  <c r="IE24" i="8" s="1"/>
  <c r="IE25" i="8" s="1"/>
  <c r="IH56" i="8" l="1"/>
  <c r="IG51" i="8"/>
  <c r="IF20" i="8"/>
  <c r="IF28" i="8"/>
  <c r="IG35" i="8" s="1"/>
  <c r="IF30" i="8" l="1"/>
  <c r="IF29" i="8"/>
  <c r="IH58" i="8"/>
  <c r="IH57" i="8"/>
  <c r="IF34" i="8"/>
  <c r="IF37" i="8" l="1"/>
  <c r="IF36" i="8"/>
  <c r="IG42" i="8"/>
  <c r="IG43" i="8" s="1"/>
  <c r="IF55" i="8"/>
  <c r="IF48" i="8"/>
  <c r="IF41" i="8"/>
  <c r="IH49" i="8" l="1"/>
  <c r="IH50" i="8" s="1"/>
  <c r="IG44" i="8"/>
  <c r="IF23" i="8"/>
  <c r="IF24" i="8" s="1"/>
  <c r="IF25" i="8" s="1"/>
  <c r="II56" i="8" l="1"/>
  <c r="IH51" i="8"/>
  <c r="IG20" i="8"/>
  <c r="IG28" i="8"/>
  <c r="IH35" i="8" s="1"/>
  <c r="IG30" i="8" l="1"/>
  <c r="IG29" i="8"/>
  <c r="II58" i="8"/>
  <c r="II57" i="8"/>
  <c r="IG34" i="8"/>
  <c r="IG37" i="8" l="1"/>
  <c r="IG36" i="8"/>
  <c r="IH42" i="8"/>
  <c r="IH43" i="8" s="1"/>
  <c r="IG55" i="8"/>
  <c r="IG48" i="8"/>
  <c r="IG41" i="8"/>
  <c r="II49" i="8" l="1"/>
  <c r="II50" i="8" s="1"/>
  <c r="IH44" i="8"/>
  <c r="IG23" i="8"/>
  <c r="IG24" i="8" s="1"/>
  <c r="IG25" i="8" s="1"/>
  <c r="IJ56" i="8" l="1"/>
  <c r="II51" i="8"/>
  <c r="IH20" i="8"/>
  <c r="IH28" i="8"/>
  <c r="II35" i="8" s="1"/>
  <c r="IH30" i="8" l="1"/>
  <c r="IH29" i="8"/>
  <c r="IJ58" i="8"/>
  <c r="IJ57" i="8"/>
  <c r="IH34" i="8"/>
  <c r="IH37" i="8" l="1"/>
  <c r="IH36" i="8"/>
  <c r="II42" i="8"/>
  <c r="II43" i="8" s="1"/>
  <c r="IH55" i="8"/>
  <c r="IH48" i="8"/>
  <c r="IH41" i="8"/>
  <c r="IJ49" i="8" l="1"/>
  <c r="IJ50" i="8" s="1"/>
  <c r="II44" i="8"/>
  <c r="IH23" i="8"/>
  <c r="IH24" i="8" s="1"/>
  <c r="IH25" i="8" s="1"/>
  <c r="IK56" i="8" l="1"/>
  <c r="IJ51" i="8"/>
  <c r="II20" i="8"/>
  <c r="II28" i="8"/>
  <c r="IJ35" i="8" s="1"/>
  <c r="II30" i="8" l="1"/>
  <c r="II29" i="8"/>
  <c r="IK58" i="8"/>
  <c r="IK57" i="8"/>
  <c r="II34" i="8"/>
  <c r="II37" i="8" l="1"/>
  <c r="II36" i="8"/>
  <c r="IJ42" i="8"/>
  <c r="IJ43" i="8" s="1"/>
  <c r="II55" i="8"/>
  <c r="II48" i="8"/>
  <c r="II41" i="8"/>
  <c r="IK49" i="8" l="1"/>
  <c r="IK50" i="8" s="1"/>
  <c r="IJ44" i="8"/>
  <c r="II23" i="8"/>
  <c r="II24" i="8" s="1"/>
  <c r="II25" i="8" s="1"/>
  <c r="IL56" i="8" l="1"/>
  <c r="IK51" i="8"/>
  <c r="IJ20" i="8"/>
  <c r="IJ28" i="8"/>
  <c r="IK35" i="8" s="1"/>
  <c r="IJ30" i="8" l="1"/>
  <c r="IJ29" i="8"/>
  <c r="IL58" i="8"/>
  <c r="IL57" i="8"/>
  <c r="IJ34" i="8"/>
  <c r="IJ37" i="8" l="1"/>
  <c r="IJ36" i="8"/>
  <c r="IK42" i="8"/>
  <c r="IK43" i="8" s="1"/>
  <c r="IJ55" i="8"/>
  <c r="IJ48" i="8"/>
  <c r="IJ41" i="8"/>
  <c r="IL49" i="8" l="1"/>
  <c r="IL50" i="8" s="1"/>
  <c r="IK44" i="8"/>
  <c r="IJ23" i="8"/>
  <c r="IJ24" i="8" s="1"/>
  <c r="IJ25" i="8" s="1"/>
  <c r="IM56" i="8" l="1"/>
  <c r="IL51" i="8"/>
  <c r="IK20" i="8"/>
  <c r="IK28" i="8"/>
  <c r="IL35" i="8" s="1"/>
  <c r="IK30" i="8" l="1"/>
  <c r="IK29" i="8"/>
  <c r="IM58" i="8"/>
  <c r="IM57" i="8"/>
  <c r="IK34" i="8"/>
  <c r="IK37" i="8" l="1"/>
  <c r="IK36" i="8"/>
  <c r="IL42" i="8"/>
  <c r="IL43" i="8" s="1"/>
  <c r="IK55" i="8"/>
  <c r="IK48" i="8"/>
  <c r="IK41" i="8"/>
  <c r="IM49" i="8" l="1"/>
  <c r="IM50" i="8" s="1"/>
  <c r="IL44" i="8"/>
  <c r="IK23" i="8"/>
  <c r="IK24" i="8" s="1"/>
  <c r="IK25" i="8" s="1"/>
  <c r="IN56" i="8" l="1"/>
  <c r="IM51" i="8"/>
  <c r="IL20" i="8"/>
  <c r="IL28" i="8"/>
  <c r="IM35" i="8" s="1"/>
  <c r="IL30" i="8" l="1"/>
  <c r="IL29" i="8"/>
  <c r="IN58" i="8"/>
  <c r="IN57" i="8"/>
  <c r="IL34" i="8"/>
  <c r="IL37" i="8" l="1"/>
  <c r="IL36" i="8"/>
  <c r="IM42" i="8"/>
  <c r="IM43" i="8" s="1"/>
  <c r="IL55" i="8"/>
  <c r="IL48" i="8"/>
  <c r="IL41" i="8"/>
  <c r="IN49" i="8" l="1"/>
  <c r="IN50" i="8" s="1"/>
  <c r="IM44" i="8"/>
  <c r="IL23" i="8"/>
  <c r="IL24" i="8" s="1"/>
  <c r="IL25" i="8" s="1"/>
  <c r="IO56" i="8" l="1"/>
  <c r="IN51" i="8"/>
  <c r="IM20" i="8"/>
  <c r="IM28" i="8"/>
  <c r="IN35" i="8" s="1"/>
  <c r="IM30" i="8" l="1"/>
  <c r="IM29" i="8"/>
  <c r="IO58" i="8"/>
  <c r="IO57" i="8"/>
  <c r="IM34" i="8"/>
  <c r="IM37" i="8" l="1"/>
  <c r="IM36" i="8"/>
  <c r="IN42" i="8"/>
  <c r="IN43" i="8" s="1"/>
  <c r="IM55" i="8"/>
  <c r="IM48" i="8"/>
  <c r="IM41" i="8"/>
  <c r="IO49" i="8" l="1"/>
  <c r="IO50" i="8" s="1"/>
  <c r="IN44" i="8"/>
  <c r="IM23" i="8"/>
  <c r="IM24" i="8" s="1"/>
  <c r="IM25" i="8" s="1"/>
  <c r="IP56" i="8" l="1"/>
  <c r="IO51" i="8"/>
  <c r="IN20" i="8"/>
  <c r="IN28" i="8"/>
  <c r="IO35" i="8" s="1"/>
  <c r="IN30" i="8" l="1"/>
  <c r="IN29" i="8"/>
  <c r="IP58" i="8"/>
  <c r="IP57" i="8"/>
  <c r="IN34" i="8"/>
  <c r="IN37" i="8" l="1"/>
  <c r="IN36" i="8"/>
  <c r="IO42" i="8"/>
  <c r="IO43" i="8" s="1"/>
  <c r="IN55" i="8"/>
  <c r="IN48" i="8"/>
  <c r="IN41" i="8"/>
  <c r="IP49" i="8" l="1"/>
  <c r="IP50" i="8" s="1"/>
  <c r="IO44" i="8"/>
  <c r="IN23" i="8"/>
  <c r="IN24" i="8" s="1"/>
  <c r="IN25" i="8" s="1"/>
  <c r="IQ56" i="8" l="1"/>
  <c r="IP51" i="8"/>
  <c r="IO20" i="8"/>
  <c r="IO28" i="8"/>
  <c r="IP35" i="8" s="1"/>
  <c r="IO30" i="8" l="1"/>
  <c r="IO29" i="8"/>
  <c r="IQ58" i="8"/>
  <c r="IQ57" i="8"/>
  <c r="IO34" i="8"/>
  <c r="IO37" i="8" l="1"/>
  <c r="IO36" i="8"/>
  <c r="IP42" i="8"/>
  <c r="IP43" i="8" s="1"/>
  <c r="IO55" i="8"/>
  <c r="IO48" i="8"/>
  <c r="IO41" i="8"/>
  <c r="IQ49" i="8" l="1"/>
  <c r="IQ50" i="8" s="1"/>
  <c r="IP44" i="8"/>
  <c r="IO23" i="8"/>
  <c r="IO24" i="8" s="1"/>
  <c r="IO25" i="8" s="1"/>
  <c r="IR56" i="8" l="1"/>
  <c r="IQ51" i="8"/>
  <c r="IP20" i="8"/>
  <c r="IP28" i="8"/>
  <c r="IQ35" i="8" s="1"/>
  <c r="IP30" i="8" l="1"/>
  <c r="IP29" i="8"/>
  <c r="IR58" i="8"/>
  <c r="IR57" i="8"/>
  <c r="IP34" i="8"/>
  <c r="IP37" i="8" l="1"/>
  <c r="IP36" i="8"/>
  <c r="IQ42" i="8"/>
  <c r="IQ43" i="8" s="1"/>
  <c r="IP55" i="8"/>
  <c r="IP48" i="8"/>
  <c r="IP41" i="8"/>
  <c r="IR49" i="8" l="1"/>
  <c r="IR50" i="8" s="1"/>
  <c r="IQ44" i="8"/>
  <c r="IP23" i="8"/>
  <c r="IP24" i="8" s="1"/>
  <c r="IP25" i="8" s="1"/>
  <c r="IS56" i="8" l="1"/>
  <c r="IR51" i="8"/>
  <c r="IQ20" i="8"/>
  <c r="IQ28" i="8"/>
  <c r="IR35" i="8" s="1"/>
  <c r="IQ30" i="8" l="1"/>
  <c r="IQ29" i="8"/>
  <c r="IS58" i="8"/>
  <c r="IS57" i="8"/>
  <c r="IQ34" i="8"/>
  <c r="IQ37" i="8" l="1"/>
  <c r="IQ36" i="8"/>
  <c r="IR42" i="8"/>
  <c r="IR43" i="8" s="1"/>
  <c r="IQ55" i="8"/>
  <c r="IQ48" i="8"/>
  <c r="IQ41" i="8"/>
  <c r="IS49" i="8" l="1"/>
  <c r="IS50" i="8" s="1"/>
  <c r="IR44" i="8"/>
  <c r="IQ23" i="8"/>
  <c r="IQ24" i="8" s="1"/>
  <c r="IQ25" i="8" s="1"/>
  <c r="IT56" i="8" l="1"/>
  <c r="IS51" i="8"/>
  <c r="IR20" i="8"/>
  <c r="IR28" i="8"/>
  <c r="IS35" i="8" s="1"/>
  <c r="IR30" i="8" l="1"/>
  <c r="IR29" i="8"/>
  <c r="IT58" i="8"/>
  <c r="IT57" i="8"/>
  <c r="IR34" i="8"/>
  <c r="IR37" i="8" l="1"/>
  <c r="IR36" i="8"/>
  <c r="IS42" i="8"/>
  <c r="IS43" i="8" s="1"/>
  <c r="IR55" i="8"/>
  <c r="IR48" i="8"/>
  <c r="IR41" i="8"/>
  <c r="IT49" i="8" l="1"/>
  <c r="IT50" i="8" s="1"/>
  <c r="IS44" i="8"/>
  <c r="IR23" i="8"/>
  <c r="IR24" i="8" s="1"/>
  <c r="IR25" i="8" s="1"/>
  <c r="IU56" i="8" l="1"/>
  <c r="IT51" i="8"/>
  <c r="IS20" i="8"/>
  <c r="IS28" i="8"/>
  <c r="IT35" i="8" s="1"/>
  <c r="IS30" i="8" l="1"/>
  <c r="IS29" i="8"/>
  <c r="IU58" i="8"/>
  <c r="IU57" i="8"/>
  <c r="IS34" i="8"/>
  <c r="IS37" i="8" l="1"/>
  <c r="IS36" i="8"/>
  <c r="IT42" i="8"/>
  <c r="IT43" i="8" s="1"/>
  <c r="IS55" i="8"/>
  <c r="IS48" i="8"/>
  <c r="IS41" i="8"/>
  <c r="IU49" i="8" l="1"/>
  <c r="IU50" i="8" s="1"/>
  <c r="IT44" i="8"/>
  <c r="IS23" i="8"/>
  <c r="IS24" i="8" s="1"/>
  <c r="IS25" i="8" s="1"/>
  <c r="IV56" i="8" l="1"/>
  <c r="IU51" i="8"/>
  <c r="IT20" i="8"/>
  <c r="IT28" i="8"/>
  <c r="IU35" i="8" s="1"/>
  <c r="IT30" i="8" l="1"/>
  <c r="IT29" i="8"/>
  <c r="IV58" i="8"/>
  <c r="IV57" i="8"/>
  <c r="IT34" i="8"/>
  <c r="IT37" i="8" l="1"/>
  <c r="IT36" i="8"/>
  <c r="IU42" i="8"/>
  <c r="IU43" i="8" s="1"/>
  <c r="IT55" i="8"/>
  <c r="IT48" i="8"/>
  <c r="IT41" i="8"/>
  <c r="IV49" i="8" l="1"/>
  <c r="IV50" i="8" s="1"/>
  <c r="IU44" i="8"/>
  <c r="IT23" i="8"/>
  <c r="IW56" i="8" l="1"/>
  <c r="IV51" i="8"/>
  <c r="IT24" i="8"/>
  <c r="IT25" i="8" s="1"/>
  <c r="IW58" i="8" l="1"/>
  <c r="IW57" i="8"/>
  <c r="IU20" i="8"/>
  <c r="IU28" i="8"/>
  <c r="IV35" i="8" s="1"/>
  <c r="IU30" i="8" l="1"/>
  <c r="IU29" i="8"/>
  <c r="IU34" i="8"/>
  <c r="IU37" i="8" l="1"/>
  <c r="IU36" i="8"/>
  <c r="IV42" i="8"/>
  <c r="IV43" i="8" s="1"/>
  <c r="IU55" i="8"/>
  <c r="IU48" i="8"/>
  <c r="IU41" i="8"/>
  <c r="IW49" i="8" l="1"/>
  <c r="IW50" i="8" s="1"/>
  <c r="IV44" i="8"/>
  <c r="IU23" i="8"/>
  <c r="IU24" i="8" s="1"/>
  <c r="IU25" i="8" s="1"/>
  <c r="IX56" i="8" l="1"/>
  <c r="IW51" i="8"/>
  <c r="IV20" i="8"/>
  <c r="IV28" i="8"/>
  <c r="IW35" i="8" s="1"/>
  <c r="IV30" i="8" l="1"/>
  <c r="IV29" i="8"/>
  <c r="IX58" i="8"/>
  <c r="IX57" i="8"/>
  <c r="IV34" i="8"/>
  <c r="IV37" i="8" l="1"/>
  <c r="IV36" i="8"/>
  <c r="IW42" i="8"/>
  <c r="IW43" i="8" s="1"/>
  <c r="IV55" i="8"/>
  <c r="IV48" i="8"/>
  <c r="IV41" i="8"/>
  <c r="IX49" i="8" l="1"/>
  <c r="IX50" i="8" s="1"/>
  <c r="IW44" i="8"/>
  <c r="IV23" i="8"/>
  <c r="IV24" i="8" s="1"/>
  <c r="IV25" i="8" s="1"/>
  <c r="IY56" i="8" l="1"/>
  <c r="IX51" i="8"/>
  <c r="IW20" i="8"/>
  <c r="IW28" i="8"/>
  <c r="IX35" i="8" s="1"/>
  <c r="IW30" i="8" l="1"/>
  <c r="IW29" i="8"/>
  <c r="IY58" i="8"/>
  <c r="IY57" i="8"/>
  <c r="IW34" i="8"/>
  <c r="IW37" i="8" l="1"/>
  <c r="IW36" i="8"/>
  <c r="IX42" i="8"/>
  <c r="IX43" i="8" s="1"/>
  <c r="IW55" i="8"/>
  <c r="IW48" i="8"/>
  <c r="IW41" i="8"/>
  <c r="IY49" i="8" l="1"/>
  <c r="IY50" i="8" s="1"/>
  <c r="IX44" i="8"/>
  <c r="IW23" i="8"/>
  <c r="IW24" i="8" s="1"/>
  <c r="IW25" i="8" s="1"/>
  <c r="IZ56" i="8" l="1"/>
  <c r="IY51" i="8"/>
  <c r="IX20" i="8"/>
  <c r="IX28" i="8"/>
  <c r="IY35" i="8" s="1"/>
  <c r="IX30" i="8" l="1"/>
  <c r="IX29" i="8"/>
  <c r="IZ58" i="8"/>
  <c r="IZ57" i="8"/>
  <c r="IX34" i="8"/>
  <c r="IX37" i="8" l="1"/>
  <c r="IX36" i="8"/>
  <c r="IY42" i="8"/>
  <c r="IY43" i="8" s="1"/>
  <c r="IX55" i="8"/>
  <c r="IX48" i="8"/>
  <c r="IX41" i="8"/>
  <c r="IZ49" i="8" l="1"/>
  <c r="IZ50" i="8" s="1"/>
  <c r="IY44" i="8"/>
  <c r="IX23" i="8"/>
  <c r="IX24" i="8" s="1"/>
  <c r="IX25" i="8" s="1"/>
  <c r="JA56" i="8" l="1"/>
  <c r="IZ51" i="8"/>
  <c r="IY20" i="8"/>
  <c r="IY28" i="8"/>
  <c r="IZ35" i="8" s="1"/>
  <c r="IY30" i="8" l="1"/>
  <c r="IY29" i="8"/>
  <c r="JA58" i="8"/>
  <c r="JA57" i="8"/>
  <c r="IY34" i="8"/>
  <c r="IY37" i="8" l="1"/>
  <c r="IY36" i="8"/>
  <c r="IZ42" i="8"/>
  <c r="IZ43" i="8" s="1"/>
  <c r="IY55" i="8"/>
  <c r="IY48" i="8"/>
  <c r="IY41" i="8"/>
  <c r="JA49" i="8" l="1"/>
  <c r="JA50" i="8" s="1"/>
  <c r="IZ44" i="8"/>
  <c r="IY23" i="8"/>
  <c r="IY24" i="8" s="1"/>
  <c r="IY25" i="8" s="1"/>
  <c r="JB56" i="8" l="1"/>
  <c r="JA51" i="8"/>
  <c r="IZ20" i="8"/>
  <c r="IZ28" i="8"/>
  <c r="JA35" i="8" s="1"/>
  <c r="IZ30" i="8" l="1"/>
  <c r="IZ29" i="8"/>
  <c r="JB58" i="8"/>
  <c r="JB57" i="8"/>
  <c r="IZ34" i="8"/>
  <c r="IZ37" i="8" l="1"/>
  <c r="IZ36" i="8"/>
  <c r="JA42" i="8"/>
  <c r="JA43" i="8" s="1"/>
  <c r="IZ55" i="8"/>
  <c r="IZ48" i="8"/>
  <c r="IZ41" i="8"/>
  <c r="JB49" i="8" l="1"/>
  <c r="JB50" i="8" s="1"/>
  <c r="JA44" i="8"/>
  <c r="IZ23" i="8"/>
  <c r="IZ24" i="8" s="1"/>
  <c r="IZ25" i="8" s="1"/>
  <c r="JC56" i="8" l="1"/>
  <c r="JB51" i="8"/>
  <c r="JA20" i="8"/>
  <c r="JA28" i="8"/>
  <c r="JB35" i="8" s="1"/>
  <c r="JA30" i="8" l="1"/>
  <c r="JA29" i="8"/>
  <c r="JC58" i="8"/>
  <c r="JC57" i="8"/>
  <c r="JA34" i="8"/>
  <c r="JA37" i="8" l="1"/>
  <c r="JA36" i="8"/>
  <c r="JB42" i="8"/>
  <c r="JB43" i="8" s="1"/>
  <c r="JA55" i="8"/>
  <c r="JA48" i="8"/>
  <c r="JA41" i="8"/>
  <c r="JC49" i="8" l="1"/>
  <c r="JC50" i="8" s="1"/>
  <c r="JB44" i="8"/>
  <c r="JA23" i="8"/>
  <c r="JA24" i="8" s="1"/>
  <c r="JA25" i="8" s="1"/>
  <c r="JD56" i="8" l="1"/>
  <c r="JC51" i="8"/>
  <c r="JB20" i="8"/>
  <c r="JB28" i="8"/>
  <c r="JC35" i="8" s="1"/>
  <c r="JB30" i="8" l="1"/>
  <c r="JB29" i="8"/>
  <c r="JD58" i="8"/>
  <c r="JD57" i="8"/>
  <c r="JB34" i="8"/>
  <c r="JB37" i="8" l="1"/>
  <c r="JB36" i="8"/>
  <c r="JC42" i="8"/>
  <c r="JC43" i="8" s="1"/>
  <c r="JB55" i="8"/>
  <c r="JB48" i="8"/>
  <c r="JB41" i="8"/>
  <c r="JD49" i="8" l="1"/>
  <c r="JD50" i="8" s="1"/>
  <c r="JC44" i="8"/>
  <c r="JB23" i="8"/>
  <c r="JB24" i="8" s="1"/>
  <c r="JB25" i="8" s="1"/>
  <c r="JE56" i="8" l="1"/>
  <c r="JD51" i="8"/>
  <c r="JC20" i="8"/>
  <c r="JC28" i="8"/>
  <c r="JD35" i="8" s="1"/>
  <c r="JC30" i="8" l="1"/>
  <c r="JC29" i="8"/>
  <c r="JE58" i="8"/>
  <c r="JE57" i="8"/>
  <c r="JC34" i="8"/>
  <c r="JC37" i="8" l="1"/>
  <c r="JC36" i="8"/>
  <c r="JD42" i="8"/>
  <c r="JD43" i="8" s="1"/>
  <c r="JC55" i="8"/>
  <c r="JC48" i="8"/>
  <c r="JC41" i="8"/>
  <c r="JE49" i="8" l="1"/>
  <c r="JE50" i="8" s="1"/>
  <c r="JD44" i="8"/>
  <c r="JC23" i="8"/>
  <c r="JC24" i="8" s="1"/>
  <c r="JC25" i="8" s="1"/>
  <c r="JF56" i="8" l="1"/>
  <c r="JE51" i="8"/>
  <c r="JD20" i="8"/>
  <c r="JD28" i="8"/>
  <c r="JE35" i="8" s="1"/>
  <c r="JD30" i="8" l="1"/>
  <c r="JD29" i="8"/>
  <c r="JF58" i="8"/>
  <c r="JF57" i="8"/>
  <c r="JD34" i="8"/>
  <c r="JD37" i="8" l="1"/>
  <c r="JD36" i="8"/>
  <c r="JE42" i="8"/>
  <c r="JE43" i="8" s="1"/>
  <c r="JD55" i="8"/>
  <c r="JD48" i="8"/>
  <c r="JD41" i="8"/>
  <c r="JF49" i="8" l="1"/>
  <c r="JF50" i="8" s="1"/>
  <c r="JE44" i="8"/>
  <c r="JD23" i="8"/>
  <c r="JD24" i="8" s="1"/>
  <c r="JD25" i="8" s="1"/>
  <c r="JG56" i="8" l="1"/>
  <c r="JF51" i="8"/>
  <c r="JE20" i="8"/>
  <c r="JE28" i="8"/>
  <c r="JF35" i="8" s="1"/>
  <c r="JE30" i="8" l="1"/>
  <c r="JE29" i="8"/>
  <c r="JG58" i="8"/>
  <c r="JG57" i="8"/>
  <c r="JE34" i="8"/>
  <c r="JE37" i="8" l="1"/>
  <c r="JE36" i="8"/>
  <c r="JF42" i="8"/>
  <c r="JF43" i="8" s="1"/>
  <c r="JE55" i="8"/>
  <c r="JE48" i="8"/>
  <c r="JE41" i="8"/>
  <c r="JG49" i="8" l="1"/>
  <c r="JG50" i="8" s="1"/>
  <c r="JF44" i="8"/>
  <c r="JE23" i="8"/>
  <c r="JE24" i="8" s="1"/>
  <c r="JE25" i="8" s="1"/>
  <c r="JH56" i="8" l="1"/>
  <c r="JG51" i="8"/>
  <c r="JF20" i="8"/>
  <c r="JF28" i="8"/>
  <c r="JG35" i="8" s="1"/>
  <c r="JF30" i="8" l="1"/>
  <c r="JF29" i="8"/>
  <c r="JH58" i="8"/>
  <c r="JH57" i="8"/>
  <c r="JF34" i="8"/>
  <c r="JF37" i="8" l="1"/>
  <c r="JF36" i="8"/>
  <c r="JG42" i="8"/>
  <c r="JG43" i="8" s="1"/>
  <c r="JF55" i="8"/>
  <c r="JF48" i="8"/>
  <c r="JF41" i="8"/>
  <c r="JH49" i="8" l="1"/>
  <c r="JH50" i="8" s="1"/>
  <c r="JG44" i="8"/>
  <c r="JF23" i="8"/>
  <c r="JF24" i="8" s="1"/>
  <c r="JF25" i="8" s="1"/>
  <c r="JI56" i="8" l="1"/>
  <c r="JH51" i="8"/>
  <c r="JG20" i="8"/>
  <c r="JG28" i="8"/>
  <c r="JH35" i="8" s="1"/>
  <c r="JG30" i="8" l="1"/>
  <c r="JG29" i="8"/>
  <c r="JI58" i="8"/>
  <c r="JI57" i="8"/>
  <c r="JG34" i="8"/>
  <c r="JG37" i="8" l="1"/>
  <c r="JG36" i="8"/>
  <c r="JH42" i="8"/>
  <c r="JH43" i="8" s="1"/>
  <c r="JG55" i="8"/>
  <c r="JG48" i="8"/>
  <c r="JG41" i="8"/>
  <c r="JI49" i="8" l="1"/>
  <c r="JI50" i="8" s="1"/>
  <c r="JH44" i="8"/>
  <c r="JG23" i="8"/>
  <c r="JG24" i="8" s="1"/>
  <c r="JG25" i="8" s="1"/>
  <c r="JJ56" i="8" l="1"/>
  <c r="JI51" i="8"/>
  <c r="JH20" i="8"/>
  <c r="JH28" i="8"/>
  <c r="JI35" i="8" s="1"/>
  <c r="JH30" i="8" l="1"/>
  <c r="JH29" i="8"/>
  <c r="JJ58" i="8"/>
  <c r="JJ57" i="8"/>
  <c r="JH34" i="8"/>
  <c r="JH37" i="8" l="1"/>
  <c r="JH36" i="8"/>
  <c r="JI42" i="8"/>
  <c r="JI43" i="8" s="1"/>
  <c r="JH55" i="8"/>
  <c r="JH48" i="8"/>
  <c r="JH41" i="8"/>
  <c r="JJ49" i="8" l="1"/>
  <c r="JJ50" i="8" s="1"/>
  <c r="JI44" i="8"/>
  <c r="JH23" i="8"/>
  <c r="JH24" i="8" s="1"/>
  <c r="JH25" i="8" s="1"/>
  <c r="JK56" i="8" l="1"/>
  <c r="JJ51" i="8"/>
  <c r="JI20" i="8"/>
  <c r="JI28" i="8"/>
  <c r="JJ35" i="8" s="1"/>
  <c r="JI30" i="8" l="1"/>
  <c r="JI29" i="8"/>
  <c r="JK58" i="8"/>
  <c r="JK57" i="8"/>
  <c r="JI34" i="8"/>
  <c r="JI37" i="8" l="1"/>
  <c r="JI36" i="8"/>
  <c r="JJ42" i="8"/>
  <c r="JJ43" i="8" s="1"/>
  <c r="JI55" i="8"/>
  <c r="JI48" i="8"/>
  <c r="JI41" i="8"/>
  <c r="JK49" i="8" l="1"/>
  <c r="JK50" i="8" s="1"/>
  <c r="JJ44" i="8"/>
  <c r="JI23" i="8"/>
  <c r="JI24" i="8" s="1"/>
  <c r="JI25" i="8" s="1"/>
  <c r="JL56" i="8" l="1"/>
  <c r="JK51" i="8"/>
  <c r="JJ20" i="8"/>
  <c r="JJ28" i="8"/>
  <c r="JK35" i="8" s="1"/>
  <c r="JJ30" i="8" l="1"/>
  <c r="JJ29" i="8"/>
  <c r="JL58" i="8"/>
  <c r="JL57" i="8"/>
  <c r="JJ34" i="8"/>
  <c r="JJ37" i="8" l="1"/>
  <c r="JJ36" i="8"/>
  <c r="JK42" i="8"/>
  <c r="JK43" i="8" s="1"/>
  <c r="JJ55" i="8"/>
  <c r="JJ48" i="8"/>
  <c r="JJ41" i="8"/>
  <c r="JL49" i="8" l="1"/>
  <c r="JL50" i="8" s="1"/>
  <c r="JK44" i="8"/>
  <c r="JJ23" i="8"/>
  <c r="JJ24" i="8" s="1"/>
  <c r="JJ25" i="8" s="1"/>
  <c r="JM56" i="8" l="1"/>
  <c r="JL51" i="8"/>
  <c r="JK20" i="8"/>
  <c r="JK28" i="8"/>
  <c r="JL35" i="8" s="1"/>
  <c r="JK30" i="8" l="1"/>
  <c r="JK29" i="8"/>
  <c r="JM58" i="8"/>
  <c r="JM57" i="8"/>
  <c r="JK34" i="8"/>
  <c r="JK37" i="8" l="1"/>
  <c r="JK36" i="8"/>
  <c r="JL42" i="8"/>
  <c r="JL43" i="8" s="1"/>
  <c r="JK55" i="8"/>
  <c r="JK48" i="8"/>
  <c r="JK41" i="8"/>
  <c r="JM49" i="8" l="1"/>
  <c r="JM50" i="8" s="1"/>
  <c r="JL44" i="8"/>
  <c r="JK23" i="8"/>
  <c r="JK24" i="8" s="1"/>
  <c r="JK25" i="8" s="1"/>
  <c r="JN56" i="8" l="1"/>
  <c r="JM51" i="8"/>
  <c r="JL20" i="8"/>
  <c r="JL28" i="8"/>
  <c r="JM35" i="8" s="1"/>
  <c r="JL30" i="8" l="1"/>
  <c r="JL29" i="8"/>
  <c r="JN58" i="8"/>
  <c r="JN57" i="8"/>
  <c r="JL34" i="8"/>
  <c r="JL37" i="8" l="1"/>
  <c r="JL36" i="8"/>
  <c r="JM42" i="8"/>
  <c r="JM43" i="8" s="1"/>
  <c r="JL55" i="8"/>
  <c r="JL48" i="8"/>
  <c r="JL41" i="8"/>
  <c r="JN49" i="8" l="1"/>
  <c r="JN50" i="8" s="1"/>
  <c r="JM44" i="8"/>
  <c r="JL23" i="8"/>
  <c r="JL24" i="8" s="1"/>
  <c r="JL25" i="8" s="1"/>
  <c r="JO56" i="8" l="1"/>
  <c r="JN51" i="8"/>
  <c r="JM20" i="8"/>
  <c r="JM28" i="8"/>
  <c r="JN35" i="8" s="1"/>
  <c r="JM30" i="8" l="1"/>
  <c r="JM29" i="8"/>
  <c r="JO58" i="8"/>
  <c r="JO57" i="8"/>
  <c r="JM34" i="8"/>
  <c r="JM37" i="8" l="1"/>
  <c r="JM36" i="8"/>
  <c r="JN42" i="8"/>
  <c r="JN43" i="8" s="1"/>
  <c r="JM55" i="8"/>
  <c r="JM48" i="8"/>
  <c r="JM41" i="8"/>
  <c r="JO49" i="8" l="1"/>
  <c r="JO50" i="8" s="1"/>
  <c r="JN44" i="8"/>
  <c r="JM23" i="8"/>
  <c r="JM24" i="8" s="1"/>
  <c r="JM25" i="8" s="1"/>
  <c r="JP56" i="8" l="1"/>
  <c r="JO51" i="8"/>
  <c r="JN20" i="8"/>
  <c r="JN28" i="8"/>
  <c r="JO35" i="8" s="1"/>
  <c r="JN30" i="8" l="1"/>
  <c r="JN29" i="8"/>
  <c r="JP58" i="8"/>
  <c r="JP57" i="8"/>
  <c r="JN34" i="8"/>
  <c r="JN37" i="8" l="1"/>
  <c r="JN36" i="8"/>
  <c r="JO42" i="8"/>
  <c r="JO43" i="8" s="1"/>
  <c r="JN55" i="8"/>
  <c r="JN48" i="8"/>
  <c r="JN41" i="8"/>
  <c r="JP49" i="8" l="1"/>
  <c r="JP50" i="8" s="1"/>
  <c r="JO44" i="8"/>
  <c r="JN23" i="8"/>
  <c r="JN24" i="8" s="1"/>
  <c r="JN25" i="8" s="1"/>
  <c r="JQ56" i="8" l="1"/>
  <c r="JP51" i="8"/>
  <c r="JO20" i="8"/>
  <c r="JO28" i="8"/>
  <c r="JP35" i="8" s="1"/>
  <c r="JO30" i="8" l="1"/>
  <c r="JO29" i="8"/>
  <c r="JQ58" i="8"/>
  <c r="JQ57" i="8"/>
  <c r="JO34" i="8"/>
  <c r="JO37" i="8" l="1"/>
  <c r="JO36" i="8"/>
  <c r="JP42" i="8"/>
  <c r="JP43" i="8" s="1"/>
  <c r="JO55" i="8"/>
  <c r="JO48" i="8"/>
  <c r="JO41" i="8"/>
  <c r="JQ49" i="8" l="1"/>
  <c r="JQ50" i="8" s="1"/>
  <c r="JP44" i="8"/>
  <c r="JO23" i="8"/>
  <c r="JO24" i="8" s="1"/>
  <c r="JO25" i="8" s="1"/>
  <c r="JR56" i="8" l="1"/>
  <c r="JQ51" i="8"/>
  <c r="JP20" i="8"/>
  <c r="JP28" i="8"/>
  <c r="JQ35" i="8" s="1"/>
  <c r="JP30" i="8" l="1"/>
  <c r="JP29" i="8"/>
  <c r="JR58" i="8"/>
  <c r="JR57" i="8"/>
  <c r="JP34" i="8"/>
  <c r="JP37" i="8" l="1"/>
  <c r="JP36" i="8"/>
  <c r="JQ42" i="8"/>
  <c r="JQ43" i="8" s="1"/>
  <c r="JP55" i="8"/>
  <c r="JP48" i="8"/>
  <c r="JP41" i="8"/>
  <c r="JR49" i="8" l="1"/>
  <c r="JR50" i="8" s="1"/>
  <c r="JQ44" i="8"/>
  <c r="JP23" i="8"/>
  <c r="JP24" i="8" s="1"/>
  <c r="JP25" i="8" s="1"/>
  <c r="JS56" i="8" l="1"/>
  <c r="JR51" i="8"/>
  <c r="JQ20" i="8"/>
  <c r="JQ28" i="8"/>
  <c r="JR35" i="8" s="1"/>
  <c r="JQ30" i="8" l="1"/>
  <c r="JQ29" i="8"/>
  <c r="JS58" i="8"/>
  <c r="JS57" i="8"/>
  <c r="JQ34" i="8"/>
  <c r="JQ37" i="8" l="1"/>
  <c r="JQ36" i="8"/>
  <c r="JR42" i="8"/>
  <c r="JR43" i="8" s="1"/>
  <c r="JQ55" i="8"/>
  <c r="JQ48" i="8"/>
  <c r="JQ41" i="8"/>
  <c r="JS49" i="8" l="1"/>
  <c r="JS50" i="8" s="1"/>
  <c r="JR44" i="8"/>
  <c r="JQ23" i="8"/>
  <c r="JQ24" i="8" s="1"/>
  <c r="JQ25" i="8" s="1"/>
  <c r="JT56" i="8" l="1"/>
  <c r="JS51" i="8"/>
  <c r="JR20" i="8"/>
  <c r="JR28" i="8"/>
  <c r="JS35" i="8" s="1"/>
  <c r="JR30" i="8" l="1"/>
  <c r="JR29" i="8"/>
  <c r="JT58" i="8"/>
  <c r="JT57" i="8"/>
  <c r="JR34" i="8"/>
  <c r="JR37" i="8" l="1"/>
  <c r="JR36" i="8"/>
  <c r="JS42" i="8"/>
  <c r="JS43" i="8" s="1"/>
  <c r="JR55" i="8"/>
  <c r="JR48" i="8"/>
  <c r="JR41" i="8"/>
  <c r="JT49" i="8" l="1"/>
  <c r="JT50" i="8" s="1"/>
  <c r="JS44" i="8"/>
  <c r="JR23" i="8"/>
  <c r="JR24" i="8" s="1"/>
  <c r="JR25" i="8" s="1"/>
  <c r="JU56" i="8" l="1"/>
  <c r="JT51" i="8"/>
  <c r="JS20" i="8"/>
  <c r="JS28" i="8"/>
  <c r="JT35" i="8" s="1"/>
  <c r="JS30" i="8" l="1"/>
  <c r="JS29" i="8"/>
  <c r="JU58" i="8"/>
  <c r="JU57" i="8"/>
  <c r="JS34" i="8"/>
  <c r="JS37" i="8" l="1"/>
  <c r="JS36" i="8"/>
  <c r="JT42" i="8"/>
  <c r="JT43" i="8" s="1"/>
  <c r="JS55" i="8"/>
  <c r="JS48" i="8"/>
  <c r="JS41" i="8"/>
  <c r="JU49" i="8" l="1"/>
  <c r="JU50" i="8" s="1"/>
  <c r="JT44" i="8"/>
  <c r="JS23" i="8"/>
  <c r="JS24" i="8" s="1"/>
  <c r="JS25" i="8" s="1"/>
  <c r="JV56" i="8" l="1"/>
  <c r="JU51" i="8"/>
  <c r="JT20" i="8"/>
  <c r="JT28" i="8"/>
  <c r="JU35" i="8" s="1"/>
  <c r="JT30" i="8" l="1"/>
  <c r="JT29" i="8"/>
  <c r="JV58" i="8"/>
  <c r="JV57" i="8"/>
  <c r="JT34" i="8"/>
  <c r="JT37" i="8" l="1"/>
  <c r="JT36" i="8"/>
  <c r="JU42" i="8"/>
  <c r="JU43" i="8" s="1"/>
  <c r="JT55" i="8"/>
  <c r="JT48" i="8"/>
  <c r="JT41" i="8"/>
  <c r="JV49" i="8" l="1"/>
  <c r="JV50" i="8" s="1"/>
  <c r="JU44" i="8"/>
  <c r="JT23" i="8"/>
  <c r="JT24" i="8" s="1"/>
  <c r="JT25" i="8" s="1"/>
  <c r="JW56" i="8" l="1"/>
  <c r="JV51" i="8"/>
  <c r="JU20" i="8"/>
  <c r="JU28" i="8"/>
  <c r="JV35" i="8" s="1"/>
  <c r="JU30" i="8" l="1"/>
  <c r="JU29" i="8"/>
  <c r="JW58" i="8"/>
  <c r="JW57" i="8"/>
  <c r="JU34" i="8"/>
  <c r="JU37" i="8" l="1"/>
  <c r="JU36" i="8"/>
  <c r="JV42" i="8"/>
  <c r="JV43" i="8" s="1"/>
  <c r="JU55" i="8"/>
  <c r="JU48" i="8"/>
  <c r="JU41" i="8"/>
  <c r="JW49" i="8" l="1"/>
  <c r="JW50" i="8" s="1"/>
  <c r="JV44" i="8"/>
  <c r="JU23" i="8"/>
  <c r="JU24" i="8" s="1"/>
  <c r="JU25" i="8" s="1"/>
  <c r="JX56" i="8" l="1"/>
  <c r="JW51" i="8"/>
  <c r="JV20" i="8"/>
  <c r="JV28" i="8"/>
  <c r="JW35" i="8" s="1"/>
  <c r="JV30" i="8" l="1"/>
  <c r="JV29" i="8"/>
  <c r="JX58" i="8"/>
  <c r="JX57" i="8"/>
  <c r="JV34" i="8"/>
  <c r="JV37" i="8" l="1"/>
  <c r="JV36" i="8"/>
  <c r="JW42" i="8"/>
  <c r="JW43" i="8" s="1"/>
  <c r="JV55" i="8"/>
  <c r="JV48" i="8"/>
  <c r="JV41" i="8"/>
  <c r="JX49" i="8" l="1"/>
  <c r="JX50" i="8" s="1"/>
  <c r="JW44" i="8"/>
  <c r="JV23" i="8"/>
  <c r="JV24" i="8" s="1"/>
  <c r="JV25" i="8" s="1"/>
  <c r="JY56" i="8" l="1"/>
  <c r="JX51" i="8"/>
  <c r="JW20" i="8"/>
  <c r="JW28" i="8"/>
  <c r="JX35" i="8" s="1"/>
  <c r="JW30" i="8" l="1"/>
  <c r="JW29" i="8"/>
  <c r="JY58" i="8"/>
  <c r="JY57" i="8"/>
  <c r="JW34" i="8"/>
  <c r="JW37" i="8" l="1"/>
  <c r="JW36" i="8"/>
  <c r="JX42" i="8"/>
  <c r="JX43" i="8" s="1"/>
  <c r="JW55" i="8"/>
  <c r="JW48" i="8"/>
  <c r="JW41" i="8"/>
  <c r="JY49" i="8" l="1"/>
  <c r="JY50" i="8" s="1"/>
  <c r="JX44" i="8"/>
  <c r="JW23" i="8"/>
  <c r="JW24" i="8" s="1"/>
  <c r="JW25" i="8" s="1"/>
  <c r="JZ56" i="8" l="1"/>
  <c r="JY51" i="8"/>
  <c r="JX20" i="8"/>
  <c r="JX28" i="8"/>
  <c r="JY35" i="8" s="1"/>
  <c r="JX30" i="8" l="1"/>
  <c r="JX29" i="8"/>
  <c r="JZ58" i="8"/>
  <c r="JZ57" i="8"/>
  <c r="JX34" i="8"/>
  <c r="JX37" i="8" l="1"/>
  <c r="JX36" i="8"/>
  <c r="JY42" i="8"/>
  <c r="JY43" i="8" s="1"/>
  <c r="JX55" i="8"/>
  <c r="JX48" i="8"/>
  <c r="JX41" i="8"/>
  <c r="JZ49" i="8" l="1"/>
  <c r="JZ50" i="8" s="1"/>
  <c r="JY44" i="8"/>
  <c r="JX23" i="8"/>
  <c r="JX24" i="8" s="1"/>
  <c r="JX25" i="8" s="1"/>
  <c r="KA56" i="8" l="1"/>
  <c r="JZ51" i="8"/>
  <c r="JY20" i="8"/>
  <c r="JY28" i="8"/>
  <c r="JZ35" i="8" s="1"/>
  <c r="JY30" i="8" l="1"/>
  <c r="JY29" i="8"/>
  <c r="KA58" i="8"/>
  <c r="KA57" i="8"/>
  <c r="JY34" i="8"/>
  <c r="JY37" i="8" l="1"/>
  <c r="JY36" i="8"/>
  <c r="JZ42" i="8"/>
  <c r="JZ43" i="8" s="1"/>
  <c r="JY55" i="8"/>
  <c r="JY48" i="8"/>
  <c r="JY41" i="8"/>
  <c r="KA49" i="8" l="1"/>
  <c r="KA50" i="8" s="1"/>
  <c r="JZ44" i="8"/>
  <c r="JY23" i="8"/>
  <c r="JY24" i="8" s="1"/>
  <c r="JY25" i="8" s="1"/>
  <c r="KB56" i="8" l="1"/>
  <c r="KA51" i="8"/>
  <c r="JZ20" i="8"/>
  <c r="JZ28" i="8"/>
  <c r="KA35" i="8" s="1"/>
  <c r="JZ30" i="8" l="1"/>
  <c r="JZ29" i="8"/>
  <c r="KB58" i="8"/>
  <c r="KB57" i="8"/>
  <c r="JZ34" i="8"/>
  <c r="JZ37" i="8" l="1"/>
  <c r="JZ36" i="8"/>
  <c r="KA42" i="8"/>
  <c r="KA43" i="8" s="1"/>
  <c r="JZ55" i="8"/>
  <c r="JZ48" i="8"/>
  <c r="JZ41" i="8"/>
  <c r="KB49" i="8" l="1"/>
  <c r="KB50" i="8" s="1"/>
  <c r="KA44" i="8"/>
  <c r="JZ23" i="8"/>
  <c r="JZ24" i="8" s="1"/>
  <c r="JZ25" i="8" s="1"/>
  <c r="KC56" i="8" l="1"/>
  <c r="KB51" i="8"/>
  <c r="KA20" i="8"/>
  <c r="KA28" i="8"/>
  <c r="KB35" i="8" s="1"/>
  <c r="KA30" i="8" l="1"/>
  <c r="KA29" i="8"/>
  <c r="KC58" i="8"/>
  <c r="KC57" i="8"/>
  <c r="KA34" i="8"/>
  <c r="KA37" i="8" l="1"/>
  <c r="KA36" i="8"/>
  <c r="KB42" i="8"/>
  <c r="KB43" i="8" s="1"/>
  <c r="KA55" i="8"/>
  <c r="KA48" i="8"/>
  <c r="KA41" i="8"/>
  <c r="KC49" i="8" l="1"/>
  <c r="KC50" i="8" s="1"/>
  <c r="KB44" i="8"/>
  <c r="KA23" i="8"/>
  <c r="KA24" i="8" s="1"/>
  <c r="KA25" i="8" s="1"/>
  <c r="KD56" i="8" l="1"/>
  <c r="KC51" i="8"/>
  <c r="KB20" i="8"/>
  <c r="KB28" i="8"/>
  <c r="KC35" i="8" s="1"/>
  <c r="KB30" i="8" l="1"/>
  <c r="KB29" i="8"/>
  <c r="KD58" i="8"/>
  <c r="KD57" i="8"/>
  <c r="KB34" i="8"/>
  <c r="KB37" i="8" l="1"/>
  <c r="KB36" i="8"/>
  <c r="KC42" i="8"/>
  <c r="KC43" i="8" s="1"/>
  <c r="KB55" i="8"/>
  <c r="KB48" i="8"/>
  <c r="KB41" i="8"/>
  <c r="KD49" i="8" l="1"/>
  <c r="KD50" i="8" s="1"/>
  <c r="KC44" i="8"/>
  <c r="KB23" i="8"/>
  <c r="KB24" i="8" s="1"/>
  <c r="KB25" i="8" s="1"/>
  <c r="KE56" i="8" l="1"/>
  <c r="KD51" i="8"/>
  <c r="KC20" i="8"/>
  <c r="KC28" i="8"/>
  <c r="KD35" i="8" s="1"/>
  <c r="KC30" i="8" l="1"/>
  <c r="KC29" i="8"/>
  <c r="KE58" i="8"/>
  <c r="KE57" i="8"/>
  <c r="KC34" i="8"/>
  <c r="KC37" i="8" l="1"/>
  <c r="KC36" i="8"/>
  <c r="KD42" i="8"/>
  <c r="KD43" i="8" s="1"/>
  <c r="KC55" i="8"/>
  <c r="KC48" i="8"/>
  <c r="KC41" i="8"/>
  <c r="KE49" i="8" l="1"/>
  <c r="KE50" i="8" s="1"/>
  <c r="KD44" i="8"/>
  <c r="KC23" i="8"/>
  <c r="KC24" i="8" s="1"/>
  <c r="KC25" i="8" s="1"/>
  <c r="KF56" i="8" l="1"/>
  <c r="KE51" i="8"/>
  <c r="KD20" i="8"/>
  <c r="KD28" i="8"/>
  <c r="KE35" i="8" s="1"/>
  <c r="KD30" i="8" l="1"/>
  <c r="KD29" i="8"/>
  <c r="KF58" i="8"/>
  <c r="KF57" i="8"/>
  <c r="KD34" i="8"/>
  <c r="KD37" i="8" l="1"/>
  <c r="KD36" i="8"/>
  <c r="KE42" i="8"/>
  <c r="KE43" i="8" s="1"/>
  <c r="KD55" i="8"/>
  <c r="KD48" i="8"/>
  <c r="KD41" i="8"/>
  <c r="KF49" i="8" l="1"/>
  <c r="KF50" i="8" s="1"/>
  <c r="KE44" i="8"/>
  <c r="KD23" i="8"/>
  <c r="KD24" i="8" s="1"/>
  <c r="KD25" i="8" s="1"/>
  <c r="KG56" i="8" l="1"/>
  <c r="KF51" i="8"/>
  <c r="KE20" i="8"/>
  <c r="KE28" i="8"/>
  <c r="KF35" i="8" s="1"/>
  <c r="KE30" i="8" l="1"/>
  <c r="KE29" i="8"/>
  <c r="KG58" i="8"/>
  <c r="KG57" i="8"/>
  <c r="KE34" i="8"/>
  <c r="KE37" i="8" l="1"/>
  <c r="KE36" i="8"/>
  <c r="KF42" i="8"/>
  <c r="KF43" i="8" s="1"/>
  <c r="KE55" i="8"/>
  <c r="KE48" i="8"/>
  <c r="KE41" i="8"/>
  <c r="KG49" i="8" l="1"/>
  <c r="KG50" i="8" s="1"/>
  <c r="KF44" i="8"/>
  <c r="KE23" i="8"/>
  <c r="KE24" i="8" s="1"/>
  <c r="KE25" i="8" s="1"/>
  <c r="KH56" i="8" l="1"/>
  <c r="KG51" i="8"/>
  <c r="KF20" i="8"/>
  <c r="KF28" i="8"/>
  <c r="KG35" i="8" s="1"/>
  <c r="KF30" i="8" l="1"/>
  <c r="KF29" i="8"/>
  <c r="KH58" i="8"/>
  <c r="KH57" i="8"/>
  <c r="KF34" i="8"/>
  <c r="KF37" i="8" l="1"/>
  <c r="KF36" i="8"/>
  <c r="KG42" i="8"/>
  <c r="KG43" i="8" s="1"/>
  <c r="KF55" i="8"/>
  <c r="KF48" i="8"/>
  <c r="KF41" i="8"/>
  <c r="KH49" i="8" l="1"/>
  <c r="KH50" i="8" s="1"/>
  <c r="KG44" i="8"/>
  <c r="KF23" i="8"/>
  <c r="KI56" i="8" l="1"/>
  <c r="KH51" i="8"/>
  <c r="KF24" i="8"/>
  <c r="KF25" i="8" s="1"/>
  <c r="KI58" i="8" l="1"/>
  <c r="KI57" i="8"/>
  <c r="KG20" i="8"/>
  <c r="KG28" i="8"/>
  <c r="KH35" i="8" s="1"/>
  <c r="KG30" i="8" l="1"/>
  <c r="KG29" i="8"/>
  <c r="KG34" i="8"/>
  <c r="KG37" i="8" l="1"/>
  <c r="KG36" i="8"/>
  <c r="KH42" i="8"/>
  <c r="KH43" i="8" s="1"/>
  <c r="KG55" i="8"/>
  <c r="KG48" i="8"/>
  <c r="KG41" i="8"/>
  <c r="KI49" i="8" l="1"/>
  <c r="KI50" i="8" s="1"/>
  <c r="KH44" i="8"/>
  <c r="KG23" i="8"/>
  <c r="KG24" i="8" s="1"/>
  <c r="KG25" i="8" s="1"/>
  <c r="KJ56" i="8" l="1"/>
  <c r="KI51" i="8"/>
  <c r="KH20" i="8"/>
  <c r="KH28" i="8"/>
  <c r="KI35" i="8" s="1"/>
  <c r="KH30" i="8" l="1"/>
  <c r="KH29" i="8"/>
  <c r="KJ58" i="8"/>
  <c r="KJ57" i="8"/>
  <c r="KH34" i="8"/>
  <c r="KH37" i="8" l="1"/>
  <c r="KH36" i="8"/>
  <c r="KI42" i="8"/>
  <c r="KI43" i="8" s="1"/>
  <c r="KH55" i="8"/>
  <c r="KH48" i="8"/>
  <c r="KH41" i="8"/>
  <c r="KJ49" i="8" l="1"/>
  <c r="KJ50" i="8" s="1"/>
  <c r="KI44" i="8"/>
  <c r="KH23" i="8"/>
  <c r="KK56" i="8" l="1"/>
  <c r="KJ51" i="8"/>
  <c r="KH24" i="8"/>
  <c r="KH25" i="8" s="1"/>
  <c r="KK58" i="8" l="1"/>
  <c r="KK57" i="8"/>
  <c r="KI20" i="8"/>
  <c r="KI28" i="8"/>
  <c r="KJ35" i="8" s="1"/>
  <c r="KI30" i="8" l="1"/>
  <c r="KI29" i="8"/>
  <c r="KI34" i="8"/>
  <c r="KI37" i="8" l="1"/>
  <c r="KI36" i="8"/>
  <c r="KJ42" i="8"/>
  <c r="KJ43" i="8" s="1"/>
  <c r="KI55" i="8"/>
  <c r="KI48" i="8"/>
  <c r="KI41" i="8"/>
  <c r="KK49" i="8" l="1"/>
  <c r="KK50" i="8" s="1"/>
  <c r="KJ44" i="8"/>
  <c r="KI23" i="8"/>
  <c r="KI24" i="8" s="1"/>
  <c r="KI25" i="8" s="1"/>
  <c r="KL56" i="8" l="1"/>
  <c r="KK51" i="8"/>
  <c r="KJ20" i="8"/>
  <c r="KJ28" i="8"/>
  <c r="KK35" i="8" s="1"/>
  <c r="KJ30" i="8" l="1"/>
  <c r="KJ29" i="8"/>
  <c r="KL58" i="8"/>
  <c r="KL57" i="8"/>
  <c r="KJ34" i="8"/>
  <c r="KJ37" i="8" l="1"/>
  <c r="KJ36" i="8"/>
  <c r="KK42" i="8"/>
  <c r="KK43" i="8" s="1"/>
  <c r="KJ55" i="8"/>
  <c r="KJ48" i="8"/>
  <c r="KJ41" i="8"/>
  <c r="KL49" i="8" l="1"/>
  <c r="KL50" i="8" s="1"/>
  <c r="KK44" i="8"/>
  <c r="KJ23" i="8"/>
  <c r="KJ24" i="8" s="1"/>
  <c r="KJ25" i="8" s="1"/>
  <c r="KM56" i="8" l="1"/>
  <c r="KL51" i="8"/>
  <c r="KK20" i="8"/>
  <c r="KK28" i="8"/>
  <c r="KL35" i="8" s="1"/>
  <c r="KK30" i="8" l="1"/>
  <c r="KK29" i="8"/>
  <c r="KM58" i="8"/>
  <c r="KM57" i="8"/>
  <c r="KK34" i="8"/>
  <c r="KK37" i="8" l="1"/>
  <c r="KK36" i="8"/>
  <c r="KL42" i="8"/>
  <c r="KL43" i="8" s="1"/>
  <c r="KK55" i="8"/>
  <c r="KK48" i="8"/>
  <c r="KK41" i="8"/>
  <c r="KM49" i="8" l="1"/>
  <c r="KM50" i="8" s="1"/>
  <c r="KL44" i="8"/>
  <c r="KK23" i="8"/>
  <c r="KK24" i="8" s="1"/>
  <c r="KK25" i="8" s="1"/>
  <c r="KN56" i="8" l="1"/>
  <c r="KM51" i="8"/>
  <c r="KL20" i="8"/>
  <c r="KL28" i="8"/>
  <c r="KM35" i="8" s="1"/>
  <c r="KL30" i="8" l="1"/>
  <c r="KL29" i="8"/>
  <c r="KN58" i="8"/>
  <c r="KN57" i="8"/>
  <c r="KL34" i="8"/>
  <c r="KL37" i="8" l="1"/>
  <c r="KL36" i="8"/>
  <c r="KM42" i="8"/>
  <c r="KM43" i="8" s="1"/>
  <c r="KL55" i="8"/>
  <c r="KL48" i="8"/>
  <c r="KL41" i="8"/>
  <c r="KN49" i="8" l="1"/>
  <c r="KN50" i="8" s="1"/>
  <c r="KM44" i="8"/>
  <c r="KL23" i="8"/>
  <c r="KL24" i="8" s="1"/>
  <c r="KL25" i="8" s="1"/>
  <c r="KO56" i="8" l="1"/>
  <c r="KN51" i="8"/>
  <c r="KM20" i="8"/>
  <c r="KM28" i="8"/>
  <c r="KN35" i="8" s="1"/>
  <c r="KM30" i="8" l="1"/>
  <c r="KM29" i="8"/>
  <c r="KO58" i="8"/>
  <c r="KO57" i="8"/>
  <c r="KM34" i="8"/>
  <c r="KM37" i="8" l="1"/>
  <c r="KM36" i="8"/>
  <c r="KN42" i="8"/>
  <c r="KN43" i="8" s="1"/>
  <c r="KM55" i="8"/>
  <c r="KM48" i="8"/>
  <c r="KM41" i="8"/>
  <c r="KO49" i="8" l="1"/>
  <c r="KO50" i="8" s="1"/>
  <c r="KN44" i="8"/>
  <c r="KM23" i="8"/>
  <c r="KM24" i="8" s="1"/>
  <c r="KM25" i="8" s="1"/>
  <c r="KP56" i="8" l="1"/>
  <c r="KO51" i="8"/>
  <c r="KN20" i="8"/>
  <c r="KN28" i="8"/>
  <c r="KO35" i="8" s="1"/>
  <c r="KN30" i="8" l="1"/>
  <c r="KN29" i="8"/>
  <c r="KP58" i="8"/>
  <c r="KP57" i="8"/>
  <c r="KN34" i="8"/>
  <c r="KN37" i="8" l="1"/>
  <c r="KN36" i="8"/>
  <c r="KO42" i="8"/>
  <c r="KO43" i="8" s="1"/>
  <c r="KN55" i="8"/>
  <c r="KN48" i="8"/>
  <c r="KN41" i="8"/>
  <c r="KP49" i="8" l="1"/>
  <c r="KP50" i="8" s="1"/>
  <c r="KO44" i="8"/>
  <c r="KN23" i="8"/>
  <c r="KQ56" i="8" l="1"/>
  <c r="KP51" i="8"/>
  <c r="KN24" i="8"/>
  <c r="KN25" i="8" s="1"/>
  <c r="KQ58" i="8" l="1"/>
  <c r="KQ57" i="8"/>
  <c r="KO20" i="8"/>
  <c r="KO28" i="8"/>
  <c r="KP35" i="8" s="1"/>
  <c r="KO30" i="8" l="1"/>
  <c r="KO29" i="8"/>
  <c r="KO34" i="8"/>
  <c r="KO37" i="8" l="1"/>
  <c r="KO36" i="8"/>
  <c r="KP42" i="8"/>
  <c r="KP43" i="8" s="1"/>
  <c r="KO55" i="8"/>
  <c r="KO48" i="8"/>
  <c r="KO41" i="8"/>
  <c r="KQ49" i="8" l="1"/>
  <c r="KQ50" i="8" s="1"/>
  <c r="KP44" i="8"/>
  <c r="KO23" i="8"/>
  <c r="KR56" i="8" l="1"/>
  <c r="KQ51" i="8"/>
  <c r="KO24" i="8"/>
  <c r="KO25" i="8" s="1"/>
  <c r="KR58" i="8" l="1"/>
  <c r="KR57" i="8"/>
  <c r="KP20" i="8"/>
  <c r="KP28" i="8"/>
  <c r="KQ35" i="8" s="1"/>
  <c r="KP30" i="8" l="1"/>
  <c r="KP29" i="8"/>
  <c r="KP34" i="8"/>
  <c r="KP37" i="8" l="1"/>
  <c r="KP36" i="8"/>
  <c r="KQ42" i="8"/>
  <c r="KQ43" i="8" s="1"/>
  <c r="KP55" i="8"/>
  <c r="KP48" i="8"/>
  <c r="KP41" i="8"/>
  <c r="KR49" i="8" l="1"/>
  <c r="KR50" i="8" s="1"/>
  <c r="KQ44" i="8"/>
  <c r="KP23" i="8"/>
  <c r="KP24" i="8" s="1"/>
  <c r="KP25" i="8" s="1"/>
  <c r="KS56" i="8" l="1"/>
  <c r="KR51" i="8"/>
  <c r="KQ20" i="8"/>
  <c r="KQ28" i="8"/>
  <c r="KR35" i="8" s="1"/>
  <c r="KQ30" i="8" l="1"/>
  <c r="KQ29" i="8"/>
  <c r="KS58" i="8"/>
  <c r="KS57" i="8"/>
  <c r="KQ34" i="8"/>
  <c r="KQ37" i="8" l="1"/>
  <c r="KQ36" i="8"/>
  <c r="KR42" i="8"/>
  <c r="KR43" i="8" s="1"/>
  <c r="KQ55" i="8"/>
  <c r="KQ48" i="8"/>
  <c r="KQ41" i="8"/>
  <c r="KS49" i="8" l="1"/>
  <c r="KS50" i="8" s="1"/>
  <c r="KR44" i="8"/>
  <c r="KQ23" i="8"/>
  <c r="KQ24" i="8" s="1"/>
  <c r="KQ25" i="8" s="1"/>
  <c r="KT56" i="8" l="1"/>
  <c r="KS51" i="8"/>
  <c r="KR20" i="8"/>
  <c r="KR28" i="8"/>
  <c r="KS35" i="8" s="1"/>
  <c r="KR30" i="8" l="1"/>
  <c r="KR29" i="8"/>
  <c r="KT58" i="8"/>
  <c r="KT57" i="8"/>
  <c r="KR34" i="8"/>
  <c r="KR37" i="8" l="1"/>
  <c r="KR36" i="8"/>
  <c r="KS42" i="8"/>
  <c r="KS43" i="8" s="1"/>
  <c r="KR55" i="8"/>
  <c r="KR48" i="8"/>
  <c r="KR41" i="8"/>
  <c r="KT49" i="8" l="1"/>
  <c r="KT50" i="8" s="1"/>
  <c r="KS44" i="8"/>
  <c r="KR23" i="8"/>
  <c r="KU56" i="8" l="1"/>
  <c r="KT51" i="8"/>
  <c r="KR24" i="8"/>
  <c r="KR25" i="8" s="1"/>
  <c r="KU58" i="8" l="1"/>
  <c r="KU57" i="8"/>
  <c r="KS20" i="8"/>
  <c r="KS28" i="8"/>
  <c r="KT35" i="8" s="1"/>
  <c r="KS30" i="8" l="1"/>
  <c r="KS29" i="8"/>
  <c r="KS34" i="8"/>
  <c r="KS37" i="8" l="1"/>
  <c r="KS36" i="8"/>
  <c r="KT42" i="8"/>
  <c r="KT43" i="8" s="1"/>
  <c r="KS55" i="8"/>
  <c r="KS48" i="8"/>
  <c r="KS41" i="8"/>
  <c r="KU49" i="8" l="1"/>
  <c r="KU50" i="8" s="1"/>
  <c r="KT44" i="8"/>
  <c r="KS23" i="8"/>
  <c r="KS24" i="8" s="1"/>
  <c r="KS25" i="8" s="1"/>
  <c r="KV56" i="8" l="1"/>
  <c r="KU51" i="8"/>
  <c r="KT20" i="8"/>
  <c r="KT28" i="8"/>
  <c r="KU35" i="8" s="1"/>
  <c r="KT30" i="8" l="1"/>
  <c r="KT29" i="8"/>
  <c r="KV58" i="8"/>
  <c r="KV57" i="8"/>
  <c r="KT34" i="8"/>
  <c r="KT37" i="8" l="1"/>
  <c r="KT36" i="8"/>
  <c r="KU42" i="8"/>
  <c r="KU43" i="8" s="1"/>
  <c r="KT55" i="8"/>
  <c r="KT48" i="8"/>
  <c r="KT41" i="8"/>
  <c r="KV49" i="8" l="1"/>
  <c r="KV50" i="8" s="1"/>
  <c r="KU44" i="8"/>
  <c r="KT23" i="8"/>
  <c r="KW56" i="8" l="1"/>
  <c r="KV51" i="8"/>
  <c r="KT24" i="8"/>
  <c r="KT25" i="8" s="1"/>
  <c r="KW58" i="8" l="1"/>
  <c r="KW57" i="8"/>
  <c r="KU20" i="8"/>
  <c r="KU28" i="8"/>
  <c r="KV35" i="8" s="1"/>
  <c r="KU30" i="8" l="1"/>
  <c r="KU29" i="8"/>
  <c r="KU34" i="8"/>
  <c r="KU37" i="8" l="1"/>
  <c r="KU36" i="8"/>
  <c r="KV42" i="8"/>
  <c r="KV43" i="8" s="1"/>
  <c r="KU55" i="8"/>
  <c r="KU48" i="8"/>
  <c r="KU41" i="8"/>
  <c r="KW49" i="8" l="1"/>
  <c r="KW50" i="8" s="1"/>
  <c r="KV44" i="8"/>
  <c r="KU23" i="8"/>
  <c r="KX56" i="8" l="1"/>
  <c r="KW51" i="8"/>
  <c r="KU24" i="8"/>
  <c r="KU25" i="8" s="1"/>
  <c r="KX58" i="8" l="1"/>
  <c r="KX57" i="8"/>
  <c r="KV20" i="8"/>
  <c r="KV28" i="8"/>
  <c r="KW35" i="8" s="1"/>
  <c r="KV30" i="8" l="1"/>
  <c r="KV29" i="8"/>
  <c r="KV34" i="8"/>
  <c r="KV37" i="8" l="1"/>
  <c r="KV36" i="8"/>
  <c r="KW42" i="8"/>
  <c r="KW43" i="8" s="1"/>
  <c r="KV55" i="8"/>
  <c r="KV48" i="8"/>
  <c r="KV41" i="8"/>
  <c r="KX49" i="8" l="1"/>
  <c r="KX50" i="8" s="1"/>
  <c r="KW44" i="8"/>
  <c r="KV23" i="8"/>
  <c r="KY56" i="8" l="1"/>
  <c r="KX51" i="8"/>
  <c r="KV24" i="8"/>
  <c r="KV25" i="8" s="1"/>
  <c r="KY58" i="8" l="1"/>
  <c r="KY57" i="8"/>
  <c r="KW20" i="8"/>
  <c r="KW28" i="8"/>
  <c r="KX35" i="8" s="1"/>
  <c r="KW30" i="8" l="1"/>
  <c r="KW29" i="8"/>
  <c r="KW34" i="8"/>
  <c r="KW37" i="8" l="1"/>
  <c r="KW36" i="8"/>
  <c r="KX42" i="8"/>
  <c r="KX43" i="8" s="1"/>
  <c r="KW55" i="8"/>
  <c r="KW48" i="8"/>
  <c r="KW41" i="8"/>
  <c r="KY49" i="8" l="1"/>
  <c r="KY50" i="8" s="1"/>
  <c r="KX44" i="8"/>
  <c r="KW23" i="8"/>
  <c r="KW24" i="8" s="1"/>
  <c r="KW25" i="8" s="1"/>
  <c r="KZ56" i="8" l="1"/>
  <c r="KY51" i="8"/>
  <c r="KX20" i="8"/>
  <c r="KX28" i="8"/>
  <c r="KY35" i="8" s="1"/>
  <c r="KX30" i="8" l="1"/>
  <c r="KX29" i="8"/>
  <c r="KZ58" i="8"/>
  <c r="KZ57" i="8"/>
  <c r="KX34" i="8"/>
  <c r="KX37" i="8" l="1"/>
  <c r="KX36" i="8"/>
  <c r="KY42" i="8"/>
  <c r="KY43" i="8" s="1"/>
  <c r="KX55" i="8"/>
  <c r="KX48" i="8"/>
  <c r="KX41" i="8"/>
  <c r="KZ49" i="8" l="1"/>
  <c r="KZ50" i="8" s="1"/>
  <c r="KY44" i="8"/>
  <c r="KX23" i="8"/>
  <c r="KX24" i="8" s="1"/>
  <c r="KX25" i="8" s="1"/>
  <c r="LA56" i="8" l="1"/>
  <c r="KZ51" i="8"/>
  <c r="KY20" i="8"/>
  <c r="KY28" i="8"/>
  <c r="KZ35" i="8" s="1"/>
  <c r="KY30" i="8" l="1"/>
  <c r="KY29" i="8"/>
  <c r="LA58" i="8"/>
  <c r="LA57" i="8"/>
  <c r="KY34" i="8"/>
  <c r="KY37" i="8" l="1"/>
  <c r="KY36" i="8"/>
  <c r="KZ42" i="8"/>
  <c r="KZ43" i="8" s="1"/>
  <c r="KY55" i="8"/>
  <c r="KY48" i="8"/>
  <c r="KY41" i="8"/>
  <c r="LA49" i="8" l="1"/>
  <c r="LA50" i="8" s="1"/>
  <c r="KZ44" i="8"/>
  <c r="KY23" i="8"/>
  <c r="LB56" i="8" l="1"/>
  <c r="LA51" i="8"/>
  <c r="KY24" i="8"/>
  <c r="KY25" i="8" s="1"/>
  <c r="LB58" i="8" l="1"/>
  <c r="LB57" i="8"/>
  <c r="KZ20" i="8"/>
  <c r="KZ28" i="8"/>
  <c r="LA35" i="8" s="1"/>
  <c r="KZ30" i="8" l="1"/>
  <c r="KZ29" i="8"/>
  <c r="KZ34" i="8"/>
  <c r="KZ37" i="8" l="1"/>
  <c r="KZ36" i="8"/>
  <c r="LA42" i="8"/>
  <c r="LA43" i="8" s="1"/>
  <c r="KZ55" i="8"/>
  <c r="KZ48" i="8"/>
  <c r="KZ41" i="8"/>
  <c r="LB49" i="8" l="1"/>
  <c r="LB50" i="8" s="1"/>
  <c r="LA44" i="8"/>
  <c r="KZ23" i="8"/>
  <c r="KZ24" i="8" s="1"/>
  <c r="KZ25" i="8" s="1"/>
  <c r="LC56" i="8" l="1"/>
  <c r="LB51" i="8"/>
  <c r="LA20" i="8"/>
  <c r="LA28" i="8"/>
  <c r="LB35" i="8" s="1"/>
  <c r="LA30" i="8" l="1"/>
  <c r="LA29" i="8"/>
  <c r="LC58" i="8"/>
  <c r="LC57" i="8"/>
  <c r="LA34" i="8"/>
  <c r="LA37" i="8" l="1"/>
  <c r="LA36" i="8"/>
  <c r="LB42" i="8"/>
  <c r="LB43" i="8" s="1"/>
  <c r="LA55" i="8"/>
  <c r="LA48" i="8"/>
  <c r="LA41" i="8"/>
  <c r="LC49" i="8" l="1"/>
  <c r="LC50" i="8" s="1"/>
  <c r="LB44" i="8"/>
  <c r="LA23" i="8"/>
  <c r="LA24" i="8" s="1"/>
  <c r="LA25" i="8" s="1"/>
  <c r="LD56" i="8" l="1"/>
  <c r="LC51" i="8"/>
  <c r="LB20" i="8"/>
  <c r="LB28" i="8"/>
  <c r="LC35" i="8" s="1"/>
  <c r="LB30" i="8" l="1"/>
  <c r="LB29" i="8"/>
  <c r="LD58" i="8"/>
  <c r="LD57" i="8"/>
  <c r="LB34" i="8"/>
  <c r="LB37" i="8" l="1"/>
  <c r="LB36" i="8"/>
  <c r="LC42" i="8"/>
  <c r="LC43" i="8" s="1"/>
  <c r="LB55" i="8"/>
  <c r="LB48" i="8"/>
  <c r="LB41" i="8"/>
  <c r="LD49" i="8" l="1"/>
  <c r="LD50" i="8" s="1"/>
  <c r="LC44" i="8"/>
  <c r="LB23" i="8"/>
  <c r="LB24" i="8" s="1"/>
  <c r="LB25" i="8" s="1"/>
  <c r="LE56" i="8" l="1"/>
  <c r="LD51" i="8"/>
  <c r="LC20" i="8"/>
  <c r="LC28" i="8"/>
  <c r="LD35" i="8" s="1"/>
  <c r="LC30" i="8" l="1"/>
  <c r="LC29" i="8"/>
  <c r="LE58" i="8"/>
  <c r="LE57" i="8"/>
  <c r="LC34" i="8"/>
  <c r="LC37" i="8" l="1"/>
  <c r="LC36" i="8"/>
  <c r="LD42" i="8"/>
  <c r="LD43" i="8" s="1"/>
  <c r="LC55" i="8"/>
  <c r="LC48" i="8"/>
  <c r="LC41" i="8"/>
  <c r="LE49" i="8" l="1"/>
  <c r="LE50" i="8" s="1"/>
  <c r="LD44" i="8"/>
  <c r="LC23" i="8"/>
  <c r="LC24" i="8" s="1"/>
  <c r="LC25" i="8" s="1"/>
  <c r="LF56" i="8" l="1"/>
  <c r="LE51" i="8"/>
  <c r="LD20" i="8"/>
  <c r="LD28" i="8"/>
  <c r="LE35" i="8" s="1"/>
  <c r="LD30" i="8" l="1"/>
  <c r="LD29" i="8"/>
  <c r="LF58" i="8"/>
  <c r="LF57" i="8"/>
  <c r="LD34" i="8"/>
  <c r="LD37" i="8" l="1"/>
  <c r="LD36" i="8"/>
  <c r="LE42" i="8"/>
  <c r="LE43" i="8" s="1"/>
  <c r="LD55" i="8"/>
  <c r="LD48" i="8"/>
  <c r="LD41" i="8"/>
  <c r="LF49" i="8" l="1"/>
  <c r="LF50" i="8" s="1"/>
  <c r="LE44" i="8"/>
  <c r="LD23" i="8"/>
  <c r="LG56" i="8" l="1"/>
  <c r="LF51" i="8"/>
  <c r="LD24" i="8"/>
  <c r="LD25" i="8" s="1"/>
  <c r="LG58" i="8" l="1"/>
  <c r="LG57" i="8"/>
  <c r="LE20" i="8"/>
  <c r="LE28" i="8"/>
  <c r="LF35" i="8" s="1"/>
  <c r="LE30" i="8" l="1"/>
  <c r="LE29" i="8"/>
  <c r="LE34" i="8"/>
  <c r="LE37" i="8" l="1"/>
  <c r="LE36" i="8"/>
  <c r="LF42" i="8"/>
  <c r="LF43" i="8" s="1"/>
  <c r="LE55" i="8"/>
  <c r="LE48" i="8"/>
  <c r="LE41" i="8"/>
  <c r="LG49" i="8" l="1"/>
  <c r="LG50" i="8" s="1"/>
  <c r="LF44" i="8"/>
  <c r="LE23" i="8"/>
  <c r="LE24" i="8" s="1"/>
  <c r="LE25" i="8" s="1"/>
  <c r="LH56" i="8" l="1"/>
  <c r="LG51" i="8"/>
  <c r="LF20" i="8"/>
  <c r="LF28" i="8"/>
  <c r="LG35" i="8" s="1"/>
  <c r="LF30" i="8" l="1"/>
  <c r="LF29" i="8"/>
  <c r="LH58" i="8"/>
  <c r="LH57" i="8"/>
  <c r="LF34" i="8"/>
  <c r="LF37" i="8" l="1"/>
  <c r="LF36" i="8"/>
  <c r="LG42" i="8"/>
  <c r="LG43" i="8" s="1"/>
  <c r="LF55" i="8"/>
  <c r="LF48" i="8"/>
  <c r="LF41" i="8"/>
  <c r="LH49" i="8" l="1"/>
  <c r="LH50" i="8" s="1"/>
  <c r="LG44" i="8"/>
  <c r="LF23" i="8"/>
  <c r="LI56" i="8" l="1"/>
  <c r="LH51" i="8"/>
  <c r="LF24" i="8"/>
  <c r="LF25" i="8" s="1"/>
  <c r="LI58" i="8" l="1"/>
  <c r="LI57" i="8"/>
  <c r="LG20" i="8"/>
  <c r="LG28" i="8"/>
  <c r="LH35" i="8" s="1"/>
  <c r="LG30" i="8" l="1"/>
  <c r="LG29" i="8"/>
  <c r="LG34" i="8"/>
  <c r="LG37" i="8" l="1"/>
  <c r="LG36" i="8"/>
  <c r="LH42" i="8"/>
  <c r="LH43" i="8" s="1"/>
  <c r="LG55" i="8"/>
  <c r="LG48" i="8"/>
  <c r="LG41" i="8"/>
  <c r="LI49" i="8" l="1"/>
  <c r="LI50" i="8" s="1"/>
  <c r="LH44" i="8"/>
  <c r="LG23" i="8"/>
  <c r="LG24" i="8" s="1"/>
  <c r="LG25" i="8" s="1"/>
  <c r="LJ56" i="8" l="1"/>
  <c r="LI51" i="8"/>
  <c r="LH20" i="8"/>
  <c r="LH28" i="8"/>
  <c r="LI35" i="8" s="1"/>
  <c r="LH30" i="8" l="1"/>
  <c r="LH29" i="8"/>
  <c r="LJ58" i="8"/>
  <c r="LJ57" i="8"/>
  <c r="LH34" i="8"/>
  <c r="LH37" i="8" l="1"/>
  <c r="LH36" i="8"/>
  <c r="LI42" i="8"/>
  <c r="LI43" i="8" s="1"/>
  <c r="LH55" i="8"/>
  <c r="LH48" i="8"/>
  <c r="LH41" i="8"/>
  <c r="LJ49" i="8" l="1"/>
  <c r="LJ50" i="8" s="1"/>
  <c r="LI44" i="8"/>
  <c r="LH23" i="8"/>
  <c r="LH24" i="8" s="1"/>
  <c r="LH25" i="8" s="1"/>
  <c r="LK56" i="8" l="1"/>
  <c r="LJ51" i="8"/>
  <c r="LI20" i="8"/>
  <c r="LI28" i="8"/>
  <c r="LJ35" i="8" s="1"/>
  <c r="LI30" i="8" l="1"/>
  <c r="LI29" i="8"/>
  <c r="LK58" i="8"/>
  <c r="LK57" i="8"/>
  <c r="LI34" i="8"/>
  <c r="LI37" i="8" l="1"/>
  <c r="LI36" i="8"/>
  <c r="LJ42" i="8"/>
  <c r="LJ43" i="8" s="1"/>
  <c r="LI55" i="8"/>
  <c r="LI48" i="8"/>
  <c r="LI41" i="8"/>
  <c r="LK49" i="8" l="1"/>
  <c r="LK50" i="8" s="1"/>
  <c r="LJ44" i="8"/>
  <c r="LI23" i="8"/>
  <c r="LI24" i="8" s="1"/>
  <c r="LI25" i="8" s="1"/>
  <c r="LL56" i="8" l="1"/>
  <c r="LK51" i="8"/>
  <c r="LJ20" i="8"/>
  <c r="LJ28" i="8"/>
  <c r="LK35" i="8" s="1"/>
  <c r="LJ30" i="8" l="1"/>
  <c r="LJ29" i="8"/>
  <c r="LL58" i="8"/>
  <c r="LL57" i="8"/>
  <c r="LJ34" i="8"/>
  <c r="LJ37" i="8" l="1"/>
  <c r="LJ36" i="8"/>
  <c r="LK42" i="8"/>
  <c r="LK43" i="8" s="1"/>
  <c r="LJ55" i="8"/>
  <c r="LJ48" i="8"/>
  <c r="LJ41" i="8"/>
  <c r="LL49" i="8" l="1"/>
  <c r="LL50" i="8" s="1"/>
  <c r="LK44" i="8"/>
  <c r="LJ23" i="8"/>
  <c r="LJ24" i="8" s="1"/>
  <c r="LJ25" i="8" s="1"/>
  <c r="LM56" i="8" l="1"/>
  <c r="LL51" i="8"/>
  <c r="LK20" i="8"/>
  <c r="LK28" i="8"/>
  <c r="LL35" i="8" s="1"/>
  <c r="LK30" i="8" l="1"/>
  <c r="LK29" i="8"/>
  <c r="LM58" i="8"/>
  <c r="LM57" i="8"/>
  <c r="LK34" i="8"/>
  <c r="LK37" i="8" l="1"/>
  <c r="LK36" i="8"/>
  <c r="LL42" i="8"/>
  <c r="LL43" i="8" s="1"/>
  <c r="LK55" i="8"/>
  <c r="LK48" i="8"/>
  <c r="LK41" i="8"/>
  <c r="LM49" i="8" l="1"/>
  <c r="LM50" i="8" s="1"/>
  <c r="LL44" i="8"/>
  <c r="LK23" i="8"/>
  <c r="LK24" i="8" s="1"/>
  <c r="LK25" i="8" s="1"/>
  <c r="LN56" i="8" l="1"/>
  <c r="LM51" i="8"/>
  <c r="LL20" i="8"/>
  <c r="LL28" i="8"/>
  <c r="LM35" i="8" s="1"/>
  <c r="LL30" i="8" l="1"/>
  <c r="LL29" i="8"/>
  <c r="LN58" i="8"/>
  <c r="LN57" i="8"/>
  <c r="LL34" i="8"/>
  <c r="LL37" i="8" l="1"/>
  <c r="LL36" i="8"/>
  <c r="LM42" i="8"/>
  <c r="LM43" i="8" s="1"/>
  <c r="LL55" i="8"/>
  <c r="LL48" i="8"/>
  <c r="LL41" i="8"/>
  <c r="LN49" i="8" l="1"/>
  <c r="LN50" i="8" s="1"/>
  <c r="LM44" i="8"/>
  <c r="LL23" i="8"/>
  <c r="LL24" i="8" s="1"/>
  <c r="LL25" i="8" s="1"/>
  <c r="LO56" i="8" l="1"/>
  <c r="LN51" i="8"/>
  <c r="LM20" i="8"/>
  <c r="LM28" i="8"/>
  <c r="LN35" i="8" s="1"/>
  <c r="LM30" i="8" l="1"/>
  <c r="LM29" i="8"/>
  <c r="LO58" i="8"/>
  <c r="LO57" i="8"/>
  <c r="LM34" i="8"/>
  <c r="LM37" i="8" l="1"/>
  <c r="LM36" i="8"/>
  <c r="LN42" i="8"/>
  <c r="LN43" i="8" s="1"/>
  <c r="LM55" i="8"/>
  <c r="LM48" i="8"/>
  <c r="LM41" i="8"/>
  <c r="LO49" i="8" l="1"/>
  <c r="LO50" i="8" s="1"/>
  <c r="LN44" i="8"/>
  <c r="LM23" i="8"/>
  <c r="LM24" i="8" s="1"/>
  <c r="LM25" i="8" s="1"/>
  <c r="LP56" i="8" l="1"/>
  <c r="LO51" i="8"/>
  <c r="LN20" i="8"/>
  <c r="LN28" i="8"/>
  <c r="LO35" i="8" s="1"/>
  <c r="LN30" i="8" l="1"/>
  <c r="LN29" i="8"/>
  <c r="LP58" i="8"/>
  <c r="LP57" i="8"/>
  <c r="LN34" i="8"/>
  <c r="LN37" i="8" l="1"/>
  <c r="LN36" i="8"/>
  <c r="LO42" i="8"/>
  <c r="LO43" i="8" s="1"/>
  <c r="LN55" i="8"/>
  <c r="LN48" i="8"/>
  <c r="LN41" i="8"/>
  <c r="LP49" i="8" l="1"/>
  <c r="LP50" i="8" s="1"/>
  <c r="LO44" i="8"/>
  <c r="LN23" i="8"/>
  <c r="LN24" i="8" s="1"/>
  <c r="LN25" i="8" s="1"/>
  <c r="LQ56" i="8" l="1"/>
  <c r="LP51" i="8"/>
  <c r="LO20" i="8"/>
  <c r="LO28" i="8"/>
  <c r="LP35" i="8" s="1"/>
  <c r="LO30" i="8" l="1"/>
  <c r="LO29" i="8"/>
  <c r="LQ58" i="8"/>
  <c r="LQ57" i="8"/>
  <c r="LO34" i="8"/>
  <c r="LO37" i="8" l="1"/>
  <c r="LO36" i="8"/>
  <c r="LP42" i="8"/>
  <c r="LP43" i="8" s="1"/>
  <c r="LO55" i="8"/>
  <c r="LO48" i="8"/>
  <c r="LO41" i="8"/>
  <c r="LQ49" i="8" l="1"/>
  <c r="LQ50" i="8" s="1"/>
  <c r="LP44" i="8"/>
  <c r="LO23" i="8"/>
  <c r="LO24" i="8" s="1"/>
  <c r="LO25" i="8" s="1"/>
  <c r="LR56" i="8" l="1"/>
  <c r="LQ51" i="8"/>
  <c r="LP20" i="8"/>
  <c r="LP28" i="8"/>
  <c r="LQ35" i="8" s="1"/>
  <c r="LP30" i="8" l="1"/>
  <c r="LP29" i="8"/>
  <c r="LR58" i="8"/>
  <c r="LR57" i="8"/>
  <c r="LP34" i="8"/>
  <c r="LP37" i="8" l="1"/>
  <c r="LP36" i="8"/>
  <c r="LQ42" i="8"/>
  <c r="LQ43" i="8" s="1"/>
  <c r="LP55" i="8"/>
  <c r="LP48" i="8"/>
  <c r="LP41" i="8"/>
  <c r="LR49" i="8" l="1"/>
  <c r="LR50" i="8" s="1"/>
  <c r="LQ44" i="8"/>
  <c r="LP23" i="8"/>
  <c r="LP24" i="8" s="1"/>
  <c r="LP25" i="8" s="1"/>
  <c r="LS56" i="8" l="1"/>
  <c r="LR51" i="8"/>
  <c r="LQ20" i="8"/>
  <c r="LQ28" i="8"/>
  <c r="LR35" i="8" s="1"/>
  <c r="LQ30" i="8" l="1"/>
  <c r="LQ29" i="8"/>
  <c r="LS58" i="8"/>
  <c r="LS57" i="8"/>
  <c r="LQ34" i="8"/>
  <c r="LQ37" i="8" l="1"/>
  <c r="LQ36" i="8"/>
  <c r="LR42" i="8"/>
  <c r="LR43" i="8" s="1"/>
  <c r="LQ55" i="8"/>
  <c r="LQ48" i="8"/>
  <c r="LQ41" i="8"/>
  <c r="LS49" i="8" l="1"/>
  <c r="LS50" i="8" s="1"/>
  <c r="LR44" i="8"/>
  <c r="LQ23" i="8"/>
  <c r="LQ24" i="8" s="1"/>
  <c r="LQ25" i="8" s="1"/>
  <c r="LT56" i="8" l="1"/>
  <c r="LS51" i="8"/>
  <c r="LR20" i="8"/>
  <c r="LR28" i="8"/>
  <c r="LS35" i="8" s="1"/>
  <c r="LR30" i="8" l="1"/>
  <c r="LR29" i="8"/>
  <c r="LT58" i="8"/>
  <c r="LT57" i="8"/>
  <c r="LR34" i="8"/>
  <c r="LR37" i="8" l="1"/>
  <c r="LR36" i="8"/>
  <c r="LS42" i="8"/>
  <c r="LS43" i="8" s="1"/>
  <c r="LR55" i="8"/>
  <c r="LR48" i="8"/>
  <c r="LR41" i="8"/>
  <c r="LT49" i="8" l="1"/>
  <c r="LT50" i="8" s="1"/>
  <c r="LS44" i="8"/>
  <c r="LR23" i="8"/>
  <c r="LR24" i="8" s="1"/>
  <c r="LR25" i="8" s="1"/>
  <c r="LU56" i="8" l="1"/>
  <c r="LT51" i="8"/>
  <c r="LS20" i="8"/>
  <c r="LS28" i="8"/>
  <c r="LT35" i="8" s="1"/>
  <c r="LS30" i="8" l="1"/>
  <c r="LS29" i="8"/>
  <c r="LU58" i="8"/>
  <c r="LU57" i="8"/>
  <c r="LS34" i="8"/>
  <c r="LS37" i="8" l="1"/>
  <c r="LS36" i="8"/>
  <c r="LT42" i="8"/>
  <c r="LT43" i="8" s="1"/>
  <c r="LS55" i="8"/>
  <c r="LS48" i="8"/>
  <c r="LS41" i="8"/>
  <c r="LU49" i="8" l="1"/>
  <c r="LU50" i="8" s="1"/>
  <c r="LT44" i="8"/>
  <c r="LS23" i="8"/>
  <c r="LS24" i="8" s="1"/>
  <c r="LS25" i="8" s="1"/>
  <c r="LV56" i="8" l="1"/>
  <c r="LU51" i="8"/>
  <c r="LT20" i="8"/>
  <c r="LT28" i="8"/>
  <c r="LU35" i="8" s="1"/>
  <c r="LT30" i="8" l="1"/>
  <c r="LT29" i="8"/>
  <c r="LV58" i="8"/>
  <c r="LV57" i="8"/>
  <c r="LT34" i="8"/>
  <c r="LT37" i="8" l="1"/>
  <c r="LT36" i="8"/>
  <c r="LU42" i="8"/>
  <c r="LU43" i="8" s="1"/>
  <c r="LT55" i="8"/>
  <c r="LT48" i="8"/>
  <c r="LT41" i="8"/>
  <c r="LV49" i="8" l="1"/>
  <c r="LV50" i="8" s="1"/>
  <c r="LU44" i="8"/>
  <c r="LT23" i="8"/>
  <c r="LT24" i="8" s="1"/>
  <c r="LT25" i="8" s="1"/>
  <c r="LW56" i="8" l="1"/>
  <c r="LV51" i="8"/>
  <c r="LU20" i="8"/>
  <c r="LU28" i="8"/>
  <c r="LV35" i="8" s="1"/>
  <c r="LU30" i="8" l="1"/>
  <c r="LU29" i="8"/>
  <c r="LW58" i="8"/>
  <c r="LW57" i="8"/>
  <c r="LU34" i="8"/>
  <c r="LU37" i="8" l="1"/>
  <c r="LU36" i="8"/>
  <c r="LV42" i="8"/>
  <c r="LV43" i="8" s="1"/>
  <c r="LU55" i="8"/>
  <c r="LU48" i="8"/>
  <c r="LU41" i="8"/>
  <c r="LW49" i="8" l="1"/>
  <c r="LW50" i="8" s="1"/>
  <c r="LV44" i="8"/>
  <c r="LU23" i="8"/>
  <c r="LU24" i="8" s="1"/>
  <c r="LU25" i="8" s="1"/>
  <c r="LX56" i="8" l="1"/>
  <c r="LW51" i="8"/>
  <c r="LV20" i="8"/>
  <c r="LV28" i="8"/>
  <c r="LW35" i="8" s="1"/>
  <c r="LV30" i="8" l="1"/>
  <c r="LV29" i="8"/>
  <c r="LX58" i="8"/>
  <c r="LX57" i="8"/>
  <c r="LV34" i="8"/>
  <c r="LV37" i="8" l="1"/>
  <c r="LV36" i="8"/>
  <c r="LW42" i="8"/>
  <c r="LW43" i="8" s="1"/>
  <c r="LV55" i="8"/>
  <c r="LV48" i="8"/>
  <c r="LV41" i="8"/>
  <c r="LX49" i="8" l="1"/>
  <c r="LX50" i="8" s="1"/>
  <c r="LW44" i="8"/>
  <c r="LV23" i="8"/>
  <c r="LY56" i="8" l="1"/>
  <c r="LX51" i="8"/>
  <c r="LV24" i="8"/>
  <c r="LV25" i="8" s="1"/>
  <c r="LY58" i="8" l="1"/>
  <c r="LY57" i="8"/>
  <c r="LW20" i="8"/>
  <c r="LW28" i="8"/>
  <c r="LX35" i="8" s="1"/>
  <c r="LW30" i="8" l="1"/>
  <c r="LW29" i="8"/>
  <c r="LW34" i="8"/>
  <c r="LW37" i="8" l="1"/>
  <c r="LW36" i="8"/>
  <c r="LX42" i="8"/>
  <c r="LX43" i="8" s="1"/>
  <c r="LW55" i="8"/>
  <c r="LW48" i="8"/>
  <c r="LW41" i="8"/>
  <c r="LY49" i="8" l="1"/>
  <c r="LY50" i="8" s="1"/>
  <c r="LX44" i="8"/>
  <c r="LW23" i="8"/>
  <c r="LW24" i="8" s="1"/>
  <c r="LW25" i="8" s="1"/>
  <c r="LZ56" i="8" l="1"/>
  <c r="LY51" i="8"/>
  <c r="LX20" i="8"/>
  <c r="LX28" i="8"/>
  <c r="LY35" i="8" s="1"/>
  <c r="LX30" i="8" l="1"/>
  <c r="LX29" i="8"/>
  <c r="LZ58" i="8"/>
  <c r="LZ57" i="8"/>
  <c r="LX34" i="8"/>
  <c r="LX37" i="8" l="1"/>
  <c r="LX36" i="8"/>
  <c r="LY42" i="8"/>
  <c r="LY43" i="8" s="1"/>
  <c r="LX55" i="8"/>
  <c r="LX48" i="8"/>
  <c r="LX41" i="8"/>
  <c r="LZ49" i="8" l="1"/>
  <c r="LZ50" i="8" s="1"/>
  <c r="LY44" i="8"/>
  <c r="LX23" i="8"/>
  <c r="LX24" i="8" s="1"/>
  <c r="LX25" i="8" s="1"/>
  <c r="MA56" i="8" l="1"/>
  <c r="LZ51" i="8"/>
  <c r="LY20" i="8"/>
  <c r="LY28" i="8"/>
  <c r="LZ35" i="8" s="1"/>
  <c r="LY30" i="8" l="1"/>
  <c r="LY29" i="8"/>
  <c r="MA58" i="8"/>
  <c r="MA57" i="8"/>
  <c r="LY34" i="8"/>
  <c r="LY37" i="8" l="1"/>
  <c r="LY36" i="8"/>
  <c r="LZ42" i="8"/>
  <c r="LZ43" i="8" s="1"/>
  <c r="LY55" i="8"/>
  <c r="LY48" i="8"/>
  <c r="LY41" i="8"/>
  <c r="MA49" i="8" l="1"/>
  <c r="MA50" i="8" s="1"/>
  <c r="LZ44" i="8"/>
  <c r="LY23" i="8"/>
  <c r="LY24" i="8" s="1"/>
  <c r="LY25" i="8" s="1"/>
  <c r="MB56" i="8" l="1"/>
  <c r="MA51" i="8"/>
  <c r="LZ20" i="8"/>
  <c r="LZ28" i="8"/>
  <c r="MA35" i="8" s="1"/>
  <c r="LZ30" i="8" l="1"/>
  <c r="LZ29" i="8"/>
  <c r="MB58" i="8"/>
  <c r="MB57" i="8"/>
  <c r="LZ34" i="8"/>
  <c r="LZ37" i="8" l="1"/>
  <c r="LZ36" i="8"/>
  <c r="MA42" i="8"/>
  <c r="MA43" i="8" s="1"/>
  <c r="LZ55" i="8"/>
  <c r="LZ48" i="8"/>
  <c r="LZ41" i="8"/>
  <c r="MB49" i="8" l="1"/>
  <c r="MB50" i="8" s="1"/>
  <c r="MA44" i="8"/>
  <c r="LZ23" i="8"/>
  <c r="LZ24" i="8" s="1"/>
  <c r="LZ25" i="8" s="1"/>
  <c r="MC56" i="8" l="1"/>
  <c r="MB51" i="8"/>
  <c r="MA20" i="8"/>
  <c r="MA28" i="8"/>
  <c r="MB35" i="8" s="1"/>
  <c r="MA30" i="8" l="1"/>
  <c r="MA29" i="8"/>
  <c r="MC58" i="8"/>
  <c r="MC57" i="8"/>
  <c r="MA34" i="8"/>
  <c r="MA37" i="8" l="1"/>
  <c r="MA36" i="8"/>
  <c r="MB42" i="8"/>
  <c r="MB43" i="8" s="1"/>
  <c r="MA55" i="8"/>
  <c r="MA48" i="8"/>
  <c r="MA41" i="8"/>
  <c r="MC49" i="8" l="1"/>
  <c r="MC50" i="8" s="1"/>
  <c r="MB44" i="8"/>
  <c r="MA23" i="8"/>
  <c r="MA24" i="8" s="1"/>
  <c r="MA25" i="8" s="1"/>
  <c r="MD56" i="8" l="1"/>
  <c r="MC51" i="8"/>
  <c r="MB20" i="8"/>
  <c r="MB28" i="8"/>
  <c r="MC35" i="8" s="1"/>
  <c r="MB30" i="8" l="1"/>
  <c r="MB29" i="8"/>
  <c r="MD58" i="8"/>
  <c r="MD57" i="8"/>
  <c r="MB34" i="8"/>
  <c r="MB37" i="8" l="1"/>
  <c r="MB36" i="8"/>
  <c r="MC42" i="8"/>
  <c r="MC43" i="8" s="1"/>
  <c r="MB55" i="8"/>
  <c r="MB48" i="8"/>
  <c r="MB41" i="8"/>
  <c r="MD49" i="8" l="1"/>
  <c r="MD50" i="8" s="1"/>
  <c r="MC44" i="8"/>
  <c r="MB23" i="8"/>
  <c r="MB24" i="8" s="1"/>
  <c r="MB25" i="8" s="1"/>
  <c r="ME56" i="8" l="1"/>
  <c r="MD51" i="8"/>
  <c r="MC20" i="8"/>
  <c r="MC28" i="8"/>
  <c r="MD35" i="8" s="1"/>
  <c r="MC30" i="8" l="1"/>
  <c r="MC29" i="8"/>
  <c r="ME58" i="8"/>
  <c r="ME57" i="8"/>
  <c r="MC34" i="8"/>
  <c r="MC37" i="8" l="1"/>
  <c r="MC36" i="8"/>
  <c r="MD42" i="8"/>
  <c r="MD43" i="8" s="1"/>
  <c r="MC55" i="8"/>
  <c r="MC48" i="8"/>
  <c r="MC41" i="8"/>
  <c r="ME49" i="8" l="1"/>
  <c r="ME50" i="8" s="1"/>
  <c r="MD44" i="8"/>
  <c r="MC23" i="8"/>
  <c r="MC24" i="8" s="1"/>
  <c r="MC25" i="8" s="1"/>
  <c r="MF56" i="8" l="1"/>
  <c r="ME51" i="8"/>
  <c r="MD20" i="8"/>
  <c r="MD28" i="8"/>
  <c r="ME35" i="8" s="1"/>
  <c r="MD30" i="8" l="1"/>
  <c r="MD29" i="8"/>
  <c r="MF58" i="8"/>
  <c r="MF57" i="8"/>
  <c r="MD34" i="8"/>
  <c r="MD37" i="8" l="1"/>
  <c r="MD36" i="8"/>
  <c r="ME42" i="8"/>
  <c r="ME43" i="8" s="1"/>
  <c r="MD55" i="8"/>
  <c r="MD48" i="8"/>
  <c r="MD41" i="8"/>
  <c r="MF49" i="8" l="1"/>
  <c r="MF50" i="8" s="1"/>
  <c r="ME44" i="8"/>
  <c r="MD23" i="8"/>
  <c r="MD24" i="8" s="1"/>
  <c r="MD25" i="8" s="1"/>
  <c r="MG56" i="8" l="1"/>
  <c r="MF51" i="8"/>
  <c r="ME20" i="8"/>
  <c r="ME28" i="8"/>
  <c r="MF35" i="8" s="1"/>
  <c r="ME30" i="8" l="1"/>
  <c r="ME29" i="8"/>
  <c r="MG58" i="8"/>
  <c r="MG57" i="8"/>
  <c r="ME34" i="8"/>
  <c r="ME37" i="8" l="1"/>
  <c r="ME36" i="8"/>
  <c r="MF42" i="8"/>
  <c r="MF43" i="8" s="1"/>
  <c r="ME55" i="8"/>
  <c r="ME48" i="8"/>
  <c r="ME41" i="8"/>
  <c r="MG49" i="8" l="1"/>
  <c r="MG50" i="8" s="1"/>
  <c r="MF44" i="8"/>
  <c r="ME23" i="8"/>
  <c r="ME24" i="8" s="1"/>
  <c r="ME25" i="8" s="1"/>
  <c r="MH56" i="8" l="1"/>
  <c r="MG51" i="8"/>
  <c r="MF20" i="8"/>
  <c r="MF28" i="8"/>
  <c r="MG35" i="8" s="1"/>
  <c r="MF30" i="8" l="1"/>
  <c r="MF29" i="8"/>
  <c r="MH58" i="8"/>
  <c r="MH57" i="8"/>
  <c r="MF34" i="8"/>
  <c r="MF37" i="8" l="1"/>
  <c r="MF36" i="8"/>
  <c r="MG42" i="8"/>
  <c r="MG43" i="8" s="1"/>
  <c r="MF55" i="8"/>
  <c r="MF48" i="8"/>
  <c r="MF41" i="8"/>
  <c r="MH49" i="8" l="1"/>
  <c r="MH50" i="8" s="1"/>
  <c r="MG44" i="8"/>
  <c r="MF23" i="8"/>
  <c r="MF24" i="8" s="1"/>
  <c r="MF25" i="8" s="1"/>
  <c r="MI56" i="8" l="1"/>
  <c r="MH51" i="8"/>
  <c r="MG20" i="8"/>
  <c r="MG28" i="8"/>
  <c r="MH35" i="8" s="1"/>
  <c r="MG30" i="8" l="1"/>
  <c r="MG29" i="8"/>
  <c r="MI58" i="8"/>
  <c r="MI57" i="8"/>
  <c r="MG34" i="8"/>
  <c r="MG37" i="8" l="1"/>
  <c r="MG36" i="8"/>
  <c r="MH42" i="8"/>
  <c r="MH43" i="8" s="1"/>
  <c r="MG55" i="8"/>
  <c r="MG48" i="8"/>
  <c r="MG41" i="8"/>
  <c r="MI49" i="8" l="1"/>
  <c r="MI50" i="8" s="1"/>
  <c r="MH44" i="8"/>
  <c r="MG23" i="8"/>
  <c r="MG24" i="8" s="1"/>
  <c r="MG25" i="8" s="1"/>
  <c r="MJ56" i="8" l="1"/>
  <c r="MI51" i="8"/>
  <c r="MH20" i="8"/>
  <c r="MH28" i="8"/>
  <c r="MI35" i="8" s="1"/>
  <c r="MH30" i="8" l="1"/>
  <c r="MH29" i="8"/>
  <c r="MJ58" i="8"/>
  <c r="MJ57" i="8"/>
  <c r="MH34" i="8"/>
  <c r="MH37" i="8" l="1"/>
  <c r="MH36" i="8"/>
  <c r="MI42" i="8"/>
  <c r="MI43" i="8" s="1"/>
  <c r="MH55" i="8"/>
  <c r="MH48" i="8"/>
  <c r="MH41" i="8"/>
  <c r="MJ49" i="8" l="1"/>
  <c r="MJ50" i="8" s="1"/>
  <c r="MI44" i="8"/>
  <c r="MH23" i="8"/>
  <c r="MH24" i="8" s="1"/>
  <c r="MH25" i="8" s="1"/>
  <c r="MK56" i="8" l="1"/>
  <c r="MJ51" i="8"/>
  <c r="MI20" i="8"/>
  <c r="MI28" i="8"/>
  <c r="MJ35" i="8" s="1"/>
  <c r="MI30" i="8" l="1"/>
  <c r="MI29" i="8"/>
  <c r="MK58" i="8"/>
  <c r="MK57" i="8"/>
  <c r="MI34" i="8"/>
  <c r="MI37" i="8" l="1"/>
  <c r="MI36" i="8"/>
  <c r="MJ42" i="8"/>
  <c r="MJ43" i="8" s="1"/>
  <c r="MI55" i="8"/>
  <c r="MI48" i="8"/>
  <c r="MI41" i="8"/>
  <c r="MK49" i="8" l="1"/>
  <c r="MK50" i="8" s="1"/>
  <c r="MJ44" i="8"/>
  <c r="MI23" i="8"/>
  <c r="ML56" i="8" l="1"/>
  <c r="MK51" i="8"/>
  <c r="MI24" i="8"/>
  <c r="MI25" i="8" s="1"/>
  <c r="ML58" i="8" l="1"/>
  <c r="ML57" i="8"/>
  <c r="MJ20" i="8"/>
  <c r="MJ28" i="8"/>
  <c r="MK35" i="8" s="1"/>
  <c r="MJ30" i="8" l="1"/>
  <c r="MJ29" i="8"/>
  <c r="MJ34" i="8"/>
  <c r="MJ37" i="8" l="1"/>
  <c r="MJ36" i="8"/>
  <c r="MK42" i="8"/>
  <c r="MK43" i="8" s="1"/>
  <c r="MJ55" i="8"/>
  <c r="MJ48" i="8"/>
  <c r="MJ41" i="8"/>
  <c r="ML49" i="8" l="1"/>
  <c r="ML50" i="8" s="1"/>
  <c r="MK44" i="8"/>
  <c r="MJ23" i="8"/>
  <c r="MJ24" i="8" s="1"/>
  <c r="MJ25" i="8" s="1"/>
  <c r="MM56" i="8" l="1"/>
  <c r="ML51" i="8"/>
  <c r="MK20" i="8"/>
  <c r="MK28" i="8"/>
  <c r="ML35" i="8" s="1"/>
  <c r="MK30" i="8" l="1"/>
  <c r="MK29" i="8"/>
  <c r="MM58" i="8"/>
  <c r="MM57" i="8"/>
  <c r="MK34" i="8"/>
  <c r="MK37" i="8" l="1"/>
  <c r="MK36" i="8"/>
  <c r="ML42" i="8"/>
  <c r="ML43" i="8" s="1"/>
  <c r="MK55" i="8"/>
  <c r="MK48" i="8"/>
  <c r="MK41" i="8"/>
  <c r="MM49" i="8" l="1"/>
  <c r="MM50" i="8" s="1"/>
  <c r="ML44" i="8"/>
  <c r="MK23" i="8"/>
  <c r="MK24" i="8" s="1"/>
  <c r="MK25" i="8" s="1"/>
  <c r="MN56" i="8" l="1"/>
  <c r="MM51" i="8"/>
  <c r="ML20" i="8"/>
  <c r="ML28" i="8"/>
  <c r="MM35" i="8" s="1"/>
  <c r="ML30" i="8" l="1"/>
  <c r="ML29" i="8"/>
  <c r="MN58" i="8"/>
  <c r="MN57" i="8"/>
  <c r="ML34" i="8"/>
  <c r="ML37" i="8" l="1"/>
  <c r="ML36" i="8"/>
  <c r="MM42" i="8"/>
  <c r="MM43" i="8" s="1"/>
  <c r="ML55" i="8"/>
  <c r="ML48" i="8"/>
  <c r="ML41" i="8"/>
  <c r="MN49" i="8" l="1"/>
  <c r="MN50" i="8" s="1"/>
  <c r="MM44" i="8"/>
  <c r="ML23" i="8"/>
  <c r="ML24" i="8" s="1"/>
  <c r="ML25" i="8" s="1"/>
  <c r="MO56" i="8" l="1"/>
  <c r="MN51" i="8"/>
  <c r="MM20" i="8"/>
  <c r="MM28" i="8"/>
  <c r="MN35" i="8" s="1"/>
  <c r="MM30" i="8" l="1"/>
  <c r="MM29" i="8"/>
  <c r="MO58" i="8"/>
  <c r="MO57" i="8"/>
  <c r="MM34" i="8"/>
  <c r="MM37" i="8" l="1"/>
  <c r="MM36" i="8"/>
  <c r="MN42" i="8"/>
  <c r="MN43" i="8" s="1"/>
  <c r="MM55" i="8"/>
  <c r="MM48" i="8"/>
  <c r="MM41" i="8"/>
  <c r="MO49" i="8" l="1"/>
  <c r="MO50" i="8" s="1"/>
  <c r="MN44" i="8"/>
  <c r="MM23" i="8"/>
  <c r="MM24" i="8" s="1"/>
  <c r="MM25" i="8" s="1"/>
  <c r="MP56" i="8" l="1"/>
  <c r="MO51" i="8"/>
  <c r="MN20" i="8"/>
  <c r="MN28" i="8"/>
  <c r="MO35" i="8" s="1"/>
  <c r="MN30" i="8" l="1"/>
  <c r="MN29" i="8"/>
  <c r="MP58" i="8"/>
  <c r="MP57" i="8"/>
  <c r="MN34" i="8"/>
  <c r="MN37" i="8" l="1"/>
  <c r="MN36" i="8"/>
  <c r="MO42" i="8"/>
  <c r="MO43" i="8" s="1"/>
  <c r="MN55" i="8"/>
  <c r="MN48" i="8"/>
  <c r="MN41" i="8"/>
  <c r="MP49" i="8" l="1"/>
  <c r="MP50" i="8" s="1"/>
  <c r="MO44" i="8"/>
  <c r="MN23" i="8"/>
  <c r="MN24" i="8" s="1"/>
  <c r="MN25" i="8" s="1"/>
  <c r="MQ56" i="8" l="1"/>
  <c r="MP51" i="8"/>
  <c r="MO20" i="8"/>
  <c r="MO28" i="8"/>
  <c r="MP35" i="8" s="1"/>
  <c r="MO30" i="8" l="1"/>
  <c r="MO29" i="8"/>
  <c r="MQ58" i="8"/>
  <c r="MQ57" i="8"/>
  <c r="MO34" i="8"/>
  <c r="MO37" i="8" l="1"/>
  <c r="MO36" i="8"/>
  <c r="MP42" i="8"/>
  <c r="MP43" i="8" s="1"/>
  <c r="MO55" i="8"/>
  <c r="MO48" i="8"/>
  <c r="MO41" i="8"/>
  <c r="MQ49" i="8" l="1"/>
  <c r="MQ50" i="8" s="1"/>
  <c r="MP44" i="8"/>
  <c r="MO23" i="8"/>
  <c r="MO24" i="8" s="1"/>
  <c r="MO25" i="8" s="1"/>
  <c r="MR56" i="8" l="1"/>
  <c r="MQ51" i="8"/>
  <c r="MP20" i="8"/>
  <c r="MP28" i="8"/>
  <c r="MQ35" i="8" s="1"/>
  <c r="MP30" i="8" l="1"/>
  <c r="MP29" i="8"/>
  <c r="MR58" i="8"/>
  <c r="MR57" i="8"/>
  <c r="MP34" i="8"/>
  <c r="MP37" i="8" l="1"/>
  <c r="MP36" i="8"/>
  <c r="MQ42" i="8"/>
  <c r="MQ43" i="8" s="1"/>
  <c r="MP55" i="8"/>
  <c r="MP48" i="8"/>
  <c r="MP41" i="8"/>
  <c r="MR49" i="8" l="1"/>
  <c r="MR50" i="8" s="1"/>
  <c r="MQ44" i="8"/>
  <c r="MP23" i="8"/>
  <c r="MP24" i="8" s="1"/>
  <c r="MP25" i="8" s="1"/>
  <c r="MS56" i="8" l="1"/>
  <c r="MR51" i="8"/>
  <c r="MQ20" i="8"/>
  <c r="MQ28" i="8"/>
  <c r="MR35" i="8" s="1"/>
  <c r="MQ30" i="8" l="1"/>
  <c r="MQ29" i="8"/>
  <c r="MS58" i="8"/>
  <c r="MS57" i="8"/>
  <c r="MQ34" i="8"/>
  <c r="MQ37" i="8" l="1"/>
  <c r="MQ36" i="8"/>
  <c r="MR42" i="8"/>
  <c r="MR43" i="8" s="1"/>
  <c r="MQ55" i="8"/>
  <c r="MQ48" i="8"/>
  <c r="MQ41" i="8"/>
  <c r="MS49" i="8" l="1"/>
  <c r="MS50" i="8" s="1"/>
  <c r="MR44" i="8"/>
  <c r="MQ23" i="8"/>
  <c r="MT56" i="8" l="1"/>
  <c r="MS51" i="8"/>
  <c r="MQ24" i="8"/>
  <c r="MQ25" i="8" s="1"/>
  <c r="MT58" i="8" l="1"/>
  <c r="MT57" i="8"/>
  <c r="MR20" i="8"/>
  <c r="MR28" i="8"/>
  <c r="MS35" i="8" s="1"/>
  <c r="MR30" i="8" l="1"/>
  <c r="MR29" i="8"/>
  <c r="MR34" i="8"/>
  <c r="MR37" i="8" l="1"/>
  <c r="MR36" i="8"/>
  <c r="MS42" i="8"/>
  <c r="MS43" i="8" s="1"/>
  <c r="MR55" i="8"/>
  <c r="MR48" i="8"/>
  <c r="MR41" i="8"/>
  <c r="MT49" i="8" l="1"/>
  <c r="MT50" i="8" s="1"/>
  <c r="MS44" i="8"/>
  <c r="MR23" i="8"/>
  <c r="MR24" i="8" s="1"/>
  <c r="MR25" i="8" s="1"/>
  <c r="MU56" i="8" l="1"/>
  <c r="MT51" i="8"/>
  <c r="MS20" i="8"/>
  <c r="MS28" i="8"/>
  <c r="MT35" i="8" s="1"/>
  <c r="MS30" i="8" l="1"/>
  <c r="MS29" i="8"/>
  <c r="MU58" i="8"/>
  <c r="MU57" i="8"/>
  <c r="MS34" i="8"/>
  <c r="MS37" i="8" l="1"/>
  <c r="MS36" i="8"/>
  <c r="MT42" i="8"/>
  <c r="MT43" i="8" s="1"/>
  <c r="MS55" i="8"/>
  <c r="MS48" i="8"/>
  <c r="MS41" i="8"/>
  <c r="MU49" i="8" l="1"/>
  <c r="MU50" i="8" s="1"/>
  <c r="MT44" i="8"/>
  <c r="MS23" i="8"/>
  <c r="MS24" i="8" s="1"/>
  <c r="MS25" i="8" s="1"/>
  <c r="MV56" i="8" l="1"/>
  <c r="MU51" i="8"/>
  <c r="MT20" i="8"/>
  <c r="MT28" i="8"/>
  <c r="MU35" i="8" s="1"/>
  <c r="MT30" i="8" l="1"/>
  <c r="MT29" i="8"/>
  <c r="MV58" i="8"/>
  <c r="MV57" i="8"/>
  <c r="MT34" i="8"/>
  <c r="MT37" i="8" l="1"/>
  <c r="MT36" i="8"/>
  <c r="MU42" i="8"/>
  <c r="MU43" i="8" s="1"/>
  <c r="MT55" i="8"/>
  <c r="MT48" i="8"/>
  <c r="MT41" i="8"/>
  <c r="MV49" i="8" l="1"/>
  <c r="MV50" i="8" s="1"/>
  <c r="MU44" i="8"/>
  <c r="MT23" i="8"/>
  <c r="MT24" i="8" s="1"/>
  <c r="MT25" i="8" s="1"/>
  <c r="MW56" i="8" l="1"/>
  <c r="MV51" i="8"/>
  <c r="MU20" i="8"/>
  <c r="MU28" i="8"/>
  <c r="MV35" i="8" s="1"/>
  <c r="MU30" i="8" l="1"/>
  <c r="MU29" i="8"/>
  <c r="MW58" i="8"/>
  <c r="MW57" i="8"/>
  <c r="MU34" i="8"/>
  <c r="MU37" i="8" l="1"/>
  <c r="MU36" i="8"/>
  <c r="MV42" i="8"/>
  <c r="MV43" i="8" s="1"/>
  <c r="MU55" i="8"/>
  <c r="MU48" i="8"/>
  <c r="MU41" i="8"/>
  <c r="MW49" i="8" l="1"/>
  <c r="MW50" i="8" s="1"/>
  <c r="MV44" i="8"/>
  <c r="MU23" i="8"/>
  <c r="MU24" i="8" s="1"/>
  <c r="MU25" i="8" s="1"/>
  <c r="MX56" i="8" l="1"/>
  <c r="MW51" i="8"/>
  <c r="MV20" i="8"/>
  <c r="MV28" i="8"/>
  <c r="MW35" i="8" s="1"/>
  <c r="MV30" i="8" l="1"/>
  <c r="MV29" i="8"/>
  <c r="MX58" i="8"/>
  <c r="MX57" i="8"/>
  <c r="MV34" i="8"/>
  <c r="MV37" i="8" l="1"/>
  <c r="MV36" i="8"/>
  <c r="MW42" i="8"/>
  <c r="MW43" i="8" s="1"/>
  <c r="MV55" i="8"/>
  <c r="MV48" i="8"/>
  <c r="MV41" i="8"/>
  <c r="MX49" i="8" l="1"/>
  <c r="MX50" i="8" s="1"/>
  <c r="MW44" i="8"/>
  <c r="MV23" i="8"/>
  <c r="MV24" i="8" s="1"/>
  <c r="MV25" i="8" s="1"/>
  <c r="MY56" i="8" l="1"/>
  <c r="MX51" i="8"/>
  <c r="MW20" i="8"/>
  <c r="MW28" i="8"/>
  <c r="MX35" i="8" s="1"/>
  <c r="MW30" i="8" l="1"/>
  <c r="MW29" i="8"/>
  <c r="MY58" i="8"/>
  <c r="MY57" i="8"/>
  <c r="MW34" i="8"/>
  <c r="MW37" i="8" l="1"/>
  <c r="MW36" i="8"/>
  <c r="MX42" i="8"/>
  <c r="MX43" i="8" s="1"/>
  <c r="MW55" i="8"/>
  <c r="MW48" i="8"/>
  <c r="MW41" i="8"/>
  <c r="MY49" i="8" l="1"/>
  <c r="MY50" i="8" s="1"/>
  <c r="MX44" i="8"/>
  <c r="MW23" i="8"/>
  <c r="MW24" i="8" s="1"/>
  <c r="MW25" i="8" s="1"/>
  <c r="MZ56" i="8" l="1"/>
  <c r="MY51" i="8"/>
  <c r="MX20" i="8"/>
  <c r="MX28" i="8"/>
  <c r="MY35" i="8" s="1"/>
  <c r="MX30" i="8" l="1"/>
  <c r="MX29" i="8"/>
  <c r="MZ58" i="8"/>
  <c r="MZ57" i="8"/>
  <c r="MX34" i="8"/>
  <c r="MX37" i="8" l="1"/>
  <c r="MX36" i="8"/>
  <c r="MY42" i="8"/>
  <c r="MY43" i="8" s="1"/>
  <c r="MX55" i="8"/>
  <c r="MX48" i="8"/>
  <c r="MX41" i="8"/>
  <c r="MZ49" i="8" l="1"/>
  <c r="MZ50" i="8" s="1"/>
  <c r="MY44" i="8"/>
  <c r="MX23" i="8"/>
  <c r="MX24" i="8" s="1"/>
  <c r="MX25" i="8" s="1"/>
  <c r="NA56" i="8" l="1"/>
  <c r="MZ51" i="8"/>
  <c r="MY20" i="8"/>
  <c r="MY28" i="8"/>
  <c r="MZ35" i="8" s="1"/>
  <c r="MY30" i="8" l="1"/>
  <c r="MY29" i="8"/>
  <c r="NA58" i="8"/>
  <c r="NA57" i="8"/>
  <c r="MY34" i="8"/>
  <c r="MY37" i="8" l="1"/>
  <c r="MY36" i="8"/>
  <c r="MZ42" i="8"/>
  <c r="MZ43" i="8" s="1"/>
  <c r="MY55" i="8"/>
  <c r="MY48" i="8"/>
  <c r="MY41" i="8"/>
  <c r="NA49" i="8" l="1"/>
  <c r="NA50" i="8" s="1"/>
  <c r="MZ44" i="8"/>
  <c r="MY23" i="8"/>
  <c r="MY24" i="8" s="1"/>
  <c r="MY25" i="8" s="1"/>
  <c r="NB56" i="8" l="1"/>
  <c r="NA51" i="8"/>
  <c r="MZ20" i="8"/>
  <c r="MZ28" i="8"/>
  <c r="NA35" i="8" s="1"/>
  <c r="MZ30" i="8" l="1"/>
  <c r="MZ29" i="8"/>
  <c r="NB58" i="8"/>
  <c r="NB57" i="8"/>
  <c r="MZ34" i="8"/>
  <c r="MZ37" i="8" l="1"/>
  <c r="MZ36" i="8"/>
  <c r="NA42" i="8"/>
  <c r="NA43" i="8" s="1"/>
  <c r="MZ55" i="8"/>
  <c r="MZ48" i="8"/>
  <c r="MZ41" i="8"/>
  <c r="NB49" i="8" l="1"/>
  <c r="NB50" i="8" s="1"/>
  <c r="NA44" i="8"/>
  <c r="MZ23" i="8"/>
  <c r="MZ24" i="8" s="1"/>
  <c r="MZ25" i="8" s="1"/>
  <c r="NC56" i="8" l="1"/>
  <c r="NB51" i="8"/>
  <c r="NA20" i="8"/>
  <c r="NA28" i="8"/>
  <c r="NB35" i="8" s="1"/>
  <c r="NA30" i="8" l="1"/>
  <c r="NA29" i="8"/>
  <c r="NC58" i="8"/>
  <c r="NC57" i="8"/>
  <c r="NA34" i="8"/>
  <c r="NA37" i="8" l="1"/>
  <c r="NA36" i="8"/>
  <c r="NB42" i="8"/>
  <c r="NB43" i="8" s="1"/>
  <c r="NA55" i="8"/>
  <c r="NA48" i="8"/>
  <c r="NA41" i="8"/>
  <c r="NC49" i="8" l="1"/>
  <c r="NC50" i="8" s="1"/>
  <c r="NB44" i="8"/>
  <c r="NA23" i="8"/>
  <c r="NA24" i="8" s="1"/>
  <c r="NA25" i="8" s="1"/>
  <c r="ND56" i="8" l="1"/>
  <c r="NC51" i="8"/>
  <c r="NB20" i="8"/>
  <c r="NB28" i="8"/>
  <c r="NC35" i="8" s="1"/>
  <c r="NB30" i="8" l="1"/>
  <c r="NB29" i="8"/>
  <c r="ND58" i="8"/>
  <c r="ND57" i="8"/>
  <c r="NB34" i="8"/>
  <c r="NB37" i="8" l="1"/>
  <c r="NB36" i="8"/>
  <c r="NC42" i="8"/>
  <c r="NC43" i="8" s="1"/>
  <c r="NB55" i="8"/>
  <c r="NB48" i="8"/>
  <c r="NB41" i="8"/>
  <c r="ND49" i="8" l="1"/>
  <c r="ND50" i="8" s="1"/>
  <c r="NC44" i="8"/>
  <c r="NB23" i="8"/>
  <c r="NB24" i="8" s="1"/>
  <c r="NB25" i="8" s="1"/>
  <c r="NE56" i="8" l="1"/>
  <c r="ND51" i="8"/>
  <c r="NC20" i="8"/>
  <c r="NC28" i="8"/>
  <c r="ND35" i="8" s="1"/>
  <c r="NC30" i="8" l="1"/>
  <c r="NC29" i="8"/>
  <c r="NE58" i="8"/>
  <c r="NE57" i="8"/>
  <c r="NC34" i="8"/>
  <c r="NC37" i="8" l="1"/>
  <c r="NC36" i="8"/>
  <c r="ND42" i="8"/>
  <c r="ND43" i="8" s="1"/>
  <c r="NC55" i="8"/>
  <c r="NC48" i="8"/>
  <c r="NC41" i="8"/>
  <c r="NE49" i="8" l="1"/>
  <c r="NE50" i="8" s="1"/>
  <c r="ND44" i="8"/>
  <c r="NC23" i="8"/>
  <c r="NC24" i="8" s="1"/>
  <c r="NC25" i="8" s="1"/>
  <c r="NF56" i="8" l="1"/>
  <c r="NE51" i="8"/>
  <c r="ND20" i="8"/>
  <c r="ND28" i="8"/>
  <c r="NE35" i="8" s="1"/>
  <c r="ND30" i="8" l="1"/>
  <c r="ND29" i="8"/>
  <c r="NF58" i="8"/>
  <c r="NF57" i="8"/>
  <c r="ND34" i="8"/>
  <c r="ND37" i="8" l="1"/>
  <c r="ND36" i="8"/>
  <c r="NE42" i="8"/>
  <c r="NE43" i="8" s="1"/>
  <c r="ND55" i="8"/>
  <c r="ND48" i="8"/>
  <c r="ND41" i="8"/>
  <c r="NF49" i="8" l="1"/>
  <c r="NF50" i="8" s="1"/>
  <c r="NE44" i="8"/>
  <c r="ND23" i="8"/>
  <c r="NG56" i="8" l="1"/>
  <c r="NF51" i="8"/>
  <c r="ND24" i="8"/>
  <c r="ND25" i="8" s="1"/>
  <c r="NG58" i="8" l="1"/>
  <c r="NG57" i="8"/>
  <c r="NE20" i="8"/>
  <c r="NE28" i="8"/>
  <c r="NF35" i="8" s="1"/>
  <c r="NE30" i="8" l="1"/>
  <c r="NE29" i="8"/>
  <c r="NE34" i="8"/>
  <c r="NE37" i="8" l="1"/>
  <c r="NE36" i="8"/>
  <c r="NF42" i="8"/>
  <c r="NF43" i="8" s="1"/>
  <c r="NE55" i="8"/>
  <c r="NE48" i="8"/>
  <c r="NE41" i="8"/>
  <c r="NG49" i="8" l="1"/>
  <c r="NG50" i="8" s="1"/>
  <c r="NF44" i="8"/>
  <c r="NE23" i="8"/>
  <c r="NE24" i="8" s="1"/>
  <c r="NE25" i="8" s="1"/>
  <c r="NH56" i="8" l="1"/>
  <c r="NG51" i="8"/>
  <c r="NF20" i="8"/>
  <c r="NF28" i="8"/>
  <c r="NG35" i="8" s="1"/>
  <c r="NF30" i="8" l="1"/>
  <c r="NF29" i="8"/>
  <c r="NH58" i="8"/>
  <c r="NH57" i="8"/>
  <c r="NF34" i="8"/>
  <c r="NF37" i="8" l="1"/>
  <c r="NF36" i="8"/>
  <c r="NG42" i="8"/>
  <c r="NG43" i="8" s="1"/>
  <c r="NF55" i="8"/>
  <c r="NF48" i="8"/>
  <c r="NF41" i="8"/>
  <c r="NH49" i="8" l="1"/>
  <c r="NH50" i="8" s="1"/>
  <c r="NG44" i="8"/>
  <c r="NF23" i="8"/>
  <c r="NF24" i="8" s="1"/>
  <c r="NF25" i="8" s="1"/>
  <c r="NI56" i="8" l="1"/>
  <c r="NH51" i="8"/>
  <c r="NG20" i="8"/>
  <c r="NG28" i="8"/>
  <c r="NH35" i="8" s="1"/>
  <c r="NG30" i="8" l="1"/>
  <c r="NG29" i="8"/>
  <c r="NI58" i="8"/>
  <c r="NI57" i="8"/>
  <c r="NG34" i="8"/>
  <c r="NG37" i="8" l="1"/>
  <c r="NG36" i="8"/>
  <c r="NH42" i="8"/>
  <c r="NH43" i="8" s="1"/>
  <c r="NG55" i="8"/>
  <c r="NG48" i="8"/>
  <c r="NG41" i="8"/>
  <c r="NI49" i="8" l="1"/>
  <c r="NI50" i="8" s="1"/>
  <c r="NH44" i="8"/>
  <c r="NG23" i="8"/>
  <c r="NG24" i="8" s="1"/>
  <c r="NG25" i="8" s="1"/>
  <c r="NJ56" i="8" l="1"/>
  <c r="NI51" i="8"/>
  <c r="NH20" i="8"/>
  <c r="NH28" i="8"/>
  <c r="NI35" i="8" s="1"/>
  <c r="NH30" i="8" l="1"/>
  <c r="NH29" i="8"/>
  <c r="NJ58" i="8"/>
  <c r="NJ57" i="8"/>
  <c r="NH34" i="8"/>
  <c r="NH37" i="8" l="1"/>
  <c r="NH36" i="8"/>
  <c r="NI42" i="8"/>
  <c r="NI43" i="8" s="1"/>
  <c r="NH55" i="8"/>
  <c r="NH48" i="8"/>
  <c r="NH41" i="8"/>
  <c r="NJ49" i="8" l="1"/>
  <c r="NJ50" i="8" s="1"/>
  <c r="NI44" i="8"/>
  <c r="NH23" i="8"/>
  <c r="NH24" i="8" s="1"/>
  <c r="NH25" i="8" s="1"/>
  <c r="NK56" i="8" l="1"/>
  <c r="NJ51" i="8"/>
  <c r="NI20" i="8"/>
  <c r="NI28" i="8"/>
  <c r="NJ35" i="8" s="1"/>
  <c r="NI30" i="8" l="1"/>
  <c r="NI29" i="8"/>
  <c r="NK58" i="8"/>
  <c r="NK57" i="8"/>
  <c r="NI34" i="8"/>
  <c r="NI37" i="8" l="1"/>
  <c r="NI36" i="8"/>
  <c r="NJ42" i="8"/>
  <c r="NJ43" i="8" s="1"/>
  <c r="NI55" i="8"/>
  <c r="NI48" i="8"/>
  <c r="NI41" i="8"/>
  <c r="NK49" i="8" l="1"/>
  <c r="NK50" i="8" s="1"/>
  <c r="NJ44" i="8"/>
  <c r="NI23" i="8"/>
  <c r="NI24" i="8" s="1"/>
  <c r="NI25" i="8" s="1"/>
  <c r="NL56" i="8" l="1"/>
  <c r="NK51" i="8"/>
  <c r="NJ20" i="8"/>
  <c r="NJ28" i="8"/>
  <c r="NK35" i="8" s="1"/>
  <c r="NJ30" i="8" l="1"/>
  <c r="NJ29" i="8"/>
  <c r="NL58" i="8"/>
  <c r="NL57" i="8"/>
  <c r="NJ34" i="8"/>
  <c r="NJ37" i="8" l="1"/>
  <c r="NJ36" i="8"/>
  <c r="NK42" i="8"/>
  <c r="NK43" i="8" s="1"/>
  <c r="NJ55" i="8"/>
  <c r="NJ48" i="8"/>
  <c r="NJ41" i="8"/>
  <c r="NL49" i="8" l="1"/>
  <c r="NL50" i="8" s="1"/>
  <c r="NK44" i="8"/>
  <c r="NJ23" i="8"/>
  <c r="NJ24" i="8" s="1"/>
  <c r="NJ25" i="8" s="1"/>
  <c r="NM56" i="8" l="1"/>
  <c r="NL51" i="8"/>
  <c r="NK20" i="8"/>
  <c r="NK28" i="8"/>
  <c r="NL35" i="8" s="1"/>
  <c r="NK30" i="8" l="1"/>
  <c r="NK29" i="8"/>
  <c r="NM58" i="8"/>
  <c r="NM57" i="8"/>
  <c r="NK34" i="8"/>
  <c r="NK37" i="8" l="1"/>
  <c r="NK36" i="8"/>
  <c r="NL42" i="8"/>
  <c r="NL43" i="8" s="1"/>
  <c r="NK55" i="8"/>
  <c r="NK48" i="8"/>
  <c r="NK41" i="8"/>
  <c r="NM49" i="8" l="1"/>
  <c r="NM50" i="8" s="1"/>
  <c r="NL44" i="8"/>
  <c r="NK23" i="8"/>
  <c r="NK24" i="8" s="1"/>
  <c r="NK25" i="8" s="1"/>
  <c r="NN56" i="8" l="1"/>
  <c r="NM51" i="8"/>
  <c r="NL20" i="8"/>
  <c r="NL28" i="8"/>
  <c r="NM35" i="8" s="1"/>
  <c r="NL30" i="8" l="1"/>
  <c r="NL29" i="8"/>
  <c r="NN58" i="8"/>
  <c r="NN57" i="8"/>
  <c r="NL34" i="8"/>
  <c r="NL37" i="8" l="1"/>
  <c r="NL36" i="8"/>
  <c r="NM42" i="8"/>
  <c r="NM43" i="8" s="1"/>
  <c r="NL55" i="8"/>
  <c r="NL48" i="8"/>
  <c r="NL41" i="8"/>
  <c r="NN49" i="8" l="1"/>
  <c r="NN50" i="8" s="1"/>
  <c r="NM44" i="8"/>
  <c r="NL23" i="8"/>
  <c r="NL24" i="8" s="1"/>
  <c r="NL25" i="8" s="1"/>
  <c r="NO56" i="8" l="1"/>
  <c r="NN51" i="8"/>
  <c r="NM20" i="8"/>
  <c r="NM28" i="8"/>
  <c r="NN35" i="8" s="1"/>
  <c r="NM30" i="8" l="1"/>
  <c r="NM29" i="8"/>
  <c r="NO58" i="8"/>
  <c r="NO57" i="8"/>
  <c r="NM34" i="8"/>
  <c r="NM37" i="8" l="1"/>
  <c r="NM36" i="8"/>
  <c r="NN42" i="8"/>
  <c r="NN43" i="8" s="1"/>
  <c r="NM55" i="8"/>
  <c r="NM48" i="8"/>
  <c r="NM41" i="8"/>
  <c r="NO49" i="8" l="1"/>
  <c r="NO50" i="8" s="1"/>
  <c r="NN44" i="8"/>
  <c r="NM23" i="8"/>
  <c r="NM24" i="8" s="1"/>
  <c r="NM25" i="8" s="1"/>
  <c r="NP56" i="8" l="1"/>
  <c r="NO51" i="8"/>
  <c r="NN20" i="8"/>
  <c r="NN28" i="8"/>
  <c r="NO35" i="8" s="1"/>
  <c r="NN30" i="8" l="1"/>
  <c r="NN29" i="8"/>
  <c r="NP58" i="8"/>
  <c r="NP57" i="8"/>
  <c r="NN34" i="8"/>
  <c r="NN37" i="8" l="1"/>
  <c r="NN36" i="8"/>
  <c r="NO42" i="8"/>
  <c r="NO43" i="8" s="1"/>
  <c r="NN55" i="8"/>
  <c r="NN48" i="8"/>
  <c r="NN41" i="8"/>
  <c r="NP49" i="8" l="1"/>
  <c r="NP50" i="8" s="1"/>
  <c r="NO44" i="8"/>
  <c r="NN23" i="8"/>
  <c r="NN24" i="8" s="1"/>
  <c r="NN25" i="8" s="1"/>
  <c r="NQ56" i="8" l="1"/>
  <c r="NP51" i="8"/>
  <c r="NO20" i="8"/>
  <c r="NO28" i="8"/>
  <c r="NP35" i="8" s="1"/>
  <c r="NO30" i="8" l="1"/>
  <c r="NO29" i="8"/>
  <c r="NQ58" i="8"/>
  <c r="NQ57" i="8"/>
  <c r="NO34" i="8"/>
  <c r="NO37" i="8" l="1"/>
  <c r="NO36" i="8"/>
  <c r="NP42" i="8"/>
  <c r="NP43" i="8" s="1"/>
  <c r="NO55" i="8"/>
  <c r="NO48" i="8"/>
  <c r="NO41" i="8"/>
  <c r="NQ49" i="8" l="1"/>
  <c r="NQ50" i="8" s="1"/>
  <c r="NP44" i="8"/>
  <c r="NO23" i="8"/>
  <c r="NO24" i="8" s="1"/>
  <c r="NO25" i="8" s="1"/>
  <c r="NR56" i="8" l="1"/>
  <c r="NQ51" i="8"/>
  <c r="NP20" i="8"/>
  <c r="NP28" i="8"/>
  <c r="NQ35" i="8" s="1"/>
  <c r="NP30" i="8" l="1"/>
  <c r="NP29" i="8"/>
  <c r="NR58" i="8"/>
  <c r="NR57" i="8"/>
  <c r="NP34" i="8"/>
  <c r="NP37" i="8" l="1"/>
  <c r="NP36" i="8"/>
  <c r="NQ42" i="8"/>
  <c r="NQ43" i="8" s="1"/>
  <c r="NP55" i="8"/>
  <c r="NP48" i="8"/>
  <c r="NP41" i="8"/>
  <c r="NR49" i="8" l="1"/>
  <c r="NR50" i="8" s="1"/>
  <c r="NQ44" i="8"/>
  <c r="NP23" i="8"/>
  <c r="NP24" i="8" s="1"/>
  <c r="NP25" i="8" s="1"/>
  <c r="NS56" i="8" l="1"/>
  <c r="NR51" i="8"/>
  <c r="NQ20" i="8"/>
  <c r="NQ28" i="8"/>
  <c r="NR35" i="8" s="1"/>
  <c r="NQ30" i="8" l="1"/>
  <c r="NQ29" i="8"/>
  <c r="NS58" i="8"/>
  <c r="NS57" i="8"/>
  <c r="NQ34" i="8"/>
  <c r="NQ37" i="8" l="1"/>
  <c r="NQ36" i="8"/>
  <c r="NR42" i="8"/>
  <c r="NR43" i="8" s="1"/>
  <c r="NQ55" i="8"/>
  <c r="NQ48" i="8"/>
  <c r="NQ41" i="8"/>
  <c r="NS49" i="8" l="1"/>
  <c r="NS50" i="8" s="1"/>
  <c r="NR44" i="8"/>
  <c r="NQ23" i="8"/>
  <c r="NT56" i="8" l="1"/>
  <c r="NS51" i="8"/>
  <c r="NQ24" i="8"/>
  <c r="NQ25" i="8" s="1"/>
  <c r="NT58" i="8" l="1"/>
  <c r="NT57" i="8"/>
  <c r="NR20" i="8"/>
  <c r="NR28" i="8"/>
  <c r="NS35" i="8" s="1"/>
  <c r="NR30" i="8" l="1"/>
  <c r="NR29" i="8"/>
  <c r="NR34" i="8"/>
  <c r="NR37" i="8" l="1"/>
  <c r="NR36" i="8"/>
  <c r="NS42" i="8"/>
  <c r="NS43" i="8" s="1"/>
  <c r="NR55" i="8"/>
  <c r="NR48" i="8"/>
  <c r="NR41" i="8"/>
  <c r="NT49" i="8" l="1"/>
  <c r="NT50" i="8" s="1"/>
  <c r="NS44" i="8"/>
  <c r="NR23" i="8"/>
  <c r="NR24" i="8" s="1"/>
  <c r="NR25" i="8" s="1"/>
  <c r="NU56" i="8" l="1"/>
  <c r="NT51" i="8"/>
  <c r="NS20" i="8"/>
  <c r="NS28" i="8"/>
  <c r="NT35" i="8" s="1"/>
  <c r="NS30" i="8" l="1"/>
  <c r="NS29" i="8"/>
  <c r="NU58" i="8"/>
  <c r="NU57" i="8"/>
  <c r="NS34" i="8"/>
  <c r="NS37" i="8" l="1"/>
  <c r="NS36" i="8"/>
  <c r="NT42" i="8"/>
  <c r="NT43" i="8" s="1"/>
  <c r="NS55" i="8"/>
  <c r="NS48" i="8"/>
  <c r="NS41" i="8"/>
  <c r="NU49" i="8" l="1"/>
  <c r="NU50" i="8" s="1"/>
  <c r="NT44" i="8"/>
  <c r="NS23" i="8"/>
  <c r="NS24" i="8" s="1"/>
  <c r="NS25" i="8" s="1"/>
  <c r="NV56" i="8" l="1"/>
  <c r="NU51" i="8"/>
  <c r="NT20" i="8"/>
  <c r="NT28" i="8"/>
  <c r="NU35" i="8" s="1"/>
  <c r="NT30" i="8" l="1"/>
  <c r="NT29" i="8"/>
  <c r="NV58" i="8"/>
  <c r="NV57" i="8"/>
  <c r="NT34" i="8"/>
  <c r="NT37" i="8" l="1"/>
  <c r="NT36" i="8"/>
  <c r="NU42" i="8"/>
  <c r="NU43" i="8" s="1"/>
  <c r="NT55" i="8"/>
  <c r="NT48" i="8"/>
  <c r="NT41" i="8"/>
  <c r="NV49" i="8" l="1"/>
  <c r="NV50" i="8" s="1"/>
  <c r="NU44" i="8"/>
  <c r="NT23" i="8"/>
  <c r="NW56" i="8" l="1"/>
  <c r="NV51" i="8"/>
  <c r="NT24" i="8"/>
  <c r="NT25" i="8" s="1"/>
  <c r="NW58" i="8" l="1"/>
  <c r="NW57" i="8"/>
  <c r="NU20" i="8"/>
  <c r="NU28" i="8"/>
  <c r="NV35" i="8" s="1"/>
  <c r="NU30" i="8" l="1"/>
  <c r="NU29" i="8"/>
  <c r="NU34" i="8"/>
  <c r="NU37" i="8" l="1"/>
  <c r="NU36" i="8"/>
  <c r="NV42" i="8"/>
  <c r="NV43" i="8" s="1"/>
  <c r="NU55" i="8"/>
  <c r="NU48" i="8"/>
  <c r="NU41" i="8"/>
  <c r="NW49" i="8" l="1"/>
  <c r="NW50" i="8" s="1"/>
  <c r="NV44" i="8"/>
  <c r="NU23" i="8"/>
  <c r="NU24" i="8" s="1"/>
  <c r="NU25" i="8" s="1"/>
  <c r="NX56" i="8" l="1"/>
  <c r="NW51" i="8"/>
  <c r="NV20" i="8"/>
  <c r="NV28" i="8"/>
  <c r="NW35" i="8" s="1"/>
  <c r="NV30" i="8" l="1"/>
  <c r="NV29" i="8"/>
  <c r="NX58" i="8"/>
  <c r="NX57" i="8"/>
  <c r="NV34" i="8"/>
  <c r="NV37" i="8" l="1"/>
  <c r="NV36" i="8"/>
  <c r="NW42" i="8"/>
  <c r="NW43" i="8" s="1"/>
  <c r="NV55" i="8"/>
  <c r="NV48" i="8"/>
  <c r="NV41" i="8"/>
  <c r="NX49" i="8" l="1"/>
  <c r="NX50" i="8" s="1"/>
  <c r="NW44" i="8"/>
  <c r="NV23" i="8"/>
  <c r="NV24" i="8" s="1"/>
  <c r="NV25" i="8" s="1"/>
  <c r="NY56" i="8" l="1"/>
  <c r="NX51" i="8"/>
  <c r="NW20" i="8"/>
  <c r="NW28" i="8"/>
  <c r="NX35" i="8" s="1"/>
  <c r="NW30" i="8" l="1"/>
  <c r="NW29" i="8"/>
  <c r="NY58" i="8"/>
  <c r="NY57" i="8"/>
  <c r="NW34" i="8"/>
  <c r="NW37" i="8" l="1"/>
  <c r="NW36" i="8"/>
  <c r="NX42" i="8"/>
  <c r="NX43" i="8" s="1"/>
  <c r="NW55" i="8"/>
  <c r="NW48" i="8"/>
  <c r="NW41" i="8"/>
  <c r="NY49" i="8" l="1"/>
  <c r="NY50" i="8" s="1"/>
  <c r="NX44" i="8"/>
  <c r="NW23" i="8"/>
  <c r="NW24" i="8" s="1"/>
  <c r="NW25" i="8" s="1"/>
  <c r="NZ56" i="8" l="1"/>
  <c r="NY51" i="8"/>
  <c r="NX20" i="8"/>
  <c r="NX28" i="8"/>
  <c r="NY35" i="8" s="1"/>
  <c r="NX30" i="8" l="1"/>
  <c r="NX29" i="8"/>
  <c r="NZ58" i="8"/>
  <c r="NZ57" i="8"/>
  <c r="NX34" i="8"/>
  <c r="NX37" i="8" l="1"/>
  <c r="NX36" i="8"/>
  <c r="NY42" i="8"/>
  <c r="NY43" i="8" s="1"/>
  <c r="NX55" i="8"/>
  <c r="NX48" i="8"/>
  <c r="NX41" i="8"/>
  <c r="NZ49" i="8" l="1"/>
  <c r="NZ50" i="8" s="1"/>
  <c r="NY44" i="8"/>
  <c r="NX23" i="8"/>
  <c r="NX24" i="8" s="1"/>
  <c r="NX25" i="8" s="1"/>
  <c r="OA56" i="8" l="1"/>
  <c r="NZ51" i="8"/>
  <c r="NY20" i="8"/>
  <c r="NY28" i="8"/>
  <c r="NZ35" i="8" s="1"/>
  <c r="NY30" i="8" l="1"/>
  <c r="NY29" i="8"/>
  <c r="OA58" i="8"/>
  <c r="OA57" i="8"/>
  <c r="NY34" i="8"/>
  <c r="NY37" i="8" l="1"/>
  <c r="NY36" i="8"/>
  <c r="NZ42" i="8"/>
  <c r="NZ43" i="8" s="1"/>
  <c r="NY55" i="8"/>
  <c r="NY48" i="8"/>
  <c r="NY41" i="8"/>
  <c r="OA49" i="8" l="1"/>
  <c r="OA50" i="8" s="1"/>
  <c r="NZ44" i="8"/>
  <c r="NY23" i="8"/>
  <c r="NY24" i="8" s="1"/>
  <c r="NY25" i="8" s="1"/>
  <c r="OB56" i="8" l="1"/>
  <c r="OA51" i="8"/>
  <c r="NZ20" i="8"/>
  <c r="NZ28" i="8"/>
  <c r="OA35" i="8" s="1"/>
  <c r="NZ30" i="8" l="1"/>
  <c r="NZ29" i="8"/>
  <c r="OB58" i="8"/>
  <c r="OB57" i="8"/>
  <c r="NZ34" i="8"/>
  <c r="NZ37" i="8" l="1"/>
  <c r="NZ36" i="8"/>
  <c r="OA42" i="8"/>
  <c r="OA43" i="8" s="1"/>
  <c r="NZ55" i="8"/>
  <c r="NZ48" i="8"/>
  <c r="NZ41" i="8"/>
  <c r="OB49" i="8" l="1"/>
  <c r="OB50" i="8" s="1"/>
  <c r="OA44" i="8"/>
  <c r="NZ23" i="8"/>
  <c r="NZ24" i="8" s="1"/>
  <c r="NZ25" i="8" s="1"/>
  <c r="OC56" i="8" l="1"/>
  <c r="OB51" i="8"/>
  <c r="OA20" i="8"/>
  <c r="OA28" i="8"/>
  <c r="OB35" i="8" s="1"/>
  <c r="OA30" i="8" l="1"/>
  <c r="OA29" i="8"/>
  <c r="OC58" i="8"/>
  <c r="OC57" i="8"/>
  <c r="OA34" i="8"/>
  <c r="OA37" i="8" l="1"/>
  <c r="OA36" i="8"/>
  <c r="OB42" i="8"/>
  <c r="OB43" i="8" s="1"/>
  <c r="OA55" i="8"/>
  <c r="OA48" i="8"/>
  <c r="OA41" i="8"/>
  <c r="OC49" i="8" l="1"/>
  <c r="OC50" i="8" s="1"/>
  <c r="OB44" i="8"/>
  <c r="OA23" i="8"/>
  <c r="OA24" i="8" s="1"/>
  <c r="OA25" i="8" s="1"/>
  <c r="OD56" i="8" l="1"/>
  <c r="OC51" i="8"/>
  <c r="OB20" i="8"/>
  <c r="OB28" i="8"/>
  <c r="OC35" i="8" s="1"/>
  <c r="OB30" i="8" l="1"/>
  <c r="OB29" i="8"/>
  <c r="OD58" i="8"/>
  <c r="OD57" i="8"/>
  <c r="OB34" i="8"/>
  <c r="OB37" i="8" l="1"/>
  <c r="OB36" i="8"/>
  <c r="OC42" i="8"/>
  <c r="OC43" i="8" s="1"/>
  <c r="OB55" i="8"/>
  <c r="OB48" i="8"/>
  <c r="OB41" i="8"/>
  <c r="OD49" i="8" l="1"/>
  <c r="OD50" i="8" s="1"/>
  <c r="OC44" i="8"/>
  <c r="OB23" i="8"/>
  <c r="OB24" i="8" s="1"/>
  <c r="OB25" i="8" s="1"/>
  <c r="OE56" i="8" l="1"/>
  <c r="OD51" i="8"/>
  <c r="OC20" i="8"/>
  <c r="OC28" i="8"/>
  <c r="OD35" i="8" s="1"/>
  <c r="OC30" i="8" l="1"/>
  <c r="OC29" i="8"/>
  <c r="OE58" i="8"/>
  <c r="OE57" i="8"/>
  <c r="OC34" i="8"/>
  <c r="OC37" i="8" l="1"/>
  <c r="OC36" i="8"/>
  <c r="OD42" i="8"/>
  <c r="OD43" i="8" s="1"/>
  <c r="OC55" i="8"/>
  <c r="OC48" i="8"/>
  <c r="OC41" i="8"/>
  <c r="OE49" i="8" l="1"/>
  <c r="OE50" i="8" s="1"/>
  <c r="OD44" i="8"/>
  <c r="OC23" i="8"/>
  <c r="OC24" i="8" s="1"/>
  <c r="OC25" i="8" s="1"/>
  <c r="OF56" i="8" l="1"/>
  <c r="OE51" i="8"/>
  <c r="OD20" i="8"/>
  <c r="OD28" i="8"/>
  <c r="OE35" i="8" s="1"/>
  <c r="OD30" i="8" l="1"/>
  <c r="OD29" i="8"/>
  <c r="OF58" i="8"/>
  <c r="OF57" i="8"/>
  <c r="OD34" i="8"/>
  <c r="OD37" i="8" l="1"/>
  <c r="OD36" i="8"/>
  <c r="OE42" i="8"/>
  <c r="OE43" i="8" s="1"/>
  <c r="OD55" i="8"/>
  <c r="OD48" i="8"/>
  <c r="OD41" i="8"/>
  <c r="OF49" i="8" l="1"/>
  <c r="OF50" i="8" s="1"/>
  <c r="OE44" i="8"/>
  <c r="OD23" i="8"/>
  <c r="OG56" i="8" l="1"/>
  <c r="OF51" i="8"/>
  <c r="OD24" i="8"/>
  <c r="OD25" i="8" s="1"/>
  <c r="OG58" i="8" l="1"/>
  <c r="OG57" i="8"/>
  <c r="OE20" i="8"/>
  <c r="OE28" i="8"/>
  <c r="OF35" i="8" s="1"/>
  <c r="OE30" i="8" l="1"/>
  <c r="OE29" i="8"/>
  <c r="OE34" i="8"/>
  <c r="OE37" i="8" l="1"/>
  <c r="OE36" i="8"/>
  <c r="OF42" i="8"/>
  <c r="OF43" i="8" s="1"/>
  <c r="OE55" i="8"/>
  <c r="OE48" i="8"/>
  <c r="OE41" i="8"/>
  <c r="OG49" i="8" l="1"/>
  <c r="OG50" i="8" s="1"/>
  <c r="OF44" i="8"/>
  <c r="OE23" i="8"/>
  <c r="OE24" i="8" s="1"/>
  <c r="OE25" i="8" s="1"/>
  <c r="OH56" i="8" l="1"/>
  <c r="OG51" i="8"/>
  <c r="OF20" i="8"/>
  <c r="OF28" i="8"/>
  <c r="OG35" i="8" s="1"/>
  <c r="OF30" i="8" l="1"/>
  <c r="OF29" i="8"/>
  <c r="OH58" i="8"/>
  <c r="OH57" i="8"/>
  <c r="OF34" i="8"/>
  <c r="OF37" i="8" l="1"/>
  <c r="OF36" i="8"/>
  <c r="OG42" i="8"/>
  <c r="OG43" i="8" s="1"/>
  <c r="OF55" i="8"/>
  <c r="OF48" i="8"/>
  <c r="OF41" i="8"/>
  <c r="OH49" i="8" l="1"/>
  <c r="OH50" i="8" s="1"/>
  <c r="OG44" i="8"/>
  <c r="OF23" i="8"/>
  <c r="OF24" i="8" s="1"/>
  <c r="OF25" i="8" s="1"/>
  <c r="OI56" i="8" l="1"/>
  <c r="OH51" i="8"/>
  <c r="OG20" i="8"/>
  <c r="OG28" i="8"/>
  <c r="OH35" i="8" s="1"/>
  <c r="OG30" i="8" l="1"/>
  <c r="OG29" i="8"/>
  <c r="OI58" i="8"/>
  <c r="OI57" i="8"/>
  <c r="OG34" i="8"/>
  <c r="OG37" i="8" l="1"/>
  <c r="OG36" i="8"/>
  <c r="OH42" i="8"/>
  <c r="OH43" i="8" s="1"/>
  <c r="OG55" i="8"/>
  <c r="OG48" i="8"/>
  <c r="OG41" i="8"/>
  <c r="OI49" i="8" l="1"/>
  <c r="OI50" i="8" s="1"/>
  <c r="OH44" i="8"/>
  <c r="OG23" i="8"/>
  <c r="OG24" i="8" s="1"/>
  <c r="OG25" i="8" s="1"/>
  <c r="OJ56" i="8" l="1"/>
  <c r="OI51" i="8"/>
  <c r="OH20" i="8"/>
  <c r="OH28" i="8"/>
  <c r="OI35" i="8" s="1"/>
  <c r="OH30" i="8" l="1"/>
  <c r="OH29" i="8"/>
  <c r="OJ58" i="8"/>
  <c r="OJ57" i="8"/>
  <c r="OH34" i="8"/>
  <c r="OH37" i="8" l="1"/>
  <c r="OH36" i="8"/>
  <c r="OI42" i="8"/>
  <c r="OI43" i="8" s="1"/>
  <c r="OH55" i="8"/>
  <c r="OH48" i="8"/>
  <c r="OH41" i="8"/>
  <c r="OJ49" i="8" l="1"/>
  <c r="OJ50" i="8" s="1"/>
  <c r="OI44" i="8"/>
  <c r="OH23" i="8"/>
  <c r="OK56" i="8" l="1"/>
  <c r="OJ51" i="8"/>
  <c r="OH24" i="8"/>
  <c r="OH25" i="8" s="1"/>
  <c r="OK58" i="8" l="1"/>
  <c r="OK57" i="8"/>
  <c r="OI20" i="8"/>
  <c r="OI28" i="8"/>
  <c r="OJ35" i="8" s="1"/>
  <c r="OI30" i="8" l="1"/>
  <c r="OI29" i="8"/>
  <c r="OI34" i="8"/>
  <c r="OI37" i="8" l="1"/>
  <c r="OI36" i="8"/>
  <c r="OJ42" i="8"/>
  <c r="OJ43" i="8" s="1"/>
  <c r="OI55" i="8"/>
  <c r="OI48" i="8"/>
  <c r="OI41" i="8"/>
  <c r="OK49" i="8" l="1"/>
  <c r="OK50" i="8" s="1"/>
  <c r="OJ44" i="8"/>
  <c r="OI23" i="8"/>
  <c r="OI24" i="8" s="1"/>
  <c r="OI25" i="8" s="1"/>
  <c r="OL56" i="8" l="1"/>
  <c r="OK51" i="8"/>
  <c r="OJ20" i="8"/>
  <c r="OJ28" i="8"/>
  <c r="OK35" i="8" s="1"/>
  <c r="OJ30" i="8" l="1"/>
  <c r="OJ29" i="8"/>
  <c r="OL58" i="8"/>
  <c r="OL57" i="8"/>
  <c r="OJ34" i="8"/>
  <c r="OJ37" i="8" l="1"/>
  <c r="OJ36" i="8"/>
  <c r="OK42" i="8"/>
  <c r="OK43" i="8" s="1"/>
  <c r="OJ55" i="8"/>
  <c r="OJ48" i="8"/>
  <c r="OJ41" i="8"/>
  <c r="OL49" i="8" l="1"/>
  <c r="OL50" i="8" s="1"/>
  <c r="OK44" i="8"/>
  <c r="OJ23" i="8"/>
  <c r="OJ24" i="8" s="1"/>
  <c r="OJ25" i="8" s="1"/>
  <c r="OM56" i="8" l="1"/>
  <c r="OL51" i="8"/>
  <c r="OK20" i="8"/>
  <c r="OK28" i="8"/>
  <c r="OL35" i="8" s="1"/>
  <c r="OK30" i="8" l="1"/>
  <c r="OK29" i="8"/>
  <c r="OM58" i="8"/>
  <c r="OM57" i="8"/>
  <c r="OK34" i="8"/>
  <c r="OK37" i="8" l="1"/>
  <c r="OK36" i="8"/>
  <c r="OL42" i="8"/>
  <c r="OL43" i="8" s="1"/>
  <c r="OK55" i="8"/>
  <c r="OK48" i="8"/>
  <c r="OK41" i="8"/>
  <c r="OM49" i="8" l="1"/>
  <c r="OM50" i="8" s="1"/>
  <c r="OL44" i="8"/>
  <c r="OK23" i="8"/>
  <c r="OK24" i="8" s="1"/>
  <c r="OK25" i="8" s="1"/>
  <c r="ON56" i="8" l="1"/>
  <c r="OM51" i="8"/>
  <c r="OL20" i="8"/>
  <c r="OL28" i="8"/>
  <c r="OM35" i="8" s="1"/>
  <c r="OL30" i="8" l="1"/>
  <c r="OL29" i="8"/>
  <c r="ON58" i="8"/>
  <c r="ON57" i="8"/>
  <c r="OL34" i="8"/>
  <c r="OL37" i="8" l="1"/>
  <c r="OL36" i="8"/>
  <c r="OM42" i="8"/>
  <c r="OM43" i="8" s="1"/>
  <c r="OL55" i="8"/>
  <c r="OL48" i="8"/>
  <c r="OL41" i="8"/>
  <c r="ON49" i="8" l="1"/>
  <c r="ON50" i="8" s="1"/>
  <c r="OM44" i="8"/>
  <c r="OL23" i="8"/>
  <c r="OO56" i="8" l="1"/>
  <c r="ON51" i="8"/>
  <c r="OL24" i="8"/>
  <c r="OL25" i="8" s="1"/>
  <c r="OO58" i="8" l="1"/>
  <c r="OO57" i="8"/>
  <c r="OM20" i="8"/>
  <c r="OM28" i="8"/>
  <c r="ON35" i="8" s="1"/>
  <c r="OM30" i="8" l="1"/>
  <c r="OM29" i="8"/>
  <c r="OM34" i="8"/>
  <c r="OM37" i="8" l="1"/>
  <c r="OM36" i="8"/>
  <c r="ON42" i="8"/>
  <c r="ON43" i="8" s="1"/>
  <c r="OM55" i="8"/>
  <c r="OM48" i="8"/>
  <c r="OM41" i="8"/>
  <c r="OO49" i="8" l="1"/>
  <c r="OO50" i="8" s="1"/>
  <c r="ON44" i="8"/>
  <c r="OM23" i="8"/>
  <c r="OM24" i="8" s="1"/>
  <c r="OM25" i="8" s="1"/>
  <c r="OP56" i="8" l="1"/>
  <c r="OO51" i="8"/>
  <c r="ON20" i="8"/>
  <c r="ON28" i="8"/>
  <c r="OO35" i="8" s="1"/>
  <c r="ON30" i="8" l="1"/>
  <c r="ON29" i="8"/>
  <c r="OP58" i="8"/>
  <c r="OP57" i="8"/>
  <c r="ON34" i="8"/>
  <c r="ON37" i="8" l="1"/>
  <c r="ON36" i="8"/>
  <c r="OO42" i="8"/>
  <c r="OO43" i="8" s="1"/>
  <c r="ON55" i="8"/>
  <c r="ON48" i="8"/>
  <c r="ON41" i="8"/>
  <c r="OP49" i="8" l="1"/>
  <c r="OP50" i="8" s="1"/>
  <c r="OO44" i="8"/>
  <c r="ON23" i="8"/>
  <c r="ON24" i="8" s="1"/>
  <c r="ON25" i="8" s="1"/>
  <c r="OQ56" i="8" l="1"/>
  <c r="OP51" i="8"/>
  <c r="OO20" i="8"/>
  <c r="OO28" i="8"/>
  <c r="OP35" i="8" s="1"/>
  <c r="OO30" i="8" l="1"/>
  <c r="OO29" i="8"/>
  <c r="OQ58" i="8"/>
  <c r="OQ57" i="8"/>
  <c r="OO34" i="8"/>
  <c r="OO37" i="8" l="1"/>
  <c r="OO36" i="8"/>
  <c r="OP42" i="8"/>
  <c r="OP43" i="8" s="1"/>
  <c r="OO55" i="8"/>
  <c r="OO48" i="8"/>
  <c r="OO41" i="8"/>
  <c r="OQ49" i="8" l="1"/>
  <c r="OQ50" i="8" s="1"/>
  <c r="OP44" i="8"/>
  <c r="OO23" i="8"/>
  <c r="OO24" i="8" s="1"/>
  <c r="OO25" i="8" s="1"/>
  <c r="OR56" i="8" l="1"/>
  <c r="OQ51" i="8"/>
  <c r="OP20" i="8"/>
  <c r="OP28" i="8"/>
  <c r="OQ35" i="8" s="1"/>
  <c r="OP30" i="8" l="1"/>
  <c r="OP29" i="8"/>
  <c r="OR58" i="8"/>
  <c r="OR57" i="8"/>
  <c r="OP34" i="8"/>
  <c r="OP37" i="8" l="1"/>
  <c r="OP36" i="8"/>
  <c r="OQ42" i="8"/>
  <c r="OQ43" i="8" s="1"/>
  <c r="OP55" i="8"/>
  <c r="OP48" i="8"/>
  <c r="OP41" i="8"/>
  <c r="OR49" i="8" l="1"/>
  <c r="OR50" i="8" s="1"/>
  <c r="OQ44" i="8"/>
  <c r="OP23" i="8"/>
  <c r="OP24" i="8" s="1"/>
  <c r="OP25" i="8" s="1"/>
  <c r="OS56" i="8" l="1"/>
  <c r="OR51" i="8"/>
  <c r="OQ20" i="8"/>
  <c r="OQ28" i="8"/>
  <c r="OR35" i="8" s="1"/>
  <c r="OQ30" i="8" l="1"/>
  <c r="OQ29" i="8"/>
  <c r="OS58" i="8"/>
  <c r="OS57" i="8"/>
  <c r="OQ34" i="8"/>
  <c r="OQ37" i="8" l="1"/>
  <c r="OQ36" i="8"/>
  <c r="OR42" i="8"/>
  <c r="OR43" i="8" s="1"/>
  <c r="OQ55" i="8"/>
  <c r="OQ48" i="8"/>
  <c r="OQ41" i="8"/>
  <c r="OS49" i="8" l="1"/>
  <c r="OS50" i="8" s="1"/>
  <c r="OR44" i="8"/>
  <c r="OQ23" i="8"/>
  <c r="OQ24" i="8" s="1"/>
  <c r="OQ25" i="8" s="1"/>
  <c r="OT56" i="8" l="1"/>
  <c r="OS51" i="8"/>
  <c r="OR20" i="8"/>
  <c r="OR28" i="8"/>
  <c r="OS35" i="8" s="1"/>
  <c r="OR30" i="8" l="1"/>
  <c r="OR29" i="8"/>
  <c r="OT58" i="8"/>
  <c r="OT57" i="8"/>
  <c r="OR34" i="8"/>
  <c r="OR37" i="8" l="1"/>
  <c r="OR36" i="8"/>
  <c r="OS42" i="8"/>
  <c r="OS43" i="8" s="1"/>
  <c r="OR55" i="8"/>
  <c r="OR48" i="8"/>
  <c r="OR41" i="8"/>
  <c r="OT49" i="8" l="1"/>
  <c r="OT50" i="8" s="1"/>
  <c r="OS44" i="8"/>
  <c r="OR23" i="8"/>
  <c r="OR24" i="8" s="1"/>
  <c r="OR25" i="8" s="1"/>
  <c r="OU56" i="8" l="1"/>
  <c r="OT51" i="8"/>
  <c r="OS20" i="8"/>
  <c r="OS28" i="8"/>
  <c r="OT35" i="8" s="1"/>
  <c r="OS30" i="8" l="1"/>
  <c r="OS29" i="8"/>
  <c r="OU58" i="8"/>
  <c r="OU57" i="8"/>
  <c r="OS34" i="8"/>
  <c r="OS37" i="8" l="1"/>
  <c r="OS36" i="8"/>
  <c r="OT42" i="8"/>
  <c r="OT43" i="8" s="1"/>
  <c r="OS55" i="8"/>
  <c r="OS48" i="8"/>
  <c r="OS41" i="8"/>
  <c r="OU49" i="8" l="1"/>
  <c r="OU50" i="8" s="1"/>
  <c r="OT44" i="8"/>
  <c r="OS23" i="8"/>
  <c r="OS24" i="8" s="1"/>
  <c r="OS25" i="8" s="1"/>
  <c r="OV56" i="8" l="1"/>
  <c r="OU51" i="8"/>
  <c r="OT20" i="8"/>
  <c r="OT28" i="8"/>
  <c r="OU35" i="8" s="1"/>
  <c r="OT30" i="8" l="1"/>
  <c r="OT29" i="8"/>
  <c r="OV58" i="8"/>
  <c r="OV57" i="8"/>
  <c r="OT34" i="8"/>
  <c r="OT37" i="8" l="1"/>
  <c r="OT36" i="8"/>
  <c r="OU42" i="8"/>
  <c r="OU43" i="8" s="1"/>
  <c r="OT55" i="8"/>
  <c r="OT48" i="8"/>
  <c r="OT41" i="8"/>
  <c r="OV49" i="8" l="1"/>
  <c r="OV50" i="8" s="1"/>
  <c r="OU44" i="8"/>
  <c r="OT23" i="8"/>
  <c r="OT24" i="8" s="1"/>
  <c r="OT25" i="8" s="1"/>
  <c r="OW56" i="8" l="1"/>
  <c r="OV51" i="8"/>
  <c r="OU20" i="8"/>
  <c r="OU28" i="8"/>
  <c r="OV35" i="8" s="1"/>
  <c r="OU30" i="8" l="1"/>
  <c r="OU29" i="8"/>
  <c r="OW58" i="8"/>
  <c r="OW57" i="8"/>
  <c r="OU34" i="8"/>
  <c r="OU37" i="8" l="1"/>
  <c r="OU36" i="8"/>
  <c r="OV42" i="8"/>
  <c r="OV43" i="8" s="1"/>
  <c r="OU55" i="8"/>
  <c r="OU48" i="8"/>
  <c r="OU41" i="8"/>
  <c r="OW49" i="8" l="1"/>
  <c r="OW50" i="8" s="1"/>
  <c r="OV44" i="8"/>
  <c r="OU23" i="8"/>
  <c r="OU24" i="8" s="1"/>
  <c r="OU25" i="8" s="1"/>
  <c r="OX56" i="8" l="1"/>
  <c r="OW51" i="8"/>
  <c r="OV20" i="8"/>
  <c r="OV28" i="8"/>
  <c r="OW35" i="8" s="1"/>
  <c r="OV30" i="8" l="1"/>
  <c r="OV29" i="8"/>
  <c r="OX58" i="8"/>
  <c r="OX57" i="8"/>
  <c r="OV34" i="8"/>
  <c r="OV37" i="8" l="1"/>
  <c r="OV36" i="8"/>
  <c r="OW42" i="8"/>
  <c r="OW43" i="8" s="1"/>
  <c r="OV55" i="8"/>
  <c r="OV48" i="8"/>
  <c r="OV41" i="8"/>
  <c r="OX49" i="8" l="1"/>
  <c r="OX50" i="8" s="1"/>
  <c r="OW44" i="8"/>
  <c r="OV23" i="8"/>
  <c r="OY56" i="8" l="1"/>
  <c r="OX51" i="8"/>
  <c r="OV24" i="8"/>
  <c r="OV25" i="8" s="1"/>
  <c r="OY58" i="8" l="1"/>
  <c r="OY57" i="8"/>
  <c r="OW20" i="8"/>
  <c r="OW28" i="8"/>
  <c r="OX35" i="8" s="1"/>
  <c r="OW30" i="8" l="1"/>
  <c r="OW29" i="8"/>
  <c r="OW34" i="8"/>
  <c r="OW37" i="8" l="1"/>
  <c r="OW36" i="8"/>
  <c r="OX42" i="8"/>
  <c r="OX43" i="8" s="1"/>
  <c r="OW55" i="8"/>
  <c r="OW48" i="8"/>
  <c r="OW41" i="8"/>
  <c r="OY49" i="8" l="1"/>
  <c r="OY50" i="8" s="1"/>
  <c r="OX44" i="8"/>
  <c r="OW23" i="8"/>
  <c r="OW24" i="8" s="1"/>
  <c r="OW25" i="8" s="1"/>
  <c r="OZ56" i="8" l="1"/>
  <c r="OY51" i="8"/>
  <c r="OX20" i="8"/>
  <c r="OX28" i="8"/>
  <c r="OY35" i="8" s="1"/>
  <c r="OX30" i="8" l="1"/>
  <c r="OX29" i="8"/>
  <c r="OZ58" i="8"/>
  <c r="OZ57" i="8"/>
  <c r="OX34" i="8"/>
  <c r="OX37" i="8" l="1"/>
  <c r="OX36" i="8"/>
  <c r="OY42" i="8"/>
  <c r="OY43" i="8" s="1"/>
  <c r="OX55" i="8"/>
  <c r="OX48" i="8"/>
  <c r="OX41" i="8"/>
  <c r="OZ49" i="8" l="1"/>
  <c r="OZ50" i="8" s="1"/>
  <c r="OY44" i="8"/>
  <c r="OX23" i="8"/>
  <c r="OX24" i="8" s="1"/>
  <c r="OX25" i="8" s="1"/>
  <c r="PA56" i="8" l="1"/>
  <c r="OZ51" i="8"/>
  <c r="OY20" i="8"/>
  <c r="OY28" i="8"/>
  <c r="OZ35" i="8" s="1"/>
  <c r="OY30" i="8" l="1"/>
  <c r="OY29" i="8"/>
  <c r="PA58" i="8"/>
  <c r="PA57" i="8"/>
  <c r="OY34" i="8"/>
  <c r="OY37" i="8" l="1"/>
  <c r="OY36" i="8"/>
  <c r="OZ42" i="8"/>
  <c r="OZ43" i="8" s="1"/>
  <c r="OY55" i="8"/>
  <c r="OY48" i="8"/>
  <c r="OY41" i="8"/>
  <c r="PA49" i="8" l="1"/>
  <c r="PA50" i="8" s="1"/>
  <c r="OZ44" i="8"/>
  <c r="OY23" i="8"/>
  <c r="OY24" i="8" s="1"/>
  <c r="OY25" i="8" s="1"/>
  <c r="PB56" i="8" l="1"/>
  <c r="PA51" i="8"/>
  <c r="OZ20" i="8"/>
  <c r="OZ28" i="8"/>
  <c r="PA35" i="8" s="1"/>
  <c r="OZ30" i="8" l="1"/>
  <c r="OZ29" i="8"/>
  <c r="PB58" i="8"/>
  <c r="PB57" i="8"/>
  <c r="OZ34" i="8"/>
  <c r="OZ37" i="8" l="1"/>
  <c r="OZ36" i="8"/>
  <c r="PA42" i="8"/>
  <c r="PA43" i="8" s="1"/>
  <c r="OZ55" i="8"/>
  <c r="OZ48" i="8"/>
  <c r="OZ41" i="8"/>
  <c r="PB49" i="8" l="1"/>
  <c r="PB50" i="8" s="1"/>
  <c r="PA44" i="8"/>
  <c r="OZ23" i="8"/>
  <c r="OZ24" i="8" s="1"/>
  <c r="OZ25" i="8" s="1"/>
  <c r="PC56" i="8" l="1"/>
  <c r="PB51" i="8"/>
  <c r="PA20" i="8"/>
  <c r="PA28" i="8"/>
  <c r="PB35" i="8" s="1"/>
  <c r="PA30" i="8" l="1"/>
  <c r="PA29" i="8"/>
  <c r="PC58" i="8"/>
  <c r="PC57" i="8"/>
  <c r="PA34" i="8"/>
  <c r="PA37" i="8" l="1"/>
  <c r="PA36" i="8"/>
  <c r="PB42" i="8"/>
  <c r="PB43" i="8" s="1"/>
  <c r="PA55" i="8"/>
  <c r="PA48" i="8"/>
  <c r="PA41" i="8"/>
  <c r="PC49" i="8" l="1"/>
  <c r="PC50" i="8" s="1"/>
  <c r="PB44" i="8"/>
  <c r="PA23" i="8"/>
  <c r="PA24" i="8" s="1"/>
  <c r="PA25" i="8" s="1"/>
  <c r="PD56" i="8" l="1"/>
  <c r="PC51" i="8"/>
  <c r="PB20" i="8"/>
  <c r="PB28" i="8"/>
  <c r="PC35" i="8" s="1"/>
  <c r="PB30" i="8" l="1"/>
  <c r="PB29" i="8"/>
  <c r="PD58" i="8"/>
  <c r="PD57" i="8"/>
  <c r="PB34" i="8"/>
  <c r="PB37" i="8" l="1"/>
  <c r="PB36" i="8"/>
  <c r="PC42" i="8"/>
  <c r="PC43" i="8" s="1"/>
  <c r="PB55" i="8"/>
  <c r="PB48" i="8"/>
  <c r="PB41" i="8"/>
  <c r="PD49" i="8" l="1"/>
  <c r="PD50" i="8" s="1"/>
  <c r="PC44" i="8"/>
  <c r="PB23" i="8"/>
  <c r="PB24" i="8" s="1"/>
  <c r="PB25" i="8" s="1"/>
  <c r="PE56" i="8" l="1"/>
  <c r="PD51" i="8"/>
  <c r="PC20" i="8"/>
  <c r="PC28" i="8"/>
  <c r="PD35" i="8" s="1"/>
  <c r="PC30" i="8" l="1"/>
  <c r="PC29" i="8"/>
  <c r="PE58" i="8"/>
  <c r="PE57" i="8"/>
  <c r="PC34" i="8"/>
  <c r="PC37" i="8" l="1"/>
  <c r="PC36" i="8"/>
  <c r="PD42" i="8"/>
  <c r="PD43" i="8" s="1"/>
  <c r="PC55" i="8"/>
  <c r="PC48" i="8"/>
  <c r="PC41" i="8"/>
  <c r="PE49" i="8" l="1"/>
  <c r="PE50" i="8" s="1"/>
  <c r="PD44" i="8"/>
  <c r="PC23" i="8"/>
  <c r="PC24" i="8" s="1"/>
  <c r="PC25" i="8" s="1"/>
  <c r="PF56" i="8" l="1"/>
  <c r="PE51" i="8"/>
  <c r="PD20" i="8"/>
  <c r="PD28" i="8"/>
  <c r="PE35" i="8" s="1"/>
  <c r="PD30" i="8" l="1"/>
  <c r="PD29" i="8"/>
  <c r="PF58" i="8"/>
  <c r="PF57" i="8"/>
  <c r="PD34" i="8"/>
  <c r="PD37" i="8" l="1"/>
  <c r="PD36" i="8"/>
  <c r="PE42" i="8"/>
  <c r="PE43" i="8" s="1"/>
  <c r="PD55" i="8"/>
  <c r="PD48" i="8"/>
  <c r="PD41" i="8"/>
  <c r="PF49" i="8" l="1"/>
  <c r="PF50" i="8" s="1"/>
  <c r="PE44" i="8"/>
  <c r="PD23" i="8"/>
  <c r="PD24" i="8" s="1"/>
  <c r="PD25" i="8" s="1"/>
  <c r="PG56" i="8" l="1"/>
  <c r="PF51" i="8"/>
  <c r="PE20" i="8"/>
  <c r="PE28" i="8"/>
  <c r="PF35" i="8" s="1"/>
  <c r="PE30" i="8" l="1"/>
  <c r="PE29" i="8"/>
  <c r="PG58" i="8"/>
  <c r="PG57" i="8"/>
  <c r="PE34" i="8"/>
  <c r="PE37" i="8" l="1"/>
  <c r="PE36" i="8"/>
  <c r="PF42" i="8"/>
  <c r="PF43" i="8" s="1"/>
  <c r="PE55" i="8"/>
  <c r="PE48" i="8"/>
  <c r="PE41" i="8"/>
  <c r="PG49" i="8" l="1"/>
  <c r="PG50" i="8" s="1"/>
  <c r="PF44" i="8"/>
  <c r="PE23" i="8"/>
  <c r="PE24" i="8" s="1"/>
  <c r="PE25" i="8" s="1"/>
  <c r="PH56" i="8" l="1"/>
  <c r="PG51" i="8"/>
  <c r="PF20" i="8"/>
  <c r="PF28" i="8"/>
  <c r="PG35" i="8" s="1"/>
  <c r="PF30" i="8" l="1"/>
  <c r="PF29" i="8"/>
  <c r="PH58" i="8"/>
  <c r="PH57" i="8"/>
  <c r="PF34" i="8"/>
  <c r="PF37" i="8" l="1"/>
  <c r="PF36" i="8"/>
  <c r="PG42" i="8"/>
  <c r="PG43" i="8" s="1"/>
  <c r="PF55" i="8"/>
  <c r="PF48" i="8"/>
  <c r="PF41" i="8"/>
  <c r="PH49" i="8" l="1"/>
  <c r="PH50" i="8" s="1"/>
  <c r="PG44" i="8"/>
  <c r="PF23" i="8"/>
  <c r="PF24" i="8" s="1"/>
  <c r="PF25" i="8" s="1"/>
  <c r="PI56" i="8" l="1"/>
  <c r="PH51" i="8"/>
  <c r="PG20" i="8"/>
  <c r="PG28" i="8"/>
  <c r="PH35" i="8" s="1"/>
  <c r="PG30" i="8" l="1"/>
  <c r="PG29" i="8"/>
  <c r="PI58" i="8"/>
  <c r="PI57" i="8"/>
  <c r="PG34" i="8"/>
  <c r="PG37" i="8" l="1"/>
  <c r="PG36" i="8"/>
  <c r="PH42" i="8"/>
  <c r="PH43" i="8" s="1"/>
  <c r="PG55" i="8"/>
  <c r="PG48" i="8"/>
  <c r="PG41" i="8"/>
  <c r="PI49" i="8" l="1"/>
  <c r="PI50" i="8" s="1"/>
  <c r="PH44" i="8"/>
  <c r="PG23" i="8"/>
  <c r="PJ56" i="8" l="1"/>
  <c r="PI51" i="8"/>
  <c r="PG24" i="8"/>
  <c r="PG25" i="8" s="1"/>
  <c r="PJ58" i="8" l="1"/>
  <c r="PJ57" i="8"/>
  <c r="PH20" i="8"/>
  <c r="PH28" i="8"/>
  <c r="PI35" i="8" s="1"/>
  <c r="PH30" i="8" l="1"/>
  <c r="PH29" i="8"/>
  <c r="PH34" i="8"/>
  <c r="PH37" i="8" l="1"/>
  <c r="PH36" i="8"/>
  <c r="PI42" i="8"/>
  <c r="PI43" i="8" s="1"/>
  <c r="PH55" i="8"/>
  <c r="PH48" i="8"/>
  <c r="PH41" i="8"/>
  <c r="PJ49" i="8" l="1"/>
  <c r="PJ50" i="8" s="1"/>
  <c r="PI44" i="8"/>
  <c r="PH23" i="8"/>
  <c r="PH24" i="8" s="1"/>
  <c r="PH25" i="8" s="1"/>
  <c r="PK56" i="8" l="1"/>
  <c r="PJ51" i="8"/>
  <c r="PI20" i="8"/>
  <c r="PI28" i="8"/>
  <c r="PJ35" i="8" s="1"/>
  <c r="PI30" i="8" l="1"/>
  <c r="PI29" i="8"/>
  <c r="PK58" i="8"/>
  <c r="PK57" i="8"/>
  <c r="PI34" i="8"/>
  <c r="PI37" i="8" l="1"/>
  <c r="PI36" i="8"/>
  <c r="PJ42" i="8"/>
  <c r="PJ43" i="8" s="1"/>
  <c r="PI55" i="8"/>
  <c r="PI48" i="8"/>
  <c r="PI41" i="8"/>
  <c r="PK49" i="8" l="1"/>
  <c r="PK50" i="8" s="1"/>
  <c r="PJ44" i="8"/>
  <c r="PI23" i="8"/>
  <c r="PL56" i="8" l="1"/>
  <c r="PK51" i="8"/>
  <c r="PI24" i="8"/>
  <c r="PI25" i="8" s="1"/>
  <c r="PL58" i="8" l="1"/>
  <c r="PL57" i="8"/>
  <c r="PJ20" i="8"/>
  <c r="PJ28" i="8"/>
  <c r="PK35" i="8" s="1"/>
  <c r="PJ30" i="8" l="1"/>
  <c r="PJ29" i="8"/>
  <c r="PJ34" i="8"/>
  <c r="PJ37" i="8" l="1"/>
  <c r="PJ36" i="8"/>
  <c r="PK42" i="8"/>
  <c r="PK43" i="8" s="1"/>
  <c r="PJ55" i="8"/>
  <c r="PJ48" i="8"/>
  <c r="PJ41" i="8"/>
  <c r="PL49" i="8" l="1"/>
  <c r="PL50" i="8" s="1"/>
  <c r="PK44" i="8"/>
  <c r="PJ23" i="8"/>
  <c r="PM56" i="8" l="1"/>
  <c r="PL51" i="8"/>
  <c r="PJ24" i="8"/>
  <c r="PJ25" i="8" s="1"/>
  <c r="PM58" i="8" l="1"/>
  <c r="PM57" i="8"/>
  <c r="PK20" i="8"/>
  <c r="PK28" i="8"/>
  <c r="PL35" i="8" s="1"/>
  <c r="PK30" i="8" l="1"/>
  <c r="PK29" i="8"/>
  <c r="PK34" i="8"/>
  <c r="PK37" i="8" l="1"/>
  <c r="PK36" i="8"/>
  <c r="PL42" i="8"/>
  <c r="PL43" i="8" s="1"/>
  <c r="PK55" i="8"/>
  <c r="PK48" i="8"/>
  <c r="PK41" i="8"/>
  <c r="PM49" i="8" l="1"/>
  <c r="PM50" i="8" s="1"/>
  <c r="PL44" i="8"/>
  <c r="PK23" i="8"/>
  <c r="PN56" i="8" l="1"/>
  <c r="PM51" i="8"/>
  <c r="PK24" i="8"/>
  <c r="PK25" i="8" s="1"/>
  <c r="PN58" i="8" l="1"/>
  <c r="PN57" i="8"/>
  <c r="PL20" i="8"/>
  <c r="PL28" i="8"/>
  <c r="PM35" i="8" s="1"/>
  <c r="PL30" i="8" l="1"/>
  <c r="PL29" i="8"/>
  <c r="PL34" i="8"/>
  <c r="PL37" i="8" l="1"/>
  <c r="PL36" i="8"/>
  <c r="PM42" i="8"/>
  <c r="PM43" i="8" s="1"/>
  <c r="PL55" i="8"/>
  <c r="PL48" i="8"/>
  <c r="PL41" i="8"/>
  <c r="PN49" i="8" l="1"/>
  <c r="PN50" i="8" s="1"/>
  <c r="PM44" i="8"/>
  <c r="PL23" i="8"/>
  <c r="PL24" i="8" s="1"/>
  <c r="PL25" i="8" s="1"/>
  <c r="PO56" i="8" l="1"/>
  <c r="PN51" i="8"/>
  <c r="PM20" i="8"/>
  <c r="PM28" i="8"/>
  <c r="PN35" i="8" s="1"/>
  <c r="PM30" i="8" l="1"/>
  <c r="PM29" i="8"/>
  <c r="PO58" i="8"/>
  <c r="PO57" i="8"/>
  <c r="PM34" i="8"/>
  <c r="PM37" i="8" l="1"/>
  <c r="PM36" i="8"/>
  <c r="PN42" i="8"/>
  <c r="PN43" i="8" s="1"/>
  <c r="PM55" i="8"/>
  <c r="PM48" i="8"/>
  <c r="PM41" i="8"/>
  <c r="PO49" i="8" l="1"/>
  <c r="PO50" i="8" s="1"/>
  <c r="PN44" i="8"/>
  <c r="PM23" i="8"/>
  <c r="PM24" i="8" s="1"/>
  <c r="PM25" i="8" s="1"/>
  <c r="PP56" i="8" l="1"/>
  <c r="PO51" i="8"/>
  <c r="PN20" i="8"/>
  <c r="PN28" i="8"/>
  <c r="PO35" i="8" s="1"/>
  <c r="PN30" i="8" l="1"/>
  <c r="PN29" i="8"/>
  <c r="PP58" i="8"/>
  <c r="PP57" i="8"/>
  <c r="PN34" i="8"/>
  <c r="PN37" i="8" l="1"/>
  <c r="PN36" i="8"/>
  <c r="PO42" i="8"/>
  <c r="PO43" i="8" s="1"/>
  <c r="PN55" i="8"/>
  <c r="PN48" i="8"/>
  <c r="PN41" i="8"/>
  <c r="PP49" i="8" l="1"/>
  <c r="PP50" i="8" s="1"/>
  <c r="PO44" i="8"/>
  <c r="PN23" i="8"/>
  <c r="PQ56" i="8" l="1"/>
  <c r="PP51" i="8"/>
  <c r="PN24" i="8"/>
  <c r="PN25" i="8" s="1"/>
  <c r="PQ58" i="8" l="1"/>
  <c r="PQ57" i="8"/>
  <c r="PO20" i="8"/>
  <c r="PO28" i="8"/>
  <c r="PP35" i="8" s="1"/>
  <c r="PO30" i="8" l="1"/>
  <c r="PO29" i="8"/>
  <c r="PO34" i="8"/>
  <c r="PO37" i="8" l="1"/>
  <c r="PO36" i="8"/>
  <c r="PP42" i="8"/>
  <c r="PP43" i="8" s="1"/>
  <c r="PO55" i="8"/>
  <c r="PO48" i="8"/>
  <c r="PO41" i="8"/>
  <c r="PQ49" i="8" l="1"/>
  <c r="PQ50" i="8" s="1"/>
  <c r="PP44" i="8"/>
  <c r="PO23" i="8"/>
  <c r="PO24" i="8" s="1"/>
  <c r="PO25" i="8" s="1"/>
  <c r="PR56" i="8" l="1"/>
  <c r="PQ51" i="8"/>
  <c r="PP20" i="8"/>
  <c r="PP28" i="8"/>
  <c r="PQ35" i="8" s="1"/>
  <c r="PP30" i="8" l="1"/>
  <c r="PP29" i="8"/>
  <c r="PR58" i="8"/>
  <c r="PR57" i="8"/>
  <c r="PP34" i="8"/>
  <c r="PP37" i="8" l="1"/>
  <c r="PP36" i="8"/>
  <c r="PQ42" i="8"/>
  <c r="PQ43" i="8" s="1"/>
  <c r="PP55" i="8"/>
  <c r="PP48" i="8"/>
  <c r="PP41" i="8"/>
  <c r="PR49" i="8" l="1"/>
  <c r="PR50" i="8" s="1"/>
  <c r="PQ44" i="8"/>
  <c r="PP23" i="8"/>
  <c r="PP24" i="8" s="1"/>
  <c r="PP25" i="8" s="1"/>
  <c r="PS56" i="8" l="1"/>
  <c r="PR51" i="8"/>
  <c r="PQ20" i="8"/>
  <c r="PQ28" i="8"/>
  <c r="PR35" i="8" s="1"/>
  <c r="PQ30" i="8" l="1"/>
  <c r="PQ29" i="8"/>
  <c r="PS58" i="8"/>
  <c r="PS57" i="8"/>
  <c r="PQ34" i="8"/>
  <c r="PQ37" i="8" l="1"/>
  <c r="PQ36" i="8"/>
  <c r="PR42" i="8"/>
  <c r="PR43" i="8" s="1"/>
  <c r="PQ55" i="8"/>
  <c r="PQ48" i="8"/>
  <c r="PQ41" i="8"/>
  <c r="PS49" i="8" l="1"/>
  <c r="PS50" i="8" s="1"/>
  <c r="PR44" i="8"/>
  <c r="PQ23" i="8"/>
  <c r="PT56" i="8" l="1"/>
  <c r="PS51" i="8"/>
  <c r="PQ24" i="8"/>
  <c r="PQ25" i="8" s="1"/>
  <c r="PT58" i="8" l="1"/>
  <c r="PT57" i="8"/>
  <c r="PR20" i="8"/>
  <c r="PR28" i="8"/>
  <c r="PS35" i="8" s="1"/>
  <c r="PR30" i="8" l="1"/>
  <c r="PR29" i="8"/>
  <c r="PR34" i="8"/>
  <c r="PR37" i="8" l="1"/>
  <c r="PR36" i="8"/>
  <c r="PS42" i="8"/>
  <c r="PS43" i="8" s="1"/>
  <c r="PR55" i="8"/>
  <c r="PR48" i="8"/>
  <c r="PR41" i="8"/>
  <c r="PT49" i="8" l="1"/>
  <c r="PT50" i="8" s="1"/>
  <c r="PS44" i="8"/>
  <c r="PR23" i="8"/>
  <c r="PR24" i="8" s="1"/>
  <c r="PR25" i="8" s="1"/>
  <c r="PU56" i="8" l="1"/>
  <c r="PT51" i="8"/>
  <c r="PS20" i="8"/>
  <c r="PS28" i="8"/>
  <c r="PT35" i="8" s="1"/>
  <c r="PS30" i="8" l="1"/>
  <c r="PS29" i="8"/>
  <c r="PU58" i="8"/>
  <c r="PU57" i="8"/>
  <c r="PS34" i="8"/>
  <c r="PS37" i="8" l="1"/>
  <c r="PS36" i="8"/>
  <c r="PT42" i="8"/>
  <c r="PT43" i="8" s="1"/>
  <c r="PS55" i="8"/>
  <c r="PS48" i="8"/>
  <c r="PS41" i="8"/>
  <c r="PU49" i="8" l="1"/>
  <c r="PU50" i="8" s="1"/>
  <c r="PT44" i="8"/>
  <c r="PS23" i="8"/>
  <c r="PV56" i="8" l="1"/>
  <c r="PU51" i="8"/>
  <c r="PS24" i="8"/>
  <c r="PS25" i="8" s="1"/>
  <c r="PV58" i="8" l="1"/>
  <c r="PV57" i="8"/>
  <c r="PT20" i="8"/>
  <c r="PT28" i="8"/>
  <c r="PU35" i="8" s="1"/>
  <c r="PT30" i="8" l="1"/>
  <c r="PT29" i="8"/>
  <c r="PT34" i="8"/>
  <c r="PT37" i="8" l="1"/>
  <c r="PT36" i="8"/>
  <c r="PU42" i="8"/>
  <c r="PU43" i="8" s="1"/>
  <c r="PT55" i="8"/>
  <c r="PT48" i="8"/>
  <c r="PT41" i="8"/>
  <c r="PV49" i="8" l="1"/>
  <c r="PV50" i="8" s="1"/>
  <c r="PU44" i="8"/>
  <c r="PT23" i="8"/>
  <c r="PT24" i="8" s="1"/>
  <c r="PT25" i="8" s="1"/>
  <c r="PW56" i="8" l="1"/>
  <c r="PV51" i="8"/>
  <c r="PU20" i="8"/>
  <c r="PU28" i="8"/>
  <c r="PV35" i="8" s="1"/>
  <c r="PU30" i="8" l="1"/>
  <c r="PU29" i="8"/>
  <c r="PW58" i="8"/>
  <c r="PW57" i="8"/>
  <c r="PU34" i="8"/>
  <c r="PU37" i="8" l="1"/>
  <c r="PU36" i="8"/>
  <c r="PV42" i="8"/>
  <c r="PV43" i="8" s="1"/>
  <c r="PU55" i="8"/>
  <c r="PU48" i="8"/>
  <c r="PU41" i="8"/>
  <c r="PW49" i="8" l="1"/>
  <c r="PW50" i="8" s="1"/>
  <c r="PV44" i="8"/>
  <c r="PU23" i="8"/>
  <c r="PU24" i="8" s="1"/>
  <c r="PU25" i="8" s="1"/>
  <c r="PX56" i="8" l="1"/>
  <c r="PW51" i="8"/>
  <c r="PV20" i="8"/>
  <c r="PV28" i="8"/>
  <c r="PW35" i="8" s="1"/>
  <c r="PV30" i="8" l="1"/>
  <c r="PV29" i="8"/>
  <c r="PX58" i="8"/>
  <c r="PX57" i="8"/>
  <c r="PV34" i="8"/>
  <c r="PV37" i="8" l="1"/>
  <c r="PV36" i="8"/>
  <c r="PW42" i="8"/>
  <c r="PW43" i="8" s="1"/>
  <c r="PV55" i="8"/>
  <c r="PV48" i="8"/>
  <c r="PV41" i="8"/>
  <c r="PX49" i="8" l="1"/>
  <c r="PX50" i="8" s="1"/>
  <c r="PW44" i="8"/>
  <c r="PV23" i="8"/>
  <c r="PV24" i="8" s="1"/>
  <c r="PV25" i="8" s="1"/>
  <c r="PY56" i="8" l="1"/>
  <c r="PX51" i="8"/>
  <c r="PW20" i="8"/>
  <c r="PW28" i="8"/>
  <c r="PX35" i="8" s="1"/>
  <c r="PW30" i="8" l="1"/>
  <c r="PW29" i="8"/>
  <c r="PY58" i="8"/>
  <c r="PY57" i="8"/>
  <c r="PW34" i="8"/>
  <c r="PW37" i="8" l="1"/>
  <c r="PW36" i="8"/>
  <c r="PX42" i="8"/>
  <c r="PX43" i="8" s="1"/>
  <c r="PW55" i="8"/>
  <c r="PW48" i="8"/>
  <c r="PW41" i="8"/>
  <c r="PY49" i="8" l="1"/>
  <c r="PY50" i="8" s="1"/>
  <c r="PX44" i="8"/>
  <c r="PW23" i="8"/>
  <c r="PW24" i="8" s="1"/>
  <c r="PW25" i="8" s="1"/>
  <c r="PZ56" i="8" l="1"/>
  <c r="PY51" i="8"/>
  <c r="PX20" i="8"/>
  <c r="PX28" i="8"/>
  <c r="PY35" i="8" s="1"/>
  <c r="PX30" i="8" l="1"/>
  <c r="PX29" i="8"/>
  <c r="PZ58" i="8"/>
  <c r="PZ57" i="8"/>
  <c r="PX34" i="8"/>
  <c r="PX37" i="8" l="1"/>
  <c r="PX36" i="8"/>
  <c r="PY42" i="8"/>
  <c r="PY43" i="8" s="1"/>
  <c r="PX55" i="8"/>
  <c r="PX48" i="8"/>
  <c r="PX41" i="8"/>
  <c r="PZ49" i="8" l="1"/>
  <c r="PZ50" i="8" s="1"/>
  <c r="PY44" i="8"/>
  <c r="PX23" i="8"/>
  <c r="PX24" i="8" s="1"/>
  <c r="PX25" i="8" s="1"/>
  <c r="QA56" i="8" l="1"/>
  <c r="PZ51" i="8"/>
  <c r="PY20" i="8"/>
  <c r="PY28" i="8"/>
  <c r="PZ35" i="8" s="1"/>
  <c r="PY30" i="8" l="1"/>
  <c r="PY29" i="8"/>
  <c r="QA58" i="8"/>
  <c r="QA57" i="8"/>
  <c r="PY34" i="8"/>
  <c r="PY37" i="8" l="1"/>
  <c r="PY36" i="8"/>
  <c r="PZ42" i="8"/>
  <c r="PZ43" i="8" s="1"/>
  <c r="PY55" i="8"/>
  <c r="PY48" i="8"/>
  <c r="PY41" i="8"/>
  <c r="QA49" i="8" l="1"/>
  <c r="QA50" i="8" s="1"/>
  <c r="PZ44" i="8"/>
  <c r="PY23" i="8"/>
  <c r="PY24" i="8" s="1"/>
  <c r="PY25" i="8" s="1"/>
  <c r="QB56" i="8" l="1"/>
  <c r="QA51" i="8"/>
  <c r="PZ20" i="8"/>
  <c r="PZ28" i="8"/>
  <c r="QA35" i="8" s="1"/>
  <c r="PZ30" i="8" l="1"/>
  <c r="PZ29" i="8"/>
  <c r="QB58" i="8"/>
  <c r="QB57" i="8"/>
  <c r="PZ34" i="8"/>
  <c r="PZ37" i="8" l="1"/>
  <c r="PZ36" i="8"/>
  <c r="QA42" i="8"/>
  <c r="QA43" i="8" s="1"/>
  <c r="PZ55" i="8"/>
  <c r="PZ48" i="8"/>
  <c r="PZ41" i="8"/>
  <c r="QB49" i="8" l="1"/>
  <c r="QB50" i="8" s="1"/>
  <c r="QA44" i="8"/>
  <c r="PZ23" i="8"/>
  <c r="PZ24" i="8" s="1"/>
  <c r="PZ25" i="8" s="1"/>
  <c r="QC56" i="8" l="1"/>
  <c r="QB51" i="8"/>
  <c r="QA20" i="8"/>
  <c r="QA28" i="8"/>
  <c r="QB35" i="8" s="1"/>
  <c r="QA30" i="8" l="1"/>
  <c r="QA29" i="8"/>
  <c r="QC58" i="8"/>
  <c r="QC57" i="8"/>
  <c r="QA34" i="8"/>
  <c r="QA37" i="8" l="1"/>
  <c r="QA36" i="8"/>
  <c r="QB42" i="8"/>
  <c r="QB43" i="8" s="1"/>
  <c r="QA55" i="8"/>
  <c r="QA48" i="8"/>
  <c r="QA41" i="8"/>
  <c r="QC49" i="8" l="1"/>
  <c r="QC50" i="8" s="1"/>
  <c r="QB44" i="8"/>
  <c r="QA23" i="8"/>
  <c r="QD56" i="8" l="1"/>
  <c r="QC51" i="8"/>
  <c r="QA24" i="8"/>
  <c r="QA25" i="8" s="1"/>
  <c r="QD58" i="8" l="1"/>
  <c r="QD57" i="8"/>
  <c r="QB20" i="8"/>
  <c r="QB28" i="8"/>
  <c r="QC35" i="8" s="1"/>
  <c r="QB30" i="8" l="1"/>
  <c r="QB29" i="8"/>
  <c r="QB34" i="8"/>
  <c r="QB37" i="8" l="1"/>
  <c r="QB36" i="8"/>
  <c r="QC42" i="8"/>
  <c r="QC43" i="8" s="1"/>
  <c r="QB55" i="8"/>
  <c r="QB48" i="8"/>
  <c r="QB41" i="8"/>
  <c r="QD49" i="8" l="1"/>
  <c r="QD50" i="8" s="1"/>
  <c r="QC44" i="8"/>
  <c r="QB23" i="8"/>
  <c r="QB24" i="8" s="1"/>
  <c r="QB25" i="8" s="1"/>
  <c r="QE56" i="8" l="1"/>
  <c r="QD51" i="8"/>
  <c r="QC20" i="8"/>
  <c r="QC28" i="8"/>
  <c r="QD35" i="8" s="1"/>
  <c r="QC30" i="8" l="1"/>
  <c r="QC29" i="8"/>
  <c r="QE58" i="8"/>
  <c r="QE57" i="8"/>
  <c r="QC34" i="8"/>
  <c r="QC37" i="8" l="1"/>
  <c r="QC36" i="8"/>
  <c r="QD42" i="8"/>
  <c r="QD43" i="8" s="1"/>
  <c r="QC55" i="8"/>
  <c r="QC48" i="8"/>
  <c r="QC41" i="8"/>
  <c r="QE49" i="8" l="1"/>
  <c r="QE50" i="8" s="1"/>
  <c r="QD44" i="8"/>
  <c r="QC23" i="8"/>
  <c r="QC24" i="8" s="1"/>
  <c r="QC25" i="8" s="1"/>
  <c r="QF56" i="8" l="1"/>
  <c r="QE51" i="8"/>
  <c r="QD20" i="8"/>
  <c r="QD28" i="8"/>
  <c r="QE35" i="8" s="1"/>
  <c r="QD30" i="8" l="1"/>
  <c r="QD29" i="8"/>
  <c r="QF58" i="8"/>
  <c r="QF57" i="8"/>
  <c r="QD34" i="8"/>
  <c r="QD37" i="8" l="1"/>
  <c r="QD36" i="8"/>
  <c r="QE42" i="8"/>
  <c r="QE43" i="8" s="1"/>
  <c r="QD55" i="8"/>
  <c r="QD48" i="8"/>
  <c r="QD41" i="8"/>
  <c r="QF49" i="8" l="1"/>
  <c r="QF50" i="8" s="1"/>
  <c r="QE44" i="8"/>
  <c r="QD23" i="8"/>
  <c r="QD24" i="8" s="1"/>
  <c r="QD25" i="8" s="1"/>
  <c r="QG56" i="8" l="1"/>
  <c r="QF51" i="8"/>
  <c r="QE20" i="8"/>
  <c r="QE28" i="8"/>
  <c r="QF35" i="8" s="1"/>
  <c r="QE30" i="8" l="1"/>
  <c r="QE29" i="8"/>
  <c r="QG58" i="8"/>
  <c r="QG57" i="8"/>
  <c r="QE34" i="8"/>
  <c r="QE37" i="8" l="1"/>
  <c r="QE36" i="8"/>
  <c r="QF42" i="8"/>
  <c r="QF43" i="8" s="1"/>
  <c r="QE55" i="8"/>
  <c r="QE48" i="8"/>
  <c r="QE41" i="8"/>
  <c r="QG49" i="8" l="1"/>
  <c r="QG50" i="8" s="1"/>
  <c r="QF44" i="8"/>
  <c r="QE23" i="8"/>
  <c r="QE24" i="8" s="1"/>
  <c r="QE25" i="8" s="1"/>
  <c r="QH56" i="8" l="1"/>
  <c r="QG51" i="8"/>
  <c r="QF20" i="8"/>
  <c r="QF28" i="8"/>
  <c r="QG35" i="8" s="1"/>
  <c r="QF30" i="8" l="1"/>
  <c r="QF29" i="8"/>
  <c r="QH58" i="8"/>
  <c r="QH57" i="8"/>
  <c r="QF34" i="8"/>
  <c r="QF37" i="8" l="1"/>
  <c r="QF36" i="8"/>
  <c r="QG42" i="8"/>
  <c r="QG43" i="8" s="1"/>
  <c r="QF55" i="8"/>
  <c r="QF48" i="8"/>
  <c r="QF41" i="8"/>
  <c r="QH49" i="8" l="1"/>
  <c r="QH50" i="8" s="1"/>
  <c r="QG44" i="8"/>
  <c r="QF23" i="8"/>
  <c r="QF24" i="8" s="1"/>
  <c r="QF25" i="8" s="1"/>
  <c r="QI56" i="8" l="1"/>
  <c r="QH51" i="8"/>
  <c r="QG20" i="8"/>
  <c r="QG28" i="8"/>
  <c r="QH35" i="8" s="1"/>
  <c r="QG30" i="8" l="1"/>
  <c r="QG29" i="8"/>
  <c r="QI58" i="8"/>
  <c r="QI57" i="8"/>
  <c r="QG34" i="8"/>
  <c r="QG37" i="8" l="1"/>
  <c r="QG36" i="8"/>
  <c r="QH42" i="8"/>
  <c r="QH43" i="8" s="1"/>
  <c r="QG55" i="8"/>
  <c r="QG48" i="8"/>
  <c r="QG41" i="8"/>
  <c r="QI49" i="8" l="1"/>
  <c r="QI50" i="8" s="1"/>
  <c r="QH44" i="8"/>
  <c r="QG23" i="8"/>
  <c r="QG24" i="8" s="1"/>
  <c r="QG25" i="8" s="1"/>
  <c r="QJ56" i="8" l="1"/>
  <c r="QI51" i="8"/>
  <c r="QH20" i="8"/>
  <c r="QH28" i="8"/>
  <c r="QI35" i="8" s="1"/>
  <c r="QH30" i="8" l="1"/>
  <c r="QH29" i="8"/>
  <c r="QJ58" i="8"/>
  <c r="QJ57" i="8"/>
  <c r="QH34" i="8"/>
  <c r="QH37" i="8" l="1"/>
  <c r="QH36" i="8"/>
  <c r="QI42" i="8"/>
  <c r="QI43" i="8" s="1"/>
  <c r="QH55" i="8"/>
  <c r="QH48" i="8"/>
  <c r="QH41" i="8"/>
  <c r="QJ49" i="8" l="1"/>
  <c r="QJ50" i="8" s="1"/>
  <c r="QI44" i="8"/>
  <c r="QH23" i="8"/>
  <c r="QH24" i="8" s="1"/>
  <c r="QH25" i="8" s="1"/>
  <c r="QK56" i="8" l="1"/>
  <c r="QJ51" i="8"/>
  <c r="QI20" i="8"/>
  <c r="QI28" i="8"/>
  <c r="QJ35" i="8" s="1"/>
  <c r="QI30" i="8" l="1"/>
  <c r="QI29" i="8"/>
  <c r="QK58" i="8"/>
  <c r="QK57" i="8"/>
  <c r="QI34" i="8"/>
  <c r="QI37" i="8" l="1"/>
  <c r="QI36" i="8"/>
  <c r="QJ42" i="8"/>
  <c r="QJ43" i="8" s="1"/>
  <c r="QI55" i="8"/>
  <c r="QI48" i="8"/>
  <c r="QI41" i="8"/>
  <c r="QK49" i="8" l="1"/>
  <c r="QK50" i="8" s="1"/>
  <c r="QJ44" i="8"/>
  <c r="QI23" i="8"/>
  <c r="QI24" i="8" s="1"/>
  <c r="QI25" i="8" s="1"/>
  <c r="QL56" i="8" l="1"/>
  <c r="QK51" i="8"/>
  <c r="QJ20" i="8"/>
  <c r="QJ28" i="8"/>
  <c r="QK35" i="8" s="1"/>
  <c r="QJ30" i="8" l="1"/>
  <c r="QJ29" i="8"/>
  <c r="QL58" i="8"/>
  <c r="QL57" i="8"/>
  <c r="QJ34" i="8"/>
  <c r="QJ37" i="8" l="1"/>
  <c r="QJ36" i="8"/>
  <c r="QK42" i="8"/>
  <c r="QK43" i="8" s="1"/>
  <c r="QJ55" i="8"/>
  <c r="QJ48" i="8"/>
  <c r="QJ41" i="8"/>
  <c r="QL49" i="8" l="1"/>
  <c r="QL50" i="8" s="1"/>
  <c r="QK44" i="8"/>
  <c r="QJ23" i="8"/>
  <c r="QM56" i="8" l="1"/>
  <c r="QL51" i="8"/>
  <c r="QJ24" i="8"/>
  <c r="QJ25" i="8" s="1"/>
  <c r="QM58" i="8" l="1"/>
  <c r="QM57" i="8"/>
  <c r="QK20" i="8"/>
  <c r="QK28" i="8"/>
  <c r="QL35" i="8" s="1"/>
  <c r="QK30" i="8" l="1"/>
  <c r="QK29" i="8"/>
  <c r="QK34" i="8"/>
  <c r="QK37" i="8" l="1"/>
  <c r="QK36" i="8"/>
  <c r="QL42" i="8"/>
  <c r="QL43" i="8" s="1"/>
  <c r="QK55" i="8"/>
  <c r="QK48" i="8"/>
  <c r="QK41" i="8"/>
  <c r="QM49" i="8" l="1"/>
  <c r="QM50" i="8" s="1"/>
  <c r="QL44" i="8"/>
  <c r="QK23" i="8"/>
  <c r="QK24" i="8" s="1"/>
  <c r="QK25" i="8" s="1"/>
  <c r="QN56" i="8" l="1"/>
  <c r="QM51" i="8"/>
  <c r="QL20" i="8"/>
  <c r="QL28" i="8"/>
  <c r="QM35" i="8" s="1"/>
  <c r="QL30" i="8" l="1"/>
  <c r="QL29" i="8"/>
  <c r="QN58" i="8"/>
  <c r="QN57" i="8"/>
  <c r="QL34" i="8"/>
  <c r="QL37" i="8" l="1"/>
  <c r="QL36" i="8"/>
  <c r="QM42" i="8"/>
  <c r="QM43" i="8" s="1"/>
  <c r="QL55" i="8"/>
  <c r="QL48" i="8"/>
  <c r="QL41" i="8"/>
  <c r="QN49" i="8" l="1"/>
  <c r="QN50" i="8" s="1"/>
  <c r="QM44" i="8"/>
  <c r="QL23" i="8"/>
  <c r="QO56" i="8" l="1"/>
  <c r="QN51" i="8"/>
  <c r="QL24" i="8"/>
  <c r="QL25" i="8" s="1"/>
  <c r="QO58" i="8" l="1"/>
  <c r="QO57" i="8"/>
  <c r="QM20" i="8"/>
  <c r="QM28" i="8"/>
  <c r="QN35" i="8" s="1"/>
  <c r="QM30" i="8" l="1"/>
  <c r="QM29" i="8"/>
  <c r="QM34" i="8"/>
  <c r="QM37" i="8" l="1"/>
  <c r="QM36" i="8"/>
  <c r="QN42" i="8"/>
  <c r="QN43" i="8" s="1"/>
  <c r="QM55" i="8"/>
  <c r="QM48" i="8"/>
  <c r="QM41" i="8"/>
  <c r="QO49" i="8" l="1"/>
  <c r="QO50" i="8" s="1"/>
  <c r="QN44" i="8"/>
  <c r="QM23" i="8"/>
  <c r="QP56" i="8" l="1"/>
  <c r="QO51" i="8"/>
  <c r="QM24" i="8"/>
  <c r="QM25" i="8" s="1"/>
  <c r="QP58" i="8" l="1"/>
  <c r="QP57" i="8"/>
  <c r="QN20" i="8"/>
  <c r="QN28" i="8"/>
  <c r="QO35" i="8" s="1"/>
  <c r="QN30" i="8" l="1"/>
  <c r="QN29" i="8"/>
  <c r="QN34" i="8"/>
  <c r="QN37" i="8" l="1"/>
  <c r="QN36" i="8"/>
  <c r="QO42" i="8"/>
  <c r="QO43" i="8" s="1"/>
  <c r="QN55" i="8"/>
  <c r="QN48" i="8"/>
  <c r="QN41" i="8"/>
  <c r="QP49" i="8" l="1"/>
  <c r="QP50" i="8" s="1"/>
  <c r="QO44" i="8"/>
  <c r="QN23" i="8"/>
  <c r="QQ56" i="8" l="1"/>
  <c r="QP51" i="8"/>
  <c r="QN24" i="8"/>
  <c r="QN25" i="8" s="1"/>
  <c r="QQ58" i="8" l="1"/>
  <c r="QQ57" i="8"/>
  <c r="QO20" i="8"/>
  <c r="QO28" i="8"/>
  <c r="QP35" i="8" s="1"/>
  <c r="QO30" i="8" l="1"/>
  <c r="QO29" i="8"/>
  <c r="QO34" i="8"/>
  <c r="QO37" i="8" l="1"/>
  <c r="QO36" i="8"/>
  <c r="QP42" i="8"/>
  <c r="QP43" i="8" s="1"/>
  <c r="QO55" i="8"/>
  <c r="QO48" i="8"/>
  <c r="QO41" i="8"/>
  <c r="QQ49" i="8" l="1"/>
  <c r="QQ50" i="8" s="1"/>
  <c r="QP44" i="8"/>
  <c r="QO23" i="8"/>
  <c r="QO24" i="8" s="1"/>
  <c r="QO25" i="8" s="1"/>
  <c r="QR56" i="8" l="1"/>
  <c r="QQ51" i="8"/>
  <c r="QP20" i="8"/>
  <c r="QP28" i="8"/>
  <c r="QQ35" i="8" s="1"/>
  <c r="QP30" i="8" l="1"/>
  <c r="QP29" i="8"/>
  <c r="QR58" i="8"/>
  <c r="QR57" i="8"/>
  <c r="QP34" i="8"/>
  <c r="QP37" i="8" l="1"/>
  <c r="QP36" i="8"/>
  <c r="QQ42" i="8"/>
  <c r="QQ43" i="8" s="1"/>
  <c r="QP55" i="8"/>
  <c r="QP48" i="8"/>
  <c r="QP41" i="8"/>
  <c r="QR49" i="8" l="1"/>
  <c r="QR50" i="8" s="1"/>
  <c r="QQ44" i="8"/>
  <c r="QP23" i="8"/>
  <c r="QP24" i="8" s="1"/>
  <c r="QP25" i="8" s="1"/>
  <c r="QS56" i="8" l="1"/>
  <c r="QR51" i="8"/>
  <c r="QQ20" i="8"/>
  <c r="QQ28" i="8"/>
  <c r="QR35" i="8" s="1"/>
  <c r="QQ30" i="8" l="1"/>
  <c r="QQ29" i="8"/>
  <c r="QS58" i="8"/>
  <c r="QS57" i="8"/>
  <c r="QQ34" i="8"/>
  <c r="QQ37" i="8" l="1"/>
  <c r="QQ36" i="8"/>
  <c r="QR42" i="8"/>
  <c r="QR43" i="8" s="1"/>
  <c r="QQ55" i="8"/>
  <c r="QQ48" i="8"/>
  <c r="QQ41" i="8"/>
  <c r="QS49" i="8" l="1"/>
  <c r="QS50" i="8" s="1"/>
  <c r="QR44" i="8"/>
  <c r="QQ23" i="8"/>
  <c r="QQ24" i="8" s="1"/>
  <c r="QQ25" i="8" s="1"/>
  <c r="QT56" i="8" l="1"/>
  <c r="QS51" i="8"/>
  <c r="QR20" i="8"/>
  <c r="QR28" i="8"/>
  <c r="QS35" i="8" s="1"/>
  <c r="QR30" i="8" l="1"/>
  <c r="QR29" i="8"/>
  <c r="QT58" i="8"/>
  <c r="QT57" i="8"/>
  <c r="QR34" i="8"/>
  <c r="QR37" i="8" l="1"/>
  <c r="QR36" i="8"/>
  <c r="QS42" i="8"/>
  <c r="QS43" i="8" s="1"/>
  <c r="QR55" i="8"/>
  <c r="QR48" i="8"/>
  <c r="QR41" i="8"/>
  <c r="QT49" i="8" l="1"/>
  <c r="QT50" i="8" s="1"/>
  <c r="QS44" i="8"/>
  <c r="QR23" i="8"/>
  <c r="QR24" i="8" s="1"/>
  <c r="QR25" i="8" s="1"/>
  <c r="QU56" i="8" l="1"/>
  <c r="QT51" i="8"/>
  <c r="QS20" i="8"/>
  <c r="QS28" i="8"/>
  <c r="QT35" i="8" s="1"/>
  <c r="QS30" i="8" l="1"/>
  <c r="QS29" i="8"/>
  <c r="QU58" i="8"/>
  <c r="QU57" i="8"/>
  <c r="QS34" i="8"/>
  <c r="QS37" i="8" l="1"/>
  <c r="QS36" i="8"/>
  <c r="QT42" i="8"/>
  <c r="QT43" i="8" s="1"/>
  <c r="QS55" i="8"/>
  <c r="QS48" i="8"/>
  <c r="QS41" i="8"/>
  <c r="QU49" i="8" l="1"/>
  <c r="QU50" i="8" s="1"/>
  <c r="QT44" i="8"/>
  <c r="QS23" i="8"/>
  <c r="QS24" i="8" s="1"/>
  <c r="QS25" i="8" s="1"/>
  <c r="QV56" i="8" l="1"/>
  <c r="QU51" i="8"/>
  <c r="QT20" i="8"/>
  <c r="QT28" i="8"/>
  <c r="QU35" i="8" s="1"/>
  <c r="QT30" i="8" l="1"/>
  <c r="QT29" i="8"/>
  <c r="QV58" i="8"/>
  <c r="QV57" i="8"/>
  <c r="QT34" i="8"/>
  <c r="QT37" i="8" l="1"/>
  <c r="QT36" i="8"/>
  <c r="QU42" i="8"/>
  <c r="QU43" i="8" s="1"/>
  <c r="QT55" i="8"/>
  <c r="QT48" i="8"/>
  <c r="QT41" i="8"/>
  <c r="QV49" i="8" l="1"/>
  <c r="QV50" i="8" s="1"/>
  <c r="QU44" i="8"/>
  <c r="QT23" i="8"/>
  <c r="QW56" i="8" l="1"/>
  <c r="QV51" i="8"/>
  <c r="QT24" i="8"/>
  <c r="QT25" i="8" s="1"/>
  <c r="QW58" i="8" l="1"/>
  <c r="QW57" i="8"/>
  <c r="QU20" i="8"/>
  <c r="QU28" i="8"/>
  <c r="QV35" i="8" s="1"/>
  <c r="QU30" i="8" l="1"/>
  <c r="QU29" i="8"/>
  <c r="QU34" i="8"/>
  <c r="QU37" i="8" l="1"/>
  <c r="QU36" i="8"/>
  <c r="QV42" i="8"/>
  <c r="QV43" i="8" s="1"/>
  <c r="QU55" i="8"/>
  <c r="QU48" i="8"/>
  <c r="QU41" i="8"/>
  <c r="QW49" i="8" l="1"/>
  <c r="QW50" i="8" s="1"/>
  <c r="QV44" i="8"/>
  <c r="QU23" i="8"/>
  <c r="QU24" i="8" s="1"/>
  <c r="QU25" i="8" s="1"/>
  <c r="QX56" i="8" l="1"/>
  <c r="QW51" i="8"/>
  <c r="QV20" i="8"/>
  <c r="QV28" i="8"/>
  <c r="QW35" i="8" s="1"/>
  <c r="QV30" i="8" l="1"/>
  <c r="QV29" i="8"/>
  <c r="QX58" i="8"/>
  <c r="QX57" i="8"/>
  <c r="QV34" i="8"/>
  <c r="QV37" i="8" l="1"/>
  <c r="QV36" i="8"/>
  <c r="QW42" i="8"/>
  <c r="QW43" i="8" s="1"/>
  <c r="QV55" i="8"/>
  <c r="QV48" i="8"/>
  <c r="QV41" i="8"/>
  <c r="QX49" i="8" l="1"/>
  <c r="QX50" i="8" s="1"/>
  <c r="QW44" i="8"/>
  <c r="QV23" i="8"/>
  <c r="QV24" i="8" s="1"/>
  <c r="QV25" i="8" s="1"/>
  <c r="QY56" i="8" l="1"/>
  <c r="QX51" i="8"/>
  <c r="QW20" i="8"/>
  <c r="QW28" i="8"/>
  <c r="QX35" i="8" s="1"/>
  <c r="QW30" i="8" l="1"/>
  <c r="QW29" i="8"/>
  <c r="QY58" i="8"/>
  <c r="QY57" i="8"/>
  <c r="QW34" i="8"/>
  <c r="QW37" i="8" l="1"/>
  <c r="QW36" i="8"/>
  <c r="QX42" i="8"/>
  <c r="QX43" i="8" s="1"/>
  <c r="QW55" i="8"/>
  <c r="QW48" i="8"/>
  <c r="QW41" i="8"/>
  <c r="QY49" i="8" l="1"/>
  <c r="QY50" i="8" s="1"/>
  <c r="QX44" i="8"/>
  <c r="QW23" i="8"/>
  <c r="QZ56" i="8" l="1"/>
  <c r="QY51" i="8"/>
  <c r="QW24" i="8"/>
  <c r="QW25" i="8" s="1"/>
  <c r="QZ58" i="8" l="1"/>
  <c r="QZ57" i="8"/>
  <c r="QX20" i="8"/>
  <c r="QX28" i="8"/>
  <c r="QY35" i="8" s="1"/>
  <c r="QX30" i="8" l="1"/>
  <c r="QX29" i="8"/>
  <c r="QX34" i="8"/>
  <c r="QX37" i="8" l="1"/>
  <c r="QX36" i="8"/>
  <c r="QY42" i="8"/>
  <c r="QY43" i="8" s="1"/>
  <c r="QX55" i="8"/>
  <c r="QX48" i="8"/>
  <c r="QX41" i="8"/>
  <c r="QZ49" i="8" l="1"/>
  <c r="QZ50" i="8" s="1"/>
  <c r="QY44" i="8"/>
  <c r="QX23" i="8"/>
  <c r="QX24" i="8" s="1"/>
  <c r="QX25" i="8" s="1"/>
  <c r="RA56" i="8" l="1"/>
  <c r="QZ51" i="8"/>
  <c r="QY20" i="8"/>
  <c r="QY28" i="8"/>
  <c r="QZ35" i="8" s="1"/>
  <c r="QY30" i="8" l="1"/>
  <c r="QY29" i="8"/>
  <c r="RA58" i="8"/>
  <c r="RA57" i="8"/>
  <c r="QY34" i="8"/>
  <c r="QY37" i="8" l="1"/>
  <c r="QY36" i="8"/>
  <c r="QZ42" i="8"/>
  <c r="QZ43" i="8" s="1"/>
  <c r="QY55" i="8"/>
  <c r="QY48" i="8"/>
  <c r="QY41" i="8"/>
  <c r="RA49" i="8" l="1"/>
  <c r="RA50" i="8" s="1"/>
  <c r="QZ44" i="8"/>
  <c r="QY23" i="8"/>
  <c r="QY24" i="8" s="1"/>
  <c r="QY25" i="8" s="1"/>
  <c r="RB56" i="8" l="1"/>
  <c r="RA51" i="8"/>
  <c r="QZ20" i="8"/>
  <c r="QZ28" i="8"/>
  <c r="RA35" i="8" s="1"/>
  <c r="QZ30" i="8" l="1"/>
  <c r="QZ29" i="8"/>
  <c r="RB58" i="8"/>
  <c r="RB57" i="8"/>
  <c r="QZ34" i="8"/>
  <c r="QZ37" i="8" l="1"/>
  <c r="QZ36" i="8"/>
  <c r="RA42" i="8"/>
  <c r="RA43" i="8" s="1"/>
  <c r="QZ55" i="8"/>
  <c r="QZ48" i="8"/>
  <c r="QZ41" i="8"/>
  <c r="RB49" i="8" l="1"/>
  <c r="RB50" i="8" s="1"/>
  <c r="RA44" i="8"/>
  <c r="QZ23" i="8"/>
  <c r="QZ24" i="8" s="1"/>
  <c r="QZ25" i="8" s="1"/>
  <c r="RC56" i="8" l="1"/>
  <c r="RB51" i="8"/>
  <c r="RA20" i="8"/>
  <c r="RA28" i="8"/>
  <c r="RB35" i="8" s="1"/>
  <c r="RA30" i="8" l="1"/>
  <c r="RA29" i="8"/>
  <c r="RC58" i="8"/>
  <c r="RC57" i="8"/>
  <c r="RA34" i="8"/>
  <c r="RA37" i="8" l="1"/>
  <c r="RA36" i="8"/>
  <c r="RB42" i="8"/>
  <c r="RB43" i="8" s="1"/>
  <c r="RA55" i="8"/>
  <c r="RA48" i="8"/>
  <c r="RA41" i="8"/>
  <c r="RC49" i="8" l="1"/>
  <c r="RC50" i="8" s="1"/>
  <c r="RB44" i="8"/>
  <c r="RA23" i="8"/>
  <c r="RA24" i="8" s="1"/>
  <c r="RA25" i="8" s="1"/>
  <c r="RD56" i="8" l="1"/>
  <c r="RC51" i="8"/>
  <c r="RB20" i="8"/>
  <c r="RB28" i="8"/>
  <c r="RC35" i="8" s="1"/>
  <c r="RB30" i="8" l="1"/>
  <c r="RB29" i="8"/>
  <c r="RD58" i="8"/>
  <c r="RD57" i="8"/>
  <c r="RB34" i="8"/>
  <c r="RB37" i="8" l="1"/>
  <c r="RB36" i="8"/>
  <c r="RC42" i="8"/>
  <c r="RC43" i="8" s="1"/>
  <c r="RB55" i="8"/>
  <c r="RB48" i="8"/>
  <c r="RB41" i="8"/>
  <c r="RD49" i="8" l="1"/>
  <c r="RD50" i="8" s="1"/>
  <c r="RC44" i="8"/>
  <c r="RB23" i="8"/>
  <c r="RB24" i="8" s="1"/>
  <c r="RB25" i="8" s="1"/>
  <c r="RE56" i="8" l="1"/>
  <c r="RD51" i="8"/>
  <c r="RC20" i="8"/>
  <c r="RC28" i="8"/>
  <c r="RD35" i="8" s="1"/>
  <c r="RC30" i="8" l="1"/>
  <c r="RC29" i="8"/>
  <c r="RE58" i="8"/>
  <c r="RE57" i="8"/>
  <c r="RC34" i="8"/>
  <c r="RC37" i="8" l="1"/>
  <c r="RC36" i="8"/>
  <c r="RD42" i="8"/>
  <c r="RD43" i="8" s="1"/>
  <c r="RC55" i="8"/>
  <c r="RC48" i="8"/>
  <c r="RC41" i="8"/>
  <c r="RE49" i="8" l="1"/>
  <c r="RE50" i="8" s="1"/>
  <c r="RD44" i="8"/>
  <c r="RC23" i="8"/>
  <c r="RC24" i="8" s="1"/>
  <c r="RC25" i="8" s="1"/>
  <c r="RF56" i="8" l="1"/>
  <c r="RE51" i="8"/>
  <c r="RD20" i="8"/>
  <c r="RD28" i="8"/>
  <c r="RE35" i="8" s="1"/>
  <c r="RD30" i="8" l="1"/>
  <c r="RD29" i="8"/>
  <c r="RF58" i="8"/>
  <c r="RF57" i="8"/>
  <c r="RD34" i="8"/>
  <c r="RD37" i="8" l="1"/>
  <c r="RD36" i="8"/>
  <c r="RE42" i="8"/>
  <c r="RE43" i="8" s="1"/>
  <c r="RD55" i="8"/>
  <c r="RD48" i="8"/>
  <c r="RD41" i="8"/>
  <c r="RF49" i="8" l="1"/>
  <c r="RF50" i="8" s="1"/>
  <c r="RE44" i="8"/>
  <c r="RD23" i="8"/>
  <c r="RD24" i="8" s="1"/>
  <c r="RD25" i="8" s="1"/>
  <c r="RG56" i="8" l="1"/>
  <c r="RF51" i="8"/>
  <c r="RE20" i="8"/>
  <c r="RE28" i="8"/>
  <c r="RE30" i="8" l="1"/>
  <c r="RE29" i="8"/>
  <c r="RG58" i="8"/>
  <c r="RG57" i="8"/>
  <c r="RE34" i="8"/>
  <c r="RE37" i="8" l="1"/>
  <c r="RE36" i="8"/>
  <c r="RF42" i="8"/>
  <c r="RF43" i="8" s="1"/>
  <c r="RE55" i="8"/>
  <c r="RE48" i="8"/>
  <c r="RE41" i="8"/>
  <c r="RG49" i="8" l="1"/>
  <c r="RG50" i="8" s="1"/>
  <c r="RF44" i="8"/>
  <c r="RE23" i="8"/>
  <c r="RE24" i="8" s="1"/>
  <c r="RE25" i="8" s="1"/>
  <c r="RH56" i="8" l="1"/>
  <c r="RG51" i="8"/>
  <c r="RF20" i="8"/>
  <c r="RF28" i="8"/>
  <c r="RF30" i="8" l="1"/>
  <c r="RF29" i="8"/>
  <c r="RH58" i="8"/>
  <c r="RH57" i="8"/>
  <c r="RF34" i="8"/>
  <c r="RF35" i="8" s="1"/>
  <c r="RF37" i="8" l="1"/>
  <c r="RF36" i="8"/>
  <c r="RF55" i="8"/>
  <c r="RF48" i="8"/>
  <c r="RF41" i="8"/>
  <c r="RF23" i="8" l="1"/>
  <c r="RF24" i="8" s="1"/>
  <c r="RF25" i="8" s="1"/>
  <c r="RG20" i="8" l="1"/>
  <c r="RG28" i="8"/>
  <c r="RG30" i="8" l="1"/>
  <c r="RG29" i="8"/>
  <c r="RG34" i="8"/>
  <c r="RG35" i="8" s="1"/>
  <c r="RG37" i="8" l="1"/>
  <c r="RG36" i="8"/>
  <c r="RG41" i="8"/>
  <c r="RG42" i="8" s="1"/>
  <c r="RG48" i="8" s="1"/>
  <c r="RG43" i="8" l="1"/>
  <c r="RH49" i="8"/>
  <c r="RG44" i="8"/>
  <c r="RG55" i="8"/>
  <c r="RG23" i="8"/>
  <c r="RG24" i="8" s="1"/>
  <c r="RG25" i="8" s="1"/>
  <c r="RH50" i="8" l="1"/>
  <c r="RI56" i="8"/>
  <c r="RH51" i="8"/>
  <c r="RH20" i="8"/>
  <c r="RH28" i="8"/>
  <c r="RI58" i="8" l="1"/>
  <c r="RI57" i="8"/>
  <c r="RH30" i="8"/>
  <c r="RH29" i="8"/>
  <c r="RH34" i="8"/>
  <c r="RH35" i="8" s="1"/>
  <c r="RH37" i="8" l="1"/>
  <c r="RH36" i="8"/>
  <c r="RH41" i="8"/>
  <c r="RH42" i="8" s="1"/>
  <c r="RH48" i="8" s="1"/>
  <c r="RH43" i="8" l="1"/>
  <c r="RH44" i="8"/>
  <c r="RH55" i="8"/>
  <c r="RH23" i="8"/>
  <c r="RH24" i="8" s="1"/>
  <c r="RH25" i="8" s="1"/>
  <c r="RI20" i="8" l="1"/>
  <c r="RI28" i="8"/>
  <c r="RI30" i="8" l="1"/>
  <c r="RI29" i="8"/>
  <c r="RI34" i="8"/>
  <c r="RI35" i="8" s="1"/>
  <c r="RI37" i="8" l="1"/>
  <c r="RI36" i="8"/>
  <c r="RI41" i="8"/>
  <c r="RI42" i="8" s="1"/>
  <c r="RI43" i="8" l="1"/>
  <c r="RI44" i="8"/>
  <c r="RI48" i="8"/>
  <c r="RI49" i="8" s="1"/>
  <c r="RI55" i="8" s="1"/>
  <c r="RI23" i="8" l="1"/>
  <c r="RI24" i="8" s="1"/>
  <c r="RI25" i="8" s="1"/>
  <c r="RJ20" i="8" s="1"/>
  <c r="RI50" i="8"/>
  <c r="RI51" i="8"/>
  <c r="RJ56" i="8"/>
  <c r="RJ28" i="8" l="1"/>
  <c r="RJ30" i="8" s="1"/>
  <c r="RJ57" i="8"/>
  <c r="RJ58" i="8"/>
  <c r="RJ34" i="8" l="1"/>
  <c r="RJ35" i="8" s="1"/>
  <c r="RJ37" i="8" s="1"/>
  <c r="RJ29" i="8"/>
  <c r="RJ41" i="8" l="1"/>
  <c r="RJ42" i="8" s="1"/>
  <c r="RJ48" i="8" s="1"/>
  <c r="RJ49" i="8" s="1"/>
  <c r="RJ50" i="8" s="1"/>
  <c r="RJ36" i="8"/>
  <c r="RJ55" i="8" l="1"/>
  <c r="RJ44" i="8"/>
  <c r="RJ43" i="8"/>
  <c r="RJ23" i="8"/>
  <c r="RJ24" i="8" s="1"/>
  <c r="RJ25" i="8" s="1"/>
  <c r="RK20" i="8" s="1"/>
  <c r="RJ51" i="8"/>
  <c r="RK56" i="8"/>
  <c r="RK57" i="8" s="1"/>
  <c r="RK28" i="8" l="1"/>
  <c r="RK30" i="8" s="1"/>
  <c r="RK58" i="8"/>
  <c r="RK34" i="8" l="1"/>
  <c r="RK35" i="8" s="1"/>
  <c r="RK37" i="8" s="1"/>
  <c r="RK29" i="8"/>
  <c r="RK36" i="8" l="1"/>
  <c r="RK41" i="8"/>
  <c r="RK42" i="8" s="1"/>
  <c r="RK48" i="8" s="1"/>
  <c r="RK49" i="8" s="1"/>
  <c r="RK50" i="8" s="1"/>
  <c r="RK44" i="8" l="1"/>
  <c r="RK43" i="8"/>
  <c r="RK23" i="8"/>
  <c r="RK24" i="8" s="1"/>
  <c r="RK25" i="8" s="1"/>
  <c r="RL20" i="8" s="1"/>
  <c r="RK51" i="8"/>
  <c r="RK55" i="8"/>
  <c r="RL28" i="8" l="1"/>
  <c r="RL30" i="8" s="1"/>
  <c r="RL34" i="8" l="1"/>
  <c r="RL35" i="8" s="1"/>
  <c r="RL37" i="8" s="1"/>
  <c r="RL29" i="8"/>
  <c r="RL41" i="8" l="1"/>
  <c r="RL42" i="8" s="1"/>
  <c r="RL43" i="8" s="1"/>
  <c r="RL36" i="8"/>
  <c r="RL48" i="8" l="1"/>
  <c r="RL49" i="8" s="1"/>
  <c r="RL55" i="8" s="1"/>
  <c r="RL56" i="8" s="1"/>
  <c r="RL58" i="8" s="1"/>
  <c r="RL44" i="8"/>
  <c r="RL51" i="8" l="1"/>
  <c r="RL23" i="8"/>
  <c r="RL24" i="8" s="1"/>
  <c r="RL25" i="8" s="1"/>
  <c r="RM20" i="8" s="1"/>
  <c r="RL57" i="8"/>
  <c r="RL50" i="8"/>
  <c r="RM28" i="8" l="1"/>
  <c r="RM30" i="8" s="1"/>
  <c r="RM34" i="8" l="1"/>
  <c r="RM35" i="8" s="1"/>
  <c r="RM37" i="8" s="1"/>
  <c r="RM29" i="8"/>
  <c r="RM41" i="8" l="1"/>
  <c r="RM42" i="8" s="1"/>
  <c r="RM44" i="8" s="1"/>
  <c r="RM36" i="8"/>
  <c r="RM48" i="8" l="1"/>
  <c r="RM49" i="8" s="1"/>
  <c r="RM55" i="8" s="1"/>
  <c r="RM56" i="8" s="1"/>
  <c r="RM58" i="8" s="1"/>
  <c r="RM43" i="8"/>
  <c r="RM50" i="8" l="1"/>
  <c r="RM51" i="8"/>
  <c r="RM23" i="8"/>
  <c r="RM24" i="8" s="1"/>
  <c r="RM25" i="8" s="1"/>
  <c r="RN20" i="8" s="1"/>
  <c r="RM57" i="8"/>
  <c r="RN28" i="8" l="1"/>
  <c r="RN30" i="8" s="1"/>
  <c r="RN29" i="8" l="1"/>
  <c r="RN34" i="8"/>
  <c r="RN35" i="8" s="1"/>
  <c r="RN36" i="8" s="1"/>
  <c r="RN37" i="8" l="1"/>
  <c r="RN41" i="8"/>
  <c r="RN42" i="8" s="1"/>
  <c r="RN43" i="8" s="1"/>
  <c r="RN44" i="8" l="1"/>
  <c r="RN48" i="8"/>
  <c r="RN49" i="8" s="1"/>
  <c r="RN50" i="8" s="1"/>
  <c r="RN55" i="8" l="1"/>
  <c r="RN56" i="8" s="1"/>
  <c r="RN58" i="8" s="1"/>
  <c r="RN51" i="8"/>
  <c r="RN57" i="8" l="1"/>
  <c r="RN23" i="8"/>
  <c r="RN24" i="8" s="1"/>
  <c r="RN25" i="8" s="1"/>
  <c r="RO20" i="8" s="1"/>
  <c r="RO28" i="8" l="1"/>
  <c r="RO30" i="8" s="1"/>
  <c r="RO34" i="8" l="1"/>
  <c r="RO35" i="8" s="1"/>
  <c r="RO41" i="8" s="1"/>
  <c r="RO42" i="8" s="1"/>
  <c r="RO29" i="8"/>
  <c r="RO36" i="8" l="1"/>
  <c r="RO37" i="8"/>
  <c r="RO48" i="8"/>
  <c r="RO49" i="8" s="1"/>
  <c r="RO55" i="8" s="1"/>
  <c r="RO56" i="8" s="1"/>
  <c r="RO43" i="8"/>
  <c r="RO44" i="8"/>
  <c r="RO23" i="8" l="1"/>
  <c r="RO24" i="8" s="1"/>
  <c r="RO25" i="8" s="1"/>
  <c r="RO58" i="8"/>
  <c r="RO57" i="8"/>
  <c r="RO50" i="8"/>
  <c r="RO51" i="8"/>
  <c r="RP28" i="8" l="1"/>
  <c r="RP20" i="8"/>
  <c r="RP34" i="8" l="1"/>
  <c r="RP35" i="8" s="1"/>
  <c r="RP41" i="8" s="1"/>
  <c r="RP42" i="8" s="1"/>
  <c r="RP30" i="8"/>
  <c r="RP29" i="8"/>
  <c r="RP43" i="8" l="1"/>
  <c r="RP44" i="8"/>
  <c r="RP37" i="8"/>
  <c r="RP36" i="8"/>
  <c r="RP48" i="8"/>
  <c r="RP49" i="8" s="1"/>
  <c r="RP55" i="8" l="1"/>
  <c r="RP56" i="8" s="1"/>
  <c r="RP23" i="8" s="1"/>
  <c r="RP24" i="8" s="1"/>
  <c r="RP25" i="8" s="1"/>
  <c r="RP51" i="8"/>
  <c r="RP50" i="8"/>
  <c r="RQ20" i="8" l="1"/>
  <c r="RQ28" i="8"/>
  <c r="RP57" i="8"/>
  <c r="RP58" i="8"/>
  <c r="RQ30" i="8" l="1"/>
  <c r="RQ29" i="8"/>
  <c r="RQ34" i="8"/>
  <c r="RQ35" i="8" s="1"/>
  <c r="RQ41" i="8" s="1"/>
  <c r="RQ42" i="8" s="1"/>
  <c r="RQ48" i="8" l="1"/>
  <c r="RQ49" i="8" s="1"/>
  <c r="RQ55" i="8" s="1"/>
  <c r="RQ56" i="8" s="1"/>
  <c r="RQ44" i="8"/>
  <c r="RQ43" i="8"/>
  <c r="RQ37" i="8"/>
  <c r="RQ36" i="8"/>
  <c r="RQ23" i="8" l="1"/>
  <c r="RQ24" i="8" s="1"/>
  <c r="RQ25" i="8" s="1"/>
  <c r="RR20" i="8" s="1"/>
  <c r="RQ57" i="8"/>
  <c r="RQ58" i="8"/>
  <c r="RQ50" i="8"/>
  <c r="RQ51" i="8"/>
  <c r="RR28" i="8" l="1"/>
  <c r="RR29" i="8" s="1"/>
  <c r="RR30" i="8" l="1"/>
  <c r="RR34" i="8"/>
  <c r="RR35" i="8" s="1"/>
  <c r="RR36" i="8" s="1"/>
  <c r="RR37" i="8" l="1"/>
  <c r="RR41" i="8"/>
  <c r="RR42" i="8" s="1"/>
  <c r="RR48" i="8" s="1"/>
  <c r="RR49" i="8" s="1"/>
  <c r="RR55" i="8" s="1"/>
  <c r="RR56" i="8" s="1"/>
  <c r="RR44" i="8" l="1"/>
  <c r="RR43" i="8"/>
  <c r="RR58" i="8"/>
  <c r="RR57" i="8"/>
  <c r="RR50" i="8"/>
  <c r="RR51" i="8"/>
  <c r="RR23" i="8"/>
  <c r="RR24" i="8" s="1"/>
  <c r="RR25" i="8" s="1"/>
  <c r="RS20" i="8" l="1"/>
  <c r="RS28" i="8"/>
  <c r="RS29" i="8" l="1"/>
  <c r="RS34" i="8"/>
  <c r="RS35" i="8" s="1"/>
  <c r="RS30" i="8"/>
  <c r="RS41" i="8" l="1"/>
  <c r="RS42" i="8" s="1"/>
  <c r="RS37" i="8"/>
  <c r="RS36" i="8"/>
  <c r="RS48" i="8" l="1"/>
  <c r="RS49" i="8" s="1"/>
  <c r="RS43" i="8"/>
  <c r="RS44" i="8"/>
  <c r="RS50" i="8" l="1"/>
  <c r="RS51" i="8"/>
  <c r="RS55" i="8"/>
  <c r="RS56" i="8" s="1"/>
  <c r="RS58" i="8" l="1"/>
  <c r="RS57" i="8"/>
  <c r="RS23" i="8"/>
  <c r="RS24" i="8" s="1"/>
  <c r="RS25" i="8" s="1"/>
  <c r="RT20" i="8" l="1"/>
  <c r="RT28" i="8"/>
  <c r="RT34" i="8" l="1"/>
  <c r="RT35" i="8" s="1"/>
  <c r="RT41" i="8" s="1"/>
  <c r="RT42" i="8" s="1"/>
  <c r="RT30" i="8"/>
  <c r="RT29" i="8"/>
  <c r="RT48" i="8" l="1"/>
  <c r="RT49" i="8" s="1"/>
  <c r="RT55" i="8" s="1"/>
  <c r="RT56" i="8" s="1"/>
  <c r="RT44" i="8"/>
  <c r="RT43" i="8"/>
  <c r="RT36" i="8"/>
  <c r="RT37" i="8"/>
  <c r="RT23" i="8" l="1"/>
  <c r="RT24" i="8" s="1"/>
  <c r="RT25" i="8" s="1"/>
  <c r="RT58" i="8"/>
  <c r="RT57" i="8"/>
  <c r="RT50" i="8"/>
  <c r="RT51" i="8"/>
  <c r="RU20" i="8" l="1"/>
  <c r="RU28" i="8"/>
  <c r="RU30" i="8" l="1"/>
  <c r="RU29" i="8"/>
  <c r="RU34" i="8"/>
  <c r="RU35" i="8" s="1"/>
  <c r="RU41" i="8" s="1"/>
  <c r="RU42" i="8" s="1"/>
  <c r="RU44" i="8" l="1"/>
  <c r="RU43" i="8"/>
  <c r="RU48" i="8"/>
  <c r="RU49" i="8" s="1"/>
  <c r="RU36" i="8"/>
  <c r="RU37" i="8"/>
  <c r="RU55" i="8" l="1"/>
  <c r="RU56" i="8" s="1"/>
  <c r="RU51" i="8"/>
  <c r="RU50" i="8"/>
  <c r="RU58" i="8" l="1"/>
  <c r="RU57" i="8"/>
  <c r="RU23" i="8"/>
  <c r="RU24" i="8" s="1"/>
  <c r="RU25" i="8" s="1"/>
  <c r="RV20" i="8" l="1"/>
  <c r="RV28" i="8"/>
  <c r="RV30" i="8" l="1"/>
  <c r="RV29" i="8"/>
  <c r="RV34" i="8"/>
  <c r="RV35" i="8" s="1"/>
  <c r="RV41" i="8" s="1"/>
  <c r="RV42" i="8" s="1"/>
  <c r="RV48" i="8" l="1"/>
  <c r="RV49" i="8" s="1"/>
  <c r="RV55" i="8" s="1"/>
  <c r="RV56" i="8" s="1"/>
  <c r="RV43" i="8"/>
  <c r="RV44" i="8"/>
  <c r="RV36" i="8"/>
  <c r="RV37" i="8"/>
  <c r="RV23" i="8" l="1"/>
  <c r="RV24" i="8" s="1"/>
  <c r="RV25" i="8" s="1"/>
  <c r="RV57" i="8"/>
  <c r="RV58" i="8"/>
  <c r="RV51" i="8"/>
  <c r="RV50" i="8"/>
  <c r="RW20" i="8" l="1"/>
  <c r="RW28" i="8"/>
  <c r="RW30" i="8" l="1"/>
  <c r="RW29" i="8"/>
  <c r="RW34" i="8"/>
  <c r="RW35" i="8" s="1"/>
  <c r="RW41" i="8" s="1"/>
  <c r="RW42" i="8" s="1"/>
  <c r="RW44" i="8" l="1"/>
  <c r="RW43" i="8"/>
  <c r="RW48" i="8"/>
  <c r="RW49" i="8" s="1"/>
  <c r="RW37" i="8"/>
  <c r="RW36" i="8"/>
  <c r="RW51" i="8" l="1"/>
  <c r="RW50" i="8"/>
  <c r="RW55" i="8"/>
  <c r="RW56" i="8" s="1"/>
  <c r="RW23" i="8" s="1"/>
  <c r="RW24" i="8" l="1"/>
  <c r="RW25" i="8" s="1"/>
  <c r="RW58" i="8"/>
  <c r="RW57" i="8"/>
  <c r="RX20" i="8" l="1"/>
  <c r="RX28" i="8"/>
  <c r="RX34" i="8" l="1"/>
  <c r="RX35" i="8" s="1"/>
  <c r="RX41" i="8" s="1"/>
  <c r="RX42" i="8" s="1"/>
  <c r="RX30" i="8"/>
  <c r="RX29" i="8"/>
  <c r="RX48" i="8" l="1"/>
  <c r="RX49" i="8" s="1"/>
  <c r="RX43" i="8"/>
  <c r="RX44" i="8"/>
  <c r="RX37" i="8"/>
  <c r="RX36" i="8"/>
  <c r="RX50" i="8" l="1"/>
  <c r="RX51" i="8"/>
  <c r="RX55" i="8"/>
  <c r="RX56" i="8" s="1"/>
  <c r="RX23" i="8" s="1"/>
  <c r="RX24" i="8" s="1"/>
  <c r="RX25" i="8" s="1"/>
  <c r="RY28" i="8" s="1"/>
  <c r="RY30" i="8" l="1"/>
  <c r="RY34" i="8"/>
  <c r="RY29" i="8"/>
  <c r="RY20" i="8"/>
  <c r="RY35" i="8"/>
  <c r="RX57" i="8"/>
  <c r="RX58" i="8"/>
  <c r="RY37" i="8" l="1"/>
  <c r="RY36" i="8"/>
  <c r="RY41" i="8"/>
  <c r="RY42" i="8" s="1"/>
  <c r="RY48" i="8" l="1"/>
  <c r="RY49" i="8" s="1"/>
  <c r="RY43" i="8"/>
  <c r="RY44" i="8"/>
  <c r="RY50" i="8" l="1"/>
  <c r="RY51" i="8"/>
  <c r="RY55" i="8"/>
  <c r="RY56" i="8" s="1"/>
  <c r="RY23" i="8" l="1"/>
  <c r="RY57" i="8"/>
  <c r="RY58" i="8"/>
  <c r="RY24" i="8" l="1"/>
  <c r="RY25" i="8" s="1"/>
  <c r="RZ28" i="8" s="1"/>
  <c r="RZ34" i="8" l="1"/>
  <c r="RZ30" i="8"/>
  <c r="RZ29" i="8"/>
  <c r="RZ20" i="8"/>
  <c r="RZ35" i="8"/>
  <c r="RZ36" i="8" l="1"/>
  <c r="RZ41" i="8"/>
  <c r="RZ42" i="8" s="1"/>
  <c r="RZ37" i="8"/>
  <c r="RZ48" i="8" l="1"/>
  <c r="RZ49" i="8" s="1"/>
  <c r="RZ44" i="8"/>
  <c r="RZ43" i="8"/>
  <c r="RZ51" i="8" l="1"/>
  <c r="RZ50" i="8"/>
  <c r="RZ55" i="8"/>
  <c r="RZ56" i="8" s="1"/>
  <c r="RZ57" i="8" l="1"/>
  <c r="RZ58" i="8"/>
  <c r="RZ23" i="8"/>
  <c r="RZ24" i="8" s="1"/>
  <c r="RZ25" i="8" s="1"/>
  <c r="SA28" i="8" s="1"/>
  <c r="SA34" i="8" l="1"/>
  <c r="SA30" i="8"/>
  <c r="SA29" i="8"/>
  <c r="SA20" i="8"/>
  <c r="SA35" i="8"/>
  <c r="SA37" i="8" l="1"/>
  <c r="SA41" i="8"/>
  <c r="SA42" i="8" s="1"/>
  <c r="SA36" i="8"/>
  <c r="SA48" i="8" l="1"/>
  <c r="SA49" i="8" s="1"/>
  <c r="SA43" i="8"/>
  <c r="SA44" i="8"/>
  <c r="SA50" i="8" l="1"/>
  <c r="SA51" i="8"/>
  <c r="SA55" i="8"/>
  <c r="SA56" i="8" s="1"/>
  <c r="SA57" i="8" l="1"/>
  <c r="SA58" i="8"/>
  <c r="SA23" i="8"/>
  <c r="SA24" i="8" s="1"/>
  <c r="SA25" i="8" s="1"/>
  <c r="SB28" i="8" s="1"/>
  <c r="SB30" i="8" l="1"/>
  <c r="SB29" i="8"/>
  <c r="SB34" i="8"/>
  <c r="SB20" i="8"/>
  <c r="SB35" i="8"/>
  <c r="SB41" i="8" l="1"/>
  <c r="SB42" i="8" s="1"/>
  <c r="SB37" i="8"/>
  <c r="SB36" i="8"/>
  <c r="SB48" i="8" l="1"/>
  <c r="SB49" i="8" s="1"/>
  <c r="SB43" i="8"/>
  <c r="SB44" i="8"/>
  <c r="SB55" i="8" l="1"/>
  <c r="SB56" i="8" s="1"/>
  <c r="SB23" i="8" s="1"/>
  <c r="SB24" i="8" s="1"/>
  <c r="SB25" i="8" s="1"/>
  <c r="SC28" i="8" s="1"/>
  <c r="SB51" i="8"/>
  <c r="SB50" i="8"/>
  <c r="SC34" i="8" l="1"/>
  <c r="SC30" i="8"/>
  <c r="SC29" i="8"/>
  <c r="SC20" i="8"/>
  <c r="SC35" i="8"/>
  <c r="SB57" i="8"/>
  <c r="SB58" i="8"/>
  <c r="SC41" i="8" l="1"/>
  <c r="SC42" i="8" s="1"/>
  <c r="SC36" i="8"/>
  <c r="SC37" i="8"/>
  <c r="SC48" i="8" l="1"/>
  <c r="SC49" i="8" s="1"/>
  <c r="SC43" i="8"/>
  <c r="SC44" i="8"/>
  <c r="SC50" i="8" l="1"/>
  <c r="SC51" i="8"/>
  <c r="SC55" i="8"/>
  <c r="SC56" i="8" s="1"/>
  <c r="SC23" i="8" l="1"/>
  <c r="SC24" i="8" s="1"/>
  <c r="SC25" i="8" s="1"/>
  <c r="SC57" i="8"/>
  <c r="SC58" i="8"/>
  <c r="SD28" i="8" l="1"/>
  <c r="SD20" i="8"/>
  <c r="SD42" i="8"/>
  <c r="SD29" i="8" l="1"/>
  <c r="SD30" i="8"/>
  <c r="SD34" i="8"/>
  <c r="SD35" i="8" s="1"/>
  <c r="SD37" i="8" s="1"/>
  <c r="SD43" i="8"/>
  <c r="SD44" i="8"/>
  <c r="SD36" i="8" l="1"/>
  <c r="SD48" i="8"/>
  <c r="SD49" i="8" s="1"/>
  <c r="SD55" i="8" s="1"/>
  <c r="SD56" i="8" s="1"/>
  <c r="SD58" i="8" s="1"/>
  <c r="SD41" i="8"/>
  <c r="SD51" i="8" l="1"/>
  <c r="SD57" i="8"/>
  <c r="SD50" i="8"/>
  <c r="SD23" i="8"/>
  <c r="SD24" i="8" s="1"/>
  <c r="SD25" i="8" s="1"/>
  <c r="SE28" i="8" s="1"/>
  <c r="SE42" i="8"/>
  <c r="SE20" i="8" l="1"/>
  <c r="SE30" i="8"/>
  <c r="SE34" i="8"/>
  <c r="SE35" i="8" s="1"/>
  <c r="SE37" i="8" s="1"/>
  <c r="SE29" i="8"/>
  <c r="SE43" i="8"/>
  <c r="SE44" i="8"/>
  <c r="SE48" i="8" l="1"/>
  <c r="SE49" i="8" s="1"/>
  <c r="SE55" i="8" s="1"/>
  <c r="SE56" i="8" s="1"/>
  <c r="SE57" i="8" s="1"/>
  <c r="SE36" i="8"/>
  <c r="SE41" i="8"/>
  <c r="SE58" i="8" l="1"/>
  <c r="SE50" i="8"/>
  <c r="SE51" i="8"/>
  <c r="SE23" i="8"/>
  <c r="SE24" i="8" s="1"/>
  <c r="SE25" i="8" s="1"/>
  <c r="SF28" i="8" s="1"/>
  <c r="SF42" i="8"/>
  <c r="SF20" i="8" l="1"/>
  <c r="SF34" i="8"/>
  <c r="SF35" i="8" s="1"/>
  <c r="SF37" i="8" s="1"/>
  <c r="SF29" i="8"/>
  <c r="SF30" i="8"/>
  <c r="SF43" i="8"/>
  <c r="SF44" i="8"/>
  <c r="SF48" i="8" l="1"/>
  <c r="SF49" i="8" s="1"/>
  <c r="SF55" i="8" s="1"/>
  <c r="SF56" i="8" s="1"/>
  <c r="SF36" i="8"/>
  <c r="SF41" i="8"/>
  <c r="SF51" i="8" l="1"/>
  <c r="SF50" i="8"/>
  <c r="SF57" i="8"/>
  <c r="SF58" i="8"/>
  <c r="SF23" i="8"/>
  <c r="SF24" i="8" s="1"/>
  <c r="SF25" i="8" s="1"/>
  <c r="SG28" i="8" l="1"/>
  <c r="SG20" i="8"/>
  <c r="SG42" i="8"/>
  <c r="SG30" i="8" l="1"/>
  <c r="SG34" i="8"/>
  <c r="SG35" i="8" s="1"/>
  <c r="SG36" i="8" s="1"/>
  <c r="SG29" i="8"/>
  <c r="SG43" i="8"/>
  <c r="SG44" i="8"/>
  <c r="SG48" i="8" l="1"/>
  <c r="SG49" i="8" s="1"/>
  <c r="SG55" i="8" s="1"/>
  <c r="SG56" i="8" s="1"/>
  <c r="SG57" i="8" s="1"/>
  <c r="SG37" i="8"/>
  <c r="SG41" i="8"/>
  <c r="SG50" i="8" l="1"/>
  <c r="SG51" i="8"/>
  <c r="SG58" i="8"/>
  <c r="SG23" i="8"/>
  <c r="SG24" i="8" s="1"/>
  <c r="SG25" i="8" s="1"/>
  <c r="SH20" i="8" s="1"/>
  <c r="SH42" i="8"/>
  <c r="SH28" i="8" l="1"/>
  <c r="SH30" i="8" s="1"/>
  <c r="SH43" i="8"/>
  <c r="SH44" i="8"/>
  <c r="SH34" i="8" l="1"/>
  <c r="SH35" i="8" s="1"/>
  <c r="SH37" i="8" s="1"/>
  <c r="SH29" i="8"/>
  <c r="SH41" i="8" l="1"/>
  <c r="SH48" i="8"/>
  <c r="SH49" i="8" s="1"/>
  <c r="SH55" i="8" s="1"/>
  <c r="SH56" i="8" s="1"/>
  <c r="SH58" i="8" s="1"/>
  <c r="SH36" i="8"/>
  <c r="SI42" i="8"/>
  <c r="SH57" i="8" l="1"/>
  <c r="SH23" i="8"/>
  <c r="SH24" i="8" s="1"/>
  <c r="SH25" i="8" s="1"/>
  <c r="SI20" i="8" s="1"/>
  <c r="SH51" i="8"/>
  <c r="SH50" i="8"/>
  <c r="SI43" i="8"/>
  <c r="SI44" i="8"/>
  <c r="SI28" i="8" l="1"/>
  <c r="SI30" i="8" s="1"/>
  <c r="SI29" i="8" l="1"/>
  <c r="SI34" i="8"/>
  <c r="SI35" i="8" s="1"/>
  <c r="SI36" i="8" s="1"/>
  <c r="SJ42" i="8" l="1"/>
  <c r="SJ43" i="8" s="1"/>
  <c r="SI48" i="8"/>
  <c r="SI49" i="8" s="1"/>
  <c r="SI55" i="8" s="1"/>
  <c r="SI56" i="8" s="1"/>
  <c r="SI57" i="8" s="1"/>
  <c r="SI41" i="8"/>
  <c r="SI37" i="8"/>
  <c r="SJ44" i="8" l="1"/>
  <c r="SI58" i="8"/>
  <c r="SI50" i="8"/>
  <c r="SI51" i="8"/>
  <c r="SI23" i="8"/>
  <c r="SI24" i="8" s="1"/>
  <c r="SI25" i="8" s="1"/>
  <c r="SJ20" i="8" s="1"/>
  <c r="SJ28" i="8" l="1"/>
  <c r="SJ34" i="8" s="1"/>
  <c r="SJ35" i="8" s="1"/>
  <c r="SJ37" i="8" s="1"/>
  <c r="SK42" i="8" l="1"/>
  <c r="SK43" i="8" s="1"/>
  <c r="SJ30" i="8"/>
  <c r="SJ41" i="8"/>
  <c r="SJ48" i="8"/>
  <c r="SJ49" i="8" s="1"/>
  <c r="SJ55" i="8" s="1"/>
  <c r="SJ56" i="8" s="1"/>
  <c r="SJ57" i="8" s="1"/>
  <c r="SJ29" i="8"/>
  <c r="SJ36" i="8"/>
  <c r="SK44" i="8" l="1"/>
  <c r="SJ23" i="8"/>
  <c r="SJ24" i="8" s="1"/>
  <c r="SJ25" i="8" s="1"/>
  <c r="SK28" i="8" s="1"/>
  <c r="SK34" i="8" s="1"/>
  <c r="SK35" i="8" s="1"/>
  <c r="SK37" i="8" s="1"/>
  <c r="SJ58" i="8"/>
  <c r="SJ51" i="8"/>
  <c r="SJ50" i="8"/>
  <c r="SK36" i="8" l="1"/>
  <c r="SK41" i="8"/>
  <c r="SK30" i="8"/>
  <c r="SK29" i="8"/>
  <c r="SK48" i="8"/>
  <c r="SK49" i="8" s="1"/>
  <c r="SK55" i="8" s="1"/>
  <c r="SK56" i="8" s="1"/>
  <c r="SK58" i="8" s="1"/>
  <c r="SK20" i="8"/>
  <c r="SK23" i="8" l="1"/>
  <c r="SK24" i="8" s="1"/>
  <c r="SK25" i="8" s="1"/>
  <c r="SL28" i="8" s="1"/>
  <c r="SK57" i="8"/>
  <c r="SK50" i="8"/>
  <c r="SK51" i="8"/>
  <c r="SL42" i="8"/>
  <c r="SL20" i="8" l="1"/>
  <c r="SL30" i="8"/>
  <c r="SL34" i="8"/>
  <c r="SL35" i="8" s="1"/>
  <c r="SL48" i="8" s="1"/>
  <c r="SL49" i="8" s="1"/>
  <c r="SL55" i="8" s="1"/>
  <c r="SL56" i="8" s="1"/>
  <c r="SL29" i="8"/>
  <c r="SL43" i="8"/>
  <c r="SL44" i="8"/>
  <c r="SL36" i="8" l="1"/>
  <c r="SL37" i="8"/>
  <c r="SL41" i="8"/>
  <c r="SL23" i="8"/>
  <c r="SL24" i="8" s="1"/>
  <c r="SL25" i="8" s="1"/>
  <c r="SL58" i="8"/>
  <c r="SL57" i="8"/>
  <c r="SL50" i="8"/>
  <c r="SL51" i="8"/>
  <c r="SM28" i="8" l="1"/>
  <c r="SM20" i="8"/>
  <c r="SM42" i="8"/>
  <c r="SM30" i="8" l="1"/>
  <c r="SM29" i="8"/>
  <c r="SM34" i="8"/>
  <c r="SM35" i="8" s="1"/>
  <c r="SM37" i="8" s="1"/>
  <c r="SM43" i="8"/>
  <c r="SM44" i="8"/>
  <c r="SM48" i="8" l="1"/>
  <c r="SM49" i="8" s="1"/>
  <c r="SM51" i="8" s="1"/>
  <c r="SM36" i="8"/>
  <c r="SM41" i="8"/>
  <c r="SM55" i="8" l="1"/>
  <c r="SM56" i="8" s="1"/>
  <c r="SM58" i="8" s="1"/>
  <c r="SM50" i="8"/>
  <c r="SM57" i="8" l="1"/>
  <c r="SM23" i="8"/>
  <c r="SM24" i="8" s="1"/>
  <c r="SM25" i="8" s="1"/>
  <c r="SN20" i="8" s="1"/>
  <c r="SN42" i="8"/>
  <c r="SN28" i="8" l="1"/>
  <c r="SN30" i="8" s="1"/>
  <c r="SN44" i="8"/>
  <c r="SN43" i="8"/>
  <c r="SN34" i="8" l="1"/>
  <c r="SN35" i="8" s="1"/>
  <c r="SN48" i="8" s="1"/>
  <c r="SN49" i="8" s="1"/>
  <c r="SN55" i="8" s="1"/>
  <c r="SN56" i="8" s="1"/>
  <c r="SN57" i="8" s="1"/>
  <c r="SN29" i="8"/>
  <c r="SN41" i="8" l="1"/>
  <c r="SN36" i="8"/>
  <c r="SN50" i="8"/>
  <c r="SN58" i="8"/>
  <c r="SN51" i="8"/>
  <c r="SN23" i="8"/>
  <c r="SN24" i="8" s="1"/>
  <c r="SN25" i="8" s="1"/>
  <c r="SN37" i="8"/>
  <c r="SO28" i="8" l="1"/>
  <c r="SO20" i="8"/>
  <c r="SO42" i="8"/>
  <c r="SO29" i="8" l="1"/>
  <c r="SO30" i="8"/>
  <c r="SO34" i="8"/>
  <c r="SO35" i="8" s="1"/>
  <c r="SO36" i="8" s="1"/>
  <c r="SO44" i="8"/>
  <c r="SO43" i="8"/>
  <c r="SO48" i="8" l="1"/>
  <c r="SO49" i="8" s="1"/>
  <c r="SO55" i="8" s="1"/>
  <c r="SO56" i="8" s="1"/>
  <c r="SO57" i="8" s="1"/>
  <c r="SO37" i="8"/>
  <c r="SO41" i="8"/>
  <c r="SP42" i="8"/>
  <c r="SP44" i="8" s="1"/>
  <c r="SO51" i="8" l="1"/>
  <c r="SO50" i="8"/>
  <c r="SO58" i="8"/>
  <c r="SO23" i="8"/>
  <c r="SO24" i="8" s="1"/>
  <c r="SO25" i="8" s="1"/>
  <c r="SP28" i="8" s="1"/>
  <c r="SP29" i="8" s="1"/>
  <c r="SP43" i="8"/>
  <c r="SP20" i="8" l="1"/>
  <c r="SP34" i="8"/>
  <c r="SP35" i="8" s="1"/>
  <c r="SP48" i="8" s="1"/>
  <c r="SP49" i="8" s="1"/>
  <c r="SP55" i="8" s="1"/>
  <c r="SP56" i="8" s="1"/>
  <c r="SP58" i="8" s="1"/>
  <c r="SP30" i="8"/>
  <c r="SP51" i="8" l="1"/>
  <c r="SP41" i="8"/>
  <c r="SP57" i="8"/>
  <c r="SP36" i="8"/>
  <c r="SP23" i="8"/>
  <c r="SP24" i="8" s="1"/>
  <c r="SP25" i="8" s="1"/>
  <c r="SQ20" i="8" s="1"/>
  <c r="SP50" i="8"/>
  <c r="SP37" i="8"/>
  <c r="SQ28" i="8" l="1"/>
  <c r="SQ30" i="8" s="1"/>
  <c r="SQ29" i="8" l="1"/>
  <c r="SQ34" i="8"/>
  <c r="SQ35" i="8" s="1"/>
  <c r="SQ37" i="8" s="1"/>
  <c r="SQ36" i="8" l="1"/>
  <c r="SQ41" i="8"/>
  <c r="SQ42" i="8" s="1"/>
  <c r="SQ44" i="8" s="1"/>
  <c r="SQ48" i="8" l="1"/>
  <c r="SQ49" i="8" s="1"/>
  <c r="SQ55" i="8" s="1"/>
  <c r="SQ56" i="8" s="1"/>
  <c r="SQ23" i="8" s="1"/>
  <c r="SQ24" i="8" s="1"/>
  <c r="SQ25" i="8" s="1"/>
  <c r="SQ43" i="8"/>
  <c r="SQ51" i="8" l="1"/>
  <c r="SQ50" i="8"/>
  <c r="SR20" i="8"/>
  <c r="SR28" i="8"/>
  <c r="SQ57" i="8"/>
  <c r="SQ58" i="8"/>
  <c r="SR29" i="8" l="1"/>
  <c r="SR34" i="8"/>
  <c r="SR35" i="8" s="1"/>
  <c r="SR30" i="8"/>
  <c r="SR36" i="8" l="1"/>
  <c r="SR37" i="8"/>
  <c r="SR41" i="8"/>
  <c r="SR42" i="8" s="1"/>
  <c r="SR48" i="8" l="1"/>
  <c r="SR49" i="8" s="1"/>
  <c r="SR55" i="8" s="1"/>
  <c r="SR56" i="8" s="1"/>
  <c r="SR44" i="8"/>
  <c r="SR43" i="8"/>
  <c r="SR23" i="8" l="1"/>
  <c r="SR24" i="8" s="1"/>
  <c r="SR25" i="8" s="1"/>
  <c r="SR58" i="8"/>
  <c r="SR57" i="8"/>
  <c r="SR51" i="8"/>
  <c r="SR50" i="8"/>
  <c r="SS28" i="8" l="1"/>
  <c r="SS20" i="8"/>
  <c r="SS30" i="8" l="1"/>
  <c r="SS29" i="8"/>
  <c r="SS34" i="8"/>
  <c r="SS35" i="8" s="1"/>
  <c r="SS41" i="8" s="1"/>
  <c r="SS42" i="8" s="1"/>
  <c r="SS43" i="8" l="1"/>
  <c r="SS44" i="8"/>
  <c r="SS37" i="8"/>
  <c r="SS36" i="8"/>
  <c r="SS48" i="8"/>
  <c r="SS49" i="8" s="1"/>
  <c r="SS50" i="8" l="1"/>
  <c r="SS51" i="8"/>
  <c r="SS55" i="8"/>
  <c r="SS56" i="8" s="1"/>
  <c r="SS58" i="8" l="1"/>
  <c r="SS57" i="8"/>
  <c r="SS23" i="8"/>
  <c r="SS24" i="8" s="1"/>
  <c r="SS25" i="8" s="1"/>
  <c r="ST20" i="8" l="1"/>
  <c r="ST28" i="8"/>
  <c r="ST30" i="8" l="1"/>
  <c r="ST34" i="8"/>
  <c r="ST35" i="8" s="1"/>
  <c r="ST41" i="8" s="1"/>
  <c r="ST42" i="8" s="1"/>
  <c r="ST29" i="8"/>
  <c r="ST43" i="8" l="1"/>
  <c r="ST44" i="8"/>
  <c r="ST48" i="8"/>
  <c r="ST49" i="8" s="1"/>
  <c r="ST37" i="8"/>
  <c r="ST36" i="8"/>
  <c r="ST55" i="8" l="1"/>
  <c r="ST56" i="8" s="1"/>
  <c r="ST50" i="8"/>
  <c r="ST51" i="8"/>
  <c r="ST57" i="8" l="1"/>
  <c r="ST58" i="8"/>
  <c r="ST23" i="8"/>
  <c r="ST24" i="8" s="1"/>
  <c r="ST25" i="8" s="1"/>
  <c r="SU20" i="8" l="1"/>
  <c r="SU28" i="8"/>
  <c r="SU29" i="8" l="1"/>
  <c r="SU30" i="8"/>
  <c r="SU34" i="8"/>
  <c r="SU35" i="8" s="1"/>
  <c r="SU41" i="8" s="1"/>
  <c r="SU42" i="8" s="1"/>
  <c r="SU48" i="8" l="1"/>
  <c r="SU49" i="8" s="1"/>
  <c r="SU55" i="8" s="1"/>
  <c r="SU56" i="8" s="1"/>
  <c r="SU43" i="8"/>
  <c r="SU44" i="8"/>
  <c r="SU37" i="8"/>
  <c r="SU36" i="8"/>
  <c r="SU23" i="8" l="1"/>
  <c r="SU24" i="8" s="1"/>
  <c r="SU25" i="8" s="1"/>
  <c r="SU57" i="8"/>
  <c r="SU58" i="8"/>
  <c r="SU50" i="8"/>
  <c r="SU51" i="8"/>
  <c r="SV20" i="8" l="1"/>
  <c r="SV28" i="8"/>
  <c r="SV30" i="8" l="1"/>
  <c r="SV29" i="8"/>
  <c r="SV34" i="8"/>
  <c r="SV35" i="8" s="1"/>
  <c r="SV41" i="8" s="1"/>
  <c r="SV42" i="8" s="1"/>
  <c r="SV44" i="8" l="1"/>
  <c r="SV43" i="8"/>
  <c r="SV48" i="8"/>
  <c r="SV49" i="8" s="1"/>
  <c r="SV36" i="8"/>
  <c r="SV37" i="8"/>
  <c r="SV50" i="8" l="1"/>
  <c r="SV51" i="8"/>
  <c r="SV55" i="8"/>
  <c r="SV56" i="8" s="1"/>
  <c r="SV57" i="8" l="1"/>
  <c r="SV58" i="8"/>
  <c r="SV23" i="8"/>
  <c r="SV24" i="8" s="1"/>
  <c r="SV25" i="8" s="1"/>
  <c r="SW20" i="8" l="1"/>
  <c r="SW28" i="8"/>
  <c r="SW30" i="8" l="1"/>
  <c r="SW34" i="8"/>
  <c r="SW35" i="8" s="1"/>
  <c r="SW41" i="8" s="1"/>
  <c r="SW42" i="8" s="1"/>
  <c r="SW29" i="8"/>
  <c r="SW48" i="8" l="1"/>
  <c r="SW49" i="8" s="1"/>
  <c r="SW55" i="8" s="1"/>
  <c r="SW56" i="8" s="1"/>
  <c r="SW43" i="8"/>
  <c r="SW44" i="8"/>
  <c r="SW37" i="8"/>
  <c r="SW36" i="8"/>
  <c r="SW23" i="8" l="1"/>
  <c r="SW24" i="8" s="1"/>
  <c r="SW25" i="8" s="1"/>
  <c r="SW57" i="8"/>
  <c r="SW58" i="8"/>
  <c r="SW50" i="8"/>
  <c r="SW51" i="8"/>
  <c r="SX20" i="8" l="1"/>
  <c r="SX28" i="8"/>
  <c r="SX30" i="8" l="1"/>
  <c r="SX29" i="8"/>
  <c r="SX34" i="8"/>
  <c r="SX35" i="8" s="1"/>
  <c r="SX41" i="8" s="1"/>
  <c r="SX42" i="8" s="1"/>
  <c r="SX48" i="8" l="1"/>
  <c r="SX49" i="8" s="1"/>
  <c r="SX43" i="8"/>
  <c r="SX44" i="8"/>
  <c r="SX37" i="8"/>
  <c r="SX36" i="8"/>
  <c r="SX55" i="8" l="1"/>
  <c r="SX56" i="8" s="1"/>
  <c r="SX51" i="8"/>
  <c r="SX50" i="8"/>
  <c r="SX57" i="8" l="1"/>
  <c r="SX58" i="8"/>
  <c r="SX23" i="8"/>
  <c r="SX24" i="8" s="1"/>
  <c r="SX25" i="8" s="1"/>
  <c r="SY20" i="8" l="1"/>
  <c r="SY28" i="8"/>
  <c r="SY30" i="8" l="1"/>
  <c r="SY34" i="8"/>
  <c r="SY35" i="8" s="1"/>
  <c r="SY29" i="8"/>
  <c r="SY41" i="8" l="1"/>
  <c r="SY42" i="8" s="1"/>
  <c r="SY37" i="8"/>
  <c r="SY36" i="8"/>
  <c r="SY44" i="8" l="1"/>
  <c r="SY43" i="8"/>
  <c r="SY48" i="8"/>
  <c r="SY49" i="8" s="1"/>
  <c r="SY55" i="8" l="1"/>
  <c r="SY56" i="8" s="1"/>
  <c r="SY50" i="8"/>
  <c r="SY51" i="8"/>
  <c r="SY58" i="8" l="1"/>
  <c r="SY57" i="8"/>
  <c r="SY23" i="8"/>
  <c r="SY24" i="8" s="1"/>
  <c r="SY25" i="8" s="1"/>
  <c r="SZ20" i="8" l="1"/>
  <c r="SZ28" i="8"/>
  <c r="SZ34" i="8" l="1"/>
  <c r="SZ35" i="8" s="1"/>
  <c r="SZ41" i="8" s="1"/>
  <c r="SZ42" i="8" s="1"/>
  <c r="SZ30" i="8"/>
  <c r="SZ29" i="8"/>
  <c r="SZ43" i="8" l="1"/>
  <c r="SZ44" i="8"/>
  <c r="SZ48" i="8"/>
  <c r="SZ49" i="8" s="1"/>
  <c r="SZ37" i="8"/>
  <c r="SZ36" i="8"/>
  <c r="SZ55" i="8" l="1"/>
  <c r="SZ56" i="8" s="1"/>
  <c r="SZ23" i="8" s="1"/>
  <c r="SZ24" i="8" s="1"/>
  <c r="SZ25" i="8" s="1"/>
  <c r="SZ51" i="8"/>
  <c r="SZ50" i="8"/>
  <c r="TA20" i="8" l="1"/>
  <c r="TA28" i="8"/>
  <c r="SZ57" i="8"/>
  <c r="SZ58" i="8"/>
  <c r="TA29" i="8" l="1"/>
  <c r="TA30" i="8"/>
  <c r="TA34" i="8"/>
  <c r="TA35" i="8" s="1"/>
  <c r="TA41" i="8" s="1"/>
  <c r="TA42" i="8" s="1"/>
  <c r="TA48" i="8" l="1"/>
  <c r="TA49" i="8" s="1"/>
  <c r="TA55" i="8" s="1"/>
  <c r="TA56" i="8" s="1"/>
  <c r="TA43" i="8"/>
  <c r="TA44" i="8"/>
  <c r="TA36" i="8"/>
  <c r="TA37" i="8"/>
  <c r="TA23" i="8" l="1"/>
  <c r="TA24" i="8" s="1"/>
  <c r="TA25" i="8" s="1"/>
  <c r="TA58" i="8"/>
  <c r="TA57" i="8"/>
  <c r="TA50" i="8"/>
  <c r="TA51" i="8"/>
  <c r="TB20" i="8" l="1"/>
  <c r="TB28" i="8"/>
  <c r="TB30" i="8" l="1"/>
  <c r="TB34" i="8"/>
  <c r="TB35" i="8" s="1"/>
  <c r="TB41" i="8" s="1"/>
  <c r="TB42" i="8" s="1"/>
  <c r="TB29" i="8"/>
  <c r="TB48" i="8" l="1"/>
  <c r="TB49" i="8" s="1"/>
  <c r="TB55" i="8" s="1"/>
  <c r="TB56" i="8" s="1"/>
  <c r="TB43" i="8"/>
  <c r="TB44" i="8"/>
  <c r="TB37" i="8"/>
  <c r="TB36" i="8"/>
  <c r="TB23" i="8" l="1"/>
  <c r="TB24" i="8" s="1"/>
  <c r="TB25" i="8" s="1"/>
  <c r="TB58" i="8"/>
  <c r="TB57" i="8"/>
  <c r="TB51" i="8"/>
  <c r="TB50" i="8"/>
  <c r="TC20" i="8" l="1"/>
  <c r="TC28" i="8"/>
  <c r="TC30" i="8" l="1"/>
  <c r="TC29" i="8"/>
  <c r="TC34" i="8"/>
  <c r="TC35" i="8" s="1"/>
  <c r="TC41" i="8" s="1"/>
  <c r="TC42" i="8" s="1"/>
  <c r="TC43" i="8" l="1"/>
  <c r="TC44" i="8"/>
  <c r="TC48" i="8"/>
  <c r="TC49" i="8" s="1"/>
  <c r="TC37" i="8"/>
  <c r="TC36" i="8"/>
  <c r="TC51" i="8" l="1"/>
  <c r="TC50" i="8"/>
  <c r="TC55" i="8"/>
  <c r="TC56" i="8" s="1"/>
  <c r="TC57" i="8" l="1"/>
  <c r="TC58" i="8"/>
  <c r="TC23" i="8"/>
  <c r="TC24" i="8" s="1"/>
  <c r="TC25" i="8" s="1"/>
  <c r="TD20" i="8" l="1"/>
  <c r="TD28" i="8"/>
  <c r="TD30" i="8" l="1"/>
  <c r="TD34" i="8"/>
  <c r="TD35" i="8" s="1"/>
  <c r="TD29" i="8"/>
  <c r="TD36" i="8" l="1"/>
  <c r="TD37" i="8"/>
  <c r="TD41" i="8"/>
  <c r="TD42" i="8" s="1"/>
  <c r="TD48" i="8" s="1"/>
  <c r="TD49" i="8" s="1"/>
  <c r="TD50" i="8" l="1"/>
  <c r="TD51" i="8"/>
  <c r="TD44" i="8"/>
  <c r="TD43" i="8"/>
  <c r="TD55" i="8"/>
  <c r="TD56" i="8" s="1"/>
  <c r="TD23" i="8" s="1"/>
  <c r="TD24" i="8" s="1"/>
  <c r="TD25" i="8" s="1"/>
  <c r="TE20" i="8" l="1"/>
  <c r="TE28" i="8"/>
  <c r="TD58" i="8"/>
  <c r="TD57" i="8"/>
  <c r="TE29" i="8" l="1"/>
  <c r="TE34" i="8"/>
  <c r="TE35" i="8" s="1"/>
  <c r="TE30" i="8"/>
  <c r="TE41" i="8" l="1"/>
  <c r="TE42" i="8" s="1"/>
  <c r="TE37" i="8"/>
  <c r="TE36" i="8"/>
  <c r="TE44" i="8" l="1"/>
  <c r="TE43" i="8"/>
  <c r="TE48" i="8"/>
  <c r="TE49" i="8" s="1"/>
  <c r="TE50" i="8" l="1"/>
  <c r="TE51" i="8"/>
  <c r="TE55" i="8"/>
  <c r="TE56" i="8" s="1"/>
  <c r="TE58" i="8" l="1"/>
  <c r="TE57" i="8"/>
  <c r="TE23" i="8"/>
  <c r="TE24" i="8" s="1"/>
  <c r="TE25" i="8" s="1"/>
  <c r="TF20" i="8" l="1"/>
  <c r="TF28" i="8"/>
  <c r="TF30" i="8" l="1"/>
  <c r="TF34" i="8"/>
  <c r="TF35" i="8" s="1"/>
  <c r="TF41" i="8" s="1"/>
  <c r="TF42" i="8" s="1"/>
  <c r="TF29" i="8"/>
  <c r="TF43" i="8" l="1"/>
  <c r="TF44" i="8"/>
  <c r="TF48" i="8"/>
  <c r="TF49" i="8" s="1"/>
  <c r="TF36" i="8"/>
  <c r="TF37" i="8"/>
  <c r="TF55" i="8" l="1"/>
  <c r="TF56" i="8" s="1"/>
  <c r="TF23" i="8" s="1"/>
  <c r="TF24" i="8" s="1"/>
  <c r="TF25" i="8" s="1"/>
  <c r="TF50" i="8"/>
  <c r="TF51" i="8"/>
  <c r="TG20" i="8" l="1"/>
  <c r="TG28" i="8"/>
  <c r="TF58" i="8"/>
  <c r="TF57" i="8"/>
  <c r="TG30" i="8" l="1"/>
  <c r="TG29" i="8"/>
  <c r="TG34" i="8"/>
  <c r="TG35" i="8" s="1"/>
  <c r="TG37" i="8" l="1"/>
  <c r="TG36" i="8"/>
  <c r="TG41" i="8"/>
  <c r="TG42" i="8" s="1"/>
  <c r="TG48" i="8" l="1"/>
  <c r="TG49" i="8" s="1"/>
  <c r="TG55" i="8" s="1"/>
  <c r="TG56" i="8" s="1"/>
  <c r="TG43" i="8"/>
  <c r="TG44" i="8"/>
  <c r="TG57" i="8" l="1"/>
  <c r="TG58" i="8"/>
  <c r="TG23" i="8"/>
  <c r="TG24" i="8" s="1"/>
  <c r="TG25" i="8" s="1"/>
  <c r="TG51" i="8"/>
  <c r="TG50" i="8"/>
  <c r="TH20" i="8" l="1"/>
  <c r="TH28" i="8"/>
  <c r="TH30" i="8" l="1"/>
  <c r="TH29" i="8"/>
  <c r="TH34" i="8"/>
  <c r="TH35" i="8" s="1"/>
  <c r="TH41" i="8" s="1"/>
  <c r="TH42" i="8" s="1"/>
  <c r="TH48" i="8" l="1"/>
  <c r="TH49" i="8" s="1"/>
  <c r="TH44" i="8"/>
  <c r="TH43" i="8"/>
  <c r="TH37" i="8"/>
  <c r="TH36" i="8"/>
  <c r="TH55" i="8" l="1"/>
  <c r="TH56" i="8" s="1"/>
  <c r="TH50" i="8"/>
  <c r="TH51" i="8"/>
  <c r="TH58" i="8" l="1"/>
  <c r="TH57" i="8"/>
  <c r="TH23" i="8"/>
  <c r="TH24" i="8" s="1"/>
  <c r="TH25" i="8" s="1"/>
  <c r="TI20" i="8" l="1"/>
  <c r="TI28" i="8"/>
  <c r="TI34" i="8" l="1"/>
  <c r="TI35" i="8" s="1"/>
  <c r="TI41" i="8" s="1"/>
  <c r="TI42" i="8" s="1"/>
  <c r="TI30" i="8"/>
  <c r="TI29" i="8"/>
  <c r="TI48" i="8" l="1"/>
  <c r="TI49" i="8" s="1"/>
  <c r="TI55" i="8" s="1"/>
  <c r="TI56" i="8" s="1"/>
  <c r="TI44" i="8"/>
  <c r="TI43" i="8"/>
  <c r="TI36" i="8"/>
  <c r="TI37" i="8"/>
  <c r="TI23" i="8" l="1"/>
  <c r="TI24" i="8" s="1"/>
  <c r="TI25" i="8" s="1"/>
  <c r="TI58" i="8"/>
  <c r="TI57" i="8"/>
  <c r="TI51" i="8"/>
  <c r="TI50" i="8"/>
  <c r="TJ20" i="8" l="1"/>
  <c r="TJ28" i="8"/>
  <c r="TJ29" i="8" l="1"/>
  <c r="TJ30" i="8"/>
  <c r="TJ34" i="8"/>
  <c r="TJ35" i="8" s="1"/>
  <c r="TJ41" i="8" s="1"/>
  <c r="TJ42" i="8" s="1"/>
  <c r="TJ48" i="8" l="1"/>
  <c r="TJ49" i="8" s="1"/>
  <c r="TJ55" i="8" s="1"/>
  <c r="TJ56" i="8" s="1"/>
  <c r="TJ43" i="8"/>
  <c r="TJ44" i="8"/>
  <c r="TJ37" i="8"/>
  <c r="TJ36" i="8"/>
  <c r="TJ23" i="8" l="1"/>
  <c r="TJ24" i="8" s="1"/>
  <c r="TJ25" i="8" s="1"/>
  <c r="TJ58" i="8"/>
  <c r="TJ57" i="8"/>
  <c r="TJ50" i="8"/>
  <c r="TJ51" i="8"/>
  <c r="TK20" i="8" l="1"/>
  <c r="TK28" i="8"/>
  <c r="TK30" i="8" l="1"/>
  <c r="TK29" i="8"/>
  <c r="TK34" i="8"/>
  <c r="TK35" i="8" s="1"/>
  <c r="TK41" i="8" s="1"/>
  <c r="TK42" i="8" s="1"/>
  <c r="TK48" i="8" l="1"/>
  <c r="TK49" i="8" s="1"/>
  <c r="TK55" i="8" s="1"/>
  <c r="TK56" i="8" s="1"/>
  <c r="TK43" i="8"/>
  <c r="TK44" i="8"/>
  <c r="TK37" i="8"/>
  <c r="TK36" i="8"/>
  <c r="TK23" i="8" l="1"/>
  <c r="TK24" i="8" s="1"/>
  <c r="TK25" i="8" s="1"/>
  <c r="TK58" i="8"/>
  <c r="TK57" i="8"/>
  <c r="TK50" i="8"/>
  <c r="TK51" i="8"/>
  <c r="TL20" i="8" l="1"/>
  <c r="TL28" i="8"/>
  <c r="TL29" i="8" l="1"/>
  <c r="TL30" i="8"/>
  <c r="TL34" i="8"/>
  <c r="TL35" i="8" s="1"/>
  <c r="TL41" i="8" s="1"/>
  <c r="TL42" i="8" s="1"/>
  <c r="TL44" i="8" l="1"/>
  <c r="TL43" i="8"/>
  <c r="TL48" i="8"/>
  <c r="TL49" i="8" s="1"/>
  <c r="TL36" i="8"/>
  <c r="TL37" i="8"/>
  <c r="TL50" i="8" l="1"/>
  <c r="TL51" i="8"/>
  <c r="TL55" i="8"/>
  <c r="TL56" i="8" s="1"/>
  <c r="TL58" i="8" l="1"/>
  <c r="TL57" i="8"/>
  <c r="TL23" i="8"/>
  <c r="TL24" i="8" s="1"/>
  <c r="TL25" i="8" s="1"/>
  <c r="TM20" i="8" l="1"/>
  <c r="TM28" i="8"/>
  <c r="TM34" i="8" l="1"/>
  <c r="TM35" i="8" s="1"/>
  <c r="TM41" i="8" s="1"/>
  <c r="TM42" i="8" s="1"/>
  <c r="TM30" i="8"/>
  <c r="TM29" i="8"/>
  <c r="TM48" i="8" l="1"/>
  <c r="TM49" i="8" s="1"/>
  <c r="TM55" i="8" s="1"/>
  <c r="TM56" i="8" s="1"/>
  <c r="TM44" i="8"/>
  <c r="TM43" i="8"/>
  <c r="TM37" i="8"/>
  <c r="TM36" i="8"/>
  <c r="TM23" i="8" l="1"/>
  <c r="TM24" i="8" s="1"/>
  <c r="TM25" i="8" s="1"/>
  <c r="TN20" i="8" s="1"/>
  <c r="TM58" i="8"/>
  <c r="TM57" i="8"/>
  <c r="TM51" i="8"/>
  <c r="TM50" i="8"/>
  <c r="TN28" i="8" l="1"/>
  <c r="TN34" i="8" s="1"/>
  <c r="TN35" i="8" s="1"/>
  <c r="TN41" i="8" s="1"/>
  <c r="TN42" i="8" s="1"/>
  <c r="TN29" i="8" l="1"/>
  <c r="TN30" i="8"/>
  <c r="TN43" i="8"/>
  <c r="TN44" i="8"/>
  <c r="TN48" i="8"/>
  <c r="TN49" i="8" s="1"/>
  <c r="TN37" i="8"/>
  <c r="TN36" i="8"/>
  <c r="TN55" i="8" l="1"/>
  <c r="TN56" i="8" s="1"/>
  <c r="TN51" i="8"/>
  <c r="TN50" i="8"/>
  <c r="TN58" i="8" l="1"/>
  <c r="TN57" i="8"/>
  <c r="TN23" i="8"/>
  <c r="TN24" i="8" s="1"/>
  <c r="TN25" i="8" s="1"/>
  <c r="TO20" i="8" l="1"/>
  <c r="TO28" i="8"/>
  <c r="TO29" i="8" l="1"/>
  <c r="TO30" i="8"/>
  <c r="TO34" i="8"/>
  <c r="TO35" i="8" s="1"/>
  <c r="TO41" i="8" s="1"/>
  <c r="TO42" i="8" s="1"/>
  <c r="TO48" i="8" l="1"/>
  <c r="TO49" i="8" s="1"/>
  <c r="TO55" i="8" s="1"/>
  <c r="TO56" i="8" s="1"/>
  <c r="TO43" i="8"/>
  <c r="TO44" i="8"/>
  <c r="TO36" i="8"/>
  <c r="TO37" i="8"/>
  <c r="TO23" i="8" l="1"/>
  <c r="TO24" i="8" s="1"/>
  <c r="TO25" i="8" s="1"/>
  <c r="TO58" i="8"/>
  <c r="TO57" i="8"/>
  <c r="TO50" i="8"/>
  <c r="TO51" i="8"/>
  <c r="TP20" i="8" l="1"/>
  <c r="TP28" i="8"/>
  <c r="TP30" i="8" l="1"/>
  <c r="TP29" i="8"/>
  <c r="TP34" i="8"/>
  <c r="TP35" i="8" s="1"/>
  <c r="TP41" i="8" s="1"/>
  <c r="TP42" i="8" s="1"/>
  <c r="TP48" i="8" l="1"/>
  <c r="TP49" i="8" s="1"/>
  <c r="TP55" i="8" s="1"/>
  <c r="TP56" i="8" s="1"/>
  <c r="TP44" i="8"/>
  <c r="TP43" i="8"/>
  <c r="TP36" i="8"/>
  <c r="TP37" i="8"/>
  <c r="TP23" i="8" l="1"/>
  <c r="TP24" i="8" s="1"/>
  <c r="TP25" i="8" s="1"/>
  <c r="TP57" i="8"/>
  <c r="TP58" i="8"/>
  <c r="TP50" i="8"/>
  <c r="TP51" i="8"/>
  <c r="TQ20" i="8" l="1"/>
  <c r="TQ28" i="8"/>
  <c r="TQ30" i="8" l="1"/>
  <c r="TQ34" i="8"/>
  <c r="TQ35" i="8" s="1"/>
  <c r="TQ29" i="8"/>
  <c r="TQ41" i="8" l="1"/>
  <c r="TQ42" i="8" s="1"/>
  <c r="TQ36" i="8"/>
  <c r="TQ37" i="8"/>
  <c r="TQ48" i="8" l="1"/>
  <c r="TQ49" i="8" s="1"/>
  <c r="TQ55" i="8" s="1"/>
  <c r="TQ56" i="8" s="1"/>
  <c r="TQ43" i="8"/>
  <c r="TQ44" i="8"/>
  <c r="TQ23" i="8" l="1"/>
  <c r="TQ24" i="8" s="1"/>
  <c r="TQ25" i="8" s="1"/>
  <c r="TQ58" i="8"/>
  <c r="TQ57" i="8"/>
  <c r="TQ50" i="8"/>
  <c r="TQ51" i="8"/>
  <c r="TR20" i="8" l="1"/>
  <c r="TR28" i="8"/>
  <c r="TR30" i="8" l="1"/>
  <c r="TR29" i="8"/>
  <c r="TR34" i="8"/>
  <c r="TR35" i="8" s="1"/>
  <c r="TR41" i="8" s="1"/>
  <c r="TR42" i="8" s="1"/>
  <c r="TR48" i="8" l="1"/>
  <c r="TR49" i="8" s="1"/>
  <c r="TR55" i="8" s="1"/>
  <c r="TR56" i="8" s="1"/>
  <c r="TR43" i="8"/>
  <c r="TR44" i="8"/>
  <c r="TR36" i="8"/>
  <c r="TR37" i="8"/>
  <c r="TR23" i="8" l="1"/>
  <c r="TR24" i="8" s="1"/>
  <c r="TR25" i="8" s="1"/>
  <c r="TR57" i="8"/>
  <c r="TR58" i="8"/>
  <c r="TR51" i="8"/>
  <c r="TR50" i="8"/>
  <c r="TS20" i="8" l="1"/>
  <c r="TS28" i="8"/>
  <c r="TS30" i="8" l="1"/>
  <c r="TS34" i="8"/>
  <c r="TS35" i="8" s="1"/>
  <c r="TS41" i="8" s="1"/>
  <c r="TS42" i="8" s="1"/>
  <c r="TS29" i="8"/>
  <c r="TS43" i="8" l="1"/>
  <c r="TS44" i="8"/>
  <c r="TS48" i="8"/>
  <c r="TS49" i="8" s="1"/>
  <c r="TS37" i="8"/>
  <c r="TS36" i="8"/>
  <c r="TS55" i="8" l="1"/>
  <c r="TS56" i="8" s="1"/>
  <c r="TS51" i="8"/>
  <c r="TS50" i="8"/>
  <c r="TS57" i="8" l="1"/>
  <c r="TS58" i="8"/>
  <c r="TS23" i="8"/>
  <c r="TS24" i="8" s="1"/>
  <c r="TS25" i="8" s="1"/>
  <c r="TT20" i="8" l="1"/>
  <c r="TT28" i="8"/>
  <c r="TT30" i="8" l="1"/>
  <c r="TT34" i="8"/>
  <c r="TT35" i="8" s="1"/>
  <c r="TT29" i="8"/>
  <c r="TT41" i="8" l="1"/>
  <c r="TT42" i="8" s="1"/>
  <c r="TT36" i="8"/>
  <c r="TT37" i="8"/>
  <c r="TT43" i="8" l="1"/>
  <c r="TT44" i="8"/>
  <c r="TT48" i="8"/>
  <c r="TT49" i="8" s="1"/>
  <c r="TT51" i="8" l="1"/>
  <c r="TT50" i="8"/>
  <c r="TT55" i="8"/>
  <c r="TT56" i="8" s="1"/>
  <c r="TT58" i="8" l="1"/>
  <c r="TT57" i="8"/>
  <c r="TT23" i="8"/>
  <c r="TT24" i="8" s="1"/>
  <c r="TT25" i="8" s="1"/>
  <c r="TU20" i="8" l="1"/>
  <c r="TU28" i="8"/>
  <c r="TU30" i="8" l="1"/>
  <c r="TU29" i="8"/>
  <c r="TU34" i="8"/>
  <c r="TU35" i="8" s="1"/>
  <c r="TU41" i="8" s="1"/>
  <c r="TU42" i="8" s="1"/>
  <c r="TU48" i="8" l="1"/>
  <c r="TU49" i="8" s="1"/>
  <c r="TU55" i="8" s="1"/>
  <c r="TU56" i="8" s="1"/>
  <c r="TU43" i="8"/>
  <c r="TU44" i="8"/>
  <c r="TU37" i="8"/>
  <c r="TU36" i="8"/>
  <c r="TU23" i="8" l="1"/>
  <c r="TU24" i="8" s="1"/>
  <c r="TU25" i="8" s="1"/>
  <c r="TU58" i="8"/>
  <c r="TU57" i="8"/>
  <c r="TU50" i="8"/>
  <c r="TU51" i="8"/>
  <c r="TV20" i="8" l="1"/>
  <c r="TV28" i="8"/>
  <c r="TV30" i="8" l="1"/>
  <c r="TV34" i="8"/>
  <c r="TV35" i="8" s="1"/>
  <c r="TV29" i="8"/>
  <c r="TV41" i="8" l="1"/>
  <c r="TV42" i="8" s="1"/>
  <c r="TV37" i="8"/>
  <c r="TV36" i="8"/>
  <c r="TV44" i="8" l="1"/>
  <c r="TV43" i="8"/>
  <c r="TV48" i="8"/>
  <c r="TV49" i="8" s="1"/>
  <c r="TV55" i="8" s="1"/>
  <c r="TV56" i="8" s="1"/>
  <c r="TV58" i="8" l="1"/>
  <c r="TV57" i="8"/>
  <c r="TV50" i="8"/>
  <c r="TV51" i="8"/>
  <c r="TV23" i="8"/>
  <c r="TV24" i="8" s="1"/>
  <c r="TV25" i="8" s="1"/>
  <c r="TW20" i="8" l="1"/>
  <c r="TW28" i="8"/>
  <c r="TW29" i="8" l="1"/>
  <c r="TW30" i="8"/>
  <c r="TW34" i="8"/>
  <c r="TW35" i="8" s="1"/>
  <c r="TW41" i="8" s="1"/>
  <c r="TW42" i="8" s="1"/>
  <c r="TW48" i="8" l="1"/>
  <c r="TW49" i="8" s="1"/>
  <c r="TW55" i="8" s="1"/>
  <c r="TW56" i="8" s="1"/>
  <c r="TW43" i="8"/>
  <c r="TW44" i="8"/>
  <c r="TW37" i="8"/>
  <c r="TW36" i="8"/>
  <c r="TW57" i="8" l="1"/>
  <c r="TW58" i="8"/>
  <c r="TW23" i="8"/>
  <c r="TW24" i="8" s="1"/>
  <c r="TW25" i="8" s="1"/>
  <c r="TW50" i="8"/>
  <c r="TW51" i="8"/>
  <c r="TX20" i="8" l="1"/>
  <c r="TX28" i="8"/>
  <c r="TX30" i="8" l="1"/>
  <c r="TX29" i="8"/>
  <c r="TX34" i="8"/>
  <c r="TX35" i="8" s="1"/>
  <c r="TX37" i="8" l="1"/>
  <c r="TX36" i="8"/>
  <c r="TX41" i="8"/>
  <c r="TX42" i="8" s="1"/>
  <c r="TX48" i="8" l="1"/>
  <c r="TX49" i="8" s="1"/>
  <c r="TX55" i="8" s="1"/>
  <c r="TX56" i="8" s="1"/>
  <c r="TX44" i="8"/>
  <c r="TX43" i="8"/>
  <c r="TX23" i="8" l="1"/>
  <c r="TX24" i="8" s="1"/>
  <c r="TX25" i="8" s="1"/>
  <c r="TX58" i="8"/>
  <c r="TX57" i="8"/>
  <c r="TX51" i="8"/>
  <c r="TX50" i="8"/>
  <c r="TY20" i="8" l="1"/>
  <c r="TY28" i="8"/>
  <c r="TY30" i="8" l="1"/>
  <c r="TY34" i="8"/>
  <c r="TY35" i="8" s="1"/>
  <c r="TY41" i="8" s="1"/>
  <c r="TY42" i="8" s="1"/>
  <c r="TY29" i="8"/>
  <c r="TY48" i="8" l="1"/>
  <c r="TY49" i="8" s="1"/>
  <c r="TY55" i="8" s="1"/>
  <c r="TY56" i="8" s="1"/>
  <c r="TY44" i="8"/>
  <c r="TY43" i="8"/>
  <c r="TY37" i="8"/>
  <c r="TY36" i="8"/>
  <c r="TY23" i="8" l="1"/>
  <c r="TY24" i="8" s="1"/>
  <c r="TY25" i="8" s="1"/>
  <c r="TY57" i="8"/>
  <c r="TY58" i="8"/>
  <c r="TY50" i="8"/>
  <c r="TY51" i="8"/>
  <c r="TZ20" i="8" l="1"/>
  <c r="TZ28" i="8"/>
  <c r="TZ34" i="8" l="1"/>
  <c r="TZ35" i="8" s="1"/>
  <c r="TZ41" i="8" s="1"/>
  <c r="TZ42" i="8" s="1"/>
  <c r="TZ30" i="8"/>
  <c r="TZ29" i="8"/>
  <c r="TZ43" i="8" l="1"/>
  <c r="TZ44" i="8"/>
  <c r="TZ48" i="8"/>
  <c r="TZ49" i="8" s="1"/>
  <c r="TZ36" i="8"/>
  <c r="TZ37" i="8"/>
  <c r="TZ50" i="8" l="1"/>
  <c r="TZ51" i="8"/>
  <c r="TZ55" i="8"/>
  <c r="TZ56" i="8" s="1"/>
  <c r="TZ57" i="8" l="1"/>
  <c r="TZ58" i="8"/>
  <c r="TZ23" i="8"/>
  <c r="TZ24" i="8" s="1"/>
  <c r="TZ25" i="8" s="1"/>
  <c r="UA20" i="8" l="1"/>
  <c r="UA28" i="8"/>
  <c r="UA34" i="8" l="1"/>
  <c r="UA35" i="8" s="1"/>
  <c r="UA41" i="8" s="1"/>
  <c r="UA42" i="8" s="1"/>
  <c r="UA29" i="8"/>
  <c r="UA30" i="8"/>
  <c r="UA48" i="8" l="1"/>
  <c r="UA49" i="8" s="1"/>
  <c r="UA55" i="8" s="1"/>
  <c r="UA56" i="8" s="1"/>
  <c r="UA44" i="8"/>
  <c r="UA43" i="8"/>
  <c r="UA37" i="8"/>
  <c r="UA36" i="8"/>
  <c r="UA23" i="8" l="1"/>
  <c r="UA24" i="8" s="1"/>
  <c r="UA25" i="8" s="1"/>
  <c r="UA57" i="8"/>
  <c r="UA58" i="8"/>
  <c r="UA50" i="8"/>
  <c r="UA51" i="8"/>
  <c r="UB20" i="8" l="1"/>
  <c r="UB28" i="8"/>
  <c r="UB29" i="8" l="1"/>
  <c r="UB34" i="8"/>
  <c r="UB35" i="8" s="1"/>
  <c r="UB30" i="8"/>
  <c r="UB41" i="8" l="1"/>
  <c r="UB42" i="8" s="1"/>
  <c r="UB37" i="8"/>
  <c r="UB36" i="8"/>
  <c r="UB43" i="8" l="1"/>
  <c r="UB44" i="8"/>
  <c r="UB48" i="8"/>
  <c r="UB49" i="8" s="1"/>
  <c r="UB55" i="8" l="1"/>
  <c r="UB56" i="8" s="1"/>
  <c r="UB23" i="8" s="1"/>
  <c r="UB24" i="8" s="1"/>
  <c r="UB25" i="8" s="1"/>
  <c r="UB50" i="8"/>
  <c r="UB51" i="8"/>
  <c r="UC20" i="8" l="1"/>
  <c r="UC28" i="8"/>
  <c r="UB58" i="8"/>
  <c r="UB57" i="8"/>
  <c r="UC34" i="8" l="1"/>
  <c r="UC35" i="8" s="1"/>
  <c r="UC30" i="8"/>
  <c r="UC29" i="8"/>
  <c r="UC41" i="8" l="1"/>
  <c r="UC42" i="8" s="1"/>
  <c r="UC37" i="8"/>
  <c r="UC36" i="8"/>
  <c r="UC48" i="8" l="1"/>
  <c r="UC49" i="8" s="1"/>
  <c r="UC55" i="8" s="1"/>
  <c r="UC56" i="8" s="1"/>
  <c r="UC44" i="8"/>
  <c r="UC43" i="8"/>
  <c r="UC23" i="8" l="1"/>
  <c r="UC24" i="8" s="1"/>
  <c r="UC25" i="8" s="1"/>
  <c r="UC58" i="8"/>
  <c r="UC57" i="8"/>
  <c r="UC51" i="8"/>
  <c r="UC50" i="8"/>
  <c r="UD20" i="8" l="1"/>
  <c r="UD28" i="8"/>
  <c r="UD29" i="8" l="1"/>
  <c r="UD30" i="8"/>
  <c r="UD34" i="8"/>
  <c r="UD35" i="8" s="1"/>
  <c r="UD41" i="8" s="1"/>
  <c r="UD42" i="8" s="1"/>
  <c r="UD44" i="8" l="1"/>
  <c r="UD43" i="8"/>
  <c r="UD48" i="8"/>
  <c r="UD49" i="8" s="1"/>
  <c r="UD37" i="8"/>
  <c r="UD36" i="8"/>
  <c r="UD55" i="8" l="1"/>
  <c r="UD56" i="8" s="1"/>
  <c r="UD50" i="8"/>
  <c r="UD51" i="8"/>
  <c r="UD58" i="8" l="1"/>
  <c r="UD57" i="8"/>
  <c r="UD23" i="8"/>
  <c r="UD24" i="8" s="1"/>
  <c r="UD25" i="8" s="1"/>
  <c r="UE20" i="8" l="1"/>
  <c r="UE28" i="8"/>
  <c r="UE30" i="8" l="1"/>
  <c r="UE29" i="8"/>
  <c r="UE34" i="8"/>
  <c r="UE35" i="8" s="1"/>
  <c r="UE41" i="8" s="1"/>
  <c r="UE42" i="8" s="1"/>
  <c r="UE48" i="8" l="1"/>
  <c r="UE49" i="8" s="1"/>
  <c r="UE55" i="8" s="1"/>
  <c r="UE56" i="8" s="1"/>
  <c r="UE43" i="8"/>
  <c r="UE44" i="8"/>
  <c r="UE37" i="8"/>
  <c r="UE36" i="8"/>
  <c r="UE23" i="8" l="1"/>
  <c r="UE24" i="8" s="1"/>
  <c r="UE25" i="8" s="1"/>
  <c r="UE57" i="8"/>
  <c r="UE58" i="8"/>
  <c r="UE50" i="8"/>
  <c r="UE51" i="8"/>
  <c r="UF20" i="8" l="1"/>
  <c r="UF28" i="8"/>
  <c r="UF29" i="8" l="1"/>
  <c r="UF30" i="8"/>
  <c r="UF34" i="8"/>
  <c r="UF35" i="8" s="1"/>
  <c r="UF41" i="8" l="1"/>
  <c r="UF42" i="8" s="1"/>
  <c r="UF37" i="8"/>
  <c r="UF36" i="8"/>
  <c r="UF43" i="8" l="1"/>
  <c r="UF44" i="8"/>
  <c r="UF48" i="8"/>
  <c r="UF49" i="8" s="1"/>
  <c r="UF51" i="8" l="1"/>
  <c r="UF50" i="8"/>
  <c r="UF55" i="8"/>
  <c r="UF56" i="8" s="1"/>
  <c r="UF23" i="8" s="1"/>
  <c r="UF24" i="8" s="1"/>
  <c r="UF25" i="8" s="1"/>
  <c r="UG20" i="8" l="1"/>
  <c r="UG28" i="8"/>
  <c r="UF57" i="8"/>
  <c r="UF58" i="8"/>
  <c r="UG34" i="8" l="1"/>
  <c r="UG35" i="8" s="1"/>
  <c r="UG41" i="8" s="1"/>
  <c r="UG42" i="8" s="1"/>
  <c r="UG30" i="8"/>
  <c r="UG29" i="8"/>
  <c r="UG44" i="8" l="1"/>
  <c r="UG43" i="8"/>
  <c r="UG48" i="8"/>
  <c r="UG49" i="8" s="1"/>
  <c r="UG37" i="8"/>
  <c r="UG36" i="8"/>
  <c r="UG51" i="8" l="1"/>
  <c r="UG50" i="8"/>
  <c r="UG55" i="8"/>
  <c r="UG56" i="8" s="1"/>
  <c r="UG58" i="8" l="1"/>
  <c r="UG57" i="8"/>
  <c r="UG23" i="8"/>
  <c r="UG24" i="8" s="1"/>
  <c r="UG25" i="8" s="1"/>
  <c r="UH20" i="8" l="1"/>
  <c r="UH28" i="8"/>
  <c r="UH30" i="8" l="1"/>
  <c r="UH29" i="8"/>
  <c r="UH34" i="8"/>
  <c r="UH35" i="8" s="1"/>
  <c r="UH41" i="8" s="1"/>
  <c r="UH42" i="8" s="1"/>
  <c r="UH43" i="8" l="1"/>
  <c r="UH44" i="8"/>
  <c r="UH48" i="8"/>
  <c r="UH49" i="8" s="1"/>
  <c r="UH36" i="8"/>
  <c r="UH37" i="8"/>
  <c r="UH55" i="8" l="1"/>
  <c r="UH56" i="8" s="1"/>
  <c r="UH50" i="8"/>
  <c r="UH51" i="8"/>
  <c r="UH58" i="8" l="1"/>
  <c r="UH57" i="8"/>
  <c r="UH23" i="8"/>
  <c r="UH24" i="8" s="1"/>
  <c r="UH25" i="8" s="1"/>
  <c r="UI20" i="8" l="1"/>
  <c r="UI28" i="8"/>
  <c r="UI29" i="8" l="1"/>
  <c r="UI30" i="8"/>
  <c r="UI34" i="8"/>
  <c r="UI35" i="8" s="1"/>
  <c r="UI41" i="8" s="1"/>
  <c r="UI42" i="8" s="1"/>
  <c r="UI48" i="8" l="1"/>
  <c r="UI49" i="8" s="1"/>
  <c r="UI55" i="8" s="1"/>
  <c r="UI56" i="8" s="1"/>
  <c r="UI43" i="8"/>
  <c r="UI44" i="8"/>
  <c r="UI36" i="8"/>
  <c r="UI37" i="8"/>
  <c r="UI23" i="8" l="1"/>
  <c r="UI24" i="8" s="1"/>
  <c r="UI25" i="8" s="1"/>
  <c r="UJ20" i="8" s="1"/>
  <c r="UI57" i="8"/>
  <c r="UI58" i="8"/>
  <c r="UI51" i="8"/>
  <c r="UI50" i="8"/>
  <c r="UJ28" i="8" l="1"/>
  <c r="UJ30" i="8" s="1"/>
  <c r="UJ34" i="8" l="1"/>
  <c r="UJ35" i="8" s="1"/>
  <c r="UJ36" i="8" s="1"/>
  <c r="UJ29" i="8"/>
  <c r="UJ41" i="8" l="1"/>
  <c r="UJ42" i="8" s="1"/>
  <c r="UJ43" i="8" s="1"/>
  <c r="UJ37" i="8"/>
  <c r="UJ44" i="8" l="1"/>
  <c r="UJ48" i="8"/>
  <c r="UJ49" i="8" s="1"/>
  <c r="UJ50" i="8" s="1"/>
  <c r="UJ55" i="8" l="1"/>
  <c r="UJ56" i="8" s="1"/>
  <c r="UJ57" i="8" s="1"/>
  <c r="UJ51" i="8"/>
  <c r="UJ23" i="8" l="1"/>
  <c r="UJ24" i="8" s="1"/>
  <c r="UJ25" i="8" s="1"/>
  <c r="UK20" i="8" s="1"/>
  <c r="UJ58" i="8"/>
  <c r="UK28" i="8" l="1"/>
  <c r="UK30" i="8" s="1"/>
  <c r="UK34" i="8" l="1"/>
  <c r="UK35" i="8" s="1"/>
  <c r="UK41" i="8" s="1"/>
  <c r="UK42" i="8" s="1"/>
  <c r="UK43" i="8" s="1"/>
  <c r="UK29" i="8"/>
  <c r="UK37" i="8" l="1"/>
  <c r="UK48" i="8"/>
  <c r="UK49" i="8" s="1"/>
  <c r="UK51" i="8" s="1"/>
  <c r="UK44" i="8"/>
  <c r="UK36" i="8"/>
  <c r="UK55" i="8" l="1"/>
  <c r="UK56" i="8" s="1"/>
  <c r="UK58" i="8" s="1"/>
  <c r="UK50" i="8"/>
  <c r="UK23" i="8" l="1"/>
  <c r="UK24" i="8" s="1"/>
  <c r="UK25" i="8" s="1"/>
  <c r="UL20" i="8" s="1"/>
  <c r="UK57" i="8"/>
  <c r="UL28" i="8"/>
  <c r="UL30" i="8" l="1"/>
  <c r="UL29" i="8"/>
  <c r="UL34" i="8"/>
  <c r="UL35" i="8" s="1"/>
  <c r="UL41" i="8" s="1"/>
  <c r="UL42" i="8" s="1"/>
  <c r="UL48" i="8" l="1"/>
  <c r="UL49" i="8" s="1"/>
  <c r="UL55" i="8" s="1"/>
  <c r="UL56" i="8" s="1"/>
  <c r="UL43" i="8"/>
  <c r="UL44" i="8"/>
  <c r="UL37" i="8"/>
  <c r="UL36" i="8"/>
  <c r="UL23" i="8" l="1"/>
  <c r="UL24" i="8" s="1"/>
  <c r="UL25" i="8" s="1"/>
  <c r="UL57" i="8"/>
  <c r="UL58" i="8"/>
  <c r="UL51" i="8"/>
  <c r="UL50" i="8"/>
  <c r="UM20" i="8" l="1"/>
  <c r="UM28" i="8"/>
  <c r="UM30" i="8" l="1"/>
  <c r="UM29" i="8"/>
  <c r="UM34" i="8"/>
  <c r="UM35" i="8" s="1"/>
  <c r="UM41" i="8" l="1"/>
  <c r="UM42" i="8" s="1"/>
  <c r="UM37" i="8"/>
  <c r="UM36" i="8"/>
  <c r="UM43" i="8" l="1"/>
  <c r="UM44" i="8"/>
  <c r="UM48" i="8"/>
  <c r="UM49" i="8" s="1"/>
  <c r="UM55" i="8" l="1"/>
  <c r="UM56" i="8" s="1"/>
  <c r="UM23" i="8" s="1"/>
  <c r="UM24" i="8" s="1"/>
  <c r="UM25" i="8" s="1"/>
  <c r="UM51" i="8"/>
  <c r="UM50" i="8"/>
  <c r="UN20" i="8" l="1"/>
  <c r="UN28" i="8"/>
  <c r="UM58" i="8"/>
  <c r="UM57" i="8"/>
  <c r="UN30" i="8" l="1"/>
  <c r="UN29" i="8"/>
  <c r="UN34" i="8"/>
  <c r="UN35" i="8" s="1"/>
  <c r="UN37" i="8" l="1"/>
  <c r="UN36" i="8"/>
  <c r="UN41" i="8"/>
  <c r="UN42" i="8" s="1"/>
  <c r="UN48" i="8" s="1"/>
  <c r="UN49" i="8" s="1"/>
  <c r="UN55" i="8" l="1"/>
  <c r="UN56" i="8" s="1"/>
  <c r="UN23" i="8" s="1"/>
  <c r="UN24" i="8" s="1"/>
  <c r="UN25" i="8" s="1"/>
  <c r="UN50" i="8"/>
  <c r="UN51" i="8"/>
  <c r="UN43" i="8"/>
  <c r="UN44" i="8"/>
  <c r="UO20" i="8" l="1"/>
  <c r="UO28" i="8"/>
  <c r="UN58" i="8"/>
  <c r="UN57" i="8"/>
  <c r="UO29" i="8" l="1"/>
  <c r="UO30" i="8"/>
  <c r="UO34" i="8"/>
  <c r="UO35" i="8" s="1"/>
  <c r="UO41" i="8" s="1"/>
  <c r="UO42" i="8" s="1"/>
  <c r="UO48" i="8" l="1"/>
  <c r="UO49" i="8" s="1"/>
  <c r="UO55" i="8" s="1"/>
  <c r="UO56" i="8" s="1"/>
  <c r="UO43" i="8"/>
  <c r="UO44" i="8"/>
  <c r="UO37" i="8"/>
  <c r="UO36" i="8"/>
  <c r="UO23" i="8" l="1"/>
  <c r="UO24" i="8" s="1"/>
  <c r="UO25" i="8" s="1"/>
  <c r="UO58" i="8"/>
  <c r="UO57" i="8"/>
  <c r="UO50" i="8"/>
  <c r="UO51" i="8"/>
  <c r="UP20" i="8" l="1"/>
  <c r="UP28" i="8"/>
  <c r="UP34" i="8" l="1"/>
  <c r="UP35" i="8" s="1"/>
  <c r="UP41" i="8" s="1"/>
  <c r="UP42" i="8" s="1"/>
  <c r="UP30" i="8"/>
  <c r="UP29" i="8"/>
  <c r="UP48" i="8" l="1"/>
  <c r="UP49" i="8" s="1"/>
  <c r="UP55" i="8" s="1"/>
  <c r="UP56" i="8" s="1"/>
  <c r="UP43" i="8"/>
  <c r="UP44" i="8"/>
  <c r="UP37" i="8"/>
  <c r="UP36" i="8"/>
  <c r="UP23" i="8" l="1"/>
  <c r="UP24" i="8" s="1"/>
  <c r="UP25" i="8" s="1"/>
  <c r="UP58" i="8"/>
  <c r="UP57" i="8"/>
  <c r="UP50" i="8"/>
  <c r="UP51" i="8"/>
  <c r="UQ20" i="8" l="1"/>
  <c r="UQ28" i="8"/>
  <c r="UQ30" i="8" l="1"/>
  <c r="UQ29" i="8"/>
  <c r="UQ34" i="8"/>
  <c r="UQ35" i="8" s="1"/>
  <c r="UQ41" i="8" s="1"/>
  <c r="UQ42" i="8" s="1"/>
  <c r="UQ43" i="8" l="1"/>
  <c r="UQ44" i="8"/>
  <c r="UQ48" i="8"/>
  <c r="UQ49" i="8" s="1"/>
  <c r="UQ36" i="8"/>
  <c r="UQ37" i="8"/>
  <c r="UQ55" i="8" l="1"/>
  <c r="UQ56" i="8" s="1"/>
  <c r="UQ23" i="8" s="1"/>
  <c r="UQ24" i="8" s="1"/>
  <c r="UQ25" i="8" s="1"/>
  <c r="UQ51" i="8"/>
  <c r="UQ50" i="8"/>
  <c r="UR20" i="8" l="1"/>
  <c r="UR28" i="8"/>
  <c r="UQ58" i="8"/>
  <c r="UQ57" i="8"/>
  <c r="UR30" i="8" l="1"/>
  <c r="UR29" i="8"/>
  <c r="UR34" i="8"/>
  <c r="UR35" i="8" s="1"/>
  <c r="UR41" i="8" s="1"/>
  <c r="UR42" i="8" s="1"/>
  <c r="UR43" i="8" l="1"/>
  <c r="UR44" i="8"/>
  <c r="UR48" i="8"/>
  <c r="UR49" i="8" s="1"/>
  <c r="UR36" i="8"/>
  <c r="UR37" i="8"/>
  <c r="UR55" i="8" l="1"/>
  <c r="UR56" i="8" s="1"/>
  <c r="UR50" i="8"/>
  <c r="UR51" i="8"/>
  <c r="UR57" i="8" l="1"/>
  <c r="UR58" i="8"/>
  <c r="UR23" i="8"/>
  <c r="UR24" i="8" s="1"/>
  <c r="UR25" i="8" s="1"/>
  <c r="US20" i="8" l="1"/>
  <c r="US28" i="8"/>
  <c r="US30" i="8" l="1"/>
  <c r="US29" i="8"/>
  <c r="US34" i="8"/>
  <c r="US35" i="8" s="1"/>
  <c r="US41" i="8" s="1"/>
  <c r="US42" i="8" s="1"/>
  <c r="US48" i="8" l="1"/>
  <c r="US49" i="8" s="1"/>
  <c r="US55" i="8" s="1"/>
  <c r="US56" i="8" s="1"/>
  <c r="US43" i="8"/>
  <c r="US44" i="8"/>
  <c r="US37" i="8"/>
  <c r="US36" i="8"/>
  <c r="US23" i="8" l="1"/>
  <c r="US24" i="8" s="1"/>
  <c r="US25" i="8" s="1"/>
  <c r="US58" i="8"/>
  <c r="US57" i="8"/>
  <c r="US50" i="8"/>
  <c r="US51" i="8"/>
  <c r="UT20" i="8" l="1"/>
  <c r="UT28" i="8"/>
  <c r="UT30" i="8" l="1"/>
  <c r="UT34" i="8"/>
  <c r="UT35" i="8" s="1"/>
  <c r="UT29" i="8"/>
  <c r="UT37" i="8" l="1"/>
  <c r="UT36" i="8"/>
  <c r="UT41" i="8"/>
  <c r="UT42" i="8" s="1"/>
  <c r="UT43" i="8" l="1"/>
  <c r="UT44" i="8"/>
  <c r="UT48" i="8"/>
  <c r="UT49" i="8" s="1"/>
  <c r="UT55" i="8" l="1"/>
  <c r="UT56" i="8" s="1"/>
  <c r="UT23" i="8" s="1"/>
  <c r="UT50" i="8"/>
  <c r="UT51" i="8"/>
  <c r="UT24" i="8" l="1"/>
  <c r="UT25" i="8" s="1"/>
  <c r="UT57" i="8"/>
  <c r="UT58" i="8"/>
  <c r="UU20" i="8" l="1"/>
  <c r="UU28" i="8"/>
  <c r="UU34" i="8" l="1"/>
  <c r="UU35" i="8" s="1"/>
  <c r="UU41" i="8" s="1"/>
  <c r="UU42" i="8" s="1"/>
  <c r="UU30" i="8"/>
  <c r="UU29" i="8"/>
  <c r="UU48" i="8" l="1"/>
  <c r="UU49" i="8" s="1"/>
  <c r="UU55" i="8" s="1"/>
  <c r="UU56" i="8" s="1"/>
  <c r="UU44" i="8"/>
  <c r="UU43" i="8"/>
  <c r="UU36" i="8"/>
  <c r="UU37" i="8"/>
  <c r="UU23" i="8" l="1"/>
  <c r="UU24" i="8" s="1"/>
  <c r="UU25" i="8" s="1"/>
  <c r="UU58" i="8"/>
  <c r="UU57" i="8"/>
  <c r="UU50" i="8"/>
  <c r="UU51" i="8"/>
  <c r="UV20" i="8" l="1"/>
  <c r="UV28" i="8"/>
  <c r="UV34" i="8" l="1"/>
  <c r="UV35" i="8" s="1"/>
  <c r="UV41" i="8" s="1"/>
  <c r="UV42" i="8" s="1"/>
  <c r="UV30" i="8"/>
  <c r="UV29" i="8"/>
  <c r="UV44" i="8" l="1"/>
  <c r="UV43" i="8"/>
  <c r="UV48" i="8"/>
  <c r="UV49" i="8" s="1"/>
  <c r="UV55" i="8" s="1"/>
  <c r="UV56" i="8" s="1"/>
  <c r="UV36" i="8"/>
  <c r="UV37" i="8"/>
  <c r="UV57" i="8" l="1"/>
  <c r="UV58" i="8"/>
  <c r="UV50" i="8"/>
  <c r="UV51" i="8"/>
  <c r="UV23" i="8"/>
  <c r="UV24" i="8" s="1"/>
  <c r="UV25" i="8" s="1"/>
  <c r="UW20" i="8" l="1"/>
  <c r="UW28" i="8"/>
  <c r="UW34" i="8" l="1"/>
  <c r="UW35" i="8" s="1"/>
  <c r="UW41" i="8" s="1"/>
  <c r="UW42" i="8" s="1"/>
  <c r="UW30" i="8"/>
  <c r="UW29" i="8"/>
  <c r="UW43" i="8" l="1"/>
  <c r="UW44" i="8"/>
  <c r="UW48" i="8"/>
  <c r="UW49" i="8" s="1"/>
  <c r="UW36" i="8"/>
  <c r="UW37" i="8"/>
  <c r="UW50" i="8" l="1"/>
  <c r="UW51" i="8"/>
  <c r="UW55" i="8"/>
  <c r="UW56" i="8" s="1"/>
  <c r="UW23" i="8" s="1"/>
  <c r="UW24" i="8" s="1"/>
  <c r="UW25" i="8" s="1"/>
  <c r="UX20" i="8" l="1"/>
  <c r="UX28" i="8"/>
  <c r="UW58" i="8"/>
  <c r="UW57" i="8"/>
  <c r="UX30" i="8" l="1"/>
  <c r="UX29" i="8"/>
  <c r="UX34" i="8"/>
  <c r="UX35" i="8" s="1"/>
  <c r="UX41" i="8" s="1"/>
  <c r="UX42" i="8" s="1"/>
  <c r="UX43" i="8" l="1"/>
  <c r="UX44" i="8"/>
  <c r="UX48" i="8"/>
  <c r="UX49" i="8" s="1"/>
  <c r="UX36" i="8"/>
  <c r="UX37" i="8"/>
  <c r="UX55" i="8" l="1"/>
  <c r="UX56" i="8" s="1"/>
  <c r="UX23" i="8" s="1"/>
  <c r="UX24" i="8" s="1"/>
  <c r="UX25" i="8" s="1"/>
  <c r="UX51" i="8"/>
  <c r="UX50" i="8"/>
  <c r="UY20" i="8" l="1"/>
  <c r="UY28" i="8"/>
  <c r="UX58" i="8"/>
  <c r="UX57" i="8"/>
  <c r="UY30" i="8" l="1"/>
  <c r="UY29" i="8"/>
  <c r="UY34" i="8"/>
  <c r="UY35" i="8" s="1"/>
  <c r="UY41" i="8" s="1"/>
  <c r="UY42" i="8" s="1"/>
  <c r="UY48" i="8" l="1"/>
  <c r="UY49" i="8" s="1"/>
  <c r="UY55" i="8" s="1"/>
  <c r="UY56" i="8" s="1"/>
  <c r="UY43" i="8"/>
  <c r="UY44" i="8"/>
  <c r="UY36" i="8"/>
  <c r="UY37" i="8"/>
  <c r="UY23" i="8" l="1"/>
  <c r="UY24" i="8" s="1"/>
  <c r="UY25" i="8" s="1"/>
  <c r="UY58" i="8"/>
  <c r="UY57" i="8"/>
  <c r="UY50" i="8"/>
  <c r="UY51" i="8"/>
  <c r="UZ20" i="8" l="1"/>
  <c r="UZ28" i="8"/>
  <c r="UZ30" i="8" l="1"/>
  <c r="UZ29" i="8"/>
  <c r="UZ34" i="8"/>
  <c r="UZ35" i="8" s="1"/>
  <c r="UZ41" i="8" s="1"/>
  <c r="UZ42" i="8" s="1"/>
  <c r="UZ43" i="8" l="1"/>
  <c r="UZ44" i="8"/>
  <c r="UZ48" i="8"/>
  <c r="UZ49" i="8" s="1"/>
  <c r="UZ37" i="8"/>
  <c r="UZ36" i="8"/>
  <c r="UZ55" i="8" l="1"/>
  <c r="UZ56" i="8" s="1"/>
  <c r="UZ51" i="8"/>
  <c r="UZ50" i="8"/>
  <c r="UZ58" i="8" l="1"/>
  <c r="UZ57" i="8"/>
  <c r="UZ23" i="8"/>
  <c r="UZ24" i="8" s="1"/>
  <c r="UZ25" i="8" s="1"/>
  <c r="VA20" i="8" l="1"/>
  <c r="VA28" i="8"/>
  <c r="VA29" i="8" l="1"/>
  <c r="VA30" i="8"/>
  <c r="VA34" i="8"/>
  <c r="VA35" i="8" s="1"/>
  <c r="VA41" i="8" l="1"/>
  <c r="VA42" i="8" s="1"/>
  <c r="VA37" i="8"/>
  <c r="VA36" i="8"/>
  <c r="VA48" i="8" l="1"/>
  <c r="VA49" i="8" s="1"/>
  <c r="VA55" i="8" s="1"/>
  <c r="VA56" i="8" s="1"/>
  <c r="VA43" i="8"/>
  <c r="VA44" i="8"/>
  <c r="VA23" i="8" l="1"/>
  <c r="VA24" i="8" s="1"/>
  <c r="VA25" i="8" s="1"/>
  <c r="VA57" i="8"/>
  <c r="VA58" i="8"/>
  <c r="VA51" i="8"/>
  <c r="VA50" i="8"/>
  <c r="VB20" i="8" l="1"/>
  <c r="VB28" i="8"/>
  <c r="VB30" i="8" l="1"/>
  <c r="VB34" i="8"/>
  <c r="VB35" i="8" s="1"/>
  <c r="VB41" i="8" s="1"/>
  <c r="VB42" i="8" s="1"/>
  <c r="VB29" i="8"/>
  <c r="VB48" i="8" l="1"/>
  <c r="VB49" i="8" s="1"/>
  <c r="VB55" i="8" s="1"/>
  <c r="VB56" i="8" s="1"/>
  <c r="VB43" i="8"/>
  <c r="VB44" i="8"/>
  <c r="VB37" i="8"/>
  <c r="VB36" i="8"/>
  <c r="VB23" i="8" l="1"/>
  <c r="VB24" i="8" s="1"/>
  <c r="VB25" i="8" s="1"/>
  <c r="VB57" i="8"/>
  <c r="VB58" i="8"/>
  <c r="VB50" i="8"/>
  <c r="VB51" i="8"/>
  <c r="VC20" i="8" l="1"/>
  <c r="VC28" i="8"/>
  <c r="VC30" i="8" l="1"/>
  <c r="VC34" i="8"/>
  <c r="VC35" i="8" s="1"/>
  <c r="VC41" i="8" s="1"/>
  <c r="VC42" i="8" s="1"/>
  <c r="VC29" i="8"/>
  <c r="VC43" i="8" l="1"/>
  <c r="VC44" i="8"/>
  <c r="VC48" i="8"/>
  <c r="VC49" i="8" s="1"/>
  <c r="VC37" i="8"/>
  <c r="VC36" i="8"/>
  <c r="VC55" i="8" l="1"/>
  <c r="VC56" i="8" s="1"/>
  <c r="VC23" i="8" s="1"/>
  <c r="VC24" i="8" s="1"/>
  <c r="VC25" i="8" s="1"/>
  <c r="VC50" i="8"/>
  <c r="VC51" i="8"/>
  <c r="VD20" i="8" l="1"/>
  <c r="VD28" i="8"/>
  <c r="VC58" i="8"/>
  <c r="VC57" i="8"/>
  <c r="VD29" i="8" l="1"/>
  <c r="VD30" i="8"/>
  <c r="VD34" i="8"/>
  <c r="VD35" i="8" s="1"/>
  <c r="VD41" i="8" s="1"/>
  <c r="VD42" i="8" s="1"/>
  <c r="VD48" i="8" l="1"/>
  <c r="VD49" i="8" s="1"/>
  <c r="VD55" i="8" s="1"/>
  <c r="VD56" i="8" s="1"/>
  <c r="VD44" i="8"/>
  <c r="VD43" i="8"/>
  <c r="VD37" i="8"/>
  <c r="VD36" i="8"/>
  <c r="VD23" i="8" l="1"/>
  <c r="VD24" i="8" s="1"/>
  <c r="VD25" i="8" s="1"/>
  <c r="VD58" i="8"/>
  <c r="VD57" i="8"/>
  <c r="VD50" i="8"/>
  <c r="VD51" i="8"/>
  <c r="VE20" i="8" l="1"/>
  <c r="VE28" i="8"/>
  <c r="VE30" i="8" l="1"/>
  <c r="VE34" i="8"/>
  <c r="VE35" i="8" s="1"/>
  <c r="VE29" i="8"/>
  <c r="VE37" i="8" l="1"/>
  <c r="VE36" i="8"/>
  <c r="VE41" i="8"/>
  <c r="VE42" i="8" s="1"/>
  <c r="VE48" i="8" l="1"/>
  <c r="VE49" i="8" s="1"/>
  <c r="VE55" i="8" s="1"/>
  <c r="VE56" i="8" s="1"/>
  <c r="VE44" i="8"/>
  <c r="VE43" i="8"/>
  <c r="VE23" i="8" l="1"/>
  <c r="VE24" i="8" s="1"/>
  <c r="VE25" i="8" s="1"/>
  <c r="VE57" i="8"/>
  <c r="VE58" i="8"/>
  <c r="VE51" i="8"/>
  <c r="VE50" i="8"/>
  <c r="VF20" i="8" l="1"/>
  <c r="VF28" i="8"/>
  <c r="VF34" i="8" l="1"/>
  <c r="VF35" i="8" s="1"/>
  <c r="VF41" i="8" s="1"/>
  <c r="VF42" i="8" s="1"/>
  <c r="VF30" i="8"/>
  <c r="VF29" i="8"/>
  <c r="VF48" i="8" l="1"/>
  <c r="VF49" i="8" s="1"/>
  <c r="VF55" i="8" s="1"/>
  <c r="VF56" i="8" s="1"/>
  <c r="VF43" i="8"/>
  <c r="VF44" i="8"/>
  <c r="VF37" i="8"/>
  <c r="VF36" i="8"/>
  <c r="VF23" i="8" l="1"/>
  <c r="VF24" i="8" s="1"/>
  <c r="VF25" i="8" s="1"/>
  <c r="VF58" i="8"/>
  <c r="VF57" i="8"/>
  <c r="VF50" i="8"/>
  <c r="VF51" i="8"/>
  <c r="VG20" i="8" l="1"/>
  <c r="VG28" i="8"/>
  <c r="VG29" i="8" l="1"/>
  <c r="VG30" i="8"/>
  <c r="VG34" i="8"/>
  <c r="VG35" i="8" s="1"/>
  <c r="VG41" i="8" s="1"/>
  <c r="VG42" i="8" s="1"/>
  <c r="VG48" i="8" l="1"/>
  <c r="VG49" i="8" s="1"/>
  <c r="VG55" i="8" s="1"/>
  <c r="VG56" i="8" s="1"/>
  <c r="VG43" i="8"/>
  <c r="VG44" i="8"/>
  <c r="VG37" i="8"/>
  <c r="VG36" i="8"/>
  <c r="VG23" i="8" l="1"/>
  <c r="VG58" i="8"/>
  <c r="VG57" i="8"/>
  <c r="VG50" i="8"/>
  <c r="VG51" i="8"/>
  <c r="VG24" i="8" l="1"/>
  <c r="VG25" i="8" s="1"/>
  <c r="VH20" i="8" l="1"/>
  <c r="VH28" i="8"/>
  <c r="VH30" i="8" l="1"/>
  <c r="VH29" i="8"/>
  <c r="VH34" i="8"/>
  <c r="VH35" i="8" s="1"/>
  <c r="VH41" i="8" s="1"/>
  <c r="VH42" i="8" s="1"/>
  <c r="VH48" i="8" l="1"/>
  <c r="VH49" i="8" s="1"/>
  <c r="VH55" i="8" s="1"/>
  <c r="VH56" i="8" s="1"/>
  <c r="VH44" i="8"/>
  <c r="VH43" i="8"/>
  <c r="VH36" i="8"/>
  <c r="VH37" i="8"/>
  <c r="VH23" i="8" l="1"/>
  <c r="VH24" i="8" s="1"/>
  <c r="VH25" i="8" s="1"/>
  <c r="VH58" i="8"/>
  <c r="VH57" i="8"/>
  <c r="VH50" i="8"/>
  <c r="VH51" i="8"/>
  <c r="VI20" i="8" l="1"/>
  <c r="VI28" i="8"/>
  <c r="VI29" i="8" l="1"/>
  <c r="VI30" i="8"/>
  <c r="VI34" i="8"/>
  <c r="VI35" i="8" s="1"/>
  <c r="VI41" i="8" s="1"/>
  <c r="VI42" i="8" s="1"/>
  <c r="VI43" i="8" l="1"/>
  <c r="VI44" i="8"/>
  <c r="VI48" i="8"/>
  <c r="VI49" i="8" s="1"/>
  <c r="VI37" i="8"/>
  <c r="VI36" i="8"/>
  <c r="VI50" i="8" l="1"/>
  <c r="VI51" i="8"/>
  <c r="VI55" i="8"/>
  <c r="VI56" i="8" s="1"/>
  <c r="VI58" i="8" l="1"/>
  <c r="VI57" i="8"/>
  <c r="VI23" i="8"/>
  <c r="VI24" i="8" s="1"/>
  <c r="VI25" i="8" s="1"/>
  <c r="VJ28" i="8" s="1"/>
  <c r="VJ34" i="8" l="1"/>
  <c r="VJ29" i="8"/>
  <c r="VJ30" i="8"/>
  <c r="VJ20" i="8"/>
  <c r="VJ35" i="8"/>
  <c r="VJ36" i="8" l="1"/>
  <c r="VJ37" i="8"/>
  <c r="VJ41" i="8"/>
  <c r="VJ42" i="8" s="1"/>
  <c r="VJ43" i="8" l="1"/>
  <c r="VJ44" i="8"/>
  <c r="VJ48" i="8"/>
  <c r="VJ49" i="8" s="1"/>
  <c r="VJ55" i="8" s="1"/>
  <c r="VJ56" i="8" s="1"/>
  <c r="VJ57" i="8" l="1"/>
  <c r="VJ58" i="8"/>
  <c r="VJ50" i="8"/>
  <c r="VJ51" i="8"/>
  <c r="VJ23" i="8"/>
  <c r="VJ24" i="8" s="1"/>
  <c r="VJ25" i="8" s="1"/>
  <c r="VK28" i="8" s="1"/>
  <c r="VK29" i="8" l="1"/>
  <c r="VK30" i="8"/>
  <c r="VK34" i="8"/>
  <c r="VK20" i="8"/>
  <c r="VK35" i="8"/>
  <c r="VK37" i="8" l="1"/>
  <c r="VK36" i="8"/>
  <c r="VK41" i="8"/>
  <c r="VK42" i="8" s="1"/>
  <c r="VK48" i="8" l="1"/>
  <c r="VK49" i="8" s="1"/>
  <c r="VK44" i="8"/>
  <c r="VK43" i="8"/>
  <c r="VK50" i="8" l="1"/>
  <c r="VK51" i="8"/>
  <c r="VK55" i="8"/>
  <c r="VK56" i="8" s="1"/>
  <c r="VK23" i="8" l="1"/>
  <c r="VK24" i="8" s="1"/>
  <c r="VK25" i="8" s="1"/>
  <c r="VL28" i="8" s="1"/>
  <c r="VK58" i="8"/>
  <c r="VK57" i="8"/>
  <c r="VL29" i="8" l="1"/>
  <c r="VL34" i="8"/>
  <c r="VL30" i="8"/>
  <c r="VL20" i="8"/>
  <c r="VL35" i="8"/>
  <c r="VL37" i="8" l="1"/>
  <c r="VL36" i="8"/>
  <c r="VL41" i="8"/>
  <c r="VL42" i="8" s="1"/>
  <c r="VL48" i="8" l="1"/>
  <c r="VL49" i="8" s="1"/>
  <c r="VL55" i="8" s="1"/>
  <c r="VL56" i="8" s="1"/>
  <c r="VL44" i="8"/>
  <c r="VL43" i="8"/>
  <c r="VL58" i="8" l="1"/>
  <c r="VL57" i="8"/>
  <c r="VL23" i="8"/>
  <c r="VL24" i="8" s="1"/>
  <c r="VL25" i="8" s="1"/>
  <c r="VM28" i="8" s="1"/>
  <c r="VL50" i="8"/>
  <c r="VL51" i="8"/>
  <c r="VM29" i="8" l="1"/>
  <c r="VM30" i="8"/>
  <c r="VM34" i="8"/>
  <c r="VM20" i="8"/>
  <c r="VM35" i="8"/>
  <c r="VM37" i="8" l="1"/>
  <c r="VM36" i="8"/>
  <c r="VM41" i="8"/>
  <c r="VM42" i="8" s="1"/>
  <c r="VM48" i="8" l="1"/>
  <c r="VM49" i="8" s="1"/>
  <c r="VM43" i="8"/>
  <c r="VM44" i="8"/>
  <c r="VM55" i="8" l="1"/>
  <c r="VM56" i="8" s="1"/>
  <c r="VM23" i="8" s="1"/>
  <c r="VM24" i="8" s="1"/>
  <c r="VM25" i="8" s="1"/>
  <c r="VN28" i="8" s="1"/>
  <c r="VM50" i="8"/>
  <c r="VM51" i="8"/>
  <c r="VN30" i="8" l="1"/>
  <c r="VN34" i="8"/>
  <c r="VN29" i="8"/>
  <c r="VN20" i="8"/>
  <c r="VN35" i="8"/>
  <c r="VM58" i="8"/>
  <c r="VM57" i="8"/>
  <c r="VN37" i="8" l="1"/>
  <c r="VN36" i="8"/>
  <c r="VN41" i="8"/>
  <c r="VN42" i="8" s="1"/>
  <c r="VN48" i="8" l="1"/>
  <c r="VN49" i="8" s="1"/>
  <c r="VN43" i="8"/>
  <c r="VN44" i="8"/>
  <c r="VN51" i="8" l="1"/>
  <c r="VN50" i="8"/>
  <c r="VN55" i="8"/>
  <c r="VN56" i="8" s="1"/>
  <c r="VN23" i="8" s="1"/>
  <c r="VN24" i="8" s="1"/>
  <c r="VN25" i="8" s="1"/>
  <c r="VO28" i="8" s="1"/>
  <c r="VO30" i="8" l="1"/>
  <c r="VO29" i="8"/>
  <c r="VO34" i="8"/>
  <c r="VO20" i="8"/>
  <c r="VO35" i="8"/>
  <c r="VN57" i="8"/>
  <c r="VN58" i="8"/>
  <c r="VO37" i="8" l="1"/>
  <c r="VO36" i="8"/>
  <c r="VO41" i="8"/>
  <c r="VO42" i="8" s="1"/>
  <c r="VO48" i="8" l="1"/>
  <c r="VO49" i="8" s="1"/>
  <c r="VO43" i="8"/>
  <c r="VO44" i="8"/>
  <c r="VO51" i="8" l="1"/>
  <c r="VO50" i="8"/>
  <c r="VO55" i="8"/>
  <c r="VO56" i="8" s="1"/>
  <c r="VO23" i="8" l="1"/>
  <c r="VO24" i="8" s="1"/>
  <c r="VO25" i="8" s="1"/>
  <c r="VP28" i="8" s="1"/>
  <c r="VO57" i="8"/>
  <c r="VO58" i="8"/>
  <c r="VP30" i="8" l="1"/>
  <c r="VP34" i="8"/>
  <c r="VP35" i="8" s="1"/>
  <c r="VP29" i="8"/>
  <c r="VP20" i="8"/>
  <c r="VP37" i="8" l="1"/>
  <c r="VP36" i="8"/>
  <c r="VP41" i="8"/>
  <c r="VP42" i="8" s="1"/>
  <c r="VP48" i="8" l="1"/>
  <c r="VP49" i="8" s="1"/>
  <c r="VP44" i="8"/>
  <c r="VP43" i="8"/>
  <c r="VP51" i="8" l="1"/>
  <c r="VP50" i="8"/>
  <c r="VP55" i="8"/>
  <c r="VP56" i="8" s="1"/>
  <c r="VP23" i="8" l="1"/>
  <c r="VP24" i="8" s="1"/>
  <c r="VP25" i="8" s="1"/>
  <c r="VQ28" i="8" s="1"/>
  <c r="VP57" i="8"/>
  <c r="VP58" i="8"/>
  <c r="VQ29" i="8" l="1"/>
  <c r="VQ34" i="8"/>
  <c r="VQ30" i="8"/>
  <c r="VQ20" i="8"/>
  <c r="VQ35" i="8"/>
  <c r="VQ37" i="8" l="1"/>
  <c r="VQ36" i="8"/>
  <c r="VQ41" i="8"/>
  <c r="VQ42" i="8" s="1"/>
  <c r="VQ48" i="8" l="1"/>
  <c r="VQ49" i="8" s="1"/>
  <c r="VQ55" i="8" s="1"/>
  <c r="VQ56" i="8" s="1"/>
  <c r="VQ44" i="8"/>
  <c r="VQ43" i="8"/>
  <c r="VQ23" i="8" l="1"/>
  <c r="VQ24" i="8" s="1"/>
  <c r="VQ25" i="8" s="1"/>
  <c r="VR28" i="8" s="1"/>
  <c r="VQ58" i="8"/>
  <c r="VQ57" i="8"/>
  <c r="VQ51" i="8"/>
  <c r="VQ50" i="8"/>
  <c r="VR30" i="8" l="1"/>
  <c r="VR34" i="8"/>
  <c r="VR29" i="8"/>
  <c r="VR20" i="8"/>
  <c r="VR35" i="8"/>
  <c r="VR37" i="8" l="1"/>
  <c r="VR41" i="8"/>
  <c r="VR42" i="8" s="1"/>
  <c r="VR36" i="8"/>
  <c r="VR48" i="8" l="1"/>
  <c r="VR49" i="8" s="1"/>
  <c r="VR43" i="8"/>
  <c r="VR44" i="8"/>
  <c r="VR50" i="8" l="1"/>
  <c r="VR51" i="8"/>
  <c r="VR55" i="8"/>
  <c r="VR56" i="8" s="1"/>
  <c r="VR23" i="8" l="1"/>
  <c r="VR24" i="8" s="1"/>
  <c r="VR25" i="8" s="1"/>
  <c r="VS28" i="8" s="1"/>
  <c r="VR57" i="8"/>
  <c r="VR58" i="8"/>
  <c r="VS30" i="8" l="1"/>
  <c r="VS29" i="8"/>
  <c r="VS34" i="8"/>
  <c r="VS20" i="8"/>
  <c r="VS35" i="8"/>
  <c r="VS36" i="8" l="1"/>
  <c r="VS37" i="8"/>
  <c r="VS41" i="8"/>
  <c r="VS42" i="8" s="1"/>
  <c r="VS48" i="8" s="1"/>
  <c r="VS49" i="8" s="1"/>
  <c r="VS50" i="8" l="1"/>
  <c r="VS51" i="8"/>
  <c r="VS44" i="8"/>
  <c r="VS43" i="8"/>
  <c r="VS55" i="8"/>
  <c r="VS56" i="8" s="1"/>
  <c r="VS58" i="8" l="1"/>
  <c r="VS57" i="8"/>
  <c r="VS23" i="8"/>
  <c r="VS24" i="8" s="1"/>
  <c r="VS25" i="8" s="1"/>
  <c r="VT28" i="8" s="1"/>
  <c r="VT30" i="8" l="1"/>
  <c r="VT29" i="8"/>
  <c r="VT34" i="8"/>
  <c r="VT20" i="8"/>
  <c r="VT35" i="8"/>
  <c r="VT36" i="8" l="1"/>
  <c r="VT37" i="8"/>
  <c r="VT41" i="8"/>
  <c r="VT42" i="8" s="1"/>
  <c r="VT48" i="8" s="1"/>
  <c r="VT49" i="8" s="1"/>
  <c r="VT50" i="8" l="1"/>
  <c r="VT51" i="8"/>
  <c r="VT44" i="8"/>
  <c r="VT43" i="8"/>
  <c r="VT55" i="8"/>
  <c r="VT56" i="8" s="1"/>
  <c r="VT23" i="8" s="1"/>
  <c r="VT24" i="8" s="1"/>
  <c r="VT25" i="8" s="1"/>
  <c r="VU28" i="8" s="1"/>
  <c r="VU30" i="8" l="1"/>
  <c r="VU29" i="8"/>
  <c r="VU34" i="8"/>
  <c r="VU20" i="8"/>
  <c r="VU35" i="8"/>
  <c r="VT58" i="8"/>
  <c r="VT57" i="8"/>
  <c r="VU36" i="8" l="1"/>
  <c r="VU37" i="8"/>
  <c r="VU41" i="8"/>
  <c r="VU42" i="8" s="1"/>
  <c r="VU48" i="8" l="1"/>
  <c r="VU49" i="8" s="1"/>
  <c r="VU44" i="8"/>
  <c r="VU43" i="8"/>
  <c r="VU51" i="8" l="1"/>
  <c r="VU50" i="8"/>
  <c r="VU55" i="8"/>
  <c r="VU56" i="8" s="1"/>
  <c r="VU23" i="8" s="1"/>
  <c r="VU24" i="8" s="1"/>
  <c r="VU25" i="8" s="1"/>
  <c r="VV28" i="8" s="1"/>
  <c r="VV30" i="8" l="1"/>
  <c r="VV29" i="8"/>
  <c r="VV34" i="8"/>
  <c r="VV35" i="8" s="1"/>
  <c r="VV20" i="8"/>
  <c r="VU58" i="8"/>
  <c r="VU57" i="8"/>
  <c r="VV37" i="8" l="1"/>
  <c r="VV36" i="8"/>
  <c r="VV41" i="8"/>
  <c r="VV42" i="8" s="1"/>
  <c r="VV48" i="8" l="1"/>
  <c r="VV49" i="8" s="1"/>
  <c r="VV43" i="8"/>
  <c r="VV44" i="8"/>
  <c r="VV50" i="8" l="1"/>
  <c r="VV51" i="8"/>
  <c r="VV55" i="8"/>
  <c r="VV56" i="8" s="1"/>
  <c r="VV23" i="8" l="1"/>
  <c r="VV24" i="8" s="1"/>
  <c r="VV25" i="8" s="1"/>
  <c r="VW28" i="8" s="1"/>
  <c r="VV58" i="8"/>
  <c r="VV57" i="8"/>
  <c r="VW30" i="8" l="1"/>
  <c r="VW29" i="8"/>
  <c r="VW34" i="8"/>
  <c r="VW20" i="8"/>
  <c r="VW35" i="8"/>
  <c r="VW36" i="8" l="1"/>
  <c r="VW37" i="8"/>
  <c r="VW41" i="8"/>
  <c r="VW42" i="8" s="1"/>
  <c r="VW48" i="8" l="1"/>
  <c r="VW49" i="8" s="1"/>
  <c r="VW43" i="8"/>
  <c r="VW44" i="8"/>
  <c r="VW51" i="8" l="1"/>
  <c r="VW50" i="8"/>
  <c r="VW55" i="8"/>
  <c r="VW56" i="8" s="1"/>
  <c r="VW58" i="8" l="1"/>
  <c r="VW57" i="8"/>
  <c r="VW23" i="8"/>
  <c r="VW24" i="8" s="1"/>
  <c r="VW25" i="8" s="1"/>
  <c r="VX28" i="8" s="1"/>
  <c r="VX30" i="8" l="1"/>
  <c r="VX29" i="8"/>
  <c r="VX34" i="8"/>
  <c r="VX20" i="8"/>
  <c r="VX35" i="8"/>
  <c r="VX41" i="8" l="1"/>
  <c r="VX42" i="8" s="1"/>
  <c r="VX36" i="8"/>
  <c r="VX37" i="8"/>
  <c r="VX48" i="8" l="1"/>
  <c r="VX49" i="8" s="1"/>
  <c r="VX44" i="8"/>
  <c r="VX43" i="8"/>
  <c r="VX51" i="8" l="1"/>
  <c r="VX50" i="8"/>
  <c r="VX55" i="8"/>
  <c r="VX56" i="8" s="1"/>
  <c r="VX23" i="8" l="1"/>
  <c r="VX24" i="8" s="1"/>
  <c r="VX25" i="8" s="1"/>
  <c r="VY28" i="8" s="1"/>
  <c r="VX58" i="8"/>
  <c r="VX57" i="8"/>
  <c r="VY29" i="8" l="1"/>
  <c r="VY34" i="8"/>
  <c r="VY30" i="8"/>
  <c r="VY20" i="8"/>
  <c r="VY35" i="8"/>
  <c r="VY41" i="8" l="1"/>
  <c r="VY42" i="8" s="1"/>
  <c r="VY37" i="8"/>
  <c r="VY36" i="8"/>
  <c r="VY48" i="8" l="1"/>
  <c r="VY49" i="8" s="1"/>
  <c r="VY43" i="8"/>
  <c r="VY44" i="8"/>
  <c r="VY50" i="8" l="1"/>
  <c r="VY51" i="8"/>
  <c r="VY55" i="8"/>
  <c r="VY56" i="8" s="1"/>
  <c r="VY23" i="8" l="1"/>
  <c r="VY24" i="8" s="1"/>
  <c r="VY25" i="8" s="1"/>
  <c r="VZ28" i="8" s="1"/>
  <c r="VY57" i="8"/>
  <c r="VY58" i="8"/>
  <c r="VZ30" i="8" l="1"/>
  <c r="VZ34" i="8"/>
  <c r="VZ29" i="8"/>
  <c r="VZ20" i="8"/>
  <c r="VZ35" i="8"/>
  <c r="VZ37" i="8" l="1"/>
  <c r="VZ41" i="8"/>
  <c r="VZ42" i="8" s="1"/>
  <c r="VZ36" i="8"/>
  <c r="VZ48" i="8" l="1"/>
  <c r="VZ49" i="8" s="1"/>
  <c r="VZ43" i="8"/>
  <c r="VZ44" i="8"/>
  <c r="VZ50" i="8" l="1"/>
  <c r="VZ51" i="8"/>
  <c r="VZ55" i="8"/>
  <c r="VZ56" i="8" s="1"/>
  <c r="VZ23" i="8" l="1"/>
  <c r="VZ24" i="8" s="1"/>
  <c r="VZ25" i="8" s="1"/>
  <c r="WA28" i="8" s="1"/>
  <c r="VZ57" i="8"/>
  <c r="VZ58" i="8"/>
  <c r="WA29" i="8" l="1"/>
  <c r="WA34" i="8"/>
  <c r="WA30" i="8"/>
  <c r="WA20" i="8"/>
  <c r="WA35" i="8"/>
  <c r="WA36" i="8" l="1"/>
  <c r="WA41" i="8"/>
  <c r="WA42" i="8" s="1"/>
  <c r="WA37" i="8"/>
  <c r="WA43" i="8" l="1"/>
  <c r="WA44" i="8"/>
  <c r="WA48" i="8"/>
  <c r="WA49" i="8" s="1"/>
  <c r="WA55" i="8" l="1"/>
  <c r="WA56" i="8" s="1"/>
  <c r="WA23" i="8" s="1"/>
  <c r="WA24" i="8" s="1"/>
  <c r="WA25" i="8" s="1"/>
  <c r="WB28" i="8" s="1"/>
  <c r="WA51" i="8"/>
  <c r="WA50" i="8"/>
  <c r="WB29" i="8" l="1"/>
  <c r="WB34" i="8"/>
  <c r="WB30" i="8"/>
  <c r="WB20" i="8"/>
  <c r="WB35" i="8"/>
  <c r="WA58" i="8"/>
  <c r="WA57" i="8"/>
  <c r="WB37" i="8" l="1"/>
  <c r="WB36" i="8"/>
  <c r="WB41" i="8"/>
  <c r="WB42" i="8" s="1"/>
  <c r="WB48" i="8" l="1"/>
  <c r="WB49" i="8" s="1"/>
  <c r="WB43" i="8"/>
  <c r="WB44" i="8"/>
  <c r="WB50" i="8" l="1"/>
  <c r="WB51" i="8"/>
  <c r="WB55" i="8"/>
  <c r="WB56" i="8" s="1"/>
  <c r="WB23" i="8" l="1"/>
  <c r="WB24" i="8" s="1"/>
  <c r="WB25" i="8" s="1"/>
  <c r="WC28" i="8" s="1"/>
  <c r="WB58" i="8"/>
  <c r="WB57" i="8"/>
  <c r="WC30" i="8" l="1"/>
  <c r="WC29" i="8"/>
  <c r="WC34" i="8"/>
  <c r="WC20" i="8"/>
  <c r="WC35" i="8"/>
  <c r="WC36" i="8" l="1"/>
  <c r="WC41" i="8"/>
  <c r="WC42" i="8" s="1"/>
  <c r="WC37" i="8"/>
  <c r="WC48" i="8" l="1"/>
  <c r="WC49" i="8" s="1"/>
  <c r="WC44" i="8"/>
  <c r="WC43" i="8"/>
  <c r="WC50" i="8" l="1"/>
  <c r="WC51" i="8"/>
  <c r="WC55" i="8"/>
  <c r="WC56" i="8" s="1"/>
  <c r="WC58" i="8" l="1"/>
  <c r="WC57" i="8"/>
  <c r="WC23" i="8"/>
  <c r="WC24" i="8" s="1"/>
  <c r="WC25" i="8" s="1"/>
  <c r="WD28" i="8" s="1"/>
  <c r="WD30" i="8" l="1"/>
  <c r="WD34" i="8"/>
  <c r="WD29" i="8"/>
  <c r="WD20" i="8"/>
  <c r="WD35" i="8"/>
  <c r="WD37" i="8" l="1"/>
  <c r="WD36" i="8"/>
  <c r="WD41" i="8"/>
  <c r="WD42" i="8" s="1"/>
  <c r="WD48" i="8" s="1"/>
  <c r="WD49" i="8" s="1"/>
  <c r="WD55" i="8" l="1"/>
  <c r="WD56" i="8" s="1"/>
  <c r="WD23" i="8" s="1"/>
  <c r="WD24" i="8" s="1"/>
  <c r="WD25" i="8" s="1"/>
  <c r="WE28" i="8" s="1"/>
  <c r="WD50" i="8"/>
  <c r="WD51" i="8"/>
  <c r="WD43" i="8"/>
  <c r="WD44" i="8"/>
  <c r="WE29" i="8" l="1"/>
  <c r="WE34" i="8"/>
  <c r="WE30" i="8"/>
  <c r="WE20" i="8"/>
  <c r="WE35" i="8"/>
  <c r="WD58" i="8"/>
  <c r="WD57" i="8"/>
  <c r="WE41" i="8" l="1"/>
  <c r="WE42" i="8" s="1"/>
  <c r="WE48" i="8" s="1"/>
  <c r="WE49" i="8" s="1"/>
  <c r="WE36" i="8"/>
  <c r="WE37" i="8"/>
  <c r="WE55" i="8" l="1"/>
  <c r="WE56" i="8" s="1"/>
  <c r="WE23" i="8" s="1"/>
  <c r="WE24" i="8" s="1"/>
  <c r="WE25" i="8" s="1"/>
  <c r="WF28" i="8" s="1"/>
  <c r="WE51" i="8"/>
  <c r="WE50" i="8"/>
  <c r="WE44" i="8"/>
  <c r="WE43" i="8"/>
  <c r="WF30" i="8" l="1"/>
  <c r="WF29" i="8"/>
  <c r="WF34" i="8"/>
  <c r="WF20" i="8"/>
  <c r="WF35" i="8"/>
  <c r="WE58" i="8"/>
  <c r="WE57" i="8"/>
  <c r="WF36" i="8" l="1"/>
  <c r="WF37" i="8"/>
  <c r="WF41" i="8"/>
  <c r="WF42" i="8" s="1"/>
  <c r="WF48" i="8" s="1"/>
  <c r="WF49" i="8" s="1"/>
  <c r="WF55" i="8" l="1"/>
  <c r="WF56" i="8" s="1"/>
  <c r="WF23" i="8" s="1"/>
  <c r="WF24" i="8" s="1"/>
  <c r="WF25" i="8" s="1"/>
  <c r="WG28" i="8" s="1"/>
  <c r="WF50" i="8"/>
  <c r="WF51" i="8"/>
  <c r="WF43" i="8"/>
  <c r="WF44" i="8"/>
  <c r="WG30" i="8" l="1"/>
  <c r="WG29" i="8"/>
  <c r="WG34" i="8"/>
  <c r="WG20" i="8"/>
  <c r="WG35" i="8"/>
  <c r="WF57" i="8"/>
  <c r="WF58" i="8"/>
  <c r="WG37" i="8" l="1"/>
  <c r="WG41" i="8"/>
  <c r="WG42" i="8" s="1"/>
  <c r="WG48" i="8" s="1"/>
  <c r="WG49" i="8" s="1"/>
  <c r="WG36" i="8"/>
  <c r="WG51" i="8" l="1"/>
  <c r="WG50" i="8"/>
  <c r="WG55" i="8"/>
  <c r="WG56" i="8" s="1"/>
  <c r="WG43" i="8"/>
  <c r="WG44" i="8"/>
  <c r="WG58" i="8" l="1"/>
  <c r="WG57" i="8"/>
  <c r="WG23" i="8"/>
  <c r="WG24" i="8" s="1"/>
  <c r="WG25" i="8" s="1"/>
  <c r="WH28" i="8" l="1"/>
  <c r="WH20" i="8"/>
  <c r="WH30" i="8" l="1"/>
  <c r="WH34" i="8"/>
  <c r="WH35" i="8" s="1"/>
  <c r="WH41" i="8" s="1"/>
  <c r="WH42" i="8" s="1"/>
  <c r="WH29" i="8"/>
  <c r="WH43" i="8" l="1"/>
  <c r="WH44" i="8"/>
  <c r="WH48" i="8"/>
  <c r="WH49" i="8" s="1"/>
  <c r="WH36" i="8"/>
  <c r="WH37" i="8"/>
  <c r="WH55" i="8" l="1"/>
  <c r="WH56" i="8" s="1"/>
  <c r="WH23" i="8" s="1"/>
  <c r="WH24" i="8" s="1"/>
  <c r="WH25" i="8" s="1"/>
  <c r="WI28" i="8" s="1"/>
  <c r="WH50" i="8"/>
  <c r="WH51" i="8"/>
  <c r="WI29" i="8" l="1"/>
  <c r="WI30" i="8"/>
  <c r="WI34" i="8"/>
  <c r="WI20" i="8"/>
  <c r="WI35" i="8"/>
  <c r="WH57" i="8"/>
  <c r="WH58" i="8"/>
  <c r="WI37" i="8" l="1"/>
  <c r="WI36" i="8"/>
  <c r="WI41" i="8"/>
  <c r="WI42" i="8" s="1"/>
  <c r="WI44" i="8" l="1"/>
  <c r="WI43" i="8"/>
  <c r="WI48" i="8"/>
  <c r="WI49" i="8" s="1"/>
  <c r="WI55" i="8" l="1"/>
  <c r="WI56" i="8" s="1"/>
  <c r="WI23" i="8" s="1"/>
  <c r="WI24" i="8" s="1"/>
  <c r="WI25" i="8" s="1"/>
  <c r="WJ28" i="8" s="1"/>
  <c r="WI50" i="8"/>
  <c r="WI51" i="8"/>
  <c r="WJ34" i="8" l="1"/>
  <c r="WJ29" i="8"/>
  <c r="WJ30" i="8"/>
  <c r="WJ20" i="8"/>
  <c r="WJ35" i="8"/>
  <c r="WI57" i="8"/>
  <c r="WI58" i="8"/>
  <c r="WJ41" i="8" l="1"/>
  <c r="WJ42" i="8" s="1"/>
  <c r="WJ37" i="8"/>
  <c r="WJ36" i="8"/>
  <c r="WJ43" i="8" l="1"/>
  <c r="WJ44" i="8"/>
  <c r="WJ48" i="8"/>
  <c r="WJ49" i="8" s="1"/>
  <c r="WJ55" i="8" l="1"/>
  <c r="WJ56" i="8" s="1"/>
  <c r="WJ23" i="8" s="1"/>
  <c r="WJ24" i="8" s="1"/>
  <c r="WJ25" i="8" s="1"/>
  <c r="WK28" i="8" s="1"/>
  <c r="WJ51" i="8"/>
  <c r="WJ50" i="8"/>
  <c r="WK29" i="8" l="1"/>
  <c r="WK30" i="8"/>
  <c r="WK34" i="8"/>
  <c r="WK20" i="8"/>
  <c r="WK35" i="8"/>
  <c r="WJ57" i="8"/>
  <c r="WJ58" i="8"/>
  <c r="WK41" i="8" l="1"/>
  <c r="WK42" i="8" s="1"/>
  <c r="WK48" i="8" s="1"/>
  <c r="WK49" i="8" s="1"/>
  <c r="WK37" i="8"/>
  <c r="WK36" i="8"/>
  <c r="WK55" i="8" l="1"/>
  <c r="WK56" i="8" s="1"/>
  <c r="WK23" i="8" s="1"/>
  <c r="WK24" i="8" s="1"/>
  <c r="WK25" i="8" s="1"/>
  <c r="WL28" i="8" s="1"/>
  <c r="WK51" i="8"/>
  <c r="WK50" i="8"/>
  <c r="WK43" i="8"/>
  <c r="WK44" i="8"/>
  <c r="WL34" i="8" l="1"/>
  <c r="WL30" i="8"/>
  <c r="WL29" i="8"/>
  <c r="WL20" i="8"/>
  <c r="WL35" i="8"/>
  <c r="WK58" i="8"/>
  <c r="WK57" i="8"/>
  <c r="WL41" i="8" l="1"/>
  <c r="WL42" i="8" s="1"/>
  <c r="WL36" i="8"/>
  <c r="WL37" i="8"/>
  <c r="WL48" i="8" l="1"/>
  <c r="WL49" i="8" s="1"/>
  <c r="WL43" i="8"/>
  <c r="WL44" i="8"/>
  <c r="WL51" i="8" l="1"/>
  <c r="WL50" i="8"/>
  <c r="WL55" i="8"/>
  <c r="WL56" i="8" s="1"/>
  <c r="WL23" i="8" l="1"/>
  <c r="WL24" i="8" s="1"/>
  <c r="WL25" i="8" s="1"/>
  <c r="WM28" i="8" s="1"/>
  <c r="WL58" i="8"/>
  <c r="WL57" i="8"/>
  <c r="WM30" i="8" l="1"/>
  <c r="WM29" i="8"/>
  <c r="WM34" i="8"/>
  <c r="WM20" i="8"/>
  <c r="WM35" i="8"/>
  <c r="WM41" i="8" l="1"/>
  <c r="WM42" i="8" s="1"/>
  <c r="WM36" i="8"/>
  <c r="WM37" i="8"/>
  <c r="WM48" i="8" l="1"/>
  <c r="WM49" i="8" s="1"/>
  <c r="WM43" i="8"/>
  <c r="WM44" i="8"/>
  <c r="WM50" i="8" l="1"/>
  <c r="WM51" i="8"/>
  <c r="WM55" i="8"/>
  <c r="WM56" i="8" s="1"/>
  <c r="WM23" i="8" s="1"/>
  <c r="WM24" i="8" s="1"/>
  <c r="WM25" i="8" s="1"/>
  <c r="WN28" i="8" s="1"/>
  <c r="WN30" i="8" l="1"/>
  <c r="WN34" i="8"/>
  <c r="WN29" i="8"/>
  <c r="WN20" i="8"/>
  <c r="WN35" i="8"/>
  <c r="WM58" i="8"/>
  <c r="WM57" i="8"/>
  <c r="WN41" i="8" l="1"/>
  <c r="WN42" i="8" s="1"/>
  <c r="WN37" i="8"/>
  <c r="WN36" i="8"/>
  <c r="WN48" i="8" l="1"/>
  <c r="WN49" i="8" s="1"/>
  <c r="WN43" i="8"/>
  <c r="WN44" i="8"/>
  <c r="WN51" i="8" l="1"/>
  <c r="WN50" i="8"/>
  <c r="WN55" i="8"/>
  <c r="WN56" i="8" s="1"/>
  <c r="WN23" i="8" l="1"/>
  <c r="WN24" i="8" s="1"/>
  <c r="WN25" i="8" s="1"/>
  <c r="WO28" i="8" s="1"/>
  <c r="WN57" i="8"/>
  <c r="WN58" i="8"/>
  <c r="WO34" i="8" l="1"/>
  <c r="WO35" i="8" s="1"/>
  <c r="WO30" i="8"/>
  <c r="WO29" i="8"/>
  <c r="WO20" i="8"/>
  <c r="WO41" i="8" l="1"/>
  <c r="WO42" i="8" s="1"/>
  <c r="WO48" i="8" s="1"/>
  <c r="WO49" i="8" s="1"/>
  <c r="WO37" i="8"/>
  <c r="WO36" i="8"/>
  <c r="WO55" i="8" l="1"/>
  <c r="WO56" i="8" s="1"/>
  <c r="WO23" i="8" s="1"/>
  <c r="WO24" i="8" s="1"/>
  <c r="WO25" i="8" s="1"/>
  <c r="WP28" i="8" s="1"/>
  <c r="WO51" i="8"/>
  <c r="WO50" i="8"/>
  <c r="WO43" i="8"/>
  <c r="WO44" i="8"/>
  <c r="WP34" i="8" l="1"/>
  <c r="WP29" i="8"/>
  <c r="WP30" i="8"/>
  <c r="WP20" i="8"/>
  <c r="WP35" i="8"/>
  <c r="WO57" i="8"/>
  <c r="WO58" i="8"/>
  <c r="WP41" i="8" l="1"/>
  <c r="WP42" i="8" s="1"/>
  <c r="WP37" i="8"/>
  <c r="WP36" i="8"/>
  <c r="WP48" i="8" l="1"/>
  <c r="WP49" i="8" s="1"/>
  <c r="WP43" i="8"/>
  <c r="WP44" i="8"/>
  <c r="WP55" i="8" l="1"/>
  <c r="WP56" i="8" s="1"/>
  <c r="WP23" i="8" s="1"/>
  <c r="WP24" i="8" s="1"/>
  <c r="WP25" i="8" s="1"/>
  <c r="WQ28" i="8" s="1"/>
  <c r="WP50" i="8"/>
  <c r="WP51" i="8"/>
  <c r="WQ29" i="8" l="1"/>
  <c r="WQ34" i="8"/>
  <c r="WQ30" i="8"/>
  <c r="WQ20" i="8"/>
  <c r="WQ35" i="8"/>
  <c r="WP58" i="8"/>
  <c r="WP57" i="8"/>
  <c r="WQ41" i="8" l="1"/>
  <c r="WQ42" i="8" s="1"/>
  <c r="WQ48" i="8" s="1"/>
  <c r="WQ49" i="8" s="1"/>
  <c r="WQ37" i="8"/>
  <c r="WQ36" i="8"/>
  <c r="WQ50" i="8" l="1"/>
  <c r="WQ51" i="8"/>
  <c r="WQ55" i="8"/>
  <c r="WQ56" i="8" s="1"/>
  <c r="WQ44" i="8"/>
  <c r="WQ43" i="8"/>
  <c r="WQ58" i="8" l="1"/>
  <c r="WQ57" i="8"/>
  <c r="WQ23" i="8"/>
  <c r="WQ24" i="8" s="1"/>
  <c r="WQ25" i="8" s="1"/>
  <c r="WR28" i="8" s="1"/>
  <c r="WR30" i="8" l="1"/>
  <c r="WR29" i="8"/>
  <c r="WR34" i="8"/>
  <c r="WR20" i="8"/>
  <c r="WR35" i="8"/>
  <c r="WR41" i="8" l="1"/>
  <c r="WR42" i="8" s="1"/>
  <c r="WR37" i="8"/>
  <c r="WR36" i="8"/>
  <c r="WR48" i="8" l="1"/>
  <c r="WR49" i="8" s="1"/>
  <c r="WR43" i="8"/>
  <c r="WR44" i="8"/>
  <c r="WR51" i="8" l="1"/>
  <c r="WR50" i="8"/>
  <c r="WR55" i="8"/>
  <c r="WR56" i="8" s="1"/>
  <c r="WR58" i="8" l="1"/>
  <c r="WR57" i="8"/>
  <c r="WR23" i="8"/>
  <c r="WR24" i="8" s="1"/>
  <c r="WR25" i="8" s="1"/>
  <c r="WS28" i="8" s="1"/>
  <c r="WS34" i="8" l="1"/>
  <c r="WS29" i="8"/>
  <c r="WS30" i="8"/>
  <c r="WS20" i="8"/>
  <c r="WS35" i="8"/>
  <c r="WS41" i="8" l="1"/>
  <c r="WS42" i="8" s="1"/>
  <c r="WS37" i="8"/>
  <c r="WS36" i="8"/>
  <c r="WS48" i="8" l="1"/>
  <c r="WS49" i="8" s="1"/>
  <c r="WS43" i="8"/>
  <c r="WS44" i="8"/>
  <c r="WS50" i="8" l="1"/>
  <c r="WS51" i="8"/>
  <c r="WS55" i="8"/>
  <c r="WS56" i="8" s="1"/>
  <c r="WS23" i="8" l="1"/>
  <c r="WS24" i="8" s="1"/>
  <c r="WS25" i="8" s="1"/>
  <c r="WT28" i="8" s="1"/>
  <c r="WS58" i="8"/>
  <c r="WS57" i="8"/>
  <c r="WT29" i="8" l="1"/>
  <c r="WT34" i="8"/>
  <c r="WT30" i="8"/>
  <c r="WT20" i="8"/>
  <c r="WT35" i="8"/>
  <c r="WT41" i="8" l="1"/>
  <c r="WT42" i="8" s="1"/>
  <c r="WT48" i="8" s="1"/>
  <c r="WT49" i="8" s="1"/>
  <c r="WT37" i="8"/>
  <c r="WT36" i="8"/>
  <c r="WT55" i="8" l="1"/>
  <c r="WT56" i="8" s="1"/>
  <c r="WT23" i="8" s="1"/>
  <c r="WT24" i="8" s="1"/>
  <c r="WT25" i="8" s="1"/>
  <c r="WU28" i="8" s="1"/>
  <c r="WT50" i="8"/>
  <c r="WT51" i="8"/>
  <c r="WT44" i="8"/>
  <c r="WT43" i="8"/>
  <c r="WU30" i="8" l="1"/>
  <c r="WU34" i="8"/>
  <c r="WU35" i="8" s="1"/>
  <c r="WU29" i="8"/>
  <c r="WU20" i="8"/>
  <c r="WT58" i="8"/>
  <c r="WT57" i="8"/>
  <c r="WU36" i="8" l="1"/>
  <c r="WU41" i="8"/>
  <c r="WU42" i="8" s="1"/>
  <c r="WU37" i="8"/>
  <c r="WU48" i="8" l="1"/>
  <c r="WU49" i="8" s="1"/>
  <c r="WU55" i="8" s="1"/>
  <c r="WU56" i="8" s="1"/>
  <c r="WU43" i="8"/>
  <c r="WU44" i="8"/>
  <c r="WU58" i="8" l="1"/>
  <c r="WU57" i="8"/>
  <c r="WU50" i="8"/>
  <c r="WU51" i="8"/>
  <c r="WU23" i="8"/>
  <c r="WU24" i="8" s="1"/>
  <c r="WU25" i="8" s="1"/>
  <c r="WV28" i="8" s="1"/>
  <c r="WV30" i="8" l="1"/>
  <c r="WV29" i="8"/>
  <c r="WV34" i="8"/>
  <c r="WV20" i="8"/>
  <c r="WV35" i="8"/>
  <c r="WV41" i="8" l="1"/>
  <c r="WV42" i="8" s="1"/>
  <c r="WV48" i="8" s="1"/>
  <c r="WV49" i="8" s="1"/>
  <c r="WV36" i="8"/>
  <c r="WV37" i="8"/>
  <c r="WV55" i="8" l="1"/>
  <c r="WV56" i="8" s="1"/>
  <c r="WV23" i="8" s="1"/>
  <c r="WV24" i="8" s="1"/>
  <c r="WV25" i="8" s="1"/>
  <c r="WW28" i="8" s="1"/>
  <c r="WV50" i="8"/>
  <c r="WV51" i="8"/>
  <c r="WV44" i="8"/>
  <c r="WV43" i="8"/>
  <c r="WW29" i="8" l="1"/>
  <c r="WW30" i="8"/>
  <c r="WW34" i="8"/>
  <c r="WW20" i="8"/>
  <c r="WW35" i="8"/>
  <c r="WV57" i="8"/>
  <c r="WV58" i="8"/>
  <c r="WW41" i="8" l="1"/>
  <c r="WW42" i="8" s="1"/>
  <c r="WW48" i="8" s="1"/>
  <c r="WW49" i="8" s="1"/>
  <c r="WW36" i="8"/>
  <c r="WW37" i="8"/>
  <c r="WW55" i="8" l="1"/>
  <c r="WW56" i="8" s="1"/>
  <c r="WW23" i="8" s="1"/>
  <c r="WW24" i="8" s="1"/>
  <c r="WW25" i="8" s="1"/>
  <c r="WX28" i="8" s="1"/>
  <c r="WW50" i="8"/>
  <c r="WW51" i="8"/>
  <c r="WW43" i="8"/>
  <c r="WW44" i="8"/>
  <c r="WX30" i="8" l="1"/>
  <c r="WX29" i="8"/>
  <c r="WX34" i="8"/>
  <c r="WX20" i="8"/>
  <c r="WX35" i="8"/>
  <c r="WW57" i="8"/>
  <c r="WW58" i="8"/>
  <c r="WX37" i="8" l="1"/>
  <c r="WX36" i="8"/>
  <c r="WX41" i="8"/>
  <c r="WX42" i="8" s="1"/>
  <c r="WX48" i="8" l="1"/>
  <c r="WX49" i="8" s="1"/>
  <c r="WX43" i="8"/>
  <c r="WX44" i="8"/>
  <c r="WX55" i="8" l="1"/>
  <c r="WX56" i="8" s="1"/>
  <c r="WX23" i="8" s="1"/>
  <c r="WX24" i="8" s="1"/>
  <c r="WX25" i="8" s="1"/>
  <c r="WY28" i="8" s="1"/>
  <c r="WX51" i="8"/>
  <c r="WX50" i="8"/>
  <c r="WY30" i="8" l="1"/>
  <c r="WY29" i="8"/>
  <c r="WY34" i="8"/>
  <c r="WY20" i="8"/>
  <c r="WY35" i="8"/>
  <c r="WX58" i="8"/>
  <c r="WX57" i="8"/>
  <c r="WY37" i="8" l="1"/>
  <c r="WY36" i="8"/>
  <c r="WY41" i="8"/>
  <c r="WY42" i="8" s="1"/>
  <c r="WY44" i="8" l="1"/>
  <c r="WY43" i="8"/>
  <c r="WY48" i="8"/>
  <c r="WY49" i="8" s="1"/>
  <c r="WY51" i="8" l="1"/>
  <c r="WY50" i="8"/>
  <c r="WY55" i="8"/>
  <c r="WY56" i="8" s="1"/>
  <c r="WY23" i="8" s="1"/>
  <c r="WY24" i="8" s="1"/>
  <c r="WY25" i="8" s="1"/>
  <c r="WZ28" i="8" s="1"/>
  <c r="WZ29" i="8" l="1"/>
  <c r="WZ34" i="8"/>
  <c r="WZ30" i="8"/>
  <c r="WZ20" i="8"/>
  <c r="WZ35" i="8"/>
  <c r="WY58" i="8"/>
  <c r="WY57" i="8"/>
  <c r="WZ41" i="8" l="1"/>
  <c r="WZ42" i="8" s="1"/>
  <c r="WZ37" i="8"/>
  <c r="WZ36" i="8"/>
  <c r="WZ48" i="8" l="1"/>
  <c r="WZ49" i="8" s="1"/>
  <c r="WZ43" i="8"/>
  <c r="WZ44" i="8"/>
  <c r="WZ55" i="8" l="1"/>
  <c r="WZ56" i="8" s="1"/>
  <c r="WZ23" i="8" s="1"/>
  <c r="WZ24" i="8" s="1"/>
  <c r="WZ25" i="8" s="1"/>
  <c r="XA28" i="8" s="1"/>
  <c r="WZ51" i="8"/>
  <c r="WZ50" i="8"/>
  <c r="XA30" i="8" l="1"/>
  <c r="XA29" i="8"/>
  <c r="XA34" i="8"/>
  <c r="XA20" i="8"/>
  <c r="XA35" i="8"/>
  <c r="WZ58" i="8"/>
  <c r="WZ57" i="8"/>
  <c r="XA41" i="8" l="1"/>
  <c r="XA42" i="8" s="1"/>
  <c r="XA48" i="8" s="1"/>
  <c r="XA49" i="8" s="1"/>
  <c r="XA37" i="8"/>
  <c r="XA36" i="8"/>
  <c r="XA55" i="8" l="1"/>
  <c r="XA56" i="8" s="1"/>
  <c r="XA23" i="8" s="1"/>
  <c r="XA24" i="8" s="1"/>
  <c r="XA25" i="8" s="1"/>
  <c r="XB28" i="8" s="1"/>
  <c r="XA50" i="8"/>
  <c r="XA51" i="8"/>
  <c r="XA44" i="8"/>
  <c r="XA43" i="8"/>
  <c r="XB34" i="8" l="1"/>
  <c r="XB29" i="8"/>
  <c r="XB30" i="8"/>
  <c r="XB20" i="8"/>
  <c r="XB35" i="8"/>
  <c r="XA58" i="8"/>
  <c r="XA57" i="8"/>
  <c r="XB41" i="8" l="1"/>
  <c r="XB42" i="8" s="1"/>
  <c r="XB48" i="8" s="1"/>
  <c r="XB49" i="8" s="1"/>
  <c r="XB37" i="8"/>
  <c r="XB36" i="8"/>
  <c r="XB51" i="8" l="1"/>
  <c r="XB50" i="8"/>
  <c r="XB55" i="8"/>
  <c r="XB56" i="8" s="1"/>
  <c r="XB43" i="8"/>
  <c r="XB44" i="8"/>
  <c r="XB23" i="8" l="1"/>
  <c r="XB24" i="8" s="1"/>
  <c r="XB25" i="8" s="1"/>
  <c r="XC28" i="8" s="1"/>
  <c r="XB58" i="8"/>
  <c r="XB57" i="8"/>
  <c r="XC29" i="8" l="1"/>
  <c r="XC30" i="8"/>
  <c r="XC34" i="8"/>
  <c r="XC20" i="8"/>
  <c r="XC35" i="8"/>
  <c r="XC41" i="8" l="1"/>
  <c r="XC42" i="8" s="1"/>
  <c r="XC48" i="8" s="1"/>
  <c r="XC49" i="8" s="1"/>
  <c r="XC36" i="8"/>
  <c r="XC37" i="8"/>
  <c r="XC55" i="8" l="1"/>
  <c r="XC56" i="8" s="1"/>
  <c r="XC23" i="8" s="1"/>
  <c r="XC24" i="8" s="1"/>
  <c r="XC25" i="8" s="1"/>
  <c r="XD28" i="8" s="1"/>
  <c r="XC51" i="8"/>
  <c r="XC50" i="8"/>
  <c r="XC43" i="8"/>
  <c r="XC44" i="8"/>
  <c r="XD30" i="8" l="1"/>
  <c r="XD29" i="8"/>
  <c r="XD34" i="8"/>
  <c r="XD20" i="8"/>
  <c r="H3" i="8" s="1"/>
  <c r="XD35" i="8"/>
  <c r="XC57" i="8"/>
  <c r="XC58" i="8"/>
  <c r="XD41" i="8" l="1"/>
  <c r="XD42" i="8" s="1"/>
  <c r="XD36" i="8"/>
  <c r="XD37" i="8"/>
  <c r="XD48" i="8" l="1"/>
  <c r="XD49" i="8" s="1"/>
  <c r="XD44" i="8"/>
  <c r="XD43" i="8"/>
  <c r="XD55" i="8" l="1"/>
  <c r="XD56" i="8" s="1"/>
  <c r="XD23" i="8" s="1"/>
  <c r="XD24" i="8" s="1"/>
  <c r="XD25" i="8" s="1"/>
  <c r="XE28" i="8" s="1"/>
  <c r="XD50" i="8"/>
  <c r="XD51" i="8"/>
  <c r="XE30" i="8" l="1"/>
  <c r="XE34" i="8"/>
  <c r="XE29" i="8"/>
  <c r="XE20" i="8"/>
  <c r="XE35" i="8"/>
  <c r="XD58" i="8"/>
  <c r="XD57" i="8"/>
  <c r="XE41" i="8" l="1"/>
  <c r="XE42" i="8" s="1"/>
  <c r="XE36" i="8"/>
  <c r="XE37" i="8"/>
  <c r="XE48" i="8" l="1"/>
  <c r="XE49" i="8" s="1"/>
  <c r="XE43" i="8"/>
  <c r="XE44" i="8"/>
  <c r="XE55" i="8" l="1"/>
  <c r="XE56" i="8" s="1"/>
  <c r="XE23" i="8" s="1"/>
  <c r="XE24" i="8" s="1"/>
  <c r="XE25" i="8" s="1"/>
  <c r="XF28" i="8" s="1"/>
  <c r="XE50" i="8"/>
  <c r="XE51" i="8"/>
  <c r="XF30" i="8" l="1"/>
  <c r="XF34" i="8"/>
  <c r="XF29" i="8"/>
  <c r="XF20" i="8"/>
  <c r="XF35" i="8"/>
  <c r="XE57" i="8"/>
  <c r="XE58" i="8"/>
  <c r="XF41" i="8" l="1"/>
  <c r="XF42" i="8" s="1"/>
  <c r="XF37" i="8"/>
  <c r="XF36" i="8"/>
  <c r="XF48" i="8" l="1"/>
  <c r="XF49" i="8" s="1"/>
  <c r="XF44" i="8"/>
  <c r="XF43" i="8"/>
  <c r="XF51" i="8" l="1"/>
  <c r="XF50" i="8"/>
  <c r="XF55" i="8"/>
  <c r="XF56" i="8" s="1"/>
  <c r="XF23" i="8" l="1"/>
  <c r="XF24" i="8" s="1"/>
  <c r="XF25" i="8" s="1"/>
  <c r="XG28" i="8" s="1"/>
  <c r="XF58" i="8"/>
  <c r="XF57" i="8"/>
  <c r="XG30" i="8" l="1"/>
  <c r="XG34" i="8"/>
  <c r="XG29" i="8"/>
  <c r="XG20" i="8"/>
  <c r="XG35" i="8"/>
  <c r="XG41" i="8" l="1"/>
  <c r="XG42" i="8" s="1"/>
  <c r="XG48" i="8" s="1"/>
  <c r="XG49" i="8" s="1"/>
  <c r="XG37" i="8"/>
  <c r="XG36" i="8"/>
  <c r="XG50" i="8" l="1"/>
  <c r="XG51" i="8"/>
  <c r="XG55" i="8"/>
  <c r="XG56" i="8" s="1"/>
  <c r="XG23" i="8" s="1"/>
  <c r="XG24" i="8" s="1"/>
  <c r="XG25" i="8" s="1"/>
  <c r="XH28" i="8" s="1"/>
  <c r="XG44" i="8"/>
  <c r="XG43" i="8"/>
  <c r="XH34" i="8" l="1"/>
  <c r="XH35" i="8" s="1"/>
  <c r="XH30" i="8"/>
  <c r="XH29" i="8"/>
  <c r="XH20" i="8"/>
  <c r="XG58" i="8"/>
  <c r="XG57" i="8"/>
  <c r="XH41" i="8" l="1"/>
  <c r="XH42" i="8" s="1"/>
  <c r="XH48" i="8" s="1"/>
  <c r="XH49" i="8" s="1"/>
  <c r="XH37" i="8"/>
  <c r="XH36" i="8"/>
  <c r="XH50" i="8" l="1"/>
  <c r="XH51" i="8"/>
  <c r="XH55" i="8"/>
  <c r="XH56" i="8" s="1"/>
  <c r="XH44" i="8"/>
  <c r="XH43" i="8"/>
  <c r="XH58" i="8" l="1"/>
  <c r="XH57" i="8"/>
  <c r="XH23" i="8"/>
  <c r="XH24" i="8" s="1"/>
  <c r="XH25" i="8" s="1"/>
  <c r="XI28" i="8" s="1"/>
  <c r="XI30" i="8" l="1"/>
  <c r="XI34" i="8"/>
  <c r="XI29" i="8"/>
  <c r="XI20" i="8"/>
  <c r="XI35" i="8"/>
  <c r="XI41" i="8" l="1"/>
  <c r="XI42" i="8" s="1"/>
  <c r="XI48" i="8" s="1"/>
  <c r="XI49" i="8" s="1"/>
  <c r="XI37" i="8"/>
  <c r="XI36" i="8"/>
  <c r="XI50" i="8" l="1"/>
  <c r="XI51" i="8"/>
  <c r="XI55" i="8"/>
  <c r="XI56" i="8" s="1"/>
  <c r="XI43" i="8"/>
  <c r="XI44" i="8"/>
  <c r="XI23" i="8" l="1"/>
  <c r="XI24" i="8" s="1"/>
  <c r="XI25" i="8" s="1"/>
  <c r="XJ28" i="8" s="1"/>
  <c r="XI58" i="8"/>
  <c r="XI57" i="8"/>
  <c r="XJ29" i="8" l="1"/>
  <c r="XJ34" i="8"/>
  <c r="XJ30" i="8"/>
  <c r="XJ20" i="8"/>
  <c r="XJ35" i="8"/>
  <c r="XJ41" i="8" l="1"/>
  <c r="XJ42" i="8" s="1"/>
  <c r="XJ36" i="8"/>
  <c r="XJ37" i="8"/>
  <c r="XJ48" i="8" l="1"/>
  <c r="XJ49" i="8" s="1"/>
  <c r="XJ43" i="8"/>
  <c r="XJ44" i="8"/>
  <c r="XJ51" i="8" l="1"/>
  <c r="XJ50" i="8"/>
  <c r="XJ55" i="8"/>
  <c r="XJ56" i="8" s="1"/>
  <c r="XJ57" i="8" l="1"/>
  <c r="XJ58" i="8"/>
  <c r="XJ23" i="8"/>
  <c r="XJ24" i="8" s="1"/>
  <c r="XJ25" i="8" s="1"/>
  <c r="XK28" i="8" s="1"/>
  <c r="XK29" i="8" l="1"/>
  <c r="XK30" i="8"/>
  <c r="XK34" i="8"/>
  <c r="XK20" i="8"/>
  <c r="XK35" i="8"/>
  <c r="XK36" i="8" l="1"/>
  <c r="XK37" i="8"/>
  <c r="XK41" i="8"/>
  <c r="XK42" i="8" s="1"/>
  <c r="XK48" i="8" s="1"/>
  <c r="XK49" i="8" s="1"/>
  <c r="XK50" i="8" l="1"/>
  <c r="XK51" i="8"/>
  <c r="XK55" i="8"/>
  <c r="XK56" i="8" s="1"/>
  <c r="XK23" i="8" s="1"/>
  <c r="XK24" i="8" s="1"/>
  <c r="XK25" i="8" s="1"/>
  <c r="XL28" i="8" s="1"/>
  <c r="XK43" i="8"/>
  <c r="XK44" i="8"/>
  <c r="XL29" i="8" l="1"/>
  <c r="XL30" i="8"/>
  <c r="XL34" i="8"/>
  <c r="XL20" i="8"/>
  <c r="XL35" i="8"/>
  <c r="XK58" i="8"/>
  <c r="XK57" i="8"/>
  <c r="XL41" i="8" l="1"/>
  <c r="XL42" i="8" s="1"/>
  <c r="XL48" i="8" s="1"/>
  <c r="XL49" i="8" s="1"/>
  <c r="XL36" i="8"/>
  <c r="XL37" i="8"/>
  <c r="XL50" i="8" l="1"/>
  <c r="XL51" i="8"/>
  <c r="XL55" i="8"/>
  <c r="XL56" i="8" s="1"/>
  <c r="XL43" i="8"/>
  <c r="XL44" i="8"/>
  <c r="XL57" i="8" l="1"/>
  <c r="XL58" i="8"/>
  <c r="XL23" i="8"/>
  <c r="XL24" i="8" s="1"/>
  <c r="XL25" i="8" s="1"/>
  <c r="XM28" i="8" s="1"/>
  <c r="XM34" i="8" l="1"/>
  <c r="XM35" i="8" s="1"/>
  <c r="XM29" i="8"/>
  <c r="XM30" i="8"/>
  <c r="XM20" i="8"/>
  <c r="XM41" i="8" l="1"/>
  <c r="XM42" i="8" s="1"/>
  <c r="XM48" i="8" s="1"/>
  <c r="XM49" i="8" s="1"/>
  <c r="XM37" i="8"/>
  <c r="XM36" i="8"/>
  <c r="XM55" i="8" l="1"/>
  <c r="XM56" i="8" s="1"/>
  <c r="XM23" i="8" s="1"/>
  <c r="XM24" i="8" s="1"/>
  <c r="XM25" i="8" s="1"/>
  <c r="XN28" i="8" s="1"/>
  <c r="XM51" i="8"/>
  <c r="XM50" i="8"/>
  <c r="XM43" i="8"/>
  <c r="XM44" i="8"/>
  <c r="XN29" i="8" l="1"/>
  <c r="XN34" i="8"/>
  <c r="XN30" i="8"/>
  <c r="XN20" i="8"/>
  <c r="XN35" i="8"/>
  <c r="XM58" i="8"/>
  <c r="XM57" i="8"/>
  <c r="XN41" i="8" l="1"/>
  <c r="XN42" i="8" s="1"/>
  <c r="XN48" i="8" s="1"/>
  <c r="XN49" i="8" s="1"/>
  <c r="XN37" i="8"/>
  <c r="XN36" i="8"/>
  <c r="XN50" i="8" l="1"/>
  <c r="XN51" i="8"/>
  <c r="XN55" i="8"/>
  <c r="XN56" i="8" s="1"/>
  <c r="XN23" i="8" s="1"/>
  <c r="XN24" i="8" s="1"/>
  <c r="XN25" i="8" s="1"/>
  <c r="XO28" i="8" s="1"/>
  <c r="XN44" i="8"/>
  <c r="XN43" i="8"/>
  <c r="XO29" i="8" l="1"/>
  <c r="XO30" i="8"/>
  <c r="XO34" i="8"/>
  <c r="XO20" i="8"/>
  <c r="XO35" i="8"/>
  <c r="XN57" i="8"/>
  <c r="XN58" i="8"/>
  <c r="XO41" i="8" l="1"/>
  <c r="XO42" i="8" s="1"/>
  <c r="XO48" i="8" s="1"/>
  <c r="XO49" i="8" s="1"/>
  <c r="XO37" i="8"/>
  <c r="XO36" i="8"/>
  <c r="XO51" i="8" l="1"/>
  <c r="XO50" i="8"/>
  <c r="XO55" i="8"/>
  <c r="XO56" i="8" s="1"/>
  <c r="XO44" i="8"/>
  <c r="XO43" i="8"/>
  <c r="XO57" i="8" l="1"/>
  <c r="XO58" i="8"/>
  <c r="XO23" i="8"/>
  <c r="XO24" i="8" s="1"/>
  <c r="XO25" i="8" s="1"/>
  <c r="XP28" i="8" s="1"/>
  <c r="XP29" i="8" l="1"/>
  <c r="XP34" i="8"/>
  <c r="XP30" i="8"/>
  <c r="XP20" i="8"/>
  <c r="XP35" i="8"/>
  <c r="XP41" i="8" l="1"/>
  <c r="XP42" i="8" s="1"/>
  <c r="XP48" i="8" s="1"/>
  <c r="XP49" i="8" s="1"/>
  <c r="XP37" i="8"/>
  <c r="XP36" i="8"/>
  <c r="XP55" i="8" l="1"/>
  <c r="XP56" i="8" s="1"/>
  <c r="XP23" i="8" s="1"/>
  <c r="XP24" i="8" s="1"/>
  <c r="XP25" i="8" s="1"/>
  <c r="XQ28" i="8" s="1"/>
  <c r="XP51" i="8"/>
  <c r="XP50" i="8"/>
  <c r="XP43" i="8"/>
  <c r="XP44" i="8"/>
  <c r="XQ29" i="8" l="1"/>
  <c r="XQ34" i="8"/>
  <c r="XQ30" i="8"/>
  <c r="XQ20" i="8"/>
  <c r="XQ35" i="8"/>
  <c r="XP57" i="8"/>
  <c r="XP58" i="8"/>
  <c r="XQ37" i="8" l="1"/>
  <c r="XQ41" i="8"/>
  <c r="XQ42" i="8" s="1"/>
  <c r="XQ36" i="8"/>
  <c r="XQ43" i="8" l="1"/>
  <c r="XQ44" i="8"/>
  <c r="XQ48" i="8"/>
  <c r="XQ49" i="8" s="1"/>
  <c r="XQ50" i="8" l="1"/>
  <c r="XQ51" i="8"/>
  <c r="XQ55" i="8"/>
  <c r="XQ56" i="8" s="1"/>
  <c r="XQ58" i="8" l="1"/>
  <c r="XQ57" i="8"/>
  <c r="XQ23" i="8"/>
  <c r="XQ24" i="8" s="1"/>
  <c r="XQ25" i="8" s="1"/>
  <c r="XR28" i="8" s="1"/>
  <c r="XR34" i="8" l="1"/>
  <c r="XR30" i="8"/>
  <c r="XR29" i="8"/>
  <c r="XR20" i="8"/>
  <c r="XR35" i="8"/>
  <c r="XR41" i="8" l="1"/>
  <c r="XR42" i="8" s="1"/>
  <c r="XR48" i="8" s="1"/>
  <c r="XR49" i="8" s="1"/>
  <c r="XR37" i="8"/>
  <c r="XR36" i="8"/>
  <c r="XR50" i="8" l="1"/>
  <c r="XR51" i="8"/>
  <c r="XR55" i="8"/>
  <c r="XR56" i="8" s="1"/>
  <c r="XR44" i="8"/>
  <c r="XR43" i="8"/>
  <c r="XR57" i="8" l="1"/>
  <c r="XR58" i="8"/>
  <c r="XR23" i="8"/>
  <c r="XR24" i="8" s="1"/>
  <c r="XR25" i="8" s="1"/>
  <c r="XS28" i="8" s="1"/>
  <c r="XS34" i="8" l="1"/>
  <c r="XS29" i="8"/>
  <c r="XS30" i="8"/>
  <c r="XS20" i="8"/>
  <c r="XS35" i="8"/>
  <c r="XS36" i="8" l="1"/>
  <c r="XS41" i="8"/>
  <c r="XS42" i="8" s="1"/>
  <c r="XS37" i="8"/>
  <c r="XS48" i="8" l="1"/>
  <c r="XS49" i="8" s="1"/>
  <c r="XS43" i="8"/>
  <c r="XS44" i="8"/>
  <c r="XS50" i="8" l="1"/>
  <c r="XS51" i="8"/>
  <c r="XS55" i="8"/>
  <c r="XS56" i="8" s="1"/>
  <c r="XS23" i="8" l="1"/>
  <c r="XS24" i="8" s="1"/>
  <c r="XS25" i="8" s="1"/>
  <c r="XT28" i="8" s="1"/>
  <c r="XS57" i="8"/>
  <c r="XS58" i="8"/>
  <c r="XT30" i="8" l="1"/>
  <c r="XT34" i="8"/>
  <c r="XT29" i="8"/>
  <c r="XT20" i="8"/>
  <c r="XT35" i="8"/>
  <c r="XT41" i="8" l="1"/>
  <c r="XT42" i="8" s="1"/>
  <c r="XT36" i="8"/>
  <c r="XT37" i="8"/>
  <c r="XT48" i="8" l="1"/>
  <c r="XT49" i="8" s="1"/>
  <c r="XT44" i="8"/>
  <c r="XT43" i="8"/>
  <c r="XT51" i="8" l="1"/>
  <c r="XT50" i="8"/>
  <c r="XT55" i="8"/>
  <c r="XT56" i="8" s="1"/>
  <c r="XT57" i="8" l="1"/>
  <c r="XT58" i="8"/>
  <c r="XT23" i="8"/>
  <c r="XT24" i="8" s="1"/>
  <c r="XT25" i="8" s="1"/>
  <c r="XU28" i="8" s="1"/>
  <c r="XU34" i="8" l="1"/>
  <c r="XU30" i="8"/>
  <c r="XU29" i="8"/>
  <c r="XU20" i="8"/>
  <c r="XU35" i="8"/>
  <c r="XU41" i="8" l="1"/>
  <c r="XU42" i="8" s="1"/>
  <c r="XU37" i="8"/>
  <c r="XU36" i="8"/>
  <c r="XU48" i="8" l="1"/>
  <c r="XU49" i="8" s="1"/>
  <c r="XU43" i="8"/>
  <c r="XU44" i="8"/>
  <c r="XU51" i="8" l="1"/>
  <c r="XU50" i="8"/>
  <c r="XU55" i="8"/>
  <c r="XU56" i="8" s="1"/>
  <c r="XU57" i="8" l="1"/>
  <c r="XU58" i="8"/>
  <c r="XU23" i="8"/>
  <c r="XU24" i="8" s="1"/>
  <c r="XU25" i="8" s="1"/>
  <c r="XV28" i="8" s="1"/>
  <c r="XV30" i="8" l="1"/>
  <c r="XV34" i="8"/>
  <c r="XV29" i="8"/>
  <c r="XV20" i="8"/>
  <c r="XV35" i="8"/>
  <c r="XV41" i="8" l="1"/>
  <c r="XV42" i="8" s="1"/>
  <c r="XV48" i="8" s="1"/>
  <c r="XV49" i="8" s="1"/>
  <c r="XV37" i="8"/>
  <c r="XV36" i="8"/>
  <c r="XV55" i="8" l="1"/>
  <c r="XV56" i="8" s="1"/>
  <c r="XV23" i="8" s="1"/>
  <c r="XV24" i="8" s="1"/>
  <c r="XV25" i="8" s="1"/>
  <c r="XW28" i="8" s="1"/>
  <c r="XV51" i="8"/>
  <c r="XV50" i="8"/>
  <c r="XV43" i="8"/>
  <c r="XV44" i="8"/>
  <c r="XW34" i="8" l="1"/>
  <c r="XW29" i="8"/>
  <c r="XW30" i="8"/>
  <c r="XW20" i="8"/>
  <c r="XW35" i="8"/>
  <c r="XV57" i="8"/>
  <c r="XV58" i="8"/>
  <c r="XW41" i="8" l="1"/>
  <c r="XW42" i="8" s="1"/>
  <c r="XW36" i="8"/>
  <c r="XW37" i="8"/>
  <c r="XW48" i="8" l="1"/>
  <c r="XW49" i="8" s="1"/>
  <c r="XW43" i="8"/>
  <c r="XW44" i="8"/>
  <c r="XW51" i="8" l="1"/>
  <c r="XW50" i="8"/>
  <c r="XW55" i="8"/>
  <c r="XW56" i="8" s="1"/>
  <c r="XW23" i="8" l="1"/>
  <c r="XW24" i="8" s="1"/>
  <c r="XW25" i="8" s="1"/>
  <c r="XX28" i="8" s="1"/>
  <c r="XW57" i="8"/>
  <c r="XW58" i="8"/>
  <c r="XX34" i="8" l="1"/>
  <c r="XX29" i="8"/>
  <c r="XX30" i="8"/>
  <c r="XX20" i="8"/>
  <c r="XX35" i="8"/>
  <c r="XX41" i="8" l="1"/>
  <c r="XX42" i="8" s="1"/>
  <c r="XX36" i="8"/>
  <c r="XX37" i="8"/>
  <c r="XX48" i="8" l="1"/>
  <c r="XX49" i="8" s="1"/>
  <c r="XX43" i="8"/>
  <c r="XX44" i="8"/>
  <c r="XX50" i="8" l="1"/>
  <c r="XX51" i="8"/>
  <c r="XX55" i="8"/>
  <c r="XX56" i="8" s="1"/>
  <c r="XX23" i="8" l="1"/>
  <c r="XX24" i="8" s="1"/>
  <c r="XX25" i="8" s="1"/>
  <c r="XY28" i="8" s="1"/>
  <c r="XX58" i="8"/>
  <c r="XX57" i="8"/>
  <c r="XY29" i="8" l="1"/>
  <c r="XY30" i="8"/>
  <c r="XY34" i="8"/>
  <c r="XY20" i="8"/>
  <c r="XY35" i="8"/>
  <c r="XY41" i="8" l="1"/>
  <c r="XY42" i="8" s="1"/>
  <c r="XY37" i="8"/>
  <c r="XY36" i="8"/>
  <c r="XY48" i="8" l="1"/>
  <c r="XY49" i="8" s="1"/>
  <c r="XY43" i="8"/>
  <c r="XY44" i="8"/>
  <c r="XY50" i="8" l="1"/>
  <c r="XY51" i="8"/>
  <c r="XY55" i="8"/>
  <c r="XY56" i="8" s="1"/>
  <c r="XY23" i="8" l="1"/>
  <c r="XY24" i="8" s="1"/>
  <c r="XY25" i="8" s="1"/>
  <c r="XZ28" i="8" s="1"/>
  <c r="XY58" i="8"/>
  <c r="XY57" i="8"/>
  <c r="XZ30" i="8" l="1"/>
  <c r="XZ29" i="8"/>
  <c r="XZ34" i="8"/>
  <c r="XZ20" i="8"/>
  <c r="XZ35" i="8"/>
  <c r="XZ41" i="8" l="1"/>
  <c r="XZ42" i="8" s="1"/>
  <c r="XZ37" i="8"/>
  <c r="XZ36" i="8"/>
  <c r="XZ48" i="8" l="1"/>
  <c r="XZ49" i="8" s="1"/>
  <c r="XZ44" i="8"/>
  <c r="XZ43" i="8"/>
  <c r="XZ50" i="8" l="1"/>
  <c r="XZ51" i="8"/>
  <c r="XZ55" i="8"/>
  <c r="XZ56" i="8" s="1"/>
  <c r="XZ23" i="8" l="1"/>
  <c r="XZ24" i="8" s="1"/>
  <c r="XZ25" i="8" s="1"/>
  <c r="YA28" i="8" s="1"/>
  <c r="XZ57" i="8"/>
  <c r="XZ58" i="8"/>
  <c r="YA30" i="8" l="1"/>
  <c r="YA34" i="8"/>
  <c r="YA29" i="8"/>
  <c r="YA20" i="8"/>
  <c r="YA35" i="8"/>
  <c r="YA41" i="8" l="1"/>
  <c r="YA42" i="8" s="1"/>
  <c r="YA36" i="8"/>
  <c r="YA37" i="8"/>
  <c r="YA48" i="8" l="1"/>
  <c r="YA49" i="8" s="1"/>
  <c r="YA44" i="8"/>
  <c r="YA43" i="8"/>
  <c r="YA51" i="8" l="1"/>
  <c r="YA50" i="8"/>
  <c r="YA55" i="8"/>
  <c r="YA56" i="8" s="1"/>
  <c r="YA23" i="8" l="1"/>
  <c r="YA24" i="8" s="1"/>
  <c r="YA25" i="8" s="1"/>
  <c r="YB28" i="8" s="1"/>
  <c r="YA58" i="8"/>
  <c r="YA57" i="8"/>
  <c r="YB34" i="8" l="1"/>
  <c r="YB30" i="8"/>
  <c r="YB29" i="8"/>
  <c r="YB20" i="8"/>
  <c r="YB35" i="8"/>
  <c r="YB41" i="8" l="1"/>
  <c r="YB42" i="8" s="1"/>
  <c r="YB37" i="8"/>
  <c r="YB36" i="8"/>
  <c r="YB48" i="8" l="1"/>
  <c r="YB49" i="8" s="1"/>
  <c r="YB43" i="8"/>
  <c r="YB44" i="8"/>
  <c r="YB50" i="8" l="1"/>
  <c r="YB51" i="8"/>
  <c r="YB55" i="8"/>
  <c r="YB56" i="8" s="1"/>
  <c r="YB23" i="8" s="1"/>
  <c r="YB24" i="8" s="1"/>
  <c r="YB25" i="8" s="1"/>
  <c r="YC28" i="8" s="1"/>
  <c r="YC30" i="8" l="1"/>
  <c r="YC29" i="8"/>
  <c r="YC34" i="8"/>
  <c r="YC20" i="8"/>
  <c r="YC35" i="8"/>
  <c r="YB57" i="8"/>
  <c r="YB58" i="8"/>
  <c r="YC41" i="8" l="1"/>
  <c r="YC42" i="8" s="1"/>
  <c r="YC36" i="8"/>
  <c r="YC37" i="8"/>
  <c r="YC48" i="8" l="1"/>
  <c r="YC49" i="8" s="1"/>
  <c r="YC44" i="8"/>
  <c r="YC43" i="8"/>
  <c r="YC55" i="8" l="1"/>
  <c r="YC56" i="8" s="1"/>
  <c r="YC23" i="8" s="1"/>
  <c r="YC24" i="8" s="1"/>
  <c r="YC25" i="8" s="1"/>
  <c r="YD28" i="8" s="1"/>
  <c r="YC51" i="8"/>
  <c r="YC50" i="8"/>
  <c r="YD30" i="8" l="1"/>
  <c r="YD34" i="8"/>
  <c r="YD29" i="8"/>
  <c r="YD20" i="8"/>
  <c r="YD35" i="8"/>
  <c r="YC58" i="8"/>
  <c r="YC57" i="8"/>
  <c r="YD41" i="8" l="1"/>
  <c r="YD42" i="8" s="1"/>
  <c r="YD48" i="8" s="1"/>
  <c r="YD49" i="8" s="1"/>
  <c r="YD37" i="8"/>
  <c r="YD36" i="8"/>
  <c r="YD51" i="8" l="1"/>
  <c r="YD50" i="8"/>
  <c r="YD55" i="8"/>
  <c r="YD56" i="8" s="1"/>
  <c r="YD44" i="8"/>
  <c r="YD43" i="8"/>
  <c r="YD23" i="8" l="1"/>
  <c r="YD24" i="8" s="1"/>
  <c r="YD25" i="8" s="1"/>
  <c r="YE28" i="8" s="1"/>
  <c r="YD58" i="8"/>
  <c r="YD57" i="8"/>
  <c r="YE30" i="8" l="1"/>
  <c r="YE29" i="8"/>
  <c r="YE34" i="8"/>
  <c r="YE20" i="8"/>
  <c r="YE35" i="8"/>
  <c r="YE41" i="8" l="1"/>
  <c r="YE42" i="8" s="1"/>
  <c r="YE48" i="8" s="1"/>
  <c r="YE49" i="8" s="1"/>
  <c r="YE36" i="8"/>
  <c r="YE37" i="8"/>
  <c r="YE55" i="8" l="1"/>
  <c r="YE56" i="8" s="1"/>
  <c r="YE23" i="8" s="1"/>
  <c r="YE24" i="8" s="1"/>
  <c r="YE25" i="8" s="1"/>
  <c r="YF28" i="8" s="1"/>
  <c r="YE51" i="8"/>
  <c r="YE50" i="8"/>
  <c r="YE44" i="8"/>
  <c r="YE43" i="8"/>
  <c r="YF29" i="8" l="1"/>
  <c r="YF30" i="8"/>
  <c r="YF34" i="8"/>
  <c r="YF20" i="8"/>
  <c r="YF35" i="8"/>
  <c r="YE57" i="8"/>
  <c r="YE58" i="8"/>
  <c r="YF41" i="8" l="1"/>
  <c r="YF42" i="8" s="1"/>
  <c r="YF36" i="8"/>
  <c r="YF37" i="8"/>
  <c r="YF48" i="8" l="1"/>
  <c r="YF49" i="8" s="1"/>
  <c r="YF44" i="8"/>
  <c r="YF43" i="8"/>
  <c r="YF50" i="8" l="1"/>
  <c r="YF51" i="8"/>
  <c r="YF55" i="8"/>
  <c r="YF56" i="8" s="1"/>
  <c r="YF58" i="8" l="1"/>
  <c r="YF57" i="8"/>
  <c r="YF23" i="8"/>
  <c r="YF24" i="8" s="1"/>
  <c r="YF25" i="8" s="1"/>
  <c r="YG28" i="8" s="1"/>
  <c r="YG29" i="8" l="1"/>
  <c r="YG30" i="8"/>
  <c r="YG34" i="8"/>
  <c r="YG20" i="8"/>
  <c r="YG35" i="8"/>
  <c r="YG41" i="8" l="1"/>
  <c r="YG42" i="8" s="1"/>
  <c r="YG48" i="8" s="1"/>
  <c r="YG49" i="8" s="1"/>
  <c r="YG37" i="8"/>
  <c r="YG36" i="8"/>
  <c r="YG51" i="8" l="1"/>
  <c r="YG50" i="8"/>
  <c r="YG55" i="8"/>
  <c r="YG56" i="8" s="1"/>
  <c r="YG23" i="8" s="1"/>
  <c r="YG24" i="8" s="1"/>
  <c r="YG25" i="8" s="1"/>
  <c r="YH28" i="8" s="1"/>
  <c r="YG43" i="8"/>
  <c r="YG44" i="8"/>
  <c r="YH34" i="8" l="1"/>
  <c r="YH29" i="8"/>
  <c r="YH30" i="8"/>
  <c r="YH20" i="8"/>
  <c r="YH35" i="8"/>
  <c r="YG58" i="8"/>
  <c r="YG57" i="8"/>
  <c r="YH41" i="8" l="1"/>
  <c r="YH42" i="8" s="1"/>
  <c r="YH48" i="8" s="1"/>
  <c r="YH49" i="8" s="1"/>
  <c r="YH37" i="8"/>
  <c r="YH36" i="8"/>
  <c r="YH51" i="8" l="1"/>
  <c r="YH50" i="8"/>
  <c r="YH55" i="8"/>
  <c r="YH56" i="8" s="1"/>
  <c r="YH44" i="8"/>
  <c r="YH43" i="8"/>
  <c r="YH23" i="8" l="1"/>
  <c r="YH24" i="8" s="1"/>
  <c r="YH25" i="8" s="1"/>
  <c r="YI28" i="8" s="1"/>
  <c r="YH58" i="8"/>
  <c r="YH57" i="8"/>
  <c r="YI30" i="8" l="1"/>
  <c r="YI34" i="8"/>
  <c r="YI29" i="8"/>
  <c r="YI20" i="8"/>
  <c r="YI35" i="8"/>
  <c r="YI41" i="8" l="1"/>
  <c r="YI42" i="8" s="1"/>
  <c r="YI48" i="8" s="1"/>
  <c r="YI49" i="8" s="1"/>
  <c r="YI36" i="8"/>
  <c r="YI37" i="8"/>
  <c r="YI55" i="8" l="1"/>
  <c r="YI56" i="8" s="1"/>
  <c r="YI23" i="8" s="1"/>
  <c r="YI24" i="8" s="1"/>
  <c r="YI25" i="8" s="1"/>
  <c r="YJ28" i="8" s="1"/>
  <c r="YI51" i="8"/>
  <c r="YI50" i="8"/>
  <c r="YI44" i="8"/>
  <c r="YI43" i="8"/>
  <c r="YJ30" i="8" l="1"/>
  <c r="YJ29" i="8"/>
  <c r="YJ34" i="8"/>
  <c r="YJ20" i="8"/>
  <c r="YJ35" i="8"/>
  <c r="YI57" i="8"/>
  <c r="YI58" i="8"/>
  <c r="YJ41" i="8" l="1"/>
  <c r="YJ42" i="8" s="1"/>
  <c r="YJ48" i="8" s="1"/>
  <c r="YJ49" i="8" s="1"/>
  <c r="YJ36" i="8"/>
  <c r="YJ37" i="8"/>
  <c r="YJ51" i="8" l="1"/>
  <c r="YJ50" i="8"/>
  <c r="YJ55" i="8"/>
  <c r="YJ56" i="8" s="1"/>
  <c r="YJ44" i="8"/>
  <c r="YJ43" i="8"/>
  <c r="YJ57" i="8" l="1"/>
  <c r="YJ58" i="8"/>
  <c r="YJ23" i="8"/>
  <c r="YJ24" i="8" s="1"/>
  <c r="YJ25" i="8" s="1"/>
  <c r="YK28" i="8" s="1"/>
  <c r="YK34" i="8" l="1"/>
  <c r="YK29" i="8"/>
  <c r="YK30" i="8"/>
  <c r="YK20" i="8"/>
  <c r="YK35" i="8"/>
  <c r="YK41" i="8" l="1"/>
  <c r="YK42" i="8" s="1"/>
  <c r="YK36" i="8"/>
  <c r="YK37" i="8"/>
  <c r="YK48" i="8" l="1"/>
  <c r="YK49" i="8" s="1"/>
  <c r="YK43" i="8"/>
  <c r="YK44" i="8"/>
  <c r="YK55" i="8" l="1"/>
  <c r="YK56" i="8" s="1"/>
  <c r="YK23" i="8" s="1"/>
  <c r="YK24" i="8" s="1"/>
  <c r="YK25" i="8" s="1"/>
  <c r="YL28" i="8" s="1"/>
  <c r="YK50" i="8"/>
  <c r="YK51" i="8"/>
  <c r="YL29" i="8" l="1"/>
  <c r="YL34" i="8"/>
  <c r="YL30" i="8"/>
  <c r="YL20" i="8"/>
  <c r="YL35" i="8"/>
  <c r="YK58" i="8"/>
  <c r="YK57" i="8"/>
  <c r="YL41" i="8" l="1"/>
  <c r="YL42" i="8" s="1"/>
  <c r="YL48" i="8" s="1"/>
  <c r="YL49" i="8" s="1"/>
  <c r="YL36" i="8"/>
  <c r="YL37" i="8"/>
  <c r="YL50" i="8" l="1"/>
  <c r="YL51" i="8"/>
  <c r="YL55" i="8"/>
  <c r="YL56" i="8" s="1"/>
  <c r="YL23" i="8" s="1"/>
  <c r="YL24" i="8" s="1"/>
  <c r="YL25" i="8" s="1"/>
  <c r="YM28" i="8" s="1"/>
  <c r="YL44" i="8"/>
  <c r="YL43" i="8"/>
  <c r="YM30" i="8" l="1"/>
  <c r="YM29" i="8"/>
  <c r="YM34" i="8"/>
  <c r="YM20" i="8"/>
  <c r="YM35" i="8"/>
  <c r="YL58" i="8"/>
  <c r="YL57" i="8"/>
  <c r="YM41" i="8" l="1"/>
  <c r="YM42" i="8" s="1"/>
  <c r="YM48" i="8" s="1"/>
  <c r="YM49" i="8" s="1"/>
  <c r="YM37" i="8"/>
  <c r="YM36" i="8"/>
  <c r="YM50" i="8" l="1"/>
  <c r="YM51" i="8"/>
  <c r="YM55" i="8"/>
  <c r="YM56" i="8" s="1"/>
  <c r="YM43" i="8"/>
  <c r="YM44" i="8"/>
  <c r="YM23" i="8" l="1"/>
  <c r="YM24" i="8" s="1"/>
  <c r="YM25" i="8" s="1"/>
  <c r="YN28" i="8" s="1"/>
  <c r="YM57" i="8"/>
  <c r="YM58" i="8"/>
  <c r="YN30" i="8" l="1"/>
  <c r="YN34" i="8"/>
  <c r="YN29" i="8"/>
  <c r="YN20" i="8"/>
  <c r="YN35" i="8"/>
  <c r="YN41" i="8" l="1"/>
  <c r="YN42" i="8" s="1"/>
  <c r="YN48" i="8" s="1"/>
  <c r="YN49" i="8" s="1"/>
  <c r="YN37" i="8"/>
  <c r="YN36" i="8"/>
  <c r="YN50" i="8" l="1"/>
  <c r="YN51" i="8"/>
  <c r="YN55" i="8"/>
  <c r="YN56" i="8" s="1"/>
  <c r="YN44" i="8"/>
  <c r="YN43" i="8"/>
  <c r="YN23" i="8" l="1"/>
  <c r="YN24" i="8" s="1"/>
  <c r="YN25" i="8" s="1"/>
  <c r="YO28" i="8" s="1"/>
  <c r="YN57" i="8"/>
  <c r="YN58" i="8"/>
  <c r="YO29" i="8" l="1"/>
  <c r="YO34" i="8"/>
  <c r="YO30" i="8"/>
  <c r="YO20" i="8"/>
  <c r="YO35" i="8"/>
  <c r="YO41" i="8" l="1"/>
  <c r="YO42" i="8" s="1"/>
  <c r="YO36" i="8"/>
  <c r="YO37" i="8"/>
  <c r="YO48" i="8" l="1"/>
  <c r="YO49" i="8" s="1"/>
  <c r="YO43" i="8"/>
  <c r="YO44" i="8"/>
  <c r="YO51" i="8" l="1"/>
  <c r="YO50" i="8"/>
  <c r="YO55" i="8"/>
  <c r="YO56" i="8" s="1"/>
  <c r="YO57" i="8" l="1"/>
  <c r="YO58" i="8"/>
  <c r="YO23" i="8"/>
  <c r="YO24" i="8" s="1"/>
  <c r="YO25" i="8" s="1"/>
  <c r="YP28" i="8" s="1"/>
  <c r="YP30" i="8" l="1"/>
  <c r="YP34" i="8"/>
  <c r="YP29" i="8"/>
  <c r="YP20" i="8"/>
  <c r="YP35" i="8"/>
  <c r="YP41" i="8" l="1"/>
  <c r="YP42" i="8" s="1"/>
  <c r="YP48" i="8" s="1"/>
  <c r="YP49" i="8" s="1"/>
  <c r="YP37" i="8"/>
  <c r="YP36" i="8"/>
  <c r="YP51" i="8" l="1"/>
  <c r="YP50" i="8"/>
  <c r="YP55" i="8"/>
  <c r="YP56" i="8" s="1"/>
  <c r="YP43" i="8"/>
  <c r="YP44" i="8"/>
  <c r="YP23" i="8" l="1"/>
  <c r="YP24" i="8" s="1"/>
  <c r="YP25" i="8" s="1"/>
  <c r="YQ28" i="8" s="1"/>
  <c r="YP57" i="8"/>
  <c r="YP58" i="8"/>
  <c r="YQ30" i="8" l="1"/>
  <c r="YQ29" i="8"/>
  <c r="YQ34" i="8"/>
  <c r="YQ20" i="8"/>
  <c r="YQ35" i="8"/>
  <c r="YQ41" i="8" l="1"/>
  <c r="YQ42" i="8" s="1"/>
  <c r="YQ48" i="8" s="1"/>
  <c r="YQ49" i="8" s="1"/>
  <c r="YQ37" i="8"/>
  <c r="YQ36" i="8"/>
  <c r="YQ55" i="8" l="1"/>
  <c r="YQ56" i="8" s="1"/>
  <c r="YQ23" i="8" s="1"/>
  <c r="YQ24" i="8" s="1"/>
  <c r="YQ25" i="8" s="1"/>
  <c r="YR28" i="8" s="1"/>
  <c r="YQ50" i="8"/>
  <c r="YQ51" i="8"/>
  <c r="YQ43" i="8"/>
  <c r="YQ44" i="8"/>
  <c r="YR34" i="8" l="1"/>
  <c r="YR30" i="8"/>
  <c r="YR29" i="8"/>
  <c r="YR20" i="8"/>
  <c r="YR35" i="8"/>
  <c r="YQ58" i="8"/>
  <c r="YQ57" i="8"/>
  <c r="YR41" i="8" l="1"/>
  <c r="YR42" i="8" s="1"/>
  <c r="YR36" i="8"/>
  <c r="YR37" i="8"/>
  <c r="YR48" i="8" l="1"/>
  <c r="YR49" i="8" s="1"/>
  <c r="YR43" i="8"/>
  <c r="YR44" i="8"/>
  <c r="YR50" i="8" l="1"/>
  <c r="YR51" i="8"/>
  <c r="YR55" i="8"/>
  <c r="YR56" i="8" s="1"/>
  <c r="YR57" i="8" l="1"/>
  <c r="YR58" i="8"/>
  <c r="YR23" i="8"/>
  <c r="YR24" i="8" s="1"/>
  <c r="YR25" i="8" s="1"/>
  <c r="YS28" i="8" s="1"/>
  <c r="YS30" i="8" l="1"/>
  <c r="YS34" i="8"/>
  <c r="YS29" i="8"/>
  <c r="YS20" i="8"/>
  <c r="YS35" i="8"/>
  <c r="YS41" i="8" l="1"/>
  <c r="YS42" i="8" s="1"/>
  <c r="YS48" i="8" s="1"/>
  <c r="YS49" i="8" s="1"/>
  <c r="YS36" i="8"/>
  <c r="YS37" i="8"/>
  <c r="YS50" i="8" l="1"/>
  <c r="YS51" i="8"/>
  <c r="YS55" i="8"/>
  <c r="YS56" i="8" s="1"/>
  <c r="YS44" i="8"/>
  <c r="YS43" i="8"/>
  <c r="YS57" i="8" l="1"/>
  <c r="YS58" i="8"/>
  <c r="YS23" i="8"/>
  <c r="YS24" i="8" s="1"/>
  <c r="YS25" i="8" s="1"/>
  <c r="YT28" i="8" s="1"/>
  <c r="YT30" i="8" l="1"/>
  <c r="YT34" i="8"/>
  <c r="YT29" i="8"/>
  <c r="YT20" i="8"/>
  <c r="YT35" i="8"/>
  <c r="YT41" i="8" l="1"/>
  <c r="YT42" i="8" s="1"/>
  <c r="YT48" i="8" s="1"/>
  <c r="YT49" i="8" s="1"/>
  <c r="YT37" i="8"/>
  <c r="YT36" i="8"/>
  <c r="YT51" i="8" l="1"/>
  <c r="YT50" i="8"/>
  <c r="YT55" i="8"/>
  <c r="YT56" i="8" s="1"/>
  <c r="YT44" i="8"/>
  <c r="YT43" i="8"/>
  <c r="YT23" i="8" l="1"/>
  <c r="YT24" i="8" s="1"/>
  <c r="YT25" i="8" s="1"/>
  <c r="YU28" i="8" s="1"/>
  <c r="YT58" i="8"/>
  <c r="YT57" i="8"/>
  <c r="YU34" i="8" l="1"/>
  <c r="YU29" i="8"/>
  <c r="YU30" i="8"/>
  <c r="YU20" i="8"/>
  <c r="YU35" i="8"/>
  <c r="YU41" i="8" l="1"/>
  <c r="YU42" i="8" s="1"/>
  <c r="YU37" i="8"/>
  <c r="YU36" i="8"/>
  <c r="YU48" i="8" l="1"/>
  <c r="YU49" i="8" s="1"/>
  <c r="YU44" i="8"/>
  <c r="YU43" i="8"/>
  <c r="YU55" i="8" l="1"/>
  <c r="YU56" i="8" s="1"/>
  <c r="YU23" i="8" s="1"/>
  <c r="YU24" i="8" s="1"/>
  <c r="YU25" i="8" s="1"/>
  <c r="YV28" i="8" s="1"/>
  <c r="YU50" i="8"/>
  <c r="YU51" i="8"/>
  <c r="YV30" i="8" l="1"/>
  <c r="YV34" i="8"/>
  <c r="YV29" i="8"/>
  <c r="YV20" i="8"/>
  <c r="YV35" i="8"/>
  <c r="YU58" i="8"/>
  <c r="YU57" i="8"/>
  <c r="YV41" i="8" l="1"/>
  <c r="YV42" i="8" s="1"/>
  <c r="YV48" i="8" s="1"/>
  <c r="YV49" i="8" s="1"/>
  <c r="YV37" i="8"/>
  <c r="YV36" i="8"/>
  <c r="YV50" i="8" l="1"/>
  <c r="YV51" i="8"/>
  <c r="YV55" i="8"/>
  <c r="YV56" i="8" s="1"/>
  <c r="YV23" i="8" s="1"/>
  <c r="YV24" i="8" s="1"/>
  <c r="YV25" i="8" s="1"/>
  <c r="YW28" i="8" s="1"/>
  <c r="YV44" i="8"/>
  <c r="YV43" i="8"/>
  <c r="YW30" i="8" l="1"/>
  <c r="YW29" i="8"/>
  <c r="YW34" i="8"/>
  <c r="YW20" i="8"/>
  <c r="YW35" i="8"/>
  <c r="YV57" i="8"/>
  <c r="YV58" i="8"/>
  <c r="YW41" i="8" l="1"/>
  <c r="YW42" i="8" s="1"/>
  <c r="YW37" i="8"/>
  <c r="YW36" i="8"/>
  <c r="YW48" i="8" l="1"/>
  <c r="YW49" i="8" s="1"/>
  <c r="YW44" i="8"/>
  <c r="YW43" i="8"/>
  <c r="YW50" i="8" l="1"/>
  <c r="YW51" i="8"/>
  <c r="YW55" i="8"/>
  <c r="YW56" i="8" s="1"/>
  <c r="YW23" i="8" l="1"/>
  <c r="YW24" i="8" s="1"/>
  <c r="YW25" i="8" s="1"/>
  <c r="YX28" i="8" s="1"/>
  <c r="YW57" i="8"/>
  <c r="YW58" i="8"/>
  <c r="YX30" i="8" l="1"/>
  <c r="YX29" i="8"/>
  <c r="YX34" i="8"/>
  <c r="YX20" i="8"/>
  <c r="YX35" i="8"/>
  <c r="YX41" i="8" l="1"/>
  <c r="YX42" i="8" s="1"/>
  <c r="YX48" i="8" s="1"/>
  <c r="YX49" i="8" s="1"/>
  <c r="YX37" i="8"/>
  <c r="YX36" i="8"/>
  <c r="YX51" i="8" l="1"/>
  <c r="YX50" i="8"/>
  <c r="YX55" i="8"/>
  <c r="YX56" i="8" s="1"/>
  <c r="YX44" i="8"/>
  <c r="YX43" i="8"/>
  <c r="YX57" i="8" l="1"/>
  <c r="YX58" i="8"/>
  <c r="YX23" i="8"/>
  <c r="YX24" i="8" s="1"/>
  <c r="YX25" i="8" s="1"/>
  <c r="YY28" i="8" s="1"/>
  <c r="YY30" i="8" l="1"/>
  <c r="YY29" i="8"/>
  <c r="YY34" i="8"/>
  <c r="YY20" i="8"/>
  <c r="YY35" i="8"/>
  <c r="YY41" i="8" l="1"/>
  <c r="YY42" i="8" s="1"/>
  <c r="YY48" i="8" s="1"/>
  <c r="YY49" i="8" s="1"/>
  <c r="YY37" i="8"/>
  <c r="YY36" i="8"/>
  <c r="YY50" i="8" l="1"/>
  <c r="YY51" i="8"/>
  <c r="YY55" i="8"/>
  <c r="YY56" i="8" s="1"/>
  <c r="YY44" i="8"/>
  <c r="YY43" i="8"/>
  <c r="YY57" i="8" l="1"/>
  <c r="YY58" i="8"/>
  <c r="YY23" i="8"/>
  <c r="YY24" i="8" s="1"/>
  <c r="YY25" i="8" s="1"/>
  <c r="YZ28" i="8" s="1"/>
  <c r="YZ30" i="8" l="1"/>
  <c r="YZ29" i="8"/>
  <c r="YZ34" i="8"/>
  <c r="YZ20" i="8"/>
  <c r="YZ35" i="8"/>
  <c r="YZ41" i="8" l="1"/>
  <c r="YZ42" i="8" s="1"/>
  <c r="YZ48" i="8" s="1"/>
  <c r="YZ49" i="8" s="1"/>
  <c r="YZ37" i="8"/>
  <c r="YZ36" i="8"/>
  <c r="YZ51" i="8" l="1"/>
  <c r="YZ50" i="8"/>
  <c r="YZ55" i="8"/>
  <c r="YZ56" i="8" s="1"/>
  <c r="YZ23" i="8" s="1"/>
  <c r="YZ24" i="8" s="1"/>
  <c r="YZ25" i="8" s="1"/>
  <c r="ZA28" i="8" s="1"/>
  <c r="YZ44" i="8"/>
  <c r="YZ43" i="8"/>
  <c r="ZA30" i="8" l="1"/>
  <c r="ZA34" i="8"/>
  <c r="ZA29" i="8"/>
  <c r="ZA20" i="8"/>
  <c r="ZA35" i="8"/>
  <c r="YZ57" i="8"/>
  <c r="YZ58" i="8"/>
  <c r="ZA41" i="8" l="1"/>
  <c r="ZA42" i="8" s="1"/>
  <c r="ZA48" i="8" s="1"/>
  <c r="ZA49" i="8" s="1"/>
  <c r="ZA37" i="8"/>
  <c r="ZA36" i="8"/>
  <c r="ZA51" i="8" l="1"/>
  <c r="ZA50" i="8"/>
  <c r="ZA55" i="8"/>
  <c r="ZA56" i="8" s="1"/>
  <c r="ZA23" i="8" s="1"/>
  <c r="ZA24" i="8" s="1"/>
  <c r="ZA25" i="8" s="1"/>
  <c r="ZA44" i="8"/>
  <c r="ZA43" i="8"/>
  <c r="ZB20" i="8" l="1"/>
  <c r="ZB28" i="8"/>
  <c r="ZA58" i="8"/>
  <c r="ZA57" i="8"/>
  <c r="ZB30" i="8" l="1"/>
  <c r="ZB34" i="8"/>
  <c r="ZB35" i="8" s="1"/>
  <c r="ZB41" i="8" s="1"/>
  <c r="ZB42" i="8" s="1"/>
  <c r="ZB44" i="8" s="1"/>
  <c r="ZB29" i="8"/>
  <c r="ZB36" i="8" l="1"/>
  <c r="ZB37" i="8"/>
  <c r="ZB48" i="8"/>
  <c r="ZB49" i="8" s="1"/>
  <c r="ZB55" i="8" s="1"/>
  <c r="ZB56" i="8" s="1"/>
  <c r="ZB58" i="8" s="1"/>
  <c r="ZB43" i="8"/>
  <c r="ZB23" i="8" l="1"/>
  <c r="ZB24" i="8" s="1"/>
  <c r="ZB25" i="8" s="1"/>
  <c r="ZB50" i="8"/>
  <c r="ZB57" i="8"/>
  <c r="ZB51" i="8"/>
  <c r="ZC20" i="8" l="1"/>
  <c r="ZC28" i="8"/>
  <c r="ZC29" i="8" l="1"/>
  <c r="ZC30" i="8"/>
  <c r="ZC34" i="8"/>
  <c r="ZC35" i="8" s="1"/>
  <c r="ZC41" i="8" l="1"/>
  <c r="ZC42" i="8" s="1"/>
  <c r="ZC37" i="8"/>
  <c r="ZC36" i="8"/>
  <c r="ZC48" i="8" l="1"/>
  <c r="ZC49" i="8" s="1"/>
  <c r="ZC43" i="8"/>
  <c r="ZC44" i="8"/>
  <c r="ZC50" i="8" l="1"/>
  <c r="ZC51" i="8"/>
  <c r="ZC55" i="8"/>
  <c r="ZC56" i="8" s="1"/>
  <c r="ZC58" i="8" l="1"/>
  <c r="ZC57" i="8"/>
  <c r="ZC23" i="8"/>
  <c r="ZC24" i="8" s="1"/>
  <c r="ZC25" i="8" s="1"/>
  <c r="ZD20" i="8" l="1"/>
  <c r="ZD28" i="8"/>
  <c r="ZD34" i="8" l="1"/>
  <c r="ZD35" i="8" s="1"/>
  <c r="ZD30" i="8"/>
  <c r="ZD29" i="8"/>
  <c r="ZD41" i="8" l="1"/>
  <c r="ZD42" i="8" s="1"/>
  <c r="ZD36" i="8"/>
  <c r="ZD37" i="8"/>
  <c r="ZD48" i="8" l="1"/>
  <c r="ZD49" i="8" s="1"/>
  <c r="ZD43" i="8"/>
  <c r="ZD44" i="8"/>
  <c r="ZD55" i="8" l="1"/>
  <c r="ZD56" i="8" s="1"/>
  <c r="ZD51" i="8"/>
  <c r="ZD50" i="8"/>
  <c r="ZD57" i="8" l="1"/>
  <c r="ZD58" i="8"/>
  <c r="ZD23" i="8"/>
  <c r="ZD24" i="8" s="1"/>
  <c r="ZD25" i="8" s="1"/>
  <c r="ZE20" i="8" l="1"/>
  <c r="ZE28" i="8"/>
  <c r="ZE30" i="8" l="1"/>
  <c r="ZE29" i="8"/>
  <c r="ZE34" i="8"/>
  <c r="ZE35" i="8" s="1"/>
  <c r="ZE41" i="8" l="1"/>
  <c r="ZE42" i="8" s="1"/>
  <c r="ZE37" i="8"/>
  <c r="ZE36" i="8"/>
  <c r="ZE44" i="8" l="1"/>
  <c r="ZE43" i="8"/>
  <c r="ZE48" i="8"/>
  <c r="ZE49" i="8" s="1"/>
  <c r="ZE50" i="8" l="1"/>
  <c r="ZE51" i="8"/>
  <c r="ZE55" i="8"/>
  <c r="ZE56" i="8" s="1"/>
  <c r="ZE23" i="8" s="1"/>
  <c r="ZE24" i="8" s="1"/>
  <c r="ZE25" i="8" s="1"/>
  <c r="ZF20" i="8" l="1"/>
  <c r="ZF28" i="8"/>
  <c r="ZE57" i="8"/>
  <c r="ZE58" i="8"/>
  <c r="ZF34" i="8" l="1"/>
  <c r="ZF35" i="8" s="1"/>
  <c r="ZF29" i="8"/>
  <c r="ZF30" i="8"/>
  <c r="ZF41" i="8" l="1"/>
  <c r="ZF42" i="8" s="1"/>
  <c r="ZF36" i="8"/>
  <c r="ZF37" i="8"/>
  <c r="ZF43" i="8" l="1"/>
  <c r="ZF44" i="8"/>
  <c r="ZF48" i="8"/>
  <c r="ZF49" i="8" s="1"/>
  <c r="ZF51" i="8" l="1"/>
  <c r="ZF50" i="8"/>
  <c r="ZF55" i="8"/>
  <c r="ZF56" i="8" s="1"/>
  <c r="ZF57" i="8" l="1"/>
  <c r="ZF58" i="8"/>
  <c r="ZF23" i="8"/>
  <c r="ZF24" i="8" s="1"/>
  <c r="ZF25" i="8" s="1"/>
  <c r="ZG20" i="8" l="1"/>
  <c r="ZG28" i="8"/>
  <c r="ZG29" i="8" l="1"/>
  <c r="ZG34" i="8"/>
  <c r="ZG35" i="8" s="1"/>
  <c r="ZG30" i="8"/>
  <c r="ZG41" i="8" l="1"/>
  <c r="ZG42" i="8" s="1"/>
  <c r="ZG37" i="8"/>
  <c r="ZG36" i="8"/>
  <c r="ZG44" i="8" l="1"/>
  <c r="ZG43" i="8"/>
  <c r="ZG48" i="8"/>
  <c r="ZG49" i="8" s="1"/>
  <c r="ZG55" i="8" s="1"/>
  <c r="ZG56" i="8" s="1"/>
  <c r="ZG23" i="8" l="1"/>
  <c r="ZG24" i="8" s="1"/>
  <c r="ZG25" i="8" s="1"/>
  <c r="ZG58" i="8"/>
  <c r="ZG57" i="8"/>
  <c r="ZG51" i="8"/>
  <c r="ZG50" i="8"/>
  <c r="ZH20" i="8" l="1"/>
  <c r="ZH28" i="8"/>
  <c r="ZH30" i="8" l="1"/>
  <c r="ZH34" i="8"/>
  <c r="ZH35" i="8" s="1"/>
  <c r="ZH29" i="8"/>
  <c r="ZH41" i="8" l="1"/>
  <c r="ZH42" i="8" s="1"/>
  <c r="ZH36" i="8"/>
  <c r="ZH37" i="8"/>
  <c r="ZH43" i="8" l="1"/>
  <c r="ZH44" i="8"/>
  <c r="ZH48" i="8"/>
  <c r="ZH49" i="8" s="1"/>
  <c r="ZH50" i="8" l="1"/>
  <c r="ZH51" i="8"/>
  <c r="ZH55" i="8"/>
  <c r="ZH56" i="8" s="1"/>
  <c r="ZH58" i="8" l="1"/>
  <c r="ZH57" i="8"/>
  <c r="ZH23" i="8"/>
  <c r="ZH24" i="8" s="1"/>
  <c r="ZH25" i="8" s="1"/>
  <c r="ZI20" i="8" l="1"/>
  <c r="ZI28" i="8"/>
  <c r="ZI30" i="8" l="1"/>
  <c r="ZI29" i="8"/>
  <c r="ZI34" i="8"/>
  <c r="ZI35" i="8" s="1"/>
  <c r="ZI41" i="8" l="1"/>
  <c r="ZI42" i="8" s="1"/>
  <c r="ZI36" i="8"/>
  <c r="ZI37" i="8"/>
  <c r="ZI48" i="8" l="1"/>
  <c r="ZI49" i="8" s="1"/>
  <c r="ZI43" i="8"/>
  <c r="ZI44" i="8"/>
  <c r="ZI55" i="8" l="1"/>
  <c r="ZI56" i="8" s="1"/>
  <c r="ZI50" i="8"/>
  <c r="ZI51" i="8"/>
  <c r="ZI57" i="8" l="1"/>
  <c r="ZI58" i="8"/>
  <c r="ZI23" i="8"/>
  <c r="ZI24" i="8" s="1"/>
  <c r="ZI25" i="8" s="1"/>
  <c r="ZJ20" i="8" l="1"/>
  <c r="ZJ28" i="8"/>
  <c r="ZJ29" i="8" l="1"/>
  <c r="ZJ30" i="8"/>
  <c r="ZJ34" i="8"/>
  <c r="ZJ35" i="8" s="1"/>
  <c r="ZJ41" i="8" l="1"/>
  <c r="ZJ42" i="8" s="1"/>
  <c r="ZJ36" i="8"/>
  <c r="ZJ37" i="8"/>
  <c r="ZJ43" i="8" l="1"/>
  <c r="ZJ44" i="8"/>
  <c r="ZJ48" i="8"/>
  <c r="ZJ49" i="8" s="1"/>
  <c r="ZJ50" i="8" l="1"/>
  <c r="ZJ51" i="8"/>
  <c r="ZJ55" i="8"/>
  <c r="ZJ56" i="8" s="1"/>
  <c r="ZJ58" i="8" l="1"/>
  <c r="ZJ57" i="8"/>
  <c r="ZJ23" i="8"/>
  <c r="ZJ24" i="8" s="1"/>
  <c r="ZJ25" i="8" s="1"/>
  <c r="ZK20" i="8" l="1"/>
  <c r="ZK28" i="8"/>
  <c r="ZK30" i="8" l="1"/>
  <c r="ZK34" i="8"/>
  <c r="ZK35" i="8" s="1"/>
  <c r="ZK29" i="8"/>
  <c r="ZK41" i="8" l="1"/>
  <c r="ZK42" i="8" s="1"/>
  <c r="ZK37" i="8"/>
  <c r="ZK36" i="8"/>
  <c r="ZK43" i="8" l="1"/>
  <c r="ZK44" i="8"/>
  <c r="ZK48" i="8"/>
  <c r="ZK49" i="8" s="1"/>
  <c r="ZK51" i="8" l="1"/>
  <c r="ZK50" i="8"/>
  <c r="ZK55" i="8"/>
  <c r="ZK56" i="8" s="1"/>
  <c r="ZK57" i="8" l="1"/>
  <c r="ZK58" i="8"/>
  <c r="ZK23" i="8"/>
  <c r="ZK24" i="8" s="1"/>
  <c r="ZK25" i="8" s="1"/>
  <c r="ZL20" i="8" l="1"/>
  <c r="ZL28" i="8"/>
  <c r="ZL30" i="8" l="1"/>
  <c r="ZL29" i="8"/>
  <c r="ZL34" i="8"/>
  <c r="ZL35" i="8" s="1"/>
  <c r="ZL41" i="8" l="1"/>
  <c r="ZL42" i="8" s="1"/>
  <c r="ZL37" i="8"/>
  <c r="ZL36" i="8"/>
  <c r="ZL44" i="8" l="1"/>
  <c r="ZL43" i="8"/>
  <c r="ZL48" i="8"/>
  <c r="ZL49" i="8" s="1"/>
  <c r="ZL51" i="8" l="1"/>
  <c r="ZL50" i="8"/>
  <c r="ZL55" i="8"/>
  <c r="ZL56" i="8" s="1"/>
  <c r="ZL58" i="8" l="1"/>
  <c r="ZL57" i="8"/>
  <c r="ZL23" i="8"/>
  <c r="ZL24" i="8" s="1"/>
  <c r="ZL25" i="8" s="1"/>
  <c r="ZM20" i="8" l="1"/>
  <c r="ZM28" i="8"/>
  <c r="ZM34" i="8" l="1"/>
  <c r="ZM35" i="8" s="1"/>
  <c r="ZM29" i="8"/>
  <c r="ZM30" i="8"/>
  <c r="ZM41" i="8" l="1"/>
  <c r="ZM42" i="8" s="1"/>
  <c r="ZM37" i="8"/>
  <c r="ZM36" i="8"/>
  <c r="ZM43" i="8" l="1"/>
  <c r="ZM44" i="8"/>
  <c r="ZM48" i="8"/>
  <c r="ZM49" i="8" s="1"/>
  <c r="ZM50" i="8" l="1"/>
  <c r="ZM51" i="8"/>
  <c r="ZM55" i="8"/>
  <c r="ZM56" i="8" s="1"/>
  <c r="ZM23" i="8" l="1"/>
  <c r="ZM24" i="8" s="1"/>
  <c r="ZM25" i="8" s="1"/>
  <c r="ZM57" i="8"/>
  <c r="ZM58" i="8"/>
  <c r="ZN20" i="8" l="1"/>
  <c r="ZN28" i="8"/>
  <c r="ZN34" i="8" l="1"/>
  <c r="ZN35" i="8" s="1"/>
  <c r="ZN30" i="8"/>
  <c r="ZN29" i="8"/>
  <c r="ZN41" i="8" l="1"/>
  <c r="ZN42" i="8" s="1"/>
  <c r="ZN36" i="8"/>
  <c r="ZN37" i="8"/>
  <c r="ZN44" i="8" l="1"/>
  <c r="ZN43" i="8"/>
  <c r="ZN48" i="8"/>
  <c r="ZN49" i="8" s="1"/>
  <c r="ZN51" i="8" l="1"/>
  <c r="ZN50" i="8"/>
  <c r="ZN55" i="8"/>
  <c r="ZN56" i="8" s="1"/>
  <c r="ZN58" i="8" l="1"/>
  <c r="ZN57" i="8"/>
  <c r="ZN23" i="8"/>
  <c r="ZN24" i="8" s="1"/>
  <c r="ZN25" i="8" s="1"/>
  <c r="ZO20" i="8" l="1"/>
  <c r="ZO28" i="8"/>
  <c r="ZO34" i="8" l="1"/>
  <c r="ZO35" i="8" s="1"/>
  <c r="ZO30" i="8"/>
  <c r="ZO29" i="8"/>
  <c r="ZO41" i="8" l="1"/>
  <c r="ZO42" i="8" s="1"/>
  <c r="ZO37" i="8"/>
  <c r="ZO36" i="8"/>
  <c r="ZO43" i="8" l="1"/>
  <c r="ZO44" i="8"/>
  <c r="ZO48" i="8"/>
  <c r="ZO49" i="8" s="1"/>
  <c r="ZO51" i="8" l="1"/>
  <c r="ZO50" i="8"/>
  <c r="ZO55" i="8"/>
  <c r="ZO56" i="8" s="1"/>
  <c r="ZO23" i="8" l="1"/>
  <c r="ZO24" i="8" s="1"/>
  <c r="ZO25" i="8" s="1"/>
  <c r="ZO58" i="8"/>
  <c r="ZO57" i="8"/>
  <c r="ZP20" i="8" l="1"/>
  <c r="ZP28" i="8"/>
  <c r="ZP34" i="8" l="1"/>
  <c r="ZP35" i="8" s="1"/>
  <c r="ZP29" i="8"/>
  <c r="ZP30" i="8"/>
  <c r="ZP41" i="8" l="1"/>
  <c r="ZP42" i="8" s="1"/>
  <c r="ZP37" i="8"/>
  <c r="ZP36" i="8"/>
  <c r="ZP44" i="8" l="1"/>
  <c r="ZP43" i="8"/>
  <c r="ZP48" i="8"/>
  <c r="ZP49" i="8" s="1"/>
  <c r="ZP50" i="8" l="1"/>
  <c r="ZP51" i="8"/>
  <c r="ZP55" i="8"/>
  <c r="ZP56" i="8" s="1"/>
  <c r="ZP23" i="8" l="1"/>
  <c r="ZP24" i="8" s="1"/>
  <c r="ZP25" i="8" s="1"/>
  <c r="ZP57" i="8"/>
  <c r="ZP58" i="8"/>
  <c r="ZQ20" i="8" l="1"/>
  <c r="ZQ28" i="8"/>
  <c r="ZQ29" i="8" l="1"/>
  <c r="ZQ30" i="8"/>
  <c r="ZQ34" i="8"/>
  <c r="ZQ35" i="8" s="1"/>
  <c r="ZQ41" i="8" s="1"/>
  <c r="ZQ42" i="8" s="1"/>
  <c r="ZQ43" i="8" l="1"/>
  <c r="ZQ44" i="8"/>
  <c r="ZQ48" i="8"/>
  <c r="ZQ49" i="8" s="1"/>
  <c r="ZQ37" i="8"/>
  <c r="ZQ36" i="8"/>
  <c r="ZQ51" i="8" l="1"/>
  <c r="ZQ50" i="8"/>
  <c r="ZQ55" i="8"/>
  <c r="ZQ56" i="8" s="1"/>
  <c r="ZQ57" i="8" l="1"/>
  <c r="ZQ58" i="8"/>
  <c r="ZQ23" i="8"/>
  <c r="ZQ24" i="8" s="1"/>
  <c r="ZQ25" i="8" s="1"/>
  <c r="ZR20" i="8" l="1"/>
  <c r="ZR28" i="8"/>
  <c r="ZR29" i="8" l="1"/>
  <c r="ZR30" i="8"/>
  <c r="ZR34" i="8"/>
  <c r="ZR35" i="8" s="1"/>
  <c r="ZR41" i="8" l="1"/>
  <c r="ZR42" i="8" s="1"/>
  <c r="ZR37" i="8"/>
  <c r="ZR36" i="8"/>
  <c r="ZR43" i="8" l="1"/>
  <c r="ZR44" i="8"/>
  <c r="ZR48" i="8"/>
  <c r="ZR49" i="8" s="1"/>
  <c r="ZR51" i="8" l="1"/>
  <c r="ZR50" i="8"/>
  <c r="ZR55" i="8"/>
  <c r="ZR56" i="8" s="1"/>
  <c r="ZR23" i="8" s="1"/>
  <c r="ZR24" i="8" s="1"/>
  <c r="ZR25" i="8" s="1"/>
  <c r="ZS20" i="8" l="1"/>
  <c r="ZS28" i="8"/>
  <c r="ZR58" i="8"/>
  <c r="ZR57" i="8"/>
  <c r="ZS29" i="8" l="1"/>
  <c r="ZS34" i="8"/>
  <c r="ZS35" i="8" s="1"/>
  <c r="ZS30" i="8"/>
  <c r="ZS41" i="8" l="1"/>
  <c r="ZS42" i="8" s="1"/>
  <c r="ZS36" i="8"/>
  <c r="ZS37" i="8"/>
  <c r="ZS44" i="8" l="1"/>
  <c r="ZS43" i="8"/>
  <c r="ZS48" i="8"/>
  <c r="ZS49" i="8" s="1"/>
  <c r="ZS51" i="8" l="1"/>
  <c r="ZS50" i="8"/>
  <c r="ZS55" i="8"/>
  <c r="ZS56" i="8" s="1"/>
  <c r="ZS23" i="8" s="1"/>
  <c r="ZS24" i="8" s="1"/>
  <c r="ZS25" i="8" s="1"/>
  <c r="ZT20" i="8" l="1"/>
  <c r="ZT28" i="8"/>
  <c r="ZS58" i="8"/>
  <c r="ZS57" i="8"/>
  <c r="ZT30" i="8" l="1"/>
  <c r="ZT29" i="8"/>
  <c r="ZT34" i="8"/>
  <c r="ZT35" i="8" s="1"/>
  <c r="ZT41" i="8" l="1"/>
  <c r="ZT42" i="8" s="1"/>
  <c r="ZT37" i="8"/>
  <c r="ZT36" i="8"/>
  <c r="ZT44" i="8" l="1"/>
  <c r="ZT43" i="8"/>
  <c r="ZT48" i="8"/>
  <c r="ZT49" i="8" s="1"/>
  <c r="ZT50" i="8" l="1"/>
  <c r="ZT51" i="8"/>
  <c r="ZT55" i="8"/>
  <c r="ZT56" i="8" s="1"/>
  <c r="ZT58" i="8" l="1"/>
  <c r="ZT57" i="8"/>
  <c r="ZT23" i="8"/>
  <c r="ZT24" i="8" s="1"/>
  <c r="ZT25" i="8" s="1"/>
  <c r="ZU20" i="8" l="1"/>
  <c r="ZU28" i="8"/>
  <c r="ZU30" i="8" l="1"/>
  <c r="ZU34" i="8"/>
  <c r="ZU35" i="8" s="1"/>
  <c r="ZU29" i="8"/>
  <c r="ZU41" i="8" l="1"/>
  <c r="ZU42" i="8" s="1"/>
  <c r="ZU37" i="8"/>
  <c r="ZU36" i="8"/>
  <c r="ZU43" i="8" l="1"/>
  <c r="ZU44" i="8"/>
  <c r="ZU48" i="8"/>
  <c r="ZU49" i="8" s="1"/>
  <c r="ZU55" i="8" s="1"/>
  <c r="ZU56" i="8" s="1"/>
  <c r="ZU23" i="8" l="1"/>
  <c r="ZU24" i="8" s="1"/>
  <c r="ZU25" i="8" s="1"/>
  <c r="ZU58" i="8"/>
  <c r="ZU57" i="8"/>
  <c r="ZU50" i="8"/>
  <c r="ZU51" i="8"/>
  <c r="ZV20" i="8" l="1"/>
  <c r="ZV28" i="8"/>
  <c r="ZV30" i="8" l="1"/>
  <c r="ZV29" i="8"/>
  <c r="ZV34" i="8"/>
  <c r="ZV35" i="8" s="1"/>
  <c r="ZV41" i="8" s="1"/>
  <c r="ZV42" i="8" s="1"/>
  <c r="ZV44" i="8" l="1"/>
  <c r="ZV43" i="8"/>
  <c r="ZV48" i="8"/>
  <c r="ZV49" i="8" s="1"/>
  <c r="ZV36" i="8"/>
  <c r="ZV37" i="8"/>
  <c r="ZV55" i="8" l="1"/>
  <c r="ZV56" i="8" s="1"/>
  <c r="ZV23" i="8" s="1"/>
  <c r="ZV24" i="8" s="1"/>
  <c r="ZV25" i="8" s="1"/>
  <c r="ZV51" i="8"/>
  <c r="ZV50" i="8"/>
  <c r="ZW20" i="8" l="1"/>
  <c r="ZW28" i="8"/>
  <c r="ZV57" i="8"/>
  <c r="ZV58" i="8"/>
  <c r="ZW29" i="8" l="1"/>
  <c r="ZW34" i="8"/>
  <c r="ZW35" i="8" s="1"/>
  <c r="ZW41" i="8" s="1"/>
  <c r="ZW42" i="8" s="1"/>
  <c r="ZW30" i="8"/>
  <c r="ZW43" i="8" l="1"/>
  <c r="ZW44" i="8"/>
  <c r="ZW48" i="8"/>
  <c r="ZW49" i="8" s="1"/>
  <c r="ZW36" i="8"/>
  <c r="ZW37" i="8"/>
  <c r="ZW50" i="8" l="1"/>
  <c r="ZW51" i="8"/>
  <c r="ZW55" i="8"/>
  <c r="ZW56" i="8" s="1"/>
  <c r="ZW58" i="8" l="1"/>
  <c r="ZW57" i="8"/>
  <c r="ZW23" i="8"/>
  <c r="ZW24" i="8" s="1"/>
  <c r="ZW25" i="8" s="1"/>
  <c r="ZX20" i="8" l="1"/>
  <c r="ZX28" i="8"/>
  <c r="ZX34" i="8" l="1"/>
  <c r="ZX35" i="8" s="1"/>
  <c r="ZX30" i="8"/>
  <c r="ZX29" i="8"/>
  <c r="ZX41" i="8" l="1"/>
  <c r="ZX42" i="8" s="1"/>
  <c r="ZX37" i="8"/>
  <c r="ZX36" i="8"/>
  <c r="ZX44" i="8" l="1"/>
  <c r="ZX43" i="8"/>
  <c r="ZX48" i="8"/>
  <c r="ZX49" i="8" s="1"/>
  <c r="ZX55" i="8" l="1"/>
  <c r="ZX56" i="8" s="1"/>
  <c r="ZX51" i="8"/>
  <c r="ZX50" i="8"/>
  <c r="ZX58" i="8" l="1"/>
  <c r="ZX57" i="8"/>
  <c r="ZX23" i="8"/>
  <c r="ZX24" i="8" s="1"/>
  <c r="ZX25" i="8" s="1"/>
  <c r="ZY20" i="8" l="1"/>
  <c r="ZY28" i="8"/>
  <c r="ZY30" i="8" l="1"/>
  <c r="ZY29" i="8"/>
  <c r="ZY34" i="8"/>
  <c r="ZY35" i="8" s="1"/>
  <c r="ZY41" i="8" s="1"/>
  <c r="ZY42" i="8" s="1"/>
  <c r="ZY44" i="8" l="1"/>
  <c r="ZY43" i="8"/>
  <c r="ZY48" i="8"/>
  <c r="ZY49" i="8" s="1"/>
  <c r="ZY37" i="8"/>
  <c r="ZY36" i="8"/>
  <c r="ZY51" i="8" l="1"/>
  <c r="ZY50" i="8"/>
  <c r="ZY55" i="8"/>
  <c r="ZY56" i="8" s="1"/>
  <c r="ZY23" i="8" l="1"/>
  <c r="ZY24" i="8" s="1"/>
  <c r="ZY25" i="8" s="1"/>
  <c r="ZY57" i="8"/>
  <c r="ZY58" i="8"/>
  <c r="ZZ20" i="8" l="1"/>
  <c r="ZZ28" i="8"/>
  <c r="ZZ34" i="8" l="1"/>
  <c r="ZZ35" i="8" s="1"/>
  <c r="ZZ29" i="8"/>
  <c r="ZZ30" i="8"/>
  <c r="ZZ41" i="8" l="1"/>
  <c r="ZZ42" i="8" s="1"/>
  <c r="ZZ36" i="8"/>
  <c r="ZZ37" i="8"/>
  <c r="ZZ43" i="8" l="1"/>
  <c r="ZZ44" i="8"/>
  <c r="ZZ48" i="8"/>
  <c r="ZZ49" i="8" s="1"/>
  <c r="ZZ55" i="8" l="1"/>
  <c r="ZZ56" i="8" s="1"/>
  <c r="ZZ23" i="8" s="1"/>
  <c r="ZZ24" i="8" s="1"/>
  <c r="ZZ25" i="8" s="1"/>
  <c r="ZZ50" i="8"/>
  <c r="ZZ51" i="8"/>
  <c r="AAA20" i="8" l="1"/>
  <c r="AAA28" i="8"/>
  <c r="ZZ58" i="8"/>
  <c r="ZZ57" i="8"/>
  <c r="AAA34" i="8" l="1"/>
  <c r="AAA35" i="8" s="1"/>
  <c r="AAA29" i="8"/>
  <c r="AAA30" i="8"/>
  <c r="AAA41" i="8" l="1"/>
  <c r="AAA42" i="8" s="1"/>
  <c r="AAA36" i="8"/>
  <c r="AAA37" i="8"/>
  <c r="AAA44" i="8" l="1"/>
  <c r="AAA43" i="8"/>
  <c r="AAA48" i="8"/>
  <c r="AAA49" i="8" s="1"/>
  <c r="AAA55" i="8" l="1"/>
  <c r="AAA56" i="8" s="1"/>
  <c r="AAA23" i="8" s="1"/>
  <c r="AAA24" i="8" s="1"/>
  <c r="AAA25" i="8" s="1"/>
  <c r="AAA50" i="8"/>
  <c r="AAA51" i="8"/>
  <c r="AAB20" i="8" l="1"/>
  <c r="AAB28" i="8"/>
  <c r="AAA57" i="8"/>
  <c r="AAA58" i="8"/>
  <c r="AAB34" i="8" l="1"/>
  <c r="AAB35" i="8" s="1"/>
  <c r="AAB29" i="8"/>
  <c r="AAB30" i="8"/>
  <c r="AAB41" i="8" l="1"/>
  <c r="AAB42" i="8" s="1"/>
  <c r="AAB36" i="8"/>
  <c r="AAB37" i="8"/>
  <c r="AAB48" i="8" l="1"/>
  <c r="AAB49" i="8" s="1"/>
  <c r="AAB44" i="8"/>
  <c r="AAB43" i="8"/>
  <c r="AAB55" i="8" l="1"/>
  <c r="AAB56" i="8" s="1"/>
  <c r="AAB23" i="8" s="1"/>
  <c r="AAB24" i="8" s="1"/>
  <c r="AAB25" i="8" s="1"/>
  <c r="AAB50" i="8"/>
  <c r="AAB51" i="8"/>
  <c r="AAC20" i="8" l="1"/>
  <c r="AAC28" i="8"/>
  <c r="AAB57" i="8"/>
  <c r="AAB58" i="8"/>
  <c r="AAC34" i="8" l="1"/>
  <c r="AAC35" i="8" s="1"/>
  <c r="AAC29" i="8"/>
  <c r="AAC30" i="8"/>
  <c r="AAC41" i="8" l="1"/>
  <c r="AAC42" i="8" s="1"/>
  <c r="AAC36" i="8"/>
  <c r="AAC37" i="8"/>
  <c r="AAC44" i="8" l="1"/>
  <c r="AAC43" i="8"/>
  <c r="AAC48" i="8"/>
  <c r="AAC49" i="8" s="1"/>
  <c r="AAC51" i="8" l="1"/>
  <c r="AAC50" i="8"/>
  <c r="AAC55" i="8"/>
  <c r="AAC56" i="8" s="1"/>
  <c r="AAC57" i="8" l="1"/>
  <c r="AAC58" i="8"/>
  <c r="AAC23" i="8"/>
  <c r="AAC24" i="8" s="1"/>
  <c r="AAC25" i="8" s="1"/>
  <c r="AAD20" i="8" l="1"/>
  <c r="AAD28" i="8"/>
  <c r="AAD29" i="8" l="1"/>
  <c r="AAD34" i="8"/>
  <c r="AAD35" i="8" s="1"/>
  <c r="AAD30" i="8"/>
  <c r="AAD41" i="8" l="1"/>
  <c r="AAD42" i="8" s="1"/>
  <c r="AAD37" i="8"/>
  <c r="AAD36" i="8"/>
  <c r="AAD44" i="8" l="1"/>
  <c r="AAD43" i="8"/>
  <c r="AAD48" i="8"/>
  <c r="AAD49" i="8" s="1"/>
  <c r="AAD50" i="8" l="1"/>
  <c r="AAD51" i="8"/>
  <c r="AAD55" i="8"/>
  <c r="AAD56" i="8" s="1"/>
  <c r="AAD23" i="8" s="1"/>
  <c r="AAD24" i="8" s="1"/>
  <c r="AAD25" i="8" s="1"/>
  <c r="AAE20" i="8" l="1"/>
  <c r="AAE28" i="8"/>
  <c r="AAD58" i="8"/>
  <c r="AAD57" i="8"/>
  <c r="AAE29" i="8" l="1"/>
  <c r="AAE30" i="8"/>
  <c r="AAE34" i="8"/>
  <c r="AAE35" i="8" s="1"/>
  <c r="AAE41" i="8" l="1"/>
  <c r="AAE42" i="8" s="1"/>
  <c r="AAE36" i="8"/>
  <c r="AAE37" i="8"/>
  <c r="AAE48" i="8" l="1"/>
  <c r="AAE49" i="8" s="1"/>
  <c r="AAE43" i="8"/>
  <c r="AAE44" i="8"/>
  <c r="AAE51" i="8" l="1"/>
  <c r="AAE50" i="8"/>
  <c r="AAE55" i="8"/>
  <c r="AAE56" i="8" s="1"/>
  <c r="AAE57" i="8" l="1"/>
  <c r="AAE58" i="8"/>
  <c r="AAE23" i="8"/>
  <c r="AAE24" i="8" s="1"/>
  <c r="AAE25" i="8" s="1"/>
  <c r="AAF20" i="8" l="1"/>
  <c r="AAF28" i="8"/>
  <c r="AAF34" i="8" l="1"/>
  <c r="AAF35" i="8" s="1"/>
  <c r="AAF30" i="8"/>
  <c r="AAF29" i="8"/>
  <c r="AAF41" i="8" l="1"/>
  <c r="AAF42" i="8" s="1"/>
  <c r="AAF36" i="8"/>
  <c r="AAF37" i="8"/>
  <c r="AAF43" i="8" l="1"/>
  <c r="AAF44" i="8"/>
  <c r="AAF48" i="8"/>
  <c r="AAF49" i="8" s="1"/>
  <c r="AAF50" i="8" l="1"/>
  <c r="AAF51" i="8"/>
  <c r="AAF55" i="8"/>
  <c r="AAF56" i="8" s="1"/>
  <c r="AAF58" i="8" l="1"/>
  <c r="AAF57" i="8"/>
  <c r="AAF23" i="8"/>
  <c r="AAF24" i="8" s="1"/>
  <c r="AAF25" i="8" s="1"/>
  <c r="AAG20" i="8" l="1"/>
  <c r="AAG28" i="8"/>
  <c r="AAG34" i="8" l="1"/>
  <c r="AAG35" i="8" s="1"/>
  <c r="AAG30" i="8"/>
  <c r="AAG29" i="8"/>
  <c r="AAG41" i="8" l="1"/>
  <c r="AAG42" i="8" s="1"/>
  <c r="AAG36" i="8"/>
  <c r="AAG37" i="8"/>
  <c r="AAG43" i="8" l="1"/>
  <c r="AAG44" i="8"/>
  <c r="AAG48" i="8"/>
  <c r="AAG49" i="8" s="1"/>
  <c r="AAG50" i="8" l="1"/>
  <c r="AAG51" i="8"/>
  <c r="AAG55" i="8"/>
  <c r="AAG56" i="8" s="1"/>
  <c r="AAG57" i="8" l="1"/>
  <c r="AAG58" i="8"/>
  <c r="AAG23" i="8"/>
  <c r="AAG24" i="8" s="1"/>
  <c r="AAG25" i="8" s="1"/>
  <c r="AAH20" i="8" l="1"/>
  <c r="AAH28" i="8"/>
  <c r="AAH29" i="8" l="1"/>
  <c r="AAH30" i="8"/>
  <c r="AAH34" i="8"/>
  <c r="AAH35" i="8" s="1"/>
  <c r="AAH37" i="8" l="1"/>
  <c r="AAH36" i="8"/>
  <c r="AAH41" i="8"/>
  <c r="AAH42" i="8" s="1"/>
  <c r="AAH43" i="8" l="1"/>
  <c r="AAH44" i="8"/>
  <c r="AAH48" i="8"/>
  <c r="AAH49" i="8" s="1"/>
  <c r="AAH55" i="8" s="1"/>
  <c r="AAH56" i="8" s="1"/>
  <c r="AAH57" i="8" l="1"/>
  <c r="AAH58" i="8"/>
  <c r="AAH51" i="8"/>
  <c r="AAH50" i="8"/>
  <c r="AAH23" i="8"/>
  <c r="AAH24" i="8" s="1"/>
  <c r="AAH25" i="8" s="1"/>
  <c r="AAI20" i="8" l="1"/>
  <c r="AAI28" i="8"/>
  <c r="AAI30" i="8" l="1"/>
  <c r="AAI29" i="8"/>
  <c r="AAI34" i="8"/>
  <c r="AAI35" i="8" s="1"/>
  <c r="AAI41" i="8" l="1"/>
  <c r="AAI42" i="8" s="1"/>
  <c r="AAI36" i="8"/>
  <c r="AAI37" i="8"/>
  <c r="AAI44" i="8" l="1"/>
  <c r="AAI43" i="8"/>
  <c r="AAI48" i="8"/>
  <c r="AAI49" i="8" s="1"/>
  <c r="AAI51" i="8" l="1"/>
  <c r="AAI50" i="8"/>
  <c r="AAI55" i="8"/>
  <c r="AAI56" i="8" s="1"/>
  <c r="AAI23" i="8" l="1"/>
  <c r="AAI24" i="8" s="1"/>
  <c r="AAI25" i="8" s="1"/>
  <c r="AAI58" i="8"/>
  <c r="AAI57" i="8"/>
  <c r="AAJ20" i="8" l="1"/>
  <c r="AAJ28" i="8"/>
  <c r="AAJ34" i="8" l="1"/>
  <c r="AAJ35" i="8" s="1"/>
  <c r="AAJ41" i="8" s="1"/>
  <c r="AAJ42" i="8" s="1"/>
  <c r="AAJ29" i="8"/>
  <c r="AAJ30" i="8"/>
  <c r="AAJ43" i="8" l="1"/>
  <c r="AAJ44" i="8"/>
  <c r="AAJ48" i="8"/>
  <c r="AAJ49" i="8" s="1"/>
  <c r="AAJ37" i="8"/>
  <c r="AAJ36" i="8"/>
  <c r="AAJ55" i="8" l="1"/>
  <c r="AAJ56" i="8" s="1"/>
  <c r="AAJ23" i="8" s="1"/>
  <c r="AAJ24" i="8" s="1"/>
  <c r="AAJ25" i="8" s="1"/>
  <c r="AAJ51" i="8"/>
  <c r="AAJ50" i="8"/>
  <c r="AAK20" i="8" l="1"/>
  <c r="AAK28" i="8"/>
  <c r="AAJ57" i="8"/>
  <c r="AAJ58" i="8"/>
  <c r="AAK34" i="8" l="1"/>
  <c r="AAK35" i="8" s="1"/>
  <c r="AAK29" i="8"/>
  <c r="AAK30" i="8"/>
  <c r="AAK41" i="8" l="1"/>
  <c r="AAK42" i="8" s="1"/>
  <c r="AAK37" i="8"/>
  <c r="AAK36" i="8"/>
  <c r="AAK43" i="8" l="1"/>
  <c r="AAK44" i="8"/>
  <c r="AAK48" i="8"/>
  <c r="AAK49" i="8" s="1"/>
  <c r="AAK55" i="8" l="1"/>
  <c r="AAK56" i="8" s="1"/>
  <c r="AAK23" i="8" s="1"/>
  <c r="AAK24" i="8" s="1"/>
  <c r="AAK25" i="8" s="1"/>
  <c r="AAK51" i="8"/>
  <c r="AAK50" i="8"/>
  <c r="AAL20" i="8" l="1"/>
  <c r="AAL28" i="8"/>
  <c r="AAK58" i="8"/>
  <c r="AAK57" i="8"/>
  <c r="AAL34" i="8" l="1"/>
  <c r="AAL35" i="8" s="1"/>
  <c r="AAL29" i="8"/>
  <c r="AAL30" i="8"/>
  <c r="AAL41" i="8" l="1"/>
  <c r="AAL42" i="8" s="1"/>
  <c r="AAL36" i="8"/>
  <c r="AAL37" i="8"/>
  <c r="AAL44" i="8" l="1"/>
  <c r="AAL43" i="8"/>
  <c r="AAL48" i="8"/>
  <c r="AAL49" i="8" s="1"/>
  <c r="AAL55" i="8" l="1"/>
  <c r="AAL56" i="8" s="1"/>
  <c r="AAL51" i="8"/>
  <c r="AAL50" i="8"/>
  <c r="AAL57" i="8" l="1"/>
  <c r="AAL58" i="8"/>
  <c r="AAL23" i="8"/>
  <c r="AAL24" i="8" s="1"/>
  <c r="AAL25" i="8" s="1"/>
  <c r="AAM20" i="8" l="1"/>
  <c r="AAM28" i="8"/>
  <c r="AAM29" i="8" l="1"/>
  <c r="AAM30" i="8"/>
  <c r="AAM34" i="8"/>
  <c r="AAM35" i="8" s="1"/>
  <c r="AAM41" i="8" l="1"/>
  <c r="AAM42" i="8" s="1"/>
  <c r="AAM37" i="8"/>
  <c r="AAM36" i="8"/>
  <c r="AAM44" i="8" l="1"/>
  <c r="AAM43" i="8"/>
  <c r="AAM48" i="8"/>
  <c r="AAM49" i="8" s="1"/>
  <c r="AAM55" i="8" s="1"/>
  <c r="AAM56" i="8" s="1"/>
  <c r="AAM58" i="8" l="1"/>
  <c r="AAM57" i="8"/>
  <c r="AAM51" i="8"/>
  <c r="AAM50" i="8"/>
  <c r="AAM23" i="8"/>
  <c r="AAM24" i="8" s="1"/>
  <c r="AAM25" i="8" s="1"/>
  <c r="AAN20" i="8" l="1"/>
  <c r="AAN28" i="8"/>
  <c r="AAN34" i="8" l="1"/>
  <c r="AAN35" i="8" s="1"/>
  <c r="AAN29" i="8"/>
  <c r="AAN30" i="8"/>
  <c r="AAN41" i="8" l="1"/>
  <c r="AAN42" i="8" s="1"/>
  <c r="AAN37" i="8"/>
  <c r="AAN36" i="8"/>
  <c r="AAN43" i="8" l="1"/>
  <c r="AAN44" i="8"/>
  <c r="AAN48" i="8"/>
  <c r="AAN49" i="8" s="1"/>
  <c r="AAN55" i="8" s="1"/>
  <c r="AAN56" i="8" s="1"/>
  <c r="AAN57" i="8" l="1"/>
  <c r="AAN58" i="8"/>
  <c r="AAN50" i="8"/>
  <c r="AAN51" i="8"/>
  <c r="AAN23" i="8"/>
  <c r="AAN24" i="8" s="1"/>
  <c r="AAN25" i="8" s="1"/>
  <c r="AAO20" i="8" l="1"/>
  <c r="AAO28" i="8"/>
  <c r="AAO29" i="8" l="1"/>
  <c r="AAO30" i="8"/>
  <c r="AAO34" i="8"/>
  <c r="AAO35" i="8" s="1"/>
  <c r="AAO41" i="8" l="1"/>
  <c r="AAO42" i="8" s="1"/>
  <c r="AAO37" i="8"/>
  <c r="AAO36" i="8"/>
  <c r="AAO44" i="8" l="1"/>
  <c r="AAO43" i="8"/>
  <c r="AAO48" i="8"/>
  <c r="AAO49" i="8" s="1"/>
  <c r="AAO51" i="8" l="1"/>
  <c r="AAO50" i="8"/>
  <c r="AAO55" i="8"/>
  <c r="AAO56" i="8" s="1"/>
  <c r="AAO23" i="8" s="1"/>
  <c r="AAO24" i="8" s="1"/>
  <c r="AAO25" i="8" s="1"/>
  <c r="AAP20" i="8" l="1"/>
  <c r="AAP28" i="8"/>
  <c r="AAO58" i="8"/>
  <c r="AAO57" i="8"/>
  <c r="AAP29" i="8" l="1"/>
  <c r="AAP34" i="8"/>
  <c r="AAP35" i="8" s="1"/>
  <c r="AAP30" i="8"/>
  <c r="AAP41" i="8" l="1"/>
  <c r="AAP42" i="8" s="1"/>
  <c r="AAP36" i="8"/>
  <c r="AAP37" i="8"/>
  <c r="AAP44" i="8" l="1"/>
  <c r="AAP43" i="8"/>
  <c r="AAP48" i="8"/>
  <c r="AAP49" i="8" s="1"/>
  <c r="AAP55" i="8" l="1"/>
  <c r="AAP56" i="8" s="1"/>
  <c r="AAP23" i="8" s="1"/>
  <c r="AAP24" i="8" s="1"/>
  <c r="AAP25" i="8" s="1"/>
  <c r="AAP51" i="8"/>
  <c r="AAP50" i="8"/>
  <c r="AAQ20" i="8" l="1"/>
  <c r="AAQ28" i="8"/>
  <c r="AAP58" i="8"/>
  <c r="AAP57" i="8"/>
  <c r="AAQ29" i="8" l="1"/>
  <c r="AAQ34" i="8"/>
  <c r="AAQ35" i="8" s="1"/>
  <c r="AAQ30" i="8"/>
  <c r="AAQ41" i="8" l="1"/>
  <c r="AAQ42" i="8" s="1"/>
  <c r="AAQ36" i="8"/>
  <c r="AAQ37" i="8"/>
  <c r="AAQ44" i="8" l="1"/>
  <c r="AAQ43" i="8"/>
  <c r="AAQ48" i="8"/>
  <c r="AAQ49" i="8" s="1"/>
  <c r="AAQ55" i="8" l="1"/>
  <c r="AAQ56" i="8" s="1"/>
  <c r="AAQ50" i="8"/>
  <c r="AAQ51" i="8"/>
  <c r="AAQ58" i="8" l="1"/>
  <c r="AAQ57" i="8"/>
  <c r="AAQ23" i="8"/>
  <c r="AAQ24" i="8" s="1"/>
  <c r="AAQ25" i="8" s="1"/>
  <c r="AAR20" i="8" l="1"/>
  <c r="AAR28" i="8"/>
  <c r="AAR34" i="8" l="1"/>
  <c r="AAR35" i="8" s="1"/>
  <c r="AAR30" i="8"/>
  <c r="AAR29" i="8"/>
  <c r="AAR41" i="8" l="1"/>
  <c r="AAR42" i="8" s="1"/>
  <c r="AAR37" i="8"/>
  <c r="AAR36" i="8"/>
  <c r="AAR44" i="8" l="1"/>
  <c r="AAR43" i="8"/>
  <c r="AAR48" i="8"/>
  <c r="AAR49" i="8" s="1"/>
  <c r="AAR55" i="8" l="1"/>
  <c r="AAR56" i="8" s="1"/>
  <c r="AAR23" i="8" s="1"/>
  <c r="AAR24" i="8" s="1"/>
  <c r="AAR25" i="8" s="1"/>
  <c r="AAR51" i="8"/>
  <c r="AAR50" i="8"/>
  <c r="AAS20" i="8" l="1"/>
  <c r="AAS28" i="8"/>
  <c r="AAR57" i="8"/>
  <c r="AAR58" i="8"/>
  <c r="AAS29" i="8" l="1"/>
  <c r="AAS34" i="8"/>
  <c r="AAS35" i="8" s="1"/>
  <c r="AAS30" i="8"/>
  <c r="AAS41" i="8" l="1"/>
  <c r="AAS42" i="8" s="1"/>
  <c r="AAS37" i="8"/>
  <c r="AAS36" i="8"/>
  <c r="AAS48" i="8" l="1"/>
  <c r="AAS49" i="8" s="1"/>
  <c r="AAS55" i="8" s="1"/>
  <c r="AAS56" i="8" s="1"/>
  <c r="AAS43" i="8"/>
  <c r="AAS44" i="8"/>
  <c r="AAS58" i="8" l="1"/>
  <c r="AAS57" i="8"/>
  <c r="AAS51" i="8"/>
  <c r="AAS23" i="8"/>
  <c r="AAS24" i="8" s="1"/>
  <c r="AAS25" i="8" s="1"/>
  <c r="AAT20" i="8" s="1"/>
  <c r="AAS50" i="8"/>
  <c r="AAT28" i="8"/>
  <c r="AAT29" i="8" l="1"/>
  <c r="AAT34" i="8"/>
  <c r="AAT35" i="8" s="1"/>
  <c r="AAT41" i="8" s="1"/>
  <c r="AAT42" i="8" s="1"/>
  <c r="AAT30" i="8"/>
  <c r="AAT44" i="8" l="1"/>
  <c r="AAT43" i="8"/>
  <c r="AAT48" i="8"/>
  <c r="AAT49" i="8" s="1"/>
  <c r="AAT36" i="8"/>
  <c r="AAT37" i="8"/>
  <c r="AAT55" i="8" l="1"/>
  <c r="AAT56" i="8" s="1"/>
  <c r="AAT23" i="8" s="1"/>
  <c r="AAT24" i="8" s="1"/>
  <c r="AAT25" i="8" s="1"/>
  <c r="AAT51" i="8"/>
  <c r="AAT50" i="8"/>
  <c r="AAU20" i="8" l="1"/>
  <c r="AAU28" i="8"/>
  <c r="AAT58" i="8"/>
  <c r="AAT57" i="8"/>
  <c r="AAU34" i="8" l="1"/>
  <c r="AAU35" i="8" s="1"/>
  <c r="AAU29" i="8"/>
  <c r="AAU30" i="8"/>
  <c r="AAU41" i="8" l="1"/>
  <c r="AAU42" i="8" s="1"/>
  <c r="AAU36" i="8"/>
  <c r="AAU37" i="8"/>
  <c r="AAU44" i="8" l="1"/>
  <c r="AAU43" i="8"/>
  <c r="AAU48" i="8"/>
  <c r="AAU49" i="8" s="1"/>
  <c r="AAU55" i="8" l="1"/>
  <c r="AAU56" i="8" s="1"/>
  <c r="AAU23" i="8" s="1"/>
  <c r="AAU24" i="8" s="1"/>
  <c r="AAU25" i="8" s="1"/>
  <c r="AAU51" i="8"/>
  <c r="AAU50" i="8"/>
  <c r="AAV20" i="8" l="1"/>
  <c r="AAV28" i="8"/>
  <c r="AAU58" i="8"/>
  <c r="AAU57" i="8"/>
  <c r="AAV34" i="8" l="1"/>
  <c r="AAV35" i="8" s="1"/>
  <c r="AAV41" i="8" s="1"/>
  <c r="AAV42" i="8" s="1"/>
  <c r="AAV30" i="8"/>
  <c r="AAV29" i="8"/>
  <c r="AAV43" i="8" l="1"/>
  <c r="AAV44" i="8"/>
  <c r="AAV48" i="8"/>
  <c r="AAV49" i="8" s="1"/>
  <c r="AAV36" i="8"/>
  <c r="AAV37" i="8"/>
  <c r="AAV50" i="8" l="1"/>
  <c r="AAV51" i="8"/>
  <c r="AAV55" i="8"/>
  <c r="AAV56" i="8" s="1"/>
  <c r="AAV23" i="8" l="1"/>
  <c r="AAV24" i="8" s="1"/>
  <c r="AAV25" i="8" s="1"/>
  <c r="AAV57" i="8"/>
  <c r="AAV58" i="8"/>
  <c r="AAW20" i="8" l="1"/>
  <c r="AAW28" i="8"/>
  <c r="AAW30" i="8" l="1"/>
  <c r="AAW29" i="8"/>
  <c r="AAW34" i="8"/>
  <c r="AAW35" i="8" s="1"/>
  <c r="AAW41" i="8" s="1"/>
  <c r="AAW42" i="8" s="1"/>
  <c r="AAW44" i="8" l="1"/>
  <c r="AAW43" i="8"/>
  <c r="AAW48" i="8"/>
  <c r="AAW49" i="8" s="1"/>
  <c r="AAW36" i="8"/>
  <c r="AAW37" i="8"/>
  <c r="AAW51" i="8" l="1"/>
  <c r="AAW50" i="8"/>
  <c r="AAW55" i="8"/>
  <c r="AAW56" i="8" s="1"/>
  <c r="AAW58" i="8" l="1"/>
  <c r="AAW57" i="8"/>
  <c r="AAW23" i="8"/>
  <c r="AAW24" i="8" s="1"/>
  <c r="AAW25" i="8" s="1"/>
  <c r="AAX20" i="8" l="1"/>
  <c r="AAX28" i="8"/>
  <c r="AAX29" i="8" l="1"/>
  <c r="AAX30" i="8"/>
  <c r="AAX34" i="8"/>
  <c r="AAX35" i="8" s="1"/>
  <c r="AAX41" i="8" s="1"/>
  <c r="AAX42" i="8" s="1"/>
  <c r="AAX44" i="8" l="1"/>
  <c r="AAX43" i="8"/>
  <c r="AAX48" i="8"/>
  <c r="AAX49" i="8" s="1"/>
  <c r="AAX37" i="8"/>
  <c r="AAX36" i="8"/>
  <c r="AAX55" i="8" l="1"/>
  <c r="AAX56" i="8" s="1"/>
  <c r="AAX23" i="8" s="1"/>
  <c r="AAX24" i="8" s="1"/>
  <c r="AAX25" i="8" s="1"/>
  <c r="AAX50" i="8"/>
  <c r="AAX51" i="8"/>
  <c r="AAY20" i="8" l="1"/>
  <c r="AAY28" i="8"/>
  <c r="AAX58" i="8"/>
  <c r="AAX57" i="8"/>
  <c r="AAY29" i="8" l="1"/>
  <c r="AAY34" i="8"/>
  <c r="AAY35" i="8" s="1"/>
  <c r="AAY30" i="8"/>
  <c r="AAY41" i="8" l="1"/>
  <c r="AAY42" i="8" s="1"/>
  <c r="AAY36" i="8"/>
  <c r="AAY37" i="8"/>
  <c r="AAY48" i="8" l="1"/>
  <c r="AAY49" i="8" s="1"/>
  <c r="AAY55" i="8" s="1"/>
  <c r="AAY56" i="8" s="1"/>
  <c r="AAY44" i="8"/>
  <c r="AAY43" i="8"/>
  <c r="AAY58" i="8" l="1"/>
  <c r="AAY57" i="8"/>
  <c r="AAY50" i="8"/>
  <c r="AAY51" i="8"/>
  <c r="AAY23" i="8"/>
  <c r="AAY24" i="8" s="1"/>
  <c r="AAY25" i="8" s="1"/>
  <c r="AAZ20" i="8" l="1"/>
  <c r="AAZ28" i="8"/>
  <c r="AAZ29" i="8" l="1"/>
  <c r="AAZ34" i="8"/>
  <c r="AAZ35" i="8" s="1"/>
  <c r="AAZ41" i="8" s="1"/>
  <c r="AAZ42" i="8" s="1"/>
  <c r="AAZ30" i="8"/>
  <c r="AAZ43" i="8" l="1"/>
  <c r="AAZ44" i="8"/>
  <c r="AAZ48" i="8"/>
  <c r="AAZ49" i="8" s="1"/>
  <c r="AAZ37" i="8"/>
  <c r="AAZ36" i="8"/>
  <c r="AAZ55" i="8" l="1"/>
  <c r="AAZ56" i="8" s="1"/>
  <c r="AAZ23" i="8" s="1"/>
  <c r="AAZ24" i="8" s="1"/>
  <c r="AAZ25" i="8" s="1"/>
  <c r="AAZ51" i="8"/>
  <c r="AAZ50" i="8"/>
  <c r="ABA20" i="8" l="1"/>
  <c r="ABA28" i="8"/>
  <c r="AAZ57" i="8"/>
  <c r="AAZ58" i="8"/>
  <c r="ABA29" i="8" l="1"/>
  <c r="ABA34" i="8"/>
  <c r="ABA35" i="8" s="1"/>
  <c r="ABA30" i="8"/>
  <c r="ABA41" i="8" l="1"/>
  <c r="ABA42" i="8" s="1"/>
  <c r="ABA36" i="8"/>
  <c r="ABA37" i="8"/>
  <c r="ABA44" i="8" l="1"/>
  <c r="ABA43" i="8"/>
  <c r="ABA48" i="8"/>
  <c r="ABA49" i="8" s="1"/>
  <c r="ABA50" i="8" l="1"/>
  <c r="ABA51" i="8"/>
  <c r="ABA55" i="8"/>
  <c r="ABA56" i="8" s="1"/>
  <c r="ABA23" i="8" s="1"/>
  <c r="ABA24" i="8" s="1"/>
  <c r="ABA25" i="8" s="1"/>
  <c r="ABB20" i="8" l="1"/>
  <c r="ABB28" i="8"/>
  <c r="ABA57" i="8"/>
  <c r="ABA58" i="8"/>
  <c r="ABB34" i="8" l="1"/>
  <c r="ABB35" i="8" s="1"/>
  <c r="ABB41" i="8" s="1"/>
  <c r="ABB42" i="8" s="1"/>
  <c r="ABB30" i="8"/>
  <c r="ABB29" i="8"/>
  <c r="ABB43" i="8" l="1"/>
  <c r="ABB44" i="8"/>
  <c r="ABB48" i="8"/>
  <c r="ABB49" i="8" s="1"/>
  <c r="ABB36" i="8"/>
  <c r="ABB37" i="8"/>
  <c r="ABB55" i="8" l="1"/>
  <c r="ABB56" i="8" s="1"/>
  <c r="ABB23" i="8" s="1"/>
  <c r="ABB24" i="8" s="1"/>
  <c r="ABB25" i="8" s="1"/>
  <c r="ABB50" i="8"/>
  <c r="ABB51" i="8"/>
  <c r="ABC20" i="8" l="1"/>
  <c r="ABC28" i="8"/>
  <c r="ABB57" i="8"/>
  <c r="ABB58" i="8"/>
  <c r="ABC34" i="8" l="1"/>
  <c r="ABC35" i="8" s="1"/>
  <c r="ABC30" i="8"/>
  <c r="ABC29" i="8"/>
  <c r="ABC41" i="8" l="1"/>
  <c r="ABC42" i="8" s="1"/>
  <c r="ABC37" i="8"/>
  <c r="ABC36" i="8"/>
  <c r="ABC44" i="8" l="1"/>
  <c r="ABC43" i="8"/>
  <c r="ABC48" i="8"/>
  <c r="ABC49" i="8" s="1"/>
  <c r="ABC50" i="8" l="1"/>
  <c r="ABC51" i="8"/>
  <c r="ABC55" i="8"/>
  <c r="ABC56" i="8" s="1"/>
  <c r="ABC23" i="8" s="1"/>
  <c r="ABC24" i="8" s="1"/>
  <c r="ABC25" i="8" s="1"/>
  <c r="ABD20" i="8" l="1"/>
  <c r="ABD28" i="8"/>
  <c r="ABC57" i="8"/>
  <c r="ABC58" i="8"/>
  <c r="ABD29" i="8" l="1"/>
  <c r="ABD30" i="8"/>
  <c r="ABD34" i="8"/>
  <c r="ABD35" i="8" s="1"/>
  <c r="ABD41" i="8" l="1"/>
  <c r="ABD42" i="8" s="1"/>
  <c r="ABD37" i="8"/>
  <c r="ABD36" i="8"/>
  <c r="ABD43" i="8" l="1"/>
  <c r="ABD44" i="8"/>
  <c r="ABD48" i="8"/>
  <c r="ABD49" i="8" s="1"/>
  <c r="ABD50" i="8" l="1"/>
  <c r="ABD51" i="8"/>
  <c r="ABD55" i="8"/>
  <c r="ABD56" i="8" s="1"/>
  <c r="ABD23" i="8" l="1"/>
  <c r="ABD24" i="8" s="1"/>
  <c r="ABD25" i="8" s="1"/>
  <c r="ABD57" i="8"/>
  <c r="ABD58" i="8"/>
  <c r="ABE20" i="8" l="1"/>
  <c r="ABE28" i="8"/>
  <c r="ABE34" i="8" l="1"/>
  <c r="ABE35" i="8" s="1"/>
  <c r="ABE30" i="8"/>
  <c r="ABE29" i="8"/>
  <c r="ABE41" i="8" l="1"/>
  <c r="ABE42" i="8" s="1"/>
  <c r="ABE37" i="8"/>
  <c r="ABE36" i="8"/>
  <c r="ABE48" i="8" l="1"/>
  <c r="ABE49" i="8" s="1"/>
  <c r="ABE43" i="8"/>
  <c r="ABE44" i="8"/>
  <c r="ABE50" i="8" l="1"/>
  <c r="ABE51" i="8"/>
  <c r="ABE55" i="8"/>
  <c r="ABE56" i="8" s="1"/>
  <c r="ABE57" i="8" l="1"/>
  <c r="ABE58" i="8"/>
  <c r="ABE23" i="8"/>
  <c r="ABE24" i="8" s="1"/>
  <c r="ABE25" i="8" s="1"/>
  <c r="ABF20" i="8" l="1"/>
  <c r="ABF28" i="8"/>
  <c r="ABF34" i="8" l="1"/>
  <c r="ABF35" i="8" s="1"/>
  <c r="ABF29" i="8"/>
  <c r="ABF30" i="8"/>
  <c r="ABF41" i="8" l="1"/>
  <c r="ABF42" i="8" s="1"/>
  <c r="ABF36" i="8"/>
  <c r="ABF37" i="8"/>
  <c r="ABF43" i="8" l="1"/>
  <c r="ABF44" i="8"/>
  <c r="ABF48" i="8"/>
  <c r="ABF49" i="8" s="1"/>
  <c r="ABF50" i="8" l="1"/>
  <c r="ABF51" i="8"/>
  <c r="ABF55" i="8"/>
  <c r="ABF56" i="8" s="1"/>
  <c r="ABF57" i="8" l="1"/>
  <c r="ABF58" i="8"/>
  <c r="ABF23" i="8"/>
  <c r="ABF24" i="8" s="1"/>
  <c r="ABF25" i="8" s="1"/>
  <c r="ABG20" i="8" l="1"/>
  <c r="ABG28" i="8"/>
  <c r="ABG34" i="8" l="1"/>
  <c r="ABG35" i="8" s="1"/>
  <c r="ABG30" i="8"/>
  <c r="ABG29" i="8"/>
  <c r="ABG41" i="8" l="1"/>
  <c r="ABG42" i="8" s="1"/>
  <c r="ABG37" i="8"/>
  <c r="ABG36" i="8"/>
  <c r="ABG43" i="8" l="1"/>
  <c r="ABG44" i="8"/>
  <c r="ABG48" i="8"/>
  <c r="ABG49" i="8" s="1"/>
  <c r="ABG50" i="8" l="1"/>
  <c r="ABG51" i="8"/>
  <c r="ABG55" i="8"/>
  <c r="ABG56" i="8" s="1"/>
  <c r="ABG23" i="8" l="1"/>
  <c r="ABG24" i="8" s="1"/>
  <c r="ABG25" i="8" s="1"/>
  <c r="ABG57" i="8"/>
  <c r="ABG58" i="8"/>
  <c r="ABH20" i="8" l="1"/>
  <c r="ABH28" i="8"/>
  <c r="ABH30" i="8" l="1"/>
  <c r="ABH34" i="8"/>
  <c r="ABH35" i="8" s="1"/>
  <c r="ABH41" i="8" s="1"/>
  <c r="ABH42" i="8" s="1"/>
  <c r="ABH29" i="8"/>
  <c r="ABH43" i="8" l="1"/>
  <c r="ABH44" i="8"/>
  <c r="ABH48" i="8"/>
  <c r="ABH49" i="8" s="1"/>
  <c r="ABH36" i="8"/>
  <c r="ABH37" i="8"/>
  <c r="ABH50" i="8" l="1"/>
  <c r="ABH51" i="8"/>
  <c r="ABH55" i="8"/>
  <c r="ABH56" i="8" s="1"/>
  <c r="ABH57" i="8" l="1"/>
  <c r="ABH58" i="8"/>
  <c r="ABH23" i="8"/>
  <c r="ABH24" i="8" s="1"/>
  <c r="ABH25" i="8" s="1"/>
  <c r="ABI20" i="8" l="1"/>
  <c r="ABI28" i="8"/>
  <c r="ABI34" i="8" l="1"/>
  <c r="ABI35" i="8" s="1"/>
  <c r="ABI41" i="8" s="1"/>
  <c r="ABI42" i="8" s="1"/>
  <c r="ABI29" i="8"/>
  <c r="ABI30" i="8"/>
  <c r="ABI43" i="8" l="1"/>
  <c r="ABI44" i="8"/>
  <c r="ABI48" i="8"/>
  <c r="ABI49" i="8" s="1"/>
  <c r="ABI55" i="8" s="1"/>
  <c r="ABI56" i="8" s="1"/>
  <c r="ABI36" i="8"/>
  <c r="ABI37" i="8"/>
  <c r="ABI23" i="8" l="1"/>
  <c r="ABI24" i="8" s="1"/>
  <c r="ABI25" i="8" s="1"/>
  <c r="ABI57" i="8"/>
  <c r="ABI58" i="8"/>
  <c r="ABI51" i="8"/>
  <c r="ABI50" i="8"/>
  <c r="ABJ20" i="8" l="1"/>
  <c r="ABJ28" i="8"/>
  <c r="ABJ29" i="8" l="1"/>
  <c r="ABJ30" i="8"/>
  <c r="ABJ34" i="8"/>
  <c r="ABJ35" i="8" s="1"/>
  <c r="ABJ41" i="8" l="1"/>
  <c r="ABJ42" i="8" s="1"/>
  <c r="ABJ37" i="8"/>
  <c r="ABJ36" i="8"/>
  <c r="ABJ44" i="8" l="1"/>
  <c r="ABJ43" i="8"/>
  <c r="ABJ48" i="8"/>
  <c r="ABJ49" i="8" s="1"/>
  <c r="ABJ51" i="8" l="1"/>
  <c r="ABJ50" i="8"/>
  <c r="ABJ55" i="8"/>
  <c r="ABJ56" i="8" s="1"/>
  <c r="ABJ58" i="8" l="1"/>
  <c r="ABJ57" i="8"/>
  <c r="ABJ23" i="8"/>
  <c r="ABJ24" i="8" s="1"/>
  <c r="ABJ25" i="8" s="1"/>
  <c r="ABK20" i="8" l="1"/>
  <c r="ABK28" i="8"/>
  <c r="ABK34" i="8" l="1"/>
  <c r="ABK35" i="8" s="1"/>
  <c r="ABK30" i="8"/>
  <c r="ABK29" i="8"/>
  <c r="ABK41" i="8" l="1"/>
  <c r="ABK42" i="8" s="1"/>
  <c r="ABK37" i="8"/>
  <c r="ABK36" i="8"/>
  <c r="ABK44" i="8" l="1"/>
  <c r="ABK43" i="8"/>
  <c r="ABK48" i="8"/>
  <c r="ABK49" i="8" s="1"/>
  <c r="ABK51" i="8" l="1"/>
  <c r="ABK50" i="8"/>
  <c r="ABK55" i="8"/>
  <c r="ABK56" i="8" s="1"/>
  <c r="ABK58" i="8" l="1"/>
  <c r="ABK57" i="8"/>
  <c r="ABK23" i="8"/>
  <c r="ABK24" i="8" s="1"/>
  <c r="ABK25" i="8" s="1"/>
  <c r="ABL20" i="8" l="1"/>
  <c r="ABL28" i="8"/>
  <c r="ABL29" i="8" l="1"/>
  <c r="ABL34" i="8"/>
  <c r="ABL35" i="8" s="1"/>
  <c r="ABL30" i="8"/>
  <c r="ABL41" i="8" l="1"/>
  <c r="ABL42" i="8" s="1"/>
  <c r="ABL37" i="8"/>
  <c r="ABL36" i="8"/>
  <c r="ABL44" i="8" l="1"/>
  <c r="ABL43" i="8"/>
  <c r="ABL48" i="8"/>
  <c r="ABL49" i="8" s="1"/>
  <c r="ABL51" i="8" l="1"/>
  <c r="ABL50" i="8"/>
  <c r="ABL55" i="8"/>
  <c r="ABL56" i="8" s="1"/>
  <c r="ABL23" i="8" s="1"/>
  <c r="ABL24" i="8" s="1"/>
  <c r="ABL25" i="8" s="1"/>
  <c r="ABM20" i="8" l="1"/>
  <c r="ABM28" i="8"/>
  <c r="ABL57" i="8"/>
  <c r="ABL58" i="8"/>
  <c r="ABM29" i="8" l="1"/>
  <c r="ABM30" i="8"/>
  <c r="ABM34" i="8"/>
  <c r="ABM35" i="8" s="1"/>
  <c r="ABM41" i="8" l="1"/>
  <c r="ABM42" i="8" s="1"/>
  <c r="ABM37" i="8"/>
  <c r="ABM36" i="8"/>
  <c r="ABM43" i="8" l="1"/>
  <c r="ABM44" i="8"/>
  <c r="ABM48" i="8"/>
  <c r="ABM49" i="8" s="1"/>
  <c r="ABM50" i="8" l="1"/>
  <c r="ABM51" i="8"/>
  <c r="ABM55" i="8"/>
  <c r="ABM56" i="8" s="1"/>
  <c r="ABM23" i="8" l="1"/>
  <c r="ABM24" i="8" s="1"/>
  <c r="ABM25" i="8" s="1"/>
  <c r="ABM58" i="8"/>
  <c r="ABM57" i="8"/>
  <c r="ABN20" i="8" l="1"/>
  <c r="ABN28" i="8"/>
  <c r="ABN34" i="8" l="1"/>
  <c r="ABN35" i="8" s="1"/>
  <c r="ABN29" i="8"/>
  <c r="ABN30" i="8"/>
  <c r="ABN41" i="8" l="1"/>
  <c r="ABN42" i="8" s="1"/>
  <c r="ABN37" i="8"/>
  <c r="ABN36" i="8"/>
  <c r="ABN43" i="8" l="1"/>
  <c r="ABN44" i="8"/>
  <c r="ABN48" i="8"/>
  <c r="ABN49" i="8" s="1"/>
  <c r="ABN50" i="8" l="1"/>
  <c r="ABN51" i="8"/>
  <c r="ABN55" i="8"/>
  <c r="ABN56" i="8" s="1"/>
  <c r="ABN23" i="8" l="1"/>
  <c r="ABN24" i="8" s="1"/>
  <c r="ABN25" i="8" s="1"/>
  <c r="ABN58" i="8"/>
  <c r="ABN57" i="8"/>
  <c r="ABO20" i="8" l="1"/>
  <c r="ABO28" i="8"/>
  <c r="ABO29" i="8" l="1"/>
  <c r="ABO34" i="8"/>
  <c r="ABO35" i="8" s="1"/>
  <c r="ABO30" i="8"/>
  <c r="ABO41" i="8" l="1"/>
  <c r="ABO42" i="8" s="1"/>
  <c r="ABO37" i="8"/>
  <c r="ABO36" i="8"/>
  <c r="ABO48" i="8" l="1"/>
  <c r="ABO49" i="8" s="1"/>
  <c r="ABO44" i="8"/>
  <c r="ABO43" i="8"/>
  <c r="ABO50" i="8" l="1"/>
  <c r="ABO51" i="8"/>
  <c r="ABO55" i="8"/>
  <c r="ABO56" i="8" s="1"/>
  <c r="ABO57" i="8" l="1"/>
  <c r="ABO58" i="8"/>
  <c r="ABO23" i="8"/>
  <c r="ABO24" i="8" s="1"/>
  <c r="ABO25" i="8" s="1"/>
  <c r="ABP20" i="8" l="1"/>
  <c r="ABP28" i="8"/>
  <c r="ABP34" i="8" l="1"/>
  <c r="ABP35" i="8" s="1"/>
  <c r="ABP41" i="8" s="1"/>
  <c r="ABP42" i="8" s="1"/>
  <c r="ABP29" i="8"/>
  <c r="ABP30" i="8"/>
  <c r="ABP43" i="8" l="1"/>
  <c r="ABP44" i="8"/>
  <c r="ABP48" i="8"/>
  <c r="ABP49" i="8" s="1"/>
  <c r="ABP37" i="8"/>
  <c r="ABP36" i="8"/>
  <c r="ABP50" i="8" l="1"/>
  <c r="ABP51" i="8"/>
  <c r="ABP55" i="8"/>
  <c r="ABP56" i="8" s="1"/>
  <c r="ABP23" i="8" l="1"/>
  <c r="ABP24" i="8" s="1"/>
  <c r="ABP25" i="8" s="1"/>
  <c r="ABP58" i="8"/>
  <c r="ABP57" i="8"/>
  <c r="ABQ20" i="8" l="1"/>
  <c r="ABQ28" i="8"/>
  <c r="ABQ34" i="8" l="1"/>
  <c r="ABQ35" i="8" s="1"/>
  <c r="ABQ29" i="8"/>
  <c r="ABQ30" i="8"/>
  <c r="ABQ41" i="8" l="1"/>
  <c r="ABQ42" i="8" s="1"/>
  <c r="ABQ37" i="8"/>
  <c r="ABQ36" i="8"/>
  <c r="ABQ43" i="8" l="1"/>
  <c r="ABQ44" i="8"/>
  <c r="ABQ48" i="8"/>
  <c r="ABQ49" i="8" s="1"/>
  <c r="ABQ55" i="8" l="1"/>
  <c r="ABQ56" i="8" s="1"/>
  <c r="ABQ23" i="8" s="1"/>
  <c r="ABQ24" i="8" s="1"/>
  <c r="ABQ25" i="8" s="1"/>
  <c r="ABQ50" i="8"/>
  <c r="ABQ51" i="8"/>
  <c r="ABR20" i="8" l="1"/>
  <c r="ABR28" i="8"/>
  <c r="ABQ58" i="8"/>
  <c r="ABQ57" i="8"/>
  <c r="ABR30" i="8" l="1"/>
  <c r="ABR34" i="8"/>
  <c r="ABR35" i="8" s="1"/>
  <c r="ABR29" i="8"/>
  <c r="ABR41" i="8" l="1"/>
  <c r="ABR42" i="8" s="1"/>
  <c r="ABR36" i="8"/>
  <c r="ABR37" i="8"/>
  <c r="ABR43" i="8" l="1"/>
  <c r="ABR44" i="8"/>
  <c r="ABR48" i="8"/>
  <c r="ABR49" i="8" s="1"/>
  <c r="ABR51" i="8" l="1"/>
  <c r="ABR50" i="8"/>
  <c r="ABR55" i="8"/>
  <c r="ABR56" i="8" s="1"/>
  <c r="ABR57" i="8" l="1"/>
  <c r="ABR58" i="8"/>
  <c r="ABR23" i="8"/>
  <c r="ABR24" i="8" s="1"/>
  <c r="ABR25" i="8" s="1"/>
  <c r="ABS20" i="8" l="1"/>
  <c r="ABS28" i="8"/>
  <c r="ABS30" i="8" l="1"/>
  <c r="ABS34" i="8"/>
  <c r="ABS35" i="8" s="1"/>
  <c r="ABS41" i="8" s="1"/>
  <c r="ABS42" i="8" s="1"/>
  <c r="ABS29" i="8"/>
  <c r="ABS44" i="8" l="1"/>
  <c r="ABS43" i="8"/>
  <c r="ABS48" i="8"/>
  <c r="ABS49" i="8" s="1"/>
  <c r="ABS37" i="8"/>
  <c r="ABS36" i="8"/>
  <c r="ABS55" i="8" l="1"/>
  <c r="ABS56" i="8" s="1"/>
  <c r="ABS50" i="8"/>
  <c r="ABS51" i="8"/>
  <c r="ABS57" i="8" l="1"/>
  <c r="ABS58" i="8"/>
  <c r="ABS23" i="8"/>
  <c r="ABS24" i="8" s="1"/>
  <c r="ABS25" i="8" s="1"/>
  <c r="ABT20" i="8" l="1"/>
  <c r="ABT28" i="8"/>
  <c r="ABT34" i="8" l="1"/>
  <c r="ABT35" i="8" s="1"/>
  <c r="ABT30" i="8"/>
  <c r="ABT29" i="8"/>
  <c r="ABT41" i="8" l="1"/>
  <c r="ABT42" i="8" s="1"/>
  <c r="ABT36" i="8"/>
  <c r="ABT37" i="8"/>
  <c r="ABT44" i="8" l="1"/>
  <c r="ABT43" i="8"/>
  <c r="ABT48" i="8"/>
  <c r="ABT49" i="8" s="1"/>
  <c r="ABT50" i="8" l="1"/>
  <c r="ABT51" i="8"/>
  <c r="ABT55" i="8"/>
  <c r="ABT56" i="8" s="1"/>
  <c r="ABT23" i="8" l="1"/>
  <c r="ABT24" i="8" s="1"/>
  <c r="ABT25" i="8" s="1"/>
  <c r="ABT58" i="8"/>
  <c r="ABT57" i="8"/>
  <c r="ABU20" i="8" l="1"/>
  <c r="ABU28" i="8"/>
  <c r="ABU34" i="8" l="1"/>
  <c r="ABU35" i="8" s="1"/>
  <c r="ABU41" i="8" s="1"/>
  <c r="ABU42" i="8" s="1"/>
  <c r="ABU30" i="8"/>
  <c r="ABU29" i="8"/>
  <c r="ABU44" i="8" l="1"/>
  <c r="ABU43" i="8"/>
  <c r="ABU48" i="8"/>
  <c r="ABU49" i="8" s="1"/>
  <c r="ABU37" i="8"/>
  <c r="ABU36" i="8"/>
  <c r="ABU55" i="8" l="1"/>
  <c r="ABU56" i="8" s="1"/>
  <c r="ABU23" i="8" s="1"/>
  <c r="ABU24" i="8" s="1"/>
  <c r="ABU25" i="8" s="1"/>
  <c r="ABU50" i="8"/>
  <c r="ABU51" i="8"/>
  <c r="ABV20" i="8" l="1"/>
  <c r="ABV28" i="8"/>
  <c r="ABU57" i="8"/>
  <c r="ABU58" i="8"/>
  <c r="ABV34" i="8" l="1"/>
  <c r="ABV35" i="8" s="1"/>
  <c r="ABV41" i="8" s="1"/>
  <c r="ABV42" i="8" s="1"/>
  <c r="ABV29" i="8"/>
  <c r="ABV30" i="8"/>
  <c r="ABV44" i="8" l="1"/>
  <c r="ABV43" i="8"/>
  <c r="ABV48" i="8"/>
  <c r="ABV49" i="8" s="1"/>
  <c r="ABV37" i="8"/>
  <c r="ABV36" i="8"/>
  <c r="ABV55" i="8" l="1"/>
  <c r="ABV56" i="8" s="1"/>
  <c r="ABV50" i="8"/>
  <c r="ABV51" i="8"/>
  <c r="ABV57" i="8" l="1"/>
  <c r="ABV58" i="8"/>
  <c r="ABV23" i="8"/>
  <c r="ABV24" i="8" s="1"/>
  <c r="ABV25" i="8" s="1"/>
  <c r="ABW20" i="8" l="1"/>
  <c r="ABW28" i="8"/>
  <c r="ABW30" i="8" l="1"/>
  <c r="ABW29" i="8"/>
  <c r="ABW34" i="8"/>
  <c r="ABW35" i="8" s="1"/>
  <c r="ABW41" i="8" l="1"/>
  <c r="ABW42" i="8" s="1"/>
  <c r="ABW36" i="8"/>
  <c r="ABW37" i="8"/>
  <c r="ABW44" i="8" l="1"/>
  <c r="ABW43" i="8"/>
  <c r="ABW48" i="8"/>
  <c r="ABW49" i="8" s="1"/>
  <c r="ABW51" i="8" l="1"/>
  <c r="ABW50" i="8"/>
  <c r="ABW55" i="8"/>
  <c r="ABW56" i="8" s="1"/>
  <c r="ABW23" i="8" l="1"/>
  <c r="ABW24" i="8" s="1"/>
  <c r="ABW25" i="8" s="1"/>
  <c r="ABW57" i="8"/>
  <c r="ABW58" i="8"/>
  <c r="ABX20" i="8" l="1"/>
  <c r="ABX28" i="8"/>
  <c r="ABX30" i="8" l="1"/>
  <c r="ABX29" i="8"/>
  <c r="ABX34" i="8"/>
  <c r="ABX35" i="8" s="1"/>
  <c r="ABX41" i="8" s="1"/>
  <c r="ABX42" i="8" s="1"/>
  <c r="ABX43" i="8" l="1"/>
  <c r="ABX44" i="8"/>
  <c r="ABX48" i="8"/>
  <c r="ABX49" i="8" s="1"/>
  <c r="ABX36" i="8"/>
  <c r="ABX37" i="8"/>
  <c r="ABX51" i="8" l="1"/>
  <c r="ABX50" i="8"/>
  <c r="ABX55" i="8"/>
  <c r="ABX56" i="8" s="1"/>
  <c r="ABX23" i="8" l="1"/>
  <c r="ABX24" i="8" s="1"/>
  <c r="ABX25" i="8" s="1"/>
  <c r="ABX57" i="8"/>
  <c r="ABX58" i="8"/>
  <c r="ABY20" i="8" l="1"/>
  <c r="ABY28" i="8"/>
  <c r="ABY29" i="8" l="1"/>
  <c r="ABY34" i="8"/>
  <c r="ABY35" i="8" s="1"/>
  <c r="ABY30" i="8"/>
  <c r="ABY41" i="8" l="1"/>
  <c r="ABY42" i="8" s="1"/>
  <c r="ABY36" i="8"/>
  <c r="ABY37" i="8"/>
  <c r="ABY43" i="8" l="1"/>
  <c r="ABY44" i="8"/>
  <c r="ABY48" i="8"/>
  <c r="ABY49" i="8" s="1"/>
  <c r="ABY55" i="8" s="1"/>
  <c r="ABY56" i="8" s="1"/>
  <c r="ABY23" i="8" l="1"/>
  <c r="ABY24" i="8" s="1"/>
  <c r="ABY25" i="8" s="1"/>
  <c r="ABY57" i="8"/>
  <c r="ABY58" i="8"/>
  <c r="ABY50" i="8"/>
  <c r="ABY51" i="8"/>
  <c r="ABZ20" i="8" l="1"/>
  <c r="ABZ28" i="8"/>
  <c r="ABZ30" i="8" l="1"/>
  <c r="ABZ29" i="8"/>
  <c r="ABZ34" i="8"/>
  <c r="ABZ35" i="8" s="1"/>
  <c r="ABZ36" i="8" l="1"/>
  <c r="ABZ37" i="8"/>
  <c r="ABZ41" i="8"/>
  <c r="ABZ42" i="8" s="1"/>
  <c r="ABZ44" i="8" l="1"/>
  <c r="ABZ43" i="8"/>
  <c r="ABZ48" i="8"/>
  <c r="ABZ49" i="8" s="1"/>
  <c r="ABZ55" i="8" s="1"/>
  <c r="ABZ56" i="8" s="1"/>
  <c r="ABZ23" i="8" l="1"/>
  <c r="ABZ24" i="8" s="1"/>
  <c r="ABZ25" i="8" s="1"/>
  <c r="ABZ57" i="8"/>
  <c r="ABZ58" i="8"/>
  <c r="ABZ51" i="8"/>
  <c r="ABZ50" i="8"/>
  <c r="ACA20" i="8" l="1"/>
  <c r="ACA28" i="8"/>
  <c r="ACA29" i="8" l="1"/>
  <c r="ACA34" i="8"/>
  <c r="ACA35" i="8" s="1"/>
  <c r="ACA30" i="8"/>
  <c r="ACA41" i="8" l="1"/>
  <c r="ACA42" i="8" s="1"/>
  <c r="ACA36" i="8"/>
  <c r="ACA37" i="8"/>
  <c r="ACA43" i="8" l="1"/>
  <c r="ACA44" i="8"/>
  <c r="ACA48" i="8"/>
  <c r="ACA49" i="8" s="1"/>
  <c r="ACA55" i="8" s="1"/>
  <c r="ACA56" i="8" s="1"/>
  <c r="ACA57" i="8" l="1"/>
  <c r="ACA58" i="8"/>
  <c r="ACA51" i="8"/>
  <c r="ACA50" i="8"/>
  <c r="ACA23" i="8"/>
  <c r="ACA24" i="8" s="1"/>
  <c r="ACA25" i="8" s="1"/>
  <c r="ACB20" i="8" l="1"/>
  <c r="ACB28" i="8"/>
  <c r="ACB29" i="8" l="1"/>
  <c r="ACB30" i="8"/>
  <c r="ACB34" i="8"/>
  <c r="ACB35" i="8" s="1"/>
  <c r="ACB41" i="8" l="1"/>
  <c r="ACB42" i="8" s="1"/>
  <c r="ACB37" i="8"/>
  <c r="ACB36" i="8"/>
  <c r="ACB44" i="8" l="1"/>
  <c r="ACB43" i="8"/>
  <c r="ACB48" i="8"/>
  <c r="ACB49" i="8" s="1"/>
  <c r="ACB50" i="8" l="1"/>
  <c r="ACB51" i="8"/>
  <c r="ACB55" i="8"/>
  <c r="ACB56" i="8" s="1"/>
  <c r="ACB57" i="8" l="1"/>
  <c r="ACB58" i="8"/>
  <c r="ACB23" i="8"/>
  <c r="ACB24" i="8" s="1"/>
  <c r="ACB25" i="8" s="1"/>
  <c r="ACC20" i="8" l="1"/>
  <c r="ACC28" i="8"/>
  <c r="ACC34" i="8" l="1"/>
  <c r="ACC35" i="8" s="1"/>
  <c r="ACC30" i="8"/>
  <c r="ACC29" i="8"/>
  <c r="ACC41" i="8" l="1"/>
  <c r="ACC42" i="8" s="1"/>
  <c r="ACC37" i="8"/>
  <c r="ACC36" i="8"/>
  <c r="ACC44" i="8" l="1"/>
  <c r="ACC43" i="8"/>
  <c r="ACC48" i="8"/>
  <c r="ACC49" i="8" s="1"/>
  <c r="ACC51" i="8" l="1"/>
  <c r="ACC50" i="8"/>
  <c r="ACC55" i="8"/>
  <c r="ACC56" i="8" s="1"/>
  <c r="ACC57" i="8" l="1"/>
  <c r="ACC58" i="8"/>
  <c r="ACC23" i="8"/>
  <c r="ACC24" i="8" s="1"/>
  <c r="ACC25" i="8" s="1"/>
  <c r="ACD20" i="8" l="1"/>
  <c r="ACD28" i="8"/>
  <c r="ACD29" i="8" l="1"/>
  <c r="ACD34" i="8"/>
  <c r="ACD35" i="8" s="1"/>
  <c r="ACD41" i="8" s="1"/>
  <c r="ACD42" i="8" s="1"/>
  <c r="ACD30" i="8"/>
  <c r="ACD44" i="8" l="1"/>
  <c r="ACD43" i="8"/>
  <c r="ACD48" i="8"/>
  <c r="ACD49" i="8" s="1"/>
  <c r="ACD36" i="8"/>
  <c r="ACD37" i="8"/>
  <c r="ACD50" i="8" l="1"/>
  <c r="ACD51" i="8"/>
  <c r="ACD55" i="8"/>
  <c r="ACD56" i="8" s="1"/>
  <c r="ACD23" i="8" l="1"/>
  <c r="ACD24" i="8" s="1"/>
  <c r="ACD25" i="8" s="1"/>
  <c r="ACD57" i="8"/>
  <c r="ACD58" i="8"/>
  <c r="ACE20" i="8" l="1"/>
  <c r="ACE28" i="8"/>
  <c r="ACE30" i="8" l="1"/>
  <c r="ACE29" i="8"/>
  <c r="ACE34" i="8"/>
  <c r="ACE35" i="8" s="1"/>
  <c r="ACE41" i="8" s="1"/>
  <c r="ACE42" i="8" s="1"/>
  <c r="ACE43" i="8" l="1"/>
  <c r="ACE44" i="8"/>
  <c r="ACE48" i="8"/>
  <c r="ACE49" i="8" s="1"/>
  <c r="ACE36" i="8"/>
  <c r="ACE37" i="8"/>
  <c r="ACE51" i="8" l="1"/>
  <c r="ACE50" i="8"/>
  <c r="ACE55" i="8"/>
  <c r="ACE56" i="8" s="1"/>
  <c r="ACE23" i="8" l="1"/>
  <c r="ACE24" i="8" s="1"/>
  <c r="ACE25" i="8" s="1"/>
  <c r="ACE57" i="8"/>
  <c r="ACE58" i="8"/>
  <c r="ACF20" i="8" l="1"/>
  <c r="ACF28" i="8"/>
  <c r="ACF30" i="8" l="1"/>
  <c r="ACF34" i="8"/>
  <c r="ACF35" i="8" s="1"/>
  <c r="ACF29" i="8"/>
  <c r="ACF41" i="8" l="1"/>
  <c r="ACF42" i="8" s="1"/>
  <c r="ACF37" i="8"/>
  <c r="ACF36" i="8"/>
  <c r="ACF43" i="8" l="1"/>
  <c r="ACF44" i="8"/>
  <c r="ACF48" i="8"/>
  <c r="ACF49" i="8" s="1"/>
  <c r="ACF55" i="8" s="1"/>
  <c r="ACF56" i="8" s="1"/>
  <c r="ACF58" i="8" l="1"/>
  <c r="ACF57" i="8"/>
  <c r="ACF23" i="8"/>
  <c r="ACF24" i="8" s="1"/>
  <c r="ACF25" i="8" s="1"/>
  <c r="ACF51" i="8"/>
  <c r="ACF50" i="8"/>
  <c r="ACG20" i="8" l="1"/>
  <c r="ACG28" i="8"/>
  <c r="ACG29" i="8" l="1"/>
  <c r="ACG34" i="8"/>
  <c r="ACG35" i="8" s="1"/>
  <c r="ACG30" i="8"/>
  <c r="ACG41" i="8" l="1"/>
  <c r="ACG42" i="8" s="1"/>
  <c r="ACG37" i="8"/>
  <c r="ACG36" i="8"/>
  <c r="ACG44" i="8" l="1"/>
  <c r="ACG43" i="8"/>
  <c r="ACG48" i="8"/>
  <c r="ACG49" i="8" s="1"/>
  <c r="ACG51" i="8" l="1"/>
  <c r="ACG50" i="8"/>
  <c r="ACG55" i="8"/>
  <c r="ACG56" i="8" s="1"/>
  <c r="ACG23" i="8" l="1"/>
  <c r="ACG24" i="8" s="1"/>
  <c r="ACG25" i="8" s="1"/>
  <c r="ACG58" i="8"/>
  <c r="ACG57" i="8"/>
  <c r="ACH20" i="8" l="1"/>
  <c r="ACH28" i="8"/>
  <c r="ACH29" i="8" l="1"/>
  <c r="ACH30" i="8"/>
  <c r="ACH34" i="8"/>
  <c r="ACH35" i="8" s="1"/>
  <c r="ACH41" i="8" s="1"/>
  <c r="ACH42" i="8" s="1"/>
  <c r="ACH44" i="8" l="1"/>
  <c r="ACH43" i="8"/>
  <c r="ACH48" i="8"/>
  <c r="ACH49" i="8" s="1"/>
  <c r="ACH37" i="8"/>
  <c r="ACH36" i="8"/>
  <c r="ACH51" i="8" l="1"/>
  <c r="ACH50" i="8"/>
  <c r="ACH55" i="8"/>
  <c r="ACH56" i="8" s="1"/>
  <c r="ACH57" i="8" l="1"/>
  <c r="ACH58" i="8"/>
  <c r="ACH23" i="8"/>
  <c r="ACH24" i="8" s="1"/>
  <c r="ACH25" i="8" s="1"/>
  <c r="ACI20" i="8" l="1"/>
  <c r="ACI28" i="8"/>
  <c r="ACI34" i="8" l="1"/>
  <c r="ACI35" i="8" s="1"/>
  <c r="ACI41" i="8" s="1"/>
  <c r="ACI42" i="8" s="1"/>
  <c r="ACI29" i="8"/>
  <c r="ACI30" i="8"/>
  <c r="ACI43" i="8" l="1"/>
  <c r="ACI44" i="8"/>
  <c r="ACI48" i="8"/>
  <c r="ACI49" i="8" s="1"/>
  <c r="ACI37" i="8"/>
  <c r="ACI36" i="8"/>
  <c r="ACI55" i="8" l="1"/>
  <c r="ACI56" i="8" s="1"/>
  <c r="ACI51" i="8"/>
  <c r="ACI50" i="8"/>
  <c r="ACI57" i="8" l="1"/>
  <c r="ACI58" i="8"/>
  <c r="ACI23" i="8"/>
  <c r="ACI24" i="8" s="1"/>
  <c r="ACI25" i="8" s="1"/>
  <c r="ACJ20" i="8" l="1"/>
  <c r="ACJ28" i="8"/>
  <c r="ACJ30" i="8" l="1"/>
  <c r="ACJ34" i="8"/>
  <c r="ACJ35" i="8" s="1"/>
  <c r="ACJ41" i="8" s="1"/>
  <c r="ACJ42" i="8" s="1"/>
  <c r="ACJ29" i="8"/>
  <c r="ACJ43" i="8" l="1"/>
  <c r="ACJ44" i="8"/>
  <c r="ACJ48" i="8"/>
  <c r="ACJ49" i="8" s="1"/>
  <c r="ACJ36" i="8"/>
  <c r="ACJ37" i="8"/>
  <c r="ACJ55" i="8" l="1"/>
  <c r="ACJ56" i="8" s="1"/>
  <c r="ACJ51" i="8"/>
  <c r="ACJ50" i="8"/>
  <c r="ACJ58" i="8" l="1"/>
  <c r="ACJ57" i="8"/>
  <c r="ACJ23" i="8"/>
  <c r="ACJ24" i="8" s="1"/>
  <c r="ACJ25" i="8" s="1"/>
  <c r="ACK20" i="8" l="1"/>
  <c r="ACK28" i="8"/>
  <c r="ACK30" i="8" l="1"/>
  <c r="ACK34" i="8"/>
  <c r="ACK35" i="8" s="1"/>
  <c r="ACK29" i="8"/>
  <c r="ACK36" i="8" l="1"/>
  <c r="ACK37" i="8"/>
  <c r="ACK41" i="8"/>
  <c r="ACK42" i="8" s="1"/>
  <c r="ACK44" i="8" l="1"/>
  <c r="ACK43" i="8"/>
  <c r="ACK48" i="8"/>
  <c r="ACK49" i="8" s="1"/>
  <c r="ACK55" i="8" l="1"/>
  <c r="ACK56" i="8" s="1"/>
  <c r="ACK23" i="8" s="1"/>
  <c r="ACK24" i="8" s="1"/>
  <c r="ACK25" i="8" s="1"/>
  <c r="ACK51" i="8"/>
  <c r="ACK50" i="8"/>
  <c r="ACL20" i="8" l="1"/>
  <c r="ACL28" i="8"/>
  <c r="ACK57" i="8"/>
  <c r="ACK58" i="8"/>
  <c r="ACL30" i="8" l="1"/>
  <c r="ACL29" i="8"/>
  <c r="ACL34" i="8"/>
  <c r="ACL35" i="8" s="1"/>
  <c r="ACL41" i="8" s="1"/>
  <c r="ACL42" i="8" s="1"/>
  <c r="ACL44" i="8" l="1"/>
  <c r="ACL43" i="8"/>
  <c r="ACL48" i="8"/>
  <c r="ACL49" i="8" s="1"/>
  <c r="ACL36" i="8"/>
  <c r="ACL37" i="8"/>
  <c r="ACL50" i="8" l="1"/>
  <c r="ACL51" i="8"/>
  <c r="ACL55" i="8"/>
  <c r="ACL56" i="8" s="1"/>
  <c r="ACL57" i="8" l="1"/>
  <c r="ACL58" i="8"/>
  <c r="ACL23" i="8"/>
  <c r="ACL24" i="8" s="1"/>
  <c r="ACL25" i="8" s="1"/>
  <c r="ACM20" i="8" l="1"/>
  <c r="ACM28" i="8"/>
  <c r="ACM29" i="8" l="1"/>
  <c r="ACM34" i="8"/>
  <c r="ACM35" i="8" s="1"/>
  <c r="ACM41" i="8" s="1"/>
  <c r="ACM42" i="8" s="1"/>
  <c r="ACM30" i="8"/>
  <c r="ACM43" i="8" l="1"/>
  <c r="ACM44" i="8"/>
  <c r="ACM48" i="8"/>
  <c r="ACM49" i="8" s="1"/>
  <c r="ACM55" i="8" s="1"/>
  <c r="ACM56" i="8" s="1"/>
  <c r="ACM37" i="8"/>
  <c r="ACM36" i="8"/>
  <c r="ACM57" i="8" l="1"/>
  <c r="ACM58" i="8"/>
  <c r="ACM50" i="8"/>
  <c r="ACM51" i="8"/>
  <c r="ACM23" i="8"/>
  <c r="ACM24" i="8" s="1"/>
  <c r="ACM25" i="8" s="1"/>
  <c r="ACN20" i="8" l="1"/>
  <c r="ACN28" i="8"/>
  <c r="ACN34" i="8" l="1"/>
  <c r="ACN35" i="8" s="1"/>
  <c r="ACN29" i="8"/>
  <c r="ACN30" i="8"/>
  <c r="ACN41" i="8" l="1"/>
  <c r="ACN42" i="8" s="1"/>
  <c r="ACN37" i="8"/>
  <c r="ACN36" i="8"/>
  <c r="ACN43" i="8" l="1"/>
  <c r="ACN44" i="8"/>
  <c r="ACN48" i="8"/>
  <c r="ACN49" i="8" s="1"/>
  <c r="ACN51" i="8" l="1"/>
  <c r="ACN50" i="8"/>
  <c r="ACN55" i="8"/>
  <c r="ACN56" i="8" s="1"/>
  <c r="ACN23" i="8" l="1"/>
  <c r="ACN24" i="8" s="1"/>
  <c r="ACN25" i="8" s="1"/>
  <c r="ACN57" i="8"/>
  <c r="ACN58" i="8"/>
  <c r="ACO20" i="8" l="1"/>
  <c r="ACO28" i="8"/>
  <c r="ACO30" i="8" l="1"/>
  <c r="ACO34" i="8"/>
  <c r="ACO35" i="8" s="1"/>
  <c r="ACO29" i="8"/>
  <c r="ACO41" i="8" l="1"/>
  <c r="ACO42" i="8" s="1"/>
  <c r="ACO36" i="8"/>
  <c r="ACO37" i="8"/>
  <c r="ACO43" i="8" l="1"/>
  <c r="ACO44" i="8"/>
  <c r="ACO48" i="8"/>
  <c r="ACO49" i="8" s="1"/>
  <c r="ACO55" i="8" s="1"/>
  <c r="ACO56" i="8" s="1"/>
  <c r="ACO58" i="8" l="1"/>
  <c r="ACO57" i="8"/>
  <c r="ACO51" i="8"/>
  <c r="ACO50" i="8"/>
  <c r="ACO23" i="8"/>
  <c r="ACO24" i="8" s="1"/>
  <c r="ACO25" i="8" s="1"/>
  <c r="ACP20" i="8" l="1"/>
  <c r="ACP28" i="8"/>
  <c r="ACP29" i="8" l="1"/>
  <c r="ACP30" i="8"/>
  <c r="ACP34" i="8"/>
  <c r="ACP35" i="8" s="1"/>
  <c r="ACP41" i="8" l="1"/>
  <c r="ACP42" i="8" s="1"/>
  <c r="ACP36" i="8"/>
  <c r="ACP37" i="8"/>
  <c r="ACP44" i="8" l="1"/>
  <c r="ACP43" i="8"/>
  <c r="ACP48" i="8"/>
  <c r="ACP49" i="8" s="1"/>
  <c r="ACP51" i="8" l="1"/>
  <c r="ACP50" i="8"/>
  <c r="ACP55" i="8"/>
  <c r="ACP56" i="8" s="1"/>
  <c r="ACP58" i="8" l="1"/>
  <c r="ACP57" i="8"/>
  <c r="ACP23" i="8"/>
  <c r="ACP24" i="8" s="1"/>
  <c r="ACP25" i="8" s="1"/>
  <c r="ACQ20" i="8" l="1"/>
  <c r="ACQ28" i="8"/>
  <c r="ACQ34" i="8" l="1"/>
  <c r="ACQ35" i="8" s="1"/>
  <c r="ACQ29" i="8"/>
  <c r="ACQ30" i="8"/>
  <c r="ACQ41" i="8" l="1"/>
  <c r="ACQ42" i="8" s="1"/>
  <c r="ACQ37" i="8"/>
  <c r="ACQ36" i="8"/>
  <c r="ACQ43" i="8" l="1"/>
  <c r="ACQ44" i="8"/>
  <c r="ACQ48" i="8"/>
  <c r="ACQ49" i="8" s="1"/>
  <c r="ACQ55" i="8" l="1"/>
  <c r="ACQ56" i="8" s="1"/>
  <c r="ACQ23" i="8" s="1"/>
  <c r="ACQ24" i="8" s="1"/>
  <c r="ACQ25" i="8" s="1"/>
  <c r="ACQ50" i="8"/>
  <c r="ACQ51" i="8"/>
  <c r="ACR20" i="8" l="1"/>
  <c r="H4" i="8" s="1"/>
  <c r="H8" i="8" s="1"/>
  <c r="ACR28" i="8"/>
  <c r="ACQ57" i="8"/>
  <c r="ACQ58" i="8"/>
  <c r="ACR30" i="8" l="1"/>
  <c r="ACR34" i="8"/>
  <c r="ACR35" i="8" s="1"/>
  <c r="ACR41" i="8" s="1"/>
  <c r="ACR42" i="8" s="1"/>
  <c r="ACR29" i="8"/>
  <c r="ACR43" i="8" l="1"/>
  <c r="ACR44" i="8"/>
  <c r="ACR48" i="8"/>
  <c r="ACR49" i="8" s="1"/>
  <c r="ACR55" i="8" s="1"/>
  <c r="ACR56" i="8" s="1"/>
  <c r="ACR36" i="8"/>
  <c r="ACR37" i="8"/>
  <c r="ACR58" i="8" l="1"/>
  <c r="ACR57" i="8"/>
  <c r="ACR51" i="8"/>
  <c r="ACR50" i="8"/>
  <c r="ACR23" i="8"/>
  <c r="ACR24" i="8" s="1"/>
  <c r="ACR25" i="8" s="1"/>
  <c r="ACS20" i="8" l="1"/>
  <c r="ACS28" i="8"/>
  <c r="ACS34" i="8" l="1"/>
  <c r="ACS35" i="8" s="1"/>
  <c r="ACS41" i="8" s="1"/>
  <c r="ACS42" i="8" s="1"/>
  <c r="ACS30" i="8"/>
  <c r="ACS29" i="8"/>
  <c r="ACS44" i="8" l="1"/>
  <c r="ACS43" i="8"/>
  <c r="ACS48" i="8"/>
  <c r="ACS49" i="8" s="1"/>
  <c r="ACS37" i="8"/>
  <c r="ACS36" i="8"/>
  <c r="ACS55" i="8" l="1"/>
  <c r="ACS56" i="8" s="1"/>
  <c r="ACS23" i="8" s="1"/>
  <c r="ACS24" i="8" s="1"/>
  <c r="ACS25" i="8" s="1"/>
  <c r="ACS50" i="8"/>
  <c r="ACS51" i="8"/>
  <c r="ACT20" i="8" l="1"/>
  <c r="ACT28" i="8"/>
  <c r="ACS57" i="8"/>
  <c r="ACS58" i="8"/>
  <c r="ACT29" i="8" l="1"/>
  <c r="ACT30" i="8"/>
  <c r="ACT34" i="8"/>
  <c r="ACT35" i="8" s="1"/>
  <c r="ACT41" i="8" l="1"/>
  <c r="ACT42" i="8" s="1"/>
  <c r="ACT48" i="8" s="1"/>
  <c r="ACT49" i="8" s="1"/>
  <c r="ACT37" i="8"/>
  <c r="ACT36" i="8"/>
  <c r="ACT50" i="8" l="1"/>
  <c r="ACT51" i="8"/>
  <c r="ACT43" i="8"/>
  <c r="ACT44" i="8"/>
  <c r="ACT55" i="8"/>
  <c r="ACT56" i="8" s="1"/>
  <c r="ACT58" i="8" l="1"/>
  <c r="ACT57" i="8"/>
  <c r="ACT23" i="8"/>
  <c r="ACT24" i="8" s="1"/>
  <c r="ACT25" i="8" s="1"/>
  <c r="ACU20" i="8" l="1"/>
  <c r="ACU28" i="8"/>
  <c r="ACU34" i="8" l="1"/>
  <c r="ACU35" i="8" s="1"/>
  <c r="ACU30" i="8"/>
  <c r="ACU29" i="8"/>
  <c r="ACU41" i="8" l="1"/>
  <c r="ACU42" i="8" s="1"/>
  <c r="ACU37" i="8"/>
  <c r="ACU36" i="8"/>
  <c r="ACU43" i="8" l="1"/>
  <c r="ACU44" i="8"/>
  <c r="ACU48" i="8"/>
  <c r="ACU49" i="8" s="1"/>
  <c r="ACU50" i="8" l="1"/>
  <c r="ACU51" i="8"/>
  <c r="ACU55" i="8"/>
  <c r="ACU56" i="8" s="1"/>
  <c r="ACU23" i="8" s="1"/>
  <c r="ACU24" i="8" s="1"/>
  <c r="ACU25" i="8" s="1"/>
  <c r="ACV20" i="8" l="1"/>
  <c r="ACV28" i="8"/>
  <c r="ACU57" i="8"/>
  <c r="ACU58" i="8"/>
  <c r="ACV29" i="8" l="1"/>
  <c r="ACV30" i="8"/>
  <c r="ACV34" i="8"/>
  <c r="ACV35" i="8" s="1"/>
  <c r="ACV41" i="8" l="1"/>
  <c r="ACV42" i="8" s="1"/>
  <c r="ACV37" i="8"/>
  <c r="ACV36" i="8"/>
  <c r="ACV44" i="8" l="1"/>
  <c r="ACV43" i="8"/>
  <c r="ACV48" i="8"/>
  <c r="ACV49" i="8" s="1"/>
  <c r="ACV51" i="8" l="1"/>
  <c r="ACV50" i="8"/>
  <c r="ACV55" i="8"/>
  <c r="ACV56" i="8" s="1"/>
  <c r="ACV23" i="8" l="1"/>
  <c r="ACV24" i="8" s="1"/>
  <c r="ACV25" i="8" s="1"/>
  <c r="ACV58" i="8"/>
  <c r="ACV57" i="8"/>
  <c r="ACW20" i="8" l="1"/>
  <c r="ACW28" i="8"/>
  <c r="ACW30" i="8" l="1"/>
  <c r="ACW34" i="8"/>
  <c r="ACW35" i="8" s="1"/>
  <c r="ACW29" i="8"/>
  <c r="ACW41" i="8" l="1"/>
  <c r="ACW42" i="8" s="1"/>
  <c r="ACW37" i="8"/>
  <c r="ACW36" i="8"/>
  <c r="ACW43" i="8" l="1"/>
  <c r="ACW44" i="8"/>
  <c r="ACW48" i="8"/>
  <c r="ACW49" i="8" s="1"/>
  <c r="ACW55" i="8" s="1"/>
  <c r="ACW56" i="8" s="1"/>
  <c r="ACW57" i="8" l="1"/>
  <c r="ACW58" i="8"/>
  <c r="ACW50" i="8"/>
  <c r="ACW51" i="8"/>
  <c r="ACW23" i="8"/>
  <c r="ACW24" i="8" s="1"/>
  <c r="ACW25" i="8" s="1"/>
  <c r="ACX20" i="8" l="1"/>
  <c r="ACX28" i="8"/>
  <c r="ACX29" i="8" l="1"/>
  <c r="ACX30" i="8"/>
  <c r="ACX34" i="8"/>
  <c r="ACX35" i="8" s="1"/>
  <c r="ACX41" i="8" l="1"/>
  <c r="ACX42" i="8" s="1"/>
  <c r="ACX37" i="8"/>
  <c r="ACX36" i="8"/>
  <c r="ACX43" i="8" l="1"/>
  <c r="ACX44" i="8"/>
  <c r="ACX48" i="8"/>
  <c r="ACX49" i="8" s="1"/>
  <c r="ACX50" i="8" l="1"/>
  <c r="ACX51" i="8"/>
  <c r="ACX55" i="8"/>
  <c r="ACX56" i="8" s="1"/>
  <c r="ACX23" i="8" l="1"/>
  <c r="ACX24" i="8" s="1"/>
  <c r="ACX25" i="8" s="1"/>
  <c r="ACX57" i="8"/>
  <c r="ACX58" i="8"/>
  <c r="ACY20" i="8" l="1"/>
  <c r="ACY28" i="8"/>
  <c r="ACY29" i="8" l="1"/>
  <c r="ACY34" i="8"/>
  <c r="ACY35" i="8" s="1"/>
  <c r="ACY41" i="8" s="1"/>
  <c r="ACY42" i="8" s="1"/>
  <c r="ACY30" i="8"/>
  <c r="ACY44" i="8" l="1"/>
  <c r="ACY43" i="8"/>
  <c r="ACY48" i="8"/>
  <c r="ACY49" i="8" s="1"/>
  <c r="ACY37" i="8"/>
  <c r="ACY36" i="8"/>
  <c r="ACY55" i="8" l="1"/>
  <c r="ACY56" i="8" s="1"/>
  <c r="ACY50" i="8"/>
  <c r="ACY51" i="8"/>
  <c r="ACY58" i="8" l="1"/>
  <c r="ACY57" i="8"/>
  <c r="ACY23" i="8"/>
  <c r="ACY24" i="8" s="1"/>
  <c r="ACY25" i="8" s="1"/>
  <c r="ACZ20" i="8" l="1"/>
  <c r="ACZ28" i="8"/>
  <c r="ACZ34" i="8" l="1"/>
  <c r="ACZ35" i="8" s="1"/>
  <c r="ACZ29" i="8"/>
  <c r="ACZ30" i="8"/>
  <c r="ACZ41" i="8" l="1"/>
  <c r="ACZ42" i="8" s="1"/>
  <c r="ACZ36" i="8"/>
  <c r="ACZ37" i="8"/>
  <c r="ACZ44" i="8" l="1"/>
  <c r="ACZ43" i="8"/>
  <c r="ACZ48" i="8"/>
  <c r="ACZ49" i="8" s="1"/>
  <c r="ACZ51" i="8" l="1"/>
  <c r="ACZ50" i="8"/>
  <c r="ACZ55" i="8"/>
  <c r="ACZ56" i="8" s="1"/>
  <c r="ACZ23" i="8" l="1"/>
  <c r="ACZ24" i="8" s="1"/>
  <c r="ACZ25" i="8" s="1"/>
  <c r="ACZ58" i="8"/>
  <c r="ACZ57" i="8"/>
  <c r="ADA20" i="8" l="1"/>
  <c r="ADA28" i="8"/>
  <c r="ADA29" i="8" l="1"/>
  <c r="ADA30" i="8"/>
  <c r="ADA34" i="8"/>
  <c r="ADA35" i="8" s="1"/>
  <c r="ADA41" i="8" s="1"/>
  <c r="ADA42" i="8" s="1"/>
  <c r="ADA43" i="8" l="1"/>
  <c r="ADA44" i="8"/>
  <c r="ADA48" i="8"/>
  <c r="ADA49" i="8" s="1"/>
  <c r="ADA36" i="8"/>
  <c r="ADA37" i="8"/>
  <c r="ADA55" i="8" l="1"/>
  <c r="ADA56" i="8" s="1"/>
  <c r="ADA23" i="8" s="1"/>
  <c r="ADA24" i="8" s="1"/>
  <c r="ADA25" i="8" s="1"/>
  <c r="ADA51" i="8"/>
  <c r="ADA50" i="8"/>
  <c r="ADB20" i="8" l="1"/>
  <c r="ADB28" i="8"/>
  <c r="ADA57" i="8"/>
  <c r="ADA58" i="8"/>
  <c r="ADB34" i="8" l="1"/>
  <c r="ADB35" i="8" s="1"/>
  <c r="ADB41" i="8" s="1"/>
  <c r="ADB42" i="8" s="1"/>
  <c r="ADB30" i="8"/>
  <c r="ADB29" i="8"/>
  <c r="ADB44" i="8" l="1"/>
  <c r="ADB43" i="8"/>
  <c r="ADB48" i="8"/>
  <c r="ADB49" i="8" s="1"/>
  <c r="ADB36" i="8"/>
  <c r="ADB37" i="8"/>
  <c r="ADB55" i="8" l="1"/>
  <c r="ADB56" i="8" s="1"/>
  <c r="ADB50" i="8"/>
  <c r="ADB51" i="8"/>
  <c r="ADB57" i="8" l="1"/>
  <c r="ADB58" i="8"/>
  <c r="ADB23" i="8"/>
  <c r="ADB24" i="8" s="1"/>
  <c r="ADB25" i="8" s="1"/>
  <c r="ADC20" i="8" l="1"/>
  <c r="ADC28" i="8"/>
  <c r="ADC34" i="8" l="1"/>
  <c r="ADC35" i="8" s="1"/>
  <c r="ADC41" i="8" s="1"/>
  <c r="ADC42" i="8" s="1"/>
  <c r="ADC30" i="8"/>
  <c r="ADC29" i="8"/>
  <c r="ADC43" i="8" l="1"/>
  <c r="ADC44" i="8"/>
  <c r="ADC48" i="8"/>
  <c r="ADC49" i="8" s="1"/>
  <c r="ADC37" i="8"/>
  <c r="ADC36" i="8"/>
  <c r="ADC55" i="8" l="1"/>
  <c r="ADC56" i="8" s="1"/>
  <c r="ADC23" i="8" s="1"/>
  <c r="ADC24" i="8" s="1"/>
  <c r="ADC25" i="8" s="1"/>
  <c r="ADC51" i="8"/>
  <c r="ADC50" i="8"/>
  <c r="ADD20" i="8" l="1"/>
  <c r="ADD28" i="8"/>
  <c r="ADC57" i="8"/>
  <c r="ADC58" i="8"/>
  <c r="ADD29" i="8" l="1"/>
  <c r="ADD30" i="8"/>
  <c r="ADD34" i="8"/>
  <c r="ADD35" i="8" s="1"/>
  <c r="ADD41" i="8" l="1"/>
  <c r="ADD42" i="8" s="1"/>
  <c r="ADD37" i="8"/>
  <c r="ADD36" i="8"/>
  <c r="ADD44" i="8" l="1"/>
  <c r="ADD43" i="8"/>
  <c r="ADD48" i="8"/>
  <c r="ADD49" i="8" s="1"/>
  <c r="ADD50" i="8" l="1"/>
  <c r="ADD51" i="8"/>
  <c r="ADD55" i="8"/>
  <c r="ADD56" i="8" s="1"/>
  <c r="ADD57" i="8" l="1"/>
  <c r="ADD58" i="8"/>
  <c r="ADD23" i="8"/>
  <c r="ADD24" i="8" s="1"/>
  <c r="ADD25" i="8" s="1"/>
  <c r="ADE20" i="8" l="1"/>
  <c r="ADE28" i="8"/>
  <c r="ADE30" i="8" l="1"/>
  <c r="ADE29" i="8"/>
  <c r="ADE34" i="8"/>
  <c r="ADE35" i="8" s="1"/>
  <c r="ADE41" i="8" s="1"/>
  <c r="ADE42" i="8" s="1"/>
  <c r="ADE44" i="8" l="1"/>
  <c r="ADE43" i="8"/>
  <c r="ADE48" i="8"/>
  <c r="ADE49" i="8" s="1"/>
  <c r="ADE37" i="8"/>
  <c r="ADE36" i="8"/>
  <c r="ADE50" i="8" l="1"/>
  <c r="ADE51" i="8"/>
  <c r="ADE55" i="8"/>
  <c r="ADE56" i="8" s="1"/>
  <c r="ADE23" i="8" s="1"/>
  <c r="ADE24" i="8" s="1"/>
  <c r="ADE25" i="8" s="1"/>
  <c r="ADF20" i="8" l="1"/>
  <c r="ADF28" i="8"/>
  <c r="ADE58" i="8"/>
  <c r="ADE57" i="8"/>
  <c r="ADF29" i="8" l="1"/>
  <c r="ADF34" i="8"/>
  <c r="ADF35" i="8" s="1"/>
  <c r="ADF30" i="8"/>
  <c r="ADF41" i="8" l="1"/>
  <c r="ADF42" i="8" s="1"/>
  <c r="ADF36" i="8"/>
  <c r="ADF37" i="8"/>
  <c r="ADF44" i="8" l="1"/>
  <c r="ADF43" i="8"/>
  <c r="ADF48" i="8"/>
  <c r="ADF49" i="8" s="1"/>
  <c r="ADF55" i="8" s="1"/>
  <c r="ADF56" i="8" s="1"/>
  <c r="ADF58" i="8" l="1"/>
  <c r="ADF57" i="8"/>
  <c r="ADF51" i="8"/>
  <c r="ADF50" i="8"/>
  <c r="ADF23" i="8"/>
  <c r="ADF24" i="8" s="1"/>
  <c r="ADF25" i="8" s="1"/>
  <c r="ADG20" i="8" l="1"/>
  <c r="ADG28" i="8"/>
  <c r="ADG34" i="8" l="1"/>
  <c r="ADG35" i="8" s="1"/>
  <c r="ADG29" i="8"/>
  <c r="ADG30" i="8"/>
  <c r="ADG41" i="8" l="1"/>
  <c r="ADG42" i="8" s="1"/>
  <c r="ADG36" i="8"/>
  <c r="ADG37" i="8"/>
  <c r="ADG44" i="8" l="1"/>
  <c r="ADG43" i="8"/>
  <c r="ADG48" i="8"/>
  <c r="ADG49" i="8" s="1"/>
  <c r="ADG51" i="8" l="1"/>
  <c r="ADG50" i="8"/>
  <c r="ADG55" i="8"/>
  <c r="ADG56" i="8" s="1"/>
  <c r="ADG57" i="8" l="1"/>
  <c r="ADG58" i="8"/>
  <c r="ADG23" i="8"/>
  <c r="ADG24" i="8" s="1"/>
  <c r="ADG25" i="8" s="1"/>
  <c r="ADH20" i="8" l="1"/>
  <c r="ADH28" i="8"/>
  <c r="ADH34" i="8" l="1"/>
  <c r="ADH35" i="8" s="1"/>
  <c r="ADH41" i="8" s="1"/>
  <c r="ADH42" i="8" s="1"/>
  <c r="ADH29" i="8"/>
  <c r="ADH30" i="8"/>
  <c r="ADH44" i="8" l="1"/>
  <c r="ADH43" i="8"/>
  <c r="ADH48" i="8"/>
  <c r="ADH49" i="8" s="1"/>
  <c r="ADH55" i="8" s="1"/>
  <c r="ADH56" i="8" s="1"/>
  <c r="ADH36" i="8"/>
  <c r="ADH37" i="8"/>
  <c r="ADH23" i="8" l="1"/>
  <c r="ADH24" i="8" s="1"/>
  <c r="ADH25" i="8" s="1"/>
  <c r="ADH58" i="8"/>
  <c r="ADH57" i="8"/>
  <c r="ADH51" i="8"/>
  <c r="ADH50" i="8"/>
  <c r="ADI20" i="8" l="1"/>
  <c r="ADI28" i="8"/>
  <c r="ADI29" i="8" l="1"/>
  <c r="ADI30" i="8"/>
  <c r="ADI34" i="8"/>
  <c r="ADI35" i="8" s="1"/>
  <c r="ADI41" i="8" l="1"/>
  <c r="ADI42" i="8" s="1"/>
  <c r="ADI36" i="8"/>
  <c r="ADI37" i="8"/>
  <c r="ADI44" i="8" l="1"/>
  <c r="ADI43" i="8"/>
  <c r="ADI48" i="8"/>
  <c r="ADI49" i="8" s="1"/>
  <c r="ADI55" i="8" l="1"/>
  <c r="ADI56" i="8" s="1"/>
  <c r="ADI23" i="8" s="1"/>
  <c r="ADI24" i="8" s="1"/>
  <c r="ADI25" i="8" s="1"/>
  <c r="ADI50" i="8"/>
  <c r="ADI51" i="8"/>
  <c r="ADJ20" i="8" l="1"/>
  <c r="ADJ28" i="8"/>
  <c r="ADI57" i="8"/>
  <c r="ADI58" i="8"/>
  <c r="ADJ34" i="8" l="1"/>
  <c r="ADJ35" i="8" s="1"/>
  <c r="ADJ29" i="8"/>
  <c r="ADJ30" i="8"/>
  <c r="ADJ41" i="8" l="1"/>
  <c r="ADJ42" i="8" s="1"/>
  <c r="ADJ36" i="8"/>
  <c r="ADJ37" i="8"/>
  <c r="ADJ44" i="8" l="1"/>
  <c r="ADJ43" i="8"/>
  <c r="ADJ48" i="8"/>
  <c r="ADJ49" i="8" s="1"/>
  <c r="ADJ50" i="8" l="1"/>
  <c r="ADJ51" i="8"/>
  <c r="ADJ55" i="8"/>
  <c r="ADJ56" i="8" s="1"/>
  <c r="ADJ23" i="8" s="1"/>
  <c r="ADJ24" i="8" s="1"/>
  <c r="ADJ25" i="8" s="1"/>
  <c r="ADK20" i="8" l="1"/>
  <c r="ADK28" i="8"/>
  <c r="ADJ58" i="8"/>
  <c r="ADJ57" i="8"/>
  <c r="ADK29" i="8" l="1"/>
  <c r="ADK34" i="8"/>
  <c r="ADK35" i="8" s="1"/>
  <c r="ADK30" i="8"/>
  <c r="ADK41" i="8" l="1"/>
  <c r="ADK42" i="8" s="1"/>
  <c r="ADK37" i="8"/>
  <c r="ADK36" i="8"/>
  <c r="ADK44" i="8" l="1"/>
  <c r="ADK43" i="8"/>
  <c r="ADK48" i="8"/>
  <c r="ADK49" i="8" s="1"/>
  <c r="ADK51" i="8" l="1"/>
  <c r="ADK50" i="8"/>
  <c r="ADK55" i="8"/>
  <c r="ADK56" i="8" s="1"/>
  <c r="ADK57" i="8" l="1"/>
  <c r="ADK58" i="8"/>
  <c r="ADK23" i="8"/>
  <c r="ADK24" i="8" s="1"/>
  <c r="ADK25" i="8" s="1"/>
  <c r="ADL20" i="8" l="1"/>
  <c r="ADL28" i="8"/>
  <c r="ADL30" i="8" l="1"/>
  <c r="ADL29" i="8"/>
  <c r="ADL34" i="8"/>
  <c r="ADL35" i="8" s="1"/>
  <c r="ADL41" i="8" s="1"/>
  <c r="ADL42" i="8" s="1"/>
  <c r="ADL43" i="8" l="1"/>
  <c r="ADL44" i="8"/>
  <c r="ADL48" i="8"/>
  <c r="ADL49" i="8" s="1"/>
  <c r="ADL36" i="8"/>
  <c r="ADL37" i="8"/>
  <c r="ADL50" i="8" l="1"/>
  <c r="ADL51" i="8"/>
  <c r="ADL55" i="8"/>
  <c r="ADL56" i="8" s="1"/>
  <c r="ADL58" i="8" l="1"/>
  <c r="ADL57" i="8"/>
  <c r="ADL23" i="8"/>
  <c r="ADL24" i="8" s="1"/>
  <c r="ADL25" i="8" s="1"/>
  <c r="ADM20" i="8" l="1"/>
  <c r="ADM28" i="8"/>
  <c r="ADM29" i="8" l="1"/>
  <c r="ADM30" i="8"/>
  <c r="ADM34" i="8"/>
  <c r="ADM35" i="8" s="1"/>
  <c r="ADM41" i="8" l="1"/>
  <c r="ADM42" i="8" s="1"/>
  <c r="ADM36" i="8"/>
  <c r="ADM37" i="8"/>
  <c r="ADM43" i="8" l="1"/>
  <c r="ADM44" i="8"/>
  <c r="ADM48" i="8"/>
  <c r="ADM49" i="8" s="1"/>
  <c r="ADM55" i="8" l="1"/>
  <c r="ADM56" i="8" s="1"/>
  <c r="ADM50" i="8"/>
  <c r="ADM51" i="8"/>
  <c r="ADM57" i="8" l="1"/>
  <c r="ADM58" i="8"/>
  <c r="ADM23" i="8"/>
  <c r="ADM24" i="8" s="1"/>
  <c r="ADM25" i="8" s="1"/>
  <c r="ADN20" i="8" l="1"/>
  <c r="ADN28" i="8"/>
  <c r="ADN29" i="8" l="1"/>
  <c r="ADN30" i="8"/>
  <c r="ADN34" i="8"/>
  <c r="ADN35" i="8" s="1"/>
  <c r="ADN41" i="8" s="1"/>
  <c r="ADN42" i="8" s="1"/>
  <c r="ADN44" i="8" l="1"/>
  <c r="ADN43" i="8"/>
  <c r="ADN48" i="8"/>
  <c r="ADN49" i="8" s="1"/>
  <c r="ADN37" i="8"/>
  <c r="ADN36" i="8"/>
  <c r="ADN51" i="8" l="1"/>
  <c r="ADN50" i="8"/>
  <c r="ADN55" i="8"/>
  <c r="ADN56" i="8" s="1"/>
  <c r="ADN23" i="8" l="1"/>
  <c r="ADN24" i="8" s="1"/>
  <c r="ADN25" i="8" s="1"/>
  <c r="ADN57" i="8"/>
  <c r="ADN58" i="8"/>
  <c r="ADO20" i="8" l="1"/>
  <c r="ADO28" i="8"/>
  <c r="ADO34" i="8" l="1"/>
  <c r="ADO35" i="8" s="1"/>
  <c r="ADO41" i="8" s="1"/>
  <c r="ADO42" i="8" s="1"/>
  <c r="ADO29" i="8"/>
  <c r="ADO30" i="8"/>
  <c r="ADO48" i="8" l="1"/>
  <c r="ADO49" i="8" s="1"/>
  <c r="ADO55" i="8" s="1"/>
  <c r="ADO56" i="8" s="1"/>
  <c r="ADO44" i="8"/>
  <c r="ADO43" i="8"/>
  <c r="ADO36" i="8"/>
  <c r="ADO37" i="8"/>
  <c r="ADO23" i="8" l="1"/>
  <c r="ADO24" i="8" s="1"/>
  <c r="ADO25" i="8" s="1"/>
  <c r="ADO57" i="8"/>
  <c r="ADO58" i="8"/>
  <c r="ADO51" i="8"/>
  <c r="ADO50" i="8"/>
  <c r="ADP20" i="8" l="1"/>
  <c r="ADP28" i="8"/>
  <c r="ADP30" i="8" l="1"/>
  <c r="ADP34" i="8"/>
  <c r="ADP35" i="8" s="1"/>
  <c r="ADP41" i="8" s="1"/>
  <c r="ADP42" i="8" s="1"/>
  <c r="ADP29" i="8"/>
  <c r="ADP43" i="8" l="1"/>
  <c r="ADP44" i="8"/>
  <c r="ADP48" i="8"/>
  <c r="ADP49" i="8" s="1"/>
  <c r="ADP36" i="8"/>
  <c r="ADP37" i="8"/>
  <c r="ADP50" i="8" l="1"/>
  <c r="ADP51" i="8"/>
  <c r="ADP55" i="8"/>
  <c r="ADP56" i="8" s="1"/>
  <c r="ADP23" i="8" s="1"/>
  <c r="ADP24" i="8" s="1"/>
  <c r="ADP25" i="8" s="1"/>
  <c r="ADQ20" i="8" l="1"/>
  <c r="ADQ28" i="8"/>
  <c r="ADP58" i="8"/>
  <c r="ADP57" i="8"/>
  <c r="ADQ29" i="8" l="1"/>
  <c r="ADQ30" i="8"/>
  <c r="ADQ34" i="8"/>
  <c r="ADQ35" i="8" s="1"/>
  <c r="ADQ41" i="8" s="1"/>
  <c r="ADQ42" i="8" s="1"/>
  <c r="ADQ43" i="8" l="1"/>
  <c r="ADQ44" i="8"/>
  <c r="ADQ48" i="8"/>
  <c r="ADQ49" i="8" s="1"/>
  <c r="ADQ37" i="8"/>
  <c r="ADQ36" i="8"/>
  <c r="ADQ50" i="8" l="1"/>
  <c r="ADQ51" i="8"/>
  <c r="ADQ55" i="8"/>
  <c r="ADQ56" i="8" s="1"/>
  <c r="ADQ23" i="8" s="1"/>
  <c r="ADQ24" i="8" s="1"/>
  <c r="ADQ25" i="8" s="1"/>
  <c r="ADR20" i="8" l="1"/>
  <c r="ADR28" i="8"/>
  <c r="ADQ58" i="8"/>
  <c r="ADQ57" i="8"/>
  <c r="ADR29" i="8" l="1"/>
  <c r="ADR30" i="8"/>
  <c r="ADR34" i="8"/>
  <c r="ADR35" i="8" s="1"/>
  <c r="ADR41" i="8" s="1"/>
  <c r="ADR42" i="8" s="1"/>
  <c r="ADR43" i="8" l="1"/>
  <c r="ADR44" i="8"/>
  <c r="ADR48" i="8"/>
  <c r="ADR49" i="8" s="1"/>
  <c r="ADR37" i="8"/>
  <c r="ADR36" i="8"/>
  <c r="ADR51" i="8" l="1"/>
  <c r="ADR50" i="8"/>
  <c r="ADR55" i="8"/>
  <c r="ADR56" i="8" s="1"/>
  <c r="ADR58" i="8" l="1"/>
  <c r="ADR57" i="8"/>
  <c r="ADR23" i="8"/>
  <c r="ADR24" i="8" s="1"/>
  <c r="ADR25" i="8" s="1"/>
  <c r="ADS20" i="8" l="1"/>
  <c r="ADS28" i="8"/>
  <c r="ADS29" i="8" l="1"/>
  <c r="ADS34" i="8"/>
  <c r="ADS35" i="8" s="1"/>
  <c r="ADS41" i="8" s="1"/>
  <c r="ADS42" i="8" s="1"/>
  <c r="ADS30" i="8"/>
  <c r="ADS44" i="8" l="1"/>
  <c r="ADS43" i="8"/>
  <c r="ADS48" i="8"/>
  <c r="ADS49" i="8" s="1"/>
  <c r="ADS37" i="8"/>
  <c r="ADS36" i="8"/>
  <c r="ADS55" i="8" l="1"/>
  <c r="ADS56" i="8" s="1"/>
  <c r="ADS23" i="8" s="1"/>
  <c r="ADS24" i="8" s="1"/>
  <c r="ADS25" i="8" s="1"/>
  <c r="ADS51" i="8"/>
  <c r="ADS50" i="8"/>
  <c r="ADT20" i="8" l="1"/>
  <c r="ADT28" i="8"/>
  <c r="ADS58" i="8"/>
  <c r="ADS57" i="8"/>
  <c r="ADT34" i="8" l="1"/>
  <c r="ADT35" i="8" s="1"/>
  <c r="ADT29" i="8"/>
  <c r="ADT30" i="8"/>
  <c r="ADT41" i="8" l="1"/>
  <c r="ADT42" i="8" s="1"/>
  <c r="ADT37" i="8"/>
  <c r="ADT36" i="8"/>
  <c r="ADT43" i="8" l="1"/>
  <c r="ADT44" i="8"/>
  <c r="ADT48" i="8"/>
  <c r="ADT49" i="8" s="1"/>
  <c r="ADT51" i="8" l="1"/>
  <c r="ADT50" i="8"/>
  <c r="ADT55" i="8"/>
  <c r="ADT56" i="8" s="1"/>
  <c r="ADT23" i="8" s="1"/>
  <c r="ADT24" i="8" s="1"/>
  <c r="ADT25" i="8" s="1"/>
  <c r="ADU20" i="8" l="1"/>
  <c r="ADU28" i="8"/>
  <c r="ADT57" i="8"/>
  <c r="ADT58" i="8"/>
  <c r="ADU34" i="8" l="1"/>
  <c r="ADU35" i="8" s="1"/>
  <c r="ADU29" i="8"/>
  <c r="ADU30" i="8"/>
  <c r="ADU41" i="8" l="1"/>
  <c r="ADU42" i="8" s="1"/>
  <c r="ADU36" i="8"/>
  <c r="ADU37" i="8"/>
  <c r="ADU43" i="8" l="1"/>
  <c r="ADU44" i="8"/>
  <c r="ADU48" i="8"/>
  <c r="ADU49" i="8" s="1"/>
  <c r="ADU50" i="8" l="1"/>
  <c r="ADU51" i="8"/>
  <c r="ADU55" i="8"/>
  <c r="ADU56" i="8" s="1"/>
  <c r="ADU23" i="8" l="1"/>
  <c r="ADU24" i="8" s="1"/>
  <c r="ADU25" i="8" s="1"/>
  <c r="ADU57" i="8"/>
  <c r="ADU58" i="8"/>
  <c r="ADV20" i="8" l="1"/>
  <c r="ADV28" i="8"/>
  <c r="ADV30" i="8" l="1"/>
  <c r="ADV34" i="8"/>
  <c r="ADV35" i="8" s="1"/>
  <c r="ADV29" i="8"/>
  <c r="ADV41" i="8" l="1"/>
  <c r="ADV42" i="8" s="1"/>
  <c r="ADV37" i="8"/>
  <c r="ADV36" i="8"/>
  <c r="ADV44" i="8" l="1"/>
  <c r="ADV43" i="8"/>
  <c r="ADV48" i="8"/>
  <c r="ADV49" i="8" s="1"/>
  <c r="ADV55" i="8" s="1"/>
  <c r="ADV56" i="8" s="1"/>
  <c r="ADV57" i="8" l="1"/>
  <c r="ADV58" i="8"/>
  <c r="ADV51" i="8"/>
  <c r="ADV50" i="8"/>
  <c r="ADV23" i="8"/>
  <c r="ADV24" i="8" s="1"/>
  <c r="ADV25" i="8" s="1"/>
  <c r="ADW20" i="8" l="1"/>
  <c r="ADW28" i="8"/>
  <c r="ADW34" i="8" l="1"/>
  <c r="ADW35" i="8" s="1"/>
  <c r="ADW41" i="8" s="1"/>
  <c r="ADW42" i="8" s="1"/>
  <c r="ADW29" i="8"/>
  <c r="ADW30" i="8"/>
  <c r="ADW44" i="8" l="1"/>
  <c r="ADW43" i="8"/>
  <c r="ADW48" i="8"/>
  <c r="ADW49" i="8" s="1"/>
  <c r="ADW37" i="8"/>
  <c r="ADW36" i="8"/>
  <c r="ADW50" i="8" l="1"/>
  <c r="ADW51" i="8"/>
  <c r="ADW55" i="8"/>
  <c r="ADW56" i="8" s="1"/>
  <c r="ADW58" i="8" l="1"/>
  <c r="ADW57" i="8"/>
  <c r="ADW23" i="8"/>
  <c r="ADW24" i="8" s="1"/>
  <c r="ADW25" i="8" s="1"/>
  <c r="ADX20" i="8" l="1"/>
  <c r="ADX28" i="8"/>
  <c r="ADX30" i="8" l="1"/>
  <c r="ADX34" i="8"/>
  <c r="ADX35" i="8" s="1"/>
  <c r="ADX41" i="8" s="1"/>
  <c r="ADX42" i="8" s="1"/>
  <c r="ADX29" i="8"/>
  <c r="ADX44" i="8" l="1"/>
  <c r="ADX43" i="8"/>
  <c r="ADX48" i="8"/>
  <c r="ADX49" i="8" s="1"/>
  <c r="ADX36" i="8"/>
  <c r="ADX37" i="8"/>
  <c r="ADX51" i="8" l="1"/>
  <c r="ADX50" i="8"/>
  <c r="ADX55" i="8"/>
  <c r="ADX56" i="8" s="1"/>
  <c r="ADX23" i="8" s="1"/>
  <c r="ADX24" i="8" s="1"/>
  <c r="ADX25" i="8" s="1"/>
  <c r="ADY20" i="8" l="1"/>
  <c r="ADY28" i="8"/>
  <c r="ADX58" i="8"/>
  <c r="ADX57" i="8"/>
  <c r="ADY34" i="8" l="1"/>
  <c r="ADY35" i="8" s="1"/>
  <c r="ADY41" i="8" s="1"/>
  <c r="ADY42" i="8" s="1"/>
  <c r="ADY29" i="8"/>
  <c r="ADY30" i="8"/>
  <c r="ADY44" i="8" l="1"/>
  <c r="ADY43" i="8"/>
  <c r="ADY48" i="8"/>
  <c r="ADY49" i="8" s="1"/>
  <c r="ADY37" i="8"/>
  <c r="ADY36" i="8"/>
  <c r="ADY55" i="8" l="1"/>
  <c r="ADY56" i="8" s="1"/>
  <c r="ADY23" i="8" s="1"/>
  <c r="ADY24" i="8" s="1"/>
  <c r="ADY25" i="8" s="1"/>
  <c r="ADY50" i="8"/>
  <c r="ADY51" i="8"/>
  <c r="ADZ20" i="8" l="1"/>
  <c r="ADZ28" i="8"/>
  <c r="ADY58" i="8"/>
  <c r="ADY57" i="8"/>
  <c r="ADZ29" i="8" l="1"/>
  <c r="ADZ34" i="8"/>
  <c r="ADZ35" i="8" s="1"/>
  <c r="ADZ30" i="8"/>
  <c r="ADZ41" i="8" l="1"/>
  <c r="ADZ42" i="8" s="1"/>
  <c r="ADZ36" i="8"/>
  <c r="ADZ37" i="8"/>
  <c r="ADZ44" i="8" l="1"/>
  <c r="ADZ43" i="8"/>
  <c r="ADZ48" i="8"/>
  <c r="ADZ49" i="8" s="1"/>
  <c r="ADZ55" i="8" l="1"/>
  <c r="ADZ56" i="8" s="1"/>
  <c r="ADZ23" i="8" s="1"/>
  <c r="ADZ24" i="8" s="1"/>
  <c r="ADZ25" i="8" s="1"/>
  <c r="ADZ50" i="8"/>
  <c r="ADZ51" i="8"/>
  <c r="AEA20" i="8" l="1"/>
  <c r="AEA28" i="8"/>
  <c r="ADZ57" i="8"/>
  <c r="ADZ58" i="8"/>
  <c r="AEA29" i="8" l="1"/>
  <c r="AEA30" i="8"/>
  <c r="AEA34" i="8"/>
  <c r="AEA35" i="8" s="1"/>
  <c r="AEA41" i="8" s="1"/>
  <c r="AEA42" i="8" s="1"/>
  <c r="AEA44" i="8" l="1"/>
  <c r="AEA43" i="8"/>
  <c r="AEA48" i="8"/>
  <c r="AEA49" i="8" s="1"/>
  <c r="AEA55" i="8" s="1"/>
  <c r="AEA56" i="8" s="1"/>
  <c r="AEA36" i="8"/>
  <c r="AEA37" i="8"/>
  <c r="AEA58" i="8" l="1"/>
  <c r="AEA57" i="8"/>
  <c r="AEA51" i="8"/>
  <c r="AEA50" i="8"/>
  <c r="AEA23" i="8"/>
  <c r="AEA24" i="8" s="1"/>
  <c r="AEA25" i="8" s="1"/>
  <c r="AEB20" i="8" l="1"/>
  <c r="AEB28" i="8"/>
  <c r="AEB30" i="8" l="1"/>
  <c r="AEB29" i="8"/>
  <c r="AEB34" i="8"/>
  <c r="AEB35" i="8" s="1"/>
  <c r="AEB41" i="8" l="1"/>
  <c r="AEB42" i="8" s="1"/>
  <c r="AEB37" i="8"/>
  <c r="AEB36" i="8"/>
  <c r="AEB44" i="8" l="1"/>
  <c r="AEB43" i="8"/>
  <c r="AEB48" i="8"/>
  <c r="AEB49" i="8" s="1"/>
  <c r="AEB51" i="8" l="1"/>
  <c r="AEB50" i="8"/>
  <c r="AEB55" i="8"/>
  <c r="AEB56" i="8" s="1"/>
  <c r="AEB23" i="8" s="1"/>
  <c r="AEB24" i="8" s="1"/>
  <c r="AEB25" i="8" s="1"/>
  <c r="AEC20" i="8" l="1"/>
  <c r="AEC28" i="8"/>
  <c r="AEB58" i="8"/>
  <c r="AEB57" i="8"/>
  <c r="AEC34" i="8" l="1"/>
  <c r="AEC35" i="8" s="1"/>
  <c r="AEC29" i="8"/>
  <c r="AEC30" i="8"/>
  <c r="AEC41" i="8" l="1"/>
  <c r="AEC42" i="8" s="1"/>
  <c r="AEC37" i="8"/>
  <c r="AEC36" i="8"/>
  <c r="AEC44" i="8" l="1"/>
  <c r="AEC43" i="8"/>
  <c r="AEC48" i="8"/>
  <c r="AEC49" i="8" s="1"/>
  <c r="AEC55" i="8" l="1"/>
  <c r="AEC56" i="8" s="1"/>
  <c r="AEC23" i="8" s="1"/>
  <c r="AEC24" i="8" s="1"/>
  <c r="AEC25" i="8" s="1"/>
  <c r="AEC50" i="8"/>
  <c r="AEC51" i="8"/>
  <c r="AED20" i="8" l="1"/>
  <c r="AED28" i="8"/>
  <c r="AEC57" i="8"/>
  <c r="AEC58" i="8"/>
  <c r="AED30" i="8" l="1"/>
  <c r="AED29" i="8"/>
  <c r="AED34" i="8"/>
  <c r="AED35" i="8" s="1"/>
  <c r="AED41" i="8" l="1"/>
  <c r="AED42" i="8" s="1"/>
  <c r="AED37" i="8"/>
  <c r="AED36" i="8"/>
  <c r="AED44" i="8" l="1"/>
  <c r="AED43" i="8"/>
  <c r="AED48" i="8"/>
  <c r="AED49" i="8" s="1"/>
  <c r="AED55" i="8" l="1"/>
  <c r="AED56" i="8" s="1"/>
  <c r="AED50" i="8"/>
  <c r="AED51" i="8"/>
  <c r="AED57" i="8" l="1"/>
  <c r="AED58" i="8"/>
  <c r="AED23" i="8"/>
  <c r="AED24" i="8" s="1"/>
  <c r="AED25" i="8" s="1"/>
  <c r="AEE20" i="8" l="1"/>
  <c r="AEE28" i="8"/>
  <c r="AEE34" i="8" l="1"/>
  <c r="AEE35" i="8" s="1"/>
  <c r="AEE41" i="8" s="1"/>
  <c r="AEE42" i="8" s="1"/>
  <c r="AEE30" i="8"/>
  <c r="AEE29" i="8"/>
  <c r="AEE48" i="8" l="1"/>
  <c r="AEE49" i="8" s="1"/>
  <c r="AEE43" i="8"/>
  <c r="AEE44" i="8"/>
  <c r="AEE37" i="8"/>
  <c r="AEE36" i="8"/>
  <c r="AEE55" i="8" l="1"/>
  <c r="AEE56" i="8" s="1"/>
  <c r="AEE50" i="8"/>
  <c r="AEE51" i="8"/>
  <c r="AEE57" i="8" l="1"/>
  <c r="AEE58" i="8"/>
  <c r="AEE23" i="8"/>
  <c r="AEE24" i="8" s="1"/>
  <c r="AEE25" i="8" s="1"/>
  <c r="AEF20" i="8" l="1"/>
  <c r="AEF28" i="8"/>
  <c r="AEF29" i="8" l="1"/>
  <c r="AEF30" i="8"/>
  <c r="AEF34" i="8"/>
  <c r="AEF35" i="8" s="1"/>
  <c r="AEF41" i="8" s="1"/>
  <c r="AEF42" i="8" s="1"/>
  <c r="AEF48" i="8" l="1"/>
  <c r="AEF49" i="8" s="1"/>
  <c r="AEF55" i="8" s="1"/>
  <c r="AEF56" i="8" s="1"/>
  <c r="AEF43" i="8"/>
  <c r="AEF44" i="8"/>
  <c r="AEF37" i="8"/>
  <c r="AEF36" i="8"/>
  <c r="AEF57" i="8" l="1"/>
  <c r="AEF58" i="8"/>
  <c r="AEF23" i="8"/>
  <c r="AEF24" i="8" s="1"/>
  <c r="AEF25" i="8" s="1"/>
  <c r="AEF50" i="8"/>
  <c r="AEF51" i="8"/>
  <c r="AEG20" i="8" l="1"/>
  <c r="AEG28" i="8"/>
  <c r="AEG29" i="8" l="1"/>
  <c r="AEG30" i="8"/>
  <c r="AEG34" i="8"/>
  <c r="AEG35" i="8" s="1"/>
  <c r="AEG41" i="8" s="1"/>
  <c r="AEG42" i="8" s="1"/>
  <c r="AEG43" i="8" l="1"/>
  <c r="AEG44" i="8"/>
  <c r="AEG48" i="8"/>
  <c r="AEG49" i="8" s="1"/>
  <c r="AEG37" i="8"/>
  <c r="AEG36" i="8"/>
  <c r="AEG55" i="8" l="1"/>
  <c r="AEG56" i="8" s="1"/>
  <c r="AEG50" i="8"/>
  <c r="AEG51" i="8"/>
  <c r="AEG58" i="8" l="1"/>
  <c r="AEG57" i="8"/>
  <c r="AEG23" i="8"/>
  <c r="AEG24" i="8" s="1"/>
  <c r="AEG25" i="8" s="1"/>
  <c r="AEH20" i="8" l="1"/>
  <c r="AEH28" i="8"/>
  <c r="AEH30" i="8" l="1"/>
  <c r="AEH34" i="8"/>
  <c r="AEH35" i="8" s="1"/>
  <c r="AEH29" i="8"/>
  <c r="AEH36" i="8" l="1"/>
  <c r="AEH37" i="8"/>
  <c r="AEH41" i="8"/>
  <c r="AEH42" i="8" s="1"/>
  <c r="AEH43" i="8" l="1"/>
  <c r="AEH44" i="8"/>
  <c r="AEH48" i="8"/>
  <c r="AEH49" i="8" s="1"/>
  <c r="AEH55" i="8" l="1"/>
  <c r="AEH56" i="8" s="1"/>
  <c r="AEH23" i="8" s="1"/>
  <c r="AEH24" i="8" s="1"/>
  <c r="AEH25" i="8" s="1"/>
  <c r="AEH50" i="8"/>
  <c r="AEH51" i="8"/>
  <c r="AEI20" i="8" l="1"/>
  <c r="AEI28" i="8"/>
  <c r="AEH58" i="8"/>
  <c r="AEH57" i="8"/>
  <c r="AEI34" i="8" l="1"/>
  <c r="AEI35" i="8" s="1"/>
  <c r="AEI41" i="8" s="1"/>
  <c r="AEI42" i="8" s="1"/>
  <c r="AEI29" i="8"/>
  <c r="AEI30" i="8"/>
  <c r="AEI44" i="8" l="1"/>
  <c r="AEI43" i="8"/>
  <c r="AEI48" i="8"/>
  <c r="AEI49" i="8" s="1"/>
  <c r="AEI55" i="8" s="1"/>
  <c r="AEI56" i="8" s="1"/>
  <c r="AEI37" i="8"/>
  <c r="AEI36" i="8"/>
  <c r="AEI23" i="8" l="1"/>
  <c r="AEI24" i="8" s="1"/>
  <c r="AEI25" i="8" s="1"/>
  <c r="AEI58" i="8"/>
  <c r="AEI57" i="8"/>
  <c r="AEI50" i="8"/>
  <c r="AEI51" i="8"/>
  <c r="AEJ20" i="8" l="1"/>
  <c r="AEJ28" i="8"/>
  <c r="AEJ34" i="8" l="1"/>
  <c r="AEJ35" i="8" s="1"/>
  <c r="AEJ41" i="8" s="1"/>
  <c r="AEJ42" i="8" s="1"/>
  <c r="AEJ30" i="8"/>
  <c r="AEJ29" i="8"/>
  <c r="AEJ43" i="8" l="1"/>
  <c r="AEJ44" i="8"/>
  <c r="AEJ48" i="8"/>
  <c r="AEJ49" i="8" s="1"/>
  <c r="AEJ37" i="8"/>
  <c r="AEJ36" i="8"/>
  <c r="AEJ51" i="8" l="1"/>
  <c r="AEJ50" i="8"/>
  <c r="AEJ55" i="8"/>
  <c r="AEJ56" i="8" s="1"/>
  <c r="AEJ57" i="8" l="1"/>
  <c r="AEJ58" i="8"/>
  <c r="AEJ23" i="8"/>
  <c r="AEJ24" i="8" s="1"/>
  <c r="AEJ25" i="8" s="1"/>
  <c r="AEK20" i="8" l="1"/>
  <c r="AEK28" i="8"/>
  <c r="AEK30" i="8" l="1"/>
  <c r="AEK29" i="8"/>
  <c r="AEK34" i="8"/>
  <c r="AEK35" i="8" s="1"/>
  <c r="AEK41" i="8" s="1"/>
  <c r="AEK42" i="8" s="1"/>
  <c r="AEK44" i="8" l="1"/>
  <c r="AEK43" i="8"/>
  <c r="AEK48" i="8"/>
  <c r="AEK49" i="8" s="1"/>
  <c r="AEK37" i="8"/>
  <c r="AEK36" i="8"/>
  <c r="AEK55" i="8" l="1"/>
  <c r="AEK56" i="8" s="1"/>
  <c r="AEK23" i="8" s="1"/>
  <c r="AEK24" i="8" s="1"/>
  <c r="AEK25" i="8" s="1"/>
  <c r="AEK51" i="8"/>
  <c r="AEK50" i="8"/>
  <c r="AEL20" i="8" l="1"/>
  <c r="AEL28" i="8"/>
  <c r="AEK58" i="8"/>
  <c r="AEK57" i="8"/>
  <c r="AEL34" i="8" l="1"/>
  <c r="AEL35" i="8" s="1"/>
  <c r="AEL41" i="8" s="1"/>
  <c r="AEL42" i="8" s="1"/>
  <c r="AEL29" i="8"/>
  <c r="AEL30" i="8"/>
  <c r="AEL44" i="8" l="1"/>
  <c r="AEL43" i="8"/>
  <c r="AEL48" i="8"/>
  <c r="AEL49" i="8" s="1"/>
  <c r="AEL37" i="8"/>
  <c r="AEL36" i="8"/>
  <c r="AEL55" i="8" l="1"/>
  <c r="AEL56" i="8" s="1"/>
  <c r="AEL51" i="8"/>
  <c r="AEL50" i="8"/>
  <c r="AEL58" i="8" l="1"/>
  <c r="AEL57" i="8"/>
  <c r="AEL23" i="8"/>
  <c r="AEL24" i="8" s="1"/>
  <c r="AEL25" i="8" s="1"/>
  <c r="AEM20" i="8" l="1"/>
  <c r="AEM28" i="8"/>
  <c r="AEM29" i="8" l="1"/>
  <c r="AEM30" i="8"/>
  <c r="AEM34" i="8"/>
  <c r="AEM35" i="8" s="1"/>
  <c r="AEM37" i="8" l="1"/>
  <c r="AEM36" i="8"/>
  <c r="AEM41" i="8"/>
  <c r="AEM42" i="8" s="1"/>
  <c r="AEM48" i="8" l="1"/>
  <c r="AEM49" i="8" s="1"/>
  <c r="AEM43" i="8"/>
  <c r="AEM44" i="8"/>
  <c r="AEM50" i="8" l="1"/>
  <c r="AEM51" i="8"/>
  <c r="AEM55" i="8"/>
  <c r="AEM56" i="8" s="1"/>
  <c r="AEM57" i="8" l="1"/>
  <c r="AEM58" i="8"/>
  <c r="AEM23" i="8"/>
  <c r="AEM24" i="8" s="1"/>
  <c r="AEM25" i="8" s="1"/>
  <c r="AEN20" i="8" l="1"/>
  <c r="AEN28" i="8"/>
  <c r="AEN30" i="8" l="1"/>
  <c r="AEN29" i="8"/>
  <c r="AEN34" i="8"/>
  <c r="AEN35" i="8" s="1"/>
  <c r="AEN41" i="8" s="1"/>
  <c r="AEN42" i="8" s="1"/>
  <c r="AEN44" i="8" l="1"/>
  <c r="AEN43" i="8"/>
  <c r="AEN48" i="8"/>
  <c r="AEN49" i="8" s="1"/>
  <c r="AEN37" i="8"/>
  <c r="AEN36" i="8"/>
  <c r="AEN55" i="8" l="1"/>
  <c r="AEN56" i="8" s="1"/>
  <c r="AEN23" i="8" s="1"/>
  <c r="AEN24" i="8" s="1"/>
  <c r="AEN25" i="8" s="1"/>
  <c r="AEN50" i="8"/>
  <c r="AEN51" i="8"/>
  <c r="AEO20" i="8" l="1"/>
  <c r="AEO28" i="8"/>
  <c r="AEN58" i="8"/>
  <c r="AEN57" i="8"/>
  <c r="AEO29" i="8" l="1"/>
  <c r="AEO30" i="8"/>
  <c r="AEO34" i="8"/>
  <c r="AEO35" i="8" s="1"/>
  <c r="AEO41" i="8" s="1"/>
  <c r="AEO42" i="8" s="1"/>
  <c r="AEO44" i="8" l="1"/>
  <c r="AEO43" i="8"/>
  <c r="AEO48" i="8"/>
  <c r="AEO49" i="8" s="1"/>
  <c r="AEO36" i="8"/>
  <c r="AEO37" i="8"/>
  <c r="AEO50" i="8" l="1"/>
  <c r="AEO51" i="8"/>
  <c r="AEO55" i="8"/>
  <c r="AEO56" i="8" s="1"/>
  <c r="AEO57" i="8" l="1"/>
  <c r="AEO58" i="8"/>
  <c r="AEO23" i="8"/>
  <c r="AEO24" i="8" s="1"/>
  <c r="AEO25" i="8" s="1"/>
  <c r="AEP20" i="8" l="1"/>
  <c r="AEP28" i="8"/>
  <c r="AEP29" i="8" l="1"/>
  <c r="AEP34" i="8"/>
  <c r="AEP35" i="8" s="1"/>
  <c r="AEP30" i="8"/>
  <c r="AEP37" i="8" l="1"/>
  <c r="AEP36" i="8"/>
  <c r="AEP41" i="8"/>
  <c r="AEP42" i="8" s="1"/>
  <c r="AEP43" i="8" l="1"/>
  <c r="AEP44" i="8"/>
  <c r="AEP48" i="8"/>
  <c r="AEP49" i="8" s="1"/>
  <c r="AEP55" i="8" s="1"/>
  <c r="AEP56" i="8" s="1"/>
  <c r="AEP57" i="8" l="1"/>
  <c r="AEP58" i="8"/>
  <c r="AEP23" i="8"/>
  <c r="AEP24" i="8" s="1"/>
  <c r="AEP25" i="8" s="1"/>
  <c r="AEP50" i="8"/>
  <c r="AEP51" i="8"/>
  <c r="AEQ20" i="8" l="1"/>
  <c r="AEQ28" i="8"/>
  <c r="AEQ30" i="8" l="1"/>
  <c r="AEQ29" i="8"/>
  <c r="AEQ34" i="8"/>
  <c r="AEQ35" i="8" s="1"/>
  <c r="AEQ41" i="8" l="1"/>
  <c r="AEQ42" i="8" s="1"/>
  <c r="AEQ37" i="8"/>
  <c r="AEQ36" i="8"/>
  <c r="AEQ43" i="8" l="1"/>
  <c r="AEQ44" i="8"/>
  <c r="AEQ48" i="8"/>
  <c r="AEQ49" i="8" s="1"/>
  <c r="AEQ50" i="8" l="1"/>
  <c r="AEQ51" i="8"/>
  <c r="AEQ55" i="8"/>
  <c r="AEQ56" i="8" s="1"/>
  <c r="AEQ23" i="8" s="1"/>
  <c r="AEQ24" i="8" s="1"/>
  <c r="AEQ25" i="8" s="1"/>
  <c r="AER20" i="8" l="1"/>
  <c r="AER28" i="8"/>
  <c r="AEQ57" i="8"/>
  <c r="AEQ58" i="8"/>
  <c r="AER30" i="8" l="1"/>
  <c r="AER29" i="8"/>
  <c r="AER34" i="8"/>
  <c r="AER35" i="8" s="1"/>
  <c r="AER41" i="8" l="1"/>
  <c r="AER42" i="8" s="1"/>
  <c r="AER36" i="8"/>
  <c r="AER37" i="8"/>
  <c r="AER44" i="8" l="1"/>
  <c r="AER43" i="8"/>
  <c r="AER48" i="8"/>
  <c r="AER49" i="8" s="1"/>
  <c r="AER50" i="8" l="1"/>
  <c r="AER51" i="8"/>
  <c r="AER55" i="8"/>
  <c r="AER56" i="8" s="1"/>
  <c r="AER23" i="8" l="1"/>
  <c r="AER24" i="8" s="1"/>
  <c r="AER25" i="8" s="1"/>
  <c r="AER57" i="8"/>
  <c r="AER58" i="8"/>
  <c r="AES20" i="8" l="1"/>
  <c r="AES28" i="8"/>
  <c r="AES34" i="8" l="1"/>
  <c r="AES35" i="8" s="1"/>
  <c r="AES41" i="8" s="1"/>
  <c r="AES42" i="8" s="1"/>
  <c r="AES29" i="8"/>
  <c r="AES30" i="8"/>
  <c r="AES43" i="8" l="1"/>
  <c r="AES44" i="8"/>
  <c r="AES48" i="8"/>
  <c r="AES49" i="8" s="1"/>
  <c r="AES36" i="8"/>
  <c r="AES37" i="8"/>
  <c r="AES50" i="8" l="1"/>
  <c r="AES51" i="8"/>
  <c r="AES55" i="8"/>
  <c r="AES56" i="8" s="1"/>
  <c r="AES57" i="8" l="1"/>
  <c r="AES58" i="8"/>
  <c r="AES23" i="8"/>
  <c r="AES24" i="8" s="1"/>
  <c r="AES25" i="8" s="1"/>
  <c r="AET20" i="8" l="1"/>
  <c r="AET28" i="8"/>
  <c r="AET30" i="8" l="1"/>
  <c r="AET29" i="8"/>
  <c r="AET34" i="8"/>
  <c r="AET35" i="8" s="1"/>
  <c r="AET36" i="8" l="1"/>
  <c r="AET37" i="8"/>
  <c r="AET41" i="8"/>
  <c r="AET42" i="8" s="1"/>
  <c r="AET44" i="8" l="1"/>
  <c r="AET43" i="8"/>
  <c r="AET48" i="8"/>
  <c r="AET49" i="8" s="1"/>
  <c r="AET51" i="8" l="1"/>
  <c r="AET50" i="8"/>
  <c r="AET55" i="8"/>
  <c r="AET56" i="8" s="1"/>
  <c r="AET57" i="8" l="1"/>
  <c r="AET58" i="8"/>
  <c r="AET23" i="8"/>
  <c r="AET24" i="8" s="1"/>
  <c r="AET25" i="8" s="1"/>
  <c r="AEU20" i="8" l="1"/>
  <c r="AEU28" i="8"/>
  <c r="AEU29" i="8" l="1"/>
  <c r="AEU30" i="8"/>
  <c r="AEU34" i="8"/>
  <c r="AEU35" i="8" s="1"/>
  <c r="AEU41" i="8" l="1"/>
  <c r="AEU42" i="8" s="1"/>
  <c r="AEU36" i="8"/>
  <c r="AEU37" i="8"/>
  <c r="AEU44" i="8" l="1"/>
  <c r="AEU43" i="8"/>
  <c r="AEU48" i="8"/>
  <c r="AEU49" i="8" s="1"/>
  <c r="AEU51" i="8" l="1"/>
  <c r="AEU50" i="8"/>
  <c r="AEU55" i="8"/>
  <c r="AEU56" i="8" s="1"/>
  <c r="AEU57" i="8" l="1"/>
  <c r="AEU58" i="8"/>
  <c r="AEU23" i="8"/>
  <c r="AEU24" i="8" s="1"/>
  <c r="AEU25" i="8" s="1"/>
  <c r="AEV20" i="8" l="1"/>
  <c r="AEV28" i="8"/>
  <c r="AEV34" i="8" l="1"/>
  <c r="AEV35" i="8" s="1"/>
  <c r="AEV41" i="8" s="1"/>
  <c r="AEV42" i="8" s="1"/>
  <c r="AEV30" i="8"/>
  <c r="AEV29" i="8"/>
  <c r="AEV43" i="8" l="1"/>
  <c r="AEV44" i="8"/>
  <c r="AEV48" i="8"/>
  <c r="AEV49" i="8" s="1"/>
  <c r="AEV37" i="8"/>
  <c r="AEV36" i="8"/>
  <c r="AEV50" i="8" l="1"/>
  <c r="AEV51" i="8"/>
  <c r="AEV55" i="8"/>
  <c r="AEV56" i="8" s="1"/>
  <c r="AEV23" i="8" s="1"/>
  <c r="AEV24" i="8" s="1"/>
  <c r="AEV25" i="8" s="1"/>
  <c r="AEW20" i="8" l="1"/>
  <c r="AEW28" i="8"/>
  <c r="AEV58" i="8"/>
  <c r="AEV57" i="8"/>
  <c r="AEW29" i="8" l="1"/>
  <c r="AEW34" i="8"/>
  <c r="AEW35" i="8" s="1"/>
  <c r="AEW30" i="8"/>
  <c r="AEW41" i="8" l="1"/>
  <c r="AEW42" i="8" s="1"/>
  <c r="AEW37" i="8"/>
  <c r="AEW36" i="8"/>
  <c r="AEW43" i="8" l="1"/>
  <c r="AEW44" i="8"/>
  <c r="AEW48" i="8"/>
  <c r="AEW49" i="8" s="1"/>
  <c r="AEW55" i="8" s="1"/>
  <c r="AEW56" i="8" s="1"/>
  <c r="AEW58" i="8" l="1"/>
  <c r="AEW57" i="8"/>
  <c r="AEW50" i="8"/>
  <c r="AEW51" i="8"/>
  <c r="AEW23" i="8"/>
  <c r="AEW24" i="8" s="1"/>
  <c r="AEW25" i="8" s="1"/>
  <c r="AEX20" i="8" l="1"/>
  <c r="AEX28" i="8"/>
  <c r="AEX34" i="8" l="1"/>
  <c r="AEX35" i="8" s="1"/>
  <c r="AEX41" i="8" s="1"/>
  <c r="AEX42" i="8" s="1"/>
  <c r="AEX29" i="8"/>
  <c r="AEX30" i="8"/>
  <c r="AEX43" i="8" l="1"/>
  <c r="AEX44" i="8"/>
  <c r="AEX48" i="8"/>
  <c r="AEX49" i="8" s="1"/>
  <c r="AEX55" i="8" s="1"/>
  <c r="AEX56" i="8" s="1"/>
  <c r="AEX36" i="8"/>
  <c r="AEX37" i="8"/>
  <c r="AEX57" i="8" l="1"/>
  <c r="AEX58" i="8"/>
  <c r="AEX51" i="8"/>
  <c r="AEX50" i="8"/>
  <c r="AEX23" i="8"/>
  <c r="AEX24" i="8" s="1"/>
  <c r="AEX25" i="8" s="1"/>
  <c r="AEY20" i="8" l="1"/>
  <c r="AEY28" i="8"/>
  <c r="AEY30" i="8" l="1"/>
  <c r="AEY34" i="8"/>
  <c r="AEY35" i="8" s="1"/>
  <c r="AEY29" i="8"/>
  <c r="AEY41" i="8" l="1"/>
  <c r="AEY42" i="8" s="1"/>
  <c r="AEY37" i="8"/>
  <c r="AEY36" i="8"/>
  <c r="AEY48" i="8" l="1"/>
  <c r="AEY49" i="8" s="1"/>
  <c r="AEY55" i="8" s="1"/>
  <c r="AEY56" i="8" s="1"/>
  <c r="AEY44" i="8"/>
  <c r="AEY43" i="8"/>
  <c r="AEY58" i="8" l="1"/>
  <c r="AEY57" i="8"/>
  <c r="AEY51" i="8"/>
  <c r="AEY50" i="8"/>
  <c r="AEY23" i="8"/>
  <c r="AEY24" i="8" s="1"/>
  <c r="AEY25" i="8" s="1"/>
  <c r="AEZ28" i="8" l="1"/>
  <c r="AEZ20" i="8"/>
  <c r="AEZ34" i="8" l="1"/>
  <c r="AEZ35" i="8" s="1"/>
  <c r="AEZ30" i="8"/>
  <c r="AEZ29" i="8"/>
  <c r="AEZ41" i="8" l="1"/>
  <c r="AEZ42" i="8" s="1"/>
  <c r="AEZ48" i="8" s="1"/>
  <c r="AEZ49" i="8" s="1"/>
  <c r="AEZ37" i="8"/>
  <c r="AEZ36" i="8"/>
  <c r="AEZ50" i="8" l="1"/>
  <c r="AEZ51" i="8"/>
  <c r="AEZ43" i="8"/>
  <c r="AEZ44" i="8"/>
  <c r="AEZ55" i="8"/>
  <c r="AEZ56" i="8" s="1"/>
  <c r="AEZ23" i="8" l="1"/>
  <c r="AEZ24" i="8" s="1"/>
  <c r="AEZ25" i="8" s="1"/>
  <c r="AEZ58" i="8"/>
  <c r="AEZ57" i="8"/>
  <c r="AFA28" i="8" l="1"/>
  <c r="AFA20" i="8"/>
  <c r="AFA29" i="8" l="1"/>
  <c r="AFA30" i="8"/>
  <c r="AFA34" i="8"/>
  <c r="AFA35" i="8" s="1"/>
  <c r="AFA41" i="8" s="1"/>
  <c r="AFA42" i="8" s="1"/>
  <c r="AFA48" i="8" l="1"/>
  <c r="AFA49" i="8" s="1"/>
  <c r="AFA55" i="8" s="1"/>
  <c r="AFA56" i="8" s="1"/>
  <c r="AFA43" i="8"/>
  <c r="AFA44" i="8"/>
  <c r="AFA37" i="8"/>
  <c r="AFA36" i="8"/>
  <c r="AFA23" i="8" l="1"/>
  <c r="AFA24" i="8" s="1"/>
  <c r="AFA25" i="8" s="1"/>
  <c r="AFA57" i="8"/>
  <c r="AFA58" i="8"/>
  <c r="AFA51" i="8"/>
  <c r="AFA50" i="8"/>
  <c r="AFB28" i="8" l="1"/>
  <c r="AFB20" i="8"/>
  <c r="AFB30" i="8" l="1"/>
  <c r="AFB29" i="8"/>
  <c r="AFB34" i="8"/>
  <c r="AFB35" i="8" s="1"/>
  <c r="AFB41" i="8" s="1"/>
  <c r="AFB42" i="8" s="1"/>
  <c r="AFB44" i="8" l="1"/>
  <c r="AFB43" i="8"/>
  <c r="AFB36" i="8"/>
  <c r="AFB37" i="8"/>
  <c r="AFB48" i="8"/>
  <c r="AFB49" i="8" s="1"/>
  <c r="AFB50" i="8" l="1"/>
  <c r="AFB51" i="8"/>
  <c r="AFB55" i="8"/>
  <c r="AFB56" i="8" s="1"/>
  <c r="AFB57" i="8" l="1"/>
  <c r="AFB58" i="8"/>
  <c r="AFB23" i="8"/>
  <c r="AFB24" i="8" s="1"/>
  <c r="AFB25" i="8" s="1"/>
  <c r="AFC20" i="8" l="1"/>
  <c r="AFC28" i="8"/>
  <c r="AFC29" i="8" l="1"/>
  <c r="AFC34" i="8"/>
  <c r="AFC35" i="8" s="1"/>
  <c r="AFC30" i="8"/>
  <c r="AFC36" i="8" l="1"/>
  <c r="AFC37" i="8"/>
  <c r="AFC41" i="8"/>
  <c r="AFC42" i="8" s="1"/>
  <c r="AFC44" i="8" l="1"/>
  <c r="AFC43" i="8"/>
  <c r="AFC48" i="8"/>
  <c r="AFC49" i="8" s="1"/>
  <c r="AFC55" i="8" l="1"/>
  <c r="AFC56" i="8" s="1"/>
  <c r="AFC23" i="8" s="1"/>
  <c r="AFC24" i="8" s="1"/>
  <c r="AFC25" i="8" s="1"/>
  <c r="AFC51" i="8"/>
  <c r="AFC50" i="8"/>
  <c r="AFD20" i="8" l="1"/>
  <c r="AFD28" i="8"/>
  <c r="AFC58" i="8"/>
  <c r="AFC57" i="8"/>
  <c r="AFD29" i="8" l="1"/>
  <c r="AFD34" i="8"/>
  <c r="AFD35" i="8" s="1"/>
  <c r="AFD30" i="8"/>
  <c r="AFD36" i="8" l="1"/>
  <c r="AFD37" i="8"/>
  <c r="AFD41" i="8"/>
  <c r="AFD42" i="8" s="1"/>
  <c r="AFD44" i="8" l="1"/>
  <c r="AFD43" i="8"/>
  <c r="AFD48" i="8"/>
  <c r="AFD49" i="8" s="1"/>
  <c r="AFD55" i="8" l="1"/>
  <c r="AFD56" i="8" s="1"/>
  <c r="AFD23" i="8" s="1"/>
  <c r="AFD24" i="8" s="1"/>
  <c r="AFD25" i="8" s="1"/>
  <c r="AFD51" i="8"/>
  <c r="AFD50" i="8"/>
  <c r="AFE20" i="8" l="1"/>
  <c r="AFE28" i="8"/>
  <c r="AFD57" i="8"/>
  <c r="AFD58" i="8"/>
  <c r="AFE30" i="8" l="1"/>
  <c r="AFE29" i="8"/>
  <c r="AFE34" i="8"/>
  <c r="AFE35" i="8" s="1"/>
  <c r="AFE37" i="8" l="1"/>
  <c r="AFE36" i="8"/>
  <c r="AFE41" i="8"/>
  <c r="AFE42" i="8" s="1"/>
  <c r="AFE43" i="8" l="1"/>
  <c r="AFE44" i="8"/>
  <c r="AFE48" i="8"/>
  <c r="AFE49" i="8" s="1"/>
  <c r="AFE55" i="8" l="1"/>
  <c r="AFE56" i="8" s="1"/>
  <c r="AFE23" i="8" s="1"/>
  <c r="AFE24" i="8" s="1"/>
  <c r="AFE25" i="8" s="1"/>
  <c r="AFE50" i="8"/>
  <c r="AFE51" i="8"/>
  <c r="AFF20" i="8" l="1"/>
  <c r="AFF28" i="8"/>
  <c r="AFE58" i="8"/>
  <c r="AFE57" i="8"/>
  <c r="AFF29" i="8" l="1"/>
  <c r="AFF34" i="8"/>
  <c r="AFF35" i="8" s="1"/>
  <c r="AFF30" i="8"/>
  <c r="AFF37" i="8" l="1"/>
  <c r="AFF36" i="8"/>
  <c r="AFF41" i="8"/>
  <c r="AFF42" i="8" s="1"/>
  <c r="AFF43" i="8" l="1"/>
  <c r="AFF44" i="8"/>
  <c r="AFF48" i="8"/>
  <c r="AFF49" i="8" s="1"/>
  <c r="AFF55" i="8" l="1"/>
  <c r="AFF56" i="8" s="1"/>
  <c r="AFF23" i="8" s="1"/>
  <c r="AFF24" i="8" s="1"/>
  <c r="AFF25" i="8" s="1"/>
  <c r="AFF51" i="8"/>
  <c r="AFF50" i="8"/>
  <c r="AFG20" i="8" l="1"/>
  <c r="AFG28" i="8"/>
  <c r="AFF58" i="8"/>
  <c r="AFF57" i="8"/>
  <c r="AFG34" i="8" l="1"/>
  <c r="AFG35" i="8" s="1"/>
  <c r="AFG30" i="8"/>
  <c r="AFG29" i="8"/>
  <c r="AFG36" i="8" l="1"/>
  <c r="AFG37" i="8"/>
  <c r="AFG41" i="8"/>
  <c r="AFG42" i="8" s="1"/>
  <c r="AFG48" i="8" l="1"/>
  <c r="AFG49" i="8" s="1"/>
  <c r="AFG55" i="8" s="1"/>
  <c r="AFG56" i="8" s="1"/>
  <c r="AFG44" i="8"/>
  <c r="AFG43" i="8"/>
  <c r="AFG23" i="8" l="1"/>
  <c r="AFG24" i="8" s="1"/>
  <c r="AFG25" i="8" s="1"/>
  <c r="AFG58" i="8"/>
  <c r="AFG57" i="8"/>
  <c r="AFG50" i="8"/>
  <c r="AFG51" i="8"/>
  <c r="AFH20" i="8" l="1"/>
  <c r="AFH28" i="8"/>
  <c r="AFH29" i="8" l="1"/>
  <c r="AFH30" i="8"/>
  <c r="AFH34" i="8"/>
  <c r="AFH35" i="8" s="1"/>
  <c r="AFH41" i="8" l="1"/>
  <c r="AFH42" i="8" s="1"/>
  <c r="AFH37" i="8"/>
  <c r="AFH36" i="8"/>
  <c r="AFH44" i="8" l="1"/>
  <c r="AFH43" i="8"/>
  <c r="AFH48" i="8"/>
  <c r="AFH49" i="8" s="1"/>
  <c r="AFH50" i="8" l="1"/>
  <c r="AFH51" i="8"/>
  <c r="AFH55" i="8"/>
  <c r="AFH56" i="8" s="1"/>
  <c r="AFH23" i="8" s="1"/>
  <c r="AFH24" i="8" s="1"/>
  <c r="AFH25" i="8" s="1"/>
  <c r="AFI20" i="8" l="1"/>
  <c r="AFI28" i="8"/>
  <c r="AFH58" i="8"/>
  <c r="AFH57" i="8"/>
  <c r="AFI30" i="8" l="1"/>
  <c r="AFI29" i="8"/>
  <c r="AFI34" i="8"/>
  <c r="AFI35" i="8" s="1"/>
  <c r="AFI41" i="8" l="1"/>
  <c r="AFI42" i="8" s="1"/>
  <c r="AFI37" i="8"/>
  <c r="AFI36" i="8"/>
  <c r="AFI44" i="8" l="1"/>
  <c r="AFI43" i="8"/>
  <c r="AFI48" i="8"/>
  <c r="AFI49" i="8" s="1"/>
  <c r="AFI51" i="8" l="1"/>
  <c r="AFI50" i="8"/>
  <c r="AFI55" i="8"/>
  <c r="AFI56" i="8" s="1"/>
  <c r="AFI23" i="8" s="1"/>
  <c r="AFI24" i="8" s="1"/>
  <c r="AFI25" i="8" s="1"/>
  <c r="AFJ20" i="8" l="1"/>
  <c r="AFJ28" i="8"/>
  <c r="AFI57" i="8"/>
  <c r="AFI58" i="8"/>
  <c r="AFJ30" i="8" l="1"/>
  <c r="AFJ29" i="8"/>
  <c r="AFJ34" i="8"/>
  <c r="AFJ35" i="8" s="1"/>
  <c r="AFJ41" i="8" s="1"/>
  <c r="AFJ42" i="8" s="1"/>
  <c r="AFJ43" i="8" l="1"/>
  <c r="AFJ44" i="8"/>
  <c r="AFJ36" i="8"/>
  <c r="AFJ37" i="8"/>
  <c r="AFJ48" i="8"/>
  <c r="AFJ49" i="8" s="1"/>
  <c r="AFJ51" i="8" l="1"/>
  <c r="AFJ50" i="8"/>
  <c r="AFJ55" i="8"/>
  <c r="AFJ56" i="8" s="1"/>
  <c r="AFJ57" i="8" l="1"/>
  <c r="AFJ58" i="8"/>
  <c r="AFJ23" i="8"/>
  <c r="AFJ24" i="8" s="1"/>
  <c r="AFJ25" i="8" s="1"/>
  <c r="AFK20" i="8" l="1"/>
  <c r="AFK28" i="8"/>
  <c r="AFK34" i="8" l="1"/>
  <c r="AFK35" i="8" s="1"/>
  <c r="AFK30" i="8"/>
  <c r="AFK29" i="8"/>
  <c r="AFK41" i="8" l="1"/>
  <c r="AFK42" i="8" s="1"/>
  <c r="AFK48" i="8" s="1"/>
  <c r="AFK49" i="8" s="1"/>
  <c r="AFK37" i="8"/>
  <c r="AFK36" i="8"/>
  <c r="AFK50" i="8" l="1"/>
  <c r="AFK51" i="8"/>
  <c r="AFK44" i="8"/>
  <c r="AFK43" i="8"/>
  <c r="AFK55" i="8"/>
  <c r="AFK56" i="8" s="1"/>
  <c r="AFK57" i="8" l="1"/>
  <c r="AFK58" i="8"/>
  <c r="AFK23" i="8"/>
  <c r="AFK24" i="8" s="1"/>
  <c r="AFK25" i="8" s="1"/>
  <c r="AFL20" i="8" l="1"/>
  <c r="AFL28" i="8"/>
  <c r="AFL29" i="8" l="1"/>
  <c r="AFL34" i="8"/>
  <c r="AFL35" i="8" s="1"/>
  <c r="AFL30" i="8"/>
  <c r="AFL36" i="8" l="1"/>
  <c r="AFL37" i="8"/>
  <c r="AFL41" i="8"/>
  <c r="AFL42" i="8" s="1"/>
  <c r="AFL44" i="8" l="1"/>
  <c r="AFL43" i="8"/>
  <c r="AFL48" i="8"/>
  <c r="AFL49" i="8" s="1"/>
  <c r="AFL55" i="8" l="1"/>
  <c r="AFL56" i="8" s="1"/>
  <c r="AFL23" i="8" s="1"/>
  <c r="AFL24" i="8" s="1"/>
  <c r="AFL25" i="8" s="1"/>
  <c r="AFL51" i="8"/>
  <c r="AFL50" i="8"/>
  <c r="AFM20" i="8" l="1"/>
  <c r="AFM28" i="8"/>
  <c r="AFL57" i="8"/>
  <c r="AFL58" i="8"/>
  <c r="AFM34" i="8" l="1"/>
  <c r="AFM35" i="8" s="1"/>
  <c r="AFM30" i="8"/>
  <c r="AFM29" i="8"/>
  <c r="AFM37" i="8" l="1"/>
  <c r="AFM36" i="8"/>
  <c r="AFM41" i="8"/>
  <c r="AFM42" i="8" s="1"/>
  <c r="AFM43" i="8" l="1"/>
  <c r="AFM44" i="8"/>
  <c r="AFM48" i="8"/>
  <c r="AFM49" i="8" s="1"/>
  <c r="AFM50" i="8" l="1"/>
  <c r="AFM51" i="8"/>
  <c r="AFM55" i="8"/>
  <c r="AFM56" i="8" s="1"/>
  <c r="AFM58" i="8" l="1"/>
  <c r="AFM57" i="8"/>
  <c r="AFM23" i="8"/>
  <c r="AFM24" i="8" s="1"/>
  <c r="AFM25" i="8" s="1"/>
  <c r="AFN20" i="8" l="1"/>
  <c r="AFN28" i="8"/>
  <c r="AFN29" i="8" l="1"/>
  <c r="AFN30" i="8"/>
  <c r="AFN34" i="8"/>
  <c r="AFN35" i="8" s="1"/>
  <c r="AFN37" i="8" l="1"/>
  <c r="AFN36" i="8"/>
  <c r="AFN41" i="8"/>
  <c r="AFN42" i="8" s="1"/>
  <c r="AFN44" i="8" l="1"/>
  <c r="AFN43" i="8"/>
  <c r="AFN48" i="8"/>
  <c r="AFN49" i="8" s="1"/>
  <c r="AFN50" i="8" l="1"/>
  <c r="AFN51" i="8"/>
  <c r="AFN55" i="8"/>
  <c r="AFN56" i="8" s="1"/>
  <c r="AFN58" i="8" l="1"/>
  <c r="AFN57" i="8"/>
  <c r="AFN23" i="8"/>
  <c r="AFN24" i="8" s="1"/>
  <c r="AFN25" i="8" s="1"/>
  <c r="AFO20" i="8" l="1"/>
  <c r="AFO28" i="8"/>
  <c r="AFO30" i="8" l="1"/>
  <c r="AFO29" i="8"/>
  <c r="AFO34" i="8"/>
  <c r="AFO35" i="8" s="1"/>
  <c r="AFO37" i="8" l="1"/>
  <c r="AFO36" i="8"/>
  <c r="AFO41" i="8"/>
  <c r="AFO42" i="8" s="1"/>
  <c r="AFO43" i="8" l="1"/>
  <c r="AFO44" i="8"/>
  <c r="AFO48" i="8"/>
  <c r="AFO49" i="8" s="1"/>
  <c r="AFO50" i="8" l="1"/>
  <c r="AFO51" i="8"/>
  <c r="AFO55" i="8"/>
  <c r="AFO56" i="8" s="1"/>
  <c r="AFO58" i="8" l="1"/>
  <c r="AFO57" i="8"/>
  <c r="AFO23" i="8"/>
  <c r="AFO24" i="8" s="1"/>
  <c r="AFO25" i="8" s="1"/>
  <c r="AFP20" i="8" l="1"/>
  <c r="AFP28" i="8"/>
  <c r="AFP30" i="8" l="1"/>
  <c r="AFP29" i="8"/>
  <c r="AFP34" i="8"/>
  <c r="AFP35" i="8" s="1"/>
  <c r="AFP41" i="8" l="1"/>
  <c r="AFP42" i="8" s="1"/>
  <c r="AFP48" i="8" s="1"/>
  <c r="AFP49" i="8" s="1"/>
  <c r="AFP37" i="8"/>
  <c r="AFP36" i="8"/>
  <c r="AFP50" i="8" l="1"/>
  <c r="AFP51" i="8"/>
  <c r="AFP44" i="8"/>
  <c r="AFP43" i="8"/>
  <c r="AFP55" i="8"/>
  <c r="AFP56" i="8" s="1"/>
  <c r="AFP57" i="8" l="1"/>
  <c r="AFP58" i="8"/>
  <c r="AFP23" i="8"/>
  <c r="AFP24" i="8" s="1"/>
  <c r="AFP25" i="8" s="1"/>
  <c r="AFQ20" i="8" l="1"/>
  <c r="AFQ28" i="8"/>
  <c r="AFQ34" i="8" l="1"/>
  <c r="AFQ35" i="8" s="1"/>
  <c r="AFQ30" i="8"/>
  <c r="AFQ29" i="8"/>
  <c r="AFQ41" i="8" l="1"/>
  <c r="AFQ42" i="8" s="1"/>
  <c r="AFQ36" i="8"/>
  <c r="AFQ37" i="8"/>
  <c r="AFQ43" i="8" l="1"/>
  <c r="AFQ44" i="8"/>
  <c r="AFQ48" i="8"/>
  <c r="AFQ49" i="8" s="1"/>
  <c r="AFQ55" i="8" l="1"/>
  <c r="AFQ56" i="8" s="1"/>
  <c r="AFQ23" i="8" s="1"/>
  <c r="AFQ24" i="8" s="1"/>
  <c r="AFQ25" i="8" s="1"/>
  <c r="AFQ51" i="8"/>
  <c r="AFQ50" i="8"/>
  <c r="AFR20" i="8" l="1"/>
  <c r="AFR28" i="8"/>
  <c r="AFQ58" i="8"/>
  <c r="AFQ57" i="8"/>
  <c r="AFR34" i="8" l="1"/>
  <c r="AFR35" i="8" s="1"/>
  <c r="AFR30" i="8"/>
  <c r="AFR29" i="8"/>
  <c r="AFR36" i="8" l="1"/>
  <c r="AFR37" i="8"/>
  <c r="AFR41" i="8"/>
  <c r="AFR42" i="8" s="1"/>
  <c r="AFR44" i="8" l="1"/>
  <c r="AFR43" i="8"/>
  <c r="AFR48" i="8"/>
  <c r="AFR49" i="8" s="1"/>
  <c r="AFR55" i="8" l="1"/>
  <c r="AFR56" i="8" s="1"/>
  <c r="AFR23" i="8" s="1"/>
  <c r="AFR24" i="8" s="1"/>
  <c r="AFR25" i="8" s="1"/>
  <c r="AFR50" i="8"/>
  <c r="AFR51" i="8"/>
  <c r="AFS20" i="8" l="1"/>
  <c r="AFS28" i="8"/>
  <c r="AFR58" i="8"/>
  <c r="AFR57" i="8"/>
  <c r="AFS29" i="8" l="1"/>
  <c r="AFS30" i="8"/>
  <c r="AFS34" i="8"/>
  <c r="AFS35" i="8" s="1"/>
  <c r="AFS36" i="8" l="1"/>
  <c r="AFS37" i="8"/>
  <c r="AFS41" i="8"/>
  <c r="AFS42" i="8" s="1"/>
  <c r="AFS44" i="8" l="1"/>
  <c r="AFS43" i="8"/>
  <c r="AFS48" i="8"/>
  <c r="AFS49" i="8" s="1"/>
  <c r="AFS51" i="8" l="1"/>
  <c r="AFS50" i="8"/>
  <c r="AFS55" i="8"/>
  <c r="AFS56" i="8" s="1"/>
  <c r="AFS23" i="8" l="1"/>
  <c r="AFS24" i="8" s="1"/>
  <c r="AFS25" i="8" s="1"/>
  <c r="AFS57" i="8"/>
  <c r="AFS58" i="8"/>
  <c r="AFT20" i="8" l="1"/>
  <c r="AFT28" i="8"/>
  <c r="AFT29" i="8" l="1"/>
  <c r="AFT34" i="8"/>
  <c r="AFT35" i="8" s="1"/>
  <c r="AFT41" i="8" s="1"/>
  <c r="AFT42" i="8" s="1"/>
  <c r="AFT30" i="8"/>
  <c r="AFT43" i="8" l="1"/>
  <c r="AFT44" i="8"/>
  <c r="AFT36" i="8"/>
  <c r="AFT37" i="8"/>
  <c r="AFT48" i="8"/>
  <c r="AFT49" i="8" s="1"/>
  <c r="AFT55" i="8" l="1"/>
  <c r="AFT56" i="8" s="1"/>
  <c r="AFT23" i="8" s="1"/>
  <c r="AFT24" i="8" s="1"/>
  <c r="AFT25" i="8" s="1"/>
  <c r="AFT50" i="8"/>
  <c r="AFT51" i="8"/>
  <c r="AFU20" i="8" l="1"/>
  <c r="AFU28" i="8"/>
  <c r="AFT58" i="8"/>
  <c r="AFT57" i="8"/>
  <c r="AFU34" i="8" l="1"/>
  <c r="AFU35" i="8" s="1"/>
  <c r="AFU29" i="8"/>
  <c r="AFU30" i="8"/>
  <c r="AFU36" i="8" l="1"/>
  <c r="AFU37" i="8"/>
  <c r="AFU41" i="8"/>
  <c r="AFU42" i="8" s="1"/>
  <c r="AFU44" i="8" l="1"/>
  <c r="AFU43" i="8"/>
  <c r="AFU48" i="8"/>
  <c r="AFU49" i="8" s="1"/>
  <c r="AFU50" i="8" l="1"/>
  <c r="AFU51" i="8"/>
  <c r="AFU55" i="8"/>
  <c r="AFU56" i="8" s="1"/>
  <c r="AFU23" i="8" l="1"/>
  <c r="AFU24" i="8" s="1"/>
  <c r="AFU25" i="8" s="1"/>
  <c r="AFU58" i="8"/>
  <c r="AFU57" i="8"/>
  <c r="AFV20" i="8" l="1"/>
  <c r="AFV28" i="8"/>
  <c r="AFV30" i="8" l="1"/>
  <c r="AFV29" i="8"/>
  <c r="AFV34" i="8"/>
  <c r="AFV35" i="8" s="1"/>
  <c r="AFV41" i="8" l="1"/>
  <c r="AFV42" i="8" s="1"/>
  <c r="AFV37" i="8"/>
  <c r="AFV36" i="8"/>
  <c r="AFV44" i="8" l="1"/>
  <c r="AFV43" i="8"/>
  <c r="AFV48" i="8"/>
  <c r="AFV49" i="8" s="1"/>
  <c r="AFV50" i="8" l="1"/>
  <c r="AFV51" i="8"/>
  <c r="AFV55" i="8"/>
  <c r="AFV56" i="8" s="1"/>
  <c r="AFV57" i="8" l="1"/>
  <c r="AFV58" i="8"/>
  <c r="AFV23" i="8"/>
  <c r="AFV24" i="8" s="1"/>
  <c r="AFV25" i="8" s="1"/>
  <c r="AFW20" i="8" l="1"/>
  <c r="AFW28" i="8"/>
  <c r="AFW30" i="8" l="1"/>
  <c r="AFW34" i="8"/>
  <c r="AFW35" i="8" s="1"/>
  <c r="AFW41" i="8" s="1"/>
  <c r="AFW42" i="8" s="1"/>
  <c r="AFW29" i="8"/>
  <c r="AFW43" i="8" l="1"/>
  <c r="AFW44" i="8"/>
  <c r="AFW48" i="8"/>
  <c r="AFW49" i="8" s="1"/>
  <c r="AFW55" i="8" s="1"/>
  <c r="AFW56" i="8" s="1"/>
  <c r="AFW36" i="8"/>
  <c r="AFW37" i="8"/>
  <c r="AFW23" i="8" l="1"/>
  <c r="AFW24" i="8" s="1"/>
  <c r="AFW25" i="8" s="1"/>
  <c r="AFW57" i="8"/>
  <c r="AFW58" i="8"/>
  <c r="AFW50" i="8"/>
  <c r="AFW51" i="8"/>
  <c r="AFX20" i="8" l="1"/>
  <c r="AFX28" i="8"/>
  <c r="AFX29" i="8" l="1"/>
  <c r="AFX30" i="8"/>
  <c r="AFX34" i="8"/>
  <c r="AFX35" i="8" s="1"/>
  <c r="AFX41" i="8" l="1"/>
  <c r="AFX42" i="8" s="1"/>
  <c r="AFX36" i="8"/>
  <c r="AFX37" i="8"/>
  <c r="AFX44" i="8" l="1"/>
  <c r="AFX43" i="8"/>
  <c r="AFX48" i="8"/>
  <c r="AFX49" i="8" s="1"/>
  <c r="AFX51" i="8" l="1"/>
  <c r="AFX50" i="8"/>
  <c r="AFX55" i="8"/>
  <c r="AFX56" i="8" s="1"/>
  <c r="AFX58" i="8" l="1"/>
  <c r="AFX57" i="8"/>
  <c r="AFX23" i="8"/>
  <c r="AFX24" i="8" s="1"/>
  <c r="AFX25" i="8" s="1"/>
  <c r="AFY20" i="8" l="1"/>
  <c r="AFY28" i="8"/>
  <c r="AFY34" i="8" l="1"/>
  <c r="AFY35" i="8" s="1"/>
  <c r="AFY41" i="8" s="1"/>
  <c r="AFY42" i="8" s="1"/>
  <c r="AFY30" i="8"/>
  <c r="AFY29" i="8"/>
  <c r="AFY43" i="8" l="1"/>
  <c r="AFY44" i="8"/>
  <c r="AFY48" i="8"/>
  <c r="AFY49" i="8" s="1"/>
  <c r="AFY37" i="8"/>
  <c r="AFY36" i="8"/>
  <c r="AFY55" i="8" l="1"/>
  <c r="AFY56" i="8" s="1"/>
  <c r="AFY50" i="8"/>
  <c r="AFY51" i="8"/>
  <c r="AFY57" i="8" l="1"/>
  <c r="AFY58" i="8"/>
  <c r="AFY23" i="8"/>
  <c r="AFY24" i="8" s="1"/>
  <c r="AFY25" i="8" s="1"/>
  <c r="AFZ28" i="8" l="1"/>
  <c r="AFZ20" i="8"/>
  <c r="AFZ30" i="8" l="1"/>
  <c r="AFZ29" i="8"/>
  <c r="AFZ34" i="8"/>
  <c r="AFZ35" i="8" s="1"/>
  <c r="AFZ41" i="8" s="1"/>
  <c r="AFZ42" i="8" s="1"/>
  <c r="AFZ48" i="8" l="1"/>
  <c r="AFZ49" i="8" s="1"/>
  <c r="AFZ55" i="8" s="1"/>
  <c r="AFZ56" i="8" s="1"/>
  <c r="AFZ44" i="8"/>
  <c r="AFZ43" i="8"/>
  <c r="AFZ37" i="8"/>
  <c r="AFZ36" i="8"/>
  <c r="AFZ23" i="8" l="1"/>
  <c r="AFZ24" i="8" s="1"/>
  <c r="AFZ25" i="8" s="1"/>
  <c r="AFZ57" i="8"/>
  <c r="AFZ58" i="8"/>
  <c r="AFZ50" i="8"/>
  <c r="AFZ51" i="8"/>
  <c r="AGA20" i="8" l="1"/>
  <c r="AGA28" i="8"/>
  <c r="AGA30" i="8" l="1"/>
  <c r="AGA29" i="8"/>
  <c r="AGA34" i="8"/>
  <c r="AGA35" i="8" s="1"/>
  <c r="AGA41" i="8" s="1"/>
  <c r="AGA42" i="8" s="1"/>
  <c r="AGA44" i="8" l="1"/>
  <c r="AGA43" i="8"/>
  <c r="AGA48" i="8"/>
  <c r="AGA49" i="8" s="1"/>
  <c r="AGA55" i="8" s="1"/>
  <c r="AGA56" i="8" s="1"/>
  <c r="AGA37" i="8"/>
  <c r="AGA36" i="8"/>
  <c r="AGA23" i="8" l="1"/>
  <c r="AGA24" i="8" s="1"/>
  <c r="AGA25" i="8" s="1"/>
  <c r="AGA58" i="8"/>
  <c r="AGA57" i="8"/>
  <c r="AGA51" i="8"/>
  <c r="AGA50" i="8"/>
  <c r="AGB28" i="8" l="1"/>
  <c r="AGB20" i="8"/>
  <c r="AGB34" i="8" l="1"/>
  <c r="AGB35" i="8" s="1"/>
  <c r="AGB29" i="8"/>
  <c r="AGB30" i="8"/>
  <c r="AGB41" i="8" l="1"/>
  <c r="AGB42" i="8" s="1"/>
  <c r="AGB48" i="8" s="1"/>
  <c r="AGB49" i="8" s="1"/>
  <c r="AGB36" i="8"/>
  <c r="AGB37" i="8"/>
  <c r="AGB50" i="8" l="1"/>
  <c r="AGB51" i="8"/>
  <c r="AGB44" i="8"/>
  <c r="AGB43" i="8"/>
  <c r="AGB55" i="8"/>
  <c r="AGB56" i="8" s="1"/>
  <c r="AGB58" i="8" l="1"/>
  <c r="AGB57" i="8"/>
  <c r="AGB23" i="8"/>
  <c r="AGB24" i="8" s="1"/>
  <c r="AGB25" i="8" s="1"/>
  <c r="AGC20" i="8" l="1"/>
  <c r="AGC28" i="8"/>
  <c r="AGC29" i="8" l="1"/>
  <c r="AGC34" i="8"/>
  <c r="AGC35" i="8" s="1"/>
  <c r="AGC30" i="8"/>
  <c r="AGC41" i="8" l="1"/>
  <c r="AGC42" i="8" s="1"/>
  <c r="AGC48" i="8" s="1"/>
  <c r="AGC49" i="8" s="1"/>
  <c r="AGC36" i="8"/>
  <c r="AGC37" i="8"/>
  <c r="AGC55" i="8" l="1"/>
  <c r="AGC56" i="8" s="1"/>
  <c r="AGC23" i="8" s="1"/>
  <c r="AGC24" i="8" s="1"/>
  <c r="AGC25" i="8" s="1"/>
  <c r="AGC51" i="8"/>
  <c r="AGC50" i="8"/>
  <c r="AGC43" i="8"/>
  <c r="AGC44" i="8"/>
  <c r="AGD20" i="8" l="1"/>
  <c r="AGD28" i="8"/>
  <c r="AGC58" i="8"/>
  <c r="AGC57" i="8"/>
  <c r="AGD34" i="8" l="1"/>
  <c r="AGD35" i="8" s="1"/>
  <c r="AGD30" i="8"/>
  <c r="AGD29" i="8"/>
  <c r="AGD36" i="8" l="1"/>
  <c r="AGD37" i="8"/>
  <c r="AGD41" i="8"/>
  <c r="AGD42" i="8" s="1"/>
  <c r="AGD43" i="8" l="1"/>
  <c r="AGD44" i="8"/>
  <c r="AGD48" i="8"/>
  <c r="AGD49" i="8" s="1"/>
  <c r="AGD55" i="8" l="1"/>
  <c r="AGD56" i="8" s="1"/>
  <c r="AGD23" i="8" s="1"/>
  <c r="AGD24" i="8" s="1"/>
  <c r="AGD25" i="8" s="1"/>
  <c r="AGD50" i="8"/>
  <c r="AGD51" i="8"/>
  <c r="AGE20" i="8" l="1"/>
  <c r="AGE28" i="8"/>
  <c r="AGD57" i="8"/>
  <c r="AGD58" i="8"/>
  <c r="AGE29" i="8" l="1"/>
  <c r="AGE34" i="8"/>
  <c r="AGE35" i="8" s="1"/>
  <c r="AGE30" i="8"/>
  <c r="AGE41" i="8" l="1"/>
  <c r="AGE42" i="8" s="1"/>
  <c r="AGE48" i="8" s="1"/>
  <c r="AGE49" i="8" s="1"/>
  <c r="AGE37" i="8"/>
  <c r="AGE36" i="8"/>
  <c r="AGE55" i="8" l="1"/>
  <c r="AGE56" i="8" s="1"/>
  <c r="AGE23" i="8" s="1"/>
  <c r="AGE24" i="8" s="1"/>
  <c r="AGE25" i="8" s="1"/>
  <c r="AGE51" i="8"/>
  <c r="AGE50" i="8"/>
  <c r="AGE44" i="8"/>
  <c r="AGE43" i="8"/>
  <c r="AGF20" i="8" l="1"/>
  <c r="AGF28" i="8"/>
  <c r="AGE58" i="8"/>
  <c r="AGE57" i="8"/>
  <c r="AGF30" i="8" l="1"/>
  <c r="AGF34" i="8"/>
  <c r="AGF35" i="8" s="1"/>
  <c r="AGF29" i="8"/>
  <c r="AGF37" i="8" l="1"/>
  <c r="AGF36" i="8"/>
  <c r="AGF41" i="8"/>
  <c r="AGF42" i="8" s="1"/>
  <c r="AGF44" i="8" l="1"/>
  <c r="AGF43" i="8"/>
  <c r="AGF48" i="8"/>
  <c r="AGF49" i="8" s="1"/>
  <c r="AGF50" i="8" l="1"/>
  <c r="AGF51" i="8"/>
  <c r="AGF55" i="8"/>
  <c r="AGF56" i="8" s="1"/>
  <c r="AGF23" i="8" l="1"/>
  <c r="AGF24" i="8" s="1"/>
  <c r="AGF25" i="8" s="1"/>
  <c r="AGF57" i="8"/>
  <c r="AGF58" i="8"/>
  <c r="AGG20" i="8" l="1"/>
  <c r="AGG28" i="8"/>
  <c r="AGG34" i="8" l="1"/>
  <c r="AGG35" i="8" s="1"/>
  <c r="AGG29" i="8"/>
  <c r="AGG30" i="8"/>
  <c r="AGG41" i="8" l="1"/>
  <c r="AGG42" i="8" s="1"/>
  <c r="AGG37" i="8"/>
  <c r="AGG36" i="8"/>
  <c r="AGG43" i="8" l="1"/>
  <c r="AGG44" i="8"/>
  <c r="AGG48" i="8"/>
  <c r="AGG49" i="8" s="1"/>
  <c r="AGG50" i="8" l="1"/>
  <c r="AGG51" i="8"/>
  <c r="AGG55" i="8"/>
  <c r="AGG56" i="8" s="1"/>
  <c r="AGG58" i="8" l="1"/>
  <c r="AGG57" i="8"/>
  <c r="AGG23" i="8"/>
  <c r="AGG24" i="8" s="1"/>
  <c r="AGG25" i="8" s="1"/>
  <c r="AGH20" i="8" l="1"/>
  <c r="AGH28" i="8"/>
  <c r="AGH29" i="8" l="1"/>
  <c r="AGH34" i="8"/>
  <c r="AGH35" i="8" s="1"/>
  <c r="AGH41" i="8" s="1"/>
  <c r="AGH42" i="8" s="1"/>
  <c r="AGH30" i="8"/>
  <c r="AGH43" i="8" l="1"/>
  <c r="AGH44" i="8"/>
  <c r="AGH48" i="8"/>
  <c r="AGH49" i="8" s="1"/>
  <c r="AGH36" i="8"/>
  <c r="AGH37" i="8"/>
  <c r="AGH55" i="8" l="1"/>
  <c r="AGH56" i="8" s="1"/>
  <c r="AGH50" i="8"/>
  <c r="AGH51" i="8"/>
  <c r="AGH57" i="8" l="1"/>
  <c r="AGH58" i="8"/>
  <c r="AGH23" i="8"/>
  <c r="AGH24" i="8" s="1"/>
  <c r="AGH25" i="8" s="1"/>
  <c r="AGI28" i="8" l="1"/>
  <c r="AGI20" i="8"/>
  <c r="AGI30" i="8" l="1"/>
  <c r="AGI29" i="8"/>
  <c r="AGI34" i="8"/>
  <c r="AGI35" i="8" s="1"/>
  <c r="AGI41" i="8" l="1"/>
  <c r="AGI42" i="8" s="1"/>
  <c r="AGI37" i="8"/>
  <c r="AGI36" i="8"/>
  <c r="AGI43" i="8" l="1"/>
  <c r="AGI44" i="8"/>
  <c r="AGI48" i="8"/>
  <c r="AGI49" i="8" s="1"/>
  <c r="AGI50" i="8" l="1"/>
  <c r="AGI51" i="8"/>
  <c r="AGI55" i="8"/>
  <c r="AGI56" i="8" s="1"/>
  <c r="AGI57" i="8" l="1"/>
  <c r="AGI58" i="8"/>
  <c r="AGI23" i="8"/>
  <c r="AGI24" i="8" s="1"/>
  <c r="AGI25" i="8" s="1"/>
  <c r="AGJ28" i="8" l="1"/>
  <c r="AGJ20" i="8"/>
  <c r="AGJ29" i="8" l="1"/>
  <c r="AGJ30" i="8"/>
  <c r="AGJ34" i="8"/>
  <c r="AGJ35" i="8" s="1"/>
  <c r="AGJ41" i="8" s="1"/>
  <c r="AGJ42" i="8" s="1"/>
  <c r="AGJ44" i="8" l="1"/>
  <c r="AGJ43" i="8"/>
  <c r="AGJ48" i="8"/>
  <c r="AGJ49" i="8" s="1"/>
  <c r="AGJ37" i="8"/>
  <c r="AGJ36" i="8"/>
  <c r="AGJ55" i="8" l="1"/>
  <c r="AGJ56" i="8" s="1"/>
  <c r="AGJ51" i="8"/>
  <c r="AGJ50" i="8"/>
  <c r="AGJ58" i="8" l="1"/>
  <c r="AGJ57" i="8"/>
  <c r="AGJ23" i="8"/>
  <c r="AGJ24" i="8" s="1"/>
  <c r="AGJ25" i="8" s="1"/>
  <c r="AGK20" i="8" l="1"/>
  <c r="AGK28" i="8"/>
  <c r="AGK29" i="8" l="1"/>
  <c r="AGK34" i="8"/>
  <c r="AGK35" i="8" s="1"/>
  <c r="AGK30" i="8"/>
  <c r="AGK41" i="8" l="1"/>
  <c r="AGK42" i="8" s="1"/>
  <c r="AGK37" i="8"/>
  <c r="AGK36" i="8"/>
  <c r="AGK43" i="8" l="1"/>
  <c r="AGK44" i="8"/>
  <c r="AGK48" i="8"/>
  <c r="AGK49" i="8" s="1"/>
  <c r="AGK55" i="8" l="1"/>
  <c r="AGK56" i="8" s="1"/>
  <c r="AGK50" i="8"/>
  <c r="AGK51" i="8"/>
  <c r="AGK58" i="8" l="1"/>
  <c r="AGK57" i="8"/>
  <c r="AGK23" i="8"/>
  <c r="AGK24" i="8" s="1"/>
  <c r="AGK25" i="8" s="1"/>
  <c r="AGL20" i="8" l="1"/>
  <c r="AGL28" i="8"/>
  <c r="AGL30" i="8" l="1"/>
  <c r="AGL34" i="8"/>
  <c r="AGL35" i="8" s="1"/>
  <c r="AGL29" i="8"/>
  <c r="AGL41" i="8" l="1"/>
  <c r="AGL42" i="8" s="1"/>
  <c r="AGL37" i="8"/>
  <c r="AGL36" i="8"/>
  <c r="AGL43" i="8" l="1"/>
  <c r="AGL44" i="8"/>
  <c r="AGL48" i="8"/>
  <c r="AGL49" i="8" s="1"/>
  <c r="AGL51" i="8" l="1"/>
  <c r="AGL50" i="8"/>
  <c r="AGL55" i="8"/>
  <c r="AGL56" i="8" s="1"/>
  <c r="AGL23" i="8" s="1"/>
  <c r="AGL24" i="8" s="1"/>
  <c r="AGL25" i="8" s="1"/>
  <c r="AGM20" i="8" l="1"/>
  <c r="AGM28" i="8"/>
  <c r="AGL57" i="8"/>
  <c r="AGL58" i="8"/>
  <c r="AGM29" i="8" l="1"/>
  <c r="AGM34" i="8"/>
  <c r="AGM35" i="8" s="1"/>
  <c r="AGM41" i="8" s="1"/>
  <c r="AGM42" i="8" s="1"/>
  <c r="AGM30" i="8"/>
  <c r="AGM44" i="8" l="1"/>
  <c r="AGM43" i="8"/>
  <c r="AGM36" i="8"/>
  <c r="AGM37" i="8"/>
  <c r="AGM48" i="8"/>
  <c r="AGM49" i="8" s="1"/>
  <c r="AGM55" i="8" s="1"/>
  <c r="AGM56" i="8" s="1"/>
  <c r="AGM58" i="8" l="1"/>
  <c r="AGM57" i="8"/>
  <c r="AGM23" i="8"/>
  <c r="AGM24" i="8" s="1"/>
  <c r="AGM25" i="8" s="1"/>
  <c r="AGM50" i="8"/>
  <c r="AGM51" i="8"/>
  <c r="AGN28" i="8" l="1"/>
  <c r="AGN20" i="8"/>
  <c r="AGN30" i="8" l="1"/>
  <c r="AGN29" i="8"/>
  <c r="AGN34" i="8"/>
  <c r="AGN35" i="8" s="1"/>
  <c r="AGN41" i="8" s="1"/>
  <c r="AGN42" i="8" s="1"/>
  <c r="AGN44" i="8" l="1"/>
  <c r="AGN43" i="8"/>
  <c r="AGN37" i="8"/>
  <c r="AGN36" i="8"/>
  <c r="AGN48" i="8"/>
  <c r="AGN49" i="8" s="1"/>
  <c r="AGN51" i="8" l="1"/>
  <c r="AGN50" i="8"/>
  <c r="AGN55" i="8"/>
  <c r="AGN56" i="8" s="1"/>
  <c r="AGN23" i="8" s="1"/>
  <c r="AGN24" i="8" s="1"/>
  <c r="AGN25" i="8" s="1"/>
  <c r="AGO20" i="8" l="1"/>
  <c r="AGO28" i="8"/>
  <c r="AGO29" i="8" s="1"/>
  <c r="AGN57" i="8"/>
  <c r="AGN58" i="8"/>
  <c r="AGO30" i="8" l="1"/>
  <c r="AGO34" i="8"/>
  <c r="AGO35" i="8" s="1"/>
  <c r="AGO41" i="8" s="1"/>
  <c r="AGO42" i="8" s="1"/>
  <c r="AGO37" i="8" l="1"/>
  <c r="AGO36" i="8"/>
  <c r="AGO44" i="8"/>
  <c r="AGO43" i="8"/>
  <c r="AGO48" i="8"/>
  <c r="AGO49" i="8" s="1"/>
  <c r="AGO50" i="8" l="1"/>
  <c r="AGO51" i="8"/>
  <c r="AGO55" i="8"/>
  <c r="AGO56" i="8" s="1"/>
  <c r="AGO23" i="8" l="1"/>
  <c r="AGO24" i="8" s="1"/>
  <c r="AGO25" i="8" s="1"/>
  <c r="AGO58" i="8"/>
  <c r="AGO57" i="8"/>
  <c r="AGP20" i="8" l="1"/>
  <c r="AGP28" i="8"/>
  <c r="AGP29" i="8" l="1"/>
  <c r="AGP30" i="8"/>
  <c r="AGP34" i="8"/>
  <c r="AGP35" i="8" s="1"/>
  <c r="AGP41" i="8" l="1"/>
  <c r="AGP42" i="8" s="1"/>
  <c r="AGP36" i="8"/>
  <c r="AGP37" i="8"/>
  <c r="AGP44" i="8" l="1"/>
  <c r="AGP43" i="8"/>
  <c r="AGP48" i="8"/>
  <c r="AGP49" i="8" s="1"/>
  <c r="AGP51" i="8" l="1"/>
  <c r="AGP50" i="8"/>
  <c r="AGP55" i="8"/>
  <c r="AGP56" i="8" s="1"/>
  <c r="AGP57" i="8" l="1"/>
  <c r="AGP58" i="8"/>
  <c r="AGP23" i="8"/>
  <c r="AGP24" i="8" s="1"/>
  <c r="AGP25" i="8" s="1"/>
  <c r="AGQ20" i="8" l="1"/>
  <c r="AGQ28" i="8"/>
  <c r="AGQ30" i="8" l="1"/>
  <c r="AGQ29" i="8"/>
  <c r="AGQ34" i="8"/>
  <c r="AGQ35" i="8" s="1"/>
  <c r="AGQ41" i="8" l="1"/>
  <c r="AGQ42" i="8" s="1"/>
  <c r="AGQ37" i="8"/>
  <c r="AGQ36" i="8"/>
  <c r="AGQ43" i="8" l="1"/>
  <c r="AGQ44" i="8"/>
  <c r="AGQ48" i="8"/>
  <c r="AGQ49" i="8" s="1"/>
  <c r="AGQ51" i="8" l="1"/>
  <c r="AGQ50" i="8"/>
  <c r="AGQ55" i="8"/>
  <c r="AGQ56" i="8" s="1"/>
  <c r="AGQ23" i="8" l="1"/>
  <c r="AGQ24" i="8" s="1"/>
  <c r="AGQ25" i="8" s="1"/>
  <c r="AGQ58" i="8"/>
  <c r="AGQ57" i="8"/>
  <c r="AGR20" i="8" l="1"/>
  <c r="AGR28" i="8"/>
  <c r="AGR30" i="8" l="1"/>
  <c r="AGR29" i="8"/>
  <c r="AGR34" i="8"/>
  <c r="AGR35" i="8" s="1"/>
  <c r="AGR41" i="8" s="1"/>
  <c r="AGR42" i="8" s="1"/>
  <c r="AGR48" i="8" l="1"/>
  <c r="AGR49" i="8" s="1"/>
  <c r="AGR43" i="8"/>
  <c r="AGR44" i="8"/>
  <c r="AGR37" i="8"/>
  <c r="AGR36" i="8"/>
  <c r="AGR55" i="8" l="1"/>
  <c r="AGR56" i="8" s="1"/>
  <c r="AGR50" i="8"/>
  <c r="AGR51" i="8"/>
  <c r="AGR58" i="8" l="1"/>
  <c r="AGR57" i="8"/>
  <c r="AGR23" i="8"/>
  <c r="AGR24" i="8" s="1"/>
  <c r="AGR25" i="8" s="1"/>
  <c r="AGS20" i="8" l="1"/>
  <c r="AGS28" i="8"/>
  <c r="AGS29" i="8" l="1"/>
  <c r="AGS34" i="8"/>
  <c r="AGS35" i="8" s="1"/>
  <c r="AGS30" i="8"/>
  <c r="AGS41" i="8" l="1"/>
  <c r="AGS42" i="8" s="1"/>
  <c r="AGS37" i="8"/>
  <c r="AGS36" i="8"/>
  <c r="AGS43" i="8" l="1"/>
  <c r="AGS44" i="8"/>
  <c r="AGS48" i="8"/>
  <c r="AGS49" i="8" s="1"/>
  <c r="AGS55" i="8" s="1"/>
  <c r="AGS56" i="8" s="1"/>
  <c r="AGS23" i="8" l="1"/>
  <c r="AGS24" i="8" s="1"/>
  <c r="AGS25" i="8" s="1"/>
  <c r="AGS57" i="8"/>
  <c r="AGS58" i="8"/>
  <c r="AGS51" i="8"/>
  <c r="AGS50" i="8"/>
  <c r="AGT20" i="8" l="1"/>
  <c r="AGT28" i="8"/>
  <c r="AGT34" i="8" l="1"/>
  <c r="AGT35" i="8" s="1"/>
  <c r="AGT30" i="8"/>
  <c r="AGT29" i="8"/>
  <c r="AGT41" i="8" l="1"/>
  <c r="AGT42" i="8" s="1"/>
  <c r="AGT36" i="8"/>
  <c r="AGT37" i="8"/>
  <c r="AGT43" i="8" l="1"/>
  <c r="AGT44" i="8"/>
  <c r="AGT48" i="8"/>
  <c r="AGT49" i="8" s="1"/>
  <c r="AGT55" i="8" s="1"/>
  <c r="AGT56" i="8" s="1"/>
  <c r="AGT57" i="8" l="1"/>
  <c r="AGT58" i="8"/>
  <c r="AGT23" i="8"/>
  <c r="AGT24" i="8" s="1"/>
  <c r="AGT25" i="8" s="1"/>
  <c r="AGT50" i="8"/>
  <c r="AGT51" i="8"/>
  <c r="AGU20" i="8" l="1"/>
  <c r="AGU28" i="8"/>
  <c r="AGU30" i="8" l="1"/>
  <c r="AGU29" i="8"/>
  <c r="AGU34" i="8"/>
  <c r="AGU35" i="8" s="1"/>
  <c r="AGU41" i="8" s="1"/>
  <c r="AGU42" i="8" s="1"/>
  <c r="AGU43" i="8" l="1"/>
  <c r="AGU44" i="8"/>
  <c r="AGU48" i="8"/>
  <c r="AGU49" i="8" s="1"/>
  <c r="AGU37" i="8"/>
  <c r="AGU36" i="8"/>
  <c r="AGU50" i="8" l="1"/>
  <c r="AGU51" i="8"/>
  <c r="AGU55" i="8"/>
  <c r="AGU56" i="8" s="1"/>
  <c r="AGU57" i="8" l="1"/>
  <c r="AGU58" i="8"/>
  <c r="AGU23" i="8"/>
  <c r="AGU24" i="8" s="1"/>
  <c r="AGU25" i="8" s="1"/>
  <c r="AGV20" i="8" l="1"/>
  <c r="AGV28" i="8"/>
  <c r="AGV34" i="8" l="1"/>
  <c r="AGV35" i="8" s="1"/>
  <c r="AGV30" i="8"/>
  <c r="AGV29" i="8"/>
  <c r="AGV41" i="8" l="1"/>
  <c r="AGV42" i="8" s="1"/>
  <c r="AGV36" i="8"/>
  <c r="AGV37" i="8"/>
  <c r="AGV44" i="8" l="1"/>
  <c r="AGV43" i="8"/>
  <c r="AGV48" i="8"/>
  <c r="AGV49" i="8" s="1"/>
  <c r="AGV55" i="8" s="1"/>
  <c r="AGV56" i="8" s="1"/>
  <c r="AGV58" i="8" l="1"/>
  <c r="AGV57" i="8"/>
  <c r="AGV23" i="8"/>
  <c r="AGV24" i="8" s="1"/>
  <c r="AGV25" i="8" s="1"/>
  <c r="AGV51" i="8"/>
  <c r="AGV50" i="8"/>
  <c r="AGW20" i="8" l="1"/>
  <c r="AGW28" i="8"/>
  <c r="AGW30" i="8" l="1"/>
  <c r="AGW29" i="8"/>
  <c r="AGW34" i="8"/>
  <c r="AGW35" i="8" s="1"/>
  <c r="AGW37" i="8" l="1"/>
  <c r="AGW36" i="8"/>
  <c r="AGW41" i="8"/>
  <c r="AGW42" i="8" s="1"/>
  <c r="AGW44" i="8" l="1"/>
  <c r="AGW43" i="8"/>
  <c r="AGW48" i="8"/>
  <c r="AGW49" i="8" s="1"/>
  <c r="AGW50" i="8" l="1"/>
  <c r="AGW51" i="8"/>
  <c r="AGW55" i="8"/>
  <c r="AGW56" i="8" s="1"/>
  <c r="AGW58" i="8" l="1"/>
  <c r="AGW57" i="8"/>
  <c r="AGW23" i="8"/>
  <c r="AGW24" i="8" s="1"/>
  <c r="AGW25" i="8" s="1"/>
  <c r="AGX20" i="8" l="1"/>
  <c r="AGX28" i="8"/>
  <c r="AGX30" i="8" l="1"/>
  <c r="AGX34" i="8"/>
  <c r="AGX35" i="8" s="1"/>
  <c r="AGX41" i="8" s="1"/>
  <c r="AGX42" i="8" s="1"/>
  <c r="AGX29" i="8"/>
  <c r="AGX44" i="8" l="1"/>
  <c r="AGX43" i="8"/>
  <c r="AGX37" i="8"/>
  <c r="AGX36" i="8"/>
  <c r="AGX48" i="8"/>
  <c r="AGX49" i="8" s="1"/>
  <c r="AGX50" i="8" l="1"/>
  <c r="AGX51" i="8"/>
  <c r="AGX55" i="8"/>
  <c r="AGX56" i="8" s="1"/>
  <c r="AGX23" i="8" l="1"/>
  <c r="AGX24" i="8" s="1"/>
  <c r="AGX25" i="8" s="1"/>
  <c r="AGX57" i="8"/>
  <c r="AGX58" i="8"/>
  <c r="AGY20" i="8" l="1"/>
  <c r="AGY28" i="8"/>
  <c r="AGY30" i="8" l="1"/>
  <c r="AGY34" i="8"/>
  <c r="AGY35" i="8" s="1"/>
  <c r="AGY29" i="8"/>
  <c r="AGY41" i="8" l="1"/>
  <c r="AGY42" i="8" s="1"/>
  <c r="AGY36" i="8"/>
  <c r="AGY37" i="8"/>
  <c r="AGY43" i="8" l="1"/>
  <c r="AGY44" i="8"/>
  <c r="AGY48" i="8"/>
  <c r="AGY49" i="8" s="1"/>
  <c r="AGY50" i="8" l="1"/>
  <c r="AGY51" i="8"/>
  <c r="AGY55" i="8"/>
  <c r="AGY56" i="8" s="1"/>
  <c r="AGY23" i="8" l="1"/>
  <c r="AGY24" i="8" s="1"/>
  <c r="AGY25" i="8" s="1"/>
  <c r="AGY57" i="8"/>
  <c r="AGY58" i="8"/>
  <c r="AGZ20" i="8" l="1"/>
  <c r="AGZ28" i="8"/>
  <c r="AGZ29" i="8" l="1"/>
  <c r="AGZ34" i="8"/>
  <c r="AGZ35" i="8" s="1"/>
  <c r="AGZ30" i="8"/>
  <c r="AGZ41" i="8" l="1"/>
  <c r="AGZ42" i="8" s="1"/>
  <c r="AGZ36" i="8"/>
  <c r="AGZ37" i="8"/>
  <c r="AGZ44" i="8" l="1"/>
  <c r="AGZ43" i="8"/>
  <c r="AGZ48" i="8"/>
  <c r="AGZ49" i="8" s="1"/>
  <c r="AGZ55" i="8" s="1"/>
  <c r="AGZ56" i="8" s="1"/>
  <c r="AGZ58" i="8" l="1"/>
  <c r="AGZ57" i="8"/>
  <c r="AGZ23" i="8"/>
  <c r="AGZ24" i="8" s="1"/>
  <c r="AGZ25" i="8" s="1"/>
  <c r="AGZ50" i="8"/>
  <c r="AGZ51" i="8"/>
  <c r="AHA20" i="8" l="1"/>
  <c r="AHA28" i="8"/>
  <c r="AHA30" i="8" l="1"/>
  <c r="AHA29" i="8"/>
  <c r="AHA34" i="8"/>
  <c r="AHA35" i="8" s="1"/>
  <c r="AHA41" i="8" s="1"/>
  <c r="AHA42" i="8" s="1"/>
  <c r="AHA43" i="8" l="1"/>
  <c r="AHA44" i="8"/>
  <c r="AHA48" i="8"/>
  <c r="AHA49" i="8" s="1"/>
  <c r="AHA37" i="8"/>
  <c r="AHA36" i="8"/>
  <c r="AHA51" i="8" l="1"/>
  <c r="AHA50" i="8"/>
  <c r="AHA55" i="8"/>
  <c r="AHA56" i="8" s="1"/>
  <c r="AHA23" i="8" s="1"/>
  <c r="AHA24" i="8" s="1"/>
  <c r="AHA25" i="8" s="1"/>
  <c r="AHB20" i="8" l="1"/>
  <c r="AHB28" i="8"/>
  <c r="AHA58" i="8"/>
  <c r="AHA57" i="8"/>
  <c r="AHB34" i="8" l="1"/>
  <c r="AHB35" i="8" s="1"/>
  <c r="AHB29" i="8"/>
  <c r="AHB30" i="8"/>
  <c r="AHB41" i="8" l="1"/>
  <c r="AHB42" i="8" s="1"/>
  <c r="AHB36" i="8"/>
  <c r="AHB37" i="8"/>
  <c r="AHB43" i="8" l="1"/>
  <c r="AHB44" i="8"/>
  <c r="AHB48" i="8"/>
  <c r="AHB49" i="8" s="1"/>
  <c r="AHB55" i="8" s="1"/>
  <c r="AHB56" i="8" s="1"/>
  <c r="AHB58" i="8" l="1"/>
  <c r="AHB57" i="8"/>
  <c r="AHB23" i="8"/>
  <c r="AHB24" i="8" s="1"/>
  <c r="AHB25" i="8" s="1"/>
  <c r="AHB51" i="8"/>
  <c r="AHB50" i="8"/>
  <c r="AHC20" i="8" l="1"/>
  <c r="AHC28" i="8"/>
  <c r="AHC30" i="8" l="1"/>
  <c r="AHC34" i="8"/>
  <c r="AHC35" i="8" s="1"/>
  <c r="AHC29" i="8"/>
  <c r="AHC41" i="8" l="1"/>
  <c r="AHC42" i="8" s="1"/>
  <c r="AHC36" i="8"/>
  <c r="AHC37" i="8"/>
  <c r="AHC44" i="8" l="1"/>
  <c r="AHC43" i="8"/>
  <c r="AHC48" i="8"/>
  <c r="AHC49" i="8" s="1"/>
  <c r="AHC51" i="8" l="1"/>
  <c r="AHC50" i="8"/>
  <c r="AHC55" i="8"/>
  <c r="AHC56" i="8" s="1"/>
  <c r="AHC23" i="8" l="1"/>
  <c r="AHC24" i="8" s="1"/>
  <c r="AHC25" i="8" s="1"/>
  <c r="AHC57" i="8"/>
  <c r="AHC58" i="8"/>
  <c r="AHD20" i="8" l="1"/>
  <c r="AHD28" i="8"/>
  <c r="AHD29" i="8" l="1"/>
  <c r="AHD34" i="8"/>
  <c r="AHD35" i="8" s="1"/>
  <c r="AHD30" i="8"/>
  <c r="AHD41" i="8" l="1"/>
  <c r="AHD42" i="8" s="1"/>
  <c r="AHD37" i="8"/>
  <c r="AHD36" i="8"/>
  <c r="AHD43" i="8" l="1"/>
  <c r="AHD44" i="8"/>
  <c r="AHD48" i="8"/>
  <c r="AHD49" i="8" s="1"/>
  <c r="AHD50" i="8" l="1"/>
  <c r="AHD51" i="8"/>
  <c r="AHD55" i="8"/>
  <c r="AHD56" i="8" s="1"/>
  <c r="AHD23" i="8" l="1"/>
  <c r="AHD24" i="8" s="1"/>
  <c r="AHD25" i="8" s="1"/>
  <c r="AHD58" i="8"/>
  <c r="AHD57" i="8"/>
  <c r="AHE20" i="8" l="1"/>
  <c r="AHE28" i="8"/>
  <c r="AHE34" i="8" l="1"/>
  <c r="AHE35" i="8" s="1"/>
  <c r="AHE29" i="8"/>
  <c r="AHE30" i="8"/>
  <c r="AHE41" i="8" l="1"/>
  <c r="AHE42" i="8" s="1"/>
  <c r="AHE37" i="8"/>
  <c r="AHE36" i="8"/>
  <c r="AHE43" i="8" l="1"/>
  <c r="AHE44" i="8"/>
  <c r="AHE48" i="8"/>
  <c r="AHE49" i="8" s="1"/>
  <c r="AHE55" i="8" s="1"/>
  <c r="AHE56" i="8" s="1"/>
  <c r="AHE58" i="8" l="1"/>
  <c r="AHE57" i="8"/>
  <c r="AHE23" i="8"/>
  <c r="AHE24" i="8" s="1"/>
  <c r="AHE25" i="8" s="1"/>
  <c r="AHE50" i="8"/>
  <c r="AHE51" i="8"/>
  <c r="AHF20" i="8" l="1"/>
  <c r="AHF28" i="8"/>
  <c r="AHF34" i="8" l="1"/>
  <c r="AHF35" i="8" s="1"/>
  <c r="AHF30" i="8"/>
  <c r="AHF29" i="8"/>
  <c r="AHF41" i="8" l="1"/>
  <c r="AHF42" i="8" s="1"/>
  <c r="AHF37" i="8"/>
  <c r="AHF36" i="8"/>
  <c r="AHF44" i="8" l="1"/>
  <c r="AHF43" i="8"/>
  <c r="AHF48" i="8"/>
  <c r="AHF49" i="8" s="1"/>
  <c r="AHF55" i="8" s="1"/>
  <c r="AHF56" i="8" s="1"/>
  <c r="AHF57" i="8" l="1"/>
  <c r="AHF58" i="8"/>
  <c r="AHF23" i="8"/>
  <c r="AHF24" i="8" s="1"/>
  <c r="AHF25" i="8" s="1"/>
  <c r="AHF51" i="8"/>
  <c r="AHF50" i="8"/>
  <c r="AHG20" i="8" l="1"/>
  <c r="AHG28" i="8"/>
  <c r="AHG30" i="8" l="1"/>
  <c r="AHG34" i="8"/>
  <c r="AHG35" i="8" s="1"/>
  <c r="AHG29" i="8"/>
  <c r="AHG41" i="8" l="1"/>
  <c r="AHG42" i="8" s="1"/>
  <c r="AHG36" i="8"/>
  <c r="AHG37" i="8"/>
  <c r="AHG44" i="8" l="1"/>
  <c r="AHG43" i="8"/>
  <c r="AHG48" i="8"/>
  <c r="AHG49" i="8" s="1"/>
  <c r="AHG51" i="8" l="1"/>
  <c r="AHG50" i="8"/>
  <c r="AHG55" i="8"/>
  <c r="AHG56" i="8" s="1"/>
  <c r="AHG58" i="8" l="1"/>
  <c r="AHG57" i="8"/>
  <c r="AHG23" i="8"/>
  <c r="AHG24" i="8" s="1"/>
  <c r="AHG25" i="8" s="1"/>
  <c r="AHH20" i="8" l="1"/>
  <c r="AHH28" i="8"/>
  <c r="AHH30" i="8" l="1"/>
  <c r="AHH29" i="8"/>
  <c r="AHH34" i="8"/>
  <c r="AHH35" i="8" s="1"/>
  <c r="AHH41" i="8" l="1"/>
  <c r="AHH42" i="8" s="1"/>
  <c r="AHH36" i="8"/>
  <c r="AHH37" i="8"/>
  <c r="AHH43" i="8" l="1"/>
  <c r="AHH44" i="8"/>
  <c r="AHH48" i="8"/>
  <c r="AHH49" i="8" s="1"/>
  <c r="AHH51" i="8" l="1"/>
  <c r="AHH50" i="8"/>
  <c r="AHH55" i="8"/>
  <c r="AHH56" i="8" s="1"/>
  <c r="AHH23" i="8" l="1"/>
  <c r="AHH24" i="8" s="1"/>
  <c r="AHH25" i="8" s="1"/>
  <c r="AHH58" i="8"/>
  <c r="AHH57" i="8"/>
  <c r="AHI20" i="8" l="1"/>
  <c r="AHI28" i="8"/>
  <c r="AHI30" i="8" l="1"/>
  <c r="AHI29" i="8"/>
  <c r="AHI34" i="8"/>
  <c r="AHI35" i="8" s="1"/>
  <c r="AHI41" i="8" l="1"/>
  <c r="AHI42" i="8" s="1"/>
  <c r="AHI36" i="8"/>
  <c r="AHI37" i="8"/>
  <c r="AHI44" i="8" l="1"/>
  <c r="AHI43" i="8"/>
  <c r="AHI48" i="8"/>
  <c r="AHI49" i="8" s="1"/>
  <c r="AHI51" i="8" l="1"/>
  <c r="AHI50" i="8"/>
  <c r="AHI55" i="8"/>
  <c r="AHI56" i="8" s="1"/>
  <c r="AHI23" i="8" l="1"/>
  <c r="AHI24" i="8" s="1"/>
  <c r="AHI25" i="8" s="1"/>
  <c r="AHI58" i="8"/>
  <c r="AHI57" i="8"/>
  <c r="AHJ20" i="8" l="1"/>
  <c r="AHJ28" i="8"/>
  <c r="AHJ34" i="8" l="1"/>
  <c r="AHJ35" i="8" s="1"/>
  <c r="AHJ41" i="8" s="1"/>
  <c r="AHJ42" i="8" s="1"/>
  <c r="AHJ30" i="8"/>
  <c r="AHJ29" i="8"/>
  <c r="AHJ44" i="8" l="1"/>
  <c r="AHJ43" i="8"/>
  <c r="AHJ48" i="8"/>
  <c r="AHJ49" i="8" s="1"/>
  <c r="AHJ36" i="8"/>
  <c r="AHJ37" i="8"/>
  <c r="AHJ55" i="8" l="1"/>
  <c r="AHJ56" i="8" s="1"/>
  <c r="AHJ23" i="8" s="1"/>
  <c r="AHJ24" i="8" s="1"/>
  <c r="AHJ25" i="8" s="1"/>
  <c r="AHJ51" i="8"/>
  <c r="AHJ50" i="8"/>
  <c r="AHK20" i="8" l="1"/>
  <c r="AHK28" i="8"/>
  <c r="AHJ57" i="8"/>
  <c r="AHJ58" i="8"/>
  <c r="AHK34" i="8" l="1"/>
  <c r="AHK35" i="8" s="1"/>
  <c r="AHK30" i="8"/>
  <c r="AHK29" i="8"/>
  <c r="AHK41" i="8" l="1"/>
  <c r="AHK42" i="8" s="1"/>
  <c r="AHK37" i="8"/>
  <c r="AHK36" i="8"/>
  <c r="AHK44" i="8" l="1"/>
  <c r="AHK43" i="8"/>
  <c r="AHK48" i="8"/>
  <c r="AHK49" i="8" s="1"/>
  <c r="AHK55" i="8" s="1"/>
  <c r="AHK56" i="8" s="1"/>
  <c r="AHK57" i="8" l="1"/>
  <c r="AHK58" i="8"/>
  <c r="AHK23" i="8"/>
  <c r="AHK24" i="8" s="1"/>
  <c r="AHK25" i="8" s="1"/>
  <c r="AHK51" i="8"/>
  <c r="AHK50" i="8"/>
  <c r="AHL20" i="8" l="1"/>
  <c r="AHL28" i="8"/>
  <c r="AHL29" i="8" l="1"/>
  <c r="AHL34" i="8"/>
  <c r="AHL35" i="8" s="1"/>
  <c r="AHL30" i="8"/>
  <c r="AHL41" i="8" l="1"/>
  <c r="AHL42" i="8" s="1"/>
  <c r="AHL36" i="8"/>
  <c r="AHL37" i="8"/>
  <c r="AHL44" i="8" l="1"/>
  <c r="AHL43" i="8"/>
  <c r="AHL48" i="8"/>
  <c r="AHL49" i="8" s="1"/>
  <c r="AHL55" i="8" l="1"/>
  <c r="AHL56" i="8" s="1"/>
  <c r="AHL50" i="8"/>
  <c r="AHL51" i="8"/>
  <c r="AHL57" i="8" l="1"/>
  <c r="AHL58" i="8"/>
  <c r="AHL23" i="8"/>
  <c r="AHL24" i="8" s="1"/>
  <c r="AHL25" i="8" s="1"/>
  <c r="AHM20" i="8" l="1"/>
  <c r="AHM28" i="8"/>
  <c r="AHM34" i="8" l="1"/>
  <c r="AHM35" i="8" s="1"/>
  <c r="AHM41" i="8" s="1"/>
  <c r="AHM42" i="8" s="1"/>
  <c r="AHM29" i="8"/>
  <c r="AHM30" i="8"/>
  <c r="AHM43" i="8" l="1"/>
  <c r="AHM44" i="8"/>
  <c r="AHM48" i="8"/>
  <c r="AHM49" i="8" s="1"/>
  <c r="AHM37" i="8"/>
  <c r="AHM36" i="8"/>
  <c r="AHM50" i="8" l="1"/>
  <c r="AHM51" i="8"/>
  <c r="AHM55" i="8"/>
  <c r="AHM56" i="8" s="1"/>
  <c r="AHM23" i="8" s="1"/>
  <c r="AHM24" i="8" s="1"/>
  <c r="AHM25" i="8" s="1"/>
  <c r="AHN20" i="8" l="1"/>
  <c r="AHN28" i="8"/>
  <c r="AHM58" i="8"/>
  <c r="AHM57" i="8"/>
  <c r="AHN30" i="8" l="1"/>
  <c r="AHN29" i="8"/>
  <c r="AHN34" i="8"/>
  <c r="AHN35" i="8" s="1"/>
  <c r="AHN41" i="8" l="1"/>
  <c r="AHN42" i="8" s="1"/>
  <c r="AHN37" i="8"/>
  <c r="AHN36" i="8"/>
  <c r="AHN43" i="8" l="1"/>
  <c r="AHN44" i="8"/>
  <c r="AHN48" i="8"/>
  <c r="AHN49" i="8" s="1"/>
  <c r="AHN51" i="8" l="1"/>
  <c r="AHN50" i="8"/>
  <c r="AHN55" i="8"/>
  <c r="AHN56" i="8" s="1"/>
  <c r="AHN23" i="8" l="1"/>
  <c r="AHN24" i="8" s="1"/>
  <c r="AHN25" i="8" s="1"/>
  <c r="AHN58" i="8"/>
  <c r="AHN57" i="8"/>
  <c r="AHO20" i="8" l="1"/>
  <c r="AHO28" i="8"/>
  <c r="AHO30" i="8" l="1"/>
  <c r="AHO34" i="8"/>
  <c r="AHO35" i="8" s="1"/>
  <c r="AHO41" i="8" s="1"/>
  <c r="AHO42" i="8" s="1"/>
  <c r="AHO29" i="8"/>
  <c r="AHO44" i="8" l="1"/>
  <c r="AHO43" i="8"/>
  <c r="AHO48" i="8"/>
  <c r="AHO49" i="8" s="1"/>
  <c r="AHO36" i="8"/>
  <c r="AHO37" i="8"/>
  <c r="AHO50" i="8" l="1"/>
  <c r="AHO51" i="8"/>
  <c r="AHO55" i="8"/>
  <c r="AHO56" i="8" s="1"/>
  <c r="AHO23" i="8" l="1"/>
  <c r="AHO24" i="8" s="1"/>
  <c r="AHO25" i="8" s="1"/>
  <c r="AHO58" i="8"/>
  <c r="AHO57" i="8"/>
  <c r="AHP20" i="8" l="1"/>
  <c r="AHP28" i="8"/>
  <c r="AHP34" i="8" l="1"/>
  <c r="AHP35" i="8" s="1"/>
  <c r="AHP41" i="8" s="1"/>
  <c r="AHP42" i="8" s="1"/>
  <c r="AHP29" i="8"/>
  <c r="AHP30" i="8"/>
  <c r="AHP44" i="8" l="1"/>
  <c r="AHP43" i="8"/>
  <c r="AHP48" i="8"/>
  <c r="AHP49" i="8" s="1"/>
  <c r="AHP55" i="8" s="1"/>
  <c r="AHP56" i="8" s="1"/>
  <c r="AHP37" i="8"/>
  <c r="AHP36" i="8"/>
  <c r="AHP58" i="8" l="1"/>
  <c r="AHP57" i="8"/>
  <c r="AHP51" i="8"/>
  <c r="AHP50" i="8"/>
  <c r="AHP23" i="8"/>
  <c r="AHP24" i="8" s="1"/>
  <c r="AHP25" i="8" s="1"/>
  <c r="AHQ20" i="8" l="1"/>
  <c r="AHQ28" i="8"/>
  <c r="AHQ29" i="8" l="1"/>
  <c r="AHQ30" i="8"/>
  <c r="AHQ34" i="8"/>
  <c r="AHQ35" i="8" s="1"/>
  <c r="AHQ41" i="8" s="1"/>
  <c r="AHQ42" i="8" s="1"/>
  <c r="AHQ43" i="8" l="1"/>
  <c r="AHQ44" i="8"/>
  <c r="AHQ48" i="8"/>
  <c r="AHQ49" i="8" s="1"/>
  <c r="AHQ55" i="8" s="1"/>
  <c r="AHQ56" i="8" s="1"/>
  <c r="AHQ36" i="8"/>
  <c r="AHQ37" i="8"/>
  <c r="AHQ23" i="8" l="1"/>
  <c r="AHQ24" i="8" s="1"/>
  <c r="AHQ25" i="8" s="1"/>
  <c r="AHQ57" i="8"/>
  <c r="AHQ58" i="8"/>
  <c r="AHQ51" i="8"/>
  <c r="AHQ50" i="8"/>
  <c r="AHR20" i="8" l="1"/>
  <c r="AHR28" i="8"/>
  <c r="AHR29" i="8" l="1"/>
  <c r="AHR30" i="8"/>
  <c r="AHR34" i="8"/>
  <c r="AHR35" i="8" s="1"/>
  <c r="AHR41" i="8" l="1"/>
  <c r="AHR42" i="8" s="1"/>
  <c r="AHR36" i="8"/>
  <c r="AHR37" i="8"/>
  <c r="AHR44" i="8" l="1"/>
  <c r="AHR43" i="8"/>
  <c r="AHR48" i="8"/>
  <c r="AHR49" i="8" s="1"/>
  <c r="AHR55" i="8" l="1"/>
  <c r="AHR56" i="8" s="1"/>
  <c r="AHR23" i="8" s="1"/>
  <c r="AHR24" i="8" s="1"/>
  <c r="AHR25" i="8" s="1"/>
  <c r="AHR51" i="8"/>
  <c r="AHR50" i="8"/>
  <c r="AHS20" i="8" l="1"/>
  <c r="AHS28" i="8"/>
  <c r="AHR58" i="8"/>
  <c r="AHR57" i="8"/>
  <c r="AHS30" i="8" l="1"/>
  <c r="AHS34" i="8"/>
  <c r="AHS35" i="8" s="1"/>
  <c r="AHS29" i="8"/>
  <c r="AHS41" i="8" l="1"/>
  <c r="AHS42" i="8" s="1"/>
  <c r="AHS36" i="8"/>
  <c r="AHS37" i="8"/>
  <c r="AHS43" i="8" l="1"/>
  <c r="AHS44" i="8"/>
  <c r="AHS48" i="8"/>
  <c r="AHS49" i="8" s="1"/>
  <c r="AHS55" i="8" l="1"/>
  <c r="AHS56" i="8" s="1"/>
  <c r="AHS23" i="8" s="1"/>
  <c r="AHS24" i="8" s="1"/>
  <c r="AHS25" i="8" s="1"/>
  <c r="AHS51" i="8"/>
  <c r="AHS50" i="8"/>
  <c r="AHT20" i="8" l="1"/>
  <c r="AHT28" i="8"/>
  <c r="AHS58" i="8"/>
  <c r="AHS57" i="8"/>
  <c r="AHT29" i="8" l="1"/>
  <c r="AHT34" i="8"/>
  <c r="AHT35" i="8" s="1"/>
  <c r="AHT41" i="8" s="1"/>
  <c r="AHT42" i="8" s="1"/>
  <c r="AHT30" i="8"/>
  <c r="AHT43" i="8" l="1"/>
  <c r="AHT44" i="8"/>
  <c r="AHT48" i="8"/>
  <c r="AHT49" i="8" s="1"/>
  <c r="AHT37" i="8"/>
  <c r="AHT36" i="8"/>
  <c r="AHT50" i="8" l="1"/>
  <c r="AHT51" i="8"/>
  <c r="AHT55" i="8"/>
  <c r="AHT56" i="8" s="1"/>
  <c r="AHT23" i="8" l="1"/>
  <c r="AHT24" i="8" s="1"/>
  <c r="AHT25" i="8" s="1"/>
  <c r="AHT58" i="8"/>
  <c r="AHT57" i="8"/>
  <c r="AHU20" i="8" l="1"/>
  <c r="AHU28" i="8"/>
  <c r="AHU34" i="8" l="1"/>
  <c r="AHU35" i="8" s="1"/>
  <c r="AHU30" i="8"/>
  <c r="AHU29" i="8"/>
  <c r="AHU41" i="8" l="1"/>
  <c r="AHU42" i="8" s="1"/>
  <c r="AHU36" i="8"/>
  <c r="AHU37" i="8"/>
  <c r="AHU44" i="8" l="1"/>
  <c r="AHU43" i="8"/>
  <c r="AHU48" i="8"/>
  <c r="AHU49" i="8" s="1"/>
  <c r="AHU55" i="8" s="1"/>
  <c r="AHU56" i="8" s="1"/>
  <c r="AHU23" i="8" l="1"/>
  <c r="AHU24" i="8" s="1"/>
  <c r="AHU25" i="8" s="1"/>
  <c r="AHU57" i="8"/>
  <c r="AHU58" i="8"/>
  <c r="AHU51" i="8"/>
  <c r="AHU50" i="8"/>
  <c r="AHV20" i="8" l="1"/>
  <c r="AHV28" i="8"/>
  <c r="AHV34" i="8" l="1"/>
  <c r="AHV35" i="8" s="1"/>
  <c r="AHV30" i="8"/>
  <c r="AHV29" i="8"/>
  <c r="AHV41" i="8" l="1"/>
  <c r="AHV42" i="8" s="1"/>
  <c r="AHV37" i="8"/>
  <c r="AHV36" i="8"/>
  <c r="AHV43" i="8" l="1"/>
  <c r="AHV44" i="8"/>
  <c r="AHV48" i="8"/>
  <c r="AHV49" i="8" s="1"/>
  <c r="AHV55" i="8" l="1"/>
  <c r="AHV56" i="8" s="1"/>
  <c r="AHV23" i="8" s="1"/>
  <c r="AHV24" i="8" s="1"/>
  <c r="AHV25" i="8" s="1"/>
  <c r="AHV50" i="8"/>
  <c r="AHV51" i="8"/>
  <c r="AHW20" i="8" l="1"/>
  <c r="AHW28" i="8"/>
  <c r="AHV58" i="8"/>
  <c r="AHV57" i="8"/>
  <c r="AHW34" i="8" l="1"/>
  <c r="AHW35" i="8" s="1"/>
  <c r="AHW29" i="8"/>
  <c r="AHW30" i="8"/>
  <c r="AHW41" i="8" l="1"/>
  <c r="AHW42" i="8" s="1"/>
  <c r="AHW36" i="8"/>
  <c r="AHW37" i="8"/>
  <c r="AHW43" i="8" l="1"/>
  <c r="AHW44" i="8"/>
  <c r="AHW48" i="8"/>
  <c r="AHW49" i="8" s="1"/>
  <c r="AHW50" i="8" l="1"/>
  <c r="AHW51" i="8"/>
  <c r="AHW55" i="8"/>
  <c r="AHW56" i="8" s="1"/>
  <c r="AHW23" i="8" l="1"/>
  <c r="AHW24" i="8" s="1"/>
  <c r="AHW25" i="8" s="1"/>
  <c r="AHW57" i="8"/>
  <c r="AHW58" i="8"/>
  <c r="AHX20" i="8" l="1"/>
  <c r="AHX28" i="8"/>
  <c r="AHX34" i="8" l="1"/>
  <c r="AHX35" i="8" s="1"/>
  <c r="AHX29" i="8"/>
  <c r="AHX30" i="8"/>
  <c r="AHX41" i="8" l="1"/>
  <c r="AHX42" i="8" s="1"/>
  <c r="AHX37" i="8"/>
  <c r="AHX36" i="8"/>
  <c r="AHX44" i="8" l="1"/>
  <c r="AHX43" i="8"/>
  <c r="AHX48" i="8"/>
  <c r="AHX49" i="8" s="1"/>
  <c r="AHX55" i="8" s="1"/>
  <c r="AHX56" i="8" s="1"/>
  <c r="AHX23" i="8" l="1"/>
  <c r="AHX24" i="8" s="1"/>
  <c r="AHX25" i="8" s="1"/>
  <c r="AHX58" i="8"/>
  <c r="AHX57" i="8"/>
  <c r="AHX51" i="8"/>
  <c r="AHX50" i="8"/>
  <c r="AHY20" i="8" l="1"/>
  <c r="AHY28" i="8"/>
  <c r="AHY29" i="8" l="1"/>
  <c r="AHY30" i="8"/>
  <c r="AHY34" i="8"/>
  <c r="AHY35" i="8" s="1"/>
  <c r="AHY41" i="8" s="1"/>
  <c r="AHY42" i="8" s="1"/>
  <c r="AHY44" i="8" l="1"/>
  <c r="AHY43" i="8"/>
  <c r="AHY48" i="8"/>
  <c r="AHY49" i="8" s="1"/>
  <c r="AHY36" i="8"/>
  <c r="AHY37" i="8"/>
  <c r="AHY50" i="8" l="1"/>
  <c r="AHY51" i="8"/>
  <c r="AHY55" i="8"/>
  <c r="AHY56" i="8" s="1"/>
  <c r="AHY58" i="8" l="1"/>
  <c r="AHY57" i="8"/>
  <c r="AHY23" i="8"/>
  <c r="AHY24" i="8" s="1"/>
  <c r="AHY25" i="8" s="1"/>
  <c r="AHZ20" i="8" l="1"/>
  <c r="AHZ28" i="8"/>
  <c r="AHZ30" i="8" l="1"/>
  <c r="AHZ29" i="8"/>
  <c r="AHZ34" i="8"/>
  <c r="AHZ35" i="8" s="1"/>
  <c r="AHZ41" i="8" l="1"/>
  <c r="AHZ42" i="8" s="1"/>
  <c r="AHZ36" i="8"/>
  <c r="AHZ37" i="8"/>
  <c r="AHZ44" i="8" l="1"/>
  <c r="AHZ43" i="8"/>
  <c r="AHZ48" i="8"/>
  <c r="AHZ49" i="8" s="1"/>
  <c r="AHZ51" i="8" l="1"/>
  <c r="AHZ50" i="8"/>
  <c r="AHZ55" i="8"/>
  <c r="AHZ56" i="8" s="1"/>
  <c r="AHZ23" i="8" s="1"/>
  <c r="AHZ24" i="8" s="1"/>
  <c r="AHZ25" i="8" s="1"/>
  <c r="AIA20" i="8" l="1"/>
  <c r="AIA28" i="8"/>
  <c r="AHZ58" i="8"/>
  <c r="AHZ57" i="8"/>
  <c r="AIA29" i="8" l="1"/>
  <c r="AIA30" i="8"/>
  <c r="AIA34" i="8"/>
  <c r="AIA35" i="8" s="1"/>
  <c r="AIA41" i="8" s="1"/>
  <c r="AIA42" i="8" s="1"/>
  <c r="AIA44" i="8" l="1"/>
  <c r="AIA43" i="8"/>
  <c r="AIA48" i="8"/>
  <c r="AIA49" i="8" s="1"/>
  <c r="AIA36" i="8"/>
  <c r="AIA37" i="8"/>
  <c r="AIA51" i="8" l="1"/>
  <c r="AIA50" i="8"/>
  <c r="AIA55" i="8"/>
  <c r="AIA56" i="8" s="1"/>
  <c r="AIA23" i="8" s="1"/>
  <c r="AIA24" i="8" s="1"/>
  <c r="AIA25" i="8" s="1"/>
  <c r="AIB20" i="8" l="1"/>
  <c r="AIB28" i="8"/>
  <c r="AIA58" i="8"/>
  <c r="AIA57" i="8"/>
  <c r="AIB34" i="8" l="1"/>
  <c r="AIB35" i="8" s="1"/>
  <c r="AIB41" i="8" s="1"/>
  <c r="AIB42" i="8" s="1"/>
  <c r="AIB29" i="8"/>
  <c r="AIB30" i="8"/>
  <c r="AIB43" i="8" l="1"/>
  <c r="AIB44" i="8"/>
  <c r="AIB48" i="8"/>
  <c r="AIB49" i="8" s="1"/>
  <c r="AIB36" i="8"/>
  <c r="AIB37" i="8"/>
  <c r="AIB50" i="8" l="1"/>
  <c r="AIB51" i="8"/>
  <c r="AIB55" i="8"/>
  <c r="AIB56" i="8" s="1"/>
  <c r="AIB23" i="8" l="1"/>
  <c r="AIB24" i="8" s="1"/>
  <c r="AIB25" i="8" s="1"/>
  <c r="AIB58" i="8"/>
  <c r="AIB57" i="8"/>
  <c r="AIC20" i="8" l="1"/>
  <c r="AIC28" i="8"/>
  <c r="AIC29" i="8" l="1"/>
  <c r="AIC34" i="8"/>
  <c r="AIC35" i="8" s="1"/>
  <c r="AIC30" i="8"/>
  <c r="AIC41" i="8" l="1"/>
  <c r="AIC42" i="8" s="1"/>
  <c r="AIC37" i="8"/>
  <c r="AIC36" i="8"/>
  <c r="AIC43" i="8" l="1"/>
  <c r="AIC44" i="8"/>
  <c r="AIC48" i="8"/>
  <c r="AIC49" i="8" s="1"/>
  <c r="AIC51" i="8" l="1"/>
  <c r="AIC50" i="8"/>
  <c r="AIC55" i="8"/>
  <c r="AIC56" i="8" s="1"/>
  <c r="AIC57" i="8" l="1"/>
  <c r="AIC58" i="8"/>
  <c r="AIC23" i="8"/>
  <c r="AIC24" i="8" s="1"/>
  <c r="AIC25" i="8" s="1"/>
  <c r="AID20" i="8" l="1"/>
  <c r="AID28" i="8"/>
  <c r="AID34" i="8" l="1"/>
  <c r="AID35" i="8" s="1"/>
  <c r="AID41" i="8" s="1"/>
  <c r="AID42" i="8" s="1"/>
  <c r="AID29" i="8"/>
  <c r="AID30" i="8"/>
  <c r="AID43" i="8" l="1"/>
  <c r="AID44" i="8"/>
  <c r="AID48" i="8"/>
  <c r="AID49" i="8" s="1"/>
  <c r="AID55" i="8" s="1"/>
  <c r="AID56" i="8" s="1"/>
  <c r="AID37" i="8"/>
  <c r="AID36" i="8"/>
  <c r="AID23" i="8" l="1"/>
  <c r="AID24" i="8" s="1"/>
  <c r="AID25" i="8" s="1"/>
  <c r="AID58" i="8"/>
  <c r="AID57" i="8"/>
  <c r="AID51" i="8"/>
  <c r="AID50" i="8"/>
  <c r="AIE20" i="8" l="1"/>
  <c r="AIE28" i="8"/>
  <c r="AIE29" i="8" l="1"/>
  <c r="AIE34" i="8"/>
  <c r="AIE35" i="8" s="1"/>
  <c r="AIE41" i="8" s="1"/>
  <c r="AIE42" i="8" s="1"/>
  <c r="AIE30" i="8"/>
  <c r="AIE44" i="8" l="1"/>
  <c r="AIE43" i="8"/>
  <c r="AIE48" i="8"/>
  <c r="AIE49" i="8" s="1"/>
  <c r="AIE36" i="8"/>
  <c r="AIE37" i="8"/>
  <c r="AIE50" i="8" l="1"/>
  <c r="AIE51" i="8"/>
  <c r="AIE55" i="8"/>
  <c r="AIE56" i="8" s="1"/>
  <c r="AIE58" i="8" l="1"/>
  <c r="AIE57" i="8"/>
  <c r="AIE23" i="8"/>
  <c r="AIE24" i="8" s="1"/>
  <c r="AIE25" i="8" s="1"/>
  <c r="AIF20" i="8" l="1"/>
  <c r="AIF28" i="8"/>
  <c r="AIF34" i="8" l="1"/>
  <c r="AIF35" i="8" s="1"/>
  <c r="AIF41" i="8" s="1"/>
  <c r="AIF42" i="8" s="1"/>
  <c r="AIF29" i="8"/>
  <c r="AIF30" i="8"/>
  <c r="AIF43" i="8" l="1"/>
  <c r="AIF44" i="8"/>
  <c r="AIF48" i="8"/>
  <c r="AIF49" i="8" s="1"/>
  <c r="AIF36" i="8"/>
  <c r="AIF37" i="8"/>
  <c r="AIF51" i="8" l="1"/>
  <c r="AIF50" i="8"/>
  <c r="AIF55" i="8"/>
  <c r="AIF56" i="8" s="1"/>
  <c r="AIF23" i="8" l="1"/>
  <c r="AIF24" i="8" s="1"/>
  <c r="AIF25" i="8" s="1"/>
  <c r="AIF57" i="8"/>
  <c r="AIF58" i="8"/>
  <c r="AIG20" i="8" l="1"/>
  <c r="AIG28" i="8"/>
  <c r="AIG30" i="8" l="1"/>
  <c r="AIG34" i="8"/>
  <c r="AIG35" i="8" s="1"/>
  <c r="AIG29" i="8"/>
  <c r="AIG41" i="8" l="1"/>
  <c r="AIG42" i="8" s="1"/>
  <c r="AIG36" i="8"/>
  <c r="AIG37" i="8"/>
  <c r="AIG43" i="8" l="1"/>
  <c r="AIG44" i="8"/>
  <c r="AIG48" i="8"/>
  <c r="AIG49" i="8" s="1"/>
  <c r="AIG51" i="8" l="1"/>
  <c r="AIG50" i="8"/>
  <c r="AIG55" i="8"/>
  <c r="AIG56" i="8" s="1"/>
  <c r="AIG57" i="8" l="1"/>
  <c r="AIG58" i="8"/>
  <c r="AIG23" i="8"/>
  <c r="AIG24" i="8" s="1"/>
  <c r="AIG25" i="8" s="1"/>
  <c r="AIH20" i="8" l="1"/>
  <c r="AIH28" i="8"/>
  <c r="AIH34" i="8" l="1"/>
  <c r="AIH35" i="8" s="1"/>
  <c r="AIH30" i="8"/>
  <c r="AIH29" i="8"/>
  <c r="AIH41" i="8" l="1"/>
  <c r="AIH42" i="8" s="1"/>
  <c r="AIH37" i="8"/>
  <c r="AIH36" i="8"/>
  <c r="AIH43" i="8" l="1"/>
  <c r="AIH44" i="8"/>
  <c r="AIH48" i="8"/>
  <c r="AIH49" i="8" s="1"/>
  <c r="AIH55" i="8" s="1"/>
  <c r="AIH56" i="8" s="1"/>
  <c r="AIH23" i="8" l="1"/>
  <c r="AIH24" i="8" s="1"/>
  <c r="AIH25" i="8" s="1"/>
  <c r="AIH58" i="8"/>
  <c r="AIH57" i="8"/>
  <c r="AIH50" i="8"/>
  <c r="AIH51" i="8"/>
  <c r="AII20" i="8" l="1"/>
  <c r="AII28" i="8"/>
  <c r="AII30" i="8" l="1"/>
  <c r="AII29" i="8"/>
  <c r="AII34" i="8"/>
  <c r="AII35" i="8" s="1"/>
  <c r="AII41" i="8" l="1"/>
  <c r="AII42" i="8" s="1"/>
  <c r="AII36" i="8"/>
  <c r="AII37" i="8"/>
  <c r="AII44" i="8" l="1"/>
  <c r="AII43" i="8"/>
  <c r="AII48" i="8"/>
  <c r="AII49" i="8" s="1"/>
  <c r="AII51" i="8" l="1"/>
  <c r="AII50" i="8"/>
  <c r="AII55" i="8"/>
  <c r="AII56" i="8" s="1"/>
  <c r="AII23" i="8" s="1"/>
  <c r="AII24" i="8" s="1"/>
  <c r="AII25" i="8" s="1"/>
  <c r="AIJ20" i="8" l="1"/>
  <c r="AIJ28" i="8"/>
  <c r="AII58" i="8"/>
  <c r="AII57" i="8"/>
  <c r="AIJ30" i="8" l="1"/>
  <c r="AIJ34" i="8"/>
  <c r="AIJ35" i="8" s="1"/>
  <c r="AIJ29" i="8"/>
  <c r="AIJ36" i="8" l="1"/>
  <c r="AIJ37" i="8"/>
  <c r="AIJ41" i="8"/>
  <c r="AIJ42" i="8" s="1"/>
  <c r="AIJ44" i="8" l="1"/>
  <c r="AIJ43" i="8"/>
  <c r="AIJ48" i="8"/>
  <c r="AIJ49" i="8" s="1"/>
  <c r="AIJ55" i="8" s="1"/>
  <c r="AIJ56" i="8" s="1"/>
  <c r="AIJ23" i="8" l="1"/>
  <c r="AIJ24" i="8" s="1"/>
  <c r="AIJ25" i="8" s="1"/>
  <c r="AIJ58" i="8"/>
  <c r="AIJ57" i="8"/>
  <c r="AIJ51" i="8"/>
  <c r="AIJ50" i="8"/>
  <c r="AIK20" i="8" l="1"/>
  <c r="AIK28" i="8"/>
  <c r="AIK30" i="8" l="1"/>
  <c r="AIK34" i="8"/>
  <c r="AIK35" i="8" s="1"/>
  <c r="AIK29" i="8"/>
  <c r="AIK41" i="8" l="1"/>
  <c r="AIK42" i="8" s="1"/>
  <c r="AIK36" i="8"/>
  <c r="AIK37" i="8"/>
  <c r="AIK43" i="8" l="1"/>
  <c r="AIK44" i="8"/>
  <c r="AIK48" i="8"/>
  <c r="AIK49" i="8" s="1"/>
  <c r="AIK55" i="8" s="1"/>
  <c r="AIK56" i="8" s="1"/>
  <c r="AIK58" i="8" l="1"/>
  <c r="AIK57" i="8"/>
  <c r="AIK51" i="8"/>
  <c r="AIK50" i="8"/>
  <c r="AIK23" i="8"/>
  <c r="AIK24" i="8" s="1"/>
  <c r="AIK25" i="8" s="1"/>
  <c r="AIL20" i="8" l="1"/>
  <c r="AIL28" i="8"/>
  <c r="AIL29" i="8" l="1"/>
  <c r="AIL34" i="8"/>
  <c r="AIL35" i="8" s="1"/>
  <c r="AIL30" i="8"/>
  <c r="AIL41" i="8" l="1"/>
  <c r="AIL42" i="8" s="1"/>
  <c r="AIL36" i="8"/>
  <c r="AIL37" i="8"/>
  <c r="AIL43" i="8" l="1"/>
  <c r="AIL44" i="8"/>
  <c r="AIL48" i="8"/>
  <c r="AIL49" i="8" s="1"/>
  <c r="AIL55" i="8" s="1"/>
  <c r="AIL56" i="8" s="1"/>
  <c r="AIL57" i="8" l="1"/>
  <c r="AIL58" i="8"/>
  <c r="AIL50" i="8"/>
  <c r="AIL51" i="8"/>
  <c r="AIL23" i="8"/>
  <c r="AIL24" i="8" s="1"/>
  <c r="AIL25" i="8" s="1"/>
  <c r="AIM20" i="8" l="1"/>
  <c r="AIM28" i="8"/>
  <c r="AIM30" i="8" l="1"/>
  <c r="AIM29" i="8"/>
  <c r="AIM34" i="8"/>
  <c r="AIM35" i="8" s="1"/>
  <c r="AIM41" i="8" s="1"/>
  <c r="AIM42" i="8" s="1"/>
  <c r="AIM43" i="8" l="1"/>
  <c r="AIM44" i="8"/>
  <c r="AIM48" i="8"/>
  <c r="AIM49" i="8" s="1"/>
  <c r="AIM55" i="8" s="1"/>
  <c r="AIM56" i="8" s="1"/>
  <c r="AIM37" i="8"/>
  <c r="AIM36" i="8"/>
  <c r="AIM23" i="8" l="1"/>
  <c r="AIM24" i="8" s="1"/>
  <c r="AIM25" i="8" s="1"/>
  <c r="AIM58" i="8"/>
  <c r="AIM57" i="8"/>
  <c r="AIM51" i="8"/>
  <c r="AIM50" i="8"/>
  <c r="AIN20" i="8" l="1"/>
  <c r="AIN28" i="8"/>
  <c r="AIN34" i="8" l="1"/>
  <c r="AIN35" i="8" s="1"/>
  <c r="AIN29" i="8"/>
  <c r="AIN30" i="8"/>
  <c r="AIN41" i="8" l="1"/>
  <c r="AIN42" i="8" s="1"/>
  <c r="AIN37" i="8"/>
  <c r="AIN36" i="8"/>
  <c r="AIN43" i="8" l="1"/>
  <c r="AIN44" i="8"/>
  <c r="AIN48" i="8"/>
  <c r="AIN49" i="8" s="1"/>
  <c r="AIN55" i="8" s="1"/>
  <c r="AIN56" i="8" s="1"/>
  <c r="AIN57" i="8" l="1"/>
  <c r="AIN58" i="8"/>
  <c r="AIN51" i="8"/>
  <c r="AIN50" i="8"/>
  <c r="AIN23" i="8"/>
  <c r="AIN24" i="8" s="1"/>
  <c r="AIN25" i="8" s="1"/>
  <c r="AIO20" i="8" l="1"/>
  <c r="AIO28" i="8"/>
  <c r="AIO34" i="8" l="1"/>
  <c r="AIO35" i="8" s="1"/>
  <c r="AIO30" i="8"/>
  <c r="AIO29" i="8"/>
  <c r="AIO41" i="8" l="1"/>
  <c r="AIO42" i="8" s="1"/>
  <c r="AIO37" i="8"/>
  <c r="AIO36" i="8"/>
  <c r="AIO43" i="8" l="1"/>
  <c r="AIO44" i="8"/>
  <c r="AIO48" i="8"/>
  <c r="AIO49" i="8" s="1"/>
  <c r="AIO55" i="8" s="1"/>
  <c r="AIO56" i="8" s="1"/>
  <c r="AIO57" i="8" l="1"/>
  <c r="AIO58" i="8"/>
  <c r="AIO51" i="8"/>
  <c r="AIO50" i="8"/>
  <c r="AIO23" i="8"/>
  <c r="AIO24" i="8" s="1"/>
  <c r="AIO25" i="8" s="1"/>
  <c r="AIP20" i="8" l="1"/>
  <c r="AIP28" i="8"/>
  <c r="AIP34" i="8" l="1"/>
  <c r="AIP35" i="8" s="1"/>
  <c r="AIP29" i="8"/>
  <c r="AIP30" i="8"/>
  <c r="AIP41" i="8" l="1"/>
  <c r="AIP42" i="8" s="1"/>
  <c r="AIP36" i="8"/>
  <c r="AIP37" i="8"/>
  <c r="AIP43" i="8" l="1"/>
  <c r="AIP44" i="8"/>
  <c r="AIP48" i="8"/>
  <c r="AIP49" i="8" s="1"/>
  <c r="AIP51" i="8" l="1"/>
  <c r="AIP50" i="8"/>
  <c r="AIP55" i="8"/>
  <c r="AIP56" i="8" s="1"/>
  <c r="AIP58" i="8" l="1"/>
  <c r="AIP57" i="8"/>
  <c r="AIP23" i="8"/>
  <c r="AIP24" i="8" s="1"/>
  <c r="AIP25" i="8" s="1"/>
  <c r="AIQ20" i="8" l="1"/>
  <c r="AIQ28" i="8"/>
  <c r="AIQ34" i="8" l="1"/>
  <c r="AIQ35" i="8" s="1"/>
  <c r="AIQ29" i="8"/>
  <c r="AIQ30" i="8"/>
  <c r="AIQ41" i="8" l="1"/>
  <c r="AIQ42" i="8" s="1"/>
  <c r="AIQ37" i="8"/>
  <c r="AIQ36" i="8"/>
  <c r="AIQ43" i="8" l="1"/>
  <c r="AIQ44" i="8"/>
  <c r="AIQ48" i="8"/>
  <c r="AIQ49" i="8" s="1"/>
  <c r="AIQ50" i="8" l="1"/>
  <c r="AIQ51" i="8"/>
  <c r="AIQ55" i="8"/>
  <c r="AIQ56" i="8" s="1"/>
  <c r="AIQ57" i="8" l="1"/>
  <c r="AIQ58" i="8"/>
  <c r="AIQ23" i="8"/>
  <c r="AIQ24" i="8" s="1"/>
  <c r="AIQ25" i="8" s="1"/>
  <c r="AIR20" i="8" l="1"/>
  <c r="AIR28" i="8"/>
  <c r="AIR34" i="8" l="1"/>
  <c r="AIR35" i="8" s="1"/>
  <c r="AIR30" i="8"/>
  <c r="AIR29" i="8"/>
  <c r="AIR41" i="8" l="1"/>
  <c r="AIR42" i="8" s="1"/>
  <c r="AIR37" i="8"/>
  <c r="AIR36" i="8"/>
  <c r="AIR43" i="8" l="1"/>
  <c r="AIR44" i="8"/>
  <c r="AIR48" i="8"/>
  <c r="AIR49" i="8" s="1"/>
  <c r="AIR55" i="8" s="1"/>
  <c r="AIR56" i="8" s="1"/>
  <c r="AIR58" i="8" l="1"/>
  <c r="AIR57" i="8"/>
  <c r="AIR51" i="8"/>
  <c r="AIR50" i="8"/>
  <c r="AIR23" i="8"/>
  <c r="AIR24" i="8" s="1"/>
  <c r="AIR25" i="8" s="1"/>
  <c r="AIS20" i="8" l="1"/>
  <c r="AIS28" i="8"/>
  <c r="AIS30" i="8" l="1"/>
  <c r="AIS34" i="8"/>
  <c r="AIS35" i="8" s="1"/>
  <c r="AIS29" i="8"/>
  <c r="AIS41" i="8" l="1"/>
  <c r="AIS42" i="8" s="1"/>
  <c r="AIS37" i="8"/>
  <c r="AIS36" i="8"/>
  <c r="AIS43" i="8" l="1"/>
  <c r="AIS44" i="8"/>
  <c r="AIS48" i="8"/>
  <c r="AIS49" i="8" s="1"/>
  <c r="AIS55" i="8" s="1"/>
  <c r="AIS56" i="8" s="1"/>
  <c r="AIS23" i="8" l="1"/>
  <c r="AIS24" i="8" s="1"/>
  <c r="AIS25" i="8" s="1"/>
  <c r="AIS57" i="8"/>
  <c r="AIS58" i="8"/>
  <c r="AIS50" i="8"/>
  <c r="AIS51" i="8"/>
  <c r="AIT20" i="8" l="1"/>
  <c r="AIT28" i="8"/>
  <c r="AIT30" i="8" l="1"/>
  <c r="AIT34" i="8"/>
  <c r="AIT35" i="8" s="1"/>
  <c r="AIT41" i="8" s="1"/>
  <c r="AIT42" i="8" s="1"/>
  <c r="AIT29" i="8"/>
  <c r="AIT44" i="8" l="1"/>
  <c r="AIT43" i="8"/>
  <c r="AIT48" i="8"/>
  <c r="AIT49" i="8" s="1"/>
  <c r="AIT37" i="8"/>
  <c r="AIT36" i="8"/>
  <c r="AIT50" i="8" l="1"/>
  <c r="AIT51" i="8"/>
  <c r="AIT55" i="8"/>
  <c r="AIT56" i="8" s="1"/>
  <c r="AIT57" i="8" l="1"/>
  <c r="AIT58" i="8"/>
  <c r="AIT23" i="8"/>
  <c r="AIT24" i="8" s="1"/>
  <c r="AIT25" i="8" s="1"/>
  <c r="AIU20" i="8" l="1"/>
  <c r="AIU28" i="8"/>
  <c r="AIU30" i="8" l="1"/>
  <c r="AIU29" i="8"/>
  <c r="AIU34" i="8"/>
  <c r="AIU35" i="8" s="1"/>
  <c r="AIU41" i="8" s="1"/>
  <c r="AIU42" i="8" s="1"/>
  <c r="AIU44" i="8" l="1"/>
  <c r="AIU43" i="8"/>
  <c r="AIU48" i="8"/>
  <c r="AIU49" i="8" s="1"/>
  <c r="AIU55" i="8" s="1"/>
  <c r="AIU56" i="8" s="1"/>
  <c r="AIU37" i="8"/>
  <c r="AIU36" i="8"/>
  <c r="AIU23" i="8" l="1"/>
  <c r="AIU24" i="8" s="1"/>
  <c r="AIU25" i="8" s="1"/>
  <c r="AIU57" i="8"/>
  <c r="AIU58" i="8"/>
  <c r="AIU50" i="8"/>
  <c r="AIU51" i="8"/>
  <c r="AIV20" i="8" l="1"/>
  <c r="AIV28" i="8"/>
  <c r="AIV29" i="8" l="1"/>
  <c r="AIV34" i="8"/>
  <c r="AIV35" i="8" s="1"/>
  <c r="AIV41" i="8" s="1"/>
  <c r="AIV42" i="8" s="1"/>
  <c r="AIV30" i="8"/>
  <c r="AIV43" i="8" l="1"/>
  <c r="AIV44" i="8"/>
  <c r="AIV48" i="8"/>
  <c r="AIV49" i="8" s="1"/>
  <c r="AIV36" i="8"/>
  <c r="AIV37" i="8"/>
  <c r="AIV50" i="8" l="1"/>
  <c r="AIV51" i="8"/>
  <c r="AIV55" i="8"/>
  <c r="AIV56" i="8" s="1"/>
  <c r="AIV23" i="8" l="1"/>
  <c r="AIV24" i="8" s="1"/>
  <c r="AIV25" i="8" s="1"/>
  <c r="AIV58" i="8"/>
  <c r="AIV57" i="8"/>
  <c r="AIW20" i="8" l="1"/>
  <c r="AIW28" i="8"/>
  <c r="AIW30" i="8" l="1"/>
  <c r="AIW29" i="8"/>
  <c r="AIW34" i="8"/>
  <c r="AIW35" i="8" s="1"/>
  <c r="AIW41" i="8" l="1"/>
  <c r="AIW42" i="8" s="1"/>
  <c r="AIW37" i="8"/>
  <c r="AIW36" i="8"/>
  <c r="AIW43" i="8" l="1"/>
  <c r="AIW44" i="8"/>
  <c r="AIW48" i="8"/>
  <c r="AIW49" i="8" s="1"/>
  <c r="AIW51" i="8" l="1"/>
  <c r="AIW50" i="8"/>
  <c r="AIW55" i="8"/>
  <c r="AIW56" i="8" s="1"/>
  <c r="AIW23" i="8" l="1"/>
  <c r="AIW24" i="8" s="1"/>
  <c r="AIW25" i="8" s="1"/>
  <c r="AIW58" i="8"/>
  <c r="AIW57" i="8"/>
  <c r="AIX20" i="8" l="1"/>
  <c r="AIX28" i="8"/>
  <c r="AIX30" i="8" l="1"/>
  <c r="AIX34" i="8"/>
  <c r="AIX35" i="8" s="1"/>
  <c r="AIX29" i="8"/>
  <c r="AIX41" i="8" l="1"/>
  <c r="AIX42" i="8" s="1"/>
  <c r="AIX37" i="8"/>
  <c r="AIX36" i="8"/>
  <c r="AIX43" i="8" l="1"/>
  <c r="AIX44" i="8"/>
  <c r="AIX48" i="8"/>
  <c r="AIX49" i="8" s="1"/>
  <c r="AIX55" i="8" s="1"/>
  <c r="AIX56" i="8" s="1"/>
  <c r="AIX23" i="8" l="1"/>
  <c r="AIX24" i="8" s="1"/>
  <c r="AIX25" i="8" s="1"/>
  <c r="AIX58" i="8"/>
  <c r="AIX57" i="8"/>
  <c r="AIX50" i="8"/>
  <c r="AIX51" i="8"/>
  <c r="AIY20" i="8" l="1"/>
  <c r="AIY28" i="8"/>
  <c r="AIY30" i="8" l="1"/>
  <c r="AIY34" i="8"/>
  <c r="AIY35" i="8" s="1"/>
  <c r="AIY29" i="8"/>
  <c r="AIY41" i="8" l="1"/>
  <c r="AIY42" i="8" s="1"/>
  <c r="AIY48" i="8" s="1"/>
  <c r="AIY49" i="8" s="1"/>
  <c r="AIY36" i="8"/>
  <c r="AIY37" i="8"/>
  <c r="AIY50" i="8" l="1"/>
  <c r="AIY51" i="8"/>
  <c r="AIY55" i="8"/>
  <c r="AIY56" i="8" s="1"/>
  <c r="AIY44" i="8"/>
  <c r="AIY43" i="8"/>
  <c r="AIY23" i="8" l="1"/>
  <c r="AIY24" i="8" s="1"/>
  <c r="AIY25" i="8" s="1"/>
  <c r="AIY57" i="8"/>
  <c r="AIY58" i="8"/>
  <c r="AIZ20" i="8" l="1"/>
  <c r="AIZ28" i="8"/>
  <c r="AIZ34" i="8" l="1"/>
  <c r="AIZ35" i="8" s="1"/>
  <c r="AIZ41" i="8" s="1"/>
  <c r="AIZ42" i="8" s="1"/>
  <c r="AIZ29" i="8"/>
  <c r="AIZ30" i="8"/>
  <c r="AIZ44" i="8" l="1"/>
  <c r="AIZ43" i="8"/>
  <c r="AIZ48" i="8"/>
  <c r="AIZ49" i="8" s="1"/>
  <c r="AIZ36" i="8"/>
  <c r="AIZ37" i="8"/>
  <c r="AIZ50" i="8" l="1"/>
  <c r="AIZ51" i="8"/>
  <c r="AIZ55" i="8"/>
  <c r="AIZ56" i="8" s="1"/>
  <c r="AIZ57" i="8" l="1"/>
  <c r="AIZ58" i="8"/>
  <c r="AIZ23" i="8"/>
  <c r="AIZ24" i="8" s="1"/>
  <c r="AIZ25" i="8" s="1"/>
  <c r="AJA20" i="8" l="1"/>
  <c r="AJA28" i="8"/>
  <c r="AJA34" i="8" l="1"/>
  <c r="AJA35" i="8" s="1"/>
  <c r="AJA29" i="8"/>
  <c r="AJA30" i="8"/>
  <c r="AJA41" i="8" l="1"/>
  <c r="AJA42" i="8" s="1"/>
  <c r="AJA36" i="8"/>
  <c r="AJA37" i="8"/>
  <c r="AJA44" i="8" l="1"/>
  <c r="AJA43" i="8"/>
  <c r="AJA48" i="8"/>
  <c r="AJA49" i="8" s="1"/>
  <c r="AJA51" i="8" l="1"/>
  <c r="AJA50" i="8"/>
  <c r="AJA55" i="8"/>
  <c r="AJA56" i="8" s="1"/>
  <c r="AJA57" i="8" l="1"/>
  <c r="AJA58" i="8"/>
  <c r="AJA23" i="8"/>
  <c r="AJA24" i="8" s="1"/>
  <c r="AJA25" i="8" s="1"/>
  <c r="AJB20" i="8" l="1"/>
  <c r="AJB28" i="8"/>
  <c r="AJB34" i="8" l="1"/>
  <c r="AJB35" i="8" s="1"/>
  <c r="AJB41" i="8" s="1"/>
  <c r="AJB42" i="8" s="1"/>
  <c r="AJB30" i="8"/>
  <c r="AJB29" i="8"/>
  <c r="AJB44" i="8" l="1"/>
  <c r="AJB43" i="8"/>
  <c r="AJB48" i="8"/>
  <c r="AJB49" i="8" s="1"/>
  <c r="AJB37" i="8"/>
  <c r="AJB36" i="8"/>
  <c r="AJB50" i="8" l="1"/>
  <c r="AJB51" i="8"/>
  <c r="AJB55" i="8"/>
  <c r="AJB56" i="8" s="1"/>
  <c r="AJB23" i="8" l="1"/>
  <c r="AJB24" i="8" s="1"/>
  <c r="AJB25" i="8" s="1"/>
  <c r="AJB57" i="8"/>
  <c r="AJB58" i="8"/>
  <c r="AJC20" i="8" l="1"/>
  <c r="AJC28" i="8"/>
  <c r="AJC29" i="8" l="1"/>
  <c r="AJC34" i="8"/>
  <c r="AJC35" i="8" s="1"/>
  <c r="AJC30" i="8"/>
  <c r="AJC41" i="8" l="1"/>
  <c r="AJC42" i="8" s="1"/>
  <c r="AJC36" i="8"/>
  <c r="AJC37" i="8"/>
  <c r="AJC44" i="8" l="1"/>
  <c r="AJC43" i="8"/>
  <c r="AJC48" i="8"/>
  <c r="AJC49" i="8" s="1"/>
  <c r="AJC55" i="8" s="1"/>
  <c r="AJC56" i="8" s="1"/>
  <c r="AJC23" i="8" l="1"/>
  <c r="AJC24" i="8" s="1"/>
  <c r="AJC25" i="8" s="1"/>
  <c r="AJC58" i="8"/>
  <c r="AJC57" i="8"/>
  <c r="AJC51" i="8"/>
  <c r="AJC50" i="8"/>
  <c r="AJD20" i="8" l="1"/>
  <c r="AJD28" i="8"/>
  <c r="AJD34" i="8" l="1"/>
  <c r="AJD35" i="8" s="1"/>
  <c r="AJD41" i="8" s="1"/>
  <c r="AJD42" i="8" s="1"/>
  <c r="AJD29" i="8"/>
  <c r="AJD30" i="8"/>
  <c r="AJD44" i="8" l="1"/>
  <c r="AJD43" i="8"/>
  <c r="AJD48" i="8"/>
  <c r="AJD49" i="8" s="1"/>
  <c r="AJD36" i="8"/>
  <c r="AJD37" i="8"/>
  <c r="AJD51" i="8" l="1"/>
  <c r="AJD50" i="8"/>
  <c r="AJD55" i="8"/>
  <c r="AJD56" i="8" s="1"/>
  <c r="AJD57" i="8" l="1"/>
  <c r="AJD58" i="8"/>
  <c r="AJD23" i="8"/>
  <c r="AJD24" i="8" s="1"/>
  <c r="AJD25" i="8" s="1"/>
  <c r="AJE20" i="8" l="1"/>
  <c r="AJE28" i="8"/>
  <c r="AJE29" i="8" l="1"/>
  <c r="AJE30" i="8"/>
  <c r="AJE34" i="8"/>
  <c r="AJE35" i="8" s="1"/>
  <c r="AJE41" i="8" l="1"/>
  <c r="AJE42" i="8" s="1"/>
  <c r="AJE36" i="8"/>
  <c r="AJE37" i="8"/>
  <c r="AJE44" i="8" l="1"/>
  <c r="AJE43" i="8"/>
  <c r="AJE48" i="8"/>
  <c r="AJE49" i="8" s="1"/>
  <c r="AJE55" i="8" s="1"/>
  <c r="AJE56" i="8" s="1"/>
  <c r="AJE57" i="8" l="1"/>
  <c r="AJE58" i="8"/>
  <c r="AJE23" i="8"/>
  <c r="AJE24" i="8" s="1"/>
  <c r="AJE25" i="8" s="1"/>
  <c r="AJE50" i="8"/>
  <c r="AJE51" i="8"/>
  <c r="AJF20" i="8" l="1"/>
  <c r="AJF28" i="8"/>
  <c r="AJF30" i="8" l="1"/>
  <c r="AJF29" i="8"/>
  <c r="AJF34" i="8"/>
  <c r="AJF35" i="8" s="1"/>
  <c r="AJF41" i="8" s="1"/>
  <c r="AJF42" i="8" s="1"/>
  <c r="AJF44" i="8" l="1"/>
  <c r="AJF43" i="8"/>
  <c r="AJF48" i="8"/>
  <c r="AJF49" i="8" s="1"/>
  <c r="AJF55" i="8" s="1"/>
  <c r="AJF56" i="8" s="1"/>
  <c r="AJF36" i="8"/>
  <c r="AJF37" i="8"/>
  <c r="AJF23" i="8" l="1"/>
  <c r="AJF24" i="8" s="1"/>
  <c r="AJF25" i="8" s="1"/>
  <c r="AJF58" i="8"/>
  <c r="AJF57" i="8"/>
  <c r="AJF50" i="8"/>
  <c r="AJF51" i="8"/>
  <c r="AJG20" i="8" l="1"/>
  <c r="AJG28" i="8"/>
  <c r="AJG30" i="8" l="1"/>
  <c r="AJG29" i="8"/>
  <c r="AJG34" i="8"/>
  <c r="AJG35" i="8" s="1"/>
  <c r="AJG41" i="8" s="1"/>
  <c r="AJG42" i="8" s="1"/>
  <c r="AJG44" i="8" l="1"/>
  <c r="AJG43" i="8"/>
  <c r="AJG48" i="8"/>
  <c r="AJG49" i="8" s="1"/>
  <c r="AJG36" i="8"/>
  <c r="AJG37" i="8"/>
  <c r="AJG51" i="8" l="1"/>
  <c r="AJG50" i="8"/>
  <c r="AJG55" i="8"/>
  <c r="AJG56" i="8" s="1"/>
  <c r="AJG23" i="8" l="1"/>
  <c r="AJG24" i="8" s="1"/>
  <c r="AJG25" i="8" s="1"/>
  <c r="AJG58" i="8"/>
  <c r="AJG57" i="8"/>
  <c r="AJH20" i="8" l="1"/>
  <c r="AJH28" i="8"/>
  <c r="AJH29" i="8" l="1"/>
  <c r="AJH34" i="8"/>
  <c r="AJH35" i="8" s="1"/>
  <c r="AJH30" i="8"/>
  <c r="AJH41" i="8" l="1"/>
  <c r="AJH42" i="8" s="1"/>
  <c r="AJH37" i="8"/>
  <c r="AJH36" i="8"/>
  <c r="AJH43" i="8" l="1"/>
  <c r="AJH44" i="8"/>
  <c r="AJH48" i="8"/>
  <c r="AJH49" i="8" s="1"/>
  <c r="AJH55" i="8" s="1"/>
  <c r="AJH56" i="8" s="1"/>
  <c r="AJH58" i="8" l="1"/>
  <c r="AJH57" i="8"/>
  <c r="AJH51" i="8"/>
  <c r="AJH50" i="8"/>
  <c r="AJH23" i="8"/>
  <c r="AJH24" i="8" s="1"/>
  <c r="AJH25" i="8" s="1"/>
  <c r="AJI20" i="8" l="1"/>
  <c r="AJI28" i="8"/>
  <c r="AJI34" i="8" l="1"/>
  <c r="AJI35" i="8" s="1"/>
  <c r="AJI30" i="8"/>
  <c r="AJI29" i="8"/>
  <c r="AJI41" i="8" l="1"/>
  <c r="AJI42" i="8" s="1"/>
  <c r="AJI36" i="8"/>
  <c r="AJI37" i="8"/>
  <c r="AJI43" i="8" l="1"/>
  <c r="AJI44" i="8"/>
  <c r="AJI48" i="8"/>
  <c r="AJI49" i="8" s="1"/>
  <c r="AJI55" i="8" s="1"/>
  <c r="AJI56" i="8" s="1"/>
  <c r="AJI23" i="8" l="1"/>
  <c r="AJI24" i="8" s="1"/>
  <c r="AJI25" i="8" s="1"/>
  <c r="AJI57" i="8"/>
  <c r="AJI58" i="8"/>
  <c r="AJI50" i="8"/>
  <c r="AJI51" i="8"/>
  <c r="AJJ20" i="8" l="1"/>
  <c r="AJJ28" i="8"/>
  <c r="AJJ30" i="8" l="1"/>
  <c r="AJJ29" i="8"/>
  <c r="AJJ34" i="8"/>
  <c r="AJJ35" i="8" s="1"/>
  <c r="AJJ41" i="8" l="1"/>
  <c r="AJJ42" i="8" s="1"/>
  <c r="AJJ37" i="8"/>
  <c r="AJJ36" i="8"/>
  <c r="AJJ44" i="8" l="1"/>
  <c r="AJJ43" i="8"/>
  <c r="AJJ48" i="8"/>
  <c r="AJJ49" i="8" s="1"/>
  <c r="AJJ51" i="8" l="1"/>
  <c r="AJJ50" i="8"/>
  <c r="AJJ55" i="8"/>
  <c r="AJJ56" i="8" s="1"/>
  <c r="AJJ23" i="8" s="1"/>
  <c r="AJJ24" i="8" s="1"/>
  <c r="AJJ25" i="8" s="1"/>
  <c r="AJK20" i="8" l="1"/>
  <c r="AJK28" i="8"/>
  <c r="AJJ58" i="8"/>
  <c r="AJJ57" i="8"/>
  <c r="AJK34" i="8" l="1"/>
  <c r="AJK35" i="8" s="1"/>
  <c r="AJK41" i="8" s="1"/>
  <c r="AJK42" i="8" s="1"/>
  <c r="AJK30" i="8"/>
  <c r="AJK29" i="8"/>
  <c r="AJK43" i="8" l="1"/>
  <c r="AJK44" i="8"/>
  <c r="AJK48" i="8"/>
  <c r="AJK49" i="8" s="1"/>
  <c r="AJK55" i="8" s="1"/>
  <c r="AJK56" i="8" s="1"/>
  <c r="AJK36" i="8"/>
  <c r="AJK37" i="8"/>
  <c r="AJK23" i="8" l="1"/>
  <c r="AJK24" i="8" s="1"/>
  <c r="AJK25" i="8" s="1"/>
  <c r="AJK58" i="8"/>
  <c r="AJK57" i="8"/>
  <c r="AJK51" i="8"/>
  <c r="AJK50" i="8"/>
  <c r="AJL20" i="8" l="1"/>
  <c r="AJL28" i="8"/>
  <c r="AJL30" i="8" l="1"/>
  <c r="AJL29" i="8"/>
  <c r="AJL34" i="8"/>
  <c r="AJL35" i="8" s="1"/>
  <c r="AJL41" i="8" l="1"/>
  <c r="AJL42" i="8" s="1"/>
  <c r="AJL37" i="8"/>
  <c r="AJL36" i="8"/>
  <c r="AJL44" i="8" l="1"/>
  <c r="AJL43" i="8"/>
  <c r="AJL48" i="8"/>
  <c r="AJL49" i="8" s="1"/>
  <c r="AJL50" i="8" l="1"/>
  <c r="AJL51" i="8"/>
  <c r="AJL55" i="8"/>
  <c r="AJL56" i="8" s="1"/>
  <c r="AJL23" i="8" s="1"/>
  <c r="AJL24" i="8" s="1"/>
  <c r="AJL25" i="8" s="1"/>
  <c r="AJM20" i="8" l="1"/>
  <c r="AJM28" i="8"/>
  <c r="AJL57" i="8"/>
  <c r="AJL58" i="8"/>
  <c r="AJM29" i="8" l="1"/>
  <c r="AJM30" i="8"/>
  <c r="AJM34" i="8"/>
  <c r="AJM35" i="8" s="1"/>
  <c r="AJM41" i="8" l="1"/>
  <c r="AJM42" i="8" s="1"/>
  <c r="AJM36" i="8"/>
  <c r="AJM37" i="8"/>
  <c r="AJM43" i="8" l="1"/>
  <c r="AJM44" i="8"/>
  <c r="AJM48" i="8"/>
  <c r="AJM49" i="8" s="1"/>
  <c r="AJM55" i="8" s="1"/>
  <c r="AJM56" i="8" s="1"/>
  <c r="AJM23" i="8" l="1"/>
  <c r="AJM24" i="8" s="1"/>
  <c r="AJM25" i="8" s="1"/>
  <c r="AJM57" i="8"/>
  <c r="AJM58" i="8"/>
  <c r="AJM51" i="8"/>
  <c r="AJM50" i="8"/>
  <c r="AJN20" i="8" l="1"/>
  <c r="AJN28" i="8"/>
  <c r="AJN29" i="8" l="1"/>
  <c r="AJN34" i="8"/>
  <c r="AJN35" i="8" s="1"/>
  <c r="AJN30" i="8"/>
  <c r="AJN41" i="8" l="1"/>
  <c r="AJN42" i="8" s="1"/>
  <c r="AJN36" i="8"/>
  <c r="AJN37" i="8"/>
  <c r="AJN43" i="8" l="1"/>
  <c r="AJN44" i="8"/>
  <c r="AJN48" i="8"/>
  <c r="AJN49" i="8" s="1"/>
  <c r="AJN55" i="8" s="1"/>
  <c r="AJN56" i="8" s="1"/>
  <c r="AJN58" i="8" l="1"/>
  <c r="AJN57" i="8"/>
  <c r="AJN50" i="8"/>
  <c r="AJN51" i="8"/>
  <c r="AJN23" i="8"/>
  <c r="AJN24" i="8" s="1"/>
  <c r="AJN25" i="8" s="1"/>
  <c r="AJO20" i="8" l="1"/>
  <c r="AJO28" i="8"/>
  <c r="AJO34" i="8" l="1"/>
  <c r="AJO35" i="8" s="1"/>
  <c r="AJO29" i="8"/>
  <c r="AJO30" i="8"/>
  <c r="AJO41" i="8" l="1"/>
  <c r="AJO42" i="8" s="1"/>
  <c r="AJO36" i="8"/>
  <c r="AJO37" i="8"/>
  <c r="AJO44" i="8" l="1"/>
  <c r="AJO43" i="8"/>
  <c r="AJO48" i="8"/>
  <c r="AJO49" i="8" s="1"/>
  <c r="AJO50" i="8" l="1"/>
  <c r="AJO51" i="8"/>
  <c r="AJO55" i="8"/>
  <c r="AJO56" i="8" s="1"/>
  <c r="AJO58" i="8" l="1"/>
  <c r="AJO57" i="8"/>
  <c r="AJO23" i="8"/>
  <c r="AJO24" i="8" s="1"/>
  <c r="AJO25" i="8" s="1"/>
  <c r="AJP20" i="8" l="1"/>
  <c r="AJP28" i="8"/>
  <c r="AJP30" i="8" l="1"/>
  <c r="AJP29" i="8"/>
  <c r="AJP34" i="8"/>
  <c r="AJP35" i="8" s="1"/>
  <c r="AJP41" i="8" s="1"/>
  <c r="AJP42" i="8" s="1"/>
  <c r="AJP43" i="8" l="1"/>
  <c r="AJP44" i="8"/>
  <c r="AJP48" i="8"/>
  <c r="AJP49" i="8" s="1"/>
  <c r="AJP37" i="8"/>
  <c r="AJP36" i="8"/>
  <c r="AJP51" i="8" l="1"/>
  <c r="AJP50" i="8"/>
  <c r="AJP55" i="8"/>
  <c r="AJP56" i="8" s="1"/>
  <c r="AJP58" i="8" l="1"/>
  <c r="AJP57" i="8"/>
  <c r="AJP23" i="8"/>
  <c r="AJP24" i="8" s="1"/>
  <c r="AJP25" i="8" s="1"/>
  <c r="AJQ20" i="8" l="1"/>
  <c r="AJQ28" i="8"/>
  <c r="AJQ34" i="8" l="1"/>
  <c r="AJQ35" i="8" s="1"/>
  <c r="AJQ29" i="8"/>
  <c r="AJQ30" i="8"/>
  <c r="AJQ41" i="8" l="1"/>
  <c r="AJQ42" i="8" s="1"/>
  <c r="AJQ36" i="8"/>
  <c r="AJQ37" i="8"/>
  <c r="AJQ44" i="8" l="1"/>
  <c r="AJQ43" i="8"/>
  <c r="AJQ48" i="8"/>
  <c r="AJQ49" i="8" s="1"/>
  <c r="AJQ51" i="8" l="1"/>
  <c r="AJQ50" i="8"/>
  <c r="AJQ55" i="8"/>
  <c r="AJQ56" i="8" s="1"/>
  <c r="AJQ58" i="8" l="1"/>
  <c r="AJQ57" i="8"/>
  <c r="AJQ23" i="8"/>
  <c r="AJQ24" i="8" s="1"/>
  <c r="AJQ25" i="8" s="1"/>
  <c r="AJR20" i="8" l="1"/>
  <c r="AJR28" i="8"/>
  <c r="AJR30" i="8" l="1"/>
  <c r="AJR29" i="8"/>
  <c r="AJR34" i="8"/>
  <c r="AJR35" i="8" s="1"/>
  <c r="AJR41" i="8" l="1"/>
  <c r="AJR42" i="8" s="1"/>
  <c r="AJR36" i="8"/>
  <c r="AJR37" i="8"/>
  <c r="AJR44" i="8" l="1"/>
  <c r="AJR43" i="8"/>
  <c r="AJR48" i="8"/>
  <c r="AJR49" i="8" s="1"/>
  <c r="AJR50" i="8" l="1"/>
  <c r="AJR51" i="8"/>
  <c r="AJR55" i="8"/>
  <c r="AJR56" i="8" s="1"/>
  <c r="AJR58" i="8" l="1"/>
  <c r="AJR57" i="8"/>
  <c r="AJR23" i="8"/>
  <c r="AJR24" i="8" s="1"/>
  <c r="AJR25" i="8" s="1"/>
  <c r="AJS20" i="8" l="1"/>
  <c r="AJS28" i="8"/>
  <c r="AJS30" i="8" l="1"/>
  <c r="AJS34" i="8"/>
  <c r="AJS35" i="8" s="1"/>
  <c r="AJS41" i="8" s="1"/>
  <c r="AJS42" i="8" s="1"/>
  <c r="AJS29" i="8"/>
  <c r="AJS43" i="8" l="1"/>
  <c r="AJS44" i="8"/>
  <c r="AJS48" i="8"/>
  <c r="AJS49" i="8" s="1"/>
  <c r="AJS55" i="8" s="1"/>
  <c r="AJS56" i="8" s="1"/>
  <c r="AJS37" i="8"/>
  <c r="AJS36" i="8"/>
  <c r="AJS57" i="8" l="1"/>
  <c r="AJS58" i="8"/>
  <c r="AJS50" i="8"/>
  <c r="AJS51" i="8"/>
  <c r="AJS23" i="8"/>
  <c r="AJS24" i="8" s="1"/>
  <c r="AJS25" i="8" s="1"/>
  <c r="AJT20" i="8" l="1"/>
  <c r="AJT28" i="8"/>
  <c r="AJT29" i="8" l="1"/>
  <c r="AJT30" i="8"/>
  <c r="AJT34" i="8"/>
  <c r="AJT35" i="8" s="1"/>
  <c r="AJT36" i="8" l="1"/>
  <c r="AJT37" i="8"/>
  <c r="AJT41" i="8"/>
  <c r="AJT42" i="8" s="1"/>
  <c r="AJT43" i="8" l="1"/>
  <c r="AJT44" i="8"/>
  <c r="AJT48" i="8"/>
  <c r="AJT49" i="8" s="1"/>
  <c r="AJT50" i="8" l="1"/>
  <c r="AJT51" i="8"/>
  <c r="AJT55" i="8"/>
  <c r="AJT56" i="8" s="1"/>
  <c r="AJT23" i="8" s="1"/>
  <c r="AJT24" i="8" s="1"/>
  <c r="AJT25" i="8" s="1"/>
  <c r="AJU20" i="8" l="1"/>
  <c r="AJU28" i="8"/>
  <c r="AJT57" i="8"/>
  <c r="AJT58" i="8"/>
  <c r="AJU30" i="8" l="1"/>
  <c r="AJU29" i="8"/>
  <c r="AJU34" i="8"/>
  <c r="AJU35" i="8" s="1"/>
  <c r="AJU41" i="8" s="1"/>
  <c r="AJU42" i="8" s="1"/>
  <c r="AJU44" i="8" l="1"/>
  <c r="AJU43" i="8"/>
  <c r="AJU48" i="8"/>
  <c r="AJU49" i="8" s="1"/>
  <c r="AJU37" i="8"/>
  <c r="AJU36" i="8"/>
  <c r="AJU50" i="8" l="1"/>
  <c r="AJU51" i="8"/>
  <c r="AJU55" i="8"/>
  <c r="AJU56" i="8" s="1"/>
  <c r="AJU23" i="8" l="1"/>
  <c r="AJU24" i="8" s="1"/>
  <c r="AJU25" i="8" s="1"/>
  <c r="AJU57" i="8"/>
  <c r="AJU58" i="8"/>
  <c r="AJV20" i="8" l="1"/>
  <c r="AJV28" i="8"/>
  <c r="AJV34" i="8" l="1"/>
  <c r="AJV35" i="8" s="1"/>
  <c r="AJV29" i="8"/>
  <c r="AJV30" i="8"/>
  <c r="AJV41" i="8" l="1"/>
  <c r="AJV42" i="8" s="1"/>
  <c r="AJV36" i="8"/>
  <c r="AJV37" i="8"/>
  <c r="AJV44" i="8" l="1"/>
  <c r="AJV43" i="8"/>
  <c r="AJV48" i="8"/>
  <c r="AJV49" i="8" s="1"/>
  <c r="AJV55" i="8" s="1"/>
  <c r="AJV56" i="8" s="1"/>
  <c r="AJV23" i="8" l="1"/>
  <c r="AJV24" i="8" s="1"/>
  <c r="AJV25" i="8" s="1"/>
  <c r="AJV57" i="8"/>
  <c r="AJV58" i="8"/>
  <c r="AJV51" i="8"/>
  <c r="AJV50" i="8"/>
  <c r="AJW20" i="8" l="1"/>
  <c r="AJW28" i="8"/>
  <c r="AJW29" i="8" l="1"/>
  <c r="AJW34" i="8"/>
  <c r="AJW35" i="8" s="1"/>
  <c r="AJW30" i="8"/>
  <c r="AJW41" i="8" l="1"/>
  <c r="AJW42" i="8" s="1"/>
  <c r="AJW36" i="8"/>
  <c r="AJW37" i="8"/>
  <c r="AJW43" i="8" l="1"/>
  <c r="AJW44" i="8"/>
  <c r="AJW48" i="8"/>
  <c r="AJW49" i="8" s="1"/>
  <c r="AJW51" i="8" l="1"/>
  <c r="AJW50" i="8"/>
  <c r="AJW55" i="8"/>
  <c r="AJW56" i="8" s="1"/>
  <c r="AJW57" i="8" l="1"/>
  <c r="AJW58" i="8"/>
  <c r="AJW23" i="8"/>
  <c r="AJW24" i="8" s="1"/>
  <c r="AJW25" i="8" s="1"/>
  <c r="AJX20" i="8" l="1"/>
  <c r="AJX28" i="8"/>
  <c r="AJX34" i="8" l="1"/>
  <c r="AJX35" i="8" s="1"/>
  <c r="AJX30" i="8"/>
  <c r="AJX29" i="8"/>
  <c r="AJX41" i="8" l="1"/>
  <c r="AJX42" i="8" s="1"/>
  <c r="AJX36" i="8"/>
  <c r="AJX37" i="8"/>
  <c r="AJX44" i="8" l="1"/>
  <c r="AJX43" i="8"/>
  <c r="AJX48" i="8"/>
  <c r="AJX49" i="8" s="1"/>
  <c r="AJX55" i="8" s="1"/>
  <c r="AJX56" i="8" s="1"/>
  <c r="AJX23" i="8" l="1"/>
  <c r="AJX24" i="8" s="1"/>
  <c r="AJX25" i="8" s="1"/>
  <c r="AJX57" i="8"/>
  <c r="AJX58" i="8"/>
  <c r="AJX50" i="8"/>
  <c r="AJX51" i="8"/>
  <c r="AJY20" i="8" l="1"/>
  <c r="AJY28" i="8"/>
  <c r="AJY29" i="8" l="1"/>
  <c r="AJY30" i="8"/>
  <c r="AJY34" i="8"/>
  <c r="AJY35" i="8" s="1"/>
  <c r="AJY41" i="8" l="1"/>
  <c r="AJY42" i="8" s="1"/>
  <c r="AJY48" i="8" s="1"/>
  <c r="AJY49" i="8" s="1"/>
  <c r="AJY37" i="8"/>
  <c r="AJY36" i="8"/>
  <c r="AJY50" i="8" l="1"/>
  <c r="AJY51" i="8"/>
  <c r="AJY44" i="8"/>
  <c r="AJY43" i="8"/>
  <c r="AJY55" i="8"/>
  <c r="AJY56" i="8" s="1"/>
  <c r="AJY23" i="8" l="1"/>
  <c r="AJY24" i="8" s="1"/>
  <c r="AJY25" i="8" s="1"/>
  <c r="AJY57" i="8"/>
  <c r="AJY58" i="8"/>
  <c r="AJZ20" i="8" l="1"/>
  <c r="AJZ28" i="8"/>
  <c r="AJZ29" i="8" l="1"/>
  <c r="AJZ34" i="8"/>
  <c r="AJZ35" i="8" s="1"/>
  <c r="AJZ30" i="8"/>
  <c r="AJZ41" i="8" l="1"/>
  <c r="AJZ42" i="8" s="1"/>
  <c r="AJZ36" i="8"/>
  <c r="AJZ37" i="8"/>
  <c r="AJZ44" i="8" l="1"/>
  <c r="AJZ43" i="8"/>
  <c r="AJZ48" i="8"/>
  <c r="AJZ49" i="8" s="1"/>
  <c r="AJZ55" i="8" s="1"/>
  <c r="AJZ56" i="8" s="1"/>
  <c r="AJZ23" i="8" l="1"/>
  <c r="AJZ24" i="8" s="1"/>
  <c r="AJZ25" i="8" s="1"/>
  <c r="AJZ58" i="8"/>
  <c r="AJZ57" i="8"/>
  <c r="AJZ51" i="8"/>
  <c r="AJZ50" i="8"/>
  <c r="AKA20" i="8" l="1"/>
  <c r="AKA28" i="8"/>
  <c r="AKA34" i="8" l="1"/>
  <c r="AKA35" i="8" s="1"/>
  <c r="AKA29" i="8"/>
  <c r="AKA30" i="8"/>
  <c r="AKA41" i="8" l="1"/>
  <c r="AKA42" i="8" s="1"/>
  <c r="AKA36" i="8"/>
  <c r="AKA37" i="8"/>
  <c r="AKA48" i="8" l="1"/>
  <c r="AKA49" i="8" s="1"/>
  <c r="AKA43" i="8"/>
  <c r="AKA44" i="8"/>
  <c r="AKA55" i="8" l="1"/>
  <c r="AKA56" i="8" s="1"/>
  <c r="AKA51" i="8"/>
  <c r="AKA50" i="8"/>
  <c r="AKA57" i="8" l="1"/>
  <c r="AKA58" i="8"/>
  <c r="AKA23" i="8"/>
  <c r="AKA24" i="8" s="1"/>
  <c r="AKA25" i="8" s="1"/>
  <c r="AKB20" i="8" l="1"/>
  <c r="AKB28" i="8"/>
  <c r="AKB29" i="8" l="1"/>
  <c r="AKB30" i="8"/>
  <c r="AKB34" i="8"/>
  <c r="AKB35" i="8" s="1"/>
  <c r="AKB41" i="8" l="1"/>
  <c r="AKB42" i="8" s="1"/>
  <c r="AKB37" i="8"/>
  <c r="AKB36" i="8"/>
  <c r="AKB43" i="8" l="1"/>
  <c r="AKB44" i="8"/>
  <c r="AKB48" i="8"/>
  <c r="AKB49" i="8" s="1"/>
  <c r="AKB50" i="8" l="1"/>
  <c r="AKB51" i="8"/>
  <c r="AKB55" i="8"/>
  <c r="AKB56" i="8" s="1"/>
  <c r="AKB23" i="8" s="1"/>
  <c r="AKB24" i="8" s="1"/>
  <c r="AKB25" i="8" s="1"/>
  <c r="AKC20" i="8" l="1"/>
  <c r="AKC28" i="8"/>
  <c r="AKB57" i="8"/>
  <c r="AKB58" i="8"/>
  <c r="AKC34" i="8" l="1"/>
  <c r="AKC35" i="8" s="1"/>
  <c r="AKC30" i="8"/>
  <c r="AKC29" i="8"/>
  <c r="AKC41" i="8" l="1"/>
  <c r="AKC42" i="8" s="1"/>
  <c r="AKC36" i="8"/>
  <c r="AKC37" i="8"/>
  <c r="AKC43" i="8" l="1"/>
  <c r="AKC44" i="8"/>
  <c r="AKC48" i="8"/>
  <c r="AKC49" i="8" s="1"/>
  <c r="AKC50" i="8" l="1"/>
  <c r="AKC51" i="8"/>
  <c r="AKC55" i="8"/>
  <c r="AKC56" i="8" s="1"/>
  <c r="AKC23" i="8" l="1"/>
  <c r="AKC24" i="8" s="1"/>
  <c r="AKC25" i="8" s="1"/>
  <c r="AKC58" i="8"/>
  <c r="AKC57" i="8"/>
  <c r="AKD20" i="8" l="1"/>
  <c r="AKD28" i="8"/>
  <c r="AKD30" i="8" l="1"/>
  <c r="AKD29" i="8"/>
  <c r="AKD34" i="8"/>
  <c r="AKD35" i="8" s="1"/>
  <c r="AKD41" i="8" l="1"/>
  <c r="AKD42" i="8" s="1"/>
  <c r="AKD36" i="8"/>
  <c r="AKD37" i="8"/>
  <c r="AKD44" i="8" l="1"/>
  <c r="AKD43" i="8"/>
  <c r="AKD48" i="8"/>
  <c r="AKD49" i="8" s="1"/>
  <c r="AKD50" i="8" l="1"/>
  <c r="AKD51" i="8"/>
  <c r="AKD55" i="8"/>
  <c r="AKD56" i="8" s="1"/>
  <c r="AKD23" i="8" l="1"/>
  <c r="AKD24" i="8" s="1"/>
  <c r="AKD25" i="8" s="1"/>
  <c r="AKD57" i="8"/>
  <c r="AKD58" i="8"/>
  <c r="AKE20" i="8" l="1"/>
  <c r="AKE28" i="8"/>
  <c r="AKE34" i="8" l="1"/>
  <c r="AKE35" i="8" s="1"/>
  <c r="AKE29" i="8"/>
  <c r="AKE30" i="8"/>
  <c r="AKE41" i="8" l="1"/>
  <c r="AKE42" i="8" s="1"/>
  <c r="AKE37" i="8"/>
  <c r="AKE36" i="8"/>
  <c r="AKE43" i="8" l="1"/>
  <c r="AKE44" i="8"/>
  <c r="AKE48" i="8"/>
  <c r="AKE49" i="8" s="1"/>
  <c r="AKE51" i="8" l="1"/>
  <c r="AKE50" i="8"/>
  <c r="AKE55" i="8"/>
  <c r="AKE56" i="8" s="1"/>
  <c r="AKE23" i="8" l="1"/>
  <c r="AKE24" i="8" s="1"/>
  <c r="AKE25" i="8" s="1"/>
  <c r="AKE57" i="8"/>
  <c r="AKE58" i="8"/>
  <c r="AKF20" i="8" l="1"/>
  <c r="AKF28" i="8"/>
  <c r="AKF30" i="8" l="1"/>
  <c r="AKF29" i="8"/>
  <c r="AKF34" i="8"/>
  <c r="AKF35" i="8" s="1"/>
  <c r="AKF41" i="8" l="1"/>
  <c r="AKF42" i="8" s="1"/>
  <c r="AKF36" i="8"/>
  <c r="AKF37" i="8"/>
  <c r="AKF44" i="8" l="1"/>
  <c r="AKF43" i="8"/>
  <c r="AKF48" i="8"/>
  <c r="AKF49" i="8" s="1"/>
  <c r="AKF50" i="8" l="1"/>
  <c r="AKF51" i="8"/>
  <c r="AKF55" i="8"/>
  <c r="AKF56" i="8" s="1"/>
  <c r="AKF23" i="8" l="1"/>
  <c r="AKF24" i="8" s="1"/>
  <c r="AKF25" i="8" s="1"/>
  <c r="AKF57" i="8"/>
  <c r="AKF58" i="8"/>
  <c r="AKG20" i="8" l="1"/>
  <c r="AKG28" i="8"/>
  <c r="AKG34" i="8" l="1"/>
  <c r="AKG35" i="8" s="1"/>
  <c r="AKG29" i="8"/>
  <c r="AKG30" i="8"/>
  <c r="AKG41" i="8" l="1"/>
  <c r="AKG42" i="8" s="1"/>
  <c r="AKG37" i="8"/>
  <c r="AKG36" i="8"/>
  <c r="AKG44" i="8" l="1"/>
  <c r="AKG43" i="8"/>
  <c r="AKG48" i="8"/>
  <c r="AKG49" i="8" s="1"/>
  <c r="AKG50" i="8" l="1"/>
  <c r="AKG51" i="8"/>
  <c r="AKG55" i="8"/>
  <c r="AKG56" i="8" s="1"/>
  <c r="AKG23" i="8" l="1"/>
  <c r="AKG24" i="8" s="1"/>
  <c r="AKG25" i="8" s="1"/>
  <c r="AKG58" i="8"/>
  <c r="AKG57" i="8"/>
  <c r="AKH20" i="8" l="1"/>
  <c r="AKH28" i="8"/>
  <c r="AKH30" i="8" l="1"/>
  <c r="AKH29" i="8"/>
  <c r="AKH34" i="8"/>
  <c r="AKH35" i="8" s="1"/>
  <c r="AKH41" i="8" s="1"/>
  <c r="AKH42" i="8" s="1"/>
  <c r="AKH43" i="8" l="1"/>
  <c r="AKH44" i="8"/>
  <c r="AKH48" i="8"/>
  <c r="AKH49" i="8" s="1"/>
  <c r="AKH36" i="8"/>
  <c r="AKH37" i="8"/>
  <c r="AKH50" i="8" l="1"/>
  <c r="AKH51" i="8"/>
  <c r="AKH55" i="8"/>
  <c r="AKH56" i="8" s="1"/>
  <c r="AKH57" i="8" l="1"/>
  <c r="AKH58" i="8"/>
  <c r="AKH23" i="8"/>
  <c r="AKH24" i="8" s="1"/>
  <c r="AKH25" i="8" s="1"/>
  <c r="AKI20" i="8" l="1"/>
  <c r="AKI28" i="8"/>
  <c r="AKI34" i="8" l="1"/>
  <c r="AKI35" i="8" s="1"/>
  <c r="AKI30" i="8"/>
  <c r="AKI29" i="8"/>
  <c r="AKI41" i="8" l="1"/>
  <c r="AKI42" i="8" s="1"/>
  <c r="AKI37" i="8"/>
  <c r="AKI36" i="8"/>
  <c r="AKI43" i="8" l="1"/>
  <c r="AKI44" i="8"/>
  <c r="AKI48" i="8"/>
  <c r="AKI49" i="8" s="1"/>
  <c r="AKI55" i="8" s="1"/>
  <c r="AKI56" i="8" s="1"/>
  <c r="AKI23" i="8" l="1"/>
  <c r="AKI24" i="8" s="1"/>
  <c r="AKI25" i="8" s="1"/>
  <c r="AKI58" i="8"/>
  <c r="AKI57" i="8"/>
  <c r="AKI50" i="8"/>
  <c r="AKI51" i="8"/>
  <c r="AKJ20" i="8" l="1"/>
  <c r="AKJ28" i="8"/>
  <c r="AKJ29" i="8" l="1"/>
  <c r="AKJ30" i="8"/>
  <c r="AKJ34" i="8"/>
  <c r="AKJ35" i="8" s="1"/>
  <c r="AKJ41" i="8" l="1"/>
  <c r="AKJ42" i="8" s="1"/>
  <c r="AKJ48" i="8" s="1"/>
  <c r="AKJ49" i="8" s="1"/>
  <c r="AKJ36" i="8"/>
  <c r="AKJ37" i="8"/>
  <c r="AKJ51" i="8" l="1"/>
  <c r="AKJ50" i="8"/>
  <c r="AKJ44" i="8"/>
  <c r="AKJ43" i="8"/>
  <c r="AKJ55" i="8"/>
  <c r="AKJ56" i="8" s="1"/>
  <c r="AKJ23" i="8" l="1"/>
  <c r="AKJ24" i="8" s="1"/>
  <c r="AKJ25" i="8" s="1"/>
  <c r="AKJ57" i="8"/>
  <c r="AKJ58" i="8"/>
  <c r="AKK20" i="8" l="1"/>
  <c r="AKK28" i="8"/>
  <c r="AKK34" i="8" l="1"/>
  <c r="AKK35" i="8" s="1"/>
  <c r="AKK30" i="8"/>
  <c r="AKK29" i="8"/>
  <c r="AKK41" i="8" l="1"/>
  <c r="AKK42" i="8" s="1"/>
  <c r="AKK48" i="8" s="1"/>
  <c r="AKK49" i="8" s="1"/>
  <c r="AKK36" i="8"/>
  <c r="AKK37" i="8"/>
  <c r="AKK51" i="8" l="1"/>
  <c r="AKK50" i="8"/>
  <c r="AKK44" i="8"/>
  <c r="AKK43" i="8"/>
  <c r="AKK55" i="8"/>
  <c r="AKK56" i="8" s="1"/>
  <c r="AKK23" i="8" l="1"/>
  <c r="AKK24" i="8" s="1"/>
  <c r="AKK25" i="8" s="1"/>
  <c r="AKK57" i="8"/>
  <c r="AKK58" i="8"/>
  <c r="AKL20" i="8" l="1"/>
  <c r="AKL28" i="8"/>
  <c r="AKL29" i="8" l="1"/>
  <c r="AKL30" i="8"/>
  <c r="AKL34" i="8"/>
  <c r="AKL35" i="8" s="1"/>
  <c r="AKL41" i="8" l="1"/>
  <c r="AKL42" i="8" s="1"/>
  <c r="AKL36" i="8"/>
  <c r="AKL37" i="8"/>
  <c r="AKL43" i="8" l="1"/>
  <c r="AKL44" i="8"/>
  <c r="AKL48" i="8"/>
  <c r="AKL49" i="8" s="1"/>
  <c r="AKL50" i="8" l="1"/>
  <c r="AKL51" i="8"/>
  <c r="AKL55" i="8"/>
  <c r="AKL56" i="8" s="1"/>
  <c r="AKL23" i="8" l="1"/>
  <c r="AKL24" i="8" s="1"/>
  <c r="AKL25" i="8" s="1"/>
  <c r="AKL57" i="8"/>
  <c r="AKL58" i="8"/>
  <c r="AKM20" i="8" l="1"/>
  <c r="AKM28" i="8"/>
  <c r="AKM34" i="8" l="1"/>
  <c r="AKM35" i="8" s="1"/>
  <c r="AKM30" i="8"/>
  <c r="AKM29" i="8"/>
  <c r="AKM41" i="8" l="1"/>
  <c r="AKM42" i="8" s="1"/>
  <c r="AKM36" i="8"/>
  <c r="AKM37" i="8"/>
  <c r="AKM44" i="8" l="1"/>
  <c r="AKM43" i="8"/>
  <c r="AKM48" i="8"/>
  <c r="AKM49" i="8" s="1"/>
  <c r="AKM51" i="8" l="1"/>
  <c r="AKM50" i="8"/>
  <c r="AKM55" i="8"/>
  <c r="AKM56" i="8" s="1"/>
  <c r="AKM57" i="8" l="1"/>
  <c r="AKM58" i="8"/>
  <c r="AKM23" i="8"/>
  <c r="AKM24" i="8" s="1"/>
  <c r="AKM25" i="8" s="1"/>
  <c r="AKN20" i="8" l="1"/>
  <c r="AKN28" i="8"/>
  <c r="AKN29" i="8" l="1"/>
  <c r="AKN34" i="8"/>
  <c r="AKN35" i="8" s="1"/>
  <c r="AKN41" i="8" s="1"/>
  <c r="AKN42" i="8" s="1"/>
  <c r="AKN30" i="8"/>
  <c r="AKN44" i="8" l="1"/>
  <c r="AKN43" i="8"/>
  <c r="AKN48" i="8"/>
  <c r="AKN49" i="8" s="1"/>
  <c r="AKN36" i="8"/>
  <c r="AKN37" i="8"/>
  <c r="AKN50" i="8" l="1"/>
  <c r="AKN51" i="8"/>
  <c r="AKN55" i="8"/>
  <c r="AKN56" i="8" s="1"/>
  <c r="AKN57" i="8" l="1"/>
  <c r="AKN58" i="8"/>
  <c r="AKN23" i="8"/>
  <c r="AKN24" i="8" s="1"/>
  <c r="AKN25" i="8" s="1"/>
  <c r="AKO20" i="8" l="1"/>
  <c r="AKO28" i="8"/>
  <c r="AKO29" i="8" l="1"/>
  <c r="AKO34" i="8"/>
  <c r="AKO35" i="8" s="1"/>
  <c r="AKO30" i="8"/>
  <c r="AKO41" i="8" l="1"/>
  <c r="AKO42" i="8" s="1"/>
  <c r="AKO37" i="8"/>
  <c r="AKO36" i="8"/>
  <c r="AKO43" i="8" l="1"/>
  <c r="AKO44" i="8"/>
  <c r="AKO48" i="8"/>
  <c r="AKO49" i="8" s="1"/>
  <c r="AKO55" i="8" s="1"/>
  <c r="AKO56" i="8" s="1"/>
  <c r="AKO23" i="8" l="1"/>
  <c r="AKO24" i="8" s="1"/>
  <c r="AKO25" i="8" s="1"/>
  <c r="AKO57" i="8"/>
  <c r="AKO58" i="8"/>
  <c r="AKO50" i="8"/>
  <c r="AKO51" i="8"/>
  <c r="AKP20" i="8" l="1"/>
  <c r="AKP28" i="8"/>
  <c r="AKP34" i="8" l="1"/>
  <c r="AKP35" i="8" s="1"/>
  <c r="AKP29" i="8"/>
  <c r="AKP30" i="8"/>
  <c r="AKP41" i="8" l="1"/>
  <c r="AKP42" i="8" s="1"/>
  <c r="AKP37" i="8"/>
  <c r="AKP36" i="8"/>
  <c r="AKP43" i="8" l="1"/>
  <c r="AKP44" i="8"/>
  <c r="AKP48" i="8"/>
  <c r="AKP49" i="8" s="1"/>
  <c r="AKP55" i="8" l="1"/>
  <c r="AKP56" i="8" s="1"/>
  <c r="AKP23" i="8" s="1"/>
  <c r="AKP24" i="8" s="1"/>
  <c r="AKP25" i="8" s="1"/>
  <c r="AKP51" i="8"/>
  <c r="AKP50" i="8"/>
  <c r="AKQ20" i="8" l="1"/>
  <c r="AKQ28" i="8"/>
  <c r="AKP57" i="8"/>
  <c r="AKP58" i="8"/>
  <c r="AKQ34" i="8" l="1"/>
  <c r="AKQ35" i="8" s="1"/>
  <c r="AKQ29" i="8"/>
  <c r="AKQ30" i="8"/>
  <c r="AKQ41" i="8" l="1"/>
  <c r="AKQ42" i="8" s="1"/>
  <c r="AKQ36" i="8"/>
  <c r="AKQ37" i="8"/>
  <c r="AKQ44" i="8" l="1"/>
  <c r="AKQ43" i="8"/>
  <c r="AKQ48" i="8"/>
  <c r="AKQ49" i="8" s="1"/>
  <c r="AKQ55" i="8" s="1"/>
  <c r="AKQ56" i="8" s="1"/>
  <c r="AKQ57" i="8" l="1"/>
  <c r="AKQ58" i="8"/>
  <c r="AKQ23" i="8"/>
  <c r="AKQ24" i="8" s="1"/>
  <c r="AKQ25" i="8" s="1"/>
  <c r="AKQ50" i="8"/>
  <c r="AKQ51" i="8"/>
  <c r="AKR20" i="8" l="1"/>
  <c r="AKR28" i="8"/>
  <c r="AKR30" i="8" l="1"/>
  <c r="AKR29" i="8"/>
  <c r="AKR34" i="8"/>
  <c r="AKR35" i="8" s="1"/>
  <c r="AKR41" i="8" l="1"/>
  <c r="AKR42" i="8" s="1"/>
  <c r="AKR48" i="8" s="1"/>
  <c r="AKR49" i="8" s="1"/>
  <c r="AKR36" i="8"/>
  <c r="AKR37" i="8"/>
  <c r="AKR51" i="8" l="1"/>
  <c r="AKR50" i="8"/>
  <c r="AKR44" i="8"/>
  <c r="AKR43" i="8"/>
  <c r="AKR55" i="8"/>
  <c r="AKR56" i="8" s="1"/>
  <c r="AKR58" i="8" l="1"/>
  <c r="AKR57" i="8"/>
  <c r="AKR23" i="8"/>
  <c r="AKR24" i="8" s="1"/>
  <c r="AKR25" i="8" s="1"/>
  <c r="AKS20" i="8" l="1"/>
  <c r="AKS28" i="8"/>
  <c r="AKS34" i="8" l="1"/>
  <c r="AKS35" i="8" s="1"/>
  <c r="AKS29" i="8"/>
  <c r="AKS30" i="8"/>
  <c r="AKS41" i="8" l="1"/>
  <c r="AKS42" i="8" s="1"/>
  <c r="AKS36" i="8"/>
  <c r="AKS37" i="8"/>
  <c r="AKS44" i="8" l="1"/>
  <c r="AKS43" i="8"/>
  <c r="AKS48" i="8"/>
  <c r="AKS49" i="8" s="1"/>
  <c r="AKS55" i="8" s="1"/>
  <c r="AKS56" i="8" s="1"/>
  <c r="AKS23" i="8" l="1"/>
  <c r="AKS24" i="8" s="1"/>
  <c r="AKS25" i="8" s="1"/>
  <c r="AKS57" i="8"/>
  <c r="AKS58" i="8"/>
  <c r="AKS51" i="8"/>
  <c r="AKS50" i="8"/>
  <c r="AKT20" i="8" l="1"/>
  <c r="AKT28" i="8"/>
  <c r="AKT34" i="8" l="1"/>
  <c r="AKT35" i="8" s="1"/>
  <c r="AKT41" i="8" s="1"/>
  <c r="AKT42" i="8" s="1"/>
  <c r="AKT29" i="8"/>
  <c r="AKT30" i="8"/>
  <c r="AKT43" i="8" l="1"/>
  <c r="AKT44" i="8"/>
  <c r="AKT48" i="8"/>
  <c r="AKT49" i="8" s="1"/>
  <c r="AKT55" i="8" s="1"/>
  <c r="AKT56" i="8" s="1"/>
  <c r="AKT36" i="8"/>
  <c r="AKT37" i="8"/>
  <c r="AKT23" i="8" l="1"/>
  <c r="AKT24" i="8" s="1"/>
  <c r="AKT25" i="8" s="1"/>
  <c r="AKT58" i="8"/>
  <c r="AKT57" i="8"/>
  <c r="AKT50" i="8"/>
  <c r="AKT51" i="8"/>
  <c r="AKU20" i="8" l="1"/>
  <c r="AKU28" i="8"/>
  <c r="AKU29" i="8" l="1"/>
  <c r="AKU30" i="8"/>
  <c r="AKU34" i="8"/>
  <c r="AKU35" i="8" s="1"/>
  <c r="AKU41" i="8" l="1"/>
  <c r="AKU42" i="8" s="1"/>
  <c r="AKU36" i="8"/>
  <c r="AKU37" i="8"/>
  <c r="AKU44" i="8" l="1"/>
  <c r="AKU43" i="8"/>
  <c r="AKU48" i="8"/>
  <c r="AKU49" i="8" s="1"/>
  <c r="AKU50" i="8" l="1"/>
  <c r="AKU51" i="8"/>
  <c r="AKU55" i="8"/>
  <c r="AKU56" i="8" s="1"/>
  <c r="AKU58" i="8" l="1"/>
  <c r="AKU57" i="8"/>
  <c r="AKU23" i="8"/>
  <c r="AKU24" i="8" s="1"/>
  <c r="AKU25" i="8" s="1"/>
  <c r="AKV20" i="8" l="1"/>
  <c r="AKV28" i="8"/>
  <c r="AKV29" i="8" l="1"/>
  <c r="AKV30" i="8"/>
  <c r="AKV34" i="8"/>
  <c r="AKV35" i="8" s="1"/>
  <c r="AKV41" i="8" l="1"/>
  <c r="AKV42" i="8" s="1"/>
  <c r="AKV48" i="8" s="1"/>
  <c r="AKV49" i="8" s="1"/>
  <c r="AKV36" i="8"/>
  <c r="AKV37" i="8"/>
  <c r="AKV51" i="8" l="1"/>
  <c r="AKV50" i="8"/>
  <c r="AKV44" i="8"/>
  <c r="AKV43" i="8"/>
  <c r="AKV55" i="8"/>
  <c r="AKV56" i="8" s="1"/>
  <c r="AKV23" i="8" l="1"/>
  <c r="AKV24" i="8" s="1"/>
  <c r="AKV25" i="8" s="1"/>
  <c r="AKV57" i="8"/>
  <c r="AKV58" i="8"/>
  <c r="AKW20" i="8" l="1"/>
  <c r="AKW28" i="8"/>
  <c r="AKW34" i="8" l="1"/>
  <c r="AKW35" i="8" s="1"/>
  <c r="AKW30" i="8"/>
  <c r="AKW29" i="8"/>
  <c r="AKW41" i="8" l="1"/>
  <c r="AKW42" i="8" s="1"/>
  <c r="AKW37" i="8"/>
  <c r="AKW36" i="8"/>
  <c r="AKW44" i="8" l="1"/>
  <c r="AKW43" i="8"/>
  <c r="AKW48" i="8"/>
  <c r="AKW49" i="8" s="1"/>
  <c r="AKW55" i="8" s="1"/>
  <c r="AKW56" i="8" s="1"/>
  <c r="AKW23" i="8" l="1"/>
  <c r="AKW24" i="8" s="1"/>
  <c r="AKW25" i="8" s="1"/>
  <c r="AKW58" i="8"/>
  <c r="AKW57" i="8"/>
  <c r="AKW50" i="8"/>
  <c r="AKW51" i="8"/>
  <c r="AKX20" i="8" l="1"/>
  <c r="AKX28" i="8"/>
  <c r="AKX29" i="8" l="1"/>
  <c r="AKX30" i="8"/>
  <c r="AKX34" i="8"/>
  <c r="AKX35" i="8" s="1"/>
  <c r="AKX41" i="8" l="1"/>
  <c r="AKX42" i="8" s="1"/>
  <c r="AKX36" i="8"/>
  <c r="AKX37" i="8"/>
  <c r="AKX43" i="8" l="1"/>
  <c r="AKX44" i="8"/>
  <c r="AKX48" i="8"/>
  <c r="AKX49" i="8" s="1"/>
  <c r="AKX55" i="8" s="1"/>
  <c r="AKX56" i="8" s="1"/>
  <c r="AKX57" i="8" l="1"/>
  <c r="AKX58" i="8"/>
  <c r="AKX50" i="8"/>
  <c r="AKX51" i="8"/>
  <c r="AKX23" i="8"/>
  <c r="AKX24" i="8" s="1"/>
  <c r="AKX25" i="8" s="1"/>
  <c r="AKY20" i="8" l="1"/>
  <c r="AKY28" i="8"/>
  <c r="AKY30" i="8" l="1"/>
  <c r="AKY34" i="8"/>
  <c r="AKY35" i="8" s="1"/>
  <c r="AKY29" i="8"/>
  <c r="AKY41" i="8" l="1"/>
  <c r="AKY42" i="8" s="1"/>
  <c r="AKY36" i="8"/>
  <c r="AKY37" i="8"/>
  <c r="AKY44" i="8" l="1"/>
  <c r="AKY43" i="8"/>
  <c r="AKY48" i="8"/>
  <c r="AKY49" i="8" s="1"/>
  <c r="AKY55" i="8" s="1"/>
  <c r="AKY56" i="8" s="1"/>
  <c r="AKY58" i="8" l="1"/>
  <c r="AKY57" i="8"/>
  <c r="AKY23" i="8"/>
  <c r="AKY24" i="8" s="1"/>
  <c r="AKY25" i="8" s="1"/>
  <c r="AKY51" i="8"/>
  <c r="AKY50" i="8"/>
  <c r="AKZ20" i="8" l="1"/>
  <c r="AKZ28" i="8"/>
  <c r="AKZ34" i="8" l="1"/>
  <c r="AKZ35" i="8" s="1"/>
  <c r="AKZ29" i="8"/>
  <c r="AKZ30" i="8"/>
  <c r="AKZ41" i="8" l="1"/>
  <c r="AKZ42" i="8" s="1"/>
  <c r="AKZ48" i="8" s="1"/>
  <c r="AKZ49" i="8" s="1"/>
  <c r="AKZ36" i="8"/>
  <c r="AKZ37" i="8"/>
  <c r="AKZ55" i="8" l="1"/>
  <c r="AKZ56" i="8" s="1"/>
  <c r="AKZ23" i="8" s="1"/>
  <c r="AKZ24" i="8" s="1"/>
  <c r="AKZ25" i="8" s="1"/>
  <c r="AKZ51" i="8"/>
  <c r="AKZ50" i="8"/>
  <c r="AKZ44" i="8"/>
  <c r="AKZ43" i="8"/>
  <c r="ALA20" i="8" l="1"/>
  <c r="ALA28" i="8"/>
  <c r="AKZ57" i="8"/>
  <c r="AKZ58" i="8"/>
  <c r="ALA29" i="8" l="1"/>
  <c r="ALA30" i="8"/>
  <c r="ALA34" i="8"/>
  <c r="ALA35" i="8" s="1"/>
  <c r="ALA41" i="8" l="1"/>
  <c r="ALA42" i="8" s="1"/>
  <c r="ALA36" i="8"/>
  <c r="ALA37" i="8"/>
  <c r="ALA44" i="8" l="1"/>
  <c r="ALA43" i="8"/>
  <c r="ALA48" i="8"/>
  <c r="ALA49" i="8" s="1"/>
  <c r="ALA55" i="8" l="1"/>
  <c r="ALA56" i="8" s="1"/>
  <c r="ALA23" i="8" s="1"/>
  <c r="ALA24" i="8" s="1"/>
  <c r="ALA25" i="8" s="1"/>
  <c r="ALA51" i="8"/>
  <c r="ALA50" i="8"/>
  <c r="ALB20" i="8" l="1"/>
  <c r="ALB28" i="8"/>
  <c r="ALA58" i="8"/>
  <c r="ALA57" i="8"/>
  <c r="ALB30" i="8" l="1"/>
  <c r="ALB34" i="8"/>
  <c r="ALB35" i="8" s="1"/>
  <c r="ALB29" i="8"/>
  <c r="ALB41" i="8" l="1"/>
  <c r="ALB42" i="8" s="1"/>
  <c r="ALB36" i="8"/>
  <c r="ALB37" i="8"/>
  <c r="ALB43" i="8" l="1"/>
  <c r="ALB44" i="8"/>
  <c r="ALB48" i="8"/>
  <c r="ALB49" i="8" s="1"/>
  <c r="ALB55" i="8" l="1"/>
  <c r="ALB56" i="8" s="1"/>
  <c r="ALB23" i="8" s="1"/>
  <c r="ALB24" i="8" s="1"/>
  <c r="ALB25" i="8" s="1"/>
  <c r="ALB51" i="8"/>
  <c r="ALB50" i="8"/>
  <c r="ALC20" i="8" l="1"/>
  <c r="ALC28" i="8"/>
  <c r="ALB58" i="8"/>
  <c r="ALB57" i="8"/>
  <c r="ALC34" i="8" l="1"/>
  <c r="ALC35" i="8" s="1"/>
  <c r="ALC30" i="8"/>
  <c r="ALC29" i="8"/>
  <c r="ALC41" i="8" l="1"/>
  <c r="ALC42" i="8" s="1"/>
  <c r="ALC37" i="8"/>
  <c r="ALC36" i="8"/>
  <c r="ALC43" i="8" l="1"/>
  <c r="ALC44" i="8"/>
  <c r="ALC48" i="8"/>
  <c r="ALC49" i="8" s="1"/>
  <c r="ALC51" i="8" l="1"/>
  <c r="ALC50" i="8"/>
  <c r="ALC55" i="8"/>
  <c r="ALC56" i="8" s="1"/>
  <c r="ALC23" i="8" l="1"/>
  <c r="ALC24" i="8" s="1"/>
  <c r="ALC25" i="8" s="1"/>
  <c r="ALC58" i="8"/>
  <c r="ALC57" i="8"/>
  <c r="ALD20" i="8" l="1"/>
  <c r="ALD28" i="8"/>
  <c r="ALD34" i="8" l="1"/>
  <c r="ALD35" i="8" s="1"/>
  <c r="ALD29" i="8"/>
  <c r="ALD30" i="8"/>
  <c r="ALD41" i="8" l="1"/>
  <c r="ALD42" i="8" s="1"/>
  <c r="ALD37" i="8"/>
  <c r="ALD36" i="8"/>
  <c r="ALD44" i="8" l="1"/>
  <c r="ALD43" i="8"/>
  <c r="ALD48" i="8"/>
  <c r="ALD49" i="8" s="1"/>
  <c r="ALD55" i="8" s="1"/>
  <c r="ALD56" i="8" s="1"/>
  <c r="ALD57" i="8" l="1"/>
  <c r="ALD58" i="8"/>
  <c r="ALD50" i="8"/>
  <c r="ALD51" i="8"/>
  <c r="ALD23" i="8"/>
  <c r="ALD24" i="8" s="1"/>
  <c r="ALD25" i="8" s="1"/>
  <c r="ALE20" i="8" l="1"/>
  <c r="ALE28" i="8"/>
  <c r="ALE34" i="8" l="1"/>
  <c r="ALE35" i="8" s="1"/>
  <c r="ALE30" i="8"/>
  <c r="ALE29" i="8"/>
  <c r="ALE41" i="8" l="1"/>
  <c r="ALE42" i="8" s="1"/>
  <c r="ALE36" i="8"/>
  <c r="ALE37" i="8"/>
  <c r="ALE44" i="8" l="1"/>
  <c r="ALE43" i="8"/>
  <c r="ALE48" i="8"/>
  <c r="ALE49" i="8" s="1"/>
  <c r="ALE51" i="8" l="1"/>
  <c r="ALE50" i="8"/>
  <c r="ALE55" i="8"/>
  <c r="ALE56" i="8" s="1"/>
  <c r="ALE23" i="8" l="1"/>
  <c r="ALE24" i="8" s="1"/>
  <c r="ALE25" i="8" s="1"/>
  <c r="ALE57" i="8"/>
  <c r="ALE58" i="8"/>
  <c r="ALF20" i="8" l="1"/>
  <c r="ALF28" i="8"/>
  <c r="ALF29" i="8" l="1"/>
  <c r="ALF34" i="8"/>
  <c r="ALF35" i="8" s="1"/>
  <c r="ALF41" i="8" s="1"/>
  <c r="ALF42" i="8" s="1"/>
  <c r="ALF30" i="8"/>
  <c r="ALF43" i="8" l="1"/>
  <c r="ALF44" i="8"/>
  <c r="ALF48" i="8"/>
  <c r="ALF49" i="8" s="1"/>
  <c r="ALF36" i="8"/>
  <c r="ALF37" i="8"/>
  <c r="ALF51" i="8" l="1"/>
  <c r="ALF50" i="8"/>
  <c r="ALF55" i="8"/>
  <c r="ALF56" i="8" s="1"/>
  <c r="ALF58" i="8" l="1"/>
  <c r="ALF57" i="8"/>
  <c r="ALF23" i="8"/>
  <c r="ALF24" i="8" s="1"/>
  <c r="ALF25" i="8" s="1"/>
  <c r="ALG20" i="8" l="1"/>
  <c r="ALG28" i="8"/>
  <c r="ALG34" i="8" l="1"/>
  <c r="ALG35" i="8" s="1"/>
  <c r="ALG29" i="8"/>
  <c r="ALG30" i="8"/>
  <c r="ALG41" i="8" l="1"/>
  <c r="ALG42" i="8" s="1"/>
  <c r="ALG36" i="8"/>
  <c r="ALG37" i="8"/>
  <c r="ALG44" i="8" l="1"/>
  <c r="ALG43" i="8"/>
  <c r="ALG48" i="8"/>
  <c r="ALG49" i="8" s="1"/>
  <c r="ALG55" i="8" s="1"/>
  <c r="ALG56" i="8" s="1"/>
  <c r="ALG57" i="8" l="1"/>
  <c r="ALG58" i="8"/>
  <c r="ALG23" i="8"/>
  <c r="ALG24" i="8" s="1"/>
  <c r="ALG25" i="8" s="1"/>
  <c r="ALG50" i="8"/>
  <c r="ALG51" i="8"/>
  <c r="ALH20" i="8" l="1"/>
  <c r="ALH28" i="8"/>
  <c r="ALH29" i="8" l="1"/>
  <c r="ALH30" i="8"/>
  <c r="ALH34" i="8"/>
  <c r="ALH35" i="8" s="1"/>
  <c r="ALH41" i="8" s="1"/>
  <c r="ALH42" i="8" s="1"/>
  <c r="ALH44" i="8" l="1"/>
  <c r="ALH43" i="8"/>
  <c r="ALH48" i="8"/>
  <c r="ALH49" i="8" s="1"/>
  <c r="ALH37" i="8"/>
  <c r="ALH36" i="8"/>
  <c r="ALH50" i="8" l="1"/>
  <c r="ALH51" i="8"/>
  <c r="ALH55" i="8"/>
  <c r="ALH56" i="8" s="1"/>
  <c r="ALH57" i="8" l="1"/>
  <c r="ALH58" i="8"/>
  <c r="ALH23" i="8"/>
  <c r="ALH24" i="8" s="1"/>
  <c r="ALH25" i="8" s="1"/>
  <c r="ALI20" i="8" l="1"/>
  <c r="ALI28" i="8"/>
  <c r="ALI30" i="8" l="1"/>
  <c r="ALI29" i="8"/>
  <c r="ALI34" i="8"/>
  <c r="ALI35" i="8" s="1"/>
  <c r="ALI41" i="8" s="1"/>
  <c r="ALI42" i="8" s="1"/>
  <c r="ALI43" i="8" l="1"/>
  <c r="ALI44" i="8"/>
  <c r="ALI48" i="8"/>
  <c r="ALI49" i="8" s="1"/>
  <c r="ALI36" i="8"/>
  <c r="ALI37" i="8"/>
  <c r="ALI50" i="8" l="1"/>
  <c r="ALI51" i="8"/>
  <c r="ALI55" i="8"/>
  <c r="ALI56" i="8" s="1"/>
  <c r="ALI57" i="8" l="1"/>
  <c r="ALI58" i="8"/>
  <c r="ALI23" i="8"/>
  <c r="ALI24" i="8" s="1"/>
  <c r="ALI25" i="8" s="1"/>
  <c r="ALJ20" i="8" l="1"/>
  <c r="ALJ28" i="8"/>
  <c r="ALJ29" i="8" l="1"/>
  <c r="ALJ34" i="8"/>
  <c r="ALJ35" i="8" s="1"/>
  <c r="ALJ30" i="8"/>
  <c r="ALJ41" i="8" l="1"/>
  <c r="ALJ42" i="8" s="1"/>
  <c r="ALJ37" i="8"/>
  <c r="ALJ36" i="8"/>
  <c r="ALJ43" i="8" l="1"/>
  <c r="ALJ44" i="8"/>
  <c r="ALJ48" i="8"/>
  <c r="ALJ49" i="8" s="1"/>
  <c r="ALJ55" i="8" s="1"/>
  <c r="ALJ56" i="8" s="1"/>
  <c r="ALJ58" i="8" l="1"/>
  <c r="ALJ57" i="8"/>
  <c r="ALJ51" i="8"/>
  <c r="ALJ50" i="8"/>
  <c r="ALJ23" i="8"/>
  <c r="ALJ24" i="8" s="1"/>
  <c r="ALJ25" i="8" s="1"/>
  <c r="ALK20" i="8" l="1"/>
  <c r="ALK28" i="8"/>
  <c r="ALK34" i="8" l="1"/>
  <c r="ALK35" i="8" s="1"/>
  <c r="ALK29" i="8"/>
  <c r="ALK30" i="8"/>
  <c r="ALK41" i="8" l="1"/>
  <c r="ALK42" i="8" s="1"/>
  <c r="ALK36" i="8"/>
  <c r="ALK37" i="8"/>
  <c r="ALK44" i="8" l="1"/>
  <c r="ALK43" i="8"/>
  <c r="ALK48" i="8"/>
  <c r="ALK49" i="8" s="1"/>
  <c r="ALK55" i="8" s="1"/>
  <c r="ALK56" i="8" s="1"/>
  <c r="ALK23" i="8" l="1"/>
  <c r="ALK24" i="8" s="1"/>
  <c r="ALK25" i="8" s="1"/>
  <c r="ALK58" i="8"/>
  <c r="ALK57" i="8"/>
  <c r="ALK50" i="8"/>
  <c r="ALK51" i="8"/>
  <c r="ALL20" i="8" l="1"/>
  <c r="ALL28" i="8"/>
  <c r="ALL30" i="8" l="1"/>
  <c r="ALL29" i="8"/>
  <c r="ALL34" i="8"/>
  <c r="ALL35" i="8" s="1"/>
  <c r="ALL41" i="8" s="1"/>
  <c r="ALL42" i="8" s="1"/>
  <c r="ALL44" i="8" l="1"/>
  <c r="ALL43" i="8"/>
  <c r="ALL48" i="8"/>
  <c r="ALL49" i="8" s="1"/>
  <c r="ALL55" i="8" s="1"/>
  <c r="ALL56" i="8" s="1"/>
  <c r="ALL36" i="8"/>
  <c r="ALL37" i="8"/>
  <c r="ALL23" i="8" l="1"/>
  <c r="ALL24" i="8" s="1"/>
  <c r="ALL25" i="8" s="1"/>
  <c r="ALL58" i="8"/>
  <c r="ALL57" i="8"/>
  <c r="ALL51" i="8"/>
  <c r="ALL50" i="8"/>
  <c r="ALM20" i="8" l="1"/>
  <c r="ALM28" i="8"/>
  <c r="ALM30" i="8" l="1"/>
  <c r="ALM29" i="8"/>
  <c r="ALM34" i="8"/>
  <c r="ALM35" i="8" s="1"/>
  <c r="ALM41" i="8" l="1"/>
  <c r="ALM42" i="8" s="1"/>
  <c r="ALM37" i="8"/>
  <c r="ALM36" i="8"/>
  <c r="ALM43" i="8" l="1"/>
  <c r="ALM44" i="8"/>
  <c r="ALM48" i="8"/>
  <c r="ALM49" i="8" s="1"/>
  <c r="ALM50" i="8" l="1"/>
  <c r="ALM51" i="8"/>
  <c r="ALM55" i="8"/>
  <c r="ALM56" i="8" s="1"/>
  <c r="ALM58" i="8" l="1"/>
  <c r="ALM57" i="8"/>
  <c r="ALM23" i="8"/>
  <c r="ALM24" i="8" s="1"/>
  <c r="ALM25" i="8" s="1"/>
  <c r="ALN20" i="8" l="1"/>
  <c r="ALN28" i="8"/>
  <c r="ALN34" i="8" l="1"/>
  <c r="ALN35" i="8" s="1"/>
  <c r="ALN30" i="8"/>
  <c r="ALN29" i="8"/>
  <c r="ALN41" i="8" l="1"/>
  <c r="ALN42" i="8" s="1"/>
  <c r="ALN36" i="8"/>
  <c r="ALN37" i="8"/>
  <c r="ALN44" i="8" l="1"/>
  <c r="ALN43" i="8"/>
  <c r="ALN48" i="8"/>
  <c r="ALN49" i="8" s="1"/>
  <c r="ALN55" i="8" s="1"/>
  <c r="ALN56" i="8" s="1"/>
  <c r="ALN57" i="8" l="1"/>
  <c r="ALN58" i="8"/>
  <c r="ALN51" i="8"/>
  <c r="ALN50" i="8"/>
  <c r="ALN23" i="8"/>
  <c r="ALN24" i="8" s="1"/>
  <c r="ALN25" i="8" s="1"/>
  <c r="ALO20" i="8" l="1"/>
  <c r="ALO28" i="8"/>
  <c r="ALO30" i="8" l="1"/>
  <c r="ALO34" i="8"/>
  <c r="ALO35" i="8" s="1"/>
  <c r="ALO29" i="8"/>
  <c r="ALO41" i="8" l="1"/>
  <c r="ALO42" i="8" s="1"/>
  <c r="ALO36" i="8"/>
  <c r="ALO37" i="8"/>
  <c r="ALO44" i="8" l="1"/>
  <c r="ALO43" i="8"/>
  <c r="ALO48" i="8"/>
  <c r="ALO49" i="8" s="1"/>
  <c r="ALO55" i="8" l="1"/>
  <c r="ALO56" i="8" s="1"/>
  <c r="ALO50" i="8"/>
  <c r="ALO51" i="8"/>
  <c r="ALO58" i="8" l="1"/>
  <c r="ALO57" i="8"/>
  <c r="ALO23" i="8"/>
  <c r="ALO24" i="8" s="1"/>
  <c r="ALO25" i="8" s="1"/>
  <c r="ALP20" i="8" l="1"/>
  <c r="ALP28" i="8"/>
  <c r="ALP29" i="8" l="1"/>
  <c r="ALP34" i="8"/>
  <c r="ALP35" i="8" s="1"/>
  <c r="ALP30" i="8"/>
  <c r="ALP41" i="8" l="1"/>
  <c r="ALP42" i="8" s="1"/>
  <c r="ALP36" i="8"/>
  <c r="ALP37" i="8"/>
  <c r="ALP43" i="8" l="1"/>
  <c r="ALP44" i="8"/>
  <c r="ALP48" i="8"/>
  <c r="ALP49" i="8" s="1"/>
  <c r="ALP50" i="8" l="1"/>
  <c r="ALP51" i="8"/>
  <c r="ALP55" i="8"/>
  <c r="ALP56" i="8" s="1"/>
  <c r="ALP57" i="8" l="1"/>
  <c r="ALP58" i="8"/>
  <c r="ALP23" i="8"/>
  <c r="ALP24" i="8" s="1"/>
  <c r="ALP25" i="8" s="1"/>
  <c r="ALQ20" i="8" l="1"/>
  <c r="ALQ28" i="8"/>
  <c r="ALQ29" i="8" l="1"/>
  <c r="ALQ30" i="8"/>
  <c r="ALQ34" i="8"/>
  <c r="ALQ35" i="8" s="1"/>
  <c r="ALQ41" i="8" l="1"/>
  <c r="ALQ42" i="8" s="1"/>
  <c r="ALQ37" i="8"/>
  <c r="ALQ36" i="8"/>
  <c r="ALQ44" i="8" l="1"/>
  <c r="ALQ43" i="8"/>
  <c r="ALQ48" i="8"/>
  <c r="ALQ49" i="8" s="1"/>
  <c r="ALQ55" i="8" l="1"/>
  <c r="ALQ56" i="8" s="1"/>
  <c r="ALQ23" i="8" s="1"/>
  <c r="ALQ24" i="8" s="1"/>
  <c r="ALQ25" i="8" s="1"/>
  <c r="ALQ50" i="8"/>
  <c r="ALQ51" i="8"/>
  <c r="ALR20" i="8" l="1"/>
  <c r="ALR28" i="8"/>
  <c r="ALQ57" i="8"/>
  <c r="ALQ58" i="8"/>
  <c r="ALR34" i="8" l="1"/>
  <c r="ALR35" i="8" s="1"/>
  <c r="ALR41" i="8" s="1"/>
  <c r="ALR42" i="8" s="1"/>
  <c r="ALR29" i="8"/>
  <c r="ALR30" i="8"/>
  <c r="ALR48" i="8" l="1"/>
  <c r="ALR49" i="8" s="1"/>
  <c r="ALR55" i="8" s="1"/>
  <c r="ALR56" i="8" s="1"/>
  <c r="ALR43" i="8"/>
  <c r="ALR44" i="8"/>
  <c r="ALR36" i="8"/>
  <c r="ALR37" i="8"/>
  <c r="ALR23" i="8" l="1"/>
  <c r="ALR24" i="8" s="1"/>
  <c r="ALR25" i="8" s="1"/>
  <c r="ALR58" i="8"/>
  <c r="ALR57" i="8"/>
  <c r="ALR50" i="8"/>
  <c r="ALR51" i="8"/>
  <c r="ALS20" i="8" l="1"/>
  <c r="ALS28" i="8"/>
  <c r="ALS34" i="8" l="1"/>
  <c r="ALS35" i="8" s="1"/>
  <c r="ALS41" i="8" s="1"/>
  <c r="ALS42" i="8" s="1"/>
  <c r="ALS29" i="8"/>
  <c r="ALS30" i="8"/>
  <c r="ALS43" i="8" l="1"/>
  <c r="ALS44" i="8"/>
  <c r="ALS48" i="8"/>
  <c r="ALS49" i="8" s="1"/>
  <c r="ALS36" i="8"/>
  <c r="ALS37" i="8"/>
  <c r="ALS50" i="8" l="1"/>
  <c r="ALS51" i="8"/>
  <c r="ALS55" i="8"/>
  <c r="ALS56" i="8" s="1"/>
  <c r="ALS23" i="8" l="1"/>
  <c r="ALS24" i="8" s="1"/>
  <c r="ALS25" i="8" s="1"/>
  <c r="ALS58" i="8"/>
  <c r="ALS57" i="8"/>
  <c r="ALT20" i="8" l="1"/>
  <c r="ALT28" i="8"/>
  <c r="ALT29" i="8" l="1"/>
  <c r="ALT30" i="8"/>
  <c r="ALT34" i="8"/>
  <c r="ALT35" i="8" s="1"/>
  <c r="ALT41" i="8" s="1"/>
  <c r="ALT42" i="8" s="1"/>
  <c r="ALT44" i="8" l="1"/>
  <c r="ALT43" i="8"/>
  <c r="ALT48" i="8"/>
  <c r="ALT49" i="8" s="1"/>
  <c r="ALT36" i="8"/>
  <c r="ALT37" i="8"/>
  <c r="ALT50" i="8" l="1"/>
  <c r="ALT51" i="8"/>
  <c r="ALT55" i="8"/>
  <c r="ALT56" i="8" s="1"/>
  <c r="ALT57" i="8" l="1"/>
  <c r="ALT58" i="8"/>
  <c r="ALT23" i="8"/>
  <c r="ALT24" i="8" s="1"/>
  <c r="ALT25" i="8" s="1"/>
  <c r="ALU20" i="8" l="1"/>
  <c r="ALU28" i="8"/>
  <c r="ALU30" i="8" l="1"/>
  <c r="ALU29" i="8"/>
  <c r="ALU34" i="8"/>
  <c r="ALU35" i="8" s="1"/>
  <c r="ALU41" i="8" s="1"/>
  <c r="ALU42" i="8" s="1"/>
  <c r="ALU44" i="8" l="1"/>
  <c r="ALU43" i="8"/>
  <c r="ALU48" i="8"/>
  <c r="ALU49" i="8" s="1"/>
  <c r="ALU55" i="8" s="1"/>
  <c r="ALU56" i="8" s="1"/>
  <c r="ALU37" i="8"/>
  <c r="ALU36" i="8"/>
  <c r="ALU57" i="8" l="1"/>
  <c r="ALU58" i="8"/>
  <c r="ALU23" i="8"/>
  <c r="ALU24" i="8" s="1"/>
  <c r="ALU25" i="8" s="1"/>
  <c r="ALU51" i="8"/>
  <c r="ALU50" i="8"/>
  <c r="ALV20" i="8" l="1"/>
  <c r="ALV28" i="8"/>
  <c r="ALV30" i="8" l="1"/>
  <c r="ALV29" i="8"/>
  <c r="ALV34" i="8"/>
  <c r="ALV35" i="8" s="1"/>
  <c r="ALV41" i="8" l="1"/>
  <c r="ALV42" i="8" s="1"/>
  <c r="ALV36" i="8"/>
  <c r="ALV37" i="8"/>
  <c r="ALV44" i="8" l="1"/>
  <c r="ALV43" i="8"/>
  <c r="ALV48" i="8"/>
  <c r="ALV49" i="8" s="1"/>
  <c r="ALV51" i="8" l="1"/>
  <c r="ALV50" i="8"/>
  <c r="ALV55" i="8"/>
  <c r="ALV56" i="8" s="1"/>
  <c r="ALV23" i="8" s="1"/>
  <c r="ALV24" i="8" s="1"/>
  <c r="ALV25" i="8" s="1"/>
  <c r="ALW20" i="8" l="1"/>
  <c r="ALW28" i="8"/>
  <c r="ALV58" i="8"/>
  <c r="ALV57" i="8"/>
  <c r="ALW34" i="8" l="1"/>
  <c r="ALW35" i="8" s="1"/>
  <c r="ALW30" i="8"/>
  <c r="ALW29" i="8"/>
  <c r="ALW41" i="8" l="1"/>
  <c r="ALW42" i="8" s="1"/>
  <c r="ALW37" i="8"/>
  <c r="ALW36" i="8"/>
  <c r="ALW44" i="8" l="1"/>
  <c r="ALW43" i="8"/>
  <c r="ALW48" i="8"/>
  <c r="ALW49" i="8" s="1"/>
  <c r="ALW55" i="8" s="1"/>
  <c r="ALW56" i="8" s="1"/>
  <c r="ALW23" i="8" l="1"/>
  <c r="ALW24" i="8" s="1"/>
  <c r="ALW25" i="8" s="1"/>
  <c r="ALW58" i="8"/>
  <c r="ALW57" i="8"/>
  <c r="ALW51" i="8"/>
  <c r="ALW50" i="8"/>
  <c r="ALX20" i="8" l="1"/>
  <c r="ALX28" i="8"/>
  <c r="ALX29" i="8" l="1"/>
  <c r="ALX34" i="8"/>
  <c r="ALX35" i="8" s="1"/>
  <c r="ALX41" i="8" s="1"/>
  <c r="ALX42" i="8" s="1"/>
  <c r="ALX30" i="8"/>
  <c r="ALX44" i="8" l="1"/>
  <c r="ALX43" i="8"/>
  <c r="ALX48" i="8"/>
  <c r="ALX49" i="8" s="1"/>
  <c r="ALX55" i="8" s="1"/>
  <c r="ALX56" i="8" s="1"/>
  <c r="ALX36" i="8"/>
  <c r="ALX37" i="8"/>
  <c r="ALX23" i="8" l="1"/>
  <c r="ALX24" i="8" s="1"/>
  <c r="ALX25" i="8" s="1"/>
  <c r="ALX57" i="8"/>
  <c r="ALX58" i="8"/>
  <c r="ALX50" i="8"/>
  <c r="ALX51" i="8"/>
  <c r="ALY20" i="8" l="1"/>
  <c r="ALY28" i="8"/>
  <c r="ALY29" i="8" l="1"/>
  <c r="ALY30" i="8"/>
  <c r="ALY34" i="8"/>
  <c r="ALY35" i="8" s="1"/>
  <c r="ALY41" i="8" l="1"/>
  <c r="ALY42" i="8" s="1"/>
  <c r="ALY37" i="8"/>
  <c r="ALY36" i="8"/>
  <c r="ALY43" i="8" l="1"/>
  <c r="ALY44" i="8"/>
  <c r="ALY48" i="8"/>
  <c r="ALY49" i="8" s="1"/>
  <c r="ALY55" i="8" s="1"/>
  <c r="ALY56" i="8" s="1"/>
  <c r="ALY57" i="8" l="1"/>
  <c r="ALY58" i="8"/>
  <c r="ALY50" i="8"/>
  <c r="ALY51" i="8"/>
  <c r="ALY23" i="8"/>
  <c r="ALY24" i="8" s="1"/>
  <c r="ALY25" i="8" s="1"/>
  <c r="ALZ20" i="8" l="1"/>
  <c r="ALZ28" i="8"/>
  <c r="ALZ29" i="8" l="1"/>
  <c r="ALZ30" i="8"/>
  <c r="ALZ34" i="8"/>
  <c r="ALZ35" i="8" s="1"/>
  <c r="ALZ41" i="8" s="1"/>
  <c r="ALZ42" i="8" s="1"/>
  <c r="ALZ44" i="8" l="1"/>
  <c r="ALZ43" i="8"/>
  <c r="ALZ48" i="8"/>
  <c r="ALZ49" i="8" s="1"/>
  <c r="ALZ37" i="8"/>
  <c r="ALZ36" i="8"/>
  <c r="ALZ55" i="8" l="1"/>
  <c r="ALZ56" i="8" s="1"/>
  <c r="ALZ51" i="8"/>
  <c r="ALZ50" i="8"/>
  <c r="ALZ58" i="8" l="1"/>
  <c r="ALZ57" i="8"/>
  <c r="ALZ23" i="8"/>
  <c r="ALZ24" i="8" s="1"/>
  <c r="ALZ25" i="8" s="1"/>
  <c r="AMA20" i="8" l="1"/>
  <c r="AMA28" i="8"/>
  <c r="AMA29" i="8" l="1"/>
  <c r="AMA34" i="8"/>
  <c r="AMA35" i="8" s="1"/>
  <c r="AMA30" i="8"/>
  <c r="AMA41" i="8" l="1"/>
  <c r="AMA42" i="8" s="1"/>
  <c r="AMA36" i="8"/>
  <c r="AMA37" i="8"/>
  <c r="AMA44" i="8" l="1"/>
  <c r="AMA43" i="8"/>
  <c r="AMA48" i="8"/>
  <c r="AMA49" i="8" s="1"/>
  <c r="AMA55" i="8" l="1"/>
  <c r="AMA56" i="8" s="1"/>
  <c r="AMA23" i="8" s="1"/>
  <c r="AMA24" i="8" s="1"/>
  <c r="AMA25" i="8" s="1"/>
  <c r="AMA50" i="8"/>
  <c r="AMA51" i="8"/>
  <c r="AMB20" i="8" l="1"/>
  <c r="AMB28" i="8"/>
  <c r="AMA57" i="8"/>
  <c r="AMA58" i="8"/>
  <c r="AMB30" i="8" l="1"/>
  <c r="AMB29" i="8"/>
  <c r="AMB34" i="8"/>
  <c r="AMB35" i="8" s="1"/>
  <c r="AMB41" i="8" l="1"/>
  <c r="AMB42" i="8" s="1"/>
  <c r="AMB37" i="8"/>
  <c r="AMB36" i="8"/>
  <c r="AMB43" i="8" l="1"/>
  <c r="AMB44" i="8"/>
  <c r="AMB48" i="8"/>
  <c r="AMB49" i="8" s="1"/>
  <c r="AMB55" i="8" s="1"/>
  <c r="AMB56" i="8" s="1"/>
  <c r="AMB57" i="8" l="1"/>
  <c r="AMB58" i="8"/>
  <c r="AMB51" i="8"/>
  <c r="AMB50" i="8"/>
  <c r="AMB23" i="8"/>
  <c r="AMB24" i="8" s="1"/>
  <c r="AMB25" i="8" s="1"/>
  <c r="AMC20" i="8" l="1"/>
  <c r="AMC28" i="8"/>
  <c r="AMC29" i="8" l="1"/>
  <c r="AMC30" i="8"/>
  <c r="AMC34" i="8"/>
  <c r="AMC35" i="8" s="1"/>
  <c r="AMC41" i="8" l="1"/>
  <c r="AMC42" i="8" s="1"/>
  <c r="AMC37" i="8"/>
  <c r="AMC36" i="8"/>
  <c r="AMC43" i="8" l="1"/>
  <c r="AMC44" i="8"/>
  <c r="AMC48" i="8"/>
  <c r="AMC49" i="8" s="1"/>
  <c r="AMC51" i="8" l="1"/>
  <c r="AMC50" i="8"/>
  <c r="AMC55" i="8"/>
  <c r="AMC56" i="8" s="1"/>
  <c r="AMC23" i="8" l="1"/>
  <c r="AMC24" i="8" s="1"/>
  <c r="AMC25" i="8" s="1"/>
  <c r="AMC58" i="8"/>
  <c r="AMC57" i="8"/>
  <c r="AMD20" i="8" l="1"/>
  <c r="AMD28" i="8"/>
  <c r="AMD30" i="8" l="1"/>
  <c r="AMD34" i="8"/>
  <c r="AMD35" i="8" s="1"/>
  <c r="AMD41" i="8" s="1"/>
  <c r="AMD42" i="8" s="1"/>
  <c r="AMD29" i="8"/>
  <c r="AMD44" i="8" l="1"/>
  <c r="AMD43" i="8"/>
  <c r="AMD48" i="8"/>
  <c r="AMD49" i="8" s="1"/>
  <c r="AMD55" i="8" s="1"/>
  <c r="AMD56" i="8" s="1"/>
  <c r="AMD37" i="8"/>
  <c r="AMD36" i="8"/>
  <c r="AMD23" i="8" l="1"/>
  <c r="AMD24" i="8" s="1"/>
  <c r="AMD25" i="8" s="1"/>
  <c r="AMD57" i="8"/>
  <c r="AMD58" i="8"/>
  <c r="AMD50" i="8"/>
  <c r="AMD51" i="8"/>
  <c r="AME20" i="8" l="1"/>
  <c r="AME28" i="8"/>
  <c r="AME30" i="8" l="1"/>
  <c r="AME34" i="8"/>
  <c r="AME35" i="8" s="1"/>
  <c r="AME29" i="8"/>
  <c r="AME41" i="8" l="1"/>
  <c r="AME42" i="8" s="1"/>
  <c r="AME37" i="8"/>
  <c r="AME36" i="8"/>
  <c r="AME44" i="8" l="1"/>
  <c r="AME43" i="8"/>
  <c r="AME48" i="8"/>
  <c r="AME49" i="8" s="1"/>
  <c r="AME55" i="8" s="1"/>
  <c r="AME56" i="8" s="1"/>
  <c r="AME58" i="8" l="1"/>
  <c r="AME57" i="8"/>
  <c r="AME23" i="8"/>
  <c r="AME24" i="8" s="1"/>
  <c r="AME25" i="8" s="1"/>
  <c r="AME51" i="8"/>
  <c r="AME50" i="8"/>
  <c r="AMF20" i="8" l="1"/>
  <c r="AMF28" i="8"/>
  <c r="AMF30" i="8" l="1"/>
  <c r="AMF34" i="8"/>
  <c r="AMF35" i="8" s="1"/>
  <c r="AMF41" i="8" s="1"/>
  <c r="AMF42" i="8" s="1"/>
  <c r="AMF29" i="8"/>
  <c r="AMF44" i="8" l="1"/>
  <c r="AMF43" i="8"/>
  <c r="AMF48" i="8"/>
  <c r="AMF49" i="8" s="1"/>
  <c r="AMF37" i="8"/>
  <c r="AMF36" i="8"/>
  <c r="AMF51" i="8" l="1"/>
  <c r="AMF50" i="8"/>
  <c r="AMF55" i="8"/>
  <c r="AMF56" i="8" s="1"/>
  <c r="AMF23" i="8" s="1"/>
  <c r="AMF24" i="8" s="1"/>
  <c r="AMF25" i="8" s="1"/>
  <c r="AMG20" i="8" l="1"/>
  <c r="AMG28" i="8"/>
  <c r="AMF57" i="8"/>
  <c r="AMF58" i="8"/>
  <c r="AMG30" i="8" l="1"/>
  <c r="AMG34" i="8"/>
  <c r="AMG35" i="8" s="1"/>
  <c r="AMG29" i="8"/>
  <c r="AMG41" i="8" l="1"/>
  <c r="AMG42" i="8" s="1"/>
  <c r="AMG48" i="8" s="1"/>
  <c r="AMG49" i="8" s="1"/>
  <c r="AMG36" i="8"/>
  <c r="AMG37" i="8"/>
  <c r="AMG51" i="8" l="1"/>
  <c r="AMG50" i="8"/>
  <c r="AMG43" i="8"/>
  <c r="AMG44" i="8"/>
  <c r="AMG55" i="8"/>
  <c r="AMG56" i="8" s="1"/>
  <c r="AMG23" i="8" l="1"/>
  <c r="AMG24" i="8" s="1"/>
  <c r="AMG25" i="8" s="1"/>
  <c r="AMG58" i="8"/>
  <c r="AMG57" i="8"/>
  <c r="AMH20" i="8" l="1"/>
  <c r="AMH28" i="8"/>
  <c r="AMH30" i="8" l="1"/>
  <c r="AMH29" i="8"/>
  <c r="AMH34" i="8"/>
  <c r="AMH35" i="8" s="1"/>
  <c r="AMH41" i="8" l="1"/>
  <c r="AMH42" i="8" s="1"/>
  <c r="AMH37" i="8"/>
  <c r="AMH36" i="8"/>
  <c r="AMH44" i="8" l="1"/>
  <c r="AMH43" i="8"/>
  <c r="AMH48" i="8"/>
  <c r="AMH49" i="8" s="1"/>
  <c r="AMH55" i="8" l="1"/>
  <c r="AMH56" i="8" s="1"/>
  <c r="AMH23" i="8" s="1"/>
  <c r="AMH24" i="8" s="1"/>
  <c r="AMH25" i="8" s="1"/>
  <c r="AMH51" i="8"/>
  <c r="AMH50" i="8"/>
  <c r="AMI20" i="8" l="1"/>
  <c r="AMI28" i="8"/>
  <c r="AMH58" i="8"/>
  <c r="AMH57" i="8"/>
  <c r="AMI34" i="8" l="1"/>
  <c r="AMI35" i="8" s="1"/>
  <c r="AMI41" i="8" s="1"/>
  <c r="AMI42" i="8" s="1"/>
  <c r="AMI30" i="8"/>
  <c r="AMI29" i="8"/>
  <c r="AMI43" i="8" l="1"/>
  <c r="AMI44" i="8"/>
  <c r="AMI48" i="8"/>
  <c r="AMI49" i="8" s="1"/>
  <c r="AMI37" i="8"/>
  <c r="AMI36" i="8"/>
  <c r="AMI51" i="8" l="1"/>
  <c r="AMI50" i="8"/>
  <c r="AMI55" i="8"/>
  <c r="AMI56" i="8" s="1"/>
  <c r="AMI23" i="8" s="1"/>
  <c r="AMI24" i="8" s="1"/>
  <c r="AMI25" i="8" s="1"/>
  <c r="AMJ20" i="8" l="1"/>
  <c r="AMJ28" i="8"/>
  <c r="AMI58" i="8"/>
  <c r="AMI57" i="8"/>
  <c r="AMJ34" i="8" l="1"/>
  <c r="AMJ35" i="8" s="1"/>
  <c r="AMJ30" i="8"/>
  <c r="AMJ29" i="8"/>
  <c r="AMJ41" i="8" l="1"/>
  <c r="AMJ42" i="8" s="1"/>
  <c r="AMJ37" i="8"/>
  <c r="AMJ36" i="8"/>
  <c r="AMJ44" i="8" l="1"/>
  <c r="AMJ43" i="8"/>
  <c r="AMJ48" i="8"/>
  <c r="AMJ49" i="8" s="1"/>
  <c r="AMJ55" i="8" l="1"/>
  <c r="AMJ56" i="8" s="1"/>
  <c r="AMJ23" i="8" s="1"/>
  <c r="AMJ24" i="8" s="1"/>
  <c r="AMJ25" i="8" s="1"/>
  <c r="AMJ50" i="8"/>
  <c r="AMJ51" i="8"/>
  <c r="AMK20" i="8" l="1"/>
  <c r="AMK28" i="8"/>
  <c r="AMJ58" i="8"/>
  <c r="AMJ57" i="8"/>
  <c r="AMK30" i="8" l="1"/>
  <c r="AMK29" i="8"/>
  <c r="AMK34" i="8"/>
  <c r="AMK35" i="8" s="1"/>
  <c r="AMK41" i="8" s="1"/>
  <c r="AMK42" i="8" s="1"/>
  <c r="AMK44" i="8" l="1"/>
  <c r="AMK43" i="8"/>
  <c r="AMK48" i="8"/>
  <c r="AMK49" i="8" s="1"/>
  <c r="AMK37" i="8"/>
  <c r="AMK36" i="8"/>
  <c r="AMK50" i="8" l="1"/>
  <c r="AMK51" i="8"/>
  <c r="AMK55" i="8"/>
  <c r="AMK56" i="8" s="1"/>
  <c r="AMK23" i="8" l="1"/>
  <c r="AMK24" i="8" s="1"/>
  <c r="AMK25" i="8" s="1"/>
  <c r="AMK57" i="8"/>
  <c r="AMK58" i="8"/>
  <c r="AML20" i="8" l="1"/>
  <c r="AML28" i="8"/>
  <c r="AML30" i="8" l="1"/>
  <c r="AML29" i="8"/>
  <c r="AML34" i="8"/>
  <c r="AML35" i="8" s="1"/>
  <c r="AML41" i="8" l="1"/>
  <c r="AML42" i="8" s="1"/>
  <c r="AML48" i="8" s="1"/>
  <c r="AML49" i="8" s="1"/>
  <c r="AML36" i="8"/>
  <c r="AML37" i="8"/>
  <c r="AML51" i="8" l="1"/>
  <c r="AML50" i="8"/>
  <c r="AML44" i="8"/>
  <c r="AML43" i="8"/>
  <c r="AML55" i="8"/>
  <c r="AML56" i="8" s="1"/>
  <c r="AML58" i="8" l="1"/>
  <c r="AML57" i="8"/>
  <c r="AML23" i="8"/>
  <c r="AML24" i="8" s="1"/>
  <c r="AML25" i="8" s="1"/>
  <c r="AMM20" i="8" l="1"/>
  <c r="AMM28" i="8"/>
  <c r="AMM30" i="8" l="1"/>
  <c r="AMM29" i="8"/>
  <c r="AMM34" i="8"/>
  <c r="AMM35" i="8" s="1"/>
  <c r="AMM41" i="8" l="1"/>
  <c r="AMM42" i="8" s="1"/>
  <c r="AMM37" i="8"/>
  <c r="AMM36" i="8"/>
  <c r="AMM43" i="8" l="1"/>
  <c r="AMM44" i="8"/>
  <c r="AMM48" i="8"/>
  <c r="AMM49" i="8" s="1"/>
  <c r="AMM51" i="8" l="1"/>
  <c r="AMM50" i="8"/>
  <c r="AMM55" i="8"/>
  <c r="AMM56" i="8" s="1"/>
  <c r="AMM23" i="8" s="1"/>
  <c r="AMM24" i="8" s="1"/>
  <c r="AMM25" i="8" s="1"/>
  <c r="AMN20" i="8" l="1"/>
  <c r="AMN28" i="8"/>
  <c r="AMM58" i="8"/>
  <c r="AMM57" i="8"/>
  <c r="AMN30" i="8" l="1"/>
  <c r="AMN34" i="8"/>
  <c r="AMN35" i="8" s="1"/>
  <c r="AMN29" i="8"/>
  <c r="AMN41" i="8" l="1"/>
  <c r="AMN42" i="8" s="1"/>
  <c r="AMN37" i="8"/>
  <c r="AMN36" i="8"/>
  <c r="AMN43" i="8" l="1"/>
  <c r="AMN44" i="8"/>
  <c r="AMN48" i="8"/>
  <c r="AMN49" i="8" s="1"/>
  <c r="AMN50" i="8" l="1"/>
  <c r="AMN51" i="8"/>
  <c r="AMN55" i="8"/>
  <c r="AMN56" i="8" s="1"/>
  <c r="AMN23" i="8" l="1"/>
  <c r="AMN24" i="8" s="1"/>
  <c r="AMN25" i="8" s="1"/>
  <c r="AMN57" i="8"/>
  <c r="AMN58" i="8"/>
  <c r="AMO20" i="8" l="1"/>
  <c r="AMO28" i="8"/>
  <c r="AMO30" i="8" l="1"/>
  <c r="AMO34" i="8"/>
  <c r="AMO35" i="8" s="1"/>
  <c r="AMO41" i="8" s="1"/>
  <c r="AMO42" i="8" s="1"/>
  <c r="AMO29" i="8"/>
  <c r="AMO43" i="8" l="1"/>
  <c r="AMO44" i="8"/>
  <c r="AMO48" i="8"/>
  <c r="AMO49" i="8" s="1"/>
  <c r="AMO37" i="8"/>
  <c r="AMO36" i="8"/>
  <c r="AMO50" i="8" l="1"/>
  <c r="AMO51" i="8"/>
  <c r="AMO55" i="8"/>
  <c r="AMO56" i="8" s="1"/>
  <c r="AMO23" i="8" l="1"/>
  <c r="AMO24" i="8" s="1"/>
  <c r="AMO25" i="8" s="1"/>
  <c r="AMO57" i="8"/>
  <c r="AMO58" i="8"/>
  <c r="AMP20" i="8" l="1"/>
  <c r="AMP28" i="8"/>
  <c r="AMP29" i="8" l="1"/>
  <c r="AMP30" i="8"/>
  <c r="AMP34" i="8"/>
  <c r="AMP35" i="8" s="1"/>
  <c r="AMP41" i="8" s="1"/>
  <c r="AMP42" i="8" s="1"/>
  <c r="AMP43" i="8" l="1"/>
  <c r="AMP44" i="8"/>
  <c r="AMP48" i="8"/>
  <c r="AMP49" i="8" s="1"/>
  <c r="AMP36" i="8"/>
  <c r="AMP37" i="8"/>
  <c r="AMP50" i="8" l="1"/>
  <c r="AMP51" i="8"/>
  <c r="AMP55" i="8"/>
  <c r="AMP56" i="8" s="1"/>
  <c r="AMP58" i="8" l="1"/>
  <c r="AMP57" i="8"/>
  <c r="AMP23" i="8"/>
  <c r="AMP24" i="8" s="1"/>
  <c r="AMP25" i="8" s="1"/>
  <c r="AMQ20" i="8" l="1"/>
  <c r="AMQ28" i="8"/>
  <c r="AMQ34" i="8" l="1"/>
  <c r="AMQ35" i="8" s="1"/>
  <c r="AMQ30" i="8"/>
  <c r="AMQ29" i="8"/>
  <c r="AMQ41" i="8" l="1"/>
  <c r="AMQ42" i="8" s="1"/>
  <c r="AMQ37" i="8"/>
  <c r="AMQ36" i="8"/>
  <c r="AMQ43" i="8" l="1"/>
  <c r="AMQ44" i="8"/>
  <c r="AMQ48" i="8"/>
  <c r="AMQ49" i="8" s="1"/>
  <c r="AMQ55" i="8" s="1"/>
  <c r="AMQ56" i="8" s="1"/>
  <c r="AMQ57" i="8" l="1"/>
  <c r="AMQ58" i="8"/>
  <c r="AMQ51" i="8"/>
  <c r="AMQ50" i="8"/>
  <c r="AMQ23" i="8"/>
  <c r="AMQ24" i="8" s="1"/>
  <c r="AMQ25" i="8" s="1"/>
  <c r="AMR20" i="8" l="1"/>
  <c r="AMR28" i="8"/>
  <c r="AMR29" i="8" l="1"/>
  <c r="AMR30" i="8"/>
  <c r="AMR34" i="8"/>
  <c r="AMR35" i="8" s="1"/>
  <c r="AMR37" i="8" l="1"/>
  <c r="AMR36" i="8"/>
  <c r="AMR41" i="8"/>
  <c r="AMR42" i="8" s="1"/>
  <c r="AMR43" i="8" l="1"/>
  <c r="AMR44" i="8"/>
  <c r="AMR48" i="8"/>
  <c r="AMR49" i="8" s="1"/>
  <c r="AMR55" i="8" l="1"/>
  <c r="AMR56" i="8" s="1"/>
  <c r="AMR50" i="8"/>
  <c r="AMR51" i="8"/>
  <c r="AMR58" i="8" l="1"/>
  <c r="AMR57" i="8"/>
  <c r="AMR23" i="8"/>
  <c r="AMR24" i="8" l="1"/>
  <c r="AMR25" i="8" s="1"/>
  <c r="AMS20" i="8" l="1"/>
  <c r="AMS28" i="8"/>
  <c r="AMS29" i="8" l="1"/>
  <c r="AMS30" i="8"/>
  <c r="AMS34" i="8"/>
  <c r="AMS35" i="8" s="1"/>
  <c r="AMS41" i="8" s="1"/>
  <c r="AMS42" i="8" s="1"/>
  <c r="AMS43" i="8" l="1"/>
  <c r="AMS44" i="8"/>
  <c r="AMS48" i="8"/>
  <c r="AMS49" i="8" s="1"/>
  <c r="AMS36" i="8"/>
  <c r="AMS37" i="8"/>
  <c r="AMS50" i="8" l="1"/>
  <c r="AMS51" i="8"/>
  <c r="AMS55" i="8"/>
  <c r="AMS56" i="8" s="1"/>
  <c r="AMS23" i="8" l="1"/>
  <c r="AMS24" i="8" s="1"/>
  <c r="AMS25" i="8" s="1"/>
  <c r="AMS58" i="8"/>
  <c r="AMS57" i="8"/>
  <c r="AMT20" i="8" l="1"/>
  <c r="AMT28" i="8"/>
  <c r="AMT34" i="8" l="1"/>
  <c r="AMT35" i="8" s="1"/>
  <c r="AMT41" i="8" s="1"/>
  <c r="AMT42" i="8" s="1"/>
  <c r="AMT29" i="8"/>
  <c r="AMT30" i="8"/>
  <c r="AMT44" i="8" l="1"/>
  <c r="AMT43" i="8"/>
  <c r="AMT48" i="8"/>
  <c r="AMT49" i="8" s="1"/>
  <c r="AMT36" i="8"/>
  <c r="AMT37" i="8"/>
  <c r="AMT55" i="8" l="1"/>
  <c r="AMT56" i="8" s="1"/>
  <c r="AMT23" i="8" s="1"/>
  <c r="AMT24" i="8" s="1"/>
  <c r="AMT25" i="8" s="1"/>
  <c r="AMT50" i="8"/>
  <c r="AMT51" i="8"/>
  <c r="AMU20" i="8" l="1"/>
  <c r="AMU28" i="8"/>
  <c r="AMT58" i="8"/>
  <c r="AMT57" i="8"/>
  <c r="AMU34" i="8" l="1"/>
  <c r="AMU35" i="8" s="1"/>
  <c r="AMU30" i="8"/>
  <c r="AMU29" i="8"/>
  <c r="AMU41" i="8" l="1"/>
  <c r="AMU42" i="8" s="1"/>
  <c r="AMU37" i="8"/>
  <c r="AMU36" i="8"/>
  <c r="AMU44" i="8" l="1"/>
  <c r="AMU43" i="8"/>
  <c r="AMU48" i="8"/>
  <c r="AMU49" i="8" s="1"/>
  <c r="AMU50" i="8" l="1"/>
  <c r="AMU51" i="8"/>
  <c r="AMU55" i="8"/>
  <c r="AMU56" i="8" s="1"/>
  <c r="AMU23" i="8" l="1"/>
  <c r="AMU24" i="8" s="1"/>
  <c r="AMU25" i="8" s="1"/>
  <c r="AMU58" i="8"/>
  <c r="AMU57" i="8"/>
  <c r="AMV20" i="8" l="1"/>
  <c r="AMV28" i="8"/>
  <c r="AMV34" i="8" l="1"/>
  <c r="AMV35" i="8" s="1"/>
  <c r="AMV30" i="8"/>
  <c r="AMV29" i="8"/>
  <c r="AMV41" i="8" l="1"/>
  <c r="AMV42" i="8" s="1"/>
  <c r="AMV36" i="8"/>
  <c r="AMV37" i="8"/>
  <c r="AMV44" i="8" l="1"/>
  <c r="AMV43" i="8"/>
  <c r="AMV48" i="8"/>
  <c r="AMV49" i="8" s="1"/>
  <c r="AMV51" i="8" l="1"/>
  <c r="AMV50" i="8"/>
  <c r="AMV55" i="8"/>
  <c r="AMV56" i="8" s="1"/>
  <c r="AMV58" i="8" l="1"/>
  <c r="AMV57" i="8"/>
  <c r="AMV23" i="8"/>
  <c r="AMV24" i="8" s="1"/>
  <c r="AMV25" i="8" s="1"/>
  <c r="AMW20" i="8" l="1"/>
  <c r="AMW28" i="8"/>
  <c r="AMW34" i="8" l="1"/>
  <c r="AMW35" i="8" s="1"/>
  <c r="AMW30" i="8"/>
  <c r="AMW29" i="8"/>
  <c r="AMW41" i="8" l="1"/>
  <c r="AMW42" i="8" s="1"/>
  <c r="AMW37" i="8"/>
  <c r="AMW36" i="8"/>
  <c r="AMW43" i="8" l="1"/>
  <c r="AMW44" i="8"/>
  <c r="AMW48" i="8"/>
  <c r="AMW49" i="8" s="1"/>
  <c r="AMW55" i="8" l="1"/>
  <c r="AMW56" i="8" s="1"/>
  <c r="AMW23" i="8" s="1"/>
  <c r="AMW24" i="8" s="1"/>
  <c r="AMW25" i="8" s="1"/>
  <c r="AMW50" i="8"/>
  <c r="AMW51" i="8"/>
  <c r="AMX20" i="8" l="1"/>
  <c r="AMX28" i="8"/>
  <c r="AMW57" i="8"/>
  <c r="AMW58" i="8"/>
  <c r="AMX29" i="8" l="1"/>
  <c r="AMX34" i="8"/>
  <c r="AMX35" i="8" s="1"/>
  <c r="AMX30" i="8"/>
  <c r="AMX41" i="8" l="1"/>
  <c r="AMX42" i="8" s="1"/>
  <c r="AMX37" i="8"/>
  <c r="AMX36" i="8"/>
  <c r="AMX44" i="8" l="1"/>
  <c r="AMX43" i="8"/>
  <c r="AMX48" i="8"/>
  <c r="AMX49" i="8" s="1"/>
  <c r="AMX50" i="8" l="1"/>
  <c r="AMX51" i="8"/>
  <c r="AMX55" i="8"/>
  <c r="AMX56" i="8" s="1"/>
  <c r="AMX23" i="8" l="1"/>
  <c r="AMX24" i="8" s="1"/>
  <c r="AMX25" i="8" s="1"/>
  <c r="AMX58" i="8"/>
  <c r="AMX57" i="8"/>
  <c r="AMY20" i="8" l="1"/>
  <c r="AMY28" i="8"/>
  <c r="AMY30" i="8" l="1"/>
  <c r="AMY29" i="8"/>
  <c r="AMY34" i="8"/>
  <c r="AMY35" i="8" s="1"/>
  <c r="AMY41" i="8" l="1"/>
  <c r="AMY42" i="8" s="1"/>
  <c r="AMY37" i="8"/>
  <c r="AMY36" i="8"/>
  <c r="AMY44" i="8" l="1"/>
  <c r="AMY43" i="8"/>
  <c r="AMY48" i="8"/>
  <c r="AMY49" i="8" s="1"/>
  <c r="AMY55" i="8" s="1"/>
  <c r="AMY56" i="8" s="1"/>
  <c r="AMY23" i="8" l="1"/>
  <c r="AMY24" i="8" s="1"/>
  <c r="AMY25" i="8" s="1"/>
  <c r="AMY57" i="8"/>
  <c r="AMY58" i="8"/>
  <c r="AMY50" i="8"/>
  <c r="AMY51" i="8"/>
  <c r="AMZ20" i="8" l="1"/>
  <c r="AMZ28" i="8"/>
  <c r="AMZ29" i="8" l="1"/>
  <c r="AMZ30" i="8"/>
  <c r="AMZ34" i="8"/>
  <c r="AMZ35" i="8" s="1"/>
  <c r="AMZ41" i="8" l="1"/>
  <c r="AMZ42" i="8" s="1"/>
  <c r="AMZ36" i="8"/>
  <c r="AMZ37" i="8"/>
  <c r="AMZ44" i="8" l="1"/>
  <c r="AMZ43" i="8"/>
  <c r="AMZ48" i="8"/>
  <c r="AMZ49" i="8" s="1"/>
  <c r="AMZ55" i="8" l="1"/>
  <c r="AMZ56" i="8" s="1"/>
  <c r="AMZ23" i="8" s="1"/>
  <c r="AMZ24" i="8" s="1"/>
  <c r="AMZ25" i="8" s="1"/>
  <c r="AMZ51" i="8"/>
  <c r="AMZ50" i="8"/>
  <c r="ANA20" i="8" l="1"/>
  <c r="ANA28" i="8"/>
  <c r="AMZ57" i="8"/>
  <c r="AMZ58" i="8"/>
  <c r="ANA29" i="8" l="1"/>
  <c r="ANA34" i="8"/>
  <c r="ANA35" i="8" s="1"/>
  <c r="ANA41" i="8" s="1"/>
  <c r="ANA42" i="8" s="1"/>
  <c r="ANA30" i="8"/>
  <c r="ANA43" i="8" l="1"/>
  <c r="ANA44" i="8"/>
  <c r="ANA48" i="8"/>
  <c r="ANA49" i="8" s="1"/>
  <c r="ANA55" i="8" s="1"/>
  <c r="ANA56" i="8" s="1"/>
  <c r="ANA36" i="8"/>
  <c r="ANA37" i="8"/>
  <c r="ANA23" i="8" l="1"/>
  <c r="ANA24" i="8" s="1"/>
  <c r="ANA25" i="8" s="1"/>
  <c r="ANA57" i="8"/>
  <c r="ANA58" i="8"/>
  <c r="ANA50" i="8"/>
  <c r="ANA51" i="8"/>
  <c r="ANB20" i="8" l="1"/>
  <c r="ANB28" i="8"/>
  <c r="ANB30" i="8" l="1"/>
  <c r="ANB34" i="8"/>
  <c r="ANB35" i="8" s="1"/>
  <c r="ANB29" i="8"/>
  <c r="ANB41" i="8" l="1"/>
  <c r="ANB42" i="8" s="1"/>
  <c r="ANB36" i="8"/>
  <c r="ANB37" i="8"/>
  <c r="ANB43" i="8" l="1"/>
  <c r="ANB44" i="8"/>
  <c r="ANB48" i="8"/>
  <c r="ANB49" i="8" s="1"/>
  <c r="ANB55" i="8" l="1"/>
  <c r="ANB56" i="8" s="1"/>
  <c r="ANB51" i="8"/>
  <c r="ANB50" i="8"/>
  <c r="ANB57" i="8" l="1"/>
  <c r="ANB58" i="8"/>
  <c r="ANB23" i="8"/>
  <c r="ANB24" i="8" s="1"/>
  <c r="ANB25" i="8" s="1"/>
  <c r="ANC20" i="8" l="1"/>
  <c r="ANC28" i="8"/>
  <c r="ANC34" i="8" l="1"/>
  <c r="ANC35" i="8" s="1"/>
  <c r="ANC29" i="8"/>
  <c r="ANC30" i="8"/>
  <c r="ANC41" i="8" l="1"/>
  <c r="ANC42" i="8" s="1"/>
  <c r="ANC37" i="8"/>
  <c r="ANC36" i="8"/>
  <c r="ANC44" i="8" l="1"/>
  <c r="ANC43" i="8"/>
  <c r="ANC48" i="8"/>
  <c r="ANC49" i="8" s="1"/>
  <c r="ANC55" i="8" s="1"/>
  <c r="ANC56" i="8" s="1"/>
  <c r="ANC58" i="8" l="1"/>
  <c r="ANC57" i="8"/>
  <c r="ANC23" i="8"/>
  <c r="ANC24" i="8" s="1"/>
  <c r="ANC25" i="8" s="1"/>
  <c r="ANC51" i="8"/>
  <c r="ANC50" i="8"/>
  <c r="AND20" i="8" l="1"/>
  <c r="AND28" i="8"/>
  <c r="AND34" i="8" l="1"/>
  <c r="AND35" i="8" s="1"/>
  <c r="AND41" i="8" s="1"/>
  <c r="AND42" i="8" s="1"/>
  <c r="AND30" i="8"/>
  <c r="AND29" i="8"/>
  <c r="AND44" i="8" l="1"/>
  <c r="AND43" i="8"/>
  <c r="AND48" i="8"/>
  <c r="AND49" i="8" s="1"/>
  <c r="AND37" i="8"/>
  <c r="AND36" i="8"/>
  <c r="AND50" i="8" l="1"/>
  <c r="AND51" i="8"/>
  <c r="AND55" i="8"/>
  <c r="AND56" i="8" s="1"/>
  <c r="AND23" i="8" l="1"/>
  <c r="AND24" i="8" s="1"/>
  <c r="AND25" i="8" s="1"/>
  <c r="AND57" i="8"/>
  <c r="AND58" i="8"/>
  <c r="ANE20" i="8" l="1"/>
  <c r="ANE28" i="8"/>
  <c r="ANE34" i="8" l="1"/>
  <c r="ANE35" i="8" s="1"/>
  <c r="ANE30" i="8"/>
  <c r="ANE29" i="8"/>
  <c r="ANE41" i="8" l="1"/>
  <c r="ANE42" i="8" s="1"/>
  <c r="ANE37" i="8"/>
  <c r="ANE36" i="8"/>
  <c r="ANE44" i="8" l="1"/>
  <c r="ANE43" i="8"/>
  <c r="ANE48" i="8"/>
  <c r="ANE49" i="8" s="1"/>
  <c r="ANE55" i="8" s="1"/>
  <c r="ANE56" i="8" s="1"/>
  <c r="ANE58" i="8" l="1"/>
  <c r="ANE57" i="8"/>
  <c r="ANE50" i="8"/>
  <c r="ANE51" i="8"/>
  <c r="ANE23" i="8"/>
  <c r="ANE24" i="8" s="1"/>
  <c r="ANE25" i="8" s="1"/>
  <c r="ANF20" i="8" l="1"/>
  <c r="ANF28" i="8"/>
  <c r="ANF30" i="8" l="1"/>
  <c r="ANF29" i="8"/>
  <c r="ANF34" i="8"/>
  <c r="ANF35" i="8" s="1"/>
  <c r="ANF41" i="8" s="1"/>
  <c r="ANF42" i="8" s="1"/>
  <c r="ANF44" i="8" l="1"/>
  <c r="ANF43" i="8"/>
  <c r="ANF37" i="8"/>
  <c r="ANF36" i="8"/>
  <c r="ANF48" i="8"/>
  <c r="ANF49" i="8" s="1"/>
  <c r="ANF50" i="8" l="1"/>
  <c r="ANF51" i="8"/>
  <c r="ANF55" i="8"/>
  <c r="ANF56" i="8" s="1"/>
  <c r="ANF23" i="8" s="1"/>
  <c r="ANF24" i="8" s="1"/>
  <c r="ANF25" i="8" s="1"/>
  <c r="ANG20" i="8" l="1"/>
  <c r="ANG28" i="8"/>
  <c r="ANF58" i="8"/>
  <c r="ANF57" i="8"/>
  <c r="ANG34" i="8" l="1"/>
  <c r="ANG35" i="8" s="1"/>
  <c r="ANG30" i="8"/>
  <c r="ANG29" i="8"/>
  <c r="ANG41" i="8" l="1"/>
  <c r="ANG42" i="8" s="1"/>
  <c r="ANG36" i="8"/>
  <c r="ANG37" i="8"/>
  <c r="ANG43" i="8" l="1"/>
  <c r="ANG44" i="8"/>
  <c r="ANG48" i="8"/>
  <c r="ANG49" i="8" s="1"/>
  <c r="ANG55" i="8" l="1"/>
  <c r="ANG56" i="8" s="1"/>
  <c r="ANG23" i="8" s="1"/>
  <c r="ANG24" i="8" s="1"/>
  <c r="ANG25" i="8" s="1"/>
  <c r="ANG51" i="8"/>
  <c r="ANG50" i="8"/>
  <c r="ANH20" i="8" l="1"/>
  <c r="ANH28" i="8"/>
  <c r="ANG57" i="8"/>
  <c r="ANG58" i="8"/>
  <c r="ANH34" i="8" l="1"/>
  <c r="ANH35" i="8" s="1"/>
  <c r="ANH29" i="8"/>
  <c r="ANH30" i="8"/>
  <c r="ANH41" i="8" l="1"/>
  <c r="ANH42" i="8" s="1"/>
  <c r="ANH36" i="8"/>
  <c r="ANH37" i="8"/>
  <c r="ANH43" i="8" l="1"/>
  <c r="ANH44" i="8"/>
  <c r="ANH48" i="8"/>
  <c r="ANH49" i="8" s="1"/>
  <c r="ANH55" i="8" l="1"/>
  <c r="ANH56" i="8" s="1"/>
  <c r="ANH23" i="8" s="1"/>
  <c r="ANH24" i="8" s="1"/>
  <c r="ANH25" i="8" s="1"/>
  <c r="ANH51" i="8"/>
  <c r="ANH50" i="8"/>
  <c r="ANI20" i="8" l="1"/>
  <c r="ANI28" i="8"/>
  <c r="ANH58" i="8"/>
  <c r="ANH57" i="8"/>
  <c r="ANI29" i="8" l="1"/>
  <c r="ANI30" i="8"/>
  <c r="ANI34" i="8"/>
  <c r="ANI35" i="8" s="1"/>
  <c r="ANI41" i="8" l="1"/>
  <c r="ANI42" i="8" s="1"/>
  <c r="ANI37" i="8"/>
  <c r="ANI36" i="8"/>
  <c r="ANI43" i="8" l="1"/>
  <c r="ANI44" i="8"/>
  <c r="ANI48" i="8"/>
  <c r="ANI49" i="8" s="1"/>
  <c r="ANI51" i="8" l="1"/>
  <c r="ANI50" i="8"/>
  <c r="ANI55" i="8"/>
  <c r="ANI56" i="8" s="1"/>
  <c r="ANI23" i="8" l="1"/>
  <c r="ANI24" i="8" s="1"/>
  <c r="ANI25" i="8" s="1"/>
  <c r="ANI58" i="8"/>
  <c r="ANI57" i="8"/>
  <c r="ANJ20" i="8" l="1"/>
  <c r="ANJ28" i="8"/>
  <c r="ANJ30" i="8" l="1"/>
  <c r="ANJ34" i="8"/>
  <c r="ANJ35" i="8" s="1"/>
  <c r="ANJ29" i="8"/>
  <c r="ANJ41" i="8" l="1"/>
  <c r="ANJ42" i="8" s="1"/>
  <c r="ANJ36" i="8"/>
  <c r="ANJ37" i="8"/>
  <c r="ANJ43" i="8" l="1"/>
  <c r="ANJ44" i="8"/>
  <c r="ANJ48" i="8"/>
  <c r="ANJ49" i="8" s="1"/>
  <c r="ANJ55" i="8" l="1"/>
  <c r="ANJ56" i="8" s="1"/>
  <c r="ANJ51" i="8"/>
  <c r="ANJ50" i="8"/>
  <c r="ANJ57" i="8" l="1"/>
  <c r="ANJ58" i="8"/>
  <c r="ANJ23" i="8"/>
  <c r="ANJ24" i="8" s="1"/>
  <c r="ANJ25" i="8" s="1"/>
  <c r="ANK20" i="8" l="1"/>
  <c r="ANK28" i="8"/>
  <c r="ANK34" i="8" l="1"/>
  <c r="ANK35" i="8" s="1"/>
  <c r="ANK29" i="8"/>
  <c r="ANK30" i="8"/>
  <c r="ANK41" i="8" l="1"/>
  <c r="ANK42" i="8" s="1"/>
  <c r="ANK36" i="8"/>
  <c r="ANK37" i="8"/>
  <c r="ANK43" i="8" l="1"/>
  <c r="ANK44" i="8"/>
  <c r="ANK48" i="8"/>
  <c r="ANK49" i="8" s="1"/>
  <c r="ANK55" i="8" l="1"/>
  <c r="ANK56" i="8" s="1"/>
  <c r="ANK50" i="8"/>
  <c r="ANK51" i="8"/>
  <c r="ANK57" i="8" l="1"/>
  <c r="ANK58" i="8"/>
  <c r="ANK23" i="8"/>
  <c r="ANK24" i="8" s="1"/>
  <c r="ANK25" i="8" s="1"/>
  <c r="ANL20" i="8" l="1"/>
  <c r="ANL28" i="8"/>
  <c r="ANL30" i="8" l="1"/>
  <c r="ANL29" i="8"/>
  <c r="ANL34" i="8"/>
  <c r="ANL35" i="8" s="1"/>
  <c r="ANL41" i="8" s="1"/>
  <c r="ANL42" i="8" s="1"/>
  <c r="ANL44" i="8" l="1"/>
  <c r="ANL43" i="8"/>
  <c r="ANL48" i="8"/>
  <c r="ANL49" i="8" s="1"/>
  <c r="ANL36" i="8"/>
  <c r="ANL37" i="8"/>
  <c r="ANL55" i="8" l="1"/>
  <c r="ANL56" i="8" s="1"/>
  <c r="ANL23" i="8" s="1"/>
  <c r="ANL24" i="8" s="1"/>
  <c r="ANL25" i="8" s="1"/>
  <c r="ANL50" i="8"/>
  <c r="ANL51" i="8"/>
  <c r="ANM20" i="8" l="1"/>
  <c r="ANM28" i="8"/>
  <c r="ANL58" i="8"/>
  <c r="ANL57" i="8"/>
  <c r="ANM29" i="8" l="1"/>
  <c r="ANM34" i="8"/>
  <c r="ANM35" i="8" s="1"/>
  <c r="ANM30" i="8"/>
  <c r="ANM41" i="8" l="1"/>
  <c r="ANM42" i="8" s="1"/>
  <c r="ANM48" i="8" s="1"/>
  <c r="ANM49" i="8" s="1"/>
  <c r="ANM36" i="8"/>
  <c r="ANM37" i="8"/>
  <c r="ANM55" i="8" l="1"/>
  <c r="ANM56" i="8" s="1"/>
  <c r="ANM23" i="8" s="1"/>
  <c r="ANM24" i="8" s="1"/>
  <c r="ANM25" i="8" s="1"/>
  <c r="ANM51" i="8"/>
  <c r="ANM50" i="8"/>
  <c r="ANM43" i="8"/>
  <c r="ANM44" i="8"/>
  <c r="ANN20" i="8" l="1"/>
  <c r="ANN28" i="8"/>
  <c r="ANM57" i="8"/>
  <c r="ANM58" i="8"/>
  <c r="ANN34" i="8" l="1"/>
  <c r="ANN35" i="8" s="1"/>
  <c r="ANN29" i="8"/>
  <c r="ANN30" i="8"/>
  <c r="ANN41" i="8" l="1"/>
  <c r="ANN42" i="8" s="1"/>
  <c r="ANN36" i="8"/>
  <c r="ANN37" i="8"/>
  <c r="ANN43" i="8" l="1"/>
  <c r="ANN44" i="8"/>
  <c r="ANN48" i="8"/>
  <c r="ANN49" i="8" s="1"/>
  <c r="ANN55" i="8" l="1"/>
  <c r="ANN56" i="8" s="1"/>
  <c r="ANN23" i="8" s="1"/>
  <c r="ANN24" i="8" s="1"/>
  <c r="ANN25" i="8" s="1"/>
  <c r="ANN51" i="8"/>
  <c r="ANN50" i="8"/>
  <c r="ANO20" i="8" l="1"/>
  <c r="ANO28" i="8"/>
  <c r="ANN57" i="8"/>
  <c r="ANN58" i="8"/>
  <c r="ANO34" i="8" l="1"/>
  <c r="ANO35" i="8" s="1"/>
  <c r="ANO41" i="8" s="1"/>
  <c r="ANO42" i="8" s="1"/>
  <c r="ANO29" i="8"/>
  <c r="ANO30" i="8"/>
  <c r="ANO44" i="8" l="1"/>
  <c r="ANO43" i="8"/>
  <c r="ANO48" i="8"/>
  <c r="ANO49" i="8" s="1"/>
  <c r="ANO37" i="8"/>
  <c r="ANO36" i="8"/>
  <c r="ANO50" i="8" l="1"/>
  <c r="ANO51" i="8"/>
  <c r="ANO55" i="8"/>
  <c r="ANO56" i="8" s="1"/>
  <c r="ANO23" i="8" l="1"/>
  <c r="ANO24" i="8" s="1"/>
  <c r="ANO25" i="8" s="1"/>
  <c r="ANO57" i="8"/>
  <c r="ANO58" i="8"/>
  <c r="ANP20" i="8" l="1"/>
  <c r="ANP28" i="8"/>
  <c r="ANP29" i="8" l="1"/>
  <c r="ANP34" i="8"/>
  <c r="ANP35" i="8" s="1"/>
  <c r="ANP30" i="8"/>
  <c r="ANP41" i="8" l="1"/>
  <c r="ANP42" i="8" s="1"/>
  <c r="ANP48" i="8" s="1"/>
  <c r="ANP49" i="8" s="1"/>
  <c r="ANP36" i="8"/>
  <c r="ANP37" i="8"/>
  <c r="ANP55" i="8" l="1"/>
  <c r="ANP56" i="8" s="1"/>
  <c r="ANP23" i="8" s="1"/>
  <c r="ANP24" i="8" s="1"/>
  <c r="ANP25" i="8" s="1"/>
  <c r="ANP50" i="8"/>
  <c r="ANP51" i="8"/>
  <c r="ANP43" i="8"/>
  <c r="ANP44" i="8"/>
  <c r="ANQ20" i="8" l="1"/>
  <c r="ANQ28" i="8"/>
  <c r="ANP58" i="8"/>
  <c r="ANP57" i="8"/>
  <c r="ANQ30" i="8" l="1"/>
  <c r="ANQ34" i="8"/>
  <c r="ANQ35" i="8" s="1"/>
  <c r="ANQ29" i="8"/>
  <c r="ANQ41" i="8" l="1"/>
  <c r="ANQ42" i="8" s="1"/>
  <c r="ANQ37" i="8"/>
  <c r="ANQ36" i="8"/>
  <c r="ANQ43" i="8" l="1"/>
  <c r="ANQ44" i="8"/>
  <c r="ANQ48" i="8"/>
  <c r="ANQ49" i="8" s="1"/>
  <c r="ANQ50" i="8" l="1"/>
  <c r="ANQ51" i="8"/>
  <c r="ANQ55" i="8"/>
  <c r="ANQ56" i="8" s="1"/>
  <c r="ANQ23" i="8" l="1"/>
  <c r="ANQ24" i="8" s="1"/>
  <c r="ANQ25" i="8" s="1"/>
  <c r="ANQ58" i="8"/>
  <c r="ANQ57" i="8"/>
  <c r="ANR20" i="8" l="1"/>
  <c r="ANR28" i="8"/>
  <c r="ANR34" i="8" l="1"/>
  <c r="ANR35" i="8" s="1"/>
  <c r="ANR30" i="8"/>
  <c r="ANR29" i="8"/>
  <c r="ANR41" i="8" l="1"/>
  <c r="ANR42" i="8" s="1"/>
  <c r="ANR36" i="8"/>
  <c r="ANR37" i="8"/>
  <c r="ANR43" i="8" l="1"/>
  <c r="ANR44" i="8"/>
  <c r="ANR48" i="8"/>
  <c r="ANR49" i="8" s="1"/>
  <c r="ANR55" i="8" l="1"/>
  <c r="ANR56" i="8" s="1"/>
  <c r="ANR50" i="8"/>
  <c r="ANR51" i="8"/>
  <c r="ANR57" i="8" l="1"/>
  <c r="ANR58" i="8"/>
  <c r="ANR23" i="8"/>
  <c r="ANR24" i="8" s="1"/>
  <c r="ANR25" i="8" s="1"/>
  <c r="ANS20" i="8" l="1"/>
  <c r="ANS28" i="8"/>
  <c r="ANS34" i="8" l="1"/>
  <c r="ANS35" i="8" s="1"/>
  <c r="ANS29" i="8"/>
  <c r="ANS30" i="8"/>
  <c r="ANS41" i="8" l="1"/>
  <c r="ANS42" i="8" s="1"/>
  <c r="ANS36" i="8"/>
  <c r="ANS37" i="8"/>
  <c r="ANS43" i="8" l="1"/>
  <c r="ANS44" i="8"/>
  <c r="ANS48" i="8"/>
  <c r="ANS49" i="8" s="1"/>
  <c r="ANS55" i="8" s="1"/>
  <c r="ANS56" i="8" s="1"/>
  <c r="ANS23" i="8" l="1"/>
  <c r="ANS24" i="8" s="1"/>
  <c r="ANS25" i="8" s="1"/>
  <c r="ANS58" i="8"/>
  <c r="ANS57" i="8"/>
  <c r="ANS51" i="8"/>
  <c r="ANS50" i="8"/>
  <c r="ANT20" i="8" l="1"/>
  <c r="ANT28" i="8"/>
  <c r="ANT30" i="8" l="1"/>
  <c r="ANT34" i="8"/>
  <c r="ANT35" i="8" s="1"/>
  <c r="ANT29" i="8"/>
  <c r="ANT41" i="8" l="1"/>
  <c r="ANT42" i="8" s="1"/>
  <c r="ANT37" i="8"/>
  <c r="ANT36" i="8"/>
  <c r="ANT43" i="8" l="1"/>
  <c r="ANT44" i="8"/>
  <c r="ANT48" i="8"/>
  <c r="ANT49" i="8" s="1"/>
  <c r="ANT51" i="8" l="1"/>
  <c r="ANT50" i="8"/>
  <c r="ANT55" i="8"/>
  <c r="ANT56" i="8" s="1"/>
  <c r="ANT23" i="8" l="1"/>
  <c r="ANT24" i="8" s="1"/>
  <c r="ANT25" i="8" s="1"/>
  <c r="ANT58" i="8"/>
  <c r="ANT57" i="8"/>
  <c r="ANU20" i="8" l="1"/>
  <c r="ANU28" i="8"/>
  <c r="ANU30" i="8" l="1"/>
  <c r="ANU29" i="8"/>
  <c r="ANU34" i="8"/>
  <c r="ANU35" i="8" s="1"/>
  <c r="ANU41" i="8" l="1"/>
  <c r="ANU42" i="8" s="1"/>
  <c r="ANU37" i="8"/>
  <c r="ANU36" i="8"/>
  <c r="ANU44" i="8" l="1"/>
  <c r="ANU43" i="8"/>
  <c r="ANU48" i="8"/>
  <c r="ANU49" i="8" s="1"/>
  <c r="ANU55" i="8" l="1"/>
  <c r="ANU56" i="8" s="1"/>
  <c r="ANU23" i="8" s="1"/>
  <c r="ANU24" i="8" s="1"/>
  <c r="ANU25" i="8" s="1"/>
  <c r="ANU50" i="8"/>
  <c r="ANU51" i="8"/>
  <c r="ANV20" i="8" l="1"/>
  <c r="ANV28" i="8"/>
  <c r="ANU57" i="8"/>
  <c r="ANU58" i="8"/>
  <c r="ANV34" i="8" l="1"/>
  <c r="ANV35" i="8" s="1"/>
  <c r="ANV41" i="8" s="1"/>
  <c r="ANV42" i="8" s="1"/>
  <c r="ANV29" i="8"/>
  <c r="ANV30" i="8"/>
  <c r="ANV44" i="8" l="1"/>
  <c r="ANV43" i="8"/>
  <c r="ANV48" i="8"/>
  <c r="ANV49" i="8" s="1"/>
  <c r="ANV37" i="8"/>
  <c r="ANV36" i="8"/>
  <c r="ANV50" i="8" l="1"/>
  <c r="ANV51" i="8"/>
  <c r="ANV55" i="8"/>
  <c r="ANV56" i="8" s="1"/>
  <c r="ANV23" i="8" l="1"/>
  <c r="ANV24" i="8" s="1"/>
  <c r="ANV25" i="8" s="1"/>
  <c r="ANV58" i="8"/>
  <c r="ANV57" i="8"/>
  <c r="ANW20" i="8" l="1"/>
  <c r="ANW28" i="8"/>
  <c r="ANW29" i="8" l="1"/>
  <c r="ANW34" i="8"/>
  <c r="ANW35" i="8" s="1"/>
  <c r="ANW30" i="8"/>
  <c r="ANW41" i="8" l="1"/>
  <c r="ANW42" i="8" s="1"/>
  <c r="ANW36" i="8"/>
  <c r="ANW37" i="8"/>
  <c r="ANW44" i="8" l="1"/>
  <c r="ANW43" i="8"/>
  <c r="ANW48" i="8"/>
  <c r="ANW49" i="8" s="1"/>
  <c r="ANW55" i="8" l="1"/>
  <c r="ANW56" i="8" s="1"/>
  <c r="ANW51" i="8"/>
  <c r="ANW50" i="8"/>
  <c r="ANW57" i="8" l="1"/>
  <c r="ANW58" i="8"/>
  <c r="ANW23" i="8"/>
  <c r="ANW24" i="8" s="1"/>
  <c r="ANW25" i="8" s="1"/>
  <c r="ANX20" i="8" l="1"/>
  <c r="ANX28" i="8"/>
  <c r="ANX30" i="8" l="1"/>
  <c r="ANX29" i="8"/>
  <c r="ANX34" i="8"/>
  <c r="ANX35" i="8" s="1"/>
  <c r="ANX41" i="8" s="1"/>
  <c r="ANX42" i="8" s="1"/>
  <c r="ANX43" i="8" l="1"/>
  <c r="ANX44" i="8"/>
  <c r="ANX48" i="8"/>
  <c r="ANX49" i="8" s="1"/>
  <c r="ANX55" i="8" s="1"/>
  <c r="ANX56" i="8" s="1"/>
  <c r="ANX36" i="8"/>
  <c r="ANX37" i="8"/>
  <c r="ANX58" i="8" l="1"/>
  <c r="ANX57" i="8"/>
  <c r="ANX51" i="8"/>
  <c r="ANX50" i="8"/>
  <c r="ANX23" i="8"/>
  <c r="ANX24" i="8" s="1"/>
  <c r="ANX25" i="8" s="1"/>
  <c r="ANY20" i="8" l="1"/>
  <c r="ANY28" i="8"/>
  <c r="ANY29" i="8" l="1"/>
  <c r="ANY30" i="8"/>
  <c r="ANY34" i="8"/>
  <c r="ANY35" i="8" s="1"/>
  <c r="ANY41" i="8" l="1"/>
  <c r="ANY42" i="8" s="1"/>
  <c r="ANY36" i="8"/>
  <c r="ANY37" i="8"/>
  <c r="ANY43" i="8" l="1"/>
  <c r="ANY44" i="8"/>
  <c r="ANY48" i="8"/>
  <c r="ANY49" i="8" s="1"/>
  <c r="ANY55" i="8" l="1"/>
  <c r="ANY56" i="8" s="1"/>
  <c r="ANY51" i="8"/>
  <c r="ANY50" i="8"/>
  <c r="ANY57" i="8" l="1"/>
  <c r="ANY58" i="8"/>
  <c r="ANY23" i="8"/>
  <c r="ANY24" i="8" s="1"/>
  <c r="ANY25" i="8" s="1"/>
  <c r="ANZ20" i="8" l="1"/>
  <c r="ANZ28" i="8"/>
  <c r="ANZ30" i="8" l="1"/>
  <c r="ANZ29" i="8"/>
  <c r="ANZ34" i="8"/>
  <c r="ANZ35" i="8" s="1"/>
  <c r="ANZ41" i="8" s="1"/>
  <c r="ANZ42" i="8" s="1"/>
  <c r="ANZ44" i="8" l="1"/>
  <c r="ANZ43" i="8"/>
  <c r="ANZ48" i="8"/>
  <c r="ANZ49" i="8" s="1"/>
  <c r="ANZ55" i="8" s="1"/>
  <c r="ANZ56" i="8" s="1"/>
  <c r="ANZ37" i="8"/>
  <c r="ANZ36" i="8"/>
  <c r="ANZ58" i="8" l="1"/>
  <c r="ANZ57" i="8"/>
  <c r="ANZ51" i="8"/>
  <c r="ANZ50" i="8"/>
  <c r="ANZ23" i="8"/>
  <c r="ANZ24" i="8" s="1"/>
  <c r="ANZ25" i="8" s="1"/>
  <c r="AOA20" i="8" l="1"/>
  <c r="AOA28" i="8"/>
  <c r="AOA30" i="8" l="1"/>
  <c r="AOA34" i="8"/>
  <c r="AOA35" i="8" s="1"/>
  <c r="AOA41" i="8" s="1"/>
  <c r="AOA42" i="8" s="1"/>
  <c r="AOA29" i="8"/>
  <c r="AOA43" i="8" l="1"/>
  <c r="AOA44" i="8"/>
  <c r="AOA48" i="8"/>
  <c r="AOA49" i="8" s="1"/>
  <c r="AOA37" i="8"/>
  <c r="AOA36" i="8"/>
  <c r="AOA50" i="8" l="1"/>
  <c r="AOA51" i="8"/>
  <c r="AOA55" i="8"/>
  <c r="AOA56" i="8" s="1"/>
  <c r="AOA23" i="8" l="1"/>
  <c r="AOA24" i="8" s="1"/>
  <c r="AOA25" i="8" s="1"/>
  <c r="AOA58" i="8"/>
  <c r="AOA57" i="8"/>
  <c r="AOB20" i="8" l="1"/>
  <c r="AOB28" i="8"/>
  <c r="AOB34" i="8" l="1"/>
  <c r="AOB35" i="8" s="1"/>
  <c r="AOB41" i="8" s="1"/>
  <c r="AOB42" i="8" s="1"/>
  <c r="AOB30" i="8"/>
  <c r="AOB29" i="8"/>
  <c r="AOB43" i="8" l="1"/>
  <c r="AOB44" i="8"/>
  <c r="AOB48" i="8"/>
  <c r="AOB49" i="8" s="1"/>
  <c r="AOB37" i="8"/>
  <c r="AOB36" i="8"/>
  <c r="AOB55" i="8" l="1"/>
  <c r="AOB56" i="8" s="1"/>
  <c r="AOB23" i="8" s="1"/>
  <c r="AOB24" i="8" s="1"/>
  <c r="AOB25" i="8" s="1"/>
  <c r="AOB51" i="8"/>
  <c r="AOB50" i="8"/>
  <c r="AOC20" i="8" l="1"/>
  <c r="AOC28" i="8"/>
  <c r="AOB57" i="8"/>
  <c r="AOB58" i="8"/>
  <c r="AOC29" i="8" l="1"/>
  <c r="AOC30" i="8"/>
  <c r="AOC34" i="8"/>
  <c r="AOC35" i="8" s="1"/>
  <c r="AOC41" i="8" l="1"/>
  <c r="AOC42" i="8" s="1"/>
  <c r="AOC37" i="8"/>
  <c r="AOC36" i="8"/>
  <c r="AOC44" i="8" l="1"/>
  <c r="AOC43" i="8"/>
  <c r="AOC48" i="8"/>
  <c r="AOC49" i="8" s="1"/>
  <c r="AOC51" i="8" l="1"/>
  <c r="AOC50" i="8"/>
  <c r="AOC55" i="8"/>
  <c r="AOC56" i="8" s="1"/>
  <c r="AOC58" i="8" l="1"/>
  <c r="AOC57" i="8"/>
  <c r="AOC23" i="8"/>
  <c r="AOC24" i="8" s="1"/>
  <c r="AOC25" i="8" s="1"/>
  <c r="AOD20" i="8" l="1"/>
  <c r="AOD28" i="8"/>
  <c r="AOD29" i="8" l="1"/>
  <c r="AOD34" i="8"/>
  <c r="AOD35" i="8" s="1"/>
  <c r="AOD30" i="8"/>
  <c r="AOD41" i="8" l="1"/>
  <c r="AOD42" i="8" s="1"/>
  <c r="AOD36" i="8"/>
  <c r="AOD37" i="8"/>
  <c r="AOD44" i="8" l="1"/>
  <c r="AOD43" i="8"/>
  <c r="AOD48" i="8"/>
  <c r="AOD49" i="8" s="1"/>
  <c r="AOD55" i="8" l="1"/>
  <c r="AOD56" i="8" s="1"/>
  <c r="AOD23" i="8" s="1"/>
  <c r="AOD24" i="8" s="1"/>
  <c r="AOD25" i="8" s="1"/>
  <c r="AOD51" i="8"/>
  <c r="AOD50" i="8"/>
  <c r="AOE20" i="8" l="1"/>
  <c r="AOE28" i="8"/>
  <c r="AOD57" i="8"/>
  <c r="AOD58" i="8"/>
  <c r="AOE34" i="8" l="1"/>
  <c r="AOE35" i="8" s="1"/>
  <c r="AOE41" i="8" s="1"/>
  <c r="AOE42" i="8" s="1"/>
  <c r="AOE29" i="8"/>
  <c r="AOE30" i="8"/>
  <c r="AOE44" i="8" l="1"/>
  <c r="AOE43" i="8"/>
  <c r="AOE48" i="8"/>
  <c r="AOE49" i="8" s="1"/>
  <c r="AOE37" i="8"/>
  <c r="AOE36" i="8"/>
  <c r="AOE50" i="8" l="1"/>
  <c r="AOE51" i="8"/>
  <c r="AOE55" i="8"/>
  <c r="AOE56" i="8" s="1"/>
  <c r="AOE23" i="8" l="1"/>
  <c r="AOE24" i="8" s="1"/>
  <c r="AOE25" i="8" s="1"/>
  <c r="AOE57" i="8"/>
  <c r="AOE58" i="8"/>
  <c r="H10" i="8" l="1"/>
  <c r="AOF20" i="8"/>
  <c r="AOF28" i="8"/>
  <c r="AOF30" i="8" l="1"/>
  <c r="AOF29" i="8"/>
  <c r="AOF34" i="8"/>
  <c r="AOF35" i="8" s="1"/>
  <c r="AOF41" i="8" l="1"/>
  <c r="AOF42" i="8" s="1"/>
  <c r="AOF37" i="8"/>
  <c r="AOF36" i="8"/>
  <c r="AOF44" i="8" l="1"/>
  <c r="AOF43" i="8"/>
  <c r="AOF48" i="8"/>
  <c r="AOF49" i="8" s="1"/>
  <c r="AOF50" i="8" l="1"/>
  <c r="AOF51" i="8"/>
  <c r="AOF55" i="8"/>
  <c r="AOF56" i="8" s="1"/>
  <c r="AOF58" i="8" l="1"/>
  <c r="AOF57" i="8"/>
  <c r="AOF23" i="8"/>
  <c r="AOF24" i="8" s="1"/>
  <c r="AOF25" i="8" s="1"/>
  <c r="AOG20" i="8" l="1"/>
  <c r="AOG28" i="8"/>
  <c r="AOG30" i="8" l="1"/>
  <c r="AOG34" i="8"/>
  <c r="AOG35" i="8" s="1"/>
  <c r="AOG29" i="8"/>
  <c r="AOG41" i="8" l="1"/>
  <c r="AOG42" i="8" s="1"/>
  <c r="AOG36" i="8"/>
  <c r="AOG37" i="8"/>
  <c r="AOG43" i="8" l="1"/>
  <c r="AOG44" i="8"/>
  <c r="AOG48" i="8"/>
  <c r="AOG49" i="8" s="1"/>
  <c r="AOG51" i="8" l="1"/>
  <c r="AOG50" i="8"/>
  <c r="AOG55" i="8"/>
  <c r="AOG56" i="8" s="1"/>
  <c r="AOG23" i="8" s="1"/>
  <c r="AOG24" i="8" s="1"/>
  <c r="AOG25" i="8" s="1"/>
  <c r="AOH20" i="8" l="1"/>
  <c r="AOH28" i="8"/>
  <c r="AOG57" i="8"/>
  <c r="AOG58" i="8"/>
  <c r="AOH34" i="8" l="1"/>
  <c r="AOH35" i="8" s="1"/>
  <c r="AOH41" i="8" s="1"/>
  <c r="AOH42" i="8" s="1"/>
  <c r="AOH30" i="8"/>
  <c r="AOH29" i="8"/>
  <c r="AOH44" i="8" l="1"/>
  <c r="AOH43" i="8"/>
  <c r="AOH48" i="8"/>
  <c r="AOH49" i="8" s="1"/>
  <c r="AOH55" i="8" s="1"/>
  <c r="AOH56" i="8" s="1"/>
  <c r="AOH37" i="8"/>
  <c r="AOH36" i="8"/>
  <c r="AOH23" i="8" l="1"/>
  <c r="AOH24" i="8" s="1"/>
  <c r="AOH25" i="8" s="1"/>
  <c r="AOH57" i="8"/>
  <c r="AOH58" i="8"/>
  <c r="AOH50" i="8"/>
  <c r="AOH51" i="8"/>
  <c r="AOI20" i="8" l="1"/>
  <c r="AOI28" i="8"/>
  <c r="AOI34" i="8" l="1"/>
  <c r="AOI35" i="8" s="1"/>
  <c r="AOI41" i="8" s="1"/>
  <c r="AOI42" i="8" s="1"/>
  <c r="AOI30" i="8"/>
  <c r="AOI29" i="8"/>
  <c r="AOI44" i="8" l="1"/>
  <c r="AOI43" i="8"/>
  <c r="AOI48" i="8"/>
  <c r="AOI49" i="8" s="1"/>
  <c r="AOI37" i="8"/>
  <c r="AOI36" i="8"/>
  <c r="AOI55" i="8" l="1"/>
  <c r="AOI56" i="8" s="1"/>
  <c r="AOI50" i="8"/>
  <c r="AOI51" i="8"/>
  <c r="AOI57" i="8" l="1"/>
  <c r="AOI58" i="8"/>
  <c r="AOI23" i="8"/>
  <c r="AOI24" i="8" s="1"/>
  <c r="AOI25" i="8" s="1"/>
  <c r="AOJ20" i="8" l="1"/>
  <c r="AOJ28" i="8"/>
  <c r="AOJ30" i="8" l="1"/>
  <c r="AOJ29" i="8"/>
  <c r="AOJ34" i="8"/>
  <c r="AOJ35" i="8" s="1"/>
  <c r="AOJ41" i="8" l="1"/>
  <c r="AOJ42" i="8" s="1"/>
  <c r="AOJ37" i="8"/>
  <c r="AOJ36" i="8"/>
  <c r="AOJ44" i="8" l="1"/>
  <c r="AOJ43" i="8"/>
  <c r="AOJ48" i="8"/>
  <c r="AOJ49" i="8" s="1"/>
  <c r="AOJ51" i="8" l="1"/>
  <c r="AOJ50" i="8"/>
  <c r="AOJ55" i="8"/>
  <c r="AOJ56" i="8" s="1"/>
  <c r="AOJ58" i="8" l="1"/>
  <c r="AOJ57" i="8"/>
  <c r="AOJ23" i="8"/>
  <c r="AOJ24" i="8" s="1"/>
  <c r="AOJ25" i="8" s="1"/>
  <c r="AOK20" i="8" l="1"/>
  <c r="AOK28" i="8"/>
  <c r="AOK30" i="8" l="1"/>
  <c r="AOK34" i="8"/>
  <c r="AOK35" i="8" s="1"/>
  <c r="AOK41" i="8" s="1"/>
  <c r="AOK42" i="8" s="1"/>
  <c r="AOK29" i="8"/>
  <c r="AOK43" i="8" l="1"/>
  <c r="AOK44" i="8"/>
  <c r="AOK48" i="8"/>
  <c r="AOK49" i="8" s="1"/>
  <c r="AOK55" i="8" s="1"/>
  <c r="AOK56" i="8" s="1"/>
  <c r="AOK36" i="8"/>
  <c r="AOK37" i="8"/>
  <c r="AOK23" i="8" l="1"/>
  <c r="AOK24" i="8" s="1"/>
  <c r="AOK25" i="8" s="1"/>
  <c r="AOK58" i="8"/>
  <c r="AOK57" i="8"/>
  <c r="AOK51" i="8"/>
  <c r="AOK50" i="8"/>
  <c r="AOL20" i="8" l="1"/>
  <c r="AOL28" i="8"/>
  <c r="AOL29" i="8" l="1"/>
  <c r="AOL34" i="8"/>
  <c r="AOL35" i="8" s="1"/>
  <c r="AOL30" i="8"/>
  <c r="AOL41" i="8" l="1"/>
  <c r="AOL42" i="8" s="1"/>
  <c r="AOL36" i="8"/>
  <c r="AOL37" i="8"/>
  <c r="AOL43" i="8" l="1"/>
  <c r="AOL44" i="8"/>
  <c r="AOL48" i="8"/>
  <c r="AOL49" i="8" s="1"/>
  <c r="AOL50" i="8" l="1"/>
  <c r="AOL51" i="8"/>
  <c r="AOL55" i="8"/>
  <c r="AOL56" i="8" s="1"/>
  <c r="AOL23" i="8" l="1"/>
  <c r="AOL24" i="8" s="1"/>
  <c r="AOL25" i="8" s="1"/>
  <c r="AOL57" i="8"/>
  <c r="AOL58" i="8"/>
  <c r="AOM20" i="8" l="1"/>
  <c r="AOM28" i="8"/>
  <c r="AOM34" i="8" l="1"/>
  <c r="AOM35" i="8" s="1"/>
  <c r="AOM30" i="8"/>
  <c r="AOM29" i="8"/>
  <c r="AOM41" i="8" l="1"/>
  <c r="AOM42" i="8" s="1"/>
  <c r="AOM36" i="8"/>
  <c r="AOM37" i="8"/>
  <c r="AOM44" i="8" l="1"/>
  <c r="AOM43" i="8"/>
  <c r="AOM48" i="8"/>
  <c r="AOM49" i="8" s="1"/>
  <c r="AOM51" i="8" l="1"/>
  <c r="AOM50" i="8"/>
  <c r="AOM55" i="8"/>
  <c r="AOM56" i="8" s="1"/>
  <c r="AOM23" i="8" s="1"/>
  <c r="AOM24" i="8" s="1"/>
  <c r="AOM25" i="8" s="1"/>
  <c r="AON20" i="8" l="1"/>
  <c r="AON28" i="8"/>
  <c r="AOM58" i="8"/>
  <c r="AOM57" i="8"/>
  <c r="AON30" i="8" l="1"/>
  <c r="AON29" i="8"/>
  <c r="AON34" i="8"/>
  <c r="AON35" i="8" s="1"/>
  <c r="AON36" i="8" l="1"/>
  <c r="AON37" i="8"/>
  <c r="AON41" i="8"/>
  <c r="AON42" i="8" s="1"/>
  <c r="AON44" i="8" l="1"/>
  <c r="AON43" i="8"/>
  <c r="AON48" i="8"/>
  <c r="AON49" i="8" s="1"/>
  <c r="AON51" i="8" l="1"/>
  <c r="AON50" i="8"/>
  <c r="AON55" i="8"/>
  <c r="AON56" i="8" s="1"/>
  <c r="AON57" i="8" l="1"/>
  <c r="AON58" i="8"/>
  <c r="AON23" i="8"/>
  <c r="AON24" i="8" s="1"/>
  <c r="AON25" i="8" s="1"/>
  <c r="AOO20" i="8" l="1"/>
  <c r="AOO28" i="8"/>
  <c r="AOO30" i="8" l="1"/>
  <c r="AOO34" i="8"/>
  <c r="AOO35" i="8" s="1"/>
  <c r="AOO29" i="8"/>
  <c r="AOO41" i="8" l="1"/>
  <c r="AOO42" i="8" s="1"/>
  <c r="AOO37" i="8"/>
  <c r="AOO36" i="8"/>
  <c r="AOO43" i="8" l="1"/>
  <c r="AOO44" i="8"/>
  <c r="AOO48" i="8"/>
  <c r="AOO49" i="8" s="1"/>
  <c r="AOO50" i="8" l="1"/>
  <c r="AOO51" i="8"/>
  <c r="AOO55" i="8"/>
  <c r="AOO56" i="8" s="1"/>
  <c r="AOO23" i="8" s="1"/>
  <c r="AOO24" i="8" s="1"/>
  <c r="AOO25" i="8" s="1"/>
  <c r="AOP20" i="8" l="1"/>
  <c r="AOP28" i="8"/>
  <c r="AOO57" i="8"/>
  <c r="AOO58" i="8"/>
  <c r="AOP29" i="8" l="1"/>
  <c r="AOP30" i="8"/>
  <c r="AOP34" i="8"/>
  <c r="AOP35" i="8" s="1"/>
  <c r="AOP41" i="8" s="1"/>
  <c r="AOP42" i="8" s="1"/>
  <c r="AOP44" i="8" l="1"/>
  <c r="AOP43" i="8"/>
  <c r="AOP48" i="8"/>
  <c r="AOP49" i="8" s="1"/>
  <c r="AOP36" i="8"/>
  <c r="AOP37" i="8"/>
  <c r="AOP55" i="8" l="1"/>
  <c r="AOP56" i="8" s="1"/>
  <c r="AOP23" i="8" s="1"/>
  <c r="AOP24" i="8" s="1"/>
  <c r="AOP25" i="8" s="1"/>
  <c r="AOP50" i="8"/>
  <c r="AOP51" i="8"/>
  <c r="AOQ20" i="8" l="1"/>
  <c r="AOQ28" i="8"/>
  <c r="AOP57" i="8"/>
  <c r="AOP58" i="8"/>
  <c r="AOQ29" i="8" l="1"/>
  <c r="C29" i="8" s="1"/>
  <c r="AOQ34" i="8"/>
  <c r="AOQ35" i="8" s="1"/>
  <c r="AOQ41" i="8" s="1"/>
  <c r="AOQ42" i="8" s="1"/>
  <c r="AOQ30" i="8"/>
  <c r="C30" i="8" s="1"/>
  <c r="C31" i="8" s="1"/>
  <c r="C28" i="8"/>
  <c r="CR200" i="2" l="1"/>
  <c r="AOQ44" i="8"/>
  <c r="C44" i="8" s="1"/>
  <c r="AOQ43" i="8"/>
  <c r="C43" i="8" s="1"/>
  <c r="C42" i="8"/>
  <c r="AOQ48" i="8"/>
  <c r="AOQ49" i="8" s="1"/>
  <c r="AOQ55" i="8" s="1"/>
  <c r="AOQ56" i="8" s="1"/>
  <c r="AOQ36" i="8"/>
  <c r="C36" i="8" s="1"/>
  <c r="AOQ37" i="8"/>
  <c r="C37" i="8" s="1"/>
  <c r="C35" i="8"/>
  <c r="C38" i="8" l="1"/>
  <c r="CR202" i="2" s="1"/>
  <c r="C45" i="8"/>
  <c r="CR204" i="2" s="1"/>
  <c r="AOQ23" i="8"/>
  <c r="AOQ24" i="8" s="1"/>
  <c r="AOQ25" i="8" s="1"/>
  <c r="AOQ58" i="8"/>
  <c r="C58" i="8" s="1"/>
  <c r="AOQ57" i="8"/>
  <c r="C57" i="8" s="1"/>
  <c r="C56" i="8"/>
  <c r="AOQ51" i="8"/>
  <c r="C51" i="8" s="1"/>
  <c r="AOQ50" i="8"/>
  <c r="C50" i="8" s="1"/>
  <c r="C49" i="8"/>
  <c r="C52" i="8" l="1"/>
  <c r="CR206" i="2" s="1"/>
  <c r="C59" i="8"/>
  <c r="CR208" i="2" s="1"/>
  <c r="CT212" i="2" l="1"/>
  <c r="BT91" i="10"/>
  <c r="CA91" i="10"/>
  <c r="BU91" i="10"/>
  <c r="BV91" i="10"/>
  <c r="BY91" i="10"/>
  <c r="CB91" i="10"/>
  <c r="BZ91" i="10"/>
  <c r="BW91" i="10"/>
  <c r="BS91" i="10"/>
  <c r="BX91" i="10"/>
  <c r="C82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tc={8CF39A50-F673-4666-A181-155A1D2E2DDB}</author>
  </authors>
  <commentList>
    <comment ref="C48" authorId="0" shapeId="0" xr:uid="{8CF39A50-F673-4666-A181-155A1D2E2D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si tiene dependientes</t>
      </text>
    </comment>
  </commentList>
</comments>
</file>

<file path=xl/sharedStrings.xml><?xml version="1.0" encoding="utf-8"?>
<sst xmlns="http://schemas.openxmlformats.org/spreadsheetml/2006/main" count="1156" uniqueCount="570">
  <si>
    <t>Ingresos Básicos</t>
  </si>
  <si>
    <t>Gastos Básicos</t>
  </si>
  <si>
    <t>Ingresos Totales</t>
  </si>
  <si>
    <t>Gastos Totales</t>
  </si>
  <si>
    <t>Obligaciones Mensuales</t>
  </si>
  <si>
    <t>Output 1</t>
  </si>
  <si>
    <t>Ingresos</t>
  </si>
  <si>
    <t>Gastos Básicos + Obligaciones</t>
  </si>
  <si>
    <t>Activos Financieros</t>
  </si>
  <si>
    <t>Saldo Débito e Inversiones Líquidas</t>
  </si>
  <si>
    <t>Saldo otras Inversiones</t>
  </si>
  <si>
    <t>Saldo Afore</t>
  </si>
  <si>
    <t>Saldo Plan Privado</t>
  </si>
  <si>
    <t>Saldo PPR</t>
  </si>
  <si>
    <t>Saldo en Plan de Seguros de Retiro</t>
  </si>
  <si>
    <t>Saldo en Plan de Seguros de Acumulación</t>
  </si>
  <si>
    <t>Benchmark Reserva CP</t>
  </si>
  <si>
    <t>Meses de Reserva CP</t>
  </si>
  <si>
    <t>Resultado</t>
  </si>
  <si>
    <t>Output 2</t>
  </si>
  <si>
    <t>Output 3</t>
  </si>
  <si>
    <t>Información General</t>
  </si>
  <si>
    <t>Edad</t>
  </si>
  <si>
    <t>Mensualidad Afore</t>
  </si>
  <si>
    <t>Mensualidad Pensión Voluntaria</t>
  </si>
  <si>
    <t>Mensualidad Actual</t>
  </si>
  <si>
    <t>Edad de Retiro</t>
  </si>
  <si>
    <t>Pendiente por Ahorrar</t>
  </si>
  <si>
    <t>Capacidad de Ahorro</t>
  </si>
  <si>
    <t>Reserva Deseada CP</t>
  </si>
  <si>
    <t>Meses para cubrir CP</t>
  </si>
  <si>
    <t>Obligaciones Totales</t>
  </si>
  <si>
    <t>Mensual</t>
  </si>
  <si>
    <t>Anual</t>
  </si>
  <si>
    <t>Activos Financieros Totales</t>
  </si>
  <si>
    <t>Output 6 Índice Patrimonial (Retiro)</t>
  </si>
  <si>
    <t>Propiedades en Renta</t>
  </si>
  <si>
    <t>Negocio/Dividendos</t>
  </si>
  <si>
    <t>Esquemas de Pensión</t>
  </si>
  <si>
    <t>Pendiente</t>
  </si>
  <si>
    <t>Calidad de Vida Retiro</t>
  </si>
  <si>
    <t>Otros Ingresos</t>
  </si>
  <si>
    <t>Dependientes Economicos</t>
  </si>
  <si>
    <t>Profesion Actual</t>
  </si>
  <si>
    <t>Genero</t>
  </si>
  <si>
    <t>Ley 73</t>
  </si>
  <si>
    <t>Longevidad</t>
  </si>
  <si>
    <t>Pension Estimada</t>
  </si>
  <si>
    <t>Grado de Avance</t>
  </si>
  <si>
    <t>Deficit/Superavit</t>
  </si>
  <si>
    <t>Longevidad recursos (Edad Individuo)</t>
  </si>
  <si>
    <t>Calidad de vida</t>
  </si>
  <si>
    <t>Meses de Reserva Acumulación</t>
  </si>
  <si>
    <t>Saldo Acumulación</t>
  </si>
  <si>
    <t>Seguros</t>
  </si>
  <si>
    <t>Seguro de Propiedad</t>
  </si>
  <si>
    <t>No</t>
  </si>
  <si>
    <t>Output 7 Seguros</t>
  </si>
  <si>
    <t>Hombre</t>
  </si>
  <si>
    <t>Asalariado</t>
  </si>
  <si>
    <t>Capacidad de Ahorro Anual</t>
  </si>
  <si>
    <t>Análisis Ingreso/Gasto</t>
  </si>
  <si>
    <t xml:space="preserve">Remanente para otros objetivos </t>
  </si>
  <si>
    <t>Output 4 (Pensión con Ahorro Financiero para retiro)</t>
  </si>
  <si>
    <t>Output 5 Integración fuentes de ingreso  (Retiro)</t>
  </si>
  <si>
    <t>Ahorro Disponible</t>
  </si>
  <si>
    <t>Ahorro Disponible para el Retiro</t>
  </si>
  <si>
    <t>Indice Patrimonial (Gastos basicos)</t>
  </si>
  <si>
    <t>Rico</t>
  </si>
  <si>
    <t>Acaudalado</t>
  </si>
  <si>
    <t>Afore</t>
  </si>
  <si>
    <t>Mensualidad Estimada</t>
  </si>
  <si>
    <t>Obligaciones</t>
  </si>
  <si>
    <t>Planeación Financiera</t>
  </si>
  <si>
    <t>Asesor:</t>
  </si>
  <si>
    <t>Edad:</t>
  </si>
  <si>
    <t>Ahorro</t>
  </si>
  <si>
    <t>Actual</t>
  </si>
  <si>
    <t>Para gráfica Ingresos vs. Gastos</t>
  </si>
  <si>
    <t>Gastos totales al año</t>
  </si>
  <si>
    <t>Por debajo</t>
  </si>
  <si>
    <t>Por arriba</t>
  </si>
  <si>
    <t>Mi nivel</t>
  </si>
  <si>
    <t>Referencia</t>
  </si>
  <si>
    <t>Mis esquemas</t>
  </si>
  <si>
    <t>Voluntario</t>
  </si>
  <si>
    <t>Seguro de Vida Costo Anual</t>
  </si>
  <si>
    <t>Objetivo mínimo de ahorro</t>
  </si>
  <si>
    <t>Saldo en esquemas de retiro</t>
  </si>
  <si>
    <t>Periodicidad</t>
  </si>
  <si>
    <t>¿Tienes seguro de vida actualmente?</t>
  </si>
  <si>
    <t>¿A qué edad planeas retirarte?</t>
  </si>
  <si>
    <t>¿Tienes dependientes económicos?</t>
  </si>
  <si>
    <t>Género</t>
  </si>
  <si>
    <t>Sí</t>
  </si>
  <si>
    <t>Mujer</t>
  </si>
  <si>
    <t>Otro</t>
  </si>
  <si>
    <t>Prefiero no contestar</t>
  </si>
  <si>
    <t>Independiente</t>
  </si>
  <si>
    <t>Empresario</t>
  </si>
  <si>
    <t>Sí/No</t>
  </si>
  <si>
    <t>¿A cuánto ascienden tus gastos básicos mensuales?</t>
  </si>
  <si>
    <t>¿Cuál es el saldo en tu PPR?</t>
  </si>
  <si>
    <t>¿Cuál es el saldo otros planes de seguro para el retiro?</t>
  </si>
  <si>
    <t>¿Cuál es el monto de tus los ahorros de los que puedes disponer de forma inmediata?</t>
  </si>
  <si>
    <t>¿Tus propiedades están aseguradas?</t>
  </si>
  <si>
    <t>Género:</t>
  </si>
  <si>
    <t>Nombre:</t>
  </si>
  <si>
    <t>GENERALES DE CLIENTE</t>
  </si>
  <si>
    <t>¿Cuál es el monto mensual de otros ingresos?</t>
  </si>
  <si>
    <t>La siguiente información es necesaria para calcular tu fortaleza financiera.</t>
  </si>
  <si>
    <t>INGRESOS MENSUALES</t>
  </si>
  <si>
    <t>OBLIGACIONES MENSUALES</t>
  </si>
  <si>
    <t>La siguiente información es necesaria para diagnosticar el valor de tu patrimonio en riesgo.</t>
  </si>
  <si>
    <t>¿Cuál es el saldo otros planes de seguro de acumulación?</t>
  </si>
  <si>
    <t>Saldo en cuentas de débito o instrumentos de liquidez inmediata</t>
  </si>
  <si>
    <t>¿Cuál es el saldo de tu cuenta de Afore?</t>
  </si>
  <si>
    <t>¿Cuánto deseas percibir mensualmente en tu edad de retiro?</t>
  </si>
  <si>
    <t>¿Cuál es el saldo en Plan privado de pensión?</t>
  </si>
  <si>
    <t>Edad en la que aplica Ley 73</t>
  </si>
  <si>
    <t>Alimentos, servicios, transporte, ropa, entretenimiento, pago de renta</t>
  </si>
  <si>
    <t>Ocupación Actual</t>
  </si>
  <si>
    <t>Ahorro mensual para cubrir deficit</t>
  </si>
  <si>
    <t>PROTECCIÓN PATRIMONIAL</t>
  </si>
  <si>
    <t>PROTEGE TU PROPIEDAD</t>
  </si>
  <si>
    <t>Solo para mayores de 46 años que cotizaron antes del 1o de julio de 1997. Aplica Ley 73</t>
  </si>
  <si>
    <t>Trimestral</t>
  </si>
  <si>
    <t>Semestral</t>
  </si>
  <si>
    <t>JUAN PEREZ</t>
  </si>
  <si>
    <t>Mayor a 10%</t>
  </si>
  <si>
    <t>Nivel Riqueza</t>
  </si>
  <si>
    <t>Seguro de Vida Costo Anual x Millon</t>
  </si>
  <si>
    <t>Seguro GMM</t>
  </si>
  <si>
    <t>Cobertura Sugerida</t>
  </si>
  <si>
    <t>Monto Cobertura Sugerida</t>
  </si>
  <si>
    <t>Menor a 65 años</t>
  </si>
  <si>
    <t>Gastos</t>
  </si>
  <si>
    <t>Monto de Cobertura Sugerido</t>
  </si>
  <si>
    <t>SGMM</t>
  </si>
  <si>
    <t>TBD</t>
  </si>
  <si>
    <t>Seguro de Hogar</t>
  </si>
  <si>
    <t>Suma Asegurada</t>
  </si>
  <si>
    <t>No es imperante que cuentes con un Seguro de Vida.</t>
  </si>
  <si>
    <t>Acumulación</t>
  </si>
  <si>
    <t>SEGURO DE VIDA + EXCESO</t>
  </si>
  <si>
    <t>Dotal Salud</t>
  </si>
  <si>
    <t>Aportación Mensual</t>
  </si>
  <si>
    <t>VP</t>
  </si>
  <si>
    <t>VF</t>
  </si>
  <si>
    <t>Ahorro Disponible Retiro (Capital Humano)</t>
  </si>
  <si>
    <t>Activos Financieros + Capital Humano</t>
  </si>
  <si>
    <t>Pasivo del Retiro</t>
  </si>
  <si>
    <t>Patrimonio Financiero (Aumulación)</t>
  </si>
  <si>
    <t>Inputs</t>
  </si>
  <si>
    <t>Resultados</t>
  </si>
  <si>
    <t>Tasa</t>
  </si>
  <si>
    <t>Ahorro Inicio de Aportaciones (M)</t>
  </si>
  <si>
    <t>Aportación Inicial</t>
  </si>
  <si>
    <t>Ahorro Inicio de Jubilación</t>
  </si>
  <si>
    <t>Edad de Aportación Inicial</t>
  </si>
  <si>
    <t>Años de Jubilación</t>
  </si>
  <si>
    <t>Aportaciones (M)</t>
  </si>
  <si>
    <t>Azul si aportaciones = 0</t>
  </si>
  <si>
    <t>Meses de Jubilación</t>
  </si>
  <si>
    <t>Edad Inicio de Aportaciones (M)</t>
  </si>
  <si>
    <t>Mensualidad Deseada</t>
  </si>
  <si>
    <t>Edad Inicio de Retiro</t>
  </si>
  <si>
    <t>Max = Edad de Defunción</t>
  </si>
  <si>
    <t>Mensualidades Retiro</t>
  </si>
  <si>
    <t>Rojo &lt; Mensualidad Deseada | Verde &gt; Mensualidad Deseada</t>
  </si>
  <si>
    <t>Edad Defunción</t>
  </si>
  <si>
    <t>Min = Edad de Retiro | Max = 90</t>
  </si>
  <si>
    <t>.</t>
  </si>
  <si>
    <t>Desacumulación</t>
  </si>
  <si>
    <t>Mes</t>
  </si>
  <si>
    <t>Saldo Inicial</t>
  </si>
  <si>
    <t>Aportaciones Mensuales</t>
  </si>
  <si>
    <t>Mensualidad Retiro</t>
  </si>
  <si>
    <t>Intereses</t>
  </si>
  <si>
    <t>Saldo Final</t>
  </si>
  <si>
    <t>¿Tienes otros objetivos de mediano y largo plazo?</t>
  </si>
  <si>
    <t>Bolsa de Emergencia:</t>
  </si>
  <si>
    <t>¿Cuánto destinarás a estos objetivos?</t>
  </si>
  <si>
    <t>Tu flujo disponible para destinar a objetivos:</t>
  </si>
  <si>
    <t>Tu capacidad de ahorro actual es:</t>
  </si>
  <si>
    <t>Alcanzarás todos tus objetivos a los:</t>
  </si>
  <si>
    <t>¿Tienes otros objetivos de CP independiente de la bolsa de emergencia?</t>
  </si>
  <si>
    <t>Mis gastos básicos mensuales</t>
  </si>
  <si>
    <t>Mi reserva actual</t>
  </si>
  <si>
    <t>(Saldo en débito e  inversiones líquidas)</t>
  </si>
  <si>
    <t>Reserva deseable</t>
  </si>
  <si>
    <t>(Gastos básicos x 3)</t>
  </si>
  <si>
    <t>Patrimonio financiero actual</t>
  </si>
  <si>
    <t>(Saldo en afore y esquemas voluntarios)</t>
  </si>
  <si>
    <t>Considerando únicamente tus saldos ACTUALES en esquema de retiro, tus ingresos mensuales  estarían conformados por:</t>
  </si>
  <si>
    <t>RETIRO</t>
  </si>
  <si>
    <t>RIQUEZA (ACUMULACIÓN)</t>
  </si>
  <si>
    <t>Tu reserva de corto plazo debe cubrir al menos 3 meses de tus gastos básicos. Será tu bolsa para eventualidades y objetivos de corto plazo.</t>
  </si>
  <si>
    <t>RESERVA CORTO PLAZO</t>
  </si>
  <si>
    <t>Con estas aportaciones, alcanzarás un ahorro acumulado de:</t>
  </si>
  <si>
    <t>Calidad vida objetivo:</t>
  </si>
  <si>
    <t>Gasto mensual deseado en retiro</t>
  </si>
  <si>
    <t>Total esquemas de retiro:</t>
  </si>
  <si>
    <t>Otros Ingresos:</t>
  </si>
  <si>
    <t>Aportación mensual necesaria para alcanzar tu calidad de vida en edad de retiro:</t>
  </si>
  <si>
    <t>La suma de tu capital humano por acumular, más tus recursos financieros totales es el monto total que dispondrás para hacer frente a la etapa del retiro.</t>
  </si>
  <si>
    <t>Ahorro potencial acumulado:</t>
  </si>
  <si>
    <t>Patrimonio Financiero Actual:</t>
  </si>
  <si>
    <t>(valor presente)</t>
  </si>
  <si>
    <t>Costo Prima Anual</t>
  </si>
  <si>
    <t>*Valor estimado de la propiedad en función de la renta</t>
  </si>
  <si>
    <t>*Si ya cuentas con un seguro de vida considera una extensión</t>
  </si>
  <si>
    <t>Contador</t>
  </si>
  <si>
    <t>CORTO PLAZO (MENOR A 1 AÑO)</t>
  </si>
  <si>
    <t>Gráficas</t>
  </si>
  <si>
    <t>PATRIMONIO FINANCIERO</t>
  </si>
  <si>
    <t>MEDIANO Y LARGO PLAZO (ACUMULACIÓN)</t>
  </si>
  <si>
    <t>Meta</t>
  </si>
  <si>
    <t>Objetivo</t>
  </si>
  <si>
    <t>Plazo (años)</t>
  </si>
  <si>
    <t>Plazo (meses)</t>
  </si>
  <si>
    <t>Catálogos Entrevista</t>
  </si>
  <si>
    <t>Hoja de Cliente</t>
  </si>
  <si>
    <t>Para gráfica Nivel de Riqueza</t>
  </si>
  <si>
    <t>Para gráfica mensualidad retiro sin Capital humano ni rentas</t>
  </si>
  <si>
    <t>Con Superavit</t>
  </si>
  <si>
    <t>Aportaciones (A)</t>
  </si>
  <si>
    <t>Acumulacion</t>
  </si>
  <si>
    <t>Retiros de Objetivos</t>
  </si>
  <si>
    <t>Objetivos</t>
  </si>
  <si>
    <t>Institución:</t>
  </si>
  <si>
    <t>Regla del 72</t>
  </si>
  <si>
    <t>Total</t>
  </si>
  <si>
    <t>¿A cuánto ascienden créditos?</t>
  </si>
  <si>
    <t>Aportación (Patrimonio Financiero):</t>
  </si>
  <si>
    <t>Tasa Real</t>
  </si>
  <si>
    <t>Objetivos de Personales</t>
  </si>
  <si>
    <t>METAS OBJETIVOS PERSONALES</t>
  </si>
  <si>
    <t>Superavit actual disponible  para destinar a objetivos:</t>
  </si>
  <si>
    <t>Saldos Patrimonio Actual</t>
  </si>
  <si>
    <t>Edad Actual</t>
  </si>
  <si>
    <t>Saldos Esquemas de Pensión Actual</t>
  </si>
  <si>
    <t>Ahorro Fecha de Defunción</t>
  </si>
  <si>
    <t>Total actual para etapa de desacumulación:</t>
  </si>
  <si>
    <t>Total requerido para etapa de retiro:</t>
  </si>
  <si>
    <t>DIAGNÓSTICO PATRIMONIO FINANCIERO</t>
  </si>
  <si>
    <t>I) VALOR DINERO EN EL TIEMPO</t>
  </si>
  <si>
    <t>II) ANÁLISIS DE TÚ PATRIMONIO FINANCIERO</t>
  </si>
  <si>
    <t>III) TU PATRIMONIO FINANCIERO ACTUAL A LO LARGO DE TU CICLO DE VIDA</t>
  </si>
  <si>
    <t>IV. PROTECCIÓN PATRIMONIAL</t>
  </si>
  <si>
    <t>V. OBJETIVOS Y PLAN DE ACCIÓN</t>
  </si>
  <si>
    <t>*Tu edad de retiro:</t>
  </si>
  <si>
    <t>*De tus saldos en activos financieros excluyendo retiro</t>
  </si>
  <si>
    <t>Reserva de Corto Plazo</t>
  </si>
  <si>
    <t>Actigob</t>
  </si>
  <si>
    <t>Actimed</t>
  </si>
  <si>
    <t>Altern</t>
  </si>
  <si>
    <t>Actdual</t>
  </si>
  <si>
    <t>Maximo</t>
  </si>
  <si>
    <t>Actigana+</t>
  </si>
  <si>
    <t>Actigana+2</t>
  </si>
  <si>
    <t>Renta Fija en USD</t>
  </si>
  <si>
    <t>Acticob</t>
  </si>
  <si>
    <t>Escala</t>
  </si>
  <si>
    <t>Renta Fija Local</t>
  </si>
  <si>
    <t>*Tomar rendimientos en pesos</t>
  </si>
  <si>
    <t>Renta Variable Indizados</t>
  </si>
  <si>
    <t>Activar</t>
  </si>
  <si>
    <t>Acti500</t>
  </si>
  <si>
    <t>Retiro</t>
  </si>
  <si>
    <t>Act2025</t>
  </si>
  <si>
    <t>Act2030</t>
  </si>
  <si>
    <t>Act2035</t>
  </si>
  <si>
    <t>Act2040</t>
  </si>
  <si>
    <t>Act4560</t>
  </si>
  <si>
    <t>Patrimonio Financiero:</t>
  </si>
  <si>
    <t>Disposición Mensual:</t>
  </si>
  <si>
    <t>Ahorro Potencial:</t>
  </si>
  <si>
    <t>Total:</t>
  </si>
  <si>
    <t>¿Cuál es tu mensualidad aproximada por la Ley 73?</t>
  </si>
  <si>
    <t>Propiedades Aseguradas</t>
  </si>
  <si>
    <t>(Liquidez Invertida + Portafolio de Inversión)</t>
  </si>
  <si>
    <t>Nombre o alias:</t>
  </si>
  <si>
    <t>Edad actual:</t>
  </si>
  <si>
    <t>ID Cliente/Prospecto:</t>
  </si>
  <si>
    <t>*Llenado por el asesor</t>
  </si>
  <si>
    <t>Correo:</t>
  </si>
  <si>
    <t>Teléfono:</t>
  </si>
  <si>
    <t>mayo-2025</t>
  </si>
  <si>
    <t>Versión 1.0</t>
  </si>
  <si>
    <t>(Inversiones + Seguros)</t>
  </si>
  <si>
    <t>Considerando tu calidad de vida esperada y el total acumulado para hacer frente al retiro, tendrás un:</t>
  </si>
  <si>
    <t>Condición</t>
  </si>
  <si>
    <t>Objetivo 1</t>
  </si>
  <si>
    <t>Objetivo 2</t>
  </si>
  <si>
    <t>Objetivo 3</t>
  </si>
  <si>
    <t>Objetivo 4</t>
  </si>
  <si>
    <t>Objetivo 5</t>
  </si>
  <si>
    <t>Numero de periodos</t>
  </si>
  <si>
    <t>Periodo</t>
  </si>
  <si>
    <t>Plazo</t>
  </si>
  <si>
    <t>¿A cuánto asciende tu saldo en otras inversiones financieras?</t>
  </si>
  <si>
    <t>Inversiones financieras no líquidas</t>
  </si>
  <si>
    <t>Dotales</t>
  </si>
  <si>
    <t>Colegiaturas, seguros, manutención, impuestos. *Sin considerar créditos</t>
  </si>
  <si>
    <t>¿A cuánto ascienden tus obligaciones mensuales?</t>
  </si>
  <si>
    <t>ESQUEMAS DE RETIRO</t>
  </si>
  <si>
    <t>Ocupación actual:</t>
  </si>
  <si>
    <t>Años</t>
  </si>
  <si>
    <t>*Rendimientos pasados no garantizan rendimientos futuros</t>
  </si>
  <si>
    <t>¿Cuál es tu capacidad de Ahorro?</t>
  </si>
  <si>
    <t>¿Tienes ingresos mensuales por propiedades en rentas?</t>
  </si>
  <si>
    <r>
      <t xml:space="preserve">Promedio histórico de un portafolio con mayor proporción equity americana
</t>
    </r>
    <r>
      <rPr>
        <b/>
        <i/>
        <sz val="12"/>
        <rFont val="Poppins"/>
      </rPr>
      <t>Duplica la inversión cada 5 años</t>
    </r>
  </si>
  <si>
    <r>
      <t xml:space="preserve">Promedio histórico 20 años de un portafolio balanceado equity americano y deuda mexicana
</t>
    </r>
    <r>
      <rPr>
        <b/>
        <i/>
        <sz val="12"/>
        <rFont val="Poppins"/>
      </rPr>
      <t>Duplica la inversión cada 6 años</t>
    </r>
  </si>
  <si>
    <r>
      <t xml:space="preserve">Promedio histórico de un portafolio con mayor proporción en deuda mexicana
</t>
    </r>
    <r>
      <rPr>
        <b/>
        <i/>
        <sz val="12"/>
        <rFont val="Poppins"/>
      </rPr>
      <t>Duplica la inversión cada 9 años</t>
    </r>
  </si>
  <si>
    <r>
      <t xml:space="preserve">Formato: </t>
    </r>
    <r>
      <rPr>
        <b/>
        <sz val="16"/>
        <rFont val="Poppins"/>
      </rPr>
      <t>PF-01</t>
    </r>
  </si>
  <si>
    <t>Aportación (M) a mi Patrimonio Financiero:</t>
  </si>
  <si>
    <t>Imprevistos y Mer</t>
  </si>
  <si>
    <t>¿Cuál es tu ingreso mensual por propiedades en rentas?</t>
  </si>
  <si>
    <t>¿A cuánto ascienden tus gastos hoy?</t>
  </si>
  <si>
    <t>INGRESOS / OBLIGACIONES MENSUALES</t>
  </si>
  <si>
    <t>Compromisos futuros</t>
  </si>
  <si>
    <t>Saldo pendiente en planes de retiro</t>
  </si>
  <si>
    <t>¿Cuál es el monto contratado otros planes de seguro de acumulación?</t>
  </si>
  <si>
    <t>OBLIGACIONES PENDIENTES (LIQUIDAR)</t>
  </si>
  <si>
    <t>¿Cuál es la herencia que dispondrás?</t>
  </si>
  <si>
    <t>¿Cuál es el valor en negocios que tienes? (equity)</t>
  </si>
  <si>
    <t>Saldo pendiente en hipoteca</t>
  </si>
  <si>
    <t>Dependientes Económicos</t>
  </si>
  <si>
    <t>¿Cuál es el valor de tus inmuebles no productivos? (Tierra y propiedades no en renta)</t>
  </si>
  <si>
    <t>Ocupación actual</t>
  </si>
  <si>
    <t>¿Cuál es el valor de tus inmuebles en renta?</t>
  </si>
  <si>
    <t>¿Cuál es el valor de tu casa?</t>
  </si>
  <si>
    <t>PATRIMONIO NO FINANCIERO</t>
  </si>
  <si>
    <t>Negocio</t>
  </si>
  <si>
    <t>Rentas</t>
  </si>
  <si>
    <t>Patrimonio Financiero</t>
  </si>
  <si>
    <t>Esquemas de Pensión Voluntarios</t>
  </si>
  <si>
    <t>Comportamiento de Flujos</t>
  </si>
  <si>
    <t>Herencia</t>
  </si>
  <si>
    <t>Venta Negocio</t>
  </si>
  <si>
    <t>Venta Inmuebles en Renta</t>
  </si>
  <si>
    <t>Venta Tierra</t>
  </si>
  <si>
    <t>Venta Casa Propia</t>
  </si>
  <si>
    <t>Pasivo del Periodo</t>
  </si>
  <si>
    <t>Periodo Fin</t>
  </si>
  <si>
    <t>Periodo Inicio</t>
  </si>
  <si>
    <t>Requerido x Tramo</t>
  </si>
  <si>
    <t>Pasivo del Tramo</t>
  </si>
  <si>
    <t>Numero de Periodos</t>
  </si>
  <si>
    <t>Periodos para inicio</t>
  </si>
  <si>
    <t>Numero de Años</t>
  </si>
  <si>
    <t>Fin Tramo</t>
  </si>
  <si>
    <t>Inicio Tramo</t>
  </si>
  <si>
    <t>Nuevo Pasivo</t>
  </si>
  <si>
    <t>Valor Vendido</t>
  </si>
  <si>
    <t>Orden ajustado</t>
  </si>
  <si>
    <t>Ingreso Obtenido</t>
  </si>
  <si>
    <t>Edad de Venta</t>
  </si>
  <si>
    <t>Venta Si = 1 / No = 0</t>
  </si>
  <si>
    <t>Activo</t>
  </si>
  <si>
    <t>Orden</t>
  </si>
  <si>
    <t>Pasivo Mensual Total Retiro:</t>
  </si>
  <si>
    <t>Cálculos para Fondo necesario al inicio del retiro</t>
  </si>
  <si>
    <t>Indicador Nuevo Pasivo por Negocio</t>
  </si>
  <si>
    <t>Indicador Nuevo Pasivo por Inmuebles en Renta</t>
  </si>
  <si>
    <t>Indicador Nuevo Pasivo por Casa Propia</t>
  </si>
  <si>
    <t>Aportación mensual necesaria</t>
  </si>
  <si>
    <t>DÉFICIT/SUPERAVIT a inicio del retiro</t>
  </si>
  <si>
    <t>Pasivo Mensual x año</t>
  </si>
  <si>
    <t>Capital Disponible a Inicio del Retiro</t>
  </si>
  <si>
    <t>Saldo a Inicio de Retiro por Nuevos Ingresos</t>
  </si>
  <si>
    <t>Saldo Inicio de Retiro por Herencia</t>
  </si>
  <si>
    <t>años</t>
  </si>
  <si>
    <t>Edad en que se recibe</t>
  </si>
  <si>
    <t>Ingreso x Herencia</t>
  </si>
  <si>
    <t>Saldo Inicio de Retiro por venta de Negocio</t>
  </si>
  <si>
    <t>Serie 2</t>
  </si>
  <si>
    <t>Serie 1</t>
  </si>
  <si>
    <t>Potencial Apalancamiento</t>
  </si>
  <si>
    <t>Índice de Apalancamiento</t>
  </si>
  <si>
    <t>Ingreso por Venta de Negocio</t>
  </si>
  <si>
    <t>Gráfica Potencial Apalancamiento</t>
  </si>
  <si>
    <t>Saldo Inicio de Retiro por venta de Inmuebles en Renta</t>
  </si>
  <si>
    <t>Ingreso por Venta de Inmuebles en Renta</t>
  </si>
  <si>
    <t>Saldo Inicio de Retiro por venta de Tierra</t>
  </si>
  <si>
    <t>Ingreso por Venta de Tierra</t>
  </si>
  <si>
    <t>Saldo Inicio de Retiro por venta de Casa Propia</t>
  </si>
  <si>
    <t>No tienes solvencia</t>
  </si>
  <si>
    <t>Faltante</t>
  </si>
  <si>
    <t>Excelente</t>
  </si>
  <si>
    <t>Ingreso por Venta de Casa Propia</t>
  </si>
  <si>
    <t>Alta</t>
  </si>
  <si>
    <t>Suficiente</t>
  </si>
  <si>
    <t>Calidad de Vida en Retiro sin Capital Humano y Sin Ingresos por Ventas</t>
  </si>
  <si>
    <t>Baja</t>
  </si>
  <si>
    <t>Gráfica Índice de solvencia</t>
  </si>
  <si>
    <t>Patrimonio Financiero Neto al Momento del Retiro</t>
  </si>
  <si>
    <t>(activos totales - saldos de retiro - obligaciones) / activos totales</t>
  </si>
  <si>
    <t>Índice de solvencia</t>
  </si>
  <si>
    <t>Obligaciones VF</t>
  </si>
  <si>
    <t>Obligaciones Actuales</t>
  </si>
  <si>
    <t>Crecimiento del patrimonio financiero actual</t>
  </si>
  <si>
    <t>Patrimonio Actual Total VF</t>
  </si>
  <si>
    <t>Patrimonio Financiero Actual Total VF</t>
  </si>
  <si>
    <t>Liquidez</t>
  </si>
  <si>
    <t>Patrimonio Actual</t>
  </si>
  <si>
    <t>Activos No Financieros Improductivos</t>
  </si>
  <si>
    <t>Fondo necesario al inicio del retiro</t>
  </si>
  <si>
    <t>Activos No Financieros Productivos</t>
  </si>
  <si>
    <t>Saldo en Esquemas de Pensión VF</t>
  </si>
  <si>
    <t>Gráfica Conformación del Patrimonio Total</t>
  </si>
  <si>
    <t>Valor Actual Esquemas de Pension</t>
  </si>
  <si>
    <t>Saldo en Planes privados de Retiro VF</t>
  </si>
  <si>
    <t>Valor Actual en planes privados de Retiro</t>
  </si>
  <si>
    <t>Patrimonio Neto</t>
  </si>
  <si>
    <t>Esquemas de Retiro</t>
  </si>
  <si>
    <r>
      <t>Número de periodos acumulación</t>
    </r>
    <r>
      <rPr>
        <i/>
        <sz val="11"/>
        <color rgb="FF000000"/>
        <rFont val="Calibri"/>
        <family val="2"/>
        <scheme val="minor"/>
      </rPr>
      <t xml:space="preserve"> </t>
    </r>
  </si>
  <si>
    <t>Activos No Financieros</t>
  </si>
  <si>
    <r>
      <t>Patrimonio Financiero Actual Total</t>
    </r>
    <r>
      <rPr>
        <i/>
        <sz val="11"/>
        <color rgb="FF000000"/>
        <rFont val="Calibri"/>
        <family val="2"/>
        <scheme val="minor"/>
      </rPr>
      <t xml:space="preserve"> </t>
    </r>
  </si>
  <si>
    <t>Monto Invertido</t>
  </si>
  <si>
    <t>Tipo</t>
  </si>
  <si>
    <t>Gráfica Balance</t>
  </si>
  <si>
    <t>Gráfica Regla del 72</t>
  </si>
  <si>
    <t>Número de periodos desacumulación</t>
  </si>
  <si>
    <t>Para acumular con capital humano</t>
  </si>
  <si>
    <t>Pasivo del Retiro al inicio de la jubilación</t>
  </si>
  <si>
    <t>Mensualidad por otros ingresos</t>
  </si>
  <si>
    <t>Saldo en Esquemas de Retiro</t>
  </si>
  <si>
    <t>Cálculos</t>
  </si>
  <si>
    <t>Costo Seguro de Vida por Millón</t>
  </si>
  <si>
    <t>Cap Rate Propiedades</t>
  </si>
  <si>
    <t>Edad de Defunción</t>
  </si>
  <si>
    <t>Auxiliares Gráficas y Textos</t>
  </si>
  <si>
    <t>Capital Humano:</t>
  </si>
  <si>
    <t>Obligaciones:</t>
  </si>
  <si>
    <t>*Renta</t>
  </si>
  <si>
    <t>Flujo perdido</t>
  </si>
  <si>
    <t>Venta</t>
  </si>
  <si>
    <t>Inmuebles en Renta</t>
  </si>
  <si>
    <t>Tierra</t>
  </si>
  <si>
    <t>Casa Propia</t>
  </si>
  <si>
    <t>*Capacidad de Ahorro:</t>
  </si>
  <si>
    <t>Aportación:</t>
  </si>
  <si>
    <t>Solvencia resultante:</t>
  </si>
  <si>
    <t>Patrimonio Neto Resultante:</t>
  </si>
  <si>
    <t>*Sobre los ingresos pasivos</t>
  </si>
  <si>
    <t>Ingresos Disponibles:</t>
  </si>
  <si>
    <t>Afectación al Patrimonio:</t>
  </si>
  <si>
    <t>Resultante</t>
  </si>
  <si>
    <t>Solvencia actual:</t>
  </si>
  <si>
    <t>Patrimonio Neto Actual:</t>
  </si>
  <si>
    <t>Impacto en Ingresos Pasivos</t>
  </si>
  <si>
    <t>Impacto en tu Flujo de Efectivo</t>
  </si>
  <si>
    <t>Impacto en tu Balance</t>
  </si>
  <si>
    <t>Potencial de Apalancamiento:</t>
  </si>
  <si>
    <t>Índice de Apalancamiento:</t>
  </si>
  <si>
    <t>Solvencia (excluyendo activos de retiro)</t>
  </si>
  <si>
    <t>Líquidez</t>
  </si>
  <si>
    <t>Activos No Financieros No Productivos</t>
  </si>
  <si>
    <t>Rentabilidad anual del negocio</t>
  </si>
  <si>
    <t>Ingresos por Negocios</t>
  </si>
  <si>
    <t>Ingresos por Rentas</t>
  </si>
  <si>
    <t>se genera gracias a los Activos Productivos</t>
  </si>
  <si>
    <t>Ingresos Pasivos Disponible</t>
  </si>
  <si>
    <t>se genera de tu fuente principal de ingresos</t>
  </si>
  <si>
    <t>Disponible del Ingreso Activo</t>
  </si>
  <si>
    <t>Total Pasivos</t>
  </si>
  <si>
    <t>Total Activos</t>
  </si>
  <si>
    <t>Otros compromisos</t>
  </si>
  <si>
    <t>Planes de Seguro</t>
  </si>
  <si>
    <t>Inversiones</t>
  </si>
  <si>
    <t>Hipoteca</t>
  </si>
  <si>
    <t>Retiro Anticipado</t>
  </si>
  <si>
    <t>II. FUENTES DE FLUJO DISPONIBLE</t>
  </si>
  <si>
    <t>III. PATRIMONIO TOTAL EN FUNCIÓN DE DISPONIBILIDAD</t>
  </si>
  <si>
    <t>IV. POTENCIAL DEL BALANCE</t>
  </si>
  <si>
    <t>V. VALOR EN RIESGO</t>
  </si>
  <si>
    <t>VII. CONSOLIDACIÓN DE FLUJO EN EL RETIRO</t>
  </si>
  <si>
    <t>I. PATRIMONIO NETO</t>
  </si>
  <si>
    <t>LEGADO</t>
  </si>
  <si>
    <t>Edad Venta de Activos</t>
  </si>
  <si>
    <t>*Ingresos por Negocios</t>
  </si>
  <si>
    <t>*Ingresos por Rentas</t>
  </si>
  <si>
    <t>Gasto total</t>
  </si>
  <si>
    <t>Gasto Anual</t>
  </si>
  <si>
    <t>Mejor</t>
  </si>
  <si>
    <t>Bien</t>
  </si>
  <si>
    <t>Genial</t>
  </si>
  <si>
    <t>"On fire"</t>
  </si>
  <si>
    <t>60+</t>
  </si>
  <si>
    <t>B)Liquidez para hacer frente a obligaciones</t>
  </si>
  <si>
    <t>Activos Acumulación+Reserva / Obligaciones</t>
  </si>
  <si>
    <t>Arriba de 1 vez suficiente para cubrir compromisos futuros.</t>
  </si>
  <si>
    <t>Debajo de 1 vez recomendar hacer liquidez para cubrir compromisos futuros</t>
  </si>
  <si>
    <t>Potencial de Apalancamiento</t>
  </si>
  <si>
    <t>Activos (Acumulación)</t>
  </si>
  <si>
    <t>Crédito Activos Líquidos</t>
  </si>
  <si>
    <t>Activos Inmobiliarios</t>
  </si>
  <si>
    <t>Credito Bienes Inmuebles</t>
  </si>
  <si>
    <t xml:space="preserve">Total </t>
  </si>
  <si>
    <t>Sin esquemas pension</t>
  </si>
  <si>
    <t>Criterios:</t>
  </si>
  <si>
    <t>Deuda</t>
  </si>
  <si>
    <t xml:space="preserve">Menor a </t>
  </si>
  <si>
    <t>Muy saludable</t>
  </si>
  <si>
    <t>Activos Totales (sin pension)</t>
  </si>
  <si>
    <t>Recomendable</t>
  </si>
  <si>
    <t>Aceptable</t>
  </si>
  <si>
    <t>Superior</t>
  </si>
  <si>
    <t>Indice Deuda Activo</t>
  </si>
  <si>
    <t>Prestamo</t>
  </si>
  <si>
    <t>Nuevo nivel de deuda</t>
  </si>
  <si>
    <t>Activos</t>
  </si>
  <si>
    <t>Incremento en activos</t>
  </si>
  <si>
    <t>Préstamo</t>
  </si>
  <si>
    <t>Deuda Activo</t>
  </si>
  <si>
    <t>Deuda + Préstamo</t>
  </si>
  <si>
    <t>Capacidad de Apalanacamiento</t>
  </si>
  <si>
    <t>Potencial Apalancamiento Total</t>
  </si>
  <si>
    <t>Activos Totales</t>
  </si>
  <si>
    <t>Patrimonio Fin. Neto</t>
  </si>
  <si>
    <t>Rentabilidad anual correspondiente a tus activos excepto negocio</t>
  </si>
  <si>
    <t>Elevado</t>
  </si>
  <si>
    <t>Índice Deuda/Activos</t>
  </si>
  <si>
    <t>Índice Actual</t>
  </si>
  <si>
    <t>Índice Con Préstamo</t>
  </si>
  <si>
    <t>Tienes un nivel de solvencia alto que te permite apalancarte en tus activos para seguir creciendo tu patrimonio.</t>
  </si>
  <si>
    <t>Tienes un nivel de solvencia excelente que te permite apalancarte en tus activos para seguir creciendo tu patrimonio.</t>
  </si>
  <si>
    <t>Tienes un nivel de solvencia bajo. Incrementalo para poder apalancarte en tus activos y seguir creciendo tu patrimonio</t>
  </si>
  <si>
    <t>Tienes un nivel de solvencia suficiente. Incrementalo para poder apalancarte en tus activos y seguir creciendo tu patrimonio</t>
  </si>
  <si>
    <t>Capacidad de Apalancamiento del Balance</t>
  </si>
  <si>
    <t>Mínimo seguridad (2x):</t>
  </si>
  <si>
    <t>Apalancamiento Actual</t>
  </si>
  <si>
    <t>PRIMA NETA</t>
  </si>
  <si>
    <t>Indicador</t>
  </si>
  <si>
    <t>Edad Inicio</t>
  </si>
  <si>
    <t>Edad Fin</t>
  </si>
  <si>
    <t>Seguro Propietario</t>
  </si>
  <si>
    <t>Seguro Arrendador</t>
  </si>
  <si>
    <t>Arrendador</t>
  </si>
  <si>
    <t>Propietario</t>
  </si>
  <si>
    <t>Seguro de Vida</t>
  </si>
  <si>
    <t>Seguro de Propietario</t>
  </si>
  <si>
    <t>Activos en Renta</t>
  </si>
  <si>
    <t>Casa</t>
  </si>
  <si>
    <t>Seguro de Arrendatario</t>
  </si>
  <si>
    <t>Protege a tus dependientes por una suma que cubra una protección de 3 años de tus gastos básicos.</t>
  </si>
  <si>
    <t>VI. PROTECCIÓN PATRIMONIAL</t>
  </si>
  <si>
    <t>Insuficiente</t>
  </si>
  <si>
    <t>Índice de Liquidez:</t>
  </si>
  <si>
    <t>Nivel Patrimonio Neto de acuerdo a etapa de vida en función de gastos anuales:</t>
  </si>
  <si>
    <t>Excedente</t>
  </si>
  <si>
    <t>Ret</t>
  </si>
  <si>
    <t>Liq</t>
  </si>
  <si>
    <t>ANFP</t>
  </si>
  <si>
    <t>ANFI</t>
  </si>
  <si>
    <t>Ac</t>
  </si>
  <si>
    <t>Fuentes Flujo Disponible</t>
  </si>
  <si>
    <t>Ingreso Total</t>
  </si>
  <si>
    <t>Total Gasto</t>
  </si>
  <si>
    <t>Disponible Ingreso Activo</t>
  </si>
  <si>
    <t>Disponible Ingreso Pasivo</t>
  </si>
  <si>
    <t>FUENTES DE FLUJO DISPONIBLE</t>
  </si>
  <si>
    <t>1. Su Patrimonio Neto actual en función de gastos (anuales) es:</t>
  </si>
  <si>
    <t>2. El nivel de liquidez de su patrimonio es:</t>
  </si>
  <si>
    <t>3. Tú nivel de solvencia (excluyendo activos de retiro) es:</t>
  </si>
  <si>
    <t>4. Protección de tu patrimonio:</t>
  </si>
  <si>
    <t>5. Excedente al termino de etapa del retiro:</t>
  </si>
  <si>
    <t xml:space="preserve"> RECOMENDACIONES CON RESPECTO A SU PATRIMONIO ACTUAL: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</si>
</sst>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\ &quot;Meses&quot;"/>
    <numFmt numFmtId="165" formatCode="#,##0.0\ &quot;Meses&quot;"/>
    <numFmt numFmtId="166" formatCode="#,##0\ &quot;Años&quot;"/>
    <numFmt numFmtId="167" formatCode="#,##0.0\ &quot;Años&quot;"/>
    <numFmt numFmtId="168" formatCode="_-&quot;$&quot;* #,##0_-;\-&quot;$&quot;* #,##0_-;_-&quot;$&quot;* &quot;-&quot;??_-;_-@_-"/>
    <numFmt numFmtId="169" formatCode="[$-F800]dddd\,\ mmmm\ dd\,\ yyyy"/>
    <numFmt numFmtId="170" formatCode="_-* #,##0_-;\-* #,##0_-;_-* &quot;-&quot;??_-;_-@_-"/>
    <numFmt numFmtId="171" formatCode="&quot;$&quot;#,##0"/>
    <numFmt numFmtId="172" formatCode="0_ ;\-0\ "/>
    <numFmt numFmtId="173" formatCode="0.0%"/>
    <numFmt numFmtId="174" formatCode="#,##0.0\ &quot;AÑOS&quot;"/>
    <numFmt numFmtId="175" formatCode="0.0"/>
    <numFmt numFmtId="176" formatCode="#,##0\ &quot; años&quot;"/>
    <numFmt numFmtId="177" formatCode="#,##0.00\ &quot;Meses&quot;"/>
    <numFmt numFmtId="178" formatCode="_-&quot;$&quot;* #,##0.0_-;\-&quot;$&quot;* #,##0.0_-;_-&quot;$&quot;* &quot;-&quot;?_-;_-@_-"/>
    <numFmt numFmtId="179" formatCode="_-* #,##0.0_-;\-* #,##0.0_-;_-* &quot;-&quot;??_-;_-@_-"/>
  </numFmts>
  <fonts count="1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i/>
      <u/>
      <sz val="12"/>
      <color theme="2" tint="-0.499984740745262"/>
      <name val="Calibri"/>
      <family val="2"/>
      <scheme val="minor"/>
    </font>
    <font>
      <b/>
      <i/>
      <sz val="11"/>
      <color theme="2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 tint="0.499984740745262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0"/>
      <color theme="1" tint="0.749992370372631"/>
      <name val="Calibri"/>
      <family val="2"/>
      <scheme val="minor"/>
    </font>
    <font>
      <b/>
      <i/>
      <sz val="11"/>
      <color theme="1" tint="0.74999237037263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9"/>
      <color theme="2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2" tint="-0.249977111117893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2" tint="0.499984740745262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0"/>
      <color theme="0" tint="-0.499984740745262"/>
      <name val="Calibri"/>
      <family val="2"/>
      <scheme val="minor"/>
    </font>
    <font>
      <sz val="11"/>
      <color theme="1"/>
      <name val="Poppins"/>
    </font>
    <font>
      <b/>
      <sz val="16"/>
      <color theme="1"/>
      <name val="Poppins"/>
    </font>
    <font>
      <b/>
      <sz val="16"/>
      <color rgb="FF002060"/>
      <name val="Poppins"/>
    </font>
    <font>
      <b/>
      <sz val="18"/>
      <color rgb="FF002060"/>
      <name val="Poppins"/>
    </font>
    <font>
      <sz val="11"/>
      <color theme="3"/>
      <name val="Poppins"/>
    </font>
    <font>
      <i/>
      <sz val="12"/>
      <name val="Poppins"/>
    </font>
    <font>
      <sz val="16"/>
      <color theme="1"/>
      <name val="Poppins"/>
    </font>
    <font>
      <i/>
      <sz val="11"/>
      <color theme="1"/>
      <name val="Poppins"/>
    </font>
    <font>
      <i/>
      <sz val="12"/>
      <color theme="0" tint="-0.499984740745262"/>
      <name val="Poppins"/>
    </font>
    <font>
      <b/>
      <sz val="14"/>
      <color rgb="FF002060"/>
      <name val="Poppins"/>
    </font>
    <font>
      <b/>
      <sz val="14"/>
      <color theme="1"/>
      <name val="Poppins"/>
    </font>
    <font>
      <sz val="13"/>
      <color rgb="FF919191"/>
      <name val="Poppins"/>
    </font>
    <font>
      <sz val="16"/>
      <color rgb="FF222222"/>
      <name val="Poppins"/>
    </font>
    <font>
      <sz val="14"/>
      <color rgb="FF595959"/>
      <name val="Poppins"/>
    </font>
    <font>
      <i/>
      <sz val="14"/>
      <color rgb="FF595959"/>
      <name val="Poppins"/>
    </font>
    <font>
      <b/>
      <sz val="14"/>
      <color theme="0" tint="-0.499984740745262"/>
      <name val="Poppins"/>
    </font>
    <font>
      <b/>
      <sz val="16"/>
      <color theme="0" tint="-0.34998626667073579"/>
      <name val="Poppins"/>
    </font>
    <font>
      <b/>
      <sz val="16"/>
      <name val="Poppins"/>
    </font>
    <font>
      <b/>
      <i/>
      <sz val="13"/>
      <color theme="1"/>
      <name val="Poppins"/>
    </font>
    <font>
      <sz val="14"/>
      <color rgb="FF7F7F7F"/>
      <name val="Poppins"/>
    </font>
    <font>
      <sz val="16"/>
      <name val="Poppins"/>
    </font>
    <font>
      <b/>
      <sz val="15"/>
      <color rgb="FF0070C0"/>
      <name val="Poppins"/>
    </font>
    <font>
      <sz val="15"/>
      <name val="Poppins"/>
    </font>
    <font>
      <sz val="11"/>
      <name val="Poppins"/>
    </font>
    <font>
      <sz val="16"/>
      <color rgb="FF0070C0"/>
      <name val="Poppins"/>
    </font>
    <font>
      <b/>
      <sz val="16"/>
      <color rgb="FF0070C0"/>
      <name val="Poppins"/>
    </font>
    <font>
      <b/>
      <sz val="16"/>
      <color rgb="FF222222"/>
      <name val="Poppins"/>
    </font>
    <font>
      <i/>
      <sz val="14"/>
      <color theme="0" tint="-0.34998626667073579"/>
      <name val="Poppins"/>
    </font>
    <font>
      <i/>
      <sz val="12"/>
      <color rgb="FF222222"/>
      <name val="Poppins"/>
    </font>
    <font>
      <b/>
      <sz val="15"/>
      <color rgb="FF002060"/>
      <name val="Poppins"/>
    </font>
    <font>
      <b/>
      <sz val="15"/>
      <name val="Poppins"/>
    </font>
    <font>
      <b/>
      <sz val="16"/>
      <color rgb="FF00B0F0"/>
      <name val="Poppins"/>
    </font>
    <font>
      <b/>
      <i/>
      <sz val="14"/>
      <color theme="0" tint="-0.499984740745262"/>
      <name val="Poppins"/>
    </font>
    <font>
      <i/>
      <sz val="14"/>
      <color theme="1"/>
      <name val="Poppins"/>
    </font>
    <font>
      <i/>
      <sz val="16"/>
      <color theme="1"/>
      <name val="Poppins"/>
    </font>
    <font>
      <b/>
      <i/>
      <sz val="12"/>
      <name val="Poppins"/>
    </font>
    <font>
      <i/>
      <sz val="14"/>
      <color theme="0" tint="-0.499984740745262"/>
      <name val="Poppins"/>
    </font>
    <font>
      <b/>
      <sz val="22"/>
      <name val="Poppins"/>
    </font>
    <font>
      <b/>
      <sz val="18"/>
      <name val="Poppins"/>
    </font>
    <font>
      <b/>
      <sz val="18"/>
      <color rgb="FF314566"/>
      <name val="Poppins"/>
    </font>
    <font>
      <sz val="11"/>
      <color rgb="FF314566"/>
      <name val="Poppins"/>
    </font>
    <font>
      <b/>
      <sz val="16"/>
      <color rgb="FF314566"/>
      <name val="Poppins"/>
    </font>
    <font>
      <u/>
      <sz val="16"/>
      <color rgb="FF314566"/>
      <name val="Poppins"/>
    </font>
    <font>
      <sz val="12"/>
      <name val="Poppins"/>
    </font>
    <font>
      <sz val="16"/>
      <color rgb="FF314566"/>
      <name val="Poppins"/>
    </font>
    <font>
      <b/>
      <sz val="14"/>
      <color rgb="FF314566"/>
      <name val="Poppins"/>
    </font>
    <font>
      <b/>
      <sz val="15"/>
      <color rgb="FF314566"/>
      <name val="Poppins"/>
    </font>
    <font>
      <b/>
      <sz val="11"/>
      <color theme="1"/>
      <name val="Poppins"/>
    </font>
    <font>
      <b/>
      <sz val="11"/>
      <color rgb="FF314566"/>
      <name val="Poppins"/>
    </font>
    <font>
      <b/>
      <sz val="11"/>
      <name val="Poppins"/>
    </font>
    <font>
      <b/>
      <sz val="16"/>
      <color rgb="FF317A70"/>
      <name val="Poppins"/>
    </font>
    <font>
      <sz val="14"/>
      <name val="Poppins"/>
    </font>
    <font>
      <b/>
      <sz val="12"/>
      <name val="Poppins"/>
    </font>
    <font>
      <i/>
      <sz val="9"/>
      <name val="Poppins"/>
    </font>
    <font>
      <i/>
      <sz val="10"/>
      <name val="Poppins"/>
    </font>
    <font>
      <sz val="9"/>
      <name val="Poppins"/>
    </font>
    <font>
      <b/>
      <sz val="11"/>
      <color theme="0"/>
      <name val="Calibri"/>
      <family val="2"/>
      <scheme val="minor"/>
    </font>
    <font>
      <sz val="16"/>
      <name val="Verdana"/>
      <family val="2"/>
    </font>
    <font>
      <sz val="11"/>
      <color theme="0" tint="-0.499984740745262"/>
      <name val="Calibri"/>
      <family val="2"/>
      <scheme val="minor"/>
    </font>
    <font>
      <b/>
      <sz val="16"/>
      <color theme="1"/>
      <name val="Verdana"/>
      <family val="2"/>
    </font>
    <font>
      <sz val="11"/>
      <color theme="2" tint="0.249977111117893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6.8"/>
      <color rgb="FF6F6F6F"/>
      <name val="Calibri"/>
      <family val="2"/>
      <scheme val="minor"/>
    </font>
    <font>
      <b/>
      <sz val="16"/>
      <name val="Verdana"/>
      <family val="2"/>
    </font>
    <font>
      <sz val="15"/>
      <color theme="1" tint="0.249977111117893"/>
      <name val="Poppins"/>
    </font>
    <font>
      <i/>
      <sz val="14"/>
      <name val="Verdana"/>
      <family val="2"/>
    </font>
    <font>
      <b/>
      <sz val="15"/>
      <color theme="1" tint="0.249977111117893"/>
      <name val="Verdana"/>
      <family val="2"/>
    </font>
    <font>
      <sz val="15"/>
      <color theme="1" tint="0.249977111117893"/>
      <name val="Verdana"/>
      <family val="2"/>
    </font>
    <font>
      <i/>
      <sz val="14"/>
      <color theme="1" tint="0.499984740745262"/>
      <name val="Poppins"/>
    </font>
    <font>
      <sz val="14"/>
      <color theme="1" tint="0.249977111117893"/>
      <name val="Verdana"/>
      <family val="2"/>
    </font>
    <font>
      <i/>
      <sz val="14"/>
      <color theme="0" tint="-0.499984740745262"/>
      <name val="Verdana"/>
      <family val="2"/>
    </font>
    <font>
      <b/>
      <sz val="16"/>
      <color rgb="FF596985"/>
      <name val="Poppins"/>
    </font>
    <font>
      <sz val="11"/>
      <name val="Verdana"/>
      <family val="2"/>
    </font>
    <font>
      <sz val="16"/>
      <color rgb="FFFF9999"/>
      <name val="Poppins"/>
    </font>
    <font>
      <b/>
      <sz val="11"/>
      <color rgb="FFC00000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6"/>
      <color theme="0" tint="-0.34998626667073579"/>
      <name val="Poppins"/>
    </font>
    <font>
      <b/>
      <u val="singleAccounting"/>
      <sz val="11"/>
      <color theme="1"/>
      <name val="Calibri"/>
      <family val="2"/>
      <scheme val="minor"/>
    </font>
    <font>
      <sz val="16"/>
      <color rgb="FF596985"/>
      <name val="Poppins"/>
    </font>
    <font>
      <sz val="11"/>
      <color theme="0" tint="-0.34998626667073579"/>
      <name val="Poppins"/>
    </font>
    <font>
      <sz val="16"/>
      <color theme="0" tint="-0.34998626667073579"/>
      <name val="Verdana"/>
      <family val="2"/>
    </font>
    <font>
      <sz val="11"/>
      <color theme="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sz val="18"/>
      <color theme="0" tint="-0.499984740745262"/>
      <name val="Poppins"/>
    </font>
    <font>
      <sz val="16"/>
      <color theme="1" tint="0.249977111117893"/>
      <name val="Poppins"/>
    </font>
    <font>
      <i/>
      <sz val="13"/>
      <color theme="1" tint="0.249977111117893"/>
      <name val="Poppins"/>
    </font>
    <font>
      <sz val="22"/>
      <name val="Verdana"/>
      <family val="2"/>
    </font>
    <font>
      <sz val="36"/>
      <name val="Verdana"/>
      <family val="2"/>
    </font>
    <font>
      <b/>
      <sz val="36"/>
      <name val="Poppins"/>
    </font>
    <font>
      <b/>
      <sz val="36"/>
      <name val="Verdana"/>
      <family val="2"/>
    </font>
    <font>
      <i/>
      <sz val="36"/>
      <name val="Verdana"/>
      <family val="2"/>
    </font>
    <font>
      <sz val="36"/>
      <name val="Poppins"/>
    </font>
    <font>
      <b/>
      <sz val="22"/>
      <color rgb="FF596985"/>
      <name val="Poppins"/>
    </font>
    <font>
      <b/>
      <sz val="22"/>
      <color theme="1" tint="0.249977111117893"/>
      <name val="Poppins"/>
    </font>
  </fonts>
  <fills count="2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rgb="FF314566"/>
        <bgColor indexed="64"/>
      </patternFill>
    </fill>
    <fill>
      <patternFill patternType="solid">
        <fgColor rgb="FFACB5C1"/>
        <bgColor indexed="64"/>
      </patternFill>
    </fill>
    <fill>
      <patternFill patternType="solid">
        <fgColor rgb="FFE5C78A"/>
        <bgColor indexed="64"/>
      </patternFill>
    </fill>
    <fill>
      <patternFill patternType="solid">
        <fgColor rgb="FF596985"/>
        <bgColor indexed="64"/>
      </patternFill>
    </fill>
    <fill>
      <patternFill patternType="solid">
        <fgColor rgb="FFE9D1A1"/>
        <bgColor indexed="64"/>
      </patternFill>
    </fill>
    <fill>
      <patternFill patternType="solid">
        <fgColor rgb="FF317A7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99"/>
        <bgColor indexed="64"/>
      </patternFill>
    </fill>
  </fills>
  <borders count="40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89996032593768116"/>
      </right>
      <top style="medium">
        <color theme="1" tint="0.499984740745262"/>
      </top>
      <bottom style="thin">
        <color theme="1" tint="0.89996032593768116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89996032593768116"/>
      </bottom>
      <diagonal/>
    </border>
    <border>
      <left/>
      <right/>
      <top style="medium">
        <color theme="1" tint="0.499984740745262"/>
      </top>
      <bottom style="thin">
        <color theme="1" tint="0.89996032593768116"/>
      </bottom>
      <diagonal/>
    </border>
    <border>
      <left/>
      <right style="thin">
        <color theme="1" tint="0.89996032593768116"/>
      </right>
      <top style="medium">
        <color theme="1" tint="0.499984740745262"/>
      </top>
      <bottom style="thin">
        <color theme="1" tint="0.89996032593768116"/>
      </bottom>
      <diagonal/>
    </border>
    <border>
      <left style="medium">
        <color theme="1" tint="0.749961851863155"/>
      </left>
      <right/>
      <top style="medium">
        <color theme="1" tint="0.749961851863155"/>
      </top>
      <bottom style="thin">
        <color theme="0" tint="-4.9989318521683403E-2"/>
      </bottom>
      <diagonal/>
    </border>
    <border>
      <left/>
      <right/>
      <top style="medium">
        <color theme="1" tint="0.749961851863155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medium">
        <color theme="1" tint="0.749961851863155"/>
      </top>
      <bottom style="thin">
        <color theme="0" tint="-4.9989318521683403E-2"/>
      </bottom>
      <diagonal/>
    </border>
    <border>
      <left style="medium">
        <color theme="1" tint="0.499984740745262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theme="1" tint="0.749961851863155"/>
      </top>
      <bottom/>
      <diagonal/>
    </border>
    <border>
      <left/>
      <right/>
      <top style="medium">
        <color theme="1" tint="0.749961851863155"/>
      </top>
      <bottom style="medium">
        <color theme="1" tint="0.7499618518631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 tint="0.749961851863155"/>
      </left>
      <right/>
      <top style="medium">
        <color theme="1" tint="0.74996185186315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58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/>
    </xf>
    <xf numFmtId="164" fontId="3" fillId="2" borderId="1" xfId="0" applyNumberFormat="1" applyFont="1" applyFill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6" fontId="3" fillId="2" borderId="1" xfId="0" applyNumberFormat="1" applyFont="1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3" fontId="3" fillId="2" borderId="1" xfId="0" applyNumberFormat="1" applyFont="1" applyFill="1" applyBorder="1"/>
    <xf numFmtId="3" fontId="0" fillId="0" borderId="0" xfId="0" applyNumberFormat="1"/>
    <xf numFmtId="0" fontId="8" fillId="0" borderId="0" xfId="0" applyFont="1" applyAlignment="1">
      <alignment horizontal="left"/>
    </xf>
    <xf numFmtId="9" fontId="5" fillId="0" borderId="0" xfId="1" applyFont="1" applyAlignment="1">
      <alignment horizontal="left"/>
    </xf>
    <xf numFmtId="3" fontId="0" fillId="0" borderId="0" xfId="0" applyNumberFormat="1" applyAlignment="1">
      <alignment horizontal="right"/>
    </xf>
    <xf numFmtId="167" fontId="6" fillId="0" borderId="0" xfId="0" applyNumberFormat="1" applyFont="1" applyAlignment="1">
      <alignment horizontal="center"/>
    </xf>
    <xf numFmtId="0" fontId="2" fillId="0" borderId="0" xfId="0" applyFont="1"/>
    <xf numFmtId="167" fontId="0" fillId="0" borderId="0" xfId="0" applyNumberFormat="1"/>
    <xf numFmtId="168" fontId="3" fillId="2" borderId="1" xfId="2" applyNumberFormat="1" applyFont="1" applyFill="1" applyBorder="1"/>
    <xf numFmtId="168" fontId="2" fillId="0" borderId="0" xfId="2" applyNumberFormat="1" applyFont="1"/>
    <xf numFmtId="168" fontId="0" fillId="0" borderId="0" xfId="2" applyNumberFormat="1" applyFont="1"/>
    <xf numFmtId="168" fontId="2" fillId="0" borderId="0" xfId="2" applyNumberFormat="1" applyFont="1" applyAlignment="1">
      <alignment horizontal="center"/>
    </xf>
    <xf numFmtId="168" fontId="8" fillId="0" borderId="0" xfId="2" applyNumberFormat="1" applyFont="1" applyAlignment="1">
      <alignment horizontal="center"/>
    </xf>
    <xf numFmtId="168" fontId="3" fillId="2" borderId="1" xfId="2" applyNumberFormat="1" applyFont="1" applyFill="1" applyBorder="1" applyAlignment="1">
      <alignment horizontal="center"/>
    </xf>
    <xf numFmtId="168" fontId="11" fillId="0" borderId="0" xfId="2" applyNumberFormat="1" applyFont="1"/>
    <xf numFmtId="0" fontId="0" fillId="3" borderId="0" xfId="0" applyFill="1"/>
    <xf numFmtId="44" fontId="0" fillId="0" borderId="0" xfId="0" applyNumberFormat="1" applyAlignment="1">
      <alignment horizontal="center"/>
    </xf>
    <xf numFmtId="0" fontId="15" fillId="0" borderId="0" xfId="0" applyFont="1" applyAlignment="1">
      <alignment horizontal="left" indent="1"/>
    </xf>
    <xf numFmtId="0" fontId="15" fillId="0" borderId="0" xfId="0" applyFont="1"/>
    <xf numFmtId="167" fontId="15" fillId="0" borderId="0" xfId="0" applyNumberFormat="1" applyFont="1"/>
    <xf numFmtId="3" fontId="15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0" fontId="16" fillId="0" borderId="0" xfId="0" applyFont="1" applyAlignment="1">
      <alignment horizontal="left"/>
    </xf>
    <xf numFmtId="0" fontId="0" fillId="3" borderId="0" xfId="0" applyFill="1" applyAlignment="1">
      <alignment horizontal="center"/>
    </xf>
    <xf numFmtId="9" fontId="0" fillId="0" borderId="0" xfId="1" applyFont="1" applyAlignment="1">
      <alignment horizontal="center"/>
    </xf>
    <xf numFmtId="171" fontId="15" fillId="0" borderId="0" xfId="4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8" fillId="0" borderId="0" xfId="0" applyFont="1"/>
    <xf numFmtId="10" fontId="19" fillId="2" borderId="1" xfId="1" applyNumberFormat="1" applyFont="1" applyFill="1" applyBorder="1"/>
    <xf numFmtId="0" fontId="20" fillId="0" borderId="0" xfId="0" applyFont="1"/>
    <xf numFmtId="43" fontId="20" fillId="0" borderId="0" xfId="4" applyFont="1" applyAlignment="1">
      <alignment horizontal="right"/>
    </xf>
    <xf numFmtId="0" fontId="21" fillId="0" borderId="0" xfId="0" applyFont="1" applyAlignment="1">
      <alignment horizontal="left" indent="1"/>
    </xf>
    <xf numFmtId="43" fontId="19" fillId="2" borderId="1" xfId="4" applyFont="1" applyFill="1" applyBorder="1"/>
    <xf numFmtId="43" fontId="20" fillId="0" borderId="0" xfId="4" applyFont="1"/>
    <xf numFmtId="172" fontId="19" fillId="2" borderId="1" xfId="4" applyNumberFormat="1" applyFont="1" applyFill="1" applyBorder="1"/>
    <xf numFmtId="172" fontId="20" fillId="0" borderId="0" xfId="0" applyNumberFormat="1" applyFont="1"/>
    <xf numFmtId="0" fontId="17" fillId="0" borderId="16" xfId="0" applyFont="1" applyBorder="1"/>
    <xf numFmtId="0" fontId="2" fillId="0" borderId="17" xfId="0" applyFont="1" applyBorder="1"/>
    <xf numFmtId="8" fontId="22" fillId="0" borderId="18" xfId="4" applyNumberFormat="1" applyFont="1" applyBorder="1"/>
    <xf numFmtId="172" fontId="0" fillId="0" borderId="0" xfId="0" applyNumberFormat="1"/>
    <xf numFmtId="0" fontId="23" fillId="0" borderId="0" xfId="0" applyFont="1"/>
    <xf numFmtId="0" fontId="21" fillId="0" borderId="0" xfId="0" applyFont="1" applyAlignment="1">
      <alignment horizontal="right"/>
    </xf>
    <xf numFmtId="0" fontId="22" fillId="0" borderId="6" xfId="0" applyFont="1" applyBorder="1"/>
    <xf numFmtId="170" fontId="22" fillId="0" borderId="6" xfId="4" applyNumberFormat="1" applyFont="1" applyBorder="1"/>
    <xf numFmtId="170" fontId="20" fillId="0" borderId="0" xfId="4" applyNumberFormat="1" applyFont="1"/>
    <xf numFmtId="0" fontId="22" fillId="0" borderId="3" xfId="0" applyFont="1" applyBorder="1"/>
    <xf numFmtId="170" fontId="22" fillId="0" borderId="3" xfId="4" applyNumberFormat="1" applyFont="1" applyBorder="1"/>
    <xf numFmtId="43" fontId="0" fillId="0" borderId="0" xfId="0" applyNumberFormat="1"/>
    <xf numFmtId="170" fontId="20" fillId="0" borderId="6" xfId="4" applyNumberFormat="1" applyFont="1" applyBorder="1"/>
    <xf numFmtId="170" fontId="20" fillId="0" borderId="3" xfId="4" applyNumberFormat="1" applyFont="1" applyBorder="1"/>
    <xf numFmtId="168" fontId="0" fillId="0" borderId="0" xfId="0" applyNumberFormat="1"/>
    <xf numFmtId="0" fontId="22" fillId="0" borderId="0" xfId="0" applyFont="1"/>
    <xf numFmtId="172" fontId="22" fillId="4" borderId="0" xfId="0" applyNumberFormat="1" applyFont="1" applyFill="1"/>
    <xf numFmtId="0" fontId="24" fillId="0" borderId="0" xfId="0" applyFont="1"/>
    <xf numFmtId="0" fontId="0" fillId="0" borderId="23" xfId="0" applyBorder="1" applyAlignment="1">
      <alignment horizontal="center"/>
    </xf>
    <xf numFmtId="166" fontId="0" fillId="0" borderId="24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166" fontId="25" fillId="3" borderId="1" xfId="0" applyNumberFormat="1" applyFont="1" applyFill="1" applyBorder="1" applyAlignment="1">
      <alignment horizontal="center"/>
    </xf>
    <xf numFmtId="9" fontId="0" fillId="6" borderId="0" xfId="1" applyFont="1" applyFill="1" applyBorder="1" applyAlignment="1">
      <alignment horizontal="center" vertical="top"/>
    </xf>
    <xf numFmtId="0" fontId="0" fillId="0" borderId="26" xfId="0" applyBorder="1"/>
    <xf numFmtId="0" fontId="0" fillId="0" borderId="21" xfId="0" applyBorder="1"/>
    <xf numFmtId="0" fontId="0" fillId="0" borderId="22" xfId="0" applyBorder="1"/>
    <xf numFmtId="0" fontId="0" fillId="0" borderId="2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0" fillId="6" borderId="2" xfId="0" applyFont="1" applyFill="1" applyBorder="1" applyAlignment="1">
      <alignment horizontal="left" vertical="top"/>
    </xf>
    <xf numFmtId="0" fontId="0" fillId="6" borderId="3" xfId="0" applyFill="1" applyBorder="1"/>
    <xf numFmtId="0" fontId="10" fillId="6" borderId="4" xfId="0" applyFont="1" applyFill="1" applyBorder="1" applyAlignment="1">
      <alignment horizontal="left" vertical="top"/>
    </xf>
    <xf numFmtId="0" fontId="0" fillId="6" borderId="4" xfId="0" applyFill="1" applyBorder="1" applyAlignment="1">
      <alignment horizontal="left" vertical="top"/>
    </xf>
    <xf numFmtId="9" fontId="0" fillId="6" borderId="4" xfId="1" applyFont="1" applyFill="1" applyBorder="1" applyAlignment="1">
      <alignment horizontal="left" vertical="top"/>
    </xf>
    <xf numFmtId="0" fontId="0" fillId="6" borderId="4" xfId="0" applyFill="1" applyBorder="1"/>
    <xf numFmtId="0" fontId="0" fillId="6" borderId="4" xfId="0" applyFill="1" applyBorder="1" applyAlignment="1">
      <alignment horizontal="center"/>
    </xf>
    <xf numFmtId="0" fontId="0" fillId="6" borderId="4" xfId="0" applyFill="1" applyBorder="1" applyAlignment="1">
      <alignment horizontal="left"/>
    </xf>
    <xf numFmtId="43" fontId="0" fillId="6" borderId="0" xfId="4" applyFont="1" applyFill="1" applyBorder="1" applyAlignment="1">
      <alignment horizontal="center"/>
    </xf>
    <xf numFmtId="168" fontId="0" fillId="6" borderId="0" xfId="2" applyNumberFormat="1" applyFont="1" applyFill="1" applyBorder="1" applyAlignment="1">
      <alignment horizontal="right"/>
    </xf>
    <xf numFmtId="9" fontId="0" fillId="6" borderId="0" xfId="1" applyFont="1" applyFill="1" applyBorder="1" applyAlignment="1">
      <alignment horizontal="right"/>
    </xf>
    <xf numFmtId="168" fontId="14" fillId="6" borderId="0" xfId="2" applyNumberFormat="1" applyFont="1" applyFill="1" applyBorder="1" applyAlignment="1">
      <alignment horizontal="right"/>
    </xf>
    <xf numFmtId="0" fontId="0" fillId="6" borderId="5" xfId="0" applyFill="1" applyBorder="1"/>
    <xf numFmtId="0" fontId="0" fillId="6" borderId="6" xfId="0" applyFill="1" applyBorder="1"/>
    <xf numFmtId="168" fontId="2" fillId="0" borderId="0" xfId="2" applyNumberFormat="1" applyFont="1" applyFill="1" applyAlignment="1">
      <alignment horizontal="center"/>
    </xf>
    <xf numFmtId="9" fontId="5" fillId="0" borderId="0" xfId="1" applyFont="1" applyFill="1" applyAlignment="1">
      <alignment horizontal="left"/>
    </xf>
    <xf numFmtId="0" fontId="9" fillId="0" borderId="0" xfId="0" applyFont="1"/>
    <xf numFmtId="0" fontId="2" fillId="0" borderId="0" xfId="0" applyFont="1" applyAlignment="1">
      <alignment horizontal="left" indent="1"/>
    </xf>
    <xf numFmtId="171" fontId="15" fillId="0" borderId="0" xfId="4" applyNumberFormat="1" applyFont="1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 vertical="top"/>
    </xf>
    <xf numFmtId="168" fontId="0" fillId="6" borderId="0" xfId="0" applyNumberFormat="1" applyFill="1" applyAlignment="1">
      <alignment horizontal="center"/>
    </xf>
    <xf numFmtId="0" fontId="7" fillId="6" borderId="0" xfId="0" applyFont="1" applyFill="1" applyAlignment="1">
      <alignment horizontal="left"/>
    </xf>
    <xf numFmtId="0" fontId="0" fillId="6" borderId="0" xfId="0" applyFill="1" applyAlignment="1">
      <alignment horizontal="center"/>
    </xf>
    <xf numFmtId="0" fontId="10" fillId="6" borderId="0" xfId="0" applyFont="1" applyFill="1" applyAlignment="1">
      <alignment horizontal="left" vertical="top"/>
    </xf>
    <xf numFmtId="0" fontId="0" fillId="6" borderId="0" xfId="0" applyFill="1" applyAlignment="1">
      <alignment horizontal="right"/>
    </xf>
    <xf numFmtId="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76" fontId="25" fillId="0" borderId="0" xfId="0" applyNumberFormat="1" applyFont="1" applyAlignment="1">
      <alignment horizontal="center"/>
    </xf>
    <xf numFmtId="173" fontId="26" fillId="2" borderId="1" xfId="1" applyNumberFormat="1" applyFont="1" applyFill="1" applyBorder="1" applyAlignment="1">
      <alignment horizontal="center"/>
    </xf>
    <xf numFmtId="166" fontId="26" fillId="2" borderId="1" xfId="0" applyNumberFormat="1" applyFont="1" applyFill="1" applyBorder="1" applyAlignment="1">
      <alignment horizontal="center"/>
    </xf>
    <xf numFmtId="44" fontId="0" fillId="0" borderId="0" xfId="0" applyNumberFormat="1"/>
    <xf numFmtId="8" fontId="0" fillId="0" borderId="0" xfId="0" applyNumberFormat="1"/>
    <xf numFmtId="177" fontId="6" fillId="0" borderId="0" xfId="0" applyNumberFormat="1" applyFont="1" applyAlignment="1">
      <alignment horizontal="center"/>
    </xf>
    <xf numFmtId="0" fontId="27" fillId="0" borderId="0" xfId="0" applyFont="1"/>
    <xf numFmtId="170" fontId="28" fillId="0" borderId="0" xfId="4" applyNumberFormat="1" applyFont="1"/>
    <xf numFmtId="0" fontId="28" fillId="0" borderId="0" xfId="0" applyFont="1" applyAlignment="1">
      <alignment horizontal="left" indent="1"/>
    </xf>
    <xf numFmtId="9" fontId="0" fillId="0" borderId="0" xfId="1" applyFont="1" applyFill="1"/>
    <xf numFmtId="168" fontId="2" fillId="0" borderId="0" xfId="0" applyNumberFormat="1" applyFont="1" applyAlignment="1">
      <alignment horizontal="center"/>
    </xf>
    <xf numFmtId="170" fontId="2" fillId="0" borderId="0" xfId="4" applyNumberFormat="1" applyFont="1" applyFill="1" applyAlignment="1">
      <alignment horizontal="center"/>
    </xf>
    <xf numFmtId="0" fontId="0" fillId="0" borderId="28" xfId="0" applyBorder="1"/>
    <xf numFmtId="43" fontId="0" fillId="0" borderId="28" xfId="4" applyFont="1" applyBorder="1" applyAlignment="1">
      <alignment horizontal="center" vertical="center"/>
    </xf>
    <xf numFmtId="9" fontId="0" fillId="0" borderId="28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1" fontId="0" fillId="0" borderId="28" xfId="0" applyNumberFormat="1" applyBorder="1" applyAlignment="1">
      <alignment horizontal="center"/>
    </xf>
    <xf numFmtId="176" fontId="25" fillId="0" borderId="28" xfId="0" applyNumberFormat="1" applyFont="1" applyBorder="1" applyAlignment="1">
      <alignment horizontal="center"/>
    </xf>
    <xf numFmtId="168" fontId="0" fillId="0" borderId="28" xfId="0" applyNumberFormat="1" applyBorder="1"/>
    <xf numFmtId="44" fontId="25" fillId="3" borderId="1" xfId="2" applyFont="1" applyFill="1" applyBorder="1" applyAlignment="1">
      <alignment horizontal="center"/>
    </xf>
    <xf numFmtId="0" fontId="29" fillId="4" borderId="0" xfId="0" applyFont="1" applyFill="1" applyAlignment="1">
      <alignment vertical="center"/>
    </xf>
    <xf numFmtId="0" fontId="29" fillId="0" borderId="0" xfId="0" applyFont="1" applyAlignment="1">
      <alignment vertical="center"/>
    </xf>
    <xf numFmtId="0" fontId="29" fillId="3" borderId="0" xfId="0" applyFont="1" applyFill="1" applyAlignment="1">
      <alignment vertical="center"/>
    </xf>
    <xf numFmtId="49" fontId="31" fillId="3" borderId="0" xfId="0" applyNumberFormat="1" applyFont="1" applyFill="1" applyAlignment="1">
      <alignment vertical="center"/>
    </xf>
    <xf numFmtId="0" fontId="33" fillId="3" borderId="0" xfId="0" applyFont="1" applyFill="1" applyAlignment="1">
      <alignment vertical="center"/>
    </xf>
    <xf numFmtId="0" fontId="35" fillId="3" borderId="0" xfId="0" applyFont="1" applyFill="1" applyAlignment="1">
      <alignment vertical="center" wrapText="1"/>
    </xf>
    <xf numFmtId="0" fontId="36" fillId="0" borderId="0" xfId="0" applyFont="1" applyAlignment="1">
      <alignment vertical="center"/>
    </xf>
    <xf numFmtId="168" fontId="39" fillId="3" borderId="0" xfId="2" applyNumberFormat="1" applyFont="1" applyFill="1" applyAlignment="1">
      <alignment vertical="center"/>
    </xf>
    <xf numFmtId="0" fontId="40" fillId="0" borderId="0" xfId="0" applyFont="1" applyAlignment="1">
      <alignment vertical="center"/>
    </xf>
    <xf numFmtId="0" fontId="35" fillId="3" borderId="0" xfId="0" applyFont="1" applyFill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42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168" fontId="30" fillId="3" borderId="0" xfId="2" applyNumberFormat="1" applyFont="1" applyFill="1" applyAlignment="1">
      <alignment horizontal="center" vertical="center"/>
    </xf>
    <xf numFmtId="0" fontId="4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41" fillId="0" borderId="0" xfId="0" applyFont="1" applyAlignment="1">
      <alignment vertical="center" wrapText="1"/>
    </xf>
    <xf numFmtId="168" fontId="30" fillId="3" borderId="0" xfId="2" applyNumberFormat="1" applyFont="1" applyFill="1" applyAlignment="1">
      <alignment vertical="center"/>
    </xf>
    <xf numFmtId="0" fontId="50" fillId="0" borderId="0" xfId="0" applyFont="1" applyAlignment="1">
      <alignment vertical="center"/>
    </xf>
    <xf numFmtId="168" fontId="30" fillId="3" borderId="0" xfId="2" applyNumberFormat="1" applyFont="1" applyFill="1" applyAlignment="1">
      <alignment vertical="center" wrapText="1"/>
    </xf>
    <xf numFmtId="0" fontId="52" fillId="3" borderId="0" xfId="0" applyFont="1" applyFill="1" applyAlignment="1">
      <alignment vertical="center"/>
    </xf>
    <xf numFmtId="44" fontId="30" fillId="3" borderId="0" xfId="2" applyFont="1" applyFill="1" applyAlignment="1">
      <alignment vertical="center"/>
    </xf>
    <xf numFmtId="168" fontId="29" fillId="0" borderId="0" xfId="0" applyNumberFormat="1" applyFont="1" applyAlignment="1">
      <alignment horizontal="left" vertical="center"/>
    </xf>
    <xf numFmtId="0" fontId="54" fillId="0" borderId="0" xfId="0" applyFont="1" applyAlignment="1">
      <alignment vertical="center" wrapText="1"/>
    </xf>
    <xf numFmtId="0" fontId="56" fillId="0" borderId="0" xfId="0" applyFont="1" applyAlignment="1">
      <alignment horizontal="left" vertical="center"/>
    </xf>
    <xf numFmtId="0" fontId="54" fillId="3" borderId="0" xfId="0" applyFont="1" applyFill="1" applyAlignment="1">
      <alignment horizontal="left" vertical="center"/>
    </xf>
    <xf numFmtId="0" fontId="57" fillId="0" borderId="0" xfId="0" applyFont="1" applyAlignment="1">
      <alignment vertical="center"/>
    </xf>
    <xf numFmtId="0" fontId="31" fillId="3" borderId="0" xfId="0" applyFont="1" applyFill="1" applyAlignment="1">
      <alignment horizontal="left" vertical="center"/>
    </xf>
    <xf numFmtId="0" fontId="35" fillId="3" borderId="0" xfId="0" applyFont="1" applyFill="1" applyAlignment="1">
      <alignment vertical="center"/>
    </xf>
    <xf numFmtId="0" fontId="35" fillId="4" borderId="0" xfId="0" applyFont="1" applyFill="1" applyAlignment="1">
      <alignment vertical="center"/>
    </xf>
    <xf numFmtId="0" fontId="35" fillId="0" borderId="0" xfId="0" applyFont="1" applyAlignment="1">
      <alignment horizontal="left" vertical="center"/>
    </xf>
    <xf numFmtId="0" fontId="30" fillId="0" borderId="20" xfId="0" applyFont="1" applyBorder="1" applyAlignment="1">
      <alignment horizontal="left" vertical="center"/>
    </xf>
    <xf numFmtId="168" fontId="35" fillId="0" borderId="0" xfId="0" applyNumberFormat="1" applyFont="1" applyAlignment="1">
      <alignment horizontal="left" vertical="center"/>
    </xf>
    <xf numFmtId="0" fontId="49" fillId="3" borderId="0" xfId="0" applyFont="1" applyFill="1" applyAlignment="1">
      <alignment vertical="center"/>
    </xf>
    <xf numFmtId="0" fontId="62" fillId="0" borderId="0" xfId="0" applyFont="1" applyAlignment="1">
      <alignment horizontal="left" vertical="top" wrapText="1"/>
    </xf>
    <xf numFmtId="0" fontId="29" fillId="4" borderId="0" xfId="0" applyFont="1" applyFill="1" applyAlignment="1">
      <alignment vertical="top"/>
    </xf>
    <xf numFmtId="0" fontId="29" fillId="3" borderId="0" xfId="0" applyFont="1" applyFill="1" applyAlignment="1">
      <alignment vertical="top"/>
    </xf>
    <xf numFmtId="0" fontId="29" fillId="0" borderId="0" xfId="0" applyFont="1" applyAlignment="1">
      <alignment horizontal="left" vertical="top"/>
    </xf>
    <xf numFmtId="168" fontId="30" fillId="3" borderId="0" xfId="2" applyNumberFormat="1" applyFont="1" applyFill="1" applyAlignment="1">
      <alignment horizontal="center" vertical="top"/>
    </xf>
    <xf numFmtId="168" fontId="44" fillId="3" borderId="0" xfId="2" applyNumberFormat="1" applyFont="1" applyFill="1" applyAlignment="1">
      <alignment horizontal="left" vertical="top"/>
    </xf>
    <xf numFmtId="168" fontId="30" fillId="3" borderId="0" xfId="2" applyNumberFormat="1" applyFont="1" applyFill="1" applyAlignment="1">
      <alignment horizontal="right" vertical="top"/>
    </xf>
    <xf numFmtId="0" fontId="29" fillId="0" borderId="0" xfId="0" applyFont="1" applyAlignment="1">
      <alignment vertical="top"/>
    </xf>
    <xf numFmtId="0" fontId="32" fillId="3" borderId="0" xfId="0" applyFont="1" applyFill="1" applyAlignment="1">
      <alignment horizontal="left" vertical="top"/>
    </xf>
    <xf numFmtId="168" fontId="46" fillId="3" borderId="0" xfId="2" applyNumberFormat="1" applyFont="1" applyFill="1" applyAlignment="1">
      <alignment horizontal="center" vertical="top"/>
    </xf>
    <xf numFmtId="0" fontId="39" fillId="3" borderId="0" xfId="0" applyFont="1" applyFill="1" applyAlignment="1">
      <alignment horizontal="left" vertical="top"/>
    </xf>
    <xf numFmtId="0" fontId="48" fillId="0" borderId="0" xfId="0" applyFont="1" applyAlignment="1">
      <alignment vertical="top"/>
    </xf>
    <xf numFmtId="0" fontId="49" fillId="0" borderId="0" xfId="0" applyFont="1" applyAlignment="1">
      <alignment vertical="top"/>
    </xf>
    <xf numFmtId="0" fontId="51" fillId="0" borderId="0" xfId="0" applyFont="1" applyAlignment="1">
      <alignment vertical="top"/>
    </xf>
    <xf numFmtId="168" fontId="30" fillId="3" borderId="0" xfId="2" applyNumberFormat="1" applyFont="1" applyFill="1" applyAlignment="1">
      <alignment horizontal="center" vertical="top" wrapText="1"/>
    </xf>
    <xf numFmtId="0" fontId="52" fillId="3" borderId="0" xfId="0" applyFont="1" applyFill="1" applyAlignment="1">
      <alignment vertical="top"/>
    </xf>
    <xf numFmtId="168" fontId="30" fillId="3" borderId="0" xfId="2" applyNumberFormat="1" applyFont="1" applyFill="1" applyAlignment="1">
      <alignment vertical="top"/>
    </xf>
    <xf numFmtId="0" fontId="56" fillId="0" borderId="0" xfId="0" applyFont="1" applyAlignment="1">
      <alignment horizontal="left" vertical="top"/>
    </xf>
    <xf numFmtId="0" fontId="31" fillId="3" borderId="0" xfId="0" applyFont="1" applyFill="1" applyAlignment="1">
      <alignment horizontal="left" vertical="top"/>
    </xf>
    <xf numFmtId="0" fontId="35" fillId="3" borderId="0" xfId="0" applyFont="1" applyFill="1" applyAlignment="1">
      <alignment vertical="top"/>
    </xf>
    <xf numFmtId="0" fontId="35" fillId="4" borderId="0" xfId="0" applyFont="1" applyFill="1" applyAlignment="1">
      <alignment vertical="top"/>
    </xf>
    <xf numFmtId="0" fontId="35" fillId="0" borderId="0" xfId="0" applyFont="1" applyAlignment="1">
      <alignment horizontal="left" vertical="top"/>
    </xf>
    <xf numFmtId="0" fontId="30" fillId="0" borderId="20" xfId="0" applyFont="1" applyBorder="1" applyAlignment="1">
      <alignment horizontal="left" vertical="top"/>
    </xf>
    <xf numFmtId="168" fontId="35" fillId="0" borderId="0" xfId="0" applyNumberFormat="1" applyFont="1" applyAlignment="1">
      <alignment horizontal="left" vertical="top"/>
    </xf>
    <xf numFmtId="0" fontId="35" fillId="3" borderId="0" xfId="0" applyFont="1" applyFill="1" applyAlignment="1">
      <alignment horizontal="left" vertical="top"/>
    </xf>
    <xf numFmtId="175" fontId="59" fillId="3" borderId="0" xfId="1" applyNumberFormat="1" applyFont="1" applyFill="1" applyBorder="1" applyAlignment="1" applyProtection="1">
      <alignment horizontal="center" vertical="top"/>
    </xf>
    <xf numFmtId="0" fontId="49" fillId="0" borderId="0" xfId="0" applyFont="1" applyAlignment="1">
      <alignment horizontal="left" vertical="top"/>
    </xf>
    <xf numFmtId="0" fontId="60" fillId="0" borderId="0" xfId="0" applyFont="1" applyAlignment="1">
      <alignment horizontal="left" vertical="top"/>
    </xf>
    <xf numFmtId="0" fontId="49" fillId="3" borderId="0" xfId="0" applyFont="1" applyFill="1" applyAlignment="1">
      <alignment horizontal="left" vertical="top"/>
    </xf>
    <xf numFmtId="0" fontId="49" fillId="3" borderId="0" xfId="0" applyFont="1" applyFill="1" applyAlignment="1">
      <alignment vertical="top"/>
    </xf>
    <xf numFmtId="0" fontId="30" fillId="3" borderId="20" xfId="0" applyFont="1" applyFill="1" applyBorder="1" applyAlignment="1">
      <alignment horizontal="left" vertical="top"/>
    </xf>
    <xf numFmtId="0" fontId="35" fillId="0" borderId="20" xfId="0" applyFont="1" applyBorder="1" applyAlignment="1">
      <alignment horizontal="left" vertical="top"/>
    </xf>
    <xf numFmtId="0" fontId="62" fillId="0" borderId="0" xfId="0" applyFont="1" applyAlignment="1">
      <alignment horizontal="left" vertical="top"/>
    </xf>
    <xf numFmtId="168" fontId="44" fillId="3" borderId="0" xfId="2" applyNumberFormat="1" applyFont="1" applyFill="1" applyAlignment="1">
      <alignment horizontal="left" vertical="center"/>
    </xf>
    <xf numFmtId="0" fontId="35" fillId="0" borderId="0" xfId="0" applyFont="1" applyAlignment="1">
      <alignment vertical="top" wrapText="1"/>
    </xf>
    <xf numFmtId="0" fontId="53" fillId="0" borderId="0" xfId="0" applyFont="1" applyAlignment="1">
      <alignment vertical="top" wrapText="1"/>
    </xf>
    <xf numFmtId="0" fontId="46" fillId="0" borderId="0" xfId="0" applyFont="1" applyAlignment="1">
      <alignment vertical="top"/>
    </xf>
    <xf numFmtId="0" fontId="55" fillId="0" borderId="0" xfId="0" applyFont="1" applyAlignment="1">
      <alignment horizontal="center" vertical="center" wrapText="1"/>
    </xf>
    <xf numFmtId="0" fontId="53" fillId="0" borderId="0" xfId="0" applyFont="1" applyAlignment="1">
      <alignment horizontal="left" vertical="center" wrapText="1"/>
    </xf>
    <xf numFmtId="44" fontId="30" fillId="3" borderId="0" xfId="2" applyFont="1" applyFill="1" applyAlignment="1">
      <alignment horizontal="center" vertical="top"/>
    </xf>
    <xf numFmtId="0" fontId="42" fillId="0" borderId="0" xfId="0" applyFont="1" applyAlignment="1">
      <alignment vertical="center" wrapText="1"/>
    </xf>
    <xf numFmtId="0" fontId="43" fillId="0" borderId="0" xfId="0" applyFont="1" applyAlignment="1">
      <alignment vertical="center" wrapText="1"/>
    </xf>
    <xf numFmtId="0" fontId="65" fillId="0" borderId="0" xfId="0" applyFont="1" applyAlignment="1">
      <alignment horizontal="left" vertical="top"/>
    </xf>
    <xf numFmtId="0" fontId="43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168" fontId="61" fillId="3" borderId="0" xfId="2" applyNumberFormat="1" applyFont="1" applyFill="1" applyBorder="1" applyAlignment="1" applyProtection="1">
      <alignment horizontal="right" vertical="top"/>
      <protection locked="0"/>
    </xf>
    <xf numFmtId="0" fontId="66" fillId="3" borderId="0" xfId="0" applyFont="1" applyFill="1" applyAlignment="1">
      <alignment horizontal="left" vertical="center"/>
    </xf>
    <xf numFmtId="0" fontId="67" fillId="3" borderId="0" xfId="0" applyFont="1" applyFill="1" applyAlignment="1">
      <alignment horizontal="left" vertical="center"/>
    </xf>
    <xf numFmtId="0" fontId="52" fillId="0" borderId="0" xfId="0" applyFont="1" applyAlignment="1">
      <alignment vertical="center"/>
    </xf>
    <xf numFmtId="17" fontId="72" fillId="3" borderId="0" xfId="0" quotePrefix="1" applyNumberFormat="1" applyFont="1" applyFill="1" applyAlignment="1">
      <alignment horizontal="right" vertical="center"/>
    </xf>
    <xf numFmtId="17" fontId="72" fillId="3" borderId="0" xfId="0" applyNumberFormat="1" applyFont="1" applyFill="1" applyAlignment="1">
      <alignment horizontal="right" vertical="center"/>
    </xf>
    <xf numFmtId="0" fontId="46" fillId="3" borderId="0" xfId="0" applyFont="1" applyFill="1" applyAlignment="1">
      <alignment horizontal="left" vertical="center"/>
    </xf>
    <xf numFmtId="0" fontId="73" fillId="3" borderId="0" xfId="0" applyFont="1" applyFill="1" applyAlignment="1">
      <alignment vertical="center"/>
    </xf>
    <xf numFmtId="0" fontId="35" fillId="0" borderId="0" xfId="0" applyFont="1" applyAlignment="1">
      <alignment vertical="center"/>
    </xf>
    <xf numFmtId="0" fontId="46" fillId="3" borderId="0" xfId="0" applyFont="1" applyFill="1" applyAlignment="1">
      <alignment horizontal="left" vertical="top"/>
    </xf>
    <xf numFmtId="0" fontId="73" fillId="3" borderId="0" xfId="0" applyFont="1" applyFill="1" applyAlignment="1">
      <alignment vertical="top"/>
    </xf>
    <xf numFmtId="0" fontId="67" fillId="3" borderId="0" xfId="0" applyFont="1" applyFill="1" applyAlignment="1">
      <alignment horizontal="left" vertical="top"/>
    </xf>
    <xf numFmtId="0" fontId="70" fillId="0" borderId="0" xfId="0" applyFont="1" applyAlignment="1">
      <alignment horizontal="left" vertical="center"/>
    </xf>
    <xf numFmtId="0" fontId="74" fillId="0" borderId="0" xfId="0" applyFont="1" applyAlignment="1">
      <alignment horizontal="left" vertical="center"/>
    </xf>
    <xf numFmtId="0" fontId="74" fillId="0" borderId="0" xfId="0" applyFont="1" applyAlignment="1">
      <alignment horizontal="left" vertical="top"/>
    </xf>
    <xf numFmtId="0" fontId="74" fillId="0" borderId="0" xfId="0" applyFont="1" applyAlignment="1">
      <alignment vertical="top"/>
    </xf>
    <xf numFmtId="0" fontId="74" fillId="0" borderId="0" xfId="0" applyFont="1" applyAlignment="1">
      <alignment vertical="center"/>
    </xf>
    <xf numFmtId="0" fontId="70" fillId="3" borderId="0" xfId="0" applyFont="1" applyFill="1" applyAlignment="1">
      <alignment horizontal="left" vertical="center"/>
    </xf>
    <xf numFmtId="0" fontId="70" fillId="3" borderId="0" xfId="0" applyFont="1" applyFill="1" applyAlignment="1">
      <alignment horizontal="left" vertical="top"/>
    </xf>
    <xf numFmtId="0" fontId="73" fillId="0" borderId="0" xfId="0" applyFont="1" applyAlignment="1">
      <alignment horizontal="left" vertical="top"/>
    </xf>
    <xf numFmtId="0" fontId="69" fillId="3" borderId="0" xfId="0" applyFont="1" applyFill="1" applyAlignment="1">
      <alignment vertical="top"/>
    </xf>
    <xf numFmtId="0" fontId="76" fillId="3" borderId="0" xfId="0" applyFont="1" applyFill="1" applyAlignment="1">
      <alignment vertical="center"/>
    </xf>
    <xf numFmtId="0" fontId="77" fillId="3" borderId="0" xfId="0" applyFont="1" applyFill="1" applyAlignment="1">
      <alignment vertical="center"/>
    </xf>
    <xf numFmtId="0" fontId="76" fillId="0" borderId="0" xfId="0" applyFont="1" applyAlignment="1">
      <alignment horizontal="left" vertical="center"/>
    </xf>
    <xf numFmtId="0" fontId="46" fillId="0" borderId="0" xfId="0" applyFont="1" applyAlignment="1">
      <alignment vertical="center"/>
    </xf>
    <xf numFmtId="0" fontId="78" fillId="3" borderId="0" xfId="0" applyFont="1" applyFill="1" applyAlignment="1">
      <alignment vertical="center"/>
    </xf>
    <xf numFmtId="0" fontId="76" fillId="3" borderId="0" xfId="0" applyFont="1" applyFill="1" applyAlignment="1">
      <alignment vertical="top"/>
    </xf>
    <xf numFmtId="0" fontId="76" fillId="0" borderId="0" xfId="0" applyFont="1" applyAlignment="1">
      <alignment vertical="top"/>
    </xf>
    <xf numFmtId="0" fontId="76" fillId="0" borderId="0" xfId="0" applyFont="1" applyAlignment="1">
      <alignment horizontal="left" vertical="top"/>
    </xf>
    <xf numFmtId="0" fontId="59" fillId="0" borderId="0" xfId="0" applyFont="1" applyAlignment="1">
      <alignment vertical="top"/>
    </xf>
    <xf numFmtId="0" fontId="46" fillId="3" borderId="0" xfId="0" applyFont="1" applyFill="1" applyAlignment="1">
      <alignment vertical="center"/>
    </xf>
    <xf numFmtId="0" fontId="52" fillId="0" borderId="0" xfId="0" applyFont="1" applyAlignment="1">
      <alignment horizontal="left" vertical="top"/>
    </xf>
    <xf numFmtId="0" fontId="52" fillId="0" borderId="0" xfId="0" applyFont="1" applyAlignment="1">
      <alignment horizontal="left" vertical="center"/>
    </xf>
    <xf numFmtId="168" fontId="49" fillId="3" borderId="0" xfId="2" applyNumberFormat="1" applyFont="1" applyFill="1" applyAlignment="1">
      <alignment vertical="top"/>
    </xf>
    <xf numFmtId="0" fontId="68" fillId="3" borderId="0" xfId="0" applyFont="1" applyFill="1" applyAlignment="1">
      <alignment horizontal="left" vertical="center"/>
    </xf>
    <xf numFmtId="0" fontId="80" fillId="0" borderId="0" xfId="0" applyFont="1" applyAlignment="1">
      <alignment vertical="top"/>
    </xf>
    <xf numFmtId="0" fontId="81" fillId="3" borderId="0" xfId="0" applyFont="1" applyFill="1" applyAlignment="1">
      <alignment vertical="top"/>
    </xf>
    <xf numFmtId="0" fontId="78" fillId="3" borderId="0" xfId="0" applyFont="1" applyFill="1" applyAlignment="1">
      <alignment vertical="top"/>
    </xf>
    <xf numFmtId="0" fontId="52" fillId="5" borderId="0" xfId="0" applyFont="1" applyFill="1" applyAlignment="1">
      <alignment vertical="top"/>
    </xf>
    <xf numFmtId="0" fontId="52" fillId="0" borderId="0" xfId="0" applyFont="1" applyAlignment="1">
      <alignment vertical="top"/>
    </xf>
    <xf numFmtId="0" fontId="52" fillId="5" borderId="0" xfId="0" applyFont="1" applyFill="1" applyAlignment="1">
      <alignment vertical="center"/>
    </xf>
    <xf numFmtId="49" fontId="52" fillId="3" borderId="9" xfId="2" applyNumberFormat="1" applyFont="1" applyFill="1" applyBorder="1" applyAlignment="1" applyProtection="1">
      <alignment horizontal="center" vertical="center"/>
      <protection locked="0"/>
    </xf>
    <xf numFmtId="0" fontId="82" fillId="3" borderId="0" xfId="0" applyFont="1" applyFill="1" applyAlignment="1">
      <alignment vertical="top"/>
    </xf>
    <xf numFmtId="166" fontId="52" fillId="3" borderId="8" xfId="2" applyNumberFormat="1" applyFont="1" applyFill="1" applyBorder="1" applyAlignment="1" applyProtection="1">
      <alignment horizontal="center" vertical="center"/>
      <protection locked="0"/>
    </xf>
    <xf numFmtId="0" fontId="52" fillId="3" borderId="0" xfId="0" applyFont="1" applyFill="1" applyAlignment="1">
      <alignment horizontal="left" vertical="center"/>
    </xf>
    <xf numFmtId="166" fontId="52" fillId="3" borderId="0" xfId="2" applyNumberFormat="1" applyFont="1" applyFill="1" applyBorder="1" applyAlignment="1">
      <alignment horizontal="center" vertical="top"/>
    </xf>
    <xf numFmtId="0" fontId="52" fillId="3" borderId="0" xfId="0" applyFont="1" applyFill="1" applyAlignment="1">
      <alignment horizontal="left" vertical="top"/>
    </xf>
    <xf numFmtId="0" fontId="83" fillId="3" borderId="0" xfId="0" applyFont="1" applyFill="1" applyAlignment="1">
      <alignment horizontal="left" vertical="top"/>
    </xf>
    <xf numFmtId="0" fontId="83" fillId="3" borderId="0" xfId="0" applyFont="1" applyFill="1" applyAlignment="1">
      <alignment vertical="top"/>
    </xf>
    <xf numFmtId="168" fontId="52" fillId="3" borderId="7" xfId="2" applyNumberFormat="1" applyFont="1" applyFill="1" applyBorder="1" applyAlignment="1" applyProtection="1">
      <alignment vertical="center"/>
      <protection locked="0"/>
    </xf>
    <xf numFmtId="168" fontId="52" fillId="3" borderId="0" xfId="2" applyNumberFormat="1" applyFont="1" applyFill="1" applyBorder="1" applyAlignment="1" applyProtection="1">
      <alignment vertical="center"/>
      <protection locked="0"/>
    </xf>
    <xf numFmtId="168" fontId="52" fillId="3" borderId="0" xfId="2" applyNumberFormat="1" applyFont="1" applyFill="1" applyBorder="1" applyAlignment="1" applyProtection="1">
      <alignment vertical="top"/>
      <protection locked="0"/>
    </xf>
    <xf numFmtId="168" fontId="52" fillId="3" borderId="0" xfId="2" applyNumberFormat="1" applyFont="1" applyFill="1" applyBorder="1" applyAlignment="1">
      <alignment vertical="top"/>
    </xf>
    <xf numFmtId="168" fontId="52" fillId="3" borderId="0" xfId="2" applyNumberFormat="1" applyFont="1" applyFill="1" applyBorder="1" applyAlignment="1">
      <alignment vertical="center"/>
    </xf>
    <xf numFmtId="0" fontId="84" fillId="3" borderId="0" xfId="0" applyFont="1" applyFill="1" applyAlignment="1">
      <alignment vertical="center"/>
    </xf>
    <xf numFmtId="0" fontId="84" fillId="3" borderId="0" xfId="0" applyFont="1" applyFill="1" applyAlignment="1">
      <alignment vertical="top"/>
    </xf>
    <xf numFmtId="166" fontId="52" fillId="0" borderId="0" xfId="0" applyNumberFormat="1" applyFont="1" applyAlignment="1">
      <alignment vertical="top"/>
    </xf>
    <xf numFmtId="166" fontId="52" fillId="0" borderId="0" xfId="0" applyNumberFormat="1" applyFont="1" applyAlignment="1">
      <alignment vertical="center"/>
    </xf>
    <xf numFmtId="166" fontId="52" fillId="3" borderId="15" xfId="2" applyNumberFormat="1" applyFont="1" applyFill="1" applyBorder="1" applyAlignment="1">
      <alignment horizontal="center" vertical="center"/>
    </xf>
    <xf numFmtId="0" fontId="83" fillId="3" borderId="0" xfId="0" applyFont="1" applyFill="1" applyAlignment="1">
      <alignment vertical="center"/>
    </xf>
    <xf numFmtId="0" fontId="77" fillId="3" borderId="0" xfId="0" applyFont="1" applyFill="1" applyAlignment="1">
      <alignment vertical="top"/>
    </xf>
    <xf numFmtId="0" fontId="52" fillId="7" borderId="0" xfId="0" applyFont="1" applyFill="1" applyAlignment="1">
      <alignment vertical="top"/>
    </xf>
    <xf numFmtId="0" fontId="49" fillId="7" borderId="0" xfId="0" applyFont="1" applyFill="1" applyAlignment="1">
      <alignment vertical="top"/>
    </xf>
    <xf numFmtId="0" fontId="49" fillId="0" borderId="0" xfId="0" applyFont="1" applyAlignment="1">
      <alignment vertical="center"/>
    </xf>
    <xf numFmtId="0" fontId="49" fillId="7" borderId="0" xfId="0" applyFont="1" applyFill="1" applyAlignment="1">
      <alignment vertical="center"/>
    </xf>
    <xf numFmtId="0" fontId="49" fillId="0" borderId="0" xfId="0" applyFont="1" applyAlignment="1">
      <alignment horizontal="left" vertical="center" indent="1"/>
    </xf>
    <xf numFmtId="3" fontId="86" fillId="0" borderId="9" xfId="4" applyNumberFormat="1" applyFont="1" applyFill="1" applyBorder="1" applyAlignment="1" applyProtection="1">
      <protection locked="0"/>
    </xf>
    <xf numFmtId="0" fontId="25" fillId="0" borderId="0" xfId="0" applyFont="1" applyAlignment="1">
      <alignment vertical="center"/>
    </xf>
    <xf numFmtId="0" fontId="70" fillId="0" borderId="0" xfId="0" applyFont="1" applyAlignment="1">
      <alignment vertical="top"/>
    </xf>
    <xf numFmtId="168" fontId="2" fillId="0" borderId="6" xfId="2" applyNumberFormat="1" applyFont="1" applyBorder="1"/>
    <xf numFmtId="0" fontId="2" fillId="0" borderId="5" xfId="0" applyFont="1" applyBorder="1"/>
    <xf numFmtId="168" fontId="0" fillId="0" borderId="0" xfId="2" applyNumberFormat="1" applyFont="1" applyBorder="1"/>
    <xf numFmtId="0" fontId="0" fillId="0" borderId="4" xfId="0" applyBorder="1"/>
    <xf numFmtId="0" fontId="0" fillId="0" borderId="3" xfId="0" applyBorder="1" applyAlignment="1">
      <alignment horizontal="right"/>
    </xf>
    <xf numFmtId="0" fontId="0" fillId="0" borderId="2" xfId="0" applyBorder="1"/>
    <xf numFmtId="168" fontId="2" fillId="0" borderId="0" xfId="0" applyNumberFormat="1" applyFont="1"/>
    <xf numFmtId="0" fontId="0" fillId="0" borderId="0" xfId="0" applyAlignment="1">
      <alignment horizontal="right"/>
    </xf>
    <xf numFmtId="170" fontId="0" fillId="0" borderId="0" xfId="4" applyNumberFormat="1" applyFont="1"/>
    <xf numFmtId="3" fontId="0" fillId="0" borderId="0" xfId="0" applyNumberFormat="1" applyAlignment="1">
      <alignment horizontal="center"/>
    </xf>
    <xf numFmtId="1" fontId="0" fillId="0" borderId="0" xfId="0" applyNumberFormat="1"/>
    <xf numFmtId="0" fontId="85" fillId="7" borderId="0" xfId="0" applyFont="1" applyFill="1" applyAlignment="1">
      <alignment horizontal="center"/>
    </xf>
    <xf numFmtId="0" fontId="85" fillId="7" borderId="0" xfId="0" applyFont="1" applyFill="1" applyAlignment="1">
      <alignment horizontal="right"/>
    </xf>
    <xf numFmtId="0" fontId="85" fillId="7" borderId="0" xfId="0" applyFont="1" applyFill="1"/>
    <xf numFmtId="168" fontId="87" fillId="0" borderId="0" xfId="2" applyNumberFormat="1" applyFont="1"/>
    <xf numFmtId="0" fontId="87" fillId="0" borderId="0" xfId="0" applyFont="1" applyAlignment="1">
      <alignment horizontal="right" indent="1"/>
    </xf>
    <xf numFmtId="168" fontId="0" fillId="0" borderId="6" xfId="2" applyNumberFormat="1" applyFont="1" applyBorder="1"/>
    <xf numFmtId="0" fontId="0" fillId="0" borderId="5" xfId="0" applyBorder="1"/>
    <xf numFmtId="170" fontId="0" fillId="0" borderId="0" xfId="0" applyNumberFormat="1"/>
    <xf numFmtId="168" fontId="0" fillId="0" borderId="3" xfId="0" applyNumberFormat="1" applyBorder="1"/>
    <xf numFmtId="168" fontId="0" fillId="0" borderId="3" xfId="2" applyNumberFormat="1" applyFont="1" applyBorder="1"/>
    <xf numFmtId="168" fontId="88" fillId="3" borderId="0" xfId="2" applyNumberFormat="1" applyFont="1" applyFill="1" applyAlignment="1">
      <alignment vertical="center"/>
    </xf>
    <xf numFmtId="1" fontId="87" fillId="0" borderId="0" xfId="4" applyNumberFormat="1" applyFont="1"/>
    <xf numFmtId="0" fontId="87" fillId="0" borderId="0" xfId="0" applyFont="1" applyAlignment="1">
      <alignment horizontal="left" indent="1"/>
    </xf>
    <xf numFmtId="170" fontId="87" fillId="0" borderId="0" xfId="4" applyNumberFormat="1" applyFont="1"/>
    <xf numFmtId="0" fontId="89" fillId="2" borderId="1" xfId="0" applyFont="1" applyFill="1" applyBorder="1"/>
    <xf numFmtId="9" fontId="0" fillId="0" borderId="0" xfId="0" applyNumberFormat="1"/>
    <xf numFmtId="9" fontId="0" fillId="0" borderId="0" xfId="1" applyFont="1"/>
    <xf numFmtId="173" fontId="0" fillId="0" borderId="0" xfId="1" applyNumberFormat="1" applyFont="1"/>
    <xf numFmtId="0" fontId="90" fillId="0" borderId="6" xfId="0" applyFont="1" applyBorder="1"/>
    <xf numFmtId="0" fontId="0" fillId="0" borderId="6" xfId="0" applyBorder="1"/>
    <xf numFmtId="0" fontId="91" fillId="0" borderId="0" xfId="0" applyFont="1"/>
    <xf numFmtId="168" fontId="89" fillId="2" borderId="1" xfId="2" applyNumberFormat="1" applyFont="1" applyFill="1" applyBorder="1"/>
    <xf numFmtId="9" fontId="89" fillId="2" borderId="1" xfId="0" applyNumberFormat="1" applyFont="1" applyFill="1" applyBorder="1"/>
    <xf numFmtId="0" fontId="92" fillId="0" borderId="0" xfId="0" applyFont="1"/>
    <xf numFmtId="0" fontId="93" fillId="0" borderId="0" xfId="0" applyFont="1" applyAlignment="1">
      <alignment horizontal="center" vertical="center" readingOrder="1"/>
    </xf>
    <xf numFmtId="0" fontId="80" fillId="0" borderId="0" xfId="0" applyFont="1" applyAlignment="1">
      <alignment vertical="center"/>
    </xf>
    <xf numFmtId="0" fontId="49" fillId="0" borderId="0" xfId="0" applyFont="1" applyAlignment="1">
      <alignment horizontal="left" vertical="center"/>
    </xf>
    <xf numFmtId="0" fontId="86" fillId="0" borderId="0" xfId="0" applyFont="1" applyAlignment="1">
      <alignment horizontal="left" vertical="center"/>
    </xf>
    <xf numFmtId="0" fontId="86" fillId="4" borderId="0" xfId="0" applyFont="1" applyFill="1" applyAlignment="1">
      <alignment vertical="center"/>
    </xf>
    <xf numFmtId="0" fontId="80" fillId="0" borderId="0" xfId="0" applyFont="1" applyAlignment="1">
      <alignment horizontal="left" vertical="center"/>
    </xf>
    <xf numFmtId="0" fontId="86" fillId="3" borderId="0" xfId="0" applyFont="1" applyFill="1" applyAlignment="1">
      <alignment vertical="center"/>
    </xf>
    <xf numFmtId="168" fontId="49" fillId="0" borderId="0" xfId="2" applyNumberFormat="1" applyFont="1" applyFill="1" applyBorder="1" applyAlignment="1" applyProtection="1">
      <alignment horizontal="center" vertical="top"/>
      <protection locked="0"/>
    </xf>
    <xf numFmtId="0" fontId="34" fillId="0" borderId="0" xfId="0" applyFont="1" applyAlignment="1">
      <alignment vertical="center"/>
    </xf>
    <xf numFmtId="168" fontId="94" fillId="0" borderId="0" xfId="2" applyNumberFormat="1" applyFont="1" applyFill="1" applyBorder="1" applyAlignment="1" applyProtection="1">
      <alignment horizontal="center" vertical="center"/>
      <protection locked="0"/>
    </xf>
    <xf numFmtId="0" fontId="86" fillId="0" borderId="0" xfId="0" applyFont="1" applyAlignment="1">
      <alignment vertical="center"/>
    </xf>
    <xf numFmtId="168" fontId="46" fillId="3" borderId="0" xfId="2" applyNumberFormat="1" applyFont="1" applyFill="1" applyAlignment="1">
      <alignment horizontal="right" vertical="center"/>
    </xf>
    <xf numFmtId="168" fontId="49" fillId="3" borderId="0" xfId="2" applyNumberFormat="1" applyFont="1" applyFill="1" applyAlignment="1">
      <alignment horizontal="right" vertical="center"/>
    </xf>
    <xf numFmtId="168" fontId="95" fillId="3" borderId="0" xfId="2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right" vertical="center"/>
    </xf>
    <xf numFmtId="0" fontId="96" fillId="0" borderId="0" xfId="0" applyFont="1" applyAlignment="1">
      <alignment horizontal="left" vertical="top" wrapText="1"/>
    </xf>
    <xf numFmtId="0" fontId="49" fillId="4" borderId="0" xfId="0" applyFont="1" applyFill="1" applyAlignment="1">
      <alignment vertical="center"/>
    </xf>
    <xf numFmtId="0" fontId="97" fillId="0" borderId="0" xfId="0" applyFont="1" applyAlignment="1">
      <alignment horizontal="left" vertical="top"/>
    </xf>
    <xf numFmtId="0" fontId="95" fillId="0" borderId="0" xfId="0" applyFont="1" applyAlignment="1">
      <alignment horizontal="left" vertical="center" indent="1"/>
    </xf>
    <xf numFmtId="0" fontId="86" fillId="0" borderId="0" xfId="0" applyFont="1" applyAlignment="1">
      <alignment horizontal="left" vertical="top"/>
    </xf>
    <xf numFmtId="0" fontId="80" fillId="0" borderId="0" xfId="0" applyFont="1" applyAlignment="1">
      <alignment horizontal="left" vertical="top"/>
    </xf>
    <xf numFmtId="0" fontId="86" fillId="4" borderId="0" xfId="0" applyFont="1" applyFill="1" applyAlignment="1">
      <alignment vertical="top"/>
    </xf>
    <xf numFmtId="0" fontId="86" fillId="3" borderId="0" xfId="0" applyFont="1" applyFill="1" applyAlignment="1">
      <alignment vertical="top"/>
    </xf>
    <xf numFmtId="0" fontId="98" fillId="0" borderId="0" xfId="0" applyFont="1" applyAlignment="1">
      <alignment horizontal="left" vertical="top"/>
    </xf>
    <xf numFmtId="9" fontId="99" fillId="3" borderId="0" xfId="1" applyFont="1" applyFill="1" applyBorder="1" applyAlignment="1">
      <alignment vertical="center"/>
    </xf>
    <xf numFmtId="9" fontId="49" fillId="3" borderId="0" xfId="1" applyFont="1" applyFill="1" applyBorder="1" applyAlignment="1">
      <alignment horizontal="center" vertical="center"/>
    </xf>
    <xf numFmtId="168" fontId="97" fillId="0" borderId="0" xfId="2" applyNumberFormat="1" applyFont="1" applyFill="1" applyBorder="1" applyAlignment="1" applyProtection="1">
      <alignment horizontal="center" vertical="center"/>
      <protection locked="0"/>
    </xf>
    <xf numFmtId="0" fontId="98" fillId="0" borderId="0" xfId="0" applyFont="1" applyAlignment="1">
      <alignment horizontal="left" vertical="center"/>
    </xf>
    <xf numFmtId="0" fontId="100" fillId="0" borderId="0" xfId="0" applyFont="1" applyAlignment="1">
      <alignment horizontal="left" vertical="top"/>
    </xf>
    <xf numFmtId="0" fontId="49" fillId="0" borderId="0" xfId="0" applyFont="1" applyAlignment="1">
      <alignment horizontal="right" vertical="top"/>
    </xf>
    <xf numFmtId="168" fontId="49" fillId="3" borderId="0" xfId="2" applyNumberFormat="1" applyFont="1" applyFill="1" applyAlignment="1">
      <alignment vertical="center"/>
    </xf>
    <xf numFmtId="168" fontId="49" fillId="3" borderId="0" xfId="2" applyNumberFormat="1" applyFont="1" applyFill="1" applyBorder="1" applyAlignment="1">
      <alignment vertical="center"/>
    </xf>
    <xf numFmtId="0" fontId="101" fillId="0" borderId="0" xfId="0" applyFont="1" applyAlignment="1">
      <alignment horizontal="left" vertical="center"/>
    </xf>
    <xf numFmtId="9" fontId="65" fillId="3" borderId="0" xfId="1" applyFont="1" applyFill="1" applyBorder="1" applyAlignment="1">
      <alignment vertical="center"/>
    </xf>
    <xf numFmtId="9" fontId="65" fillId="3" borderId="0" xfId="1" applyFont="1" applyFill="1" applyBorder="1" applyAlignment="1">
      <alignment horizontal="center" vertical="center"/>
    </xf>
    <xf numFmtId="0" fontId="65" fillId="0" borderId="0" xfId="0" applyFont="1" applyAlignment="1">
      <alignment horizontal="left" vertical="center"/>
    </xf>
    <xf numFmtId="0" fontId="102" fillId="0" borderId="0" xfId="0" applyFont="1" applyAlignment="1">
      <alignment horizontal="left" vertical="center"/>
    </xf>
    <xf numFmtId="0" fontId="86" fillId="8" borderId="0" xfId="0" applyFont="1" applyFill="1" applyAlignment="1">
      <alignment vertical="center"/>
    </xf>
    <xf numFmtId="0" fontId="86" fillId="9" borderId="0" xfId="0" applyFont="1" applyFill="1" applyAlignment="1">
      <alignment vertical="center"/>
    </xf>
    <xf numFmtId="0" fontId="86" fillId="7" borderId="0" xfId="0" applyFont="1" applyFill="1" applyAlignment="1">
      <alignment vertical="center"/>
    </xf>
    <xf numFmtId="0" fontId="86" fillId="10" borderId="0" xfId="0" applyFont="1" applyFill="1" applyAlignment="1">
      <alignment vertical="center"/>
    </xf>
    <xf numFmtId="0" fontId="86" fillId="11" borderId="0" xfId="0" applyFont="1" applyFill="1" applyAlignment="1">
      <alignment vertical="center"/>
    </xf>
    <xf numFmtId="0" fontId="29" fillId="12" borderId="0" xfId="0" applyFont="1" applyFill="1" applyAlignment="1">
      <alignment vertical="center"/>
    </xf>
    <xf numFmtId="9" fontId="51" fillId="0" borderId="0" xfId="1" applyFont="1" applyAlignment="1">
      <alignment vertical="center"/>
    </xf>
    <xf numFmtId="0" fontId="52" fillId="12" borderId="0" xfId="0" applyFont="1" applyFill="1" applyAlignment="1">
      <alignment vertical="center"/>
    </xf>
    <xf numFmtId="0" fontId="52" fillId="9" borderId="0" xfId="0" applyFont="1" applyFill="1" applyAlignment="1">
      <alignment vertical="center"/>
    </xf>
    <xf numFmtId="0" fontId="52" fillId="10" borderId="0" xfId="0" applyFont="1" applyFill="1" applyAlignment="1">
      <alignment vertical="center"/>
    </xf>
    <xf numFmtId="0" fontId="29" fillId="7" borderId="0" xfId="0" applyFont="1" applyFill="1" applyAlignment="1">
      <alignment vertical="center"/>
    </xf>
    <xf numFmtId="0" fontId="70" fillId="3" borderId="0" xfId="0" applyFont="1" applyFill="1" applyAlignment="1">
      <alignment horizontal="left" vertical="center" indent="1"/>
    </xf>
    <xf numFmtId="0" fontId="29" fillId="9" borderId="0" xfId="0" applyFont="1" applyFill="1" applyAlignment="1">
      <alignment vertical="center"/>
    </xf>
    <xf numFmtId="0" fontId="29" fillId="10" borderId="0" xfId="0" applyFont="1" applyFill="1" applyAlignment="1">
      <alignment vertical="center"/>
    </xf>
    <xf numFmtId="0" fontId="95" fillId="10" borderId="0" xfId="0" applyFont="1" applyFill="1" applyAlignment="1">
      <alignment vertical="center"/>
    </xf>
    <xf numFmtId="0" fontId="95" fillId="0" borderId="0" xfId="0" applyFont="1" applyAlignment="1">
      <alignment vertical="center"/>
    </xf>
    <xf numFmtId="0" fontId="95" fillId="3" borderId="0" xfId="0" applyFont="1" applyFill="1" applyAlignment="1">
      <alignment horizontal="left" vertical="center" indent="1"/>
    </xf>
    <xf numFmtId="0" fontId="98" fillId="3" borderId="0" xfId="0" applyFont="1" applyFill="1" applyAlignment="1">
      <alignment vertical="center"/>
    </xf>
    <xf numFmtId="0" fontId="95" fillId="7" borderId="0" xfId="0" applyFont="1" applyFill="1" applyAlignment="1">
      <alignment vertical="center"/>
    </xf>
    <xf numFmtId="0" fontId="95" fillId="9" borderId="0" xfId="0" applyFont="1" applyFill="1" applyAlignment="1">
      <alignment vertical="center"/>
    </xf>
    <xf numFmtId="10" fontId="49" fillId="3" borderId="0" xfId="1" applyNumberFormat="1" applyFont="1" applyFill="1" applyBorder="1" applyAlignment="1">
      <alignment vertical="center"/>
    </xf>
    <xf numFmtId="0" fontId="95" fillId="12" borderId="0" xfId="0" applyFont="1" applyFill="1" applyAlignment="1">
      <alignment vertical="center"/>
    </xf>
    <xf numFmtId="0" fontId="103" fillId="0" borderId="0" xfId="0" applyFont="1" applyAlignment="1">
      <alignment horizontal="left" vertical="center"/>
    </xf>
    <xf numFmtId="0" fontId="25" fillId="4" borderId="0" xfId="0" applyFont="1" applyFill="1" applyAlignment="1">
      <alignment vertical="center"/>
    </xf>
    <xf numFmtId="0" fontId="25" fillId="3" borderId="0" xfId="0" applyFont="1" applyFill="1" applyAlignment="1">
      <alignment vertical="center"/>
    </xf>
    <xf numFmtId="168" fontId="94" fillId="3" borderId="0" xfId="2" applyNumberFormat="1" applyFont="1" applyFill="1" applyBorder="1" applyAlignment="1">
      <alignment vertical="center" wrapText="1"/>
    </xf>
    <xf numFmtId="0" fontId="94" fillId="0" borderId="0" xfId="0" applyFont="1" applyAlignment="1">
      <alignment vertical="center" wrapText="1"/>
    </xf>
    <xf numFmtId="3" fontId="86" fillId="13" borderId="9" xfId="4" applyNumberFormat="1" applyFont="1" applyFill="1" applyBorder="1" applyAlignment="1" applyProtection="1">
      <protection locked="0"/>
    </xf>
    <xf numFmtId="3" fontId="49" fillId="13" borderId="9" xfId="4" applyNumberFormat="1" applyFont="1" applyFill="1" applyBorder="1" applyAlignment="1" applyProtection="1">
      <protection locked="0"/>
    </xf>
    <xf numFmtId="0" fontId="49" fillId="13" borderId="9" xfId="2" applyNumberFormat="1" applyFont="1" applyFill="1" applyBorder="1" applyAlignment="1" applyProtection="1"/>
    <xf numFmtId="170" fontId="49" fillId="13" borderId="9" xfId="4" applyNumberFormat="1" applyFont="1" applyFill="1" applyBorder="1" applyAlignment="1" applyProtection="1">
      <protection locked="0"/>
    </xf>
    <xf numFmtId="168" fontId="65" fillId="3" borderId="0" xfId="2" applyNumberFormat="1" applyFont="1" applyFill="1" applyBorder="1" applyAlignment="1">
      <alignment vertical="top"/>
    </xf>
    <xf numFmtId="168" fontId="65" fillId="3" borderId="0" xfId="2" applyNumberFormat="1" applyFont="1" applyFill="1" applyBorder="1" applyAlignment="1">
      <alignment horizontal="left" vertical="top"/>
    </xf>
    <xf numFmtId="168" fontId="65" fillId="3" borderId="0" xfId="2" applyNumberFormat="1" applyFont="1" applyFill="1" applyBorder="1" applyAlignment="1">
      <alignment horizontal="center" vertical="top"/>
    </xf>
    <xf numFmtId="0" fontId="0" fillId="0" borderId="30" xfId="0" applyBorder="1" applyAlignment="1">
      <alignment horizontal="right"/>
    </xf>
    <xf numFmtId="168" fontId="0" fillId="0" borderId="31" xfId="0" applyNumberFormat="1" applyBorder="1"/>
    <xf numFmtId="168" fontId="0" fillId="0" borderId="31" xfId="2" applyNumberFormat="1" applyFont="1" applyBorder="1"/>
    <xf numFmtId="168" fontId="0" fillId="0" borderId="32" xfId="2" applyNumberFormat="1" applyFont="1" applyBorder="1"/>
    <xf numFmtId="168" fontId="2" fillId="0" borderId="32" xfId="2" applyNumberFormat="1" applyFont="1" applyBorder="1"/>
    <xf numFmtId="168" fontId="0" fillId="0" borderId="30" xfId="0" applyNumberFormat="1" applyBorder="1"/>
    <xf numFmtId="44" fontId="2" fillId="0" borderId="0" xfId="2" applyFont="1" applyFill="1"/>
    <xf numFmtId="44" fontId="2" fillId="0" borderId="0" xfId="0" applyNumberFormat="1" applyFont="1"/>
    <xf numFmtId="0" fontId="105" fillId="0" borderId="0" xfId="0" applyFont="1"/>
    <xf numFmtId="0" fontId="106" fillId="0" borderId="0" xfId="0" applyFont="1"/>
    <xf numFmtId="0" fontId="105" fillId="0" borderId="0" xfId="0" applyFont="1" applyAlignment="1">
      <alignment horizontal="left" wrapText="1"/>
    </xf>
    <xf numFmtId="0" fontId="51" fillId="0" borderId="0" xfId="0" applyFont="1" applyAlignment="1">
      <alignment horizontal="center" vertical="center" wrapText="1"/>
    </xf>
    <xf numFmtId="168" fontId="0" fillId="16" borderId="0" xfId="2" applyNumberFormat="1" applyFont="1" applyFill="1"/>
    <xf numFmtId="0" fontId="11" fillId="0" borderId="0" xfId="0" applyFont="1"/>
    <xf numFmtId="0" fontId="2" fillId="16" borderId="0" xfId="0" applyFont="1" applyFill="1"/>
    <xf numFmtId="0" fontId="0" fillId="16" borderId="0" xfId="0" applyFill="1"/>
    <xf numFmtId="168" fontId="2" fillId="16" borderId="0" xfId="2" applyNumberFormat="1" applyFont="1" applyFill="1"/>
    <xf numFmtId="0" fontId="2" fillId="14" borderId="0" xfId="0" applyFont="1" applyFill="1"/>
    <xf numFmtId="168" fontId="2" fillId="14" borderId="0" xfId="0" applyNumberFormat="1" applyFont="1" applyFill="1"/>
    <xf numFmtId="0" fontId="0" fillId="0" borderId="35" xfId="0" applyBorder="1"/>
    <xf numFmtId="0" fontId="2" fillId="17" borderId="0" xfId="0" applyFont="1" applyFill="1"/>
    <xf numFmtId="178" fontId="0" fillId="17" borderId="0" xfId="0" applyNumberFormat="1" applyFill="1"/>
    <xf numFmtId="0" fontId="2" fillId="15" borderId="0" xfId="0" applyFont="1" applyFill="1"/>
    <xf numFmtId="178" fontId="2" fillId="15" borderId="0" xfId="0" applyNumberFormat="1" applyFont="1" applyFill="1"/>
    <xf numFmtId="44" fontId="108" fillId="0" borderId="0" xfId="2" applyFont="1"/>
    <xf numFmtId="44" fontId="0" fillId="0" borderId="0" xfId="2" applyFont="1"/>
    <xf numFmtId="0" fontId="0" fillId="18" borderId="0" xfId="0" applyFill="1"/>
    <xf numFmtId="9" fontId="0" fillId="18" borderId="0" xfId="1" applyFont="1" applyFill="1"/>
    <xf numFmtId="44" fontId="2" fillId="19" borderId="0" xfId="2" applyFont="1" applyFill="1"/>
    <xf numFmtId="0" fontId="0" fillId="20" borderId="0" xfId="0" applyFill="1"/>
    <xf numFmtId="9" fontId="0" fillId="20" borderId="0" xfId="1" applyFont="1" applyFill="1"/>
    <xf numFmtId="44" fontId="0" fillId="0" borderId="0" xfId="2" applyFont="1" applyFill="1"/>
    <xf numFmtId="0" fontId="0" fillId="15" borderId="0" xfId="0" applyFill="1"/>
    <xf numFmtId="9" fontId="0" fillId="15" borderId="0" xfId="1" applyFont="1" applyFill="1"/>
    <xf numFmtId="0" fontId="0" fillId="21" borderId="0" xfId="0" applyFill="1"/>
    <xf numFmtId="9" fontId="0" fillId="21" borderId="0" xfId="1" applyFont="1" applyFill="1"/>
    <xf numFmtId="44" fontId="0" fillId="0" borderId="0" xfId="2" applyFont="1" applyBorder="1"/>
    <xf numFmtId="9" fontId="0" fillId="0" borderId="0" xfId="1" applyFont="1" applyBorder="1"/>
    <xf numFmtId="0" fontId="2" fillId="3" borderId="0" xfId="0" applyFont="1" applyFill="1"/>
    <xf numFmtId="44" fontId="2" fillId="3" borderId="0" xfId="2" applyFont="1" applyFill="1"/>
    <xf numFmtId="0" fontId="2" fillId="23" borderId="0" xfId="0" applyFont="1" applyFill="1"/>
    <xf numFmtId="44" fontId="2" fillId="23" borderId="33" xfId="2" applyFont="1" applyFill="1" applyBorder="1"/>
    <xf numFmtId="44" fontId="14" fillId="0" borderId="0" xfId="0" applyNumberFormat="1" applyFont="1"/>
    <xf numFmtId="44" fontId="2" fillId="19" borderId="0" xfId="0" applyNumberFormat="1" applyFont="1" applyFill="1"/>
    <xf numFmtId="9" fontId="0" fillId="0" borderId="0" xfId="1" applyFont="1" applyFill="1" applyBorder="1"/>
    <xf numFmtId="9" fontId="2" fillId="24" borderId="0" xfId="1" applyFont="1" applyFill="1"/>
    <xf numFmtId="43" fontId="2" fillId="22" borderId="33" xfId="1" applyNumberFormat="1" applyFont="1" applyFill="1" applyBorder="1"/>
    <xf numFmtId="43" fontId="2" fillId="15" borderId="36" xfId="1" applyNumberFormat="1" applyFont="1" applyFill="1" applyBorder="1"/>
    <xf numFmtId="0" fontId="49" fillId="0" borderId="0" xfId="0" applyFont="1" applyAlignment="1">
      <alignment vertical="center" wrapText="1"/>
    </xf>
    <xf numFmtId="0" fontId="49" fillId="3" borderId="0" xfId="0" applyFont="1" applyFill="1" applyAlignment="1">
      <alignment vertical="center" wrapText="1"/>
    </xf>
    <xf numFmtId="168" fontId="0" fillId="0" borderId="0" xfId="2" applyNumberFormat="1" applyFont="1" applyFill="1"/>
    <xf numFmtId="9" fontId="0" fillId="0" borderId="0" xfId="1" applyFont="1" applyAlignment="1">
      <alignment horizontal="left"/>
    </xf>
    <xf numFmtId="9" fontId="0" fillId="0" borderId="0" xfId="0" applyNumberFormat="1" applyAlignment="1">
      <alignment horizontal="left"/>
    </xf>
    <xf numFmtId="175" fontId="6" fillId="0" borderId="0" xfId="0" applyNumberFormat="1" applyFont="1"/>
    <xf numFmtId="1" fontId="49" fillId="0" borderId="39" xfId="4" applyNumberFormat="1" applyFont="1" applyFill="1" applyBorder="1" applyAlignment="1" applyProtection="1">
      <alignment vertical="center"/>
      <protection locked="0"/>
    </xf>
    <xf numFmtId="0" fontId="51" fillId="0" borderId="0" xfId="0" applyFont="1" applyAlignment="1">
      <alignment vertical="center" wrapText="1"/>
    </xf>
    <xf numFmtId="0" fontId="102" fillId="0" borderId="0" xfId="0" applyFont="1" applyAlignment="1">
      <alignment horizontal="left"/>
    </xf>
    <xf numFmtId="0" fontId="107" fillId="3" borderId="0" xfId="0" applyFont="1" applyFill="1" applyAlignment="1">
      <alignment horizontal="left" vertical="center" indent="1"/>
    </xf>
    <xf numFmtId="0" fontId="110" fillId="0" borderId="0" xfId="0" applyFont="1" applyAlignment="1">
      <alignment vertical="center"/>
    </xf>
    <xf numFmtId="0" fontId="111" fillId="0" borderId="0" xfId="0" applyFont="1" applyAlignment="1">
      <alignment horizontal="left" vertical="center"/>
    </xf>
    <xf numFmtId="2" fontId="49" fillId="0" borderId="0" xfId="0" applyNumberFormat="1" applyFont="1" applyAlignment="1">
      <alignment vertical="center" wrapText="1"/>
    </xf>
    <xf numFmtId="3" fontId="2" fillId="0" borderId="0" xfId="0" applyNumberFormat="1" applyFont="1"/>
    <xf numFmtId="171" fontId="0" fillId="0" borderId="0" xfId="0" applyNumberFormat="1" applyAlignment="1">
      <alignment horizontal="left"/>
    </xf>
    <xf numFmtId="171" fontId="0" fillId="0" borderId="0" xfId="0" applyNumberFormat="1" applyAlignment="1">
      <alignment horizontal="center"/>
    </xf>
    <xf numFmtId="168" fontId="0" fillId="11" borderId="0" xfId="0" applyNumberFormat="1" applyFill="1" applyAlignment="1">
      <alignment vertical="center" wrapText="1"/>
    </xf>
    <xf numFmtId="0" fontId="0" fillId="11" borderId="0" xfId="0" applyFill="1"/>
    <xf numFmtId="0" fontId="0" fillId="11" borderId="0" xfId="0" applyFill="1" applyAlignment="1">
      <alignment horizontal="center"/>
    </xf>
    <xf numFmtId="3" fontId="112" fillId="5" borderId="28" xfId="0" applyNumberFormat="1" applyFont="1" applyFill="1" applyBorder="1" applyAlignment="1">
      <alignment horizontal="center"/>
    </xf>
    <xf numFmtId="0" fontId="112" fillId="10" borderId="28" xfId="0" applyFont="1" applyFill="1" applyBorder="1" applyAlignment="1">
      <alignment horizontal="center"/>
    </xf>
    <xf numFmtId="4" fontId="0" fillId="8" borderId="28" xfId="0" applyNumberFormat="1" applyFill="1" applyBorder="1" applyAlignment="1">
      <alignment horizontal="center"/>
    </xf>
    <xf numFmtId="168" fontId="49" fillId="3" borderId="0" xfId="2" applyNumberFormat="1" applyFont="1" applyFill="1" applyBorder="1" applyAlignment="1">
      <alignment horizontal="center" vertical="center"/>
    </xf>
    <xf numFmtId="179" fontId="2" fillId="0" borderId="0" xfId="4" applyNumberFormat="1" applyFont="1" applyFill="1"/>
    <xf numFmtId="168" fontId="95" fillId="3" borderId="0" xfId="2" applyNumberFormat="1" applyFont="1" applyFill="1" applyBorder="1" applyAlignment="1">
      <alignment vertical="center"/>
    </xf>
    <xf numFmtId="9" fontId="46" fillId="3" borderId="0" xfId="1" applyFont="1" applyFill="1" applyBorder="1" applyAlignment="1">
      <alignment vertical="center"/>
    </xf>
    <xf numFmtId="173" fontId="49" fillId="3" borderId="0" xfId="1" applyNumberFormat="1" applyFont="1" applyFill="1" applyBorder="1" applyAlignment="1">
      <alignment vertical="center"/>
    </xf>
    <xf numFmtId="168" fontId="6" fillId="3" borderId="0" xfId="2" applyNumberFormat="1" applyFont="1" applyFill="1" applyBorder="1" applyAlignment="1">
      <alignment vertical="center"/>
    </xf>
    <xf numFmtId="168" fontId="113" fillId="3" borderId="0" xfId="2" applyNumberFormat="1" applyFont="1" applyFill="1" applyBorder="1" applyAlignment="1">
      <alignment vertical="center"/>
    </xf>
    <xf numFmtId="9" fontId="6" fillId="3" borderId="0" xfId="1" applyFont="1" applyFill="1" applyBorder="1" applyAlignment="1">
      <alignment vertical="center"/>
    </xf>
    <xf numFmtId="173" fontId="25" fillId="3" borderId="0" xfId="1" applyNumberFormat="1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113" fillId="0" borderId="0" xfId="0" applyFont="1" applyAlignment="1">
      <alignment horizontal="left" vertical="center"/>
    </xf>
    <xf numFmtId="9" fontId="114" fillId="3" borderId="0" xfId="1" applyFont="1" applyFill="1" applyBorder="1" applyAlignment="1">
      <alignment vertical="center"/>
    </xf>
    <xf numFmtId="9" fontId="115" fillId="3" borderId="0" xfId="1" applyFont="1" applyFill="1" applyBorder="1" applyAlignment="1">
      <alignment vertical="center"/>
    </xf>
    <xf numFmtId="0" fontId="86" fillId="12" borderId="0" xfId="0" applyFont="1" applyFill="1" applyAlignment="1">
      <alignment vertical="center"/>
    </xf>
    <xf numFmtId="0" fontId="86" fillId="25" borderId="0" xfId="0" applyFont="1" applyFill="1" applyAlignment="1">
      <alignment vertical="center"/>
    </xf>
    <xf numFmtId="0" fontId="116" fillId="3" borderId="0" xfId="0" applyFont="1" applyFill="1" applyAlignment="1">
      <alignment horizontal="left" vertical="center"/>
    </xf>
    <xf numFmtId="0" fontId="117" fillId="0" borderId="0" xfId="0" applyFont="1" applyAlignment="1">
      <alignment horizontal="left" vertical="center" indent="1"/>
    </xf>
    <xf numFmtId="0" fontId="118" fillId="0" borderId="0" xfId="0" applyFont="1" applyAlignment="1">
      <alignment horizontal="left" vertical="center" indent="1"/>
    </xf>
    <xf numFmtId="0" fontId="49" fillId="0" borderId="0" xfId="0" applyFont="1"/>
    <xf numFmtId="0" fontId="119" fillId="3" borderId="0" xfId="0" applyFont="1" applyFill="1" applyAlignment="1">
      <alignment vertical="center"/>
    </xf>
    <xf numFmtId="0" fontId="120" fillId="4" borderId="0" xfId="0" applyFont="1" applyFill="1" applyAlignment="1">
      <alignment vertical="center"/>
    </xf>
    <xf numFmtId="0" fontId="120" fillId="3" borderId="0" xfId="0" applyFont="1" applyFill="1" applyAlignment="1">
      <alignment vertical="center"/>
    </xf>
    <xf numFmtId="0" fontId="121" fillId="3" borderId="0" xfId="0" applyFont="1" applyFill="1" applyAlignment="1">
      <alignment horizontal="left" vertical="center"/>
    </xf>
    <xf numFmtId="0" fontId="120" fillId="0" borderId="0" xfId="0" applyFont="1" applyAlignment="1">
      <alignment horizontal="left" vertical="center"/>
    </xf>
    <xf numFmtId="168" fontId="122" fillId="0" borderId="0" xfId="2" applyNumberFormat="1" applyFont="1" applyFill="1" applyBorder="1" applyAlignment="1" applyProtection="1">
      <alignment horizontal="center" vertical="center"/>
      <protection locked="0"/>
    </xf>
    <xf numFmtId="0" fontId="123" fillId="0" borderId="0" xfId="0" applyFont="1" applyAlignment="1">
      <alignment horizontal="left" vertical="top" wrapText="1"/>
    </xf>
    <xf numFmtId="0" fontId="124" fillId="0" borderId="0" xfId="0" applyFont="1" applyAlignment="1">
      <alignment horizontal="left" vertical="center"/>
    </xf>
    <xf numFmtId="0" fontId="119" fillId="0" borderId="0" xfId="0" applyFont="1" applyAlignment="1">
      <alignment vertical="center"/>
    </xf>
    <xf numFmtId="0" fontId="125" fillId="0" borderId="0" xfId="0" applyFont="1" applyAlignment="1">
      <alignment horizontal="left"/>
    </xf>
    <xf numFmtId="0" fontId="125" fillId="0" borderId="0" xfId="0" applyFont="1" applyAlignment="1">
      <alignment horizontal="left" vertical="center"/>
    </xf>
    <xf numFmtId="0" fontId="126" fillId="3" borderId="0" xfId="0" applyFont="1" applyFill="1" applyAlignment="1">
      <alignment horizontal="left" vertical="center"/>
    </xf>
    <xf numFmtId="0" fontId="49" fillId="0" borderId="0" xfId="0" applyFont="1" applyAlignment="1">
      <alignment horizontal="left"/>
    </xf>
    <xf numFmtId="173" fontId="49" fillId="3" borderId="0" xfId="1" applyNumberFormat="1" applyFont="1" applyFill="1" applyBorder="1" applyAlignment="1">
      <alignment horizontal="center" vertical="center"/>
    </xf>
    <xf numFmtId="168" fontId="49" fillId="3" borderId="39" xfId="2" applyNumberFormat="1" applyFont="1" applyFill="1" applyBorder="1" applyAlignment="1">
      <alignment horizontal="center"/>
    </xf>
    <xf numFmtId="168" fontId="49" fillId="3" borderId="0" xfId="2" applyNumberFormat="1" applyFont="1" applyFill="1" applyBorder="1" applyAlignment="1">
      <alignment horizontal="center" vertical="center"/>
    </xf>
    <xf numFmtId="0" fontId="107" fillId="0" borderId="34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 wrapText="1"/>
    </xf>
    <xf numFmtId="9" fontId="46" fillId="3" borderId="37" xfId="1" applyFont="1" applyFill="1" applyBorder="1" applyAlignment="1">
      <alignment horizontal="center" vertical="center"/>
    </xf>
    <xf numFmtId="9" fontId="46" fillId="3" borderId="0" xfId="1" applyFont="1" applyFill="1" applyBorder="1" applyAlignment="1">
      <alignment horizontal="center" vertical="center"/>
    </xf>
    <xf numFmtId="9" fontId="46" fillId="3" borderId="38" xfId="1" applyFont="1" applyFill="1" applyBorder="1" applyAlignment="1">
      <alignment horizontal="center" vertical="center"/>
    </xf>
    <xf numFmtId="168" fontId="70" fillId="4" borderId="12" xfId="2" applyNumberFormat="1" applyFont="1" applyFill="1" applyBorder="1" applyAlignment="1" applyProtection="1">
      <alignment horizontal="center" vertical="top"/>
      <protection locked="0"/>
    </xf>
    <xf numFmtId="168" fontId="70" fillId="4" borderId="13" xfId="2" applyNumberFormat="1" applyFont="1" applyFill="1" applyBorder="1" applyAlignment="1" applyProtection="1">
      <alignment horizontal="center" vertical="top"/>
      <protection locked="0"/>
    </xf>
    <xf numFmtId="9" fontId="49" fillId="3" borderId="0" xfId="1" applyFont="1" applyFill="1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51" fillId="0" borderId="0" xfId="0" applyFont="1" applyAlignment="1">
      <alignment horizontal="left" vertical="top"/>
    </xf>
    <xf numFmtId="2" fontId="49" fillId="0" borderId="0" xfId="0" applyNumberFormat="1" applyFont="1" applyAlignment="1">
      <alignment horizontal="center" vertical="center" wrapText="1"/>
    </xf>
    <xf numFmtId="0" fontId="49" fillId="3" borderId="0" xfId="0" applyFont="1" applyFill="1" applyAlignment="1">
      <alignment horizontal="center" vertical="center" wrapText="1"/>
    </xf>
    <xf numFmtId="0" fontId="102" fillId="0" borderId="0" xfId="0" applyFont="1" applyAlignment="1">
      <alignment horizontal="center" vertical="center"/>
    </xf>
    <xf numFmtId="0" fontId="107" fillId="0" borderId="37" xfId="0" applyFont="1" applyBorder="1" applyAlignment="1">
      <alignment horizontal="center" vertical="center" wrapText="1"/>
    </xf>
    <xf numFmtId="0" fontId="107" fillId="0" borderId="0" xfId="0" applyFont="1" applyAlignment="1">
      <alignment horizontal="center" vertical="center" wrapText="1"/>
    </xf>
    <xf numFmtId="0" fontId="107" fillId="0" borderId="38" xfId="0" applyFont="1" applyBorder="1" applyAlignment="1">
      <alignment horizontal="center" vertical="center" wrapText="1"/>
    </xf>
    <xf numFmtId="168" fontId="95" fillId="3" borderId="0" xfId="2" applyNumberFormat="1" applyFont="1" applyFill="1" applyBorder="1" applyAlignment="1">
      <alignment horizontal="center" vertical="center"/>
    </xf>
    <xf numFmtId="9" fontId="51" fillId="0" borderId="0" xfId="1" applyFont="1" applyAlignment="1">
      <alignment horizontal="center" vertical="center"/>
    </xf>
    <xf numFmtId="168" fontId="107" fillId="3" borderId="0" xfId="2" applyNumberFormat="1" applyFont="1" applyFill="1" applyBorder="1" applyAlignment="1">
      <alignment horizontal="center" vertical="center"/>
    </xf>
    <xf numFmtId="0" fontId="30" fillId="3" borderId="0" xfId="0" applyFont="1" applyFill="1" applyAlignment="1">
      <alignment horizontal="center" vertical="top"/>
    </xf>
    <xf numFmtId="0" fontId="35" fillId="3" borderId="0" xfId="0" applyFont="1" applyFill="1" applyAlignment="1">
      <alignment horizontal="center" vertical="center"/>
    </xf>
    <xf numFmtId="168" fontId="49" fillId="4" borderId="12" xfId="2" applyNumberFormat="1" applyFont="1" applyFill="1" applyBorder="1" applyAlignment="1" applyProtection="1">
      <alignment horizontal="center" vertical="top"/>
      <protection locked="0"/>
    </xf>
    <xf numFmtId="168" fontId="49" fillId="4" borderId="13" xfId="2" applyNumberFormat="1" applyFont="1" applyFill="1" applyBorder="1" applyAlignment="1" applyProtection="1">
      <alignment horizontal="center" vertical="top"/>
      <protection locked="0"/>
    </xf>
    <xf numFmtId="3" fontId="49" fillId="4" borderId="9" xfId="4" applyNumberFormat="1" applyFont="1" applyFill="1" applyBorder="1" applyAlignment="1" applyProtection="1">
      <alignment horizontal="center"/>
      <protection locked="0"/>
    </xf>
    <xf numFmtId="3" fontId="49" fillId="4" borderId="10" xfId="4" applyNumberFormat="1" applyFont="1" applyFill="1" applyBorder="1" applyAlignment="1" applyProtection="1">
      <alignment horizontal="center"/>
      <protection locked="0"/>
    </xf>
    <xf numFmtId="0" fontId="35" fillId="3" borderId="0" xfId="0" applyFont="1" applyFill="1" applyAlignment="1">
      <alignment horizontal="left" vertical="center" wrapText="1"/>
    </xf>
    <xf numFmtId="9" fontId="65" fillId="3" borderId="0" xfId="1" applyFont="1" applyFill="1" applyBorder="1" applyAlignment="1">
      <alignment horizontal="left" vertical="center"/>
    </xf>
    <xf numFmtId="0" fontId="49" fillId="0" borderId="0" xfId="0" applyFont="1" applyAlignment="1">
      <alignment horizontal="center" vertical="center"/>
    </xf>
    <xf numFmtId="168" fontId="65" fillId="3" borderId="0" xfId="2" applyNumberFormat="1" applyFont="1" applyFill="1" applyBorder="1" applyAlignment="1">
      <alignment horizontal="center" vertical="top"/>
    </xf>
    <xf numFmtId="168" fontId="49" fillId="3" borderId="0" xfId="2" applyNumberFormat="1" applyFont="1" applyFill="1" applyBorder="1" applyAlignment="1">
      <alignment horizontal="center" vertical="top"/>
    </xf>
    <xf numFmtId="168" fontId="46" fillId="3" borderId="0" xfId="2" applyNumberFormat="1" applyFont="1" applyFill="1" applyAlignment="1">
      <alignment horizontal="right" vertical="top"/>
    </xf>
    <xf numFmtId="0" fontId="59" fillId="3" borderId="0" xfId="0" applyFont="1" applyFill="1" applyAlignment="1">
      <alignment horizontal="right" vertical="center"/>
    </xf>
    <xf numFmtId="168" fontId="49" fillId="3" borderId="0" xfId="2" applyNumberFormat="1" applyFont="1" applyFill="1" applyAlignment="1">
      <alignment horizontal="center" vertical="center"/>
    </xf>
    <xf numFmtId="168" fontId="49" fillId="3" borderId="0" xfId="2" applyNumberFormat="1" applyFont="1" applyFill="1" applyAlignment="1">
      <alignment horizontal="right" vertical="center"/>
    </xf>
    <xf numFmtId="168" fontId="46" fillId="3" borderId="0" xfId="2" applyNumberFormat="1" applyFont="1" applyFill="1" applyAlignment="1">
      <alignment horizontal="right" vertical="center"/>
    </xf>
    <xf numFmtId="168" fontId="104" fillId="3" borderId="0" xfId="2" applyNumberFormat="1" applyFont="1" applyFill="1" applyAlignment="1">
      <alignment horizontal="right" vertical="center"/>
    </xf>
    <xf numFmtId="49" fontId="52" fillId="3" borderId="9" xfId="2" applyNumberFormat="1" applyFont="1" applyFill="1" applyBorder="1" applyAlignment="1" applyProtection="1">
      <alignment horizontal="left" vertical="center"/>
      <protection locked="0"/>
    </xf>
    <xf numFmtId="49" fontId="52" fillId="3" borderId="10" xfId="2" applyNumberFormat="1" applyFont="1" applyFill="1" applyBorder="1" applyAlignment="1" applyProtection="1">
      <alignment horizontal="left" vertical="center"/>
      <protection locked="0"/>
    </xf>
    <xf numFmtId="49" fontId="52" fillId="3" borderId="11" xfId="2" applyNumberFormat="1" applyFont="1" applyFill="1" applyBorder="1" applyAlignment="1" applyProtection="1">
      <alignment horizontal="left" vertical="center"/>
      <protection locked="0"/>
    </xf>
    <xf numFmtId="169" fontId="78" fillId="3" borderId="0" xfId="0" applyNumberFormat="1" applyFont="1" applyFill="1" applyAlignment="1">
      <alignment horizontal="right" vertical="center"/>
    </xf>
    <xf numFmtId="168" fontId="46" fillId="3" borderId="20" xfId="2" applyNumberFormat="1" applyFont="1" applyFill="1" applyBorder="1" applyAlignment="1" applyProtection="1">
      <alignment horizontal="center" vertical="top"/>
    </xf>
    <xf numFmtId="167" fontId="30" fillId="0" borderId="20" xfId="0" applyNumberFormat="1" applyFont="1" applyBorder="1" applyAlignment="1">
      <alignment horizontal="center" vertical="top"/>
    </xf>
    <xf numFmtId="175" fontId="59" fillId="3" borderId="0" xfId="1" applyNumberFormat="1" applyFont="1" applyFill="1" applyBorder="1" applyAlignment="1" applyProtection="1">
      <alignment horizontal="center" vertical="top"/>
    </xf>
    <xf numFmtId="1" fontId="70" fillId="3" borderId="0" xfId="0" applyNumberFormat="1" applyFont="1" applyFill="1" applyAlignment="1">
      <alignment horizontal="left" vertical="center"/>
    </xf>
    <xf numFmtId="168" fontId="44" fillId="3" borderId="0" xfId="2" applyNumberFormat="1" applyFont="1" applyFill="1" applyAlignment="1">
      <alignment horizontal="left" vertical="top"/>
    </xf>
    <xf numFmtId="168" fontId="30" fillId="3" borderId="0" xfId="2" applyNumberFormat="1" applyFont="1" applyFill="1" applyAlignment="1">
      <alignment horizontal="center" vertical="top"/>
    </xf>
    <xf numFmtId="0" fontId="47" fillId="3" borderId="0" xfId="0" applyFont="1" applyFill="1" applyAlignment="1">
      <alignment horizontal="right" vertical="top"/>
    </xf>
    <xf numFmtId="17" fontId="72" fillId="3" borderId="0" xfId="0" quotePrefix="1" applyNumberFormat="1" applyFont="1" applyFill="1" applyAlignment="1">
      <alignment horizontal="right" vertical="top"/>
    </xf>
    <xf numFmtId="17" fontId="72" fillId="3" borderId="0" xfId="0" applyNumberFormat="1" applyFont="1" applyFill="1" applyAlignment="1">
      <alignment horizontal="right" vertical="top"/>
    </xf>
    <xf numFmtId="17" fontId="72" fillId="3" borderId="0" xfId="0" quotePrefix="1" applyNumberFormat="1" applyFont="1" applyFill="1" applyAlignment="1">
      <alignment horizontal="right" vertical="center"/>
    </xf>
    <xf numFmtId="17" fontId="72" fillId="3" borderId="0" xfId="0" applyNumberFormat="1" applyFont="1" applyFill="1" applyAlignment="1">
      <alignment horizontal="right" vertical="center"/>
    </xf>
    <xf numFmtId="0" fontId="72" fillId="3" borderId="0" xfId="0" applyFont="1" applyFill="1" applyAlignment="1">
      <alignment horizontal="right" vertical="top"/>
    </xf>
    <xf numFmtId="169" fontId="70" fillId="3" borderId="0" xfId="0" applyNumberFormat="1" applyFont="1" applyFill="1" applyAlignment="1">
      <alignment horizontal="right" vertical="center"/>
    </xf>
    <xf numFmtId="168" fontId="35" fillId="3" borderId="0" xfId="2" applyNumberFormat="1" applyFont="1" applyFill="1" applyAlignment="1">
      <alignment horizontal="center" vertical="top" wrapText="1"/>
    </xf>
    <xf numFmtId="0" fontId="70" fillId="3" borderId="12" xfId="0" applyFont="1" applyFill="1" applyBorder="1" applyAlignment="1" applyProtection="1">
      <alignment horizontal="left" vertical="top"/>
      <protection locked="0"/>
    </xf>
    <xf numFmtId="0" fontId="70" fillId="3" borderId="13" xfId="0" applyFont="1" applyFill="1" applyBorder="1" applyAlignment="1" applyProtection="1">
      <alignment horizontal="left" vertical="top"/>
      <protection locked="0"/>
    </xf>
    <xf numFmtId="0" fontId="70" fillId="3" borderId="14" xfId="0" applyFont="1" applyFill="1" applyBorder="1" applyAlignment="1" applyProtection="1">
      <alignment horizontal="left" vertical="top"/>
      <protection locked="0"/>
    </xf>
    <xf numFmtId="0" fontId="34" fillId="3" borderId="0" xfId="0" applyFont="1" applyFill="1" applyAlignment="1">
      <alignment horizontal="center" vertical="center" wrapText="1"/>
    </xf>
    <xf numFmtId="0" fontId="37" fillId="0" borderId="0" xfId="0" applyFont="1" applyAlignment="1">
      <alignment horizontal="right" vertical="center" wrapText="1"/>
    </xf>
    <xf numFmtId="168" fontId="39" fillId="3" borderId="0" xfId="2" applyNumberFormat="1" applyFont="1" applyFill="1" applyAlignment="1">
      <alignment horizontal="center" vertical="top"/>
    </xf>
    <xf numFmtId="0" fontId="41" fillId="0" borderId="0" xfId="0" applyFont="1" applyAlignment="1">
      <alignment horizontal="left" vertical="center" wrapText="1"/>
    </xf>
    <xf numFmtId="168" fontId="46" fillId="3" borderId="0" xfId="2" applyNumberFormat="1" applyFont="1" applyFill="1" applyAlignment="1">
      <alignment horizontal="center" vertical="top"/>
    </xf>
    <xf numFmtId="0" fontId="43" fillId="0" borderId="0" xfId="0" applyFont="1" applyAlignment="1">
      <alignment horizontal="left" vertical="center" wrapText="1"/>
    </xf>
    <xf numFmtId="168" fontId="30" fillId="3" borderId="0" xfId="2" applyNumberFormat="1" applyFont="1" applyFill="1" applyAlignment="1">
      <alignment horizontal="center" vertical="top" wrapText="1"/>
    </xf>
    <xf numFmtId="0" fontId="35" fillId="0" borderId="0" xfId="0" applyFont="1" applyAlignment="1">
      <alignment horizontal="left" vertical="top" wrapText="1"/>
    </xf>
    <xf numFmtId="0" fontId="49" fillId="0" borderId="0" xfId="0" applyFont="1" applyAlignment="1">
      <alignment horizontal="left" vertical="center" wrapText="1"/>
    </xf>
    <xf numFmtId="0" fontId="63" fillId="3" borderId="0" xfId="0" applyFont="1" applyFill="1" applyAlignment="1">
      <alignment horizontal="left" vertical="center" wrapText="1"/>
    </xf>
    <xf numFmtId="0" fontId="79" fillId="0" borderId="0" xfId="0" applyFont="1" applyAlignment="1">
      <alignment horizontal="center" vertical="center" wrapText="1"/>
    </xf>
    <xf numFmtId="44" fontId="70" fillId="4" borderId="27" xfId="2" applyFont="1" applyFill="1" applyBorder="1" applyAlignment="1" applyProtection="1">
      <alignment horizontal="center" vertical="top"/>
      <protection locked="0"/>
    </xf>
    <xf numFmtId="44" fontId="70" fillId="4" borderId="19" xfId="2" applyFont="1" applyFill="1" applyBorder="1" applyAlignment="1" applyProtection="1">
      <alignment horizontal="center" vertical="top"/>
      <protection locked="0"/>
    </xf>
    <xf numFmtId="44" fontId="46" fillId="3" borderId="0" xfId="2" applyFont="1" applyFill="1" applyAlignment="1">
      <alignment horizontal="center" vertical="top"/>
    </xf>
    <xf numFmtId="168" fontId="46" fillId="0" borderId="0" xfId="2" applyNumberFormat="1" applyFont="1" applyFill="1" applyBorder="1" applyAlignment="1" applyProtection="1">
      <alignment horizontal="center" vertical="center"/>
      <protection locked="0"/>
    </xf>
    <xf numFmtId="168" fontId="75" fillId="4" borderId="12" xfId="2" applyNumberFormat="1" applyFont="1" applyFill="1" applyBorder="1" applyAlignment="1" applyProtection="1">
      <alignment horizontal="center" vertical="top"/>
      <protection locked="0"/>
    </xf>
    <xf numFmtId="168" fontId="75" fillId="4" borderId="13" xfId="2" applyNumberFormat="1" applyFont="1" applyFill="1" applyBorder="1" applyAlignment="1" applyProtection="1">
      <alignment horizontal="center" vertical="top"/>
      <protection locked="0"/>
    </xf>
    <xf numFmtId="0" fontId="70" fillId="4" borderId="12" xfId="0" applyFont="1" applyFill="1" applyBorder="1" applyAlignment="1" applyProtection="1">
      <alignment horizontal="left" vertical="top"/>
      <protection locked="0"/>
    </xf>
    <xf numFmtId="0" fontId="70" fillId="4" borderId="13" xfId="0" applyFont="1" applyFill="1" applyBorder="1" applyAlignment="1" applyProtection="1">
      <alignment horizontal="left" vertical="top"/>
      <protection locked="0"/>
    </xf>
    <xf numFmtId="168" fontId="61" fillId="3" borderId="29" xfId="2" applyNumberFormat="1" applyFont="1" applyFill="1" applyBorder="1" applyAlignment="1" applyProtection="1">
      <alignment horizontal="left" vertical="top"/>
      <protection locked="0"/>
    </xf>
    <xf numFmtId="168" fontId="61" fillId="3" borderId="0" xfId="2" applyNumberFormat="1" applyFont="1" applyFill="1" applyBorder="1" applyAlignment="1" applyProtection="1">
      <alignment horizontal="left" vertical="top"/>
      <protection locked="0"/>
    </xf>
    <xf numFmtId="174" fontId="62" fillId="0" borderId="19" xfId="0" applyNumberFormat="1" applyFont="1" applyBorder="1" applyAlignment="1">
      <alignment horizontal="center" vertical="top"/>
    </xf>
    <xf numFmtId="0" fontId="31" fillId="4" borderId="12" xfId="0" applyFont="1" applyFill="1" applyBorder="1" applyAlignment="1" applyProtection="1">
      <alignment horizontal="left" vertical="top"/>
      <protection locked="0"/>
    </xf>
    <xf numFmtId="0" fontId="31" fillId="4" borderId="13" xfId="0" applyFont="1" applyFill="1" applyBorder="1" applyAlignment="1" applyProtection="1">
      <alignment horizontal="left" vertical="top"/>
      <protection locked="0"/>
    </xf>
    <xf numFmtId="168" fontId="58" fillId="4" borderId="12" xfId="2" applyNumberFormat="1" applyFont="1" applyFill="1" applyBorder="1" applyAlignment="1" applyProtection="1">
      <alignment horizontal="center" vertical="top"/>
      <protection locked="0"/>
    </xf>
    <xf numFmtId="168" fontId="58" fillId="4" borderId="13" xfId="2" applyNumberFormat="1" applyFont="1" applyFill="1" applyBorder="1" applyAlignment="1" applyProtection="1">
      <alignment horizontal="center" vertical="top"/>
      <protection locked="0"/>
    </xf>
    <xf numFmtId="0" fontId="71" fillId="3" borderId="12" xfId="3" applyFont="1" applyFill="1" applyBorder="1" applyAlignment="1" applyProtection="1">
      <alignment horizontal="left" vertical="top"/>
      <protection locked="0"/>
    </xf>
    <xf numFmtId="168" fontId="39" fillId="3" borderId="0" xfId="2" applyNumberFormat="1" applyFont="1" applyFill="1" applyAlignment="1">
      <alignment horizontal="center" vertical="center"/>
    </xf>
    <xf numFmtId="0" fontId="38" fillId="3" borderId="0" xfId="0" applyFont="1" applyFill="1" applyAlignment="1">
      <alignment horizontal="right" vertical="center"/>
    </xf>
    <xf numFmtId="168" fontId="46" fillId="3" borderId="0" xfId="2" applyNumberFormat="1" applyFont="1" applyFill="1" applyAlignment="1">
      <alignment horizontal="center" vertical="center"/>
    </xf>
    <xf numFmtId="168" fontId="30" fillId="3" borderId="0" xfId="2" applyNumberFormat="1" applyFont="1" applyFill="1" applyAlignment="1">
      <alignment horizontal="right" vertical="center"/>
    </xf>
    <xf numFmtId="168" fontId="30" fillId="3" borderId="0" xfId="2" applyNumberFormat="1" applyFont="1" applyFill="1" applyAlignment="1">
      <alignment horizontal="right" vertical="top"/>
    </xf>
    <xf numFmtId="168" fontId="45" fillId="3" borderId="0" xfId="2" applyNumberFormat="1" applyFont="1" applyFill="1" applyAlignment="1">
      <alignment horizontal="center" vertical="top"/>
    </xf>
    <xf numFmtId="0" fontId="35" fillId="3" borderId="0" xfId="0" applyFont="1" applyFill="1" applyAlignment="1">
      <alignment horizontal="center" vertical="center" wrapText="1"/>
    </xf>
    <xf numFmtId="168" fontId="49" fillId="3" borderId="0" xfId="2" applyNumberFormat="1" applyFont="1" applyFill="1" applyAlignment="1">
      <alignment horizontal="center" vertical="top"/>
    </xf>
    <xf numFmtId="0" fontId="70" fillId="0" borderId="0" xfId="0" applyFont="1" applyAlignment="1">
      <alignment horizontal="left"/>
    </xf>
    <xf numFmtId="0" fontId="112" fillId="5" borderId="28" xfId="0" applyFont="1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116" fillId="3" borderId="0" xfId="0" applyFont="1" applyFill="1" applyAlignment="1">
      <alignment horizontal="center" vertical="center"/>
    </xf>
  </cellXfs>
  <cellStyles count="5">
    <cellStyle name="Hipervínculo" xfId="3" builtinId="8"/>
    <cellStyle name="Millares" xfId="4" builtinId="3"/>
    <cellStyle name="Moneda" xfId="2" builtinId="4"/>
    <cellStyle name="Normal" xfId="0" builtinId="0"/>
    <cellStyle name="Porcentaje" xfId="1" builtinId="5"/>
  </cellStyles>
  <dxfs count="67">
    <dxf>
      <font>
        <b/>
        <i val="0"/>
        <color theme="0"/>
      </font>
      <fill>
        <patternFill>
          <bgColor rgb="FF317A70"/>
        </patternFill>
      </fill>
    </dxf>
    <dxf>
      <font>
        <b/>
        <i val="0"/>
        <color theme="0"/>
      </font>
      <fill>
        <patternFill>
          <bgColor rgb="FF317A70"/>
        </patternFill>
      </fill>
    </dxf>
    <dxf>
      <font>
        <b/>
        <i val="0"/>
        <color theme="0"/>
      </font>
      <fill>
        <patternFill>
          <bgColor rgb="FF317A70"/>
        </patternFill>
      </fill>
    </dxf>
    <dxf>
      <font>
        <b/>
        <i val="0"/>
        <color theme="0"/>
      </font>
      <fill>
        <patternFill>
          <bgColor rgb="FF317A70"/>
        </patternFill>
      </fill>
    </dxf>
    <dxf>
      <font>
        <b/>
        <i val="0"/>
        <color theme="0"/>
      </font>
      <fill>
        <patternFill>
          <bgColor rgb="FF317A70"/>
        </patternFill>
      </fill>
    </dxf>
    <dxf>
      <font>
        <color rgb="FFFF9999"/>
      </font>
    </dxf>
    <dxf>
      <font>
        <b/>
        <i val="0"/>
        <color auto="1"/>
      </font>
      <fill>
        <patternFill>
          <bgColor rgb="FFFF9999"/>
        </patternFill>
      </fill>
    </dxf>
    <dxf>
      <font>
        <b/>
        <i val="0"/>
        <color theme="0"/>
      </font>
      <fill>
        <patternFill>
          <bgColor rgb="FF317A70"/>
        </patternFill>
      </fill>
    </dxf>
    <dxf>
      <font>
        <b/>
        <i val="0"/>
        <color theme="0"/>
      </font>
      <fill>
        <patternFill>
          <bgColor rgb="FF317A70"/>
        </patternFill>
      </fill>
    </dxf>
    <dxf>
      <font>
        <b/>
        <i val="0"/>
        <color theme="0"/>
      </font>
      <fill>
        <patternFill>
          <bgColor rgb="FF317A70"/>
        </patternFill>
      </fill>
    </dxf>
    <dxf>
      <font>
        <b/>
        <i val="0"/>
        <color theme="0"/>
      </font>
      <fill>
        <patternFill>
          <bgColor rgb="FF317A70"/>
        </patternFill>
      </fill>
    </dxf>
    <dxf>
      <font>
        <b/>
        <i val="0"/>
        <color theme="0"/>
      </font>
      <fill>
        <patternFill>
          <bgColor rgb="FF317A70"/>
        </patternFill>
      </fill>
    </dxf>
    <dxf>
      <font>
        <b/>
        <i val="0"/>
        <color rgb="FFFF9999"/>
      </font>
    </dxf>
    <dxf>
      <font>
        <b/>
        <i val="0"/>
        <color rgb="FFFF9999"/>
      </font>
    </dxf>
    <dxf>
      <font>
        <b/>
        <i val="0"/>
        <color rgb="FFFF9999"/>
      </font>
    </dxf>
    <dxf>
      <font>
        <b/>
        <i val="0"/>
        <color auto="1"/>
      </font>
      <fill>
        <patternFill>
          <bgColor rgb="FFEFDCB7"/>
        </patternFill>
      </fill>
    </dxf>
    <dxf>
      <font>
        <b/>
        <i val="0"/>
        <color rgb="FFFF9999"/>
      </font>
    </dxf>
    <dxf>
      <font>
        <b/>
        <i val="0"/>
        <color theme="0"/>
      </font>
      <fill>
        <patternFill>
          <bgColor rgb="FF317A70"/>
        </patternFill>
      </fill>
    </dxf>
    <dxf>
      <font>
        <b/>
        <i val="0"/>
        <color theme="0"/>
      </font>
      <fill>
        <patternFill>
          <bgColor rgb="FF317A70"/>
        </patternFill>
      </fill>
    </dxf>
    <dxf>
      <font>
        <b/>
        <i val="0"/>
        <color theme="0"/>
      </font>
      <fill>
        <patternFill>
          <bgColor rgb="FF317A70"/>
        </patternFill>
      </fill>
    </dxf>
    <dxf>
      <font>
        <b/>
        <i val="0"/>
        <color theme="0"/>
      </font>
      <fill>
        <patternFill>
          <bgColor rgb="FF317A70"/>
        </patternFill>
      </fill>
    </dxf>
    <dxf>
      <font>
        <b/>
        <i val="0"/>
        <color theme="0"/>
      </font>
      <fill>
        <patternFill>
          <bgColor rgb="FF317A70"/>
        </patternFill>
      </fill>
    </dxf>
    <dxf>
      <font>
        <b/>
        <i val="0"/>
        <color rgb="FFFF9999"/>
      </font>
    </dxf>
    <dxf>
      <font>
        <b/>
        <i val="0"/>
        <color rgb="FFFF9999"/>
      </font>
    </dxf>
    <dxf>
      <font>
        <b/>
        <i val="0"/>
        <color rgb="FFFF9999"/>
      </font>
    </dxf>
    <dxf>
      <font>
        <b/>
        <i val="0"/>
        <color theme="0"/>
      </font>
      <fill>
        <patternFill>
          <bgColor rgb="FF317A70"/>
        </patternFill>
      </fill>
    </dxf>
    <dxf>
      <font>
        <b/>
        <i val="0"/>
        <color auto="1"/>
      </font>
      <fill>
        <patternFill>
          <bgColor rgb="FFEFDCB7"/>
        </patternFill>
      </fill>
    </dxf>
    <dxf>
      <font>
        <b/>
        <i val="0"/>
        <color theme="0"/>
      </font>
      <fill>
        <patternFill>
          <bgColor rgb="FF317A70"/>
        </patternFill>
      </fill>
    </dxf>
    <dxf>
      <font>
        <b/>
        <i val="0"/>
        <color rgb="FFFF9999"/>
      </font>
    </dxf>
    <dxf>
      <font>
        <b/>
        <i val="0"/>
        <color auto="1"/>
      </font>
      <fill>
        <patternFill>
          <bgColor rgb="FFEFDCB7"/>
        </patternFill>
      </fill>
    </dxf>
    <dxf>
      <font>
        <b/>
        <i val="0"/>
        <color theme="0"/>
      </font>
      <fill>
        <patternFill>
          <bgColor rgb="FF317A70"/>
        </patternFill>
      </fill>
    </dxf>
    <dxf>
      <font>
        <color rgb="FFFF9999"/>
      </font>
    </dxf>
    <dxf>
      <font>
        <b/>
        <i val="0"/>
        <color rgb="FFFF9999"/>
      </font>
    </dxf>
    <dxf>
      <font>
        <b/>
        <i val="0"/>
        <color auto="1"/>
      </font>
      <fill>
        <patternFill>
          <bgColor rgb="FFEFDCB7"/>
        </patternFill>
      </fill>
    </dxf>
    <dxf>
      <font>
        <b/>
        <i val="0"/>
        <color auto="1"/>
      </font>
      <fill>
        <patternFill>
          <bgColor rgb="FFFF9999"/>
        </patternFill>
      </fill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b/>
        <i val="0"/>
        <color rgb="FFFF9999"/>
      </font>
    </dxf>
    <dxf>
      <font>
        <b/>
        <i val="0"/>
        <color rgb="FFFF9999"/>
      </font>
    </dxf>
    <dxf>
      <font>
        <b/>
        <i val="0"/>
        <color rgb="FFFF9999"/>
      </font>
    </dxf>
    <dxf>
      <font>
        <color rgb="FFFF7C80"/>
      </font>
    </dxf>
    <dxf>
      <font>
        <color rgb="FFFF7C80"/>
      </font>
    </dxf>
    <dxf>
      <font>
        <color rgb="FFFF7C80"/>
      </font>
    </dxf>
    <dxf>
      <font>
        <color rgb="FFFF7C80"/>
      </font>
    </dxf>
    <dxf>
      <font>
        <color rgb="FFFF7C80"/>
      </font>
    </dxf>
    <dxf>
      <font>
        <color rgb="FFFF7C80"/>
      </font>
    </dxf>
    <dxf>
      <font>
        <color rgb="FFFF7C80"/>
      </font>
    </dxf>
    <dxf>
      <font>
        <color rgb="FFFF7C8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3" tint="9.9948118533890809E-2"/>
      </font>
      <fill>
        <patternFill>
          <bgColor theme="3" tint="0.749961851863155"/>
        </patternFill>
      </fill>
    </dxf>
    <dxf>
      <font>
        <color theme="3" tint="9.9948118533890809E-2"/>
      </font>
      <fill>
        <patternFill>
          <bgColor theme="3" tint="0.749961851863155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3" tint="9.9948118533890809E-2"/>
      </font>
      <fill>
        <patternFill>
          <bgColor theme="3" tint="0.749961851863155"/>
        </patternFill>
      </fill>
    </dxf>
    <dxf>
      <font>
        <color theme="3" tint="9.9948118533890809E-2"/>
      </font>
      <fill>
        <patternFill>
          <bgColor theme="3" tint="0.749961851863155"/>
        </patternFill>
      </fill>
    </dxf>
  </dxfs>
  <tableStyles count="0" defaultTableStyle="TableStyleMedium2" defaultPivotStyle="PivotStyleLight16"/>
  <colors>
    <mruColors>
      <color rgb="FFE5C78A"/>
      <color rgb="FF314566"/>
      <color rgb="FFFF9999"/>
      <color rgb="FF317A70"/>
      <color rgb="FFE9D1A1"/>
      <color rgb="FF596985"/>
      <color rgb="FFACB5C1"/>
      <color rgb="FF207A70"/>
      <color rgb="FFF4E8CF"/>
      <color rgb="FFB69E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s-MX">
                <a:solidFill>
                  <a:srgbClr val="314566"/>
                </a:solidFill>
              </a:rPr>
              <a:t>Integración de Ingreso (Retiro)</a:t>
            </a:r>
          </a:p>
        </c:rich>
      </c:tx>
      <c:layout>
        <c:manualLayout>
          <c:xMode val="edge"/>
          <c:yMode val="edge"/>
          <c:x val="0.28486085587553955"/>
          <c:y val="9.1366096357198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2.0798687968070832E-2"/>
          <c:y val="0.21422805443880816"/>
          <c:w val="0.95786667556411265"/>
          <c:h val="0.50735126098272332"/>
        </c:manualLayout>
      </c:layout>
      <c:barChart>
        <c:barDir val="bar"/>
        <c:grouping val="percentStacked"/>
        <c:varyColors val="0"/>
        <c:ser>
          <c:idx val="3"/>
          <c:order val="0"/>
          <c:tx>
            <c:strRef>
              <c:f>'Cálculos y Supuestos Edo.Res'!$F$40</c:f>
              <c:strCache>
                <c:ptCount val="1"/>
                <c:pt idx="0">
                  <c:v>Propiedades en Renta</c:v>
                </c:pt>
              </c:strCache>
            </c:strRef>
          </c:tx>
          <c:spPr>
            <a:solidFill>
              <a:srgbClr val="B69E6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'Cálculos y Supuestos Edo.Res'!$G$43</c:f>
              <c:numCache>
                <c:formatCode>_-"$"* #,##0_-;\-"$"* #,##0_-;_-"$"* "-"??_-;_-@_-</c:formatCode>
                <c:ptCount val="1"/>
              </c:numCache>
            </c:numRef>
          </c:cat>
          <c:val>
            <c:numRef>
              <c:f>'Cálculos y Supuestos Edo.Res'!$G$40</c:f>
              <c:numCache>
                <c:formatCode>_-"$"* #,##0_-;\-"$"* #,##0_-;_-"$"* "-"??_-;_-@_-</c:formatCode>
                <c:ptCount val="1"/>
                <c:pt idx="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E-4242-BEA0-4038BBE4CFA6}"/>
            </c:ext>
          </c:extLst>
        </c:ser>
        <c:ser>
          <c:idx val="0"/>
          <c:order val="1"/>
          <c:tx>
            <c:strRef>
              <c:f>'Cálculos y Supuestos Edo.Res'!$F$41</c:f>
              <c:strCache>
                <c:ptCount val="1"/>
                <c:pt idx="0">
                  <c:v>Negocio/Dividendos</c:v>
                </c:pt>
              </c:strCache>
            </c:strRef>
          </c:tx>
          <c:spPr>
            <a:solidFill>
              <a:srgbClr val="E5C78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'Cálculos y Supuestos Edo.Res'!$G$43</c:f>
              <c:numCache>
                <c:formatCode>_-"$"* #,##0_-;\-"$"* #,##0_-;_-"$"* "-"??_-;_-@_-</c:formatCode>
                <c:ptCount val="1"/>
              </c:numCache>
            </c:numRef>
          </c:cat>
          <c:val>
            <c:numRef>
              <c:f>'Cálculos y Supuestos Edo.Res'!$G$41</c:f>
              <c:numCache>
                <c:formatCode>_-"$"* #,##0_-;\-"$"* #,##0_-;_-"$"*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4E-4242-BEA0-4038BBE4CFA6}"/>
            </c:ext>
          </c:extLst>
        </c:ser>
        <c:ser>
          <c:idx val="1"/>
          <c:order val="2"/>
          <c:tx>
            <c:strRef>
              <c:f>'Cálculos y Supuestos Edo.Res'!$F$42</c:f>
              <c:strCache>
                <c:ptCount val="1"/>
                <c:pt idx="0">
                  <c:v>Esquemas de Pensión</c:v>
                </c:pt>
              </c:strCache>
            </c:strRef>
          </c:tx>
          <c:spPr>
            <a:solidFill>
              <a:srgbClr val="E9D1A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'Cálculos y Supuestos Edo.Res'!$G$43</c:f>
              <c:numCache>
                <c:formatCode>_-"$"* #,##0_-;\-"$"* #,##0_-;_-"$"* "-"??_-;_-@_-</c:formatCode>
                <c:ptCount val="1"/>
              </c:numCache>
            </c:numRef>
          </c:cat>
          <c:val>
            <c:numRef>
              <c:f>'Cálculos y Supuestos Edo.Res'!$G$42</c:f>
              <c:numCache>
                <c:formatCode>_-"$"* #,##0_-;\-"$"* #,##0_-;_-"$"* "-"??_-;_-@_-</c:formatCode>
                <c:ptCount val="1"/>
                <c:pt idx="0">
                  <c:v>38551.55878290625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4E-4242-BEA0-4038BBE4CFA6}"/>
            </c:ext>
          </c:extLst>
        </c:ser>
        <c:ser>
          <c:idx val="2"/>
          <c:order val="3"/>
          <c:tx>
            <c:strRef>
              <c:f>'Cálculos y Supuestos Edo.Res'!$F$46</c:f>
              <c:strCache>
                <c:ptCount val="1"/>
                <c:pt idx="0">
                  <c:v>Pendiente</c:v>
                </c:pt>
              </c:strCache>
            </c:strRef>
          </c:tx>
          <c:spPr>
            <a:solidFill>
              <a:srgbClr val="F4E8C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4E8C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904-4B4B-8369-3DD7497D2B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'Cálculos y Supuestos Edo.Res'!$G$43</c:f>
              <c:numCache>
                <c:formatCode>_-"$"* #,##0_-;\-"$"* #,##0_-;_-"$"* "-"??_-;_-@_-</c:formatCode>
                <c:ptCount val="1"/>
              </c:numCache>
            </c:numRef>
          </c:cat>
          <c:val>
            <c:numRef>
              <c:f>'Cálculos y Supuestos Edo.Res'!$G$46</c:f>
              <c:numCache>
                <c:formatCode>#,##0</c:formatCode>
                <c:ptCount val="1"/>
                <c:pt idx="0">
                  <c:v>1448.4412170937503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4E-4242-BEA0-4038BBE4CF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249108688"/>
        <c:axId val="249109080"/>
      </c:barChart>
      <c:catAx>
        <c:axId val="249108688"/>
        <c:scaling>
          <c:orientation val="minMax"/>
        </c:scaling>
        <c:delete val="1"/>
        <c:axPos val="l"/>
        <c:numFmt formatCode="_-&quot;$&quot;* #,##0_-;\-&quot;$&quot;* #,##0_-;_-&quot;$&quot;* &quot;-&quot;??_-;_-@_-" sourceLinked="1"/>
        <c:majorTickMark val="none"/>
        <c:minorTickMark val="none"/>
        <c:tickLblPos val="nextTo"/>
        <c:crossAx val="249109080"/>
        <c:crosses val="autoZero"/>
        <c:auto val="1"/>
        <c:lblAlgn val="ctr"/>
        <c:lblOffset val="100"/>
        <c:noMultiLvlLbl val="0"/>
      </c:catAx>
      <c:valAx>
        <c:axId val="2491090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MX"/>
          </a:p>
        </c:txPr>
        <c:crossAx val="24910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>
          <a:latin typeface="Poppins" panose="00000500000000000000" pitchFamily="2" charset="0"/>
          <a:cs typeface="Poppins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3606385809052"/>
          <c:y val="3.496655015894605E-2"/>
          <c:w val="0.82147140834988186"/>
          <c:h val="0.6766220657479196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Auxiliar!$H$20</c:f>
              <c:strCache>
                <c:ptCount val="1"/>
                <c:pt idx="0">
                  <c:v>Por debajo</c:v>
                </c:pt>
              </c:strCache>
            </c:strRef>
          </c:tx>
          <c:spPr>
            <a:solidFill>
              <a:schemeClr val="accent2">
                <a:tint val="54000"/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CB5C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0F-459E-AB00-19F732DB0C74}"/>
              </c:ext>
            </c:extLst>
          </c:dPt>
          <c:dPt>
            <c:idx val="1"/>
            <c:invertIfNegative val="0"/>
            <c:bubble3D val="0"/>
            <c:spPr>
              <a:solidFill>
                <a:srgbClr val="E9D1A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A9-4289-B29E-B1FB1629331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Poppins" panose="00000500000000000000" pitchFamily="2" charset="0"/>
                      <a:ea typeface="+mn-ea"/>
                      <a:cs typeface="Poppins" panose="00000500000000000000" pitchFamily="2" charset="0"/>
                    </a:defRPr>
                  </a:pPr>
                  <a:endParaRPr lang="es-MX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C0F-459E-AB00-19F732DB0C74}"/>
                </c:ext>
              </c:extLst>
            </c:dLbl>
            <c:dLbl>
              <c:idx val="1"/>
              <c:spPr>
                <a:solidFill>
                  <a:srgbClr val="E9D1A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 algn="ctr" rtl="0"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Poppins" panose="00000500000000000000" pitchFamily="2" charset="0"/>
                      <a:ea typeface="+mn-ea"/>
                      <a:cs typeface="Poppins" panose="00000500000000000000" pitchFamily="2" charset="0"/>
                    </a:defRPr>
                  </a:pPr>
                  <a:endParaRPr lang="es-MX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97A9-4289-B29E-B1FB162933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Auxiliar!$G$21:$G$22</c:f>
              <c:strCache>
                <c:ptCount val="2"/>
                <c:pt idx="0">
                  <c:v>Referencia</c:v>
                </c:pt>
                <c:pt idx="1">
                  <c:v>Mi nivel</c:v>
                </c:pt>
              </c:strCache>
            </c:strRef>
          </c:cat>
          <c:val>
            <c:numRef>
              <c:f>Auxiliar!$H$21:$H$22</c:f>
              <c:numCache>
                <c:formatCode>_(* #,##0.00_);_(* \(#,##0.00\);_(* "-"??_);_(@_)</c:formatCode>
                <c:ptCount val="2"/>
                <c:pt idx="0" formatCode="General">
                  <c:v>1</c:v>
                </c:pt>
                <c:pt idx="1">
                  <c:v>2.9166666666666665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A9-4289-B29E-B1FB16293315}"/>
            </c:ext>
          </c:extLst>
        </c:ser>
        <c:ser>
          <c:idx val="1"/>
          <c:order val="1"/>
          <c:tx>
            <c:strRef>
              <c:f>Auxiliar!$I$20</c:f>
              <c:strCache>
                <c:ptCount val="1"/>
                <c:pt idx="0">
                  <c:v>Por arriba</c:v>
                </c:pt>
              </c:strCache>
            </c:strRef>
          </c:tx>
          <c:spPr>
            <a:solidFill>
              <a:srgbClr val="59698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Auxiliar!$G$21:$G$22</c:f>
              <c:strCache>
                <c:ptCount val="2"/>
                <c:pt idx="0">
                  <c:v>Referencia</c:v>
                </c:pt>
                <c:pt idx="1">
                  <c:v>Mi nivel</c:v>
                </c:pt>
              </c:strCache>
            </c:strRef>
          </c:cat>
          <c:val>
            <c:numRef>
              <c:f>Auxiliar!$I$21:$I$22</c:f>
              <c:numCache>
                <c:formatCode>General</c:formatCode>
                <c:ptCount val="2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A9-4289-B29E-B1FB16293315}"/>
            </c:ext>
          </c:extLst>
        </c:ser>
        <c:ser>
          <c:idx val="3"/>
          <c:order val="2"/>
          <c:tx>
            <c:strRef>
              <c:f>Auxiliar!$J$20</c:f>
              <c:strCache>
                <c:ptCount val="1"/>
                <c:pt idx="0">
                  <c:v>Rico</c:v>
                </c:pt>
              </c:strCache>
            </c:strRef>
          </c:tx>
          <c:spPr>
            <a:solidFill>
              <a:srgbClr val="3145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Auxiliar!$G$21:$G$22</c:f>
              <c:strCache>
                <c:ptCount val="2"/>
                <c:pt idx="0">
                  <c:v>Referencia</c:v>
                </c:pt>
                <c:pt idx="1">
                  <c:v>Mi nivel</c:v>
                </c:pt>
              </c:strCache>
            </c:strRef>
          </c:cat>
          <c:val>
            <c:numRef>
              <c:f>Auxiliar!$J$21:$J$22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A9-4289-B29E-B1FB16293315}"/>
            </c:ext>
          </c:extLst>
        </c:ser>
        <c:ser>
          <c:idx val="4"/>
          <c:order val="3"/>
          <c:tx>
            <c:strRef>
              <c:f>Auxiliar!$K$20</c:f>
              <c:strCache>
                <c:ptCount val="1"/>
                <c:pt idx="0">
                  <c:v>Acaudalado</c:v>
                </c:pt>
              </c:strCache>
            </c:strRef>
          </c:tx>
          <c:spPr>
            <a:solidFill>
              <a:srgbClr val="1C283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Auxiliar!$G$21:$G$22</c:f>
              <c:strCache>
                <c:ptCount val="2"/>
                <c:pt idx="0">
                  <c:v>Referencia</c:v>
                </c:pt>
                <c:pt idx="1">
                  <c:v>Mi nivel</c:v>
                </c:pt>
              </c:strCache>
            </c:strRef>
          </c:cat>
          <c:val>
            <c:numRef>
              <c:f>Auxiliar!$K$21:$K$22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A9-4289-B29E-B1FB16293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49166744"/>
        <c:axId val="249106728"/>
      </c:barChart>
      <c:catAx>
        <c:axId val="249166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9106728"/>
        <c:crosses val="autoZero"/>
        <c:auto val="1"/>
        <c:lblAlgn val="ctr"/>
        <c:lblOffset val="100"/>
        <c:noMultiLvlLbl val="0"/>
      </c:catAx>
      <c:valAx>
        <c:axId val="249106728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r>
                  <a:rPr lang="es-MX"/>
                  <a:t>Años</a:t>
                </a:r>
              </a:p>
            </c:rich>
          </c:tx>
          <c:layout>
            <c:manualLayout>
              <c:xMode val="edge"/>
              <c:yMode val="edge"/>
              <c:x val="1.7625686991875895E-2"/>
              <c:y val="0.768249537395815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oppins" panose="00000500000000000000" pitchFamily="2" charset="0"/>
                  <a:ea typeface="+mn-ea"/>
                  <a:cs typeface="Poppins" panose="00000500000000000000" pitchFamily="2" charset="0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MX"/>
          </a:p>
        </c:txPr>
        <c:crossAx val="249166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Poppins" panose="00000500000000000000" pitchFamily="2" charset="0"/>
          <a:cs typeface="Poppins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240997190738101"/>
          <c:y val="7.6861420550267956E-2"/>
          <c:w val="0.73979658044407193"/>
          <c:h val="0.6650851475555289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Auxiliar!$H$24</c:f>
              <c:strCache>
                <c:ptCount val="1"/>
                <c:pt idx="0">
                  <c:v>Afore</c:v>
                </c:pt>
              </c:strCache>
            </c:strRef>
          </c:tx>
          <c:spPr>
            <a:solidFill>
              <a:srgbClr val="E5C78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145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F1-436C-A24F-7E1792F93AD4}"/>
              </c:ext>
            </c:extLst>
          </c:dPt>
          <c:dLbls>
            <c:dLbl>
              <c:idx val="0"/>
              <c:numFmt formatCode="_-&quot;$&quot;* #,##0_-;\-&quot;$&quot;* #,##0_-;_-&quot;$&quot;* &quot;-&quot;??_-;_-@_-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4F1-436C-A24F-7E1792F93AD4}"/>
                </c:ext>
              </c:extLst>
            </c:dLbl>
            <c:numFmt formatCode="_-&quot;$&quot;* #,##0_-;\-&quot;$&quot;* #,##0_-;_-&quot;$&quot;* &quot;-&quot;??_-;_-@_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Auxiliar!$G$25:$G$26</c:f>
              <c:strCache>
                <c:ptCount val="2"/>
                <c:pt idx="0">
                  <c:v>Calidad de vida</c:v>
                </c:pt>
                <c:pt idx="1">
                  <c:v>Mis esquemas</c:v>
                </c:pt>
              </c:strCache>
            </c:strRef>
          </c:cat>
          <c:val>
            <c:numRef>
              <c:f>Auxiliar!$H$25:$H$26</c:f>
              <c:numCache>
                <c:formatCode>_-"$"* #,##0_-;\-"$"* #,##0_-;_-"$"* "-"??_-;_-@_-</c:formatCode>
                <c:ptCount val="2"/>
                <c:pt idx="0">
                  <c:v>50000</c:v>
                </c:pt>
                <c:pt idx="1">
                  <c:v>3551.5587829062497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1-436C-A24F-7E1792F93AD4}"/>
            </c:ext>
          </c:extLst>
        </c:ser>
        <c:ser>
          <c:idx val="1"/>
          <c:order val="1"/>
          <c:tx>
            <c:strRef>
              <c:f>Auxiliar!$I$24</c:f>
              <c:strCache>
                <c:ptCount val="1"/>
                <c:pt idx="0">
                  <c:v>Voluntario</c:v>
                </c:pt>
              </c:strCache>
            </c:strRef>
          </c:tx>
          <c:spPr>
            <a:solidFill>
              <a:srgbClr val="317A70"/>
            </a:solidFill>
            <a:ln>
              <a:noFill/>
            </a:ln>
            <a:effectLst/>
          </c:spPr>
          <c:invertIfNegative val="0"/>
          <c:dLbls>
            <c:numFmt formatCode="_-&quot;$&quot;* #,##0_-;\-&quot;$&quot;* #,##0_-;_-&quot;$&quot;* &quot;-&quot;??_-;_-@_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Auxiliar!$G$25:$G$26</c:f>
              <c:strCache>
                <c:ptCount val="2"/>
                <c:pt idx="0">
                  <c:v>Calidad de vida</c:v>
                </c:pt>
                <c:pt idx="1">
                  <c:v>Mis esquemas</c:v>
                </c:pt>
              </c:strCache>
            </c:strRef>
          </c:cat>
          <c:val>
            <c:numRef>
              <c:f>Auxiliar!$I$25:$I$26</c:f>
              <c:numCache>
                <c:formatCode>_-"$"* #,##0_-;\-"$"* #,##0_-;_-"$"* "-"??_-;_-@_-</c:formatCode>
                <c:ptCount val="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F1-436C-A24F-7E1792F93AD4}"/>
            </c:ext>
          </c:extLst>
        </c:ser>
        <c:ser>
          <c:idx val="2"/>
          <c:order val="2"/>
          <c:tx>
            <c:strRef>
              <c:f>Auxiliar!$J$24</c:f>
              <c:strCache>
                <c:ptCount val="1"/>
                <c:pt idx="0">
                  <c:v>Ley 73</c:v>
                </c:pt>
              </c:strCache>
            </c:strRef>
          </c:tx>
          <c:spPr>
            <a:solidFill>
              <a:srgbClr val="BD865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Auxiliar!$G$25:$G$26</c:f>
              <c:strCache>
                <c:ptCount val="2"/>
                <c:pt idx="0">
                  <c:v>Calidad de vida</c:v>
                </c:pt>
                <c:pt idx="1">
                  <c:v>Mis esquemas</c:v>
                </c:pt>
              </c:strCache>
            </c:strRef>
          </c:cat>
          <c:val>
            <c:numRef>
              <c:f>Auxiliar!$J$25:$J$26</c:f>
              <c:numCache>
                <c:formatCode>_-"$"* #,##0_-;\-"$"* #,##0_-;_-"$"* "-"??_-;_-@_-</c:formatCode>
                <c:ptCount val="2"/>
                <c:pt idx="1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F1-436C-A24F-7E1792F93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49107512"/>
        <c:axId val="249107904"/>
      </c:barChart>
      <c:catAx>
        <c:axId val="249107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9107904"/>
        <c:crosses val="autoZero"/>
        <c:auto val="1"/>
        <c:lblAlgn val="ctr"/>
        <c:lblOffset val="100"/>
        <c:noMultiLvlLbl val="0"/>
      </c:catAx>
      <c:valAx>
        <c:axId val="249107904"/>
        <c:scaling>
          <c:orientation val="minMax"/>
        </c:scaling>
        <c:delete val="1"/>
        <c:axPos val="t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out"/>
        <c:minorTickMark val="none"/>
        <c:tickLblPos val="nextTo"/>
        <c:crossAx val="24910751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US">
                <a:solidFill>
                  <a:srgbClr val="314566"/>
                </a:solidFill>
              </a:rPr>
              <a:t>TRAYECTORIA AL MOMENTO DEL RETIRO (SOBRE PATRIMONIO FINANCIERO)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Desacumulación!$B$34</c:f>
              <c:strCache>
                <c:ptCount val="1"/>
                <c:pt idx="0">
                  <c:v>Saldo Final</c:v>
                </c:pt>
              </c:strCache>
            </c:strRef>
          </c:tx>
          <c:spPr>
            <a:solidFill>
              <a:srgbClr val="E5C78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Desacumulación!$C$32:$AA$32</c:f>
              <c:numCache>
                <c:formatCode>0_ ;\-0\ </c:formatCode>
                <c:ptCount val="25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</c:numCache>
            </c:numRef>
          </c:cat>
          <c:val>
            <c:numRef>
              <c:f>Desacumulación!$C$34:$AA$34</c:f>
              <c:numCache>
                <c:formatCode>_-* #,##0_-;\-* #,##0_-;_-* "-"??_-;_-@_-</c:formatCode>
                <c:ptCount val="25"/>
                <c:pt idx="0">
                  <c:v>2549846.2242086185</c:v>
                </c:pt>
                <c:pt idx="1">
                  <c:v>2557986.1480843658</c:v>
                </c:pt>
                <c:pt idx="2">
                  <c:v>2566207.8453169945</c:v>
                </c:pt>
                <c:pt idx="3">
                  <c:v>2574512.1373984478</c:v>
                </c:pt>
                <c:pt idx="4">
                  <c:v>2582899.854073348</c:v>
                </c:pt>
                <c:pt idx="5">
                  <c:v>2591371.8334218953</c:v>
                </c:pt>
                <c:pt idx="6">
                  <c:v>2599928.9219436152</c:v>
                </c:pt>
                <c:pt idx="7">
                  <c:v>2608571.9746419336</c:v>
                </c:pt>
                <c:pt idx="8">
                  <c:v>2617301.8551096045</c:v>
                </c:pt>
                <c:pt idx="9">
                  <c:v>2626119.4356150031</c:v>
                </c:pt>
                <c:pt idx="10">
                  <c:v>2635025.5971892793</c:v>
                </c:pt>
                <c:pt idx="11">
                  <c:v>2644021.2297143852</c:v>
                </c:pt>
                <c:pt idx="12">
                  <c:v>2653107.2320119925</c:v>
                </c:pt>
                <c:pt idx="13">
                  <c:v>2662284.511933303</c:v>
                </c:pt>
                <c:pt idx="14">
                  <c:v>2671553.9864497529</c:v>
                </c:pt>
                <c:pt idx="15">
                  <c:v>2680916.5817446406</c:v>
                </c:pt>
                <c:pt idx="16">
                  <c:v>2690373.2333056638</c:v>
                </c:pt>
                <c:pt idx="17">
                  <c:v>2699924.8860183922</c:v>
                </c:pt>
                <c:pt idx="18">
                  <c:v>2709572.4942606809</c:v>
                </c:pt>
                <c:pt idx="19">
                  <c:v>2719317.0219980264</c:v>
                </c:pt>
                <c:pt idx="20">
                  <c:v>2729159.4428798864</c:v>
                </c:pt>
                <c:pt idx="21">
                  <c:v>2739100.7403369597</c:v>
                </c:pt>
                <c:pt idx="22">
                  <c:v>2749141.9076794549</c:v>
                </c:pt>
                <c:pt idx="23">
                  <c:v>2759283.9481963343</c:v>
                </c:pt>
                <c:pt idx="24">
                  <c:v>2769527.8752555624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3-4D72-B903-5643A37EA6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02672416"/>
        <c:axId val="802675296"/>
      </c:barChart>
      <c:catAx>
        <c:axId val="80267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\-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MX"/>
          </a:p>
        </c:txPr>
        <c:crossAx val="802675296"/>
        <c:crosses val="autoZero"/>
        <c:auto val="1"/>
        <c:lblAlgn val="ctr"/>
        <c:lblOffset val="100"/>
        <c:noMultiLvlLbl val="0"/>
      </c:catAx>
      <c:valAx>
        <c:axId val="802675296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80267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Poppins" panose="00000500000000000000" pitchFamily="2" charset="0"/>
          <a:cs typeface="Poppins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MX" sz="1600" b="1" i="0" u="none" strike="noStrike" kern="1200" cap="all" spc="50" baseline="0">
                <a:solidFill>
                  <a:srgbClr val="314566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s-MX" sz="1600" b="1" i="0" u="none" strike="noStrike" kern="1200" cap="all" spc="50" baseline="0">
                <a:solidFill>
                  <a:srgbClr val="314566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rPr>
              <a:t>Regla 72: Tiempo en duplicar tu inversión (72/Tasa)</a:t>
            </a:r>
          </a:p>
        </c:rich>
      </c:tx>
      <c:layout>
        <c:manualLayout>
          <c:xMode val="edge"/>
          <c:yMode val="edge"/>
          <c:x val="0.29490338595148496"/>
          <c:y val="2.6598095827659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MX" sz="1600" b="1" i="0" u="none" strike="noStrike" kern="1200" cap="all" spc="50" baseline="0">
              <a:solidFill>
                <a:srgbClr val="314566"/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8.5086856504762269E-3"/>
          <c:y val="8.9455910762672022E-2"/>
          <c:w val="0.98298262869904751"/>
          <c:h val="0.7705772591461405"/>
        </c:manualLayout>
      </c:layout>
      <c:lineChart>
        <c:grouping val="standard"/>
        <c:varyColors val="0"/>
        <c:ser>
          <c:idx val="0"/>
          <c:order val="0"/>
          <c:tx>
            <c:strRef>
              <c:f>'Cálculos y Supuestos Edo.Res'!$X$6</c:f>
              <c:strCache>
                <c:ptCount val="1"/>
                <c:pt idx="0">
                  <c:v>8%</c:v>
                </c:pt>
              </c:strCache>
            </c:strRef>
          </c:tx>
          <c:spPr>
            <a:ln w="31750" cap="rnd">
              <a:solidFill>
                <a:srgbClr val="317A70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317A70"/>
              </a:solidFill>
              <a:ln>
                <a:solidFill>
                  <a:srgbClr val="317A70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1D-4F41-B0A1-9EC912FBC97E}"/>
                </c:ext>
              </c:extLst>
            </c:dLbl>
            <c:dLbl>
              <c:idx val="3"/>
              <c:layout>
                <c:manualLayout>
                  <c:x val="-3.2460769998395721E-2"/>
                  <c:y val="-6.59662216753242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1D-4F41-B0A1-9EC912FBC97E}"/>
                </c:ext>
              </c:extLst>
            </c:dLbl>
            <c:dLbl>
              <c:idx val="4"/>
              <c:layout>
                <c:manualLayout>
                  <c:x val="-3.2733077228571827E-2"/>
                  <c:y val="-0.1054515699695508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1D-4F41-B0A1-9EC912FBC97E}"/>
                </c:ext>
              </c:extLst>
            </c:dLbl>
            <c:dLbl>
              <c:idx val="6"/>
              <c:layout>
                <c:manualLayout>
                  <c:x val="-3.5223388721663543E-2"/>
                  <c:y val="-9.78853611956423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1D-4F41-B0A1-9EC912FBC97E}"/>
                </c:ext>
              </c:extLst>
            </c:dLbl>
            <c:dLbl>
              <c:idx val="8"/>
              <c:layout>
                <c:manualLayout>
                  <c:x val="-3.4305620339785896E-2"/>
                  <c:y val="-0.1001465485662030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1D-4F41-B0A1-9EC912FBC97E}"/>
                </c:ext>
              </c:extLst>
            </c:dLbl>
            <c:dLbl>
              <c:idx val="9"/>
              <c:layout>
                <c:manualLayout>
                  <c:x val="-3.9585339425671794E-2"/>
                  <c:y val="-6.13296978261294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1D-4F41-B0A1-9EC912FBC97E}"/>
                </c:ext>
              </c:extLst>
            </c:dLbl>
            <c:dLbl>
              <c:idx val="12"/>
              <c:layout>
                <c:manualLayout>
                  <c:x val="-1.9338331062874047E-2"/>
                  <c:y val="-4.25588526937575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1D-4F41-B0A1-9EC912FBC97E}"/>
                </c:ext>
              </c:extLst>
            </c:dLbl>
            <c:dLbl>
              <c:idx val="18"/>
              <c:layout>
                <c:manualLayout>
                  <c:x val="-4.0433677141863654E-2"/>
                  <c:y val="-5.62703398447913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61D-4F41-B0A1-9EC912FBC97E}"/>
                </c:ext>
              </c:extLst>
            </c:dLbl>
            <c:dLbl>
              <c:idx val="27"/>
              <c:layout>
                <c:manualLayout>
                  <c:x val="-4.0433677141863654E-2"/>
                  <c:y val="-6.56487298189232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61D-4F41-B0A1-9EC912FBC97E}"/>
                </c:ext>
              </c:extLst>
            </c:dLbl>
            <c:dLbl>
              <c:idx val="36"/>
              <c:layout>
                <c:manualLayout>
                  <c:x val="-4.39496490672431E-2"/>
                  <c:y val="-0.1563064995688648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61D-4F41-B0A1-9EC912FBC97E}"/>
                </c:ext>
              </c:extLst>
            </c:dLbl>
            <c:dLbl>
              <c:idx val="45"/>
              <c:layout>
                <c:manualLayout>
                  <c:x val="-4.4828642048588094E-2"/>
                  <c:y val="-5.31442098534140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61D-4F41-B0A1-9EC912FBC97E}"/>
                </c:ext>
              </c:extLst>
            </c:dLbl>
            <c:dLbl>
              <c:idx val="54"/>
              <c:layout>
                <c:manualLayout>
                  <c:x val="-3.5356406497339542E-3"/>
                  <c:y val="-5.49141563938839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B61D-4F41-B0A1-9EC912FBC9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317A70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MX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'Cálculos y Supuestos Edo.Res'!$W$7:$W$62</c:f>
              <c:numCache>
                <c:formatCode>#,##0\ " años"</c:formatCode>
                <c:ptCount val="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</c:numCache>
            </c:numRef>
          </c:cat>
          <c:val>
            <c:numRef>
              <c:f>'Cálculos y Supuestos Edo.Res'!$X$7:$X$62</c:f>
              <c:numCache>
                <c:formatCode>_-"$"* #,##0_-;\-"$"* #,##0_-;_-"$"* "-"??_-;_-@_-</c:formatCode>
                <c:ptCount val="56"/>
                <c:pt idx="0">
                  <c:v>2200000</c:v>
                </c:pt>
                <c:pt idx="9">
                  <c:v>4400000</c:v>
                </c:pt>
                <c:pt idx="18">
                  <c:v>8800000</c:v>
                </c:pt>
                <c:pt idx="27">
                  <c:v>17600000</c:v>
                </c:pt>
                <c:pt idx="36">
                  <c:v>35200000</c:v>
                </c:pt>
                <c:pt idx="45">
                  <c:v>70400000</c:v>
                </c:pt>
                <c:pt idx="54">
                  <c:v>140800000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61D-4F41-B0A1-9EC912FBC97E}"/>
            </c:ext>
          </c:extLst>
        </c:ser>
        <c:ser>
          <c:idx val="1"/>
          <c:order val="1"/>
          <c:tx>
            <c:strRef>
              <c:f>'Cálculos y Supuestos Edo.Res'!$Y$6</c:f>
              <c:strCache>
                <c:ptCount val="1"/>
                <c:pt idx="0">
                  <c:v>12%</c:v>
                </c:pt>
              </c:strCache>
            </c:strRef>
          </c:tx>
          <c:spPr>
            <a:ln w="31750" cap="rnd">
              <a:solidFill>
                <a:srgbClr val="E5C78A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E5C78A"/>
              </a:solidFill>
              <a:ln>
                <a:solidFill>
                  <a:srgbClr val="E5C78A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61D-4F41-B0A1-9EC912FBC97E}"/>
                </c:ext>
              </c:extLst>
            </c:dLbl>
            <c:dLbl>
              <c:idx val="2"/>
              <c:layout>
                <c:manualLayout>
                  <c:x val="-3.2988106101078656E-2"/>
                  <c:y val="-0.1068883126244383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61D-4F41-B0A1-9EC912FBC97E}"/>
                </c:ext>
              </c:extLst>
            </c:dLbl>
            <c:dLbl>
              <c:idx val="4"/>
              <c:layout>
                <c:manualLayout>
                  <c:x val="-3.3939566199396198E-2"/>
                  <c:y val="-0.1804589952463958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61D-4F41-B0A1-9EC912FBC97E}"/>
                </c:ext>
              </c:extLst>
            </c:dLbl>
            <c:dLbl>
              <c:idx val="6"/>
              <c:layout>
                <c:manualLayout>
                  <c:x val="-3.6350015366398265E-2"/>
                  <c:y val="-0.1188874847568274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61D-4F41-B0A1-9EC912FBC97E}"/>
                </c:ext>
              </c:extLst>
            </c:dLbl>
            <c:dLbl>
              <c:idx val="8"/>
              <c:layout>
                <c:manualLayout>
                  <c:x val="-3.2929705838633708E-2"/>
                  <c:y val="-0.1525289463486290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61D-4F41-B0A1-9EC912FBC97E}"/>
                </c:ext>
              </c:extLst>
            </c:dLbl>
            <c:dLbl>
              <c:idx val="10"/>
              <c:layout>
                <c:manualLayout>
                  <c:x val="-3.5651594623770044E-2"/>
                  <c:y val="-7.02221069447001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61D-4F41-B0A1-9EC912FBC97E}"/>
                </c:ext>
              </c:extLst>
            </c:dLbl>
            <c:dLbl>
              <c:idx val="12"/>
              <c:layout>
                <c:manualLayout>
                  <c:x val="-3.7633799976342509E-2"/>
                  <c:y val="-9.80999952126395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61D-4F41-B0A1-9EC912FBC97E}"/>
                </c:ext>
              </c:extLst>
            </c:dLbl>
            <c:dLbl>
              <c:idx val="18"/>
              <c:layout>
                <c:manualLayout>
                  <c:x val="-4.4494624715676917E-2"/>
                  <c:y val="-0.1125406796895827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61D-4F41-B0A1-9EC912FBC97E}"/>
                </c:ext>
              </c:extLst>
            </c:dLbl>
            <c:dLbl>
              <c:idx val="24"/>
              <c:layout>
                <c:manualLayout>
                  <c:x val="-4.3615631734332118E-2"/>
                  <c:y val="-0.1094145496982053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61D-4F41-B0A1-9EC912FBC97E}"/>
                </c:ext>
              </c:extLst>
            </c:dLbl>
            <c:dLbl>
              <c:idx val="30"/>
              <c:layout>
                <c:manualLayout>
                  <c:x val="-4.5373617697021716E-2"/>
                  <c:y val="-0.100036159724073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61D-4F41-B0A1-9EC912FBC97E}"/>
                </c:ext>
              </c:extLst>
            </c:dLbl>
            <c:dLbl>
              <c:idx val="36"/>
              <c:layout>
                <c:manualLayout>
                  <c:x val="-4.8491929603808513E-2"/>
                  <c:y val="-0.1813155279949831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61D-4F41-B0A1-9EC912FBC97E}"/>
                </c:ext>
              </c:extLst>
            </c:dLbl>
            <c:dLbl>
              <c:idx val="42"/>
              <c:layout>
                <c:manualLayout>
                  <c:x val="-4.5854918263342419E-2"/>
                  <c:y val="-0.175063279517128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61D-4F41-B0A1-9EC912FBC97E}"/>
                </c:ext>
              </c:extLst>
            </c:dLbl>
            <c:dLbl>
              <c:idx val="48"/>
              <c:layout>
                <c:manualLayout>
                  <c:x val="-4.673391124468728E-2"/>
                  <c:y val="-6.25225998275460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61D-4F41-B0A1-9EC912FBC97E}"/>
                </c:ext>
              </c:extLst>
            </c:dLbl>
            <c:dLbl>
              <c:idx val="54"/>
              <c:layout>
                <c:manualLayout>
                  <c:x val="-1.805603850183181E-3"/>
                  <c:y val="-5.93964698361685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61D-4F41-B0A1-9EC912FBC9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E5C78A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'Cálculos y Supuestos Edo.Res'!$W$7:$W$62</c:f>
              <c:numCache>
                <c:formatCode>#,##0\ " años"</c:formatCode>
                <c:ptCount val="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</c:numCache>
            </c:numRef>
          </c:cat>
          <c:val>
            <c:numRef>
              <c:f>'Cálculos y Supuestos Edo.Res'!$Y$7:$Y$62</c:f>
              <c:numCache>
                <c:formatCode>_-"$"* #,##0_-;\-"$"* #,##0_-;_-"$"* "-"??_-;_-@_-</c:formatCode>
                <c:ptCount val="56"/>
                <c:pt idx="0">
                  <c:v>2200000</c:v>
                </c:pt>
                <c:pt idx="6">
                  <c:v>4400000</c:v>
                </c:pt>
                <c:pt idx="12">
                  <c:v>8800000</c:v>
                </c:pt>
                <c:pt idx="18">
                  <c:v>17600000</c:v>
                </c:pt>
                <c:pt idx="24">
                  <c:v>35200000</c:v>
                </c:pt>
                <c:pt idx="30">
                  <c:v>70400000</c:v>
                </c:pt>
                <c:pt idx="36">
                  <c:v>140800000</c:v>
                </c:pt>
                <c:pt idx="42">
                  <c:v>281600000</c:v>
                </c:pt>
                <c:pt idx="48">
                  <c:v>563200000</c:v>
                </c:pt>
                <c:pt idx="54">
                  <c:v>1126400000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61D-4F41-B0A1-9EC912FBC97E}"/>
            </c:ext>
          </c:extLst>
        </c:ser>
        <c:ser>
          <c:idx val="2"/>
          <c:order val="2"/>
          <c:tx>
            <c:strRef>
              <c:f>'Cálculos y Supuestos Edo.Res'!$Z$6</c:f>
              <c:strCache>
                <c:ptCount val="1"/>
                <c:pt idx="0">
                  <c:v>14%</c:v>
                </c:pt>
              </c:strCache>
            </c:strRef>
          </c:tx>
          <c:spPr>
            <a:ln w="31750" cap="rnd">
              <a:solidFill>
                <a:srgbClr val="31456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314566"/>
              </a:solidFill>
              <a:ln>
                <a:solidFill>
                  <a:srgbClr val="31456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2336905392762273E-2"/>
                  <c:y val="-0.10621050766877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61D-4F41-B0A1-9EC912FBC97E}"/>
                </c:ext>
              </c:extLst>
            </c:dLbl>
            <c:dLbl>
              <c:idx val="1"/>
              <c:layout>
                <c:manualLayout>
                  <c:x val="-3.2449873737769031E-2"/>
                  <c:y val="-0.1062900096034260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61D-4F41-B0A1-9EC912FBC97E}"/>
                </c:ext>
              </c:extLst>
            </c:dLbl>
            <c:dLbl>
              <c:idx val="2"/>
              <c:layout>
                <c:manualLayout>
                  <c:x val="-3.2056184722728885E-2"/>
                  <c:y val="-0.1823515489932711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61D-4F41-B0A1-9EC912FBC97E}"/>
                </c:ext>
              </c:extLst>
            </c:dLbl>
            <c:dLbl>
              <c:idx val="3"/>
              <c:layout>
                <c:manualLayout>
                  <c:x val="-3.1700886702722156E-2"/>
                  <c:y val="-0.176519208619809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61D-4F41-B0A1-9EC912FBC97E}"/>
                </c:ext>
              </c:extLst>
            </c:dLbl>
            <c:dLbl>
              <c:idx val="4"/>
              <c:layout>
                <c:manualLayout>
                  <c:x val="-3.4231729434714607E-2"/>
                  <c:y val="-0.232860962735812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61D-4F41-B0A1-9EC912FBC97E}"/>
                </c:ext>
              </c:extLst>
            </c:dLbl>
            <c:dLbl>
              <c:idx val="5"/>
              <c:layout>
                <c:manualLayout>
                  <c:x val="-3.953910971608364E-2"/>
                  <c:y val="-0.1901772983360433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61D-4F41-B0A1-9EC912FBC97E}"/>
                </c:ext>
              </c:extLst>
            </c:dLbl>
            <c:dLbl>
              <c:idx val="6"/>
              <c:layout>
                <c:manualLayout>
                  <c:x val="-3.6546237155590362E-2"/>
                  <c:y val="-0.1815976191170345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61D-4F41-B0A1-9EC912FBC97E}"/>
                </c:ext>
              </c:extLst>
            </c:dLbl>
            <c:dLbl>
              <c:idx val="7"/>
              <c:layout>
                <c:manualLayout>
                  <c:x val="-3.7036765125745379E-2"/>
                  <c:y val="-0.1462176406109306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61D-4F41-B0A1-9EC912FBC97E}"/>
                </c:ext>
              </c:extLst>
            </c:dLbl>
            <c:dLbl>
              <c:idx val="8"/>
              <c:layout>
                <c:manualLayout>
                  <c:x val="-3.2114584985173784E-2"/>
                  <c:y val="-5.42011574258578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61D-4F41-B0A1-9EC912FBC97E}"/>
                </c:ext>
              </c:extLst>
            </c:dLbl>
            <c:dLbl>
              <c:idx val="9"/>
              <c:layout>
                <c:manualLayout>
                  <c:x val="-3.7295352764114234E-2"/>
                  <c:y val="-0.1106530170037696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61D-4F41-B0A1-9EC912FBC97E}"/>
                </c:ext>
              </c:extLst>
            </c:dLbl>
            <c:dLbl>
              <c:idx val="10"/>
              <c:layout>
                <c:manualLayout>
                  <c:x val="-4.0129860834148851E-2"/>
                  <c:y val="-0.1833150138604915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61D-4F41-B0A1-9EC912FBC97E}"/>
                </c:ext>
              </c:extLst>
            </c:dLbl>
            <c:dLbl>
              <c:idx val="12"/>
              <c:layout>
                <c:manualLayout>
                  <c:x val="-1.7266367020423258E-2"/>
                  <c:y val="-5.10706232325090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61D-4F41-B0A1-9EC912FBC97E}"/>
                </c:ext>
              </c:extLst>
            </c:dLbl>
            <c:dLbl>
              <c:idx val="15"/>
              <c:layout>
                <c:manualLayout>
                  <c:x val="-4.3619438396849723E-2"/>
                  <c:y val="-0.1804724690100826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61D-4F41-B0A1-9EC912FBC97E}"/>
                </c:ext>
              </c:extLst>
            </c:dLbl>
            <c:dLbl>
              <c:idx val="21"/>
              <c:layout>
                <c:manualLayout>
                  <c:x val="-4.2191663104553377E-2"/>
                  <c:y val="-0.187567799482637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61D-4F41-B0A1-9EC912FBC97E}"/>
                </c:ext>
              </c:extLst>
            </c:dLbl>
            <c:dLbl>
              <c:idx val="26"/>
              <c:layout>
                <c:manualLayout>
                  <c:x val="-4.219166310455344E-2"/>
                  <c:y val="-0.17818940950850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61D-4F41-B0A1-9EC912FBC97E}"/>
                </c:ext>
              </c:extLst>
            </c:dLbl>
            <c:dLbl>
              <c:idx val="31"/>
              <c:layout>
                <c:manualLayout>
                  <c:x val="-4.7465620992622547E-2"/>
                  <c:y val="-0.165684889542996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B61D-4F41-B0A1-9EC912FBC97E}"/>
                </c:ext>
              </c:extLst>
            </c:dLbl>
            <c:dLbl>
              <c:idx val="36"/>
              <c:layout>
                <c:manualLayout>
                  <c:x val="-4.6586620164043052E-2"/>
                  <c:y val="-0.1938160637216723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61D-4F41-B0A1-9EC912FBC97E}"/>
                </c:ext>
              </c:extLst>
            </c:dLbl>
            <c:dLbl>
              <c:idx val="41"/>
              <c:layout>
                <c:manualLayout>
                  <c:x val="-4.834461397396754E-2"/>
                  <c:y val="-0.1719371495257513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B61D-4F41-B0A1-9EC912FBC97E}"/>
                </c:ext>
              </c:extLst>
            </c:dLbl>
            <c:dLbl>
              <c:idx val="46"/>
              <c:layout>
                <c:manualLayout>
                  <c:x val="-5.361857186203671E-2"/>
                  <c:y val="-0.1031622897154507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B61D-4F41-B0A1-9EC912FBC97E}"/>
                </c:ext>
              </c:extLst>
            </c:dLbl>
            <c:dLbl>
              <c:idx val="51"/>
              <c:layout>
                <c:manualLayout>
                  <c:x val="-5.2739578880691591E-2"/>
                  <c:y val="-5.93964698361686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B61D-4F41-B0A1-9EC912FBC9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314566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MX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'Cálculos y Supuestos Edo.Res'!$W$7:$W$62</c:f>
              <c:numCache>
                <c:formatCode>#,##0\ " años"</c:formatCode>
                <c:ptCount val="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</c:numCache>
            </c:numRef>
          </c:cat>
          <c:val>
            <c:numRef>
              <c:f>'Cálculos y Supuestos Edo.Res'!$Z$7:$Z$62</c:f>
              <c:numCache>
                <c:formatCode>_-"$"* #,##0_-;\-"$"* #,##0_-;_-"$"* "-"??_-;_-@_-</c:formatCode>
                <c:ptCount val="56"/>
                <c:pt idx="0">
                  <c:v>2200000</c:v>
                </c:pt>
                <c:pt idx="5">
                  <c:v>4400000</c:v>
                </c:pt>
                <c:pt idx="10">
                  <c:v>8800000</c:v>
                </c:pt>
                <c:pt idx="15">
                  <c:v>17600000</c:v>
                </c:pt>
                <c:pt idx="21">
                  <c:v>35200000</c:v>
                </c:pt>
                <c:pt idx="26">
                  <c:v>70400000</c:v>
                </c:pt>
                <c:pt idx="31">
                  <c:v>140800000</c:v>
                </c:pt>
                <c:pt idx="36">
                  <c:v>281600000</c:v>
                </c:pt>
                <c:pt idx="41">
                  <c:v>563200000</c:v>
                </c:pt>
                <c:pt idx="46">
                  <c:v>1126400000</c:v>
                </c:pt>
                <c:pt idx="51">
                  <c:v>2252800000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61D-4F41-B0A1-9EC912FBC97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242415"/>
        <c:axId val="86243375"/>
      </c:lineChart>
      <c:catAx>
        <c:axId val="86242415"/>
        <c:scaling>
          <c:orientation val="minMax"/>
        </c:scaling>
        <c:delete val="0"/>
        <c:axPos val="b"/>
        <c:numFmt formatCode="#,##0\ &quot; años&quot;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MX"/>
          </a:p>
        </c:txPr>
        <c:crossAx val="86243375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8624337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crossAx val="86242415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048514135524345"/>
          <c:y val="0.91603278569339919"/>
          <c:w val="0.28029510327807611"/>
          <c:h val="6.6546013802986345E-2"/>
        </c:manualLayout>
      </c:layout>
      <c:overlay val="0"/>
      <c:spPr>
        <a:solidFill>
          <a:schemeClr val="bg1"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MX"/>
        </a:p>
      </c:txPr>
    </c:legend>
    <c:plotVisOnly val="1"/>
    <c:dispBlanksAs val="span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'Cálculos y Supuestos Balance'!$Y$97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'Cálculos y Supuestos Balance'!$Z$91:$AX$91</c:f>
              <c:numCache>
                <c:formatCode>General</c:formatCode>
                <c:ptCount val="25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</c:numCache>
            </c:numRef>
          </c:cat>
          <c:val>
            <c:numRef>
              <c:f>'Cálculos y Supuestos Balance'!$Z$97:$AX$97</c:f>
              <c:numCache>
                <c:formatCode>_-"$"* #,##0_-;\-"$"* #,##0_-;_-"$"* "-"??_-;_-@_-</c:formatCode>
                <c:ptCount val="25"/>
                <c:pt idx="0">
                  <c:v>50000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  <c:pt idx="5">
                  <c:v>50000</c:v>
                </c:pt>
                <c:pt idx="6">
                  <c:v>50000</c:v>
                </c:pt>
                <c:pt idx="7">
                  <c:v>50000</c:v>
                </c:pt>
                <c:pt idx="8">
                  <c:v>50000</c:v>
                </c:pt>
                <c:pt idx="9">
                  <c:v>50000</c:v>
                </c:pt>
                <c:pt idx="10">
                  <c:v>50000</c:v>
                </c:pt>
                <c:pt idx="11">
                  <c:v>50000</c:v>
                </c:pt>
                <c:pt idx="12">
                  <c:v>50000</c:v>
                </c:pt>
                <c:pt idx="13">
                  <c:v>50000</c:v>
                </c:pt>
                <c:pt idx="14">
                  <c:v>50000</c:v>
                </c:pt>
                <c:pt idx="15">
                  <c:v>50000</c:v>
                </c:pt>
                <c:pt idx="16">
                  <c:v>50000</c:v>
                </c:pt>
                <c:pt idx="17">
                  <c:v>50000</c:v>
                </c:pt>
                <c:pt idx="18">
                  <c:v>50000</c:v>
                </c:pt>
                <c:pt idx="19">
                  <c:v>50000</c:v>
                </c:pt>
                <c:pt idx="20">
                  <c:v>50000</c:v>
                </c:pt>
                <c:pt idx="21">
                  <c:v>50000</c:v>
                </c:pt>
                <c:pt idx="22">
                  <c:v>50000</c:v>
                </c:pt>
                <c:pt idx="23">
                  <c:v>50000</c:v>
                </c:pt>
                <c:pt idx="2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7-4E9B-A389-DE825993894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0"/>
        <c:overlap val="100"/>
        <c:axId val="387090928"/>
        <c:axId val="387091888"/>
      </c:barChart>
      <c:catAx>
        <c:axId val="3870909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87091888"/>
        <c:crosses val="autoZero"/>
        <c:auto val="1"/>
        <c:lblAlgn val="ctr"/>
        <c:lblOffset val="100"/>
        <c:noMultiLvlLbl val="0"/>
      </c:catAx>
      <c:valAx>
        <c:axId val="38709188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8709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500">
          <a:latin typeface="Poppins" panose="00000500000000000000" pitchFamily="2" charset="0"/>
          <a:cs typeface="Poppins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'Cálculos y Supuestos Balance'!$Y$41</c:f>
              <c:strCache>
                <c:ptCount val="1"/>
                <c:pt idx="0">
                  <c:v>Baja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8D0-464F-BD0B-76F9DE80AD2F}"/>
              </c:ext>
            </c:extLst>
          </c:dPt>
          <c:val>
            <c:numRef>
              <c:f>'Cálculos y Supuestos Balance'!$Z$41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D0-464F-BD0B-76F9DE80AD2F}"/>
            </c:ext>
          </c:extLst>
        </c:ser>
        <c:ser>
          <c:idx val="1"/>
          <c:order val="1"/>
          <c:tx>
            <c:strRef>
              <c:f>'Cálculos y Supuestos Balance'!$Y$42</c:f>
              <c:strCache>
                <c:ptCount val="1"/>
                <c:pt idx="0">
                  <c:v>Suficiente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9D1A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8D0-464F-BD0B-76F9DE80AD2F}"/>
              </c:ext>
            </c:extLst>
          </c:dPt>
          <c:val>
            <c:numRef>
              <c:f>'Cálculos y Supuestos Balance'!$Z$42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D0-464F-BD0B-76F9DE80AD2F}"/>
            </c:ext>
          </c:extLst>
        </c:ser>
        <c:ser>
          <c:idx val="2"/>
          <c:order val="2"/>
          <c:tx>
            <c:strRef>
              <c:f>'Cálculos y Supuestos Balance'!$Y$43</c:f>
              <c:strCache>
                <c:ptCount val="1"/>
                <c:pt idx="0">
                  <c:v>Alta</c:v>
                </c:pt>
              </c:strCache>
            </c:strRef>
          </c:tx>
          <c:spPr>
            <a:solidFill>
              <a:srgbClr val="596985"/>
            </a:solidFill>
            <a:ln>
              <a:noFill/>
            </a:ln>
            <a:effectLst/>
          </c:spPr>
          <c:invertIfNegative val="0"/>
          <c:val>
            <c:numRef>
              <c:f>'Cálculos y Supuestos Balance'!$Z$43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D0-464F-BD0B-76F9DE80AD2F}"/>
            </c:ext>
          </c:extLst>
        </c:ser>
        <c:ser>
          <c:idx val="3"/>
          <c:order val="3"/>
          <c:tx>
            <c:strRef>
              <c:f>'Cálculos y Supuestos Balance'!$Y$44</c:f>
              <c:strCache>
                <c:ptCount val="1"/>
                <c:pt idx="0">
                  <c:v>Excelente</c:v>
                </c:pt>
              </c:strCache>
            </c:strRef>
          </c:tx>
          <c:spPr>
            <a:solidFill>
              <a:srgbClr val="317A70"/>
            </a:solidFill>
            <a:ln>
              <a:noFill/>
            </a:ln>
            <a:effectLst/>
          </c:spPr>
          <c:invertIfNegative val="0"/>
          <c:val>
            <c:numRef>
              <c:f>'Cálculos y Supuestos Balance'!$Z$44</c:f>
              <c:numCache>
                <c:formatCode>0%</c:formatCode>
                <c:ptCount val="1"/>
                <c:pt idx="0">
                  <c:v>0.8571428571428571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8D0-464F-BD0B-76F9DE80AD2F}"/>
            </c:ext>
          </c:extLst>
        </c:ser>
        <c:ser>
          <c:idx val="4"/>
          <c:order val="4"/>
          <c:tx>
            <c:strRef>
              <c:f>'Cálculos y Supuestos Balance'!$Y$45</c:f>
              <c:strCache>
                <c:ptCount val="1"/>
                <c:pt idx="0">
                  <c:v>Faltante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val>
            <c:numRef>
              <c:f>'Cálculos y Supuestos Balance'!$Z$45</c:f>
              <c:numCache>
                <c:formatCode>0%</c:formatCode>
                <c:ptCount val="1"/>
                <c:pt idx="0">
                  <c:v>0.1428571428571429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D0-464F-BD0B-76F9DE80A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4"/>
        <c:overlap val="100"/>
        <c:axId val="934935200"/>
        <c:axId val="934939040"/>
      </c:barChart>
      <c:catAx>
        <c:axId val="9349352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34939040"/>
        <c:crosses val="autoZero"/>
        <c:auto val="1"/>
        <c:lblAlgn val="ctr"/>
        <c:lblOffset val="100"/>
        <c:noMultiLvlLbl val="0"/>
      </c:catAx>
      <c:valAx>
        <c:axId val="9349390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MX"/>
          </a:p>
        </c:txPr>
        <c:crossAx val="93493520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72823982390897E-3"/>
          <c:y val="3.2589988972469191E-3"/>
          <c:w val="0.98565435203521823"/>
          <c:h val="0.6884752790546381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'Cálculos y Supuestos Balance'!$Y$92</c:f>
              <c:strCache>
                <c:ptCount val="1"/>
                <c:pt idx="0">
                  <c:v>Esquemas de Pensión</c:v>
                </c:pt>
              </c:strCache>
            </c:strRef>
          </c:tx>
          <c:spPr>
            <a:solidFill>
              <a:srgbClr val="E5C78A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'Cálculos y Supuestos Balance'!$Z$91:$AX$91</c:f>
              <c:numCache>
                <c:formatCode>General</c:formatCode>
                <c:ptCount val="25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</c:numCache>
            </c:numRef>
          </c:cat>
          <c:val>
            <c:numRef>
              <c:f>'Cálculos y Supuestos Balance'!$Z$92:$AX$92</c:f>
              <c:numCache>
                <c:formatCode>_-"$"* #,##0_-;\-"$"* #,##0_-;_-"$"* "-"??_-;_-@_-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6-47BB-A2C4-47A2EA386A7E}"/>
            </c:ext>
          </c:extLst>
        </c:ser>
        <c:ser>
          <c:idx val="1"/>
          <c:order val="1"/>
          <c:tx>
            <c:strRef>
              <c:f>'Cálculos y Supuestos Balance'!$Y$93</c:f>
              <c:strCache>
                <c:ptCount val="1"/>
                <c:pt idx="0">
                  <c:v>Esquemas de Pensión Voluntarios</c:v>
                </c:pt>
              </c:strCache>
            </c:strRef>
          </c:tx>
          <c:spPr>
            <a:solidFill>
              <a:srgbClr val="EFDCB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'Cálculos y Supuestos Balance'!$Z$91:$AX$91</c:f>
              <c:numCache>
                <c:formatCode>General</c:formatCode>
                <c:ptCount val="25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</c:numCache>
            </c:numRef>
          </c:cat>
          <c:val>
            <c:numRef>
              <c:f>'Cálculos y Supuestos Balance'!$Z$93:$AX$93</c:f>
              <c:numCache>
                <c:formatCode>_-"$"* #,##0_-;\-"$"* #,##0_-;_-"$"* "-"??_-;_-@_-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16-47BB-A2C4-47A2EA386A7E}"/>
            </c:ext>
          </c:extLst>
        </c:ser>
        <c:ser>
          <c:idx val="2"/>
          <c:order val="2"/>
          <c:tx>
            <c:strRef>
              <c:f>'Cálculos y Supuestos Balance'!$Y$94</c:f>
              <c:strCache>
                <c:ptCount val="1"/>
                <c:pt idx="0">
                  <c:v>Patrimonio Financiero</c:v>
                </c:pt>
              </c:strCache>
            </c:strRef>
          </c:tx>
          <c:spPr>
            <a:solidFill>
              <a:srgbClr val="3145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bg1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'Cálculos y Supuestos Balance'!$Z$91:$AX$91</c:f>
              <c:numCache>
                <c:formatCode>General</c:formatCode>
                <c:ptCount val="25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</c:numCache>
            </c:numRef>
          </c:cat>
          <c:val>
            <c:numRef>
              <c:f>'Cálculos y Supuestos Balance'!$Z$94:$AX$94</c:f>
              <c:numCache>
                <c:formatCode>_-"$"* #,##0_-;\-"$"* #,##0_-;_-"$"* "-"??_-;_-@_-</c:formatCode>
                <c:ptCount val="25"/>
                <c:pt idx="0">
                  <c:v>30000</c:v>
                </c:pt>
                <c:pt idx="1">
                  <c:v>30000</c:v>
                </c:pt>
                <c:pt idx="2">
                  <c:v>30000</c:v>
                </c:pt>
                <c:pt idx="3">
                  <c:v>30000</c:v>
                </c:pt>
                <c:pt idx="4">
                  <c:v>30000</c:v>
                </c:pt>
                <c:pt idx="5">
                  <c:v>30000</c:v>
                </c:pt>
                <c:pt idx="6">
                  <c:v>30000</c:v>
                </c:pt>
                <c:pt idx="7">
                  <c:v>30000</c:v>
                </c:pt>
                <c:pt idx="8">
                  <c:v>30000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  <c:pt idx="12">
                  <c:v>30000</c:v>
                </c:pt>
                <c:pt idx="13">
                  <c:v>30000</c:v>
                </c:pt>
                <c:pt idx="14">
                  <c:v>30000</c:v>
                </c:pt>
                <c:pt idx="15">
                  <c:v>30000</c:v>
                </c:pt>
                <c:pt idx="16">
                  <c:v>30000</c:v>
                </c:pt>
                <c:pt idx="17">
                  <c:v>30000</c:v>
                </c:pt>
                <c:pt idx="18">
                  <c:v>30000</c:v>
                </c:pt>
                <c:pt idx="19">
                  <c:v>30000</c:v>
                </c:pt>
                <c:pt idx="20">
                  <c:v>30000</c:v>
                </c:pt>
                <c:pt idx="21">
                  <c:v>30000</c:v>
                </c:pt>
                <c:pt idx="22">
                  <c:v>30000</c:v>
                </c:pt>
                <c:pt idx="23">
                  <c:v>30000</c:v>
                </c:pt>
                <c:pt idx="24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16-47BB-A2C4-47A2EA386A7E}"/>
            </c:ext>
          </c:extLst>
        </c:ser>
        <c:ser>
          <c:idx val="3"/>
          <c:order val="3"/>
          <c:tx>
            <c:strRef>
              <c:f>'Cálculos y Supuestos Balance'!$Y$95</c:f>
              <c:strCache>
                <c:ptCount val="1"/>
                <c:pt idx="0">
                  <c:v>Rentas</c:v>
                </c:pt>
              </c:strCache>
            </c:strRef>
          </c:tx>
          <c:spPr>
            <a:solidFill>
              <a:srgbClr val="6F7A9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'Cálculos y Supuestos Balance'!$Z$91:$AX$91</c:f>
              <c:numCache>
                <c:formatCode>General</c:formatCode>
                <c:ptCount val="25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</c:numCache>
            </c:numRef>
          </c:cat>
          <c:val>
            <c:numRef>
              <c:f>'Cálculos y Supuestos Balance'!$Z$95:$AX$95</c:f>
              <c:numCache>
                <c:formatCode>_-"$"* #,##0_-;\-"$"* #,##0_-;_-"$"* "-"??_-;_-@_-</c:formatCode>
                <c:ptCount val="25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20000</c:v>
                </c:pt>
                <c:pt idx="7">
                  <c:v>20000</c:v>
                </c:pt>
                <c:pt idx="8">
                  <c:v>20000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  <c:pt idx="12">
                  <c:v>20000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  <c:pt idx="17">
                  <c:v>20000</c:v>
                </c:pt>
                <c:pt idx="18">
                  <c:v>20000</c:v>
                </c:pt>
                <c:pt idx="19">
                  <c:v>20000</c:v>
                </c:pt>
                <c:pt idx="20">
                  <c:v>20000</c:v>
                </c:pt>
                <c:pt idx="21">
                  <c:v>20000</c:v>
                </c:pt>
                <c:pt idx="22">
                  <c:v>20000</c:v>
                </c:pt>
                <c:pt idx="23">
                  <c:v>20000</c:v>
                </c:pt>
                <c:pt idx="24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16-47BB-A2C4-47A2EA386A7E}"/>
            </c:ext>
          </c:extLst>
        </c:ser>
        <c:ser>
          <c:idx val="4"/>
          <c:order val="4"/>
          <c:tx>
            <c:strRef>
              <c:f>'Cálculos y Supuestos Balance'!$Y$96</c:f>
              <c:strCache>
                <c:ptCount val="1"/>
                <c:pt idx="0">
                  <c:v>Negocio</c:v>
                </c:pt>
              </c:strCache>
            </c:strRef>
          </c:tx>
          <c:spPr>
            <a:solidFill>
              <a:srgbClr val="D0D3DA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'Cálculos y Supuestos Balance'!$Z$91:$AX$91</c:f>
              <c:numCache>
                <c:formatCode>General</c:formatCode>
                <c:ptCount val="25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</c:numCache>
            </c:numRef>
          </c:cat>
          <c:val>
            <c:numRef>
              <c:f>'Cálculos y Supuestos Balance'!$Z$96:$AX$96</c:f>
              <c:numCache>
                <c:formatCode>_-"$"* #,##0_-;\-"$"* #,##0_-;_-"$"* "-"??_-;_-@_-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16-47BB-A2C4-47A2EA386A7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0"/>
        <c:overlap val="100"/>
        <c:axId val="387090928"/>
        <c:axId val="387091888"/>
      </c:barChart>
      <c:catAx>
        <c:axId val="38709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MX"/>
          </a:p>
        </c:txPr>
        <c:crossAx val="387091888"/>
        <c:crosses val="autoZero"/>
        <c:auto val="1"/>
        <c:lblAlgn val="ctr"/>
        <c:lblOffset val="100"/>
        <c:noMultiLvlLbl val="0"/>
      </c:catAx>
      <c:valAx>
        <c:axId val="387091888"/>
        <c:scaling>
          <c:orientation val="minMax"/>
        </c:scaling>
        <c:delete val="1"/>
        <c:axPos val="l"/>
        <c:numFmt formatCode="_-&quot;$&quot;* #,##0_-;\-&quot;$&quot;* #,##0_-;_-&quot;$&quot;* &quot;-&quot;??_-;_-@_-" sourceLinked="1"/>
        <c:majorTickMark val="none"/>
        <c:minorTickMark val="none"/>
        <c:tickLblPos val="nextTo"/>
        <c:crossAx val="38709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500">
          <a:latin typeface="Poppins" panose="00000500000000000000" pitchFamily="2" charset="0"/>
          <a:cs typeface="Poppins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9D1A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83-48C6-BD0F-C0A56F7D12A6}"/>
              </c:ext>
            </c:extLst>
          </c:dPt>
          <c:val>
            <c:numRef>
              <c:f>'Cálculos y Supuestos Balance'!$Z$57</c:f>
              <c:numCache>
                <c:formatCode>_(* #,##0.00_);_(* \(#,##0.00\);_(* "-"??_);_(@_)</c:formatCode>
                <c:ptCount val="1"/>
                <c:pt idx="0">
                  <c:v>3500000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83-48C6-BD0F-C0A56F7D12A6}"/>
            </c:ext>
          </c:extLst>
        </c:ser>
        <c:ser>
          <c:idx val="1"/>
          <c:order val="1"/>
          <c:spPr>
            <a:solidFill>
              <a:srgbClr val="596985"/>
            </a:solidFill>
            <a:ln>
              <a:noFill/>
            </a:ln>
            <a:effectLst/>
          </c:spPr>
          <c:invertIfNegative val="0"/>
          <c:val>
            <c:numRef>
              <c:f>'Cálculos y Supuestos Balance'!$AA$57</c:f>
              <c:numCache>
                <c:formatCode>_(* #,##0.00_);_(* \(#,##0.00\);_(* "-"??_);_(@_)</c:formatCode>
                <c:ptCount val="1"/>
                <c:pt idx="0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83-48C6-BD0F-C0A56F7D12A6}"/>
            </c:ext>
          </c:extLst>
        </c:ser>
        <c:ser>
          <c:idx val="2"/>
          <c:order val="2"/>
          <c:spPr>
            <a:solidFill>
              <a:srgbClr val="ACB5C1"/>
            </a:solidFill>
            <a:ln>
              <a:noFill/>
            </a:ln>
            <a:effectLst/>
          </c:spPr>
          <c:invertIfNegative val="0"/>
          <c:val>
            <c:numRef>
              <c:f>'Cálculos y Supuestos Balance'!$AB$57</c:f>
              <c:numCache>
                <c:formatCode>_(* #,##0.00_);_(* \(#,##0.00\);_(* "-"??_);_(@_)</c:formatCode>
                <c:ptCount val="1"/>
                <c:pt idx="0">
                  <c:v>2500000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83-48C6-BD0F-C0A56F7D1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254107968"/>
        <c:axId val="1254104128"/>
      </c:barChart>
      <c:catAx>
        <c:axId val="12541079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54104128"/>
        <c:crosses val="autoZero"/>
        <c:auto val="1"/>
        <c:lblAlgn val="ctr"/>
        <c:lblOffset val="100"/>
        <c:noMultiLvlLbl val="0"/>
      </c:catAx>
      <c:valAx>
        <c:axId val="125410412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crossAx val="125410796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>
          <a:latin typeface="Poppins" panose="00000500000000000000" pitchFamily="2" charset="0"/>
          <a:cs typeface="Poppins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_xlchart.v2.0</cx:f>
      </cx:numDim>
    </cx:data>
  </cx:chartData>
  <cx:chart>
    <cx:plotArea>
      <cx:plotAreaRegion>
        <cx:plotSurface>
          <cx:spPr>
            <a:noFill/>
          </cx:spPr>
        </cx:plotSurface>
        <cx:series layoutId="funnel" uniqueId="{74DF29C2-A52E-41D2-8A24-714A626A7548}">
          <cx:dataPt idx="0">
            <cx:spPr>
              <a:solidFill>
                <a:srgbClr val="ACB5C1"/>
              </a:solidFill>
            </cx:spPr>
          </cx:dataPt>
          <cx:dataPt idx="1">
            <cx:spPr>
              <a:solidFill>
                <a:srgbClr val="E5C78A"/>
              </a:solidFill>
            </cx:spPr>
          </cx:dataPt>
          <cx:dataPt idx="2">
            <cx:spPr>
              <a:solidFill>
                <a:srgbClr val="E9D1A1"/>
              </a:solidFill>
            </cx:spPr>
          </cx:dataPt>
          <cx:dataPt idx="3">
            <cx:spPr>
              <a:solidFill>
                <a:srgbClr val="596985"/>
              </a:solidFill>
            </cx:spPr>
          </cx:dataPt>
          <cx:dataPt idx="4">
            <cx:spPr>
              <a:solidFill>
                <a:srgbClr val="314566"/>
              </a:solidFill>
            </cx:spPr>
          </cx:dataPt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>
                    <a:solidFill>
                      <a:schemeClr val="bg1"/>
                    </a:solidFill>
                    <a:latin typeface="Poppins" panose="00000500000000000000" pitchFamily="2" charset="0"/>
                    <a:ea typeface="Poppins" panose="00000500000000000000" pitchFamily="2" charset="0"/>
                    <a:cs typeface="Poppins" panose="00000500000000000000" pitchFamily="2" charset="0"/>
                  </a:defRPr>
                </a:pPr>
                <a:endParaRPr lang="es-ES" sz="1600" b="0" i="0" u="none" strike="noStrike" baseline="0">
                  <a:solidFill>
                    <a:schemeClr val="bg1"/>
                  </a:solidFill>
                  <a:latin typeface="Poppins" panose="00000500000000000000" pitchFamily="2" charset="0"/>
                  <a:cs typeface="Poppins" panose="00000500000000000000" pitchFamily="2" charset="0"/>
                </a:endParaRPr>
              </a:p>
            </cx:txPr>
            <cx:visibility seriesName="0" categoryName="0" value="1"/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ES" sz="1600" b="0" i="0" u="none" strike="noStrike" baseline="0">
                      <a:solidFill>
                        <a:schemeClr val="bg1"/>
                      </a:solidFill>
                      <a:latin typeface="Poppins" panose="00000500000000000000" pitchFamily="2" charset="0"/>
                      <a:cs typeface="Poppins" panose="00000500000000000000" pitchFamily="2" charset="0"/>
                    </a:rPr>
                    <a:t> 1,000,000 </a:t>
                  </a:r>
                </a:p>
              </cx:txPr>
            </cx:dataLabel>
            <cx:dataLabel idx="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ES" sz="1600" b="0" i="0" u="none" strike="noStrike" baseline="0">
                      <a:solidFill>
                        <a:schemeClr val="bg1"/>
                      </a:solidFill>
                      <a:latin typeface="Poppins" panose="00000500000000000000" pitchFamily="2" charset="0"/>
                      <a:cs typeface="Poppins" panose="00000500000000000000" pitchFamily="2" charset="0"/>
                    </a:rPr>
                    <a:t> 2,000,000 </a:t>
                  </a:r>
                </a:p>
              </cx:txPr>
            </cx:dataLabel>
          </cx:dataLabels>
          <cx:dataId val="0"/>
        </cx:series>
      </cx:plotAreaRegion>
      <cx:axis id="0" hidden="1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lang="es-ES" sz="1600">
                <a:latin typeface="Poppins" panose="00000500000000000000" pitchFamily="2" charset="0"/>
                <a:ea typeface="Poppins" panose="00000500000000000000" pitchFamily="2" charset="0"/>
                <a:cs typeface="Poppins" panose="00000500000000000000" pitchFamily="2" charset="0"/>
              </a:defRPr>
            </a:pPr>
            <a:endParaRPr lang="es-ES" sz="1600">
              <a:latin typeface="Poppins" panose="00000500000000000000" pitchFamily="2" charset="0"/>
              <a:cs typeface="Poppins" panose="00000500000000000000" pitchFamily="2" charset="0"/>
            </a:endParaRPr>
          </a:p>
        </cx:txPr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_xlchart.v1.6</cx:f>
      </cx:numDim>
    </cx:data>
  </cx:chartData>
  <cx:chart>
    <cx:plotArea>
      <cx:plotAreaRegion>
        <cx:series layoutId="treemap" uniqueId="{930B02F2-7FAC-4BCA-8C74-B16F5C47B25C}">
          <cx:dataPt idx="0">
            <cx:spPr>
              <a:solidFill>
                <a:srgbClr val="E5C78A"/>
              </a:solidFill>
            </cx:spPr>
          </cx:dataPt>
          <cx:dataPt idx="1">
            <cx:spPr>
              <a:solidFill>
                <a:srgbClr val="207A70"/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>
                    <a:latin typeface="Poppins" panose="00000500000000000000" pitchFamily="2" charset="0"/>
                    <a:ea typeface="Poppins" panose="00000500000000000000" pitchFamily="2" charset="0"/>
                    <a:cs typeface="Poppins" panose="00000500000000000000" pitchFamily="2" charset="0"/>
                  </a:defRPr>
                </a:pPr>
                <a:endParaRPr lang="es-ES" sz="1600" b="0" i="0" u="none" strike="noStrike" baseline="0">
                  <a:solidFill>
                    <a:srgbClr val="FFFFFF"/>
                  </a:solidFill>
                  <a:latin typeface="Poppins" panose="00000500000000000000" pitchFamily="2" charset="0"/>
                  <a:cs typeface="Poppins" panose="00000500000000000000" pitchFamily="2" charset="0"/>
                </a:endParaRPr>
              </a:p>
            </cx:txPr>
            <cx:visibility seriesName="0" categoryName="0" value="1"/>
            <cx:separator>, 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400">
                      <a:solidFill>
                        <a:sysClr val="windowText" lastClr="000000"/>
                      </a:solidFill>
                    </a:defRPr>
                  </a:pPr>
                  <a:r>
                    <a:rPr lang="es-ES" sz="1400" b="0" i="0" u="none" strike="noStrike" baseline="0">
                      <a:solidFill>
                        <a:sysClr val="windowText" lastClr="000000"/>
                      </a:solidFill>
                      <a:latin typeface="Poppins" panose="00000500000000000000" pitchFamily="2" charset="0"/>
                      <a:cs typeface="Poppins" panose="00000500000000000000" pitchFamily="2" charset="0"/>
                    </a:rPr>
                    <a:t> 1,000,000 </a:t>
                  </a:r>
                </a:p>
              </cx:txPr>
            </cx:dataLabel>
            <cx:dataLabel idx="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400"/>
                  </a:pPr>
                  <a:r>
                    <a:rPr lang="es-ES" sz="1400" b="0" i="0" u="none" strike="noStrike" baseline="0">
                      <a:solidFill>
                        <a:srgbClr val="FFFFFF"/>
                      </a:solidFill>
                      <a:latin typeface="Poppins" panose="00000500000000000000" pitchFamily="2" charset="0"/>
                      <a:cs typeface="Poppins" panose="00000500000000000000" pitchFamily="2" charset="0"/>
                    </a:rPr>
                    <a:t> 6,000,000 </a:t>
                  </a:r>
                </a:p>
              </cx:txPr>
            </cx:dataLabel>
          </cx:dataLabels>
          <cx:dataId val="0"/>
          <cx:layoutPr>
            <cx:parentLabelLayout val="overlapping"/>
          </cx:layoutPr>
        </cx:series>
      </cx:plotAreaRegion>
    </cx:plotArea>
  </cx:chart>
  <cx:spPr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lvl ptCount="0"/>
      </cx:strDim>
      <cx:numDim type="size">
        <cx:lvl ptCount="2">
          <cx:pt idx="0">6000000</cx:pt>
          <cx:pt idx="1">2000000</cx:pt>
        </cx:lvl>
      </cx:numDim>
    </cx:data>
  </cx:chartData>
  <cx:chart>
    <cx:plotArea>
      <cx:plotAreaRegion>
        <cx:series layoutId="treemap" uniqueId="{BE4437F1-4C47-4C35-B07C-E49C96310908}">
          <cx:spPr>
            <a:solidFill>
              <a:srgbClr val="314566"/>
            </a:solidFill>
          </cx:spPr>
          <cx:dataPt idx="1">
            <cx:spPr>
              <a:solidFill>
                <a:srgbClr val="596985"/>
              </a:solidFill>
            </cx:spPr>
          </cx:dataPt>
          <cx:dataLabels>
            <cx:numFmt formatCode="_-$* #,##0_-;-$* #,##0_-;_-$* &quot;-&quot;??_-;_-@_-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>
                    <a:latin typeface="Poppins" panose="00000500000000000000" pitchFamily="2" charset="0"/>
                    <a:ea typeface="Poppins" panose="00000500000000000000" pitchFamily="2" charset="0"/>
                    <a:cs typeface="Poppins" panose="00000500000000000000" pitchFamily="2" charset="0"/>
                  </a:defRPr>
                </a:pPr>
                <a:endParaRPr lang="es-ES" sz="1400" b="0" i="0" u="none" strike="noStrike" baseline="0">
                  <a:solidFill>
                    <a:srgbClr val="FFFFFF"/>
                  </a:solidFill>
                  <a:latin typeface="Poppins" panose="00000500000000000000" pitchFamily="2" charset="0"/>
                  <a:cs typeface="Poppins" panose="00000500000000000000" pitchFamily="2" charset="0"/>
                </a:endParaRPr>
              </a:p>
            </cx:txPr>
            <cx:visibility seriesName="0" categoryName="0" value="1"/>
            <cx:separator>, </cx:separator>
            <cx:dataLabel idx="0">
              <cx:numFmt formatCode="_-$* #,##0_-;-$* #,##0_-;_-$* &quot;-&quot;??_-;_-@_-" sourceLinked="0"/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ES" sz="1400" b="0" i="0" u="none" strike="noStrike" baseline="0">
                      <a:solidFill>
                        <a:srgbClr val="FFFFFF"/>
                      </a:solidFill>
                      <a:latin typeface="Poppins" panose="00000500000000000000" pitchFamily="2" charset="0"/>
                      <a:cs typeface="Poppins" panose="00000500000000000000" pitchFamily="2" charset="0"/>
                    </a:rPr>
                    <a:t> $6,000,000 </a:t>
                  </a:r>
                </a:p>
              </cx:txPr>
              <cx:visibility seriesName="0" categoryName="0" value="1"/>
              <cx:separator>, </cx:separator>
            </cx:dataLabel>
          </cx:dataLabels>
          <cx:dataId val="0"/>
          <cx:layoutPr>
            <cx:parentLabelLayout val="overlapping"/>
          </cx:layoutPr>
        </cx:series>
      </cx:plotAreaRegion>
    </cx:plotArea>
  </cx:chart>
  <cx:spPr>
    <a:noFill/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size">
        <cx:f>_xlchart.v1.2</cx:f>
      </cx:numDim>
    </cx:data>
  </cx:chartData>
  <cx:chart>
    <cx:plotArea>
      <cx:plotAreaRegion>
        <cx:plotSurface>
          <cx:spPr>
            <a:noFill/>
          </cx:spPr>
        </cx:plotSurface>
        <cx:series layoutId="treemap" uniqueId="{74DF29C2-A52E-41D2-8A24-714A626A7548}">
          <cx:dataPt idx="0">
            <cx:spPr>
              <a:solidFill>
                <a:srgbClr val="ACB5C1"/>
              </a:solidFill>
            </cx:spPr>
          </cx:dataPt>
          <cx:dataPt idx="1">
            <cx:spPr>
              <a:solidFill>
                <a:srgbClr val="E5C78A"/>
              </a:solidFill>
            </cx:spPr>
          </cx:dataPt>
          <cx:dataPt idx="2">
            <cx:spPr>
              <a:solidFill>
                <a:srgbClr val="E9D1A1"/>
              </a:solidFill>
            </cx:spPr>
          </cx:dataPt>
          <cx:dataPt idx="3">
            <cx:spPr>
              <a:solidFill>
                <a:srgbClr val="596985"/>
              </a:solidFill>
            </cx:spPr>
          </cx:dataPt>
          <cx:dataPt idx="4">
            <cx:spPr>
              <a:solidFill>
                <a:srgbClr val="314566"/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>
                    <a:solidFill>
                      <a:schemeClr val="bg1"/>
                    </a:solidFill>
                    <a:latin typeface="Poppins" panose="00000500000000000000" pitchFamily="2" charset="0"/>
                    <a:ea typeface="Poppins" panose="00000500000000000000" pitchFamily="2" charset="0"/>
                    <a:cs typeface="Poppins" panose="00000500000000000000" pitchFamily="2" charset="0"/>
                  </a:defRPr>
                </a:pPr>
                <a:endParaRPr lang="es-ES" sz="1600" b="0" i="0" u="none" strike="noStrike" baseline="0">
                  <a:solidFill>
                    <a:schemeClr val="bg1"/>
                  </a:solidFill>
                  <a:latin typeface="Poppins" panose="00000500000000000000" pitchFamily="2" charset="0"/>
                  <a:cs typeface="Poppins" panose="00000500000000000000" pitchFamily="2" charset="0"/>
                </a:endParaRPr>
              </a:p>
            </cx:txPr>
            <cx:visibility seriesName="0" categoryName="1" value="1"/>
            <cx:separator>, 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ES" sz="1600" b="0" i="0" u="none" strike="noStrike" baseline="0">
                      <a:solidFill>
                        <a:schemeClr val="bg1"/>
                      </a:solidFill>
                      <a:latin typeface="Poppins" panose="00000500000000000000" pitchFamily="2" charset="0"/>
                      <a:cs typeface="Poppins" panose="00000500000000000000" pitchFamily="2" charset="0"/>
                    </a:rPr>
                    <a:t> 1,000,000 </a:t>
                  </a:r>
                </a:p>
              </cx:txPr>
              <cx:visibility seriesName="0" categoryName="0" value="1"/>
              <cx:separator>, </cx:separator>
            </cx:dataLabel>
            <cx:dataLabel idx="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ysClr val="windowText" lastClr="000000"/>
                      </a:solidFill>
                    </a:defRPr>
                  </a:pPr>
                  <a:r>
                    <a:rPr lang="es-ES" sz="1600" b="0" i="0" u="none" strike="noStrike" baseline="0">
                      <a:solidFill>
                        <a:sysClr val="windowText" lastClr="000000"/>
                      </a:solidFill>
                      <a:latin typeface="Poppins" panose="00000500000000000000" pitchFamily="2" charset="0"/>
                      <a:cs typeface="Poppins" panose="00000500000000000000" pitchFamily="2" charset="0"/>
                    </a:rPr>
                    <a:t>ANFP,  1,000,000 </a:t>
                  </a:r>
                </a:p>
              </cx:txPr>
            </cx:dataLabel>
            <cx:dataLabel idx="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ysClr val="windowText" lastClr="000000"/>
                      </a:solidFill>
                    </a:defRPr>
                  </a:pPr>
                  <a:r>
                    <a:rPr lang="es-ES" sz="1600" b="0" i="0" u="none" strike="noStrike" baseline="0">
                      <a:solidFill>
                        <a:sysClr val="windowText" lastClr="000000"/>
                      </a:solidFill>
                      <a:latin typeface="Poppins" panose="00000500000000000000" pitchFamily="2" charset="0"/>
                      <a:cs typeface="Poppins" panose="00000500000000000000" pitchFamily="2" charset="0"/>
                    </a:rPr>
                    <a:t>ANFI,  2,000,000 </a:t>
                  </a:r>
                </a:p>
              </cx:txPr>
              <cx:visibility seriesName="0" categoryName="1" value="1"/>
              <cx:separator>, </cx:separator>
            </cx:dataLabel>
          </cx:dataLabels>
          <cx:dataId val="0"/>
          <cx:layoutPr/>
        </cx:series>
      </cx:plotAreaRegion>
    </cx:plotArea>
  </cx:chart>
  <cx:spPr>
    <a:ln>
      <a:noFill/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_xlchart.v1.4</cx:f>
      </cx:numDim>
    </cx:data>
  </cx:chartData>
  <cx:chart>
    <cx:plotArea>
      <cx:plotAreaRegion>
        <cx:plotSurface>
          <cx:spPr>
            <a:noFill/>
          </cx:spPr>
        </cx:plotSurface>
        <cx:series layoutId="treemap" uniqueId="{E1C3D581-4ABF-4A16-95C4-EDCFCD641A42}">
          <cx:dataPt idx="0">
            <cx:spPr>
              <a:solidFill>
                <a:srgbClr val="317A70"/>
              </a:solidFill>
            </cx:spPr>
          </cx:dataPt>
          <cx:dataPt idx="1">
            <cx:spPr>
              <a:solidFill>
                <a:srgbClr val="FF9999"/>
              </a:solidFill>
            </cx:spPr>
          </cx:dataPt>
          <cx:dataPt idx="2">
            <cx:spPr>
              <a:solidFill>
                <a:srgbClr val="314566"/>
              </a:solidFill>
            </cx:spPr>
          </cx:dataPt>
          <cx:dataPt idx="3">
            <cx:spPr>
              <a:solidFill>
                <a:srgbClr val="E5C78A"/>
              </a:solidFill>
            </cx:spPr>
          </cx:dataPt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600" b="0" i="0">
                    <a:solidFill>
                      <a:sysClr val="windowText" lastClr="000000"/>
                    </a:solidFill>
                    <a:latin typeface="Poppins" panose="00000500000000000000" pitchFamily="2" charset="0"/>
                    <a:ea typeface="Poppins" panose="00000500000000000000" pitchFamily="2" charset="0"/>
                    <a:cs typeface="Poppins" panose="00000500000000000000" pitchFamily="2" charset="0"/>
                  </a:defRPr>
                </a:pPr>
                <a:endParaRPr lang="es-MX" sz="1600">
                  <a:solidFill>
                    <a:sysClr val="windowText" lastClr="000000"/>
                  </a:solidFill>
                  <a:latin typeface="Poppins" panose="00000500000000000000" pitchFamily="2" charset="0"/>
                  <a:cs typeface="Poppins" panose="00000500000000000000" pitchFamily="2" charset="0"/>
                </a:endParaRPr>
              </a:p>
            </cx:txPr>
            <cx:visibility seriesName="0" categoryName="0" value="1"/>
            <cx:separator>, </cx:separator>
            <cx:dataLabel idx="0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s-MX" sz="1600">
                      <a:solidFill>
                        <a:schemeClr val="bg1"/>
                      </a:solidFill>
                      <a:latin typeface="Poppins" panose="00000500000000000000" pitchFamily="2" charset="0"/>
                      <a:cs typeface="Poppins" panose="00000500000000000000" pitchFamily="2" charset="0"/>
                    </a:rPr>
                    <a:t> 350,000 </a:t>
                  </a:r>
                </a:p>
              </cx:txPr>
            </cx:dataLabel>
            <cx:dataLabel idx="1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ysClr val="windowText" lastClr="000000"/>
                      </a:solidFill>
                    </a:defRPr>
                  </a:pPr>
                  <a:r>
                    <a:rPr lang="es-MX" sz="1600">
                      <a:solidFill>
                        <a:sysClr val="windowText" lastClr="000000"/>
                      </a:solidFill>
                      <a:latin typeface="Poppins" panose="00000500000000000000" pitchFamily="2" charset="0"/>
                      <a:cs typeface="Poppins" panose="00000500000000000000" pitchFamily="2" charset="0"/>
                    </a:rPr>
                    <a:t> 300,000 </a:t>
                  </a:r>
                </a:p>
              </cx:txPr>
            </cx:dataLabel>
            <cx:dataLabel idx="2">
              <cx:txPr>
                <a:bodyPr vertOverflow="overflow" horzOverflow="overflow" wrap="square" lIns="0" tIns="0" rIns="0" bIns="0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s-MX" sz="1600">
                      <a:solidFill>
                        <a:schemeClr val="bg1"/>
                      </a:solidFill>
                      <a:latin typeface="Poppins" panose="00000500000000000000" pitchFamily="2" charset="0"/>
                      <a:cs typeface="Poppins" panose="00000500000000000000" pitchFamily="2" charset="0"/>
                    </a:rPr>
                    <a:t> 30,000 </a:t>
                  </a:r>
                </a:p>
              </cx:txPr>
            </cx:dataLabel>
          </cx:dataLabels>
          <cx:dataId val="0"/>
          <cx:layoutPr/>
        </cx:series>
      </cx:plotAreaRegion>
    </cx:plotArea>
  </cx:chart>
  <cx:spPr>
    <a:ln>
      <a:noFill/>
    </a:ln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plotArea>
      <cx:plotAreaRegion/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microsoft.com/office/2014/relationships/chartEx" Target="../charts/chartEx5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microsoft.com/office/2014/relationships/chartEx" Target="../charts/chartEx4.xml"/><Relationship Id="rId5" Type="http://schemas.microsoft.com/office/2014/relationships/chartEx" Target="../charts/chartEx3.xml"/><Relationship Id="rId4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246529</xdr:colOff>
      <xdr:row>16</xdr:row>
      <xdr:rowOff>104028</xdr:rowOff>
    </xdr:from>
    <xdr:to>
      <xdr:col>9</xdr:col>
      <xdr:colOff>247403</xdr:colOff>
      <xdr:row>22</xdr:row>
      <xdr:rowOff>160811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2215293C-645A-B197-D1AC-0B27999D0E07}"/>
            </a:ext>
          </a:extLst>
        </xdr:cNvPr>
        <xdr:cNvCxnSpPr/>
      </xdr:nvCxnSpPr>
      <xdr:spPr>
        <a:xfrm>
          <a:off x="7495425" y="3580034"/>
          <a:ext cx="874" cy="11329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25961</xdr:colOff>
      <xdr:row>13</xdr:row>
      <xdr:rowOff>139946</xdr:rowOff>
    </xdr:from>
    <xdr:to>
      <xdr:col>18</xdr:col>
      <xdr:colOff>53711</xdr:colOff>
      <xdr:row>13</xdr:row>
      <xdr:rowOff>139946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26491C5A-3F38-47DD-8E5D-FFA28BC27F40}"/>
            </a:ext>
          </a:extLst>
        </xdr:cNvPr>
        <xdr:cNvCxnSpPr/>
      </xdr:nvCxnSpPr>
      <xdr:spPr>
        <a:xfrm flipV="1">
          <a:off x="521783" y="3023542"/>
          <a:ext cx="1637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25961</xdr:colOff>
      <xdr:row>48</xdr:row>
      <xdr:rowOff>55223</xdr:rowOff>
    </xdr:from>
    <xdr:to>
      <xdr:col>18</xdr:col>
      <xdr:colOff>60061</xdr:colOff>
      <xdr:row>48</xdr:row>
      <xdr:rowOff>93510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819F803E-4010-4207-939B-24D340AB2D5F}"/>
            </a:ext>
          </a:extLst>
        </xdr:cNvPr>
        <xdr:cNvCxnSpPr/>
      </xdr:nvCxnSpPr>
      <xdr:spPr>
        <a:xfrm flipV="1">
          <a:off x="521783" y="8353716"/>
          <a:ext cx="16383175" cy="382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25961</xdr:colOff>
      <xdr:row>57</xdr:row>
      <xdr:rowOff>159123</xdr:rowOff>
    </xdr:from>
    <xdr:to>
      <xdr:col>18</xdr:col>
      <xdr:colOff>63236</xdr:colOff>
      <xdr:row>57</xdr:row>
      <xdr:rowOff>181535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CF29F4AE-C35F-495C-8946-AFA37F620EE4}"/>
            </a:ext>
          </a:extLst>
        </xdr:cNvPr>
        <xdr:cNvCxnSpPr/>
      </xdr:nvCxnSpPr>
      <xdr:spPr>
        <a:xfrm flipV="1">
          <a:off x="521783" y="9671075"/>
          <a:ext cx="16386350" cy="224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190501</xdr:colOff>
      <xdr:row>1</xdr:row>
      <xdr:rowOff>0</xdr:rowOff>
    </xdr:from>
    <xdr:ext cx="1916206" cy="719551"/>
    <xdr:pic>
      <xdr:nvPicPr>
        <xdr:cNvPr id="18" name="Imagen 17">
          <a:extLst>
            <a:ext uri="{FF2B5EF4-FFF2-40B4-BE49-F238E27FC236}">
              <a16:creationId xmlns:a16="http://schemas.microsoft.com/office/drawing/2014/main" id="{1EFFC763-6954-4926-B151-C147D638F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030" y="0"/>
          <a:ext cx="1916206" cy="719551"/>
        </a:xfrm>
        <a:prstGeom prst="rect">
          <a:avLst/>
        </a:prstGeom>
      </xdr:spPr>
    </xdr:pic>
    <xdr:clientData/>
  </xdr:oneCellAnchor>
  <xdr:twoCellAnchor>
    <xdr:from>
      <xdr:col>2</xdr:col>
      <xdr:colOff>25961</xdr:colOff>
      <xdr:row>24</xdr:row>
      <xdr:rowOff>107393</xdr:rowOff>
    </xdr:from>
    <xdr:to>
      <xdr:col>18</xdr:col>
      <xdr:colOff>53711</xdr:colOff>
      <xdr:row>24</xdr:row>
      <xdr:rowOff>107393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3248B952-3B9E-4871-AB29-C0B196BC6186}"/>
            </a:ext>
          </a:extLst>
        </xdr:cNvPr>
        <xdr:cNvCxnSpPr/>
      </xdr:nvCxnSpPr>
      <xdr:spPr>
        <a:xfrm flipV="1">
          <a:off x="521783" y="4739414"/>
          <a:ext cx="1637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68316</xdr:colOff>
      <xdr:row>2</xdr:row>
      <xdr:rowOff>0</xdr:rowOff>
    </xdr:from>
    <xdr:ext cx="2950626" cy="1107984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70" y="329344"/>
          <a:ext cx="2950626" cy="1107984"/>
        </a:xfrm>
        <a:prstGeom prst="rect">
          <a:avLst/>
        </a:prstGeom>
      </xdr:spPr>
    </xdr:pic>
    <xdr:clientData/>
  </xdr:oneCellAnchor>
  <xdr:oneCellAnchor>
    <xdr:from>
      <xdr:col>111</xdr:col>
      <xdr:colOff>0</xdr:colOff>
      <xdr:row>99</xdr:row>
      <xdr:rowOff>0</xdr:rowOff>
    </xdr:from>
    <xdr:ext cx="184731" cy="264560"/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/>
      </xdr:nvSpPr>
      <xdr:spPr>
        <a:xfrm>
          <a:off x="20348864" y="1383722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twoCellAnchor>
    <xdr:from>
      <xdr:col>3</xdr:col>
      <xdr:colOff>2861</xdr:colOff>
      <xdr:row>14</xdr:row>
      <xdr:rowOff>86590</xdr:rowOff>
    </xdr:from>
    <xdr:to>
      <xdr:col>107</xdr:col>
      <xdr:colOff>51954</xdr:colOff>
      <xdr:row>14</xdr:row>
      <xdr:rowOff>112829</xdr:rowOff>
    </xdr:to>
    <xdr:cxnSp macro="">
      <xdr:nvCxnSpPr>
        <xdr:cNvPr id="128" name="Conector recto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CxnSpPr/>
      </xdr:nvCxnSpPr>
      <xdr:spPr>
        <a:xfrm flipV="1">
          <a:off x="522406" y="3948545"/>
          <a:ext cx="18060003" cy="26239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73269</xdr:colOff>
      <xdr:row>103</xdr:row>
      <xdr:rowOff>26132</xdr:rowOff>
    </xdr:from>
    <xdr:to>
      <xdr:col>51</xdr:col>
      <xdr:colOff>73269</xdr:colOff>
      <xdr:row>133</xdr:row>
      <xdr:rowOff>0</xdr:rowOff>
    </xdr:to>
    <xdr:cxnSp macro="">
      <xdr:nvCxnSpPr>
        <xdr:cNvPr id="78" name="Conector recto 77">
          <a:extLst>
            <a:ext uri="{FF2B5EF4-FFF2-40B4-BE49-F238E27FC236}">
              <a16:creationId xmlns:a16="http://schemas.microsoft.com/office/drawing/2014/main" id="{AF15EC25-9065-60B2-5C7D-49CD0A9FA21B}"/>
            </a:ext>
          </a:extLst>
        </xdr:cNvPr>
        <xdr:cNvCxnSpPr/>
      </xdr:nvCxnSpPr>
      <xdr:spPr>
        <a:xfrm>
          <a:off x="9041423" y="16819440"/>
          <a:ext cx="0" cy="6759386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160508</xdr:colOff>
      <xdr:row>99</xdr:row>
      <xdr:rowOff>274432</xdr:rowOff>
    </xdr:from>
    <xdr:to>
      <xdr:col>106</xdr:col>
      <xdr:colOff>0</xdr:colOff>
      <xdr:row>114</xdr:row>
      <xdr:rowOff>38877</xdr:rowOff>
    </xdr:to>
    <xdr:graphicFrame macro="">
      <xdr:nvGraphicFramePr>
        <xdr:cNvPr id="63" name="Gráfico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30698</xdr:colOff>
      <xdr:row>127</xdr:row>
      <xdr:rowOff>189136</xdr:rowOff>
    </xdr:from>
    <xdr:to>
      <xdr:col>103</xdr:col>
      <xdr:colOff>31186</xdr:colOff>
      <xdr:row>132</xdr:row>
      <xdr:rowOff>163287</xdr:rowOff>
    </xdr:to>
    <xdr:sp macro="" textlink="">
      <xdr:nvSpPr>
        <xdr:cNvPr id="81" name="Rectángulo: esquinas redondeadas 80">
          <a:extLst>
            <a:ext uri="{FF2B5EF4-FFF2-40B4-BE49-F238E27FC236}">
              <a16:creationId xmlns:a16="http://schemas.microsoft.com/office/drawing/2014/main" id="{734F05B8-4BEB-DF67-A066-5CA52810C61A}"/>
            </a:ext>
          </a:extLst>
        </xdr:cNvPr>
        <xdr:cNvSpPr/>
      </xdr:nvSpPr>
      <xdr:spPr>
        <a:xfrm>
          <a:off x="10113591" y="27920493"/>
          <a:ext cx="8137559" cy="1484544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endParaRPr lang="es-MX" sz="1600" b="1" i="0" u="none" strike="noStrike">
            <a:solidFill>
              <a:schemeClr val="bg1">
                <a:lumMod val="50000"/>
              </a:schemeClr>
            </a:solidFill>
            <a:latin typeface="Verdana"/>
            <a:ea typeface="Verdana"/>
            <a:cs typeface="+mn-cs"/>
          </a:endParaRPr>
        </a:p>
      </xdr:txBody>
    </xdr:sp>
    <xdr:clientData/>
  </xdr:twoCellAnchor>
  <xdr:twoCellAnchor>
    <xdr:from>
      <xdr:col>4</xdr:col>
      <xdr:colOff>9037</xdr:colOff>
      <xdr:row>86</xdr:row>
      <xdr:rowOff>163040</xdr:rowOff>
    </xdr:from>
    <xdr:to>
      <xdr:col>32</xdr:col>
      <xdr:colOff>172203</xdr:colOff>
      <xdr:row>92</xdr:row>
      <xdr:rowOff>222058</xdr:rowOff>
    </xdr:to>
    <xdr:sp macro="" textlink="Auxiliar!G9">
      <xdr:nvSpPr>
        <xdr:cNvPr id="18" name="CuadroTexto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737419" y="17952378"/>
          <a:ext cx="5261843" cy="1823945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9811C9B0-F939-4F30-9725-0877BBBA1D4D}" type="TxLink">
            <a:rPr lang="en-US" sz="1600" b="1" i="0" u="none" strike="noStrike">
              <a:solidFill>
                <a:schemeClr val="bg1">
                  <a:lumMod val="50000"/>
                </a:schemeClr>
              </a:solidFill>
              <a:latin typeface="Poppins" panose="00000500000000000000" pitchFamily="2" charset="0"/>
              <a:ea typeface="Verdana"/>
              <a:cs typeface="Poppins" panose="00000500000000000000" pitchFamily="2" charset="0"/>
            </a:rPr>
            <a:pPr algn="ctr"/>
            <a:t>Actualmente tienes cubierto 
5.0 meses de tus gastos básicos.
Tu reserva está EXCEDIDA</a:t>
          </a:fld>
          <a:endParaRPr lang="es-MX" sz="2400" b="1">
            <a:solidFill>
              <a:schemeClr val="bg1">
                <a:lumMod val="50000"/>
              </a:schemeClr>
            </a:solidFill>
            <a:latin typeface="Poppins" panose="00000500000000000000" pitchFamily="2" charset="0"/>
            <a:cs typeface="Poppins" panose="00000500000000000000" pitchFamily="2" charset="0"/>
          </a:endParaRPr>
        </a:p>
      </xdr:txBody>
    </xdr:sp>
    <xdr:clientData/>
  </xdr:twoCellAnchor>
  <xdr:twoCellAnchor>
    <xdr:from>
      <xdr:col>4</xdr:col>
      <xdr:colOff>6523</xdr:colOff>
      <xdr:row>81</xdr:row>
      <xdr:rowOff>134089</xdr:rowOff>
    </xdr:from>
    <xdr:to>
      <xdr:col>32</xdr:col>
      <xdr:colOff>181067</xdr:colOff>
      <xdr:row>81</xdr:row>
      <xdr:rowOff>134089</xdr:rowOff>
    </xdr:to>
    <xdr:cxnSp macro="">
      <xdr:nvCxnSpPr>
        <xdr:cNvPr id="56" name="Conector recto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/>
      </xdr:nvCxnSpPr>
      <xdr:spPr>
        <a:xfrm>
          <a:off x="743942" y="16490460"/>
          <a:ext cx="5336480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9698</xdr:colOff>
      <xdr:row>78</xdr:row>
      <xdr:rowOff>143807</xdr:rowOff>
    </xdr:from>
    <xdr:to>
      <xdr:col>32</xdr:col>
      <xdr:colOff>177892</xdr:colOff>
      <xdr:row>78</xdr:row>
      <xdr:rowOff>143807</xdr:rowOff>
    </xdr:to>
    <xdr:cxnSp macro="">
      <xdr:nvCxnSpPr>
        <xdr:cNvPr id="57" name="Conector recto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 flipV="1">
          <a:off x="747117" y="15547678"/>
          <a:ext cx="5330130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9698</xdr:colOff>
      <xdr:row>76</xdr:row>
      <xdr:rowOff>152661</xdr:rowOff>
    </xdr:from>
    <xdr:to>
      <xdr:col>32</xdr:col>
      <xdr:colOff>177892</xdr:colOff>
      <xdr:row>76</xdr:row>
      <xdr:rowOff>152661</xdr:rowOff>
    </xdr:to>
    <xdr:cxnSp macro="">
      <xdr:nvCxnSpPr>
        <xdr:cNvPr id="69" name="Conector recto 68">
          <a:extLst>
            <a:ext uri="{FF2B5EF4-FFF2-40B4-BE49-F238E27FC236}">
              <a16:creationId xmlns:a16="http://schemas.microsoft.com/office/drawing/2014/main" id="{D1BBE3AB-427F-45F2-9CBB-137E7A318D55}"/>
            </a:ext>
          </a:extLst>
        </xdr:cNvPr>
        <xdr:cNvCxnSpPr/>
      </xdr:nvCxnSpPr>
      <xdr:spPr>
        <a:xfrm flipV="1">
          <a:off x="747117" y="14921532"/>
          <a:ext cx="5330130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78833</xdr:colOff>
      <xdr:row>86</xdr:row>
      <xdr:rowOff>163040</xdr:rowOff>
    </xdr:from>
    <xdr:to>
      <xdr:col>67</xdr:col>
      <xdr:colOff>122536</xdr:colOff>
      <xdr:row>92</xdr:row>
      <xdr:rowOff>238125</xdr:rowOff>
    </xdr:to>
    <xdr:sp macro="" textlink="Auxiliar!G15">
      <xdr:nvSpPr>
        <xdr:cNvPr id="10" name="CuadroText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6998465" y="17952378"/>
          <a:ext cx="5324475" cy="1840012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A8539CE5-8A98-403B-9DDA-474D3ABEE201}" type="TxLink">
            <a:rPr lang="en-US" sz="1600" b="1" i="0" u="none" strike="noStrike">
              <a:solidFill>
                <a:schemeClr val="bg1">
                  <a:lumMod val="50000"/>
                </a:schemeClr>
              </a:solidFill>
              <a:latin typeface="Poppins" panose="00000500000000000000" pitchFamily="2" charset="0"/>
              <a:ea typeface="Verdana"/>
              <a:cs typeface="Poppins" panose="00000500000000000000" pitchFamily="2" charset="0"/>
            </a:rPr>
            <a:pPr marL="0" indent="0" algn="ctr"/>
            <a:t>Te encuentras en un nivel 
POR ARRIBA DEL PROMEDIO.
Incrementa tu riqueza para alcanzar alguna meta personal.</a:t>
          </a:fld>
          <a:endParaRPr lang="es-MX" sz="1600" b="1" i="0" u="none" strike="noStrike">
            <a:solidFill>
              <a:schemeClr val="bg1">
                <a:lumMod val="50000"/>
              </a:schemeClr>
            </a:solidFill>
            <a:latin typeface="Poppins" panose="00000500000000000000" pitchFamily="2" charset="0"/>
            <a:ea typeface="Verdana"/>
            <a:cs typeface="Poppins" panose="00000500000000000000" pitchFamily="2" charset="0"/>
          </a:endParaRPr>
        </a:p>
      </xdr:txBody>
    </xdr:sp>
    <xdr:clientData/>
  </xdr:twoCellAnchor>
  <xdr:twoCellAnchor>
    <xdr:from>
      <xdr:col>38</xdr:col>
      <xdr:colOff>106970</xdr:colOff>
      <xdr:row>78</xdr:row>
      <xdr:rowOff>155656</xdr:rowOff>
    </xdr:from>
    <xdr:to>
      <xdr:col>67</xdr:col>
      <xdr:colOff>153837</xdr:colOff>
      <xdr:row>78</xdr:row>
      <xdr:rowOff>155656</xdr:rowOff>
    </xdr:to>
    <xdr:cxnSp macro="">
      <xdr:nvCxnSpPr>
        <xdr:cNvPr id="59" name="Conector recto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CxnSpPr/>
      </xdr:nvCxnSpPr>
      <xdr:spPr>
        <a:xfrm>
          <a:off x="7112454" y="15559527"/>
          <a:ext cx="5393157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18013</xdr:colOff>
      <xdr:row>80</xdr:row>
      <xdr:rowOff>212260</xdr:rowOff>
    </xdr:from>
    <xdr:to>
      <xdr:col>68</xdr:col>
      <xdr:colOff>123685</xdr:colOff>
      <xdr:row>85</xdr:row>
      <xdr:rowOff>298580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73</xdr:col>
      <xdr:colOff>8847</xdr:colOff>
      <xdr:row>76</xdr:row>
      <xdr:rowOff>59453</xdr:rowOff>
    </xdr:from>
    <xdr:to>
      <xdr:col>106</xdr:col>
      <xdr:colOff>149571</xdr:colOff>
      <xdr:row>82</xdr:row>
      <xdr:rowOff>121581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73</xdr:col>
      <xdr:colOff>114983</xdr:colOff>
      <xdr:row>77</xdr:row>
      <xdr:rowOff>25492</xdr:rowOff>
    </xdr:from>
    <xdr:to>
      <xdr:col>81</xdr:col>
      <xdr:colOff>1839</xdr:colOff>
      <xdr:row>78</xdr:row>
      <xdr:rowOff>32495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/>
      </xdr:nvSpPr>
      <xdr:spPr>
        <a:xfrm>
          <a:off x="13407961" y="15041374"/>
          <a:ext cx="1343621" cy="3151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ctr">
          <a:noAutofit/>
        </a:bodyPr>
        <a:lstStyle/>
        <a:p>
          <a:pPr marL="0" indent="0" algn="l"/>
          <a:r>
            <a:rPr lang="es-MX" sz="1200" b="0" i="0" u="none" strike="noStrike" kern="1200" cap="all" baseline="0">
              <a:solidFill>
                <a:srgbClr val="222222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rPr>
            <a:t>Mis esquemas</a:t>
          </a:r>
        </a:p>
      </xdr:txBody>
    </xdr:sp>
    <xdr:clientData/>
  </xdr:twoCellAnchor>
  <xdr:twoCellAnchor>
    <xdr:from>
      <xdr:col>73</xdr:col>
      <xdr:colOff>67982</xdr:colOff>
      <xdr:row>79</xdr:row>
      <xdr:rowOff>64798</xdr:rowOff>
    </xdr:from>
    <xdr:to>
      <xdr:col>81</xdr:col>
      <xdr:colOff>65162</xdr:colOff>
      <xdr:row>80</xdr:row>
      <xdr:rowOff>93815</xdr:rowOff>
    </xdr:to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13360960" y="15697004"/>
          <a:ext cx="1453945" cy="3371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ctr">
          <a:noAutofit/>
        </a:bodyPr>
        <a:lstStyle/>
        <a:p>
          <a:pPr marL="0" indent="0" algn="l"/>
          <a:r>
            <a:rPr lang="es-MX" sz="1200" b="0" i="0" u="none" strike="noStrike" kern="1200" cap="all" baseline="0">
              <a:solidFill>
                <a:srgbClr val="222222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rPr>
            <a:t>Calidad de vida</a:t>
          </a:r>
        </a:p>
      </xdr:txBody>
    </xdr:sp>
    <xdr:clientData/>
  </xdr:twoCellAnchor>
  <xdr:twoCellAnchor>
    <xdr:from>
      <xdr:col>73</xdr:col>
      <xdr:colOff>145479</xdr:colOff>
      <xdr:row>86</xdr:row>
      <xdr:rowOff>163040</xdr:rowOff>
    </xdr:from>
    <xdr:to>
      <xdr:col>105</xdr:col>
      <xdr:colOff>55289</xdr:colOff>
      <xdr:row>92</xdr:row>
      <xdr:rowOff>238125</xdr:rowOff>
    </xdr:to>
    <xdr:sp macro="" textlink="Auxiliar!G28">
      <xdr:nvSpPr>
        <xdr:cNvPr id="61" name="CuadroTexto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/>
      </xdr:nvSpPr>
      <xdr:spPr>
        <a:xfrm>
          <a:off x="13438457" y="17952378"/>
          <a:ext cx="5736869" cy="1840012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78A1F8DF-B613-4FA3-9AF4-00A6EEED4840}" type="TxLink">
            <a:rPr lang="en-US" sz="1600" b="1" i="0" u="none" strike="noStrike">
              <a:solidFill>
                <a:schemeClr val="bg1">
                  <a:lumMod val="50000"/>
                </a:schemeClr>
              </a:solidFill>
              <a:latin typeface="Poppins" panose="00000500000000000000" pitchFamily="2" charset="0"/>
              <a:ea typeface="Verdana"/>
              <a:cs typeface="Poppins" panose="00000500000000000000" pitchFamily="2" charset="0"/>
            </a:rPr>
            <a:pPr marL="0" indent="0" algn="ctr"/>
            <a:t>Tienes un avance del 77% de tu calidad de vida en edad de retiro.</a:t>
          </a:fld>
          <a:endParaRPr lang="es-MX" sz="1600" b="1" i="0" u="none" strike="noStrike">
            <a:solidFill>
              <a:schemeClr val="bg1">
                <a:lumMod val="50000"/>
              </a:schemeClr>
            </a:solidFill>
            <a:latin typeface="Poppins" panose="00000500000000000000" pitchFamily="2" charset="0"/>
            <a:ea typeface="Verdana"/>
            <a:cs typeface="Poppins" panose="00000500000000000000" pitchFamily="2" charset="0"/>
          </a:endParaRPr>
        </a:p>
      </xdr:txBody>
    </xdr:sp>
    <xdr:clientData/>
  </xdr:twoCellAnchor>
  <xdr:twoCellAnchor>
    <xdr:from>
      <xdr:col>36</xdr:col>
      <xdr:colOff>26153</xdr:colOff>
      <xdr:row>65</xdr:row>
      <xdr:rowOff>180474</xdr:rowOff>
    </xdr:from>
    <xdr:to>
      <xdr:col>36</xdr:col>
      <xdr:colOff>64576</xdr:colOff>
      <xdr:row>94</xdr:row>
      <xdr:rowOff>0</xdr:rowOff>
    </xdr:to>
    <xdr:cxnSp macro="">
      <xdr:nvCxnSpPr>
        <xdr:cNvPr id="71" name="Conector recto 70">
          <a:extLst>
            <a:ext uri="{FF2B5EF4-FFF2-40B4-BE49-F238E27FC236}">
              <a16:creationId xmlns:a16="http://schemas.microsoft.com/office/drawing/2014/main" id="{BABCFD15-D241-4E09-8DD8-936D35CE70DD}"/>
            </a:ext>
          </a:extLst>
        </xdr:cNvPr>
        <xdr:cNvCxnSpPr/>
      </xdr:nvCxnSpPr>
      <xdr:spPr>
        <a:xfrm>
          <a:off x="6419204" y="9382593"/>
          <a:ext cx="38423" cy="6051136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44705</xdr:colOff>
      <xdr:row>65</xdr:row>
      <xdr:rowOff>183649</xdr:rowOff>
    </xdr:from>
    <xdr:to>
      <xdr:col>70</xdr:col>
      <xdr:colOff>67751</xdr:colOff>
      <xdr:row>94</xdr:row>
      <xdr:rowOff>0</xdr:rowOff>
    </xdr:to>
    <xdr:cxnSp macro="">
      <xdr:nvCxnSpPr>
        <xdr:cNvPr id="75" name="Conector recto 74">
          <a:extLst>
            <a:ext uri="{FF2B5EF4-FFF2-40B4-BE49-F238E27FC236}">
              <a16:creationId xmlns:a16="http://schemas.microsoft.com/office/drawing/2014/main" id="{1C55A056-C60F-4D48-A670-9801D569988B}"/>
            </a:ext>
          </a:extLst>
        </xdr:cNvPr>
        <xdr:cNvCxnSpPr/>
      </xdr:nvCxnSpPr>
      <xdr:spPr>
        <a:xfrm>
          <a:off x="12472462" y="9382593"/>
          <a:ext cx="23046" cy="6018848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120952</xdr:colOff>
      <xdr:row>62</xdr:row>
      <xdr:rowOff>153328</xdr:rowOff>
    </xdr:from>
    <xdr:to>
      <xdr:col>107</xdr:col>
      <xdr:colOff>66411</xdr:colOff>
      <xdr:row>62</xdr:row>
      <xdr:rowOff>153328</xdr:rowOff>
    </xdr:to>
    <xdr:cxnSp macro="">
      <xdr:nvCxnSpPr>
        <xdr:cNvPr id="79" name="Conector recto 78">
          <a:extLst>
            <a:ext uri="{FF2B5EF4-FFF2-40B4-BE49-F238E27FC236}">
              <a16:creationId xmlns:a16="http://schemas.microsoft.com/office/drawing/2014/main" id="{8D22AE2A-BDC3-4AF1-B85E-B46573A1EB3D}"/>
            </a:ext>
          </a:extLst>
        </xdr:cNvPr>
        <xdr:cNvCxnSpPr/>
      </xdr:nvCxnSpPr>
      <xdr:spPr>
        <a:xfrm>
          <a:off x="675392" y="14796238"/>
          <a:ext cx="19166056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127302</xdr:colOff>
      <xdr:row>96</xdr:row>
      <xdr:rowOff>218547</xdr:rowOff>
    </xdr:from>
    <xdr:to>
      <xdr:col>107</xdr:col>
      <xdr:colOff>66411</xdr:colOff>
      <xdr:row>96</xdr:row>
      <xdr:rowOff>218547</xdr:rowOff>
    </xdr:to>
    <xdr:cxnSp macro="">
      <xdr:nvCxnSpPr>
        <xdr:cNvPr id="80" name="Conector recto 79">
          <a:extLst>
            <a:ext uri="{FF2B5EF4-FFF2-40B4-BE49-F238E27FC236}">
              <a16:creationId xmlns:a16="http://schemas.microsoft.com/office/drawing/2014/main" id="{550ADBA1-26B1-46CC-BBAE-13490E5FB927}"/>
            </a:ext>
          </a:extLst>
        </xdr:cNvPr>
        <xdr:cNvCxnSpPr/>
      </xdr:nvCxnSpPr>
      <xdr:spPr>
        <a:xfrm>
          <a:off x="681742" y="24940898"/>
          <a:ext cx="19159706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45357</xdr:colOff>
      <xdr:row>137</xdr:row>
      <xdr:rowOff>75594</xdr:rowOff>
    </xdr:from>
    <xdr:to>
      <xdr:col>105</xdr:col>
      <xdr:colOff>161922</xdr:colOff>
      <xdr:row>159</xdr:row>
      <xdr:rowOff>173182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BD1BE01-61BA-4F26-899E-BFFD71C94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2015</xdr:colOff>
      <xdr:row>122</xdr:row>
      <xdr:rowOff>92949</xdr:rowOff>
    </xdr:from>
    <xdr:to>
      <xdr:col>45</xdr:col>
      <xdr:colOff>84244</xdr:colOff>
      <xdr:row>122</xdr:row>
      <xdr:rowOff>92949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31C3D652-4C20-4F6D-A7B5-893260D72446}"/>
            </a:ext>
          </a:extLst>
        </xdr:cNvPr>
        <xdr:cNvCxnSpPr/>
      </xdr:nvCxnSpPr>
      <xdr:spPr>
        <a:xfrm flipV="1">
          <a:off x="742848" y="26511595"/>
          <a:ext cx="7675771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2972</xdr:colOff>
      <xdr:row>110</xdr:row>
      <xdr:rowOff>107555</xdr:rowOff>
    </xdr:from>
    <xdr:to>
      <xdr:col>45</xdr:col>
      <xdr:colOff>102324</xdr:colOff>
      <xdr:row>110</xdr:row>
      <xdr:rowOff>107555</xdr:rowOff>
    </xdr:to>
    <xdr:cxnSp macro="">
      <xdr:nvCxnSpPr>
        <xdr:cNvPr id="73" name="Conector recto 72">
          <a:extLst>
            <a:ext uri="{FF2B5EF4-FFF2-40B4-BE49-F238E27FC236}">
              <a16:creationId xmlns:a16="http://schemas.microsoft.com/office/drawing/2014/main" id="{42050150-8D8B-41B7-A92A-E850CFBB1E8D}"/>
            </a:ext>
          </a:extLst>
        </xdr:cNvPr>
        <xdr:cNvCxnSpPr/>
      </xdr:nvCxnSpPr>
      <xdr:spPr>
        <a:xfrm flipV="1">
          <a:off x="704814" y="23305943"/>
          <a:ext cx="7293234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123530</xdr:colOff>
      <xdr:row>105</xdr:row>
      <xdr:rowOff>179307</xdr:rowOff>
    </xdr:from>
    <xdr:to>
      <xdr:col>45</xdr:col>
      <xdr:colOff>36752</xdr:colOff>
      <xdr:row>105</xdr:row>
      <xdr:rowOff>179307</xdr:rowOff>
    </xdr:to>
    <xdr:cxnSp macro="">
      <xdr:nvCxnSpPr>
        <xdr:cNvPr id="76" name="Conector recto 75">
          <a:extLst>
            <a:ext uri="{FF2B5EF4-FFF2-40B4-BE49-F238E27FC236}">
              <a16:creationId xmlns:a16="http://schemas.microsoft.com/office/drawing/2014/main" id="{5B00AC02-D841-46FC-A783-95116BAFD9D9}"/>
            </a:ext>
          </a:extLst>
        </xdr:cNvPr>
        <xdr:cNvCxnSpPr/>
      </xdr:nvCxnSpPr>
      <xdr:spPr>
        <a:xfrm flipV="1">
          <a:off x="652697" y="22333751"/>
          <a:ext cx="7321555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131920</xdr:colOff>
      <xdr:row>165</xdr:row>
      <xdr:rowOff>85480</xdr:rowOff>
    </xdr:from>
    <xdr:to>
      <xdr:col>54</xdr:col>
      <xdr:colOff>131920</xdr:colOff>
      <xdr:row>180</xdr:row>
      <xdr:rowOff>0</xdr:rowOff>
    </xdr:to>
    <xdr:cxnSp macro="">
      <xdr:nvCxnSpPr>
        <xdr:cNvPr id="77" name="Conector recto 76">
          <a:extLst>
            <a:ext uri="{FF2B5EF4-FFF2-40B4-BE49-F238E27FC236}">
              <a16:creationId xmlns:a16="http://schemas.microsoft.com/office/drawing/2014/main" id="{5123EDF4-EC4A-47AF-9C17-E0A3CCE7A2F9}"/>
            </a:ext>
          </a:extLst>
        </xdr:cNvPr>
        <xdr:cNvCxnSpPr/>
      </xdr:nvCxnSpPr>
      <xdr:spPr>
        <a:xfrm>
          <a:off x="10111845" y="44909846"/>
          <a:ext cx="0" cy="4605938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7348</xdr:colOff>
      <xdr:row>175</xdr:row>
      <xdr:rowOff>67364</xdr:rowOff>
    </xdr:from>
    <xdr:to>
      <xdr:col>25</xdr:col>
      <xdr:colOff>86842</xdr:colOff>
      <xdr:row>178</xdr:row>
      <xdr:rowOff>65900</xdr:rowOff>
    </xdr:to>
    <xdr:sp macro="" textlink="'Cálculos y Supuestos Edo.Res'!G67">
      <xdr:nvSpPr>
        <xdr:cNvPr id="85" name="CuadroTexto 84">
          <a:extLst>
            <a:ext uri="{FF2B5EF4-FFF2-40B4-BE49-F238E27FC236}">
              <a16:creationId xmlns:a16="http://schemas.microsoft.com/office/drawing/2014/main" id="{4B19A5D1-DCDA-4606-A5A0-36C595D9376C}"/>
            </a:ext>
          </a:extLst>
        </xdr:cNvPr>
        <xdr:cNvSpPr txBox="1"/>
      </xdr:nvSpPr>
      <xdr:spPr>
        <a:xfrm>
          <a:off x="2085530" y="42531546"/>
          <a:ext cx="2330857" cy="933718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1DB67752-89B0-4122-8F76-C7F89EC9A03A}" type="TxLink">
            <a:rPr lang="en-US" sz="1600" b="0" i="0" u="none" strike="noStrike">
              <a:solidFill>
                <a:srgbClr val="222222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0" indent="0" algn="ctr"/>
            <a:t> $60,000 </a:t>
          </a:fld>
          <a:endParaRPr lang="es-MX" sz="1600" b="0" i="0" u="none" strike="noStrike">
            <a:solidFill>
              <a:schemeClr val="bg1">
                <a:lumMod val="50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>
    <xdr:from>
      <xdr:col>27</xdr:col>
      <xdr:colOff>142455</xdr:colOff>
      <xdr:row>175</xdr:row>
      <xdr:rowOff>48883</xdr:rowOff>
    </xdr:from>
    <xdr:to>
      <xdr:col>41</xdr:col>
      <xdr:colOff>25542</xdr:colOff>
      <xdr:row>178</xdr:row>
      <xdr:rowOff>66469</xdr:rowOff>
    </xdr:to>
    <xdr:sp macro="" textlink="'Cálculos y Supuestos Edo.Res'!G68">
      <xdr:nvSpPr>
        <xdr:cNvPr id="86" name="CuadroTexto 85">
          <a:extLst>
            <a:ext uri="{FF2B5EF4-FFF2-40B4-BE49-F238E27FC236}">
              <a16:creationId xmlns:a16="http://schemas.microsoft.com/office/drawing/2014/main" id="{33E33419-02E0-4898-8ED7-613D45C06259}"/>
            </a:ext>
          </a:extLst>
        </xdr:cNvPr>
        <xdr:cNvSpPr txBox="1"/>
      </xdr:nvSpPr>
      <xdr:spPr>
        <a:xfrm>
          <a:off x="4818364" y="42513065"/>
          <a:ext cx="2307633" cy="952768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A7C0BCA1-2A36-4DDE-A96F-732698B4A896}" type="TxLink">
            <a:rPr lang="en-US" sz="1600" b="0" i="0" u="none" strike="noStrike">
              <a:solidFill>
                <a:srgbClr val="222222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0" indent="0" algn="ctr"/>
            <a:t> $420 </a:t>
          </a:fld>
          <a:endParaRPr lang="es-MX" sz="1600" b="0" i="0" u="none" strike="noStrike">
            <a:solidFill>
              <a:schemeClr val="bg1">
                <a:lumMod val="50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>
    <xdr:from>
      <xdr:col>71</xdr:col>
      <xdr:colOff>9784</xdr:colOff>
      <xdr:row>174</xdr:row>
      <xdr:rowOff>25111</xdr:rowOff>
    </xdr:from>
    <xdr:to>
      <xdr:col>84</xdr:col>
      <xdr:colOff>143364</xdr:colOff>
      <xdr:row>177</xdr:row>
      <xdr:rowOff>44800</xdr:rowOff>
    </xdr:to>
    <xdr:sp macro="" textlink="'Cálculos y Supuestos Edo.Res'!G70">
      <xdr:nvSpPr>
        <xdr:cNvPr id="90" name="CuadroTexto 89">
          <a:extLst>
            <a:ext uri="{FF2B5EF4-FFF2-40B4-BE49-F238E27FC236}">
              <a16:creationId xmlns:a16="http://schemas.microsoft.com/office/drawing/2014/main" id="{28BFE1E9-7B1B-4408-9164-718CA7E9C3EA}"/>
            </a:ext>
          </a:extLst>
        </xdr:cNvPr>
        <xdr:cNvSpPr txBox="1"/>
      </xdr:nvSpPr>
      <xdr:spPr>
        <a:xfrm>
          <a:off x="12305693" y="42177566"/>
          <a:ext cx="2384944" cy="954870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A6799ACA-AD4D-4E39-B1B2-D58F3FC80AD3}" type="TxLink">
            <a:rPr lang="en-US" sz="1600" b="0" i="0" u="none" strike="noStrike">
              <a:solidFill>
                <a:srgbClr val="222222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0" indent="0" algn="ctr"/>
            <a:t> $2,400,000 </a:t>
          </a:fld>
          <a:endParaRPr lang="es-MX" sz="1600" b="0" i="0" u="none" strike="noStrike">
            <a:solidFill>
              <a:srgbClr val="222222"/>
            </a:solidFill>
            <a:latin typeface="Verdana" panose="020B0604030504040204" pitchFamily="34" charset="0"/>
            <a:ea typeface="Verdana" panose="020B0604030504040204" pitchFamily="34" charset="0"/>
            <a:cs typeface="Calibri"/>
          </a:endParaRPr>
        </a:p>
      </xdr:txBody>
    </xdr:sp>
    <xdr:clientData/>
  </xdr:twoCellAnchor>
  <xdr:twoCellAnchor>
    <xdr:from>
      <xdr:col>54</xdr:col>
      <xdr:colOff>131920</xdr:colOff>
      <xdr:row>186</xdr:row>
      <xdr:rowOff>0</xdr:rowOff>
    </xdr:from>
    <xdr:to>
      <xdr:col>54</xdr:col>
      <xdr:colOff>131920</xdr:colOff>
      <xdr:row>214</xdr:row>
      <xdr:rowOff>0</xdr:rowOff>
    </xdr:to>
    <xdr:cxnSp macro="">
      <xdr:nvCxnSpPr>
        <xdr:cNvPr id="97" name="Conector recto 96">
          <a:extLst>
            <a:ext uri="{FF2B5EF4-FFF2-40B4-BE49-F238E27FC236}">
              <a16:creationId xmlns:a16="http://schemas.microsoft.com/office/drawing/2014/main" id="{4016C685-01A1-4889-BCF1-F669192DF064}"/>
            </a:ext>
          </a:extLst>
        </xdr:cNvPr>
        <xdr:cNvCxnSpPr/>
      </xdr:nvCxnSpPr>
      <xdr:spPr>
        <a:xfrm>
          <a:off x="10111845" y="51292836"/>
          <a:ext cx="0" cy="7691082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125495</xdr:colOff>
      <xdr:row>181</xdr:row>
      <xdr:rowOff>158779</xdr:rowOff>
    </xdr:from>
    <xdr:to>
      <xdr:col>107</xdr:col>
      <xdr:colOff>69586</xdr:colOff>
      <xdr:row>181</xdr:row>
      <xdr:rowOff>158779</xdr:rowOff>
    </xdr:to>
    <xdr:cxnSp macro="">
      <xdr:nvCxnSpPr>
        <xdr:cNvPr id="102" name="Conector recto 101">
          <a:extLst>
            <a:ext uri="{FF2B5EF4-FFF2-40B4-BE49-F238E27FC236}">
              <a16:creationId xmlns:a16="http://schemas.microsoft.com/office/drawing/2014/main" id="{EA514C6D-2BEA-411C-9D02-CE96547F8D1C}"/>
            </a:ext>
          </a:extLst>
        </xdr:cNvPr>
        <xdr:cNvCxnSpPr/>
      </xdr:nvCxnSpPr>
      <xdr:spPr>
        <a:xfrm>
          <a:off x="679935" y="49987324"/>
          <a:ext cx="19164688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115831</xdr:colOff>
      <xdr:row>124</xdr:row>
      <xdr:rowOff>35040</xdr:rowOff>
    </xdr:from>
    <xdr:to>
      <xdr:col>102</xdr:col>
      <xdr:colOff>133675</xdr:colOff>
      <xdr:row>124</xdr:row>
      <xdr:rowOff>35040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2B968A67-4004-46E6-9097-546BCB270875}"/>
            </a:ext>
          </a:extLst>
        </xdr:cNvPr>
        <xdr:cNvCxnSpPr/>
      </xdr:nvCxnSpPr>
      <xdr:spPr>
        <a:xfrm flipV="1">
          <a:off x="10117081" y="27088686"/>
          <a:ext cx="8907844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154127</xdr:colOff>
      <xdr:row>118</xdr:row>
      <xdr:rowOff>277438</xdr:rowOff>
    </xdr:from>
    <xdr:to>
      <xdr:col>54</xdr:col>
      <xdr:colOff>181744</xdr:colOff>
      <xdr:row>120</xdr:row>
      <xdr:rowOff>53701</xdr:rowOff>
    </xdr:to>
    <xdr:sp macro="" textlink="">
      <xdr:nvSpPr>
        <xdr:cNvPr id="4" name="Cruz 3">
          <a:extLst>
            <a:ext uri="{FF2B5EF4-FFF2-40B4-BE49-F238E27FC236}">
              <a16:creationId xmlns:a16="http://schemas.microsoft.com/office/drawing/2014/main" id="{D8FB6A17-BB66-4375-A08D-0ED036CBFA31}"/>
            </a:ext>
          </a:extLst>
        </xdr:cNvPr>
        <xdr:cNvSpPr/>
      </xdr:nvSpPr>
      <xdr:spPr>
        <a:xfrm>
          <a:off x="9970169" y="25822959"/>
          <a:ext cx="212825" cy="212825"/>
        </a:xfrm>
        <a:prstGeom prst="plus">
          <a:avLst>
            <a:gd name="adj" fmla="val 44242"/>
          </a:avLst>
        </a:prstGeom>
        <a:solidFill>
          <a:srgbClr val="314566"/>
        </a:solidFill>
        <a:ln>
          <a:solidFill>
            <a:srgbClr val="31456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rgbClr val="314566"/>
            </a:solidFill>
          </a:endParaRPr>
        </a:p>
      </xdr:txBody>
    </xdr:sp>
    <xdr:clientData/>
  </xdr:twoCellAnchor>
  <xdr:twoCellAnchor>
    <xdr:from>
      <xdr:col>3</xdr:col>
      <xdr:colOff>124127</xdr:colOff>
      <xdr:row>162</xdr:row>
      <xdr:rowOff>151190</xdr:rowOff>
    </xdr:from>
    <xdr:to>
      <xdr:col>107</xdr:col>
      <xdr:colOff>66411</xdr:colOff>
      <xdr:row>162</xdr:row>
      <xdr:rowOff>151190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2FCC8DB3-9B3B-40DB-82B9-1A1EDEB5CF8C}"/>
            </a:ext>
          </a:extLst>
        </xdr:cNvPr>
        <xdr:cNvCxnSpPr/>
      </xdr:nvCxnSpPr>
      <xdr:spPr>
        <a:xfrm>
          <a:off x="678567" y="43909324"/>
          <a:ext cx="19162881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124127</xdr:colOff>
      <xdr:row>134</xdr:row>
      <xdr:rowOff>30238</xdr:rowOff>
    </xdr:from>
    <xdr:to>
      <xdr:col>107</xdr:col>
      <xdr:colOff>66411</xdr:colOff>
      <xdr:row>134</xdr:row>
      <xdr:rowOff>30238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EA787B51-616A-48A4-8B97-22C360D8E869}"/>
            </a:ext>
          </a:extLst>
        </xdr:cNvPr>
        <xdr:cNvCxnSpPr/>
      </xdr:nvCxnSpPr>
      <xdr:spPr>
        <a:xfrm>
          <a:off x="678567" y="35187439"/>
          <a:ext cx="19162881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78289</xdr:colOff>
      <xdr:row>18</xdr:row>
      <xdr:rowOff>174429</xdr:rowOff>
    </xdr:from>
    <xdr:to>
      <xdr:col>82</xdr:col>
      <xdr:colOff>65240</xdr:colOff>
      <xdr:row>61</xdr:row>
      <xdr:rowOff>78695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74E7637-926F-451B-8E30-8C106CD95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84</xdr:col>
      <xdr:colOff>67981</xdr:colOff>
      <xdr:row>25</xdr:row>
      <xdr:rowOff>123368</xdr:rowOff>
    </xdr:from>
    <xdr:to>
      <xdr:col>88</xdr:col>
      <xdr:colOff>29282</xdr:colOff>
      <xdr:row>28</xdr:row>
      <xdr:rowOff>131458</xdr:rowOff>
    </xdr:to>
    <xdr:sp macro="" textlink="">
      <xdr:nvSpPr>
        <xdr:cNvPr id="13" name="Diagrama de flujo: conector 12">
          <a:extLst>
            <a:ext uri="{FF2B5EF4-FFF2-40B4-BE49-F238E27FC236}">
              <a16:creationId xmlns:a16="http://schemas.microsoft.com/office/drawing/2014/main" id="{59CE1EED-41F9-C13F-9570-90FEB7834AF5}"/>
            </a:ext>
          </a:extLst>
        </xdr:cNvPr>
        <xdr:cNvSpPr/>
      </xdr:nvSpPr>
      <xdr:spPr>
        <a:xfrm>
          <a:off x="15491595" y="6802344"/>
          <a:ext cx="695759" cy="696644"/>
        </a:xfrm>
        <a:prstGeom prst="flowChartConnector">
          <a:avLst/>
        </a:prstGeom>
        <a:solidFill>
          <a:srgbClr val="31456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MX" sz="1600" b="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84</xdr:col>
      <xdr:colOff>67981</xdr:colOff>
      <xdr:row>36</xdr:row>
      <xdr:rowOff>171148</xdr:rowOff>
    </xdr:from>
    <xdr:to>
      <xdr:col>88</xdr:col>
      <xdr:colOff>29282</xdr:colOff>
      <xdr:row>39</xdr:row>
      <xdr:rowOff>193450</xdr:rowOff>
    </xdr:to>
    <xdr:sp macro="" textlink="">
      <xdr:nvSpPr>
        <xdr:cNvPr id="14" name="Diagrama de flujo: conector 13">
          <a:extLst>
            <a:ext uri="{FF2B5EF4-FFF2-40B4-BE49-F238E27FC236}">
              <a16:creationId xmlns:a16="http://schemas.microsoft.com/office/drawing/2014/main" id="{7D5AF1E5-26CD-4EB4-BCDA-1612552F0EC0}"/>
            </a:ext>
          </a:extLst>
        </xdr:cNvPr>
        <xdr:cNvSpPr/>
      </xdr:nvSpPr>
      <xdr:spPr>
        <a:xfrm>
          <a:off x="15491595" y="9374823"/>
          <a:ext cx="695759" cy="710856"/>
        </a:xfrm>
        <a:prstGeom prst="flowChartConnector">
          <a:avLst/>
        </a:prstGeom>
        <a:solidFill>
          <a:srgbClr val="E5C78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MX" sz="1600" b="1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84</xdr:col>
      <xdr:colOff>71735</xdr:colOff>
      <xdr:row>51</xdr:row>
      <xdr:rowOff>240249</xdr:rowOff>
    </xdr:from>
    <xdr:to>
      <xdr:col>88</xdr:col>
      <xdr:colOff>25527</xdr:colOff>
      <xdr:row>54</xdr:row>
      <xdr:rowOff>83227</xdr:rowOff>
    </xdr:to>
    <xdr:sp macro="" textlink="">
      <xdr:nvSpPr>
        <xdr:cNvPr id="15" name="Diagrama de flujo: conector 14">
          <a:extLst>
            <a:ext uri="{FF2B5EF4-FFF2-40B4-BE49-F238E27FC236}">
              <a16:creationId xmlns:a16="http://schemas.microsoft.com/office/drawing/2014/main" id="{E962F472-996A-43EE-8F77-3BA3C729BF0C}"/>
            </a:ext>
          </a:extLst>
        </xdr:cNvPr>
        <xdr:cNvSpPr/>
      </xdr:nvSpPr>
      <xdr:spPr>
        <a:xfrm>
          <a:off x="15495349" y="11968622"/>
          <a:ext cx="688250" cy="669244"/>
        </a:xfrm>
        <a:prstGeom prst="flowChartConnector">
          <a:avLst/>
        </a:prstGeom>
        <a:solidFill>
          <a:srgbClr val="317A7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MX" sz="1600" b="1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83</xdr:col>
      <xdr:colOff>123482</xdr:colOff>
      <xdr:row>26</xdr:row>
      <xdr:rowOff>47535</xdr:rowOff>
    </xdr:from>
    <xdr:to>
      <xdr:col>88</xdr:col>
      <xdr:colOff>157395</xdr:colOff>
      <xdr:row>27</xdr:row>
      <xdr:rowOff>208002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D22262CE-7A64-4C14-6A53-59014A357E16}"/>
            </a:ext>
          </a:extLst>
        </xdr:cNvPr>
        <xdr:cNvSpPr txBox="1"/>
      </xdr:nvSpPr>
      <xdr:spPr>
        <a:xfrm>
          <a:off x="15363482" y="6956029"/>
          <a:ext cx="951985" cy="3899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  <a:latin typeface="Poppins" panose="00000500000000000000" pitchFamily="2" charset="0"/>
              <a:ea typeface="Verdana" panose="020B0604030504040204" pitchFamily="34" charset="0"/>
              <a:cs typeface="Poppins" panose="00000500000000000000" pitchFamily="2" charset="0"/>
            </a:rPr>
            <a:t>14%</a:t>
          </a:r>
        </a:p>
      </xdr:txBody>
    </xdr:sp>
    <xdr:clientData/>
  </xdr:twoCellAnchor>
  <xdr:twoCellAnchor>
    <xdr:from>
      <xdr:col>83</xdr:col>
      <xdr:colOff>101257</xdr:colOff>
      <xdr:row>37</xdr:row>
      <xdr:rowOff>94626</xdr:rowOff>
    </xdr:from>
    <xdr:to>
      <xdr:col>88</xdr:col>
      <xdr:colOff>179620</xdr:colOff>
      <xdr:row>39</xdr:row>
      <xdr:rowOff>19071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69FDC13D-26D2-46B1-8323-401768DE24B8}"/>
            </a:ext>
          </a:extLst>
        </xdr:cNvPr>
        <xdr:cNvSpPr txBox="1"/>
      </xdr:nvSpPr>
      <xdr:spPr>
        <a:xfrm>
          <a:off x="15341257" y="9527819"/>
          <a:ext cx="996435" cy="3834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ysClr val="windowText" lastClr="000000"/>
              </a:solidFill>
              <a:latin typeface="Poppins" panose="00000500000000000000" pitchFamily="2" charset="0"/>
              <a:ea typeface="Verdana" panose="020B0604030504040204" pitchFamily="34" charset="0"/>
              <a:cs typeface="Poppins" panose="00000500000000000000" pitchFamily="2" charset="0"/>
            </a:rPr>
            <a:t>12%</a:t>
          </a:r>
        </a:p>
      </xdr:txBody>
    </xdr:sp>
    <xdr:clientData/>
  </xdr:twoCellAnchor>
  <xdr:twoCellAnchor>
    <xdr:from>
      <xdr:col>83</xdr:col>
      <xdr:colOff>123482</xdr:colOff>
      <xdr:row>52</xdr:row>
      <xdr:rowOff>68837</xdr:rowOff>
    </xdr:from>
    <xdr:to>
      <xdr:col>88</xdr:col>
      <xdr:colOff>157395</xdr:colOff>
      <xdr:row>53</xdr:row>
      <xdr:rowOff>202230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2A53D354-6BE7-4E15-B524-6833D55872FB}"/>
            </a:ext>
          </a:extLst>
        </xdr:cNvPr>
        <xdr:cNvSpPr txBox="1"/>
      </xdr:nvSpPr>
      <xdr:spPr>
        <a:xfrm>
          <a:off x="15363482" y="12072632"/>
          <a:ext cx="951985" cy="4088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  <a:latin typeface="Poppins" panose="00000500000000000000" pitchFamily="2" charset="0"/>
              <a:ea typeface="Verdana" panose="020B0604030504040204" pitchFamily="34" charset="0"/>
              <a:cs typeface="Poppins" panose="00000500000000000000" pitchFamily="2" charset="0"/>
            </a:rPr>
            <a:t>8%</a:t>
          </a:r>
        </a:p>
      </xdr:txBody>
    </xdr:sp>
    <xdr:clientData/>
  </xdr:twoCellAnchor>
  <xdr:twoCellAnchor>
    <xdr:from>
      <xdr:col>82</xdr:col>
      <xdr:colOff>176424</xdr:colOff>
      <xdr:row>49</xdr:row>
      <xdr:rowOff>9533</xdr:rowOff>
    </xdr:from>
    <xdr:to>
      <xdr:col>107</xdr:col>
      <xdr:colOff>66411</xdr:colOff>
      <xdr:row>49</xdr:row>
      <xdr:rowOff>9533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5D31671B-FB8D-42E1-9F1B-5030C9BF6889}"/>
            </a:ext>
          </a:extLst>
        </xdr:cNvPr>
        <xdr:cNvCxnSpPr/>
      </xdr:nvCxnSpPr>
      <xdr:spPr>
        <a:xfrm>
          <a:off x="15331125" y="11140988"/>
          <a:ext cx="4510323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166899</xdr:colOff>
      <xdr:row>32</xdr:row>
      <xdr:rowOff>113123</xdr:rowOff>
    </xdr:from>
    <xdr:to>
      <xdr:col>107</xdr:col>
      <xdr:colOff>66411</xdr:colOff>
      <xdr:row>32</xdr:row>
      <xdr:rowOff>113123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BACE8EC7-6F1B-4805-9A99-F9024B1EED5A}"/>
            </a:ext>
          </a:extLst>
        </xdr:cNvPr>
        <xdr:cNvCxnSpPr/>
      </xdr:nvCxnSpPr>
      <xdr:spPr>
        <a:xfrm>
          <a:off x="15321600" y="8387078"/>
          <a:ext cx="4519848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125495</xdr:colOff>
      <xdr:row>214</xdr:row>
      <xdr:rowOff>296251</xdr:rowOff>
    </xdr:from>
    <xdr:to>
      <xdr:col>107</xdr:col>
      <xdr:colOff>69586</xdr:colOff>
      <xdr:row>214</xdr:row>
      <xdr:rowOff>296251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B2110331-FAE5-44E5-97FC-095A33871444}"/>
            </a:ext>
          </a:extLst>
        </xdr:cNvPr>
        <xdr:cNvCxnSpPr/>
      </xdr:nvCxnSpPr>
      <xdr:spPr>
        <a:xfrm>
          <a:off x="679935" y="59280169"/>
          <a:ext cx="19164688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0.08733</cdr:y>
    </cdr:from>
    <cdr:to>
      <cdr:x>0.13875</cdr:x>
      <cdr:y>0.30891</cdr:y>
    </cdr:to>
    <cdr:sp macro="" textlink="">
      <cdr:nvSpPr>
        <cdr:cNvPr id="2" name="CuadroTexto 16">
          <a:extLst xmlns:a="http://schemas.openxmlformats.org/drawingml/2006/main">
            <a:ext uri="{FF2B5EF4-FFF2-40B4-BE49-F238E27FC236}">
              <a16:creationId xmlns:a16="http://schemas.microsoft.com/office/drawing/2014/main" id="{078790C1-7B3E-85AF-13BA-2410C29E07C9}"/>
            </a:ext>
          </a:extLst>
        </cdr:cNvPr>
        <cdr:cNvSpPr txBox="1"/>
      </cdr:nvSpPr>
      <cdr:spPr>
        <a:xfrm xmlns:a="http://schemas.openxmlformats.org/drawingml/2006/main">
          <a:off x="0" y="110435"/>
          <a:ext cx="755143" cy="2802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200" b="0" i="0" u="none" strike="noStrike" kern="1200" cap="all" baseline="0">
              <a:solidFill>
                <a:srgbClr val="222222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rPr>
            <a:t>Mi Nivel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1006929</xdr:colOff>
      <xdr:row>25</xdr:row>
      <xdr:rowOff>181280</xdr:rowOff>
    </xdr:from>
    <xdr:to>
      <xdr:col>32</xdr:col>
      <xdr:colOff>467809</xdr:colOff>
      <xdr:row>46</xdr:row>
      <xdr:rowOff>30249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96D84DC6-F467-4274-926C-3A1089654E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39204" y="5105705"/>
              <a:ext cx="4356730" cy="38875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143821</xdr:colOff>
      <xdr:row>148</xdr:row>
      <xdr:rowOff>159652</xdr:rowOff>
    </xdr:from>
    <xdr:to>
      <xdr:col>106</xdr:col>
      <xdr:colOff>161896</xdr:colOff>
      <xdr:row>153</xdr:row>
      <xdr:rowOff>349697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DAB47A-2761-4384-8CE8-166EE870C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110</xdr:col>
      <xdr:colOff>0</xdr:colOff>
      <xdr:row>3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E0C2C4F-E955-4E58-8B3A-8E61DC7D6E1A}"/>
            </a:ext>
          </a:extLst>
        </xdr:cNvPr>
        <xdr:cNvSpPr txBox="1"/>
      </xdr:nvSpPr>
      <xdr:spPr>
        <a:xfrm>
          <a:off x="82772250" y="542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twoCellAnchor>
    <xdr:from>
      <xdr:col>2</xdr:col>
      <xdr:colOff>111427</xdr:colOff>
      <xdr:row>32</xdr:row>
      <xdr:rowOff>63651</xdr:rowOff>
    </xdr:from>
    <xdr:to>
      <xdr:col>106</xdr:col>
      <xdr:colOff>69586</xdr:colOff>
      <xdr:row>32</xdr:row>
      <xdr:rowOff>63651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71FA6E5C-A669-40FE-B68D-571C4A5C55BF}"/>
            </a:ext>
          </a:extLst>
        </xdr:cNvPr>
        <xdr:cNvCxnSpPr/>
      </xdr:nvCxnSpPr>
      <xdr:spPr>
        <a:xfrm>
          <a:off x="1616377" y="4772176"/>
          <a:ext cx="78212384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8770</xdr:colOff>
      <xdr:row>61</xdr:row>
      <xdr:rowOff>75596</xdr:rowOff>
    </xdr:from>
    <xdr:to>
      <xdr:col>53</xdr:col>
      <xdr:colOff>60477</xdr:colOff>
      <xdr:row>65</xdr:row>
      <xdr:rowOff>197840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35C4410-1A72-4A23-8864-770D91F0D9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101902</xdr:colOff>
      <xdr:row>57</xdr:row>
      <xdr:rowOff>338213</xdr:rowOff>
    </xdr:from>
    <xdr:to>
      <xdr:col>106</xdr:col>
      <xdr:colOff>66411</xdr:colOff>
      <xdr:row>57</xdr:row>
      <xdr:rowOff>338213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4DD4FFDB-1B5B-493A-97FB-A40B2FABF266}"/>
            </a:ext>
          </a:extLst>
        </xdr:cNvPr>
        <xdr:cNvCxnSpPr/>
      </xdr:nvCxnSpPr>
      <xdr:spPr>
        <a:xfrm>
          <a:off x="1610027" y="9231388"/>
          <a:ext cx="78221909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87391</xdr:colOff>
      <xdr:row>68</xdr:row>
      <xdr:rowOff>8769</xdr:rowOff>
    </xdr:from>
    <xdr:to>
      <xdr:col>106</xdr:col>
      <xdr:colOff>47925</xdr:colOff>
      <xdr:row>68</xdr:row>
      <xdr:rowOff>8769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3BF803BF-BADF-4DEA-B8C8-8A1E29763616}"/>
            </a:ext>
          </a:extLst>
        </xdr:cNvPr>
        <xdr:cNvCxnSpPr/>
      </xdr:nvCxnSpPr>
      <xdr:spPr>
        <a:xfrm>
          <a:off x="446825" y="23503769"/>
          <a:ext cx="18651100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27063</xdr:colOff>
      <xdr:row>86</xdr:row>
      <xdr:rowOff>199723</xdr:rowOff>
    </xdr:from>
    <xdr:to>
      <xdr:col>50</xdr:col>
      <xdr:colOff>27063</xdr:colOff>
      <xdr:row>94</xdr:row>
      <xdr:rowOff>294961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B8E5858A-F421-403D-A575-DE041BEEC071}"/>
            </a:ext>
          </a:extLst>
        </xdr:cNvPr>
        <xdr:cNvCxnSpPr/>
      </xdr:nvCxnSpPr>
      <xdr:spPr>
        <a:xfrm>
          <a:off x="37653988" y="13575998"/>
          <a:ext cx="0" cy="1447788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50800</xdr:colOff>
      <xdr:row>5</xdr:row>
      <xdr:rowOff>85703</xdr:rowOff>
    </xdr:from>
    <xdr:to>
      <xdr:col>70</xdr:col>
      <xdr:colOff>50800</xdr:colOff>
      <xdr:row>25</xdr:row>
      <xdr:rowOff>131203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F1DC52DD-CE2A-4BAE-B199-5BDDDCD48398}"/>
            </a:ext>
          </a:extLst>
        </xdr:cNvPr>
        <xdr:cNvCxnSpPr/>
      </xdr:nvCxnSpPr>
      <xdr:spPr>
        <a:xfrm>
          <a:off x="52720875" y="993753"/>
          <a:ext cx="0" cy="3661825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102356</xdr:colOff>
      <xdr:row>44</xdr:row>
      <xdr:rowOff>84969</xdr:rowOff>
    </xdr:from>
    <xdr:to>
      <xdr:col>106</xdr:col>
      <xdr:colOff>63690</xdr:colOff>
      <xdr:row>44</xdr:row>
      <xdr:rowOff>84969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1A89DEC7-0A2F-47E2-B062-5B49A343DC24}"/>
            </a:ext>
          </a:extLst>
        </xdr:cNvPr>
        <xdr:cNvCxnSpPr/>
      </xdr:nvCxnSpPr>
      <xdr:spPr>
        <a:xfrm>
          <a:off x="1610481" y="6784219"/>
          <a:ext cx="78218734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85490</xdr:colOff>
      <xdr:row>84</xdr:row>
      <xdr:rowOff>58797</xdr:rowOff>
    </xdr:from>
    <xdr:to>
      <xdr:col>106</xdr:col>
      <xdr:colOff>46824</xdr:colOff>
      <xdr:row>84</xdr:row>
      <xdr:rowOff>58797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5A4F456E-18C6-4B7D-992A-FB03E808A1AD}"/>
            </a:ext>
          </a:extLst>
        </xdr:cNvPr>
        <xdr:cNvCxnSpPr/>
      </xdr:nvCxnSpPr>
      <xdr:spPr>
        <a:xfrm>
          <a:off x="440659" y="30280492"/>
          <a:ext cx="18430148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23519</xdr:colOff>
      <xdr:row>116</xdr:row>
      <xdr:rowOff>58796</xdr:rowOff>
    </xdr:from>
    <xdr:to>
      <xdr:col>105</xdr:col>
      <xdr:colOff>167592</xdr:colOff>
      <xdr:row>116</xdr:row>
      <xdr:rowOff>58796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D708C1F5-5556-4C73-A97B-010D4F96FC5D}"/>
            </a:ext>
          </a:extLst>
        </xdr:cNvPr>
        <xdr:cNvCxnSpPr/>
      </xdr:nvCxnSpPr>
      <xdr:spPr>
        <a:xfrm>
          <a:off x="1531644" y="15260696"/>
          <a:ext cx="77642648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8222</xdr:colOff>
      <xdr:row>120</xdr:row>
      <xdr:rowOff>238985</xdr:rowOff>
    </xdr:from>
    <xdr:to>
      <xdr:col>49</xdr:col>
      <xdr:colOff>8222</xdr:colOff>
      <xdr:row>129</xdr:row>
      <xdr:rowOff>201872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186BB521-873F-4EA7-B558-E8AEFF2E6DF0}"/>
            </a:ext>
          </a:extLst>
        </xdr:cNvPr>
        <xdr:cNvCxnSpPr/>
      </xdr:nvCxnSpPr>
      <xdr:spPr>
        <a:xfrm>
          <a:off x="8709875" y="31445468"/>
          <a:ext cx="0" cy="251365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10835</xdr:colOff>
      <xdr:row>120</xdr:row>
      <xdr:rowOff>238985</xdr:rowOff>
    </xdr:from>
    <xdr:to>
      <xdr:col>25</xdr:col>
      <xdr:colOff>10835</xdr:colOff>
      <xdr:row>129</xdr:row>
      <xdr:rowOff>201872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83DBCDE2-BC83-42B2-B592-7B1C3F88643D}"/>
            </a:ext>
          </a:extLst>
        </xdr:cNvPr>
        <xdr:cNvCxnSpPr/>
      </xdr:nvCxnSpPr>
      <xdr:spPr>
        <a:xfrm>
          <a:off x="4450454" y="31445468"/>
          <a:ext cx="0" cy="251365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28581</xdr:colOff>
      <xdr:row>120</xdr:row>
      <xdr:rowOff>238985</xdr:rowOff>
    </xdr:from>
    <xdr:to>
      <xdr:col>75</xdr:col>
      <xdr:colOff>28581</xdr:colOff>
      <xdr:row>129</xdr:row>
      <xdr:rowOff>201872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990BF24D-268D-4025-A81F-9DF237E1F94A}"/>
            </a:ext>
          </a:extLst>
        </xdr:cNvPr>
        <xdr:cNvCxnSpPr/>
      </xdr:nvCxnSpPr>
      <xdr:spPr>
        <a:xfrm>
          <a:off x="13347437" y="31445468"/>
          <a:ext cx="0" cy="251365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0</xdr:colOff>
      <xdr:row>120</xdr:row>
      <xdr:rowOff>238985</xdr:rowOff>
    </xdr:from>
    <xdr:to>
      <xdr:col>97</xdr:col>
      <xdr:colOff>0</xdr:colOff>
      <xdr:row>129</xdr:row>
      <xdr:rowOff>208222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88155630-4366-478B-9998-7142F9E2A0A6}"/>
            </a:ext>
          </a:extLst>
        </xdr:cNvPr>
        <xdr:cNvCxnSpPr/>
      </xdr:nvCxnSpPr>
      <xdr:spPr>
        <a:xfrm>
          <a:off x="17225720" y="31445468"/>
          <a:ext cx="0" cy="252000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143821</xdr:colOff>
      <xdr:row>135</xdr:row>
      <xdr:rowOff>121227</xdr:rowOff>
    </xdr:from>
    <xdr:to>
      <xdr:col>106</xdr:col>
      <xdr:colOff>161896</xdr:colOff>
      <xdr:row>153</xdr:row>
      <xdr:rowOff>31228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C168C78E-9FA1-432A-BC19-8E7478617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90</xdr:col>
      <xdr:colOff>75596</xdr:colOff>
      <xdr:row>130</xdr:row>
      <xdr:rowOff>216139</xdr:rowOff>
    </xdr:from>
    <xdr:to>
      <xdr:col>106</xdr:col>
      <xdr:colOff>131042</xdr:colOff>
      <xdr:row>133</xdr:row>
      <xdr:rowOff>102881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4D431407-099A-4CD3-9488-7B8908B58A4B}"/>
            </a:ext>
          </a:extLst>
        </xdr:cNvPr>
        <xdr:cNvSpPr txBox="1"/>
      </xdr:nvSpPr>
      <xdr:spPr>
        <a:xfrm>
          <a:off x="16404167" y="34239036"/>
          <a:ext cx="2958304" cy="652774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endParaRPr lang="en-US" sz="1600" b="1" i="0" u="none" strike="noStrike">
            <a:solidFill>
              <a:schemeClr val="bg1">
                <a:lumMod val="50000"/>
              </a:schemeClr>
            </a:solidFill>
            <a:latin typeface="Poppins" panose="00000500000000000000" pitchFamily="2" charset="0"/>
            <a:ea typeface="Verdana"/>
            <a:cs typeface="Poppins" panose="00000500000000000000" pitchFamily="2" charset="0"/>
          </a:endParaRPr>
        </a:p>
      </xdr:txBody>
    </xdr:sp>
    <xdr:clientData/>
  </xdr:twoCellAnchor>
  <xdr:twoCellAnchor>
    <xdr:from>
      <xdr:col>88</xdr:col>
      <xdr:colOff>8301</xdr:colOff>
      <xdr:row>5</xdr:row>
      <xdr:rowOff>142837</xdr:rowOff>
    </xdr:from>
    <xdr:to>
      <xdr:col>104</xdr:col>
      <xdr:colOff>10241</xdr:colOff>
      <xdr:row>19</xdr:row>
      <xdr:rowOff>115455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30613AF5-F816-41EC-A152-E05BDAA611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95901" y="1200112"/>
              <a:ext cx="2745140" cy="46017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</xdr:col>
      <xdr:colOff>151006</xdr:colOff>
      <xdr:row>130</xdr:row>
      <xdr:rowOff>212964</xdr:rowOff>
    </xdr:from>
    <xdr:to>
      <xdr:col>89</xdr:col>
      <xdr:colOff>66116</xdr:colOff>
      <xdr:row>133</xdr:row>
      <xdr:rowOff>106056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3BD9E0BC-D00E-4803-870E-9F0AE1B859CE}"/>
            </a:ext>
          </a:extLst>
        </xdr:cNvPr>
        <xdr:cNvSpPr txBox="1"/>
      </xdr:nvSpPr>
      <xdr:spPr>
        <a:xfrm>
          <a:off x="327395" y="33973797"/>
          <a:ext cx="15437332" cy="657444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endParaRPr lang="en-US" sz="1600" b="1" i="0" u="none" strike="noStrike">
            <a:solidFill>
              <a:schemeClr val="bg1">
                <a:lumMod val="50000"/>
              </a:schemeClr>
            </a:solidFill>
            <a:latin typeface="Poppins" panose="00000500000000000000" pitchFamily="2" charset="0"/>
            <a:ea typeface="Verdana"/>
            <a:cs typeface="Poppins" panose="00000500000000000000" pitchFamily="2" charset="0"/>
          </a:endParaRPr>
        </a:p>
      </xdr:txBody>
    </xdr:sp>
    <xdr:clientData/>
  </xdr:twoCellAnchor>
  <xdr:twoCellAnchor>
    <xdr:from>
      <xdr:col>72</xdr:col>
      <xdr:colOff>152328</xdr:colOff>
      <xdr:row>131</xdr:row>
      <xdr:rowOff>26361</xdr:rowOff>
    </xdr:from>
    <xdr:to>
      <xdr:col>72</xdr:col>
      <xdr:colOff>152328</xdr:colOff>
      <xdr:row>133</xdr:row>
      <xdr:rowOff>47503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5F124120-EFE1-4E61-8EEB-13D2CBF47CF9}"/>
            </a:ext>
          </a:extLst>
        </xdr:cNvPr>
        <xdr:cNvCxnSpPr/>
      </xdr:nvCxnSpPr>
      <xdr:spPr>
        <a:xfrm>
          <a:off x="12938430" y="34267929"/>
          <a:ext cx="0" cy="553896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140188</xdr:colOff>
      <xdr:row>131</xdr:row>
      <xdr:rowOff>26361</xdr:rowOff>
    </xdr:from>
    <xdr:to>
      <xdr:col>49</xdr:col>
      <xdr:colOff>140188</xdr:colOff>
      <xdr:row>133</xdr:row>
      <xdr:rowOff>63378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2A030600-62FA-444D-B3D2-339B5D76178E}"/>
            </a:ext>
          </a:extLst>
        </xdr:cNvPr>
        <xdr:cNvCxnSpPr/>
      </xdr:nvCxnSpPr>
      <xdr:spPr>
        <a:xfrm>
          <a:off x="8841841" y="34267929"/>
          <a:ext cx="0" cy="569771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66299</xdr:colOff>
      <xdr:row>131</xdr:row>
      <xdr:rowOff>26361</xdr:rowOff>
    </xdr:from>
    <xdr:to>
      <xdr:col>28</xdr:col>
      <xdr:colOff>66299</xdr:colOff>
      <xdr:row>133</xdr:row>
      <xdr:rowOff>44328</xdr:rowOff>
    </xdr:to>
    <xdr:cxnSp macro="">
      <xdr:nvCxnSpPr>
        <xdr:cNvPr id="35" name="Conector recto 34">
          <a:extLst>
            <a:ext uri="{FF2B5EF4-FFF2-40B4-BE49-F238E27FC236}">
              <a16:creationId xmlns:a16="http://schemas.microsoft.com/office/drawing/2014/main" id="{790A1C5A-AC58-4BC0-9198-3629A8BB5CE6}"/>
            </a:ext>
          </a:extLst>
        </xdr:cNvPr>
        <xdr:cNvCxnSpPr/>
      </xdr:nvCxnSpPr>
      <xdr:spPr>
        <a:xfrm>
          <a:off x="5038672" y="34267929"/>
          <a:ext cx="0" cy="550721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69273</xdr:colOff>
      <xdr:row>45</xdr:row>
      <xdr:rowOff>323270</xdr:rowOff>
    </xdr:from>
    <xdr:to>
      <xdr:col>105</xdr:col>
      <xdr:colOff>92364</xdr:colOff>
      <xdr:row>50</xdr:row>
      <xdr:rowOff>57728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FE27BECD-696E-42E4-93AD-04681A08377F}"/>
            </a:ext>
          </a:extLst>
        </xdr:cNvPr>
        <xdr:cNvSpPr txBox="1"/>
      </xdr:nvSpPr>
      <xdr:spPr>
        <a:xfrm>
          <a:off x="12711546" y="14997543"/>
          <a:ext cx="5564909" cy="1754912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endParaRPr lang="en-US" sz="1600" b="1" i="0" u="none" strike="noStrike">
            <a:solidFill>
              <a:schemeClr val="bg1">
                <a:lumMod val="50000"/>
              </a:schemeClr>
            </a:solidFill>
            <a:latin typeface="Poppins" panose="00000500000000000000" pitchFamily="2" charset="0"/>
            <a:ea typeface="Verdana"/>
            <a:cs typeface="Poppins" panose="00000500000000000000" pitchFamily="2" charset="0"/>
          </a:endParaRPr>
        </a:p>
      </xdr:txBody>
    </xdr:sp>
    <xdr:clientData/>
  </xdr:twoCellAnchor>
  <xdr:twoCellAnchor>
    <xdr:from>
      <xdr:col>73</xdr:col>
      <xdr:colOff>48491</xdr:colOff>
      <xdr:row>50</xdr:row>
      <xdr:rowOff>314033</xdr:rowOff>
    </xdr:from>
    <xdr:to>
      <xdr:col>105</xdr:col>
      <xdr:colOff>71582</xdr:colOff>
      <xdr:row>55</xdr:row>
      <xdr:rowOff>392544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C131D65C-67C0-4B5D-8F7F-26C0DF0AFDB0}"/>
            </a:ext>
          </a:extLst>
        </xdr:cNvPr>
        <xdr:cNvSpPr txBox="1"/>
      </xdr:nvSpPr>
      <xdr:spPr>
        <a:xfrm>
          <a:off x="12690764" y="17008760"/>
          <a:ext cx="5564909" cy="2041239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endParaRPr lang="en-US" sz="1600" b="1" i="0" u="none" strike="noStrike">
            <a:solidFill>
              <a:schemeClr val="bg1">
                <a:lumMod val="50000"/>
              </a:schemeClr>
            </a:solidFill>
            <a:latin typeface="Poppins" panose="00000500000000000000" pitchFamily="2" charset="0"/>
            <a:ea typeface="Verdana"/>
            <a:cs typeface="Poppins" panose="00000500000000000000" pitchFamily="2" charset="0"/>
          </a:endParaRPr>
        </a:p>
      </xdr:txBody>
    </xdr:sp>
    <xdr:clientData/>
  </xdr:twoCellAnchor>
  <xdr:twoCellAnchor>
    <xdr:from>
      <xdr:col>73</xdr:col>
      <xdr:colOff>66098</xdr:colOff>
      <xdr:row>38</xdr:row>
      <xdr:rowOff>384524</xdr:rowOff>
    </xdr:from>
    <xdr:to>
      <xdr:col>105</xdr:col>
      <xdr:colOff>92364</xdr:colOff>
      <xdr:row>43</xdr:row>
      <xdr:rowOff>45267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E8B04F59-2612-4BC4-B8C4-8C03E1DBA742}"/>
            </a:ext>
          </a:extLst>
        </xdr:cNvPr>
        <xdr:cNvSpPr txBox="1"/>
      </xdr:nvSpPr>
      <xdr:spPr>
        <a:xfrm>
          <a:off x="13166424" y="13484850"/>
          <a:ext cx="5768875" cy="1593352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endParaRPr lang="en-US" sz="1600" b="1" i="0" u="none" strike="noStrike">
            <a:solidFill>
              <a:schemeClr val="bg1">
                <a:lumMod val="50000"/>
              </a:schemeClr>
            </a:solidFill>
            <a:latin typeface="Poppins" panose="00000500000000000000" pitchFamily="2" charset="0"/>
            <a:ea typeface="Verdana"/>
            <a:cs typeface="Poppins" panose="00000500000000000000" pitchFamily="2" charset="0"/>
          </a:endParaRPr>
        </a:p>
      </xdr:txBody>
    </xdr:sp>
    <xdr:clientData/>
  </xdr:twoCellAnchor>
  <xdr:twoCellAnchor>
    <xdr:from>
      <xdr:col>2</xdr:col>
      <xdr:colOff>65536</xdr:colOff>
      <xdr:row>77</xdr:row>
      <xdr:rowOff>129152</xdr:rowOff>
    </xdr:from>
    <xdr:to>
      <xdr:col>52</xdr:col>
      <xdr:colOff>95849</xdr:colOff>
      <xdr:row>83</xdr:row>
      <xdr:rowOff>67751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AC4A31AA-8472-427D-BC7E-B4A6D2EF4F61}"/>
            </a:ext>
          </a:extLst>
        </xdr:cNvPr>
        <xdr:cNvSpPr txBox="1"/>
      </xdr:nvSpPr>
      <xdr:spPr>
        <a:xfrm>
          <a:off x="420705" y="27315762"/>
          <a:ext cx="8909551" cy="2263345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endParaRPr lang="en-US" sz="1600" b="1" i="0" u="none" strike="noStrike">
            <a:solidFill>
              <a:schemeClr val="bg1">
                <a:lumMod val="50000"/>
              </a:schemeClr>
            </a:solidFill>
            <a:latin typeface="Poppins" panose="00000500000000000000" pitchFamily="2" charset="0"/>
            <a:ea typeface="Verdana"/>
            <a:cs typeface="Poppins" panose="00000500000000000000" pitchFamily="2" charset="0"/>
          </a:endParaRPr>
        </a:p>
      </xdr:txBody>
    </xdr:sp>
    <xdr:clientData/>
  </xdr:twoCellAnchor>
  <xdr:twoCellAnchor>
    <xdr:from>
      <xdr:col>66</xdr:col>
      <xdr:colOff>0</xdr:colOff>
      <xdr:row>61</xdr:row>
      <xdr:rowOff>59906</xdr:rowOff>
    </xdr:from>
    <xdr:to>
      <xdr:col>104</xdr:col>
      <xdr:colOff>47925</xdr:colOff>
      <xdr:row>65</xdr:row>
      <xdr:rowOff>0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70317EFF-B488-4E60-9BA0-BE248A90C955}"/>
            </a:ext>
          </a:extLst>
        </xdr:cNvPr>
        <xdr:cNvSpPr txBox="1"/>
      </xdr:nvSpPr>
      <xdr:spPr>
        <a:xfrm>
          <a:off x="11861321" y="20871132"/>
          <a:ext cx="6877170" cy="1473679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endParaRPr lang="en-US" sz="1600" b="1" i="0" u="none" strike="noStrike">
            <a:solidFill>
              <a:schemeClr val="bg1">
                <a:lumMod val="50000"/>
              </a:schemeClr>
            </a:solidFill>
            <a:latin typeface="Poppins" panose="00000500000000000000" pitchFamily="2" charset="0"/>
            <a:ea typeface="Verdana"/>
            <a:cs typeface="Poppins" panose="00000500000000000000" pitchFamily="2" charset="0"/>
          </a:endParaRPr>
        </a:p>
      </xdr:txBody>
    </xdr:sp>
    <xdr:clientData/>
  </xdr:twoCellAnchor>
  <xdr:twoCellAnchor>
    <xdr:from>
      <xdr:col>72</xdr:col>
      <xdr:colOff>28844</xdr:colOff>
      <xdr:row>5</xdr:row>
      <xdr:rowOff>122803</xdr:rowOff>
    </xdr:from>
    <xdr:to>
      <xdr:col>88</xdr:col>
      <xdr:colOff>126063</xdr:colOff>
      <xdr:row>19</xdr:row>
      <xdr:rowOff>112440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Gráfico 17">
              <a:extLst>
                <a:ext uri="{FF2B5EF4-FFF2-40B4-BE49-F238E27FC236}">
                  <a16:creationId xmlns:a16="http://schemas.microsoft.com/office/drawing/2014/main" id="{27C8C63D-086F-43E9-8CFF-B5C3CA8658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73244" y="1180078"/>
              <a:ext cx="2840419" cy="46187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54</xdr:col>
      <xdr:colOff>131920</xdr:colOff>
      <xdr:row>97</xdr:row>
      <xdr:rowOff>85480</xdr:rowOff>
    </xdr:from>
    <xdr:to>
      <xdr:col>54</xdr:col>
      <xdr:colOff>131920</xdr:colOff>
      <xdr:row>114</xdr:row>
      <xdr:rowOff>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0F46C132-C0B4-4B1E-A964-5E94A9A023AD}"/>
            </a:ext>
          </a:extLst>
        </xdr:cNvPr>
        <xdr:cNvCxnSpPr/>
      </xdr:nvCxnSpPr>
      <xdr:spPr>
        <a:xfrm>
          <a:off x="9904570" y="45170480"/>
          <a:ext cx="0" cy="462622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7348</xdr:colOff>
      <xdr:row>107</xdr:row>
      <xdr:rowOff>61014</xdr:rowOff>
    </xdr:from>
    <xdr:to>
      <xdr:col>25</xdr:col>
      <xdr:colOff>86842</xdr:colOff>
      <xdr:row>110</xdr:row>
      <xdr:rowOff>65900</xdr:rowOff>
    </xdr:to>
    <xdr:sp macro="" textlink="SumaAseguradadeSegurodeVida">
      <xdr:nvSpPr>
        <xdr:cNvPr id="26" name="CuadroTexto 25">
          <a:extLst>
            <a:ext uri="{FF2B5EF4-FFF2-40B4-BE49-F238E27FC236}">
              <a16:creationId xmlns:a16="http://schemas.microsoft.com/office/drawing/2014/main" id="{80BE2922-068E-4F12-8E2F-8D333D43941B}"/>
            </a:ext>
          </a:extLst>
        </xdr:cNvPr>
        <xdr:cNvSpPr txBox="1"/>
      </xdr:nvSpPr>
      <xdr:spPr>
        <a:xfrm>
          <a:off x="2138365" y="52835972"/>
          <a:ext cx="2388096" cy="925097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514AEA1B-E493-445E-844A-E338DECBC3DB}" type="TxLink">
            <a:rPr lang="en-US" sz="1600" b="0" i="0" u="none" strike="noStrike">
              <a:solidFill>
                <a:srgbClr val="222222"/>
              </a:solidFill>
              <a:latin typeface="Poppins" panose="00000500000000000000" pitchFamily="2" charset="0"/>
              <a:ea typeface="Calibri"/>
              <a:cs typeface="Poppins" panose="00000500000000000000" pitchFamily="2" charset="0"/>
            </a:rPr>
            <a:pPr marL="0" indent="0" algn="ctr"/>
            <a:t> $4,800,000 </a:t>
          </a:fld>
          <a:endParaRPr lang="es-MX" sz="2400" b="0" i="0" u="none" strike="noStrike">
            <a:solidFill>
              <a:schemeClr val="bg1">
                <a:lumMod val="50000"/>
              </a:schemeClr>
            </a:solidFill>
            <a:latin typeface="Poppins" panose="00000500000000000000" pitchFamily="2" charset="0"/>
            <a:ea typeface="Verdana" panose="020B0604030504040204" pitchFamily="34" charset="0"/>
            <a:cs typeface="Poppins" panose="00000500000000000000" pitchFamily="2" charset="0"/>
          </a:endParaRPr>
        </a:p>
      </xdr:txBody>
    </xdr:sp>
    <xdr:clientData/>
  </xdr:twoCellAnchor>
  <xdr:twoCellAnchor>
    <xdr:from>
      <xdr:col>27</xdr:col>
      <xdr:colOff>142455</xdr:colOff>
      <xdr:row>107</xdr:row>
      <xdr:rowOff>48883</xdr:rowOff>
    </xdr:from>
    <xdr:to>
      <xdr:col>41</xdr:col>
      <xdr:colOff>25542</xdr:colOff>
      <xdr:row>110</xdr:row>
      <xdr:rowOff>66469</xdr:rowOff>
    </xdr:to>
    <xdr:sp macro="" textlink="'Cálculos y Supuestos Balance'!C82">
      <xdr:nvSpPr>
        <xdr:cNvPr id="28" name="CuadroTexto 27">
          <a:extLst>
            <a:ext uri="{FF2B5EF4-FFF2-40B4-BE49-F238E27FC236}">
              <a16:creationId xmlns:a16="http://schemas.microsoft.com/office/drawing/2014/main" id="{627AABAC-B946-4950-979F-08D5C4EB39D1}"/>
            </a:ext>
          </a:extLst>
        </xdr:cNvPr>
        <xdr:cNvSpPr txBox="1"/>
      </xdr:nvSpPr>
      <xdr:spPr>
        <a:xfrm>
          <a:off x="5031955" y="48270783"/>
          <a:ext cx="2416737" cy="966911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5684D549-48E9-4C57-9DA9-DAF2972608C2}" type="TxLink">
            <a:rPr lang="en-US" sz="1600" b="0" i="0" u="none" strike="noStrike">
              <a:solidFill>
                <a:srgbClr val="222222"/>
              </a:solidFill>
              <a:latin typeface="Poppins" panose="00000500000000000000" pitchFamily="2" charset="0"/>
              <a:ea typeface="Calibri"/>
              <a:cs typeface="Poppins" panose="00000500000000000000" pitchFamily="2" charset="0"/>
            </a:rPr>
            <a:pPr marL="0" indent="0" algn="ctr"/>
            <a:t> $75,265 </a:t>
          </a:fld>
          <a:endParaRPr lang="es-MX" sz="2400" b="0" i="0" u="none" strike="noStrike">
            <a:solidFill>
              <a:schemeClr val="bg1">
                <a:lumMod val="50000"/>
              </a:schemeClr>
            </a:solidFill>
            <a:latin typeface="Poppins" panose="00000500000000000000" pitchFamily="2" charset="0"/>
            <a:ea typeface="Verdana" panose="020B0604030504040204" pitchFamily="34" charset="0"/>
            <a:cs typeface="Poppins" panose="00000500000000000000" pitchFamily="2" charset="0"/>
          </a:endParaRPr>
        </a:p>
      </xdr:txBody>
    </xdr:sp>
    <xdr:clientData/>
  </xdr:twoCellAnchor>
  <xdr:twoCellAnchor>
    <xdr:from>
      <xdr:col>76</xdr:col>
      <xdr:colOff>68551</xdr:colOff>
      <xdr:row>104</xdr:row>
      <xdr:rowOff>182840</xdr:rowOff>
    </xdr:from>
    <xdr:to>
      <xdr:col>90</xdr:col>
      <xdr:colOff>68997</xdr:colOff>
      <xdr:row>107</xdr:row>
      <xdr:rowOff>199354</xdr:rowOff>
    </xdr:to>
    <xdr:sp macro="" textlink="'Cálculos y Supuestos Balance'!C84">
      <xdr:nvSpPr>
        <xdr:cNvPr id="39" name="CuadroTexto 38">
          <a:extLst>
            <a:ext uri="{FF2B5EF4-FFF2-40B4-BE49-F238E27FC236}">
              <a16:creationId xmlns:a16="http://schemas.microsoft.com/office/drawing/2014/main" id="{EB55B120-90E9-42BC-A16D-37D38E2265E2}"/>
            </a:ext>
          </a:extLst>
        </xdr:cNvPr>
        <xdr:cNvSpPr txBox="1"/>
      </xdr:nvSpPr>
      <xdr:spPr>
        <a:xfrm>
          <a:off x="13564992" y="52037586"/>
          <a:ext cx="2486632" cy="936726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EA68F317-7AA4-4076-B6AE-0EAA4A3F875A}" type="TxLink">
            <a:rPr lang="en-US" sz="1600" b="0" i="0" u="none" strike="noStrike">
              <a:solidFill>
                <a:srgbClr val="222222"/>
              </a:solidFill>
              <a:latin typeface="Poppins" panose="00000500000000000000" pitchFamily="2" charset="0"/>
              <a:ea typeface="Calibri"/>
              <a:cs typeface="Poppins" panose="00000500000000000000" pitchFamily="2" charset="0"/>
            </a:rPr>
            <a:pPr marL="0" indent="0" algn="ctr"/>
            <a:t> $-   </a:t>
          </a:fld>
          <a:endParaRPr lang="es-MX" sz="1600" b="0" i="0" u="none" strike="noStrike">
            <a:solidFill>
              <a:srgbClr val="222222"/>
            </a:solidFill>
            <a:latin typeface="Poppins" panose="00000500000000000000" pitchFamily="2" charset="0"/>
            <a:ea typeface="Calibri"/>
            <a:cs typeface="Poppins" panose="00000500000000000000" pitchFamily="2" charset="0"/>
          </a:endParaRPr>
        </a:p>
      </xdr:txBody>
    </xdr:sp>
    <xdr:clientData/>
  </xdr:twoCellAnchor>
  <xdr:twoCellAnchor>
    <xdr:from>
      <xdr:col>2</xdr:col>
      <xdr:colOff>61402</xdr:colOff>
      <xdr:row>154</xdr:row>
      <xdr:rowOff>293768</xdr:rowOff>
    </xdr:from>
    <xdr:to>
      <xdr:col>106</xdr:col>
      <xdr:colOff>21540</xdr:colOff>
      <xdr:row>154</xdr:row>
      <xdr:rowOff>293768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id="{54AAA2F3-BF9D-490E-96C9-A118F1B39AAB}"/>
            </a:ext>
          </a:extLst>
        </xdr:cNvPr>
        <xdr:cNvCxnSpPr/>
      </xdr:nvCxnSpPr>
      <xdr:spPr>
        <a:xfrm>
          <a:off x="416571" y="49613895"/>
          <a:ext cx="18428952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68282</xdr:colOff>
      <xdr:row>108</xdr:row>
      <xdr:rowOff>163521</xdr:rowOff>
    </xdr:from>
    <xdr:to>
      <xdr:col>90</xdr:col>
      <xdr:colOff>49678</xdr:colOff>
      <xdr:row>111</xdr:row>
      <xdr:rowOff>180035</xdr:rowOff>
    </xdr:to>
    <xdr:sp macro="" textlink="'Cálculos y Supuestos Balance'!C87">
      <xdr:nvSpPr>
        <xdr:cNvPr id="41" name="CuadroTexto 40">
          <a:extLst>
            <a:ext uri="{FF2B5EF4-FFF2-40B4-BE49-F238E27FC236}">
              <a16:creationId xmlns:a16="http://schemas.microsoft.com/office/drawing/2014/main" id="{06DE3A8F-E787-49F6-B51C-A6C6C0D695E7}"/>
            </a:ext>
          </a:extLst>
        </xdr:cNvPr>
        <xdr:cNvSpPr txBox="1"/>
      </xdr:nvSpPr>
      <xdr:spPr>
        <a:xfrm>
          <a:off x="13564723" y="53245216"/>
          <a:ext cx="2467582" cy="936726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0B71B033-7725-4BB7-B0C8-F77A391956E5}" type="TxLink">
            <a:rPr lang="en-US" sz="1600" b="0" i="0" u="none" strike="noStrike">
              <a:solidFill>
                <a:srgbClr val="222222"/>
              </a:solidFill>
              <a:latin typeface="Poppins" panose="00000500000000000000" pitchFamily="2" charset="0"/>
              <a:ea typeface="Calibri"/>
              <a:cs typeface="Poppins" panose="00000500000000000000" pitchFamily="2" charset="0"/>
            </a:rPr>
            <a:pPr marL="0" indent="0" algn="ctr"/>
            <a:t> $1,500,000 </a:t>
          </a:fld>
          <a:endParaRPr lang="es-MX" sz="1600" b="0" i="0" u="none" strike="noStrike">
            <a:solidFill>
              <a:srgbClr val="222222"/>
            </a:solidFill>
            <a:latin typeface="Poppins" panose="00000500000000000000" pitchFamily="2" charset="0"/>
            <a:ea typeface="Calibri"/>
            <a:cs typeface="Poppins" panose="00000500000000000000" pitchFamily="2" charset="0"/>
          </a:endParaRPr>
        </a:p>
      </xdr:txBody>
    </xdr:sp>
    <xdr:clientData/>
  </xdr:twoCellAnchor>
  <xdr:twoCellAnchor>
    <xdr:from>
      <xdr:col>92</xdr:col>
      <xdr:colOff>68552</xdr:colOff>
      <xdr:row>104</xdr:row>
      <xdr:rowOff>182840</xdr:rowOff>
    </xdr:from>
    <xdr:to>
      <xdr:col>106</xdr:col>
      <xdr:colOff>68998</xdr:colOff>
      <xdr:row>107</xdr:row>
      <xdr:rowOff>199354</xdr:rowOff>
    </xdr:to>
    <xdr:sp macro="" textlink="'Cálculos y Supuestos Balance'!C85">
      <xdr:nvSpPr>
        <xdr:cNvPr id="42" name="CuadroTexto 41">
          <a:extLst>
            <a:ext uri="{FF2B5EF4-FFF2-40B4-BE49-F238E27FC236}">
              <a16:creationId xmlns:a16="http://schemas.microsoft.com/office/drawing/2014/main" id="{FEAF0DF6-8C41-4D81-ABBB-451B1480B588}"/>
            </a:ext>
          </a:extLst>
        </xdr:cNvPr>
        <xdr:cNvSpPr txBox="1"/>
      </xdr:nvSpPr>
      <xdr:spPr>
        <a:xfrm>
          <a:off x="16406349" y="52037586"/>
          <a:ext cx="2486632" cy="936726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7FFDD4D7-0BFD-44B1-B0E1-FBC87FFDBB99}" type="TxLink">
            <a:rPr lang="en-US" sz="1600" b="0" i="0" u="none" strike="noStrike">
              <a:solidFill>
                <a:srgbClr val="222222"/>
              </a:solidFill>
              <a:latin typeface="Poppins" panose="00000500000000000000" pitchFamily="2" charset="0"/>
              <a:ea typeface="Calibri"/>
              <a:cs typeface="Poppins" panose="00000500000000000000" pitchFamily="2" charset="0"/>
            </a:rPr>
            <a:pPr marL="0" indent="0" algn="ctr"/>
            <a:t> $-   </a:t>
          </a:fld>
          <a:endParaRPr lang="es-MX" sz="1600" b="0" i="0" u="none" strike="noStrike">
            <a:solidFill>
              <a:srgbClr val="222222"/>
            </a:solidFill>
            <a:latin typeface="Poppins" panose="00000500000000000000" pitchFamily="2" charset="0"/>
            <a:ea typeface="Calibri"/>
            <a:cs typeface="Poppins" panose="00000500000000000000" pitchFamily="2" charset="0"/>
          </a:endParaRPr>
        </a:p>
      </xdr:txBody>
    </xdr:sp>
    <xdr:clientData/>
  </xdr:twoCellAnchor>
  <xdr:twoCellAnchor>
    <xdr:from>
      <xdr:col>92</xdr:col>
      <xdr:colOff>68283</xdr:colOff>
      <xdr:row>108</xdr:row>
      <xdr:rowOff>163521</xdr:rowOff>
    </xdr:from>
    <xdr:to>
      <xdr:col>106</xdr:col>
      <xdr:colOff>49679</xdr:colOff>
      <xdr:row>111</xdr:row>
      <xdr:rowOff>180035</xdr:rowOff>
    </xdr:to>
    <xdr:sp macro="" textlink="'Cálculos y Supuestos Balance'!C88">
      <xdr:nvSpPr>
        <xdr:cNvPr id="44" name="CuadroTexto 43">
          <a:extLst>
            <a:ext uri="{FF2B5EF4-FFF2-40B4-BE49-F238E27FC236}">
              <a16:creationId xmlns:a16="http://schemas.microsoft.com/office/drawing/2014/main" id="{FC60BCA0-8607-46AB-9FEB-502A0A319FDE}"/>
            </a:ext>
          </a:extLst>
        </xdr:cNvPr>
        <xdr:cNvSpPr txBox="1"/>
      </xdr:nvSpPr>
      <xdr:spPr>
        <a:xfrm>
          <a:off x="16406080" y="53245216"/>
          <a:ext cx="2467582" cy="936726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09701626-2445-447B-9060-D359C02622E7}" type="TxLink">
            <a:rPr lang="en-US" sz="1600" b="0" i="0" u="none" strike="noStrike">
              <a:solidFill>
                <a:srgbClr val="222222"/>
              </a:solidFill>
              <a:latin typeface="Poppins" panose="00000500000000000000" pitchFamily="2" charset="0"/>
              <a:ea typeface="Calibri"/>
              <a:cs typeface="Poppins" panose="00000500000000000000" pitchFamily="2" charset="0"/>
            </a:rPr>
            <a:pPr marL="0" indent="0" algn="ctr"/>
            <a:t> $2,221 </a:t>
          </a:fld>
          <a:endParaRPr lang="es-MX" sz="1600" b="0" i="0" u="none" strike="noStrike">
            <a:solidFill>
              <a:srgbClr val="222222"/>
            </a:solidFill>
            <a:latin typeface="Poppins" panose="00000500000000000000" pitchFamily="2" charset="0"/>
            <a:ea typeface="Calibri"/>
            <a:cs typeface="Poppins" panose="00000500000000000000" pitchFamily="2" charset="0"/>
          </a:endParaRPr>
        </a:p>
      </xdr:txBody>
    </xdr:sp>
    <xdr:clientData/>
  </xdr:twoCellAnchor>
  <xdr:twoCellAnchor>
    <xdr:from>
      <xdr:col>2</xdr:col>
      <xdr:colOff>64577</xdr:colOff>
      <xdr:row>95</xdr:row>
      <xdr:rowOff>129153</xdr:rowOff>
    </xdr:from>
    <xdr:to>
      <xdr:col>106</xdr:col>
      <xdr:colOff>25911</xdr:colOff>
      <xdr:row>95</xdr:row>
      <xdr:rowOff>129153</xdr:rowOff>
    </xdr:to>
    <xdr:cxnSp macro="">
      <xdr:nvCxnSpPr>
        <xdr:cNvPr id="46" name="Conector recto 45">
          <a:extLst>
            <a:ext uri="{FF2B5EF4-FFF2-40B4-BE49-F238E27FC236}">
              <a16:creationId xmlns:a16="http://schemas.microsoft.com/office/drawing/2014/main" id="{3947A50B-B3A7-4600-8DA7-C37CB764F487}"/>
            </a:ext>
          </a:extLst>
        </xdr:cNvPr>
        <xdr:cNvCxnSpPr/>
      </xdr:nvCxnSpPr>
      <xdr:spPr>
        <a:xfrm>
          <a:off x="419746" y="34677458"/>
          <a:ext cx="18430148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171235</xdr:colOff>
      <xdr:row>46</xdr:row>
      <xdr:rowOff>380839</xdr:rowOff>
    </xdr:from>
    <xdr:to>
      <xdr:col>60</xdr:col>
      <xdr:colOff>74570</xdr:colOff>
      <xdr:row>56</xdr:row>
      <xdr:rowOff>92356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2" name="Gráfico 31">
              <a:extLst>
                <a:ext uri="{FF2B5EF4-FFF2-40B4-BE49-F238E27FC236}">
                  <a16:creationId xmlns:a16="http://schemas.microsoft.com/office/drawing/2014/main" id="{25AD38E0-4F57-45F3-8964-1A66CB77F6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00535" y="16659064"/>
              <a:ext cx="4361035" cy="35500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35</xdr:col>
      <xdr:colOff>13239</xdr:colOff>
      <xdr:row>33</xdr:row>
      <xdr:rowOff>197173</xdr:rowOff>
    </xdr:from>
    <xdr:to>
      <xdr:col>60</xdr:col>
      <xdr:colOff>110034</xdr:colOff>
      <xdr:row>43</xdr:row>
      <xdr:rowOff>44462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5" name="Gráfico 44">
              <a:extLst>
                <a:ext uri="{FF2B5EF4-FFF2-40B4-BE49-F238E27FC236}">
                  <a16:creationId xmlns:a16="http://schemas.microsoft.com/office/drawing/2014/main" id="{275779B4-6103-46FB-BD26-2E8944FFCE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3989" y="11598598"/>
              <a:ext cx="4383045" cy="35144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110</xdr:col>
      <xdr:colOff>0</xdr:colOff>
      <xdr:row>3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5EFE31F-6746-4E73-A9DC-44AC26ABAA6F}"/>
            </a:ext>
          </a:extLst>
        </xdr:cNvPr>
        <xdr:cNvSpPr txBox="1"/>
      </xdr:nvSpPr>
      <xdr:spPr>
        <a:xfrm>
          <a:off x="18859500" y="66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twoCellAnchor>
    <xdr:from>
      <xdr:col>2</xdr:col>
      <xdr:colOff>102356</xdr:colOff>
      <xdr:row>20</xdr:row>
      <xdr:rowOff>147089</xdr:rowOff>
    </xdr:from>
    <xdr:to>
      <xdr:col>106</xdr:col>
      <xdr:colOff>63690</xdr:colOff>
      <xdr:row>20</xdr:row>
      <xdr:rowOff>147089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8E26B322-C186-4A15-B892-615886E1556E}"/>
            </a:ext>
          </a:extLst>
        </xdr:cNvPr>
        <xdr:cNvCxnSpPr/>
      </xdr:nvCxnSpPr>
      <xdr:spPr>
        <a:xfrm>
          <a:off x="433660" y="6359046"/>
          <a:ext cx="17189160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23519</xdr:colOff>
      <xdr:row>51</xdr:row>
      <xdr:rowOff>58796</xdr:rowOff>
    </xdr:from>
    <xdr:to>
      <xdr:col>105</xdr:col>
      <xdr:colOff>167592</xdr:colOff>
      <xdr:row>51</xdr:row>
      <xdr:rowOff>58796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B6C07D9C-B75F-47E1-B176-543BBD87BFFE}"/>
            </a:ext>
          </a:extLst>
        </xdr:cNvPr>
        <xdr:cNvCxnSpPr/>
      </xdr:nvCxnSpPr>
      <xdr:spPr>
        <a:xfrm>
          <a:off x="366419" y="42245021"/>
          <a:ext cx="17803423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158423</xdr:colOff>
      <xdr:row>54</xdr:row>
      <xdr:rowOff>71195</xdr:rowOff>
    </xdr:from>
    <xdr:to>
      <xdr:col>56</xdr:col>
      <xdr:colOff>20707</xdr:colOff>
      <xdr:row>57</xdr:row>
      <xdr:rowOff>41414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8D247B3D-0E82-4367-A929-ACA594CE73A9}"/>
            </a:ext>
          </a:extLst>
        </xdr:cNvPr>
        <xdr:cNvSpPr txBox="1"/>
      </xdr:nvSpPr>
      <xdr:spPr>
        <a:xfrm>
          <a:off x="6287553" y="17568206"/>
          <a:ext cx="3009676" cy="550001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endParaRPr lang="en-US" sz="1600" b="1" i="0" u="none" strike="noStrike">
            <a:solidFill>
              <a:schemeClr val="bg1">
                <a:lumMod val="50000"/>
              </a:schemeClr>
            </a:solidFill>
            <a:latin typeface="Poppins" panose="00000500000000000000" pitchFamily="2" charset="0"/>
            <a:ea typeface="Verdana"/>
            <a:cs typeface="Poppins" panose="00000500000000000000" pitchFamily="2" charset="0"/>
          </a:endParaRPr>
        </a:p>
      </xdr:txBody>
    </xdr:sp>
    <xdr:clientData/>
  </xdr:twoCellAnchor>
  <xdr:twoCellAnchor>
    <xdr:from>
      <xdr:col>6</xdr:col>
      <xdr:colOff>152099</xdr:colOff>
      <xdr:row>8</xdr:row>
      <xdr:rowOff>157616</xdr:rowOff>
    </xdr:from>
    <xdr:to>
      <xdr:col>39</xdr:col>
      <xdr:colOff>144945</xdr:colOff>
      <xdr:row>16</xdr:row>
      <xdr:rowOff>181965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33E720E0-464E-432D-9CDF-71E6779EE7AA}"/>
            </a:ext>
          </a:extLst>
        </xdr:cNvPr>
        <xdr:cNvSpPr txBox="1"/>
      </xdr:nvSpPr>
      <xdr:spPr>
        <a:xfrm>
          <a:off x="1146012" y="2973703"/>
          <a:ext cx="5459368" cy="1680871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endParaRPr lang="en-US" sz="1600" b="1" i="0" u="none" strike="noStrike">
            <a:solidFill>
              <a:schemeClr val="bg1">
                <a:lumMod val="50000"/>
              </a:schemeClr>
            </a:solidFill>
            <a:latin typeface="Poppins" panose="00000500000000000000" pitchFamily="2" charset="0"/>
            <a:ea typeface="Verdana"/>
            <a:cs typeface="Poppins" panose="00000500000000000000" pitchFamily="2" charset="0"/>
          </a:endParaRPr>
        </a:p>
      </xdr:txBody>
    </xdr:sp>
    <xdr:clientData/>
  </xdr:twoCellAnchor>
  <xdr:twoCellAnchor>
    <xdr:from>
      <xdr:col>46</xdr:col>
      <xdr:colOff>24686</xdr:colOff>
      <xdr:row>8</xdr:row>
      <xdr:rowOff>165653</xdr:rowOff>
    </xdr:from>
    <xdr:to>
      <xdr:col>77</xdr:col>
      <xdr:colOff>0</xdr:colOff>
      <xdr:row>17</xdr:row>
      <xdr:rowOff>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184D59E6-42E8-4C63-89A7-D6D76E1604C3}"/>
            </a:ext>
          </a:extLst>
        </xdr:cNvPr>
        <xdr:cNvSpPr txBox="1"/>
      </xdr:nvSpPr>
      <xdr:spPr>
        <a:xfrm>
          <a:off x="7644686" y="3292338"/>
          <a:ext cx="5110531" cy="1863586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endParaRPr lang="en-US" sz="1600" b="1" i="0" u="none" strike="noStrike">
            <a:solidFill>
              <a:schemeClr val="bg1">
                <a:lumMod val="50000"/>
              </a:schemeClr>
            </a:solidFill>
            <a:latin typeface="Poppins" panose="00000500000000000000" pitchFamily="2" charset="0"/>
            <a:ea typeface="Verdana"/>
            <a:cs typeface="Poppins" panose="00000500000000000000" pitchFamily="2" charset="0"/>
          </a:endParaRPr>
        </a:p>
      </xdr:txBody>
    </xdr:sp>
    <xdr:clientData/>
  </xdr:twoCellAnchor>
  <xdr:twoCellAnchor>
    <xdr:from>
      <xdr:col>53</xdr:col>
      <xdr:colOff>44829</xdr:colOff>
      <xdr:row>22</xdr:row>
      <xdr:rowOff>232686</xdr:rowOff>
    </xdr:from>
    <xdr:to>
      <xdr:col>103</xdr:col>
      <xdr:colOff>75142</xdr:colOff>
      <xdr:row>28</xdr:row>
      <xdr:rowOff>41414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9871B6D7-31F5-4017-BCC6-24E982EB4C1F}"/>
            </a:ext>
          </a:extLst>
        </xdr:cNvPr>
        <xdr:cNvSpPr txBox="1"/>
      </xdr:nvSpPr>
      <xdr:spPr>
        <a:xfrm>
          <a:off x="8824394" y="7045132"/>
          <a:ext cx="8312922" cy="2107152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endParaRPr lang="en-US" sz="1600" b="1" i="0" u="none" strike="noStrike">
            <a:solidFill>
              <a:schemeClr val="bg1">
                <a:lumMod val="50000"/>
              </a:schemeClr>
            </a:solidFill>
            <a:latin typeface="Poppins" panose="00000500000000000000" pitchFamily="2" charset="0"/>
            <a:ea typeface="Verdana"/>
            <a:cs typeface="Poppins" panose="00000500000000000000" pitchFamily="2" charset="0"/>
          </a:endParaRPr>
        </a:p>
      </xdr:txBody>
    </xdr:sp>
    <xdr:clientData/>
  </xdr:twoCellAnchor>
  <xdr:twoCellAnchor>
    <xdr:from>
      <xdr:col>3</xdr:col>
      <xdr:colOff>20704</xdr:colOff>
      <xdr:row>23</xdr:row>
      <xdr:rowOff>80614</xdr:rowOff>
    </xdr:from>
    <xdr:to>
      <xdr:col>42</xdr:col>
      <xdr:colOff>82825</xdr:colOff>
      <xdr:row>28</xdr:row>
      <xdr:rowOff>0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F2EE8730-F7C1-410E-BC99-CAC3C5B2EBA2}"/>
            </a:ext>
          </a:extLst>
        </xdr:cNvPr>
        <xdr:cNvSpPr txBox="1"/>
      </xdr:nvSpPr>
      <xdr:spPr>
        <a:xfrm>
          <a:off x="517661" y="7265777"/>
          <a:ext cx="6522555" cy="1845093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endParaRPr lang="en-US" sz="1600" b="1" i="0" u="none" strike="noStrike">
            <a:solidFill>
              <a:schemeClr val="bg1">
                <a:lumMod val="50000"/>
              </a:schemeClr>
            </a:solidFill>
            <a:latin typeface="Poppins" panose="00000500000000000000" pitchFamily="2" charset="0"/>
            <a:ea typeface="Verdana"/>
            <a:cs typeface="Poppins" panose="00000500000000000000" pitchFamily="2" charset="0"/>
          </a:endParaRPr>
        </a:p>
      </xdr:txBody>
    </xdr:sp>
    <xdr:clientData/>
  </xdr:twoCellAnchor>
  <xdr:twoCellAnchor>
    <xdr:from>
      <xdr:col>72</xdr:col>
      <xdr:colOff>28844</xdr:colOff>
      <xdr:row>5</xdr:row>
      <xdr:rowOff>122803</xdr:rowOff>
    </xdr:from>
    <xdr:to>
      <xdr:col>88</xdr:col>
      <xdr:colOff>126063</xdr:colOff>
      <xdr:row>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9" name="Gráfico 28">
              <a:extLst>
                <a:ext uri="{FF2B5EF4-FFF2-40B4-BE49-F238E27FC236}">
                  <a16:creationId xmlns:a16="http://schemas.microsoft.com/office/drawing/2014/main" id="{936AE934-2651-4E41-96EC-30CEC47A86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73244" y="1180078"/>
              <a:ext cx="2840419" cy="7439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53</xdr:col>
      <xdr:colOff>28388</xdr:colOff>
      <xdr:row>32</xdr:row>
      <xdr:rowOff>85480</xdr:rowOff>
    </xdr:from>
    <xdr:to>
      <xdr:col>53</xdr:col>
      <xdr:colOff>28388</xdr:colOff>
      <xdr:row>49</xdr:row>
      <xdr:rowOff>0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3C6EC192-D0E5-420D-8FC7-D0F210E360F6}"/>
            </a:ext>
          </a:extLst>
        </xdr:cNvPr>
        <xdr:cNvCxnSpPr/>
      </xdr:nvCxnSpPr>
      <xdr:spPr>
        <a:xfrm>
          <a:off x="8807953" y="10873578"/>
          <a:ext cx="0" cy="5194683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7348</xdr:colOff>
      <xdr:row>42</xdr:row>
      <xdr:rowOff>61014</xdr:rowOff>
    </xdr:from>
    <xdr:to>
      <xdr:col>25</xdr:col>
      <xdr:colOff>86842</xdr:colOff>
      <xdr:row>45</xdr:row>
      <xdr:rowOff>65900</xdr:rowOff>
    </xdr:to>
    <xdr:sp macro="" textlink="SumaAseguradadeSegurodeVida">
      <xdr:nvSpPr>
        <xdr:cNvPr id="31" name="CuadroTexto 30">
          <a:extLst>
            <a:ext uri="{FF2B5EF4-FFF2-40B4-BE49-F238E27FC236}">
              <a16:creationId xmlns:a16="http://schemas.microsoft.com/office/drawing/2014/main" id="{BA7C2AE4-6AA5-4511-A738-AAD31450C56C}"/>
            </a:ext>
          </a:extLst>
        </xdr:cNvPr>
        <xdr:cNvSpPr txBox="1"/>
      </xdr:nvSpPr>
      <xdr:spPr>
        <a:xfrm>
          <a:off x="2064748" y="39542139"/>
          <a:ext cx="2308344" cy="947861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514AEA1B-E493-445E-844A-E338DECBC3DB}" type="TxLink">
            <a:rPr lang="en-US" sz="1600" b="0" i="0" u="none" strike="noStrike">
              <a:solidFill>
                <a:srgbClr val="222222"/>
              </a:solidFill>
              <a:latin typeface="Poppins" panose="00000500000000000000" pitchFamily="2" charset="0"/>
              <a:ea typeface="Calibri"/>
              <a:cs typeface="Poppins" panose="00000500000000000000" pitchFamily="2" charset="0"/>
            </a:rPr>
            <a:pPr marL="0" indent="0" algn="ctr"/>
            <a:t> $4,800,000 </a:t>
          </a:fld>
          <a:endParaRPr lang="es-MX" sz="2400" b="0" i="0" u="none" strike="noStrike">
            <a:solidFill>
              <a:schemeClr val="bg1">
                <a:lumMod val="50000"/>
              </a:schemeClr>
            </a:solidFill>
            <a:latin typeface="Poppins" panose="00000500000000000000" pitchFamily="2" charset="0"/>
            <a:ea typeface="Verdana" panose="020B0604030504040204" pitchFamily="34" charset="0"/>
            <a:cs typeface="Poppins" panose="00000500000000000000" pitchFamily="2" charset="0"/>
          </a:endParaRPr>
        </a:p>
      </xdr:txBody>
    </xdr:sp>
    <xdr:clientData/>
  </xdr:twoCellAnchor>
  <xdr:twoCellAnchor>
    <xdr:from>
      <xdr:col>27</xdr:col>
      <xdr:colOff>142455</xdr:colOff>
      <xdr:row>42</xdr:row>
      <xdr:rowOff>48883</xdr:rowOff>
    </xdr:from>
    <xdr:to>
      <xdr:col>41</xdr:col>
      <xdr:colOff>25542</xdr:colOff>
      <xdr:row>45</xdr:row>
      <xdr:rowOff>66469</xdr:rowOff>
    </xdr:to>
    <xdr:sp macro="" textlink="'Cálculos y Supuestos Balance'!C82">
      <xdr:nvSpPr>
        <xdr:cNvPr id="32" name="CuadroTexto 31">
          <a:extLst>
            <a:ext uri="{FF2B5EF4-FFF2-40B4-BE49-F238E27FC236}">
              <a16:creationId xmlns:a16="http://schemas.microsoft.com/office/drawing/2014/main" id="{B43A6ADF-2035-4230-9653-0471981C48CB}"/>
            </a:ext>
          </a:extLst>
        </xdr:cNvPr>
        <xdr:cNvSpPr txBox="1"/>
      </xdr:nvSpPr>
      <xdr:spPr>
        <a:xfrm>
          <a:off x="4771605" y="39530008"/>
          <a:ext cx="2283387" cy="960561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5684D549-48E9-4C57-9DA9-DAF2972608C2}" type="TxLink">
            <a:rPr lang="en-US" sz="1600" b="0" i="0" u="none" strike="noStrike">
              <a:solidFill>
                <a:srgbClr val="222222"/>
              </a:solidFill>
              <a:latin typeface="Poppins" panose="00000500000000000000" pitchFamily="2" charset="0"/>
              <a:ea typeface="Calibri"/>
              <a:cs typeface="Poppins" panose="00000500000000000000" pitchFamily="2" charset="0"/>
            </a:rPr>
            <a:pPr marL="0" indent="0" algn="ctr"/>
            <a:t> $75,265 </a:t>
          </a:fld>
          <a:endParaRPr lang="es-MX" sz="2400" b="0" i="0" u="none" strike="noStrike">
            <a:solidFill>
              <a:schemeClr val="bg1">
                <a:lumMod val="50000"/>
              </a:schemeClr>
            </a:solidFill>
            <a:latin typeface="Poppins" panose="00000500000000000000" pitchFamily="2" charset="0"/>
            <a:ea typeface="Verdana" panose="020B0604030504040204" pitchFamily="34" charset="0"/>
            <a:cs typeface="Poppins" panose="00000500000000000000" pitchFamily="2" charset="0"/>
          </a:endParaRPr>
        </a:p>
      </xdr:txBody>
    </xdr:sp>
    <xdr:clientData/>
  </xdr:twoCellAnchor>
  <xdr:twoCellAnchor>
    <xdr:from>
      <xdr:col>76</xdr:col>
      <xdr:colOff>68551</xdr:colOff>
      <xdr:row>39</xdr:row>
      <xdr:rowOff>182840</xdr:rowOff>
    </xdr:from>
    <xdr:to>
      <xdr:col>90</xdr:col>
      <xdr:colOff>68997</xdr:colOff>
      <xdr:row>42</xdr:row>
      <xdr:rowOff>199354</xdr:rowOff>
    </xdr:to>
    <xdr:sp macro="" textlink="'Cálculos y Supuestos Balance'!C84">
      <xdr:nvSpPr>
        <xdr:cNvPr id="33" name="CuadroTexto 32">
          <a:extLst>
            <a:ext uri="{FF2B5EF4-FFF2-40B4-BE49-F238E27FC236}">
              <a16:creationId xmlns:a16="http://schemas.microsoft.com/office/drawing/2014/main" id="{75DCC647-0C6B-4E44-BBEF-581637EE5F59}"/>
            </a:ext>
          </a:extLst>
        </xdr:cNvPr>
        <xdr:cNvSpPr txBox="1"/>
      </xdr:nvSpPr>
      <xdr:spPr>
        <a:xfrm>
          <a:off x="13098751" y="38720990"/>
          <a:ext cx="2400746" cy="959489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EA68F317-7AA4-4076-B6AE-0EAA4A3F875A}" type="TxLink">
            <a:rPr lang="en-US" sz="1600" b="0" i="0" u="none" strike="noStrike">
              <a:solidFill>
                <a:srgbClr val="222222"/>
              </a:solidFill>
              <a:latin typeface="Poppins" panose="00000500000000000000" pitchFamily="2" charset="0"/>
              <a:ea typeface="Calibri"/>
              <a:cs typeface="Poppins" panose="00000500000000000000" pitchFamily="2" charset="0"/>
            </a:rPr>
            <a:pPr marL="0" indent="0" algn="ctr"/>
            <a:t> $-   </a:t>
          </a:fld>
          <a:endParaRPr lang="es-MX" sz="1600" b="0" i="0" u="none" strike="noStrike">
            <a:solidFill>
              <a:srgbClr val="222222"/>
            </a:solidFill>
            <a:latin typeface="Poppins" panose="00000500000000000000" pitchFamily="2" charset="0"/>
            <a:ea typeface="Calibri"/>
            <a:cs typeface="Poppins" panose="00000500000000000000" pitchFamily="2" charset="0"/>
          </a:endParaRPr>
        </a:p>
      </xdr:txBody>
    </xdr:sp>
    <xdr:clientData/>
  </xdr:twoCellAnchor>
  <xdr:twoCellAnchor>
    <xdr:from>
      <xdr:col>2</xdr:col>
      <xdr:colOff>61402</xdr:colOff>
      <xdr:row>60</xdr:row>
      <xdr:rowOff>293768</xdr:rowOff>
    </xdr:from>
    <xdr:to>
      <xdr:col>106</xdr:col>
      <xdr:colOff>21540</xdr:colOff>
      <xdr:row>60</xdr:row>
      <xdr:rowOff>293768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E503067C-1817-4D55-B5B6-061778DF985A}"/>
            </a:ext>
          </a:extLst>
        </xdr:cNvPr>
        <xdr:cNvCxnSpPr/>
      </xdr:nvCxnSpPr>
      <xdr:spPr>
        <a:xfrm>
          <a:off x="404302" y="55291118"/>
          <a:ext cx="17790938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68282</xdr:colOff>
      <xdr:row>43</xdr:row>
      <xdr:rowOff>163521</xdr:rowOff>
    </xdr:from>
    <xdr:to>
      <xdr:col>90</xdr:col>
      <xdr:colOff>49678</xdr:colOff>
      <xdr:row>46</xdr:row>
      <xdr:rowOff>180035</xdr:rowOff>
    </xdr:to>
    <xdr:sp macro="" textlink="'Cálculos y Supuestos Balance'!C87">
      <xdr:nvSpPr>
        <xdr:cNvPr id="35" name="CuadroTexto 34">
          <a:extLst>
            <a:ext uri="{FF2B5EF4-FFF2-40B4-BE49-F238E27FC236}">
              <a16:creationId xmlns:a16="http://schemas.microsoft.com/office/drawing/2014/main" id="{5BBFB9F8-14A9-4F77-A73D-DE057C8D9E29}"/>
            </a:ext>
          </a:extLst>
        </xdr:cNvPr>
        <xdr:cNvSpPr txBox="1"/>
      </xdr:nvSpPr>
      <xdr:spPr>
        <a:xfrm>
          <a:off x="13098482" y="39958971"/>
          <a:ext cx="2381696" cy="959489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0B71B033-7725-4BB7-B0C8-F77A391956E5}" type="TxLink">
            <a:rPr lang="en-US" sz="1600" b="0" i="0" u="none" strike="noStrike">
              <a:solidFill>
                <a:srgbClr val="222222"/>
              </a:solidFill>
              <a:latin typeface="Poppins" panose="00000500000000000000" pitchFamily="2" charset="0"/>
              <a:ea typeface="Calibri"/>
              <a:cs typeface="Poppins" panose="00000500000000000000" pitchFamily="2" charset="0"/>
            </a:rPr>
            <a:pPr marL="0" indent="0" algn="ctr"/>
            <a:t> $1,500,000 </a:t>
          </a:fld>
          <a:endParaRPr lang="es-MX" sz="1600" b="0" i="0" u="none" strike="noStrike">
            <a:solidFill>
              <a:srgbClr val="222222"/>
            </a:solidFill>
            <a:latin typeface="Poppins" panose="00000500000000000000" pitchFamily="2" charset="0"/>
            <a:ea typeface="Calibri"/>
            <a:cs typeface="Poppins" panose="00000500000000000000" pitchFamily="2" charset="0"/>
          </a:endParaRPr>
        </a:p>
      </xdr:txBody>
    </xdr:sp>
    <xdr:clientData/>
  </xdr:twoCellAnchor>
  <xdr:twoCellAnchor>
    <xdr:from>
      <xdr:col>92</xdr:col>
      <xdr:colOff>68552</xdr:colOff>
      <xdr:row>39</xdr:row>
      <xdr:rowOff>182840</xdr:rowOff>
    </xdr:from>
    <xdr:to>
      <xdr:col>106</xdr:col>
      <xdr:colOff>68998</xdr:colOff>
      <xdr:row>42</xdr:row>
      <xdr:rowOff>199354</xdr:rowOff>
    </xdr:to>
    <xdr:sp macro="" textlink="'Cálculos y Supuestos Balance'!C85">
      <xdr:nvSpPr>
        <xdr:cNvPr id="36" name="CuadroTexto 35">
          <a:extLst>
            <a:ext uri="{FF2B5EF4-FFF2-40B4-BE49-F238E27FC236}">
              <a16:creationId xmlns:a16="http://schemas.microsoft.com/office/drawing/2014/main" id="{6F439D69-5A39-4A47-BAF3-19C74541C981}"/>
            </a:ext>
          </a:extLst>
        </xdr:cNvPr>
        <xdr:cNvSpPr txBox="1"/>
      </xdr:nvSpPr>
      <xdr:spPr>
        <a:xfrm>
          <a:off x="15841952" y="38720990"/>
          <a:ext cx="2400746" cy="959489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7FFDD4D7-0BFD-44B1-B0E1-FBC87FFDBB99}" type="TxLink">
            <a:rPr lang="en-US" sz="1600" b="0" i="0" u="none" strike="noStrike">
              <a:solidFill>
                <a:srgbClr val="222222"/>
              </a:solidFill>
              <a:latin typeface="Poppins" panose="00000500000000000000" pitchFamily="2" charset="0"/>
              <a:ea typeface="Calibri"/>
              <a:cs typeface="Poppins" panose="00000500000000000000" pitchFamily="2" charset="0"/>
            </a:rPr>
            <a:pPr marL="0" indent="0" algn="ctr"/>
            <a:t> $-   </a:t>
          </a:fld>
          <a:endParaRPr lang="es-MX" sz="1600" b="0" i="0" u="none" strike="noStrike">
            <a:solidFill>
              <a:srgbClr val="222222"/>
            </a:solidFill>
            <a:latin typeface="Poppins" panose="00000500000000000000" pitchFamily="2" charset="0"/>
            <a:ea typeface="Calibri"/>
            <a:cs typeface="Poppins" panose="00000500000000000000" pitchFamily="2" charset="0"/>
          </a:endParaRPr>
        </a:p>
      </xdr:txBody>
    </xdr:sp>
    <xdr:clientData/>
  </xdr:twoCellAnchor>
  <xdr:twoCellAnchor>
    <xdr:from>
      <xdr:col>92</xdr:col>
      <xdr:colOff>68283</xdr:colOff>
      <xdr:row>43</xdr:row>
      <xdr:rowOff>163521</xdr:rowOff>
    </xdr:from>
    <xdr:to>
      <xdr:col>106</xdr:col>
      <xdr:colOff>49679</xdr:colOff>
      <xdr:row>46</xdr:row>
      <xdr:rowOff>180035</xdr:rowOff>
    </xdr:to>
    <xdr:sp macro="" textlink="'Cálculos y Supuestos Balance'!C88">
      <xdr:nvSpPr>
        <xdr:cNvPr id="37" name="CuadroTexto 36">
          <a:extLst>
            <a:ext uri="{FF2B5EF4-FFF2-40B4-BE49-F238E27FC236}">
              <a16:creationId xmlns:a16="http://schemas.microsoft.com/office/drawing/2014/main" id="{929A8956-38ED-4059-9177-770F2E0E2368}"/>
            </a:ext>
          </a:extLst>
        </xdr:cNvPr>
        <xdr:cNvSpPr txBox="1"/>
      </xdr:nvSpPr>
      <xdr:spPr>
        <a:xfrm>
          <a:off x="15841683" y="39958971"/>
          <a:ext cx="2381696" cy="959489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09701626-2445-447B-9060-D359C02622E7}" type="TxLink">
            <a:rPr lang="en-US" sz="1600" b="0" i="0" u="none" strike="noStrike">
              <a:solidFill>
                <a:srgbClr val="222222"/>
              </a:solidFill>
              <a:latin typeface="Poppins" panose="00000500000000000000" pitchFamily="2" charset="0"/>
              <a:ea typeface="Calibri"/>
              <a:cs typeface="Poppins" panose="00000500000000000000" pitchFamily="2" charset="0"/>
            </a:rPr>
            <a:pPr marL="0" indent="0" algn="ctr"/>
            <a:t> $2,221 </a:t>
          </a:fld>
          <a:endParaRPr lang="es-MX" sz="1600" b="0" i="0" u="none" strike="noStrike">
            <a:solidFill>
              <a:srgbClr val="222222"/>
            </a:solidFill>
            <a:latin typeface="Poppins" panose="00000500000000000000" pitchFamily="2" charset="0"/>
            <a:ea typeface="Calibri"/>
            <a:cs typeface="Poppins" panose="00000500000000000000" pitchFamily="2" charset="0"/>
          </a:endParaRPr>
        </a:p>
      </xdr:txBody>
    </xdr:sp>
    <xdr:clientData/>
  </xdr:twoCellAnchor>
  <xdr:twoCellAnchor>
    <xdr:from>
      <xdr:col>2</xdr:col>
      <xdr:colOff>64577</xdr:colOff>
      <xdr:row>30</xdr:row>
      <xdr:rowOff>129153</xdr:rowOff>
    </xdr:from>
    <xdr:to>
      <xdr:col>106</xdr:col>
      <xdr:colOff>25911</xdr:colOff>
      <xdr:row>30</xdr:row>
      <xdr:rowOff>129153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0F5B6814-6AEF-4B06-8646-B8552513F23A}"/>
            </a:ext>
          </a:extLst>
        </xdr:cNvPr>
        <xdr:cNvCxnSpPr/>
      </xdr:nvCxnSpPr>
      <xdr:spPr>
        <a:xfrm>
          <a:off x="407477" y="35638353"/>
          <a:ext cx="17792134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62119</xdr:colOff>
      <xdr:row>8</xdr:row>
      <xdr:rowOff>103533</xdr:rowOff>
    </xdr:from>
    <xdr:to>
      <xdr:col>106</xdr:col>
      <xdr:colOff>82826</xdr:colOff>
      <xdr:row>16</xdr:row>
      <xdr:rowOff>124238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B9C02A8A-9266-45CE-9E16-6D16376C5A71}"/>
            </a:ext>
          </a:extLst>
        </xdr:cNvPr>
        <xdr:cNvSpPr txBox="1"/>
      </xdr:nvSpPr>
      <xdr:spPr>
        <a:xfrm>
          <a:off x="13479945" y="3230218"/>
          <a:ext cx="4162011" cy="1842879"/>
        </a:xfrm>
        <a:prstGeom prst="roundRect">
          <a:avLst/>
        </a:prstGeom>
        <a:noFill/>
        <a:ln w="57150">
          <a:solidFill>
            <a:schemeClr val="bg1">
              <a:lumMod val="85000"/>
            </a:schemeClr>
          </a:solidFill>
        </a:ln>
        <a:effectLst/>
        <a:scene3d>
          <a:camera prst="orthographicFront"/>
          <a:lightRig rig="threePt" dir="t"/>
        </a:scene3d>
        <a:sp3d>
          <a:bevelT w="139700" prst="cross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endParaRPr lang="en-US" sz="1600" b="1" i="0" u="none" strike="noStrike">
            <a:solidFill>
              <a:schemeClr val="bg1">
                <a:lumMod val="50000"/>
              </a:schemeClr>
            </a:solidFill>
            <a:latin typeface="Poppins" panose="00000500000000000000" pitchFamily="2" charset="0"/>
            <a:ea typeface="Verdana"/>
            <a:cs typeface="Poppins" panose="00000500000000000000" pitchFamily="2" charset="0"/>
          </a:endParaRPr>
        </a:p>
      </xdr:txBody>
    </xdr:sp>
    <xdr:clientData/>
  </xdr:twoCellAnchor>
  <xdr:twoCellAnchor>
    <xdr:from>
      <xdr:col>41</xdr:col>
      <xdr:colOff>62120</xdr:colOff>
      <xdr:row>11</xdr:row>
      <xdr:rowOff>62119</xdr:rowOff>
    </xdr:from>
    <xdr:to>
      <xdr:col>44</xdr:col>
      <xdr:colOff>144945</xdr:colOff>
      <xdr:row>13</xdr:row>
      <xdr:rowOff>124239</xdr:rowOff>
    </xdr:to>
    <xdr:sp macro="" textlink="">
      <xdr:nvSpPr>
        <xdr:cNvPr id="42" name="Flecha: a la derecha 41">
          <a:extLst>
            <a:ext uri="{FF2B5EF4-FFF2-40B4-BE49-F238E27FC236}">
              <a16:creationId xmlns:a16="http://schemas.microsoft.com/office/drawing/2014/main" id="{B6202F50-D3F5-566B-4956-4C9B916DBB7D}"/>
            </a:ext>
          </a:extLst>
        </xdr:cNvPr>
        <xdr:cNvSpPr/>
      </xdr:nvSpPr>
      <xdr:spPr>
        <a:xfrm>
          <a:off x="6853859" y="3975652"/>
          <a:ext cx="579782" cy="4762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77</xdr:col>
      <xdr:colOff>20705</xdr:colOff>
      <xdr:row>10</xdr:row>
      <xdr:rowOff>186359</xdr:rowOff>
    </xdr:from>
    <xdr:to>
      <xdr:col>80</xdr:col>
      <xdr:colOff>103530</xdr:colOff>
      <xdr:row>13</xdr:row>
      <xdr:rowOff>124239</xdr:rowOff>
    </xdr:to>
    <xdr:sp macro="" textlink="">
      <xdr:nvSpPr>
        <xdr:cNvPr id="43" name="Es igual a 42">
          <a:extLst>
            <a:ext uri="{FF2B5EF4-FFF2-40B4-BE49-F238E27FC236}">
              <a16:creationId xmlns:a16="http://schemas.microsoft.com/office/drawing/2014/main" id="{9541350D-E59B-34FF-37A7-89946450C001}"/>
            </a:ext>
          </a:extLst>
        </xdr:cNvPr>
        <xdr:cNvSpPr/>
      </xdr:nvSpPr>
      <xdr:spPr>
        <a:xfrm>
          <a:off x="12775922" y="3892826"/>
          <a:ext cx="579782" cy="559076"/>
        </a:xfrm>
        <a:prstGeom prst="mathEqua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chemeClr val="tx1"/>
            </a:solidFill>
          </a:endParaRPr>
        </a:p>
      </xdr:txBody>
    </xdr:sp>
    <xdr:clientData/>
  </xdr:twoCellAnchor>
  <xdr:twoCellAnchor>
    <xdr:from>
      <xdr:col>45</xdr:col>
      <xdr:colOff>0</xdr:colOff>
      <xdr:row>24</xdr:row>
      <xdr:rowOff>152400</xdr:rowOff>
    </xdr:from>
    <xdr:to>
      <xdr:col>50</xdr:col>
      <xdr:colOff>110987</xdr:colOff>
      <xdr:row>25</xdr:row>
      <xdr:rowOff>331305</xdr:rowOff>
    </xdr:to>
    <xdr:sp macro="" textlink="">
      <xdr:nvSpPr>
        <xdr:cNvPr id="44" name="Flecha: a la derecha 43">
          <a:extLst>
            <a:ext uri="{FF2B5EF4-FFF2-40B4-BE49-F238E27FC236}">
              <a16:creationId xmlns:a16="http://schemas.microsoft.com/office/drawing/2014/main" id="{34DDE2AB-90D4-4617-92E0-1066FCB3D568}"/>
            </a:ext>
          </a:extLst>
        </xdr:cNvPr>
        <xdr:cNvSpPr/>
      </xdr:nvSpPr>
      <xdr:spPr>
        <a:xfrm>
          <a:off x="7454348" y="7730987"/>
          <a:ext cx="939248" cy="55162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25</xdr:col>
      <xdr:colOff>7453</xdr:colOff>
      <xdr:row>54</xdr:row>
      <xdr:rowOff>77028</xdr:rowOff>
    </xdr:from>
    <xdr:to>
      <xdr:col>33</xdr:col>
      <xdr:colOff>124238</xdr:colOff>
      <xdr:row>57</xdr:row>
      <xdr:rowOff>48868</xdr:rowOff>
    </xdr:to>
    <xdr:sp macro="" textlink="">
      <xdr:nvSpPr>
        <xdr:cNvPr id="45" name="Flecha: a la derecha 44">
          <a:extLst>
            <a:ext uri="{FF2B5EF4-FFF2-40B4-BE49-F238E27FC236}">
              <a16:creationId xmlns:a16="http://schemas.microsoft.com/office/drawing/2014/main" id="{7709EEF4-7E8D-4DA5-A8EF-2578E0C20870}"/>
            </a:ext>
          </a:extLst>
        </xdr:cNvPr>
        <xdr:cNvSpPr/>
      </xdr:nvSpPr>
      <xdr:spPr>
        <a:xfrm>
          <a:off x="4148757" y="17574039"/>
          <a:ext cx="1442003" cy="55162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60799</xdr:colOff>
      <xdr:row>40</xdr:row>
      <xdr:rowOff>108287</xdr:rowOff>
    </xdr:from>
    <xdr:to>
      <xdr:col>2</xdr:col>
      <xdr:colOff>969592</xdr:colOff>
      <xdr:row>50</xdr:row>
      <xdr:rowOff>35717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D7B1FF-B798-4D03-AEF9-3E5FC98401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rmaldonadov/AppData/Local/Microsoft/Olk/Attachments/ooa-9dae2350-558e-43d3-b848-5e356a526c91/306118fc48a7f0a48a92e1d122ed79e61acab032270dd12fa873626ee1e4f7e9/Copia%20de%20Herramienta%20Completa.OCT.1.2025.xlsx" TargetMode="External"/><Relationship Id="rId2" Type="http://schemas.openxmlformats.org/officeDocument/2006/relationships/externalLinkPath" Target="file:///C:\Users\rmaldonadov\AppData\Local\Microsoft\Olk\Attachments\ooa-9dae2350-558e-43d3-b848-5e356a526c91\306118fc48a7f0a48a92e1d122ed79e61acab032270dd12fa873626ee1e4f7e9\Copia%20de%20Herramienta%20Completa.OCT.1.2025.xlsx" TargetMode="External"/><Relationship Id="rId1" Type="http://schemas.openxmlformats.org/officeDocument/2006/relationships/externalLinkPath" Target="/Users/rmaldonadov/AppData/Local/Microsoft/Olk/Attachments/ooa-9dae2350-558e-43d3-b848-5e356a526c91/306118fc48a7f0a48a92e1d122ed79e61acab032270dd12fa873626ee1e4f7e9/Copia%20de%20Herramienta%20Completa.OCT.1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ntrevista Patrimonio F."/>
      <sheetName val="Cálculos y Supuestos Edo.Res"/>
      <sheetName val="Desacumulación"/>
      <sheetName val="Objetivos"/>
      <sheetName val="Auxiliar"/>
      <sheetName val="Patrimonio Financiero"/>
      <sheetName val="Entrevista Balance"/>
      <sheetName val="Cálculos y Supuestos Balance"/>
      <sheetName val="Balance"/>
      <sheetName val="Patrimonio Neto"/>
      <sheetName val="Potencial del balance"/>
      <sheetName val="PROTECCIÓN PATRIMONIAL"/>
      <sheetName val="LEGADO"/>
      <sheetName val="RESUMEN CONSOLIDADO"/>
    </sheetNames>
    <sheetDataSet>
      <sheetData sheetId="0" refreshError="1"/>
      <sheetData sheetId="1">
        <row r="4">
          <cell r="C4">
            <v>0.01</v>
          </cell>
        </row>
        <row r="8">
          <cell r="C8">
            <v>60</v>
          </cell>
        </row>
        <row r="9">
          <cell r="C9">
            <v>90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5">
          <cell r="D15">
            <v>58900</v>
          </cell>
        </row>
        <row r="17">
          <cell r="D17">
            <v>1490000</v>
          </cell>
        </row>
        <row r="24">
          <cell r="D24">
            <v>1125000</v>
          </cell>
        </row>
        <row r="26">
          <cell r="D26">
            <v>0</v>
          </cell>
        </row>
        <row r="28">
          <cell r="D28">
            <v>0</v>
          </cell>
          <cell r="G28">
            <v>45000</v>
          </cell>
        </row>
        <row r="30">
          <cell r="D30">
            <v>0</v>
          </cell>
          <cell r="G30">
            <v>4000</v>
          </cell>
        </row>
        <row r="32">
          <cell r="D32">
            <v>51000</v>
          </cell>
          <cell r="G32">
            <v>17039</v>
          </cell>
        </row>
        <row r="34">
          <cell r="D34">
            <v>65</v>
          </cell>
        </row>
        <row r="36">
          <cell r="D36">
            <v>80000</v>
          </cell>
        </row>
      </sheetData>
      <sheetData sheetId="7">
        <row r="4">
          <cell r="C4">
            <v>90</v>
          </cell>
        </row>
        <row r="21">
          <cell r="T21">
            <v>1548900</v>
          </cell>
        </row>
        <row r="22">
          <cell r="C22">
            <v>1548900</v>
          </cell>
        </row>
        <row r="23">
          <cell r="C23">
            <v>180</v>
          </cell>
        </row>
        <row r="28">
          <cell r="C28">
            <v>1306981.8795048753</v>
          </cell>
        </row>
        <row r="34">
          <cell r="C34">
            <v>1799452.6517023125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aura Alejandra Rivas Sanchez" id="{D5687F21-6B46-478B-90E9-C4E5EE637DC5}" userId="S::lrivas@actinver.com.mx::0e8f6601-144f-4943-9a94-2ef3e5140259" providerId="AD"/>
</personList>
</file>

<file path=xl/theme/theme1.xml><?xml version="1.0" encoding="utf-8"?>
<a:theme xmlns:a="http://schemas.openxmlformats.org/drawingml/2006/main" name="Actinver">
  <a:themeElements>
    <a:clrScheme name="Actinver">
      <a:dk1>
        <a:srgbClr val="222222"/>
      </a:dk1>
      <a:lt1>
        <a:srgbClr val="FFFFFF"/>
      </a:lt1>
      <a:dk2>
        <a:srgbClr val="041020"/>
      </a:dk2>
      <a:lt2>
        <a:srgbClr val="041E42"/>
      </a:lt2>
      <a:accent1>
        <a:srgbClr val="B3A369"/>
      </a:accent1>
      <a:accent2>
        <a:srgbClr val="C6B784"/>
      </a:accent2>
      <a:accent3>
        <a:srgbClr val="3CB4E5"/>
      </a:accent3>
      <a:accent4>
        <a:srgbClr val="70D44B"/>
      </a:accent4>
      <a:accent5>
        <a:srgbClr val="0F6FF5"/>
      </a:accent5>
      <a:accent6>
        <a:srgbClr val="9164CC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Actinver" id="{A058BC18-48C4-4FE0-86EA-86A6C9D68747}" vid="{BD3225D8-79D2-4A8D-B7D4-CD575FB63479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8" dT="2025-03-24T16:40:23.85" personId="{D5687F21-6B46-478B-90E9-C4E5EE637DC5}" id="{8CF39A50-F673-4666-A181-155A1D2E2DDB}">
    <text>Solo si tiene dependientes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0E570-0E48-479E-83EB-A4BDACC96B71}">
  <sheetPr codeName="Hoja1">
    <tabColor rgb="FFE5C78A"/>
    <pageSetUpPr fitToPage="1"/>
  </sheetPr>
  <dimension ref="A1:Y67"/>
  <sheetViews>
    <sheetView showGridLines="0" showRowColHeaders="0" topLeftCell="A47" zoomScale="78" zoomScaleNormal="85" workbookViewId="0">
      <selection activeCell="G54" sqref="G54"/>
    </sheetView>
  </sheetViews>
  <sheetFormatPr baseColWidth="10" defaultColWidth="10.85546875" defaultRowHeight="21.75" x14ac:dyDescent="0.25"/>
  <cols>
    <col min="1" max="1" width="2.85546875" style="246" customWidth="1"/>
    <col min="2" max="2" width="4.140625" style="246" customWidth="1"/>
    <col min="3" max="3" width="3.85546875" style="246" customWidth="1"/>
    <col min="4" max="4" width="18.140625" style="246" customWidth="1"/>
    <col min="5" max="5" width="14.42578125" style="246" customWidth="1"/>
    <col min="6" max="6" width="9.85546875" style="246" customWidth="1"/>
    <col min="7" max="7" width="20.85546875" style="246" customWidth="1"/>
    <col min="8" max="8" width="9.5703125" style="246" customWidth="1"/>
    <col min="9" max="9" width="23.7109375" style="246" customWidth="1"/>
    <col min="10" max="10" width="5.42578125" style="246" customWidth="1"/>
    <col min="11" max="11" width="3.28515625" style="246" customWidth="1"/>
    <col min="12" max="12" width="24.140625" style="246" customWidth="1"/>
    <col min="13" max="13" width="3.5703125" style="246" customWidth="1"/>
    <col min="14" max="14" width="24.140625" style="246" customWidth="1"/>
    <col min="15" max="15" width="13.85546875" style="246" customWidth="1"/>
    <col min="16" max="16" width="23" style="246" customWidth="1"/>
    <col min="17" max="17" width="3.85546875" style="246" customWidth="1"/>
    <col min="18" max="18" width="25.140625" style="246" customWidth="1"/>
    <col min="19" max="19" width="4.140625" style="246" customWidth="1"/>
    <col min="20" max="20" width="2.7109375" style="246" customWidth="1"/>
    <col min="21" max="16384" width="10.85546875" style="246"/>
  </cols>
  <sheetData>
    <row r="1" spans="1:20" x14ac:dyDescent="0.25">
      <c r="A1" s="245"/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</row>
    <row r="2" spans="1:20" ht="60.75" customHeight="1" x14ac:dyDescent="0.25">
      <c r="A2" s="245"/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526">
        <f ca="1">TODAY()</f>
        <v>46083</v>
      </c>
      <c r="P2" s="526"/>
      <c r="Q2" s="526"/>
      <c r="R2" s="526"/>
      <c r="S2" s="177"/>
      <c r="T2" s="245"/>
    </row>
    <row r="3" spans="1:20" ht="23.25" x14ac:dyDescent="0.25">
      <c r="A3" s="245"/>
      <c r="B3" s="177"/>
      <c r="C3" s="243" t="s">
        <v>74</v>
      </c>
      <c r="D3" s="177"/>
      <c r="E3" s="177"/>
      <c r="F3" s="177"/>
      <c r="G3" s="177"/>
      <c r="H3" s="177"/>
      <c r="I3" s="177"/>
      <c r="J3" s="177"/>
      <c r="K3" s="177"/>
      <c r="L3" s="177"/>
      <c r="M3" s="244"/>
      <c r="S3" s="177"/>
      <c r="T3" s="245"/>
    </row>
    <row r="4" spans="1:20" x14ac:dyDescent="0.25">
      <c r="A4" s="245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S4" s="177"/>
      <c r="T4" s="245"/>
    </row>
    <row r="5" spans="1:20" x14ac:dyDescent="0.25">
      <c r="A5" s="245"/>
      <c r="B5" s="177"/>
      <c r="C5" s="267" t="s">
        <v>108</v>
      </c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245"/>
    </row>
    <row r="6" spans="1:20" ht="22.5" thickBot="1" x14ac:dyDescent="0.3">
      <c r="A6" s="245"/>
      <c r="B6" s="177"/>
      <c r="C6" s="244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245"/>
    </row>
    <row r="7" spans="1:20" s="210" customFormat="1" ht="20.100000000000001" customHeight="1" x14ac:dyDescent="0.25">
      <c r="A7" s="247"/>
      <c r="B7" s="148"/>
      <c r="C7" s="148"/>
      <c r="D7" s="148" t="s">
        <v>282</v>
      </c>
      <c r="E7" s="523" t="s">
        <v>128</v>
      </c>
      <c r="F7" s="524"/>
      <c r="G7" s="524"/>
      <c r="H7" s="524"/>
      <c r="I7" s="525"/>
      <c r="J7" s="148"/>
      <c r="K7" s="148"/>
      <c r="L7" s="148" t="s">
        <v>284</v>
      </c>
      <c r="M7" s="148"/>
      <c r="N7" s="248"/>
      <c r="O7" s="148"/>
      <c r="P7" s="148"/>
      <c r="Q7" s="148"/>
      <c r="R7" s="148"/>
      <c r="S7" s="148"/>
      <c r="T7" s="247"/>
    </row>
    <row r="8" spans="1:20" ht="14.45" customHeight="1" thickBot="1" x14ac:dyDescent="0.3">
      <c r="A8" s="245"/>
      <c r="B8" s="177"/>
      <c r="C8" s="177"/>
      <c r="D8" s="244"/>
      <c r="E8" s="177"/>
      <c r="F8" s="177"/>
      <c r="G8" s="177"/>
      <c r="H8" s="177"/>
      <c r="I8" s="177"/>
      <c r="J8" s="177"/>
      <c r="K8" s="177"/>
      <c r="L8" s="249" t="s">
        <v>285</v>
      </c>
      <c r="M8" s="177"/>
      <c r="N8" s="177"/>
      <c r="O8" s="177"/>
      <c r="P8" s="177"/>
      <c r="Q8" s="177"/>
      <c r="R8" s="177"/>
      <c r="S8" s="177"/>
      <c r="T8" s="245"/>
    </row>
    <row r="9" spans="1:20" s="210" customFormat="1" ht="20.100000000000001" customHeight="1" x14ac:dyDescent="0.25">
      <c r="A9" s="247"/>
      <c r="B9" s="148"/>
      <c r="C9" s="148"/>
      <c r="D9" s="148" t="s">
        <v>283</v>
      </c>
      <c r="E9" s="250">
        <v>50</v>
      </c>
      <c r="F9" s="148"/>
      <c r="G9" s="251" t="s">
        <v>106</v>
      </c>
      <c r="I9" s="250" t="s">
        <v>58</v>
      </c>
      <c r="K9" s="148"/>
      <c r="M9" s="148"/>
      <c r="N9" s="148"/>
      <c r="O9" s="148"/>
      <c r="P9" s="148"/>
      <c r="Q9" s="148"/>
      <c r="R9" s="148"/>
      <c r="S9" s="148"/>
      <c r="T9" s="247"/>
    </row>
    <row r="10" spans="1:20" ht="14.45" customHeight="1" thickBot="1" x14ac:dyDescent="0.3">
      <c r="A10" s="245"/>
      <c r="B10" s="177"/>
      <c r="C10" s="177"/>
      <c r="D10" s="177"/>
      <c r="E10" s="252"/>
      <c r="F10" s="177"/>
      <c r="G10" s="253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245"/>
    </row>
    <row r="11" spans="1:20" s="210" customFormat="1" ht="20.100000000000001" customHeight="1" x14ac:dyDescent="0.25">
      <c r="A11" s="247"/>
      <c r="B11" s="148"/>
      <c r="C11" s="148"/>
      <c r="E11" s="148"/>
      <c r="G11" s="251" t="s">
        <v>307</v>
      </c>
      <c r="I11" s="250" t="s">
        <v>59</v>
      </c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247"/>
    </row>
    <row r="12" spans="1:20" ht="14.45" customHeight="1" x14ac:dyDescent="0.25">
      <c r="A12" s="245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245"/>
    </row>
    <row r="13" spans="1:20" ht="14.45" customHeight="1" x14ac:dyDescent="0.25">
      <c r="A13" s="245"/>
      <c r="B13" s="177"/>
      <c r="C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245"/>
    </row>
    <row r="14" spans="1:20" ht="15.75" customHeight="1" x14ac:dyDescent="0.25">
      <c r="A14" s="245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245"/>
    </row>
    <row r="15" spans="1:20" x14ac:dyDescent="0.25">
      <c r="A15" s="245"/>
      <c r="B15" s="177"/>
      <c r="C15" s="254" t="s">
        <v>110</v>
      </c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245"/>
    </row>
    <row r="16" spans="1:20" ht="6.95" customHeight="1" x14ac:dyDescent="0.25">
      <c r="A16" s="245"/>
      <c r="B16" s="177"/>
      <c r="C16" s="255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245"/>
    </row>
    <row r="17" spans="1:20" s="210" customFormat="1" ht="20.100000000000001" customHeight="1" x14ac:dyDescent="0.25">
      <c r="A17" s="247"/>
      <c r="B17" s="148"/>
      <c r="C17" s="229" t="s">
        <v>111</v>
      </c>
      <c r="E17" s="148"/>
      <c r="F17" s="148"/>
      <c r="G17" s="148"/>
      <c r="H17" s="148"/>
      <c r="I17" s="148"/>
      <c r="J17" s="148"/>
      <c r="K17" s="229" t="s">
        <v>112</v>
      </c>
      <c r="M17" s="148"/>
      <c r="N17" s="148"/>
      <c r="O17" s="148"/>
      <c r="P17" s="148"/>
      <c r="Q17" s="148"/>
      <c r="R17" s="148"/>
      <c r="S17" s="148"/>
      <c r="T17" s="247"/>
    </row>
    <row r="18" spans="1:20" ht="12" customHeight="1" thickBot="1" x14ac:dyDescent="0.3">
      <c r="A18" s="245"/>
      <c r="B18" s="177"/>
      <c r="C18" s="244"/>
      <c r="J18" s="177"/>
      <c r="K18" s="244"/>
      <c r="L18" s="177"/>
      <c r="M18" s="177"/>
      <c r="N18" s="177"/>
      <c r="O18" s="177"/>
      <c r="P18" s="177"/>
      <c r="Q18" s="177"/>
      <c r="R18" s="177"/>
      <c r="S18" s="177"/>
      <c r="T18" s="245"/>
    </row>
    <row r="19" spans="1:20" s="210" customFormat="1" ht="20.100000000000001" customHeight="1" x14ac:dyDescent="0.25">
      <c r="A19" s="247"/>
      <c r="B19" s="148"/>
      <c r="C19" s="148"/>
      <c r="D19" s="148" t="s">
        <v>310</v>
      </c>
      <c r="E19" s="148"/>
      <c r="G19" s="148"/>
      <c r="H19" s="148"/>
      <c r="I19" s="256">
        <v>50000</v>
      </c>
      <c r="J19" s="148"/>
      <c r="K19" s="148"/>
      <c r="L19" s="148" t="s">
        <v>101</v>
      </c>
      <c r="M19" s="148"/>
      <c r="P19" s="256">
        <v>40000</v>
      </c>
      <c r="R19" s="257"/>
      <c r="S19" s="148"/>
      <c r="T19" s="247"/>
    </row>
    <row r="20" spans="1:20" ht="15" customHeight="1" thickBot="1" x14ac:dyDescent="0.3">
      <c r="A20" s="245"/>
      <c r="B20" s="177"/>
      <c r="C20" s="177"/>
      <c r="D20" s="249"/>
      <c r="E20" s="177"/>
      <c r="F20" s="177"/>
      <c r="G20" s="177"/>
      <c r="H20" s="177"/>
      <c r="I20" s="177"/>
      <c r="J20" s="177"/>
      <c r="K20" s="177"/>
      <c r="L20" s="249" t="s">
        <v>120</v>
      </c>
      <c r="M20" s="177"/>
      <c r="N20" s="177"/>
      <c r="O20" s="177"/>
      <c r="P20" s="177"/>
      <c r="R20" s="177"/>
      <c r="S20" s="177"/>
      <c r="T20" s="245"/>
    </row>
    <row r="21" spans="1:20" s="210" customFormat="1" ht="20.100000000000001" customHeight="1" x14ac:dyDescent="0.25">
      <c r="A21" s="247"/>
      <c r="B21" s="148"/>
      <c r="C21" s="148"/>
      <c r="D21" s="148" t="s">
        <v>311</v>
      </c>
      <c r="E21" s="148"/>
      <c r="F21" s="148"/>
      <c r="G21" s="148"/>
      <c r="H21" s="148"/>
      <c r="I21" s="256">
        <v>10000</v>
      </c>
      <c r="J21" s="148"/>
      <c r="K21" s="148"/>
      <c r="L21" s="148" t="s">
        <v>305</v>
      </c>
      <c r="M21" s="148"/>
      <c r="P21" s="256">
        <v>20000</v>
      </c>
      <c r="R21" s="257"/>
      <c r="S21" s="148"/>
      <c r="T21" s="247"/>
    </row>
    <row r="22" spans="1:20" ht="22.5" thickBot="1" x14ac:dyDescent="0.3">
      <c r="A22" s="245"/>
      <c r="B22" s="177"/>
      <c r="C22" s="177"/>
      <c r="E22" s="177"/>
      <c r="F22" s="177"/>
      <c r="G22" s="177"/>
      <c r="H22" s="177"/>
      <c r="I22" s="177"/>
      <c r="J22" s="177"/>
      <c r="K22" s="177"/>
      <c r="L22" s="249" t="s">
        <v>304</v>
      </c>
      <c r="M22" s="177"/>
      <c r="N22" s="177"/>
      <c r="O22" s="177"/>
      <c r="P22" s="177"/>
      <c r="R22" s="177" t="s">
        <v>230</v>
      </c>
      <c r="S22" s="177"/>
      <c r="T22" s="245"/>
    </row>
    <row r="23" spans="1:20" s="210" customFormat="1" ht="20.100000000000001" customHeight="1" x14ac:dyDescent="0.25">
      <c r="A23" s="247"/>
      <c r="B23" s="148"/>
      <c r="C23" s="148"/>
      <c r="D23" s="148" t="s">
        <v>109</v>
      </c>
      <c r="E23" s="148"/>
      <c r="F23" s="148"/>
      <c r="G23" s="148"/>
      <c r="H23" s="148"/>
      <c r="I23" s="256">
        <v>0</v>
      </c>
      <c r="J23" s="148"/>
      <c r="K23" s="148"/>
      <c r="L23" s="148" t="s">
        <v>233</v>
      </c>
      <c r="M23" s="148"/>
      <c r="N23" s="148"/>
      <c r="O23" s="148"/>
      <c r="P23" s="256">
        <v>0</v>
      </c>
      <c r="R23" s="256"/>
      <c r="S23" s="148"/>
      <c r="T23" s="247"/>
    </row>
    <row r="24" spans="1:20" x14ac:dyDescent="0.25">
      <c r="A24" s="245"/>
      <c r="B24" s="177"/>
      <c r="C24" s="177"/>
      <c r="D24" s="177"/>
      <c r="E24" s="177"/>
      <c r="F24" s="177"/>
      <c r="G24" s="177"/>
      <c r="H24" s="177"/>
      <c r="I24" s="258"/>
      <c r="J24" s="177"/>
      <c r="K24" s="177"/>
      <c r="L24" s="177"/>
      <c r="M24" s="177"/>
      <c r="N24" s="177"/>
      <c r="O24" s="177"/>
      <c r="P24" s="258"/>
      <c r="R24" s="258"/>
      <c r="S24" s="177"/>
      <c r="T24" s="245"/>
    </row>
    <row r="25" spans="1:20" x14ac:dyDescent="0.25">
      <c r="A25" s="245"/>
      <c r="B25" s="177"/>
      <c r="C25" s="177"/>
      <c r="D25" s="177"/>
      <c r="E25" s="177"/>
      <c r="F25" s="177"/>
      <c r="G25" s="177"/>
      <c r="H25" s="177"/>
      <c r="I25" s="259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245"/>
    </row>
    <row r="26" spans="1:20" x14ac:dyDescent="0.25">
      <c r="A26" s="245"/>
      <c r="B26" s="177"/>
      <c r="C26" s="177"/>
      <c r="D26" s="177"/>
      <c r="E26" s="177"/>
      <c r="F26" s="177"/>
      <c r="G26" s="177"/>
      <c r="H26" s="177"/>
      <c r="I26" s="259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245"/>
    </row>
    <row r="27" spans="1:20" s="210" customFormat="1" ht="20.100000000000001" customHeight="1" x14ac:dyDescent="0.25">
      <c r="A27" s="247"/>
      <c r="B27" s="148"/>
      <c r="C27" s="229" t="s">
        <v>215</v>
      </c>
      <c r="D27" s="148"/>
      <c r="E27" s="148"/>
      <c r="F27" s="148"/>
      <c r="G27" s="148"/>
      <c r="H27" s="148"/>
      <c r="I27" s="260"/>
      <c r="J27" s="148"/>
      <c r="K27" s="148"/>
      <c r="L27" s="148"/>
      <c r="M27" s="148"/>
      <c r="O27" s="148"/>
      <c r="Q27" s="148"/>
      <c r="R27" s="148"/>
      <c r="S27" s="148"/>
      <c r="T27" s="247"/>
    </row>
    <row r="28" spans="1:20" ht="14.45" customHeight="1" thickBot="1" x14ac:dyDescent="0.3">
      <c r="A28" s="245"/>
      <c r="B28" s="177"/>
      <c r="C28" s="244"/>
      <c r="E28" s="177"/>
      <c r="F28" s="177"/>
      <c r="G28" s="177"/>
      <c r="H28" s="177"/>
      <c r="I28" s="177"/>
      <c r="J28" s="177"/>
      <c r="K28" s="177"/>
      <c r="L28" s="177"/>
      <c r="M28" s="177"/>
      <c r="N28" s="177" t="s">
        <v>230</v>
      </c>
      <c r="O28" s="177"/>
      <c r="Q28" s="177"/>
      <c r="R28" s="177"/>
      <c r="S28" s="177"/>
      <c r="T28" s="245"/>
    </row>
    <row r="29" spans="1:20" s="210" customFormat="1" ht="20.100000000000001" customHeight="1" x14ac:dyDescent="0.25">
      <c r="A29" s="247"/>
      <c r="B29" s="148"/>
      <c r="C29" s="148"/>
      <c r="D29" s="148" t="s">
        <v>104</v>
      </c>
      <c r="E29" s="148"/>
      <c r="F29" s="148"/>
      <c r="G29" s="148"/>
      <c r="H29" s="148"/>
      <c r="J29" s="261"/>
      <c r="L29" s="256">
        <v>200000</v>
      </c>
      <c r="N29" s="256"/>
      <c r="O29" s="148"/>
      <c r="Q29" s="148"/>
      <c r="R29" s="148"/>
      <c r="S29" s="148"/>
      <c r="T29" s="247"/>
    </row>
    <row r="30" spans="1:20" ht="22.5" thickBot="1" x14ac:dyDescent="0.3">
      <c r="A30" s="245"/>
      <c r="B30" s="177"/>
      <c r="C30" s="177"/>
      <c r="D30" s="249" t="s">
        <v>115</v>
      </c>
      <c r="E30" s="177"/>
      <c r="F30" s="177"/>
      <c r="G30" s="177"/>
      <c r="H30" s="177"/>
      <c r="I30" s="177"/>
      <c r="J30" s="177"/>
      <c r="K30" s="177"/>
      <c r="L30" s="262"/>
      <c r="M30" s="177"/>
      <c r="O30" s="177"/>
      <c r="Q30" s="177"/>
      <c r="R30" s="177"/>
      <c r="S30" s="177"/>
      <c r="T30" s="245"/>
    </row>
    <row r="31" spans="1:20" s="210" customFormat="1" ht="20.100000000000001" customHeight="1" x14ac:dyDescent="0.25">
      <c r="A31" s="247"/>
      <c r="B31" s="148"/>
      <c r="C31" s="148"/>
      <c r="D31" s="148" t="s">
        <v>301</v>
      </c>
      <c r="E31" s="148"/>
      <c r="F31" s="148"/>
      <c r="G31" s="148"/>
      <c r="H31" s="148"/>
      <c r="I31" s="148"/>
      <c r="L31" s="256">
        <v>2000000</v>
      </c>
      <c r="N31" s="256"/>
      <c r="O31" s="148"/>
      <c r="Q31" s="148"/>
      <c r="R31" s="148"/>
      <c r="S31" s="148"/>
      <c r="T31" s="247"/>
    </row>
    <row r="32" spans="1:20" ht="22.5" thickBot="1" x14ac:dyDescent="0.3">
      <c r="A32" s="245"/>
      <c r="B32" s="177"/>
      <c r="C32" s="177"/>
      <c r="D32" s="249" t="s">
        <v>302</v>
      </c>
      <c r="E32" s="177"/>
      <c r="F32" s="177"/>
      <c r="G32" s="177"/>
      <c r="H32" s="177"/>
      <c r="I32" s="177"/>
      <c r="J32" s="177"/>
      <c r="K32" s="177"/>
      <c r="L32" s="262"/>
      <c r="M32" s="177"/>
      <c r="O32" s="177"/>
      <c r="Q32" s="177"/>
      <c r="R32" s="177"/>
      <c r="S32" s="177"/>
      <c r="T32" s="245"/>
    </row>
    <row r="33" spans="1:20" s="210" customFormat="1" ht="20.100000000000001" customHeight="1" x14ac:dyDescent="0.25">
      <c r="A33" s="247"/>
      <c r="B33" s="148"/>
      <c r="C33" s="148"/>
      <c r="D33" s="148" t="s">
        <v>114</v>
      </c>
      <c r="E33" s="148"/>
      <c r="F33" s="148"/>
      <c r="G33" s="148"/>
      <c r="H33" s="261"/>
      <c r="L33" s="256">
        <v>100000</v>
      </c>
      <c r="N33" s="256"/>
      <c r="O33" s="148"/>
      <c r="Q33" s="148"/>
      <c r="R33" s="148"/>
      <c r="S33" s="148"/>
      <c r="T33" s="247"/>
    </row>
    <row r="34" spans="1:20" x14ac:dyDescent="0.25">
      <c r="A34" s="245"/>
      <c r="B34" s="177"/>
      <c r="C34" s="177"/>
      <c r="D34" s="249" t="s">
        <v>303</v>
      </c>
      <c r="E34" s="177"/>
      <c r="F34" s="177"/>
      <c r="G34" s="177"/>
      <c r="H34" s="177"/>
      <c r="I34" s="177"/>
      <c r="J34" s="177"/>
      <c r="K34" s="177"/>
      <c r="L34" s="177"/>
      <c r="M34" s="177"/>
      <c r="N34" s="262"/>
      <c r="O34" s="177"/>
      <c r="Q34" s="177"/>
      <c r="R34" s="177"/>
      <c r="S34" s="177"/>
      <c r="T34" s="245"/>
    </row>
    <row r="35" spans="1:20" ht="22.5" thickBot="1" x14ac:dyDescent="0.3">
      <c r="A35" s="245"/>
      <c r="B35" s="177"/>
      <c r="C35" s="177"/>
      <c r="D35" s="249"/>
      <c r="E35" s="177"/>
      <c r="F35" s="177"/>
      <c r="G35" s="177"/>
      <c r="H35" s="177"/>
      <c r="I35" s="177"/>
      <c r="J35" s="177"/>
      <c r="K35" s="177"/>
      <c r="L35" s="177"/>
      <c r="M35" s="177"/>
      <c r="N35" s="262"/>
      <c r="O35" s="177"/>
      <c r="Q35" s="177"/>
      <c r="R35" s="177"/>
      <c r="S35" s="177"/>
      <c r="T35" s="245"/>
    </row>
    <row r="36" spans="1:20" s="210" customFormat="1" ht="20.100000000000001" customHeight="1" x14ac:dyDescent="0.25">
      <c r="A36" s="247"/>
      <c r="B36" s="148"/>
      <c r="C36" s="148"/>
      <c r="D36" s="148" t="s">
        <v>91</v>
      </c>
      <c r="E36" s="148"/>
      <c r="F36" s="148"/>
      <c r="G36" s="250">
        <v>60</v>
      </c>
      <c r="H36" s="148"/>
      <c r="I36" s="148"/>
      <c r="J36" s="148"/>
      <c r="K36" s="148"/>
      <c r="L36" s="232" t="s">
        <v>306</v>
      </c>
      <c r="M36" s="148"/>
      <c r="N36" s="261"/>
      <c r="O36" s="148"/>
      <c r="Q36" s="148"/>
      <c r="R36" s="148"/>
      <c r="S36" s="148"/>
      <c r="T36" s="247"/>
    </row>
    <row r="37" spans="1:20" ht="22.5" thickBot="1" x14ac:dyDescent="0.3">
      <c r="A37" s="245"/>
      <c r="B37" s="177"/>
      <c r="C37" s="177"/>
      <c r="E37" s="177"/>
      <c r="F37" s="177"/>
      <c r="G37" s="177"/>
      <c r="H37" s="177"/>
      <c r="I37" s="177"/>
      <c r="J37" s="177"/>
      <c r="K37" s="177"/>
      <c r="L37" s="249"/>
      <c r="M37" s="177"/>
      <c r="N37" s="177"/>
      <c r="O37" s="177"/>
      <c r="P37" s="177"/>
      <c r="Q37" s="177"/>
      <c r="R37" s="177" t="s">
        <v>230</v>
      </c>
      <c r="S37" s="177"/>
      <c r="T37" s="245"/>
    </row>
    <row r="38" spans="1:20" s="210" customFormat="1" ht="20.100000000000001" customHeight="1" x14ac:dyDescent="0.25">
      <c r="A38" s="247"/>
      <c r="B38" s="148"/>
      <c r="C38" s="232"/>
      <c r="D38" s="148" t="s">
        <v>117</v>
      </c>
      <c r="E38" s="148"/>
      <c r="F38" s="148"/>
      <c r="G38" s="148"/>
      <c r="H38" s="148"/>
      <c r="I38" s="256">
        <v>50000</v>
      </c>
      <c r="J38" s="148"/>
      <c r="K38" s="148"/>
      <c r="L38" s="148" t="s">
        <v>116</v>
      </c>
      <c r="N38" s="148"/>
      <c r="O38" s="148"/>
      <c r="P38" s="256">
        <v>1000000</v>
      </c>
      <c r="R38" s="256"/>
      <c r="S38" s="148"/>
      <c r="T38" s="247"/>
    </row>
    <row r="39" spans="1:20" ht="15" customHeight="1" thickBot="1" x14ac:dyDescent="0.3">
      <c r="A39" s="245"/>
      <c r="B39" s="177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N39" s="177"/>
      <c r="O39" s="177"/>
      <c r="S39" s="177"/>
      <c r="T39" s="245"/>
    </row>
    <row r="40" spans="1:20" s="210" customFormat="1" ht="20.100000000000001" customHeight="1" x14ac:dyDescent="0.25">
      <c r="A40" s="247"/>
      <c r="B40" s="148"/>
      <c r="C40" s="148"/>
      <c r="J40" s="148"/>
      <c r="K40" s="148"/>
      <c r="L40" s="148" t="s">
        <v>102</v>
      </c>
      <c r="N40" s="148"/>
      <c r="O40" s="148"/>
      <c r="P40" s="256">
        <v>0</v>
      </c>
      <c r="R40" s="256"/>
      <c r="S40" s="148"/>
      <c r="T40" s="247"/>
    </row>
    <row r="41" spans="1:20" ht="15" customHeight="1" thickBot="1" x14ac:dyDescent="0.3">
      <c r="A41" s="245"/>
      <c r="B41" s="177"/>
      <c r="C41" s="177"/>
      <c r="H41" s="177"/>
      <c r="I41" s="177"/>
      <c r="J41" s="177"/>
      <c r="K41" s="177"/>
      <c r="L41" s="177"/>
      <c r="N41" s="177"/>
      <c r="O41" s="177"/>
      <c r="P41" s="177"/>
      <c r="R41" s="177"/>
      <c r="S41" s="177"/>
      <c r="T41" s="245"/>
    </row>
    <row r="42" spans="1:20" s="210" customFormat="1" ht="20.100000000000001" customHeight="1" x14ac:dyDescent="0.25">
      <c r="A42" s="247"/>
      <c r="B42" s="148"/>
      <c r="C42" s="148"/>
      <c r="J42" s="148"/>
      <c r="K42" s="148"/>
      <c r="L42" s="148" t="s">
        <v>118</v>
      </c>
      <c r="N42" s="148"/>
      <c r="O42" s="148"/>
      <c r="P42" s="256">
        <v>0</v>
      </c>
      <c r="R42" s="256"/>
      <c r="S42" s="148"/>
      <c r="T42" s="247"/>
    </row>
    <row r="43" spans="1:20" ht="15" customHeight="1" thickBot="1" x14ac:dyDescent="0.3">
      <c r="A43" s="245"/>
      <c r="B43" s="177"/>
      <c r="C43" s="177"/>
      <c r="J43" s="177"/>
      <c r="K43" s="177"/>
      <c r="L43" s="177"/>
      <c r="N43" s="177"/>
      <c r="O43" s="177"/>
      <c r="P43" s="177"/>
      <c r="R43" s="177"/>
      <c r="S43" s="177"/>
      <c r="T43" s="245"/>
    </row>
    <row r="44" spans="1:20" s="210" customFormat="1" ht="20.100000000000001" customHeight="1" x14ac:dyDescent="0.25">
      <c r="A44" s="247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 t="s">
        <v>103</v>
      </c>
      <c r="N44" s="148"/>
      <c r="O44" s="148"/>
      <c r="P44" s="256">
        <v>0</v>
      </c>
      <c r="R44" s="256"/>
      <c r="S44" s="148"/>
      <c r="T44" s="247"/>
    </row>
    <row r="45" spans="1:20" ht="15" customHeight="1" thickBot="1" x14ac:dyDescent="0.3">
      <c r="A45" s="245"/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N45" s="177"/>
      <c r="O45" s="177"/>
      <c r="P45" s="177"/>
      <c r="R45" s="177"/>
      <c r="S45" s="177"/>
      <c r="T45" s="245"/>
    </row>
    <row r="46" spans="1:20" s="210" customFormat="1" ht="20.100000000000001" customHeight="1" x14ac:dyDescent="0.25">
      <c r="A46" s="247"/>
      <c r="B46" s="148"/>
      <c r="C46" s="148"/>
      <c r="D46" s="261"/>
      <c r="E46" s="148"/>
      <c r="F46" s="148"/>
      <c r="G46" s="148"/>
      <c r="H46" s="148"/>
      <c r="I46" s="148"/>
      <c r="J46" s="148"/>
      <c r="K46" s="148"/>
      <c r="L46" s="148" t="s">
        <v>279</v>
      </c>
      <c r="N46" s="148"/>
      <c r="P46" s="256">
        <v>35000</v>
      </c>
      <c r="S46" s="148"/>
      <c r="T46" s="247"/>
    </row>
    <row r="47" spans="1:20" ht="15" customHeight="1" x14ac:dyDescent="0.25">
      <c r="A47" s="245"/>
      <c r="B47" s="177"/>
      <c r="C47" s="177"/>
      <c r="D47" s="177"/>
      <c r="E47" s="177"/>
      <c r="F47" s="177"/>
      <c r="G47" s="177"/>
      <c r="H47" s="177"/>
      <c r="I47" s="177"/>
      <c r="J47" s="177"/>
      <c r="K47" s="177"/>
      <c r="L47" s="249" t="s">
        <v>125</v>
      </c>
      <c r="N47" s="177"/>
      <c r="O47" s="177"/>
      <c r="P47" s="177"/>
      <c r="Q47" s="177"/>
      <c r="R47" s="177"/>
      <c r="S47" s="177"/>
      <c r="T47" s="245"/>
    </row>
    <row r="48" spans="1:20" ht="15" customHeight="1" x14ac:dyDescent="0.25">
      <c r="A48" s="245"/>
      <c r="B48" s="177"/>
      <c r="C48" s="177"/>
      <c r="D48" s="177"/>
      <c r="E48" s="177"/>
      <c r="F48" s="177"/>
      <c r="G48" s="177"/>
      <c r="H48" s="177"/>
      <c r="I48" s="177"/>
      <c r="J48" s="177"/>
      <c r="K48" s="177"/>
      <c r="L48" s="249"/>
      <c r="N48" s="177"/>
      <c r="O48" s="177"/>
      <c r="P48" s="177"/>
      <c r="Q48" s="177"/>
      <c r="R48" s="177"/>
      <c r="S48" s="177"/>
      <c r="T48" s="245"/>
    </row>
    <row r="49" spans="1:25" x14ac:dyDescent="0.25">
      <c r="A49" s="245"/>
      <c r="B49" s="17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245"/>
    </row>
    <row r="50" spans="1:25" x14ac:dyDescent="0.25">
      <c r="A50" s="245"/>
      <c r="B50" s="177"/>
      <c r="C50" s="255" t="s">
        <v>113</v>
      </c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245"/>
      <c r="Y50" s="263"/>
    </row>
    <row r="51" spans="1:25" ht="5.25" customHeight="1" x14ac:dyDescent="0.25">
      <c r="A51" s="245"/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245"/>
      <c r="Y51" s="263"/>
    </row>
    <row r="52" spans="1:25" s="210" customFormat="1" ht="20.100000000000001" customHeight="1" x14ac:dyDescent="0.25">
      <c r="A52" s="247"/>
      <c r="B52" s="148"/>
      <c r="C52" s="229" t="s">
        <v>123</v>
      </c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247"/>
      <c r="Y52" s="264"/>
    </row>
    <row r="53" spans="1:25" ht="14.45" customHeight="1" thickBot="1" x14ac:dyDescent="0.3">
      <c r="A53" s="245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245"/>
      <c r="Y53" s="263" t="str">
        <f t="shared" ref="Y53:Y57" si="0">IF(Y52&lt;&gt;"",IF(Y52+1&gt;80,"",Y52+1),"")</f>
        <v/>
      </c>
    </row>
    <row r="54" spans="1:25" s="210" customFormat="1" ht="20.100000000000001" customHeight="1" x14ac:dyDescent="0.25">
      <c r="A54" s="247"/>
      <c r="B54" s="148"/>
      <c r="D54" s="148" t="s">
        <v>92</v>
      </c>
      <c r="E54" s="148"/>
      <c r="F54" s="148"/>
      <c r="G54" s="250" t="s">
        <v>94</v>
      </c>
      <c r="H54" s="265"/>
      <c r="I54" s="148"/>
      <c r="J54" s="148"/>
      <c r="K54" s="148"/>
      <c r="L54" s="266"/>
      <c r="M54" s="148"/>
      <c r="N54" s="148"/>
      <c r="O54" s="148"/>
      <c r="P54" s="148"/>
      <c r="Q54" s="148"/>
      <c r="R54" s="148"/>
      <c r="S54" s="148"/>
      <c r="T54" s="247"/>
      <c r="Y54" s="264" t="str">
        <f t="shared" si="0"/>
        <v/>
      </c>
    </row>
    <row r="55" spans="1:25" ht="14.45" customHeight="1" thickBot="1" x14ac:dyDescent="0.3">
      <c r="A55" s="245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245"/>
      <c r="Y55" s="263" t="str">
        <f t="shared" si="0"/>
        <v/>
      </c>
    </row>
    <row r="56" spans="1:25" s="210" customFormat="1" ht="20.100000000000001" customHeight="1" x14ac:dyDescent="0.25">
      <c r="A56" s="247"/>
      <c r="B56" s="148"/>
      <c r="D56" s="148" t="s">
        <v>105</v>
      </c>
      <c r="E56" s="148"/>
      <c r="F56" s="148"/>
      <c r="G56" s="250" t="s">
        <v>56</v>
      </c>
      <c r="H56" s="148"/>
      <c r="I56" s="148"/>
      <c r="J56" s="148"/>
      <c r="K56" s="148"/>
      <c r="L56" s="266"/>
      <c r="M56" s="148"/>
      <c r="N56" s="148"/>
      <c r="O56" s="148"/>
      <c r="P56" s="148"/>
      <c r="Q56" s="148"/>
      <c r="R56" s="148"/>
      <c r="S56" s="148"/>
      <c r="T56" s="247"/>
      <c r="Y56" s="264" t="str">
        <f t="shared" si="0"/>
        <v/>
      </c>
    </row>
    <row r="57" spans="1:25" ht="6" customHeight="1" x14ac:dyDescent="0.25">
      <c r="A57" s="245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245"/>
      <c r="Y57" s="263" t="str">
        <f t="shared" si="0"/>
        <v/>
      </c>
    </row>
    <row r="58" spans="1:25" ht="21" customHeight="1" x14ac:dyDescent="0.25">
      <c r="A58" s="245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245"/>
      <c r="Y58" s="263"/>
    </row>
    <row r="59" spans="1:25" x14ac:dyDescent="0.25">
      <c r="A59" s="245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245"/>
      <c r="Y59" s="263"/>
    </row>
    <row r="60" spans="1:25" x14ac:dyDescent="0.25">
      <c r="A60" s="245"/>
      <c r="B60" s="245"/>
      <c r="C60" s="245"/>
      <c r="D60" s="245"/>
      <c r="E60" s="245"/>
      <c r="F60" s="245"/>
      <c r="G60" s="245"/>
      <c r="H60" s="245"/>
      <c r="I60" s="245"/>
      <c r="J60" s="245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Y60" s="263"/>
    </row>
    <row r="61" spans="1:25" x14ac:dyDescent="0.25">
      <c r="Y61" s="263"/>
    </row>
    <row r="62" spans="1:25" x14ac:dyDescent="0.25">
      <c r="Y62" s="263"/>
    </row>
    <row r="63" spans="1:25" x14ac:dyDescent="0.25">
      <c r="Y63" s="263"/>
    </row>
    <row r="64" spans="1:25" x14ac:dyDescent="0.25">
      <c r="Y64" s="263"/>
    </row>
    <row r="65" spans="25:25" x14ac:dyDescent="0.25">
      <c r="Y65" s="263"/>
    </row>
    <row r="66" spans="25:25" x14ac:dyDescent="0.25">
      <c r="Y66" s="263"/>
    </row>
    <row r="67" spans="25:25" x14ac:dyDescent="0.25">
      <c r="Y67" s="263"/>
    </row>
  </sheetData>
  <mergeCells count="2">
    <mergeCell ref="E7:I7"/>
    <mergeCell ref="O2:R2"/>
  </mergeCells>
  <dataValidations count="3">
    <dataValidation type="whole" allowBlank="1" showInputMessage="1" showErrorMessage="1" sqref="E9" xr:uid="{DA917F8B-AF89-4B75-AE58-A7A05E6F64EF}">
      <formula1>18</formula1>
      <formula2>80</formula2>
    </dataValidation>
    <dataValidation type="whole" allowBlank="1" showInputMessage="1" showErrorMessage="1" sqref="I38 P46 P23:P24 I21 I23:I24 I19 L31 P44 P42 P40 P38 P21 R21 P19 R19" xr:uid="{8F6592AB-670E-46EC-B1B9-E9C8A0080038}">
      <formula1>0</formula1>
      <formula2>100000000</formula2>
    </dataValidation>
    <dataValidation type="whole" allowBlank="1" showInputMessage="1" showErrorMessage="1" sqref="L33 L29" xr:uid="{4C676EC3-10EC-4EC4-8012-CB96A972683E}">
      <formula1>0</formula1>
      <formula2>9.99999999999999E+27</formula2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3F360C22-888B-4069-9529-2408052A4DF5}">
          <x14:formula1>
            <xm:f>Auxiliar!$B$5:$B$50</xm:f>
          </x14:formula1>
          <xm:sqref>G36</xm:sqref>
        </x14:dataValidation>
        <x14:dataValidation type="list" allowBlank="1" showInputMessage="1" showErrorMessage="1" xr:uid="{F54C007B-03D5-485B-941C-42F00108F965}">
          <x14:formula1>
            <xm:f>Auxiliar!$D$5:$D$8</xm:f>
          </x14:formula1>
          <xm:sqref>I9</xm:sqref>
        </x14:dataValidation>
        <x14:dataValidation type="list" allowBlank="1" showInputMessage="1" showErrorMessage="1" xr:uid="{A3BDB0D5-546B-4F16-827D-028DDFE9FA2F}">
          <x14:formula1>
            <xm:f>Auxiliar!$D$12:$D$14</xm:f>
          </x14:formula1>
          <xm:sqref>I11</xm:sqref>
        </x14:dataValidation>
        <x14:dataValidation type="list" allowBlank="1" showInputMessage="1" showErrorMessage="1" xr:uid="{3C3B0A15-1ECA-4E72-9BA9-5FC166451821}">
          <x14:formula1>
            <xm:f>Auxiliar!$D$18:$D$19</xm:f>
          </x14:formula1>
          <xm:sqref>G54 G56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rgb="FFFF9999"/>
    <pageSetUpPr fitToPage="1"/>
  </sheetPr>
  <dimension ref="B2:AG200"/>
  <sheetViews>
    <sheetView showGridLines="0" topLeftCell="A52" zoomScale="75" zoomScaleNormal="331" workbookViewId="0">
      <selection activeCell="C89" sqref="C89"/>
    </sheetView>
  </sheetViews>
  <sheetFormatPr baseColWidth="10" defaultRowHeight="15" x14ac:dyDescent="0.25"/>
  <cols>
    <col min="1" max="1" width="6.5703125" customWidth="1"/>
    <col min="2" max="2" width="37.5703125" customWidth="1"/>
    <col min="3" max="3" width="18.7109375" customWidth="1"/>
    <col min="4" max="5" width="11.7109375" customWidth="1"/>
    <col min="6" max="6" width="51.85546875" customWidth="1"/>
    <col min="7" max="7" width="17.85546875" style="1" customWidth="1"/>
    <col min="8" max="8" width="16.5703125" customWidth="1"/>
    <col min="9" max="9" width="15.5703125" customWidth="1"/>
    <col min="13" max="15" width="16.28515625" customWidth="1"/>
    <col min="17" max="17" width="4.140625" customWidth="1"/>
    <col min="19" max="19" width="11.140625" bestFit="1" customWidth="1"/>
    <col min="23" max="23" width="12.42578125" bestFit="1" customWidth="1"/>
    <col min="24" max="24" width="15.5703125" bestFit="1" customWidth="1"/>
    <col min="25" max="26" width="17.42578125" bestFit="1" customWidth="1"/>
    <col min="27" max="27" width="13.85546875" bestFit="1" customWidth="1"/>
    <col min="30" max="30" width="11.28515625" bestFit="1" customWidth="1"/>
    <col min="31" max="31" width="13.42578125" bestFit="1" customWidth="1"/>
    <col min="32" max="32" width="16.140625" bestFit="1" customWidth="1"/>
    <col min="33" max="33" width="16.140625" customWidth="1"/>
  </cols>
  <sheetData>
    <row r="2" spans="2:33" x14ac:dyDescent="0.25">
      <c r="W2" t="s">
        <v>231</v>
      </c>
    </row>
    <row r="3" spans="2:33" x14ac:dyDescent="0.25">
      <c r="W3" t="s">
        <v>232</v>
      </c>
      <c r="X3" s="63">
        <f>'Entrevista Patrimonio F.'!L29+'Entrevista Patrimonio F.'!L31</f>
        <v>2200000</v>
      </c>
    </row>
    <row r="4" spans="2:33" x14ac:dyDescent="0.25">
      <c r="B4" s="5" t="s">
        <v>235</v>
      </c>
      <c r="C4" s="109">
        <v>0.01</v>
      </c>
    </row>
    <row r="5" spans="2:33" x14ac:dyDescent="0.25">
      <c r="L5" s="120"/>
      <c r="M5" s="121">
        <f>(72/M6)/100</f>
        <v>9</v>
      </c>
      <c r="N5" s="121">
        <f>(72/N6)/100</f>
        <v>6</v>
      </c>
      <c r="O5" s="121">
        <f>(72/O6)/100</f>
        <v>5.1428571428571423</v>
      </c>
      <c r="P5" s="122"/>
      <c r="Q5" s="106"/>
      <c r="AE5" s="1"/>
      <c r="AF5" s="1"/>
      <c r="AG5" s="1"/>
    </row>
    <row r="6" spans="2:33" ht="15.75" x14ac:dyDescent="0.25">
      <c r="B6" s="4" t="s">
        <v>21</v>
      </c>
      <c r="F6" s="4" t="s">
        <v>61</v>
      </c>
      <c r="L6" s="123" t="s">
        <v>299</v>
      </c>
      <c r="M6" s="122">
        <v>0.08</v>
      </c>
      <c r="N6" s="122">
        <v>0.12</v>
      </c>
      <c r="O6" s="122">
        <v>0.14000000000000001</v>
      </c>
      <c r="P6" s="123"/>
      <c r="Q6" s="1"/>
      <c r="R6" s="120" t="s">
        <v>308</v>
      </c>
      <c r="S6" s="122">
        <v>0.08</v>
      </c>
      <c r="T6" s="122">
        <v>0.12</v>
      </c>
      <c r="U6" s="122">
        <v>0.14000000000000001</v>
      </c>
      <c r="W6" s="120"/>
      <c r="X6" s="122">
        <v>0.08</v>
      </c>
      <c r="Y6" s="122">
        <v>0.12</v>
      </c>
      <c r="Z6" s="122">
        <v>0.14000000000000001</v>
      </c>
      <c r="AE6" s="106"/>
      <c r="AF6" s="106"/>
      <c r="AG6" s="106"/>
    </row>
    <row r="7" spans="2:33" x14ac:dyDescent="0.25">
      <c r="B7" s="5" t="s">
        <v>22</v>
      </c>
      <c r="C7" s="10">
        <f>'Entrevista Patrimonio F.'!E9</f>
        <v>50</v>
      </c>
      <c r="I7" s="63"/>
      <c r="L7" s="123">
        <v>1</v>
      </c>
      <c r="M7" s="124">
        <f t="shared" ref="M7:O12" si="0">ROUND(M$5*$L7,0)</f>
        <v>9</v>
      </c>
      <c r="N7" s="124">
        <f t="shared" si="0"/>
        <v>6</v>
      </c>
      <c r="O7" s="124">
        <f t="shared" si="0"/>
        <v>5</v>
      </c>
      <c r="P7" s="124">
        <f>L7</f>
        <v>1</v>
      </c>
      <c r="Q7" s="107"/>
      <c r="R7" s="120">
        <v>0</v>
      </c>
      <c r="S7" s="120">
        <f>MAX(IFERROR(VLOOKUP($R7,$M$7:$P$17,4,0),0)+1,S6)</f>
        <v>1</v>
      </c>
      <c r="T7" s="120">
        <f>MAX(IFERROR(VLOOKUP($R7,$N$7:$P$17,3,0),0)+1,T6)</f>
        <v>1</v>
      </c>
      <c r="U7" s="120">
        <f>MAX(IFERROR(VLOOKUP($R7,$O$7:$P$17,2,0),0)+1,U6)</f>
        <v>1</v>
      </c>
      <c r="W7" s="125">
        <v>0</v>
      </c>
      <c r="X7" s="126">
        <f>1*$X$3</f>
        <v>2200000</v>
      </c>
      <c r="Y7" s="126">
        <f>1*$X$3</f>
        <v>2200000</v>
      </c>
      <c r="Z7" s="126">
        <f>1*$X$3</f>
        <v>2200000</v>
      </c>
      <c r="AD7" s="108"/>
      <c r="AE7" s="63"/>
      <c r="AF7" s="63"/>
      <c r="AG7" s="63"/>
    </row>
    <row r="8" spans="2:33" x14ac:dyDescent="0.25">
      <c r="B8" s="5" t="s">
        <v>26</v>
      </c>
      <c r="C8" s="10">
        <f>'Entrevista Patrimonio F.'!G36</f>
        <v>60</v>
      </c>
      <c r="F8" s="9" t="s">
        <v>5</v>
      </c>
      <c r="I8" s="63"/>
      <c r="L8" s="123">
        <v>2</v>
      </c>
      <c r="M8" s="124">
        <f t="shared" si="0"/>
        <v>18</v>
      </c>
      <c r="N8" s="124">
        <f t="shared" si="0"/>
        <v>12</v>
      </c>
      <c r="O8" s="124">
        <f t="shared" si="0"/>
        <v>10</v>
      </c>
      <c r="P8" s="124">
        <f t="shared" ref="P8:P17" si="1">L8</f>
        <v>2</v>
      </c>
      <c r="Q8" s="107"/>
      <c r="R8" s="120">
        <f>R7+1</f>
        <v>1</v>
      </c>
      <c r="S8" s="120">
        <f t="shared" ref="S8:S62" si="2">MAX(IFERROR(VLOOKUP($R8,$M$7:$P$17,4,0),0)+1,S7)</f>
        <v>1</v>
      </c>
      <c r="T8" s="120">
        <f t="shared" ref="T8:T62" si="3">MAX(IFERROR(VLOOKUP($R8,$N$7:$P$17,3,0),0)+1,T7)</f>
        <v>1</v>
      </c>
      <c r="U8" s="120">
        <f t="shared" ref="U8:U62" si="4">MAX(IFERROR(VLOOKUP($R8,$O$7:$P$17,2,0),0)+1,U7)</f>
        <v>1</v>
      </c>
      <c r="W8" s="125">
        <f>W7+1</f>
        <v>1</v>
      </c>
      <c r="X8" s="126"/>
      <c r="Y8" s="126"/>
      <c r="Z8" s="126"/>
      <c r="AD8" s="108"/>
      <c r="AG8" s="63"/>
    </row>
    <row r="9" spans="2:33" x14ac:dyDescent="0.25">
      <c r="B9" s="5" t="s">
        <v>50</v>
      </c>
      <c r="C9" s="110">
        <v>90</v>
      </c>
      <c r="F9" s="9"/>
      <c r="L9" s="123">
        <v>3</v>
      </c>
      <c r="M9" s="124">
        <f t="shared" si="0"/>
        <v>27</v>
      </c>
      <c r="N9" s="124">
        <f t="shared" si="0"/>
        <v>18</v>
      </c>
      <c r="O9" s="124">
        <f t="shared" si="0"/>
        <v>15</v>
      </c>
      <c r="P9" s="124">
        <f t="shared" si="1"/>
        <v>3</v>
      </c>
      <c r="Q9" s="107"/>
      <c r="R9" s="120">
        <f t="shared" ref="R9:R62" si="5">R8+1</f>
        <v>2</v>
      </c>
      <c r="S9" s="120">
        <f t="shared" si="2"/>
        <v>1</v>
      </c>
      <c r="T9" s="120">
        <f t="shared" si="3"/>
        <v>1</v>
      </c>
      <c r="U9" s="120">
        <f t="shared" si="4"/>
        <v>1</v>
      </c>
      <c r="W9" s="125">
        <f t="shared" ref="W9:W62" si="6">W8+1</f>
        <v>2</v>
      </c>
      <c r="X9" s="126"/>
      <c r="Y9" s="126"/>
      <c r="Z9" s="126"/>
      <c r="AD9" s="108"/>
      <c r="AF9" s="63"/>
    </row>
    <row r="10" spans="2:33" x14ac:dyDescent="0.25">
      <c r="B10" s="5" t="s">
        <v>44</v>
      </c>
      <c r="C10" s="72" t="str">
        <f>'Entrevista Patrimonio F.'!I9</f>
        <v>Hombre</v>
      </c>
      <c r="F10" s="6" t="s">
        <v>28</v>
      </c>
      <c r="G10" s="94">
        <f>'Entrevista Patrimonio F.'!I19</f>
        <v>50000</v>
      </c>
      <c r="H10" s="95">
        <f>G10/$C$19</f>
        <v>0.45454545454545453</v>
      </c>
      <c r="L10" s="123">
        <v>4</v>
      </c>
      <c r="M10" s="124">
        <f t="shared" si="0"/>
        <v>36</v>
      </c>
      <c r="N10" s="124">
        <f t="shared" si="0"/>
        <v>24</v>
      </c>
      <c r="O10" s="124">
        <f t="shared" si="0"/>
        <v>21</v>
      </c>
      <c r="P10" s="124">
        <f t="shared" si="1"/>
        <v>4</v>
      </c>
      <c r="Q10" s="107"/>
      <c r="R10" s="120">
        <f t="shared" si="5"/>
        <v>3</v>
      </c>
      <c r="S10" s="120">
        <f t="shared" si="2"/>
        <v>1</v>
      </c>
      <c r="T10" s="120">
        <f t="shared" si="3"/>
        <v>1</v>
      </c>
      <c r="U10" s="120">
        <f t="shared" si="4"/>
        <v>1</v>
      </c>
      <c r="W10" s="125">
        <f t="shared" si="6"/>
        <v>3</v>
      </c>
      <c r="X10" s="126"/>
      <c r="Y10" s="126"/>
      <c r="Z10" s="126"/>
      <c r="AD10" s="108"/>
      <c r="AE10" s="63"/>
      <c r="AF10" s="63"/>
      <c r="AG10" s="63"/>
    </row>
    <row r="11" spans="2:33" x14ac:dyDescent="0.25">
      <c r="B11" s="5" t="s">
        <v>42</v>
      </c>
      <c r="C11" s="10" t="str">
        <f>'Entrevista Patrimonio F.'!G54</f>
        <v>Sí</v>
      </c>
      <c r="F11" s="96" t="s">
        <v>60</v>
      </c>
      <c r="G11" s="94">
        <f>G10*12</f>
        <v>600000</v>
      </c>
      <c r="L11" s="123">
        <v>5</v>
      </c>
      <c r="M11" s="124">
        <f t="shared" si="0"/>
        <v>45</v>
      </c>
      <c r="N11" s="124">
        <f t="shared" si="0"/>
        <v>30</v>
      </c>
      <c r="O11" s="124">
        <f t="shared" si="0"/>
        <v>26</v>
      </c>
      <c r="P11" s="124">
        <f t="shared" si="1"/>
        <v>5</v>
      </c>
      <c r="Q11" s="107"/>
      <c r="R11" s="120">
        <f t="shared" si="5"/>
        <v>4</v>
      </c>
      <c r="S11" s="120">
        <f t="shared" si="2"/>
        <v>1</v>
      </c>
      <c r="T11" s="120">
        <f t="shared" si="3"/>
        <v>1</v>
      </c>
      <c r="U11" s="120">
        <f t="shared" si="4"/>
        <v>1</v>
      </c>
      <c r="W11" s="125">
        <f t="shared" si="6"/>
        <v>4</v>
      </c>
      <c r="X11" s="126"/>
      <c r="Y11" s="126"/>
      <c r="Z11" s="126"/>
      <c r="AD11" s="108"/>
      <c r="AF11" s="63"/>
    </row>
    <row r="12" spans="2:33" x14ac:dyDescent="0.25">
      <c r="B12" s="5" t="s">
        <v>43</v>
      </c>
      <c r="C12" s="72" t="str">
        <f>'Entrevista Patrimonio F.'!I11</f>
        <v>Asalariado</v>
      </c>
      <c r="F12" s="9" t="s">
        <v>19</v>
      </c>
      <c r="L12" s="123">
        <v>6</v>
      </c>
      <c r="M12" s="124">
        <f t="shared" si="0"/>
        <v>54</v>
      </c>
      <c r="N12" s="124">
        <f t="shared" si="0"/>
        <v>36</v>
      </c>
      <c r="O12" s="124">
        <f t="shared" si="0"/>
        <v>31</v>
      </c>
      <c r="P12" s="124">
        <f t="shared" si="1"/>
        <v>6</v>
      </c>
      <c r="Q12" s="107"/>
      <c r="R12" s="120">
        <f t="shared" si="5"/>
        <v>5</v>
      </c>
      <c r="S12" s="120">
        <f t="shared" si="2"/>
        <v>1</v>
      </c>
      <c r="T12" s="120">
        <f t="shared" si="3"/>
        <v>1</v>
      </c>
      <c r="U12" s="120">
        <f t="shared" si="4"/>
        <v>2</v>
      </c>
      <c r="W12" s="125">
        <f t="shared" si="6"/>
        <v>5</v>
      </c>
      <c r="X12" s="126"/>
      <c r="Y12" s="126"/>
      <c r="Z12" s="126">
        <f>2*$X$3</f>
        <v>4400000</v>
      </c>
      <c r="AD12" s="108"/>
      <c r="AG12" s="63"/>
    </row>
    <row r="13" spans="2:33" x14ac:dyDescent="0.25">
      <c r="B13" s="5" t="s">
        <v>40</v>
      </c>
      <c r="C13" s="20">
        <f>'Entrevista Patrimonio F.'!I38</f>
        <v>50000</v>
      </c>
      <c r="F13" s="3" t="s">
        <v>16</v>
      </c>
      <c r="G13" s="7">
        <v>3</v>
      </c>
      <c r="H13" s="15" t="s">
        <v>1</v>
      </c>
      <c r="L13" s="123">
        <v>7</v>
      </c>
      <c r="M13" s="124"/>
      <c r="N13" s="124">
        <f t="shared" ref="N13:O15" si="7">ROUND(N$5*$L13,0)</f>
        <v>42</v>
      </c>
      <c r="O13" s="124">
        <f t="shared" si="7"/>
        <v>36</v>
      </c>
      <c r="P13" s="124">
        <f t="shared" si="1"/>
        <v>7</v>
      </c>
      <c r="Q13" s="107"/>
      <c r="R13" s="120">
        <f t="shared" si="5"/>
        <v>6</v>
      </c>
      <c r="S13" s="120">
        <f t="shared" si="2"/>
        <v>1</v>
      </c>
      <c r="T13" s="120">
        <f t="shared" si="3"/>
        <v>2</v>
      </c>
      <c r="U13" s="120">
        <f t="shared" si="4"/>
        <v>2</v>
      </c>
      <c r="W13" s="125">
        <f t="shared" si="6"/>
        <v>6</v>
      </c>
      <c r="X13" s="126"/>
      <c r="Y13" s="126">
        <f>2*$X$3</f>
        <v>4400000</v>
      </c>
      <c r="Z13" s="126"/>
      <c r="AD13" s="108"/>
      <c r="AE13" s="63"/>
      <c r="AF13" s="63"/>
      <c r="AG13" s="63"/>
    </row>
    <row r="14" spans="2:33" x14ac:dyDescent="0.25">
      <c r="F14" s="6" t="s">
        <v>29</v>
      </c>
      <c r="G14" s="23">
        <f>C22*G13</f>
        <v>120000</v>
      </c>
      <c r="L14" s="123">
        <v>8</v>
      </c>
      <c r="M14" s="124"/>
      <c r="N14" s="124">
        <f t="shared" si="7"/>
        <v>48</v>
      </c>
      <c r="O14" s="124">
        <f t="shared" si="7"/>
        <v>41</v>
      </c>
      <c r="P14" s="124">
        <f t="shared" si="1"/>
        <v>8</v>
      </c>
      <c r="Q14" s="107"/>
      <c r="R14" s="120">
        <f t="shared" si="5"/>
        <v>7</v>
      </c>
      <c r="S14" s="120">
        <f t="shared" si="2"/>
        <v>1</v>
      </c>
      <c r="T14" s="120">
        <f t="shared" si="3"/>
        <v>2</v>
      </c>
      <c r="U14" s="120">
        <f t="shared" si="4"/>
        <v>2</v>
      </c>
      <c r="W14" s="125">
        <f t="shared" si="6"/>
        <v>7</v>
      </c>
      <c r="X14" s="126"/>
      <c r="Y14" s="126"/>
      <c r="Z14" s="126"/>
      <c r="AD14" s="108"/>
      <c r="AG14" s="63"/>
    </row>
    <row r="15" spans="2:33" ht="15.75" x14ac:dyDescent="0.25">
      <c r="B15" s="4" t="s">
        <v>6</v>
      </c>
      <c r="F15" s="6" t="s">
        <v>17</v>
      </c>
      <c r="G15" s="113">
        <f>C29/C22</f>
        <v>5</v>
      </c>
      <c r="L15" s="123">
        <v>9</v>
      </c>
      <c r="M15" s="124"/>
      <c r="N15" s="124">
        <f t="shared" si="7"/>
        <v>54</v>
      </c>
      <c r="O15" s="124">
        <f t="shared" si="7"/>
        <v>46</v>
      </c>
      <c r="P15" s="124">
        <f t="shared" si="1"/>
        <v>9</v>
      </c>
      <c r="Q15" s="107"/>
      <c r="R15" s="120">
        <f t="shared" si="5"/>
        <v>8</v>
      </c>
      <c r="S15" s="120">
        <f t="shared" si="2"/>
        <v>1</v>
      </c>
      <c r="T15" s="120">
        <f t="shared" si="3"/>
        <v>2</v>
      </c>
      <c r="U15" s="120">
        <f t="shared" si="4"/>
        <v>2</v>
      </c>
      <c r="W15" s="125">
        <f t="shared" si="6"/>
        <v>8</v>
      </c>
      <c r="X15" s="126"/>
      <c r="Y15" s="126"/>
      <c r="Z15" s="126"/>
      <c r="AD15" s="108"/>
      <c r="AF15" s="63"/>
    </row>
    <row r="16" spans="2:33" x14ac:dyDescent="0.25">
      <c r="B16" s="5" t="s">
        <v>0</v>
      </c>
      <c r="C16" s="127">
        <f>'Entrevista Patrimonio F.'!P19+'Entrevista Patrimonio F.'!P21+'Entrevista Patrimonio F.'!P23+'Entrevista Patrimonio F.'!I19-'Entrevista Patrimonio F.'!I21-'Entrevista Patrimonio F.'!I23</f>
        <v>100000</v>
      </c>
      <c r="F16" s="6" t="s">
        <v>18</v>
      </c>
      <c r="G16" s="2" t="str">
        <f>IF(G15&gt;=G13,"Excedido","Insuficiente")</f>
        <v>Excedido</v>
      </c>
      <c r="L16" s="123">
        <v>10</v>
      </c>
      <c r="M16" s="124"/>
      <c r="N16" s="124"/>
      <c r="O16" s="124">
        <f>ROUND(O$5*$L16,0)</f>
        <v>51</v>
      </c>
      <c r="P16" s="124">
        <f t="shared" si="1"/>
        <v>10</v>
      </c>
      <c r="Q16" s="107"/>
      <c r="R16" s="120">
        <f t="shared" si="5"/>
        <v>9</v>
      </c>
      <c r="S16" s="120">
        <f t="shared" si="2"/>
        <v>2</v>
      </c>
      <c r="T16" s="120">
        <f t="shared" si="3"/>
        <v>2</v>
      </c>
      <c r="U16" s="120">
        <f t="shared" si="4"/>
        <v>2</v>
      </c>
      <c r="W16" s="125">
        <f t="shared" si="6"/>
        <v>9</v>
      </c>
      <c r="X16" s="126">
        <f>2*$X$3</f>
        <v>4400000</v>
      </c>
      <c r="Y16" s="126"/>
      <c r="Z16" s="126"/>
      <c r="AD16" s="108"/>
      <c r="AE16" s="63"/>
      <c r="AF16" s="63"/>
      <c r="AG16" s="63"/>
    </row>
    <row r="17" spans="2:33" x14ac:dyDescent="0.25">
      <c r="B17" s="5" t="s">
        <v>36</v>
      </c>
      <c r="C17" s="20">
        <f>'Entrevista Patrimonio F.'!I21</f>
        <v>10000</v>
      </c>
      <c r="F17" s="6" t="s">
        <v>27</v>
      </c>
      <c r="G17" s="11">
        <f>IF(G16="Insuficiente",G14-C29,0)</f>
        <v>0</v>
      </c>
      <c r="L17" s="123">
        <v>11</v>
      </c>
      <c r="M17" s="124"/>
      <c r="N17" s="124"/>
      <c r="O17" s="124"/>
      <c r="P17" s="124">
        <f t="shared" si="1"/>
        <v>11</v>
      </c>
      <c r="Q17" s="107"/>
      <c r="R17" s="120">
        <f t="shared" si="5"/>
        <v>10</v>
      </c>
      <c r="S17" s="120">
        <f t="shared" si="2"/>
        <v>2</v>
      </c>
      <c r="T17" s="120">
        <f t="shared" si="3"/>
        <v>2</v>
      </c>
      <c r="U17" s="120">
        <f t="shared" si="4"/>
        <v>3</v>
      </c>
      <c r="W17" s="125">
        <f t="shared" si="6"/>
        <v>10</v>
      </c>
      <c r="X17" s="126"/>
      <c r="Y17" s="126"/>
      <c r="Z17" s="126">
        <f>4*$X$3</f>
        <v>8800000</v>
      </c>
      <c r="AD17" s="108"/>
      <c r="AF17" s="63"/>
    </row>
    <row r="18" spans="2:33" x14ac:dyDescent="0.25">
      <c r="B18" s="5" t="s">
        <v>41</v>
      </c>
      <c r="C18" s="20">
        <f>'Entrevista Patrimonio F.'!I23</f>
        <v>0</v>
      </c>
      <c r="F18" s="6" t="s">
        <v>30</v>
      </c>
      <c r="G18" s="8">
        <f>IFERROR(IF(G17=0,0,(G17/G10)),0)</f>
        <v>0</v>
      </c>
      <c r="L18" s="1"/>
      <c r="M18" s="107"/>
      <c r="N18" s="107"/>
      <c r="O18" s="107"/>
      <c r="R18" s="120">
        <f t="shared" si="5"/>
        <v>11</v>
      </c>
      <c r="S18" s="120">
        <f t="shared" si="2"/>
        <v>2</v>
      </c>
      <c r="T18" s="120">
        <f t="shared" si="3"/>
        <v>2</v>
      </c>
      <c r="U18" s="120">
        <f t="shared" si="4"/>
        <v>3</v>
      </c>
      <c r="W18" s="125">
        <f t="shared" si="6"/>
        <v>11</v>
      </c>
      <c r="X18" s="126"/>
      <c r="Y18" s="126"/>
      <c r="Z18" s="126"/>
      <c r="AD18" s="108"/>
      <c r="AG18" s="63"/>
    </row>
    <row r="19" spans="2:33" x14ac:dyDescent="0.25">
      <c r="B19" s="6" t="s">
        <v>2</v>
      </c>
      <c r="C19" s="21">
        <f>SUM(C16:C18)</f>
        <v>110000</v>
      </c>
      <c r="F19" s="14" t="s">
        <v>62</v>
      </c>
      <c r="G19" s="24">
        <f>MAX(G10*(1-G18),0)</f>
        <v>50000</v>
      </c>
      <c r="L19" s="1"/>
      <c r="M19" s="107"/>
      <c r="N19" s="107"/>
      <c r="O19" s="107"/>
      <c r="R19" s="120">
        <f t="shared" si="5"/>
        <v>12</v>
      </c>
      <c r="S19" s="120">
        <f t="shared" si="2"/>
        <v>2</v>
      </c>
      <c r="T19" s="120">
        <f t="shared" si="3"/>
        <v>3</v>
      </c>
      <c r="U19" s="120">
        <f t="shared" si="4"/>
        <v>3</v>
      </c>
      <c r="W19" s="125">
        <f t="shared" si="6"/>
        <v>12</v>
      </c>
      <c r="X19" s="126"/>
      <c r="Y19" s="126">
        <f>4*$X$3</f>
        <v>8800000</v>
      </c>
      <c r="Z19" s="126"/>
      <c r="AD19" s="108"/>
      <c r="AE19" s="63"/>
      <c r="AF19" s="63"/>
      <c r="AG19" s="63"/>
    </row>
    <row r="20" spans="2:33" x14ac:dyDescent="0.25">
      <c r="C20" s="22"/>
      <c r="K20" s="108"/>
      <c r="R20" s="120">
        <f t="shared" si="5"/>
        <v>13</v>
      </c>
      <c r="S20" s="120">
        <f t="shared" si="2"/>
        <v>2</v>
      </c>
      <c r="T20" s="120">
        <f t="shared" si="3"/>
        <v>3</v>
      </c>
      <c r="U20" s="120">
        <f t="shared" si="4"/>
        <v>3</v>
      </c>
      <c r="W20" s="125">
        <f t="shared" si="6"/>
        <v>13</v>
      </c>
      <c r="X20" s="126"/>
      <c r="Y20" s="126"/>
      <c r="Z20" s="126"/>
    </row>
    <row r="21" spans="2:33" ht="15.75" x14ac:dyDescent="0.25">
      <c r="B21" s="4" t="s">
        <v>7</v>
      </c>
      <c r="C21" s="22"/>
      <c r="F21" s="9" t="s">
        <v>20</v>
      </c>
      <c r="R21" s="120">
        <f t="shared" si="5"/>
        <v>14</v>
      </c>
      <c r="S21" s="120">
        <f t="shared" si="2"/>
        <v>2</v>
      </c>
      <c r="T21" s="120">
        <f t="shared" si="3"/>
        <v>3</v>
      </c>
      <c r="U21" s="120">
        <f t="shared" si="4"/>
        <v>3</v>
      </c>
      <c r="W21" s="125">
        <f t="shared" si="6"/>
        <v>14</v>
      </c>
      <c r="X21" s="126"/>
      <c r="Y21" s="126"/>
      <c r="Z21" s="126"/>
    </row>
    <row r="22" spans="2:33" x14ac:dyDescent="0.25">
      <c r="B22" s="5" t="s">
        <v>1</v>
      </c>
      <c r="C22" s="20">
        <f>'Entrevista Patrimonio F.'!P19</f>
        <v>40000</v>
      </c>
      <c r="F22" s="6" t="s">
        <v>53</v>
      </c>
      <c r="G22" s="23">
        <f>(C30+C35)</f>
        <v>2100000</v>
      </c>
      <c r="R22" s="120">
        <f t="shared" si="5"/>
        <v>15</v>
      </c>
      <c r="S22" s="120">
        <f t="shared" si="2"/>
        <v>2</v>
      </c>
      <c r="T22" s="120">
        <f t="shared" si="3"/>
        <v>3</v>
      </c>
      <c r="U22" s="120">
        <f t="shared" si="4"/>
        <v>4</v>
      </c>
      <c r="W22" s="125">
        <f t="shared" si="6"/>
        <v>15</v>
      </c>
      <c r="X22" s="126"/>
      <c r="Y22" s="126"/>
      <c r="Z22" s="126">
        <f>8*$X$3</f>
        <v>17600000</v>
      </c>
    </row>
    <row r="23" spans="2:33" x14ac:dyDescent="0.25">
      <c r="B23" s="6" t="s">
        <v>1</v>
      </c>
      <c r="C23" s="26">
        <f>C22</f>
        <v>40000</v>
      </c>
      <c r="D23" s="15">
        <f>C23/$C$19</f>
        <v>0.36363636363636365</v>
      </c>
      <c r="E23" s="15"/>
      <c r="F23" s="6" t="s">
        <v>52</v>
      </c>
      <c r="G23" s="17">
        <f>(G22/C26)/12</f>
        <v>2.9166666666666665</v>
      </c>
      <c r="R23" s="120">
        <f t="shared" si="5"/>
        <v>16</v>
      </c>
      <c r="S23" s="120">
        <f t="shared" si="2"/>
        <v>2</v>
      </c>
      <c r="T23" s="120">
        <f t="shared" si="3"/>
        <v>3</v>
      </c>
      <c r="U23" s="120">
        <f t="shared" si="4"/>
        <v>4</v>
      </c>
      <c r="W23" s="125">
        <f t="shared" si="6"/>
        <v>16</v>
      </c>
      <c r="X23" s="126"/>
      <c r="Y23" s="126"/>
      <c r="Z23" s="126"/>
    </row>
    <row r="24" spans="2:33" x14ac:dyDescent="0.25">
      <c r="B24" s="5" t="s">
        <v>4</v>
      </c>
      <c r="C24" s="20">
        <f>'Entrevista Patrimonio F.'!P21+'Entrevista Patrimonio F.'!P23</f>
        <v>20000</v>
      </c>
      <c r="F24" s="6" t="s">
        <v>18</v>
      </c>
      <c r="G24" s="2" t="str">
        <f>IF(G23&gt;=1,"Excedido","Insuficiente")</f>
        <v>Excedido</v>
      </c>
      <c r="R24" s="120">
        <f t="shared" si="5"/>
        <v>17</v>
      </c>
      <c r="S24" s="120">
        <f t="shared" si="2"/>
        <v>2</v>
      </c>
      <c r="T24" s="120">
        <f t="shared" si="3"/>
        <v>3</v>
      </c>
      <c r="U24" s="120">
        <f t="shared" si="4"/>
        <v>4</v>
      </c>
      <c r="W24" s="125">
        <f t="shared" si="6"/>
        <v>17</v>
      </c>
      <c r="X24" s="126"/>
      <c r="Y24" s="126"/>
      <c r="Z24" s="126"/>
    </row>
    <row r="25" spans="2:33" x14ac:dyDescent="0.25">
      <c r="B25" s="6" t="s">
        <v>31</v>
      </c>
      <c r="C25" s="26">
        <f>C24</f>
        <v>20000</v>
      </c>
      <c r="D25" s="15">
        <f>C25/$C$19</f>
        <v>0.18181818181818182</v>
      </c>
      <c r="E25" s="15"/>
      <c r="F25" s="6" t="s">
        <v>27</v>
      </c>
      <c r="G25" s="11">
        <f>IF(G24="Insuficiente",(C26*12)-G22,0)</f>
        <v>0</v>
      </c>
      <c r="R25" s="120">
        <f t="shared" si="5"/>
        <v>18</v>
      </c>
      <c r="S25" s="120">
        <f t="shared" si="2"/>
        <v>3</v>
      </c>
      <c r="T25" s="120">
        <f t="shared" si="3"/>
        <v>4</v>
      </c>
      <c r="U25" s="120">
        <f t="shared" si="4"/>
        <v>4</v>
      </c>
      <c r="W25" s="125">
        <f t="shared" si="6"/>
        <v>18</v>
      </c>
      <c r="X25" s="126">
        <f>4*$X$3</f>
        <v>8800000</v>
      </c>
      <c r="Y25" s="126">
        <f>8*$X$3</f>
        <v>17600000</v>
      </c>
      <c r="Z25" s="126"/>
    </row>
    <row r="26" spans="2:33" x14ac:dyDescent="0.25">
      <c r="B26" s="6" t="s">
        <v>3</v>
      </c>
      <c r="C26" s="21">
        <f>C23+C25</f>
        <v>60000</v>
      </c>
      <c r="F26" s="14" t="s">
        <v>62</v>
      </c>
      <c r="G26" s="24">
        <v>0</v>
      </c>
      <c r="R26" s="120">
        <f t="shared" si="5"/>
        <v>19</v>
      </c>
      <c r="S26" s="120">
        <f t="shared" si="2"/>
        <v>3</v>
      </c>
      <c r="T26" s="120">
        <f t="shared" si="3"/>
        <v>4</v>
      </c>
      <c r="U26" s="120">
        <f t="shared" si="4"/>
        <v>4</v>
      </c>
      <c r="W26" s="125">
        <f t="shared" si="6"/>
        <v>19</v>
      </c>
      <c r="X26" s="126"/>
      <c r="Y26" s="126"/>
      <c r="Z26" s="126"/>
    </row>
    <row r="27" spans="2:33" x14ac:dyDescent="0.25">
      <c r="F27" s="6" t="s">
        <v>46</v>
      </c>
      <c r="G27" s="17">
        <f>C7+G23</f>
        <v>52.916666666666664</v>
      </c>
      <c r="R27" s="120">
        <f t="shared" si="5"/>
        <v>20</v>
      </c>
      <c r="S27" s="120">
        <f t="shared" si="2"/>
        <v>3</v>
      </c>
      <c r="T27" s="120">
        <f t="shared" si="3"/>
        <v>4</v>
      </c>
      <c r="U27" s="120">
        <f t="shared" si="4"/>
        <v>4</v>
      </c>
      <c r="W27" s="125">
        <f t="shared" si="6"/>
        <v>20</v>
      </c>
      <c r="X27" s="126"/>
      <c r="Y27" s="126"/>
      <c r="Z27" s="126"/>
    </row>
    <row r="28" spans="2:33" ht="15.75" x14ac:dyDescent="0.25">
      <c r="B28" s="4" t="s">
        <v>8</v>
      </c>
      <c r="C28" s="13"/>
      <c r="R28" s="120">
        <f t="shared" si="5"/>
        <v>21</v>
      </c>
      <c r="S28" s="120">
        <f t="shared" si="2"/>
        <v>3</v>
      </c>
      <c r="T28" s="120">
        <f t="shared" si="3"/>
        <v>4</v>
      </c>
      <c r="U28" s="120">
        <f t="shared" si="4"/>
        <v>5</v>
      </c>
      <c r="W28" s="125">
        <f t="shared" si="6"/>
        <v>21</v>
      </c>
      <c r="X28" s="126"/>
      <c r="Y28" s="126"/>
      <c r="Z28" s="126">
        <f>16*$X$3</f>
        <v>35200000</v>
      </c>
    </row>
    <row r="29" spans="2:33" x14ac:dyDescent="0.25">
      <c r="B29" s="5" t="s">
        <v>9</v>
      </c>
      <c r="C29" s="20">
        <f>'Entrevista Patrimonio F.'!L29</f>
        <v>200000</v>
      </c>
      <c r="F29" s="9" t="s">
        <v>63</v>
      </c>
      <c r="H29" s="111"/>
      <c r="R29" s="120">
        <f t="shared" si="5"/>
        <v>22</v>
      </c>
      <c r="S29" s="120">
        <f t="shared" si="2"/>
        <v>3</v>
      </c>
      <c r="T29" s="120">
        <f t="shared" si="3"/>
        <v>4</v>
      </c>
      <c r="U29" s="120">
        <f t="shared" si="4"/>
        <v>5</v>
      </c>
      <c r="W29" s="125">
        <f t="shared" si="6"/>
        <v>22</v>
      </c>
      <c r="X29" s="126"/>
      <c r="Y29" s="126"/>
      <c r="Z29" s="126"/>
    </row>
    <row r="30" spans="2:33" x14ac:dyDescent="0.25">
      <c r="B30" s="5" t="s">
        <v>10</v>
      </c>
      <c r="C30" s="20">
        <f>'Entrevista Patrimonio F.'!L31</f>
        <v>2000000</v>
      </c>
      <c r="F30" s="6" t="s">
        <v>23</v>
      </c>
      <c r="G30" s="94">
        <f>PMT(1%/12,(FinRecursos-InicioDesacumulacion)*12,((C31*(1+1%/12)^((InicioDesacumulacion-EdadActual)*12))),0,1)*-1</f>
        <v>3551.5587829062497</v>
      </c>
      <c r="H30" s="112"/>
      <c r="R30" s="120">
        <f t="shared" si="5"/>
        <v>23</v>
      </c>
      <c r="S30" s="120">
        <f t="shared" si="2"/>
        <v>3</v>
      </c>
      <c r="T30" s="120">
        <f t="shared" si="3"/>
        <v>4</v>
      </c>
      <c r="U30" s="120">
        <f t="shared" si="4"/>
        <v>5</v>
      </c>
      <c r="W30" s="125">
        <f t="shared" si="6"/>
        <v>23</v>
      </c>
      <c r="X30" s="126"/>
      <c r="Y30" s="126"/>
      <c r="Z30" s="126"/>
    </row>
    <row r="31" spans="2:33" x14ac:dyDescent="0.25">
      <c r="B31" s="5" t="s">
        <v>11</v>
      </c>
      <c r="C31" s="20">
        <f>'Entrevista Patrimonio F.'!P38</f>
        <v>1000000</v>
      </c>
      <c r="F31" s="6" t="s">
        <v>24</v>
      </c>
      <c r="G31" s="94">
        <f>PMT(1%/12,(FinRecursos-InicioDesacumulacion)*12,((SUM(C32:C34)*(1+1%/12)^((InicioDesacumulacion-EdadActual)*12))),0,1)*-1</f>
        <v>0</v>
      </c>
      <c r="R31" s="120">
        <f t="shared" si="5"/>
        <v>24</v>
      </c>
      <c r="S31" s="120">
        <f t="shared" si="2"/>
        <v>3</v>
      </c>
      <c r="T31" s="120">
        <f t="shared" si="3"/>
        <v>5</v>
      </c>
      <c r="U31" s="120">
        <f t="shared" si="4"/>
        <v>5</v>
      </c>
      <c r="W31" s="125">
        <f t="shared" si="6"/>
        <v>24</v>
      </c>
      <c r="X31" s="126"/>
      <c r="Y31" s="126">
        <f>16*$X$3</f>
        <v>35200000</v>
      </c>
      <c r="Z31" s="126"/>
    </row>
    <row r="32" spans="2:33" x14ac:dyDescent="0.25">
      <c r="B32" s="5" t="s">
        <v>12</v>
      </c>
      <c r="C32" s="20">
        <f>'Entrevista Patrimonio F.'!P42</f>
        <v>0</v>
      </c>
      <c r="F32" s="18" t="s">
        <v>47</v>
      </c>
      <c r="G32" s="94">
        <f>C37</f>
        <v>35000</v>
      </c>
      <c r="R32" s="120">
        <f t="shared" si="5"/>
        <v>25</v>
      </c>
      <c r="S32" s="120">
        <f t="shared" si="2"/>
        <v>3</v>
      </c>
      <c r="T32" s="120">
        <f t="shared" si="3"/>
        <v>5</v>
      </c>
      <c r="U32" s="120">
        <f t="shared" si="4"/>
        <v>5</v>
      </c>
      <c r="W32" s="125">
        <f t="shared" si="6"/>
        <v>25</v>
      </c>
      <c r="X32" s="126"/>
      <c r="Y32" s="126"/>
      <c r="Z32" s="126"/>
    </row>
    <row r="33" spans="2:26" x14ac:dyDescent="0.25">
      <c r="B33" s="5" t="s">
        <v>13</v>
      </c>
      <c r="C33" s="20">
        <f>'Entrevista Patrimonio F.'!P40</f>
        <v>0</v>
      </c>
      <c r="F33" s="6" t="s">
        <v>25</v>
      </c>
      <c r="G33" s="94">
        <f>G30+G31+G32</f>
        <v>38551.55878290625</v>
      </c>
      <c r="R33" s="120">
        <f t="shared" si="5"/>
        <v>26</v>
      </c>
      <c r="S33" s="120">
        <f t="shared" si="2"/>
        <v>3</v>
      </c>
      <c r="T33" s="120">
        <f t="shared" si="3"/>
        <v>5</v>
      </c>
      <c r="U33" s="120">
        <f t="shared" si="4"/>
        <v>6</v>
      </c>
      <c r="W33" s="125">
        <f t="shared" si="6"/>
        <v>26</v>
      </c>
      <c r="X33" s="126"/>
      <c r="Y33" s="126"/>
      <c r="Z33" s="126">
        <f>32*$X$3</f>
        <v>70400000</v>
      </c>
    </row>
    <row r="34" spans="2:26" x14ac:dyDescent="0.25">
      <c r="B34" s="5" t="s">
        <v>14</v>
      </c>
      <c r="C34" s="20">
        <f>'Entrevista Patrimonio F.'!P44</f>
        <v>0</v>
      </c>
      <c r="F34" s="6" t="s">
        <v>48</v>
      </c>
      <c r="G34" s="117">
        <f>G33/C13</f>
        <v>0.77103117565812496</v>
      </c>
      <c r="R34" s="120">
        <f t="shared" si="5"/>
        <v>27</v>
      </c>
      <c r="S34" s="120">
        <f t="shared" si="2"/>
        <v>4</v>
      </c>
      <c r="T34" s="120">
        <f t="shared" si="3"/>
        <v>5</v>
      </c>
      <c r="U34" s="120">
        <f t="shared" si="4"/>
        <v>6</v>
      </c>
      <c r="W34" s="125">
        <f t="shared" si="6"/>
        <v>27</v>
      </c>
      <c r="X34" s="126">
        <f>8*$X$3</f>
        <v>17600000</v>
      </c>
      <c r="Y34" s="126"/>
      <c r="Z34" s="126"/>
    </row>
    <row r="35" spans="2:26" x14ac:dyDescent="0.25">
      <c r="B35" s="5" t="s">
        <v>15</v>
      </c>
      <c r="C35" s="20">
        <f>'Entrevista Patrimonio F.'!L33</f>
        <v>100000</v>
      </c>
      <c r="F35" s="6" t="s">
        <v>88</v>
      </c>
      <c r="G35" s="118">
        <f>SUM(C31:C34)</f>
        <v>1000000</v>
      </c>
      <c r="R35" s="120">
        <f t="shared" si="5"/>
        <v>28</v>
      </c>
      <c r="S35" s="120">
        <f t="shared" si="2"/>
        <v>4</v>
      </c>
      <c r="T35" s="120">
        <f t="shared" si="3"/>
        <v>5</v>
      </c>
      <c r="U35" s="120">
        <f t="shared" si="4"/>
        <v>6</v>
      </c>
      <c r="W35" s="125">
        <f t="shared" si="6"/>
        <v>28</v>
      </c>
      <c r="X35" s="126"/>
      <c r="Y35" s="126"/>
      <c r="Z35" s="126"/>
    </row>
    <row r="36" spans="2:26" x14ac:dyDescent="0.25">
      <c r="B36" s="6" t="s">
        <v>34</v>
      </c>
      <c r="C36" s="21">
        <f>SUM(C29:C35)</f>
        <v>3300000</v>
      </c>
      <c r="F36" s="6" t="s">
        <v>119</v>
      </c>
      <c r="G36" s="119">
        <f ca="1">YEAR(TODAY())-1997+18</f>
        <v>47</v>
      </c>
      <c r="R36" s="120">
        <f t="shared" si="5"/>
        <v>29</v>
      </c>
      <c r="S36" s="120">
        <f t="shared" si="2"/>
        <v>4</v>
      </c>
      <c r="T36" s="120">
        <f t="shared" si="3"/>
        <v>5</v>
      </c>
      <c r="U36" s="120">
        <f t="shared" si="4"/>
        <v>6</v>
      </c>
      <c r="W36" s="125">
        <f t="shared" si="6"/>
        <v>29</v>
      </c>
      <c r="X36" s="126"/>
      <c r="Y36" s="126"/>
      <c r="Z36" s="126"/>
    </row>
    <row r="37" spans="2:26" x14ac:dyDescent="0.25">
      <c r="B37" s="5" t="s">
        <v>45</v>
      </c>
      <c r="C37" s="20">
        <f>'Entrevista Patrimonio F.'!P46</f>
        <v>35000</v>
      </c>
      <c r="D37" t="s">
        <v>32</v>
      </c>
      <c r="R37" s="120">
        <f t="shared" si="5"/>
        <v>30</v>
      </c>
      <c r="S37" s="120">
        <f t="shared" si="2"/>
        <v>4</v>
      </c>
      <c r="T37" s="120">
        <f t="shared" si="3"/>
        <v>6</v>
      </c>
      <c r="U37" s="120">
        <f t="shared" si="4"/>
        <v>6</v>
      </c>
      <c r="W37" s="125">
        <f t="shared" si="6"/>
        <v>30</v>
      </c>
      <c r="X37" s="126"/>
      <c r="Y37" s="126">
        <f>32*$X$3</f>
        <v>70400000</v>
      </c>
      <c r="Z37" s="126"/>
    </row>
    <row r="38" spans="2:26" x14ac:dyDescent="0.25">
      <c r="F38" s="9" t="s">
        <v>64</v>
      </c>
      <c r="R38" s="120">
        <f t="shared" si="5"/>
        <v>31</v>
      </c>
      <c r="S38" s="120">
        <f t="shared" si="2"/>
        <v>4</v>
      </c>
      <c r="T38" s="120">
        <f t="shared" si="3"/>
        <v>6</v>
      </c>
      <c r="U38" s="120">
        <f t="shared" si="4"/>
        <v>7</v>
      </c>
      <c r="W38" s="125">
        <f t="shared" si="6"/>
        <v>31</v>
      </c>
      <c r="X38" s="126"/>
      <c r="Y38" s="126"/>
      <c r="Z38" s="126">
        <f>64*$X$3</f>
        <v>140800000</v>
      </c>
    </row>
    <row r="39" spans="2:26" ht="15.75" x14ac:dyDescent="0.25">
      <c r="B39" s="4" t="s">
        <v>65</v>
      </c>
      <c r="C39" s="1"/>
      <c r="F39" s="6" t="s">
        <v>40</v>
      </c>
      <c r="G39" s="25">
        <f>C13</f>
        <v>50000</v>
      </c>
      <c r="R39" s="120">
        <f t="shared" si="5"/>
        <v>32</v>
      </c>
      <c r="S39" s="120">
        <f t="shared" si="2"/>
        <v>4</v>
      </c>
      <c r="T39" s="120">
        <f t="shared" si="3"/>
        <v>6</v>
      </c>
      <c r="U39" s="120">
        <f t="shared" si="4"/>
        <v>7</v>
      </c>
      <c r="W39" s="125">
        <f t="shared" si="6"/>
        <v>32</v>
      </c>
      <c r="X39" s="126"/>
      <c r="Y39" s="126"/>
      <c r="Z39" s="126"/>
    </row>
    <row r="40" spans="2:26" x14ac:dyDescent="0.25">
      <c r="B40" s="5" t="s">
        <v>66</v>
      </c>
      <c r="C40" s="20">
        <f>'Patrimonio Financiero'!AI126</f>
        <v>0</v>
      </c>
      <c r="D40" s="15" t="s">
        <v>32</v>
      </c>
      <c r="E40" s="15"/>
      <c r="F40" s="6" t="s">
        <v>36</v>
      </c>
      <c r="G40" s="23">
        <f>C17</f>
        <v>10000</v>
      </c>
      <c r="H40" s="15">
        <f>G40/$G$39</f>
        <v>0.2</v>
      </c>
      <c r="R40" s="120">
        <f t="shared" si="5"/>
        <v>33</v>
      </c>
      <c r="S40" s="120">
        <f t="shared" si="2"/>
        <v>4</v>
      </c>
      <c r="T40" s="120">
        <f t="shared" si="3"/>
        <v>6</v>
      </c>
      <c r="U40" s="120">
        <f t="shared" si="4"/>
        <v>7</v>
      </c>
      <c r="W40" s="125">
        <f t="shared" si="6"/>
        <v>33</v>
      </c>
      <c r="X40" s="126"/>
      <c r="Y40" s="126"/>
      <c r="Z40" s="126"/>
    </row>
    <row r="41" spans="2:26" x14ac:dyDescent="0.25">
      <c r="B41" s="5"/>
      <c r="C41" s="16"/>
      <c r="D41" s="15"/>
      <c r="E41" s="15"/>
      <c r="F41" s="6" t="s">
        <v>37</v>
      </c>
      <c r="G41" s="23">
        <f>C18</f>
        <v>0</v>
      </c>
      <c r="H41" s="15">
        <f>G41/$G$39</f>
        <v>0</v>
      </c>
      <c r="R41" s="120">
        <f t="shared" si="5"/>
        <v>34</v>
      </c>
      <c r="S41" s="120">
        <f t="shared" si="2"/>
        <v>4</v>
      </c>
      <c r="T41" s="120">
        <f t="shared" si="3"/>
        <v>6</v>
      </c>
      <c r="U41" s="120">
        <f t="shared" si="4"/>
        <v>7</v>
      </c>
      <c r="W41" s="125">
        <f t="shared" si="6"/>
        <v>34</v>
      </c>
      <c r="X41" s="126"/>
      <c r="Y41" s="126"/>
      <c r="Z41" s="126"/>
    </row>
    <row r="42" spans="2:26" x14ac:dyDescent="0.25">
      <c r="F42" s="6" t="s">
        <v>38</v>
      </c>
      <c r="G42" s="23">
        <f>G33</f>
        <v>38551.55878290625</v>
      </c>
      <c r="H42" s="15">
        <f>G42/$G$39</f>
        <v>0.77103117565812496</v>
      </c>
      <c r="R42" s="120">
        <f t="shared" si="5"/>
        <v>35</v>
      </c>
      <c r="S42" s="120">
        <f t="shared" si="2"/>
        <v>4</v>
      </c>
      <c r="T42" s="120">
        <f t="shared" si="3"/>
        <v>6</v>
      </c>
      <c r="U42" s="120">
        <f t="shared" si="4"/>
        <v>7</v>
      </c>
      <c r="W42" s="125">
        <f t="shared" si="6"/>
        <v>35</v>
      </c>
      <c r="X42" s="126"/>
      <c r="Y42" s="126"/>
      <c r="Z42" s="126"/>
    </row>
    <row r="43" spans="2:26" ht="15.75" x14ac:dyDescent="0.25">
      <c r="B43" s="4" t="s">
        <v>54</v>
      </c>
      <c r="C43" s="13"/>
      <c r="F43" s="18"/>
      <c r="G43" s="23"/>
      <c r="H43" s="15"/>
      <c r="K43" s="19"/>
      <c r="R43" s="120">
        <f t="shared" si="5"/>
        <v>36</v>
      </c>
      <c r="S43" s="120">
        <f t="shared" si="2"/>
        <v>5</v>
      </c>
      <c r="T43" s="120">
        <f t="shared" si="3"/>
        <v>7</v>
      </c>
      <c r="U43" s="120">
        <f t="shared" si="4"/>
        <v>8</v>
      </c>
      <c r="W43" s="125">
        <f t="shared" si="6"/>
        <v>36</v>
      </c>
      <c r="X43" s="126">
        <f>16*$X$3</f>
        <v>35200000</v>
      </c>
      <c r="Y43" s="126">
        <f>64*$X$3</f>
        <v>140800000</v>
      </c>
      <c r="Z43" s="126">
        <f>128*$X$3</f>
        <v>281600000</v>
      </c>
    </row>
    <row r="44" spans="2:26" x14ac:dyDescent="0.25">
      <c r="B44" s="5" t="s">
        <v>90</v>
      </c>
      <c r="C44" s="12" t="str">
        <f>'Entrevista Patrimonio F.'!G54</f>
        <v>Sí</v>
      </c>
      <c r="F44" s="6" t="s">
        <v>25</v>
      </c>
      <c r="G44" s="94">
        <f>SUM(G40:G42)</f>
        <v>48551.55878290625</v>
      </c>
      <c r="K44" s="19"/>
      <c r="R44" s="120">
        <f t="shared" si="5"/>
        <v>37</v>
      </c>
      <c r="S44" s="120">
        <f t="shared" si="2"/>
        <v>5</v>
      </c>
      <c r="T44" s="120">
        <f t="shared" si="3"/>
        <v>7</v>
      </c>
      <c r="U44" s="120">
        <f t="shared" si="4"/>
        <v>8</v>
      </c>
      <c r="W44" s="125">
        <f t="shared" si="6"/>
        <v>37</v>
      </c>
      <c r="X44" s="126"/>
      <c r="Y44" s="126"/>
      <c r="Z44" s="126"/>
    </row>
    <row r="45" spans="2:26" x14ac:dyDescent="0.25">
      <c r="B45" s="29" t="s">
        <v>42</v>
      </c>
      <c r="C45" s="30">
        <f>IF(C11="No",0,1)</f>
        <v>1</v>
      </c>
      <c r="F45" s="6" t="s">
        <v>18</v>
      </c>
      <c r="G45" s="2" t="str">
        <f>IF(G44&gt;=G39,"Excedido","Insuficiente")</f>
        <v>Insuficiente</v>
      </c>
      <c r="K45" s="19"/>
      <c r="R45" s="120">
        <f t="shared" si="5"/>
        <v>38</v>
      </c>
      <c r="S45" s="120">
        <f t="shared" si="2"/>
        <v>5</v>
      </c>
      <c r="T45" s="120">
        <f t="shared" si="3"/>
        <v>7</v>
      </c>
      <c r="U45" s="120">
        <f t="shared" si="4"/>
        <v>8</v>
      </c>
      <c r="W45" s="125">
        <f t="shared" si="6"/>
        <v>38</v>
      </c>
      <c r="X45" s="126"/>
      <c r="Y45" s="126"/>
      <c r="Z45" s="126"/>
    </row>
    <row r="46" spans="2:26" x14ac:dyDescent="0.25">
      <c r="B46" s="29" t="s">
        <v>129</v>
      </c>
      <c r="C46" s="30">
        <f>IF(AND(H10&gt;=0%,H10&lt;=100%),1,0)</f>
        <v>1</v>
      </c>
      <c r="F46" s="6" t="s">
        <v>39</v>
      </c>
      <c r="G46" s="11">
        <f>IF(G45="Insuficiente",G39-G44,0)</f>
        <v>1448.4412170937503</v>
      </c>
      <c r="H46" s="15">
        <f>G46/$G$39</f>
        <v>2.8968824341875005E-2</v>
      </c>
      <c r="K46" s="19"/>
      <c r="R46" s="120">
        <f t="shared" si="5"/>
        <v>39</v>
      </c>
      <c r="S46" s="120">
        <f t="shared" si="2"/>
        <v>5</v>
      </c>
      <c r="T46" s="120">
        <f t="shared" si="3"/>
        <v>7</v>
      </c>
      <c r="U46" s="120">
        <f t="shared" si="4"/>
        <v>8</v>
      </c>
      <c r="W46" s="125">
        <f t="shared" si="6"/>
        <v>39</v>
      </c>
      <c r="X46" s="126"/>
      <c r="Y46" s="126"/>
      <c r="Z46" s="126"/>
    </row>
    <row r="47" spans="2:26" x14ac:dyDescent="0.25">
      <c r="B47" s="29" t="s">
        <v>130</v>
      </c>
      <c r="C47" s="31">
        <f>G23</f>
        <v>2.9166666666666665</v>
      </c>
      <c r="G47" s="23"/>
      <c r="H47" s="37"/>
      <c r="K47" s="19"/>
      <c r="R47" s="120">
        <f t="shared" si="5"/>
        <v>40</v>
      </c>
      <c r="S47" s="120">
        <f t="shared" si="2"/>
        <v>5</v>
      </c>
      <c r="T47" s="120">
        <f t="shared" si="3"/>
        <v>7</v>
      </c>
      <c r="U47" s="120">
        <f t="shared" si="4"/>
        <v>8</v>
      </c>
      <c r="W47" s="125">
        <f t="shared" si="6"/>
        <v>40</v>
      </c>
      <c r="X47" s="126"/>
      <c r="Y47" s="126"/>
      <c r="Z47" s="126"/>
    </row>
    <row r="48" spans="2:26" x14ac:dyDescent="0.25">
      <c r="B48" s="3" t="s">
        <v>131</v>
      </c>
      <c r="C48" s="25">
        <v>7000</v>
      </c>
      <c r="F48" s="9" t="s">
        <v>35</v>
      </c>
      <c r="G48" s="37" t="s">
        <v>147</v>
      </c>
      <c r="H48" s="37" t="s">
        <v>148</v>
      </c>
      <c r="R48" s="120">
        <f t="shared" si="5"/>
        <v>41</v>
      </c>
      <c r="S48" s="120">
        <f t="shared" si="2"/>
        <v>5</v>
      </c>
      <c r="T48" s="120">
        <f t="shared" si="3"/>
        <v>7</v>
      </c>
      <c r="U48" s="120">
        <f t="shared" si="4"/>
        <v>9</v>
      </c>
      <c r="W48" s="125">
        <f t="shared" si="6"/>
        <v>41</v>
      </c>
      <c r="X48" s="126"/>
      <c r="Y48" s="126"/>
      <c r="Z48" s="126">
        <f>256*$X$3</f>
        <v>563200000</v>
      </c>
    </row>
    <row r="49" spans="2:26" x14ac:dyDescent="0.25">
      <c r="B49" s="5" t="s">
        <v>132</v>
      </c>
      <c r="C49" s="25" t="s">
        <v>56</v>
      </c>
      <c r="F49" s="6" t="s">
        <v>151</v>
      </c>
      <c r="G49" s="94">
        <f>PV(TasaReal/12,(InicioDesacumulacion-EdadActual)*12,,H49,1)*-1</f>
        <v>407492.95625797438</v>
      </c>
      <c r="H49" s="37">
        <f>G46*(1-(1+TasaReal/12)^(-(FinRecursos-C8)*12))/(TasaReal/12)</f>
        <v>450330.61082885333</v>
      </c>
      <c r="R49" s="120">
        <f t="shared" si="5"/>
        <v>42</v>
      </c>
      <c r="S49" s="120">
        <f t="shared" si="2"/>
        <v>5</v>
      </c>
      <c r="T49" s="120">
        <f t="shared" si="3"/>
        <v>8</v>
      </c>
      <c r="U49" s="120">
        <f t="shared" si="4"/>
        <v>9</v>
      </c>
      <c r="W49" s="125">
        <f t="shared" si="6"/>
        <v>42</v>
      </c>
      <c r="X49" s="126"/>
      <c r="Y49" s="126">
        <f>128*$X$3</f>
        <v>281600000</v>
      </c>
      <c r="Z49" s="126"/>
    </row>
    <row r="50" spans="2:26" x14ac:dyDescent="0.25">
      <c r="B50" s="29" t="s">
        <v>135</v>
      </c>
      <c r="C50" s="30">
        <f>IF(EdadActual&lt;65,1,0)</f>
        <v>1</v>
      </c>
      <c r="F50" s="97" t="s">
        <v>149</v>
      </c>
      <c r="G50" s="94">
        <f>PV(TasaReal/12,(InicioDesacumulacion-EdadActual)*12,,H50,1)*-1</f>
        <v>0</v>
      </c>
      <c r="H50" s="98">
        <f>FV(TasaReal/12,(C8-C7)*12,-C40,,0)</f>
        <v>0</v>
      </c>
      <c r="R50" s="120">
        <f t="shared" si="5"/>
        <v>43</v>
      </c>
      <c r="S50" s="120">
        <f t="shared" si="2"/>
        <v>5</v>
      </c>
      <c r="T50" s="120">
        <f t="shared" si="3"/>
        <v>8</v>
      </c>
      <c r="U50" s="120">
        <f t="shared" si="4"/>
        <v>9</v>
      </c>
      <c r="W50" s="125">
        <f t="shared" si="6"/>
        <v>43</v>
      </c>
      <c r="X50" s="126"/>
      <c r="Y50" s="126"/>
      <c r="Z50" s="126"/>
    </row>
    <row r="51" spans="2:26" x14ac:dyDescent="0.25">
      <c r="B51" s="29" t="s">
        <v>130</v>
      </c>
      <c r="C51" s="31">
        <f>C47</f>
        <v>2.9166666666666665</v>
      </c>
      <c r="F51" s="97" t="s">
        <v>152</v>
      </c>
      <c r="G51" s="94">
        <f>SUM(C29:C30,C35)</f>
        <v>2300000</v>
      </c>
      <c r="H51" s="98">
        <f>(G51*(1+TasaReal/12)^((InicioDesacumulacion-EdadActual)*12))</f>
        <v>2541787.2603683649</v>
      </c>
      <c r="R51" s="120">
        <f t="shared" si="5"/>
        <v>44</v>
      </c>
      <c r="S51" s="120">
        <f t="shared" si="2"/>
        <v>5</v>
      </c>
      <c r="T51" s="120">
        <f t="shared" si="3"/>
        <v>8</v>
      </c>
      <c r="U51" s="120">
        <f t="shared" si="4"/>
        <v>9</v>
      </c>
      <c r="W51" s="125">
        <f t="shared" si="6"/>
        <v>44</v>
      </c>
      <c r="X51" s="126"/>
      <c r="Y51" s="126"/>
      <c r="Z51" s="126"/>
    </row>
    <row r="52" spans="2:26" x14ac:dyDescent="0.25">
      <c r="B52" s="29" t="s">
        <v>133</v>
      </c>
      <c r="C52" s="31">
        <f>IF(C51&lt;3,3-C51,5)*C50</f>
        <v>8.3333333333333481E-2</v>
      </c>
      <c r="F52" s="6" t="s">
        <v>150</v>
      </c>
      <c r="G52" s="94">
        <f>G50+G51</f>
        <v>2300000</v>
      </c>
      <c r="H52" s="98">
        <f>(G52*(1+TasaReal/12)^((InicioDesacumulacion-EdadActual)*12))</f>
        <v>2541787.2603683649</v>
      </c>
      <c r="R52" s="120">
        <f t="shared" si="5"/>
        <v>45</v>
      </c>
      <c r="S52" s="120">
        <f t="shared" si="2"/>
        <v>6</v>
      </c>
      <c r="T52" s="120">
        <f t="shared" si="3"/>
        <v>8</v>
      </c>
      <c r="U52" s="120">
        <f t="shared" si="4"/>
        <v>9</v>
      </c>
      <c r="W52" s="125">
        <f t="shared" si="6"/>
        <v>45</v>
      </c>
      <c r="X52" s="126">
        <f>32*$X$3</f>
        <v>70400000</v>
      </c>
      <c r="Y52" s="126"/>
      <c r="Z52" s="126"/>
    </row>
    <row r="53" spans="2:26" x14ac:dyDescent="0.25">
      <c r="B53" s="29" t="s">
        <v>134</v>
      </c>
      <c r="C53" s="32">
        <f>C52*C26*12</f>
        <v>60000.000000000109</v>
      </c>
      <c r="F53" s="6" t="s">
        <v>49</v>
      </c>
      <c r="G53" s="94">
        <f>G52-G49</f>
        <v>1892507.0437420257</v>
      </c>
      <c r="H53" s="37">
        <f>+H52-H49</f>
        <v>2091456.6495395117</v>
      </c>
      <c r="R53" s="120">
        <f t="shared" si="5"/>
        <v>46</v>
      </c>
      <c r="S53" s="120">
        <f t="shared" si="2"/>
        <v>6</v>
      </c>
      <c r="T53" s="120">
        <f t="shared" si="3"/>
        <v>8</v>
      </c>
      <c r="U53" s="120">
        <f t="shared" si="4"/>
        <v>10</v>
      </c>
      <c r="W53" s="125">
        <f t="shared" si="6"/>
        <v>46</v>
      </c>
      <c r="X53" s="126"/>
      <c r="Y53" s="126"/>
      <c r="Z53" s="126">
        <f>512*$X$3</f>
        <v>1126400000</v>
      </c>
    </row>
    <row r="54" spans="2:26" x14ac:dyDescent="0.25">
      <c r="B54" s="5" t="s">
        <v>55</v>
      </c>
      <c r="C54" s="12" t="str">
        <f>'Entrevista Patrimonio F.'!G56</f>
        <v>No</v>
      </c>
      <c r="F54" s="6" t="s">
        <v>122</v>
      </c>
      <c r="G54" s="94">
        <f>IF(PMT((TasaReal/12),12*(C8-C7),G51*-1,H49,0)*-1&lt;0,0,PMT((TasaReal/12),12*(C8-C7),G51*-1,H49,0)*-1)</f>
        <v>0</v>
      </c>
      <c r="H54" s="37"/>
      <c r="R54" s="120">
        <f t="shared" si="5"/>
        <v>47</v>
      </c>
      <c r="S54" s="120">
        <f t="shared" si="2"/>
        <v>6</v>
      </c>
      <c r="T54" s="120">
        <f t="shared" si="3"/>
        <v>8</v>
      </c>
      <c r="U54" s="120">
        <f t="shared" si="4"/>
        <v>10</v>
      </c>
      <c r="W54" s="125">
        <f t="shared" si="6"/>
        <v>47</v>
      </c>
      <c r="X54" s="126"/>
      <c r="Y54" s="126"/>
      <c r="Z54" s="126"/>
    </row>
    <row r="55" spans="2:26" x14ac:dyDescent="0.25">
      <c r="B55" s="29" t="s">
        <v>280</v>
      </c>
      <c r="C55" s="30">
        <f>IF(C54="Sí",0,1)</f>
        <v>1</v>
      </c>
      <c r="H55" s="37"/>
      <c r="R55" s="120">
        <f t="shared" si="5"/>
        <v>48</v>
      </c>
      <c r="S55" s="120">
        <f t="shared" si="2"/>
        <v>6</v>
      </c>
      <c r="T55" s="120">
        <f t="shared" si="3"/>
        <v>9</v>
      </c>
      <c r="U55" s="120">
        <f t="shared" si="4"/>
        <v>10</v>
      </c>
      <c r="W55" s="125">
        <f t="shared" si="6"/>
        <v>48</v>
      </c>
      <c r="X55" s="126"/>
      <c r="Y55" s="126">
        <f>256*$X$3</f>
        <v>563200000</v>
      </c>
      <c r="Z55" s="126"/>
    </row>
    <row r="56" spans="2:26" x14ac:dyDescent="0.25">
      <c r="F56" s="9" t="s">
        <v>64</v>
      </c>
      <c r="G56" s="25">
        <f>C13</f>
        <v>50000</v>
      </c>
      <c r="R56" s="120">
        <f t="shared" si="5"/>
        <v>49</v>
      </c>
      <c r="S56" s="120">
        <f t="shared" si="2"/>
        <v>6</v>
      </c>
      <c r="T56" s="120">
        <f t="shared" si="3"/>
        <v>9</v>
      </c>
      <c r="U56" s="120">
        <f t="shared" si="4"/>
        <v>10</v>
      </c>
      <c r="W56" s="125">
        <f t="shared" si="6"/>
        <v>49</v>
      </c>
      <c r="X56" s="126"/>
      <c r="Y56" s="126"/>
      <c r="Z56" s="126"/>
    </row>
    <row r="57" spans="2:26" x14ac:dyDescent="0.25">
      <c r="F57" s="6" t="s">
        <v>36</v>
      </c>
      <c r="G57" s="23">
        <f>C17</f>
        <v>10000</v>
      </c>
      <c r="H57" s="15">
        <f>G57/$G$39</f>
        <v>0.2</v>
      </c>
      <c r="R57" s="120">
        <f t="shared" si="5"/>
        <v>50</v>
      </c>
      <c r="S57" s="120">
        <f t="shared" si="2"/>
        <v>6</v>
      </c>
      <c r="T57" s="120">
        <f t="shared" si="3"/>
        <v>9</v>
      </c>
      <c r="U57" s="120">
        <f t="shared" si="4"/>
        <v>10</v>
      </c>
      <c r="W57" s="125">
        <f t="shared" si="6"/>
        <v>50</v>
      </c>
      <c r="X57" s="126"/>
      <c r="Y57" s="126"/>
      <c r="Z57" s="126"/>
    </row>
    <row r="58" spans="2:26" x14ac:dyDescent="0.25">
      <c r="F58" s="6" t="s">
        <v>37</v>
      </c>
      <c r="G58" s="23">
        <f>C18</f>
        <v>0</v>
      </c>
      <c r="H58" s="15">
        <f>G58/$G$39</f>
        <v>0</v>
      </c>
      <c r="R58" s="120">
        <f t="shared" si="5"/>
        <v>51</v>
      </c>
      <c r="S58" s="120">
        <f t="shared" si="2"/>
        <v>6</v>
      </c>
      <c r="T58" s="120">
        <f t="shared" si="3"/>
        <v>9</v>
      </c>
      <c r="U58" s="120">
        <f t="shared" si="4"/>
        <v>11</v>
      </c>
      <c r="W58" s="125">
        <f t="shared" si="6"/>
        <v>51</v>
      </c>
      <c r="X58" s="126"/>
      <c r="Y58" s="126"/>
      <c r="Z58" s="126">
        <f>1024*$X$3</f>
        <v>2252800000</v>
      </c>
    </row>
    <row r="59" spans="2:26" x14ac:dyDescent="0.25">
      <c r="F59" s="6" t="s">
        <v>67</v>
      </c>
      <c r="G59" s="23">
        <f>G44</f>
        <v>48551.55878290625</v>
      </c>
      <c r="H59" s="15">
        <f>G59/$G$39</f>
        <v>0.97103117565812502</v>
      </c>
      <c r="R59" s="120">
        <f t="shared" si="5"/>
        <v>52</v>
      </c>
      <c r="S59" s="120">
        <f t="shared" si="2"/>
        <v>6</v>
      </c>
      <c r="T59" s="120">
        <f t="shared" si="3"/>
        <v>9</v>
      </c>
      <c r="U59" s="120">
        <f t="shared" si="4"/>
        <v>11</v>
      </c>
      <c r="W59" s="125">
        <f t="shared" si="6"/>
        <v>52</v>
      </c>
      <c r="X59" s="126"/>
      <c r="Y59" s="126"/>
      <c r="Z59" s="126"/>
    </row>
    <row r="60" spans="2:26" x14ac:dyDescent="0.25">
      <c r="F60" s="6" t="s">
        <v>71</v>
      </c>
      <c r="G60" s="23">
        <f>SUM(G57:G59)</f>
        <v>58551.55878290625</v>
      </c>
      <c r="R60" s="120">
        <f t="shared" si="5"/>
        <v>53</v>
      </c>
      <c r="S60" s="120">
        <f t="shared" si="2"/>
        <v>6</v>
      </c>
      <c r="T60" s="120">
        <f t="shared" si="3"/>
        <v>9</v>
      </c>
      <c r="U60" s="120">
        <f t="shared" si="4"/>
        <v>11</v>
      </c>
      <c r="W60" s="125">
        <f t="shared" si="6"/>
        <v>53</v>
      </c>
      <c r="X60" s="126"/>
      <c r="Y60" s="126"/>
      <c r="Z60" s="126"/>
    </row>
    <row r="61" spans="2:26" x14ac:dyDescent="0.25">
      <c r="F61" s="6" t="s">
        <v>18</v>
      </c>
      <c r="G61" s="2" t="str">
        <f>IF(G60&gt;=G56,"Excedido","Insuficiente")</f>
        <v>Excedido</v>
      </c>
      <c r="R61" s="120">
        <f t="shared" si="5"/>
        <v>54</v>
      </c>
      <c r="S61" s="120">
        <f t="shared" si="2"/>
        <v>7</v>
      </c>
      <c r="T61" s="120">
        <f t="shared" si="3"/>
        <v>10</v>
      </c>
      <c r="U61" s="120">
        <f t="shared" si="4"/>
        <v>11</v>
      </c>
      <c r="W61" s="125">
        <f t="shared" si="6"/>
        <v>54</v>
      </c>
      <c r="X61" s="126">
        <f>64*$X$3</f>
        <v>140800000</v>
      </c>
      <c r="Y61" s="126">
        <f>512*$X$3</f>
        <v>1126400000</v>
      </c>
      <c r="Z61" s="126"/>
    </row>
    <row r="62" spans="2:26" x14ac:dyDescent="0.25">
      <c r="F62" s="6" t="s">
        <v>39</v>
      </c>
      <c r="G62" s="23">
        <f>IF(G61="Insuficiente",G56-G60,0)</f>
        <v>0</v>
      </c>
      <c r="H62" s="15">
        <f>G62/$G$39</f>
        <v>0</v>
      </c>
      <c r="R62" s="120">
        <f t="shared" si="5"/>
        <v>55</v>
      </c>
      <c r="S62" s="120">
        <f t="shared" si="2"/>
        <v>7</v>
      </c>
      <c r="T62" s="120">
        <f t="shared" si="3"/>
        <v>10</v>
      </c>
      <c r="U62" s="120">
        <f t="shared" si="4"/>
        <v>11</v>
      </c>
      <c r="W62" s="125">
        <f t="shared" si="6"/>
        <v>55</v>
      </c>
      <c r="X62" s="126"/>
      <c r="Y62" s="126"/>
      <c r="Z62" s="126"/>
    </row>
    <row r="65" spans="6:8" x14ac:dyDescent="0.25">
      <c r="F65" s="9" t="s">
        <v>57</v>
      </c>
    </row>
    <row r="66" spans="6:8" x14ac:dyDescent="0.25">
      <c r="F66" s="6" t="s">
        <v>133</v>
      </c>
      <c r="G66" s="33">
        <f>MAX(IF(C47&lt;3,3-C47,5-C47)*C45*C46,0)</f>
        <v>8.3333333333333481E-2</v>
      </c>
      <c r="H66" s="34" t="s">
        <v>136</v>
      </c>
    </row>
    <row r="67" spans="6:8" x14ac:dyDescent="0.25">
      <c r="F67" s="6" t="s">
        <v>137</v>
      </c>
      <c r="G67" s="23">
        <f>G66*C26*12</f>
        <v>60000.000000000109</v>
      </c>
      <c r="H67" s="15"/>
    </row>
    <row r="68" spans="6:8" x14ac:dyDescent="0.25">
      <c r="F68" s="6" t="s">
        <v>86</v>
      </c>
      <c r="G68" s="23">
        <f>(G67*C48)/1000000</f>
        <v>420.0000000000008</v>
      </c>
      <c r="H68" s="34" t="str">
        <f>IF(C44="No","Contratación","Extensión")</f>
        <v>Extensión</v>
      </c>
    </row>
    <row r="69" spans="6:8" x14ac:dyDescent="0.25">
      <c r="F69" s="6" t="s">
        <v>138</v>
      </c>
      <c r="G69" s="1" t="s">
        <v>139</v>
      </c>
    </row>
    <row r="70" spans="6:8" x14ac:dyDescent="0.25">
      <c r="F70" s="6" t="s">
        <v>140</v>
      </c>
      <c r="G70" s="23">
        <f>((100*C17/5)*12)*C55</f>
        <v>2400000</v>
      </c>
      <c r="H70" s="34" t="s">
        <v>141</v>
      </c>
    </row>
    <row r="71" spans="6:8" x14ac:dyDescent="0.25">
      <c r="F71" s="6" t="s">
        <v>145</v>
      </c>
      <c r="G71" s="23">
        <f>C60*2224556/10000</f>
        <v>0</v>
      </c>
    </row>
    <row r="72" spans="6:8" x14ac:dyDescent="0.25">
      <c r="F72" s="6" t="s">
        <v>146</v>
      </c>
      <c r="G72" s="28"/>
    </row>
    <row r="130" spans="6:8" x14ac:dyDescent="0.25">
      <c r="F130" s="27"/>
      <c r="G130" s="35"/>
      <c r="H130" s="27"/>
    </row>
    <row r="132" spans="6:8" x14ac:dyDescent="0.25">
      <c r="F132" s="22"/>
      <c r="G132" s="28"/>
    </row>
    <row r="133" spans="6:8" x14ac:dyDescent="0.25">
      <c r="F133" s="22"/>
      <c r="G133" s="28"/>
    </row>
    <row r="134" spans="6:8" x14ac:dyDescent="0.25">
      <c r="F134" s="22"/>
      <c r="G134" s="28"/>
    </row>
    <row r="135" spans="6:8" x14ac:dyDescent="0.25">
      <c r="F135" s="22"/>
      <c r="G135" s="28"/>
    </row>
    <row r="136" spans="6:8" x14ac:dyDescent="0.25">
      <c r="F136" s="22"/>
      <c r="G136" s="28"/>
    </row>
    <row r="137" spans="6:8" x14ac:dyDescent="0.25">
      <c r="F137" s="22"/>
      <c r="G137" s="28"/>
    </row>
    <row r="138" spans="6:8" x14ac:dyDescent="0.25">
      <c r="F138" s="22"/>
      <c r="G138" s="28"/>
    </row>
    <row r="139" spans="6:8" x14ac:dyDescent="0.25">
      <c r="F139" s="22"/>
      <c r="G139" s="28"/>
    </row>
    <row r="140" spans="6:8" x14ac:dyDescent="0.25">
      <c r="F140" s="22"/>
      <c r="G140" s="28"/>
    </row>
    <row r="141" spans="6:8" x14ac:dyDescent="0.25">
      <c r="F141" s="22"/>
      <c r="G141" s="28"/>
    </row>
    <row r="142" spans="6:8" x14ac:dyDescent="0.25">
      <c r="F142" s="22"/>
      <c r="G142" s="28"/>
    </row>
    <row r="143" spans="6:8" x14ac:dyDescent="0.25">
      <c r="F143" s="22"/>
      <c r="G143" s="28"/>
    </row>
    <row r="144" spans="6:8" x14ac:dyDescent="0.25">
      <c r="F144" s="22"/>
      <c r="G144" s="28"/>
    </row>
    <row r="145" spans="6:7" x14ac:dyDescent="0.25">
      <c r="F145" s="22"/>
      <c r="G145" s="28"/>
    </row>
    <row r="146" spans="6:7" x14ac:dyDescent="0.25">
      <c r="F146" s="22"/>
      <c r="G146" s="28"/>
    </row>
    <row r="147" spans="6:7" x14ac:dyDescent="0.25">
      <c r="F147" s="22"/>
      <c r="G147" s="28"/>
    </row>
    <row r="148" spans="6:7" x14ac:dyDescent="0.25">
      <c r="F148" s="22"/>
      <c r="G148" s="28"/>
    </row>
    <row r="149" spans="6:7" x14ac:dyDescent="0.25">
      <c r="F149" s="22"/>
      <c r="G149" s="28"/>
    </row>
    <row r="150" spans="6:7" x14ac:dyDescent="0.25">
      <c r="F150" s="22"/>
      <c r="G150" s="28"/>
    </row>
    <row r="151" spans="6:7" x14ac:dyDescent="0.25">
      <c r="F151" s="22"/>
      <c r="G151" s="28"/>
    </row>
    <row r="152" spans="6:7" x14ac:dyDescent="0.25">
      <c r="F152" s="22"/>
      <c r="G152" s="28"/>
    </row>
    <row r="153" spans="6:7" x14ac:dyDescent="0.25">
      <c r="F153" s="22"/>
      <c r="G153" s="28"/>
    </row>
    <row r="159" spans="6:7" x14ac:dyDescent="0.25">
      <c r="F159" s="1"/>
    </row>
    <row r="160" spans="6:7" x14ac:dyDescent="0.25">
      <c r="F160" s="36"/>
      <c r="G160" s="36"/>
    </row>
    <row r="161" spans="6:7" x14ac:dyDescent="0.25">
      <c r="F161" s="36"/>
      <c r="G161" s="36"/>
    </row>
    <row r="162" spans="6:7" x14ac:dyDescent="0.25">
      <c r="F162" s="36"/>
      <c r="G162" s="36"/>
    </row>
    <row r="163" spans="6:7" x14ac:dyDescent="0.25">
      <c r="F163" s="36"/>
      <c r="G163" s="36"/>
    </row>
    <row r="164" spans="6:7" x14ac:dyDescent="0.25">
      <c r="F164" s="36"/>
      <c r="G164" s="36"/>
    </row>
    <row r="165" spans="6:7" x14ac:dyDescent="0.25">
      <c r="F165" s="36"/>
      <c r="G165" s="36"/>
    </row>
    <row r="166" spans="6:7" x14ac:dyDescent="0.25">
      <c r="F166" s="36"/>
      <c r="G166" s="36"/>
    </row>
    <row r="167" spans="6:7" x14ac:dyDescent="0.25">
      <c r="F167" s="36"/>
      <c r="G167" s="36"/>
    </row>
    <row r="168" spans="6:7" x14ac:dyDescent="0.25">
      <c r="F168" s="36"/>
      <c r="G168" s="36"/>
    </row>
    <row r="169" spans="6:7" x14ac:dyDescent="0.25">
      <c r="F169" s="36"/>
      <c r="G169" s="36"/>
    </row>
    <row r="170" spans="6:7" x14ac:dyDescent="0.25">
      <c r="F170" s="36"/>
      <c r="G170" s="36"/>
    </row>
    <row r="171" spans="6:7" x14ac:dyDescent="0.25">
      <c r="F171" s="36"/>
      <c r="G171" s="36"/>
    </row>
    <row r="172" spans="6:7" x14ac:dyDescent="0.25">
      <c r="F172" s="36"/>
      <c r="G172" s="36"/>
    </row>
    <row r="173" spans="6:7" x14ac:dyDescent="0.25">
      <c r="F173" s="36"/>
      <c r="G173" s="36"/>
    </row>
    <row r="174" spans="6:7" x14ac:dyDescent="0.25">
      <c r="F174" s="36"/>
      <c r="G174" s="36"/>
    </row>
    <row r="175" spans="6:7" x14ac:dyDescent="0.25">
      <c r="F175" s="36"/>
      <c r="G175" s="36"/>
    </row>
    <row r="176" spans="6:7" x14ac:dyDescent="0.25">
      <c r="F176" s="36"/>
      <c r="G176" s="36"/>
    </row>
    <row r="177" spans="6:7" x14ac:dyDescent="0.25">
      <c r="F177" s="36"/>
      <c r="G177" s="36"/>
    </row>
    <row r="178" spans="6:7" x14ac:dyDescent="0.25">
      <c r="F178" s="36"/>
      <c r="G178" s="36"/>
    </row>
    <row r="179" spans="6:7" x14ac:dyDescent="0.25">
      <c r="F179" s="36"/>
      <c r="G179" s="36"/>
    </row>
    <row r="180" spans="6:7" x14ac:dyDescent="0.25">
      <c r="F180" s="36"/>
      <c r="G180" s="36"/>
    </row>
    <row r="181" spans="6:7" x14ac:dyDescent="0.25">
      <c r="F181" s="36"/>
      <c r="G181" s="36"/>
    </row>
    <row r="182" spans="6:7" x14ac:dyDescent="0.25">
      <c r="F182" s="36"/>
      <c r="G182" s="36"/>
    </row>
    <row r="183" spans="6:7" x14ac:dyDescent="0.25">
      <c r="F183" s="36"/>
      <c r="G183" s="36"/>
    </row>
    <row r="184" spans="6:7" x14ac:dyDescent="0.25">
      <c r="F184" s="36"/>
      <c r="G184" s="36"/>
    </row>
    <row r="185" spans="6:7" x14ac:dyDescent="0.25">
      <c r="F185" s="36"/>
      <c r="G185" s="36"/>
    </row>
    <row r="186" spans="6:7" x14ac:dyDescent="0.25">
      <c r="F186" s="36"/>
      <c r="G186" s="36"/>
    </row>
    <row r="187" spans="6:7" x14ac:dyDescent="0.25">
      <c r="F187" s="36"/>
      <c r="G187" s="36"/>
    </row>
    <row r="188" spans="6:7" x14ac:dyDescent="0.25">
      <c r="F188" s="36"/>
      <c r="G188" s="36"/>
    </row>
    <row r="189" spans="6:7" x14ac:dyDescent="0.25">
      <c r="F189" s="36"/>
      <c r="G189" s="36"/>
    </row>
    <row r="190" spans="6:7" x14ac:dyDescent="0.25">
      <c r="F190" s="36"/>
      <c r="G190" s="36"/>
    </row>
    <row r="191" spans="6:7" x14ac:dyDescent="0.25">
      <c r="F191" s="36"/>
      <c r="G191" s="36"/>
    </row>
    <row r="192" spans="6:7" x14ac:dyDescent="0.25">
      <c r="F192" s="36"/>
      <c r="G192" s="36"/>
    </row>
    <row r="193" spans="6:7" x14ac:dyDescent="0.25">
      <c r="F193" s="36"/>
      <c r="G193" s="36"/>
    </row>
    <row r="194" spans="6:7" x14ac:dyDescent="0.25">
      <c r="F194" s="36"/>
      <c r="G194" s="36"/>
    </row>
    <row r="195" spans="6:7" x14ac:dyDescent="0.25">
      <c r="F195" s="36"/>
      <c r="G195" s="36"/>
    </row>
    <row r="196" spans="6:7" x14ac:dyDescent="0.25">
      <c r="F196" s="36"/>
      <c r="G196" s="36"/>
    </row>
    <row r="197" spans="6:7" x14ac:dyDescent="0.25">
      <c r="F197" s="36"/>
      <c r="G197" s="36"/>
    </row>
    <row r="198" spans="6:7" x14ac:dyDescent="0.25">
      <c r="F198" s="36"/>
      <c r="G198" s="36"/>
    </row>
    <row r="199" spans="6:7" x14ac:dyDescent="0.25">
      <c r="F199" s="36"/>
      <c r="G199" s="36"/>
    </row>
    <row r="200" spans="6:7" x14ac:dyDescent="0.25">
      <c r="F200" s="36"/>
      <c r="G200" s="36"/>
    </row>
  </sheetData>
  <phoneticPr fontId="12" type="noConversion"/>
  <pageMargins left="0.7" right="0.7" top="0.75" bottom="0.75" header="0.3" footer="0.3"/>
  <pageSetup scale="75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BAF0-9B9F-4DDF-9D2A-084E598D678B}">
  <sheetPr>
    <tabColor rgb="FFFF9999"/>
  </sheetPr>
  <dimension ref="B2:APJ34"/>
  <sheetViews>
    <sheetView showGridLines="0" zoomScaleNormal="100" workbookViewId="0">
      <pane xSplit="2" topLeftCell="ACH1" activePane="topRight" state="frozen"/>
      <selection activeCell="I64" sqref="I64"/>
      <selection pane="topRight" activeCell="I64" sqref="I64"/>
    </sheetView>
  </sheetViews>
  <sheetFormatPr baseColWidth="10" defaultRowHeight="15" x14ac:dyDescent="0.25"/>
  <cols>
    <col min="1" max="1" width="3.5703125" customWidth="1"/>
    <col min="2" max="2" width="25.42578125" customWidth="1"/>
    <col min="3" max="7" width="12.85546875" customWidth="1"/>
    <col min="8" max="8" width="13.7109375" bestFit="1" customWidth="1"/>
    <col min="9" max="1082" width="12.85546875" customWidth="1"/>
  </cols>
  <sheetData>
    <row r="2" spans="2:1082" x14ac:dyDescent="0.25">
      <c r="D2" s="38" t="s">
        <v>153</v>
      </c>
      <c r="G2" s="39" t="s">
        <v>154</v>
      </c>
    </row>
    <row r="3" spans="2:1082" x14ac:dyDescent="0.25">
      <c r="B3" s="40" t="s">
        <v>155</v>
      </c>
      <c r="D3" s="41">
        <f>'Cálculos y Supuestos Edo.Res'!C4</f>
        <v>0.01</v>
      </c>
      <c r="E3" s="42"/>
      <c r="F3" s="42"/>
      <c r="G3" s="40" t="s">
        <v>156</v>
      </c>
      <c r="H3" s="42"/>
      <c r="I3" s="43" t="str">
        <f>IF(D7=0,"N/A",SUMIFS(C20:AOP20,C17:AOP17,D8,C18:AOP18,1))</f>
        <v>N/A</v>
      </c>
      <c r="J3" s="44"/>
    </row>
    <row r="4" spans="2:1082" x14ac:dyDescent="0.25">
      <c r="B4" s="40" t="s">
        <v>241</v>
      </c>
      <c r="D4" s="45">
        <v>0</v>
      </c>
      <c r="F4" s="42"/>
      <c r="G4" s="40" t="s">
        <v>158</v>
      </c>
      <c r="H4" s="42"/>
      <c r="I4" s="46">
        <f>SUMIFS(C20:AOP20,C17:AOP17,D9,C18:AOP18,1)+SUMIFS(C21:AOP21,C17:AOP17,D9,C18:AOP18,1)</f>
        <v>2541787.2603684017</v>
      </c>
    </row>
    <row r="5" spans="2:1082" x14ac:dyDescent="0.25">
      <c r="B5" s="40" t="s">
        <v>239</v>
      </c>
      <c r="D5" s="45">
        <f>'Cálculos y Supuestos Edo.Res'!G51</f>
        <v>2300000</v>
      </c>
      <c r="E5" s="42"/>
      <c r="F5" s="42"/>
      <c r="G5" s="40" t="s">
        <v>160</v>
      </c>
      <c r="H5" s="42"/>
      <c r="I5" s="48">
        <f>(D10-D9)</f>
        <v>30</v>
      </c>
    </row>
    <row r="6" spans="2:1082" x14ac:dyDescent="0.25">
      <c r="B6" s="40" t="s">
        <v>240</v>
      </c>
      <c r="D6" s="47">
        <f>EdadActual</f>
        <v>50</v>
      </c>
      <c r="E6" s="42"/>
      <c r="G6" s="40" t="s">
        <v>163</v>
      </c>
      <c r="H6" s="42"/>
      <c r="I6" s="42">
        <f>I5*12</f>
        <v>360</v>
      </c>
    </row>
    <row r="7" spans="2:1082" ht="15.75" thickBot="1" x14ac:dyDescent="0.3">
      <c r="B7" s="40" t="s">
        <v>161</v>
      </c>
      <c r="D7" s="45">
        <f>'Cálculos y Supuestos Edo.Res'!C40</f>
        <v>0</v>
      </c>
      <c r="E7" s="44" t="s">
        <v>162</v>
      </c>
      <c r="G7" s="40" t="s">
        <v>165</v>
      </c>
      <c r="I7" s="45">
        <f>'Cálculos y Supuestos Edo.Res'!G46</f>
        <v>1448.4412170937503</v>
      </c>
    </row>
    <row r="8" spans="2:1082" ht="15.75" thickBot="1" x14ac:dyDescent="0.3">
      <c r="B8" s="40" t="s">
        <v>164</v>
      </c>
      <c r="D8" s="47">
        <f>EdadActual</f>
        <v>50</v>
      </c>
      <c r="E8" s="44" t="s">
        <v>162</v>
      </c>
      <c r="G8" s="49" t="s">
        <v>168</v>
      </c>
      <c r="H8" s="50"/>
      <c r="I8" s="51">
        <f>PMT(($D$3/12),I6,I4,0,0)*-1</f>
        <v>8175.3923550183972</v>
      </c>
      <c r="J8" s="44" t="s">
        <v>169</v>
      </c>
    </row>
    <row r="9" spans="2:1082" x14ac:dyDescent="0.25">
      <c r="B9" s="40" t="s">
        <v>166</v>
      </c>
      <c r="D9" s="47">
        <f>InicioDesacumulacion</f>
        <v>60</v>
      </c>
      <c r="E9" s="44" t="s">
        <v>167</v>
      </c>
      <c r="I9" s="60"/>
      <c r="J9" s="44"/>
    </row>
    <row r="10" spans="2:1082" x14ac:dyDescent="0.25">
      <c r="B10" s="40" t="s">
        <v>170</v>
      </c>
      <c r="D10" s="47">
        <f>FinRecursos</f>
        <v>90</v>
      </c>
      <c r="E10" s="44" t="s">
        <v>171</v>
      </c>
      <c r="RC10">
        <v>40</v>
      </c>
      <c r="ADC10" t="s">
        <v>172</v>
      </c>
    </row>
    <row r="12" spans="2:1082" x14ac:dyDescent="0.25">
      <c r="E12" s="52"/>
    </row>
    <row r="13" spans="2:1082" x14ac:dyDescent="0.25">
      <c r="E13" s="52"/>
    </row>
    <row r="14" spans="2:1082" x14ac:dyDescent="0.25">
      <c r="B14" s="53" t="s">
        <v>157</v>
      </c>
      <c r="C14" s="54" t="str">
        <f t="shared" ref="C14:BN14" si="0">IF(AND(C18=1,C17=$D$6),"Aportación Inicial","-")</f>
        <v>-</v>
      </c>
      <c r="D14" s="54" t="str">
        <f t="shared" si="0"/>
        <v>-</v>
      </c>
      <c r="E14" s="54" t="str">
        <f t="shared" si="0"/>
        <v>-</v>
      </c>
      <c r="F14" s="54" t="str">
        <f t="shared" si="0"/>
        <v>-</v>
      </c>
      <c r="G14" s="54" t="str">
        <f t="shared" si="0"/>
        <v>-</v>
      </c>
      <c r="H14" s="54" t="str">
        <f t="shared" si="0"/>
        <v>-</v>
      </c>
      <c r="I14" s="54" t="str">
        <f t="shared" si="0"/>
        <v>-</v>
      </c>
      <c r="J14" s="54" t="str">
        <f t="shared" si="0"/>
        <v>-</v>
      </c>
      <c r="K14" s="54" t="str">
        <f t="shared" si="0"/>
        <v>-</v>
      </c>
      <c r="L14" s="54" t="str">
        <f t="shared" si="0"/>
        <v>-</v>
      </c>
      <c r="M14" s="54" t="str">
        <f t="shared" si="0"/>
        <v>-</v>
      </c>
      <c r="N14" s="54" t="str">
        <f t="shared" si="0"/>
        <v>-</v>
      </c>
      <c r="O14" s="54" t="str">
        <f t="shared" si="0"/>
        <v>-</v>
      </c>
      <c r="P14" s="54" t="str">
        <f t="shared" si="0"/>
        <v>-</v>
      </c>
      <c r="Q14" s="54" t="str">
        <f t="shared" si="0"/>
        <v>-</v>
      </c>
      <c r="R14" s="54" t="str">
        <f t="shared" si="0"/>
        <v>-</v>
      </c>
      <c r="S14" s="54" t="str">
        <f t="shared" si="0"/>
        <v>-</v>
      </c>
      <c r="T14" s="54" t="str">
        <f t="shared" si="0"/>
        <v>-</v>
      </c>
      <c r="U14" s="54" t="str">
        <f t="shared" si="0"/>
        <v>-</v>
      </c>
      <c r="V14" s="54" t="str">
        <f t="shared" si="0"/>
        <v>-</v>
      </c>
      <c r="W14" s="54" t="str">
        <f t="shared" si="0"/>
        <v>-</v>
      </c>
      <c r="X14" s="54" t="str">
        <f t="shared" si="0"/>
        <v>-</v>
      </c>
      <c r="Y14" s="54" t="str">
        <f t="shared" si="0"/>
        <v>-</v>
      </c>
      <c r="Z14" s="54" t="str">
        <f t="shared" si="0"/>
        <v>-</v>
      </c>
      <c r="AA14" s="54" t="str">
        <f t="shared" si="0"/>
        <v>-</v>
      </c>
      <c r="AB14" s="54" t="str">
        <f t="shared" si="0"/>
        <v>-</v>
      </c>
      <c r="AC14" s="54" t="str">
        <f t="shared" si="0"/>
        <v>-</v>
      </c>
      <c r="AD14" s="54" t="str">
        <f t="shared" si="0"/>
        <v>-</v>
      </c>
      <c r="AE14" s="54" t="str">
        <f t="shared" si="0"/>
        <v>-</v>
      </c>
      <c r="AF14" s="54" t="str">
        <f t="shared" si="0"/>
        <v>-</v>
      </c>
      <c r="AG14" s="54" t="str">
        <f t="shared" si="0"/>
        <v>-</v>
      </c>
      <c r="AH14" s="54" t="str">
        <f t="shared" si="0"/>
        <v>-</v>
      </c>
      <c r="AI14" s="54" t="str">
        <f t="shared" si="0"/>
        <v>-</v>
      </c>
      <c r="AJ14" s="54" t="str">
        <f t="shared" si="0"/>
        <v>-</v>
      </c>
      <c r="AK14" s="54" t="str">
        <f t="shared" si="0"/>
        <v>-</v>
      </c>
      <c r="AL14" s="54" t="str">
        <f t="shared" si="0"/>
        <v>-</v>
      </c>
      <c r="AM14" s="54" t="str">
        <f t="shared" si="0"/>
        <v>-</v>
      </c>
      <c r="AN14" s="54" t="str">
        <f t="shared" si="0"/>
        <v>-</v>
      </c>
      <c r="AO14" s="54" t="str">
        <f t="shared" si="0"/>
        <v>-</v>
      </c>
      <c r="AP14" s="54" t="str">
        <f t="shared" si="0"/>
        <v>-</v>
      </c>
      <c r="AQ14" s="54" t="str">
        <f t="shared" si="0"/>
        <v>-</v>
      </c>
      <c r="AR14" s="54" t="str">
        <f t="shared" si="0"/>
        <v>-</v>
      </c>
      <c r="AS14" s="54" t="str">
        <f t="shared" si="0"/>
        <v>-</v>
      </c>
      <c r="AT14" s="54" t="str">
        <f t="shared" si="0"/>
        <v>-</v>
      </c>
      <c r="AU14" s="54" t="str">
        <f t="shared" si="0"/>
        <v>-</v>
      </c>
      <c r="AV14" s="54" t="str">
        <f t="shared" si="0"/>
        <v>-</v>
      </c>
      <c r="AW14" s="54" t="str">
        <f t="shared" si="0"/>
        <v>-</v>
      </c>
      <c r="AX14" s="54" t="str">
        <f t="shared" si="0"/>
        <v>-</v>
      </c>
      <c r="AY14" s="54" t="str">
        <f t="shared" si="0"/>
        <v>-</v>
      </c>
      <c r="AZ14" s="54" t="str">
        <f t="shared" si="0"/>
        <v>-</v>
      </c>
      <c r="BA14" s="54" t="str">
        <f t="shared" si="0"/>
        <v>-</v>
      </c>
      <c r="BB14" s="54" t="str">
        <f t="shared" si="0"/>
        <v>-</v>
      </c>
      <c r="BC14" s="54" t="str">
        <f t="shared" si="0"/>
        <v>-</v>
      </c>
      <c r="BD14" s="54" t="str">
        <f t="shared" si="0"/>
        <v>-</v>
      </c>
      <c r="BE14" s="54" t="str">
        <f t="shared" si="0"/>
        <v>-</v>
      </c>
      <c r="BF14" s="54" t="str">
        <f t="shared" si="0"/>
        <v>-</v>
      </c>
      <c r="BG14" s="54" t="str">
        <f t="shared" si="0"/>
        <v>-</v>
      </c>
      <c r="BH14" s="54" t="str">
        <f t="shared" si="0"/>
        <v>-</v>
      </c>
      <c r="BI14" s="54" t="str">
        <f t="shared" si="0"/>
        <v>-</v>
      </c>
      <c r="BJ14" s="54" t="str">
        <f t="shared" si="0"/>
        <v>-</v>
      </c>
      <c r="BK14" s="54" t="str">
        <f t="shared" si="0"/>
        <v>-</v>
      </c>
      <c r="BL14" s="54" t="str">
        <f t="shared" si="0"/>
        <v>-</v>
      </c>
      <c r="BM14" s="54" t="str">
        <f t="shared" si="0"/>
        <v>-</v>
      </c>
      <c r="BN14" s="54" t="str">
        <f t="shared" si="0"/>
        <v>-</v>
      </c>
      <c r="BO14" s="54" t="str">
        <f t="shared" ref="BO14:DZ14" si="1">IF(AND(BO18=1,BO17=$D$6),"Aportación Inicial","-")</f>
        <v>-</v>
      </c>
      <c r="BP14" s="54" t="str">
        <f t="shared" si="1"/>
        <v>-</v>
      </c>
      <c r="BQ14" s="54" t="str">
        <f t="shared" si="1"/>
        <v>-</v>
      </c>
      <c r="BR14" s="54" t="str">
        <f t="shared" si="1"/>
        <v>-</v>
      </c>
      <c r="BS14" s="54" t="str">
        <f t="shared" si="1"/>
        <v>-</v>
      </c>
      <c r="BT14" s="54" t="str">
        <f t="shared" si="1"/>
        <v>-</v>
      </c>
      <c r="BU14" s="54" t="str">
        <f t="shared" si="1"/>
        <v>-</v>
      </c>
      <c r="BV14" s="54" t="str">
        <f t="shared" si="1"/>
        <v>-</v>
      </c>
      <c r="BW14" s="54" t="str">
        <f t="shared" si="1"/>
        <v>-</v>
      </c>
      <c r="BX14" s="54" t="str">
        <f t="shared" si="1"/>
        <v>-</v>
      </c>
      <c r="BY14" s="54" t="str">
        <f t="shared" si="1"/>
        <v>-</v>
      </c>
      <c r="BZ14" s="54" t="str">
        <f t="shared" si="1"/>
        <v>-</v>
      </c>
      <c r="CA14" s="54" t="str">
        <f t="shared" si="1"/>
        <v>-</v>
      </c>
      <c r="CB14" s="54" t="str">
        <f t="shared" si="1"/>
        <v>-</v>
      </c>
      <c r="CC14" s="54" t="str">
        <f t="shared" si="1"/>
        <v>-</v>
      </c>
      <c r="CD14" s="54" t="str">
        <f t="shared" si="1"/>
        <v>-</v>
      </c>
      <c r="CE14" s="54" t="str">
        <f t="shared" si="1"/>
        <v>-</v>
      </c>
      <c r="CF14" s="54" t="str">
        <f t="shared" si="1"/>
        <v>-</v>
      </c>
      <c r="CG14" s="54" t="str">
        <f t="shared" si="1"/>
        <v>-</v>
      </c>
      <c r="CH14" s="54" t="str">
        <f t="shared" si="1"/>
        <v>-</v>
      </c>
      <c r="CI14" s="54" t="str">
        <f t="shared" si="1"/>
        <v>-</v>
      </c>
      <c r="CJ14" s="54" t="str">
        <f t="shared" si="1"/>
        <v>-</v>
      </c>
      <c r="CK14" s="54" t="str">
        <f t="shared" si="1"/>
        <v>-</v>
      </c>
      <c r="CL14" s="54" t="str">
        <f t="shared" si="1"/>
        <v>-</v>
      </c>
      <c r="CM14" s="54" t="str">
        <f t="shared" si="1"/>
        <v>-</v>
      </c>
      <c r="CN14" s="54" t="str">
        <f t="shared" si="1"/>
        <v>-</v>
      </c>
      <c r="CO14" s="54" t="str">
        <f t="shared" si="1"/>
        <v>-</v>
      </c>
      <c r="CP14" s="54" t="str">
        <f t="shared" si="1"/>
        <v>-</v>
      </c>
      <c r="CQ14" s="54" t="str">
        <f t="shared" si="1"/>
        <v>-</v>
      </c>
      <c r="CR14" s="54" t="str">
        <f t="shared" si="1"/>
        <v>-</v>
      </c>
      <c r="CS14" s="54" t="str">
        <f t="shared" si="1"/>
        <v>-</v>
      </c>
      <c r="CT14" s="54" t="str">
        <f t="shared" si="1"/>
        <v>-</v>
      </c>
      <c r="CU14" s="54" t="str">
        <f t="shared" si="1"/>
        <v>-</v>
      </c>
      <c r="CV14" s="54" t="str">
        <f t="shared" si="1"/>
        <v>-</v>
      </c>
      <c r="CW14" s="54" t="str">
        <f t="shared" si="1"/>
        <v>-</v>
      </c>
      <c r="CX14" s="54" t="str">
        <f t="shared" si="1"/>
        <v>-</v>
      </c>
      <c r="CY14" s="54" t="str">
        <f t="shared" si="1"/>
        <v>-</v>
      </c>
      <c r="CZ14" s="54" t="str">
        <f t="shared" si="1"/>
        <v>-</v>
      </c>
      <c r="DA14" s="54" t="str">
        <f t="shared" si="1"/>
        <v>-</v>
      </c>
      <c r="DB14" s="54" t="str">
        <f t="shared" si="1"/>
        <v>-</v>
      </c>
      <c r="DC14" s="54" t="str">
        <f t="shared" si="1"/>
        <v>-</v>
      </c>
      <c r="DD14" s="54" t="str">
        <f t="shared" si="1"/>
        <v>-</v>
      </c>
      <c r="DE14" s="54" t="str">
        <f t="shared" si="1"/>
        <v>-</v>
      </c>
      <c r="DF14" s="54" t="str">
        <f t="shared" si="1"/>
        <v>-</v>
      </c>
      <c r="DG14" s="54" t="str">
        <f t="shared" si="1"/>
        <v>-</v>
      </c>
      <c r="DH14" s="54" t="str">
        <f t="shared" si="1"/>
        <v>-</v>
      </c>
      <c r="DI14" s="54" t="str">
        <f t="shared" si="1"/>
        <v>-</v>
      </c>
      <c r="DJ14" s="54" t="str">
        <f t="shared" si="1"/>
        <v>-</v>
      </c>
      <c r="DK14" s="54" t="str">
        <f t="shared" si="1"/>
        <v>-</v>
      </c>
      <c r="DL14" s="54" t="str">
        <f t="shared" si="1"/>
        <v>-</v>
      </c>
      <c r="DM14" s="54" t="str">
        <f t="shared" si="1"/>
        <v>-</v>
      </c>
      <c r="DN14" s="54" t="str">
        <f t="shared" si="1"/>
        <v>-</v>
      </c>
      <c r="DO14" s="54" t="str">
        <f t="shared" si="1"/>
        <v>-</v>
      </c>
      <c r="DP14" s="54" t="str">
        <f t="shared" si="1"/>
        <v>-</v>
      </c>
      <c r="DQ14" s="54" t="str">
        <f t="shared" si="1"/>
        <v>-</v>
      </c>
      <c r="DR14" s="54" t="str">
        <f t="shared" si="1"/>
        <v>-</v>
      </c>
      <c r="DS14" s="54" t="str">
        <f t="shared" si="1"/>
        <v>-</v>
      </c>
      <c r="DT14" s="54" t="str">
        <f t="shared" si="1"/>
        <v>-</v>
      </c>
      <c r="DU14" s="54" t="str">
        <f t="shared" si="1"/>
        <v>-</v>
      </c>
      <c r="DV14" s="54" t="str">
        <f t="shared" si="1"/>
        <v>-</v>
      </c>
      <c r="DW14" s="54" t="str">
        <f t="shared" si="1"/>
        <v>-</v>
      </c>
      <c r="DX14" s="54" t="str">
        <f t="shared" si="1"/>
        <v>-</v>
      </c>
      <c r="DY14" s="54" t="str">
        <f t="shared" si="1"/>
        <v>-</v>
      </c>
      <c r="DZ14" s="54" t="str">
        <f t="shared" si="1"/>
        <v>-</v>
      </c>
      <c r="EA14" s="54" t="str">
        <f t="shared" ref="EA14:GL14" si="2">IF(AND(EA18=1,EA17=$D$6),"Aportación Inicial","-")</f>
        <v>-</v>
      </c>
      <c r="EB14" s="54" t="str">
        <f t="shared" si="2"/>
        <v>-</v>
      </c>
      <c r="EC14" s="54" t="str">
        <f t="shared" si="2"/>
        <v>-</v>
      </c>
      <c r="ED14" s="54" t="str">
        <f t="shared" si="2"/>
        <v>-</v>
      </c>
      <c r="EE14" s="54" t="str">
        <f t="shared" si="2"/>
        <v>-</v>
      </c>
      <c r="EF14" s="54" t="str">
        <f t="shared" si="2"/>
        <v>-</v>
      </c>
      <c r="EG14" s="54" t="str">
        <f t="shared" si="2"/>
        <v>-</v>
      </c>
      <c r="EH14" s="54" t="str">
        <f t="shared" si="2"/>
        <v>-</v>
      </c>
      <c r="EI14" s="54" t="str">
        <f t="shared" si="2"/>
        <v>-</v>
      </c>
      <c r="EJ14" s="54" t="str">
        <f t="shared" si="2"/>
        <v>-</v>
      </c>
      <c r="EK14" s="54" t="str">
        <f t="shared" si="2"/>
        <v>-</v>
      </c>
      <c r="EL14" s="54" t="str">
        <f t="shared" si="2"/>
        <v>-</v>
      </c>
      <c r="EM14" s="54" t="str">
        <f t="shared" si="2"/>
        <v>-</v>
      </c>
      <c r="EN14" s="54" t="str">
        <f t="shared" si="2"/>
        <v>-</v>
      </c>
      <c r="EO14" s="54" t="str">
        <f t="shared" si="2"/>
        <v>-</v>
      </c>
      <c r="EP14" s="54" t="str">
        <f t="shared" si="2"/>
        <v>-</v>
      </c>
      <c r="EQ14" s="54" t="str">
        <f t="shared" si="2"/>
        <v>-</v>
      </c>
      <c r="ER14" s="54" t="str">
        <f t="shared" si="2"/>
        <v>-</v>
      </c>
      <c r="ES14" s="54" t="str">
        <f t="shared" si="2"/>
        <v>-</v>
      </c>
      <c r="ET14" s="54" t="str">
        <f t="shared" si="2"/>
        <v>-</v>
      </c>
      <c r="EU14" s="54" t="str">
        <f t="shared" si="2"/>
        <v>-</v>
      </c>
      <c r="EV14" s="54" t="str">
        <f t="shared" si="2"/>
        <v>-</v>
      </c>
      <c r="EW14" s="54" t="str">
        <f t="shared" si="2"/>
        <v>-</v>
      </c>
      <c r="EX14" s="54" t="str">
        <f t="shared" si="2"/>
        <v>-</v>
      </c>
      <c r="EY14" s="54" t="str">
        <f t="shared" si="2"/>
        <v>-</v>
      </c>
      <c r="EZ14" s="54" t="str">
        <f t="shared" si="2"/>
        <v>-</v>
      </c>
      <c r="FA14" s="54" t="str">
        <f t="shared" si="2"/>
        <v>-</v>
      </c>
      <c r="FB14" s="54" t="str">
        <f t="shared" si="2"/>
        <v>-</v>
      </c>
      <c r="FC14" s="54" t="str">
        <f t="shared" si="2"/>
        <v>-</v>
      </c>
      <c r="FD14" s="54" t="str">
        <f t="shared" si="2"/>
        <v>-</v>
      </c>
      <c r="FE14" s="54" t="str">
        <f t="shared" si="2"/>
        <v>-</v>
      </c>
      <c r="FF14" s="54" t="str">
        <f t="shared" si="2"/>
        <v>-</v>
      </c>
      <c r="FG14" s="54" t="str">
        <f t="shared" si="2"/>
        <v>-</v>
      </c>
      <c r="FH14" s="54" t="str">
        <f t="shared" si="2"/>
        <v>-</v>
      </c>
      <c r="FI14" s="54" t="str">
        <f t="shared" si="2"/>
        <v>-</v>
      </c>
      <c r="FJ14" s="54" t="str">
        <f t="shared" si="2"/>
        <v>-</v>
      </c>
      <c r="FK14" s="54" t="str">
        <f t="shared" si="2"/>
        <v>-</v>
      </c>
      <c r="FL14" s="54" t="str">
        <f t="shared" si="2"/>
        <v>-</v>
      </c>
      <c r="FM14" s="54" t="str">
        <f t="shared" si="2"/>
        <v>-</v>
      </c>
      <c r="FN14" s="54" t="str">
        <f t="shared" si="2"/>
        <v>-</v>
      </c>
      <c r="FO14" s="54" t="str">
        <f t="shared" si="2"/>
        <v>-</v>
      </c>
      <c r="FP14" s="54" t="str">
        <f t="shared" si="2"/>
        <v>-</v>
      </c>
      <c r="FQ14" s="54" t="str">
        <f t="shared" si="2"/>
        <v>-</v>
      </c>
      <c r="FR14" s="54" t="str">
        <f t="shared" si="2"/>
        <v>-</v>
      </c>
      <c r="FS14" s="54" t="str">
        <f t="shared" si="2"/>
        <v>-</v>
      </c>
      <c r="FT14" s="54" t="str">
        <f t="shared" si="2"/>
        <v>-</v>
      </c>
      <c r="FU14" s="54" t="str">
        <f t="shared" si="2"/>
        <v>-</v>
      </c>
      <c r="FV14" s="54" t="str">
        <f t="shared" si="2"/>
        <v>-</v>
      </c>
      <c r="FW14" s="54" t="str">
        <f t="shared" si="2"/>
        <v>-</v>
      </c>
      <c r="FX14" s="54" t="str">
        <f t="shared" si="2"/>
        <v>-</v>
      </c>
      <c r="FY14" s="54" t="str">
        <f t="shared" si="2"/>
        <v>-</v>
      </c>
      <c r="FZ14" s="54" t="str">
        <f t="shared" si="2"/>
        <v>-</v>
      </c>
      <c r="GA14" s="54" t="str">
        <f t="shared" si="2"/>
        <v>-</v>
      </c>
      <c r="GB14" s="54" t="str">
        <f t="shared" si="2"/>
        <v>-</v>
      </c>
      <c r="GC14" s="54" t="str">
        <f t="shared" si="2"/>
        <v>-</v>
      </c>
      <c r="GD14" s="54" t="str">
        <f t="shared" si="2"/>
        <v>-</v>
      </c>
      <c r="GE14" s="54" t="str">
        <f t="shared" si="2"/>
        <v>-</v>
      </c>
      <c r="GF14" s="54" t="str">
        <f t="shared" si="2"/>
        <v>-</v>
      </c>
      <c r="GG14" s="54" t="str">
        <f t="shared" si="2"/>
        <v>-</v>
      </c>
      <c r="GH14" s="54" t="str">
        <f t="shared" si="2"/>
        <v>-</v>
      </c>
      <c r="GI14" s="54" t="str">
        <f t="shared" si="2"/>
        <v>-</v>
      </c>
      <c r="GJ14" s="54" t="str">
        <f t="shared" si="2"/>
        <v>-</v>
      </c>
      <c r="GK14" s="54" t="str">
        <f t="shared" si="2"/>
        <v>-</v>
      </c>
      <c r="GL14" s="54" t="str">
        <f t="shared" si="2"/>
        <v>-</v>
      </c>
      <c r="GM14" s="54" t="str">
        <f t="shared" ref="GM14:IX14" si="3">IF(AND(GM18=1,GM17=$D$6),"Aportación Inicial","-")</f>
        <v>-</v>
      </c>
      <c r="GN14" s="54" t="str">
        <f t="shared" si="3"/>
        <v>-</v>
      </c>
      <c r="GO14" s="54" t="str">
        <f t="shared" si="3"/>
        <v>-</v>
      </c>
      <c r="GP14" s="54" t="str">
        <f t="shared" si="3"/>
        <v>-</v>
      </c>
      <c r="GQ14" s="54" t="str">
        <f t="shared" si="3"/>
        <v>-</v>
      </c>
      <c r="GR14" s="54" t="str">
        <f t="shared" si="3"/>
        <v>-</v>
      </c>
      <c r="GS14" s="54" t="str">
        <f t="shared" si="3"/>
        <v>-</v>
      </c>
      <c r="GT14" s="54" t="str">
        <f t="shared" si="3"/>
        <v>-</v>
      </c>
      <c r="GU14" s="54" t="str">
        <f t="shared" si="3"/>
        <v>-</v>
      </c>
      <c r="GV14" s="54" t="str">
        <f t="shared" si="3"/>
        <v>-</v>
      </c>
      <c r="GW14" s="54" t="str">
        <f t="shared" si="3"/>
        <v>-</v>
      </c>
      <c r="GX14" s="54" t="str">
        <f t="shared" si="3"/>
        <v>-</v>
      </c>
      <c r="GY14" s="54" t="str">
        <f t="shared" si="3"/>
        <v>-</v>
      </c>
      <c r="GZ14" s="54" t="str">
        <f t="shared" si="3"/>
        <v>-</v>
      </c>
      <c r="HA14" s="54" t="str">
        <f t="shared" si="3"/>
        <v>-</v>
      </c>
      <c r="HB14" s="54" t="str">
        <f t="shared" si="3"/>
        <v>-</v>
      </c>
      <c r="HC14" s="54" t="str">
        <f t="shared" si="3"/>
        <v>-</v>
      </c>
      <c r="HD14" s="54" t="str">
        <f t="shared" si="3"/>
        <v>-</v>
      </c>
      <c r="HE14" s="54" t="str">
        <f t="shared" si="3"/>
        <v>-</v>
      </c>
      <c r="HF14" s="54" t="str">
        <f t="shared" si="3"/>
        <v>-</v>
      </c>
      <c r="HG14" s="54" t="str">
        <f t="shared" si="3"/>
        <v>-</v>
      </c>
      <c r="HH14" s="54" t="str">
        <f t="shared" si="3"/>
        <v>-</v>
      </c>
      <c r="HI14" s="54" t="str">
        <f t="shared" si="3"/>
        <v>-</v>
      </c>
      <c r="HJ14" s="54" t="str">
        <f t="shared" si="3"/>
        <v>-</v>
      </c>
      <c r="HK14" s="54" t="str">
        <f t="shared" si="3"/>
        <v>-</v>
      </c>
      <c r="HL14" s="54" t="str">
        <f t="shared" si="3"/>
        <v>-</v>
      </c>
      <c r="HM14" s="54" t="str">
        <f t="shared" si="3"/>
        <v>-</v>
      </c>
      <c r="HN14" s="54" t="str">
        <f t="shared" si="3"/>
        <v>-</v>
      </c>
      <c r="HO14" s="54" t="str">
        <f t="shared" si="3"/>
        <v>-</v>
      </c>
      <c r="HP14" s="54" t="str">
        <f t="shared" si="3"/>
        <v>-</v>
      </c>
      <c r="HQ14" s="54" t="str">
        <f t="shared" si="3"/>
        <v>-</v>
      </c>
      <c r="HR14" s="54" t="str">
        <f t="shared" si="3"/>
        <v>-</v>
      </c>
      <c r="HS14" s="54" t="str">
        <f t="shared" si="3"/>
        <v>-</v>
      </c>
      <c r="HT14" s="54" t="str">
        <f t="shared" si="3"/>
        <v>-</v>
      </c>
      <c r="HU14" s="54" t="str">
        <f t="shared" si="3"/>
        <v>-</v>
      </c>
      <c r="HV14" s="54" t="str">
        <f t="shared" si="3"/>
        <v>-</v>
      </c>
      <c r="HW14" s="54" t="str">
        <f t="shared" si="3"/>
        <v>-</v>
      </c>
      <c r="HX14" s="54" t="str">
        <f t="shared" si="3"/>
        <v>-</v>
      </c>
      <c r="HY14" s="54" t="str">
        <f t="shared" si="3"/>
        <v>-</v>
      </c>
      <c r="HZ14" s="54" t="str">
        <f t="shared" si="3"/>
        <v>-</v>
      </c>
      <c r="IA14" s="54" t="str">
        <f t="shared" si="3"/>
        <v>-</v>
      </c>
      <c r="IB14" s="54" t="str">
        <f t="shared" si="3"/>
        <v>-</v>
      </c>
      <c r="IC14" s="54" t="str">
        <f t="shared" si="3"/>
        <v>-</v>
      </c>
      <c r="ID14" s="54" t="str">
        <f t="shared" si="3"/>
        <v>-</v>
      </c>
      <c r="IE14" s="54" t="str">
        <f t="shared" si="3"/>
        <v>-</v>
      </c>
      <c r="IF14" s="54" t="str">
        <f t="shared" si="3"/>
        <v>-</v>
      </c>
      <c r="IG14" s="54" t="str">
        <f t="shared" si="3"/>
        <v>-</v>
      </c>
      <c r="IH14" s="54" t="str">
        <f t="shared" si="3"/>
        <v>-</v>
      </c>
      <c r="II14" s="54" t="str">
        <f t="shared" si="3"/>
        <v>-</v>
      </c>
      <c r="IJ14" s="54" t="str">
        <f t="shared" si="3"/>
        <v>-</v>
      </c>
      <c r="IK14" s="54" t="str">
        <f t="shared" si="3"/>
        <v>-</v>
      </c>
      <c r="IL14" s="54" t="str">
        <f t="shared" si="3"/>
        <v>-</v>
      </c>
      <c r="IM14" s="54" t="str">
        <f t="shared" si="3"/>
        <v>-</v>
      </c>
      <c r="IN14" s="54" t="str">
        <f t="shared" si="3"/>
        <v>-</v>
      </c>
      <c r="IO14" s="54" t="str">
        <f t="shared" si="3"/>
        <v>-</v>
      </c>
      <c r="IP14" s="54" t="str">
        <f t="shared" si="3"/>
        <v>-</v>
      </c>
      <c r="IQ14" s="54" t="str">
        <f t="shared" si="3"/>
        <v>-</v>
      </c>
      <c r="IR14" s="54" t="str">
        <f t="shared" si="3"/>
        <v>-</v>
      </c>
      <c r="IS14" s="54" t="str">
        <f t="shared" si="3"/>
        <v>-</v>
      </c>
      <c r="IT14" s="54" t="str">
        <f t="shared" si="3"/>
        <v>-</v>
      </c>
      <c r="IU14" s="54" t="str">
        <f t="shared" si="3"/>
        <v>-</v>
      </c>
      <c r="IV14" s="54" t="str">
        <f t="shared" si="3"/>
        <v>-</v>
      </c>
      <c r="IW14" s="54" t="str">
        <f t="shared" si="3"/>
        <v>-</v>
      </c>
      <c r="IX14" s="54" t="str">
        <f t="shared" si="3"/>
        <v>-</v>
      </c>
      <c r="IY14" s="54" t="str">
        <f t="shared" ref="IY14:LJ14" si="4">IF(AND(IY18=1,IY17=$D$6),"Aportación Inicial","-")</f>
        <v>-</v>
      </c>
      <c r="IZ14" s="54" t="str">
        <f t="shared" si="4"/>
        <v>-</v>
      </c>
      <c r="JA14" s="54" t="str">
        <f t="shared" si="4"/>
        <v>-</v>
      </c>
      <c r="JB14" s="54" t="str">
        <f t="shared" si="4"/>
        <v>-</v>
      </c>
      <c r="JC14" s="54" t="str">
        <f t="shared" si="4"/>
        <v>-</v>
      </c>
      <c r="JD14" s="54" t="str">
        <f t="shared" si="4"/>
        <v>-</v>
      </c>
      <c r="JE14" s="54" t="str">
        <f t="shared" si="4"/>
        <v>-</v>
      </c>
      <c r="JF14" s="54" t="str">
        <f t="shared" si="4"/>
        <v>-</v>
      </c>
      <c r="JG14" s="54" t="str">
        <f t="shared" si="4"/>
        <v>-</v>
      </c>
      <c r="JH14" s="54" t="str">
        <f t="shared" si="4"/>
        <v>-</v>
      </c>
      <c r="JI14" s="54" t="str">
        <f t="shared" si="4"/>
        <v>-</v>
      </c>
      <c r="JJ14" s="54" t="str">
        <f t="shared" si="4"/>
        <v>-</v>
      </c>
      <c r="JK14" s="54" t="str">
        <f t="shared" si="4"/>
        <v>-</v>
      </c>
      <c r="JL14" s="54" t="str">
        <f t="shared" si="4"/>
        <v>-</v>
      </c>
      <c r="JM14" s="54" t="str">
        <f t="shared" si="4"/>
        <v>-</v>
      </c>
      <c r="JN14" s="54" t="str">
        <f t="shared" si="4"/>
        <v>-</v>
      </c>
      <c r="JO14" s="54" t="str">
        <f t="shared" si="4"/>
        <v>-</v>
      </c>
      <c r="JP14" s="54" t="str">
        <f t="shared" si="4"/>
        <v>-</v>
      </c>
      <c r="JQ14" s="54" t="str">
        <f t="shared" si="4"/>
        <v>-</v>
      </c>
      <c r="JR14" s="54" t="str">
        <f t="shared" si="4"/>
        <v>-</v>
      </c>
      <c r="JS14" s="54" t="str">
        <f t="shared" si="4"/>
        <v>-</v>
      </c>
      <c r="JT14" s="54" t="str">
        <f t="shared" si="4"/>
        <v>-</v>
      </c>
      <c r="JU14" s="54" t="str">
        <f t="shared" si="4"/>
        <v>-</v>
      </c>
      <c r="JV14" s="54" t="str">
        <f t="shared" si="4"/>
        <v>-</v>
      </c>
      <c r="JW14" s="54" t="str">
        <f t="shared" si="4"/>
        <v>-</v>
      </c>
      <c r="JX14" s="54" t="str">
        <f t="shared" si="4"/>
        <v>-</v>
      </c>
      <c r="JY14" s="54" t="str">
        <f t="shared" si="4"/>
        <v>-</v>
      </c>
      <c r="JZ14" s="54" t="str">
        <f t="shared" si="4"/>
        <v>-</v>
      </c>
      <c r="KA14" s="54" t="str">
        <f t="shared" si="4"/>
        <v>-</v>
      </c>
      <c r="KB14" s="54" t="str">
        <f t="shared" si="4"/>
        <v>-</v>
      </c>
      <c r="KC14" s="54" t="str">
        <f t="shared" si="4"/>
        <v>-</v>
      </c>
      <c r="KD14" s="54" t="str">
        <f t="shared" si="4"/>
        <v>-</v>
      </c>
      <c r="KE14" s="54" t="str">
        <f t="shared" si="4"/>
        <v>-</v>
      </c>
      <c r="KF14" s="54" t="str">
        <f t="shared" si="4"/>
        <v>-</v>
      </c>
      <c r="KG14" s="54" t="str">
        <f t="shared" si="4"/>
        <v>-</v>
      </c>
      <c r="KH14" s="54" t="str">
        <f t="shared" si="4"/>
        <v>-</v>
      </c>
      <c r="KI14" s="54" t="str">
        <f t="shared" si="4"/>
        <v>-</v>
      </c>
      <c r="KJ14" s="54" t="str">
        <f t="shared" si="4"/>
        <v>-</v>
      </c>
      <c r="KK14" s="54" t="str">
        <f t="shared" si="4"/>
        <v>-</v>
      </c>
      <c r="KL14" s="54" t="str">
        <f t="shared" si="4"/>
        <v>-</v>
      </c>
      <c r="KM14" s="54" t="str">
        <f t="shared" si="4"/>
        <v>-</v>
      </c>
      <c r="KN14" s="54" t="str">
        <f t="shared" si="4"/>
        <v>-</v>
      </c>
      <c r="KO14" s="54" t="str">
        <f t="shared" si="4"/>
        <v>-</v>
      </c>
      <c r="KP14" s="54" t="str">
        <f t="shared" si="4"/>
        <v>-</v>
      </c>
      <c r="KQ14" s="54" t="str">
        <f t="shared" si="4"/>
        <v>-</v>
      </c>
      <c r="KR14" s="54" t="str">
        <f t="shared" si="4"/>
        <v>-</v>
      </c>
      <c r="KS14" s="54" t="str">
        <f t="shared" si="4"/>
        <v>-</v>
      </c>
      <c r="KT14" s="54" t="str">
        <f t="shared" si="4"/>
        <v>-</v>
      </c>
      <c r="KU14" s="54" t="str">
        <f t="shared" si="4"/>
        <v>-</v>
      </c>
      <c r="KV14" s="54" t="str">
        <f t="shared" si="4"/>
        <v>-</v>
      </c>
      <c r="KW14" s="54" t="str">
        <f t="shared" si="4"/>
        <v>-</v>
      </c>
      <c r="KX14" s="54" t="str">
        <f t="shared" si="4"/>
        <v>-</v>
      </c>
      <c r="KY14" s="54" t="str">
        <f t="shared" si="4"/>
        <v>-</v>
      </c>
      <c r="KZ14" s="54" t="str">
        <f t="shared" si="4"/>
        <v>-</v>
      </c>
      <c r="LA14" s="54" t="str">
        <f t="shared" si="4"/>
        <v>-</v>
      </c>
      <c r="LB14" s="54" t="str">
        <f t="shared" si="4"/>
        <v>-</v>
      </c>
      <c r="LC14" s="54" t="str">
        <f t="shared" si="4"/>
        <v>-</v>
      </c>
      <c r="LD14" s="54" t="str">
        <f t="shared" si="4"/>
        <v>-</v>
      </c>
      <c r="LE14" s="54" t="str">
        <f t="shared" si="4"/>
        <v>-</v>
      </c>
      <c r="LF14" s="54" t="str">
        <f t="shared" si="4"/>
        <v>-</v>
      </c>
      <c r="LG14" s="54" t="str">
        <f t="shared" si="4"/>
        <v>-</v>
      </c>
      <c r="LH14" s="54" t="str">
        <f t="shared" si="4"/>
        <v>-</v>
      </c>
      <c r="LI14" s="54" t="str">
        <f t="shared" si="4"/>
        <v>-</v>
      </c>
      <c r="LJ14" s="54" t="str">
        <f t="shared" si="4"/>
        <v>-</v>
      </c>
      <c r="LK14" s="54" t="str">
        <f t="shared" ref="LK14:NV14" si="5">IF(AND(LK18=1,LK17=$D$6),"Aportación Inicial","-")</f>
        <v>-</v>
      </c>
      <c r="LL14" s="54" t="str">
        <f t="shared" si="5"/>
        <v>-</v>
      </c>
      <c r="LM14" s="54" t="str">
        <f t="shared" si="5"/>
        <v>-</v>
      </c>
      <c r="LN14" s="54" t="str">
        <f t="shared" si="5"/>
        <v>-</v>
      </c>
      <c r="LO14" s="54" t="str">
        <f t="shared" si="5"/>
        <v>-</v>
      </c>
      <c r="LP14" s="54" t="str">
        <f t="shared" si="5"/>
        <v>-</v>
      </c>
      <c r="LQ14" s="54" t="str">
        <f t="shared" si="5"/>
        <v>-</v>
      </c>
      <c r="LR14" s="54" t="str">
        <f t="shared" si="5"/>
        <v>-</v>
      </c>
      <c r="LS14" s="54" t="str">
        <f t="shared" si="5"/>
        <v>-</v>
      </c>
      <c r="LT14" s="54" t="str">
        <f t="shared" si="5"/>
        <v>-</v>
      </c>
      <c r="LU14" s="54" t="str">
        <f t="shared" si="5"/>
        <v>-</v>
      </c>
      <c r="LV14" s="54" t="str">
        <f t="shared" si="5"/>
        <v>-</v>
      </c>
      <c r="LW14" s="54" t="str">
        <f t="shared" si="5"/>
        <v>-</v>
      </c>
      <c r="LX14" s="54" t="str">
        <f t="shared" si="5"/>
        <v>-</v>
      </c>
      <c r="LY14" s="54" t="str">
        <f t="shared" si="5"/>
        <v>-</v>
      </c>
      <c r="LZ14" s="54" t="str">
        <f t="shared" si="5"/>
        <v>-</v>
      </c>
      <c r="MA14" s="54" t="str">
        <f t="shared" si="5"/>
        <v>-</v>
      </c>
      <c r="MB14" s="54" t="str">
        <f t="shared" si="5"/>
        <v>-</v>
      </c>
      <c r="MC14" s="54" t="str">
        <f t="shared" si="5"/>
        <v>-</v>
      </c>
      <c r="MD14" s="54" t="str">
        <f t="shared" si="5"/>
        <v>-</v>
      </c>
      <c r="ME14" s="54" t="str">
        <f t="shared" si="5"/>
        <v>-</v>
      </c>
      <c r="MF14" s="54" t="str">
        <f t="shared" si="5"/>
        <v>-</v>
      </c>
      <c r="MG14" s="54" t="str">
        <f t="shared" si="5"/>
        <v>-</v>
      </c>
      <c r="MH14" s="54" t="str">
        <f t="shared" si="5"/>
        <v>-</v>
      </c>
      <c r="MI14" s="54" t="str">
        <f t="shared" si="5"/>
        <v>-</v>
      </c>
      <c r="MJ14" s="54" t="str">
        <f t="shared" si="5"/>
        <v>-</v>
      </c>
      <c r="MK14" s="54" t="str">
        <f t="shared" si="5"/>
        <v>-</v>
      </c>
      <c r="ML14" s="54" t="str">
        <f t="shared" si="5"/>
        <v>-</v>
      </c>
      <c r="MM14" s="54" t="str">
        <f t="shared" si="5"/>
        <v>-</v>
      </c>
      <c r="MN14" s="54" t="str">
        <f t="shared" si="5"/>
        <v>-</v>
      </c>
      <c r="MO14" s="54" t="str">
        <f t="shared" si="5"/>
        <v>-</v>
      </c>
      <c r="MP14" s="54" t="str">
        <f t="shared" si="5"/>
        <v>-</v>
      </c>
      <c r="MQ14" s="54" t="str">
        <f t="shared" si="5"/>
        <v>-</v>
      </c>
      <c r="MR14" s="54" t="str">
        <f t="shared" si="5"/>
        <v>-</v>
      </c>
      <c r="MS14" s="54" t="str">
        <f t="shared" si="5"/>
        <v>-</v>
      </c>
      <c r="MT14" s="54" t="str">
        <f t="shared" si="5"/>
        <v>-</v>
      </c>
      <c r="MU14" s="54" t="str">
        <f t="shared" si="5"/>
        <v>-</v>
      </c>
      <c r="MV14" s="54" t="str">
        <f t="shared" si="5"/>
        <v>-</v>
      </c>
      <c r="MW14" s="54" t="str">
        <f t="shared" si="5"/>
        <v>-</v>
      </c>
      <c r="MX14" s="54" t="str">
        <f t="shared" si="5"/>
        <v>-</v>
      </c>
      <c r="MY14" s="54" t="str">
        <f t="shared" si="5"/>
        <v>-</v>
      </c>
      <c r="MZ14" s="54" t="str">
        <f t="shared" si="5"/>
        <v>-</v>
      </c>
      <c r="NA14" s="54" t="str">
        <f t="shared" si="5"/>
        <v>-</v>
      </c>
      <c r="NB14" s="54" t="str">
        <f t="shared" si="5"/>
        <v>-</v>
      </c>
      <c r="NC14" s="54" t="str">
        <f t="shared" si="5"/>
        <v>-</v>
      </c>
      <c r="ND14" s="54" t="str">
        <f t="shared" si="5"/>
        <v>-</v>
      </c>
      <c r="NE14" s="54" t="str">
        <f t="shared" si="5"/>
        <v>-</v>
      </c>
      <c r="NF14" s="54" t="str">
        <f t="shared" si="5"/>
        <v>-</v>
      </c>
      <c r="NG14" s="54" t="str">
        <f t="shared" si="5"/>
        <v>-</v>
      </c>
      <c r="NH14" s="54" t="str">
        <f t="shared" si="5"/>
        <v>-</v>
      </c>
      <c r="NI14" s="54" t="str">
        <f t="shared" si="5"/>
        <v>-</v>
      </c>
      <c r="NJ14" s="54" t="str">
        <f t="shared" si="5"/>
        <v>-</v>
      </c>
      <c r="NK14" s="54" t="str">
        <f t="shared" si="5"/>
        <v>-</v>
      </c>
      <c r="NL14" s="54" t="str">
        <f t="shared" si="5"/>
        <v>-</v>
      </c>
      <c r="NM14" s="54" t="str">
        <f t="shared" si="5"/>
        <v>-</v>
      </c>
      <c r="NN14" s="54" t="str">
        <f t="shared" si="5"/>
        <v>-</v>
      </c>
      <c r="NO14" s="54" t="str">
        <f t="shared" si="5"/>
        <v>-</v>
      </c>
      <c r="NP14" s="54" t="str">
        <f t="shared" si="5"/>
        <v>-</v>
      </c>
      <c r="NQ14" s="54" t="str">
        <f t="shared" si="5"/>
        <v>-</v>
      </c>
      <c r="NR14" s="54" t="str">
        <f t="shared" si="5"/>
        <v>-</v>
      </c>
      <c r="NS14" s="54" t="str">
        <f t="shared" si="5"/>
        <v>-</v>
      </c>
      <c r="NT14" s="54" t="str">
        <f t="shared" si="5"/>
        <v>-</v>
      </c>
      <c r="NU14" s="54" t="str">
        <f t="shared" si="5"/>
        <v>-</v>
      </c>
      <c r="NV14" s="54" t="str">
        <f t="shared" si="5"/>
        <v>-</v>
      </c>
      <c r="NW14" s="54" t="str">
        <f t="shared" ref="NW14:QH14" si="6">IF(AND(NW18=1,NW17=$D$6),"Aportación Inicial","-")</f>
        <v>-</v>
      </c>
      <c r="NX14" s="54" t="str">
        <f t="shared" si="6"/>
        <v>-</v>
      </c>
      <c r="NY14" s="54" t="str">
        <f t="shared" si="6"/>
        <v>-</v>
      </c>
      <c r="NZ14" s="54" t="str">
        <f t="shared" si="6"/>
        <v>-</v>
      </c>
      <c r="OA14" s="54" t="str">
        <f t="shared" si="6"/>
        <v>-</v>
      </c>
      <c r="OB14" s="54" t="str">
        <f t="shared" si="6"/>
        <v>-</v>
      </c>
      <c r="OC14" s="54" t="str">
        <f t="shared" si="6"/>
        <v>-</v>
      </c>
      <c r="OD14" s="54" t="str">
        <f t="shared" si="6"/>
        <v>-</v>
      </c>
      <c r="OE14" s="54" t="str">
        <f t="shared" si="6"/>
        <v>-</v>
      </c>
      <c r="OF14" s="54" t="str">
        <f t="shared" si="6"/>
        <v>-</v>
      </c>
      <c r="OG14" s="54" t="str">
        <f t="shared" si="6"/>
        <v>-</v>
      </c>
      <c r="OH14" s="54" t="str">
        <f t="shared" si="6"/>
        <v>-</v>
      </c>
      <c r="OI14" s="54" t="str">
        <f t="shared" si="6"/>
        <v>-</v>
      </c>
      <c r="OJ14" s="54" t="str">
        <f t="shared" si="6"/>
        <v>-</v>
      </c>
      <c r="OK14" s="54" t="str">
        <f t="shared" si="6"/>
        <v>-</v>
      </c>
      <c r="OL14" s="54" t="str">
        <f t="shared" si="6"/>
        <v>-</v>
      </c>
      <c r="OM14" s="54" t="str">
        <f t="shared" si="6"/>
        <v>-</v>
      </c>
      <c r="ON14" s="54" t="str">
        <f t="shared" si="6"/>
        <v>-</v>
      </c>
      <c r="OO14" s="54" t="str">
        <f t="shared" si="6"/>
        <v>-</v>
      </c>
      <c r="OP14" s="54" t="str">
        <f t="shared" si="6"/>
        <v>-</v>
      </c>
      <c r="OQ14" s="54" t="str">
        <f t="shared" si="6"/>
        <v>-</v>
      </c>
      <c r="OR14" s="54" t="str">
        <f t="shared" si="6"/>
        <v>-</v>
      </c>
      <c r="OS14" s="54" t="str">
        <f t="shared" si="6"/>
        <v>-</v>
      </c>
      <c r="OT14" s="54" t="str">
        <f t="shared" si="6"/>
        <v>-</v>
      </c>
      <c r="OU14" s="54" t="str">
        <f t="shared" si="6"/>
        <v>-</v>
      </c>
      <c r="OV14" s="54" t="str">
        <f t="shared" si="6"/>
        <v>-</v>
      </c>
      <c r="OW14" s="54" t="str">
        <f t="shared" si="6"/>
        <v>-</v>
      </c>
      <c r="OX14" s="54" t="str">
        <f t="shared" si="6"/>
        <v>-</v>
      </c>
      <c r="OY14" s="54" t="str">
        <f t="shared" si="6"/>
        <v>-</v>
      </c>
      <c r="OZ14" s="54" t="str">
        <f t="shared" si="6"/>
        <v>-</v>
      </c>
      <c r="PA14" s="54" t="str">
        <f t="shared" si="6"/>
        <v>-</v>
      </c>
      <c r="PB14" s="54" t="str">
        <f t="shared" si="6"/>
        <v>-</v>
      </c>
      <c r="PC14" s="54" t="str">
        <f t="shared" si="6"/>
        <v>-</v>
      </c>
      <c r="PD14" s="54" t="str">
        <f t="shared" si="6"/>
        <v>-</v>
      </c>
      <c r="PE14" s="54" t="str">
        <f t="shared" si="6"/>
        <v>-</v>
      </c>
      <c r="PF14" s="54" t="str">
        <f t="shared" si="6"/>
        <v>-</v>
      </c>
      <c r="PG14" s="54" t="str">
        <f t="shared" si="6"/>
        <v>-</v>
      </c>
      <c r="PH14" s="54" t="str">
        <f t="shared" si="6"/>
        <v>-</v>
      </c>
      <c r="PI14" s="54" t="str">
        <f t="shared" si="6"/>
        <v>-</v>
      </c>
      <c r="PJ14" s="54" t="str">
        <f t="shared" si="6"/>
        <v>-</v>
      </c>
      <c r="PK14" s="54" t="str">
        <f t="shared" si="6"/>
        <v>-</v>
      </c>
      <c r="PL14" s="54" t="str">
        <f t="shared" si="6"/>
        <v>-</v>
      </c>
      <c r="PM14" s="54" t="str">
        <f t="shared" si="6"/>
        <v>-</v>
      </c>
      <c r="PN14" s="54" t="str">
        <f t="shared" si="6"/>
        <v>-</v>
      </c>
      <c r="PO14" s="54" t="str">
        <f t="shared" si="6"/>
        <v>-</v>
      </c>
      <c r="PP14" s="54" t="str">
        <f t="shared" si="6"/>
        <v>-</v>
      </c>
      <c r="PQ14" s="54" t="str">
        <f t="shared" si="6"/>
        <v>-</v>
      </c>
      <c r="PR14" s="54" t="str">
        <f t="shared" si="6"/>
        <v>-</v>
      </c>
      <c r="PS14" s="54" t="str">
        <f t="shared" si="6"/>
        <v>-</v>
      </c>
      <c r="PT14" s="54" t="str">
        <f t="shared" si="6"/>
        <v>-</v>
      </c>
      <c r="PU14" s="54" t="str">
        <f t="shared" si="6"/>
        <v>-</v>
      </c>
      <c r="PV14" s="54" t="str">
        <f t="shared" si="6"/>
        <v>-</v>
      </c>
      <c r="PW14" s="54" t="str">
        <f t="shared" si="6"/>
        <v>-</v>
      </c>
      <c r="PX14" s="54" t="str">
        <f t="shared" si="6"/>
        <v>-</v>
      </c>
      <c r="PY14" s="54" t="str">
        <f t="shared" si="6"/>
        <v>-</v>
      </c>
      <c r="PZ14" s="54" t="str">
        <f t="shared" si="6"/>
        <v>-</v>
      </c>
      <c r="QA14" s="54" t="str">
        <f t="shared" si="6"/>
        <v>-</v>
      </c>
      <c r="QB14" s="54" t="str">
        <f t="shared" si="6"/>
        <v>-</v>
      </c>
      <c r="QC14" s="54" t="str">
        <f t="shared" si="6"/>
        <v>-</v>
      </c>
      <c r="QD14" s="54" t="str">
        <f t="shared" si="6"/>
        <v>-</v>
      </c>
      <c r="QE14" s="54" t="str">
        <f t="shared" si="6"/>
        <v>-</v>
      </c>
      <c r="QF14" s="54" t="str">
        <f t="shared" si="6"/>
        <v>-</v>
      </c>
      <c r="QG14" s="54" t="str">
        <f t="shared" si="6"/>
        <v>-</v>
      </c>
      <c r="QH14" s="54" t="str">
        <f t="shared" si="6"/>
        <v>-</v>
      </c>
      <c r="QI14" s="54" t="str">
        <f t="shared" ref="QI14:ST14" si="7">IF(AND(QI18=1,QI17=$D$6),"Aportación Inicial","-")</f>
        <v>-</v>
      </c>
      <c r="QJ14" s="54" t="str">
        <f t="shared" si="7"/>
        <v>-</v>
      </c>
      <c r="QK14" s="54" t="str">
        <f t="shared" si="7"/>
        <v>-</v>
      </c>
      <c r="QL14" s="54" t="str">
        <f t="shared" si="7"/>
        <v>-</v>
      </c>
      <c r="QM14" s="54" t="str">
        <f t="shared" si="7"/>
        <v>-</v>
      </c>
      <c r="QN14" s="54" t="str">
        <f t="shared" si="7"/>
        <v>-</v>
      </c>
      <c r="QO14" s="54" t="str">
        <f t="shared" si="7"/>
        <v>-</v>
      </c>
      <c r="QP14" s="54" t="str">
        <f t="shared" si="7"/>
        <v>-</v>
      </c>
      <c r="QQ14" s="54" t="str">
        <f t="shared" si="7"/>
        <v>-</v>
      </c>
      <c r="QR14" s="54" t="str">
        <f t="shared" si="7"/>
        <v>-</v>
      </c>
      <c r="QS14" s="54" t="str">
        <f t="shared" si="7"/>
        <v>-</v>
      </c>
      <c r="QT14" s="54" t="str">
        <f t="shared" si="7"/>
        <v>-</v>
      </c>
      <c r="QU14" s="54" t="str">
        <f t="shared" si="7"/>
        <v>-</v>
      </c>
      <c r="QV14" s="54" t="str">
        <f t="shared" si="7"/>
        <v>-</v>
      </c>
      <c r="QW14" s="54" t="str">
        <f t="shared" si="7"/>
        <v>-</v>
      </c>
      <c r="QX14" s="54" t="str">
        <f t="shared" si="7"/>
        <v>-</v>
      </c>
      <c r="QY14" s="54" t="str">
        <f t="shared" si="7"/>
        <v>-</v>
      </c>
      <c r="QZ14" s="54" t="str">
        <f t="shared" si="7"/>
        <v>-</v>
      </c>
      <c r="RA14" s="54" t="str">
        <f t="shared" si="7"/>
        <v>-</v>
      </c>
      <c r="RB14" s="54" t="str">
        <f t="shared" si="7"/>
        <v>-</v>
      </c>
      <c r="RC14" s="54" t="str">
        <f t="shared" si="7"/>
        <v>-</v>
      </c>
      <c r="RD14" s="54" t="str">
        <f t="shared" si="7"/>
        <v>-</v>
      </c>
      <c r="RE14" s="54" t="str">
        <f t="shared" si="7"/>
        <v>-</v>
      </c>
      <c r="RF14" s="54" t="str">
        <f t="shared" si="7"/>
        <v>-</v>
      </c>
      <c r="RG14" s="54" t="str">
        <f t="shared" si="7"/>
        <v>-</v>
      </c>
      <c r="RH14" s="54" t="str">
        <f t="shared" si="7"/>
        <v>-</v>
      </c>
      <c r="RI14" s="54" t="str">
        <f t="shared" si="7"/>
        <v>-</v>
      </c>
      <c r="RJ14" s="54" t="str">
        <f t="shared" si="7"/>
        <v>-</v>
      </c>
      <c r="RK14" s="54" t="str">
        <f t="shared" si="7"/>
        <v>-</v>
      </c>
      <c r="RL14" s="54" t="str">
        <f t="shared" si="7"/>
        <v>-</v>
      </c>
      <c r="RM14" s="54" t="str">
        <f t="shared" si="7"/>
        <v>-</v>
      </c>
      <c r="RN14" s="54" t="str">
        <f t="shared" si="7"/>
        <v>-</v>
      </c>
      <c r="RO14" s="54" t="str">
        <f t="shared" si="7"/>
        <v>-</v>
      </c>
      <c r="RP14" s="54" t="str">
        <f t="shared" si="7"/>
        <v>-</v>
      </c>
      <c r="RQ14" s="54" t="str">
        <f t="shared" si="7"/>
        <v>-</v>
      </c>
      <c r="RR14" s="54" t="str">
        <f t="shared" si="7"/>
        <v>-</v>
      </c>
      <c r="RS14" s="54" t="str">
        <f t="shared" si="7"/>
        <v>-</v>
      </c>
      <c r="RT14" s="54" t="str">
        <f t="shared" si="7"/>
        <v>-</v>
      </c>
      <c r="RU14" s="54" t="str">
        <f t="shared" si="7"/>
        <v>-</v>
      </c>
      <c r="RV14" s="54" t="str">
        <f t="shared" si="7"/>
        <v>-</v>
      </c>
      <c r="RW14" s="54" t="str">
        <f t="shared" si="7"/>
        <v>-</v>
      </c>
      <c r="RX14" s="54" t="str">
        <f t="shared" si="7"/>
        <v>-</v>
      </c>
      <c r="RY14" s="54" t="str">
        <f t="shared" si="7"/>
        <v>-</v>
      </c>
      <c r="RZ14" s="54" t="str">
        <f t="shared" si="7"/>
        <v>-</v>
      </c>
      <c r="SA14" s="54" t="str">
        <f t="shared" si="7"/>
        <v>-</v>
      </c>
      <c r="SB14" s="54" t="str">
        <f t="shared" si="7"/>
        <v>-</v>
      </c>
      <c r="SC14" s="54" t="str">
        <f t="shared" si="7"/>
        <v>-</v>
      </c>
      <c r="SD14" s="54" t="str">
        <f t="shared" si="7"/>
        <v>-</v>
      </c>
      <c r="SE14" s="54" t="str">
        <f t="shared" si="7"/>
        <v>-</v>
      </c>
      <c r="SF14" s="54" t="str">
        <f t="shared" si="7"/>
        <v>-</v>
      </c>
      <c r="SG14" s="54" t="str">
        <f t="shared" si="7"/>
        <v>-</v>
      </c>
      <c r="SH14" s="54" t="str">
        <f t="shared" si="7"/>
        <v>-</v>
      </c>
      <c r="SI14" s="54" t="str">
        <f t="shared" si="7"/>
        <v>-</v>
      </c>
      <c r="SJ14" s="54" t="str">
        <f t="shared" si="7"/>
        <v>-</v>
      </c>
      <c r="SK14" s="54" t="str">
        <f t="shared" si="7"/>
        <v>-</v>
      </c>
      <c r="SL14" s="54" t="str">
        <f t="shared" si="7"/>
        <v>-</v>
      </c>
      <c r="SM14" s="54" t="str">
        <f t="shared" si="7"/>
        <v>-</v>
      </c>
      <c r="SN14" s="54" t="str">
        <f t="shared" si="7"/>
        <v>-</v>
      </c>
      <c r="SO14" s="54" t="str">
        <f t="shared" si="7"/>
        <v>-</v>
      </c>
      <c r="SP14" s="54" t="str">
        <f t="shared" si="7"/>
        <v>-</v>
      </c>
      <c r="SQ14" s="54" t="str">
        <f t="shared" si="7"/>
        <v>-</v>
      </c>
      <c r="SR14" s="54" t="str">
        <f t="shared" si="7"/>
        <v>-</v>
      </c>
      <c r="SS14" s="54" t="str">
        <f t="shared" si="7"/>
        <v>-</v>
      </c>
      <c r="ST14" s="54" t="str">
        <f t="shared" si="7"/>
        <v>-</v>
      </c>
      <c r="SU14" s="54" t="str">
        <f t="shared" ref="SU14:VF14" si="8">IF(AND(SU18=1,SU17=$D$6),"Aportación Inicial","-")</f>
        <v>-</v>
      </c>
      <c r="SV14" s="54" t="str">
        <f t="shared" si="8"/>
        <v>-</v>
      </c>
      <c r="SW14" s="54" t="str">
        <f t="shared" si="8"/>
        <v>-</v>
      </c>
      <c r="SX14" s="54" t="str">
        <f t="shared" si="8"/>
        <v>-</v>
      </c>
      <c r="SY14" s="54" t="str">
        <f t="shared" si="8"/>
        <v>-</v>
      </c>
      <c r="SZ14" s="54" t="str">
        <f t="shared" si="8"/>
        <v>-</v>
      </c>
      <c r="TA14" s="54" t="str">
        <f t="shared" si="8"/>
        <v>-</v>
      </c>
      <c r="TB14" s="54" t="str">
        <f t="shared" si="8"/>
        <v>-</v>
      </c>
      <c r="TC14" s="54" t="str">
        <f t="shared" si="8"/>
        <v>-</v>
      </c>
      <c r="TD14" s="54" t="str">
        <f t="shared" si="8"/>
        <v>-</v>
      </c>
      <c r="TE14" s="54" t="str">
        <f t="shared" si="8"/>
        <v>-</v>
      </c>
      <c r="TF14" s="54" t="str">
        <f t="shared" si="8"/>
        <v>-</v>
      </c>
      <c r="TG14" s="54" t="str">
        <f t="shared" si="8"/>
        <v>-</v>
      </c>
      <c r="TH14" s="54" t="str">
        <f t="shared" si="8"/>
        <v>-</v>
      </c>
      <c r="TI14" s="54" t="str">
        <f t="shared" si="8"/>
        <v>-</v>
      </c>
      <c r="TJ14" s="54" t="str">
        <f t="shared" si="8"/>
        <v>-</v>
      </c>
      <c r="TK14" s="54" t="str">
        <f t="shared" si="8"/>
        <v>-</v>
      </c>
      <c r="TL14" s="54" t="str">
        <f t="shared" si="8"/>
        <v>-</v>
      </c>
      <c r="TM14" s="54" t="str">
        <f t="shared" si="8"/>
        <v>-</v>
      </c>
      <c r="TN14" s="54" t="str">
        <f t="shared" si="8"/>
        <v>-</v>
      </c>
      <c r="TO14" s="54" t="str">
        <f t="shared" si="8"/>
        <v>-</v>
      </c>
      <c r="TP14" s="54" t="str">
        <f t="shared" si="8"/>
        <v>-</v>
      </c>
      <c r="TQ14" s="54" t="str">
        <f t="shared" si="8"/>
        <v>-</v>
      </c>
      <c r="TR14" s="54" t="str">
        <f t="shared" si="8"/>
        <v>-</v>
      </c>
      <c r="TS14" s="54" t="str">
        <f t="shared" si="8"/>
        <v>-</v>
      </c>
      <c r="TT14" s="54" t="str">
        <f t="shared" si="8"/>
        <v>-</v>
      </c>
      <c r="TU14" s="54" t="str">
        <f t="shared" si="8"/>
        <v>-</v>
      </c>
      <c r="TV14" s="54" t="str">
        <f t="shared" si="8"/>
        <v>-</v>
      </c>
      <c r="TW14" s="54" t="str">
        <f t="shared" si="8"/>
        <v>-</v>
      </c>
      <c r="TX14" s="54" t="str">
        <f t="shared" si="8"/>
        <v>-</v>
      </c>
      <c r="TY14" s="54" t="str">
        <f t="shared" si="8"/>
        <v>-</v>
      </c>
      <c r="TZ14" s="54" t="str">
        <f t="shared" si="8"/>
        <v>-</v>
      </c>
      <c r="UA14" s="54" t="str">
        <f t="shared" si="8"/>
        <v>-</v>
      </c>
      <c r="UB14" s="54" t="str">
        <f t="shared" si="8"/>
        <v>-</v>
      </c>
      <c r="UC14" s="54" t="str">
        <f t="shared" si="8"/>
        <v>-</v>
      </c>
      <c r="UD14" s="54" t="str">
        <f t="shared" si="8"/>
        <v>-</v>
      </c>
      <c r="UE14" s="54" t="str">
        <f t="shared" si="8"/>
        <v>-</v>
      </c>
      <c r="UF14" s="54" t="str">
        <f t="shared" si="8"/>
        <v>-</v>
      </c>
      <c r="UG14" s="54" t="str">
        <f t="shared" si="8"/>
        <v>-</v>
      </c>
      <c r="UH14" s="54" t="str">
        <f t="shared" si="8"/>
        <v>-</v>
      </c>
      <c r="UI14" s="54" t="str">
        <f t="shared" si="8"/>
        <v>-</v>
      </c>
      <c r="UJ14" s="54" t="str">
        <f t="shared" si="8"/>
        <v>-</v>
      </c>
      <c r="UK14" s="54" t="str">
        <f t="shared" si="8"/>
        <v>-</v>
      </c>
      <c r="UL14" s="54" t="str">
        <f t="shared" si="8"/>
        <v>-</v>
      </c>
      <c r="UM14" s="54" t="str">
        <f t="shared" si="8"/>
        <v>-</v>
      </c>
      <c r="UN14" s="54" t="str">
        <f t="shared" si="8"/>
        <v>-</v>
      </c>
      <c r="UO14" s="54" t="str">
        <f t="shared" si="8"/>
        <v>-</v>
      </c>
      <c r="UP14" s="54" t="str">
        <f t="shared" si="8"/>
        <v>-</v>
      </c>
      <c r="UQ14" s="54" t="str">
        <f t="shared" si="8"/>
        <v>-</v>
      </c>
      <c r="UR14" s="54" t="str">
        <f t="shared" si="8"/>
        <v>-</v>
      </c>
      <c r="US14" s="54" t="str">
        <f t="shared" si="8"/>
        <v>-</v>
      </c>
      <c r="UT14" s="54" t="str">
        <f t="shared" si="8"/>
        <v>-</v>
      </c>
      <c r="UU14" s="54" t="str">
        <f t="shared" si="8"/>
        <v>-</v>
      </c>
      <c r="UV14" s="54" t="str">
        <f t="shared" si="8"/>
        <v>-</v>
      </c>
      <c r="UW14" s="54" t="str">
        <f t="shared" si="8"/>
        <v>-</v>
      </c>
      <c r="UX14" s="54" t="str">
        <f t="shared" si="8"/>
        <v>-</v>
      </c>
      <c r="UY14" s="54" t="str">
        <f t="shared" si="8"/>
        <v>-</v>
      </c>
      <c r="UZ14" s="54" t="str">
        <f t="shared" si="8"/>
        <v>-</v>
      </c>
      <c r="VA14" s="54" t="str">
        <f t="shared" si="8"/>
        <v>-</v>
      </c>
      <c r="VB14" s="54" t="str">
        <f t="shared" si="8"/>
        <v>-</v>
      </c>
      <c r="VC14" s="54" t="str">
        <f t="shared" si="8"/>
        <v>-</v>
      </c>
      <c r="VD14" s="54" t="str">
        <f t="shared" si="8"/>
        <v>-</v>
      </c>
      <c r="VE14" s="54" t="str">
        <f t="shared" si="8"/>
        <v>-</v>
      </c>
      <c r="VF14" s="54" t="str">
        <f t="shared" si="8"/>
        <v>-</v>
      </c>
      <c r="VG14" s="54" t="str">
        <f t="shared" ref="VG14:XR14" si="9">IF(AND(VG18=1,VG17=$D$6),"Aportación Inicial","-")</f>
        <v>-</v>
      </c>
      <c r="VH14" s="54" t="str">
        <f t="shared" si="9"/>
        <v>-</v>
      </c>
      <c r="VI14" s="54" t="str">
        <f t="shared" si="9"/>
        <v>-</v>
      </c>
      <c r="VJ14" s="54" t="str">
        <f t="shared" si="9"/>
        <v>-</v>
      </c>
      <c r="VK14" s="54" t="str">
        <f t="shared" si="9"/>
        <v>-</v>
      </c>
      <c r="VL14" s="54" t="str">
        <f t="shared" si="9"/>
        <v>-</v>
      </c>
      <c r="VM14" s="54" t="str">
        <f t="shared" si="9"/>
        <v>-</v>
      </c>
      <c r="VN14" s="54" t="str">
        <f t="shared" si="9"/>
        <v>-</v>
      </c>
      <c r="VO14" s="54" t="str">
        <f t="shared" si="9"/>
        <v>-</v>
      </c>
      <c r="VP14" s="54" t="str">
        <f t="shared" si="9"/>
        <v>-</v>
      </c>
      <c r="VQ14" s="54" t="str">
        <f t="shared" si="9"/>
        <v>-</v>
      </c>
      <c r="VR14" s="54" t="str">
        <f t="shared" si="9"/>
        <v>-</v>
      </c>
      <c r="VS14" s="54" t="str">
        <f t="shared" si="9"/>
        <v>Aportación Inicial</v>
      </c>
      <c r="VT14" s="54" t="str">
        <f t="shared" si="9"/>
        <v>-</v>
      </c>
      <c r="VU14" s="54" t="str">
        <f t="shared" si="9"/>
        <v>-</v>
      </c>
      <c r="VV14" s="54" t="str">
        <f t="shared" si="9"/>
        <v>-</v>
      </c>
      <c r="VW14" s="54" t="str">
        <f t="shared" si="9"/>
        <v>-</v>
      </c>
      <c r="VX14" s="54" t="str">
        <f t="shared" si="9"/>
        <v>-</v>
      </c>
      <c r="VY14" s="54" t="str">
        <f t="shared" si="9"/>
        <v>-</v>
      </c>
      <c r="VZ14" s="54" t="str">
        <f t="shared" si="9"/>
        <v>-</v>
      </c>
      <c r="WA14" s="54" t="str">
        <f t="shared" si="9"/>
        <v>-</v>
      </c>
      <c r="WB14" s="54" t="str">
        <f t="shared" si="9"/>
        <v>-</v>
      </c>
      <c r="WC14" s="54" t="str">
        <f t="shared" si="9"/>
        <v>-</v>
      </c>
      <c r="WD14" s="54" t="str">
        <f t="shared" si="9"/>
        <v>-</v>
      </c>
      <c r="WE14" s="54" t="str">
        <f t="shared" si="9"/>
        <v>-</v>
      </c>
      <c r="WF14" s="54" t="str">
        <f t="shared" si="9"/>
        <v>-</v>
      </c>
      <c r="WG14" s="54" t="str">
        <f t="shared" si="9"/>
        <v>-</v>
      </c>
      <c r="WH14" s="54" t="str">
        <f t="shared" si="9"/>
        <v>-</v>
      </c>
      <c r="WI14" s="54" t="str">
        <f t="shared" si="9"/>
        <v>-</v>
      </c>
      <c r="WJ14" s="54" t="str">
        <f t="shared" si="9"/>
        <v>-</v>
      </c>
      <c r="WK14" s="54" t="str">
        <f t="shared" si="9"/>
        <v>-</v>
      </c>
      <c r="WL14" s="54" t="str">
        <f t="shared" si="9"/>
        <v>-</v>
      </c>
      <c r="WM14" s="54" t="str">
        <f t="shared" si="9"/>
        <v>-</v>
      </c>
      <c r="WN14" s="54" t="str">
        <f t="shared" si="9"/>
        <v>-</v>
      </c>
      <c r="WO14" s="54" t="str">
        <f t="shared" si="9"/>
        <v>-</v>
      </c>
      <c r="WP14" s="54" t="str">
        <f t="shared" si="9"/>
        <v>-</v>
      </c>
      <c r="WQ14" s="54" t="str">
        <f t="shared" si="9"/>
        <v>-</v>
      </c>
      <c r="WR14" s="54" t="str">
        <f t="shared" si="9"/>
        <v>-</v>
      </c>
      <c r="WS14" s="54" t="str">
        <f t="shared" si="9"/>
        <v>-</v>
      </c>
      <c r="WT14" s="54" t="str">
        <f t="shared" si="9"/>
        <v>-</v>
      </c>
      <c r="WU14" s="54" t="str">
        <f t="shared" si="9"/>
        <v>-</v>
      </c>
      <c r="WV14" s="54" t="str">
        <f t="shared" si="9"/>
        <v>-</v>
      </c>
      <c r="WW14" s="54" t="str">
        <f t="shared" si="9"/>
        <v>-</v>
      </c>
      <c r="WX14" s="54" t="str">
        <f t="shared" si="9"/>
        <v>-</v>
      </c>
      <c r="WY14" s="54" t="str">
        <f t="shared" si="9"/>
        <v>-</v>
      </c>
      <c r="WZ14" s="54" t="str">
        <f t="shared" si="9"/>
        <v>-</v>
      </c>
      <c r="XA14" s="54" t="str">
        <f t="shared" si="9"/>
        <v>-</v>
      </c>
      <c r="XB14" s="54" t="str">
        <f t="shared" si="9"/>
        <v>-</v>
      </c>
      <c r="XC14" s="54" t="str">
        <f t="shared" si="9"/>
        <v>-</v>
      </c>
      <c r="XD14" s="54" t="str">
        <f t="shared" si="9"/>
        <v>-</v>
      </c>
      <c r="XE14" s="54" t="str">
        <f t="shared" si="9"/>
        <v>-</v>
      </c>
      <c r="XF14" s="54" t="str">
        <f t="shared" si="9"/>
        <v>-</v>
      </c>
      <c r="XG14" s="54" t="str">
        <f t="shared" si="9"/>
        <v>-</v>
      </c>
      <c r="XH14" s="54" t="str">
        <f t="shared" si="9"/>
        <v>-</v>
      </c>
      <c r="XI14" s="54" t="str">
        <f t="shared" si="9"/>
        <v>-</v>
      </c>
      <c r="XJ14" s="54" t="str">
        <f t="shared" si="9"/>
        <v>-</v>
      </c>
      <c r="XK14" s="54" t="str">
        <f t="shared" si="9"/>
        <v>-</v>
      </c>
      <c r="XL14" s="54" t="str">
        <f t="shared" si="9"/>
        <v>-</v>
      </c>
      <c r="XM14" s="54" t="str">
        <f t="shared" si="9"/>
        <v>-</v>
      </c>
      <c r="XN14" s="54" t="str">
        <f t="shared" si="9"/>
        <v>-</v>
      </c>
      <c r="XO14" s="54" t="str">
        <f t="shared" si="9"/>
        <v>-</v>
      </c>
      <c r="XP14" s="54" t="str">
        <f t="shared" si="9"/>
        <v>-</v>
      </c>
      <c r="XQ14" s="54" t="str">
        <f t="shared" si="9"/>
        <v>-</v>
      </c>
      <c r="XR14" s="54" t="str">
        <f t="shared" si="9"/>
        <v>-</v>
      </c>
      <c r="XS14" s="54" t="str">
        <f t="shared" ref="XS14:AAD14" si="10">IF(AND(XS18=1,XS17=$D$6),"Aportación Inicial","-")</f>
        <v>-</v>
      </c>
      <c r="XT14" s="54" t="str">
        <f t="shared" si="10"/>
        <v>-</v>
      </c>
      <c r="XU14" s="54" t="str">
        <f t="shared" si="10"/>
        <v>-</v>
      </c>
      <c r="XV14" s="54" t="str">
        <f t="shared" si="10"/>
        <v>-</v>
      </c>
      <c r="XW14" s="54" t="str">
        <f t="shared" si="10"/>
        <v>-</v>
      </c>
      <c r="XX14" s="54" t="str">
        <f t="shared" si="10"/>
        <v>-</v>
      </c>
      <c r="XY14" s="54" t="str">
        <f t="shared" si="10"/>
        <v>-</v>
      </c>
      <c r="XZ14" s="54" t="str">
        <f t="shared" si="10"/>
        <v>-</v>
      </c>
      <c r="YA14" s="54" t="str">
        <f t="shared" si="10"/>
        <v>-</v>
      </c>
      <c r="YB14" s="54" t="str">
        <f t="shared" si="10"/>
        <v>-</v>
      </c>
      <c r="YC14" s="54" t="str">
        <f t="shared" si="10"/>
        <v>-</v>
      </c>
      <c r="YD14" s="54" t="str">
        <f t="shared" si="10"/>
        <v>-</v>
      </c>
      <c r="YE14" s="54" t="str">
        <f t="shared" si="10"/>
        <v>-</v>
      </c>
      <c r="YF14" s="54" t="str">
        <f t="shared" si="10"/>
        <v>-</v>
      </c>
      <c r="YG14" s="54" t="str">
        <f t="shared" si="10"/>
        <v>-</v>
      </c>
      <c r="YH14" s="54" t="str">
        <f t="shared" si="10"/>
        <v>-</v>
      </c>
      <c r="YI14" s="54" t="str">
        <f t="shared" si="10"/>
        <v>-</v>
      </c>
      <c r="YJ14" s="54" t="str">
        <f t="shared" si="10"/>
        <v>-</v>
      </c>
      <c r="YK14" s="54" t="str">
        <f t="shared" si="10"/>
        <v>-</v>
      </c>
      <c r="YL14" s="54" t="str">
        <f t="shared" si="10"/>
        <v>-</v>
      </c>
      <c r="YM14" s="54" t="str">
        <f t="shared" si="10"/>
        <v>-</v>
      </c>
      <c r="YN14" s="54" t="str">
        <f t="shared" si="10"/>
        <v>-</v>
      </c>
      <c r="YO14" s="54" t="str">
        <f t="shared" si="10"/>
        <v>-</v>
      </c>
      <c r="YP14" s="54" t="str">
        <f t="shared" si="10"/>
        <v>-</v>
      </c>
      <c r="YQ14" s="54" t="str">
        <f t="shared" si="10"/>
        <v>-</v>
      </c>
      <c r="YR14" s="54" t="str">
        <f t="shared" si="10"/>
        <v>-</v>
      </c>
      <c r="YS14" s="54" t="str">
        <f t="shared" si="10"/>
        <v>-</v>
      </c>
      <c r="YT14" s="54" t="str">
        <f t="shared" si="10"/>
        <v>-</v>
      </c>
      <c r="YU14" s="54" t="str">
        <f t="shared" si="10"/>
        <v>-</v>
      </c>
      <c r="YV14" s="54" t="str">
        <f t="shared" si="10"/>
        <v>-</v>
      </c>
      <c r="YW14" s="54" t="str">
        <f t="shared" si="10"/>
        <v>-</v>
      </c>
      <c r="YX14" s="54" t="str">
        <f t="shared" si="10"/>
        <v>-</v>
      </c>
      <c r="YY14" s="54" t="str">
        <f t="shared" si="10"/>
        <v>-</v>
      </c>
      <c r="YZ14" s="54" t="str">
        <f t="shared" si="10"/>
        <v>-</v>
      </c>
      <c r="ZA14" s="54" t="str">
        <f t="shared" si="10"/>
        <v>-</v>
      </c>
      <c r="ZB14" s="54" t="str">
        <f t="shared" si="10"/>
        <v>-</v>
      </c>
      <c r="ZC14" s="54" t="str">
        <f t="shared" si="10"/>
        <v>-</v>
      </c>
      <c r="ZD14" s="54" t="str">
        <f t="shared" si="10"/>
        <v>-</v>
      </c>
      <c r="ZE14" s="54" t="str">
        <f t="shared" si="10"/>
        <v>-</v>
      </c>
      <c r="ZF14" s="54" t="str">
        <f t="shared" si="10"/>
        <v>-</v>
      </c>
      <c r="ZG14" s="54" t="str">
        <f t="shared" si="10"/>
        <v>-</v>
      </c>
      <c r="ZH14" s="54" t="str">
        <f t="shared" si="10"/>
        <v>-</v>
      </c>
      <c r="ZI14" s="54" t="str">
        <f t="shared" si="10"/>
        <v>-</v>
      </c>
      <c r="ZJ14" s="54" t="str">
        <f t="shared" si="10"/>
        <v>-</v>
      </c>
      <c r="ZK14" s="54" t="str">
        <f t="shared" si="10"/>
        <v>-</v>
      </c>
      <c r="ZL14" s="54" t="str">
        <f t="shared" si="10"/>
        <v>-</v>
      </c>
      <c r="ZM14" s="54" t="str">
        <f t="shared" si="10"/>
        <v>-</v>
      </c>
      <c r="ZN14" s="54" t="str">
        <f t="shared" si="10"/>
        <v>-</v>
      </c>
      <c r="ZO14" s="54" t="str">
        <f t="shared" si="10"/>
        <v>-</v>
      </c>
      <c r="ZP14" s="54" t="str">
        <f t="shared" si="10"/>
        <v>-</v>
      </c>
      <c r="ZQ14" s="54" t="str">
        <f t="shared" si="10"/>
        <v>-</v>
      </c>
      <c r="ZR14" s="54" t="str">
        <f t="shared" si="10"/>
        <v>-</v>
      </c>
      <c r="ZS14" s="54" t="str">
        <f t="shared" si="10"/>
        <v>-</v>
      </c>
      <c r="ZT14" s="54" t="str">
        <f t="shared" si="10"/>
        <v>-</v>
      </c>
      <c r="ZU14" s="54" t="str">
        <f t="shared" si="10"/>
        <v>-</v>
      </c>
      <c r="ZV14" s="54" t="str">
        <f t="shared" si="10"/>
        <v>-</v>
      </c>
      <c r="ZW14" s="54" t="str">
        <f t="shared" si="10"/>
        <v>-</v>
      </c>
      <c r="ZX14" s="54" t="str">
        <f t="shared" si="10"/>
        <v>-</v>
      </c>
      <c r="ZY14" s="54" t="str">
        <f t="shared" si="10"/>
        <v>-</v>
      </c>
      <c r="ZZ14" s="54" t="str">
        <f t="shared" si="10"/>
        <v>-</v>
      </c>
      <c r="AAA14" s="54" t="str">
        <f t="shared" si="10"/>
        <v>-</v>
      </c>
      <c r="AAB14" s="54" t="str">
        <f t="shared" si="10"/>
        <v>-</v>
      </c>
      <c r="AAC14" s="54" t="str">
        <f t="shared" si="10"/>
        <v>-</v>
      </c>
      <c r="AAD14" s="54" t="str">
        <f t="shared" si="10"/>
        <v>-</v>
      </c>
      <c r="AAE14" s="54" t="str">
        <f t="shared" ref="AAE14:ACP14" si="11">IF(AND(AAE18=1,AAE17=$D$6),"Aportación Inicial","-")</f>
        <v>-</v>
      </c>
      <c r="AAF14" s="54" t="str">
        <f t="shared" si="11"/>
        <v>-</v>
      </c>
      <c r="AAG14" s="54" t="str">
        <f t="shared" si="11"/>
        <v>-</v>
      </c>
      <c r="AAH14" s="54" t="str">
        <f t="shared" si="11"/>
        <v>-</v>
      </c>
      <c r="AAI14" s="54" t="str">
        <f t="shared" si="11"/>
        <v>-</v>
      </c>
      <c r="AAJ14" s="54" t="str">
        <f t="shared" si="11"/>
        <v>-</v>
      </c>
      <c r="AAK14" s="54" t="str">
        <f t="shared" si="11"/>
        <v>-</v>
      </c>
      <c r="AAL14" s="54" t="str">
        <f t="shared" si="11"/>
        <v>-</v>
      </c>
      <c r="AAM14" s="54" t="str">
        <f t="shared" si="11"/>
        <v>-</v>
      </c>
      <c r="AAN14" s="54" t="str">
        <f t="shared" si="11"/>
        <v>-</v>
      </c>
      <c r="AAO14" s="54" t="str">
        <f t="shared" si="11"/>
        <v>-</v>
      </c>
      <c r="AAP14" s="54" t="str">
        <f t="shared" si="11"/>
        <v>-</v>
      </c>
      <c r="AAQ14" s="54" t="str">
        <f t="shared" si="11"/>
        <v>-</v>
      </c>
      <c r="AAR14" s="54" t="str">
        <f t="shared" si="11"/>
        <v>-</v>
      </c>
      <c r="AAS14" s="54" t="str">
        <f t="shared" si="11"/>
        <v>-</v>
      </c>
      <c r="AAT14" s="54" t="str">
        <f t="shared" si="11"/>
        <v>-</v>
      </c>
      <c r="AAU14" s="54" t="str">
        <f t="shared" si="11"/>
        <v>-</v>
      </c>
      <c r="AAV14" s="54" t="str">
        <f t="shared" si="11"/>
        <v>-</v>
      </c>
      <c r="AAW14" s="54" t="str">
        <f t="shared" si="11"/>
        <v>-</v>
      </c>
      <c r="AAX14" s="54" t="str">
        <f t="shared" si="11"/>
        <v>-</v>
      </c>
      <c r="AAY14" s="54" t="str">
        <f t="shared" si="11"/>
        <v>-</v>
      </c>
      <c r="AAZ14" s="54" t="str">
        <f t="shared" si="11"/>
        <v>-</v>
      </c>
      <c r="ABA14" s="54" t="str">
        <f t="shared" si="11"/>
        <v>-</v>
      </c>
      <c r="ABB14" s="54" t="str">
        <f t="shared" si="11"/>
        <v>-</v>
      </c>
      <c r="ABC14" s="54" t="str">
        <f t="shared" si="11"/>
        <v>-</v>
      </c>
      <c r="ABD14" s="54" t="str">
        <f t="shared" si="11"/>
        <v>-</v>
      </c>
      <c r="ABE14" s="54" t="str">
        <f t="shared" si="11"/>
        <v>-</v>
      </c>
      <c r="ABF14" s="54" t="str">
        <f t="shared" si="11"/>
        <v>-</v>
      </c>
      <c r="ABG14" s="54" t="str">
        <f t="shared" si="11"/>
        <v>-</v>
      </c>
      <c r="ABH14" s="54" t="str">
        <f t="shared" si="11"/>
        <v>-</v>
      </c>
      <c r="ABI14" s="54" t="str">
        <f t="shared" si="11"/>
        <v>-</v>
      </c>
      <c r="ABJ14" s="54" t="str">
        <f t="shared" si="11"/>
        <v>-</v>
      </c>
      <c r="ABK14" s="54" t="str">
        <f t="shared" si="11"/>
        <v>-</v>
      </c>
      <c r="ABL14" s="54" t="str">
        <f t="shared" si="11"/>
        <v>-</v>
      </c>
      <c r="ABM14" s="54" t="str">
        <f t="shared" si="11"/>
        <v>-</v>
      </c>
      <c r="ABN14" s="54" t="str">
        <f t="shared" si="11"/>
        <v>-</v>
      </c>
      <c r="ABO14" s="54" t="str">
        <f t="shared" si="11"/>
        <v>-</v>
      </c>
      <c r="ABP14" s="54" t="str">
        <f t="shared" si="11"/>
        <v>-</v>
      </c>
      <c r="ABQ14" s="54" t="str">
        <f t="shared" si="11"/>
        <v>-</v>
      </c>
      <c r="ABR14" s="54" t="str">
        <f t="shared" si="11"/>
        <v>-</v>
      </c>
      <c r="ABS14" s="54" t="str">
        <f t="shared" si="11"/>
        <v>-</v>
      </c>
      <c r="ABT14" s="54" t="str">
        <f t="shared" si="11"/>
        <v>-</v>
      </c>
      <c r="ABU14" s="54" t="str">
        <f t="shared" si="11"/>
        <v>-</v>
      </c>
      <c r="ABV14" s="54" t="str">
        <f t="shared" si="11"/>
        <v>-</v>
      </c>
      <c r="ABW14" s="54" t="str">
        <f t="shared" si="11"/>
        <v>-</v>
      </c>
      <c r="ABX14" s="54" t="str">
        <f t="shared" si="11"/>
        <v>-</v>
      </c>
      <c r="ABY14" s="54" t="str">
        <f t="shared" si="11"/>
        <v>-</v>
      </c>
      <c r="ABZ14" s="54" t="str">
        <f t="shared" si="11"/>
        <v>-</v>
      </c>
      <c r="ACA14" s="54" t="str">
        <f t="shared" si="11"/>
        <v>-</v>
      </c>
      <c r="ACB14" s="54" t="str">
        <f t="shared" si="11"/>
        <v>-</v>
      </c>
      <c r="ACC14" s="54" t="str">
        <f t="shared" si="11"/>
        <v>-</v>
      </c>
      <c r="ACD14" s="54" t="str">
        <f t="shared" si="11"/>
        <v>-</v>
      </c>
      <c r="ACE14" s="54" t="str">
        <f t="shared" si="11"/>
        <v>-</v>
      </c>
      <c r="ACF14" s="54" t="str">
        <f t="shared" si="11"/>
        <v>-</v>
      </c>
      <c r="ACG14" s="54" t="str">
        <f t="shared" si="11"/>
        <v>-</v>
      </c>
      <c r="ACH14" s="54" t="str">
        <f t="shared" si="11"/>
        <v>-</v>
      </c>
      <c r="ACI14" s="54" t="str">
        <f t="shared" si="11"/>
        <v>-</v>
      </c>
      <c r="ACJ14" s="54" t="str">
        <f t="shared" si="11"/>
        <v>-</v>
      </c>
      <c r="ACK14" s="54" t="str">
        <f t="shared" si="11"/>
        <v>-</v>
      </c>
      <c r="ACL14" s="54" t="str">
        <f t="shared" si="11"/>
        <v>-</v>
      </c>
      <c r="ACM14" s="54" t="str">
        <f t="shared" si="11"/>
        <v>-</v>
      </c>
      <c r="ACN14" s="54" t="str">
        <f t="shared" si="11"/>
        <v>-</v>
      </c>
      <c r="ACO14" s="54" t="str">
        <f t="shared" si="11"/>
        <v>-</v>
      </c>
      <c r="ACP14" s="54" t="str">
        <f t="shared" si="11"/>
        <v>-</v>
      </c>
      <c r="ACQ14" s="54" t="str">
        <f t="shared" ref="ACQ14:AFB14" si="12">IF(AND(ACQ18=1,ACQ17=$D$6),"Aportación Inicial","-")</f>
        <v>-</v>
      </c>
      <c r="ACR14" s="54" t="str">
        <f t="shared" si="12"/>
        <v>-</v>
      </c>
      <c r="ACS14" s="54" t="str">
        <f t="shared" si="12"/>
        <v>-</v>
      </c>
      <c r="ACT14" s="54" t="str">
        <f t="shared" si="12"/>
        <v>-</v>
      </c>
      <c r="ACU14" s="54" t="str">
        <f t="shared" si="12"/>
        <v>-</v>
      </c>
      <c r="ACV14" s="54" t="str">
        <f t="shared" si="12"/>
        <v>-</v>
      </c>
      <c r="ACW14" s="54" t="str">
        <f t="shared" si="12"/>
        <v>-</v>
      </c>
      <c r="ACX14" s="54" t="str">
        <f t="shared" si="12"/>
        <v>-</v>
      </c>
      <c r="ACY14" s="54" t="str">
        <f t="shared" si="12"/>
        <v>-</v>
      </c>
      <c r="ACZ14" s="54" t="str">
        <f t="shared" si="12"/>
        <v>-</v>
      </c>
      <c r="ADA14" s="54" t="str">
        <f t="shared" si="12"/>
        <v>-</v>
      </c>
      <c r="ADB14" s="54" t="str">
        <f t="shared" si="12"/>
        <v>-</v>
      </c>
      <c r="ADC14" s="54" t="str">
        <f t="shared" si="12"/>
        <v>-</v>
      </c>
      <c r="ADD14" s="54" t="str">
        <f t="shared" si="12"/>
        <v>-</v>
      </c>
      <c r="ADE14" s="54" t="str">
        <f t="shared" si="12"/>
        <v>-</v>
      </c>
      <c r="ADF14" s="54" t="str">
        <f t="shared" si="12"/>
        <v>-</v>
      </c>
      <c r="ADG14" s="54" t="str">
        <f t="shared" si="12"/>
        <v>-</v>
      </c>
      <c r="ADH14" s="54" t="str">
        <f t="shared" si="12"/>
        <v>-</v>
      </c>
      <c r="ADI14" s="54" t="str">
        <f t="shared" si="12"/>
        <v>-</v>
      </c>
      <c r="ADJ14" s="54" t="str">
        <f t="shared" si="12"/>
        <v>-</v>
      </c>
      <c r="ADK14" s="54" t="str">
        <f t="shared" si="12"/>
        <v>-</v>
      </c>
      <c r="ADL14" s="54" t="str">
        <f t="shared" si="12"/>
        <v>-</v>
      </c>
      <c r="ADM14" s="54" t="str">
        <f t="shared" si="12"/>
        <v>-</v>
      </c>
      <c r="ADN14" s="54" t="str">
        <f t="shared" si="12"/>
        <v>-</v>
      </c>
      <c r="ADO14" s="54" t="str">
        <f t="shared" si="12"/>
        <v>-</v>
      </c>
      <c r="ADP14" s="54" t="str">
        <f t="shared" si="12"/>
        <v>-</v>
      </c>
      <c r="ADQ14" s="54" t="str">
        <f t="shared" si="12"/>
        <v>-</v>
      </c>
      <c r="ADR14" s="54" t="str">
        <f t="shared" si="12"/>
        <v>-</v>
      </c>
      <c r="ADS14" s="54" t="str">
        <f t="shared" si="12"/>
        <v>-</v>
      </c>
      <c r="ADT14" s="54" t="str">
        <f t="shared" si="12"/>
        <v>-</v>
      </c>
      <c r="ADU14" s="54" t="str">
        <f t="shared" si="12"/>
        <v>-</v>
      </c>
      <c r="ADV14" s="54" t="str">
        <f t="shared" si="12"/>
        <v>-</v>
      </c>
      <c r="ADW14" s="54" t="str">
        <f t="shared" si="12"/>
        <v>-</v>
      </c>
      <c r="ADX14" s="54" t="str">
        <f t="shared" si="12"/>
        <v>-</v>
      </c>
      <c r="ADY14" s="54" t="str">
        <f t="shared" si="12"/>
        <v>-</v>
      </c>
      <c r="ADZ14" s="54" t="str">
        <f t="shared" si="12"/>
        <v>-</v>
      </c>
      <c r="AEA14" s="54" t="str">
        <f t="shared" si="12"/>
        <v>-</v>
      </c>
      <c r="AEB14" s="54" t="str">
        <f t="shared" si="12"/>
        <v>-</v>
      </c>
      <c r="AEC14" s="54" t="str">
        <f t="shared" si="12"/>
        <v>-</v>
      </c>
      <c r="AED14" s="54" t="str">
        <f t="shared" si="12"/>
        <v>-</v>
      </c>
      <c r="AEE14" s="54" t="str">
        <f t="shared" si="12"/>
        <v>-</v>
      </c>
      <c r="AEF14" s="54" t="str">
        <f t="shared" si="12"/>
        <v>-</v>
      </c>
      <c r="AEG14" s="54" t="str">
        <f t="shared" si="12"/>
        <v>-</v>
      </c>
      <c r="AEH14" s="54" t="str">
        <f t="shared" si="12"/>
        <v>-</v>
      </c>
      <c r="AEI14" s="54" t="str">
        <f t="shared" si="12"/>
        <v>-</v>
      </c>
      <c r="AEJ14" s="54" t="str">
        <f t="shared" si="12"/>
        <v>-</v>
      </c>
      <c r="AEK14" s="54" t="str">
        <f t="shared" si="12"/>
        <v>-</v>
      </c>
      <c r="AEL14" s="54" t="str">
        <f t="shared" si="12"/>
        <v>-</v>
      </c>
      <c r="AEM14" s="54" t="str">
        <f t="shared" si="12"/>
        <v>-</v>
      </c>
      <c r="AEN14" s="54" t="str">
        <f t="shared" si="12"/>
        <v>-</v>
      </c>
      <c r="AEO14" s="54" t="str">
        <f t="shared" si="12"/>
        <v>-</v>
      </c>
      <c r="AEP14" s="54" t="str">
        <f t="shared" si="12"/>
        <v>-</v>
      </c>
      <c r="AEQ14" s="54" t="str">
        <f t="shared" si="12"/>
        <v>-</v>
      </c>
      <c r="AER14" s="54" t="str">
        <f t="shared" si="12"/>
        <v>-</v>
      </c>
      <c r="AES14" s="54" t="str">
        <f t="shared" si="12"/>
        <v>-</v>
      </c>
      <c r="AET14" s="54" t="str">
        <f t="shared" si="12"/>
        <v>-</v>
      </c>
      <c r="AEU14" s="54" t="str">
        <f t="shared" si="12"/>
        <v>-</v>
      </c>
      <c r="AEV14" s="54" t="str">
        <f t="shared" si="12"/>
        <v>-</v>
      </c>
      <c r="AEW14" s="54" t="str">
        <f t="shared" si="12"/>
        <v>-</v>
      </c>
      <c r="AEX14" s="54" t="str">
        <f t="shared" si="12"/>
        <v>-</v>
      </c>
      <c r="AEY14" s="54" t="str">
        <f t="shared" si="12"/>
        <v>-</v>
      </c>
      <c r="AEZ14" s="54" t="str">
        <f t="shared" si="12"/>
        <v>-</v>
      </c>
      <c r="AFA14" s="54" t="str">
        <f t="shared" si="12"/>
        <v>-</v>
      </c>
      <c r="AFB14" s="54" t="str">
        <f t="shared" si="12"/>
        <v>-</v>
      </c>
      <c r="AFC14" s="54" t="str">
        <f t="shared" ref="AFC14:AHN14" si="13">IF(AND(AFC18=1,AFC17=$D$6),"Aportación Inicial","-")</f>
        <v>-</v>
      </c>
      <c r="AFD14" s="54" t="str">
        <f t="shared" si="13"/>
        <v>-</v>
      </c>
      <c r="AFE14" s="54" t="str">
        <f t="shared" si="13"/>
        <v>-</v>
      </c>
      <c r="AFF14" s="54" t="str">
        <f t="shared" si="13"/>
        <v>-</v>
      </c>
      <c r="AFG14" s="54" t="str">
        <f t="shared" si="13"/>
        <v>-</v>
      </c>
      <c r="AFH14" s="54" t="str">
        <f t="shared" si="13"/>
        <v>-</v>
      </c>
      <c r="AFI14" s="54" t="str">
        <f t="shared" si="13"/>
        <v>-</v>
      </c>
      <c r="AFJ14" s="54" t="str">
        <f t="shared" si="13"/>
        <v>-</v>
      </c>
      <c r="AFK14" s="54" t="str">
        <f t="shared" si="13"/>
        <v>-</v>
      </c>
      <c r="AFL14" s="54" t="str">
        <f t="shared" si="13"/>
        <v>-</v>
      </c>
      <c r="AFM14" s="54" t="str">
        <f t="shared" si="13"/>
        <v>-</v>
      </c>
      <c r="AFN14" s="54" t="str">
        <f t="shared" si="13"/>
        <v>-</v>
      </c>
      <c r="AFO14" s="54" t="str">
        <f t="shared" si="13"/>
        <v>-</v>
      </c>
      <c r="AFP14" s="54" t="str">
        <f t="shared" si="13"/>
        <v>-</v>
      </c>
      <c r="AFQ14" s="54" t="str">
        <f t="shared" si="13"/>
        <v>-</v>
      </c>
      <c r="AFR14" s="54" t="str">
        <f t="shared" si="13"/>
        <v>-</v>
      </c>
      <c r="AFS14" s="54" t="str">
        <f t="shared" si="13"/>
        <v>-</v>
      </c>
      <c r="AFT14" s="54" t="str">
        <f t="shared" si="13"/>
        <v>-</v>
      </c>
      <c r="AFU14" s="54" t="str">
        <f t="shared" si="13"/>
        <v>-</v>
      </c>
      <c r="AFV14" s="54" t="str">
        <f t="shared" si="13"/>
        <v>-</v>
      </c>
      <c r="AFW14" s="54" t="str">
        <f t="shared" si="13"/>
        <v>-</v>
      </c>
      <c r="AFX14" s="54" t="str">
        <f t="shared" si="13"/>
        <v>-</v>
      </c>
      <c r="AFY14" s="54" t="str">
        <f t="shared" si="13"/>
        <v>-</v>
      </c>
      <c r="AFZ14" s="54" t="str">
        <f t="shared" si="13"/>
        <v>-</v>
      </c>
      <c r="AGA14" s="54" t="str">
        <f t="shared" si="13"/>
        <v>-</v>
      </c>
      <c r="AGB14" s="54" t="str">
        <f t="shared" si="13"/>
        <v>-</v>
      </c>
      <c r="AGC14" s="54" t="str">
        <f t="shared" si="13"/>
        <v>-</v>
      </c>
      <c r="AGD14" s="54" t="str">
        <f t="shared" si="13"/>
        <v>-</v>
      </c>
      <c r="AGE14" s="54" t="str">
        <f t="shared" si="13"/>
        <v>-</v>
      </c>
      <c r="AGF14" s="54" t="str">
        <f t="shared" si="13"/>
        <v>-</v>
      </c>
      <c r="AGG14" s="54" t="str">
        <f t="shared" si="13"/>
        <v>-</v>
      </c>
      <c r="AGH14" s="54" t="str">
        <f t="shared" si="13"/>
        <v>-</v>
      </c>
      <c r="AGI14" s="54" t="str">
        <f t="shared" si="13"/>
        <v>-</v>
      </c>
      <c r="AGJ14" s="54" t="str">
        <f t="shared" si="13"/>
        <v>-</v>
      </c>
      <c r="AGK14" s="54" t="str">
        <f t="shared" si="13"/>
        <v>-</v>
      </c>
      <c r="AGL14" s="54" t="str">
        <f t="shared" si="13"/>
        <v>-</v>
      </c>
      <c r="AGM14" s="54" t="str">
        <f t="shared" si="13"/>
        <v>-</v>
      </c>
      <c r="AGN14" s="54" t="str">
        <f t="shared" si="13"/>
        <v>-</v>
      </c>
      <c r="AGO14" s="54" t="str">
        <f t="shared" si="13"/>
        <v>-</v>
      </c>
      <c r="AGP14" s="54" t="str">
        <f t="shared" si="13"/>
        <v>-</v>
      </c>
      <c r="AGQ14" s="54" t="str">
        <f t="shared" si="13"/>
        <v>-</v>
      </c>
      <c r="AGR14" s="54" t="str">
        <f t="shared" si="13"/>
        <v>-</v>
      </c>
      <c r="AGS14" s="54" t="str">
        <f t="shared" si="13"/>
        <v>-</v>
      </c>
      <c r="AGT14" s="54" t="str">
        <f t="shared" si="13"/>
        <v>-</v>
      </c>
      <c r="AGU14" s="54" t="str">
        <f t="shared" si="13"/>
        <v>-</v>
      </c>
      <c r="AGV14" s="54" t="str">
        <f t="shared" si="13"/>
        <v>-</v>
      </c>
      <c r="AGW14" s="54" t="str">
        <f t="shared" si="13"/>
        <v>-</v>
      </c>
      <c r="AGX14" s="54" t="str">
        <f t="shared" si="13"/>
        <v>-</v>
      </c>
      <c r="AGY14" s="54" t="str">
        <f t="shared" si="13"/>
        <v>-</v>
      </c>
      <c r="AGZ14" s="54" t="str">
        <f t="shared" si="13"/>
        <v>-</v>
      </c>
      <c r="AHA14" s="54" t="str">
        <f t="shared" si="13"/>
        <v>-</v>
      </c>
      <c r="AHB14" s="54" t="str">
        <f t="shared" si="13"/>
        <v>-</v>
      </c>
      <c r="AHC14" s="54" t="str">
        <f t="shared" si="13"/>
        <v>-</v>
      </c>
      <c r="AHD14" s="54" t="str">
        <f t="shared" si="13"/>
        <v>-</v>
      </c>
      <c r="AHE14" s="54" t="str">
        <f t="shared" si="13"/>
        <v>-</v>
      </c>
      <c r="AHF14" s="54" t="str">
        <f t="shared" si="13"/>
        <v>-</v>
      </c>
      <c r="AHG14" s="54" t="str">
        <f t="shared" si="13"/>
        <v>-</v>
      </c>
      <c r="AHH14" s="54" t="str">
        <f t="shared" si="13"/>
        <v>-</v>
      </c>
      <c r="AHI14" s="54" t="str">
        <f t="shared" si="13"/>
        <v>-</v>
      </c>
      <c r="AHJ14" s="54" t="str">
        <f t="shared" si="13"/>
        <v>-</v>
      </c>
      <c r="AHK14" s="54" t="str">
        <f t="shared" si="13"/>
        <v>-</v>
      </c>
      <c r="AHL14" s="54" t="str">
        <f t="shared" si="13"/>
        <v>-</v>
      </c>
      <c r="AHM14" s="54" t="str">
        <f t="shared" si="13"/>
        <v>-</v>
      </c>
      <c r="AHN14" s="54" t="str">
        <f t="shared" si="13"/>
        <v>-</v>
      </c>
      <c r="AHO14" s="54" t="str">
        <f t="shared" ref="AHO14:AJZ14" si="14">IF(AND(AHO18=1,AHO17=$D$6),"Aportación Inicial","-")</f>
        <v>-</v>
      </c>
      <c r="AHP14" s="54" t="str">
        <f t="shared" si="14"/>
        <v>-</v>
      </c>
      <c r="AHQ14" s="54" t="str">
        <f t="shared" si="14"/>
        <v>-</v>
      </c>
      <c r="AHR14" s="54" t="str">
        <f t="shared" si="14"/>
        <v>-</v>
      </c>
      <c r="AHS14" s="54" t="str">
        <f t="shared" si="14"/>
        <v>-</v>
      </c>
      <c r="AHT14" s="54" t="str">
        <f t="shared" si="14"/>
        <v>-</v>
      </c>
      <c r="AHU14" s="54" t="str">
        <f t="shared" si="14"/>
        <v>-</v>
      </c>
      <c r="AHV14" s="54" t="str">
        <f t="shared" si="14"/>
        <v>-</v>
      </c>
      <c r="AHW14" s="54" t="str">
        <f t="shared" si="14"/>
        <v>-</v>
      </c>
      <c r="AHX14" s="54" t="str">
        <f t="shared" si="14"/>
        <v>-</v>
      </c>
      <c r="AHY14" s="54" t="str">
        <f t="shared" si="14"/>
        <v>-</v>
      </c>
      <c r="AHZ14" s="54" t="str">
        <f t="shared" si="14"/>
        <v>-</v>
      </c>
      <c r="AIA14" s="54" t="str">
        <f t="shared" si="14"/>
        <v>-</v>
      </c>
      <c r="AIB14" s="54" t="str">
        <f t="shared" si="14"/>
        <v>-</v>
      </c>
      <c r="AIC14" s="54" t="str">
        <f t="shared" si="14"/>
        <v>-</v>
      </c>
      <c r="AID14" s="54" t="str">
        <f t="shared" si="14"/>
        <v>-</v>
      </c>
      <c r="AIE14" s="54" t="str">
        <f t="shared" si="14"/>
        <v>-</v>
      </c>
      <c r="AIF14" s="54" t="str">
        <f t="shared" si="14"/>
        <v>-</v>
      </c>
      <c r="AIG14" s="54" t="str">
        <f t="shared" si="14"/>
        <v>-</v>
      </c>
      <c r="AIH14" s="54" t="str">
        <f t="shared" si="14"/>
        <v>-</v>
      </c>
      <c r="AII14" s="54" t="str">
        <f t="shared" si="14"/>
        <v>-</v>
      </c>
      <c r="AIJ14" s="54" t="str">
        <f t="shared" si="14"/>
        <v>-</v>
      </c>
      <c r="AIK14" s="54" t="str">
        <f t="shared" si="14"/>
        <v>-</v>
      </c>
      <c r="AIL14" s="54" t="str">
        <f t="shared" si="14"/>
        <v>-</v>
      </c>
      <c r="AIM14" s="54" t="str">
        <f t="shared" si="14"/>
        <v>-</v>
      </c>
      <c r="AIN14" s="54" t="str">
        <f t="shared" si="14"/>
        <v>-</v>
      </c>
      <c r="AIO14" s="54" t="str">
        <f t="shared" si="14"/>
        <v>-</v>
      </c>
      <c r="AIP14" s="54" t="str">
        <f t="shared" si="14"/>
        <v>-</v>
      </c>
      <c r="AIQ14" s="54" t="str">
        <f t="shared" si="14"/>
        <v>-</v>
      </c>
      <c r="AIR14" s="54" t="str">
        <f t="shared" si="14"/>
        <v>-</v>
      </c>
      <c r="AIS14" s="54" t="str">
        <f t="shared" si="14"/>
        <v>-</v>
      </c>
      <c r="AIT14" s="54" t="str">
        <f t="shared" si="14"/>
        <v>-</v>
      </c>
      <c r="AIU14" s="54" t="str">
        <f t="shared" si="14"/>
        <v>-</v>
      </c>
      <c r="AIV14" s="54" t="str">
        <f t="shared" si="14"/>
        <v>-</v>
      </c>
      <c r="AIW14" s="54" t="str">
        <f t="shared" si="14"/>
        <v>-</v>
      </c>
      <c r="AIX14" s="54" t="str">
        <f t="shared" si="14"/>
        <v>-</v>
      </c>
      <c r="AIY14" s="54" t="str">
        <f t="shared" si="14"/>
        <v>-</v>
      </c>
      <c r="AIZ14" s="54" t="str">
        <f t="shared" si="14"/>
        <v>-</v>
      </c>
      <c r="AJA14" s="54" t="str">
        <f t="shared" si="14"/>
        <v>-</v>
      </c>
      <c r="AJB14" s="54" t="str">
        <f t="shared" si="14"/>
        <v>-</v>
      </c>
      <c r="AJC14" s="54" t="str">
        <f t="shared" si="14"/>
        <v>-</v>
      </c>
      <c r="AJD14" s="54" t="str">
        <f t="shared" si="14"/>
        <v>-</v>
      </c>
      <c r="AJE14" s="54" t="str">
        <f t="shared" si="14"/>
        <v>-</v>
      </c>
      <c r="AJF14" s="54" t="str">
        <f t="shared" si="14"/>
        <v>-</v>
      </c>
      <c r="AJG14" s="54" t="str">
        <f t="shared" si="14"/>
        <v>-</v>
      </c>
      <c r="AJH14" s="54" t="str">
        <f t="shared" si="14"/>
        <v>-</v>
      </c>
      <c r="AJI14" s="54" t="str">
        <f t="shared" si="14"/>
        <v>-</v>
      </c>
      <c r="AJJ14" s="54" t="str">
        <f t="shared" si="14"/>
        <v>-</v>
      </c>
      <c r="AJK14" s="54" t="str">
        <f t="shared" si="14"/>
        <v>-</v>
      </c>
      <c r="AJL14" s="54" t="str">
        <f t="shared" si="14"/>
        <v>-</v>
      </c>
      <c r="AJM14" s="54" t="str">
        <f t="shared" si="14"/>
        <v>-</v>
      </c>
      <c r="AJN14" s="54" t="str">
        <f t="shared" si="14"/>
        <v>-</v>
      </c>
      <c r="AJO14" s="54" t="str">
        <f t="shared" si="14"/>
        <v>-</v>
      </c>
      <c r="AJP14" s="54" t="str">
        <f t="shared" si="14"/>
        <v>-</v>
      </c>
      <c r="AJQ14" s="54" t="str">
        <f t="shared" si="14"/>
        <v>-</v>
      </c>
      <c r="AJR14" s="54" t="str">
        <f t="shared" si="14"/>
        <v>-</v>
      </c>
      <c r="AJS14" s="54" t="str">
        <f t="shared" si="14"/>
        <v>-</v>
      </c>
      <c r="AJT14" s="54" t="str">
        <f t="shared" si="14"/>
        <v>-</v>
      </c>
      <c r="AJU14" s="54" t="str">
        <f t="shared" si="14"/>
        <v>-</v>
      </c>
      <c r="AJV14" s="54" t="str">
        <f t="shared" si="14"/>
        <v>-</v>
      </c>
      <c r="AJW14" s="54" t="str">
        <f t="shared" si="14"/>
        <v>-</v>
      </c>
      <c r="AJX14" s="54" t="str">
        <f t="shared" si="14"/>
        <v>-</v>
      </c>
      <c r="AJY14" s="54" t="str">
        <f t="shared" si="14"/>
        <v>-</v>
      </c>
      <c r="AJZ14" s="54" t="str">
        <f t="shared" si="14"/>
        <v>-</v>
      </c>
      <c r="AKA14" s="54" t="str">
        <f t="shared" ref="AKA14:AML14" si="15">IF(AND(AKA18=1,AKA17=$D$6),"Aportación Inicial","-")</f>
        <v>-</v>
      </c>
      <c r="AKB14" s="54" t="str">
        <f t="shared" si="15"/>
        <v>-</v>
      </c>
      <c r="AKC14" s="54" t="str">
        <f t="shared" si="15"/>
        <v>-</v>
      </c>
      <c r="AKD14" s="54" t="str">
        <f t="shared" si="15"/>
        <v>-</v>
      </c>
      <c r="AKE14" s="54" t="str">
        <f t="shared" si="15"/>
        <v>-</v>
      </c>
      <c r="AKF14" s="54" t="str">
        <f t="shared" si="15"/>
        <v>-</v>
      </c>
      <c r="AKG14" s="54" t="str">
        <f t="shared" si="15"/>
        <v>-</v>
      </c>
      <c r="AKH14" s="54" t="str">
        <f t="shared" si="15"/>
        <v>-</v>
      </c>
      <c r="AKI14" s="54" t="str">
        <f t="shared" si="15"/>
        <v>-</v>
      </c>
      <c r="AKJ14" s="54" t="str">
        <f t="shared" si="15"/>
        <v>-</v>
      </c>
      <c r="AKK14" s="54" t="str">
        <f t="shared" si="15"/>
        <v>-</v>
      </c>
      <c r="AKL14" s="54" t="str">
        <f t="shared" si="15"/>
        <v>-</v>
      </c>
      <c r="AKM14" s="54" t="str">
        <f t="shared" si="15"/>
        <v>-</v>
      </c>
      <c r="AKN14" s="54" t="str">
        <f t="shared" si="15"/>
        <v>-</v>
      </c>
      <c r="AKO14" s="54" t="str">
        <f t="shared" si="15"/>
        <v>-</v>
      </c>
      <c r="AKP14" s="54" t="str">
        <f t="shared" si="15"/>
        <v>-</v>
      </c>
      <c r="AKQ14" s="54" t="str">
        <f t="shared" si="15"/>
        <v>-</v>
      </c>
      <c r="AKR14" s="54" t="str">
        <f t="shared" si="15"/>
        <v>-</v>
      </c>
      <c r="AKS14" s="54" t="str">
        <f t="shared" si="15"/>
        <v>-</v>
      </c>
      <c r="AKT14" s="54" t="str">
        <f t="shared" si="15"/>
        <v>-</v>
      </c>
      <c r="AKU14" s="54" t="str">
        <f t="shared" si="15"/>
        <v>-</v>
      </c>
      <c r="AKV14" s="54" t="str">
        <f t="shared" si="15"/>
        <v>-</v>
      </c>
      <c r="AKW14" s="54" t="str">
        <f t="shared" si="15"/>
        <v>-</v>
      </c>
      <c r="AKX14" s="54" t="str">
        <f t="shared" si="15"/>
        <v>-</v>
      </c>
      <c r="AKY14" s="54" t="str">
        <f t="shared" si="15"/>
        <v>-</v>
      </c>
      <c r="AKZ14" s="54" t="str">
        <f t="shared" si="15"/>
        <v>-</v>
      </c>
      <c r="ALA14" s="54" t="str">
        <f t="shared" si="15"/>
        <v>-</v>
      </c>
      <c r="ALB14" s="54" t="str">
        <f t="shared" si="15"/>
        <v>-</v>
      </c>
      <c r="ALC14" s="54" t="str">
        <f t="shared" si="15"/>
        <v>-</v>
      </c>
      <c r="ALD14" s="54" t="str">
        <f t="shared" si="15"/>
        <v>-</v>
      </c>
      <c r="ALE14" s="54" t="str">
        <f t="shared" si="15"/>
        <v>-</v>
      </c>
      <c r="ALF14" s="54" t="str">
        <f t="shared" si="15"/>
        <v>-</v>
      </c>
      <c r="ALG14" s="54" t="str">
        <f t="shared" si="15"/>
        <v>-</v>
      </c>
      <c r="ALH14" s="54" t="str">
        <f t="shared" si="15"/>
        <v>-</v>
      </c>
      <c r="ALI14" s="54" t="str">
        <f t="shared" si="15"/>
        <v>-</v>
      </c>
      <c r="ALJ14" s="54" t="str">
        <f t="shared" si="15"/>
        <v>-</v>
      </c>
      <c r="ALK14" s="54" t="str">
        <f t="shared" si="15"/>
        <v>-</v>
      </c>
      <c r="ALL14" s="54" t="str">
        <f t="shared" si="15"/>
        <v>-</v>
      </c>
      <c r="ALM14" s="54" t="str">
        <f t="shared" si="15"/>
        <v>-</v>
      </c>
      <c r="ALN14" s="54" t="str">
        <f t="shared" si="15"/>
        <v>-</v>
      </c>
      <c r="ALO14" s="54" t="str">
        <f t="shared" si="15"/>
        <v>-</v>
      </c>
      <c r="ALP14" s="54" t="str">
        <f t="shared" si="15"/>
        <v>-</v>
      </c>
      <c r="ALQ14" s="54" t="str">
        <f t="shared" si="15"/>
        <v>-</v>
      </c>
      <c r="ALR14" s="54" t="str">
        <f t="shared" si="15"/>
        <v>-</v>
      </c>
      <c r="ALS14" s="54" t="str">
        <f t="shared" si="15"/>
        <v>-</v>
      </c>
      <c r="ALT14" s="54" t="str">
        <f t="shared" si="15"/>
        <v>-</v>
      </c>
      <c r="ALU14" s="54" t="str">
        <f t="shared" si="15"/>
        <v>-</v>
      </c>
      <c r="ALV14" s="54" t="str">
        <f t="shared" si="15"/>
        <v>-</v>
      </c>
      <c r="ALW14" s="54" t="str">
        <f t="shared" si="15"/>
        <v>-</v>
      </c>
      <c r="ALX14" s="54" t="str">
        <f t="shared" si="15"/>
        <v>-</v>
      </c>
      <c r="ALY14" s="54" t="str">
        <f t="shared" si="15"/>
        <v>-</v>
      </c>
      <c r="ALZ14" s="54" t="str">
        <f t="shared" si="15"/>
        <v>-</v>
      </c>
      <c r="AMA14" s="54" t="str">
        <f t="shared" si="15"/>
        <v>-</v>
      </c>
      <c r="AMB14" s="54" t="str">
        <f t="shared" si="15"/>
        <v>-</v>
      </c>
      <c r="AMC14" s="54" t="str">
        <f t="shared" si="15"/>
        <v>-</v>
      </c>
      <c r="AMD14" s="54" t="str">
        <f t="shared" si="15"/>
        <v>-</v>
      </c>
      <c r="AME14" s="54" t="str">
        <f t="shared" si="15"/>
        <v>-</v>
      </c>
      <c r="AMF14" s="54" t="str">
        <f t="shared" si="15"/>
        <v>-</v>
      </c>
      <c r="AMG14" s="54" t="str">
        <f t="shared" si="15"/>
        <v>-</v>
      </c>
      <c r="AMH14" s="54" t="str">
        <f t="shared" si="15"/>
        <v>-</v>
      </c>
      <c r="AMI14" s="54" t="str">
        <f t="shared" si="15"/>
        <v>-</v>
      </c>
      <c r="AMJ14" s="54" t="str">
        <f t="shared" si="15"/>
        <v>-</v>
      </c>
      <c r="AMK14" s="54" t="str">
        <f t="shared" si="15"/>
        <v>-</v>
      </c>
      <c r="AML14" s="54" t="str">
        <f t="shared" si="15"/>
        <v>-</v>
      </c>
      <c r="AMM14" s="54" t="str">
        <f t="shared" ref="AMM14:AOP14" si="16">IF(AND(AMM18=1,AMM17=$D$6),"Aportación Inicial","-")</f>
        <v>-</v>
      </c>
      <c r="AMN14" s="54" t="str">
        <f t="shared" si="16"/>
        <v>-</v>
      </c>
      <c r="AMO14" s="54" t="str">
        <f t="shared" si="16"/>
        <v>-</v>
      </c>
      <c r="AMP14" s="54" t="str">
        <f t="shared" si="16"/>
        <v>-</v>
      </c>
      <c r="AMQ14" s="54" t="str">
        <f t="shared" si="16"/>
        <v>-</v>
      </c>
      <c r="AMR14" s="54" t="str">
        <f t="shared" si="16"/>
        <v>-</v>
      </c>
      <c r="AMS14" s="54" t="str">
        <f t="shared" si="16"/>
        <v>-</v>
      </c>
      <c r="AMT14" s="54" t="str">
        <f t="shared" si="16"/>
        <v>-</v>
      </c>
      <c r="AMU14" s="54" t="str">
        <f t="shared" si="16"/>
        <v>-</v>
      </c>
      <c r="AMV14" s="54" t="str">
        <f t="shared" si="16"/>
        <v>-</v>
      </c>
      <c r="AMW14" s="54" t="str">
        <f t="shared" si="16"/>
        <v>-</v>
      </c>
      <c r="AMX14" s="54" t="str">
        <f t="shared" si="16"/>
        <v>-</v>
      </c>
      <c r="AMY14" s="54" t="str">
        <f t="shared" si="16"/>
        <v>-</v>
      </c>
      <c r="AMZ14" s="54" t="str">
        <f t="shared" si="16"/>
        <v>-</v>
      </c>
      <c r="ANA14" s="54" t="str">
        <f t="shared" si="16"/>
        <v>-</v>
      </c>
      <c r="ANB14" s="54" t="str">
        <f t="shared" si="16"/>
        <v>-</v>
      </c>
      <c r="ANC14" s="54" t="str">
        <f t="shared" si="16"/>
        <v>-</v>
      </c>
      <c r="AND14" s="54" t="str">
        <f t="shared" si="16"/>
        <v>-</v>
      </c>
      <c r="ANE14" s="54" t="str">
        <f t="shared" si="16"/>
        <v>-</v>
      </c>
      <c r="ANF14" s="54" t="str">
        <f t="shared" si="16"/>
        <v>-</v>
      </c>
      <c r="ANG14" s="54" t="str">
        <f t="shared" si="16"/>
        <v>-</v>
      </c>
      <c r="ANH14" s="54" t="str">
        <f t="shared" si="16"/>
        <v>-</v>
      </c>
      <c r="ANI14" s="54" t="str">
        <f t="shared" si="16"/>
        <v>-</v>
      </c>
      <c r="ANJ14" s="54" t="str">
        <f t="shared" si="16"/>
        <v>-</v>
      </c>
      <c r="ANK14" s="54" t="str">
        <f t="shared" si="16"/>
        <v>-</v>
      </c>
      <c r="ANL14" s="54" t="str">
        <f t="shared" si="16"/>
        <v>-</v>
      </c>
      <c r="ANM14" s="54" t="str">
        <f t="shared" si="16"/>
        <v>-</v>
      </c>
      <c r="ANN14" s="54" t="str">
        <f t="shared" si="16"/>
        <v>-</v>
      </c>
      <c r="ANO14" s="54" t="str">
        <f t="shared" si="16"/>
        <v>-</v>
      </c>
      <c r="ANP14" s="54" t="str">
        <f t="shared" si="16"/>
        <v>-</v>
      </c>
      <c r="ANQ14" s="54" t="str">
        <f t="shared" si="16"/>
        <v>-</v>
      </c>
      <c r="ANR14" s="54" t="str">
        <f t="shared" si="16"/>
        <v>-</v>
      </c>
      <c r="ANS14" s="54" t="str">
        <f t="shared" si="16"/>
        <v>-</v>
      </c>
      <c r="ANT14" s="54" t="str">
        <f t="shared" si="16"/>
        <v>-</v>
      </c>
      <c r="ANU14" s="54" t="str">
        <f t="shared" si="16"/>
        <v>-</v>
      </c>
      <c r="ANV14" s="54" t="str">
        <f t="shared" si="16"/>
        <v>-</v>
      </c>
      <c r="ANW14" s="54" t="str">
        <f t="shared" si="16"/>
        <v>-</v>
      </c>
      <c r="ANX14" s="54" t="str">
        <f t="shared" si="16"/>
        <v>-</v>
      </c>
      <c r="ANY14" s="54" t="str">
        <f t="shared" si="16"/>
        <v>-</v>
      </c>
      <c r="ANZ14" s="54" t="str">
        <f t="shared" si="16"/>
        <v>-</v>
      </c>
      <c r="AOA14" s="54" t="str">
        <f t="shared" si="16"/>
        <v>-</v>
      </c>
      <c r="AOB14" s="54" t="str">
        <f t="shared" si="16"/>
        <v>-</v>
      </c>
      <c r="AOC14" s="54" t="str">
        <f t="shared" si="16"/>
        <v>-</v>
      </c>
      <c r="AOD14" s="54" t="str">
        <f t="shared" si="16"/>
        <v>-</v>
      </c>
      <c r="AOE14" s="54" t="str">
        <f t="shared" si="16"/>
        <v>-</v>
      </c>
      <c r="AOF14" s="54" t="str">
        <f t="shared" si="16"/>
        <v>-</v>
      </c>
      <c r="AOG14" s="54" t="str">
        <f t="shared" si="16"/>
        <v>-</v>
      </c>
      <c r="AOH14" s="54" t="str">
        <f t="shared" si="16"/>
        <v>-</v>
      </c>
      <c r="AOI14" s="54" t="str">
        <f t="shared" si="16"/>
        <v>-</v>
      </c>
      <c r="AOJ14" s="54" t="str">
        <f t="shared" si="16"/>
        <v>-</v>
      </c>
      <c r="AOK14" s="54" t="str">
        <f t="shared" si="16"/>
        <v>-</v>
      </c>
      <c r="AOL14" s="54" t="str">
        <f t="shared" si="16"/>
        <v>-</v>
      </c>
      <c r="AOM14" s="54" t="str">
        <f t="shared" si="16"/>
        <v>-</v>
      </c>
      <c r="AON14" s="54" t="str">
        <f t="shared" si="16"/>
        <v>-</v>
      </c>
      <c r="AOO14" s="54" t="str">
        <f t="shared" si="16"/>
        <v>-</v>
      </c>
      <c r="AOP14" s="54" t="str">
        <f t="shared" si="16"/>
        <v>-</v>
      </c>
    </row>
    <row r="15" spans="2:1082" x14ac:dyDescent="0.25">
      <c r="B15" s="53" t="s">
        <v>143</v>
      </c>
      <c r="C15" s="54" t="str">
        <f t="shared" ref="C15:BN15" si="17">IF(AND(IF(C17&gt;=$D$8,1,0),IF(C17&lt;$D$9,1,0)),"Acumulación","-")</f>
        <v>-</v>
      </c>
      <c r="D15" s="54" t="str">
        <f t="shared" si="17"/>
        <v>-</v>
      </c>
      <c r="E15" s="54" t="str">
        <f t="shared" si="17"/>
        <v>-</v>
      </c>
      <c r="F15" s="54" t="str">
        <f t="shared" si="17"/>
        <v>-</v>
      </c>
      <c r="G15" s="54" t="str">
        <f t="shared" si="17"/>
        <v>-</v>
      </c>
      <c r="H15" s="54" t="str">
        <f t="shared" si="17"/>
        <v>-</v>
      </c>
      <c r="I15" s="54" t="str">
        <f t="shared" si="17"/>
        <v>-</v>
      </c>
      <c r="J15" s="54" t="str">
        <f t="shared" si="17"/>
        <v>-</v>
      </c>
      <c r="K15" s="54" t="str">
        <f t="shared" si="17"/>
        <v>-</v>
      </c>
      <c r="L15" s="54" t="str">
        <f t="shared" si="17"/>
        <v>-</v>
      </c>
      <c r="M15" s="54" t="str">
        <f t="shared" si="17"/>
        <v>-</v>
      </c>
      <c r="N15" s="54" t="str">
        <f t="shared" si="17"/>
        <v>-</v>
      </c>
      <c r="O15" s="54" t="str">
        <f t="shared" si="17"/>
        <v>-</v>
      </c>
      <c r="P15" s="54" t="str">
        <f t="shared" si="17"/>
        <v>-</v>
      </c>
      <c r="Q15" s="54" t="str">
        <f t="shared" si="17"/>
        <v>-</v>
      </c>
      <c r="R15" s="54" t="str">
        <f t="shared" si="17"/>
        <v>-</v>
      </c>
      <c r="S15" s="54" t="str">
        <f t="shared" si="17"/>
        <v>-</v>
      </c>
      <c r="T15" s="54" t="str">
        <f t="shared" si="17"/>
        <v>-</v>
      </c>
      <c r="U15" s="54" t="str">
        <f t="shared" si="17"/>
        <v>-</v>
      </c>
      <c r="V15" s="54" t="str">
        <f t="shared" si="17"/>
        <v>-</v>
      </c>
      <c r="W15" s="54" t="str">
        <f t="shared" si="17"/>
        <v>-</v>
      </c>
      <c r="X15" s="54" t="str">
        <f t="shared" si="17"/>
        <v>-</v>
      </c>
      <c r="Y15" s="54" t="str">
        <f t="shared" si="17"/>
        <v>-</v>
      </c>
      <c r="Z15" s="54" t="str">
        <f t="shared" si="17"/>
        <v>-</v>
      </c>
      <c r="AA15" s="54" t="str">
        <f t="shared" si="17"/>
        <v>-</v>
      </c>
      <c r="AB15" s="54" t="str">
        <f t="shared" si="17"/>
        <v>-</v>
      </c>
      <c r="AC15" s="54" t="str">
        <f t="shared" si="17"/>
        <v>-</v>
      </c>
      <c r="AD15" s="54" t="str">
        <f t="shared" si="17"/>
        <v>-</v>
      </c>
      <c r="AE15" s="54" t="str">
        <f t="shared" si="17"/>
        <v>-</v>
      </c>
      <c r="AF15" s="54" t="str">
        <f t="shared" si="17"/>
        <v>-</v>
      </c>
      <c r="AG15" s="54" t="str">
        <f t="shared" si="17"/>
        <v>-</v>
      </c>
      <c r="AH15" s="54" t="str">
        <f t="shared" si="17"/>
        <v>-</v>
      </c>
      <c r="AI15" s="54" t="str">
        <f t="shared" si="17"/>
        <v>-</v>
      </c>
      <c r="AJ15" s="54" t="str">
        <f t="shared" si="17"/>
        <v>-</v>
      </c>
      <c r="AK15" s="54" t="str">
        <f t="shared" si="17"/>
        <v>-</v>
      </c>
      <c r="AL15" s="54" t="str">
        <f t="shared" si="17"/>
        <v>-</v>
      </c>
      <c r="AM15" s="54" t="str">
        <f t="shared" si="17"/>
        <v>-</v>
      </c>
      <c r="AN15" s="54" t="str">
        <f t="shared" si="17"/>
        <v>-</v>
      </c>
      <c r="AO15" s="54" t="str">
        <f t="shared" si="17"/>
        <v>-</v>
      </c>
      <c r="AP15" s="54" t="str">
        <f t="shared" si="17"/>
        <v>-</v>
      </c>
      <c r="AQ15" s="54" t="str">
        <f t="shared" si="17"/>
        <v>-</v>
      </c>
      <c r="AR15" s="54" t="str">
        <f t="shared" si="17"/>
        <v>-</v>
      </c>
      <c r="AS15" s="54" t="str">
        <f t="shared" si="17"/>
        <v>-</v>
      </c>
      <c r="AT15" s="54" t="str">
        <f t="shared" si="17"/>
        <v>-</v>
      </c>
      <c r="AU15" s="54" t="str">
        <f t="shared" si="17"/>
        <v>-</v>
      </c>
      <c r="AV15" s="54" t="str">
        <f t="shared" si="17"/>
        <v>-</v>
      </c>
      <c r="AW15" s="54" t="str">
        <f t="shared" si="17"/>
        <v>-</v>
      </c>
      <c r="AX15" s="54" t="str">
        <f t="shared" si="17"/>
        <v>-</v>
      </c>
      <c r="AY15" s="54" t="str">
        <f t="shared" si="17"/>
        <v>-</v>
      </c>
      <c r="AZ15" s="54" t="str">
        <f t="shared" si="17"/>
        <v>-</v>
      </c>
      <c r="BA15" s="54" t="str">
        <f t="shared" si="17"/>
        <v>-</v>
      </c>
      <c r="BB15" s="54" t="str">
        <f t="shared" si="17"/>
        <v>-</v>
      </c>
      <c r="BC15" s="54" t="str">
        <f t="shared" si="17"/>
        <v>-</v>
      </c>
      <c r="BD15" s="54" t="str">
        <f t="shared" si="17"/>
        <v>-</v>
      </c>
      <c r="BE15" s="54" t="str">
        <f t="shared" si="17"/>
        <v>-</v>
      </c>
      <c r="BF15" s="54" t="str">
        <f t="shared" si="17"/>
        <v>-</v>
      </c>
      <c r="BG15" s="54" t="str">
        <f t="shared" si="17"/>
        <v>-</v>
      </c>
      <c r="BH15" s="54" t="str">
        <f t="shared" si="17"/>
        <v>-</v>
      </c>
      <c r="BI15" s="54" t="str">
        <f t="shared" si="17"/>
        <v>-</v>
      </c>
      <c r="BJ15" s="54" t="str">
        <f t="shared" si="17"/>
        <v>-</v>
      </c>
      <c r="BK15" s="54" t="str">
        <f t="shared" si="17"/>
        <v>-</v>
      </c>
      <c r="BL15" s="54" t="str">
        <f t="shared" si="17"/>
        <v>-</v>
      </c>
      <c r="BM15" s="54" t="str">
        <f t="shared" si="17"/>
        <v>-</v>
      </c>
      <c r="BN15" s="54" t="str">
        <f t="shared" si="17"/>
        <v>-</v>
      </c>
      <c r="BO15" s="54" t="str">
        <f t="shared" ref="BO15:DZ15" si="18">IF(AND(IF(BO17&gt;=$D$8,1,0),IF(BO17&lt;$D$9,1,0)),"Acumulación","-")</f>
        <v>-</v>
      </c>
      <c r="BP15" s="54" t="str">
        <f t="shared" si="18"/>
        <v>-</v>
      </c>
      <c r="BQ15" s="54" t="str">
        <f t="shared" si="18"/>
        <v>-</v>
      </c>
      <c r="BR15" s="54" t="str">
        <f t="shared" si="18"/>
        <v>-</v>
      </c>
      <c r="BS15" s="54" t="str">
        <f t="shared" si="18"/>
        <v>-</v>
      </c>
      <c r="BT15" s="54" t="str">
        <f t="shared" si="18"/>
        <v>-</v>
      </c>
      <c r="BU15" s="54" t="str">
        <f t="shared" si="18"/>
        <v>-</v>
      </c>
      <c r="BV15" s="54" t="str">
        <f t="shared" si="18"/>
        <v>-</v>
      </c>
      <c r="BW15" s="54" t="str">
        <f t="shared" si="18"/>
        <v>-</v>
      </c>
      <c r="BX15" s="54" t="str">
        <f t="shared" si="18"/>
        <v>-</v>
      </c>
      <c r="BY15" s="54" t="str">
        <f t="shared" si="18"/>
        <v>-</v>
      </c>
      <c r="BZ15" s="54" t="str">
        <f t="shared" si="18"/>
        <v>-</v>
      </c>
      <c r="CA15" s="54" t="str">
        <f t="shared" si="18"/>
        <v>-</v>
      </c>
      <c r="CB15" s="54" t="str">
        <f t="shared" si="18"/>
        <v>-</v>
      </c>
      <c r="CC15" s="54" t="str">
        <f t="shared" si="18"/>
        <v>-</v>
      </c>
      <c r="CD15" s="54" t="str">
        <f t="shared" si="18"/>
        <v>-</v>
      </c>
      <c r="CE15" s="54" t="str">
        <f t="shared" si="18"/>
        <v>-</v>
      </c>
      <c r="CF15" s="54" t="str">
        <f t="shared" si="18"/>
        <v>-</v>
      </c>
      <c r="CG15" s="54" t="str">
        <f t="shared" si="18"/>
        <v>-</v>
      </c>
      <c r="CH15" s="54" t="str">
        <f t="shared" si="18"/>
        <v>-</v>
      </c>
      <c r="CI15" s="54" t="str">
        <f t="shared" si="18"/>
        <v>-</v>
      </c>
      <c r="CJ15" s="54" t="str">
        <f t="shared" si="18"/>
        <v>-</v>
      </c>
      <c r="CK15" s="54" t="str">
        <f t="shared" si="18"/>
        <v>-</v>
      </c>
      <c r="CL15" s="54" t="str">
        <f t="shared" si="18"/>
        <v>-</v>
      </c>
      <c r="CM15" s="54" t="str">
        <f t="shared" si="18"/>
        <v>-</v>
      </c>
      <c r="CN15" s="54" t="str">
        <f t="shared" si="18"/>
        <v>-</v>
      </c>
      <c r="CO15" s="54" t="str">
        <f t="shared" si="18"/>
        <v>-</v>
      </c>
      <c r="CP15" s="54" t="str">
        <f t="shared" si="18"/>
        <v>-</v>
      </c>
      <c r="CQ15" s="54" t="str">
        <f t="shared" si="18"/>
        <v>-</v>
      </c>
      <c r="CR15" s="54" t="str">
        <f t="shared" si="18"/>
        <v>-</v>
      </c>
      <c r="CS15" s="54" t="str">
        <f t="shared" si="18"/>
        <v>-</v>
      </c>
      <c r="CT15" s="54" t="str">
        <f t="shared" si="18"/>
        <v>-</v>
      </c>
      <c r="CU15" s="54" t="str">
        <f t="shared" si="18"/>
        <v>-</v>
      </c>
      <c r="CV15" s="54" t="str">
        <f t="shared" si="18"/>
        <v>-</v>
      </c>
      <c r="CW15" s="54" t="str">
        <f t="shared" si="18"/>
        <v>-</v>
      </c>
      <c r="CX15" s="54" t="str">
        <f t="shared" si="18"/>
        <v>-</v>
      </c>
      <c r="CY15" s="54" t="str">
        <f t="shared" si="18"/>
        <v>-</v>
      </c>
      <c r="CZ15" s="54" t="str">
        <f t="shared" si="18"/>
        <v>-</v>
      </c>
      <c r="DA15" s="54" t="str">
        <f t="shared" si="18"/>
        <v>-</v>
      </c>
      <c r="DB15" s="54" t="str">
        <f t="shared" si="18"/>
        <v>-</v>
      </c>
      <c r="DC15" s="54" t="str">
        <f t="shared" si="18"/>
        <v>-</v>
      </c>
      <c r="DD15" s="54" t="str">
        <f t="shared" si="18"/>
        <v>-</v>
      </c>
      <c r="DE15" s="54" t="str">
        <f t="shared" si="18"/>
        <v>-</v>
      </c>
      <c r="DF15" s="54" t="str">
        <f t="shared" si="18"/>
        <v>-</v>
      </c>
      <c r="DG15" s="54" t="str">
        <f t="shared" si="18"/>
        <v>-</v>
      </c>
      <c r="DH15" s="54" t="str">
        <f t="shared" si="18"/>
        <v>-</v>
      </c>
      <c r="DI15" s="54" t="str">
        <f t="shared" si="18"/>
        <v>-</v>
      </c>
      <c r="DJ15" s="54" t="str">
        <f t="shared" si="18"/>
        <v>-</v>
      </c>
      <c r="DK15" s="54" t="str">
        <f t="shared" si="18"/>
        <v>-</v>
      </c>
      <c r="DL15" s="54" t="str">
        <f t="shared" si="18"/>
        <v>-</v>
      </c>
      <c r="DM15" s="54" t="str">
        <f t="shared" si="18"/>
        <v>-</v>
      </c>
      <c r="DN15" s="54" t="str">
        <f t="shared" si="18"/>
        <v>-</v>
      </c>
      <c r="DO15" s="54" t="str">
        <f t="shared" si="18"/>
        <v>-</v>
      </c>
      <c r="DP15" s="54" t="str">
        <f t="shared" si="18"/>
        <v>-</v>
      </c>
      <c r="DQ15" s="54" t="str">
        <f t="shared" si="18"/>
        <v>-</v>
      </c>
      <c r="DR15" s="54" t="str">
        <f t="shared" si="18"/>
        <v>-</v>
      </c>
      <c r="DS15" s="54" t="str">
        <f t="shared" si="18"/>
        <v>-</v>
      </c>
      <c r="DT15" s="54" t="str">
        <f t="shared" si="18"/>
        <v>-</v>
      </c>
      <c r="DU15" s="54" t="str">
        <f t="shared" si="18"/>
        <v>-</v>
      </c>
      <c r="DV15" s="54" t="str">
        <f t="shared" si="18"/>
        <v>-</v>
      </c>
      <c r="DW15" s="54" t="str">
        <f t="shared" si="18"/>
        <v>-</v>
      </c>
      <c r="DX15" s="54" t="str">
        <f t="shared" si="18"/>
        <v>-</v>
      </c>
      <c r="DY15" s="54" t="str">
        <f t="shared" si="18"/>
        <v>-</v>
      </c>
      <c r="DZ15" s="54" t="str">
        <f t="shared" si="18"/>
        <v>-</v>
      </c>
      <c r="EA15" s="54" t="str">
        <f t="shared" ref="EA15:GL15" si="19">IF(AND(IF(EA17&gt;=$D$8,1,0),IF(EA17&lt;$D$9,1,0)),"Acumulación","-")</f>
        <v>-</v>
      </c>
      <c r="EB15" s="54" t="str">
        <f t="shared" si="19"/>
        <v>-</v>
      </c>
      <c r="EC15" s="54" t="str">
        <f t="shared" si="19"/>
        <v>-</v>
      </c>
      <c r="ED15" s="54" t="str">
        <f t="shared" si="19"/>
        <v>-</v>
      </c>
      <c r="EE15" s="54" t="str">
        <f t="shared" si="19"/>
        <v>-</v>
      </c>
      <c r="EF15" s="54" t="str">
        <f t="shared" si="19"/>
        <v>-</v>
      </c>
      <c r="EG15" s="54" t="str">
        <f t="shared" si="19"/>
        <v>-</v>
      </c>
      <c r="EH15" s="54" t="str">
        <f t="shared" si="19"/>
        <v>-</v>
      </c>
      <c r="EI15" s="54" t="str">
        <f t="shared" si="19"/>
        <v>-</v>
      </c>
      <c r="EJ15" s="54" t="str">
        <f t="shared" si="19"/>
        <v>-</v>
      </c>
      <c r="EK15" s="54" t="str">
        <f t="shared" si="19"/>
        <v>-</v>
      </c>
      <c r="EL15" s="54" t="str">
        <f t="shared" si="19"/>
        <v>-</v>
      </c>
      <c r="EM15" s="54" t="str">
        <f t="shared" si="19"/>
        <v>-</v>
      </c>
      <c r="EN15" s="54" t="str">
        <f t="shared" si="19"/>
        <v>-</v>
      </c>
      <c r="EO15" s="54" t="str">
        <f t="shared" si="19"/>
        <v>-</v>
      </c>
      <c r="EP15" s="54" t="str">
        <f t="shared" si="19"/>
        <v>-</v>
      </c>
      <c r="EQ15" s="54" t="str">
        <f t="shared" si="19"/>
        <v>-</v>
      </c>
      <c r="ER15" s="54" t="str">
        <f t="shared" si="19"/>
        <v>-</v>
      </c>
      <c r="ES15" s="54" t="str">
        <f t="shared" si="19"/>
        <v>-</v>
      </c>
      <c r="ET15" s="54" t="str">
        <f t="shared" si="19"/>
        <v>-</v>
      </c>
      <c r="EU15" s="54" t="str">
        <f t="shared" si="19"/>
        <v>-</v>
      </c>
      <c r="EV15" s="54" t="str">
        <f t="shared" si="19"/>
        <v>-</v>
      </c>
      <c r="EW15" s="54" t="str">
        <f t="shared" si="19"/>
        <v>-</v>
      </c>
      <c r="EX15" s="54" t="str">
        <f t="shared" si="19"/>
        <v>-</v>
      </c>
      <c r="EY15" s="54" t="str">
        <f t="shared" si="19"/>
        <v>-</v>
      </c>
      <c r="EZ15" s="54" t="str">
        <f t="shared" si="19"/>
        <v>-</v>
      </c>
      <c r="FA15" s="54" t="str">
        <f t="shared" si="19"/>
        <v>-</v>
      </c>
      <c r="FB15" s="54" t="str">
        <f t="shared" si="19"/>
        <v>-</v>
      </c>
      <c r="FC15" s="54" t="str">
        <f t="shared" si="19"/>
        <v>-</v>
      </c>
      <c r="FD15" s="54" t="str">
        <f t="shared" si="19"/>
        <v>-</v>
      </c>
      <c r="FE15" s="54" t="str">
        <f t="shared" si="19"/>
        <v>-</v>
      </c>
      <c r="FF15" s="54" t="str">
        <f t="shared" si="19"/>
        <v>-</v>
      </c>
      <c r="FG15" s="54" t="str">
        <f t="shared" si="19"/>
        <v>-</v>
      </c>
      <c r="FH15" s="54" t="str">
        <f t="shared" si="19"/>
        <v>-</v>
      </c>
      <c r="FI15" s="54" t="str">
        <f t="shared" si="19"/>
        <v>-</v>
      </c>
      <c r="FJ15" s="54" t="str">
        <f t="shared" si="19"/>
        <v>-</v>
      </c>
      <c r="FK15" s="54" t="str">
        <f t="shared" si="19"/>
        <v>-</v>
      </c>
      <c r="FL15" s="54" t="str">
        <f t="shared" si="19"/>
        <v>-</v>
      </c>
      <c r="FM15" s="54" t="str">
        <f t="shared" si="19"/>
        <v>-</v>
      </c>
      <c r="FN15" s="54" t="str">
        <f t="shared" si="19"/>
        <v>-</v>
      </c>
      <c r="FO15" s="54" t="str">
        <f t="shared" si="19"/>
        <v>-</v>
      </c>
      <c r="FP15" s="54" t="str">
        <f t="shared" si="19"/>
        <v>-</v>
      </c>
      <c r="FQ15" s="54" t="str">
        <f t="shared" si="19"/>
        <v>-</v>
      </c>
      <c r="FR15" s="54" t="str">
        <f t="shared" si="19"/>
        <v>-</v>
      </c>
      <c r="FS15" s="54" t="str">
        <f t="shared" si="19"/>
        <v>-</v>
      </c>
      <c r="FT15" s="54" t="str">
        <f t="shared" si="19"/>
        <v>-</v>
      </c>
      <c r="FU15" s="54" t="str">
        <f t="shared" si="19"/>
        <v>-</v>
      </c>
      <c r="FV15" s="54" t="str">
        <f t="shared" si="19"/>
        <v>-</v>
      </c>
      <c r="FW15" s="54" t="str">
        <f t="shared" si="19"/>
        <v>-</v>
      </c>
      <c r="FX15" s="54" t="str">
        <f t="shared" si="19"/>
        <v>-</v>
      </c>
      <c r="FY15" s="54" t="str">
        <f t="shared" si="19"/>
        <v>-</v>
      </c>
      <c r="FZ15" s="54" t="str">
        <f t="shared" si="19"/>
        <v>-</v>
      </c>
      <c r="GA15" s="54" t="str">
        <f t="shared" si="19"/>
        <v>-</v>
      </c>
      <c r="GB15" s="54" t="str">
        <f t="shared" si="19"/>
        <v>-</v>
      </c>
      <c r="GC15" s="54" t="str">
        <f t="shared" si="19"/>
        <v>-</v>
      </c>
      <c r="GD15" s="54" t="str">
        <f t="shared" si="19"/>
        <v>-</v>
      </c>
      <c r="GE15" s="54" t="str">
        <f t="shared" si="19"/>
        <v>-</v>
      </c>
      <c r="GF15" s="54" t="str">
        <f t="shared" si="19"/>
        <v>-</v>
      </c>
      <c r="GG15" s="54" t="str">
        <f t="shared" si="19"/>
        <v>-</v>
      </c>
      <c r="GH15" s="54" t="str">
        <f t="shared" si="19"/>
        <v>-</v>
      </c>
      <c r="GI15" s="54" t="str">
        <f t="shared" si="19"/>
        <v>-</v>
      </c>
      <c r="GJ15" s="54" t="str">
        <f t="shared" si="19"/>
        <v>-</v>
      </c>
      <c r="GK15" s="54" t="str">
        <f t="shared" si="19"/>
        <v>-</v>
      </c>
      <c r="GL15" s="54" t="str">
        <f t="shared" si="19"/>
        <v>-</v>
      </c>
      <c r="GM15" s="54" t="str">
        <f t="shared" ref="GM15:IX15" si="20">IF(AND(IF(GM17&gt;=$D$8,1,0),IF(GM17&lt;$D$9,1,0)),"Acumulación","-")</f>
        <v>-</v>
      </c>
      <c r="GN15" s="54" t="str">
        <f t="shared" si="20"/>
        <v>-</v>
      </c>
      <c r="GO15" s="54" t="str">
        <f t="shared" si="20"/>
        <v>-</v>
      </c>
      <c r="GP15" s="54" t="str">
        <f t="shared" si="20"/>
        <v>-</v>
      </c>
      <c r="GQ15" s="54" t="str">
        <f t="shared" si="20"/>
        <v>-</v>
      </c>
      <c r="GR15" s="54" t="str">
        <f t="shared" si="20"/>
        <v>-</v>
      </c>
      <c r="GS15" s="54" t="str">
        <f t="shared" si="20"/>
        <v>-</v>
      </c>
      <c r="GT15" s="54" t="str">
        <f t="shared" si="20"/>
        <v>-</v>
      </c>
      <c r="GU15" s="54" t="str">
        <f t="shared" si="20"/>
        <v>-</v>
      </c>
      <c r="GV15" s="54" t="str">
        <f t="shared" si="20"/>
        <v>-</v>
      </c>
      <c r="GW15" s="54" t="str">
        <f t="shared" si="20"/>
        <v>-</v>
      </c>
      <c r="GX15" s="54" t="str">
        <f t="shared" si="20"/>
        <v>-</v>
      </c>
      <c r="GY15" s="54" t="str">
        <f t="shared" si="20"/>
        <v>-</v>
      </c>
      <c r="GZ15" s="54" t="str">
        <f t="shared" si="20"/>
        <v>-</v>
      </c>
      <c r="HA15" s="54" t="str">
        <f t="shared" si="20"/>
        <v>-</v>
      </c>
      <c r="HB15" s="54" t="str">
        <f t="shared" si="20"/>
        <v>-</v>
      </c>
      <c r="HC15" s="54" t="str">
        <f t="shared" si="20"/>
        <v>-</v>
      </c>
      <c r="HD15" s="54" t="str">
        <f t="shared" si="20"/>
        <v>-</v>
      </c>
      <c r="HE15" s="54" t="str">
        <f t="shared" si="20"/>
        <v>-</v>
      </c>
      <c r="HF15" s="54" t="str">
        <f t="shared" si="20"/>
        <v>-</v>
      </c>
      <c r="HG15" s="54" t="str">
        <f t="shared" si="20"/>
        <v>-</v>
      </c>
      <c r="HH15" s="54" t="str">
        <f t="shared" si="20"/>
        <v>-</v>
      </c>
      <c r="HI15" s="54" t="str">
        <f t="shared" si="20"/>
        <v>-</v>
      </c>
      <c r="HJ15" s="54" t="str">
        <f t="shared" si="20"/>
        <v>-</v>
      </c>
      <c r="HK15" s="54" t="str">
        <f t="shared" si="20"/>
        <v>-</v>
      </c>
      <c r="HL15" s="54" t="str">
        <f t="shared" si="20"/>
        <v>-</v>
      </c>
      <c r="HM15" s="54" t="str">
        <f t="shared" si="20"/>
        <v>-</v>
      </c>
      <c r="HN15" s="54" t="str">
        <f t="shared" si="20"/>
        <v>-</v>
      </c>
      <c r="HO15" s="54" t="str">
        <f t="shared" si="20"/>
        <v>-</v>
      </c>
      <c r="HP15" s="54" t="str">
        <f t="shared" si="20"/>
        <v>-</v>
      </c>
      <c r="HQ15" s="54" t="str">
        <f t="shared" si="20"/>
        <v>-</v>
      </c>
      <c r="HR15" s="54" t="str">
        <f t="shared" si="20"/>
        <v>-</v>
      </c>
      <c r="HS15" s="54" t="str">
        <f t="shared" si="20"/>
        <v>-</v>
      </c>
      <c r="HT15" s="54" t="str">
        <f t="shared" si="20"/>
        <v>-</v>
      </c>
      <c r="HU15" s="54" t="str">
        <f t="shared" si="20"/>
        <v>-</v>
      </c>
      <c r="HV15" s="54" t="str">
        <f t="shared" si="20"/>
        <v>-</v>
      </c>
      <c r="HW15" s="54" t="str">
        <f t="shared" si="20"/>
        <v>-</v>
      </c>
      <c r="HX15" s="54" t="str">
        <f t="shared" si="20"/>
        <v>-</v>
      </c>
      <c r="HY15" s="54" t="str">
        <f t="shared" si="20"/>
        <v>-</v>
      </c>
      <c r="HZ15" s="54" t="str">
        <f t="shared" si="20"/>
        <v>-</v>
      </c>
      <c r="IA15" s="54" t="str">
        <f t="shared" si="20"/>
        <v>-</v>
      </c>
      <c r="IB15" s="54" t="str">
        <f t="shared" si="20"/>
        <v>-</v>
      </c>
      <c r="IC15" s="54" t="str">
        <f t="shared" si="20"/>
        <v>-</v>
      </c>
      <c r="ID15" s="54" t="str">
        <f t="shared" si="20"/>
        <v>-</v>
      </c>
      <c r="IE15" s="54" t="str">
        <f t="shared" si="20"/>
        <v>-</v>
      </c>
      <c r="IF15" s="54" t="str">
        <f t="shared" si="20"/>
        <v>-</v>
      </c>
      <c r="IG15" s="54" t="str">
        <f t="shared" si="20"/>
        <v>-</v>
      </c>
      <c r="IH15" s="54" t="str">
        <f t="shared" si="20"/>
        <v>-</v>
      </c>
      <c r="II15" s="54" t="str">
        <f t="shared" si="20"/>
        <v>-</v>
      </c>
      <c r="IJ15" s="54" t="str">
        <f t="shared" si="20"/>
        <v>-</v>
      </c>
      <c r="IK15" s="54" t="str">
        <f t="shared" si="20"/>
        <v>-</v>
      </c>
      <c r="IL15" s="54" t="str">
        <f t="shared" si="20"/>
        <v>-</v>
      </c>
      <c r="IM15" s="54" t="str">
        <f t="shared" si="20"/>
        <v>-</v>
      </c>
      <c r="IN15" s="54" t="str">
        <f t="shared" si="20"/>
        <v>-</v>
      </c>
      <c r="IO15" s="54" t="str">
        <f t="shared" si="20"/>
        <v>-</v>
      </c>
      <c r="IP15" s="54" t="str">
        <f t="shared" si="20"/>
        <v>-</v>
      </c>
      <c r="IQ15" s="54" t="str">
        <f t="shared" si="20"/>
        <v>-</v>
      </c>
      <c r="IR15" s="54" t="str">
        <f t="shared" si="20"/>
        <v>-</v>
      </c>
      <c r="IS15" s="54" t="str">
        <f t="shared" si="20"/>
        <v>-</v>
      </c>
      <c r="IT15" s="54" t="str">
        <f t="shared" si="20"/>
        <v>-</v>
      </c>
      <c r="IU15" s="54" t="str">
        <f t="shared" si="20"/>
        <v>-</v>
      </c>
      <c r="IV15" s="54" t="str">
        <f t="shared" si="20"/>
        <v>-</v>
      </c>
      <c r="IW15" s="54" t="str">
        <f t="shared" si="20"/>
        <v>-</v>
      </c>
      <c r="IX15" s="54" t="str">
        <f t="shared" si="20"/>
        <v>-</v>
      </c>
      <c r="IY15" s="54" t="str">
        <f t="shared" ref="IY15:LJ15" si="21">IF(AND(IF(IY17&gt;=$D$8,1,0),IF(IY17&lt;$D$9,1,0)),"Acumulación","-")</f>
        <v>-</v>
      </c>
      <c r="IZ15" s="54" t="str">
        <f t="shared" si="21"/>
        <v>-</v>
      </c>
      <c r="JA15" s="54" t="str">
        <f t="shared" si="21"/>
        <v>-</v>
      </c>
      <c r="JB15" s="54" t="str">
        <f t="shared" si="21"/>
        <v>-</v>
      </c>
      <c r="JC15" s="54" t="str">
        <f t="shared" si="21"/>
        <v>-</v>
      </c>
      <c r="JD15" s="54" t="str">
        <f t="shared" si="21"/>
        <v>-</v>
      </c>
      <c r="JE15" s="54" t="str">
        <f t="shared" si="21"/>
        <v>-</v>
      </c>
      <c r="JF15" s="54" t="str">
        <f t="shared" si="21"/>
        <v>-</v>
      </c>
      <c r="JG15" s="54" t="str">
        <f t="shared" si="21"/>
        <v>-</v>
      </c>
      <c r="JH15" s="54" t="str">
        <f t="shared" si="21"/>
        <v>-</v>
      </c>
      <c r="JI15" s="54" t="str">
        <f t="shared" si="21"/>
        <v>-</v>
      </c>
      <c r="JJ15" s="54" t="str">
        <f t="shared" si="21"/>
        <v>-</v>
      </c>
      <c r="JK15" s="54" t="str">
        <f t="shared" si="21"/>
        <v>-</v>
      </c>
      <c r="JL15" s="54" t="str">
        <f t="shared" si="21"/>
        <v>-</v>
      </c>
      <c r="JM15" s="54" t="str">
        <f t="shared" si="21"/>
        <v>-</v>
      </c>
      <c r="JN15" s="54" t="str">
        <f t="shared" si="21"/>
        <v>-</v>
      </c>
      <c r="JO15" s="54" t="str">
        <f t="shared" si="21"/>
        <v>-</v>
      </c>
      <c r="JP15" s="54" t="str">
        <f t="shared" si="21"/>
        <v>-</v>
      </c>
      <c r="JQ15" s="54" t="str">
        <f t="shared" si="21"/>
        <v>-</v>
      </c>
      <c r="JR15" s="54" t="str">
        <f t="shared" si="21"/>
        <v>-</v>
      </c>
      <c r="JS15" s="54" t="str">
        <f t="shared" si="21"/>
        <v>-</v>
      </c>
      <c r="JT15" s="54" t="str">
        <f t="shared" si="21"/>
        <v>-</v>
      </c>
      <c r="JU15" s="54" t="str">
        <f t="shared" si="21"/>
        <v>-</v>
      </c>
      <c r="JV15" s="54" t="str">
        <f t="shared" si="21"/>
        <v>-</v>
      </c>
      <c r="JW15" s="54" t="str">
        <f t="shared" si="21"/>
        <v>-</v>
      </c>
      <c r="JX15" s="54" t="str">
        <f t="shared" si="21"/>
        <v>-</v>
      </c>
      <c r="JY15" s="54" t="str">
        <f t="shared" si="21"/>
        <v>-</v>
      </c>
      <c r="JZ15" s="54" t="str">
        <f t="shared" si="21"/>
        <v>-</v>
      </c>
      <c r="KA15" s="54" t="str">
        <f t="shared" si="21"/>
        <v>-</v>
      </c>
      <c r="KB15" s="54" t="str">
        <f t="shared" si="21"/>
        <v>-</v>
      </c>
      <c r="KC15" s="54" t="str">
        <f t="shared" si="21"/>
        <v>-</v>
      </c>
      <c r="KD15" s="54" t="str">
        <f t="shared" si="21"/>
        <v>-</v>
      </c>
      <c r="KE15" s="54" t="str">
        <f t="shared" si="21"/>
        <v>-</v>
      </c>
      <c r="KF15" s="54" t="str">
        <f t="shared" si="21"/>
        <v>-</v>
      </c>
      <c r="KG15" s="54" t="str">
        <f t="shared" si="21"/>
        <v>-</v>
      </c>
      <c r="KH15" s="54" t="str">
        <f t="shared" si="21"/>
        <v>-</v>
      </c>
      <c r="KI15" s="54" t="str">
        <f t="shared" si="21"/>
        <v>-</v>
      </c>
      <c r="KJ15" s="54" t="str">
        <f t="shared" si="21"/>
        <v>-</v>
      </c>
      <c r="KK15" s="54" t="str">
        <f t="shared" si="21"/>
        <v>-</v>
      </c>
      <c r="KL15" s="54" t="str">
        <f t="shared" si="21"/>
        <v>-</v>
      </c>
      <c r="KM15" s="54" t="str">
        <f t="shared" si="21"/>
        <v>-</v>
      </c>
      <c r="KN15" s="54" t="str">
        <f t="shared" si="21"/>
        <v>-</v>
      </c>
      <c r="KO15" s="54" t="str">
        <f t="shared" si="21"/>
        <v>-</v>
      </c>
      <c r="KP15" s="54" t="str">
        <f t="shared" si="21"/>
        <v>-</v>
      </c>
      <c r="KQ15" s="54" t="str">
        <f t="shared" si="21"/>
        <v>-</v>
      </c>
      <c r="KR15" s="54" t="str">
        <f t="shared" si="21"/>
        <v>-</v>
      </c>
      <c r="KS15" s="54" t="str">
        <f t="shared" si="21"/>
        <v>-</v>
      </c>
      <c r="KT15" s="54" t="str">
        <f t="shared" si="21"/>
        <v>-</v>
      </c>
      <c r="KU15" s="54" t="str">
        <f t="shared" si="21"/>
        <v>-</v>
      </c>
      <c r="KV15" s="54" t="str">
        <f t="shared" si="21"/>
        <v>-</v>
      </c>
      <c r="KW15" s="54" t="str">
        <f t="shared" si="21"/>
        <v>-</v>
      </c>
      <c r="KX15" s="54" t="str">
        <f t="shared" si="21"/>
        <v>-</v>
      </c>
      <c r="KY15" s="54" t="str">
        <f t="shared" si="21"/>
        <v>-</v>
      </c>
      <c r="KZ15" s="54" t="str">
        <f t="shared" si="21"/>
        <v>-</v>
      </c>
      <c r="LA15" s="54" t="str">
        <f t="shared" si="21"/>
        <v>-</v>
      </c>
      <c r="LB15" s="54" t="str">
        <f t="shared" si="21"/>
        <v>-</v>
      </c>
      <c r="LC15" s="54" t="str">
        <f t="shared" si="21"/>
        <v>-</v>
      </c>
      <c r="LD15" s="54" t="str">
        <f t="shared" si="21"/>
        <v>-</v>
      </c>
      <c r="LE15" s="54" t="str">
        <f t="shared" si="21"/>
        <v>-</v>
      </c>
      <c r="LF15" s="54" t="str">
        <f t="shared" si="21"/>
        <v>-</v>
      </c>
      <c r="LG15" s="54" t="str">
        <f t="shared" si="21"/>
        <v>-</v>
      </c>
      <c r="LH15" s="54" t="str">
        <f t="shared" si="21"/>
        <v>-</v>
      </c>
      <c r="LI15" s="54" t="str">
        <f t="shared" si="21"/>
        <v>-</v>
      </c>
      <c r="LJ15" s="54" t="str">
        <f t="shared" si="21"/>
        <v>-</v>
      </c>
      <c r="LK15" s="54" t="str">
        <f t="shared" ref="LK15:NV15" si="22">IF(AND(IF(LK17&gt;=$D$8,1,0),IF(LK17&lt;$D$9,1,0)),"Acumulación","-")</f>
        <v>-</v>
      </c>
      <c r="LL15" s="54" t="str">
        <f t="shared" si="22"/>
        <v>-</v>
      </c>
      <c r="LM15" s="54" t="str">
        <f t="shared" si="22"/>
        <v>-</v>
      </c>
      <c r="LN15" s="54" t="str">
        <f t="shared" si="22"/>
        <v>-</v>
      </c>
      <c r="LO15" s="54" t="str">
        <f t="shared" si="22"/>
        <v>-</v>
      </c>
      <c r="LP15" s="54" t="str">
        <f t="shared" si="22"/>
        <v>-</v>
      </c>
      <c r="LQ15" s="54" t="str">
        <f t="shared" si="22"/>
        <v>-</v>
      </c>
      <c r="LR15" s="54" t="str">
        <f t="shared" si="22"/>
        <v>-</v>
      </c>
      <c r="LS15" s="54" t="str">
        <f t="shared" si="22"/>
        <v>-</v>
      </c>
      <c r="LT15" s="54" t="str">
        <f t="shared" si="22"/>
        <v>-</v>
      </c>
      <c r="LU15" s="54" t="str">
        <f t="shared" si="22"/>
        <v>-</v>
      </c>
      <c r="LV15" s="54" t="str">
        <f t="shared" si="22"/>
        <v>-</v>
      </c>
      <c r="LW15" s="54" t="str">
        <f t="shared" si="22"/>
        <v>-</v>
      </c>
      <c r="LX15" s="54" t="str">
        <f t="shared" si="22"/>
        <v>-</v>
      </c>
      <c r="LY15" s="54" t="str">
        <f t="shared" si="22"/>
        <v>-</v>
      </c>
      <c r="LZ15" s="54" t="str">
        <f t="shared" si="22"/>
        <v>-</v>
      </c>
      <c r="MA15" s="54" t="str">
        <f t="shared" si="22"/>
        <v>-</v>
      </c>
      <c r="MB15" s="54" t="str">
        <f t="shared" si="22"/>
        <v>-</v>
      </c>
      <c r="MC15" s="54" t="str">
        <f t="shared" si="22"/>
        <v>-</v>
      </c>
      <c r="MD15" s="54" t="str">
        <f t="shared" si="22"/>
        <v>-</v>
      </c>
      <c r="ME15" s="54" t="str">
        <f t="shared" si="22"/>
        <v>-</v>
      </c>
      <c r="MF15" s="54" t="str">
        <f t="shared" si="22"/>
        <v>-</v>
      </c>
      <c r="MG15" s="54" t="str">
        <f t="shared" si="22"/>
        <v>-</v>
      </c>
      <c r="MH15" s="54" t="str">
        <f t="shared" si="22"/>
        <v>-</v>
      </c>
      <c r="MI15" s="54" t="str">
        <f t="shared" si="22"/>
        <v>-</v>
      </c>
      <c r="MJ15" s="54" t="str">
        <f t="shared" si="22"/>
        <v>-</v>
      </c>
      <c r="MK15" s="54" t="str">
        <f t="shared" si="22"/>
        <v>-</v>
      </c>
      <c r="ML15" s="54" t="str">
        <f t="shared" si="22"/>
        <v>-</v>
      </c>
      <c r="MM15" s="54" t="str">
        <f t="shared" si="22"/>
        <v>-</v>
      </c>
      <c r="MN15" s="54" t="str">
        <f t="shared" si="22"/>
        <v>-</v>
      </c>
      <c r="MO15" s="54" t="str">
        <f t="shared" si="22"/>
        <v>-</v>
      </c>
      <c r="MP15" s="54" t="str">
        <f t="shared" si="22"/>
        <v>-</v>
      </c>
      <c r="MQ15" s="54" t="str">
        <f t="shared" si="22"/>
        <v>-</v>
      </c>
      <c r="MR15" s="54" t="str">
        <f t="shared" si="22"/>
        <v>-</v>
      </c>
      <c r="MS15" s="54" t="str">
        <f t="shared" si="22"/>
        <v>-</v>
      </c>
      <c r="MT15" s="54" t="str">
        <f t="shared" si="22"/>
        <v>-</v>
      </c>
      <c r="MU15" s="54" t="str">
        <f t="shared" si="22"/>
        <v>-</v>
      </c>
      <c r="MV15" s="54" t="str">
        <f t="shared" si="22"/>
        <v>-</v>
      </c>
      <c r="MW15" s="54" t="str">
        <f t="shared" si="22"/>
        <v>-</v>
      </c>
      <c r="MX15" s="54" t="str">
        <f t="shared" si="22"/>
        <v>-</v>
      </c>
      <c r="MY15" s="54" t="str">
        <f t="shared" si="22"/>
        <v>-</v>
      </c>
      <c r="MZ15" s="54" t="str">
        <f t="shared" si="22"/>
        <v>-</v>
      </c>
      <c r="NA15" s="54" t="str">
        <f t="shared" si="22"/>
        <v>-</v>
      </c>
      <c r="NB15" s="54" t="str">
        <f t="shared" si="22"/>
        <v>-</v>
      </c>
      <c r="NC15" s="54" t="str">
        <f t="shared" si="22"/>
        <v>-</v>
      </c>
      <c r="ND15" s="54" t="str">
        <f t="shared" si="22"/>
        <v>-</v>
      </c>
      <c r="NE15" s="54" t="str">
        <f t="shared" si="22"/>
        <v>-</v>
      </c>
      <c r="NF15" s="54" t="str">
        <f t="shared" si="22"/>
        <v>-</v>
      </c>
      <c r="NG15" s="54" t="str">
        <f t="shared" si="22"/>
        <v>-</v>
      </c>
      <c r="NH15" s="54" t="str">
        <f t="shared" si="22"/>
        <v>-</v>
      </c>
      <c r="NI15" s="54" t="str">
        <f t="shared" si="22"/>
        <v>-</v>
      </c>
      <c r="NJ15" s="54" t="str">
        <f t="shared" si="22"/>
        <v>-</v>
      </c>
      <c r="NK15" s="54" t="str">
        <f t="shared" si="22"/>
        <v>-</v>
      </c>
      <c r="NL15" s="54" t="str">
        <f t="shared" si="22"/>
        <v>-</v>
      </c>
      <c r="NM15" s="54" t="str">
        <f t="shared" si="22"/>
        <v>-</v>
      </c>
      <c r="NN15" s="54" t="str">
        <f t="shared" si="22"/>
        <v>-</v>
      </c>
      <c r="NO15" s="54" t="str">
        <f t="shared" si="22"/>
        <v>-</v>
      </c>
      <c r="NP15" s="54" t="str">
        <f t="shared" si="22"/>
        <v>-</v>
      </c>
      <c r="NQ15" s="54" t="str">
        <f t="shared" si="22"/>
        <v>-</v>
      </c>
      <c r="NR15" s="54" t="str">
        <f t="shared" si="22"/>
        <v>-</v>
      </c>
      <c r="NS15" s="54" t="str">
        <f t="shared" si="22"/>
        <v>-</v>
      </c>
      <c r="NT15" s="54" t="str">
        <f t="shared" si="22"/>
        <v>-</v>
      </c>
      <c r="NU15" s="54" t="str">
        <f t="shared" si="22"/>
        <v>-</v>
      </c>
      <c r="NV15" s="54" t="str">
        <f t="shared" si="22"/>
        <v>-</v>
      </c>
      <c r="NW15" s="54" t="str">
        <f t="shared" ref="NW15:QH15" si="23">IF(AND(IF(NW17&gt;=$D$8,1,0),IF(NW17&lt;$D$9,1,0)),"Acumulación","-")</f>
        <v>-</v>
      </c>
      <c r="NX15" s="54" t="str">
        <f t="shared" si="23"/>
        <v>-</v>
      </c>
      <c r="NY15" s="54" t="str">
        <f t="shared" si="23"/>
        <v>-</v>
      </c>
      <c r="NZ15" s="54" t="str">
        <f t="shared" si="23"/>
        <v>-</v>
      </c>
      <c r="OA15" s="54" t="str">
        <f t="shared" si="23"/>
        <v>-</v>
      </c>
      <c r="OB15" s="54" t="str">
        <f t="shared" si="23"/>
        <v>-</v>
      </c>
      <c r="OC15" s="54" t="str">
        <f t="shared" si="23"/>
        <v>-</v>
      </c>
      <c r="OD15" s="54" t="str">
        <f t="shared" si="23"/>
        <v>-</v>
      </c>
      <c r="OE15" s="54" t="str">
        <f t="shared" si="23"/>
        <v>-</v>
      </c>
      <c r="OF15" s="54" t="str">
        <f t="shared" si="23"/>
        <v>-</v>
      </c>
      <c r="OG15" s="54" t="str">
        <f t="shared" si="23"/>
        <v>-</v>
      </c>
      <c r="OH15" s="54" t="str">
        <f t="shared" si="23"/>
        <v>-</v>
      </c>
      <c r="OI15" s="54" t="str">
        <f t="shared" si="23"/>
        <v>-</v>
      </c>
      <c r="OJ15" s="54" t="str">
        <f t="shared" si="23"/>
        <v>-</v>
      </c>
      <c r="OK15" s="54" t="str">
        <f t="shared" si="23"/>
        <v>-</v>
      </c>
      <c r="OL15" s="54" t="str">
        <f t="shared" si="23"/>
        <v>-</v>
      </c>
      <c r="OM15" s="54" t="str">
        <f t="shared" si="23"/>
        <v>-</v>
      </c>
      <c r="ON15" s="54" t="str">
        <f t="shared" si="23"/>
        <v>-</v>
      </c>
      <c r="OO15" s="54" t="str">
        <f t="shared" si="23"/>
        <v>-</v>
      </c>
      <c r="OP15" s="54" t="str">
        <f t="shared" si="23"/>
        <v>-</v>
      </c>
      <c r="OQ15" s="54" t="str">
        <f t="shared" si="23"/>
        <v>-</v>
      </c>
      <c r="OR15" s="54" t="str">
        <f t="shared" si="23"/>
        <v>-</v>
      </c>
      <c r="OS15" s="54" t="str">
        <f t="shared" si="23"/>
        <v>-</v>
      </c>
      <c r="OT15" s="54" t="str">
        <f t="shared" si="23"/>
        <v>-</v>
      </c>
      <c r="OU15" s="54" t="str">
        <f t="shared" si="23"/>
        <v>-</v>
      </c>
      <c r="OV15" s="54" t="str">
        <f t="shared" si="23"/>
        <v>-</v>
      </c>
      <c r="OW15" s="54" t="str">
        <f t="shared" si="23"/>
        <v>-</v>
      </c>
      <c r="OX15" s="54" t="str">
        <f t="shared" si="23"/>
        <v>-</v>
      </c>
      <c r="OY15" s="54" t="str">
        <f t="shared" si="23"/>
        <v>-</v>
      </c>
      <c r="OZ15" s="54" t="str">
        <f t="shared" si="23"/>
        <v>-</v>
      </c>
      <c r="PA15" s="54" t="str">
        <f t="shared" si="23"/>
        <v>-</v>
      </c>
      <c r="PB15" s="54" t="str">
        <f t="shared" si="23"/>
        <v>-</v>
      </c>
      <c r="PC15" s="54" t="str">
        <f t="shared" si="23"/>
        <v>-</v>
      </c>
      <c r="PD15" s="54" t="str">
        <f t="shared" si="23"/>
        <v>-</v>
      </c>
      <c r="PE15" s="54" t="str">
        <f t="shared" si="23"/>
        <v>-</v>
      </c>
      <c r="PF15" s="54" t="str">
        <f t="shared" si="23"/>
        <v>-</v>
      </c>
      <c r="PG15" s="54" t="str">
        <f t="shared" si="23"/>
        <v>-</v>
      </c>
      <c r="PH15" s="54" t="str">
        <f t="shared" si="23"/>
        <v>-</v>
      </c>
      <c r="PI15" s="54" t="str">
        <f t="shared" si="23"/>
        <v>-</v>
      </c>
      <c r="PJ15" s="54" t="str">
        <f t="shared" si="23"/>
        <v>-</v>
      </c>
      <c r="PK15" s="54" t="str">
        <f t="shared" si="23"/>
        <v>-</v>
      </c>
      <c r="PL15" s="54" t="str">
        <f t="shared" si="23"/>
        <v>-</v>
      </c>
      <c r="PM15" s="54" t="str">
        <f t="shared" si="23"/>
        <v>-</v>
      </c>
      <c r="PN15" s="54" t="str">
        <f t="shared" si="23"/>
        <v>-</v>
      </c>
      <c r="PO15" s="54" t="str">
        <f t="shared" si="23"/>
        <v>-</v>
      </c>
      <c r="PP15" s="54" t="str">
        <f t="shared" si="23"/>
        <v>-</v>
      </c>
      <c r="PQ15" s="54" t="str">
        <f t="shared" si="23"/>
        <v>-</v>
      </c>
      <c r="PR15" s="54" t="str">
        <f t="shared" si="23"/>
        <v>-</v>
      </c>
      <c r="PS15" s="54" t="str">
        <f t="shared" si="23"/>
        <v>-</v>
      </c>
      <c r="PT15" s="54" t="str">
        <f t="shared" si="23"/>
        <v>-</v>
      </c>
      <c r="PU15" s="54" t="str">
        <f t="shared" si="23"/>
        <v>-</v>
      </c>
      <c r="PV15" s="54" t="str">
        <f t="shared" si="23"/>
        <v>-</v>
      </c>
      <c r="PW15" s="54" t="str">
        <f t="shared" si="23"/>
        <v>-</v>
      </c>
      <c r="PX15" s="54" t="str">
        <f t="shared" si="23"/>
        <v>-</v>
      </c>
      <c r="PY15" s="54" t="str">
        <f t="shared" si="23"/>
        <v>-</v>
      </c>
      <c r="PZ15" s="54" t="str">
        <f t="shared" si="23"/>
        <v>-</v>
      </c>
      <c r="QA15" s="54" t="str">
        <f t="shared" si="23"/>
        <v>-</v>
      </c>
      <c r="QB15" s="54" t="str">
        <f t="shared" si="23"/>
        <v>-</v>
      </c>
      <c r="QC15" s="54" t="str">
        <f t="shared" si="23"/>
        <v>-</v>
      </c>
      <c r="QD15" s="54" t="str">
        <f t="shared" si="23"/>
        <v>-</v>
      </c>
      <c r="QE15" s="54" t="str">
        <f t="shared" si="23"/>
        <v>-</v>
      </c>
      <c r="QF15" s="54" t="str">
        <f t="shared" si="23"/>
        <v>-</v>
      </c>
      <c r="QG15" s="54" t="str">
        <f t="shared" si="23"/>
        <v>-</v>
      </c>
      <c r="QH15" s="54" t="str">
        <f t="shared" si="23"/>
        <v>-</v>
      </c>
      <c r="QI15" s="54" t="str">
        <f t="shared" ref="QI15:ST15" si="24">IF(AND(IF(QI17&gt;=$D$8,1,0),IF(QI17&lt;$D$9,1,0)),"Acumulación","-")</f>
        <v>-</v>
      </c>
      <c r="QJ15" s="54" t="str">
        <f t="shared" si="24"/>
        <v>-</v>
      </c>
      <c r="QK15" s="54" t="str">
        <f t="shared" si="24"/>
        <v>-</v>
      </c>
      <c r="QL15" s="54" t="str">
        <f t="shared" si="24"/>
        <v>-</v>
      </c>
      <c r="QM15" s="54" t="str">
        <f t="shared" si="24"/>
        <v>-</v>
      </c>
      <c r="QN15" s="54" t="str">
        <f t="shared" si="24"/>
        <v>-</v>
      </c>
      <c r="QO15" s="54" t="str">
        <f t="shared" si="24"/>
        <v>-</v>
      </c>
      <c r="QP15" s="54" t="str">
        <f t="shared" si="24"/>
        <v>-</v>
      </c>
      <c r="QQ15" s="54" t="str">
        <f t="shared" si="24"/>
        <v>-</v>
      </c>
      <c r="QR15" s="54" t="str">
        <f t="shared" si="24"/>
        <v>-</v>
      </c>
      <c r="QS15" s="54" t="str">
        <f t="shared" si="24"/>
        <v>-</v>
      </c>
      <c r="QT15" s="54" t="str">
        <f t="shared" si="24"/>
        <v>-</v>
      </c>
      <c r="QU15" s="54" t="str">
        <f t="shared" si="24"/>
        <v>-</v>
      </c>
      <c r="QV15" s="54" t="str">
        <f t="shared" si="24"/>
        <v>-</v>
      </c>
      <c r="QW15" s="54" t="str">
        <f t="shared" si="24"/>
        <v>-</v>
      </c>
      <c r="QX15" s="54" t="str">
        <f t="shared" si="24"/>
        <v>-</v>
      </c>
      <c r="QY15" s="54" t="str">
        <f t="shared" si="24"/>
        <v>-</v>
      </c>
      <c r="QZ15" s="54" t="str">
        <f t="shared" si="24"/>
        <v>-</v>
      </c>
      <c r="RA15" s="54" t="str">
        <f t="shared" si="24"/>
        <v>-</v>
      </c>
      <c r="RB15" s="54" t="str">
        <f t="shared" si="24"/>
        <v>-</v>
      </c>
      <c r="RC15" s="54" t="str">
        <f t="shared" si="24"/>
        <v>-</v>
      </c>
      <c r="RD15" s="54" t="str">
        <f t="shared" si="24"/>
        <v>-</v>
      </c>
      <c r="RE15" s="54" t="str">
        <f t="shared" si="24"/>
        <v>-</v>
      </c>
      <c r="RF15" s="54" t="str">
        <f t="shared" si="24"/>
        <v>-</v>
      </c>
      <c r="RG15" s="54" t="str">
        <f t="shared" si="24"/>
        <v>-</v>
      </c>
      <c r="RH15" s="54" t="str">
        <f t="shared" si="24"/>
        <v>-</v>
      </c>
      <c r="RI15" s="54" t="str">
        <f t="shared" si="24"/>
        <v>-</v>
      </c>
      <c r="RJ15" s="54" t="str">
        <f t="shared" si="24"/>
        <v>-</v>
      </c>
      <c r="RK15" s="54" t="str">
        <f t="shared" si="24"/>
        <v>-</v>
      </c>
      <c r="RL15" s="54" t="str">
        <f t="shared" si="24"/>
        <v>-</v>
      </c>
      <c r="RM15" s="54" t="str">
        <f t="shared" si="24"/>
        <v>-</v>
      </c>
      <c r="RN15" s="54" t="str">
        <f t="shared" si="24"/>
        <v>-</v>
      </c>
      <c r="RO15" s="54" t="str">
        <f t="shared" si="24"/>
        <v>-</v>
      </c>
      <c r="RP15" s="54" t="str">
        <f t="shared" si="24"/>
        <v>-</v>
      </c>
      <c r="RQ15" s="54" t="str">
        <f t="shared" si="24"/>
        <v>-</v>
      </c>
      <c r="RR15" s="54" t="str">
        <f t="shared" si="24"/>
        <v>-</v>
      </c>
      <c r="RS15" s="54" t="str">
        <f t="shared" si="24"/>
        <v>-</v>
      </c>
      <c r="RT15" s="54" t="str">
        <f t="shared" si="24"/>
        <v>-</v>
      </c>
      <c r="RU15" s="54" t="str">
        <f t="shared" si="24"/>
        <v>-</v>
      </c>
      <c r="RV15" s="54" t="str">
        <f t="shared" si="24"/>
        <v>-</v>
      </c>
      <c r="RW15" s="54" t="str">
        <f t="shared" si="24"/>
        <v>-</v>
      </c>
      <c r="RX15" s="54" t="str">
        <f t="shared" si="24"/>
        <v>-</v>
      </c>
      <c r="RY15" s="54" t="str">
        <f t="shared" si="24"/>
        <v>-</v>
      </c>
      <c r="RZ15" s="54" t="str">
        <f t="shared" si="24"/>
        <v>-</v>
      </c>
      <c r="SA15" s="54" t="str">
        <f t="shared" si="24"/>
        <v>-</v>
      </c>
      <c r="SB15" s="54" t="str">
        <f t="shared" si="24"/>
        <v>-</v>
      </c>
      <c r="SC15" s="54" t="str">
        <f t="shared" si="24"/>
        <v>-</v>
      </c>
      <c r="SD15" s="54" t="str">
        <f t="shared" si="24"/>
        <v>-</v>
      </c>
      <c r="SE15" s="54" t="str">
        <f t="shared" si="24"/>
        <v>-</v>
      </c>
      <c r="SF15" s="54" t="str">
        <f t="shared" si="24"/>
        <v>-</v>
      </c>
      <c r="SG15" s="54" t="str">
        <f t="shared" si="24"/>
        <v>-</v>
      </c>
      <c r="SH15" s="54" t="str">
        <f t="shared" si="24"/>
        <v>-</v>
      </c>
      <c r="SI15" s="54" t="str">
        <f t="shared" si="24"/>
        <v>-</v>
      </c>
      <c r="SJ15" s="54" t="str">
        <f t="shared" si="24"/>
        <v>-</v>
      </c>
      <c r="SK15" s="54" t="str">
        <f t="shared" si="24"/>
        <v>-</v>
      </c>
      <c r="SL15" s="54" t="str">
        <f t="shared" si="24"/>
        <v>-</v>
      </c>
      <c r="SM15" s="54" t="str">
        <f t="shared" si="24"/>
        <v>-</v>
      </c>
      <c r="SN15" s="54" t="str">
        <f t="shared" si="24"/>
        <v>-</v>
      </c>
      <c r="SO15" s="54" t="str">
        <f t="shared" si="24"/>
        <v>-</v>
      </c>
      <c r="SP15" s="54" t="str">
        <f t="shared" si="24"/>
        <v>-</v>
      </c>
      <c r="SQ15" s="54" t="str">
        <f t="shared" si="24"/>
        <v>-</v>
      </c>
      <c r="SR15" s="54" t="str">
        <f t="shared" si="24"/>
        <v>-</v>
      </c>
      <c r="SS15" s="54" t="str">
        <f t="shared" si="24"/>
        <v>-</v>
      </c>
      <c r="ST15" s="54" t="str">
        <f t="shared" si="24"/>
        <v>-</v>
      </c>
      <c r="SU15" s="54" t="str">
        <f t="shared" ref="SU15:VF15" si="25">IF(AND(IF(SU17&gt;=$D$8,1,0),IF(SU17&lt;$D$9,1,0)),"Acumulación","-")</f>
        <v>-</v>
      </c>
      <c r="SV15" s="54" t="str">
        <f t="shared" si="25"/>
        <v>-</v>
      </c>
      <c r="SW15" s="54" t="str">
        <f t="shared" si="25"/>
        <v>-</v>
      </c>
      <c r="SX15" s="54" t="str">
        <f t="shared" si="25"/>
        <v>-</v>
      </c>
      <c r="SY15" s="54" t="str">
        <f t="shared" si="25"/>
        <v>-</v>
      </c>
      <c r="SZ15" s="54" t="str">
        <f t="shared" si="25"/>
        <v>-</v>
      </c>
      <c r="TA15" s="54" t="str">
        <f t="shared" si="25"/>
        <v>-</v>
      </c>
      <c r="TB15" s="54" t="str">
        <f t="shared" si="25"/>
        <v>-</v>
      </c>
      <c r="TC15" s="54" t="str">
        <f t="shared" si="25"/>
        <v>-</v>
      </c>
      <c r="TD15" s="54" t="str">
        <f t="shared" si="25"/>
        <v>-</v>
      </c>
      <c r="TE15" s="54" t="str">
        <f t="shared" si="25"/>
        <v>-</v>
      </c>
      <c r="TF15" s="54" t="str">
        <f t="shared" si="25"/>
        <v>-</v>
      </c>
      <c r="TG15" s="54" t="str">
        <f t="shared" si="25"/>
        <v>-</v>
      </c>
      <c r="TH15" s="54" t="str">
        <f t="shared" si="25"/>
        <v>-</v>
      </c>
      <c r="TI15" s="54" t="str">
        <f t="shared" si="25"/>
        <v>-</v>
      </c>
      <c r="TJ15" s="54" t="str">
        <f t="shared" si="25"/>
        <v>-</v>
      </c>
      <c r="TK15" s="54" t="str">
        <f t="shared" si="25"/>
        <v>-</v>
      </c>
      <c r="TL15" s="54" t="str">
        <f t="shared" si="25"/>
        <v>-</v>
      </c>
      <c r="TM15" s="54" t="str">
        <f t="shared" si="25"/>
        <v>-</v>
      </c>
      <c r="TN15" s="54" t="str">
        <f t="shared" si="25"/>
        <v>-</v>
      </c>
      <c r="TO15" s="54" t="str">
        <f t="shared" si="25"/>
        <v>-</v>
      </c>
      <c r="TP15" s="54" t="str">
        <f t="shared" si="25"/>
        <v>-</v>
      </c>
      <c r="TQ15" s="54" t="str">
        <f t="shared" si="25"/>
        <v>-</v>
      </c>
      <c r="TR15" s="54" t="str">
        <f t="shared" si="25"/>
        <v>-</v>
      </c>
      <c r="TS15" s="54" t="str">
        <f t="shared" si="25"/>
        <v>-</v>
      </c>
      <c r="TT15" s="54" t="str">
        <f t="shared" si="25"/>
        <v>-</v>
      </c>
      <c r="TU15" s="54" t="str">
        <f t="shared" si="25"/>
        <v>-</v>
      </c>
      <c r="TV15" s="54" t="str">
        <f t="shared" si="25"/>
        <v>-</v>
      </c>
      <c r="TW15" s="54" t="str">
        <f t="shared" si="25"/>
        <v>-</v>
      </c>
      <c r="TX15" s="54" t="str">
        <f t="shared" si="25"/>
        <v>-</v>
      </c>
      <c r="TY15" s="54" t="str">
        <f t="shared" si="25"/>
        <v>-</v>
      </c>
      <c r="TZ15" s="54" t="str">
        <f t="shared" si="25"/>
        <v>-</v>
      </c>
      <c r="UA15" s="54" t="str">
        <f t="shared" si="25"/>
        <v>-</v>
      </c>
      <c r="UB15" s="54" t="str">
        <f t="shared" si="25"/>
        <v>-</v>
      </c>
      <c r="UC15" s="54" t="str">
        <f t="shared" si="25"/>
        <v>-</v>
      </c>
      <c r="UD15" s="54" t="str">
        <f t="shared" si="25"/>
        <v>-</v>
      </c>
      <c r="UE15" s="54" t="str">
        <f t="shared" si="25"/>
        <v>-</v>
      </c>
      <c r="UF15" s="54" t="str">
        <f t="shared" si="25"/>
        <v>-</v>
      </c>
      <c r="UG15" s="54" t="str">
        <f t="shared" si="25"/>
        <v>-</v>
      </c>
      <c r="UH15" s="54" t="str">
        <f t="shared" si="25"/>
        <v>-</v>
      </c>
      <c r="UI15" s="54" t="str">
        <f t="shared" si="25"/>
        <v>-</v>
      </c>
      <c r="UJ15" s="54" t="str">
        <f t="shared" si="25"/>
        <v>-</v>
      </c>
      <c r="UK15" s="54" t="str">
        <f t="shared" si="25"/>
        <v>-</v>
      </c>
      <c r="UL15" s="54" t="str">
        <f t="shared" si="25"/>
        <v>-</v>
      </c>
      <c r="UM15" s="54" t="str">
        <f t="shared" si="25"/>
        <v>-</v>
      </c>
      <c r="UN15" s="54" t="str">
        <f t="shared" si="25"/>
        <v>-</v>
      </c>
      <c r="UO15" s="54" t="str">
        <f t="shared" si="25"/>
        <v>-</v>
      </c>
      <c r="UP15" s="54" t="str">
        <f t="shared" si="25"/>
        <v>-</v>
      </c>
      <c r="UQ15" s="54" t="str">
        <f t="shared" si="25"/>
        <v>-</v>
      </c>
      <c r="UR15" s="54" t="str">
        <f t="shared" si="25"/>
        <v>-</v>
      </c>
      <c r="US15" s="54" t="str">
        <f t="shared" si="25"/>
        <v>-</v>
      </c>
      <c r="UT15" s="54" t="str">
        <f t="shared" si="25"/>
        <v>-</v>
      </c>
      <c r="UU15" s="54" t="str">
        <f t="shared" si="25"/>
        <v>-</v>
      </c>
      <c r="UV15" s="54" t="str">
        <f t="shared" si="25"/>
        <v>-</v>
      </c>
      <c r="UW15" s="54" t="str">
        <f t="shared" si="25"/>
        <v>-</v>
      </c>
      <c r="UX15" s="54" t="str">
        <f t="shared" si="25"/>
        <v>-</v>
      </c>
      <c r="UY15" s="54" t="str">
        <f t="shared" si="25"/>
        <v>-</v>
      </c>
      <c r="UZ15" s="54" t="str">
        <f t="shared" si="25"/>
        <v>-</v>
      </c>
      <c r="VA15" s="54" t="str">
        <f t="shared" si="25"/>
        <v>-</v>
      </c>
      <c r="VB15" s="54" t="str">
        <f t="shared" si="25"/>
        <v>-</v>
      </c>
      <c r="VC15" s="54" t="str">
        <f t="shared" si="25"/>
        <v>-</v>
      </c>
      <c r="VD15" s="54" t="str">
        <f t="shared" si="25"/>
        <v>-</v>
      </c>
      <c r="VE15" s="54" t="str">
        <f t="shared" si="25"/>
        <v>-</v>
      </c>
      <c r="VF15" s="54" t="str">
        <f t="shared" si="25"/>
        <v>-</v>
      </c>
      <c r="VG15" s="54" t="str">
        <f t="shared" ref="VG15:XR15" si="26">IF(AND(IF(VG17&gt;=$D$8,1,0),IF(VG17&lt;$D$9,1,0)),"Acumulación","-")</f>
        <v>-</v>
      </c>
      <c r="VH15" s="54" t="str">
        <f t="shared" si="26"/>
        <v>-</v>
      </c>
      <c r="VI15" s="54" t="str">
        <f t="shared" si="26"/>
        <v>-</v>
      </c>
      <c r="VJ15" s="54" t="str">
        <f t="shared" si="26"/>
        <v>-</v>
      </c>
      <c r="VK15" s="54" t="str">
        <f t="shared" si="26"/>
        <v>-</v>
      </c>
      <c r="VL15" s="54" t="str">
        <f t="shared" si="26"/>
        <v>-</v>
      </c>
      <c r="VM15" s="54" t="str">
        <f t="shared" si="26"/>
        <v>-</v>
      </c>
      <c r="VN15" s="54" t="str">
        <f t="shared" si="26"/>
        <v>-</v>
      </c>
      <c r="VO15" s="54" t="str">
        <f t="shared" si="26"/>
        <v>-</v>
      </c>
      <c r="VP15" s="54" t="str">
        <f t="shared" si="26"/>
        <v>-</v>
      </c>
      <c r="VQ15" s="54" t="str">
        <f t="shared" si="26"/>
        <v>-</v>
      </c>
      <c r="VR15" s="54" t="str">
        <f t="shared" si="26"/>
        <v>-</v>
      </c>
      <c r="VS15" s="54" t="str">
        <f t="shared" si="26"/>
        <v>Acumulación</v>
      </c>
      <c r="VT15" s="54" t="str">
        <f t="shared" si="26"/>
        <v>Acumulación</v>
      </c>
      <c r="VU15" s="54" t="str">
        <f t="shared" si="26"/>
        <v>Acumulación</v>
      </c>
      <c r="VV15" s="54" t="str">
        <f t="shared" si="26"/>
        <v>Acumulación</v>
      </c>
      <c r="VW15" s="54" t="str">
        <f t="shared" si="26"/>
        <v>Acumulación</v>
      </c>
      <c r="VX15" s="54" t="str">
        <f t="shared" si="26"/>
        <v>Acumulación</v>
      </c>
      <c r="VY15" s="54" t="str">
        <f t="shared" si="26"/>
        <v>Acumulación</v>
      </c>
      <c r="VZ15" s="54" t="str">
        <f t="shared" si="26"/>
        <v>Acumulación</v>
      </c>
      <c r="WA15" s="54" t="str">
        <f t="shared" si="26"/>
        <v>Acumulación</v>
      </c>
      <c r="WB15" s="54" t="str">
        <f t="shared" si="26"/>
        <v>Acumulación</v>
      </c>
      <c r="WC15" s="54" t="str">
        <f t="shared" si="26"/>
        <v>Acumulación</v>
      </c>
      <c r="WD15" s="54" t="str">
        <f t="shared" si="26"/>
        <v>Acumulación</v>
      </c>
      <c r="WE15" s="54" t="str">
        <f t="shared" si="26"/>
        <v>Acumulación</v>
      </c>
      <c r="WF15" s="54" t="str">
        <f t="shared" si="26"/>
        <v>Acumulación</v>
      </c>
      <c r="WG15" s="54" t="str">
        <f t="shared" si="26"/>
        <v>Acumulación</v>
      </c>
      <c r="WH15" s="54" t="str">
        <f t="shared" si="26"/>
        <v>Acumulación</v>
      </c>
      <c r="WI15" s="54" t="str">
        <f t="shared" si="26"/>
        <v>Acumulación</v>
      </c>
      <c r="WJ15" s="54" t="str">
        <f t="shared" si="26"/>
        <v>Acumulación</v>
      </c>
      <c r="WK15" s="54" t="str">
        <f t="shared" si="26"/>
        <v>Acumulación</v>
      </c>
      <c r="WL15" s="54" t="str">
        <f t="shared" si="26"/>
        <v>Acumulación</v>
      </c>
      <c r="WM15" s="54" t="str">
        <f t="shared" si="26"/>
        <v>Acumulación</v>
      </c>
      <c r="WN15" s="54" t="str">
        <f t="shared" si="26"/>
        <v>Acumulación</v>
      </c>
      <c r="WO15" s="54" t="str">
        <f t="shared" si="26"/>
        <v>Acumulación</v>
      </c>
      <c r="WP15" s="54" t="str">
        <f t="shared" si="26"/>
        <v>Acumulación</v>
      </c>
      <c r="WQ15" s="54" t="str">
        <f t="shared" si="26"/>
        <v>Acumulación</v>
      </c>
      <c r="WR15" s="54" t="str">
        <f t="shared" si="26"/>
        <v>Acumulación</v>
      </c>
      <c r="WS15" s="54" t="str">
        <f t="shared" si="26"/>
        <v>Acumulación</v>
      </c>
      <c r="WT15" s="54" t="str">
        <f t="shared" si="26"/>
        <v>Acumulación</v>
      </c>
      <c r="WU15" s="54" t="str">
        <f t="shared" si="26"/>
        <v>Acumulación</v>
      </c>
      <c r="WV15" s="54" t="str">
        <f t="shared" si="26"/>
        <v>Acumulación</v>
      </c>
      <c r="WW15" s="54" t="str">
        <f t="shared" si="26"/>
        <v>Acumulación</v>
      </c>
      <c r="WX15" s="54" t="str">
        <f t="shared" si="26"/>
        <v>Acumulación</v>
      </c>
      <c r="WY15" s="54" t="str">
        <f t="shared" si="26"/>
        <v>Acumulación</v>
      </c>
      <c r="WZ15" s="54" t="str">
        <f t="shared" si="26"/>
        <v>Acumulación</v>
      </c>
      <c r="XA15" s="54" t="str">
        <f t="shared" si="26"/>
        <v>Acumulación</v>
      </c>
      <c r="XB15" s="54" t="str">
        <f t="shared" si="26"/>
        <v>Acumulación</v>
      </c>
      <c r="XC15" s="54" t="str">
        <f t="shared" si="26"/>
        <v>Acumulación</v>
      </c>
      <c r="XD15" s="54" t="str">
        <f t="shared" si="26"/>
        <v>Acumulación</v>
      </c>
      <c r="XE15" s="54" t="str">
        <f t="shared" si="26"/>
        <v>Acumulación</v>
      </c>
      <c r="XF15" s="54" t="str">
        <f t="shared" si="26"/>
        <v>Acumulación</v>
      </c>
      <c r="XG15" s="54" t="str">
        <f t="shared" si="26"/>
        <v>Acumulación</v>
      </c>
      <c r="XH15" s="54" t="str">
        <f t="shared" si="26"/>
        <v>Acumulación</v>
      </c>
      <c r="XI15" s="54" t="str">
        <f t="shared" si="26"/>
        <v>Acumulación</v>
      </c>
      <c r="XJ15" s="54" t="str">
        <f t="shared" si="26"/>
        <v>Acumulación</v>
      </c>
      <c r="XK15" s="54" t="str">
        <f t="shared" si="26"/>
        <v>Acumulación</v>
      </c>
      <c r="XL15" s="54" t="str">
        <f t="shared" si="26"/>
        <v>Acumulación</v>
      </c>
      <c r="XM15" s="54" t="str">
        <f t="shared" si="26"/>
        <v>Acumulación</v>
      </c>
      <c r="XN15" s="54" t="str">
        <f t="shared" si="26"/>
        <v>Acumulación</v>
      </c>
      <c r="XO15" s="54" t="str">
        <f t="shared" si="26"/>
        <v>Acumulación</v>
      </c>
      <c r="XP15" s="54" t="str">
        <f t="shared" si="26"/>
        <v>Acumulación</v>
      </c>
      <c r="XQ15" s="54" t="str">
        <f t="shared" si="26"/>
        <v>Acumulación</v>
      </c>
      <c r="XR15" s="54" t="str">
        <f t="shared" si="26"/>
        <v>Acumulación</v>
      </c>
      <c r="XS15" s="54" t="str">
        <f t="shared" ref="XS15:AAD15" si="27">IF(AND(IF(XS17&gt;=$D$8,1,0),IF(XS17&lt;$D$9,1,0)),"Acumulación","-")</f>
        <v>Acumulación</v>
      </c>
      <c r="XT15" s="54" t="str">
        <f t="shared" si="27"/>
        <v>Acumulación</v>
      </c>
      <c r="XU15" s="54" t="str">
        <f t="shared" si="27"/>
        <v>Acumulación</v>
      </c>
      <c r="XV15" s="54" t="str">
        <f t="shared" si="27"/>
        <v>Acumulación</v>
      </c>
      <c r="XW15" s="54" t="str">
        <f t="shared" si="27"/>
        <v>Acumulación</v>
      </c>
      <c r="XX15" s="54" t="str">
        <f t="shared" si="27"/>
        <v>Acumulación</v>
      </c>
      <c r="XY15" s="54" t="str">
        <f t="shared" si="27"/>
        <v>Acumulación</v>
      </c>
      <c r="XZ15" s="54" t="str">
        <f t="shared" si="27"/>
        <v>Acumulación</v>
      </c>
      <c r="YA15" s="54" t="str">
        <f t="shared" si="27"/>
        <v>Acumulación</v>
      </c>
      <c r="YB15" s="54" t="str">
        <f t="shared" si="27"/>
        <v>Acumulación</v>
      </c>
      <c r="YC15" s="54" t="str">
        <f t="shared" si="27"/>
        <v>Acumulación</v>
      </c>
      <c r="YD15" s="54" t="str">
        <f t="shared" si="27"/>
        <v>Acumulación</v>
      </c>
      <c r="YE15" s="54" t="str">
        <f t="shared" si="27"/>
        <v>Acumulación</v>
      </c>
      <c r="YF15" s="54" t="str">
        <f t="shared" si="27"/>
        <v>Acumulación</v>
      </c>
      <c r="YG15" s="54" t="str">
        <f t="shared" si="27"/>
        <v>Acumulación</v>
      </c>
      <c r="YH15" s="54" t="str">
        <f t="shared" si="27"/>
        <v>Acumulación</v>
      </c>
      <c r="YI15" s="54" t="str">
        <f t="shared" si="27"/>
        <v>Acumulación</v>
      </c>
      <c r="YJ15" s="54" t="str">
        <f t="shared" si="27"/>
        <v>Acumulación</v>
      </c>
      <c r="YK15" s="54" t="str">
        <f t="shared" si="27"/>
        <v>Acumulación</v>
      </c>
      <c r="YL15" s="54" t="str">
        <f t="shared" si="27"/>
        <v>Acumulación</v>
      </c>
      <c r="YM15" s="54" t="str">
        <f t="shared" si="27"/>
        <v>Acumulación</v>
      </c>
      <c r="YN15" s="54" t="str">
        <f t="shared" si="27"/>
        <v>Acumulación</v>
      </c>
      <c r="YO15" s="54" t="str">
        <f t="shared" si="27"/>
        <v>Acumulación</v>
      </c>
      <c r="YP15" s="54" t="str">
        <f t="shared" si="27"/>
        <v>Acumulación</v>
      </c>
      <c r="YQ15" s="54" t="str">
        <f t="shared" si="27"/>
        <v>Acumulación</v>
      </c>
      <c r="YR15" s="54" t="str">
        <f t="shared" si="27"/>
        <v>Acumulación</v>
      </c>
      <c r="YS15" s="54" t="str">
        <f t="shared" si="27"/>
        <v>Acumulación</v>
      </c>
      <c r="YT15" s="54" t="str">
        <f t="shared" si="27"/>
        <v>Acumulación</v>
      </c>
      <c r="YU15" s="54" t="str">
        <f t="shared" si="27"/>
        <v>Acumulación</v>
      </c>
      <c r="YV15" s="54" t="str">
        <f t="shared" si="27"/>
        <v>Acumulación</v>
      </c>
      <c r="YW15" s="54" t="str">
        <f t="shared" si="27"/>
        <v>Acumulación</v>
      </c>
      <c r="YX15" s="54" t="str">
        <f t="shared" si="27"/>
        <v>Acumulación</v>
      </c>
      <c r="YY15" s="54" t="str">
        <f t="shared" si="27"/>
        <v>Acumulación</v>
      </c>
      <c r="YZ15" s="54" t="str">
        <f t="shared" si="27"/>
        <v>Acumulación</v>
      </c>
      <c r="ZA15" s="54" t="str">
        <f t="shared" si="27"/>
        <v>Acumulación</v>
      </c>
      <c r="ZB15" s="54" t="str">
        <f t="shared" si="27"/>
        <v>Acumulación</v>
      </c>
      <c r="ZC15" s="54" t="str">
        <f t="shared" si="27"/>
        <v>Acumulación</v>
      </c>
      <c r="ZD15" s="54" t="str">
        <f t="shared" si="27"/>
        <v>Acumulación</v>
      </c>
      <c r="ZE15" s="54" t="str">
        <f t="shared" si="27"/>
        <v>Acumulación</v>
      </c>
      <c r="ZF15" s="54" t="str">
        <f t="shared" si="27"/>
        <v>Acumulación</v>
      </c>
      <c r="ZG15" s="54" t="str">
        <f t="shared" si="27"/>
        <v>Acumulación</v>
      </c>
      <c r="ZH15" s="54" t="str">
        <f t="shared" si="27"/>
        <v>Acumulación</v>
      </c>
      <c r="ZI15" s="54" t="str">
        <f t="shared" si="27"/>
        <v>Acumulación</v>
      </c>
      <c r="ZJ15" s="54" t="str">
        <f t="shared" si="27"/>
        <v>Acumulación</v>
      </c>
      <c r="ZK15" s="54" t="str">
        <f t="shared" si="27"/>
        <v>Acumulación</v>
      </c>
      <c r="ZL15" s="54" t="str">
        <f t="shared" si="27"/>
        <v>Acumulación</v>
      </c>
      <c r="ZM15" s="54" t="str">
        <f t="shared" si="27"/>
        <v>Acumulación</v>
      </c>
      <c r="ZN15" s="54" t="str">
        <f t="shared" si="27"/>
        <v>Acumulación</v>
      </c>
      <c r="ZO15" s="54" t="str">
        <f t="shared" si="27"/>
        <v>Acumulación</v>
      </c>
      <c r="ZP15" s="54" t="str">
        <f t="shared" si="27"/>
        <v>Acumulación</v>
      </c>
      <c r="ZQ15" s="54" t="str">
        <f t="shared" si="27"/>
        <v>Acumulación</v>
      </c>
      <c r="ZR15" s="54" t="str">
        <f t="shared" si="27"/>
        <v>Acumulación</v>
      </c>
      <c r="ZS15" s="54" t="str">
        <f t="shared" si="27"/>
        <v>Acumulación</v>
      </c>
      <c r="ZT15" s="54" t="str">
        <f t="shared" si="27"/>
        <v>Acumulación</v>
      </c>
      <c r="ZU15" s="54" t="str">
        <f t="shared" si="27"/>
        <v>Acumulación</v>
      </c>
      <c r="ZV15" s="54" t="str">
        <f t="shared" si="27"/>
        <v>Acumulación</v>
      </c>
      <c r="ZW15" s="54" t="str">
        <f t="shared" si="27"/>
        <v>Acumulación</v>
      </c>
      <c r="ZX15" s="54" t="str">
        <f t="shared" si="27"/>
        <v>Acumulación</v>
      </c>
      <c r="ZY15" s="54" t="str">
        <f t="shared" si="27"/>
        <v>Acumulación</v>
      </c>
      <c r="ZZ15" s="54" t="str">
        <f t="shared" si="27"/>
        <v>Acumulación</v>
      </c>
      <c r="AAA15" s="54" t="str">
        <f t="shared" si="27"/>
        <v>Acumulación</v>
      </c>
      <c r="AAB15" s="54" t="str">
        <f t="shared" si="27"/>
        <v>Acumulación</v>
      </c>
      <c r="AAC15" s="54" t="str">
        <f t="shared" si="27"/>
        <v>Acumulación</v>
      </c>
      <c r="AAD15" s="54" t="str">
        <f t="shared" si="27"/>
        <v>Acumulación</v>
      </c>
      <c r="AAE15" s="54" t="str">
        <f t="shared" ref="AAE15:ACP15" si="28">IF(AND(IF(AAE17&gt;=$D$8,1,0),IF(AAE17&lt;$D$9,1,0)),"Acumulación","-")</f>
        <v>Acumulación</v>
      </c>
      <c r="AAF15" s="54" t="str">
        <f t="shared" si="28"/>
        <v>Acumulación</v>
      </c>
      <c r="AAG15" s="54" t="str">
        <f t="shared" si="28"/>
        <v>Acumulación</v>
      </c>
      <c r="AAH15" s="54" t="str">
        <f t="shared" si="28"/>
        <v>Acumulación</v>
      </c>
      <c r="AAI15" s="54" t="str">
        <f t="shared" si="28"/>
        <v>-</v>
      </c>
      <c r="AAJ15" s="54" t="str">
        <f t="shared" si="28"/>
        <v>-</v>
      </c>
      <c r="AAK15" s="54" t="str">
        <f t="shared" si="28"/>
        <v>-</v>
      </c>
      <c r="AAL15" s="54" t="str">
        <f t="shared" si="28"/>
        <v>-</v>
      </c>
      <c r="AAM15" s="54" t="str">
        <f t="shared" si="28"/>
        <v>-</v>
      </c>
      <c r="AAN15" s="54" t="str">
        <f t="shared" si="28"/>
        <v>-</v>
      </c>
      <c r="AAO15" s="54" t="str">
        <f t="shared" si="28"/>
        <v>-</v>
      </c>
      <c r="AAP15" s="54" t="str">
        <f t="shared" si="28"/>
        <v>-</v>
      </c>
      <c r="AAQ15" s="54" t="str">
        <f t="shared" si="28"/>
        <v>-</v>
      </c>
      <c r="AAR15" s="54" t="str">
        <f t="shared" si="28"/>
        <v>-</v>
      </c>
      <c r="AAS15" s="54" t="str">
        <f t="shared" si="28"/>
        <v>-</v>
      </c>
      <c r="AAT15" s="54" t="str">
        <f t="shared" si="28"/>
        <v>-</v>
      </c>
      <c r="AAU15" s="54" t="str">
        <f t="shared" si="28"/>
        <v>-</v>
      </c>
      <c r="AAV15" s="54" t="str">
        <f t="shared" si="28"/>
        <v>-</v>
      </c>
      <c r="AAW15" s="54" t="str">
        <f t="shared" si="28"/>
        <v>-</v>
      </c>
      <c r="AAX15" s="54" t="str">
        <f t="shared" si="28"/>
        <v>-</v>
      </c>
      <c r="AAY15" s="54" t="str">
        <f t="shared" si="28"/>
        <v>-</v>
      </c>
      <c r="AAZ15" s="54" t="str">
        <f t="shared" si="28"/>
        <v>-</v>
      </c>
      <c r="ABA15" s="54" t="str">
        <f t="shared" si="28"/>
        <v>-</v>
      </c>
      <c r="ABB15" s="54" t="str">
        <f t="shared" si="28"/>
        <v>-</v>
      </c>
      <c r="ABC15" s="54" t="str">
        <f t="shared" si="28"/>
        <v>-</v>
      </c>
      <c r="ABD15" s="54" t="str">
        <f t="shared" si="28"/>
        <v>-</v>
      </c>
      <c r="ABE15" s="54" t="str">
        <f t="shared" si="28"/>
        <v>-</v>
      </c>
      <c r="ABF15" s="54" t="str">
        <f t="shared" si="28"/>
        <v>-</v>
      </c>
      <c r="ABG15" s="54" t="str">
        <f t="shared" si="28"/>
        <v>-</v>
      </c>
      <c r="ABH15" s="54" t="str">
        <f t="shared" si="28"/>
        <v>-</v>
      </c>
      <c r="ABI15" s="54" t="str">
        <f t="shared" si="28"/>
        <v>-</v>
      </c>
      <c r="ABJ15" s="54" t="str">
        <f t="shared" si="28"/>
        <v>-</v>
      </c>
      <c r="ABK15" s="54" t="str">
        <f t="shared" si="28"/>
        <v>-</v>
      </c>
      <c r="ABL15" s="54" t="str">
        <f t="shared" si="28"/>
        <v>-</v>
      </c>
      <c r="ABM15" s="54" t="str">
        <f t="shared" si="28"/>
        <v>-</v>
      </c>
      <c r="ABN15" s="54" t="str">
        <f t="shared" si="28"/>
        <v>-</v>
      </c>
      <c r="ABO15" s="54" t="str">
        <f t="shared" si="28"/>
        <v>-</v>
      </c>
      <c r="ABP15" s="54" t="str">
        <f t="shared" si="28"/>
        <v>-</v>
      </c>
      <c r="ABQ15" s="54" t="str">
        <f t="shared" si="28"/>
        <v>-</v>
      </c>
      <c r="ABR15" s="54" t="str">
        <f t="shared" si="28"/>
        <v>-</v>
      </c>
      <c r="ABS15" s="54" t="str">
        <f t="shared" si="28"/>
        <v>-</v>
      </c>
      <c r="ABT15" s="54" t="str">
        <f t="shared" si="28"/>
        <v>-</v>
      </c>
      <c r="ABU15" s="54" t="str">
        <f t="shared" si="28"/>
        <v>-</v>
      </c>
      <c r="ABV15" s="54" t="str">
        <f t="shared" si="28"/>
        <v>-</v>
      </c>
      <c r="ABW15" s="54" t="str">
        <f t="shared" si="28"/>
        <v>-</v>
      </c>
      <c r="ABX15" s="54" t="str">
        <f t="shared" si="28"/>
        <v>-</v>
      </c>
      <c r="ABY15" s="54" t="str">
        <f t="shared" si="28"/>
        <v>-</v>
      </c>
      <c r="ABZ15" s="54" t="str">
        <f t="shared" si="28"/>
        <v>-</v>
      </c>
      <c r="ACA15" s="54" t="str">
        <f t="shared" si="28"/>
        <v>-</v>
      </c>
      <c r="ACB15" s="54" t="str">
        <f t="shared" si="28"/>
        <v>-</v>
      </c>
      <c r="ACC15" s="54" t="str">
        <f t="shared" si="28"/>
        <v>-</v>
      </c>
      <c r="ACD15" s="54" t="str">
        <f t="shared" si="28"/>
        <v>-</v>
      </c>
      <c r="ACE15" s="54" t="str">
        <f t="shared" si="28"/>
        <v>-</v>
      </c>
      <c r="ACF15" s="54" t="str">
        <f t="shared" si="28"/>
        <v>-</v>
      </c>
      <c r="ACG15" s="54" t="str">
        <f t="shared" si="28"/>
        <v>-</v>
      </c>
      <c r="ACH15" s="54" t="str">
        <f t="shared" si="28"/>
        <v>-</v>
      </c>
      <c r="ACI15" s="54" t="str">
        <f t="shared" si="28"/>
        <v>-</v>
      </c>
      <c r="ACJ15" s="54" t="str">
        <f t="shared" si="28"/>
        <v>-</v>
      </c>
      <c r="ACK15" s="54" t="str">
        <f t="shared" si="28"/>
        <v>-</v>
      </c>
      <c r="ACL15" s="54" t="str">
        <f t="shared" si="28"/>
        <v>-</v>
      </c>
      <c r="ACM15" s="54" t="str">
        <f t="shared" si="28"/>
        <v>-</v>
      </c>
      <c r="ACN15" s="54" t="str">
        <f t="shared" si="28"/>
        <v>-</v>
      </c>
      <c r="ACO15" s="54" t="str">
        <f t="shared" si="28"/>
        <v>-</v>
      </c>
      <c r="ACP15" s="54" t="str">
        <f t="shared" si="28"/>
        <v>-</v>
      </c>
      <c r="ACQ15" s="54" t="str">
        <f t="shared" ref="ACQ15:AFB15" si="29">IF(AND(IF(ACQ17&gt;=$D$8,1,0),IF(ACQ17&lt;$D$9,1,0)),"Acumulación","-")</f>
        <v>-</v>
      </c>
      <c r="ACR15" s="54" t="str">
        <f t="shared" si="29"/>
        <v>-</v>
      </c>
      <c r="ACS15" s="54" t="str">
        <f t="shared" si="29"/>
        <v>-</v>
      </c>
      <c r="ACT15" s="54" t="str">
        <f t="shared" si="29"/>
        <v>-</v>
      </c>
      <c r="ACU15" s="54" t="str">
        <f t="shared" si="29"/>
        <v>-</v>
      </c>
      <c r="ACV15" s="54" t="str">
        <f t="shared" si="29"/>
        <v>-</v>
      </c>
      <c r="ACW15" s="54" t="str">
        <f t="shared" si="29"/>
        <v>-</v>
      </c>
      <c r="ACX15" s="54" t="str">
        <f t="shared" si="29"/>
        <v>-</v>
      </c>
      <c r="ACY15" s="54" t="str">
        <f t="shared" si="29"/>
        <v>-</v>
      </c>
      <c r="ACZ15" s="54" t="str">
        <f t="shared" si="29"/>
        <v>-</v>
      </c>
      <c r="ADA15" s="54" t="str">
        <f t="shared" si="29"/>
        <v>-</v>
      </c>
      <c r="ADB15" s="54" t="str">
        <f t="shared" si="29"/>
        <v>-</v>
      </c>
      <c r="ADC15" s="54" t="str">
        <f t="shared" si="29"/>
        <v>-</v>
      </c>
      <c r="ADD15" s="54" t="str">
        <f t="shared" si="29"/>
        <v>-</v>
      </c>
      <c r="ADE15" s="54" t="str">
        <f t="shared" si="29"/>
        <v>-</v>
      </c>
      <c r="ADF15" s="54" t="str">
        <f t="shared" si="29"/>
        <v>-</v>
      </c>
      <c r="ADG15" s="54" t="str">
        <f t="shared" si="29"/>
        <v>-</v>
      </c>
      <c r="ADH15" s="54" t="str">
        <f t="shared" si="29"/>
        <v>-</v>
      </c>
      <c r="ADI15" s="54" t="str">
        <f t="shared" si="29"/>
        <v>-</v>
      </c>
      <c r="ADJ15" s="54" t="str">
        <f t="shared" si="29"/>
        <v>-</v>
      </c>
      <c r="ADK15" s="54" t="str">
        <f t="shared" si="29"/>
        <v>-</v>
      </c>
      <c r="ADL15" s="54" t="str">
        <f t="shared" si="29"/>
        <v>-</v>
      </c>
      <c r="ADM15" s="54" t="str">
        <f t="shared" si="29"/>
        <v>-</v>
      </c>
      <c r="ADN15" s="54" t="str">
        <f t="shared" si="29"/>
        <v>-</v>
      </c>
      <c r="ADO15" s="54" t="str">
        <f t="shared" si="29"/>
        <v>-</v>
      </c>
      <c r="ADP15" s="54" t="str">
        <f t="shared" si="29"/>
        <v>-</v>
      </c>
      <c r="ADQ15" s="54" t="str">
        <f t="shared" si="29"/>
        <v>-</v>
      </c>
      <c r="ADR15" s="54" t="str">
        <f t="shared" si="29"/>
        <v>-</v>
      </c>
      <c r="ADS15" s="54" t="str">
        <f t="shared" si="29"/>
        <v>-</v>
      </c>
      <c r="ADT15" s="54" t="str">
        <f t="shared" si="29"/>
        <v>-</v>
      </c>
      <c r="ADU15" s="54" t="str">
        <f t="shared" si="29"/>
        <v>-</v>
      </c>
      <c r="ADV15" s="54" t="str">
        <f t="shared" si="29"/>
        <v>-</v>
      </c>
      <c r="ADW15" s="54" t="str">
        <f t="shared" si="29"/>
        <v>-</v>
      </c>
      <c r="ADX15" s="54" t="str">
        <f t="shared" si="29"/>
        <v>-</v>
      </c>
      <c r="ADY15" s="54" t="str">
        <f t="shared" si="29"/>
        <v>-</v>
      </c>
      <c r="ADZ15" s="54" t="str">
        <f t="shared" si="29"/>
        <v>-</v>
      </c>
      <c r="AEA15" s="54" t="str">
        <f t="shared" si="29"/>
        <v>-</v>
      </c>
      <c r="AEB15" s="54" t="str">
        <f t="shared" si="29"/>
        <v>-</v>
      </c>
      <c r="AEC15" s="54" t="str">
        <f t="shared" si="29"/>
        <v>-</v>
      </c>
      <c r="AED15" s="54" t="str">
        <f t="shared" si="29"/>
        <v>-</v>
      </c>
      <c r="AEE15" s="54" t="str">
        <f t="shared" si="29"/>
        <v>-</v>
      </c>
      <c r="AEF15" s="54" t="str">
        <f t="shared" si="29"/>
        <v>-</v>
      </c>
      <c r="AEG15" s="54" t="str">
        <f t="shared" si="29"/>
        <v>-</v>
      </c>
      <c r="AEH15" s="54" t="str">
        <f t="shared" si="29"/>
        <v>-</v>
      </c>
      <c r="AEI15" s="54" t="str">
        <f t="shared" si="29"/>
        <v>-</v>
      </c>
      <c r="AEJ15" s="54" t="str">
        <f t="shared" si="29"/>
        <v>-</v>
      </c>
      <c r="AEK15" s="54" t="str">
        <f t="shared" si="29"/>
        <v>-</v>
      </c>
      <c r="AEL15" s="54" t="str">
        <f t="shared" si="29"/>
        <v>-</v>
      </c>
      <c r="AEM15" s="54" t="str">
        <f t="shared" si="29"/>
        <v>-</v>
      </c>
      <c r="AEN15" s="54" t="str">
        <f t="shared" si="29"/>
        <v>-</v>
      </c>
      <c r="AEO15" s="54" t="str">
        <f t="shared" si="29"/>
        <v>-</v>
      </c>
      <c r="AEP15" s="54" t="str">
        <f t="shared" si="29"/>
        <v>-</v>
      </c>
      <c r="AEQ15" s="54" t="str">
        <f t="shared" si="29"/>
        <v>-</v>
      </c>
      <c r="AER15" s="54" t="str">
        <f t="shared" si="29"/>
        <v>-</v>
      </c>
      <c r="AES15" s="54" t="str">
        <f t="shared" si="29"/>
        <v>-</v>
      </c>
      <c r="AET15" s="54" t="str">
        <f t="shared" si="29"/>
        <v>-</v>
      </c>
      <c r="AEU15" s="54" t="str">
        <f t="shared" si="29"/>
        <v>-</v>
      </c>
      <c r="AEV15" s="54" t="str">
        <f t="shared" si="29"/>
        <v>-</v>
      </c>
      <c r="AEW15" s="54" t="str">
        <f t="shared" si="29"/>
        <v>-</v>
      </c>
      <c r="AEX15" s="54" t="str">
        <f t="shared" si="29"/>
        <v>-</v>
      </c>
      <c r="AEY15" s="54" t="str">
        <f t="shared" si="29"/>
        <v>-</v>
      </c>
      <c r="AEZ15" s="54" t="str">
        <f t="shared" si="29"/>
        <v>-</v>
      </c>
      <c r="AFA15" s="54" t="str">
        <f t="shared" si="29"/>
        <v>-</v>
      </c>
      <c r="AFB15" s="54" t="str">
        <f t="shared" si="29"/>
        <v>-</v>
      </c>
      <c r="AFC15" s="54" t="str">
        <f t="shared" ref="AFC15:AHN15" si="30">IF(AND(IF(AFC17&gt;=$D$8,1,0),IF(AFC17&lt;$D$9,1,0)),"Acumulación","-")</f>
        <v>-</v>
      </c>
      <c r="AFD15" s="54" t="str">
        <f t="shared" si="30"/>
        <v>-</v>
      </c>
      <c r="AFE15" s="54" t="str">
        <f t="shared" si="30"/>
        <v>-</v>
      </c>
      <c r="AFF15" s="54" t="str">
        <f t="shared" si="30"/>
        <v>-</v>
      </c>
      <c r="AFG15" s="54" t="str">
        <f t="shared" si="30"/>
        <v>-</v>
      </c>
      <c r="AFH15" s="54" t="str">
        <f t="shared" si="30"/>
        <v>-</v>
      </c>
      <c r="AFI15" s="54" t="str">
        <f t="shared" si="30"/>
        <v>-</v>
      </c>
      <c r="AFJ15" s="54" t="str">
        <f t="shared" si="30"/>
        <v>-</v>
      </c>
      <c r="AFK15" s="54" t="str">
        <f t="shared" si="30"/>
        <v>-</v>
      </c>
      <c r="AFL15" s="54" t="str">
        <f t="shared" si="30"/>
        <v>-</v>
      </c>
      <c r="AFM15" s="54" t="str">
        <f t="shared" si="30"/>
        <v>-</v>
      </c>
      <c r="AFN15" s="54" t="str">
        <f t="shared" si="30"/>
        <v>-</v>
      </c>
      <c r="AFO15" s="54" t="str">
        <f t="shared" si="30"/>
        <v>-</v>
      </c>
      <c r="AFP15" s="54" t="str">
        <f t="shared" si="30"/>
        <v>-</v>
      </c>
      <c r="AFQ15" s="54" t="str">
        <f t="shared" si="30"/>
        <v>-</v>
      </c>
      <c r="AFR15" s="54" t="str">
        <f t="shared" si="30"/>
        <v>-</v>
      </c>
      <c r="AFS15" s="54" t="str">
        <f t="shared" si="30"/>
        <v>-</v>
      </c>
      <c r="AFT15" s="54" t="str">
        <f t="shared" si="30"/>
        <v>-</v>
      </c>
      <c r="AFU15" s="54" t="str">
        <f t="shared" si="30"/>
        <v>-</v>
      </c>
      <c r="AFV15" s="54" t="str">
        <f t="shared" si="30"/>
        <v>-</v>
      </c>
      <c r="AFW15" s="54" t="str">
        <f t="shared" si="30"/>
        <v>-</v>
      </c>
      <c r="AFX15" s="54" t="str">
        <f t="shared" si="30"/>
        <v>-</v>
      </c>
      <c r="AFY15" s="54" t="str">
        <f t="shared" si="30"/>
        <v>-</v>
      </c>
      <c r="AFZ15" s="54" t="str">
        <f t="shared" si="30"/>
        <v>-</v>
      </c>
      <c r="AGA15" s="54" t="str">
        <f t="shared" si="30"/>
        <v>-</v>
      </c>
      <c r="AGB15" s="54" t="str">
        <f t="shared" si="30"/>
        <v>-</v>
      </c>
      <c r="AGC15" s="54" t="str">
        <f t="shared" si="30"/>
        <v>-</v>
      </c>
      <c r="AGD15" s="54" t="str">
        <f t="shared" si="30"/>
        <v>-</v>
      </c>
      <c r="AGE15" s="54" t="str">
        <f t="shared" si="30"/>
        <v>-</v>
      </c>
      <c r="AGF15" s="54" t="str">
        <f t="shared" si="30"/>
        <v>-</v>
      </c>
      <c r="AGG15" s="54" t="str">
        <f t="shared" si="30"/>
        <v>-</v>
      </c>
      <c r="AGH15" s="54" t="str">
        <f t="shared" si="30"/>
        <v>-</v>
      </c>
      <c r="AGI15" s="54" t="str">
        <f t="shared" si="30"/>
        <v>-</v>
      </c>
      <c r="AGJ15" s="54" t="str">
        <f t="shared" si="30"/>
        <v>-</v>
      </c>
      <c r="AGK15" s="54" t="str">
        <f t="shared" si="30"/>
        <v>-</v>
      </c>
      <c r="AGL15" s="54" t="str">
        <f t="shared" si="30"/>
        <v>-</v>
      </c>
      <c r="AGM15" s="54" t="str">
        <f t="shared" si="30"/>
        <v>-</v>
      </c>
      <c r="AGN15" s="54" t="str">
        <f t="shared" si="30"/>
        <v>-</v>
      </c>
      <c r="AGO15" s="54" t="str">
        <f t="shared" si="30"/>
        <v>-</v>
      </c>
      <c r="AGP15" s="54" t="str">
        <f t="shared" si="30"/>
        <v>-</v>
      </c>
      <c r="AGQ15" s="54" t="str">
        <f t="shared" si="30"/>
        <v>-</v>
      </c>
      <c r="AGR15" s="54" t="str">
        <f t="shared" si="30"/>
        <v>-</v>
      </c>
      <c r="AGS15" s="54" t="str">
        <f t="shared" si="30"/>
        <v>-</v>
      </c>
      <c r="AGT15" s="54" t="str">
        <f t="shared" si="30"/>
        <v>-</v>
      </c>
      <c r="AGU15" s="54" t="str">
        <f t="shared" si="30"/>
        <v>-</v>
      </c>
      <c r="AGV15" s="54" t="str">
        <f t="shared" si="30"/>
        <v>-</v>
      </c>
      <c r="AGW15" s="54" t="str">
        <f t="shared" si="30"/>
        <v>-</v>
      </c>
      <c r="AGX15" s="54" t="str">
        <f t="shared" si="30"/>
        <v>-</v>
      </c>
      <c r="AGY15" s="54" t="str">
        <f t="shared" si="30"/>
        <v>-</v>
      </c>
      <c r="AGZ15" s="54" t="str">
        <f t="shared" si="30"/>
        <v>-</v>
      </c>
      <c r="AHA15" s="54" t="str">
        <f t="shared" si="30"/>
        <v>-</v>
      </c>
      <c r="AHB15" s="54" t="str">
        <f t="shared" si="30"/>
        <v>-</v>
      </c>
      <c r="AHC15" s="54" t="str">
        <f t="shared" si="30"/>
        <v>-</v>
      </c>
      <c r="AHD15" s="54" t="str">
        <f t="shared" si="30"/>
        <v>-</v>
      </c>
      <c r="AHE15" s="54" t="str">
        <f t="shared" si="30"/>
        <v>-</v>
      </c>
      <c r="AHF15" s="54" t="str">
        <f t="shared" si="30"/>
        <v>-</v>
      </c>
      <c r="AHG15" s="54" t="str">
        <f t="shared" si="30"/>
        <v>-</v>
      </c>
      <c r="AHH15" s="54" t="str">
        <f t="shared" si="30"/>
        <v>-</v>
      </c>
      <c r="AHI15" s="54" t="str">
        <f t="shared" si="30"/>
        <v>-</v>
      </c>
      <c r="AHJ15" s="54" t="str">
        <f t="shared" si="30"/>
        <v>-</v>
      </c>
      <c r="AHK15" s="54" t="str">
        <f t="shared" si="30"/>
        <v>-</v>
      </c>
      <c r="AHL15" s="54" t="str">
        <f t="shared" si="30"/>
        <v>-</v>
      </c>
      <c r="AHM15" s="54" t="str">
        <f t="shared" si="30"/>
        <v>-</v>
      </c>
      <c r="AHN15" s="54" t="str">
        <f t="shared" si="30"/>
        <v>-</v>
      </c>
      <c r="AHO15" s="54" t="str">
        <f t="shared" ref="AHO15:AJZ15" si="31">IF(AND(IF(AHO17&gt;=$D$8,1,0),IF(AHO17&lt;$D$9,1,0)),"Acumulación","-")</f>
        <v>-</v>
      </c>
      <c r="AHP15" s="54" t="str">
        <f t="shared" si="31"/>
        <v>-</v>
      </c>
      <c r="AHQ15" s="54" t="str">
        <f t="shared" si="31"/>
        <v>-</v>
      </c>
      <c r="AHR15" s="54" t="str">
        <f t="shared" si="31"/>
        <v>-</v>
      </c>
      <c r="AHS15" s="54" t="str">
        <f t="shared" si="31"/>
        <v>-</v>
      </c>
      <c r="AHT15" s="54" t="str">
        <f t="shared" si="31"/>
        <v>-</v>
      </c>
      <c r="AHU15" s="54" t="str">
        <f t="shared" si="31"/>
        <v>-</v>
      </c>
      <c r="AHV15" s="54" t="str">
        <f t="shared" si="31"/>
        <v>-</v>
      </c>
      <c r="AHW15" s="54" t="str">
        <f t="shared" si="31"/>
        <v>-</v>
      </c>
      <c r="AHX15" s="54" t="str">
        <f t="shared" si="31"/>
        <v>-</v>
      </c>
      <c r="AHY15" s="54" t="str">
        <f t="shared" si="31"/>
        <v>-</v>
      </c>
      <c r="AHZ15" s="54" t="str">
        <f t="shared" si="31"/>
        <v>-</v>
      </c>
      <c r="AIA15" s="54" t="str">
        <f t="shared" si="31"/>
        <v>-</v>
      </c>
      <c r="AIB15" s="54" t="str">
        <f t="shared" si="31"/>
        <v>-</v>
      </c>
      <c r="AIC15" s="54" t="str">
        <f t="shared" si="31"/>
        <v>-</v>
      </c>
      <c r="AID15" s="54" t="str">
        <f t="shared" si="31"/>
        <v>-</v>
      </c>
      <c r="AIE15" s="54" t="str">
        <f t="shared" si="31"/>
        <v>-</v>
      </c>
      <c r="AIF15" s="54" t="str">
        <f t="shared" si="31"/>
        <v>-</v>
      </c>
      <c r="AIG15" s="54" t="str">
        <f t="shared" si="31"/>
        <v>-</v>
      </c>
      <c r="AIH15" s="54" t="str">
        <f t="shared" si="31"/>
        <v>-</v>
      </c>
      <c r="AII15" s="54" t="str">
        <f t="shared" si="31"/>
        <v>-</v>
      </c>
      <c r="AIJ15" s="54" t="str">
        <f t="shared" si="31"/>
        <v>-</v>
      </c>
      <c r="AIK15" s="54" t="str">
        <f t="shared" si="31"/>
        <v>-</v>
      </c>
      <c r="AIL15" s="54" t="str">
        <f t="shared" si="31"/>
        <v>-</v>
      </c>
      <c r="AIM15" s="54" t="str">
        <f t="shared" si="31"/>
        <v>-</v>
      </c>
      <c r="AIN15" s="54" t="str">
        <f t="shared" si="31"/>
        <v>-</v>
      </c>
      <c r="AIO15" s="54" t="str">
        <f t="shared" si="31"/>
        <v>-</v>
      </c>
      <c r="AIP15" s="54" t="str">
        <f t="shared" si="31"/>
        <v>-</v>
      </c>
      <c r="AIQ15" s="54" t="str">
        <f t="shared" si="31"/>
        <v>-</v>
      </c>
      <c r="AIR15" s="54" t="str">
        <f t="shared" si="31"/>
        <v>-</v>
      </c>
      <c r="AIS15" s="54" t="str">
        <f t="shared" si="31"/>
        <v>-</v>
      </c>
      <c r="AIT15" s="54" t="str">
        <f t="shared" si="31"/>
        <v>-</v>
      </c>
      <c r="AIU15" s="54" t="str">
        <f t="shared" si="31"/>
        <v>-</v>
      </c>
      <c r="AIV15" s="54" t="str">
        <f t="shared" si="31"/>
        <v>-</v>
      </c>
      <c r="AIW15" s="54" t="str">
        <f t="shared" si="31"/>
        <v>-</v>
      </c>
      <c r="AIX15" s="54" t="str">
        <f t="shared" si="31"/>
        <v>-</v>
      </c>
      <c r="AIY15" s="54" t="str">
        <f t="shared" si="31"/>
        <v>-</v>
      </c>
      <c r="AIZ15" s="54" t="str">
        <f t="shared" si="31"/>
        <v>-</v>
      </c>
      <c r="AJA15" s="54" t="str">
        <f t="shared" si="31"/>
        <v>-</v>
      </c>
      <c r="AJB15" s="54" t="str">
        <f t="shared" si="31"/>
        <v>-</v>
      </c>
      <c r="AJC15" s="54" t="str">
        <f t="shared" si="31"/>
        <v>-</v>
      </c>
      <c r="AJD15" s="54" t="str">
        <f t="shared" si="31"/>
        <v>-</v>
      </c>
      <c r="AJE15" s="54" t="str">
        <f t="shared" si="31"/>
        <v>-</v>
      </c>
      <c r="AJF15" s="54" t="str">
        <f t="shared" si="31"/>
        <v>-</v>
      </c>
      <c r="AJG15" s="54" t="str">
        <f t="shared" si="31"/>
        <v>-</v>
      </c>
      <c r="AJH15" s="54" t="str">
        <f t="shared" si="31"/>
        <v>-</v>
      </c>
      <c r="AJI15" s="54" t="str">
        <f t="shared" si="31"/>
        <v>-</v>
      </c>
      <c r="AJJ15" s="54" t="str">
        <f t="shared" si="31"/>
        <v>-</v>
      </c>
      <c r="AJK15" s="54" t="str">
        <f t="shared" si="31"/>
        <v>-</v>
      </c>
      <c r="AJL15" s="54" t="str">
        <f t="shared" si="31"/>
        <v>-</v>
      </c>
      <c r="AJM15" s="54" t="str">
        <f t="shared" si="31"/>
        <v>-</v>
      </c>
      <c r="AJN15" s="54" t="str">
        <f t="shared" si="31"/>
        <v>-</v>
      </c>
      <c r="AJO15" s="54" t="str">
        <f t="shared" si="31"/>
        <v>-</v>
      </c>
      <c r="AJP15" s="54" t="str">
        <f t="shared" si="31"/>
        <v>-</v>
      </c>
      <c r="AJQ15" s="54" t="str">
        <f t="shared" si="31"/>
        <v>-</v>
      </c>
      <c r="AJR15" s="54" t="str">
        <f t="shared" si="31"/>
        <v>-</v>
      </c>
      <c r="AJS15" s="54" t="str">
        <f t="shared" si="31"/>
        <v>-</v>
      </c>
      <c r="AJT15" s="54" t="str">
        <f t="shared" si="31"/>
        <v>-</v>
      </c>
      <c r="AJU15" s="54" t="str">
        <f t="shared" si="31"/>
        <v>-</v>
      </c>
      <c r="AJV15" s="54" t="str">
        <f t="shared" si="31"/>
        <v>-</v>
      </c>
      <c r="AJW15" s="54" t="str">
        <f t="shared" si="31"/>
        <v>-</v>
      </c>
      <c r="AJX15" s="54" t="str">
        <f t="shared" si="31"/>
        <v>-</v>
      </c>
      <c r="AJY15" s="54" t="str">
        <f t="shared" si="31"/>
        <v>-</v>
      </c>
      <c r="AJZ15" s="54" t="str">
        <f t="shared" si="31"/>
        <v>-</v>
      </c>
      <c r="AKA15" s="54" t="str">
        <f t="shared" ref="AKA15:AML15" si="32">IF(AND(IF(AKA17&gt;=$D$8,1,0),IF(AKA17&lt;$D$9,1,0)),"Acumulación","-")</f>
        <v>-</v>
      </c>
      <c r="AKB15" s="54" t="str">
        <f t="shared" si="32"/>
        <v>-</v>
      </c>
      <c r="AKC15" s="54" t="str">
        <f t="shared" si="32"/>
        <v>-</v>
      </c>
      <c r="AKD15" s="54" t="str">
        <f t="shared" si="32"/>
        <v>-</v>
      </c>
      <c r="AKE15" s="54" t="str">
        <f t="shared" si="32"/>
        <v>-</v>
      </c>
      <c r="AKF15" s="54" t="str">
        <f t="shared" si="32"/>
        <v>-</v>
      </c>
      <c r="AKG15" s="54" t="str">
        <f t="shared" si="32"/>
        <v>-</v>
      </c>
      <c r="AKH15" s="54" t="str">
        <f t="shared" si="32"/>
        <v>-</v>
      </c>
      <c r="AKI15" s="54" t="str">
        <f t="shared" si="32"/>
        <v>-</v>
      </c>
      <c r="AKJ15" s="54" t="str">
        <f t="shared" si="32"/>
        <v>-</v>
      </c>
      <c r="AKK15" s="54" t="str">
        <f t="shared" si="32"/>
        <v>-</v>
      </c>
      <c r="AKL15" s="54" t="str">
        <f t="shared" si="32"/>
        <v>-</v>
      </c>
      <c r="AKM15" s="54" t="str">
        <f t="shared" si="32"/>
        <v>-</v>
      </c>
      <c r="AKN15" s="54" t="str">
        <f t="shared" si="32"/>
        <v>-</v>
      </c>
      <c r="AKO15" s="54" t="str">
        <f t="shared" si="32"/>
        <v>-</v>
      </c>
      <c r="AKP15" s="54" t="str">
        <f t="shared" si="32"/>
        <v>-</v>
      </c>
      <c r="AKQ15" s="54" t="str">
        <f t="shared" si="32"/>
        <v>-</v>
      </c>
      <c r="AKR15" s="54" t="str">
        <f t="shared" si="32"/>
        <v>-</v>
      </c>
      <c r="AKS15" s="54" t="str">
        <f t="shared" si="32"/>
        <v>-</v>
      </c>
      <c r="AKT15" s="54" t="str">
        <f t="shared" si="32"/>
        <v>-</v>
      </c>
      <c r="AKU15" s="54" t="str">
        <f t="shared" si="32"/>
        <v>-</v>
      </c>
      <c r="AKV15" s="54" t="str">
        <f t="shared" si="32"/>
        <v>-</v>
      </c>
      <c r="AKW15" s="54" t="str">
        <f t="shared" si="32"/>
        <v>-</v>
      </c>
      <c r="AKX15" s="54" t="str">
        <f t="shared" si="32"/>
        <v>-</v>
      </c>
      <c r="AKY15" s="54" t="str">
        <f t="shared" si="32"/>
        <v>-</v>
      </c>
      <c r="AKZ15" s="54" t="str">
        <f t="shared" si="32"/>
        <v>-</v>
      </c>
      <c r="ALA15" s="54" t="str">
        <f t="shared" si="32"/>
        <v>-</v>
      </c>
      <c r="ALB15" s="54" t="str">
        <f t="shared" si="32"/>
        <v>-</v>
      </c>
      <c r="ALC15" s="54" t="str">
        <f t="shared" si="32"/>
        <v>-</v>
      </c>
      <c r="ALD15" s="54" t="str">
        <f t="shared" si="32"/>
        <v>-</v>
      </c>
      <c r="ALE15" s="54" t="str">
        <f t="shared" si="32"/>
        <v>-</v>
      </c>
      <c r="ALF15" s="54" t="str">
        <f t="shared" si="32"/>
        <v>-</v>
      </c>
      <c r="ALG15" s="54" t="str">
        <f t="shared" si="32"/>
        <v>-</v>
      </c>
      <c r="ALH15" s="54" t="str">
        <f t="shared" si="32"/>
        <v>-</v>
      </c>
      <c r="ALI15" s="54" t="str">
        <f t="shared" si="32"/>
        <v>-</v>
      </c>
      <c r="ALJ15" s="54" t="str">
        <f t="shared" si="32"/>
        <v>-</v>
      </c>
      <c r="ALK15" s="54" t="str">
        <f t="shared" si="32"/>
        <v>-</v>
      </c>
      <c r="ALL15" s="54" t="str">
        <f t="shared" si="32"/>
        <v>-</v>
      </c>
      <c r="ALM15" s="54" t="str">
        <f t="shared" si="32"/>
        <v>-</v>
      </c>
      <c r="ALN15" s="54" t="str">
        <f t="shared" si="32"/>
        <v>-</v>
      </c>
      <c r="ALO15" s="54" t="str">
        <f t="shared" si="32"/>
        <v>-</v>
      </c>
      <c r="ALP15" s="54" t="str">
        <f t="shared" si="32"/>
        <v>-</v>
      </c>
      <c r="ALQ15" s="54" t="str">
        <f t="shared" si="32"/>
        <v>-</v>
      </c>
      <c r="ALR15" s="54" t="str">
        <f t="shared" si="32"/>
        <v>-</v>
      </c>
      <c r="ALS15" s="54" t="str">
        <f t="shared" si="32"/>
        <v>-</v>
      </c>
      <c r="ALT15" s="54" t="str">
        <f t="shared" si="32"/>
        <v>-</v>
      </c>
      <c r="ALU15" s="54" t="str">
        <f t="shared" si="32"/>
        <v>-</v>
      </c>
      <c r="ALV15" s="54" t="str">
        <f t="shared" si="32"/>
        <v>-</v>
      </c>
      <c r="ALW15" s="54" t="str">
        <f t="shared" si="32"/>
        <v>-</v>
      </c>
      <c r="ALX15" s="54" t="str">
        <f t="shared" si="32"/>
        <v>-</v>
      </c>
      <c r="ALY15" s="54" t="str">
        <f t="shared" si="32"/>
        <v>-</v>
      </c>
      <c r="ALZ15" s="54" t="str">
        <f t="shared" si="32"/>
        <v>-</v>
      </c>
      <c r="AMA15" s="54" t="str">
        <f t="shared" si="32"/>
        <v>-</v>
      </c>
      <c r="AMB15" s="54" t="str">
        <f t="shared" si="32"/>
        <v>-</v>
      </c>
      <c r="AMC15" s="54" t="str">
        <f t="shared" si="32"/>
        <v>-</v>
      </c>
      <c r="AMD15" s="54" t="str">
        <f t="shared" si="32"/>
        <v>-</v>
      </c>
      <c r="AME15" s="54" t="str">
        <f t="shared" si="32"/>
        <v>-</v>
      </c>
      <c r="AMF15" s="54" t="str">
        <f t="shared" si="32"/>
        <v>-</v>
      </c>
      <c r="AMG15" s="54" t="str">
        <f t="shared" si="32"/>
        <v>-</v>
      </c>
      <c r="AMH15" s="54" t="str">
        <f t="shared" si="32"/>
        <v>-</v>
      </c>
      <c r="AMI15" s="54" t="str">
        <f t="shared" si="32"/>
        <v>-</v>
      </c>
      <c r="AMJ15" s="54" t="str">
        <f t="shared" si="32"/>
        <v>-</v>
      </c>
      <c r="AMK15" s="54" t="str">
        <f t="shared" si="32"/>
        <v>-</v>
      </c>
      <c r="AML15" s="54" t="str">
        <f t="shared" si="32"/>
        <v>-</v>
      </c>
      <c r="AMM15" s="54" t="str">
        <f t="shared" ref="AMM15:AOP15" si="33">IF(AND(IF(AMM17&gt;=$D$8,1,0),IF(AMM17&lt;$D$9,1,0)),"Acumulación","-")</f>
        <v>-</v>
      </c>
      <c r="AMN15" s="54" t="str">
        <f t="shared" si="33"/>
        <v>-</v>
      </c>
      <c r="AMO15" s="54" t="str">
        <f t="shared" si="33"/>
        <v>-</v>
      </c>
      <c r="AMP15" s="54" t="str">
        <f t="shared" si="33"/>
        <v>-</v>
      </c>
      <c r="AMQ15" s="54" t="str">
        <f t="shared" si="33"/>
        <v>-</v>
      </c>
      <c r="AMR15" s="54" t="str">
        <f t="shared" si="33"/>
        <v>-</v>
      </c>
      <c r="AMS15" s="54" t="str">
        <f t="shared" si="33"/>
        <v>-</v>
      </c>
      <c r="AMT15" s="54" t="str">
        <f t="shared" si="33"/>
        <v>-</v>
      </c>
      <c r="AMU15" s="54" t="str">
        <f t="shared" si="33"/>
        <v>-</v>
      </c>
      <c r="AMV15" s="54" t="str">
        <f t="shared" si="33"/>
        <v>-</v>
      </c>
      <c r="AMW15" s="54" t="str">
        <f t="shared" si="33"/>
        <v>-</v>
      </c>
      <c r="AMX15" s="54" t="str">
        <f t="shared" si="33"/>
        <v>-</v>
      </c>
      <c r="AMY15" s="54" t="str">
        <f t="shared" si="33"/>
        <v>-</v>
      </c>
      <c r="AMZ15" s="54" t="str">
        <f t="shared" si="33"/>
        <v>-</v>
      </c>
      <c r="ANA15" s="54" t="str">
        <f t="shared" si="33"/>
        <v>-</v>
      </c>
      <c r="ANB15" s="54" t="str">
        <f t="shared" si="33"/>
        <v>-</v>
      </c>
      <c r="ANC15" s="54" t="str">
        <f t="shared" si="33"/>
        <v>-</v>
      </c>
      <c r="AND15" s="54" t="str">
        <f t="shared" si="33"/>
        <v>-</v>
      </c>
      <c r="ANE15" s="54" t="str">
        <f t="shared" si="33"/>
        <v>-</v>
      </c>
      <c r="ANF15" s="54" t="str">
        <f t="shared" si="33"/>
        <v>-</v>
      </c>
      <c r="ANG15" s="54" t="str">
        <f t="shared" si="33"/>
        <v>-</v>
      </c>
      <c r="ANH15" s="54" t="str">
        <f t="shared" si="33"/>
        <v>-</v>
      </c>
      <c r="ANI15" s="54" t="str">
        <f t="shared" si="33"/>
        <v>-</v>
      </c>
      <c r="ANJ15" s="54" t="str">
        <f t="shared" si="33"/>
        <v>-</v>
      </c>
      <c r="ANK15" s="54" t="str">
        <f t="shared" si="33"/>
        <v>-</v>
      </c>
      <c r="ANL15" s="54" t="str">
        <f t="shared" si="33"/>
        <v>-</v>
      </c>
      <c r="ANM15" s="54" t="str">
        <f t="shared" si="33"/>
        <v>-</v>
      </c>
      <c r="ANN15" s="54" t="str">
        <f t="shared" si="33"/>
        <v>-</v>
      </c>
      <c r="ANO15" s="54" t="str">
        <f t="shared" si="33"/>
        <v>-</v>
      </c>
      <c r="ANP15" s="54" t="str">
        <f t="shared" si="33"/>
        <v>-</v>
      </c>
      <c r="ANQ15" s="54" t="str">
        <f t="shared" si="33"/>
        <v>-</v>
      </c>
      <c r="ANR15" s="54" t="str">
        <f t="shared" si="33"/>
        <v>-</v>
      </c>
      <c r="ANS15" s="54" t="str">
        <f t="shared" si="33"/>
        <v>-</v>
      </c>
      <c r="ANT15" s="54" t="str">
        <f t="shared" si="33"/>
        <v>-</v>
      </c>
      <c r="ANU15" s="54" t="str">
        <f t="shared" si="33"/>
        <v>-</v>
      </c>
      <c r="ANV15" s="54" t="str">
        <f t="shared" si="33"/>
        <v>-</v>
      </c>
      <c r="ANW15" s="54" t="str">
        <f t="shared" si="33"/>
        <v>-</v>
      </c>
      <c r="ANX15" s="54" t="str">
        <f t="shared" si="33"/>
        <v>-</v>
      </c>
      <c r="ANY15" s="54" t="str">
        <f t="shared" si="33"/>
        <v>-</v>
      </c>
      <c r="ANZ15" s="54" t="str">
        <f t="shared" si="33"/>
        <v>-</v>
      </c>
      <c r="AOA15" s="54" t="str">
        <f t="shared" si="33"/>
        <v>-</v>
      </c>
      <c r="AOB15" s="54" t="str">
        <f t="shared" si="33"/>
        <v>-</v>
      </c>
      <c r="AOC15" s="54" t="str">
        <f t="shared" si="33"/>
        <v>-</v>
      </c>
      <c r="AOD15" s="54" t="str">
        <f t="shared" si="33"/>
        <v>-</v>
      </c>
      <c r="AOE15" s="54" t="str">
        <f t="shared" si="33"/>
        <v>-</v>
      </c>
      <c r="AOF15" s="54" t="str">
        <f t="shared" si="33"/>
        <v>-</v>
      </c>
      <c r="AOG15" s="54" t="str">
        <f t="shared" si="33"/>
        <v>-</v>
      </c>
      <c r="AOH15" s="54" t="str">
        <f t="shared" si="33"/>
        <v>-</v>
      </c>
      <c r="AOI15" s="54" t="str">
        <f t="shared" si="33"/>
        <v>-</v>
      </c>
      <c r="AOJ15" s="54" t="str">
        <f t="shared" si="33"/>
        <v>-</v>
      </c>
      <c r="AOK15" s="54" t="str">
        <f t="shared" si="33"/>
        <v>-</v>
      </c>
      <c r="AOL15" s="54" t="str">
        <f t="shared" si="33"/>
        <v>-</v>
      </c>
      <c r="AOM15" s="54" t="str">
        <f t="shared" si="33"/>
        <v>-</v>
      </c>
      <c r="AON15" s="54" t="str">
        <f t="shared" si="33"/>
        <v>-</v>
      </c>
      <c r="AOO15" s="54" t="str">
        <f t="shared" si="33"/>
        <v>-</v>
      </c>
      <c r="AOP15" s="54" t="str">
        <f t="shared" si="33"/>
        <v>-</v>
      </c>
    </row>
    <row r="16" spans="2:1082" x14ac:dyDescent="0.25">
      <c r="B16" s="53" t="s">
        <v>173</v>
      </c>
      <c r="C16" s="54" t="str">
        <f t="shared" ref="C16:BN16" si="34">IF(AND(C17&gt;=$D$9,C17&lt;$D$10),"Desacumulación","-")</f>
        <v>-</v>
      </c>
      <c r="D16" s="54" t="str">
        <f t="shared" si="34"/>
        <v>-</v>
      </c>
      <c r="E16" s="54" t="str">
        <f t="shared" si="34"/>
        <v>-</v>
      </c>
      <c r="F16" s="54" t="str">
        <f t="shared" si="34"/>
        <v>-</v>
      </c>
      <c r="G16" s="54" t="str">
        <f t="shared" si="34"/>
        <v>-</v>
      </c>
      <c r="H16" s="54" t="str">
        <f t="shared" si="34"/>
        <v>-</v>
      </c>
      <c r="I16" s="54" t="str">
        <f t="shared" si="34"/>
        <v>-</v>
      </c>
      <c r="J16" s="54" t="str">
        <f t="shared" si="34"/>
        <v>-</v>
      </c>
      <c r="K16" s="54" t="str">
        <f t="shared" si="34"/>
        <v>-</v>
      </c>
      <c r="L16" s="54" t="str">
        <f t="shared" si="34"/>
        <v>-</v>
      </c>
      <c r="M16" s="54" t="str">
        <f t="shared" si="34"/>
        <v>-</v>
      </c>
      <c r="N16" s="54" t="str">
        <f t="shared" si="34"/>
        <v>-</v>
      </c>
      <c r="O16" s="54" t="str">
        <f t="shared" si="34"/>
        <v>-</v>
      </c>
      <c r="P16" s="54" t="str">
        <f t="shared" si="34"/>
        <v>-</v>
      </c>
      <c r="Q16" s="54" t="str">
        <f t="shared" si="34"/>
        <v>-</v>
      </c>
      <c r="R16" s="54" t="str">
        <f t="shared" si="34"/>
        <v>-</v>
      </c>
      <c r="S16" s="54" t="str">
        <f t="shared" si="34"/>
        <v>-</v>
      </c>
      <c r="T16" s="54" t="str">
        <f t="shared" si="34"/>
        <v>-</v>
      </c>
      <c r="U16" s="54" t="str">
        <f t="shared" si="34"/>
        <v>-</v>
      </c>
      <c r="V16" s="54" t="str">
        <f t="shared" si="34"/>
        <v>-</v>
      </c>
      <c r="W16" s="54" t="str">
        <f t="shared" si="34"/>
        <v>-</v>
      </c>
      <c r="X16" s="54" t="str">
        <f t="shared" si="34"/>
        <v>-</v>
      </c>
      <c r="Y16" s="54" t="str">
        <f t="shared" si="34"/>
        <v>-</v>
      </c>
      <c r="Z16" s="54" t="str">
        <f t="shared" si="34"/>
        <v>-</v>
      </c>
      <c r="AA16" s="54" t="str">
        <f t="shared" si="34"/>
        <v>-</v>
      </c>
      <c r="AB16" s="54" t="str">
        <f t="shared" si="34"/>
        <v>-</v>
      </c>
      <c r="AC16" s="54" t="str">
        <f t="shared" si="34"/>
        <v>-</v>
      </c>
      <c r="AD16" s="54" t="str">
        <f t="shared" si="34"/>
        <v>-</v>
      </c>
      <c r="AE16" s="54" t="str">
        <f t="shared" si="34"/>
        <v>-</v>
      </c>
      <c r="AF16" s="54" t="str">
        <f t="shared" si="34"/>
        <v>-</v>
      </c>
      <c r="AG16" s="54" t="str">
        <f t="shared" si="34"/>
        <v>-</v>
      </c>
      <c r="AH16" s="54" t="str">
        <f t="shared" si="34"/>
        <v>-</v>
      </c>
      <c r="AI16" s="54" t="str">
        <f t="shared" si="34"/>
        <v>-</v>
      </c>
      <c r="AJ16" s="54" t="str">
        <f t="shared" si="34"/>
        <v>-</v>
      </c>
      <c r="AK16" s="54" t="str">
        <f t="shared" si="34"/>
        <v>-</v>
      </c>
      <c r="AL16" s="54" t="str">
        <f t="shared" si="34"/>
        <v>-</v>
      </c>
      <c r="AM16" s="54" t="str">
        <f t="shared" si="34"/>
        <v>-</v>
      </c>
      <c r="AN16" s="54" t="str">
        <f t="shared" si="34"/>
        <v>-</v>
      </c>
      <c r="AO16" s="54" t="str">
        <f t="shared" si="34"/>
        <v>-</v>
      </c>
      <c r="AP16" s="54" t="str">
        <f t="shared" si="34"/>
        <v>-</v>
      </c>
      <c r="AQ16" s="54" t="str">
        <f t="shared" si="34"/>
        <v>-</v>
      </c>
      <c r="AR16" s="54" t="str">
        <f t="shared" si="34"/>
        <v>-</v>
      </c>
      <c r="AS16" s="54" t="str">
        <f t="shared" si="34"/>
        <v>-</v>
      </c>
      <c r="AT16" s="54" t="str">
        <f t="shared" si="34"/>
        <v>-</v>
      </c>
      <c r="AU16" s="54" t="str">
        <f t="shared" si="34"/>
        <v>-</v>
      </c>
      <c r="AV16" s="54" t="str">
        <f t="shared" si="34"/>
        <v>-</v>
      </c>
      <c r="AW16" s="54" t="str">
        <f t="shared" si="34"/>
        <v>-</v>
      </c>
      <c r="AX16" s="54" t="str">
        <f t="shared" si="34"/>
        <v>-</v>
      </c>
      <c r="AY16" s="54" t="str">
        <f t="shared" si="34"/>
        <v>-</v>
      </c>
      <c r="AZ16" s="54" t="str">
        <f t="shared" si="34"/>
        <v>-</v>
      </c>
      <c r="BA16" s="54" t="str">
        <f t="shared" si="34"/>
        <v>-</v>
      </c>
      <c r="BB16" s="54" t="str">
        <f t="shared" si="34"/>
        <v>-</v>
      </c>
      <c r="BC16" s="54" t="str">
        <f t="shared" si="34"/>
        <v>-</v>
      </c>
      <c r="BD16" s="54" t="str">
        <f t="shared" si="34"/>
        <v>-</v>
      </c>
      <c r="BE16" s="54" t="str">
        <f t="shared" si="34"/>
        <v>-</v>
      </c>
      <c r="BF16" s="54" t="str">
        <f t="shared" si="34"/>
        <v>-</v>
      </c>
      <c r="BG16" s="54" t="str">
        <f t="shared" si="34"/>
        <v>-</v>
      </c>
      <c r="BH16" s="54" t="str">
        <f t="shared" si="34"/>
        <v>-</v>
      </c>
      <c r="BI16" s="54" t="str">
        <f t="shared" si="34"/>
        <v>-</v>
      </c>
      <c r="BJ16" s="54" t="str">
        <f t="shared" si="34"/>
        <v>-</v>
      </c>
      <c r="BK16" s="54" t="str">
        <f t="shared" si="34"/>
        <v>-</v>
      </c>
      <c r="BL16" s="54" t="str">
        <f t="shared" si="34"/>
        <v>-</v>
      </c>
      <c r="BM16" s="54" t="str">
        <f t="shared" si="34"/>
        <v>-</v>
      </c>
      <c r="BN16" s="54" t="str">
        <f t="shared" si="34"/>
        <v>-</v>
      </c>
      <c r="BO16" s="54" t="str">
        <f t="shared" ref="BO16:DZ16" si="35">IF(AND(BO17&gt;=$D$9,BO17&lt;$D$10),"Desacumulación","-")</f>
        <v>-</v>
      </c>
      <c r="BP16" s="54" t="str">
        <f t="shared" si="35"/>
        <v>-</v>
      </c>
      <c r="BQ16" s="54" t="str">
        <f t="shared" si="35"/>
        <v>-</v>
      </c>
      <c r="BR16" s="54" t="str">
        <f t="shared" si="35"/>
        <v>-</v>
      </c>
      <c r="BS16" s="54" t="str">
        <f t="shared" si="35"/>
        <v>-</v>
      </c>
      <c r="BT16" s="54" t="str">
        <f t="shared" si="35"/>
        <v>-</v>
      </c>
      <c r="BU16" s="54" t="str">
        <f t="shared" si="35"/>
        <v>-</v>
      </c>
      <c r="BV16" s="54" t="str">
        <f t="shared" si="35"/>
        <v>-</v>
      </c>
      <c r="BW16" s="54" t="str">
        <f t="shared" si="35"/>
        <v>-</v>
      </c>
      <c r="BX16" s="54" t="str">
        <f t="shared" si="35"/>
        <v>-</v>
      </c>
      <c r="BY16" s="54" t="str">
        <f t="shared" si="35"/>
        <v>-</v>
      </c>
      <c r="BZ16" s="54" t="str">
        <f t="shared" si="35"/>
        <v>-</v>
      </c>
      <c r="CA16" s="54" t="str">
        <f t="shared" si="35"/>
        <v>-</v>
      </c>
      <c r="CB16" s="54" t="str">
        <f t="shared" si="35"/>
        <v>-</v>
      </c>
      <c r="CC16" s="54" t="str">
        <f t="shared" si="35"/>
        <v>-</v>
      </c>
      <c r="CD16" s="54" t="str">
        <f t="shared" si="35"/>
        <v>-</v>
      </c>
      <c r="CE16" s="54" t="str">
        <f t="shared" si="35"/>
        <v>-</v>
      </c>
      <c r="CF16" s="54" t="str">
        <f t="shared" si="35"/>
        <v>-</v>
      </c>
      <c r="CG16" s="54" t="str">
        <f t="shared" si="35"/>
        <v>-</v>
      </c>
      <c r="CH16" s="54" t="str">
        <f t="shared" si="35"/>
        <v>-</v>
      </c>
      <c r="CI16" s="54" t="str">
        <f t="shared" si="35"/>
        <v>-</v>
      </c>
      <c r="CJ16" s="54" t="str">
        <f t="shared" si="35"/>
        <v>-</v>
      </c>
      <c r="CK16" s="54" t="str">
        <f t="shared" si="35"/>
        <v>-</v>
      </c>
      <c r="CL16" s="54" t="str">
        <f t="shared" si="35"/>
        <v>-</v>
      </c>
      <c r="CM16" s="54" t="str">
        <f t="shared" si="35"/>
        <v>-</v>
      </c>
      <c r="CN16" s="54" t="str">
        <f t="shared" si="35"/>
        <v>-</v>
      </c>
      <c r="CO16" s="54" t="str">
        <f t="shared" si="35"/>
        <v>-</v>
      </c>
      <c r="CP16" s="54" t="str">
        <f t="shared" si="35"/>
        <v>-</v>
      </c>
      <c r="CQ16" s="54" t="str">
        <f t="shared" si="35"/>
        <v>-</v>
      </c>
      <c r="CR16" s="54" t="str">
        <f t="shared" si="35"/>
        <v>-</v>
      </c>
      <c r="CS16" s="54" t="str">
        <f t="shared" si="35"/>
        <v>-</v>
      </c>
      <c r="CT16" s="54" t="str">
        <f t="shared" si="35"/>
        <v>-</v>
      </c>
      <c r="CU16" s="54" t="str">
        <f t="shared" si="35"/>
        <v>-</v>
      </c>
      <c r="CV16" s="54" t="str">
        <f t="shared" si="35"/>
        <v>-</v>
      </c>
      <c r="CW16" s="54" t="str">
        <f t="shared" si="35"/>
        <v>-</v>
      </c>
      <c r="CX16" s="54" t="str">
        <f t="shared" si="35"/>
        <v>-</v>
      </c>
      <c r="CY16" s="54" t="str">
        <f t="shared" si="35"/>
        <v>-</v>
      </c>
      <c r="CZ16" s="54" t="str">
        <f t="shared" si="35"/>
        <v>-</v>
      </c>
      <c r="DA16" s="54" t="str">
        <f t="shared" si="35"/>
        <v>-</v>
      </c>
      <c r="DB16" s="54" t="str">
        <f t="shared" si="35"/>
        <v>-</v>
      </c>
      <c r="DC16" s="54" t="str">
        <f t="shared" si="35"/>
        <v>-</v>
      </c>
      <c r="DD16" s="54" t="str">
        <f t="shared" si="35"/>
        <v>-</v>
      </c>
      <c r="DE16" s="54" t="str">
        <f t="shared" si="35"/>
        <v>-</v>
      </c>
      <c r="DF16" s="54" t="str">
        <f t="shared" si="35"/>
        <v>-</v>
      </c>
      <c r="DG16" s="54" t="str">
        <f t="shared" si="35"/>
        <v>-</v>
      </c>
      <c r="DH16" s="54" t="str">
        <f t="shared" si="35"/>
        <v>-</v>
      </c>
      <c r="DI16" s="54" t="str">
        <f t="shared" si="35"/>
        <v>-</v>
      </c>
      <c r="DJ16" s="54" t="str">
        <f t="shared" si="35"/>
        <v>-</v>
      </c>
      <c r="DK16" s="54" t="str">
        <f t="shared" si="35"/>
        <v>-</v>
      </c>
      <c r="DL16" s="54" t="str">
        <f t="shared" si="35"/>
        <v>-</v>
      </c>
      <c r="DM16" s="54" t="str">
        <f t="shared" si="35"/>
        <v>-</v>
      </c>
      <c r="DN16" s="54" t="str">
        <f t="shared" si="35"/>
        <v>-</v>
      </c>
      <c r="DO16" s="54" t="str">
        <f t="shared" si="35"/>
        <v>-</v>
      </c>
      <c r="DP16" s="54" t="str">
        <f t="shared" si="35"/>
        <v>-</v>
      </c>
      <c r="DQ16" s="54" t="str">
        <f t="shared" si="35"/>
        <v>-</v>
      </c>
      <c r="DR16" s="54" t="str">
        <f t="shared" si="35"/>
        <v>-</v>
      </c>
      <c r="DS16" s="54" t="str">
        <f t="shared" si="35"/>
        <v>-</v>
      </c>
      <c r="DT16" s="54" t="str">
        <f t="shared" si="35"/>
        <v>-</v>
      </c>
      <c r="DU16" s="54" t="str">
        <f t="shared" si="35"/>
        <v>-</v>
      </c>
      <c r="DV16" s="54" t="str">
        <f t="shared" si="35"/>
        <v>-</v>
      </c>
      <c r="DW16" s="54" t="str">
        <f t="shared" si="35"/>
        <v>-</v>
      </c>
      <c r="DX16" s="54" t="str">
        <f t="shared" si="35"/>
        <v>-</v>
      </c>
      <c r="DY16" s="54" t="str">
        <f t="shared" si="35"/>
        <v>-</v>
      </c>
      <c r="DZ16" s="54" t="str">
        <f t="shared" si="35"/>
        <v>-</v>
      </c>
      <c r="EA16" s="54" t="str">
        <f t="shared" ref="EA16:GL16" si="36">IF(AND(EA17&gt;=$D$9,EA17&lt;$D$10),"Desacumulación","-")</f>
        <v>-</v>
      </c>
      <c r="EB16" s="54" t="str">
        <f t="shared" si="36"/>
        <v>-</v>
      </c>
      <c r="EC16" s="54" t="str">
        <f t="shared" si="36"/>
        <v>-</v>
      </c>
      <c r="ED16" s="54" t="str">
        <f t="shared" si="36"/>
        <v>-</v>
      </c>
      <c r="EE16" s="54" t="str">
        <f t="shared" si="36"/>
        <v>-</v>
      </c>
      <c r="EF16" s="54" t="str">
        <f t="shared" si="36"/>
        <v>-</v>
      </c>
      <c r="EG16" s="54" t="str">
        <f t="shared" si="36"/>
        <v>-</v>
      </c>
      <c r="EH16" s="54" t="str">
        <f t="shared" si="36"/>
        <v>-</v>
      </c>
      <c r="EI16" s="54" t="str">
        <f t="shared" si="36"/>
        <v>-</v>
      </c>
      <c r="EJ16" s="54" t="str">
        <f t="shared" si="36"/>
        <v>-</v>
      </c>
      <c r="EK16" s="54" t="str">
        <f t="shared" si="36"/>
        <v>-</v>
      </c>
      <c r="EL16" s="54" t="str">
        <f t="shared" si="36"/>
        <v>-</v>
      </c>
      <c r="EM16" s="54" t="str">
        <f t="shared" si="36"/>
        <v>-</v>
      </c>
      <c r="EN16" s="54" t="str">
        <f t="shared" si="36"/>
        <v>-</v>
      </c>
      <c r="EO16" s="54" t="str">
        <f t="shared" si="36"/>
        <v>-</v>
      </c>
      <c r="EP16" s="54" t="str">
        <f t="shared" si="36"/>
        <v>-</v>
      </c>
      <c r="EQ16" s="54" t="str">
        <f t="shared" si="36"/>
        <v>-</v>
      </c>
      <c r="ER16" s="54" t="str">
        <f t="shared" si="36"/>
        <v>-</v>
      </c>
      <c r="ES16" s="54" t="str">
        <f t="shared" si="36"/>
        <v>-</v>
      </c>
      <c r="ET16" s="54" t="str">
        <f t="shared" si="36"/>
        <v>-</v>
      </c>
      <c r="EU16" s="54" t="str">
        <f t="shared" si="36"/>
        <v>-</v>
      </c>
      <c r="EV16" s="54" t="str">
        <f t="shared" si="36"/>
        <v>-</v>
      </c>
      <c r="EW16" s="54" t="str">
        <f t="shared" si="36"/>
        <v>-</v>
      </c>
      <c r="EX16" s="54" t="str">
        <f t="shared" si="36"/>
        <v>-</v>
      </c>
      <c r="EY16" s="54" t="str">
        <f t="shared" si="36"/>
        <v>-</v>
      </c>
      <c r="EZ16" s="54" t="str">
        <f t="shared" si="36"/>
        <v>-</v>
      </c>
      <c r="FA16" s="54" t="str">
        <f t="shared" si="36"/>
        <v>-</v>
      </c>
      <c r="FB16" s="54" t="str">
        <f t="shared" si="36"/>
        <v>-</v>
      </c>
      <c r="FC16" s="54" t="str">
        <f t="shared" si="36"/>
        <v>-</v>
      </c>
      <c r="FD16" s="54" t="str">
        <f t="shared" si="36"/>
        <v>-</v>
      </c>
      <c r="FE16" s="54" t="str">
        <f t="shared" si="36"/>
        <v>-</v>
      </c>
      <c r="FF16" s="54" t="str">
        <f t="shared" si="36"/>
        <v>-</v>
      </c>
      <c r="FG16" s="54" t="str">
        <f t="shared" si="36"/>
        <v>-</v>
      </c>
      <c r="FH16" s="54" t="str">
        <f t="shared" si="36"/>
        <v>-</v>
      </c>
      <c r="FI16" s="54" t="str">
        <f t="shared" si="36"/>
        <v>-</v>
      </c>
      <c r="FJ16" s="54" t="str">
        <f t="shared" si="36"/>
        <v>-</v>
      </c>
      <c r="FK16" s="54" t="str">
        <f t="shared" si="36"/>
        <v>-</v>
      </c>
      <c r="FL16" s="54" t="str">
        <f t="shared" si="36"/>
        <v>-</v>
      </c>
      <c r="FM16" s="54" t="str">
        <f t="shared" si="36"/>
        <v>-</v>
      </c>
      <c r="FN16" s="54" t="str">
        <f t="shared" si="36"/>
        <v>-</v>
      </c>
      <c r="FO16" s="54" t="str">
        <f t="shared" si="36"/>
        <v>-</v>
      </c>
      <c r="FP16" s="54" t="str">
        <f t="shared" si="36"/>
        <v>-</v>
      </c>
      <c r="FQ16" s="54" t="str">
        <f t="shared" si="36"/>
        <v>-</v>
      </c>
      <c r="FR16" s="54" t="str">
        <f t="shared" si="36"/>
        <v>-</v>
      </c>
      <c r="FS16" s="54" t="str">
        <f t="shared" si="36"/>
        <v>-</v>
      </c>
      <c r="FT16" s="54" t="str">
        <f t="shared" si="36"/>
        <v>-</v>
      </c>
      <c r="FU16" s="54" t="str">
        <f t="shared" si="36"/>
        <v>-</v>
      </c>
      <c r="FV16" s="54" t="str">
        <f t="shared" si="36"/>
        <v>-</v>
      </c>
      <c r="FW16" s="54" t="str">
        <f t="shared" si="36"/>
        <v>-</v>
      </c>
      <c r="FX16" s="54" t="str">
        <f t="shared" si="36"/>
        <v>-</v>
      </c>
      <c r="FY16" s="54" t="str">
        <f t="shared" si="36"/>
        <v>-</v>
      </c>
      <c r="FZ16" s="54" t="str">
        <f t="shared" si="36"/>
        <v>-</v>
      </c>
      <c r="GA16" s="54" t="str">
        <f t="shared" si="36"/>
        <v>-</v>
      </c>
      <c r="GB16" s="54" t="str">
        <f t="shared" si="36"/>
        <v>-</v>
      </c>
      <c r="GC16" s="54" t="str">
        <f t="shared" si="36"/>
        <v>-</v>
      </c>
      <c r="GD16" s="54" t="str">
        <f t="shared" si="36"/>
        <v>-</v>
      </c>
      <c r="GE16" s="54" t="str">
        <f t="shared" si="36"/>
        <v>-</v>
      </c>
      <c r="GF16" s="54" t="str">
        <f t="shared" si="36"/>
        <v>-</v>
      </c>
      <c r="GG16" s="54" t="str">
        <f t="shared" si="36"/>
        <v>-</v>
      </c>
      <c r="GH16" s="54" t="str">
        <f t="shared" si="36"/>
        <v>-</v>
      </c>
      <c r="GI16" s="54" t="str">
        <f t="shared" si="36"/>
        <v>-</v>
      </c>
      <c r="GJ16" s="54" t="str">
        <f t="shared" si="36"/>
        <v>-</v>
      </c>
      <c r="GK16" s="54" t="str">
        <f t="shared" si="36"/>
        <v>-</v>
      </c>
      <c r="GL16" s="54" t="str">
        <f t="shared" si="36"/>
        <v>-</v>
      </c>
      <c r="GM16" s="54" t="str">
        <f t="shared" ref="GM16:IX16" si="37">IF(AND(GM17&gt;=$D$9,GM17&lt;$D$10),"Desacumulación","-")</f>
        <v>-</v>
      </c>
      <c r="GN16" s="54" t="str">
        <f t="shared" si="37"/>
        <v>-</v>
      </c>
      <c r="GO16" s="54" t="str">
        <f t="shared" si="37"/>
        <v>-</v>
      </c>
      <c r="GP16" s="54" t="str">
        <f t="shared" si="37"/>
        <v>-</v>
      </c>
      <c r="GQ16" s="54" t="str">
        <f t="shared" si="37"/>
        <v>-</v>
      </c>
      <c r="GR16" s="54" t="str">
        <f t="shared" si="37"/>
        <v>-</v>
      </c>
      <c r="GS16" s="54" t="str">
        <f t="shared" si="37"/>
        <v>-</v>
      </c>
      <c r="GT16" s="54" t="str">
        <f t="shared" si="37"/>
        <v>-</v>
      </c>
      <c r="GU16" s="54" t="str">
        <f t="shared" si="37"/>
        <v>-</v>
      </c>
      <c r="GV16" s="54" t="str">
        <f t="shared" si="37"/>
        <v>-</v>
      </c>
      <c r="GW16" s="54" t="str">
        <f t="shared" si="37"/>
        <v>-</v>
      </c>
      <c r="GX16" s="54" t="str">
        <f t="shared" si="37"/>
        <v>-</v>
      </c>
      <c r="GY16" s="54" t="str">
        <f t="shared" si="37"/>
        <v>-</v>
      </c>
      <c r="GZ16" s="54" t="str">
        <f t="shared" si="37"/>
        <v>-</v>
      </c>
      <c r="HA16" s="54" t="str">
        <f t="shared" si="37"/>
        <v>-</v>
      </c>
      <c r="HB16" s="54" t="str">
        <f t="shared" si="37"/>
        <v>-</v>
      </c>
      <c r="HC16" s="54" t="str">
        <f t="shared" si="37"/>
        <v>-</v>
      </c>
      <c r="HD16" s="54" t="str">
        <f t="shared" si="37"/>
        <v>-</v>
      </c>
      <c r="HE16" s="54" t="str">
        <f t="shared" si="37"/>
        <v>-</v>
      </c>
      <c r="HF16" s="54" t="str">
        <f t="shared" si="37"/>
        <v>-</v>
      </c>
      <c r="HG16" s="54" t="str">
        <f t="shared" si="37"/>
        <v>-</v>
      </c>
      <c r="HH16" s="54" t="str">
        <f t="shared" si="37"/>
        <v>-</v>
      </c>
      <c r="HI16" s="54" t="str">
        <f t="shared" si="37"/>
        <v>-</v>
      </c>
      <c r="HJ16" s="54" t="str">
        <f t="shared" si="37"/>
        <v>-</v>
      </c>
      <c r="HK16" s="54" t="str">
        <f t="shared" si="37"/>
        <v>-</v>
      </c>
      <c r="HL16" s="54" t="str">
        <f t="shared" si="37"/>
        <v>-</v>
      </c>
      <c r="HM16" s="54" t="str">
        <f t="shared" si="37"/>
        <v>-</v>
      </c>
      <c r="HN16" s="54" t="str">
        <f t="shared" si="37"/>
        <v>-</v>
      </c>
      <c r="HO16" s="54" t="str">
        <f t="shared" si="37"/>
        <v>-</v>
      </c>
      <c r="HP16" s="54" t="str">
        <f t="shared" si="37"/>
        <v>-</v>
      </c>
      <c r="HQ16" s="54" t="str">
        <f t="shared" si="37"/>
        <v>-</v>
      </c>
      <c r="HR16" s="54" t="str">
        <f t="shared" si="37"/>
        <v>-</v>
      </c>
      <c r="HS16" s="54" t="str">
        <f t="shared" si="37"/>
        <v>-</v>
      </c>
      <c r="HT16" s="54" t="str">
        <f t="shared" si="37"/>
        <v>-</v>
      </c>
      <c r="HU16" s="54" t="str">
        <f t="shared" si="37"/>
        <v>-</v>
      </c>
      <c r="HV16" s="54" t="str">
        <f t="shared" si="37"/>
        <v>-</v>
      </c>
      <c r="HW16" s="54" t="str">
        <f t="shared" si="37"/>
        <v>-</v>
      </c>
      <c r="HX16" s="54" t="str">
        <f t="shared" si="37"/>
        <v>-</v>
      </c>
      <c r="HY16" s="54" t="str">
        <f t="shared" si="37"/>
        <v>-</v>
      </c>
      <c r="HZ16" s="54" t="str">
        <f t="shared" si="37"/>
        <v>-</v>
      </c>
      <c r="IA16" s="54" t="str">
        <f t="shared" si="37"/>
        <v>-</v>
      </c>
      <c r="IB16" s="54" t="str">
        <f t="shared" si="37"/>
        <v>-</v>
      </c>
      <c r="IC16" s="54" t="str">
        <f t="shared" si="37"/>
        <v>-</v>
      </c>
      <c r="ID16" s="54" t="str">
        <f t="shared" si="37"/>
        <v>-</v>
      </c>
      <c r="IE16" s="54" t="str">
        <f t="shared" si="37"/>
        <v>-</v>
      </c>
      <c r="IF16" s="54" t="str">
        <f t="shared" si="37"/>
        <v>-</v>
      </c>
      <c r="IG16" s="54" t="str">
        <f t="shared" si="37"/>
        <v>-</v>
      </c>
      <c r="IH16" s="54" t="str">
        <f t="shared" si="37"/>
        <v>-</v>
      </c>
      <c r="II16" s="54" t="str">
        <f t="shared" si="37"/>
        <v>-</v>
      </c>
      <c r="IJ16" s="54" t="str">
        <f t="shared" si="37"/>
        <v>-</v>
      </c>
      <c r="IK16" s="54" t="str">
        <f t="shared" si="37"/>
        <v>-</v>
      </c>
      <c r="IL16" s="54" t="str">
        <f t="shared" si="37"/>
        <v>-</v>
      </c>
      <c r="IM16" s="54" t="str">
        <f t="shared" si="37"/>
        <v>-</v>
      </c>
      <c r="IN16" s="54" t="str">
        <f t="shared" si="37"/>
        <v>-</v>
      </c>
      <c r="IO16" s="54" t="str">
        <f t="shared" si="37"/>
        <v>-</v>
      </c>
      <c r="IP16" s="54" t="str">
        <f t="shared" si="37"/>
        <v>-</v>
      </c>
      <c r="IQ16" s="54" t="str">
        <f t="shared" si="37"/>
        <v>-</v>
      </c>
      <c r="IR16" s="54" t="str">
        <f t="shared" si="37"/>
        <v>-</v>
      </c>
      <c r="IS16" s="54" t="str">
        <f t="shared" si="37"/>
        <v>-</v>
      </c>
      <c r="IT16" s="54" t="str">
        <f t="shared" si="37"/>
        <v>-</v>
      </c>
      <c r="IU16" s="54" t="str">
        <f t="shared" si="37"/>
        <v>-</v>
      </c>
      <c r="IV16" s="54" t="str">
        <f t="shared" si="37"/>
        <v>-</v>
      </c>
      <c r="IW16" s="54" t="str">
        <f t="shared" si="37"/>
        <v>-</v>
      </c>
      <c r="IX16" s="54" t="str">
        <f t="shared" si="37"/>
        <v>-</v>
      </c>
      <c r="IY16" s="54" t="str">
        <f t="shared" ref="IY16:LJ16" si="38">IF(AND(IY17&gt;=$D$9,IY17&lt;$D$10),"Desacumulación","-")</f>
        <v>-</v>
      </c>
      <c r="IZ16" s="54" t="str">
        <f t="shared" si="38"/>
        <v>-</v>
      </c>
      <c r="JA16" s="54" t="str">
        <f t="shared" si="38"/>
        <v>-</v>
      </c>
      <c r="JB16" s="54" t="str">
        <f t="shared" si="38"/>
        <v>-</v>
      </c>
      <c r="JC16" s="54" t="str">
        <f t="shared" si="38"/>
        <v>-</v>
      </c>
      <c r="JD16" s="54" t="str">
        <f t="shared" si="38"/>
        <v>-</v>
      </c>
      <c r="JE16" s="54" t="str">
        <f t="shared" si="38"/>
        <v>-</v>
      </c>
      <c r="JF16" s="54" t="str">
        <f t="shared" si="38"/>
        <v>-</v>
      </c>
      <c r="JG16" s="54" t="str">
        <f t="shared" si="38"/>
        <v>-</v>
      </c>
      <c r="JH16" s="54" t="str">
        <f t="shared" si="38"/>
        <v>-</v>
      </c>
      <c r="JI16" s="54" t="str">
        <f t="shared" si="38"/>
        <v>-</v>
      </c>
      <c r="JJ16" s="54" t="str">
        <f t="shared" si="38"/>
        <v>-</v>
      </c>
      <c r="JK16" s="54" t="str">
        <f t="shared" si="38"/>
        <v>-</v>
      </c>
      <c r="JL16" s="54" t="str">
        <f t="shared" si="38"/>
        <v>-</v>
      </c>
      <c r="JM16" s="54" t="str">
        <f t="shared" si="38"/>
        <v>-</v>
      </c>
      <c r="JN16" s="54" t="str">
        <f t="shared" si="38"/>
        <v>-</v>
      </c>
      <c r="JO16" s="54" t="str">
        <f t="shared" si="38"/>
        <v>-</v>
      </c>
      <c r="JP16" s="54" t="str">
        <f t="shared" si="38"/>
        <v>-</v>
      </c>
      <c r="JQ16" s="54" t="str">
        <f t="shared" si="38"/>
        <v>-</v>
      </c>
      <c r="JR16" s="54" t="str">
        <f t="shared" si="38"/>
        <v>-</v>
      </c>
      <c r="JS16" s="54" t="str">
        <f t="shared" si="38"/>
        <v>-</v>
      </c>
      <c r="JT16" s="54" t="str">
        <f t="shared" si="38"/>
        <v>-</v>
      </c>
      <c r="JU16" s="54" t="str">
        <f t="shared" si="38"/>
        <v>-</v>
      </c>
      <c r="JV16" s="54" t="str">
        <f t="shared" si="38"/>
        <v>-</v>
      </c>
      <c r="JW16" s="54" t="str">
        <f t="shared" si="38"/>
        <v>-</v>
      </c>
      <c r="JX16" s="54" t="str">
        <f t="shared" si="38"/>
        <v>-</v>
      </c>
      <c r="JY16" s="54" t="str">
        <f t="shared" si="38"/>
        <v>-</v>
      </c>
      <c r="JZ16" s="54" t="str">
        <f t="shared" si="38"/>
        <v>-</v>
      </c>
      <c r="KA16" s="54" t="str">
        <f t="shared" si="38"/>
        <v>-</v>
      </c>
      <c r="KB16" s="54" t="str">
        <f t="shared" si="38"/>
        <v>-</v>
      </c>
      <c r="KC16" s="54" t="str">
        <f t="shared" si="38"/>
        <v>-</v>
      </c>
      <c r="KD16" s="54" t="str">
        <f t="shared" si="38"/>
        <v>-</v>
      </c>
      <c r="KE16" s="54" t="str">
        <f t="shared" si="38"/>
        <v>-</v>
      </c>
      <c r="KF16" s="54" t="str">
        <f t="shared" si="38"/>
        <v>-</v>
      </c>
      <c r="KG16" s="54" t="str">
        <f t="shared" si="38"/>
        <v>-</v>
      </c>
      <c r="KH16" s="54" t="str">
        <f t="shared" si="38"/>
        <v>-</v>
      </c>
      <c r="KI16" s="54" t="str">
        <f t="shared" si="38"/>
        <v>-</v>
      </c>
      <c r="KJ16" s="54" t="str">
        <f t="shared" si="38"/>
        <v>-</v>
      </c>
      <c r="KK16" s="54" t="str">
        <f t="shared" si="38"/>
        <v>-</v>
      </c>
      <c r="KL16" s="54" t="str">
        <f t="shared" si="38"/>
        <v>-</v>
      </c>
      <c r="KM16" s="54" t="str">
        <f t="shared" si="38"/>
        <v>-</v>
      </c>
      <c r="KN16" s="54" t="str">
        <f t="shared" si="38"/>
        <v>-</v>
      </c>
      <c r="KO16" s="54" t="str">
        <f t="shared" si="38"/>
        <v>-</v>
      </c>
      <c r="KP16" s="54" t="str">
        <f t="shared" si="38"/>
        <v>-</v>
      </c>
      <c r="KQ16" s="54" t="str">
        <f t="shared" si="38"/>
        <v>-</v>
      </c>
      <c r="KR16" s="54" t="str">
        <f t="shared" si="38"/>
        <v>-</v>
      </c>
      <c r="KS16" s="54" t="str">
        <f t="shared" si="38"/>
        <v>-</v>
      </c>
      <c r="KT16" s="54" t="str">
        <f t="shared" si="38"/>
        <v>-</v>
      </c>
      <c r="KU16" s="54" t="str">
        <f t="shared" si="38"/>
        <v>-</v>
      </c>
      <c r="KV16" s="54" t="str">
        <f t="shared" si="38"/>
        <v>-</v>
      </c>
      <c r="KW16" s="54" t="str">
        <f t="shared" si="38"/>
        <v>-</v>
      </c>
      <c r="KX16" s="54" t="str">
        <f t="shared" si="38"/>
        <v>-</v>
      </c>
      <c r="KY16" s="54" t="str">
        <f t="shared" si="38"/>
        <v>-</v>
      </c>
      <c r="KZ16" s="54" t="str">
        <f t="shared" si="38"/>
        <v>-</v>
      </c>
      <c r="LA16" s="54" t="str">
        <f t="shared" si="38"/>
        <v>-</v>
      </c>
      <c r="LB16" s="54" t="str">
        <f t="shared" si="38"/>
        <v>-</v>
      </c>
      <c r="LC16" s="54" t="str">
        <f t="shared" si="38"/>
        <v>-</v>
      </c>
      <c r="LD16" s="54" t="str">
        <f t="shared" si="38"/>
        <v>-</v>
      </c>
      <c r="LE16" s="54" t="str">
        <f t="shared" si="38"/>
        <v>-</v>
      </c>
      <c r="LF16" s="54" t="str">
        <f t="shared" si="38"/>
        <v>-</v>
      </c>
      <c r="LG16" s="54" t="str">
        <f t="shared" si="38"/>
        <v>-</v>
      </c>
      <c r="LH16" s="54" t="str">
        <f t="shared" si="38"/>
        <v>-</v>
      </c>
      <c r="LI16" s="54" t="str">
        <f t="shared" si="38"/>
        <v>-</v>
      </c>
      <c r="LJ16" s="54" t="str">
        <f t="shared" si="38"/>
        <v>-</v>
      </c>
      <c r="LK16" s="54" t="str">
        <f t="shared" ref="LK16:NV16" si="39">IF(AND(LK17&gt;=$D$9,LK17&lt;$D$10),"Desacumulación","-")</f>
        <v>-</v>
      </c>
      <c r="LL16" s="54" t="str">
        <f t="shared" si="39"/>
        <v>-</v>
      </c>
      <c r="LM16" s="54" t="str">
        <f t="shared" si="39"/>
        <v>-</v>
      </c>
      <c r="LN16" s="54" t="str">
        <f t="shared" si="39"/>
        <v>-</v>
      </c>
      <c r="LO16" s="54" t="str">
        <f t="shared" si="39"/>
        <v>-</v>
      </c>
      <c r="LP16" s="54" t="str">
        <f t="shared" si="39"/>
        <v>-</v>
      </c>
      <c r="LQ16" s="54" t="str">
        <f t="shared" si="39"/>
        <v>-</v>
      </c>
      <c r="LR16" s="54" t="str">
        <f t="shared" si="39"/>
        <v>-</v>
      </c>
      <c r="LS16" s="54" t="str">
        <f t="shared" si="39"/>
        <v>-</v>
      </c>
      <c r="LT16" s="54" t="str">
        <f t="shared" si="39"/>
        <v>-</v>
      </c>
      <c r="LU16" s="54" t="str">
        <f t="shared" si="39"/>
        <v>-</v>
      </c>
      <c r="LV16" s="54" t="str">
        <f t="shared" si="39"/>
        <v>-</v>
      </c>
      <c r="LW16" s="54" t="str">
        <f t="shared" si="39"/>
        <v>-</v>
      </c>
      <c r="LX16" s="54" t="str">
        <f t="shared" si="39"/>
        <v>-</v>
      </c>
      <c r="LY16" s="54" t="str">
        <f t="shared" si="39"/>
        <v>-</v>
      </c>
      <c r="LZ16" s="54" t="str">
        <f t="shared" si="39"/>
        <v>-</v>
      </c>
      <c r="MA16" s="54" t="str">
        <f t="shared" si="39"/>
        <v>-</v>
      </c>
      <c r="MB16" s="54" t="str">
        <f t="shared" si="39"/>
        <v>-</v>
      </c>
      <c r="MC16" s="54" t="str">
        <f t="shared" si="39"/>
        <v>-</v>
      </c>
      <c r="MD16" s="54" t="str">
        <f t="shared" si="39"/>
        <v>-</v>
      </c>
      <c r="ME16" s="54" t="str">
        <f t="shared" si="39"/>
        <v>-</v>
      </c>
      <c r="MF16" s="54" t="str">
        <f t="shared" si="39"/>
        <v>-</v>
      </c>
      <c r="MG16" s="54" t="str">
        <f t="shared" si="39"/>
        <v>-</v>
      </c>
      <c r="MH16" s="54" t="str">
        <f t="shared" si="39"/>
        <v>-</v>
      </c>
      <c r="MI16" s="54" t="str">
        <f t="shared" si="39"/>
        <v>-</v>
      </c>
      <c r="MJ16" s="54" t="str">
        <f t="shared" si="39"/>
        <v>-</v>
      </c>
      <c r="MK16" s="54" t="str">
        <f t="shared" si="39"/>
        <v>-</v>
      </c>
      <c r="ML16" s="54" t="str">
        <f t="shared" si="39"/>
        <v>-</v>
      </c>
      <c r="MM16" s="54" t="str">
        <f t="shared" si="39"/>
        <v>-</v>
      </c>
      <c r="MN16" s="54" t="str">
        <f t="shared" si="39"/>
        <v>-</v>
      </c>
      <c r="MO16" s="54" t="str">
        <f t="shared" si="39"/>
        <v>-</v>
      </c>
      <c r="MP16" s="54" t="str">
        <f t="shared" si="39"/>
        <v>-</v>
      </c>
      <c r="MQ16" s="54" t="str">
        <f t="shared" si="39"/>
        <v>-</v>
      </c>
      <c r="MR16" s="54" t="str">
        <f t="shared" si="39"/>
        <v>-</v>
      </c>
      <c r="MS16" s="54" t="str">
        <f t="shared" si="39"/>
        <v>-</v>
      </c>
      <c r="MT16" s="54" t="str">
        <f t="shared" si="39"/>
        <v>-</v>
      </c>
      <c r="MU16" s="54" t="str">
        <f t="shared" si="39"/>
        <v>-</v>
      </c>
      <c r="MV16" s="54" t="str">
        <f t="shared" si="39"/>
        <v>-</v>
      </c>
      <c r="MW16" s="54" t="str">
        <f t="shared" si="39"/>
        <v>-</v>
      </c>
      <c r="MX16" s="54" t="str">
        <f t="shared" si="39"/>
        <v>-</v>
      </c>
      <c r="MY16" s="54" t="str">
        <f t="shared" si="39"/>
        <v>-</v>
      </c>
      <c r="MZ16" s="54" t="str">
        <f t="shared" si="39"/>
        <v>-</v>
      </c>
      <c r="NA16" s="54" t="str">
        <f t="shared" si="39"/>
        <v>-</v>
      </c>
      <c r="NB16" s="54" t="str">
        <f t="shared" si="39"/>
        <v>-</v>
      </c>
      <c r="NC16" s="54" t="str">
        <f t="shared" si="39"/>
        <v>-</v>
      </c>
      <c r="ND16" s="54" t="str">
        <f t="shared" si="39"/>
        <v>-</v>
      </c>
      <c r="NE16" s="54" t="str">
        <f t="shared" si="39"/>
        <v>-</v>
      </c>
      <c r="NF16" s="54" t="str">
        <f t="shared" si="39"/>
        <v>-</v>
      </c>
      <c r="NG16" s="54" t="str">
        <f t="shared" si="39"/>
        <v>-</v>
      </c>
      <c r="NH16" s="54" t="str">
        <f t="shared" si="39"/>
        <v>-</v>
      </c>
      <c r="NI16" s="54" t="str">
        <f t="shared" si="39"/>
        <v>-</v>
      </c>
      <c r="NJ16" s="54" t="str">
        <f t="shared" si="39"/>
        <v>-</v>
      </c>
      <c r="NK16" s="54" t="str">
        <f t="shared" si="39"/>
        <v>-</v>
      </c>
      <c r="NL16" s="54" t="str">
        <f t="shared" si="39"/>
        <v>-</v>
      </c>
      <c r="NM16" s="54" t="str">
        <f t="shared" si="39"/>
        <v>-</v>
      </c>
      <c r="NN16" s="54" t="str">
        <f t="shared" si="39"/>
        <v>-</v>
      </c>
      <c r="NO16" s="54" t="str">
        <f t="shared" si="39"/>
        <v>-</v>
      </c>
      <c r="NP16" s="54" t="str">
        <f t="shared" si="39"/>
        <v>-</v>
      </c>
      <c r="NQ16" s="54" t="str">
        <f t="shared" si="39"/>
        <v>-</v>
      </c>
      <c r="NR16" s="54" t="str">
        <f t="shared" si="39"/>
        <v>-</v>
      </c>
      <c r="NS16" s="54" t="str">
        <f t="shared" si="39"/>
        <v>-</v>
      </c>
      <c r="NT16" s="54" t="str">
        <f t="shared" si="39"/>
        <v>-</v>
      </c>
      <c r="NU16" s="54" t="str">
        <f t="shared" si="39"/>
        <v>-</v>
      </c>
      <c r="NV16" s="54" t="str">
        <f t="shared" si="39"/>
        <v>-</v>
      </c>
      <c r="NW16" s="54" t="str">
        <f t="shared" ref="NW16:QH16" si="40">IF(AND(NW17&gt;=$D$9,NW17&lt;$D$10),"Desacumulación","-")</f>
        <v>-</v>
      </c>
      <c r="NX16" s="54" t="str">
        <f t="shared" si="40"/>
        <v>-</v>
      </c>
      <c r="NY16" s="54" t="str">
        <f t="shared" si="40"/>
        <v>-</v>
      </c>
      <c r="NZ16" s="54" t="str">
        <f t="shared" si="40"/>
        <v>-</v>
      </c>
      <c r="OA16" s="54" t="str">
        <f t="shared" si="40"/>
        <v>-</v>
      </c>
      <c r="OB16" s="54" t="str">
        <f t="shared" si="40"/>
        <v>-</v>
      </c>
      <c r="OC16" s="54" t="str">
        <f t="shared" si="40"/>
        <v>-</v>
      </c>
      <c r="OD16" s="54" t="str">
        <f t="shared" si="40"/>
        <v>-</v>
      </c>
      <c r="OE16" s="54" t="str">
        <f t="shared" si="40"/>
        <v>-</v>
      </c>
      <c r="OF16" s="54" t="str">
        <f t="shared" si="40"/>
        <v>-</v>
      </c>
      <c r="OG16" s="54" t="str">
        <f t="shared" si="40"/>
        <v>-</v>
      </c>
      <c r="OH16" s="54" t="str">
        <f t="shared" si="40"/>
        <v>-</v>
      </c>
      <c r="OI16" s="54" t="str">
        <f t="shared" si="40"/>
        <v>-</v>
      </c>
      <c r="OJ16" s="54" t="str">
        <f t="shared" si="40"/>
        <v>-</v>
      </c>
      <c r="OK16" s="54" t="str">
        <f t="shared" si="40"/>
        <v>-</v>
      </c>
      <c r="OL16" s="54" t="str">
        <f t="shared" si="40"/>
        <v>-</v>
      </c>
      <c r="OM16" s="54" t="str">
        <f t="shared" si="40"/>
        <v>-</v>
      </c>
      <c r="ON16" s="54" t="str">
        <f t="shared" si="40"/>
        <v>-</v>
      </c>
      <c r="OO16" s="54" t="str">
        <f t="shared" si="40"/>
        <v>-</v>
      </c>
      <c r="OP16" s="54" t="str">
        <f t="shared" si="40"/>
        <v>-</v>
      </c>
      <c r="OQ16" s="54" t="str">
        <f t="shared" si="40"/>
        <v>-</v>
      </c>
      <c r="OR16" s="54" t="str">
        <f t="shared" si="40"/>
        <v>-</v>
      </c>
      <c r="OS16" s="54" t="str">
        <f t="shared" si="40"/>
        <v>-</v>
      </c>
      <c r="OT16" s="54" t="str">
        <f t="shared" si="40"/>
        <v>-</v>
      </c>
      <c r="OU16" s="54" t="str">
        <f t="shared" si="40"/>
        <v>-</v>
      </c>
      <c r="OV16" s="54" t="str">
        <f t="shared" si="40"/>
        <v>-</v>
      </c>
      <c r="OW16" s="54" t="str">
        <f t="shared" si="40"/>
        <v>-</v>
      </c>
      <c r="OX16" s="54" t="str">
        <f t="shared" si="40"/>
        <v>-</v>
      </c>
      <c r="OY16" s="54" t="str">
        <f t="shared" si="40"/>
        <v>-</v>
      </c>
      <c r="OZ16" s="54" t="str">
        <f t="shared" si="40"/>
        <v>-</v>
      </c>
      <c r="PA16" s="54" t="str">
        <f t="shared" si="40"/>
        <v>-</v>
      </c>
      <c r="PB16" s="54" t="str">
        <f t="shared" si="40"/>
        <v>-</v>
      </c>
      <c r="PC16" s="54" t="str">
        <f t="shared" si="40"/>
        <v>-</v>
      </c>
      <c r="PD16" s="54" t="str">
        <f t="shared" si="40"/>
        <v>-</v>
      </c>
      <c r="PE16" s="54" t="str">
        <f t="shared" si="40"/>
        <v>-</v>
      </c>
      <c r="PF16" s="54" t="str">
        <f t="shared" si="40"/>
        <v>-</v>
      </c>
      <c r="PG16" s="54" t="str">
        <f t="shared" si="40"/>
        <v>-</v>
      </c>
      <c r="PH16" s="54" t="str">
        <f t="shared" si="40"/>
        <v>-</v>
      </c>
      <c r="PI16" s="54" t="str">
        <f t="shared" si="40"/>
        <v>-</v>
      </c>
      <c r="PJ16" s="54" t="str">
        <f t="shared" si="40"/>
        <v>-</v>
      </c>
      <c r="PK16" s="54" t="str">
        <f t="shared" si="40"/>
        <v>-</v>
      </c>
      <c r="PL16" s="54" t="str">
        <f t="shared" si="40"/>
        <v>-</v>
      </c>
      <c r="PM16" s="54" t="str">
        <f t="shared" si="40"/>
        <v>-</v>
      </c>
      <c r="PN16" s="54" t="str">
        <f t="shared" si="40"/>
        <v>-</v>
      </c>
      <c r="PO16" s="54" t="str">
        <f t="shared" si="40"/>
        <v>-</v>
      </c>
      <c r="PP16" s="54" t="str">
        <f t="shared" si="40"/>
        <v>-</v>
      </c>
      <c r="PQ16" s="54" t="str">
        <f t="shared" si="40"/>
        <v>-</v>
      </c>
      <c r="PR16" s="54" t="str">
        <f t="shared" si="40"/>
        <v>-</v>
      </c>
      <c r="PS16" s="54" t="str">
        <f t="shared" si="40"/>
        <v>-</v>
      </c>
      <c r="PT16" s="54" t="str">
        <f t="shared" si="40"/>
        <v>-</v>
      </c>
      <c r="PU16" s="54" t="str">
        <f t="shared" si="40"/>
        <v>-</v>
      </c>
      <c r="PV16" s="54" t="str">
        <f t="shared" si="40"/>
        <v>-</v>
      </c>
      <c r="PW16" s="54" t="str">
        <f t="shared" si="40"/>
        <v>-</v>
      </c>
      <c r="PX16" s="54" t="str">
        <f t="shared" si="40"/>
        <v>-</v>
      </c>
      <c r="PY16" s="54" t="str">
        <f t="shared" si="40"/>
        <v>-</v>
      </c>
      <c r="PZ16" s="54" t="str">
        <f t="shared" si="40"/>
        <v>-</v>
      </c>
      <c r="QA16" s="54" t="str">
        <f t="shared" si="40"/>
        <v>-</v>
      </c>
      <c r="QB16" s="54" t="str">
        <f t="shared" si="40"/>
        <v>-</v>
      </c>
      <c r="QC16" s="54" t="str">
        <f t="shared" si="40"/>
        <v>-</v>
      </c>
      <c r="QD16" s="54" t="str">
        <f t="shared" si="40"/>
        <v>-</v>
      </c>
      <c r="QE16" s="54" t="str">
        <f t="shared" si="40"/>
        <v>-</v>
      </c>
      <c r="QF16" s="54" t="str">
        <f t="shared" si="40"/>
        <v>-</v>
      </c>
      <c r="QG16" s="54" t="str">
        <f t="shared" si="40"/>
        <v>-</v>
      </c>
      <c r="QH16" s="54" t="str">
        <f t="shared" si="40"/>
        <v>-</v>
      </c>
      <c r="QI16" s="54" t="str">
        <f t="shared" ref="QI16:ST16" si="41">IF(AND(QI17&gt;=$D$9,QI17&lt;$D$10),"Desacumulación","-")</f>
        <v>-</v>
      </c>
      <c r="QJ16" s="54" t="str">
        <f t="shared" si="41"/>
        <v>-</v>
      </c>
      <c r="QK16" s="54" t="str">
        <f t="shared" si="41"/>
        <v>-</v>
      </c>
      <c r="QL16" s="54" t="str">
        <f t="shared" si="41"/>
        <v>-</v>
      </c>
      <c r="QM16" s="54" t="str">
        <f t="shared" si="41"/>
        <v>-</v>
      </c>
      <c r="QN16" s="54" t="str">
        <f t="shared" si="41"/>
        <v>-</v>
      </c>
      <c r="QO16" s="54" t="str">
        <f t="shared" si="41"/>
        <v>-</v>
      </c>
      <c r="QP16" s="54" t="str">
        <f t="shared" si="41"/>
        <v>-</v>
      </c>
      <c r="QQ16" s="54" t="str">
        <f t="shared" si="41"/>
        <v>-</v>
      </c>
      <c r="QR16" s="54" t="str">
        <f t="shared" si="41"/>
        <v>-</v>
      </c>
      <c r="QS16" s="54" t="str">
        <f t="shared" si="41"/>
        <v>-</v>
      </c>
      <c r="QT16" s="54" t="str">
        <f t="shared" si="41"/>
        <v>-</v>
      </c>
      <c r="QU16" s="54" t="str">
        <f t="shared" si="41"/>
        <v>-</v>
      </c>
      <c r="QV16" s="54" t="str">
        <f t="shared" si="41"/>
        <v>-</v>
      </c>
      <c r="QW16" s="54" t="str">
        <f t="shared" si="41"/>
        <v>-</v>
      </c>
      <c r="QX16" s="54" t="str">
        <f t="shared" si="41"/>
        <v>-</v>
      </c>
      <c r="QY16" s="54" t="str">
        <f t="shared" si="41"/>
        <v>-</v>
      </c>
      <c r="QZ16" s="54" t="str">
        <f t="shared" si="41"/>
        <v>-</v>
      </c>
      <c r="RA16" s="54" t="str">
        <f t="shared" si="41"/>
        <v>-</v>
      </c>
      <c r="RB16" s="54" t="str">
        <f t="shared" si="41"/>
        <v>-</v>
      </c>
      <c r="RC16" s="54" t="str">
        <f t="shared" si="41"/>
        <v>-</v>
      </c>
      <c r="RD16" s="54" t="str">
        <f t="shared" si="41"/>
        <v>-</v>
      </c>
      <c r="RE16" s="54" t="str">
        <f t="shared" si="41"/>
        <v>-</v>
      </c>
      <c r="RF16" s="54" t="str">
        <f t="shared" si="41"/>
        <v>-</v>
      </c>
      <c r="RG16" s="54" t="str">
        <f t="shared" si="41"/>
        <v>-</v>
      </c>
      <c r="RH16" s="54" t="str">
        <f t="shared" si="41"/>
        <v>-</v>
      </c>
      <c r="RI16" s="54" t="str">
        <f t="shared" si="41"/>
        <v>-</v>
      </c>
      <c r="RJ16" s="54" t="str">
        <f t="shared" si="41"/>
        <v>-</v>
      </c>
      <c r="RK16" s="54" t="str">
        <f t="shared" si="41"/>
        <v>-</v>
      </c>
      <c r="RL16" s="54" t="str">
        <f t="shared" si="41"/>
        <v>-</v>
      </c>
      <c r="RM16" s="54" t="str">
        <f t="shared" si="41"/>
        <v>-</v>
      </c>
      <c r="RN16" s="54" t="str">
        <f t="shared" si="41"/>
        <v>-</v>
      </c>
      <c r="RO16" s="54" t="str">
        <f t="shared" si="41"/>
        <v>-</v>
      </c>
      <c r="RP16" s="54" t="str">
        <f t="shared" si="41"/>
        <v>-</v>
      </c>
      <c r="RQ16" s="54" t="str">
        <f t="shared" si="41"/>
        <v>-</v>
      </c>
      <c r="RR16" s="54" t="str">
        <f t="shared" si="41"/>
        <v>-</v>
      </c>
      <c r="RS16" s="54" t="str">
        <f t="shared" si="41"/>
        <v>-</v>
      </c>
      <c r="RT16" s="54" t="str">
        <f t="shared" si="41"/>
        <v>-</v>
      </c>
      <c r="RU16" s="54" t="str">
        <f t="shared" si="41"/>
        <v>-</v>
      </c>
      <c r="RV16" s="54" t="str">
        <f t="shared" si="41"/>
        <v>-</v>
      </c>
      <c r="RW16" s="54" t="str">
        <f t="shared" si="41"/>
        <v>-</v>
      </c>
      <c r="RX16" s="54" t="str">
        <f t="shared" si="41"/>
        <v>-</v>
      </c>
      <c r="RY16" s="54" t="str">
        <f t="shared" si="41"/>
        <v>-</v>
      </c>
      <c r="RZ16" s="54" t="str">
        <f t="shared" si="41"/>
        <v>-</v>
      </c>
      <c r="SA16" s="54" t="str">
        <f t="shared" si="41"/>
        <v>-</v>
      </c>
      <c r="SB16" s="54" t="str">
        <f t="shared" si="41"/>
        <v>-</v>
      </c>
      <c r="SC16" s="54" t="str">
        <f t="shared" si="41"/>
        <v>-</v>
      </c>
      <c r="SD16" s="54" t="str">
        <f t="shared" si="41"/>
        <v>-</v>
      </c>
      <c r="SE16" s="54" t="str">
        <f t="shared" si="41"/>
        <v>-</v>
      </c>
      <c r="SF16" s="54" t="str">
        <f t="shared" si="41"/>
        <v>-</v>
      </c>
      <c r="SG16" s="54" t="str">
        <f t="shared" si="41"/>
        <v>-</v>
      </c>
      <c r="SH16" s="54" t="str">
        <f t="shared" si="41"/>
        <v>-</v>
      </c>
      <c r="SI16" s="54" t="str">
        <f t="shared" si="41"/>
        <v>-</v>
      </c>
      <c r="SJ16" s="54" t="str">
        <f t="shared" si="41"/>
        <v>-</v>
      </c>
      <c r="SK16" s="54" t="str">
        <f t="shared" si="41"/>
        <v>-</v>
      </c>
      <c r="SL16" s="54" t="str">
        <f t="shared" si="41"/>
        <v>-</v>
      </c>
      <c r="SM16" s="54" t="str">
        <f t="shared" si="41"/>
        <v>-</v>
      </c>
      <c r="SN16" s="54" t="str">
        <f t="shared" si="41"/>
        <v>-</v>
      </c>
      <c r="SO16" s="54" t="str">
        <f t="shared" si="41"/>
        <v>-</v>
      </c>
      <c r="SP16" s="54" t="str">
        <f t="shared" si="41"/>
        <v>-</v>
      </c>
      <c r="SQ16" s="54" t="str">
        <f t="shared" si="41"/>
        <v>-</v>
      </c>
      <c r="SR16" s="54" t="str">
        <f t="shared" si="41"/>
        <v>-</v>
      </c>
      <c r="SS16" s="54" t="str">
        <f t="shared" si="41"/>
        <v>-</v>
      </c>
      <c r="ST16" s="54" t="str">
        <f t="shared" si="41"/>
        <v>-</v>
      </c>
      <c r="SU16" s="54" t="str">
        <f t="shared" ref="SU16:VF16" si="42">IF(AND(SU17&gt;=$D$9,SU17&lt;$D$10),"Desacumulación","-")</f>
        <v>-</v>
      </c>
      <c r="SV16" s="54" t="str">
        <f t="shared" si="42"/>
        <v>-</v>
      </c>
      <c r="SW16" s="54" t="str">
        <f t="shared" si="42"/>
        <v>-</v>
      </c>
      <c r="SX16" s="54" t="str">
        <f t="shared" si="42"/>
        <v>-</v>
      </c>
      <c r="SY16" s="54" t="str">
        <f t="shared" si="42"/>
        <v>-</v>
      </c>
      <c r="SZ16" s="54" t="str">
        <f t="shared" si="42"/>
        <v>-</v>
      </c>
      <c r="TA16" s="54" t="str">
        <f t="shared" si="42"/>
        <v>-</v>
      </c>
      <c r="TB16" s="54" t="str">
        <f t="shared" si="42"/>
        <v>-</v>
      </c>
      <c r="TC16" s="54" t="str">
        <f t="shared" si="42"/>
        <v>-</v>
      </c>
      <c r="TD16" s="54" t="str">
        <f t="shared" si="42"/>
        <v>-</v>
      </c>
      <c r="TE16" s="54" t="str">
        <f t="shared" si="42"/>
        <v>-</v>
      </c>
      <c r="TF16" s="54" t="str">
        <f t="shared" si="42"/>
        <v>-</v>
      </c>
      <c r="TG16" s="54" t="str">
        <f t="shared" si="42"/>
        <v>-</v>
      </c>
      <c r="TH16" s="54" t="str">
        <f t="shared" si="42"/>
        <v>-</v>
      </c>
      <c r="TI16" s="54" t="str">
        <f t="shared" si="42"/>
        <v>-</v>
      </c>
      <c r="TJ16" s="54" t="str">
        <f t="shared" si="42"/>
        <v>-</v>
      </c>
      <c r="TK16" s="54" t="str">
        <f t="shared" si="42"/>
        <v>-</v>
      </c>
      <c r="TL16" s="54" t="str">
        <f t="shared" si="42"/>
        <v>-</v>
      </c>
      <c r="TM16" s="54" t="str">
        <f t="shared" si="42"/>
        <v>-</v>
      </c>
      <c r="TN16" s="54" t="str">
        <f t="shared" si="42"/>
        <v>-</v>
      </c>
      <c r="TO16" s="54" t="str">
        <f t="shared" si="42"/>
        <v>-</v>
      </c>
      <c r="TP16" s="54" t="str">
        <f t="shared" si="42"/>
        <v>-</v>
      </c>
      <c r="TQ16" s="54" t="str">
        <f t="shared" si="42"/>
        <v>-</v>
      </c>
      <c r="TR16" s="54" t="str">
        <f t="shared" si="42"/>
        <v>-</v>
      </c>
      <c r="TS16" s="54" t="str">
        <f t="shared" si="42"/>
        <v>-</v>
      </c>
      <c r="TT16" s="54" t="str">
        <f t="shared" si="42"/>
        <v>-</v>
      </c>
      <c r="TU16" s="54" t="str">
        <f t="shared" si="42"/>
        <v>-</v>
      </c>
      <c r="TV16" s="54" t="str">
        <f t="shared" si="42"/>
        <v>-</v>
      </c>
      <c r="TW16" s="54" t="str">
        <f t="shared" si="42"/>
        <v>-</v>
      </c>
      <c r="TX16" s="54" t="str">
        <f t="shared" si="42"/>
        <v>-</v>
      </c>
      <c r="TY16" s="54" t="str">
        <f t="shared" si="42"/>
        <v>-</v>
      </c>
      <c r="TZ16" s="54" t="str">
        <f t="shared" si="42"/>
        <v>-</v>
      </c>
      <c r="UA16" s="54" t="str">
        <f t="shared" si="42"/>
        <v>-</v>
      </c>
      <c r="UB16" s="54" t="str">
        <f t="shared" si="42"/>
        <v>-</v>
      </c>
      <c r="UC16" s="54" t="str">
        <f t="shared" si="42"/>
        <v>-</v>
      </c>
      <c r="UD16" s="54" t="str">
        <f t="shared" si="42"/>
        <v>-</v>
      </c>
      <c r="UE16" s="54" t="str">
        <f t="shared" si="42"/>
        <v>-</v>
      </c>
      <c r="UF16" s="54" t="str">
        <f t="shared" si="42"/>
        <v>-</v>
      </c>
      <c r="UG16" s="54" t="str">
        <f t="shared" si="42"/>
        <v>-</v>
      </c>
      <c r="UH16" s="54" t="str">
        <f t="shared" si="42"/>
        <v>-</v>
      </c>
      <c r="UI16" s="54" t="str">
        <f t="shared" si="42"/>
        <v>-</v>
      </c>
      <c r="UJ16" s="54" t="str">
        <f t="shared" si="42"/>
        <v>-</v>
      </c>
      <c r="UK16" s="54" t="str">
        <f t="shared" si="42"/>
        <v>-</v>
      </c>
      <c r="UL16" s="54" t="str">
        <f t="shared" si="42"/>
        <v>-</v>
      </c>
      <c r="UM16" s="54" t="str">
        <f t="shared" si="42"/>
        <v>-</v>
      </c>
      <c r="UN16" s="54" t="str">
        <f t="shared" si="42"/>
        <v>-</v>
      </c>
      <c r="UO16" s="54" t="str">
        <f t="shared" si="42"/>
        <v>-</v>
      </c>
      <c r="UP16" s="54" t="str">
        <f t="shared" si="42"/>
        <v>-</v>
      </c>
      <c r="UQ16" s="54" t="str">
        <f t="shared" si="42"/>
        <v>-</v>
      </c>
      <c r="UR16" s="54" t="str">
        <f t="shared" si="42"/>
        <v>-</v>
      </c>
      <c r="US16" s="54" t="str">
        <f t="shared" si="42"/>
        <v>-</v>
      </c>
      <c r="UT16" s="54" t="str">
        <f t="shared" si="42"/>
        <v>-</v>
      </c>
      <c r="UU16" s="54" t="str">
        <f t="shared" si="42"/>
        <v>-</v>
      </c>
      <c r="UV16" s="54" t="str">
        <f t="shared" si="42"/>
        <v>-</v>
      </c>
      <c r="UW16" s="54" t="str">
        <f t="shared" si="42"/>
        <v>-</v>
      </c>
      <c r="UX16" s="54" t="str">
        <f t="shared" si="42"/>
        <v>-</v>
      </c>
      <c r="UY16" s="54" t="str">
        <f t="shared" si="42"/>
        <v>-</v>
      </c>
      <c r="UZ16" s="54" t="str">
        <f t="shared" si="42"/>
        <v>-</v>
      </c>
      <c r="VA16" s="54" t="str">
        <f t="shared" si="42"/>
        <v>-</v>
      </c>
      <c r="VB16" s="54" t="str">
        <f t="shared" si="42"/>
        <v>-</v>
      </c>
      <c r="VC16" s="54" t="str">
        <f t="shared" si="42"/>
        <v>-</v>
      </c>
      <c r="VD16" s="54" t="str">
        <f t="shared" si="42"/>
        <v>-</v>
      </c>
      <c r="VE16" s="54" t="str">
        <f t="shared" si="42"/>
        <v>-</v>
      </c>
      <c r="VF16" s="54" t="str">
        <f t="shared" si="42"/>
        <v>-</v>
      </c>
      <c r="VG16" s="54" t="str">
        <f t="shared" ref="VG16:XR16" si="43">IF(AND(VG17&gt;=$D$9,VG17&lt;$D$10),"Desacumulación","-")</f>
        <v>-</v>
      </c>
      <c r="VH16" s="54" t="str">
        <f t="shared" si="43"/>
        <v>-</v>
      </c>
      <c r="VI16" s="54" t="str">
        <f t="shared" si="43"/>
        <v>-</v>
      </c>
      <c r="VJ16" s="54" t="str">
        <f t="shared" si="43"/>
        <v>-</v>
      </c>
      <c r="VK16" s="54" t="str">
        <f t="shared" si="43"/>
        <v>-</v>
      </c>
      <c r="VL16" s="54" t="str">
        <f t="shared" si="43"/>
        <v>-</v>
      </c>
      <c r="VM16" s="54" t="str">
        <f t="shared" si="43"/>
        <v>-</v>
      </c>
      <c r="VN16" s="54" t="str">
        <f t="shared" si="43"/>
        <v>-</v>
      </c>
      <c r="VO16" s="54" t="str">
        <f t="shared" si="43"/>
        <v>-</v>
      </c>
      <c r="VP16" s="54" t="str">
        <f t="shared" si="43"/>
        <v>-</v>
      </c>
      <c r="VQ16" s="54" t="str">
        <f t="shared" si="43"/>
        <v>-</v>
      </c>
      <c r="VR16" s="54" t="str">
        <f t="shared" si="43"/>
        <v>-</v>
      </c>
      <c r="VS16" s="54" t="str">
        <f t="shared" si="43"/>
        <v>-</v>
      </c>
      <c r="VT16" s="54" t="str">
        <f t="shared" si="43"/>
        <v>-</v>
      </c>
      <c r="VU16" s="54" t="str">
        <f t="shared" si="43"/>
        <v>-</v>
      </c>
      <c r="VV16" s="54" t="str">
        <f t="shared" si="43"/>
        <v>-</v>
      </c>
      <c r="VW16" s="54" t="str">
        <f t="shared" si="43"/>
        <v>-</v>
      </c>
      <c r="VX16" s="54" t="str">
        <f t="shared" si="43"/>
        <v>-</v>
      </c>
      <c r="VY16" s="54" t="str">
        <f t="shared" si="43"/>
        <v>-</v>
      </c>
      <c r="VZ16" s="54" t="str">
        <f t="shared" si="43"/>
        <v>-</v>
      </c>
      <c r="WA16" s="54" t="str">
        <f t="shared" si="43"/>
        <v>-</v>
      </c>
      <c r="WB16" s="54" t="str">
        <f t="shared" si="43"/>
        <v>-</v>
      </c>
      <c r="WC16" s="54" t="str">
        <f t="shared" si="43"/>
        <v>-</v>
      </c>
      <c r="WD16" s="54" t="str">
        <f t="shared" si="43"/>
        <v>-</v>
      </c>
      <c r="WE16" s="54" t="str">
        <f t="shared" si="43"/>
        <v>-</v>
      </c>
      <c r="WF16" s="54" t="str">
        <f t="shared" si="43"/>
        <v>-</v>
      </c>
      <c r="WG16" s="54" t="str">
        <f t="shared" si="43"/>
        <v>-</v>
      </c>
      <c r="WH16" s="54" t="str">
        <f t="shared" si="43"/>
        <v>-</v>
      </c>
      <c r="WI16" s="54" t="str">
        <f t="shared" si="43"/>
        <v>-</v>
      </c>
      <c r="WJ16" s="54" t="str">
        <f t="shared" si="43"/>
        <v>-</v>
      </c>
      <c r="WK16" s="54" t="str">
        <f t="shared" si="43"/>
        <v>-</v>
      </c>
      <c r="WL16" s="54" t="str">
        <f t="shared" si="43"/>
        <v>-</v>
      </c>
      <c r="WM16" s="54" t="str">
        <f t="shared" si="43"/>
        <v>-</v>
      </c>
      <c r="WN16" s="54" t="str">
        <f t="shared" si="43"/>
        <v>-</v>
      </c>
      <c r="WO16" s="54" t="str">
        <f t="shared" si="43"/>
        <v>-</v>
      </c>
      <c r="WP16" s="54" t="str">
        <f t="shared" si="43"/>
        <v>-</v>
      </c>
      <c r="WQ16" s="54" t="str">
        <f t="shared" si="43"/>
        <v>-</v>
      </c>
      <c r="WR16" s="54" t="str">
        <f t="shared" si="43"/>
        <v>-</v>
      </c>
      <c r="WS16" s="54" t="str">
        <f t="shared" si="43"/>
        <v>-</v>
      </c>
      <c r="WT16" s="54" t="str">
        <f t="shared" si="43"/>
        <v>-</v>
      </c>
      <c r="WU16" s="54" t="str">
        <f t="shared" si="43"/>
        <v>-</v>
      </c>
      <c r="WV16" s="54" t="str">
        <f t="shared" si="43"/>
        <v>-</v>
      </c>
      <c r="WW16" s="54" t="str">
        <f t="shared" si="43"/>
        <v>-</v>
      </c>
      <c r="WX16" s="54" t="str">
        <f t="shared" si="43"/>
        <v>-</v>
      </c>
      <c r="WY16" s="54" t="str">
        <f t="shared" si="43"/>
        <v>-</v>
      </c>
      <c r="WZ16" s="54" t="str">
        <f t="shared" si="43"/>
        <v>-</v>
      </c>
      <c r="XA16" s="54" t="str">
        <f t="shared" si="43"/>
        <v>-</v>
      </c>
      <c r="XB16" s="54" t="str">
        <f t="shared" si="43"/>
        <v>-</v>
      </c>
      <c r="XC16" s="54" t="str">
        <f t="shared" si="43"/>
        <v>-</v>
      </c>
      <c r="XD16" s="54" t="str">
        <f t="shared" si="43"/>
        <v>-</v>
      </c>
      <c r="XE16" s="54" t="str">
        <f t="shared" si="43"/>
        <v>-</v>
      </c>
      <c r="XF16" s="54" t="str">
        <f t="shared" si="43"/>
        <v>-</v>
      </c>
      <c r="XG16" s="54" t="str">
        <f t="shared" si="43"/>
        <v>-</v>
      </c>
      <c r="XH16" s="54" t="str">
        <f t="shared" si="43"/>
        <v>-</v>
      </c>
      <c r="XI16" s="54" t="str">
        <f t="shared" si="43"/>
        <v>-</v>
      </c>
      <c r="XJ16" s="54" t="str">
        <f t="shared" si="43"/>
        <v>-</v>
      </c>
      <c r="XK16" s="54" t="str">
        <f t="shared" si="43"/>
        <v>-</v>
      </c>
      <c r="XL16" s="54" t="str">
        <f t="shared" si="43"/>
        <v>-</v>
      </c>
      <c r="XM16" s="54" t="str">
        <f t="shared" si="43"/>
        <v>-</v>
      </c>
      <c r="XN16" s="54" t="str">
        <f t="shared" si="43"/>
        <v>-</v>
      </c>
      <c r="XO16" s="54" t="str">
        <f t="shared" si="43"/>
        <v>-</v>
      </c>
      <c r="XP16" s="54" t="str">
        <f t="shared" si="43"/>
        <v>-</v>
      </c>
      <c r="XQ16" s="54" t="str">
        <f t="shared" si="43"/>
        <v>-</v>
      </c>
      <c r="XR16" s="54" t="str">
        <f t="shared" si="43"/>
        <v>-</v>
      </c>
      <c r="XS16" s="54" t="str">
        <f t="shared" ref="XS16:AAD16" si="44">IF(AND(XS17&gt;=$D$9,XS17&lt;$D$10),"Desacumulación","-")</f>
        <v>-</v>
      </c>
      <c r="XT16" s="54" t="str">
        <f t="shared" si="44"/>
        <v>-</v>
      </c>
      <c r="XU16" s="54" t="str">
        <f t="shared" si="44"/>
        <v>-</v>
      </c>
      <c r="XV16" s="54" t="str">
        <f t="shared" si="44"/>
        <v>-</v>
      </c>
      <c r="XW16" s="54" t="str">
        <f t="shared" si="44"/>
        <v>-</v>
      </c>
      <c r="XX16" s="54" t="str">
        <f t="shared" si="44"/>
        <v>-</v>
      </c>
      <c r="XY16" s="54" t="str">
        <f t="shared" si="44"/>
        <v>-</v>
      </c>
      <c r="XZ16" s="54" t="str">
        <f t="shared" si="44"/>
        <v>-</v>
      </c>
      <c r="YA16" s="54" t="str">
        <f t="shared" si="44"/>
        <v>-</v>
      </c>
      <c r="YB16" s="54" t="str">
        <f t="shared" si="44"/>
        <v>-</v>
      </c>
      <c r="YC16" s="54" t="str">
        <f t="shared" si="44"/>
        <v>-</v>
      </c>
      <c r="YD16" s="54" t="str">
        <f t="shared" si="44"/>
        <v>-</v>
      </c>
      <c r="YE16" s="54" t="str">
        <f t="shared" si="44"/>
        <v>-</v>
      </c>
      <c r="YF16" s="54" t="str">
        <f t="shared" si="44"/>
        <v>-</v>
      </c>
      <c r="YG16" s="54" t="str">
        <f t="shared" si="44"/>
        <v>-</v>
      </c>
      <c r="YH16" s="54" t="str">
        <f t="shared" si="44"/>
        <v>-</v>
      </c>
      <c r="YI16" s="54" t="str">
        <f t="shared" si="44"/>
        <v>-</v>
      </c>
      <c r="YJ16" s="54" t="str">
        <f t="shared" si="44"/>
        <v>-</v>
      </c>
      <c r="YK16" s="54" t="str">
        <f t="shared" si="44"/>
        <v>-</v>
      </c>
      <c r="YL16" s="54" t="str">
        <f t="shared" si="44"/>
        <v>-</v>
      </c>
      <c r="YM16" s="54" t="str">
        <f t="shared" si="44"/>
        <v>-</v>
      </c>
      <c r="YN16" s="54" t="str">
        <f t="shared" si="44"/>
        <v>-</v>
      </c>
      <c r="YO16" s="54" t="str">
        <f t="shared" si="44"/>
        <v>-</v>
      </c>
      <c r="YP16" s="54" t="str">
        <f t="shared" si="44"/>
        <v>-</v>
      </c>
      <c r="YQ16" s="54" t="str">
        <f t="shared" si="44"/>
        <v>-</v>
      </c>
      <c r="YR16" s="54" t="str">
        <f t="shared" si="44"/>
        <v>-</v>
      </c>
      <c r="YS16" s="54" t="str">
        <f t="shared" si="44"/>
        <v>-</v>
      </c>
      <c r="YT16" s="54" t="str">
        <f t="shared" si="44"/>
        <v>-</v>
      </c>
      <c r="YU16" s="54" t="str">
        <f t="shared" si="44"/>
        <v>-</v>
      </c>
      <c r="YV16" s="54" t="str">
        <f t="shared" si="44"/>
        <v>-</v>
      </c>
      <c r="YW16" s="54" t="str">
        <f t="shared" si="44"/>
        <v>-</v>
      </c>
      <c r="YX16" s="54" t="str">
        <f t="shared" si="44"/>
        <v>-</v>
      </c>
      <c r="YY16" s="54" t="str">
        <f t="shared" si="44"/>
        <v>-</v>
      </c>
      <c r="YZ16" s="54" t="str">
        <f t="shared" si="44"/>
        <v>-</v>
      </c>
      <c r="ZA16" s="54" t="str">
        <f t="shared" si="44"/>
        <v>-</v>
      </c>
      <c r="ZB16" s="54" t="str">
        <f t="shared" si="44"/>
        <v>-</v>
      </c>
      <c r="ZC16" s="54" t="str">
        <f t="shared" si="44"/>
        <v>-</v>
      </c>
      <c r="ZD16" s="54" t="str">
        <f t="shared" si="44"/>
        <v>-</v>
      </c>
      <c r="ZE16" s="54" t="str">
        <f t="shared" si="44"/>
        <v>-</v>
      </c>
      <c r="ZF16" s="54" t="str">
        <f t="shared" si="44"/>
        <v>-</v>
      </c>
      <c r="ZG16" s="54" t="str">
        <f t="shared" si="44"/>
        <v>-</v>
      </c>
      <c r="ZH16" s="54" t="str">
        <f t="shared" si="44"/>
        <v>-</v>
      </c>
      <c r="ZI16" s="54" t="str">
        <f t="shared" si="44"/>
        <v>-</v>
      </c>
      <c r="ZJ16" s="54" t="str">
        <f t="shared" si="44"/>
        <v>-</v>
      </c>
      <c r="ZK16" s="54" t="str">
        <f t="shared" si="44"/>
        <v>-</v>
      </c>
      <c r="ZL16" s="54" t="str">
        <f t="shared" si="44"/>
        <v>-</v>
      </c>
      <c r="ZM16" s="54" t="str">
        <f t="shared" si="44"/>
        <v>-</v>
      </c>
      <c r="ZN16" s="54" t="str">
        <f t="shared" si="44"/>
        <v>-</v>
      </c>
      <c r="ZO16" s="54" t="str">
        <f t="shared" si="44"/>
        <v>-</v>
      </c>
      <c r="ZP16" s="54" t="str">
        <f t="shared" si="44"/>
        <v>-</v>
      </c>
      <c r="ZQ16" s="54" t="str">
        <f t="shared" si="44"/>
        <v>-</v>
      </c>
      <c r="ZR16" s="54" t="str">
        <f t="shared" si="44"/>
        <v>-</v>
      </c>
      <c r="ZS16" s="54" t="str">
        <f t="shared" si="44"/>
        <v>-</v>
      </c>
      <c r="ZT16" s="54" t="str">
        <f t="shared" si="44"/>
        <v>-</v>
      </c>
      <c r="ZU16" s="54" t="str">
        <f t="shared" si="44"/>
        <v>-</v>
      </c>
      <c r="ZV16" s="54" t="str">
        <f t="shared" si="44"/>
        <v>-</v>
      </c>
      <c r="ZW16" s="54" t="str">
        <f t="shared" si="44"/>
        <v>-</v>
      </c>
      <c r="ZX16" s="54" t="str">
        <f t="shared" si="44"/>
        <v>-</v>
      </c>
      <c r="ZY16" s="54" t="str">
        <f t="shared" si="44"/>
        <v>-</v>
      </c>
      <c r="ZZ16" s="54" t="str">
        <f t="shared" si="44"/>
        <v>-</v>
      </c>
      <c r="AAA16" s="54" t="str">
        <f t="shared" si="44"/>
        <v>-</v>
      </c>
      <c r="AAB16" s="54" t="str">
        <f t="shared" si="44"/>
        <v>-</v>
      </c>
      <c r="AAC16" s="54" t="str">
        <f t="shared" si="44"/>
        <v>-</v>
      </c>
      <c r="AAD16" s="54" t="str">
        <f t="shared" si="44"/>
        <v>-</v>
      </c>
      <c r="AAE16" s="54" t="str">
        <f t="shared" ref="AAE16:ACP16" si="45">IF(AND(AAE17&gt;=$D$9,AAE17&lt;$D$10),"Desacumulación","-")</f>
        <v>-</v>
      </c>
      <c r="AAF16" s="54" t="str">
        <f t="shared" si="45"/>
        <v>-</v>
      </c>
      <c r="AAG16" s="54" t="str">
        <f t="shared" si="45"/>
        <v>-</v>
      </c>
      <c r="AAH16" s="54" t="str">
        <f t="shared" si="45"/>
        <v>-</v>
      </c>
      <c r="AAI16" s="54" t="str">
        <f t="shared" si="45"/>
        <v>Desacumulación</v>
      </c>
      <c r="AAJ16" s="54" t="str">
        <f t="shared" si="45"/>
        <v>Desacumulación</v>
      </c>
      <c r="AAK16" s="54" t="str">
        <f t="shared" si="45"/>
        <v>Desacumulación</v>
      </c>
      <c r="AAL16" s="54" t="str">
        <f t="shared" si="45"/>
        <v>Desacumulación</v>
      </c>
      <c r="AAM16" s="54" t="str">
        <f t="shared" si="45"/>
        <v>Desacumulación</v>
      </c>
      <c r="AAN16" s="54" t="str">
        <f t="shared" si="45"/>
        <v>Desacumulación</v>
      </c>
      <c r="AAO16" s="54" t="str">
        <f t="shared" si="45"/>
        <v>Desacumulación</v>
      </c>
      <c r="AAP16" s="54" t="str">
        <f t="shared" si="45"/>
        <v>Desacumulación</v>
      </c>
      <c r="AAQ16" s="54" t="str">
        <f t="shared" si="45"/>
        <v>Desacumulación</v>
      </c>
      <c r="AAR16" s="54" t="str">
        <f t="shared" si="45"/>
        <v>Desacumulación</v>
      </c>
      <c r="AAS16" s="54" t="str">
        <f t="shared" si="45"/>
        <v>Desacumulación</v>
      </c>
      <c r="AAT16" s="54" t="str">
        <f t="shared" si="45"/>
        <v>Desacumulación</v>
      </c>
      <c r="AAU16" s="54" t="str">
        <f t="shared" si="45"/>
        <v>Desacumulación</v>
      </c>
      <c r="AAV16" s="54" t="str">
        <f t="shared" si="45"/>
        <v>Desacumulación</v>
      </c>
      <c r="AAW16" s="54" t="str">
        <f t="shared" si="45"/>
        <v>Desacumulación</v>
      </c>
      <c r="AAX16" s="54" t="str">
        <f t="shared" si="45"/>
        <v>Desacumulación</v>
      </c>
      <c r="AAY16" s="54" t="str">
        <f t="shared" si="45"/>
        <v>Desacumulación</v>
      </c>
      <c r="AAZ16" s="54" t="str">
        <f t="shared" si="45"/>
        <v>Desacumulación</v>
      </c>
      <c r="ABA16" s="54" t="str">
        <f t="shared" si="45"/>
        <v>Desacumulación</v>
      </c>
      <c r="ABB16" s="54" t="str">
        <f t="shared" si="45"/>
        <v>Desacumulación</v>
      </c>
      <c r="ABC16" s="54" t="str">
        <f t="shared" si="45"/>
        <v>Desacumulación</v>
      </c>
      <c r="ABD16" s="54" t="str">
        <f t="shared" si="45"/>
        <v>Desacumulación</v>
      </c>
      <c r="ABE16" s="54" t="str">
        <f t="shared" si="45"/>
        <v>Desacumulación</v>
      </c>
      <c r="ABF16" s="54" t="str">
        <f t="shared" si="45"/>
        <v>Desacumulación</v>
      </c>
      <c r="ABG16" s="54" t="str">
        <f t="shared" si="45"/>
        <v>Desacumulación</v>
      </c>
      <c r="ABH16" s="54" t="str">
        <f t="shared" si="45"/>
        <v>Desacumulación</v>
      </c>
      <c r="ABI16" s="54" t="str">
        <f t="shared" si="45"/>
        <v>Desacumulación</v>
      </c>
      <c r="ABJ16" s="54" t="str">
        <f t="shared" si="45"/>
        <v>Desacumulación</v>
      </c>
      <c r="ABK16" s="54" t="str">
        <f t="shared" si="45"/>
        <v>Desacumulación</v>
      </c>
      <c r="ABL16" s="54" t="str">
        <f t="shared" si="45"/>
        <v>Desacumulación</v>
      </c>
      <c r="ABM16" s="54" t="str">
        <f t="shared" si="45"/>
        <v>Desacumulación</v>
      </c>
      <c r="ABN16" s="54" t="str">
        <f t="shared" si="45"/>
        <v>Desacumulación</v>
      </c>
      <c r="ABO16" s="54" t="str">
        <f t="shared" si="45"/>
        <v>Desacumulación</v>
      </c>
      <c r="ABP16" s="54" t="str">
        <f t="shared" si="45"/>
        <v>Desacumulación</v>
      </c>
      <c r="ABQ16" s="54" t="str">
        <f t="shared" si="45"/>
        <v>Desacumulación</v>
      </c>
      <c r="ABR16" s="54" t="str">
        <f t="shared" si="45"/>
        <v>Desacumulación</v>
      </c>
      <c r="ABS16" s="54" t="str">
        <f t="shared" si="45"/>
        <v>Desacumulación</v>
      </c>
      <c r="ABT16" s="54" t="str">
        <f t="shared" si="45"/>
        <v>Desacumulación</v>
      </c>
      <c r="ABU16" s="54" t="str">
        <f t="shared" si="45"/>
        <v>Desacumulación</v>
      </c>
      <c r="ABV16" s="54" t="str">
        <f t="shared" si="45"/>
        <v>Desacumulación</v>
      </c>
      <c r="ABW16" s="54" t="str">
        <f t="shared" si="45"/>
        <v>Desacumulación</v>
      </c>
      <c r="ABX16" s="54" t="str">
        <f t="shared" si="45"/>
        <v>Desacumulación</v>
      </c>
      <c r="ABY16" s="54" t="str">
        <f t="shared" si="45"/>
        <v>Desacumulación</v>
      </c>
      <c r="ABZ16" s="54" t="str">
        <f t="shared" si="45"/>
        <v>Desacumulación</v>
      </c>
      <c r="ACA16" s="54" t="str">
        <f t="shared" si="45"/>
        <v>Desacumulación</v>
      </c>
      <c r="ACB16" s="54" t="str">
        <f t="shared" si="45"/>
        <v>Desacumulación</v>
      </c>
      <c r="ACC16" s="54" t="str">
        <f t="shared" si="45"/>
        <v>Desacumulación</v>
      </c>
      <c r="ACD16" s="54" t="str">
        <f t="shared" si="45"/>
        <v>Desacumulación</v>
      </c>
      <c r="ACE16" s="54" t="str">
        <f t="shared" si="45"/>
        <v>Desacumulación</v>
      </c>
      <c r="ACF16" s="54" t="str">
        <f t="shared" si="45"/>
        <v>Desacumulación</v>
      </c>
      <c r="ACG16" s="54" t="str">
        <f t="shared" si="45"/>
        <v>Desacumulación</v>
      </c>
      <c r="ACH16" s="54" t="str">
        <f t="shared" si="45"/>
        <v>Desacumulación</v>
      </c>
      <c r="ACI16" s="54" t="str">
        <f t="shared" si="45"/>
        <v>Desacumulación</v>
      </c>
      <c r="ACJ16" s="54" t="str">
        <f t="shared" si="45"/>
        <v>Desacumulación</v>
      </c>
      <c r="ACK16" s="54" t="str">
        <f t="shared" si="45"/>
        <v>Desacumulación</v>
      </c>
      <c r="ACL16" s="54" t="str">
        <f t="shared" si="45"/>
        <v>Desacumulación</v>
      </c>
      <c r="ACM16" s="54" t="str">
        <f t="shared" si="45"/>
        <v>Desacumulación</v>
      </c>
      <c r="ACN16" s="54" t="str">
        <f t="shared" si="45"/>
        <v>Desacumulación</v>
      </c>
      <c r="ACO16" s="54" t="str">
        <f t="shared" si="45"/>
        <v>Desacumulación</v>
      </c>
      <c r="ACP16" s="54" t="str">
        <f t="shared" si="45"/>
        <v>Desacumulación</v>
      </c>
      <c r="ACQ16" s="54" t="str">
        <f t="shared" ref="ACQ16:AFB16" si="46">IF(AND(ACQ17&gt;=$D$9,ACQ17&lt;$D$10),"Desacumulación","-")</f>
        <v>Desacumulación</v>
      </c>
      <c r="ACR16" s="54" t="str">
        <f t="shared" si="46"/>
        <v>Desacumulación</v>
      </c>
      <c r="ACS16" s="54" t="str">
        <f t="shared" si="46"/>
        <v>Desacumulación</v>
      </c>
      <c r="ACT16" s="54" t="str">
        <f t="shared" si="46"/>
        <v>Desacumulación</v>
      </c>
      <c r="ACU16" s="54" t="str">
        <f t="shared" si="46"/>
        <v>Desacumulación</v>
      </c>
      <c r="ACV16" s="54" t="str">
        <f t="shared" si="46"/>
        <v>Desacumulación</v>
      </c>
      <c r="ACW16" s="54" t="str">
        <f t="shared" si="46"/>
        <v>Desacumulación</v>
      </c>
      <c r="ACX16" s="54" t="str">
        <f t="shared" si="46"/>
        <v>Desacumulación</v>
      </c>
      <c r="ACY16" s="54" t="str">
        <f t="shared" si="46"/>
        <v>Desacumulación</v>
      </c>
      <c r="ACZ16" s="54" t="str">
        <f t="shared" si="46"/>
        <v>Desacumulación</v>
      </c>
      <c r="ADA16" s="54" t="str">
        <f t="shared" si="46"/>
        <v>Desacumulación</v>
      </c>
      <c r="ADB16" s="54" t="str">
        <f t="shared" si="46"/>
        <v>Desacumulación</v>
      </c>
      <c r="ADC16" s="54" t="str">
        <f t="shared" si="46"/>
        <v>Desacumulación</v>
      </c>
      <c r="ADD16" s="54" t="str">
        <f t="shared" si="46"/>
        <v>Desacumulación</v>
      </c>
      <c r="ADE16" s="54" t="str">
        <f t="shared" si="46"/>
        <v>Desacumulación</v>
      </c>
      <c r="ADF16" s="54" t="str">
        <f t="shared" si="46"/>
        <v>Desacumulación</v>
      </c>
      <c r="ADG16" s="54" t="str">
        <f t="shared" si="46"/>
        <v>Desacumulación</v>
      </c>
      <c r="ADH16" s="54" t="str">
        <f t="shared" si="46"/>
        <v>Desacumulación</v>
      </c>
      <c r="ADI16" s="54" t="str">
        <f t="shared" si="46"/>
        <v>Desacumulación</v>
      </c>
      <c r="ADJ16" s="54" t="str">
        <f t="shared" si="46"/>
        <v>Desacumulación</v>
      </c>
      <c r="ADK16" s="54" t="str">
        <f t="shared" si="46"/>
        <v>Desacumulación</v>
      </c>
      <c r="ADL16" s="54" t="str">
        <f t="shared" si="46"/>
        <v>Desacumulación</v>
      </c>
      <c r="ADM16" s="54" t="str">
        <f t="shared" si="46"/>
        <v>Desacumulación</v>
      </c>
      <c r="ADN16" s="54" t="str">
        <f t="shared" si="46"/>
        <v>Desacumulación</v>
      </c>
      <c r="ADO16" s="54" t="str">
        <f t="shared" si="46"/>
        <v>Desacumulación</v>
      </c>
      <c r="ADP16" s="54" t="str">
        <f t="shared" si="46"/>
        <v>Desacumulación</v>
      </c>
      <c r="ADQ16" s="54" t="str">
        <f t="shared" si="46"/>
        <v>Desacumulación</v>
      </c>
      <c r="ADR16" s="54" t="str">
        <f t="shared" si="46"/>
        <v>Desacumulación</v>
      </c>
      <c r="ADS16" s="54" t="str">
        <f t="shared" si="46"/>
        <v>Desacumulación</v>
      </c>
      <c r="ADT16" s="54" t="str">
        <f t="shared" si="46"/>
        <v>Desacumulación</v>
      </c>
      <c r="ADU16" s="54" t="str">
        <f t="shared" si="46"/>
        <v>Desacumulación</v>
      </c>
      <c r="ADV16" s="54" t="str">
        <f t="shared" si="46"/>
        <v>Desacumulación</v>
      </c>
      <c r="ADW16" s="54" t="str">
        <f t="shared" si="46"/>
        <v>Desacumulación</v>
      </c>
      <c r="ADX16" s="54" t="str">
        <f t="shared" si="46"/>
        <v>Desacumulación</v>
      </c>
      <c r="ADY16" s="54" t="str">
        <f t="shared" si="46"/>
        <v>Desacumulación</v>
      </c>
      <c r="ADZ16" s="54" t="str">
        <f t="shared" si="46"/>
        <v>Desacumulación</v>
      </c>
      <c r="AEA16" s="54" t="str">
        <f t="shared" si="46"/>
        <v>Desacumulación</v>
      </c>
      <c r="AEB16" s="54" t="str">
        <f t="shared" si="46"/>
        <v>Desacumulación</v>
      </c>
      <c r="AEC16" s="54" t="str">
        <f t="shared" si="46"/>
        <v>Desacumulación</v>
      </c>
      <c r="AED16" s="54" t="str">
        <f t="shared" si="46"/>
        <v>Desacumulación</v>
      </c>
      <c r="AEE16" s="54" t="str">
        <f t="shared" si="46"/>
        <v>Desacumulación</v>
      </c>
      <c r="AEF16" s="54" t="str">
        <f t="shared" si="46"/>
        <v>Desacumulación</v>
      </c>
      <c r="AEG16" s="54" t="str">
        <f t="shared" si="46"/>
        <v>Desacumulación</v>
      </c>
      <c r="AEH16" s="54" t="str">
        <f t="shared" si="46"/>
        <v>Desacumulación</v>
      </c>
      <c r="AEI16" s="54" t="str">
        <f t="shared" si="46"/>
        <v>Desacumulación</v>
      </c>
      <c r="AEJ16" s="54" t="str">
        <f t="shared" si="46"/>
        <v>Desacumulación</v>
      </c>
      <c r="AEK16" s="54" t="str">
        <f t="shared" si="46"/>
        <v>Desacumulación</v>
      </c>
      <c r="AEL16" s="54" t="str">
        <f t="shared" si="46"/>
        <v>Desacumulación</v>
      </c>
      <c r="AEM16" s="54" t="str">
        <f t="shared" si="46"/>
        <v>Desacumulación</v>
      </c>
      <c r="AEN16" s="54" t="str">
        <f t="shared" si="46"/>
        <v>Desacumulación</v>
      </c>
      <c r="AEO16" s="54" t="str">
        <f t="shared" si="46"/>
        <v>Desacumulación</v>
      </c>
      <c r="AEP16" s="54" t="str">
        <f t="shared" si="46"/>
        <v>Desacumulación</v>
      </c>
      <c r="AEQ16" s="54" t="str">
        <f t="shared" si="46"/>
        <v>Desacumulación</v>
      </c>
      <c r="AER16" s="54" t="str">
        <f t="shared" si="46"/>
        <v>Desacumulación</v>
      </c>
      <c r="AES16" s="54" t="str">
        <f t="shared" si="46"/>
        <v>Desacumulación</v>
      </c>
      <c r="AET16" s="54" t="str">
        <f t="shared" si="46"/>
        <v>Desacumulación</v>
      </c>
      <c r="AEU16" s="54" t="str">
        <f t="shared" si="46"/>
        <v>Desacumulación</v>
      </c>
      <c r="AEV16" s="54" t="str">
        <f t="shared" si="46"/>
        <v>Desacumulación</v>
      </c>
      <c r="AEW16" s="54" t="str">
        <f t="shared" si="46"/>
        <v>Desacumulación</v>
      </c>
      <c r="AEX16" s="54" t="str">
        <f t="shared" si="46"/>
        <v>Desacumulación</v>
      </c>
      <c r="AEY16" s="54" t="str">
        <f t="shared" si="46"/>
        <v>Desacumulación</v>
      </c>
      <c r="AEZ16" s="54" t="str">
        <f t="shared" si="46"/>
        <v>Desacumulación</v>
      </c>
      <c r="AFA16" s="54" t="str">
        <f t="shared" si="46"/>
        <v>Desacumulación</v>
      </c>
      <c r="AFB16" s="54" t="str">
        <f t="shared" si="46"/>
        <v>Desacumulación</v>
      </c>
      <c r="AFC16" s="54" t="str">
        <f t="shared" ref="AFC16:AHN16" si="47">IF(AND(AFC17&gt;=$D$9,AFC17&lt;$D$10),"Desacumulación","-")</f>
        <v>Desacumulación</v>
      </c>
      <c r="AFD16" s="54" t="str">
        <f t="shared" si="47"/>
        <v>Desacumulación</v>
      </c>
      <c r="AFE16" s="54" t="str">
        <f t="shared" si="47"/>
        <v>Desacumulación</v>
      </c>
      <c r="AFF16" s="54" t="str">
        <f t="shared" si="47"/>
        <v>Desacumulación</v>
      </c>
      <c r="AFG16" s="54" t="str">
        <f t="shared" si="47"/>
        <v>Desacumulación</v>
      </c>
      <c r="AFH16" s="54" t="str">
        <f t="shared" si="47"/>
        <v>Desacumulación</v>
      </c>
      <c r="AFI16" s="54" t="str">
        <f t="shared" si="47"/>
        <v>Desacumulación</v>
      </c>
      <c r="AFJ16" s="54" t="str">
        <f t="shared" si="47"/>
        <v>Desacumulación</v>
      </c>
      <c r="AFK16" s="54" t="str">
        <f t="shared" si="47"/>
        <v>Desacumulación</v>
      </c>
      <c r="AFL16" s="54" t="str">
        <f t="shared" si="47"/>
        <v>Desacumulación</v>
      </c>
      <c r="AFM16" s="54" t="str">
        <f t="shared" si="47"/>
        <v>Desacumulación</v>
      </c>
      <c r="AFN16" s="54" t="str">
        <f t="shared" si="47"/>
        <v>Desacumulación</v>
      </c>
      <c r="AFO16" s="54" t="str">
        <f t="shared" si="47"/>
        <v>Desacumulación</v>
      </c>
      <c r="AFP16" s="54" t="str">
        <f t="shared" si="47"/>
        <v>Desacumulación</v>
      </c>
      <c r="AFQ16" s="54" t="str">
        <f t="shared" si="47"/>
        <v>Desacumulación</v>
      </c>
      <c r="AFR16" s="54" t="str">
        <f t="shared" si="47"/>
        <v>Desacumulación</v>
      </c>
      <c r="AFS16" s="54" t="str">
        <f t="shared" si="47"/>
        <v>Desacumulación</v>
      </c>
      <c r="AFT16" s="54" t="str">
        <f t="shared" si="47"/>
        <v>Desacumulación</v>
      </c>
      <c r="AFU16" s="54" t="str">
        <f t="shared" si="47"/>
        <v>Desacumulación</v>
      </c>
      <c r="AFV16" s="54" t="str">
        <f t="shared" si="47"/>
        <v>Desacumulación</v>
      </c>
      <c r="AFW16" s="54" t="str">
        <f t="shared" si="47"/>
        <v>Desacumulación</v>
      </c>
      <c r="AFX16" s="54" t="str">
        <f t="shared" si="47"/>
        <v>Desacumulación</v>
      </c>
      <c r="AFY16" s="54" t="str">
        <f t="shared" si="47"/>
        <v>Desacumulación</v>
      </c>
      <c r="AFZ16" s="54" t="str">
        <f t="shared" si="47"/>
        <v>Desacumulación</v>
      </c>
      <c r="AGA16" s="54" t="str">
        <f t="shared" si="47"/>
        <v>Desacumulación</v>
      </c>
      <c r="AGB16" s="54" t="str">
        <f t="shared" si="47"/>
        <v>Desacumulación</v>
      </c>
      <c r="AGC16" s="54" t="str">
        <f t="shared" si="47"/>
        <v>Desacumulación</v>
      </c>
      <c r="AGD16" s="54" t="str">
        <f t="shared" si="47"/>
        <v>Desacumulación</v>
      </c>
      <c r="AGE16" s="54" t="str">
        <f t="shared" si="47"/>
        <v>Desacumulación</v>
      </c>
      <c r="AGF16" s="54" t="str">
        <f t="shared" si="47"/>
        <v>Desacumulación</v>
      </c>
      <c r="AGG16" s="54" t="str">
        <f t="shared" si="47"/>
        <v>Desacumulación</v>
      </c>
      <c r="AGH16" s="54" t="str">
        <f t="shared" si="47"/>
        <v>Desacumulación</v>
      </c>
      <c r="AGI16" s="54" t="str">
        <f t="shared" si="47"/>
        <v>Desacumulación</v>
      </c>
      <c r="AGJ16" s="54" t="str">
        <f t="shared" si="47"/>
        <v>Desacumulación</v>
      </c>
      <c r="AGK16" s="54" t="str">
        <f t="shared" si="47"/>
        <v>Desacumulación</v>
      </c>
      <c r="AGL16" s="54" t="str">
        <f t="shared" si="47"/>
        <v>Desacumulación</v>
      </c>
      <c r="AGM16" s="54" t="str">
        <f t="shared" si="47"/>
        <v>Desacumulación</v>
      </c>
      <c r="AGN16" s="54" t="str">
        <f t="shared" si="47"/>
        <v>Desacumulación</v>
      </c>
      <c r="AGO16" s="54" t="str">
        <f t="shared" si="47"/>
        <v>Desacumulación</v>
      </c>
      <c r="AGP16" s="54" t="str">
        <f t="shared" si="47"/>
        <v>Desacumulación</v>
      </c>
      <c r="AGQ16" s="54" t="str">
        <f t="shared" si="47"/>
        <v>Desacumulación</v>
      </c>
      <c r="AGR16" s="54" t="str">
        <f t="shared" si="47"/>
        <v>Desacumulación</v>
      </c>
      <c r="AGS16" s="54" t="str">
        <f t="shared" si="47"/>
        <v>Desacumulación</v>
      </c>
      <c r="AGT16" s="54" t="str">
        <f t="shared" si="47"/>
        <v>Desacumulación</v>
      </c>
      <c r="AGU16" s="54" t="str">
        <f t="shared" si="47"/>
        <v>Desacumulación</v>
      </c>
      <c r="AGV16" s="54" t="str">
        <f t="shared" si="47"/>
        <v>Desacumulación</v>
      </c>
      <c r="AGW16" s="54" t="str">
        <f t="shared" si="47"/>
        <v>Desacumulación</v>
      </c>
      <c r="AGX16" s="54" t="str">
        <f t="shared" si="47"/>
        <v>Desacumulación</v>
      </c>
      <c r="AGY16" s="54" t="str">
        <f t="shared" si="47"/>
        <v>Desacumulación</v>
      </c>
      <c r="AGZ16" s="54" t="str">
        <f t="shared" si="47"/>
        <v>Desacumulación</v>
      </c>
      <c r="AHA16" s="54" t="str">
        <f t="shared" si="47"/>
        <v>Desacumulación</v>
      </c>
      <c r="AHB16" s="54" t="str">
        <f t="shared" si="47"/>
        <v>Desacumulación</v>
      </c>
      <c r="AHC16" s="54" t="str">
        <f t="shared" si="47"/>
        <v>Desacumulación</v>
      </c>
      <c r="AHD16" s="54" t="str">
        <f t="shared" si="47"/>
        <v>Desacumulación</v>
      </c>
      <c r="AHE16" s="54" t="str">
        <f t="shared" si="47"/>
        <v>Desacumulación</v>
      </c>
      <c r="AHF16" s="54" t="str">
        <f t="shared" si="47"/>
        <v>Desacumulación</v>
      </c>
      <c r="AHG16" s="54" t="str">
        <f t="shared" si="47"/>
        <v>Desacumulación</v>
      </c>
      <c r="AHH16" s="54" t="str">
        <f t="shared" si="47"/>
        <v>Desacumulación</v>
      </c>
      <c r="AHI16" s="54" t="str">
        <f t="shared" si="47"/>
        <v>Desacumulación</v>
      </c>
      <c r="AHJ16" s="54" t="str">
        <f t="shared" si="47"/>
        <v>Desacumulación</v>
      </c>
      <c r="AHK16" s="54" t="str">
        <f t="shared" si="47"/>
        <v>Desacumulación</v>
      </c>
      <c r="AHL16" s="54" t="str">
        <f t="shared" si="47"/>
        <v>Desacumulación</v>
      </c>
      <c r="AHM16" s="54" t="str">
        <f t="shared" si="47"/>
        <v>Desacumulación</v>
      </c>
      <c r="AHN16" s="54" t="str">
        <f t="shared" si="47"/>
        <v>Desacumulación</v>
      </c>
      <c r="AHO16" s="54" t="str">
        <f t="shared" ref="AHO16:AJZ16" si="48">IF(AND(AHO17&gt;=$D$9,AHO17&lt;$D$10),"Desacumulación","-")</f>
        <v>Desacumulación</v>
      </c>
      <c r="AHP16" s="54" t="str">
        <f t="shared" si="48"/>
        <v>Desacumulación</v>
      </c>
      <c r="AHQ16" s="54" t="str">
        <f t="shared" si="48"/>
        <v>Desacumulación</v>
      </c>
      <c r="AHR16" s="54" t="str">
        <f t="shared" si="48"/>
        <v>Desacumulación</v>
      </c>
      <c r="AHS16" s="54" t="str">
        <f t="shared" si="48"/>
        <v>Desacumulación</v>
      </c>
      <c r="AHT16" s="54" t="str">
        <f t="shared" si="48"/>
        <v>Desacumulación</v>
      </c>
      <c r="AHU16" s="54" t="str">
        <f t="shared" si="48"/>
        <v>Desacumulación</v>
      </c>
      <c r="AHV16" s="54" t="str">
        <f t="shared" si="48"/>
        <v>Desacumulación</v>
      </c>
      <c r="AHW16" s="54" t="str">
        <f t="shared" si="48"/>
        <v>Desacumulación</v>
      </c>
      <c r="AHX16" s="54" t="str">
        <f t="shared" si="48"/>
        <v>Desacumulación</v>
      </c>
      <c r="AHY16" s="54" t="str">
        <f t="shared" si="48"/>
        <v>Desacumulación</v>
      </c>
      <c r="AHZ16" s="54" t="str">
        <f t="shared" si="48"/>
        <v>Desacumulación</v>
      </c>
      <c r="AIA16" s="54" t="str">
        <f t="shared" si="48"/>
        <v>Desacumulación</v>
      </c>
      <c r="AIB16" s="54" t="str">
        <f t="shared" si="48"/>
        <v>Desacumulación</v>
      </c>
      <c r="AIC16" s="54" t="str">
        <f t="shared" si="48"/>
        <v>Desacumulación</v>
      </c>
      <c r="AID16" s="54" t="str">
        <f t="shared" si="48"/>
        <v>Desacumulación</v>
      </c>
      <c r="AIE16" s="54" t="str">
        <f t="shared" si="48"/>
        <v>Desacumulación</v>
      </c>
      <c r="AIF16" s="54" t="str">
        <f t="shared" si="48"/>
        <v>Desacumulación</v>
      </c>
      <c r="AIG16" s="54" t="str">
        <f t="shared" si="48"/>
        <v>Desacumulación</v>
      </c>
      <c r="AIH16" s="54" t="str">
        <f t="shared" si="48"/>
        <v>Desacumulación</v>
      </c>
      <c r="AII16" s="54" t="str">
        <f t="shared" si="48"/>
        <v>Desacumulación</v>
      </c>
      <c r="AIJ16" s="54" t="str">
        <f t="shared" si="48"/>
        <v>Desacumulación</v>
      </c>
      <c r="AIK16" s="54" t="str">
        <f t="shared" si="48"/>
        <v>Desacumulación</v>
      </c>
      <c r="AIL16" s="54" t="str">
        <f t="shared" si="48"/>
        <v>Desacumulación</v>
      </c>
      <c r="AIM16" s="54" t="str">
        <f t="shared" si="48"/>
        <v>Desacumulación</v>
      </c>
      <c r="AIN16" s="54" t="str">
        <f t="shared" si="48"/>
        <v>Desacumulación</v>
      </c>
      <c r="AIO16" s="54" t="str">
        <f t="shared" si="48"/>
        <v>Desacumulación</v>
      </c>
      <c r="AIP16" s="54" t="str">
        <f t="shared" si="48"/>
        <v>Desacumulación</v>
      </c>
      <c r="AIQ16" s="54" t="str">
        <f t="shared" si="48"/>
        <v>Desacumulación</v>
      </c>
      <c r="AIR16" s="54" t="str">
        <f t="shared" si="48"/>
        <v>Desacumulación</v>
      </c>
      <c r="AIS16" s="54" t="str">
        <f t="shared" si="48"/>
        <v>Desacumulación</v>
      </c>
      <c r="AIT16" s="54" t="str">
        <f t="shared" si="48"/>
        <v>Desacumulación</v>
      </c>
      <c r="AIU16" s="54" t="str">
        <f t="shared" si="48"/>
        <v>Desacumulación</v>
      </c>
      <c r="AIV16" s="54" t="str">
        <f t="shared" si="48"/>
        <v>Desacumulación</v>
      </c>
      <c r="AIW16" s="54" t="str">
        <f t="shared" si="48"/>
        <v>Desacumulación</v>
      </c>
      <c r="AIX16" s="54" t="str">
        <f t="shared" si="48"/>
        <v>Desacumulación</v>
      </c>
      <c r="AIY16" s="54" t="str">
        <f t="shared" si="48"/>
        <v>Desacumulación</v>
      </c>
      <c r="AIZ16" s="54" t="str">
        <f t="shared" si="48"/>
        <v>Desacumulación</v>
      </c>
      <c r="AJA16" s="54" t="str">
        <f t="shared" si="48"/>
        <v>Desacumulación</v>
      </c>
      <c r="AJB16" s="54" t="str">
        <f t="shared" si="48"/>
        <v>Desacumulación</v>
      </c>
      <c r="AJC16" s="54" t="str">
        <f t="shared" si="48"/>
        <v>Desacumulación</v>
      </c>
      <c r="AJD16" s="54" t="str">
        <f t="shared" si="48"/>
        <v>Desacumulación</v>
      </c>
      <c r="AJE16" s="54" t="str">
        <f t="shared" si="48"/>
        <v>Desacumulación</v>
      </c>
      <c r="AJF16" s="54" t="str">
        <f t="shared" si="48"/>
        <v>Desacumulación</v>
      </c>
      <c r="AJG16" s="54" t="str">
        <f t="shared" si="48"/>
        <v>Desacumulación</v>
      </c>
      <c r="AJH16" s="54" t="str">
        <f t="shared" si="48"/>
        <v>Desacumulación</v>
      </c>
      <c r="AJI16" s="54" t="str">
        <f t="shared" si="48"/>
        <v>Desacumulación</v>
      </c>
      <c r="AJJ16" s="54" t="str">
        <f t="shared" si="48"/>
        <v>Desacumulación</v>
      </c>
      <c r="AJK16" s="54" t="str">
        <f t="shared" si="48"/>
        <v>Desacumulación</v>
      </c>
      <c r="AJL16" s="54" t="str">
        <f t="shared" si="48"/>
        <v>Desacumulación</v>
      </c>
      <c r="AJM16" s="54" t="str">
        <f t="shared" si="48"/>
        <v>Desacumulación</v>
      </c>
      <c r="AJN16" s="54" t="str">
        <f t="shared" si="48"/>
        <v>Desacumulación</v>
      </c>
      <c r="AJO16" s="54" t="str">
        <f t="shared" si="48"/>
        <v>Desacumulación</v>
      </c>
      <c r="AJP16" s="54" t="str">
        <f t="shared" si="48"/>
        <v>Desacumulación</v>
      </c>
      <c r="AJQ16" s="54" t="str">
        <f t="shared" si="48"/>
        <v>Desacumulación</v>
      </c>
      <c r="AJR16" s="54" t="str">
        <f t="shared" si="48"/>
        <v>Desacumulación</v>
      </c>
      <c r="AJS16" s="54" t="str">
        <f t="shared" si="48"/>
        <v>Desacumulación</v>
      </c>
      <c r="AJT16" s="54" t="str">
        <f t="shared" si="48"/>
        <v>Desacumulación</v>
      </c>
      <c r="AJU16" s="54" t="str">
        <f t="shared" si="48"/>
        <v>Desacumulación</v>
      </c>
      <c r="AJV16" s="54" t="str">
        <f t="shared" si="48"/>
        <v>Desacumulación</v>
      </c>
      <c r="AJW16" s="54" t="str">
        <f t="shared" si="48"/>
        <v>Desacumulación</v>
      </c>
      <c r="AJX16" s="54" t="str">
        <f t="shared" si="48"/>
        <v>Desacumulación</v>
      </c>
      <c r="AJY16" s="54" t="str">
        <f t="shared" si="48"/>
        <v>Desacumulación</v>
      </c>
      <c r="AJZ16" s="54" t="str">
        <f t="shared" si="48"/>
        <v>Desacumulación</v>
      </c>
      <c r="AKA16" s="54" t="str">
        <f t="shared" ref="AKA16:AML16" si="49">IF(AND(AKA17&gt;=$D$9,AKA17&lt;$D$10),"Desacumulación","-")</f>
        <v>Desacumulación</v>
      </c>
      <c r="AKB16" s="54" t="str">
        <f t="shared" si="49"/>
        <v>Desacumulación</v>
      </c>
      <c r="AKC16" s="54" t="str">
        <f t="shared" si="49"/>
        <v>Desacumulación</v>
      </c>
      <c r="AKD16" s="54" t="str">
        <f t="shared" si="49"/>
        <v>Desacumulación</v>
      </c>
      <c r="AKE16" s="54" t="str">
        <f t="shared" si="49"/>
        <v>Desacumulación</v>
      </c>
      <c r="AKF16" s="54" t="str">
        <f t="shared" si="49"/>
        <v>Desacumulación</v>
      </c>
      <c r="AKG16" s="54" t="str">
        <f t="shared" si="49"/>
        <v>Desacumulación</v>
      </c>
      <c r="AKH16" s="54" t="str">
        <f t="shared" si="49"/>
        <v>Desacumulación</v>
      </c>
      <c r="AKI16" s="54" t="str">
        <f t="shared" si="49"/>
        <v>Desacumulación</v>
      </c>
      <c r="AKJ16" s="54" t="str">
        <f t="shared" si="49"/>
        <v>Desacumulación</v>
      </c>
      <c r="AKK16" s="54" t="str">
        <f t="shared" si="49"/>
        <v>Desacumulación</v>
      </c>
      <c r="AKL16" s="54" t="str">
        <f t="shared" si="49"/>
        <v>Desacumulación</v>
      </c>
      <c r="AKM16" s="54" t="str">
        <f t="shared" si="49"/>
        <v>Desacumulación</v>
      </c>
      <c r="AKN16" s="54" t="str">
        <f t="shared" si="49"/>
        <v>Desacumulación</v>
      </c>
      <c r="AKO16" s="54" t="str">
        <f t="shared" si="49"/>
        <v>Desacumulación</v>
      </c>
      <c r="AKP16" s="54" t="str">
        <f t="shared" si="49"/>
        <v>Desacumulación</v>
      </c>
      <c r="AKQ16" s="54" t="str">
        <f t="shared" si="49"/>
        <v>Desacumulación</v>
      </c>
      <c r="AKR16" s="54" t="str">
        <f t="shared" si="49"/>
        <v>Desacumulación</v>
      </c>
      <c r="AKS16" s="54" t="str">
        <f t="shared" si="49"/>
        <v>Desacumulación</v>
      </c>
      <c r="AKT16" s="54" t="str">
        <f t="shared" si="49"/>
        <v>Desacumulación</v>
      </c>
      <c r="AKU16" s="54" t="str">
        <f t="shared" si="49"/>
        <v>Desacumulación</v>
      </c>
      <c r="AKV16" s="54" t="str">
        <f t="shared" si="49"/>
        <v>Desacumulación</v>
      </c>
      <c r="AKW16" s="54" t="str">
        <f t="shared" si="49"/>
        <v>Desacumulación</v>
      </c>
      <c r="AKX16" s="54" t="str">
        <f t="shared" si="49"/>
        <v>Desacumulación</v>
      </c>
      <c r="AKY16" s="54" t="str">
        <f t="shared" si="49"/>
        <v>Desacumulación</v>
      </c>
      <c r="AKZ16" s="54" t="str">
        <f t="shared" si="49"/>
        <v>Desacumulación</v>
      </c>
      <c r="ALA16" s="54" t="str">
        <f t="shared" si="49"/>
        <v>Desacumulación</v>
      </c>
      <c r="ALB16" s="54" t="str">
        <f t="shared" si="49"/>
        <v>Desacumulación</v>
      </c>
      <c r="ALC16" s="54" t="str">
        <f t="shared" si="49"/>
        <v>Desacumulación</v>
      </c>
      <c r="ALD16" s="54" t="str">
        <f t="shared" si="49"/>
        <v>Desacumulación</v>
      </c>
      <c r="ALE16" s="54" t="str">
        <f t="shared" si="49"/>
        <v>Desacumulación</v>
      </c>
      <c r="ALF16" s="54" t="str">
        <f t="shared" si="49"/>
        <v>Desacumulación</v>
      </c>
      <c r="ALG16" s="54" t="str">
        <f t="shared" si="49"/>
        <v>Desacumulación</v>
      </c>
      <c r="ALH16" s="54" t="str">
        <f t="shared" si="49"/>
        <v>Desacumulación</v>
      </c>
      <c r="ALI16" s="54" t="str">
        <f t="shared" si="49"/>
        <v>Desacumulación</v>
      </c>
      <c r="ALJ16" s="54" t="str">
        <f t="shared" si="49"/>
        <v>Desacumulación</v>
      </c>
      <c r="ALK16" s="54" t="str">
        <f t="shared" si="49"/>
        <v>Desacumulación</v>
      </c>
      <c r="ALL16" s="54" t="str">
        <f t="shared" si="49"/>
        <v>Desacumulación</v>
      </c>
      <c r="ALM16" s="54" t="str">
        <f t="shared" si="49"/>
        <v>Desacumulación</v>
      </c>
      <c r="ALN16" s="54" t="str">
        <f t="shared" si="49"/>
        <v>Desacumulación</v>
      </c>
      <c r="ALO16" s="54" t="str">
        <f t="shared" si="49"/>
        <v>Desacumulación</v>
      </c>
      <c r="ALP16" s="54" t="str">
        <f t="shared" si="49"/>
        <v>Desacumulación</v>
      </c>
      <c r="ALQ16" s="54" t="str">
        <f t="shared" si="49"/>
        <v>Desacumulación</v>
      </c>
      <c r="ALR16" s="54" t="str">
        <f t="shared" si="49"/>
        <v>Desacumulación</v>
      </c>
      <c r="ALS16" s="54" t="str">
        <f t="shared" si="49"/>
        <v>Desacumulación</v>
      </c>
      <c r="ALT16" s="54" t="str">
        <f t="shared" si="49"/>
        <v>Desacumulación</v>
      </c>
      <c r="ALU16" s="54" t="str">
        <f t="shared" si="49"/>
        <v>Desacumulación</v>
      </c>
      <c r="ALV16" s="54" t="str">
        <f t="shared" si="49"/>
        <v>Desacumulación</v>
      </c>
      <c r="ALW16" s="54" t="str">
        <f t="shared" si="49"/>
        <v>Desacumulación</v>
      </c>
      <c r="ALX16" s="54" t="str">
        <f t="shared" si="49"/>
        <v>Desacumulación</v>
      </c>
      <c r="ALY16" s="54" t="str">
        <f t="shared" si="49"/>
        <v>Desacumulación</v>
      </c>
      <c r="ALZ16" s="54" t="str">
        <f t="shared" si="49"/>
        <v>Desacumulación</v>
      </c>
      <c r="AMA16" s="54" t="str">
        <f t="shared" si="49"/>
        <v>Desacumulación</v>
      </c>
      <c r="AMB16" s="54" t="str">
        <f t="shared" si="49"/>
        <v>Desacumulación</v>
      </c>
      <c r="AMC16" s="54" t="str">
        <f t="shared" si="49"/>
        <v>Desacumulación</v>
      </c>
      <c r="AMD16" s="54" t="str">
        <f t="shared" si="49"/>
        <v>Desacumulación</v>
      </c>
      <c r="AME16" s="54" t="str">
        <f t="shared" si="49"/>
        <v>Desacumulación</v>
      </c>
      <c r="AMF16" s="54" t="str">
        <f t="shared" si="49"/>
        <v>Desacumulación</v>
      </c>
      <c r="AMG16" s="54" t="str">
        <f t="shared" si="49"/>
        <v>Desacumulación</v>
      </c>
      <c r="AMH16" s="54" t="str">
        <f t="shared" si="49"/>
        <v>Desacumulación</v>
      </c>
      <c r="AMI16" s="54" t="str">
        <f t="shared" si="49"/>
        <v>Desacumulación</v>
      </c>
      <c r="AMJ16" s="54" t="str">
        <f t="shared" si="49"/>
        <v>Desacumulación</v>
      </c>
      <c r="AMK16" s="54" t="str">
        <f t="shared" si="49"/>
        <v>Desacumulación</v>
      </c>
      <c r="AML16" s="54" t="str">
        <f t="shared" si="49"/>
        <v>Desacumulación</v>
      </c>
      <c r="AMM16" s="54" t="str">
        <f t="shared" ref="AMM16:AOP16" si="50">IF(AND(AMM17&gt;=$D$9,AMM17&lt;$D$10),"Desacumulación","-")</f>
        <v>Desacumulación</v>
      </c>
      <c r="AMN16" s="54" t="str">
        <f t="shared" si="50"/>
        <v>Desacumulación</v>
      </c>
      <c r="AMO16" s="54" t="str">
        <f t="shared" si="50"/>
        <v>Desacumulación</v>
      </c>
      <c r="AMP16" s="54" t="str">
        <f t="shared" si="50"/>
        <v>Desacumulación</v>
      </c>
      <c r="AMQ16" s="54" t="str">
        <f t="shared" si="50"/>
        <v>Desacumulación</v>
      </c>
      <c r="AMR16" s="54" t="str">
        <f t="shared" si="50"/>
        <v>Desacumulación</v>
      </c>
      <c r="AMS16" s="54" t="str">
        <f t="shared" si="50"/>
        <v>Desacumulación</v>
      </c>
      <c r="AMT16" s="54" t="str">
        <f t="shared" si="50"/>
        <v>Desacumulación</v>
      </c>
      <c r="AMU16" s="54" t="str">
        <f t="shared" si="50"/>
        <v>Desacumulación</v>
      </c>
      <c r="AMV16" s="54" t="str">
        <f t="shared" si="50"/>
        <v>Desacumulación</v>
      </c>
      <c r="AMW16" s="54" t="str">
        <f t="shared" si="50"/>
        <v>Desacumulación</v>
      </c>
      <c r="AMX16" s="54" t="str">
        <f t="shared" si="50"/>
        <v>Desacumulación</v>
      </c>
      <c r="AMY16" s="54" t="str">
        <f t="shared" si="50"/>
        <v>Desacumulación</v>
      </c>
      <c r="AMZ16" s="54" t="str">
        <f t="shared" si="50"/>
        <v>Desacumulación</v>
      </c>
      <c r="ANA16" s="54" t="str">
        <f t="shared" si="50"/>
        <v>Desacumulación</v>
      </c>
      <c r="ANB16" s="54" t="str">
        <f t="shared" si="50"/>
        <v>Desacumulación</v>
      </c>
      <c r="ANC16" s="54" t="str">
        <f t="shared" si="50"/>
        <v>Desacumulación</v>
      </c>
      <c r="AND16" s="54" t="str">
        <f t="shared" si="50"/>
        <v>Desacumulación</v>
      </c>
      <c r="ANE16" s="54" t="str">
        <f t="shared" si="50"/>
        <v>Desacumulación</v>
      </c>
      <c r="ANF16" s="54" t="str">
        <f t="shared" si="50"/>
        <v>Desacumulación</v>
      </c>
      <c r="ANG16" s="54" t="str">
        <f t="shared" si="50"/>
        <v>Desacumulación</v>
      </c>
      <c r="ANH16" s="54" t="str">
        <f t="shared" si="50"/>
        <v>Desacumulación</v>
      </c>
      <c r="ANI16" s="54" t="str">
        <f t="shared" si="50"/>
        <v>Desacumulación</v>
      </c>
      <c r="ANJ16" s="54" t="str">
        <f t="shared" si="50"/>
        <v>Desacumulación</v>
      </c>
      <c r="ANK16" s="54" t="str">
        <f t="shared" si="50"/>
        <v>Desacumulación</v>
      </c>
      <c r="ANL16" s="54" t="str">
        <f t="shared" si="50"/>
        <v>Desacumulación</v>
      </c>
      <c r="ANM16" s="54" t="str">
        <f t="shared" si="50"/>
        <v>Desacumulación</v>
      </c>
      <c r="ANN16" s="54" t="str">
        <f t="shared" si="50"/>
        <v>Desacumulación</v>
      </c>
      <c r="ANO16" s="54" t="str">
        <f t="shared" si="50"/>
        <v>Desacumulación</v>
      </c>
      <c r="ANP16" s="54" t="str">
        <f t="shared" si="50"/>
        <v>Desacumulación</v>
      </c>
      <c r="ANQ16" s="54" t="str">
        <f t="shared" si="50"/>
        <v>Desacumulación</v>
      </c>
      <c r="ANR16" s="54" t="str">
        <f t="shared" si="50"/>
        <v>Desacumulación</v>
      </c>
      <c r="ANS16" s="54" t="str">
        <f t="shared" si="50"/>
        <v>Desacumulación</v>
      </c>
      <c r="ANT16" s="54" t="str">
        <f t="shared" si="50"/>
        <v>Desacumulación</v>
      </c>
      <c r="ANU16" s="54" t="str">
        <f t="shared" si="50"/>
        <v>Desacumulación</v>
      </c>
      <c r="ANV16" s="54" t="str">
        <f t="shared" si="50"/>
        <v>Desacumulación</v>
      </c>
      <c r="ANW16" s="54" t="str">
        <f t="shared" si="50"/>
        <v>Desacumulación</v>
      </c>
      <c r="ANX16" s="54" t="str">
        <f t="shared" si="50"/>
        <v>Desacumulación</v>
      </c>
      <c r="ANY16" s="54" t="str">
        <f t="shared" si="50"/>
        <v>Desacumulación</v>
      </c>
      <c r="ANZ16" s="54" t="str">
        <f t="shared" si="50"/>
        <v>Desacumulación</v>
      </c>
      <c r="AOA16" s="54" t="str">
        <f t="shared" si="50"/>
        <v>Desacumulación</v>
      </c>
      <c r="AOB16" s="54" t="str">
        <f t="shared" si="50"/>
        <v>Desacumulación</v>
      </c>
      <c r="AOC16" s="54" t="str">
        <f t="shared" si="50"/>
        <v>Desacumulación</v>
      </c>
      <c r="AOD16" s="54" t="str">
        <f t="shared" si="50"/>
        <v>Desacumulación</v>
      </c>
      <c r="AOE16" s="54" t="str">
        <f t="shared" si="50"/>
        <v>-</v>
      </c>
      <c r="AOF16" s="54" t="str">
        <f t="shared" si="50"/>
        <v>-</v>
      </c>
      <c r="AOG16" s="54" t="str">
        <f t="shared" si="50"/>
        <v>-</v>
      </c>
      <c r="AOH16" s="54" t="str">
        <f t="shared" si="50"/>
        <v>-</v>
      </c>
      <c r="AOI16" s="54" t="str">
        <f t="shared" si="50"/>
        <v>-</v>
      </c>
      <c r="AOJ16" s="54" t="str">
        <f t="shared" si="50"/>
        <v>-</v>
      </c>
      <c r="AOK16" s="54" t="str">
        <f t="shared" si="50"/>
        <v>-</v>
      </c>
      <c r="AOL16" s="54" t="str">
        <f t="shared" si="50"/>
        <v>-</v>
      </c>
      <c r="AOM16" s="54" t="str">
        <f t="shared" si="50"/>
        <v>-</v>
      </c>
      <c r="AON16" s="54" t="str">
        <f t="shared" si="50"/>
        <v>-</v>
      </c>
      <c r="AOO16" s="54" t="str">
        <f t="shared" si="50"/>
        <v>-</v>
      </c>
      <c r="AOP16" s="54" t="str">
        <f t="shared" si="50"/>
        <v>-</v>
      </c>
    </row>
    <row r="17" spans="2:1102" x14ac:dyDescent="0.25">
      <c r="B17" s="53" t="s">
        <v>22</v>
      </c>
      <c r="C17" s="53">
        <v>1</v>
      </c>
      <c r="D17" s="53">
        <f t="shared" ref="D17:N17" si="51">C17</f>
        <v>1</v>
      </c>
      <c r="E17" s="53">
        <f t="shared" si="51"/>
        <v>1</v>
      </c>
      <c r="F17" s="53">
        <f t="shared" si="51"/>
        <v>1</v>
      </c>
      <c r="G17" s="53">
        <f t="shared" si="51"/>
        <v>1</v>
      </c>
      <c r="H17" s="53">
        <f t="shared" si="51"/>
        <v>1</v>
      </c>
      <c r="I17" s="53">
        <f t="shared" si="51"/>
        <v>1</v>
      </c>
      <c r="J17" s="53">
        <f t="shared" si="51"/>
        <v>1</v>
      </c>
      <c r="K17" s="53">
        <f t="shared" si="51"/>
        <v>1</v>
      </c>
      <c r="L17" s="53">
        <f t="shared" si="51"/>
        <v>1</v>
      </c>
      <c r="M17" s="53">
        <f t="shared" si="51"/>
        <v>1</v>
      </c>
      <c r="N17" s="53">
        <f t="shared" si="51"/>
        <v>1</v>
      </c>
      <c r="O17" s="53">
        <f>C17+1</f>
        <v>2</v>
      </c>
      <c r="P17" s="53">
        <f t="shared" ref="P17:CA17" si="52">D17+1</f>
        <v>2</v>
      </c>
      <c r="Q17" s="53">
        <f t="shared" si="52"/>
        <v>2</v>
      </c>
      <c r="R17" s="53">
        <f t="shared" si="52"/>
        <v>2</v>
      </c>
      <c r="S17" s="53">
        <f t="shared" si="52"/>
        <v>2</v>
      </c>
      <c r="T17" s="53">
        <f t="shared" si="52"/>
        <v>2</v>
      </c>
      <c r="U17" s="53">
        <f t="shared" si="52"/>
        <v>2</v>
      </c>
      <c r="V17" s="53">
        <f t="shared" si="52"/>
        <v>2</v>
      </c>
      <c r="W17" s="53">
        <f t="shared" si="52"/>
        <v>2</v>
      </c>
      <c r="X17" s="53">
        <f t="shared" si="52"/>
        <v>2</v>
      </c>
      <c r="Y17" s="53">
        <f t="shared" si="52"/>
        <v>2</v>
      </c>
      <c r="Z17" s="53">
        <f t="shared" si="52"/>
        <v>2</v>
      </c>
      <c r="AA17" s="53">
        <f t="shared" si="52"/>
        <v>3</v>
      </c>
      <c r="AB17" s="53">
        <f t="shared" si="52"/>
        <v>3</v>
      </c>
      <c r="AC17" s="53">
        <f t="shared" si="52"/>
        <v>3</v>
      </c>
      <c r="AD17" s="53">
        <f t="shared" si="52"/>
        <v>3</v>
      </c>
      <c r="AE17" s="53">
        <f t="shared" si="52"/>
        <v>3</v>
      </c>
      <c r="AF17" s="53">
        <f t="shared" si="52"/>
        <v>3</v>
      </c>
      <c r="AG17" s="53">
        <f t="shared" si="52"/>
        <v>3</v>
      </c>
      <c r="AH17" s="53">
        <f t="shared" si="52"/>
        <v>3</v>
      </c>
      <c r="AI17" s="53">
        <f t="shared" si="52"/>
        <v>3</v>
      </c>
      <c r="AJ17" s="53">
        <f t="shared" si="52"/>
        <v>3</v>
      </c>
      <c r="AK17" s="53">
        <f t="shared" si="52"/>
        <v>3</v>
      </c>
      <c r="AL17" s="53">
        <f t="shared" si="52"/>
        <v>3</v>
      </c>
      <c r="AM17" s="53">
        <f t="shared" si="52"/>
        <v>4</v>
      </c>
      <c r="AN17" s="53">
        <f t="shared" si="52"/>
        <v>4</v>
      </c>
      <c r="AO17" s="53">
        <f t="shared" si="52"/>
        <v>4</v>
      </c>
      <c r="AP17" s="53">
        <f t="shared" si="52"/>
        <v>4</v>
      </c>
      <c r="AQ17" s="53">
        <f t="shared" si="52"/>
        <v>4</v>
      </c>
      <c r="AR17" s="53">
        <f t="shared" si="52"/>
        <v>4</v>
      </c>
      <c r="AS17" s="53">
        <f t="shared" si="52"/>
        <v>4</v>
      </c>
      <c r="AT17" s="53">
        <f t="shared" si="52"/>
        <v>4</v>
      </c>
      <c r="AU17" s="53">
        <f t="shared" si="52"/>
        <v>4</v>
      </c>
      <c r="AV17" s="53">
        <f t="shared" si="52"/>
        <v>4</v>
      </c>
      <c r="AW17" s="53">
        <f t="shared" si="52"/>
        <v>4</v>
      </c>
      <c r="AX17" s="53">
        <f t="shared" si="52"/>
        <v>4</v>
      </c>
      <c r="AY17" s="53">
        <f t="shared" si="52"/>
        <v>5</v>
      </c>
      <c r="AZ17" s="53">
        <f t="shared" si="52"/>
        <v>5</v>
      </c>
      <c r="BA17" s="53">
        <f t="shared" si="52"/>
        <v>5</v>
      </c>
      <c r="BB17" s="53">
        <f t="shared" si="52"/>
        <v>5</v>
      </c>
      <c r="BC17" s="53">
        <f t="shared" si="52"/>
        <v>5</v>
      </c>
      <c r="BD17" s="53">
        <f t="shared" si="52"/>
        <v>5</v>
      </c>
      <c r="BE17" s="53">
        <f t="shared" si="52"/>
        <v>5</v>
      </c>
      <c r="BF17" s="53">
        <f t="shared" si="52"/>
        <v>5</v>
      </c>
      <c r="BG17" s="53">
        <f t="shared" si="52"/>
        <v>5</v>
      </c>
      <c r="BH17" s="53">
        <f t="shared" si="52"/>
        <v>5</v>
      </c>
      <c r="BI17" s="53">
        <f t="shared" si="52"/>
        <v>5</v>
      </c>
      <c r="BJ17" s="53">
        <f t="shared" si="52"/>
        <v>5</v>
      </c>
      <c r="BK17" s="53">
        <f t="shared" si="52"/>
        <v>6</v>
      </c>
      <c r="BL17" s="53">
        <f t="shared" si="52"/>
        <v>6</v>
      </c>
      <c r="BM17" s="53">
        <f t="shared" si="52"/>
        <v>6</v>
      </c>
      <c r="BN17" s="53">
        <f t="shared" si="52"/>
        <v>6</v>
      </c>
      <c r="BO17" s="53">
        <f t="shared" si="52"/>
        <v>6</v>
      </c>
      <c r="BP17" s="53">
        <f t="shared" si="52"/>
        <v>6</v>
      </c>
      <c r="BQ17" s="53">
        <f t="shared" si="52"/>
        <v>6</v>
      </c>
      <c r="BR17" s="53">
        <f t="shared" si="52"/>
        <v>6</v>
      </c>
      <c r="BS17" s="53">
        <f t="shared" si="52"/>
        <v>6</v>
      </c>
      <c r="BT17" s="53">
        <f t="shared" si="52"/>
        <v>6</v>
      </c>
      <c r="BU17" s="53">
        <f t="shared" si="52"/>
        <v>6</v>
      </c>
      <c r="BV17" s="53">
        <f t="shared" si="52"/>
        <v>6</v>
      </c>
      <c r="BW17" s="53">
        <f t="shared" si="52"/>
        <v>7</v>
      </c>
      <c r="BX17" s="53">
        <f t="shared" si="52"/>
        <v>7</v>
      </c>
      <c r="BY17" s="53">
        <f t="shared" si="52"/>
        <v>7</v>
      </c>
      <c r="BZ17" s="53">
        <f t="shared" si="52"/>
        <v>7</v>
      </c>
      <c r="CA17" s="53">
        <f t="shared" si="52"/>
        <v>7</v>
      </c>
      <c r="CB17" s="53">
        <f t="shared" ref="CB17:EM17" si="53">BP17+1</f>
        <v>7</v>
      </c>
      <c r="CC17" s="53">
        <f t="shared" si="53"/>
        <v>7</v>
      </c>
      <c r="CD17" s="53">
        <f t="shared" si="53"/>
        <v>7</v>
      </c>
      <c r="CE17" s="53">
        <f t="shared" si="53"/>
        <v>7</v>
      </c>
      <c r="CF17" s="53">
        <f t="shared" si="53"/>
        <v>7</v>
      </c>
      <c r="CG17" s="53">
        <f t="shared" si="53"/>
        <v>7</v>
      </c>
      <c r="CH17" s="53">
        <f t="shared" si="53"/>
        <v>7</v>
      </c>
      <c r="CI17" s="53">
        <f t="shared" si="53"/>
        <v>8</v>
      </c>
      <c r="CJ17" s="53">
        <f t="shared" si="53"/>
        <v>8</v>
      </c>
      <c r="CK17" s="53">
        <f t="shared" si="53"/>
        <v>8</v>
      </c>
      <c r="CL17" s="53">
        <f t="shared" si="53"/>
        <v>8</v>
      </c>
      <c r="CM17" s="53">
        <f t="shared" si="53"/>
        <v>8</v>
      </c>
      <c r="CN17" s="53">
        <f t="shared" si="53"/>
        <v>8</v>
      </c>
      <c r="CO17" s="53">
        <f t="shared" si="53"/>
        <v>8</v>
      </c>
      <c r="CP17" s="53">
        <f t="shared" si="53"/>
        <v>8</v>
      </c>
      <c r="CQ17" s="53">
        <f t="shared" si="53"/>
        <v>8</v>
      </c>
      <c r="CR17" s="53">
        <f t="shared" si="53"/>
        <v>8</v>
      </c>
      <c r="CS17" s="53">
        <f t="shared" si="53"/>
        <v>8</v>
      </c>
      <c r="CT17" s="53">
        <f t="shared" si="53"/>
        <v>8</v>
      </c>
      <c r="CU17" s="53">
        <f t="shared" si="53"/>
        <v>9</v>
      </c>
      <c r="CV17" s="53">
        <f t="shared" si="53"/>
        <v>9</v>
      </c>
      <c r="CW17" s="53">
        <f t="shared" si="53"/>
        <v>9</v>
      </c>
      <c r="CX17" s="53">
        <f t="shared" si="53"/>
        <v>9</v>
      </c>
      <c r="CY17" s="53">
        <f t="shared" si="53"/>
        <v>9</v>
      </c>
      <c r="CZ17" s="53">
        <f t="shared" si="53"/>
        <v>9</v>
      </c>
      <c r="DA17" s="53">
        <f t="shared" si="53"/>
        <v>9</v>
      </c>
      <c r="DB17" s="53">
        <f t="shared" si="53"/>
        <v>9</v>
      </c>
      <c r="DC17" s="53">
        <f t="shared" si="53"/>
        <v>9</v>
      </c>
      <c r="DD17" s="53">
        <f t="shared" si="53"/>
        <v>9</v>
      </c>
      <c r="DE17" s="53">
        <f t="shared" si="53"/>
        <v>9</v>
      </c>
      <c r="DF17" s="53">
        <f t="shared" si="53"/>
        <v>9</v>
      </c>
      <c r="DG17" s="53">
        <f t="shared" si="53"/>
        <v>10</v>
      </c>
      <c r="DH17" s="53">
        <f t="shared" si="53"/>
        <v>10</v>
      </c>
      <c r="DI17" s="53">
        <f t="shared" si="53"/>
        <v>10</v>
      </c>
      <c r="DJ17" s="53">
        <f t="shared" si="53"/>
        <v>10</v>
      </c>
      <c r="DK17" s="53">
        <f t="shared" si="53"/>
        <v>10</v>
      </c>
      <c r="DL17" s="53">
        <f t="shared" si="53"/>
        <v>10</v>
      </c>
      <c r="DM17" s="53">
        <f t="shared" si="53"/>
        <v>10</v>
      </c>
      <c r="DN17" s="53">
        <f t="shared" si="53"/>
        <v>10</v>
      </c>
      <c r="DO17" s="53">
        <f t="shared" si="53"/>
        <v>10</v>
      </c>
      <c r="DP17" s="53">
        <f t="shared" si="53"/>
        <v>10</v>
      </c>
      <c r="DQ17" s="53">
        <f t="shared" si="53"/>
        <v>10</v>
      </c>
      <c r="DR17" s="53">
        <f t="shared" si="53"/>
        <v>10</v>
      </c>
      <c r="DS17" s="53">
        <f t="shared" si="53"/>
        <v>11</v>
      </c>
      <c r="DT17" s="53">
        <f t="shared" si="53"/>
        <v>11</v>
      </c>
      <c r="DU17" s="53">
        <f t="shared" si="53"/>
        <v>11</v>
      </c>
      <c r="DV17" s="53">
        <f t="shared" si="53"/>
        <v>11</v>
      </c>
      <c r="DW17" s="53">
        <f t="shared" si="53"/>
        <v>11</v>
      </c>
      <c r="DX17" s="53">
        <f t="shared" si="53"/>
        <v>11</v>
      </c>
      <c r="DY17" s="53">
        <f t="shared" si="53"/>
        <v>11</v>
      </c>
      <c r="DZ17" s="53">
        <f t="shared" si="53"/>
        <v>11</v>
      </c>
      <c r="EA17" s="53">
        <f t="shared" si="53"/>
        <v>11</v>
      </c>
      <c r="EB17" s="53">
        <f t="shared" si="53"/>
        <v>11</v>
      </c>
      <c r="EC17" s="53">
        <f t="shared" si="53"/>
        <v>11</v>
      </c>
      <c r="ED17" s="53">
        <f t="shared" si="53"/>
        <v>11</v>
      </c>
      <c r="EE17" s="53">
        <f t="shared" si="53"/>
        <v>12</v>
      </c>
      <c r="EF17" s="53">
        <f t="shared" si="53"/>
        <v>12</v>
      </c>
      <c r="EG17" s="53">
        <f t="shared" si="53"/>
        <v>12</v>
      </c>
      <c r="EH17" s="53">
        <f t="shared" si="53"/>
        <v>12</v>
      </c>
      <c r="EI17" s="53">
        <f t="shared" si="53"/>
        <v>12</v>
      </c>
      <c r="EJ17" s="53">
        <f t="shared" si="53"/>
        <v>12</v>
      </c>
      <c r="EK17" s="53">
        <f t="shared" si="53"/>
        <v>12</v>
      </c>
      <c r="EL17" s="53">
        <f t="shared" si="53"/>
        <v>12</v>
      </c>
      <c r="EM17" s="53">
        <f t="shared" si="53"/>
        <v>12</v>
      </c>
      <c r="EN17" s="53">
        <f t="shared" ref="EN17:GY17" si="54">EB17+1</f>
        <v>12</v>
      </c>
      <c r="EO17" s="53">
        <f t="shared" si="54"/>
        <v>12</v>
      </c>
      <c r="EP17" s="53">
        <f t="shared" si="54"/>
        <v>12</v>
      </c>
      <c r="EQ17" s="53">
        <f t="shared" si="54"/>
        <v>13</v>
      </c>
      <c r="ER17" s="53">
        <f t="shared" si="54"/>
        <v>13</v>
      </c>
      <c r="ES17" s="53">
        <f t="shared" si="54"/>
        <v>13</v>
      </c>
      <c r="ET17" s="53">
        <f t="shared" si="54"/>
        <v>13</v>
      </c>
      <c r="EU17" s="53">
        <f t="shared" si="54"/>
        <v>13</v>
      </c>
      <c r="EV17" s="53">
        <f t="shared" si="54"/>
        <v>13</v>
      </c>
      <c r="EW17" s="53">
        <f t="shared" si="54"/>
        <v>13</v>
      </c>
      <c r="EX17" s="53">
        <f t="shared" si="54"/>
        <v>13</v>
      </c>
      <c r="EY17" s="53">
        <f t="shared" si="54"/>
        <v>13</v>
      </c>
      <c r="EZ17" s="53">
        <f t="shared" si="54"/>
        <v>13</v>
      </c>
      <c r="FA17" s="53">
        <f t="shared" si="54"/>
        <v>13</v>
      </c>
      <c r="FB17" s="53">
        <f t="shared" si="54"/>
        <v>13</v>
      </c>
      <c r="FC17" s="53">
        <f t="shared" si="54"/>
        <v>14</v>
      </c>
      <c r="FD17" s="53">
        <f t="shared" si="54"/>
        <v>14</v>
      </c>
      <c r="FE17" s="53">
        <f t="shared" si="54"/>
        <v>14</v>
      </c>
      <c r="FF17" s="53">
        <f t="shared" si="54"/>
        <v>14</v>
      </c>
      <c r="FG17" s="53">
        <f t="shared" si="54"/>
        <v>14</v>
      </c>
      <c r="FH17" s="53">
        <f t="shared" si="54"/>
        <v>14</v>
      </c>
      <c r="FI17" s="53">
        <f t="shared" si="54"/>
        <v>14</v>
      </c>
      <c r="FJ17" s="53">
        <f t="shared" si="54"/>
        <v>14</v>
      </c>
      <c r="FK17" s="53">
        <f t="shared" si="54"/>
        <v>14</v>
      </c>
      <c r="FL17" s="53">
        <f t="shared" si="54"/>
        <v>14</v>
      </c>
      <c r="FM17" s="53">
        <f t="shared" si="54"/>
        <v>14</v>
      </c>
      <c r="FN17" s="53">
        <f t="shared" si="54"/>
        <v>14</v>
      </c>
      <c r="FO17" s="53">
        <f t="shared" si="54"/>
        <v>15</v>
      </c>
      <c r="FP17" s="53">
        <f t="shared" si="54"/>
        <v>15</v>
      </c>
      <c r="FQ17" s="53">
        <f t="shared" si="54"/>
        <v>15</v>
      </c>
      <c r="FR17" s="53">
        <f t="shared" si="54"/>
        <v>15</v>
      </c>
      <c r="FS17" s="53">
        <f t="shared" si="54"/>
        <v>15</v>
      </c>
      <c r="FT17" s="53">
        <f t="shared" si="54"/>
        <v>15</v>
      </c>
      <c r="FU17" s="53">
        <f t="shared" si="54"/>
        <v>15</v>
      </c>
      <c r="FV17" s="53">
        <f t="shared" si="54"/>
        <v>15</v>
      </c>
      <c r="FW17" s="53">
        <f t="shared" si="54"/>
        <v>15</v>
      </c>
      <c r="FX17" s="53">
        <f t="shared" si="54"/>
        <v>15</v>
      </c>
      <c r="FY17" s="53">
        <f t="shared" si="54"/>
        <v>15</v>
      </c>
      <c r="FZ17" s="53">
        <f t="shared" si="54"/>
        <v>15</v>
      </c>
      <c r="GA17" s="53">
        <f t="shared" si="54"/>
        <v>16</v>
      </c>
      <c r="GB17" s="53">
        <f t="shared" si="54"/>
        <v>16</v>
      </c>
      <c r="GC17" s="53">
        <f t="shared" si="54"/>
        <v>16</v>
      </c>
      <c r="GD17" s="53">
        <f t="shared" si="54"/>
        <v>16</v>
      </c>
      <c r="GE17" s="53">
        <f t="shared" si="54"/>
        <v>16</v>
      </c>
      <c r="GF17" s="53">
        <f t="shared" si="54"/>
        <v>16</v>
      </c>
      <c r="GG17" s="53">
        <f t="shared" si="54"/>
        <v>16</v>
      </c>
      <c r="GH17" s="53">
        <f t="shared" si="54"/>
        <v>16</v>
      </c>
      <c r="GI17" s="53">
        <f t="shared" si="54"/>
        <v>16</v>
      </c>
      <c r="GJ17" s="53">
        <f t="shared" si="54"/>
        <v>16</v>
      </c>
      <c r="GK17" s="53">
        <f t="shared" si="54"/>
        <v>16</v>
      </c>
      <c r="GL17" s="53">
        <f t="shared" si="54"/>
        <v>16</v>
      </c>
      <c r="GM17" s="53">
        <f t="shared" si="54"/>
        <v>17</v>
      </c>
      <c r="GN17" s="53">
        <f t="shared" si="54"/>
        <v>17</v>
      </c>
      <c r="GO17" s="53">
        <f t="shared" si="54"/>
        <v>17</v>
      </c>
      <c r="GP17" s="53">
        <f t="shared" si="54"/>
        <v>17</v>
      </c>
      <c r="GQ17" s="53">
        <f t="shared" si="54"/>
        <v>17</v>
      </c>
      <c r="GR17" s="53">
        <f t="shared" si="54"/>
        <v>17</v>
      </c>
      <c r="GS17" s="53">
        <f t="shared" si="54"/>
        <v>17</v>
      </c>
      <c r="GT17" s="53">
        <f t="shared" si="54"/>
        <v>17</v>
      </c>
      <c r="GU17" s="53">
        <f t="shared" si="54"/>
        <v>17</v>
      </c>
      <c r="GV17" s="53">
        <f t="shared" si="54"/>
        <v>17</v>
      </c>
      <c r="GW17" s="53">
        <f t="shared" si="54"/>
        <v>17</v>
      </c>
      <c r="GX17" s="53">
        <f t="shared" si="54"/>
        <v>17</v>
      </c>
      <c r="GY17" s="53">
        <f t="shared" si="54"/>
        <v>18</v>
      </c>
      <c r="GZ17" s="53">
        <f t="shared" ref="GZ17:JK17" si="55">GN17+1</f>
        <v>18</v>
      </c>
      <c r="HA17" s="53">
        <f t="shared" si="55"/>
        <v>18</v>
      </c>
      <c r="HB17" s="53">
        <f t="shared" si="55"/>
        <v>18</v>
      </c>
      <c r="HC17" s="53">
        <f t="shared" si="55"/>
        <v>18</v>
      </c>
      <c r="HD17" s="53">
        <f t="shared" si="55"/>
        <v>18</v>
      </c>
      <c r="HE17" s="53">
        <f t="shared" si="55"/>
        <v>18</v>
      </c>
      <c r="HF17" s="53">
        <f t="shared" si="55"/>
        <v>18</v>
      </c>
      <c r="HG17" s="53">
        <f t="shared" si="55"/>
        <v>18</v>
      </c>
      <c r="HH17" s="53">
        <f t="shared" si="55"/>
        <v>18</v>
      </c>
      <c r="HI17" s="53">
        <f t="shared" si="55"/>
        <v>18</v>
      </c>
      <c r="HJ17" s="53">
        <f t="shared" si="55"/>
        <v>18</v>
      </c>
      <c r="HK17" s="53">
        <f t="shared" si="55"/>
        <v>19</v>
      </c>
      <c r="HL17" s="53">
        <f t="shared" si="55"/>
        <v>19</v>
      </c>
      <c r="HM17" s="53">
        <f t="shared" si="55"/>
        <v>19</v>
      </c>
      <c r="HN17" s="53">
        <f t="shared" si="55"/>
        <v>19</v>
      </c>
      <c r="HO17" s="53">
        <f t="shared" si="55"/>
        <v>19</v>
      </c>
      <c r="HP17" s="53">
        <f t="shared" si="55"/>
        <v>19</v>
      </c>
      <c r="HQ17" s="53">
        <f t="shared" si="55"/>
        <v>19</v>
      </c>
      <c r="HR17" s="53">
        <f t="shared" si="55"/>
        <v>19</v>
      </c>
      <c r="HS17" s="53">
        <f t="shared" si="55"/>
        <v>19</v>
      </c>
      <c r="HT17" s="53">
        <f t="shared" si="55"/>
        <v>19</v>
      </c>
      <c r="HU17" s="53">
        <f t="shared" si="55"/>
        <v>19</v>
      </c>
      <c r="HV17" s="53">
        <f t="shared" si="55"/>
        <v>19</v>
      </c>
      <c r="HW17" s="53">
        <f t="shared" si="55"/>
        <v>20</v>
      </c>
      <c r="HX17" s="53">
        <f t="shared" si="55"/>
        <v>20</v>
      </c>
      <c r="HY17" s="53">
        <f t="shared" si="55"/>
        <v>20</v>
      </c>
      <c r="HZ17" s="53">
        <f t="shared" si="55"/>
        <v>20</v>
      </c>
      <c r="IA17" s="53">
        <f t="shared" si="55"/>
        <v>20</v>
      </c>
      <c r="IB17" s="53">
        <f t="shared" si="55"/>
        <v>20</v>
      </c>
      <c r="IC17" s="53">
        <f t="shared" si="55"/>
        <v>20</v>
      </c>
      <c r="ID17" s="53">
        <f t="shared" si="55"/>
        <v>20</v>
      </c>
      <c r="IE17" s="53">
        <f t="shared" si="55"/>
        <v>20</v>
      </c>
      <c r="IF17" s="53">
        <f t="shared" si="55"/>
        <v>20</v>
      </c>
      <c r="IG17" s="53">
        <f t="shared" si="55"/>
        <v>20</v>
      </c>
      <c r="IH17" s="53">
        <f t="shared" si="55"/>
        <v>20</v>
      </c>
      <c r="II17" s="53">
        <f t="shared" si="55"/>
        <v>21</v>
      </c>
      <c r="IJ17" s="53">
        <f t="shared" si="55"/>
        <v>21</v>
      </c>
      <c r="IK17" s="53">
        <f t="shared" si="55"/>
        <v>21</v>
      </c>
      <c r="IL17" s="53">
        <f t="shared" si="55"/>
        <v>21</v>
      </c>
      <c r="IM17" s="53">
        <f t="shared" si="55"/>
        <v>21</v>
      </c>
      <c r="IN17" s="53">
        <f t="shared" si="55"/>
        <v>21</v>
      </c>
      <c r="IO17" s="53">
        <f t="shared" si="55"/>
        <v>21</v>
      </c>
      <c r="IP17" s="53">
        <f t="shared" si="55"/>
        <v>21</v>
      </c>
      <c r="IQ17" s="53">
        <f t="shared" si="55"/>
        <v>21</v>
      </c>
      <c r="IR17" s="53">
        <f t="shared" si="55"/>
        <v>21</v>
      </c>
      <c r="IS17" s="53">
        <f t="shared" si="55"/>
        <v>21</v>
      </c>
      <c r="IT17" s="53">
        <f t="shared" si="55"/>
        <v>21</v>
      </c>
      <c r="IU17" s="53">
        <f t="shared" si="55"/>
        <v>22</v>
      </c>
      <c r="IV17" s="53">
        <f t="shared" si="55"/>
        <v>22</v>
      </c>
      <c r="IW17" s="53">
        <f t="shared" si="55"/>
        <v>22</v>
      </c>
      <c r="IX17" s="53">
        <f t="shared" si="55"/>
        <v>22</v>
      </c>
      <c r="IY17" s="53">
        <f t="shared" si="55"/>
        <v>22</v>
      </c>
      <c r="IZ17" s="53">
        <f t="shared" si="55"/>
        <v>22</v>
      </c>
      <c r="JA17" s="53">
        <f t="shared" si="55"/>
        <v>22</v>
      </c>
      <c r="JB17" s="53">
        <f t="shared" si="55"/>
        <v>22</v>
      </c>
      <c r="JC17" s="53">
        <f t="shared" si="55"/>
        <v>22</v>
      </c>
      <c r="JD17" s="53">
        <f t="shared" si="55"/>
        <v>22</v>
      </c>
      <c r="JE17" s="53">
        <f t="shared" si="55"/>
        <v>22</v>
      </c>
      <c r="JF17" s="53">
        <f t="shared" si="55"/>
        <v>22</v>
      </c>
      <c r="JG17" s="53">
        <f t="shared" si="55"/>
        <v>23</v>
      </c>
      <c r="JH17" s="53">
        <f t="shared" si="55"/>
        <v>23</v>
      </c>
      <c r="JI17" s="53">
        <f t="shared" si="55"/>
        <v>23</v>
      </c>
      <c r="JJ17" s="53">
        <f t="shared" si="55"/>
        <v>23</v>
      </c>
      <c r="JK17" s="53">
        <f t="shared" si="55"/>
        <v>23</v>
      </c>
      <c r="JL17" s="53">
        <f t="shared" ref="JL17:LW17" si="56">IZ17+1</f>
        <v>23</v>
      </c>
      <c r="JM17" s="53">
        <f t="shared" si="56"/>
        <v>23</v>
      </c>
      <c r="JN17" s="53">
        <f t="shared" si="56"/>
        <v>23</v>
      </c>
      <c r="JO17" s="53">
        <f t="shared" si="56"/>
        <v>23</v>
      </c>
      <c r="JP17" s="53">
        <f t="shared" si="56"/>
        <v>23</v>
      </c>
      <c r="JQ17" s="53">
        <f t="shared" si="56"/>
        <v>23</v>
      </c>
      <c r="JR17" s="53">
        <f t="shared" si="56"/>
        <v>23</v>
      </c>
      <c r="JS17" s="53">
        <f t="shared" si="56"/>
        <v>24</v>
      </c>
      <c r="JT17" s="53">
        <f t="shared" si="56"/>
        <v>24</v>
      </c>
      <c r="JU17" s="53">
        <f t="shared" si="56"/>
        <v>24</v>
      </c>
      <c r="JV17" s="53">
        <f t="shared" si="56"/>
        <v>24</v>
      </c>
      <c r="JW17" s="53">
        <f t="shared" si="56"/>
        <v>24</v>
      </c>
      <c r="JX17" s="53">
        <f t="shared" si="56"/>
        <v>24</v>
      </c>
      <c r="JY17" s="53">
        <f t="shared" si="56"/>
        <v>24</v>
      </c>
      <c r="JZ17" s="53">
        <f t="shared" si="56"/>
        <v>24</v>
      </c>
      <c r="KA17" s="53">
        <f t="shared" si="56"/>
        <v>24</v>
      </c>
      <c r="KB17" s="53">
        <f t="shared" si="56"/>
        <v>24</v>
      </c>
      <c r="KC17" s="53">
        <f t="shared" si="56"/>
        <v>24</v>
      </c>
      <c r="KD17" s="53">
        <f t="shared" si="56"/>
        <v>24</v>
      </c>
      <c r="KE17" s="53">
        <f t="shared" si="56"/>
        <v>25</v>
      </c>
      <c r="KF17" s="53">
        <f t="shared" si="56"/>
        <v>25</v>
      </c>
      <c r="KG17" s="53">
        <f t="shared" si="56"/>
        <v>25</v>
      </c>
      <c r="KH17" s="53">
        <f t="shared" si="56"/>
        <v>25</v>
      </c>
      <c r="KI17" s="53">
        <f t="shared" si="56"/>
        <v>25</v>
      </c>
      <c r="KJ17" s="53">
        <f t="shared" si="56"/>
        <v>25</v>
      </c>
      <c r="KK17" s="53">
        <f t="shared" si="56"/>
        <v>25</v>
      </c>
      <c r="KL17" s="53">
        <f t="shared" si="56"/>
        <v>25</v>
      </c>
      <c r="KM17" s="53">
        <f t="shared" si="56"/>
        <v>25</v>
      </c>
      <c r="KN17" s="53">
        <f t="shared" si="56"/>
        <v>25</v>
      </c>
      <c r="KO17" s="53">
        <f t="shared" si="56"/>
        <v>25</v>
      </c>
      <c r="KP17" s="53">
        <f t="shared" si="56"/>
        <v>25</v>
      </c>
      <c r="KQ17" s="53">
        <f t="shared" si="56"/>
        <v>26</v>
      </c>
      <c r="KR17" s="53">
        <f t="shared" si="56"/>
        <v>26</v>
      </c>
      <c r="KS17" s="53">
        <f t="shared" si="56"/>
        <v>26</v>
      </c>
      <c r="KT17" s="53">
        <f t="shared" si="56"/>
        <v>26</v>
      </c>
      <c r="KU17" s="53">
        <f t="shared" si="56"/>
        <v>26</v>
      </c>
      <c r="KV17" s="53">
        <f t="shared" si="56"/>
        <v>26</v>
      </c>
      <c r="KW17" s="53">
        <f t="shared" si="56"/>
        <v>26</v>
      </c>
      <c r="KX17" s="53">
        <f t="shared" si="56"/>
        <v>26</v>
      </c>
      <c r="KY17" s="53">
        <f t="shared" si="56"/>
        <v>26</v>
      </c>
      <c r="KZ17" s="53">
        <f t="shared" si="56"/>
        <v>26</v>
      </c>
      <c r="LA17" s="53">
        <f t="shared" si="56"/>
        <v>26</v>
      </c>
      <c r="LB17" s="53">
        <f t="shared" si="56"/>
        <v>26</v>
      </c>
      <c r="LC17" s="53">
        <f t="shared" si="56"/>
        <v>27</v>
      </c>
      <c r="LD17" s="53">
        <f t="shared" si="56"/>
        <v>27</v>
      </c>
      <c r="LE17" s="53">
        <f t="shared" si="56"/>
        <v>27</v>
      </c>
      <c r="LF17" s="53">
        <f t="shared" si="56"/>
        <v>27</v>
      </c>
      <c r="LG17" s="53">
        <f t="shared" si="56"/>
        <v>27</v>
      </c>
      <c r="LH17" s="53">
        <f t="shared" si="56"/>
        <v>27</v>
      </c>
      <c r="LI17" s="53">
        <f t="shared" si="56"/>
        <v>27</v>
      </c>
      <c r="LJ17" s="53">
        <f t="shared" si="56"/>
        <v>27</v>
      </c>
      <c r="LK17" s="53">
        <f t="shared" si="56"/>
        <v>27</v>
      </c>
      <c r="LL17" s="53">
        <f t="shared" si="56"/>
        <v>27</v>
      </c>
      <c r="LM17" s="53">
        <f t="shared" si="56"/>
        <v>27</v>
      </c>
      <c r="LN17" s="53">
        <f t="shared" si="56"/>
        <v>27</v>
      </c>
      <c r="LO17" s="53">
        <f t="shared" si="56"/>
        <v>28</v>
      </c>
      <c r="LP17" s="53">
        <f t="shared" si="56"/>
        <v>28</v>
      </c>
      <c r="LQ17" s="53">
        <f t="shared" si="56"/>
        <v>28</v>
      </c>
      <c r="LR17" s="53">
        <f t="shared" si="56"/>
        <v>28</v>
      </c>
      <c r="LS17" s="53">
        <f t="shared" si="56"/>
        <v>28</v>
      </c>
      <c r="LT17" s="53">
        <f t="shared" si="56"/>
        <v>28</v>
      </c>
      <c r="LU17" s="53">
        <f t="shared" si="56"/>
        <v>28</v>
      </c>
      <c r="LV17" s="53">
        <f t="shared" si="56"/>
        <v>28</v>
      </c>
      <c r="LW17" s="53">
        <f t="shared" si="56"/>
        <v>28</v>
      </c>
      <c r="LX17" s="53">
        <f t="shared" ref="LX17:OI17" si="57">LL17+1</f>
        <v>28</v>
      </c>
      <c r="LY17" s="53">
        <f t="shared" si="57"/>
        <v>28</v>
      </c>
      <c r="LZ17" s="53">
        <f t="shared" si="57"/>
        <v>28</v>
      </c>
      <c r="MA17" s="53">
        <f t="shared" si="57"/>
        <v>29</v>
      </c>
      <c r="MB17" s="53">
        <f t="shared" si="57"/>
        <v>29</v>
      </c>
      <c r="MC17" s="53">
        <f t="shared" si="57"/>
        <v>29</v>
      </c>
      <c r="MD17" s="53">
        <f t="shared" si="57"/>
        <v>29</v>
      </c>
      <c r="ME17" s="53">
        <f t="shared" si="57"/>
        <v>29</v>
      </c>
      <c r="MF17" s="53">
        <f t="shared" si="57"/>
        <v>29</v>
      </c>
      <c r="MG17" s="53">
        <f t="shared" si="57"/>
        <v>29</v>
      </c>
      <c r="MH17" s="53">
        <f t="shared" si="57"/>
        <v>29</v>
      </c>
      <c r="MI17" s="53">
        <f t="shared" si="57"/>
        <v>29</v>
      </c>
      <c r="MJ17" s="53">
        <f t="shared" si="57"/>
        <v>29</v>
      </c>
      <c r="MK17" s="53">
        <f t="shared" si="57"/>
        <v>29</v>
      </c>
      <c r="ML17" s="53">
        <f t="shared" si="57"/>
        <v>29</v>
      </c>
      <c r="MM17" s="53">
        <f t="shared" si="57"/>
        <v>30</v>
      </c>
      <c r="MN17" s="53">
        <f t="shared" si="57"/>
        <v>30</v>
      </c>
      <c r="MO17" s="53">
        <f t="shared" si="57"/>
        <v>30</v>
      </c>
      <c r="MP17" s="53">
        <f t="shared" si="57"/>
        <v>30</v>
      </c>
      <c r="MQ17" s="53">
        <f t="shared" si="57"/>
        <v>30</v>
      </c>
      <c r="MR17" s="53">
        <f t="shared" si="57"/>
        <v>30</v>
      </c>
      <c r="MS17" s="53">
        <f t="shared" si="57"/>
        <v>30</v>
      </c>
      <c r="MT17" s="53">
        <f t="shared" si="57"/>
        <v>30</v>
      </c>
      <c r="MU17" s="53">
        <f t="shared" si="57"/>
        <v>30</v>
      </c>
      <c r="MV17" s="53">
        <f t="shared" si="57"/>
        <v>30</v>
      </c>
      <c r="MW17" s="53">
        <f t="shared" si="57"/>
        <v>30</v>
      </c>
      <c r="MX17" s="53">
        <f t="shared" si="57"/>
        <v>30</v>
      </c>
      <c r="MY17" s="53">
        <f t="shared" si="57"/>
        <v>31</v>
      </c>
      <c r="MZ17" s="53">
        <f t="shared" si="57"/>
        <v>31</v>
      </c>
      <c r="NA17" s="53">
        <f t="shared" si="57"/>
        <v>31</v>
      </c>
      <c r="NB17" s="53">
        <f t="shared" si="57"/>
        <v>31</v>
      </c>
      <c r="NC17" s="53">
        <f t="shared" si="57"/>
        <v>31</v>
      </c>
      <c r="ND17" s="53">
        <f t="shared" si="57"/>
        <v>31</v>
      </c>
      <c r="NE17" s="53">
        <f t="shared" si="57"/>
        <v>31</v>
      </c>
      <c r="NF17" s="53">
        <f t="shared" si="57"/>
        <v>31</v>
      </c>
      <c r="NG17" s="53">
        <f t="shared" si="57"/>
        <v>31</v>
      </c>
      <c r="NH17" s="53">
        <f t="shared" si="57"/>
        <v>31</v>
      </c>
      <c r="NI17" s="53">
        <f t="shared" si="57"/>
        <v>31</v>
      </c>
      <c r="NJ17" s="53">
        <f t="shared" si="57"/>
        <v>31</v>
      </c>
      <c r="NK17" s="53">
        <f t="shared" si="57"/>
        <v>32</v>
      </c>
      <c r="NL17" s="53">
        <f t="shared" si="57"/>
        <v>32</v>
      </c>
      <c r="NM17" s="53">
        <f t="shared" si="57"/>
        <v>32</v>
      </c>
      <c r="NN17" s="53">
        <f t="shared" si="57"/>
        <v>32</v>
      </c>
      <c r="NO17" s="53">
        <f t="shared" si="57"/>
        <v>32</v>
      </c>
      <c r="NP17" s="53">
        <f t="shared" si="57"/>
        <v>32</v>
      </c>
      <c r="NQ17" s="53">
        <f t="shared" si="57"/>
        <v>32</v>
      </c>
      <c r="NR17" s="53">
        <f t="shared" si="57"/>
        <v>32</v>
      </c>
      <c r="NS17" s="53">
        <f t="shared" si="57"/>
        <v>32</v>
      </c>
      <c r="NT17" s="53">
        <f t="shared" si="57"/>
        <v>32</v>
      </c>
      <c r="NU17" s="53">
        <f t="shared" si="57"/>
        <v>32</v>
      </c>
      <c r="NV17" s="53">
        <f t="shared" si="57"/>
        <v>32</v>
      </c>
      <c r="NW17" s="53">
        <f t="shared" si="57"/>
        <v>33</v>
      </c>
      <c r="NX17" s="53">
        <f t="shared" si="57"/>
        <v>33</v>
      </c>
      <c r="NY17" s="53">
        <f t="shared" si="57"/>
        <v>33</v>
      </c>
      <c r="NZ17" s="53">
        <f t="shared" si="57"/>
        <v>33</v>
      </c>
      <c r="OA17" s="53">
        <f t="shared" si="57"/>
        <v>33</v>
      </c>
      <c r="OB17" s="53">
        <f t="shared" si="57"/>
        <v>33</v>
      </c>
      <c r="OC17" s="53">
        <f t="shared" si="57"/>
        <v>33</v>
      </c>
      <c r="OD17" s="53">
        <f t="shared" si="57"/>
        <v>33</v>
      </c>
      <c r="OE17" s="53">
        <f t="shared" si="57"/>
        <v>33</v>
      </c>
      <c r="OF17" s="53">
        <f t="shared" si="57"/>
        <v>33</v>
      </c>
      <c r="OG17" s="53">
        <f t="shared" si="57"/>
        <v>33</v>
      </c>
      <c r="OH17" s="53">
        <f t="shared" si="57"/>
        <v>33</v>
      </c>
      <c r="OI17" s="53">
        <f t="shared" si="57"/>
        <v>34</v>
      </c>
      <c r="OJ17" s="53">
        <f t="shared" ref="OJ17:QU17" si="58">NX17+1</f>
        <v>34</v>
      </c>
      <c r="OK17" s="53">
        <f t="shared" si="58"/>
        <v>34</v>
      </c>
      <c r="OL17" s="53">
        <f t="shared" si="58"/>
        <v>34</v>
      </c>
      <c r="OM17" s="53">
        <f t="shared" si="58"/>
        <v>34</v>
      </c>
      <c r="ON17" s="53">
        <f t="shared" si="58"/>
        <v>34</v>
      </c>
      <c r="OO17" s="53">
        <f t="shared" si="58"/>
        <v>34</v>
      </c>
      <c r="OP17" s="53">
        <f t="shared" si="58"/>
        <v>34</v>
      </c>
      <c r="OQ17" s="53">
        <f t="shared" si="58"/>
        <v>34</v>
      </c>
      <c r="OR17" s="53">
        <f t="shared" si="58"/>
        <v>34</v>
      </c>
      <c r="OS17" s="53">
        <f t="shared" si="58"/>
        <v>34</v>
      </c>
      <c r="OT17" s="53">
        <f t="shared" si="58"/>
        <v>34</v>
      </c>
      <c r="OU17" s="53">
        <f t="shared" si="58"/>
        <v>35</v>
      </c>
      <c r="OV17" s="53">
        <f t="shared" si="58"/>
        <v>35</v>
      </c>
      <c r="OW17" s="53">
        <f t="shared" si="58"/>
        <v>35</v>
      </c>
      <c r="OX17" s="53">
        <f t="shared" si="58"/>
        <v>35</v>
      </c>
      <c r="OY17" s="53">
        <f t="shared" si="58"/>
        <v>35</v>
      </c>
      <c r="OZ17" s="53">
        <f t="shared" si="58"/>
        <v>35</v>
      </c>
      <c r="PA17" s="53">
        <f t="shared" si="58"/>
        <v>35</v>
      </c>
      <c r="PB17" s="53">
        <f t="shared" si="58"/>
        <v>35</v>
      </c>
      <c r="PC17" s="53">
        <f t="shared" si="58"/>
        <v>35</v>
      </c>
      <c r="PD17" s="53">
        <f t="shared" si="58"/>
        <v>35</v>
      </c>
      <c r="PE17" s="53">
        <f t="shared" si="58"/>
        <v>35</v>
      </c>
      <c r="PF17" s="53">
        <f t="shared" si="58"/>
        <v>35</v>
      </c>
      <c r="PG17" s="53">
        <f t="shared" si="58"/>
        <v>36</v>
      </c>
      <c r="PH17" s="53">
        <f t="shared" si="58"/>
        <v>36</v>
      </c>
      <c r="PI17" s="53">
        <f t="shared" si="58"/>
        <v>36</v>
      </c>
      <c r="PJ17" s="53">
        <f t="shared" si="58"/>
        <v>36</v>
      </c>
      <c r="PK17" s="53">
        <f t="shared" si="58"/>
        <v>36</v>
      </c>
      <c r="PL17" s="53">
        <f t="shared" si="58"/>
        <v>36</v>
      </c>
      <c r="PM17" s="53">
        <f t="shared" si="58"/>
        <v>36</v>
      </c>
      <c r="PN17" s="53">
        <f t="shared" si="58"/>
        <v>36</v>
      </c>
      <c r="PO17" s="53">
        <f t="shared" si="58"/>
        <v>36</v>
      </c>
      <c r="PP17" s="53">
        <f t="shared" si="58"/>
        <v>36</v>
      </c>
      <c r="PQ17" s="53">
        <f t="shared" si="58"/>
        <v>36</v>
      </c>
      <c r="PR17" s="53">
        <f t="shared" si="58"/>
        <v>36</v>
      </c>
      <c r="PS17" s="53">
        <f t="shared" si="58"/>
        <v>37</v>
      </c>
      <c r="PT17" s="53">
        <f t="shared" si="58"/>
        <v>37</v>
      </c>
      <c r="PU17" s="53">
        <f t="shared" si="58"/>
        <v>37</v>
      </c>
      <c r="PV17" s="53">
        <f t="shared" si="58"/>
        <v>37</v>
      </c>
      <c r="PW17" s="53">
        <f t="shared" si="58"/>
        <v>37</v>
      </c>
      <c r="PX17" s="53">
        <f t="shared" si="58"/>
        <v>37</v>
      </c>
      <c r="PY17" s="53">
        <f t="shared" si="58"/>
        <v>37</v>
      </c>
      <c r="PZ17" s="53">
        <f t="shared" si="58"/>
        <v>37</v>
      </c>
      <c r="QA17" s="53">
        <f t="shared" si="58"/>
        <v>37</v>
      </c>
      <c r="QB17" s="53">
        <f t="shared" si="58"/>
        <v>37</v>
      </c>
      <c r="QC17" s="53">
        <f t="shared" si="58"/>
        <v>37</v>
      </c>
      <c r="QD17" s="53">
        <f t="shared" si="58"/>
        <v>37</v>
      </c>
      <c r="QE17" s="53">
        <f t="shared" si="58"/>
        <v>38</v>
      </c>
      <c r="QF17" s="53">
        <f t="shared" si="58"/>
        <v>38</v>
      </c>
      <c r="QG17" s="53">
        <f t="shared" si="58"/>
        <v>38</v>
      </c>
      <c r="QH17" s="53">
        <f t="shared" si="58"/>
        <v>38</v>
      </c>
      <c r="QI17" s="53">
        <f t="shared" si="58"/>
        <v>38</v>
      </c>
      <c r="QJ17" s="53">
        <f t="shared" si="58"/>
        <v>38</v>
      </c>
      <c r="QK17" s="53">
        <f t="shared" si="58"/>
        <v>38</v>
      </c>
      <c r="QL17" s="53">
        <f t="shared" si="58"/>
        <v>38</v>
      </c>
      <c r="QM17" s="53">
        <f t="shared" si="58"/>
        <v>38</v>
      </c>
      <c r="QN17" s="53">
        <f t="shared" si="58"/>
        <v>38</v>
      </c>
      <c r="QO17" s="53">
        <f t="shared" si="58"/>
        <v>38</v>
      </c>
      <c r="QP17" s="53">
        <f t="shared" si="58"/>
        <v>38</v>
      </c>
      <c r="QQ17" s="53">
        <f t="shared" si="58"/>
        <v>39</v>
      </c>
      <c r="QR17" s="53">
        <f t="shared" si="58"/>
        <v>39</v>
      </c>
      <c r="QS17" s="53">
        <f t="shared" si="58"/>
        <v>39</v>
      </c>
      <c r="QT17" s="53">
        <f t="shared" si="58"/>
        <v>39</v>
      </c>
      <c r="QU17" s="53">
        <f t="shared" si="58"/>
        <v>39</v>
      </c>
      <c r="QV17" s="53">
        <f t="shared" ref="QV17:TG17" si="59">QJ17+1</f>
        <v>39</v>
      </c>
      <c r="QW17" s="53">
        <f t="shared" si="59"/>
        <v>39</v>
      </c>
      <c r="QX17" s="53">
        <f t="shared" si="59"/>
        <v>39</v>
      </c>
      <c r="QY17" s="53">
        <f t="shared" si="59"/>
        <v>39</v>
      </c>
      <c r="QZ17" s="53">
        <f t="shared" si="59"/>
        <v>39</v>
      </c>
      <c r="RA17" s="53">
        <f t="shared" si="59"/>
        <v>39</v>
      </c>
      <c r="RB17" s="53">
        <f t="shared" si="59"/>
        <v>39</v>
      </c>
      <c r="RC17" s="53">
        <f t="shared" si="59"/>
        <v>40</v>
      </c>
      <c r="RD17" s="53">
        <f t="shared" si="59"/>
        <v>40</v>
      </c>
      <c r="RE17" s="53">
        <f t="shared" si="59"/>
        <v>40</v>
      </c>
      <c r="RF17" s="53">
        <f t="shared" si="59"/>
        <v>40</v>
      </c>
      <c r="RG17" s="53">
        <f t="shared" si="59"/>
        <v>40</v>
      </c>
      <c r="RH17" s="53">
        <f t="shared" si="59"/>
        <v>40</v>
      </c>
      <c r="RI17" s="53">
        <f t="shared" si="59"/>
        <v>40</v>
      </c>
      <c r="RJ17" s="53">
        <f t="shared" si="59"/>
        <v>40</v>
      </c>
      <c r="RK17" s="53">
        <f t="shared" si="59"/>
        <v>40</v>
      </c>
      <c r="RL17" s="53">
        <f t="shared" si="59"/>
        <v>40</v>
      </c>
      <c r="RM17" s="53">
        <f t="shared" si="59"/>
        <v>40</v>
      </c>
      <c r="RN17" s="53">
        <f t="shared" si="59"/>
        <v>40</v>
      </c>
      <c r="RO17" s="53">
        <f t="shared" si="59"/>
        <v>41</v>
      </c>
      <c r="RP17" s="53">
        <f t="shared" si="59"/>
        <v>41</v>
      </c>
      <c r="RQ17" s="53">
        <f t="shared" si="59"/>
        <v>41</v>
      </c>
      <c r="RR17" s="53">
        <f t="shared" si="59"/>
        <v>41</v>
      </c>
      <c r="RS17" s="53">
        <f t="shared" si="59"/>
        <v>41</v>
      </c>
      <c r="RT17" s="53">
        <f t="shared" si="59"/>
        <v>41</v>
      </c>
      <c r="RU17" s="53">
        <f t="shared" si="59"/>
        <v>41</v>
      </c>
      <c r="RV17" s="53">
        <f t="shared" si="59"/>
        <v>41</v>
      </c>
      <c r="RW17" s="53">
        <f t="shared" si="59"/>
        <v>41</v>
      </c>
      <c r="RX17" s="53">
        <f t="shared" si="59"/>
        <v>41</v>
      </c>
      <c r="RY17" s="53">
        <f t="shared" si="59"/>
        <v>41</v>
      </c>
      <c r="RZ17" s="53">
        <f t="shared" si="59"/>
        <v>41</v>
      </c>
      <c r="SA17" s="53">
        <f t="shared" si="59"/>
        <v>42</v>
      </c>
      <c r="SB17" s="53">
        <f t="shared" si="59"/>
        <v>42</v>
      </c>
      <c r="SC17" s="53">
        <f t="shared" si="59"/>
        <v>42</v>
      </c>
      <c r="SD17" s="53">
        <f t="shared" si="59"/>
        <v>42</v>
      </c>
      <c r="SE17" s="53">
        <f t="shared" si="59"/>
        <v>42</v>
      </c>
      <c r="SF17" s="53">
        <f t="shared" si="59"/>
        <v>42</v>
      </c>
      <c r="SG17" s="53">
        <f t="shared" si="59"/>
        <v>42</v>
      </c>
      <c r="SH17" s="53">
        <f t="shared" si="59"/>
        <v>42</v>
      </c>
      <c r="SI17" s="53">
        <f t="shared" si="59"/>
        <v>42</v>
      </c>
      <c r="SJ17" s="53">
        <f t="shared" si="59"/>
        <v>42</v>
      </c>
      <c r="SK17" s="53">
        <f t="shared" si="59"/>
        <v>42</v>
      </c>
      <c r="SL17" s="53">
        <f t="shared" si="59"/>
        <v>42</v>
      </c>
      <c r="SM17" s="53">
        <f t="shared" si="59"/>
        <v>43</v>
      </c>
      <c r="SN17" s="53">
        <f t="shared" si="59"/>
        <v>43</v>
      </c>
      <c r="SO17" s="53">
        <f t="shared" si="59"/>
        <v>43</v>
      </c>
      <c r="SP17" s="53">
        <f t="shared" si="59"/>
        <v>43</v>
      </c>
      <c r="SQ17" s="53">
        <f t="shared" si="59"/>
        <v>43</v>
      </c>
      <c r="SR17" s="53">
        <f t="shared" si="59"/>
        <v>43</v>
      </c>
      <c r="SS17" s="53">
        <f t="shared" si="59"/>
        <v>43</v>
      </c>
      <c r="ST17" s="53">
        <f t="shared" si="59"/>
        <v>43</v>
      </c>
      <c r="SU17" s="53">
        <f t="shared" si="59"/>
        <v>43</v>
      </c>
      <c r="SV17" s="53">
        <f t="shared" si="59"/>
        <v>43</v>
      </c>
      <c r="SW17" s="53">
        <f t="shared" si="59"/>
        <v>43</v>
      </c>
      <c r="SX17" s="53">
        <f t="shared" si="59"/>
        <v>43</v>
      </c>
      <c r="SY17" s="53">
        <f t="shared" si="59"/>
        <v>44</v>
      </c>
      <c r="SZ17" s="53">
        <f t="shared" si="59"/>
        <v>44</v>
      </c>
      <c r="TA17" s="53">
        <f t="shared" si="59"/>
        <v>44</v>
      </c>
      <c r="TB17" s="53">
        <f t="shared" si="59"/>
        <v>44</v>
      </c>
      <c r="TC17" s="53">
        <f t="shared" si="59"/>
        <v>44</v>
      </c>
      <c r="TD17" s="53">
        <f t="shared" si="59"/>
        <v>44</v>
      </c>
      <c r="TE17" s="53">
        <f t="shared" si="59"/>
        <v>44</v>
      </c>
      <c r="TF17" s="53">
        <f t="shared" si="59"/>
        <v>44</v>
      </c>
      <c r="TG17" s="53">
        <f t="shared" si="59"/>
        <v>44</v>
      </c>
      <c r="TH17" s="53">
        <f t="shared" ref="TH17:VS17" si="60">SV17+1</f>
        <v>44</v>
      </c>
      <c r="TI17" s="53">
        <f t="shared" si="60"/>
        <v>44</v>
      </c>
      <c r="TJ17" s="53">
        <f t="shared" si="60"/>
        <v>44</v>
      </c>
      <c r="TK17" s="53">
        <f t="shared" si="60"/>
        <v>45</v>
      </c>
      <c r="TL17" s="53">
        <f t="shared" si="60"/>
        <v>45</v>
      </c>
      <c r="TM17" s="53">
        <f t="shared" si="60"/>
        <v>45</v>
      </c>
      <c r="TN17" s="53">
        <f t="shared" si="60"/>
        <v>45</v>
      </c>
      <c r="TO17" s="53">
        <f t="shared" si="60"/>
        <v>45</v>
      </c>
      <c r="TP17" s="53">
        <f t="shared" si="60"/>
        <v>45</v>
      </c>
      <c r="TQ17" s="53">
        <f t="shared" si="60"/>
        <v>45</v>
      </c>
      <c r="TR17" s="53">
        <f t="shared" si="60"/>
        <v>45</v>
      </c>
      <c r="TS17" s="53">
        <f t="shared" si="60"/>
        <v>45</v>
      </c>
      <c r="TT17" s="53">
        <f t="shared" si="60"/>
        <v>45</v>
      </c>
      <c r="TU17" s="53">
        <f t="shared" si="60"/>
        <v>45</v>
      </c>
      <c r="TV17" s="53">
        <f t="shared" si="60"/>
        <v>45</v>
      </c>
      <c r="TW17" s="53">
        <f t="shared" si="60"/>
        <v>46</v>
      </c>
      <c r="TX17" s="53">
        <f t="shared" si="60"/>
        <v>46</v>
      </c>
      <c r="TY17" s="53">
        <f t="shared" si="60"/>
        <v>46</v>
      </c>
      <c r="TZ17" s="53">
        <f t="shared" si="60"/>
        <v>46</v>
      </c>
      <c r="UA17" s="53">
        <f t="shared" si="60"/>
        <v>46</v>
      </c>
      <c r="UB17" s="53">
        <f t="shared" si="60"/>
        <v>46</v>
      </c>
      <c r="UC17" s="53">
        <f t="shared" si="60"/>
        <v>46</v>
      </c>
      <c r="UD17" s="53">
        <f t="shared" si="60"/>
        <v>46</v>
      </c>
      <c r="UE17" s="53">
        <f t="shared" si="60"/>
        <v>46</v>
      </c>
      <c r="UF17" s="53">
        <f t="shared" si="60"/>
        <v>46</v>
      </c>
      <c r="UG17" s="53">
        <f t="shared" si="60"/>
        <v>46</v>
      </c>
      <c r="UH17" s="53">
        <f t="shared" si="60"/>
        <v>46</v>
      </c>
      <c r="UI17" s="53">
        <f t="shared" si="60"/>
        <v>47</v>
      </c>
      <c r="UJ17" s="53">
        <f t="shared" si="60"/>
        <v>47</v>
      </c>
      <c r="UK17" s="53">
        <f t="shared" si="60"/>
        <v>47</v>
      </c>
      <c r="UL17" s="53">
        <f t="shared" si="60"/>
        <v>47</v>
      </c>
      <c r="UM17" s="53">
        <f t="shared" si="60"/>
        <v>47</v>
      </c>
      <c r="UN17" s="53">
        <f t="shared" si="60"/>
        <v>47</v>
      </c>
      <c r="UO17" s="53">
        <f t="shared" si="60"/>
        <v>47</v>
      </c>
      <c r="UP17" s="53">
        <f t="shared" si="60"/>
        <v>47</v>
      </c>
      <c r="UQ17" s="53">
        <f t="shared" si="60"/>
        <v>47</v>
      </c>
      <c r="UR17" s="53">
        <f t="shared" si="60"/>
        <v>47</v>
      </c>
      <c r="US17" s="53">
        <f t="shared" si="60"/>
        <v>47</v>
      </c>
      <c r="UT17" s="53">
        <f t="shared" si="60"/>
        <v>47</v>
      </c>
      <c r="UU17" s="53">
        <f t="shared" si="60"/>
        <v>48</v>
      </c>
      <c r="UV17" s="53">
        <f t="shared" si="60"/>
        <v>48</v>
      </c>
      <c r="UW17" s="53">
        <f t="shared" si="60"/>
        <v>48</v>
      </c>
      <c r="UX17" s="53">
        <f t="shared" si="60"/>
        <v>48</v>
      </c>
      <c r="UY17" s="53">
        <f t="shared" si="60"/>
        <v>48</v>
      </c>
      <c r="UZ17" s="53">
        <f t="shared" si="60"/>
        <v>48</v>
      </c>
      <c r="VA17" s="53">
        <f t="shared" si="60"/>
        <v>48</v>
      </c>
      <c r="VB17" s="53">
        <f t="shared" si="60"/>
        <v>48</v>
      </c>
      <c r="VC17" s="53">
        <f t="shared" si="60"/>
        <v>48</v>
      </c>
      <c r="VD17" s="53">
        <f t="shared" si="60"/>
        <v>48</v>
      </c>
      <c r="VE17" s="53">
        <f t="shared" si="60"/>
        <v>48</v>
      </c>
      <c r="VF17" s="53">
        <f t="shared" si="60"/>
        <v>48</v>
      </c>
      <c r="VG17" s="53">
        <f t="shared" si="60"/>
        <v>49</v>
      </c>
      <c r="VH17" s="53">
        <f t="shared" si="60"/>
        <v>49</v>
      </c>
      <c r="VI17" s="53">
        <f t="shared" si="60"/>
        <v>49</v>
      </c>
      <c r="VJ17" s="53">
        <f t="shared" si="60"/>
        <v>49</v>
      </c>
      <c r="VK17" s="53">
        <f t="shared" si="60"/>
        <v>49</v>
      </c>
      <c r="VL17" s="53">
        <f t="shared" si="60"/>
        <v>49</v>
      </c>
      <c r="VM17" s="53">
        <f t="shared" si="60"/>
        <v>49</v>
      </c>
      <c r="VN17" s="53">
        <f t="shared" si="60"/>
        <v>49</v>
      </c>
      <c r="VO17" s="53">
        <f t="shared" si="60"/>
        <v>49</v>
      </c>
      <c r="VP17" s="53">
        <f t="shared" si="60"/>
        <v>49</v>
      </c>
      <c r="VQ17" s="53">
        <f t="shared" si="60"/>
        <v>49</v>
      </c>
      <c r="VR17" s="53">
        <f t="shared" si="60"/>
        <v>49</v>
      </c>
      <c r="VS17" s="53">
        <f t="shared" si="60"/>
        <v>50</v>
      </c>
      <c r="VT17" s="53">
        <f t="shared" ref="VT17:YE17" si="61">VH17+1</f>
        <v>50</v>
      </c>
      <c r="VU17" s="53">
        <f t="shared" si="61"/>
        <v>50</v>
      </c>
      <c r="VV17" s="53">
        <f t="shared" si="61"/>
        <v>50</v>
      </c>
      <c r="VW17" s="53">
        <f t="shared" si="61"/>
        <v>50</v>
      </c>
      <c r="VX17" s="53">
        <f t="shared" si="61"/>
        <v>50</v>
      </c>
      <c r="VY17" s="53">
        <f t="shared" si="61"/>
        <v>50</v>
      </c>
      <c r="VZ17" s="53">
        <f t="shared" si="61"/>
        <v>50</v>
      </c>
      <c r="WA17" s="53">
        <f t="shared" si="61"/>
        <v>50</v>
      </c>
      <c r="WB17" s="53">
        <f t="shared" si="61"/>
        <v>50</v>
      </c>
      <c r="WC17" s="53">
        <f t="shared" si="61"/>
        <v>50</v>
      </c>
      <c r="WD17" s="53">
        <f t="shared" si="61"/>
        <v>50</v>
      </c>
      <c r="WE17" s="53">
        <f t="shared" si="61"/>
        <v>51</v>
      </c>
      <c r="WF17" s="53">
        <f t="shared" si="61"/>
        <v>51</v>
      </c>
      <c r="WG17" s="53">
        <f t="shared" si="61"/>
        <v>51</v>
      </c>
      <c r="WH17" s="53">
        <f t="shared" si="61"/>
        <v>51</v>
      </c>
      <c r="WI17" s="53">
        <f t="shared" si="61"/>
        <v>51</v>
      </c>
      <c r="WJ17" s="53">
        <f t="shared" si="61"/>
        <v>51</v>
      </c>
      <c r="WK17" s="53">
        <f t="shared" si="61"/>
        <v>51</v>
      </c>
      <c r="WL17" s="53">
        <f t="shared" si="61"/>
        <v>51</v>
      </c>
      <c r="WM17" s="53">
        <f t="shared" si="61"/>
        <v>51</v>
      </c>
      <c r="WN17" s="53">
        <f t="shared" si="61"/>
        <v>51</v>
      </c>
      <c r="WO17" s="53">
        <f t="shared" si="61"/>
        <v>51</v>
      </c>
      <c r="WP17" s="53">
        <f t="shared" si="61"/>
        <v>51</v>
      </c>
      <c r="WQ17" s="53">
        <f t="shared" si="61"/>
        <v>52</v>
      </c>
      <c r="WR17" s="53">
        <f t="shared" si="61"/>
        <v>52</v>
      </c>
      <c r="WS17" s="53">
        <f t="shared" si="61"/>
        <v>52</v>
      </c>
      <c r="WT17" s="53">
        <f t="shared" si="61"/>
        <v>52</v>
      </c>
      <c r="WU17" s="53">
        <f t="shared" si="61"/>
        <v>52</v>
      </c>
      <c r="WV17" s="53">
        <f t="shared" si="61"/>
        <v>52</v>
      </c>
      <c r="WW17" s="53">
        <f t="shared" si="61"/>
        <v>52</v>
      </c>
      <c r="WX17" s="53">
        <f t="shared" si="61"/>
        <v>52</v>
      </c>
      <c r="WY17" s="53">
        <f t="shared" si="61"/>
        <v>52</v>
      </c>
      <c r="WZ17" s="53">
        <f t="shared" si="61"/>
        <v>52</v>
      </c>
      <c r="XA17" s="53">
        <f t="shared" si="61"/>
        <v>52</v>
      </c>
      <c r="XB17" s="53">
        <f t="shared" si="61"/>
        <v>52</v>
      </c>
      <c r="XC17" s="53">
        <f t="shared" si="61"/>
        <v>53</v>
      </c>
      <c r="XD17" s="53">
        <f t="shared" si="61"/>
        <v>53</v>
      </c>
      <c r="XE17" s="53">
        <f t="shared" si="61"/>
        <v>53</v>
      </c>
      <c r="XF17" s="53">
        <f t="shared" si="61"/>
        <v>53</v>
      </c>
      <c r="XG17" s="53">
        <f t="shared" si="61"/>
        <v>53</v>
      </c>
      <c r="XH17" s="53">
        <f t="shared" si="61"/>
        <v>53</v>
      </c>
      <c r="XI17" s="53">
        <f t="shared" si="61"/>
        <v>53</v>
      </c>
      <c r="XJ17" s="53">
        <f t="shared" si="61"/>
        <v>53</v>
      </c>
      <c r="XK17" s="53">
        <f t="shared" si="61"/>
        <v>53</v>
      </c>
      <c r="XL17" s="53">
        <f t="shared" si="61"/>
        <v>53</v>
      </c>
      <c r="XM17" s="53">
        <f t="shared" si="61"/>
        <v>53</v>
      </c>
      <c r="XN17" s="53">
        <f t="shared" si="61"/>
        <v>53</v>
      </c>
      <c r="XO17" s="53">
        <f t="shared" si="61"/>
        <v>54</v>
      </c>
      <c r="XP17" s="53">
        <f t="shared" si="61"/>
        <v>54</v>
      </c>
      <c r="XQ17" s="53">
        <f t="shared" si="61"/>
        <v>54</v>
      </c>
      <c r="XR17" s="53">
        <f t="shared" si="61"/>
        <v>54</v>
      </c>
      <c r="XS17" s="53">
        <f t="shared" si="61"/>
        <v>54</v>
      </c>
      <c r="XT17" s="53">
        <f t="shared" si="61"/>
        <v>54</v>
      </c>
      <c r="XU17" s="53">
        <f t="shared" si="61"/>
        <v>54</v>
      </c>
      <c r="XV17" s="53">
        <f t="shared" si="61"/>
        <v>54</v>
      </c>
      <c r="XW17" s="53">
        <f t="shared" si="61"/>
        <v>54</v>
      </c>
      <c r="XX17" s="53">
        <f t="shared" si="61"/>
        <v>54</v>
      </c>
      <c r="XY17" s="53">
        <f t="shared" si="61"/>
        <v>54</v>
      </c>
      <c r="XZ17" s="53">
        <f t="shared" si="61"/>
        <v>54</v>
      </c>
      <c r="YA17" s="53">
        <f t="shared" si="61"/>
        <v>55</v>
      </c>
      <c r="YB17" s="53">
        <f t="shared" si="61"/>
        <v>55</v>
      </c>
      <c r="YC17" s="53">
        <f t="shared" si="61"/>
        <v>55</v>
      </c>
      <c r="YD17" s="53">
        <f t="shared" si="61"/>
        <v>55</v>
      </c>
      <c r="YE17" s="53">
        <f t="shared" si="61"/>
        <v>55</v>
      </c>
      <c r="YF17" s="53">
        <f t="shared" ref="YF17:AAQ17" si="62">XT17+1</f>
        <v>55</v>
      </c>
      <c r="YG17" s="53">
        <f t="shared" si="62"/>
        <v>55</v>
      </c>
      <c r="YH17" s="53">
        <f t="shared" si="62"/>
        <v>55</v>
      </c>
      <c r="YI17" s="53">
        <f t="shared" si="62"/>
        <v>55</v>
      </c>
      <c r="YJ17" s="53">
        <f t="shared" si="62"/>
        <v>55</v>
      </c>
      <c r="YK17" s="53">
        <f t="shared" si="62"/>
        <v>55</v>
      </c>
      <c r="YL17" s="53">
        <f t="shared" si="62"/>
        <v>55</v>
      </c>
      <c r="YM17" s="53">
        <f t="shared" si="62"/>
        <v>56</v>
      </c>
      <c r="YN17" s="53">
        <f t="shared" si="62"/>
        <v>56</v>
      </c>
      <c r="YO17" s="53">
        <f t="shared" si="62"/>
        <v>56</v>
      </c>
      <c r="YP17" s="53">
        <f t="shared" si="62"/>
        <v>56</v>
      </c>
      <c r="YQ17" s="53">
        <f t="shared" si="62"/>
        <v>56</v>
      </c>
      <c r="YR17" s="53">
        <f t="shared" si="62"/>
        <v>56</v>
      </c>
      <c r="YS17" s="53">
        <f t="shared" si="62"/>
        <v>56</v>
      </c>
      <c r="YT17" s="53">
        <f t="shared" si="62"/>
        <v>56</v>
      </c>
      <c r="YU17" s="53">
        <f t="shared" si="62"/>
        <v>56</v>
      </c>
      <c r="YV17" s="53">
        <f t="shared" si="62"/>
        <v>56</v>
      </c>
      <c r="YW17" s="53">
        <f t="shared" si="62"/>
        <v>56</v>
      </c>
      <c r="YX17" s="53">
        <f t="shared" si="62"/>
        <v>56</v>
      </c>
      <c r="YY17" s="53">
        <f t="shared" si="62"/>
        <v>57</v>
      </c>
      <c r="YZ17" s="53">
        <f t="shared" si="62"/>
        <v>57</v>
      </c>
      <c r="ZA17" s="53">
        <f t="shared" si="62"/>
        <v>57</v>
      </c>
      <c r="ZB17" s="53">
        <f t="shared" si="62"/>
        <v>57</v>
      </c>
      <c r="ZC17" s="53">
        <f t="shared" si="62"/>
        <v>57</v>
      </c>
      <c r="ZD17" s="53">
        <f t="shared" si="62"/>
        <v>57</v>
      </c>
      <c r="ZE17" s="53">
        <f t="shared" si="62"/>
        <v>57</v>
      </c>
      <c r="ZF17" s="53">
        <f t="shared" si="62"/>
        <v>57</v>
      </c>
      <c r="ZG17" s="53">
        <f t="shared" si="62"/>
        <v>57</v>
      </c>
      <c r="ZH17" s="53">
        <f t="shared" si="62"/>
        <v>57</v>
      </c>
      <c r="ZI17" s="53">
        <f t="shared" si="62"/>
        <v>57</v>
      </c>
      <c r="ZJ17" s="53">
        <f t="shared" si="62"/>
        <v>57</v>
      </c>
      <c r="ZK17" s="53">
        <f t="shared" si="62"/>
        <v>58</v>
      </c>
      <c r="ZL17" s="53">
        <f t="shared" si="62"/>
        <v>58</v>
      </c>
      <c r="ZM17" s="53">
        <f t="shared" si="62"/>
        <v>58</v>
      </c>
      <c r="ZN17" s="53">
        <f t="shared" si="62"/>
        <v>58</v>
      </c>
      <c r="ZO17" s="53">
        <f t="shared" si="62"/>
        <v>58</v>
      </c>
      <c r="ZP17" s="53">
        <f t="shared" si="62"/>
        <v>58</v>
      </c>
      <c r="ZQ17" s="53">
        <f t="shared" si="62"/>
        <v>58</v>
      </c>
      <c r="ZR17" s="53">
        <f t="shared" si="62"/>
        <v>58</v>
      </c>
      <c r="ZS17" s="53">
        <f t="shared" si="62"/>
        <v>58</v>
      </c>
      <c r="ZT17" s="53">
        <f t="shared" si="62"/>
        <v>58</v>
      </c>
      <c r="ZU17" s="53">
        <f t="shared" si="62"/>
        <v>58</v>
      </c>
      <c r="ZV17" s="53">
        <f t="shared" si="62"/>
        <v>58</v>
      </c>
      <c r="ZW17" s="53">
        <f t="shared" si="62"/>
        <v>59</v>
      </c>
      <c r="ZX17" s="53">
        <f t="shared" si="62"/>
        <v>59</v>
      </c>
      <c r="ZY17" s="53">
        <f t="shared" si="62"/>
        <v>59</v>
      </c>
      <c r="ZZ17" s="53">
        <f t="shared" si="62"/>
        <v>59</v>
      </c>
      <c r="AAA17" s="53">
        <f t="shared" si="62"/>
        <v>59</v>
      </c>
      <c r="AAB17" s="53">
        <f t="shared" si="62"/>
        <v>59</v>
      </c>
      <c r="AAC17" s="53">
        <f t="shared" si="62"/>
        <v>59</v>
      </c>
      <c r="AAD17" s="53">
        <f t="shared" si="62"/>
        <v>59</v>
      </c>
      <c r="AAE17" s="53">
        <f t="shared" si="62"/>
        <v>59</v>
      </c>
      <c r="AAF17" s="53">
        <f t="shared" si="62"/>
        <v>59</v>
      </c>
      <c r="AAG17" s="53">
        <f t="shared" si="62"/>
        <v>59</v>
      </c>
      <c r="AAH17" s="53">
        <f t="shared" si="62"/>
        <v>59</v>
      </c>
      <c r="AAI17" s="53">
        <f t="shared" si="62"/>
        <v>60</v>
      </c>
      <c r="AAJ17" s="53">
        <f t="shared" si="62"/>
        <v>60</v>
      </c>
      <c r="AAK17" s="53">
        <f t="shared" si="62"/>
        <v>60</v>
      </c>
      <c r="AAL17" s="53">
        <f t="shared" si="62"/>
        <v>60</v>
      </c>
      <c r="AAM17" s="53">
        <f t="shared" si="62"/>
        <v>60</v>
      </c>
      <c r="AAN17" s="53">
        <f t="shared" si="62"/>
        <v>60</v>
      </c>
      <c r="AAO17" s="53">
        <f t="shared" si="62"/>
        <v>60</v>
      </c>
      <c r="AAP17" s="53">
        <f t="shared" si="62"/>
        <v>60</v>
      </c>
      <c r="AAQ17" s="53">
        <f t="shared" si="62"/>
        <v>60</v>
      </c>
      <c r="AAR17" s="53">
        <f t="shared" ref="AAR17:ADC17" si="63">AAF17+1</f>
        <v>60</v>
      </c>
      <c r="AAS17" s="53">
        <f t="shared" si="63"/>
        <v>60</v>
      </c>
      <c r="AAT17" s="53">
        <f t="shared" si="63"/>
        <v>60</v>
      </c>
      <c r="AAU17" s="53">
        <f t="shared" si="63"/>
        <v>61</v>
      </c>
      <c r="AAV17" s="53">
        <f t="shared" si="63"/>
        <v>61</v>
      </c>
      <c r="AAW17" s="53">
        <f t="shared" si="63"/>
        <v>61</v>
      </c>
      <c r="AAX17" s="53">
        <f t="shared" si="63"/>
        <v>61</v>
      </c>
      <c r="AAY17" s="53">
        <f t="shared" si="63"/>
        <v>61</v>
      </c>
      <c r="AAZ17" s="53">
        <f t="shared" si="63"/>
        <v>61</v>
      </c>
      <c r="ABA17" s="53">
        <f t="shared" si="63"/>
        <v>61</v>
      </c>
      <c r="ABB17" s="53">
        <f t="shared" si="63"/>
        <v>61</v>
      </c>
      <c r="ABC17" s="53">
        <f t="shared" si="63"/>
        <v>61</v>
      </c>
      <c r="ABD17" s="53">
        <f t="shared" si="63"/>
        <v>61</v>
      </c>
      <c r="ABE17" s="53">
        <f t="shared" si="63"/>
        <v>61</v>
      </c>
      <c r="ABF17" s="53">
        <f t="shared" si="63"/>
        <v>61</v>
      </c>
      <c r="ABG17" s="53">
        <f t="shared" si="63"/>
        <v>62</v>
      </c>
      <c r="ABH17" s="53">
        <f t="shared" si="63"/>
        <v>62</v>
      </c>
      <c r="ABI17" s="53">
        <f t="shared" si="63"/>
        <v>62</v>
      </c>
      <c r="ABJ17" s="53">
        <f t="shared" si="63"/>
        <v>62</v>
      </c>
      <c r="ABK17" s="53">
        <f t="shared" si="63"/>
        <v>62</v>
      </c>
      <c r="ABL17" s="53">
        <f t="shared" si="63"/>
        <v>62</v>
      </c>
      <c r="ABM17" s="53">
        <f t="shared" si="63"/>
        <v>62</v>
      </c>
      <c r="ABN17" s="53">
        <f t="shared" si="63"/>
        <v>62</v>
      </c>
      <c r="ABO17" s="53">
        <f t="shared" si="63"/>
        <v>62</v>
      </c>
      <c r="ABP17" s="53">
        <f t="shared" si="63"/>
        <v>62</v>
      </c>
      <c r="ABQ17" s="53">
        <f t="shared" si="63"/>
        <v>62</v>
      </c>
      <c r="ABR17" s="53">
        <f t="shared" si="63"/>
        <v>62</v>
      </c>
      <c r="ABS17" s="53">
        <f t="shared" si="63"/>
        <v>63</v>
      </c>
      <c r="ABT17" s="53">
        <f t="shared" si="63"/>
        <v>63</v>
      </c>
      <c r="ABU17" s="53">
        <f t="shared" si="63"/>
        <v>63</v>
      </c>
      <c r="ABV17" s="53">
        <f t="shared" si="63"/>
        <v>63</v>
      </c>
      <c r="ABW17" s="53">
        <f t="shared" si="63"/>
        <v>63</v>
      </c>
      <c r="ABX17" s="53">
        <f t="shared" si="63"/>
        <v>63</v>
      </c>
      <c r="ABY17" s="53">
        <f t="shared" si="63"/>
        <v>63</v>
      </c>
      <c r="ABZ17" s="53">
        <f t="shared" si="63"/>
        <v>63</v>
      </c>
      <c r="ACA17" s="53">
        <f t="shared" si="63"/>
        <v>63</v>
      </c>
      <c r="ACB17" s="53">
        <f t="shared" si="63"/>
        <v>63</v>
      </c>
      <c r="ACC17" s="53">
        <f t="shared" si="63"/>
        <v>63</v>
      </c>
      <c r="ACD17" s="53">
        <f t="shared" si="63"/>
        <v>63</v>
      </c>
      <c r="ACE17" s="53">
        <f t="shared" si="63"/>
        <v>64</v>
      </c>
      <c r="ACF17" s="53">
        <f t="shared" si="63"/>
        <v>64</v>
      </c>
      <c r="ACG17" s="53">
        <f t="shared" si="63"/>
        <v>64</v>
      </c>
      <c r="ACH17" s="53">
        <f t="shared" si="63"/>
        <v>64</v>
      </c>
      <c r="ACI17" s="53">
        <f t="shared" si="63"/>
        <v>64</v>
      </c>
      <c r="ACJ17" s="53">
        <f t="shared" si="63"/>
        <v>64</v>
      </c>
      <c r="ACK17" s="53">
        <f t="shared" si="63"/>
        <v>64</v>
      </c>
      <c r="ACL17" s="53">
        <f t="shared" si="63"/>
        <v>64</v>
      </c>
      <c r="ACM17" s="53">
        <f t="shared" si="63"/>
        <v>64</v>
      </c>
      <c r="ACN17" s="53">
        <f t="shared" si="63"/>
        <v>64</v>
      </c>
      <c r="ACO17" s="53">
        <f t="shared" si="63"/>
        <v>64</v>
      </c>
      <c r="ACP17" s="53">
        <f t="shared" si="63"/>
        <v>64</v>
      </c>
      <c r="ACQ17" s="53">
        <f t="shared" si="63"/>
        <v>65</v>
      </c>
      <c r="ACR17" s="53">
        <f t="shared" si="63"/>
        <v>65</v>
      </c>
      <c r="ACS17" s="53">
        <f t="shared" si="63"/>
        <v>65</v>
      </c>
      <c r="ACT17" s="53">
        <f t="shared" si="63"/>
        <v>65</v>
      </c>
      <c r="ACU17" s="53">
        <f t="shared" si="63"/>
        <v>65</v>
      </c>
      <c r="ACV17" s="53">
        <f t="shared" si="63"/>
        <v>65</v>
      </c>
      <c r="ACW17" s="53">
        <f t="shared" si="63"/>
        <v>65</v>
      </c>
      <c r="ACX17" s="53">
        <f t="shared" si="63"/>
        <v>65</v>
      </c>
      <c r="ACY17" s="53">
        <f t="shared" si="63"/>
        <v>65</v>
      </c>
      <c r="ACZ17" s="53">
        <f t="shared" si="63"/>
        <v>65</v>
      </c>
      <c r="ADA17" s="53">
        <f t="shared" si="63"/>
        <v>65</v>
      </c>
      <c r="ADB17" s="53">
        <f t="shared" si="63"/>
        <v>65</v>
      </c>
      <c r="ADC17" s="53">
        <f t="shared" si="63"/>
        <v>66</v>
      </c>
      <c r="ADD17" s="53">
        <f t="shared" ref="ADD17:AFO17" si="64">ACR17+1</f>
        <v>66</v>
      </c>
      <c r="ADE17" s="53">
        <f t="shared" si="64"/>
        <v>66</v>
      </c>
      <c r="ADF17" s="53">
        <f t="shared" si="64"/>
        <v>66</v>
      </c>
      <c r="ADG17" s="53">
        <f t="shared" si="64"/>
        <v>66</v>
      </c>
      <c r="ADH17" s="53">
        <f t="shared" si="64"/>
        <v>66</v>
      </c>
      <c r="ADI17" s="53">
        <f t="shared" si="64"/>
        <v>66</v>
      </c>
      <c r="ADJ17" s="53">
        <f t="shared" si="64"/>
        <v>66</v>
      </c>
      <c r="ADK17" s="53">
        <f t="shared" si="64"/>
        <v>66</v>
      </c>
      <c r="ADL17" s="53">
        <f t="shared" si="64"/>
        <v>66</v>
      </c>
      <c r="ADM17" s="53">
        <f t="shared" si="64"/>
        <v>66</v>
      </c>
      <c r="ADN17" s="53">
        <f t="shared" si="64"/>
        <v>66</v>
      </c>
      <c r="ADO17" s="53">
        <f t="shared" si="64"/>
        <v>67</v>
      </c>
      <c r="ADP17" s="53">
        <f t="shared" si="64"/>
        <v>67</v>
      </c>
      <c r="ADQ17" s="53">
        <f t="shared" si="64"/>
        <v>67</v>
      </c>
      <c r="ADR17" s="53">
        <f t="shared" si="64"/>
        <v>67</v>
      </c>
      <c r="ADS17" s="53">
        <f t="shared" si="64"/>
        <v>67</v>
      </c>
      <c r="ADT17" s="53">
        <f t="shared" si="64"/>
        <v>67</v>
      </c>
      <c r="ADU17" s="53">
        <f t="shared" si="64"/>
        <v>67</v>
      </c>
      <c r="ADV17" s="53">
        <f t="shared" si="64"/>
        <v>67</v>
      </c>
      <c r="ADW17" s="53">
        <f t="shared" si="64"/>
        <v>67</v>
      </c>
      <c r="ADX17" s="53">
        <f t="shared" si="64"/>
        <v>67</v>
      </c>
      <c r="ADY17" s="53">
        <f t="shared" si="64"/>
        <v>67</v>
      </c>
      <c r="ADZ17" s="53">
        <f t="shared" si="64"/>
        <v>67</v>
      </c>
      <c r="AEA17" s="53">
        <f t="shared" si="64"/>
        <v>68</v>
      </c>
      <c r="AEB17" s="53">
        <f t="shared" si="64"/>
        <v>68</v>
      </c>
      <c r="AEC17" s="53">
        <f t="shared" si="64"/>
        <v>68</v>
      </c>
      <c r="AED17" s="53">
        <f t="shared" si="64"/>
        <v>68</v>
      </c>
      <c r="AEE17" s="53">
        <f t="shared" si="64"/>
        <v>68</v>
      </c>
      <c r="AEF17" s="53">
        <f t="shared" si="64"/>
        <v>68</v>
      </c>
      <c r="AEG17" s="53">
        <f t="shared" si="64"/>
        <v>68</v>
      </c>
      <c r="AEH17" s="53">
        <f t="shared" si="64"/>
        <v>68</v>
      </c>
      <c r="AEI17" s="53">
        <f t="shared" si="64"/>
        <v>68</v>
      </c>
      <c r="AEJ17" s="53">
        <f t="shared" si="64"/>
        <v>68</v>
      </c>
      <c r="AEK17" s="53">
        <f t="shared" si="64"/>
        <v>68</v>
      </c>
      <c r="AEL17" s="53">
        <f t="shared" si="64"/>
        <v>68</v>
      </c>
      <c r="AEM17" s="53">
        <f t="shared" si="64"/>
        <v>69</v>
      </c>
      <c r="AEN17" s="53">
        <f t="shared" si="64"/>
        <v>69</v>
      </c>
      <c r="AEO17" s="53">
        <f t="shared" si="64"/>
        <v>69</v>
      </c>
      <c r="AEP17" s="53">
        <f t="shared" si="64"/>
        <v>69</v>
      </c>
      <c r="AEQ17" s="53">
        <f t="shared" si="64"/>
        <v>69</v>
      </c>
      <c r="AER17" s="53">
        <f t="shared" si="64"/>
        <v>69</v>
      </c>
      <c r="AES17" s="53">
        <f t="shared" si="64"/>
        <v>69</v>
      </c>
      <c r="AET17" s="53">
        <f t="shared" si="64"/>
        <v>69</v>
      </c>
      <c r="AEU17" s="53">
        <f t="shared" si="64"/>
        <v>69</v>
      </c>
      <c r="AEV17" s="53">
        <f t="shared" si="64"/>
        <v>69</v>
      </c>
      <c r="AEW17" s="53">
        <f t="shared" si="64"/>
        <v>69</v>
      </c>
      <c r="AEX17" s="53">
        <f t="shared" si="64"/>
        <v>69</v>
      </c>
      <c r="AEY17" s="53">
        <f t="shared" si="64"/>
        <v>70</v>
      </c>
      <c r="AEZ17" s="53">
        <f t="shared" si="64"/>
        <v>70</v>
      </c>
      <c r="AFA17" s="53">
        <f t="shared" si="64"/>
        <v>70</v>
      </c>
      <c r="AFB17" s="53">
        <f t="shared" si="64"/>
        <v>70</v>
      </c>
      <c r="AFC17" s="53">
        <f t="shared" si="64"/>
        <v>70</v>
      </c>
      <c r="AFD17" s="53">
        <f t="shared" si="64"/>
        <v>70</v>
      </c>
      <c r="AFE17" s="53">
        <f t="shared" si="64"/>
        <v>70</v>
      </c>
      <c r="AFF17" s="53">
        <f t="shared" si="64"/>
        <v>70</v>
      </c>
      <c r="AFG17" s="53">
        <f t="shared" si="64"/>
        <v>70</v>
      </c>
      <c r="AFH17" s="53">
        <f t="shared" si="64"/>
        <v>70</v>
      </c>
      <c r="AFI17" s="53">
        <f t="shared" si="64"/>
        <v>70</v>
      </c>
      <c r="AFJ17" s="53">
        <f t="shared" si="64"/>
        <v>70</v>
      </c>
      <c r="AFK17" s="53">
        <f t="shared" si="64"/>
        <v>71</v>
      </c>
      <c r="AFL17" s="53">
        <f t="shared" si="64"/>
        <v>71</v>
      </c>
      <c r="AFM17" s="53">
        <f t="shared" si="64"/>
        <v>71</v>
      </c>
      <c r="AFN17" s="53">
        <f t="shared" si="64"/>
        <v>71</v>
      </c>
      <c r="AFO17" s="53">
        <f t="shared" si="64"/>
        <v>71</v>
      </c>
      <c r="AFP17" s="53">
        <f t="shared" ref="AFP17:AIA17" si="65">AFD17+1</f>
        <v>71</v>
      </c>
      <c r="AFQ17" s="53">
        <f t="shared" si="65"/>
        <v>71</v>
      </c>
      <c r="AFR17" s="53">
        <f t="shared" si="65"/>
        <v>71</v>
      </c>
      <c r="AFS17" s="53">
        <f t="shared" si="65"/>
        <v>71</v>
      </c>
      <c r="AFT17" s="53">
        <f t="shared" si="65"/>
        <v>71</v>
      </c>
      <c r="AFU17" s="53">
        <f t="shared" si="65"/>
        <v>71</v>
      </c>
      <c r="AFV17" s="53">
        <f t="shared" si="65"/>
        <v>71</v>
      </c>
      <c r="AFW17" s="53">
        <f t="shared" si="65"/>
        <v>72</v>
      </c>
      <c r="AFX17" s="53">
        <f t="shared" si="65"/>
        <v>72</v>
      </c>
      <c r="AFY17" s="53">
        <f t="shared" si="65"/>
        <v>72</v>
      </c>
      <c r="AFZ17" s="53">
        <f t="shared" si="65"/>
        <v>72</v>
      </c>
      <c r="AGA17" s="53">
        <f t="shared" si="65"/>
        <v>72</v>
      </c>
      <c r="AGB17" s="53">
        <f t="shared" si="65"/>
        <v>72</v>
      </c>
      <c r="AGC17" s="53">
        <f t="shared" si="65"/>
        <v>72</v>
      </c>
      <c r="AGD17" s="53">
        <f t="shared" si="65"/>
        <v>72</v>
      </c>
      <c r="AGE17" s="53">
        <f t="shared" si="65"/>
        <v>72</v>
      </c>
      <c r="AGF17" s="53">
        <f t="shared" si="65"/>
        <v>72</v>
      </c>
      <c r="AGG17" s="53">
        <f t="shared" si="65"/>
        <v>72</v>
      </c>
      <c r="AGH17" s="53">
        <f t="shared" si="65"/>
        <v>72</v>
      </c>
      <c r="AGI17" s="53">
        <f t="shared" si="65"/>
        <v>73</v>
      </c>
      <c r="AGJ17" s="53">
        <f t="shared" si="65"/>
        <v>73</v>
      </c>
      <c r="AGK17" s="53">
        <f t="shared" si="65"/>
        <v>73</v>
      </c>
      <c r="AGL17" s="53">
        <f t="shared" si="65"/>
        <v>73</v>
      </c>
      <c r="AGM17" s="53">
        <f t="shared" si="65"/>
        <v>73</v>
      </c>
      <c r="AGN17" s="53">
        <f t="shared" si="65"/>
        <v>73</v>
      </c>
      <c r="AGO17" s="53">
        <f t="shared" si="65"/>
        <v>73</v>
      </c>
      <c r="AGP17" s="53">
        <f t="shared" si="65"/>
        <v>73</v>
      </c>
      <c r="AGQ17" s="53">
        <f t="shared" si="65"/>
        <v>73</v>
      </c>
      <c r="AGR17" s="53">
        <f t="shared" si="65"/>
        <v>73</v>
      </c>
      <c r="AGS17" s="53">
        <f t="shared" si="65"/>
        <v>73</v>
      </c>
      <c r="AGT17" s="53">
        <f t="shared" si="65"/>
        <v>73</v>
      </c>
      <c r="AGU17" s="53">
        <f t="shared" si="65"/>
        <v>74</v>
      </c>
      <c r="AGV17" s="53">
        <f t="shared" si="65"/>
        <v>74</v>
      </c>
      <c r="AGW17" s="53">
        <f t="shared" si="65"/>
        <v>74</v>
      </c>
      <c r="AGX17" s="53">
        <f t="shared" si="65"/>
        <v>74</v>
      </c>
      <c r="AGY17" s="53">
        <f t="shared" si="65"/>
        <v>74</v>
      </c>
      <c r="AGZ17" s="53">
        <f t="shared" si="65"/>
        <v>74</v>
      </c>
      <c r="AHA17" s="53">
        <f t="shared" si="65"/>
        <v>74</v>
      </c>
      <c r="AHB17" s="53">
        <f t="shared" si="65"/>
        <v>74</v>
      </c>
      <c r="AHC17" s="53">
        <f t="shared" si="65"/>
        <v>74</v>
      </c>
      <c r="AHD17" s="53">
        <f t="shared" si="65"/>
        <v>74</v>
      </c>
      <c r="AHE17" s="53">
        <f t="shared" si="65"/>
        <v>74</v>
      </c>
      <c r="AHF17" s="53">
        <f t="shared" si="65"/>
        <v>74</v>
      </c>
      <c r="AHG17" s="53">
        <f t="shared" si="65"/>
        <v>75</v>
      </c>
      <c r="AHH17" s="53">
        <f t="shared" si="65"/>
        <v>75</v>
      </c>
      <c r="AHI17" s="53">
        <f t="shared" si="65"/>
        <v>75</v>
      </c>
      <c r="AHJ17" s="53">
        <f t="shared" si="65"/>
        <v>75</v>
      </c>
      <c r="AHK17" s="53">
        <f t="shared" si="65"/>
        <v>75</v>
      </c>
      <c r="AHL17" s="53">
        <f t="shared" si="65"/>
        <v>75</v>
      </c>
      <c r="AHM17" s="53">
        <f t="shared" si="65"/>
        <v>75</v>
      </c>
      <c r="AHN17" s="53">
        <f t="shared" si="65"/>
        <v>75</v>
      </c>
      <c r="AHO17" s="53">
        <f t="shared" si="65"/>
        <v>75</v>
      </c>
      <c r="AHP17" s="53">
        <f t="shared" si="65"/>
        <v>75</v>
      </c>
      <c r="AHQ17" s="53">
        <f t="shared" si="65"/>
        <v>75</v>
      </c>
      <c r="AHR17" s="53">
        <f t="shared" si="65"/>
        <v>75</v>
      </c>
      <c r="AHS17" s="53">
        <f t="shared" si="65"/>
        <v>76</v>
      </c>
      <c r="AHT17" s="53">
        <f t="shared" si="65"/>
        <v>76</v>
      </c>
      <c r="AHU17" s="53">
        <f t="shared" si="65"/>
        <v>76</v>
      </c>
      <c r="AHV17" s="53">
        <f t="shared" si="65"/>
        <v>76</v>
      </c>
      <c r="AHW17" s="53">
        <f t="shared" si="65"/>
        <v>76</v>
      </c>
      <c r="AHX17" s="53">
        <f t="shared" si="65"/>
        <v>76</v>
      </c>
      <c r="AHY17" s="53">
        <f t="shared" si="65"/>
        <v>76</v>
      </c>
      <c r="AHZ17" s="53">
        <f t="shared" si="65"/>
        <v>76</v>
      </c>
      <c r="AIA17" s="53">
        <f t="shared" si="65"/>
        <v>76</v>
      </c>
      <c r="AIB17" s="53">
        <f t="shared" ref="AIB17:AKM17" si="66">AHP17+1</f>
        <v>76</v>
      </c>
      <c r="AIC17" s="53">
        <f t="shared" si="66"/>
        <v>76</v>
      </c>
      <c r="AID17" s="53">
        <f t="shared" si="66"/>
        <v>76</v>
      </c>
      <c r="AIE17" s="53">
        <f t="shared" si="66"/>
        <v>77</v>
      </c>
      <c r="AIF17" s="53">
        <f t="shared" si="66"/>
        <v>77</v>
      </c>
      <c r="AIG17" s="53">
        <f t="shared" si="66"/>
        <v>77</v>
      </c>
      <c r="AIH17" s="53">
        <f t="shared" si="66"/>
        <v>77</v>
      </c>
      <c r="AII17" s="53">
        <f t="shared" si="66"/>
        <v>77</v>
      </c>
      <c r="AIJ17" s="53">
        <f t="shared" si="66"/>
        <v>77</v>
      </c>
      <c r="AIK17" s="53">
        <f t="shared" si="66"/>
        <v>77</v>
      </c>
      <c r="AIL17" s="53">
        <f t="shared" si="66"/>
        <v>77</v>
      </c>
      <c r="AIM17" s="53">
        <f t="shared" si="66"/>
        <v>77</v>
      </c>
      <c r="AIN17" s="53">
        <f t="shared" si="66"/>
        <v>77</v>
      </c>
      <c r="AIO17" s="53">
        <f t="shared" si="66"/>
        <v>77</v>
      </c>
      <c r="AIP17" s="53">
        <f t="shared" si="66"/>
        <v>77</v>
      </c>
      <c r="AIQ17" s="53">
        <f t="shared" si="66"/>
        <v>78</v>
      </c>
      <c r="AIR17" s="53">
        <f t="shared" si="66"/>
        <v>78</v>
      </c>
      <c r="AIS17" s="53">
        <f t="shared" si="66"/>
        <v>78</v>
      </c>
      <c r="AIT17" s="53">
        <f t="shared" si="66"/>
        <v>78</v>
      </c>
      <c r="AIU17" s="53">
        <f t="shared" si="66"/>
        <v>78</v>
      </c>
      <c r="AIV17" s="53">
        <f t="shared" si="66"/>
        <v>78</v>
      </c>
      <c r="AIW17" s="53">
        <f t="shared" si="66"/>
        <v>78</v>
      </c>
      <c r="AIX17" s="53">
        <f t="shared" si="66"/>
        <v>78</v>
      </c>
      <c r="AIY17" s="53">
        <f t="shared" si="66"/>
        <v>78</v>
      </c>
      <c r="AIZ17" s="53">
        <f t="shared" si="66"/>
        <v>78</v>
      </c>
      <c r="AJA17" s="53">
        <f t="shared" si="66"/>
        <v>78</v>
      </c>
      <c r="AJB17" s="53">
        <f t="shared" si="66"/>
        <v>78</v>
      </c>
      <c r="AJC17" s="53">
        <f t="shared" si="66"/>
        <v>79</v>
      </c>
      <c r="AJD17" s="53">
        <f t="shared" si="66"/>
        <v>79</v>
      </c>
      <c r="AJE17" s="53">
        <f t="shared" si="66"/>
        <v>79</v>
      </c>
      <c r="AJF17" s="53">
        <f t="shared" si="66"/>
        <v>79</v>
      </c>
      <c r="AJG17" s="53">
        <f t="shared" si="66"/>
        <v>79</v>
      </c>
      <c r="AJH17" s="53">
        <f t="shared" si="66"/>
        <v>79</v>
      </c>
      <c r="AJI17" s="53">
        <f t="shared" si="66"/>
        <v>79</v>
      </c>
      <c r="AJJ17" s="53">
        <f t="shared" si="66"/>
        <v>79</v>
      </c>
      <c r="AJK17" s="53">
        <f t="shared" si="66"/>
        <v>79</v>
      </c>
      <c r="AJL17" s="53">
        <f t="shared" si="66"/>
        <v>79</v>
      </c>
      <c r="AJM17" s="53">
        <f t="shared" si="66"/>
        <v>79</v>
      </c>
      <c r="AJN17" s="53">
        <f t="shared" si="66"/>
        <v>79</v>
      </c>
      <c r="AJO17" s="53">
        <f t="shared" si="66"/>
        <v>80</v>
      </c>
      <c r="AJP17" s="53">
        <f t="shared" si="66"/>
        <v>80</v>
      </c>
      <c r="AJQ17" s="53">
        <f t="shared" si="66"/>
        <v>80</v>
      </c>
      <c r="AJR17" s="53">
        <f t="shared" si="66"/>
        <v>80</v>
      </c>
      <c r="AJS17" s="53">
        <f t="shared" si="66"/>
        <v>80</v>
      </c>
      <c r="AJT17" s="53">
        <f t="shared" si="66"/>
        <v>80</v>
      </c>
      <c r="AJU17" s="53">
        <f t="shared" si="66"/>
        <v>80</v>
      </c>
      <c r="AJV17" s="53">
        <f t="shared" si="66"/>
        <v>80</v>
      </c>
      <c r="AJW17" s="53">
        <f t="shared" si="66"/>
        <v>80</v>
      </c>
      <c r="AJX17" s="53">
        <f t="shared" si="66"/>
        <v>80</v>
      </c>
      <c r="AJY17" s="53">
        <f t="shared" si="66"/>
        <v>80</v>
      </c>
      <c r="AJZ17" s="53">
        <f t="shared" si="66"/>
        <v>80</v>
      </c>
      <c r="AKA17" s="53">
        <f t="shared" si="66"/>
        <v>81</v>
      </c>
      <c r="AKB17" s="53">
        <f t="shared" si="66"/>
        <v>81</v>
      </c>
      <c r="AKC17" s="53">
        <f t="shared" si="66"/>
        <v>81</v>
      </c>
      <c r="AKD17" s="53">
        <f t="shared" si="66"/>
        <v>81</v>
      </c>
      <c r="AKE17" s="53">
        <f t="shared" si="66"/>
        <v>81</v>
      </c>
      <c r="AKF17" s="53">
        <f t="shared" si="66"/>
        <v>81</v>
      </c>
      <c r="AKG17" s="53">
        <f t="shared" si="66"/>
        <v>81</v>
      </c>
      <c r="AKH17" s="53">
        <f t="shared" si="66"/>
        <v>81</v>
      </c>
      <c r="AKI17" s="53">
        <f t="shared" si="66"/>
        <v>81</v>
      </c>
      <c r="AKJ17" s="53">
        <f t="shared" si="66"/>
        <v>81</v>
      </c>
      <c r="AKK17" s="53">
        <f t="shared" si="66"/>
        <v>81</v>
      </c>
      <c r="AKL17" s="53">
        <f t="shared" si="66"/>
        <v>81</v>
      </c>
      <c r="AKM17" s="53">
        <f t="shared" si="66"/>
        <v>82</v>
      </c>
      <c r="AKN17" s="53">
        <f t="shared" ref="AKN17:AMY17" si="67">AKB17+1</f>
        <v>82</v>
      </c>
      <c r="AKO17" s="53">
        <f t="shared" si="67"/>
        <v>82</v>
      </c>
      <c r="AKP17" s="53">
        <f t="shared" si="67"/>
        <v>82</v>
      </c>
      <c r="AKQ17" s="53">
        <f t="shared" si="67"/>
        <v>82</v>
      </c>
      <c r="AKR17" s="53">
        <f t="shared" si="67"/>
        <v>82</v>
      </c>
      <c r="AKS17" s="53">
        <f t="shared" si="67"/>
        <v>82</v>
      </c>
      <c r="AKT17" s="53">
        <f t="shared" si="67"/>
        <v>82</v>
      </c>
      <c r="AKU17" s="53">
        <f t="shared" si="67"/>
        <v>82</v>
      </c>
      <c r="AKV17" s="53">
        <f t="shared" si="67"/>
        <v>82</v>
      </c>
      <c r="AKW17" s="53">
        <f t="shared" si="67"/>
        <v>82</v>
      </c>
      <c r="AKX17" s="53">
        <f t="shared" si="67"/>
        <v>82</v>
      </c>
      <c r="AKY17" s="53">
        <f t="shared" si="67"/>
        <v>83</v>
      </c>
      <c r="AKZ17" s="53">
        <f t="shared" si="67"/>
        <v>83</v>
      </c>
      <c r="ALA17" s="53">
        <f t="shared" si="67"/>
        <v>83</v>
      </c>
      <c r="ALB17" s="53">
        <f t="shared" si="67"/>
        <v>83</v>
      </c>
      <c r="ALC17" s="53">
        <f t="shared" si="67"/>
        <v>83</v>
      </c>
      <c r="ALD17" s="53">
        <f t="shared" si="67"/>
        <v>83</v>
      </c>
      <c r="ALE17" s="53">
        <f t="shared" si="67"/>
        <v>83</v>
      </c>
      <c r="ALF17" s="53">
        <f t="shared" si="67"/>
        <v>83</v>
      </c>
      <c r="ALG17" s="53">
        <f t="shared" si="67"/>
        <v>83</v>
      </c>
      <c r="ALH17" s="53">
        <f t="shared" si="67"/>
        <v>83</v>
      </c>
      <c r="ALI17" s="53">
        <f t="shared" si="67"/>
        <v>83</v>
      </c>
      <c r="ALJ17" s="53">
        <f t="shared" si="67"/>
        <v>83</v>
      </c>
      <c r="ALK17" s="53">
        <f t="shared" si="67"/>
        <v>84</v>
      </c>
      <c r="ALL17" s="53">
        <f t="shared" si="67"/>
        <v>84</v>
      </c>
      <c r="ALM17" s="53">
        <f t="shared" si="67"/>
        <v>84</v>
      </c>
      <c r="ALN17" s="53">
        <f t="shared" si="67"/>
        <v>84</v>
      </c>
      <c r="ALO17" s="53">
        <f t="shared" si="67"/>
        <v>84</v>
      </c>
      <c r="ALP17" s="53">
        <f t="shared" si="67"/>
        <v>84</v>
      </c>
      <c r="ALQ17" s="53">
        <f t="shared" si="67"/>
        <v>84</v>
      </c>
      <c r="ALR17" s="53">
        <f t="shared" si="67"/>
        <v>84</v>
      </c>
      <c r="ALS17" s="53">
        <f t="shared" si="67"/>
        <v>84</v>
      </c>
      <c r="ALT17" s="53">
        <f t="shared" si="67"/>
        <v>84</v>
      </c>
      <c r="ALU17" s="53">
        <f t="shared" si="67"/>
        <v>84</v>
      </c>
      <c r="ALV17" s="53">
        <f t="shared" si="67"/>
        <v>84</v>
      </c>
      <c r="ALW17" s="53">
        <f t="shared" si="67"/>
        <v>85</v>
      </c>
      <c r="ALX17" s="53">
        <f t="shared" si="67"/>
        <v>85</v>
      </c>
      <c r="ALY17" s="53">
        <f t="shared" si="67"/>
        <v>85</v>
      </c>
      <c r="ALZ17" s="53">
        <f t="shared" si="67"/>
        <v>85</v>
      </c>
      <c r="AMA17" s="53">
        <f t="shared" si="67"/>
        <v>85</v>
      </c>
      <c r="AMB17" s="53">
        <f t="shared" si="67"/>
        <v>85</v>
      </c>
      <c r="AMC17" s="53">
        <f t="shared" si="67"/>
        <v>85</v>
      </c>
      <c r="AMD17" s="53">
        <f t="shared" si="67"/>
        <v>85</v>
      </c>
      <c r="AME17" s="53">
        <f t="shared" si="67"/>
        <v>85</v>
      </c>
      <c r="AMF17" s="53">
        <f t="shared" si="67"/>
        <v>85</v>
      </c>
      <c r="AMG17" s="53">
        <f t="shared" si="67"/>
        <v>85</v>
      </c>
      <c r="AMH17" s="53">
        <f t="shared" si="67"/>
        <v>85</v>
      </c>
      <c r="AMI17" s="53">
        <f t="shared" si="67"/>
        <v>86</v>
      </c>
      <c r="AMJ17" s="53">
        <f t="shared" si="67"/>
        <v>86</v>
      </c>
      <c r="AMK17" s="53">
        <f t="shared" si="67"/>
        <v>86</v>
      </c>
      <c r="AML17" s="53">
        <f t="shared" si="67"/>
        <v>86</v>
      </c>
      <c r="AMM17" s="53">
        <f t="shared" si="67"/>
        <v>86</v>
      </c>
      <c r="AMN17" s="53">
        <f t="shared" si="67"/>
        <v>86</v>
      </c>
      <c r="AMO17" s="53">
        <f t="shared" si="67"/>
        <v>86</v>
      </c>
      <c r="AMP17" s="53">
        <f t="shared" si="67"/>
        <v>86</v>
      </c>
      <c r="AMQ17" s="53">
        <f t="shared" si="67"/>
        <v>86</v>
      </c>
      <c r="AMR17" s="53">
        <f t="shared" si="67"/>
        <v>86</v>
      </c>
      <c r="AMS17" s="53">
        <f t="shared" si="67"/>
        <v>86</v>
      </c>
      <c r="AMT17" s="53">
        <f t="shared" si="67"/>
        <v>86</v>
      </c>
      <c r="AMU17" s="53">
        <f t="shared" si="67"/>
        <v>87</v>
      </c>
      <c r="AMV17" s="53">
        <f t="shared" si="67"/>
        <v>87</v>
      </c>
      <c r="AMW17" s="53">
        <f t="shared" si="67"/>
        <v>87</v>
      </c>
      <c r="AMX17" s="53">
        <f t="shared" si="67"/>
        <v>87</v>
      </c>
      <c r="AMY17" s="53">
        <f t="shared" si="67"/>
        <v>87</v>
      </c>
      <c r="AMZ17" s="53">
        <f t="shared" ref="AMZ17:AOP17" si="68">AMN17+1</f>
        <v>87</v>
      </c>
      <c r="ANA17" s="53">
        <f t="shared" si="68"/>
        <v>87</v>
      </c>
      <c r="ANB17" s="53">
        <f t="shared" si="68"/>
        <v>87</v>
      </c>
      <c r="ANC17" s="53">
        <f t="shared" si="68"/>
        <v>87</v>
      </c>
      <c r="AND17" s="53">
        <f t="shared" si="68"/>
        <v>87</v>
      </c>
      <c r="ANE17" s="53">
        <f t="shared" si="68"/>
        <v>87</v>
      </c>
      <c r="ANF17" s="53">
        <f t="shared" si="68"/>
        <v>87</v>
      </c>
      <c r="ANG17" s="53">
        <f t="shared" si="68"/>
        <v>88</v>
      </c>
      <c r="ANH17" s="53">
        <f t="shared" si="68"/>
        <v>88</v>
      </c>
      <c r="ANI17" s="53">
        <f t="shared" si="68"/>
        <v>88</v>
      </c>
      <c r="ANJ17" s="53">
        <f t="shared" si="68"/>
        <v>88</v>
      </c>
      <c r="ANK17" s="53">
        <f t="shared" si="68"/>
        <v>88</v>
      </c>
      <c r="ANL17" s="53">
        <f t="shared" si="68"/>
        <v>88</v>
      </c>
      <c r="ANM17" s="53">
        <f t="shared" si="68"/>
        <v>88</v>
      </c>
      <c r="ANN17" s="53">
        <f t="shared" si="68"/>
        <v>88</v>
      </c>
      <c r="ANO17" s="53">
        <f t="shared" si="68"/>
        <v>88</v>
      </c>
      <c r="ANP17" s="53">
        <f t="shared" si="68"/>
        <v>88</v>
      </c>
      <c r="ANQ17" s="53">
        <f t="shared" si="68"/>
        <v>88</v>
      </c>
      <c r="ANR17" s="53">
        <f t="shared" si="68"/>
        <v>88</v>
      </c>
      <c r="ANS17" s="53">
        <f t="shared" si="68"/>
        <v>89</v>
      </c>
      <c r="ANT17" s="53">
        <f t="shared" si="68"/>
        <v>89</v>
      </c>
      <c r="ANU17" s="53">
        <f t="shared" si="68"/>
        <v>89</v>
      </c>
      <c r="ANV17" s="53">
        <f t="shared" si="68"/>
        <v>89</v>
      </c>
      <c r="ANW17" s="53">
        <f t="shared" si="68"/>
        <v>89</v>
      </c>
      <c r="ANX17" s="53">
        <f t="shared" si="68"/>
        <v>89</v>
      </c>
      <c r="ANY17" s="53">
        <f t="shared" si="68"/>
        <v>89</v>
      </c>
      <c r="ANZ17" s="53">
        <f t="shared" si="68"/>
        <v>89</v>
      </c>
      <c r="AOA17" s="53">
        <f t="shared" si="68"/>
        <v>89</v>
      </c>
      <c r="AOB17" s="53">
        <f t="shared" si="68"/>
        <v>89</v>
      </c>
      <c r="AOC17" s="53">
        <f t="shared" si="68"/>
        <v>89</v>
      </c>
      <c r="AOD17" s="53">
        <f t="shared" si="68"/>
        <v>89</v>
      </c>
      <c r="AOE17" s="53">
        <f t="shared" si="68"/>
        <v>90</v>
      </c>
      <c r="AOF17" s="53">
        <f t="shared" si="68"/>
        <v>90</v>
      </c>
      <c r="AOG17" s="53">
        <f t="shared" si="68"/>
        <v>90</v>
      </c>
      <c r="AOH17" s="53">
        <f t="shared" si="68"/>
        <v>90</v>
      </c>
      <c r="AOI17" s="53">
        <f t="shared" si="68"/>
        <v>90</v>
      </c>
      <c r="AOJ17" s="53">
        <f t="shared" si="68"/>
        <v>90</v>
      </c>
      <c r="AOK17" s="53">
        <f t="shared" si="68"/>
        <v>90</v>
      </c>
      <c r="AOL17" s="53">
        <f t="shared" si="68"/>
        <v>90</v>
      </c>
      <c r="AOM17" s="53">
        <f t="shared" si="68"/>
        <v>90</v>
      </c>
      <c r="AON17" s="53">
        <f t="shared" si="68"/>
        <v>90</v>
      </c>
      <c r="AOO17" s="53">
        <f t="shared" si="68"/>
        <v>90</v>
      </c>
      <c r="AOP17" s="53">
        <f t="shared" si="68"/>
        <v>90</v>
      </c>
      <c r="AOQ17" s="53"/>
      <c r="AOR17" s="53"/>
      <c r="AOS17" s="53"/>
      <c r="AOT17" s="53"/>
      <c r="AOU17" s="53"/>
      <c r="AOV17" s="53"/>
      <c r="AOW17" s="53"/>
      <c r="AOX17" s="53"/>
      <c r="AOY17" s="53"/>
      <c r="AOZ17" s="53"/>
      <c r="APA17" s="53"/>
      <c r="APB17" s="53"/>
      <c r="APC17" s="53"/>
      <c r="APD17" s="53"/>
      <c r="APE17" s="53"/>
      <c r="APF17" s="53"/>
      <c r="APG17" s="53"/>
      <c r="APH17" s="53"/>
      <c r="API17" s="53"/>
      <c r="APJ17" s="53"/>
    </row>
    <row r="18" spans="2:1102" x14ac:dyDescent="0.25">
      <c r="B18" s="53" t="s">
        <v>174</v>
      </c>
      <c r="C18" s="53">
        <v>1</v>
      </c>
      <c r="D18" s="53">
        <f t="shared" ref="D18:N18" si="69">C18+1</f>
        <v>2</v>
      </c>
      <c r="E18" s="53">
        <f t="shared" si="69"/>
        <v>3</v>
      </c>
      <c r="F18" s="53">
        <f t="shared" si="69"/>
        <v>4</v>
      </c>
      <c r="G18" s="53">
        <f t="shared" si="69"/>
        <v>5</v>
      </c>
      <c r="H18" s="53">
        <f t="shared" si="69"/>
        <v>6</v>
      </c>
      <c r="I18" s="53">
        <f t="shared" si="69"/>
        <v>7</v>
      </c>
      <c r="J18" s="53">
        <f t="shared" si="69"/>
        <v>8</v>
      </c>
      <c r="K18" s="53">
        <f t="shared" si="69"/>
        <v>9</v>
      </c>
      <c r="L18" s="53">
        <f t="shared" si="69"/>
        <v>10</v>
      </c>
      <c r="M18" s="53">
        <f t="shared" si="69"/>
        <v>11</v>
      </c>
      <c r="N18" s="53">
        <f t="shared" si="69"/>
        <v>12</v>
      </c>
      <c r="O18" s="53">
        <f>C18</f>
        <v>1</v>
      </c>
      <c r="P18" s="53">
        <f t="shared" ref="P18:Z18" si="70">D18</f>
        <v>2</v>
      </c>
      <c r="Q18" s="53">
        <f t="shared" si="70"/>
        <v>3</v>
      </c>
      <c r="R18" s="53">
        <f t="shared" si="70"/>
        <v>4</v>
      </c>
      <c r="S18" s="53">
        <f t="shared" si="70"/>
        <v>5</v>
      </c>
      <c r="T18" s="53">
        <f t="shared" si="70"/>
        <v>6</v>
      </c>
      <c r="U18" s="53">
        <f t="shared" si="70"/>
        <v>7</v>
      </c>
      <c r="V18" s="53">
        <f t="shared" si="70"/>
        <v>8</v>
      </c>
      <c r="W18" s="53">
        <f t="shared" si="70"/>
        <v>9</v>
      </c>
      <c r="X18" s="53">
        <f t="shared" si="70"/>
        <v>10</v>
      </c>
      <c r="Y18" s="53">
        <f t="shared" si="70"/>
        <v>11</v>
      </c>
      <c r="Z18" s="53">
        <f t="shared" si="70"/>
        <v>12</v>
      </c>
      <c r="AA18" s="53">
        <f>O18</f>
        <v>1</v>
      </c>
      <c r="AB18" s="53">
        <f t="shared" ref="AB18:AL18" si="71">P18</f>
        <v>2</v>
      </c>
      <c r="AC18" s="53">
        <f t="shared" si="71"/>
        <v>3</v>
      </c>
      <c r="AD18" s="53">
        <f t="shared" si="71"/>
        <v>4</v>
      </c>
      <c r="AE18" s="53">
        <f t="shared" si="71"/>
        <v>5</v>
      </c>
      <c r="AF18" s="53">
        <f t="shared" si="71"/>
        <v>6</v>
      </c>
      <c r="AG18" s="53">
        <f t="shared" si="71"/>
        <v>7</v>
      </c>
      <c r="AH18" s="53">
        <f t="shared" si="71"/>
        <v>8</v>
      </c>
      <c r="AI18" s="53">
        <f t="shared" si="71"/>
        <v>9</v>
      </c>
      <c r="AJ18" s="53">
        <f t="shared" si="71"/>
        <v>10</v>
      </c>
      <c r="AK18" s="53">
        <f t="shared" si="71"/>
        <v>11</v>
      </c>
      <c r="AL18" s="53">
        <f t="shared" si="71"/>
        <v>12</v>
      </c>
      <c r="AM18" s="53">
        <f>AA18</f>
        <v>1</v>
      </c>
      <c r="AN18" s="53">
        <f t="shared" ref="AN18:AX18" si="72">AB18</f>
        <v>2</v>
      </c>
      <c r="AO18" s="53">
        <f t="shared" si="72"/>
        <v>3</v>
      </c>
      <c r="AP18" s="53">
        <f t="shared" si="72"/>
        <v>4</v>
      </c>
      <c r="AQ18" s="53">
        <f t="shared" si="72"/>
        <v>5</v>
      </c>
      <c r="AR18" s="53">
        <f t="shared" si="72"/>
        <v>6</v>
      </c>
      <c r="AS18" s="53">
        <f t="shared" si="72"/>
        <v>7</v>
      </c>
      <c r="AT18" s="53">
        <f t="shared" si="72"/>
        <v>8</v>
      </c>
      <c r="AU18" s="53">
        <f t="shared" si="72"/>
        <v>9</v>
      </c>
      <c r="AV18" s="53">
        <f t="shared" si="72"/>
        <v>10</v>
      </c>
      <c r="AW18" s="53">
        <f t="shared" si="72"/>
        <v>11</v>
      </c>
      <c r="AX18" s="53">
        <f t="shared" si="72"/>
        <v>12</v>
      </c>
      <c r="AY18" s="53">
        <f>AM18</f>
        <v>1</v>
      </c>
      <c r="AZ18" s="53">
        <f t="shared" ref="AZ18:BJ18" si="73">AN18</f>
        <v>2</v>
      </c>
      <c r="BA18" s="53">
        <f t="shared" si="73"/>
        <v>3</v>
      </c>
      <c r="BB18" s="53">
        <f t="shared" si="73"/>
        <v>4</v>
      </c>
      <c r="BC18" s="53">
        <f t="shared" si="73"/>
        <v>5</v>
      </c>
      <c r="BD18" s="53">
        <f t="shared" si="73"/>
        <v>6</v>
      </c>
      <c r="BE18" s="53">
        <f t="shared" si="73"/>
        <v>7</v>
      </c>
      <c r="BF18" s="53">
        <f t="shared" si="73"/>
        <v>8</v>
      </c>
      <c r="BG18" s="53">
        <f t="shared" si="73"/>
        <v>9</v>
      </c>
      <c r="BH18" s="53">
        <f t="shared" si="73"/>
        <v>10</v>
      </c>
      <c r="BI18" s="53">
        <f t="shared" si="73"/>
        <v>11</v>
      </c>
      <c r="BJ18" s="53">
        <f t="shared" si="73"/>
        <v>12</v>
      </c>
      <c r="BK18" s="53">
        <f>AY18</f>
        <v>1</v>
      </c>
      <c r="BL18" s="53">
        <f t="shared" ref="BL18:BV18" si="74">AZ18</f>
        <v>2</v>
      </c>
      <c r="BM18" s="53">
        <f t="shared" si="74"/>
        <v>3</v>
      </c>
      <c r="BN18" s="53">
        <f t="shared" si="74"/>
        <v>4</v>
      </c>
      <c r="BO18" s="53">
        <f t="shared" si="74"/>
        <v>5</v>
      </c>
      <c r="BP18" s="53">
        <f t="shared" si="74"/>
        <v>6</v>
      </c>
      <c r="BQ18" s="53">
        <f t="shared" si="74"/>
        <v>7</v>
      </c>
      <c r="BR18" s="53">
        <f t="shared" si="74"/>
        <v>8</v>
      </c>
      <c r="BS18" s="53">
        <f t="shared" si="74"/>
        <v>9</v>
      </c>
      <c r="BT18" s="53">
        <f t="shared" si="74"/>
        <v>10</v>
      </c>
      <c r="BU18" s="53">
        <f t="shared" si="74"/>
        <v>11</v>
      </c>
      <c r="BV18" s="53">
        <f t="shared" si="74"/>
        <v>12</v>
      </c>
      <c r="BW18" s="53">
        <f>BK18</f>
        <v>1</v>
      </c>
      <c r="BX18" s="53">
        <f t="shared" ref="BX18:CH18" si="75">BL18</f>
        <v>2</v>
      </c>
      <c r="BY18" s="53">
        <f t="shared" si="75"/>
        <v>3</v>
      </c>
      <c r="BZ18" s="53">
        <f t="shared" si="75"/>
        <v>4</v>
      </c>
      <c r="CA18" s="53">
        <f t="shared" si="75"/>
        <v>5</v>
      </c>
      <c r="CB18" s="53">
        <f t="shared" si="75"/>
        <v>6</v>
      </c>
      <c r="CC18" s="53">
        <f t="shared" si="75"/>
        <v>7</v>
      </c>
      <c r="CD18" s="53">
        <f t="shared" si="75"/>
        <v>8</v>
      </c>
      <c r="CE18" s="53">
        <f t="shared" si="75"/>
        <v>9</v>
      </c>
      <c r="CF18" s="53">
        <f t="shared" si="75"/>
        <v>10</v>
      </c>
      <c r="CG18" s="53">
        <f t="shared" si="75"/>
        <v>11</v>
      </c>
      <c r="CH18" s="53">
        <f t="shared" si="75"/>
        <v>12</v>
      </c>
      <c r="CI18" s="53">
        <f>BW18</f>
        <v>1</v>
      </c>
      <c r="CJ18" s="53">
        <f t="shared" ref="CJ18:CT18" si="76">BX18</f>
        <v>2</v>
      </c>
      <c r="CK18" s="53">
        <f t="shared" si="76"/>
        <v>3</v>
      </c>
      <c r="CL18" s="53">
        <f t="shared" si="76"/>
        <v>4</v>
      </c>
      <c r="CM18" s="53">
        <f t="shared" si="76"/>
        <v>5</v>
      </c>
      <c r="CN18" s="53">
        <f t="shared" si="76"/>
        <v>6</v>
      </c>
      <c r="CO18" s="53">
        <f t="shared" si="76"/>
        <v>7</v>
      </c>
      <c r="CP18" s="53">
        <f t="shared" si="76"/>
        <v>8</v>
      </c>
      <c r="CQ18" s="53">
        <f t="shared" si="76"/>
        <v>9</v>
      </c>
      <c r="CR18" s="53">
        <f t="shared" si="76"/>
        <v>10</v>
      </c>
      <c r="CS18" s="53">
        <f t="shared" si="76"/>
        <v>11</v>
      </c>
      <c r="CT18" s="53">
        <f t="shared" si="76"/>
        <v>12</v>
      </c>
      <c r="CU18" s="53">
        <f>CI18</f>
        <v>1</v>
      </c>
      <c r="CV18" s="53">
        <f t="shared" ref="CV18:DF18" si="77">CJ18</f>
        <v>2</v>
      </c>
      <c r="CW18" s="53">
        <f t="shared" si="77"/>
        <v>3</v>
      </c>
      <c r="CX18" s="53">
        <f t="shared" si="77"/>
        <v>4</v>
      </c>
      <c r="CY18" s="53">
        <f t="shared" si="77"/>
        <v>5</v>
      </c>
      <c r="CZ18" s="53">
        <f t="shared" si="77"/>
        <v>6</v>
      </c>
      <c r="DA18" s="53">
        <f t="shared" si="77"/>
        <v>7</v>
      </c>
      <c r="DB18" s="53">
        <f t="shared" si="77"/>
        <v>8</v>
      </c>
      <c r="DC18" s="53">
        <f t="shared" si="77"/>
        <v>9</v>
      </c>
      <c r="DD18" s="53">
        <f t="shared" si="77"/>
        <v>10</v>
      </c>
      <c r="DE18" s="53">
        <f t="shared" si="77"/>
        <v>11</v>
      </c>
      <c r="DF18" s="53">
        <f t="shared" si="77"/>
        <v>12</v>
      </c>
      <c r="DG18" s="53">
        <f>CU18</f>
        <v>1</v>
      </c>
      <c r="DH18" s="53">
        <f t="shared" ref="DH18:DR18" si="78">CV18</f>
        <v>2</v>
      </c>
      <c r="DI18" s="53">
        <f t="shared" si="78"/>
        <v>3</v>
      </c>
      <c r="DJ18" s="53">
        <f t="shared" si="78"/>
        <v>4</v>
      </c>
      <c r="DK18" s="53">
        <f t="shared" si="78"/>
        <v>5</v>
      </c>
      <c r="DL18" s="53">
        <f t="shared" si="78"/>
        <v>6</v>
      </c>
      <c r="DM18" s="53">
        <f t="shared" si="78"/>
        <v>7</v>
      </c>
      <c r="DN18" s="53">
        <f t="shared" si="78"/>
        <v>8</v>
      </c>
      <c r="DO18" s="53">
        <f t="shared" si="78"/>
        <v>9</v>
      </c>
      <c r="DP18" s="53">
        <f t="shared" si="78"/>
        <v>10</v>
      </c>
      <c r="DQ18" s="53">
        <f t="shared" si="78"/>
        <v>11</v>
      </c>
      <c r="DR18" s="53">
        <f t="shared" si="78"/>
        <v>12</v>
      </c>
      <c r="DS18" s="53">
        <f>DG18</f>
        <v>1</v>
      </c>
      <c r="DT18" s="53">
        <f t="shared" ref="DT18:ED18" si="79">DH18</f>
        <v>2</v>
      </c>
      <c r="DU18" s="53">
        <f t="shared" si="79"/>
        <v>3</v>
      </c>
      <c r="DV18" s="53">
        <f t="shared" si="79"/>
        <v>4</v>
      </c>
      <c r="DW18" s="53">
        <f t="shared" si="79"/>
        <v>5</v>
      </c>
      <c r="DX18" s="53">
        <f t="shared" si="79"/>
        <v>6</v>
      </c>
      <c r="DY18" s="53">
        <f t="shared" si="79"/>
        <v>7</v>
      </c>
      <c r="DZ18" s="53">
        <f t="shared" si="79"/>
        <v>8</v>
      </c>
      <c r="EA18" s="53">
        <f t="shared" si="79"/>
        <v>9</v>
      </c>
      <c r="EB18" s="53">
        <f t="shared" si="79"/>
        <v>10</v>
      </c>
      <c r="EC18" s="53">
        <f t="shared" si="79"/>
        <v>11</v>
      </c>
      <c r="ED18" s="53">
        <f t="shared" si="79"/>
        <v>12</v>
      </c>
      <c r="EE18" s="53">
        <f>DS18</f>
        <v>1</v>
      </c>
      <c r="EF18" s="53">
        <f t="shared" ref="EF18:EP18" si="80">DT18</f>
        <v>2</v>
      </c>
      <c r="EG18" s="53">
        <f t="shared" si="80"/>
        <v>3</v>
      </c>
      <c r="EH18" s="53">
        <f t="shared" si="80"/>
        <v>4</v>
      </c>
      <c r="EI18" s="53">
        <f t="shared" si="80"/>
        <v>5</v>
      </c>
      <c r="EJ18" s="53">
        <f t="shared" si="80"/>
        <v>6</v>
      </c>
      <c r="EK18" s="53">
        <f t="shared" si="80"/>
        <v>7</v>
      </c>
      <c r="EL18" s="53">
        <f t="shared" si="80"/>
        <v>8</v>
      </c>
      <c r="EM18" s="53">
        <f t="shared" si="80"/>
        <v>9</v>
      </c>
      <c r="EN18" s="53">
        <f t="shared" si="80"/>
        <v>10</v>
      </c>
      <c r="EO18" s="53">
        <f t="shared" si="80"/>
        <v>11</v>
      </c>
      <c r="EP18" s="53">
        <f t="shared" si="80"/>
        <v>12</v>
      </c>
      <c r="EQ18" s="53">
        <f>EE18</f>
        <v>1</v>
      </c>
      <c r="ER18" s="53">
        <f t="shared" ref="ER18:FB18" si="81">EF18</f>
        <v>2</v>
      </c>
      <c r="ES18" s="53">
        <f t="shared" si="81"/>
        <v>3</v>
      </c>
      <c r="ET18" s="53">
        <f t="shared" si="81"/>
        <v>4</v>
      </c>
      <c r="EU18" s="53">
        <f t="shared" si="81"/>
        <v>5</v>
      </c>
      <c r="EV18" s="53">
        <f t="shared" si="81"/>
        <v>6</v>
      </c>
      <c r="EW18" s="53">
        <f t="shared" si="81"/>
        <v>7</v>
      </c>
      <c r="EX18" s="53">
        <f t="shared" si="81"/>
        <v>8</v>
      </c>
      <c r="EY18" s="53">
        <f t="shared" si="81"/>
        <v>9</v>
      </c>
      <c r="EZ18" s="53">
        <f t="shared" si="81"/>
        <v>10</v>
      </c>
      <c r="FA18" s="53">
        <f t="shared" si="81"/>
        <v>11</v>
      </c>
      <c r="FB18" s="53">
        <f t="shared" si="81"/>
        <v>12</v>
      </c>
      <c r="FC18" s="53">
        <f>EQ18</f>
        <v>1</v>
      </c>
      <c r="FD18" s="53">
        <f t="shared" ref="FD18:FN18" si="82">ER18</f>
        <v>2</v>
      </c>
      <c r="FE18" s="53">
        <f t="shared" si="82"/>
        <v>3</v>
      </c>
      <c r="FF18" s="53">
        <f t="shared" si="82"/>
        <v>4</v>
      </c>
      <c r="FG18" s="53">
        <f t="shared" si="82"/>
        <v>5</v>
      </c>
      <c r="FH18" s="53">
        <f t="shared" si="82"/>
        <v>6</v>
      </c>
      <c r="FI18" s="53">
        <f t="shared" si="82"/>
        <v>7</v>
      </c>
      <c r="FJ18" s="53">
        <f t="shared" si="82"/>
        <v>8</v>
      </c>
      <c r="FK18" s="53">
        <f t="shared" si="82"/>
        <v>9</v>
      </c>
      <c r="FL18" s="53">
        <f t="shared" si="82"/>
        <v>10</v>
      </c>
      <c r="FM18" s="53">
        <f t="shared" si="82"/>
        <v>11</v>
      </c>
      <c r="FN18" s="53">
        <f t="shared" si="82"/>
        <v>12</v>
      </c>
      <c r="FO18" s="53">
        <f>FC18</f>
        <v>1</v>
      </c>
      <c r="FP18" s="53">
        <f t="shared" ref="FP18:FZ18" si="83">FD18</f>
        <v>2</v>
      </c>
      <c r="FQ18" s="53">
        <f t="shared" si="83"/>
        <v>3</v>
      </c>
      <c r="FR18" s="53">
        <f t="shared" si="83"/>
        <v>4</v>
      </c>
      <c r="FS18" s="53">
        <f t="shared" si="83"/>
        <v>5</v>
      </c>
      <c r="FT18" s="53">
        <f t="shared" si="83"/>
        <v>6</v>
      </c>
      <c r="FU18" s="53">
        <f t="shared" si="83"/>
        <v>7</v>
      </c>
      <c r="FV18" s="53">
        <f t="shared" si="83"/>
        <v>8</v>
      </c>
      <c r="FW18" s="53">
        <f t="shared" si="83"/>
        <v>9</v>
      </c>
      <c r="FX18" s="53">
        <f t="shared" si="83"/>
        <v>10</v>
      </c>
      <c r="FY18" s="53">
        <f t="shared" si="83"/>
        <v>11</v>
      </c>
      <c r="FZ18" s="53">
        <f t="shared" si="83"/>
        <v>12</v>
      </c>
      <c r="GA18" s="53">
        <f>FO18</f>
        <v>1</v>
      </c>
      <c r="GB18" s="53">
        <f t="shared" ref="GB18:GL18" si="84">FP18</f>
        <v>2</v>
      </c>
      <c r="GC18" s="53">
        <f t="shared" si="84"/>
        <v>3</v>
      </c>
      <c r="GD18" s="53">
        <f t="shared" si="84"/>
        <v>4</v>
      </c>
      <c r="GE18" s="53">
        <f t="shared" si="84"/>
        <v>5</v>
      </c>
      <c r="GF18" s="53">
        <f t="shared" si="84"/>
        <v>6</v>
      </c>
      <c r="GG18" s="53">
        <f t="shared" si="84"/>
        <v>7</v>
      </c>
      <c r="GH18" s="53">
        <f t="shared" si="84"/>
        <v>8</v>
      </c>
      <c r="GI18" s="53">
        <f t="shared" si="84"/>
        <v>9</v>
      </c>
      <c r="GJ18" s="53">
        <f t="shared" si="84"/>
        <v>10</v>
      </c>
      <c r="GK18" s="53">
        <f t="shared" si="84"/>
        <v>11</v>
      </c>
      <c r="GL18" s="53">
        <f t="shared" si="84"/>
        <v>12</v>
      </c>
      <c r="GM18" s="53">
        <f>GA18</f>
        <v>1</v>
      </c>
      <c r="GN18" s="53">
        <f t="shared" ref="GN18:GX18" si="85">GB18</f>
        <v>2</v>
      </c>
      <c r="GO18" s="53">
        <f t="shared" si="85"/>
        <v>3</v>
      </c>
      <c r="GP18" s="53">
        <f t="shared" si="85"/>
        <v>4</v>
      </c>
      <c r="GQ18" s="53">
        <f t="shared" si="85"/>
        <v>5</v>
      </c>
      <c r="GR18" s="53">
        <f t="shared" si="85"/>
        <v>6</v>
      </c>
      <c r="GS18" s="53">
        <f t="shared" si="85"/>
        <v>7</v>
      </c>
      <c r="GT18" s="53">
        <f t="shared" si="85"/>
        <v>8</v>
      </c>
      <c r="GU18" s="53">
        <f t="shared" si="85"/>
        <v>9</v>
      </c>
      <c r="GV18" s="53">
        <f t="shared" si="85"/>
        <v>10</v>
      </c>
      <c r="GW18" s="53">
        <f t="shared" si="85"/>
        <v>11</v>
      </c>
      <c r="GX18" s="53">
        <f t="shared" si="85"/>
        <v>12</v>
      </c>
      <c r="GY18" s="53">
        <f>GM18</f>
        <v>1</v>
      </c>
      <c r="GZ18" s="53">
        <f t="shared" ref="GZ18:HJ18" si="86">GN18</f>
        <v>2</v>
      </c>
      <c r="HA18" s="53">
        <f t="shared" si="86"/>
        <v>3</v>
      </c>
      <c r="HB18" s="53">
        <f t="shared" si="86"/>
        <v>4</v>
      </c>
      <c r="HC18" s="53">
        <f t="shared" si="86"/>
        <v>5</v>
      </c>
      <c r="HD18" s="53">
        <f t="shared" si="86"/>
        <v>6</v>
      </c>
      <c r="HE18" s="53">
        <f t="shared" si="86"/>
        <v>7</v>
      </c>
      <c r="HF18" s="53">
        <f t="shared" si="86"/>
        <v>8</v>
      </c>
      <c r="HG18" s="53">
        <f t="shared" si="86"/>
        <v>9</v>
      </c>
      <c r="HH18" s="53">
        <f t="shared" si="86"/>
        <v>10</v>
      </c>
      <c r="HI18" s="53">
        <f t="shared" si="86"/>
        <v>11</v>
      </c>
      <c r="HJ18" s="53">
        <f t="shared" si="86"/>
        <v>12</v>
      </c>
      <c r="HK18" s="53">
        <f>GY18</f>
        <v>1</v>
      </c>
      <c r="HL18" s="53">
        <f t="shared" ref="HL18:HV18" si="87">GZ18</f>
        <v>2</v>
      </c>
      <c r="HM18" s="53">
        <f t="shared" si="87"/>
        <v>3</v>
      </c>
      <c r="HN18" s="53">
        <f t="shared" si="87"/>
        <v>4</v>
      </c>
      <c r="HO18" s="53">
        <f t="shared" si="87"/>
        <v>5</v>
      </c>
      <c r="HP18" s="53">
        <f t="shared" si="87"/>
        <v>6</v>
      </c>
      <c r="HQ18" s="53">
        <f t="shared" si="87"/>
        <v>7</v>
      </c>
      <c r="HR18" s="53">
        <f t="shared" si="87"/>
        <v>8</v>
      </c>
      <c r="HS18" s="53">
        <f t="shared" si="87"/>
        <v>9</v>
      </c>
      <c r="HT18" s="53">
        <f t="shared" si="87"/>
        <v>10</v>
      </c>
      <c r="HU18" s="53">
        <f t="shared" si="87"/>
        <v>11</v>
      </c>
      <c r="HV18" s="53">
        <f t="shared" si="87"/>
        <v>12</v>
      </c>
      <c r="HW18" s="53">
        <f>HK18</f>
        <v>1</v>
      </c>
      <c r="HX18" s="53">
        <f t="shared" ref="HX18:IH18" si="88">HL18</f>
        <v>2</v>
      </c>
      <c r="HY18" s="53">
        <f t="shared" si="88"/>
        <v>3</v>
      </c>
      <c r="HZ18" s="53">
        <f t="shared" si="88"/>
        <v>4</v>
      </c>
      <c r="IA18" s="53">
        <f t="shared" si="88"/>
        <v>5</v>
      </c>
      <c r="IB18" s="53">
        <f t="shared" si="88"/>
        <v>6</v>
      </c>
      <c r="IC18" s="53">
        <f t="shared" si="88"/>
        <v>7</v>
      </c>
      <c r="ID18" s="53">
        <f t="shared" si="88"/>
        <v>8</v>
      </c>
      <c r="IE18" s="53">
        <f t="shared" si="88"/>
        <v>9</v>
      </c>
      <c r="IF18" s="53">
        <f t="shared" si="88"/>
        <v>10</v>
      </c>
      <c r="IG18" s="53">
        <f t="shared" si="88"/>
        <v>11</v>
      </c>
      <c r="IH18" s="53">
        <f t="shared" si="88"/>
        <v>12</v>
      </c>
      <c r="II18" s="53">
        <f>HW18</f>
        <v>1</v>
      </c>
      <c r="IJ18" s="53">
        <f t="shared" ref="IJ18:IT18" si="89">HX18</f>
        <v>2</v>
      </c>
      <c r="IK18" s="53">
        <f t="shared" si="89"/>
        <v>3</v>
      </c>
      <c r="IL18" s="53">
        <f t="shared" si="89"/>
        <v>4</v>
      </c>
      <c r="IM18" s="53">
        <f t="shared" si="89"/>
        <v>5</v>
      </c>
      <c r="IN18" s="53">
        <f t="shared" si="89"/>
        <v>6</v>
      </c>
      <c r="IO18" s="53">
        <f t="shared" si="89"/>
        <v>7</v>
      </c>
      <c r="IP18" s="53">
        <f t="shared" si="89"/>
        <v>8</v>
      </c>
      <c r="IQ18" s="53">
        <f t="shared" si="89"/>
        <v>9</v>
      </c>
      <c r="IR18" s="53">
        <f t="shared" si="89"/>
        <v>10</v>
      </c>
      <c r="IS18" s="53">
        <f t="shared" si="89"/>
        <v>11</v>
      </c>
      <c r="IT18" s="53">
        <f t="shared" si="89"/>
        <v>12</v>
      </c>
      <c r="IU18" s="53">
        <f>II18</f>
        <v>1</v>
      </c>
      <c r="IV18" s="53">
        <f t="shared" ref="IV18:JF18" si="90">IJ18</f>
        <v>2</v>
      </c>
      <c r="IW18" s="53">
        <f t="shared" si="90"/>
        <v>3</v>
      </c>
      <c r="IX18" s="53">
        <f t="shared" si="90"/>
        <v>4</v>
      </c>
      <c r="IY18" s="53">
        <f t="shared" si="90"/>
        <v>5</v>
      </c>
      <c r="IZ18" s="53">
        <f t="shared" si="90"/>
        <v>6</v>
      </c>
      <c r="JA18" s="53">
        <f t="shared" si="90"/>
        <v>7</v>
      </c>
      <c r="JB18" s="53">
        <f t="shared" si="90"/>
        <v>8</v>
      </c>
      <c r="JC18" s="53">
        <f t="shared" si="90"/>
        <v>9</v>
      </c>
      <c r="JD18" s="53">
        <f t="shared" si="90"/>
        <v>10</v>
      </c>
      <c r="JE18" s="53">
        <f t="shared" si="90"/>
        <v>11</v>
      </c>
      <c r="JF18" s="53">
        <f t="shared" si="90"/>
        <v>12</v>
      </c>
      <c r="JG18" s="53">
        <f>IU18</f>
        <v>1</v>
      </c>
      <c r="JH18" s="53">
        <f t="shared" ref="JH18:JR18" si="91">IV18</f>
        <v>2</v>
      </c>
      <c r="JI18" s="53">
        <f t="shared" si="91"/>
        <v>3</v>
      </c>
      <c r="JJ18" s="53">
        <f t="shared" si="91"/>
        <v>4</v>
      </c>
      <c r="JK18" s="53">
        <f t="shared" si="91"/>
        <v>5</v>
      </c>
      <c r="JL18" s="53">
        <f t="shared" si="91"/>
        <v>6</v>
      </c>
      <c r="JM18" s="53">
        <f t="shared" si="91"/>
        <v>7</v>
      </c>
      <c r="JN18" s="53">
        <f t="shared" si="91"/>
        <v>8</v>
      </c>
      <c r="JO18" s="53">
        <f t="shared" si="91"/>
        <v>9</v>
      </c>
      <c r="JP18" s="53">
        <f t="shared" si="91"/>
        <v>10</v>
      </c>
      <c r="JQ18" s="53">
        <f t="shared" si="91"/>
        <v>11</v>
      </c>
      <c r="JR18" s="53">
        <f t="shared" si="91"/>
        <v>12</v>
      </c>
      <c r="JS18" s="53">
        <f>JG18</f>
        <v>1</v>
      </c>
      <c r="JT18" s="53">
        <f t="shared" ref="JT18:KD18" si="92">JH18</f>
        <v>2</v>
      </c>
      <c r="JU18" s="53">
        <f t="shared" si="92"/>
        <v>3</v>
      </c>
      <c r="JV18" s="53">
        <f t="shared" si="92"/>
        <v>4</v>
      </c>
      <c r="JW18" s="53">
        <f t="shared" si="92"/>
        <v>5</v>
      </c>
      <c r="JX18" s="53">
        <f t="shared" si="92"/>
        <v>6</v>
      </c>
      <c r="JY18" s="53">
        <f t="shared" si="92"/>
        <v>7</v>
      </c>
      <c r="JZ18" s="53">
        <f t="shared" si="92"/>
        <v>8</v>
      </c>
      <c r="KA18" s="53">
        <f t="shared" si="92"/>
        <v>9</v>
      </c>
      <c r="KB18" s="53">
        <f t="shared" si="92"/>
        <v>10</v>
      </c>
      <c r="KC18" s="53">
        <f t="shared" si="92"/>
        <v>11</v>
      </c>
      <c r="KD18" s="53">
        <f t="shared" si="92"/>
        <v>12</v>
      </c>
      <c r="KE18" s="53">
        <f>JS18</f>
        <v>1</v>
      </c>
      <c r="KF18" s="53">
        <f t="shared" ref="KF18:KP18" si="93">JT18</f>
        <v>2</v>
      </c>
      <c r="KG18" s="53">
        <f t="shared" si="93"/>
        <v>3</v>
      </c>
      <c r="KH18" s="53">
        <f t="shared" si="93"/>
        <v>4</v>
      </c>
      <c r="KI18" s="53">
        <f t="shared" si="93"/>
        <v>5</v>
      </c>
      <c r="KJ18" s="53">
        <f t="shared" si="93"/>
        <v>6</v>
      </c>
      <c r="KK18" s="53">
        <f t="shared" si="93"/>
        <v>7</v>
      </c>
      <c r="KL18" s="53">
        <f t="shared" si="93"/>
        <v>8</v>
      </c>
      <c r="KM18" s="53">
        <f t="shared" si="93"/>
        <v>9</v>
      </c>
      <c r="KN18" s="53">
        <f t="shared" si="93"/>
        <v>10</v>
      </c>
      <c r="KO18" s="53">
        <f t="shared" si="93"/>
        <v>11</v>
      </c>
      <c r="KP18" s="53">
        <f t="shared" si="93"/>
        <v>12</v>
      </c>
      <c r="KQ18" s="53">
        <f>KE18</f>
        <v>1</v>
      </c>
      <c r="KR18" s="53">
        <f t="shared" ref="KR18:LB18" si="94">KF18</f>
        <v>2</v>
      </c>
      <c r="KS18" s="53">
        <f t="shared" si="94"/>
        <v>3</v>
      </c>
      <c r="KT18" s="53">
        <f t="shared" si="94"/>
        <v>4</v>
      </c>
      <c r="KU18" s="53">
        <f t="shared" si="94"/>
        <v>5</v>
      </c>
      <c r="KV18" s="53">
        <f t="shared" si="94"/>
        <v>6</v>
      </c>
      <c r="KW18" s="53">
        <f t="shared" si="94"/>
        <v>7</v>
      </c>
      <c r="KX18" s="53">
        <f t="shared" si="94"/>
        <v>8</v>
      </c>
      <c r="KY18" s="53">
        <f t="shared" si="94"/>
        <v>9</v>
      </c>
      <c r="KZ18" s="53">
        <f t="shared" si="94"/>
        <v>10</v>
      </c>
      <c r="LA18" s="53">
        <f t="shared" si="94"/>
        <v>11</v>
      </c>
      <c r="LB18" s="53">
        <f t="shared" si="94"/>
        <v>12</v>
      </c>
      <c r="LC18" s="53">
        <f>KQ18</f>
        <v>1</v>
      </c>
      <c r="LD18" s="53">
        <f t="shared" ref="LD18:LN18" si="95">KR18</f>
        <v>2</v>
      </c>
      <c r="LE18" s="53">
        <f t="shared" si="95"/>
        <v>3</v>
      </c>
      <c r="LF18" s="53">
        <f t="shared" si="95"/>
        <v>4</v>
      </c>
      <c r="LG18" s="53">
        <f t="shared" si="95"/>
        <v>5</v>
      </c>
      <c r="LH18" s="53">
        <f t="shared" si="95"/>
        <v>6</v>
      </c>
      <c r="LI18" s="53">
        <f t="shared" si="95"/>
        <v>7</v>
      </c>
      <c r="LJ18" s="53">
        <f t="shared" si="95"/>
        <v>8</v>
      </c>
      <c r="LK18" s="53">
        <f t="shared" si="95"/>
        <v>9</v>
      </c>
      <c r="LL18" s="53">
        <f t="shared" si="95"/>
        <v>10</v>
      </c>
      <c r="LM18" s="53">
        <f t="shared" si="95"/>
        <v>11</v>
      </c>
      <c r="LN18" s="53">
        <f t="shared" si="95"/>
        <v>12</v>
      </c>
      <c r="LO18" s="53">
        <f>LC18</f>
        <v>1</v>
      </c>
      <c r="LP18" s="53">
        <f t="shared" ref="LP18:LZ18" si="96">LD18</f>
        <v>2</v>
      </c>
      <c r="LQ18" s="53">
        <f t="shared" si="96"/>
        <v>3</v>
      </c>
      <c r="LR18" s="53">
        <f t="shared" si="96"/>
        <v>4</v>
      </c>
      <c r="LS18" s="53">
        <f t="shared" si="96"/>
        <v>5</v>
      </c>
      <c r="LT18" s="53">
        <f t="shared" si="96"/>
        <v>6</v>
      </c>
      <c r="LU18" s="53">
        <f t="shared" si="96"/>
        <v>7</v>
      </c>
      <c r="LV18" s="53">
        <f t="shared" si="96"/>
        <v>8</v>
      </c>
      <c r="LW18" s="53">
        <f t="shared" si="96"/>
        <v>9</v>
      </c>
      <c r="LX18" s="53">
        <f t="shared" si="96"/>
        <v>10</v>
      </c>
      <c r="LY18" s="53">
        <f t="shared" si="96"/>
        <v>11</v>
      </c>
      <c r="LZ18" s="53">
        <f t="shared" si="96"/>
        <v>12</v>
      </c>
      <c r="MA18" s="53">
        <f>LO18</f>
        <v>1</v>
      </c>
      <c r="MB18" s="53">
        <f t="shared" ref="MB18:ML18" si="97">LP18</f>
        <v>2</v>
      </c>
      <c r="MC18" s="53">
        <f t="shared" si="97"/>
        <v>3</v>
      </c>
      <c r="MD18" s="53">
        <f t="shared" si="97"/>
        <v>4</v>
      </c>
      <c r="ME18" s="53">
        <f t="shared" si="97"/>
        <v>5</v>
      </c>
      <c r="MF18" s="53">
        <f t="shared" si="97"/>
        <v>6</v>
      </c>
      <c r="MG18" s="53">
        <f t="shared" si="97"/>
        <v>7</v>
      </c>
      <c r="MH18" s="53">
        <f t="shared" si="97"/>
        <v>8</v>
      </c>
      <c r="MI18" s="53">
        <f t="shared" si="97"/>
        <v>9</v>
      </c>
      <c r="MJ18" s="53">
        <f t="shared" si="97"/>
        <v>10</v>
      </c>
      <c r="MK18" s="53">
        <f t="shared" si="97"/>
        <v>11</v>
      </c>
      <c r="ML18" s="53">
        <f t="shared" si="97"/>
        <v>12</v>
      </c>
      <c r="MM18" s="53">
        <f>MA18</f>
        <v>1</v>
      </c>
      <c r="MN18" s="53">
        <f t="shared" ref="MN18:MX18" si="98">MB18</f>
        <v>2</v>
      </c>
      <c r="MO18" s="53">
        <f t="shared" si="98"/>
        <v>3</v>
      </c>
      <c r="MP18" s="53">
        <f t="shared" si="98"/>
        <v>4</v>
      </c>
      <c r="MQ18" s="53">
        <f t="shared" si="98"/>
        <v>5</v>
      </c>
      <c r="MR18" s="53">
        <f t="shared" si="98"/>
        <v>6</v>
      </c>
      <c r="MS18" s="53">
        <f t="shared" si="98"/>
        <v>7</v>
      </c>
      <c r="MT18" s="53">
        <f t="shared" si="98"/>
        <v>8</v>
      </c>
      <c r="MU18" s="53">
        <f t="shared" si="98"/>
        <v>9</v>
      </c>
      <c r="MV18" s="53">
        <f t="shared" si="98"/>
        <v>10</v>
      </c>
      <c r="MW18" s="53">
        <f t="shared" si="98"/>
        <v>11</v>
      </c>
      <c r="MX18" s="53">
        <f t="shared" si="98"/>
        <v>12</v>
      </c>
      <c r="MY18" s="53">
        <f>MM18</f>
        <v>1</v>
      </c>
      <c r="MZ18" s="53">
        <f t="shared" ref="MZ18:NJ18" si="99">MN18</f>
        <v>2</v>
      </c>
      <c r="NA18" s="53">
        <f t="shared" si="99"/>
        <v>3</v>
      </c>
      <c r="NB18" s="53">
        <f t="shared" si="99"/>
        <v>4</v>
      </c>
      <c r="NC18" s="53">
        <f t="shared" si="99"/>
        <v>5</v>
      </c>
      <c r="ND18" s="53">
        <f t="shared" si="99"/>
        <v>6</v>
      </c>
      <c r="NE18" s="53">
        <f t="shared" si="99"/>
        <v>7</v>
      </c>
      <c r="NF18" s="53">
        <f t="shared" si="99"/>
        <v>8</v>
      </c>
      <c r="NG18" s="53">
        <f t="shared" si="99"/>
        <v>9</v>
      </c>
      <c r="NH18" s="53">
        <f t="shared" si="99"/>
        <v>10</v>
      </c>
      <c r="NI18" s="53">
        <f t="shared" si="99"/>
        <v>11</v>
      </c>
      <c r="NJ18" s="53">
        <f t="shared" si="99"/>
        <v>12</v>
      </c>
      <c r="NK18" s="53">
        <f>MY18</f>
        <v>1</v>
      </c>
      <c r="NL18" s="53">
        <f t="shared" ref="NL18:NV18" si="100">MZ18</f>
        <v>2</v>
      </c>
      <c r="NM18" s="53">
        <f t="shared" si="100"/>
        <v>3</v>
      </c>
      <c r="NN18" s="53">
        <f t="shared" si="100"/>
        <v>4</v>
      </c>
      <c r="NO18" s="53">
        <f t="shared" si="100"/>
        <v>5</v>
      </c>
      <c r="NP18" s="53">
        <f t="shared" si="100"/>
        <v>6</v>
      </c>
      <c r="NQ18" s="53">
        <f t="shared" si="100"/>
        <v>7</v>
      </c>
      <c r="NR18" s="53">
        <f t="shared" si="100"/>
        <v>8</v>
      </c>
      <c r="NS18" s="53">
        <f t="shared" si="100"/>
        <v>9</v>
      </c>
      <c r="NT18" s="53">
        <f t="shared" si="100"/>
        <v>10</v>
      </c>
      <c r="NU18" s="53">
        <f t="shared" si="100"/>
        <v>11</v>
      </c>
      <c r="NV18" s="53">
        <f t="shared" si="100"/>
        <v>12</v>
      </c>
      <c r="NW18" s="53">
        <f>NK18</f>
        <v>1</v>
      </c>
      <c r="NX18" s="53">
        <f t="shared" ref="NX18:OH18" si="101">NL18</f>
        <v>2</v>
      </c>
      <c r="NY18" s="53">
        <f t="shared" si="101"/>
        <v>3</v>
      </c>
      <c r="NZ18" s="53">
        <f t="shared" si="101"/>
        <v>4</v>
      </c>
      <c r="OA18" s="53">
        <f t="shared" si="101"/>
        <v>5</v>
      </c>
      <c r="OB18" s="53">
        <f t="shared" si="101"/>
        <v>6</v>
      </c>
      <c r="OC18" s="53">
        <f t="shared" si="101"/>
        <v>7</v>
      </c>
      <c r="OD18" s="53">
        <f t="shared" si="101"/>
        <v>8</v>
      </c>
      <c r="OE18" s="53">
        <f t="shared" si="101"/>
        <v>9</v>
      </c>
      <c r="OF18" s="53">
        <f t="shared" si="101"/>
        <v>10</v>
      </c>
      <c r="OG18" s="53">
        <f t="shared" si="101"/>
        <v>11</v>
      </c>
      <c r="OH18" s="53">
        <f t="shared" si="101"/>
        <v>12</v>
      </c>
      <c r="OI18" s="53">
        <f>NW18</f>
        <v>1</v>
      </c>
      <c r="OJ18" s="53">
        <f t="shared" ref="OJ18:OT18" si="102">NX18</f>
        <v>2</v>
      </c>
      <c r="OK18" s="53">
        <f t="shared" si="102"/>
        <v>3</v>
      </c>
      <c r="OL18" s="53">
        <f t="shared" si="102"/>
        <v>4</v>
      </c>
      <c r="OM18" s="53">
        <f t="shared" si="102"/>
        <v>5</v>
      </c>
      <c r="ON18" s="53">
        <f t="shared" si="102"/>
        <v>6</v>
      </c>
      <c r="OO18" s="53">
        <f t="shared" si="102"/>
        <v>7</v>
      </c>
      <c r="OP18" s="53">
        <f t="shared" si="102"/>
        <v>8</v>
      </c>
      <c r="OQ18" s="53">
        <f t="shared" si="102"/>
        <v>9</v>
      </c>
      <c r="OR18" s="53">
        <f t="shared" si="102"/>
        <v>10</v>
      </c>
      <c r="OS18" s="53">
        <f t="shared" si="102"/>
        <v>11</v>
      </c>
      <c r="OT18" s="53">
        <f t="shared" si="102"/>
        <v>12</v>
      </c>
      <c r="OU18" s="53">
        <f>OI18</f>
        <v>1</v>
      </c>
      <c r="OV18" s="53">
        <f t="shared" ref="OV18:PF18" si="103">OJ18</f>
        <v>2</v>
      </c>
      <c r="OW18" s="53">
        <f t="shared" si="103"/>
        <v>3</v>
      </c>
      <c r="OX18" s="53">
        <f t="shared" si="103"/>
        <v>4</v>
      </c>
      <c r="OY18" s="53">
        <f t="shared" si="103"/>
        <v>5</v>
      </c>
      <c r="OZ18" s="53">
        <f t="shared" si="103"/>
        <v>6</v>
      </c>
      <c r="PA18" s="53">
        <f t="shared" si="103"/>
        <v>7</v>
      </c>
      <c r="PB18" s="53">
        <f t="shared" si="103"/>
        <v>8</v>
      </c>
      <c r="PC18" s="53">
        <f t="shared" si="103"/>
        <v>9</v>
      </c>
      <c r="PD18" s="53">
        <f t="shared" si="103"/>
        <v>10</v>
      </c>
      <c r="PE18" s="53">
        <f t="shared" si="103"/>
        <v>11</v>
      </c>
      <c r="PF18" s="53">
        <f t="shared" si="103"/>
        <v>12</v>
      </c>
      <c r="PG18" s="53">
        <f>OU18</f>
        <v>1</v>
      </c>
      <c r="PH18" s="53">
        <f t="shared" ref="PH18:PR18" si="104">OV18</f>
        <v>2</v>
      </c>
      <c r="PI18" s="53">
        <f t="shared" si="104"/>
        <v>3</v>
      </c>
      <c r="PJ18" s="53">
        <f t="shared" si="104"/>
        <v>4</v>
      </c>
      <c r="PK18" s="53">
        <f t="shared" si="104"/>
        <v>5</v>
      </c>
      <c r="PL18" s="53">
        <f t="shared" si="104"/>
        <v>6</v>
      </c>
      <c r="PM18" s="53">
        <f t="shared" si="104"/>
        <v>7</v>
      </c>
      <c r="PN18" s="53">
        <f t="shared" si="104"/>
        <v>8</v>
      </c>
      <c r="PO18" s="53">
        <f t="shared" si="104"/>
        <v>9</v>
      </c>
      <c r="PP18" s="53">
        <f t="shared" si="104"/>
        <v>10</v>
      </c>
      <c r="PQ18" s="53">
        <f t="shared" si="104"/>
        <v>11</v>
      </c>
      <c r="PR18" s="53">
        <f t="shared" si="104"/>
        <v>12</v>
      </c>
      <c r="PS18" s="53">
        <f>PG18</f>
        <v>1</v>
      </c>
      <c r="PT18" s="53">
        <f t="shared" ref="PT18:QD18" si="105">PH18</f>
        <v>2</v>
      </c>
      <c r="PU18" s="53">
        <f t="shared" si="105"/>
        <v>3</v>
      </c>
      <c r="PV18" s="53">
        <f t="shared" si="105"/>
        <v>4</v>
      </c>
      <c r="PW18" s="53">
        <f t="shared" si="105"/>
        <v>5</v>
      </c>
      <c r="PX18" s="53">
        <f t="shared" si="105"/>
        <v>6</v>
      </c>
      <c r="PY18" s="53">
        <f t="shared" si="105"/>
        <v>7</v>
      </c>
      <c r="PZ18" s="53">
        <f t="shared" si="105"/>
        <v>8</v>
      </c>
      <c r="QA18" s="53">
        <f t="shared" si="105"/>
        <v>9</v>
      </c>
      <c r="QB18" s="53">
        <f t="shared" si="105"/>
        <v>10</v>
      </c>
      <c r="QC18" s="53">
        <f t="shared" si="105"/>
        <v>11</v>
      </c>
      <c r="QD18" s="53">
        <f t="shared" si="105"/>
        <v>12</v>
      </c>
      <c r="QE18" s="53">
        <f>PS18</f>
        <v>1</v>
      </c>
      <c r="QF18" s="53">
        <f t="shared" ref="QF18:QP18" si="106">PT18</f>
        <v>2</v>
      </c>
      <c r="QG18" s="53">
        <f t="shared" si="106"/>
        <v>3</v>
      </c>
      <c r="QH18" s="53">
        <f t="shared" si="106"/>
        <v>4</v>
      </c>
      <c r="QI18" s="53">
        <f t="shared" si="106"/>
        <v>5</v>
      </c>
      <c r="QJ18" s="53">
        <f t="shared" si="106"/>
        <v>6</v>
      </c>
      <c r="QK18" s="53">
        <f t="shared" si="106"/>
        <v>7</v>
      </c>
      <c r="QL18" s="53">
        <f t="shared" si="106"/>
        <v>8</v>
      </c>
      <c r="QM18" s="53">
        <f t="shared" si="106"/>
        <v>9</v>
      </c>
      <c r="QN18" s="53">
        <f t="shared" si="106"/>
        <v>10</v>
      </c>
      <c r="QO18" s="53">
        <f t="shared" si="106"/>
        <v>11</v>
      </c>
      <c r="QP18" s="53">
        <f t="shared" si="106"/>
        <v>12</v>
      </c>
      <c r="QQ18" s="53">
        <f>QE18</f>
        <v>1</v>
      </c>
      <c r="QR18" s="53">
        <f t="shared" ref="QR18:RB18" si="107">QF18</f>
        <v>2</v>
      </c>
      <c r="QS18" s="53">
        <f t="shared" si="107"/>
        <v>3</v>
      </c>
      <c r="QT18" s="53">
        <f t="shared" si="107"/>
        <v>4</v>
      </c>
      <c r="QU18" s="53">
        <f t="shared" si="107"/>
        <v>5</v>
      </c>
      <c r="QV18" s="53">
        <f t="shared" si="107"/>
        <v>6</v>
      </c>
      <c r="QW18" s="53">
        <f t="shared" si="107"/>
        <v>7</v>
      </c>
      <c r="QX18" s="53">
        <f t="shared" si="107"/>
        <v>8</v>
      </c>
      <c r="QY18" s="53">
        <f t="shared" si="107"/>
        <v>9</v>
      </c>
      <c r="QZ18" s="53">
        <f t="shared" si="107"/>
        <v>10</v>
      </c>
      <c r="RA18" s="53">
        <f t="shared" si="107"/>
        <v>11</v>
      </c>
      <c r="RB18" s="53">
        <f t="shared" si="107"/>
        <v>12</v>
      </c>
      <c r="RC18" s="53">
        <f>QQ18</f>
        <v>1</v>
      </c>
      <c r="RD18" s="53">
        <f t="shared" ref="RD18:TO18" si="108">QR18</f>
        <v>2</v>
      </c>
      <c r="RE18" s="53">
        <f t="shared" si="108"/>
        <v>3</v>
      </c>
      <c r="RF18" s="53">
        <f t="shared" si="108"/>
        <v>4</v>
      </c>
      <c r="RG18" s="53">
        <f t="shared" si="108"/>
        <v>5</v>
      </c>
      <c r="RH18" s="53">
        <f t="shared" si="108"/>
        <v>6</v>
      </c>
      <c r="RI18" s="53">
        <f t="shared" si="108"/>
        <v>7</v>
      </c>
      <c r="RJ18" s="53">
        <f t="shared" si="108"/>
        <v>8</v>
      </c>
      <c r="RK18" s="53">
        <f t="shared" si="108"/>
        <v>9</v>
      </c>
      <c r="RL18" s="53">
        <f t="shared" si="108"/>
        <v>10</v>
      </c>
      <c r="RM18" s="53">
        <f t="shared" si="108"/>
        <v>11</v>
      </c>
      <c r="RN18" s="53">
        <f t="shared" si="108"/>
        <v>12</v>
      </c>
      <c r="RO18" s="53">
        <f t="shared" si="108"/>
        <v>1</v>
      </c>
      <c r="RP18" s="53">
        <f t="shared" si="108"/>
        <v>2</v>
      </c>
      <c r="RQ18" s="53">
        <f t="shared" si="108"/>
        <v>3</v>
      </c>
      <c r="RR18" s="53">
        <f t="shared" si="108"/>
        <v>4</v>
      </c>
      <c r="RS18" s="53">
        <f t="shared" si="108"/>
        <v>5</v>
      </c>
      <c r="RT18" s="53">
        <f t="shared" si="108"/>
        <v>6</v>
      </c>
      <c r="RU18" s="53">
        <f t="shared" si="108"/>
        <v>7</v>
      </c>
      <c r="RV18" s="53">
        <f t="shared" si="108"/>
        <v>8</v>
      </c>
      <c r="RW18" s="53">
        <f t="shared" si="108"/>
        <v>9</v>
      </c>
      <c r="RX18" s="53">
        <f t="shared" si="108"/>
        <v>10</v>
      </c>
      <c r="RY18" s="53">
        <f t="shared" si="108"/>
        <v>11</v>
      </c>
      <c r="RZ18" s="53">
        <f t="shared" si="108"/>
        <v>12</v>
      </c>
      <c r="SA18" s="53">
        <f t="shared" si="108"/>
        <v>1</v>
      </c>
      <c r="SB18" s="53">
        <f t="shared" si="108"/>
        <v>2</v>
      </c>
      <c r="SC18" s="53">
        <f t="shared" si="108"/>
        <v>3</v>
      </c>
      <c r="SD18" s="53">
        <f t="shared" si="108"/>
        <v>4</v>
      </c>
      <c r="SE18" s="53">
        <f t="shared" si="108"/>
        <v>5</v>
      </c>
      <c r="SF18" s="53">
        <f t="shared" si="108"/>
        <v>6</v>
      </c>
      <c r="SG18" s="53">
        <f t="shared" si="108"/>
        <v>7</v>
      </c>
      <c r="SH18" s="53">
        <f t="shared" si="108"/>
        <v>8</v>
      </c>
      <c r="SI18" s="53">
        <f t="shared" si="108"/>
        <v>9</v>
      </c>
      <c r="SJ18" s="53">
        <f t="shared" si="108"/>
        <v>10</v>
      </c>
      <c r="SK18" s="53">
        <f t="shared" si="108"/>
        <v>11</v>
      </c>
      <c r="SL18" s="53">
        <f t="shared" si="108"/>
        <v>12</v>
      </c>
      <c r="SM18" s="53">
        <f t="shared" si="108"/>
        <v>1</v>
      </c>
      <c r="SN18" s="53">
        <f t="shared" si="108"/>
        <v>2</v>
      </c>
      <c r="SO18" s="53">
        <f t="shared" si="108"/>
        <v>3</v>
      </c>
      <c r="SP18" s="53">
        <f t="shared" si="108"/>
        <v>4</v>
      </c>
      <c r="SQ18" s="53">
        <f t="shared" si="108"/>
        <v>5</v>
      </c>
      <c r="SR18" s="53">
        <f t="shared" si="108"/>
        <v>6</v>
      </c>
      <c r="SS18" s="53">
        <f t="shared" si="108"/>
        <v>7</v>
      </c>
      <c r="ST18" s="53">
        <f t="shared" si="108"/>
        <v>8</v>
      </c>
      <c r="SU18" s="53">
        <f t="shared" si="108"/>
        <v>9</v>
      </c>
      <c r="SV18" s="53">
        <f t="shared" si="108"/>
        <v>10</v>
      </c>
      <c r="SW18" s="53">
        <f t="shared" si="108"/>
        <v>11</v>
      </c>
      <c r="SX18" s="53">
        <f t="shared" si="108"/>
        <v>12</v>
      </c>
      <c r="SY18" s="53">
        <f t="shared" si="108"/>
        <v>1</v>
      </c>
      <c r="SZ18" s="53">
        <f t="shared" si="108"/>
        <v>2</v>
      </c>
      <c r="TA18" s="53">
        <f t="shared" si="108"/>
        <v>3</v>
      </c>
      <c r="TB18" s="53">
        <f t="shared" si="108"/>
        <v>4</v>
      </c>
      <c r="TC18" s="53">
        <f t="shared" si="108"/>
        <v>5</v>
      </c>
      <c r="TD18" s="53">
        <f t="shared" si="108"/>
        <v>6</v>
      </c>
      <c r="TE18" s="53">
        <f t="shared" si="108"/>
        <v>7</v>
      </c>
      <c r="TF18" s="53">
        <f t="shared" si="108"/>
        <v>8</v>
      </c>
      <c r="TG18" s="53">
        <f t="shared" si="108"/>
        <v>9</v>
      </c>
      <c r="TH18" s="53">
        <f t="shared" si="108"/>
        <v>10</v>
      </c>
      <c r="TI18" s="53">
        <f t="shared" si="108"/>
        <v>11</v>
      </c>
      <c r="TJ18" s="53">
        <f t="shared" si="108"/>
        <v>12</v>
      </c>
      <c r="TK18" s="53">
        <f t="shared" si="108"/>
        <v>1</v>
      </c>
      <c r="TL18" s="53">
        <f t="shared" si="108"/>
        <v>2</v>
      </c>
      <c r="TM18" s="53">
        <f t="shared" si="108"/>
        <v>3</v>
      </c>
      <c r="TN18" s="53">
        <f t="shared" si="108"/>
        <v>4</v>
      </c>
      <c r="TO18" s="53">
        <f t="shared" si="108"/>
        <v>5</v>
      </c>
      <c r="TP18" s="53">
        <f t="shared" ref="TP18:WA18" si="109">TD18</f>
        <v>6</v>
      </c>
      <c r="TQ18" s="53">
        <f t="shared" si="109"/>
        <v>7</v>
      </c>
      <c r="TR18" s="53">
        <f t="shared" si="109"/>
        <v>8</v>
      </c>
      <c r="TS18" s="53">
        <f t="shared" si="109"/>
        <v>9</v>
      </c>
      <c r="TT18" s="53">
        <f t="shared" si="109"/>
        <v>10</v>
      </c>
      <c r="TU18" s="53">
        <f t="shared" si="109"/>
        <v>11</v>
      </c>
      <c r="TV18" s="53">
        <f t="shared" si="109"/>
        <v>12</v>
      </c>
      <c r="TW18" s="53">
        <f t="shared" si="109"/>
        <v>1</v>
      </c>
      <c r="TX18" s="53">
        <f t="shared" si="109"/>
        <v>2</v>
      </c>
      <c r="TY18" s="53">
        <f t="shared" si="109"/>
        <v>3</v>
      </c>
      <c r="TZ18" s="53">
        <f t="shared" si="109"/>
        <v>4</v>
      </c>
      <c r="UA18" s="53">
        <f t="shared" si="109"/>
        <v>5</v>
      </c>
      <c r="UB18" s="53">
        <f t="shared" si="109"/>
        <v>6</v>
      </c>
      <c r="UC18" s="53">
        <f t="shared" si="109"/>
        <v>7</v>
      </c>
      <c r="UD18" s="53">
        <f t="shared" si="109"/>
        <v>8</v>
      </c>
      <c r="UE18" s="53">
        <f t="shared" si="109"/>
        <v>9</v>
      </c>
      <c r="UF18" s="53">
        <f t="shared" si="109"/>
        <v>10</v>
      </c>
      <c r="UG18" s="53">
        <f t="shared" si="109"/>
        <v>11</v>
      </c>
      <c r="UH18" s="53">
        <f t="shared" si="109"/>
        <v>12</v>
      </c>
      <c r="UI18" s="53">
        <f t="shared" si="109"/>
        <v>1</v>
      </c>
      <c r="UJ18" s="53">
        <f t="shared" si="109"/>
        <v>2</v>
      </c>
      <c r="UK18" s="53">
        <f t="shared" si="109"/>
        <v>3</v>
      </c>
      <c r="UL18" s="53">
        <f t="shared" si="109"/>
        <v>4</v>
      </c>
      <c r="UM18" s="53">
        <f t="shared" si="109"/>
        <v>5</v>
      </c>
      <c r="UN18" s="53">
        <f t="shared" si="109"/>
        <v>6</v>
      </c>
      <c r="UO18" s="53">
        <f t="shared" si="109"/>
        <v>7</v>
      </c>
      <c r="UP18" s="53">
        <f t="shared" si="109"/>
        <v>8</v>
      </c>
      <c r="UQ18" s="53">
        <f t="shared" si="109"/>
        <v>9</v>
      </c>
      <c r="UR18" s="53">
        <f t="shared" si="109"/>
        <v>10</v>
      </c>
      <c r="US18" s="53">
        <f t="shared" si="109"/>
        <v>11</v>
      </c>
      <c r="UT18" s="53">
        <f t="shared" si="109"/>
        <v>12</v>
      </c>
      <c r="UU18" s="53">
        <f t="shared" si="109"/>
        <v>1</v>
      </c>
      <c r="UV18" s="53">
        <f t="shared" si="109"/>
        <v>2</v>
      </c>
      <c r="UW18" s="53">
        <f t="shared" si="109"/>
        <v>3</v>
      </c>
      <c r="UX18" s="53">
        <f t="shared" si="109"/>
        <v>4</v>
      </c>
      <c r="UY18" s="53">
        <f t="shared" si="109"/>
        <v>5</v>
      </c>
      <c r="UZ18" s="53">
        <f t="shared" si="109"/>
        <v>6</v>
      </c>
      <c r="VA18" s="53">
        <f t="shared" si="109"/>
        <v>7</v>
      </c>
      <c r="VB18" s="53">
        <f t="shared" si="109"/>
        <v>8</v>
      </c>
      <c r="VC18" s="53">
        <f t="shared" si="109"/>
        <v>9</v>
      </c>
      <c r="VD18" s="53">
        <f t="shared" si="109"/>
        <v>10</v>
      </c>
      <c r="VE18" s="53">
        <f t="shared" si="109"/>
        <v>11</v>
      </c>
      <c r="VF18" s="53">
        <f t="shared" si="109"/>
        <v>12</v>
      </c>
      <c r="VG18" s="53">
        <f t="shared" si="109"/>
        <v>1</v>
      </c>
      <c r="VH18" s="53">
        <f t="shared" si="109"/>
        <v>2</v>
      </c>
      <c r="VI18" s="53">
        <f t="shared" si="109"/>
        <v>3</v>
      </c>
      <c r="VJ18" s="53">
        <f t="shared" si="109"/>
        <v>4</v>
      </c>
      <c r="VK18" s="53">
        <f t="shared" si="109"/>
        <v>5</v>
      </c>
      <c r="VL18" s="53">
        <f t="shared" si="109"/>
        <v>6</v>
      </c>
      <c r="VM18" s="53">
        <f t="shared" si="109"/>
        <v>7</v>
      </c>
      <c r="VN18" s="53">
        <f t="shared" si="109"/>
        <v>8</v>
      </c>
      <c r="VO18" s="53">
        <f t="shared" si="109"/>
        <v>9</v>
      </c>
      <c r="VP18" s="53">
        <f t="shared" si="109"/>
        <v>10</v>
      </c>
      <c r="VQ18" s="53">
        <f t="shared" si="109"/>
        <v>11</v>
      </c>
      <c r="VR18" s="53">
        <f t="shared" si="109"/>
        <v>12</v>
      </c>
      <c r="VS18" s="53">
        <f t="shared" si="109"/>
        <v>1</v>
      </c>
      <c r="VT18" s="53">
        <f t="shared" si="109"/>
        <v>2</v>
      </c>
      <c r="VU18" s="53">
        <f t="shared" si="109"/>
        <v>3</v>
      </c>
      <c r="VV18" s="53">
        <f t="shared" si="109"/>
        <v>4</v>
      </c>
      <c r="VW18" s="53">
        <f t="shared" si="109"/>
        <v>5</v>
      </c>
      <c r="VX18" s="53">
        <f t="shared" si="109"/>
        <v>6</v>
      </c>
      <c r="VY18" s="53">
        <f t="shared" si="109"/>
        <v>7</v>
      </c>
      <c r="VZ18" s="53">
        <f t="shared" si="109"/>
        <v>8</v>
      </c>
      <c r="WA18" s="53">
        <f t="shared" si="109"/>
        <v>9</v>
      </c>
      <c r="WB18" s="53">
        <f t="shared" ref="WB18:YM18" si="110">VP18</f>
        <v>10</v>
      </c>
      <c r="WC18" s="53">
        <f t="shared" si="110"/>
        <v>11</v>
      </c>
      <c r="WD18" s="53">
        <f t="shared" si="110"/>
        <v>12</v>
      </c>
      <c r="WE18" s="53">
        <f t="shared" si="110"/>
        <v>1</v>
      </c>
      <c r="WF18" s="53">
        <f t="shared" si="110"/>
        <v>2</v>
      </c>
      <c r="WG18" s="53">
        <f t="shared" si="110"/>
        <v>3</v>
      </c>
      <c r="WH18" s="53">
        <f t="shared" si="110"/>
        <v>4</v>
      </c>
      <c r="WI18" s="53">
        <f t="shared" si="110"/>
        <v>5</v>
      </c>
      <c r="WJ18" s="53">
        <f t="shared" si="110"/>
        <v>6</v>
      </c>
      <c r="WK18" s="53">
        <f t="shared" si="110"/>
        <v>7</v>
      </c>
      <c r="WL18" s="53">
        <f t="shared" si="110"/>
        <v>8</v>
      </c>
      <c r="WM18" s="53">
        <f t="shared" si="110"/>
        <v>9</v>
      </c>
      <c r="WN18" s="53">
        <f t="shared" si="110"/>
        <v>10</v>
      </c>
      <c r="WO18" s="53">
        <f t="shared" si="110"/>
        <v>11</v>
      </c>
      <c r="WP18" s="53">
        <f t="shared" si="110"/>
        <v>12</v>
      </c>
      <c r="WQ18" s="53">
        <f t="shared" si="110"/>
        <v>1</v>
      </c>
      <c r="WR18" s="53">
        <f t="shared" si="110"/>
        <v>2</v>
      </c>
      <c r="WS18" s="53">
        <f t="shared" si="110"/>
        <v>3</v>
      </c>
      <c r="WT18" s="53">
        <f t="shared" si="110"/>
        <v>4</v>
      </c>
      <c r="WU18" s="53">
        <f t="shared" si="110"/>
        <v>5</v>
      </c>
      <c r="WV18" s="53">
        <f t="shared" si="110"/>
        <v>6</v>
      </c>
      <c r="WW18" s="53">
        <f t="shared" si="110"/>
        <v>7</v>
      </c>
      <c r="WX18" s="53">
        <f t="shared" si="110"/>
        <v>8</v>
      </c>
      <c r="WY18" s="53">
        <f t="shared" si="110"/>
        <v>9</v>
      </c>
      <c r="WZ18" s="53">
        <f t="shared" si="110"/>
        <v>10</v>
      </c>
      <c r="XA18" s="53">
        <f t="shared" si="110"/>
        <v>11</v>
      </c>
      <c r="XB18" s="53">
        <f t="shared" si="110"/>
        <v>12</v>
      </c>
      <c r="XC18" s="53">
        <f t="shared" si="110"/>
        <v>1</v>
      </c>
      <c r="XD18" s="53">
        <f t="shared" si="110"/>
        <v>2</v>
      </c>
      <c r="XE18" s="53">
        <f t="shared" si="110"/>
        <v>3</v>
      </c>
      <c r="XF18" s="53">
        <f t="shared" si="110"/>
        <v>4</v>
      </c>
      <c r="XG18" s="53">
        <f t="shared" si="110"/>
        <v>5</v>
      </c>
      <c r="XH18" s="53">
        <f t="shared" si="110"/>
        <v>6</v>
      </c>
      <c r="XI18" s="53">
        <f t="shared" si="110"/>
        <v>7</v>
      </c>
      <c r="XJ18" s="53">
        <f t="shared" si="110"/>
        <v>8</v>
      </c>
      <c r="XK18" s="53">
        <f t="shared" si="110"/>
        <v>9</v>
      </c>
      <c r="XL18" s="53">
        <f t="shared" si="110"/>
        <v>10</v>
      </c>
      <c r="XM18" s="53">
        <f t="shared" si="110"/>
        <v>11</v>
      </c>
      <c r="XN18" s="53">
        <f t="shared" si="110"/>
        <v>12</v>
      </c>
      <c r="XO18" s="53">
        <f t="shared" si="110"/>
        <v>1</v>
      </c>
      <c r="XP18" s="53">
        <f t="shared" si="110"/>
        <v>2</v>
      </c>
      <c r="XQ18" s="53">
        <f t="shared" si="110"/>
        <v>3</v>
      </c>
      <c r="XR18" s="53">
        <f t="shared" si="110"/>
        <v>4</v>
      </c>
      <c r="XS18" s="53">
        <f t="shared" si="110"/>
        <v>5</v>
      </c>
      <c r="XT18" s="53">
        <f t="shared" si="110"/>
        <v>6</v>
      </c>
      <c r="XU18" s="53">
        <f t="shared" si="110"/>
        <v>7</v>
      </c>
      <c r="XV18" s="53">
        <f t="shared" si="110"/>
        <v>8</v>
      </c>
      <c r="XW18" s="53">
        <f t="shared" si="110"/>
        <v>9</v>
      </c>
      <c r="XX18" s="53">
        <f t="shared" si="110"/>
        <v>10</v>
      </c>
      <c r="XY18" s="53">
        <f t="shared" si="110"/>
        <v>11</v>
      </c>
      <c r="XZ18" s="53">
        <f t="shared" si="110"/>
        <v>12</v>
      </c>
      <c r="YA18" s="53">
        <f t="shared" si="110"/>
        <v>1</v>
      </c>
      <c r="YB18" s="53">
        <f t="shared" si="110"/>
        <v>2</v>
      </c>
      <c r="YC18" s="53">
        <f t="shared" si="110"/>
        <v>3</v>
      </c>
      <c r="YD18" s="53">
        <f t="shared" si="110"/>
        <v>4</v>
      </c>
      <c r="YE18" s="53">
        <f t="shared" si="110"/>
        <v>5</v>
      </c>
      <c r="YF18" s="53">
        <f t="shared" si="110"/>
        <v>6</v>
      </c>
      <c r="YG18" s="53">
        <f t="shared" si="110"/>
        <v>7</v>
      </c>
      <c r="YH18" s="53">
        <f t="shared" si="110"/>
        <v>8</v>
      </c>
      <c r="YI18" s="53">
        <f t="shared" si="110"/>
        <v>9</v>
      </c>
      <c r="YJ18" s="53">
        <f t="shared" si="110"/>
        <v>10</v>
      </c>
      <c r="YK18" s="53">
        <f t="shared" si="110"/>
        <v>11</v>
      </c>
      <c r="YL18" s="53">
        <f t="shared" si="110"/>
        <v>12</v>
      </c>
      <c r="YM18" s="53">
        <f t="shared" si="110"/>
        <v>1</v>
      </c>
      <c r="YN18" s="53">
        <f t="shared" ref="YN18:AAY18" si="111">YB18</f>
        <v>2</v>
      </c>
      <c r="YO18" s="53">
        <f t="shared" si="111"/>
        <v>3</v>
      </c>
      <c r="YP18" s="53">
        <f t="shared" si="111"/>
        <v>4</v>
      </c>
      <c r="YQ18" s="53">
        <f t="shared" si="111"/>
        <v>5</v>
      </c>
      <c r="YR18" s="53">
        <f t="shared" si="111"/>
        <v>6</v>
      </c>
      <c r="YS18" s="53">
        <f t="shared" si="111"/>
        <v>7</v>
      </c>
      <c r="YT18" s="53">
        <f t="shared" si="111"/>
        <v>8</v>
      </c>
      <c r="YU18" s="53">
        <f t="shared" si="111"/>
        <v>9</v>
      </c>
      <c r="YV18" s="53">
        <f t="shared" si="111"/>
        <v>10</v>
      </c>
      <c r="YW18" s="53">
        <f t="shared" si="111"/>
        <v>11</v>
      </c>
      <c r="YX18" s="53">
        <f t="shared" si="111"/>
        <v>12</v>
      </c>
      <c r="YY18" s="53">
        <f t="shared" si="111"/>
        <v>1</v>
      </c>
      <c r="YZ18" s="53">
        <f t="shared" si="111"/>
        <v>2</v>
      </c>
      <c r="ZA18" s="53">
        <f t="shared" si="111"/>
        <v>3</v>
      </c>
      <c r="ZB18" s="53">
        <f t="shared" si="111"/>
        <v>4</v>
      </c>
      <c r="ZC18" s="53">
        <f t="shared" si="111"/>
        <v>5</v>
      </c>
      <c r="ZD18" s="53">
        <f t="shared" si="111"/>
        <v>6</v>
      </c>
      <c r="ZE18" s="53">
        <f t="shared" si="111"/>
        <v>7</v>
      </c>
      <c r="ZF18" s="53">
        <f t="shared" si="111"/>
        <v>8</v>
      </c>
      <c r="ZG18" s="53">
        <f t="shared" si="111"/>
        <v>9</v>
      </c>
      <c r="ZH18" s="53">
        <f t="shared" si="111"/>
        <v>10</v>
      </c>
      <c r="ZI18" s="53">
        <f t="shared" si="111"/>
        <v>11</v>
      </c>
      <c r="ZJ18" s="53">
        <f t="shared" si="111"/>
        <v>12</v>
      </c>
      <c r="ZK18" s="53">
        <f t="shared" si="111"/>
        <v>1</v>
      </c>
      <c r="ZL18" s="53">
        <f t="shared" si="111"/>
        <v>2</v>
      </c>
      <c r="ZM18" s="53">
        <f t="shared" si="111"/>
        <v>3</v>
      </c>
      <c r="ZN18" s="53">
        <f t="shared" si="111"/>
        <v>4</v>
      </c>
      <c r="ZO18" s="53">
        <f t="shared" si="111"/>
        <v>5</v>
      </c>
      <c r="ZP18" s="53">
        <f t="shared" si="111"/>
        <v>6</v>
      </c>
      <c r="ZQ18" s="53">
        <f t="shared" si="111"/>
        <v>7</v>
      </c>
      <c r="ZR18" s="53">
        <f t="shared" si="111"/>
        <v>8</v>
      </c>
      <c r="ZS18" s="53">
        <f t="shared" si="111"/>
        <v>9</v>
      </c>
      <c r="ZT18" s="53">
        <f t="shared" si="111"/>
        <v>10</v>
      </c>
      <c r="ZU18" s="53">
        <f t="shared" si="111"/>
        <v>11</v>
      </c>
      <c r="ZV18" s="53">
        <f t="shared" si="111"/>
        <v>12</v>
      </c>
      <c r="ZW18" s="53">
        <f t="shared" si="111"/>
        <v>1</v>
      </c>
      <c r="ZX18" s="53">
        <f t="shared" si="111"/>
        <v>2</v>
      </c>
      <c r="ZY18" s="53">
        <f t="shared" si="111"/>
        <v>3</v>
      </c>
      <c r="ZZ18" s="53">
        <f t="shared" si="111"/>
        <v>4</v>
      </c>
      <c r="AAA18" s="53">
        <f t="shared" si="111"/>
        <v>5</v>
      </c>
      <c r="AAB18" s="53">
        <f t="shared" si="111"/>
        <v>6</v>
      </c>
      <c r="AAC18" s="53">
        <f t="shared" si="111"/>
        <v>7</v>
      </c>
      <c r="AAD18" s="53">
        <f t="shared" si="111"/>
        <v>8</v>
      </c>
      <c r="AAE18" s="53">
        <f t="shared" si="111"/>
        <v>9</v>
      </c>
      <c r="AAF18" s="53">
        <f t="shared" si="111"/>
        <v>10</v>
      </c>
      <c r="AAG18" s="53">
        <f t="shared" si="111"/>
        <v>11</v>
      </c>
      <c r="AAH18" s="53">
        <f t="shared" si="111"/>
        <v>12</v>
      </c>
      <c r="AAI18" s="53">
        <f t="shared" si="111"/>
        <v>1</v>
      </c>
      <c r="AAJ18" s="53">
        <f t="shared" si="111"/>
        <v>2</v>
      </c>
      <c r="AAK18" s="53">
        <f t="shared" si="111"/>
        <v>3</v>
      </c>
      <c r="AAL18" s="53">
        <f t="shared" si="111"/>
        <v>4</v>
      </c>
      <c r="AAM18" s="53">
        <f t="shared" si="111"/>
        <v>5</v>
      </c>
      <c r="AAN18" s="53">
        <f t="shared" si="111"/>
        <v>6</v>
      </c>
      <c r="AAO18" s="53">
        <f t="shared" si="111"/>
        <v>7</v>
      </c>
      <c r="AAP18" s="53">
        <f t="shared" si="111"/>
        <v>8</v>
      </c>
      <c r="AAQ18" s="53">
        <f t="shared" si="111"/>
        <v>9</v>
      </c>
      <c r="AAR18" s="53">
        <f t="shared" si="111"/>
        <v>10</v>
      </c>
      <c r="AAS18" s="53">
        <f t="shared" si="111"/>
        <v>11</v>
      </c>
      <c r="AAT18" s="53">
        <f t="shared" si="111"/>
        <v>12</v>
      </c>
      <c r="AAU18" s="53">
        <f t="shared" si="111"/>
        <v>1</v>
      </c>
      <c r="AAV18" s="53">
        <f t="shared" si="111"/>
        <v>2</v>
      </c>
      <c r="AAW18" s="53">
        <f t="shared" si="111"/>
        <v>3</v>
      </c>
      <c r="AAX18" s="53">
        <f t="shared" si="111"/>
        <v>4</v>
      </c>
      <c r="AAY18" s="53">
        <f t="shared" si="111"/>
        <v>5</v>
      </c>
      <c r="AAZ18" s="53">
        <f t="shared" ref="AAZ18:ADK18" si="112">AAN18</f>
        <v>6</v>
      </c>
      <c r="ABA18" s="53">
        <f t="shared" si="112"/>
        <v>7</v>
      </c>
      <c r="ABB18" s="53">
        <f t="shared" si="112"/>
        <v>8</v>
      </c>
      <c r="ABC18" s="53">
        <f t="shared" si="112"/>
        <v>9</v>
      </c>
      <c r="ABD18" s="53">
        <f t="shared" si="112"/>
        <v>10</v>
      </c>
      <c r="ABE18" s="53">
        <f t="shared" si="112"/>
        <v>11</v>
      </c>
      <c r="ABF18" s="53">
        <f t="shared" si="112"/>
        <v>12</v>
      </c>
      <c r="ABG18" s="53">
        <f t="shared" si="112"/>
        <v>1</v>
      </c>
      <c r="ABH18" s="53">
        <f t="shared" si="112"/>
        <v>2</v>
      </c>
      <c r="ABI18" s="53">
        <f t="shared" si="112"/>
        <v>3</v>
      </c>
      <c r="ABJ18" s="53">
        <f t="shared" si="112"/>
        <v>4</v>
      </c>
      <c r="ABK18" s="53">
        <f t="shared" si="112"/>
        <v>5</v>
      </c>
      <c r="ABL18" s="53">
        <f t="shared" si="112"/>
        <v>6</v>
      </c>
      <c r="ABM18" s="53">
        <f t="shared" si="112"/>
        <v>7</v>
      </c>
      <c r="ABN18" s="53">
        <f t="shared" si="112"/>
        <v>8</v>
      </c>
      <c r="ABO18" s="53">
        <f t="shared" si="112"/>
        <v>9</v>
      </c>
      <c r="ABP18" s="53">
        <f t="shared" si="112"/>
        <v>10</v>
      </c>
      <c r="ABQ18" s="53">
        <f t="shared" si="112"/>
        <v>11</v>
      </c>
      <c r="ABR18" s="53">
        <f t="shared" si="112"/>
        <v>12</v>
      </c>
      <c r="ABS18" s="53">
        <f t="shared" si="112"/>
        <v>1</v>
      </c>
      <c r="ABT18" s="53">
        <f t="shared" si="112"/>
        <v>2</v>
      </c>
      <c r="ABU18" s="53">
        <f t="shared" si="112"/>
        <v>3</v>
      </c>
      <c r="ABV18" s="53">
        <f t="shared" si="112"/>
        <v>4</v>
      </c>
      <c r="ABW18" s="53">
        <f t="shared" si="112"/>
        <v>5</v>
      </c>
      <c r="ABX18" s="53">
        <f t="shared" si="112"/>
        <v>6</v>
      </c>
      <c r="ABY18" s="53">
        <f t="shared" si="112"/>
        <v>7</v>
      </c>
      <c r="ABZ18" s="53">
        <f t="shared" si="112"/>
        <v>8</v>
      </c>
      <c r="ACA18" s="53">
        <f t="shared" si="112"/>
        <v>9</v>
      </c>
      <c r="ACB18" s="53">
        <f t="shared" si="112"/>
        <v>10</v>
      </c>
      <c r="ACC18" s="53">
        <f t="shared" si="112"/>
        <v>11</v>
      </c>
      <c r="ACD18" s="53">
        <f t="shared" si="112"/>
        <v>12</v>
      </c>
      <c r="ACE18" s="53">
        <f t="shared" si="112"/>
        <v>1</v>
      </c>
      <c r="ACF18" s="53">
        <f t="shared" si="112"/>
        <v>2</v>
      </c>
      <c r="ACG18" s="53">
        <f t="shared" si="112"/>
        <v>3</v>
      </c>
      <c r="ACH18" s="53">
        <f t="shared" si="112"/>
        <v>4</v>
      </c>
      <c r="ACI18" s="53">
        <f t="shared" si="112"/>
        <v>5</v>
      </c>
      <c r="ACJ18" s="53">
        <f t="shared" si="112"/>
        <v>6</v>
      </c>
      <c r="ACK18" s="53">
        <f t="shared" si="112"/>
        <v>7</v>
      </c>
      <c r="ACL18" s="53">
        <f t="shared" si="112"/>
        <v>8</v>
      </c>
      <c r="ACM18" s="53">
        <f t="shared" si="112"/>
        <v>9</v>
      </c>
      <c r="ACN18" s="53">
        <f t="shared" si="112"/>
        <v>10</v>
      </c>
      <c r="ACO18" s="53">
        <f t="shared" si="112"/>
        <v>11</v>
      </c>
      <c r="ACP18" s="53">
        <f t="shared" si="112"/>
        <v>12</v>
      </c>
      <c r="ACQ18" s="53">
        <f t="shared" si="112"/>
        <v>1</v>
      </c>
      <c r="ACR18" s="53">
        <f t="shared" si="112"/>
        <v>2</v>
      </c>
      <c r="ACS18" s="53">
        <f t="shared" si="112"/>
        <v>3</v>
      </c>
      <c r="ACT18" s="53">
        <f t="shared" si="112"/>
        <v>4</v>
      </c>
      <c r="ACU18" s="53">
        <f t="shared" si="112"/>
        <v>5</v>
      </c>
      <c r="ACV18" s="53">
        <f t="shared" si="112"/>
        <v>6</v>
      </c>
      <c r="ACW18" s="53">
        <f t="shared" si="112"/>
        <v>7</v>
      </c>
      <c r="ACX18" s="53">
        <f t="shared" si="112"/>
        <v>8</v>
      </c>
      <c r="ACY18" s="53">
        <f t="shared" si="112"/>
        <v>9</v>
      </c>
      <c r="ACZ18" s="53">
        <f t="shared" si="112"/>
        <v>10</v>
      </c>
      <c r="ADA18" s="53">
        <f t="shared" si="112"/>
        <v>11</v>
      </c>
      <c r="ADB18" s="53">
        <f t="shared" si="112"/>
        <v>12</v>
      </c>
      <c r="ADC18" s="53">
        <f t="shared" si="112"/>
        <v>1</v>
      </c>
      <c r="ADD18" s="53">
        <f t="shared" si="112"/>
        <v>2</v>
      </c>
      <c r="ADE18" s="53">
        <f t="shared" si="112"/>
        <v>3</v>
      </c>
      <c r="ADF18" s="53">
        <f t="shared" si="112"/>
        <v>4</v>
      </c>
      <c r="ADG18" s="53">
        <f t="shared" si="112"/>
        <v>5</v>
      </c>
      <c r="ADH18" s="53">
        <f t="shared" si="112"/>
        <v>6</v>
      </c>
      <c r="ADI18" s="53">
        <f t="shared" si="112"/>
        <v>7</v>
      </c>
      <c r="ADJ18" s="53">
        <f t="shared" si="112"/>
        <v>8</v>
      </c>
      <c r="ADK18" s="53">
        <f t="shared" si="112"/>
        <v>9</v>
      </c>
      <c r="ADL18" s="53">
        <f t="shared" ref="ADL18:AFW18" si="113">ACZ18</f>
        <v>10</v>
      </c>
      <c r="ADM18" s="53">
        <f t="shared" si="113"/>
        <v>11</v>
      </c>
      <c r="ADN18" s="53">
        <f t="shared" si="113"/>
        <v>12</v>
      </c>
      <c r="ADO18" s="53">
        <f t="shared" si="113"/>
        <v>1</v>
      </c>
      <c r="ADP18" s="53">
        <f t="shared" si="113"/>
        <v>2</v>
      </c>
      <c r="ADQ18" s="53">
        <f t="shared" si="113"/>
        <v>3</v>
      </c>
      <c r="ADR18" s="53">
        <f t="shared" si="113"/>
        <v>4</v>
      </c>
      <c r="ADS18" s="53">
        <f t="shared" si="113"/>
        <v>5</v>
      </c>
      <c r="ADT18" s="53">
        <f t="shared" si="113"/>
        <v>6</v>
      </c>
      <c r="ADU18" s="53">
        <f t="shared" si="113"/>
        <v>7</v>
      </c>
      <c r="ADV18" s="53">
        <f t="shared" si="113"/>
        <v>8</v>
      </c>
      <c r="ADW18" s="53">
        <f t="shared" si="113"/>
        <v>9</v>
      </c>
      <c r="ADX18" s="53">
        <f t="shared" si="113"/>
        <v>10</v>
      </c>
      <c r="ADY18" s="53">
        <f t="shared" si="113"/>
        <v>11</v>
      </c>
      <c r="ADZ18" s="53">
        <f t="shared" si="113"/>
        <v>12</v>
      </c>
      <c r="AEA18" s="53">
        <f t="shared" si="113"/>
        <v>1</v>
      </c>
      <c r="AEB18" s="53">
        <f t="shared" si="113"/>
        <v>2</v>
      </c>
      <c r="AEC18" s="53">
        <f t="shared" si="113"/>
        <v>3</v>
      </c>
      <c r="AED18" s="53">
        <f t="shared" si="113"/>
        <v>4</v>
      </c>
      <c r="AEE18" s="53">
        <f t="shared" si="113"/>
        <v>5</v>
      </c>
      <c r="AEF18" s="53">
        <f t="shared" si="113"/>
        <v>6</v>
      </c>
      <c r="AEG18" s="53">
        <f t="shared" si="113"/>
        <v>7</v>
      </c>
      <c r="AEH18" s="53">
        <f t="shared" si="113"/>
        <v>8</v>
      </c>
      <c r="AEI18" s="53">
        <f t="shared" si="113"/>
        <v>9</v>
      </c>
      <c r="AEJ18" s="53">
        <f t="shared" si="113"/>
        <v>10</v>
      </c>
      <c r="AEK18" s="53">
        <f t="shared" si="113"/>
        <v>11</v>
      </c>
      <c r="AEL18" s="53">
        <f t="shared" si="113"/>
        <v>12</v>
      </c>
      <c r="AEM18" s="53">
        <f t="shared" si="113"/>
        <v>1</v>
      </c>
      <c r="AEN18" s="53">
        <f t="shared" si="113"/>
        <v>2</v>
      </c>
      <c r="AEO18" s="53">
        <f t="shared" si="113"/>
        <v>3</v>
      </c>
      <c r="AEP18" s="53">
        <f t="shared" si="113"/>
        <v>4</v>
      </c>
      <c r="AEQ18" s="53">
        <f t="shared" si="113"/>
        <v>5</v>
      </c>
      <c r="AER18" s="53">
        <f t="shared" si="113"/>
        <v>6</v>
      </c>
      <c r="AES18" s="53">
        <f t="shared" si="113"/>
        <v>7</v>
      </c>
      <c r="AET18" s="53">
        <f t="shared" si="113"/>
        <v>8</v>
      </c>
      <c r="AEU18" s="53">
        <f t="shared" si="113"/>
        <v>9</v>
      </c>
      <c r="AEV18" s="53">
        <f t="shared" si="113"/>
        <v>10</v>
      </c>
      <c r="AEW18" s="53">
        <f t="shared" si="113"/>
        <v>11</v>
      </c>
      <c r="AEX18" s="53">
        <f t="shared" si="113"/>
        <v>12</v>
      </c>
      <c r="AEY18" s="53">
        <f t="shared" si="113"/>
        <v>1</v>
      </c>
      <c r="AEZ18" s="53">
        <f t="shared" si="113"/>
        <v>2</v>
      </c>
      <c r="AFA18" s="53">
        <f t="shared" si="113"/>
        <v>3</v>
      </c>
      <c r="AFB18" s="53">
        <f t="shared" si="113"/>
        <v>4</v>
      </c>
      <c r="AFC18" s="53">
        <f t="shared" si="113"/>
        <v>5</v>
      </c>
      <c r="AFD18" s="53">
        <f t="shared" si="113"/>
        <v>6</v>
      </c>
      <c r="AFE18" s="53">
        <f t="shared" si="113"/>
        <v>7</v>
      </c>
      <c r="AFF18" s="53">
        <f t="shared" si="113"/>
        <v>8</v>
      </c>
      <c r="AFG18" s="53">
        <f t="shared" si="113"/>
        <v>9</v>
      </c>
      <c r="AFH18" s="53">
        <f t="shared" si="113"/>
        <v>10</v>
      </c>
      <c r="AFI18" s="53">
        <f t="shared" si="113"/>
        <v>11</v>
      </c>
      <c r="AFJ18" s="53">
        <f t="shared" si="113"/>
        <v>12</v>
      </c>
      <c r="AFK18" s="53">
        <f t="shared" si="113"/>
        <v>1</v>
      </c>
      <c r="AFL18" s="53">
        <f t="shared" si="113"/>
        <v>2</v>
      </c>
      <c r="AFM18" s="53">
        <f t="shared" si="113"/>
        <v>3</v>
      </c>
      <c r="AFN18" s="53">
        <f t="shared" si="113"/>
        <v>4</v>
      </c>
      <c r="AFO18" s="53">
        <f t="shared" si="113"/>
        <v>5</v>
      </c>
      <c r="AFP18" s="53">
        <f t="shared" si="113"/>
        <v>6</v>
      </c>
      <c r="AFQ18" s="53">
        <f t="shared" si="113"/>
        <v>7</v>
      </c>
      <c r="AFR18" s="53">
        <f t="shared" si="113"/>
        <v>8</v>
      </c>
      <c r="AFS18" s="53">
        <f t="shared" si="113"/>
        <v>9</v>
      </c>
      <c r="AFT18" s="53">
        <f t="shared" si="113"/>
        <v>10</v>
      </c>
      <c r="AFU18" s="53">
        <f t="shared" si="113"/>
        <v>11</v>
      </c>
      <c r="AFV18" s="53">
        <f t="shared" si="113"/>
        <v>12</v>
      </c>
      <c r="AFW18" s="53">
        <f t="shared" si="113"/>
        <v>1</v>
      </c>
      <c r="AFX18" s="53">
        <f t="shared" ref="AFX18:AII18" si="114">AFL18</f>
        <v>2</v>
      </c>
      <c r="AFY18" s="53">
        <f t="shared" si="114"/>
        <v>3</v>
      </c>
      <c r="AFZ18" s="53">
        <f t="shared" si="114"/>
        <v>4</v>
      </c>
      <c r="AGA18" s="53">
        <f t="shared" si="114"/>
        <v>5</v>
      </c>
      <c r="AGB18" s="53">
        <f t="shared" si="114"/>
        <v>6</v>
      </c>
      <c r="AGC18" s="53">
        <f t="shared" si="114"/>
        <v>7</v>
      </c>
      <c r="AGD18" s="53">
        <f t="shared" si="114"/>
        <v>8</v>
      </c>
      <c r="AGE18" s="53">
        <f t="shared" si="114"/>
        <v>9</v>
      </c>
      <c r="AGF18" s="53">
        <f t="shared" si="114"/>
        <v>10</v>
      </c>
      <c r="AGG18" s="53">
        <f t="shared" si="114"/>
        <v>11</v>
      </c>
      <c r="AGH18" s="53">
        <f t="shared" si="114"/>
        <v>12</v>
      </c>
      <c r="AGI18" s="53">
        <f t="shared" si="114"/>
        <v>1</v>
      </c>
      <c r="AGJ18" s="53">
        <f t="shared" si="114"/>
        <v>2</v>
      </c>
      <c r="AGK18" s="53">
        <f t="shared" si="114"/>
        <v>3</v>
      </c>
      <c r="AGL18" s="53">
        <f t="shared" si="114"/>
        <v>4</v>
      </c>
      <c r="AGM18" s="53">
        <f t="shared" si="114"/>
        <v>5</v>
      </c>
      <c r="AGN18" s="53">
        <f t="shared" si="114"/>
        <v>6</v>
      </c>
      <c r="AGO18" s="53">
        <f t="shared" si="114"/>
        <v>7</v>
      </c>
      <c r="AGP18" s="53">
        <f t="shared" si="114"/>
        <v>8</v>
      </c>
      <c r="AGQ18" s="53">
        <f t="shared" si="114"/>
        <v>9</v>
      </c>
      <c r="AGR18" s="53">
        <f t="shared" si="114"/>
        <v>10</v>
      </c>
      <c r="AGS18" s="53">
        <f t="shared" si="114"/>
        <v>11</v>
      </c>
      <c r="AGT18" s="53">
        <f t="shared" si="114"/>
        <v>12</v>
      </c>
      <c r="AGU18" s="53">
        <f t="shared" si="114"/>
        <v>1</v>
      </c>
      <c r="AGV18" s="53">
        <f t="shared" si="114"/>
        <v>2</v>
      </c>
      <c r="AGW18" s="53">
        <f t="shared" si="114"/>
        <v>3</v>
      </c>
      <c r="AGX18" s="53">
        <f t="shared" si="114"/>
        <v>4</v>
      </c>
      <c r="AGY18" s="53">
        <f t="shared" si="114"/>
        <v>5</v>
      </c>
      <c r="AGZ18" s="53">
        <f t="shared" si="114"/>
        <v>6</v>
      </c>
      <c r="AHA18" s="53">
        <f t="shared" si="114"/>
        <v>7</v>
      </c>
      <c r="AHB18" s="53">
        <f t="shared" si="114"/>
        <v>8</v>
      </c>
      <c r="AHC18" s="53">
        <f t="shared" si="114"/>
        <v>9</v>
      </c>
      <c r="AHD18" s="53">
        <f t="shared" si="114"/>
        <v>10</v>
      </c>
      <c r="AHE18" s="53">
        <f t="shared" si="114"/>
        <v>11</v>
      </c>
      <c r="AHF18" s="53">
        <f t="shared" si="114"/>
        <v>12</v>
      </c>
      <c r="AHG18" s="53">
        <f t="shared" si="114"/>
        <v>1</v>
      </c>
      <c r="AHH18" s="53">
        <f t="shared" si="114"/>
        <v>2</v>
      </c>
      <c r="AHI18" s="53">
        <f t="shared" si="114"/>
        <v>3</v>
      </c>
      <c r="AHJ18" s="53">
        <f t="shared" si="114"/>
        <v>4</v>
      </c>
      <c r="AHK18" s="53">
        <f t="shared" si="114"/>
        <v>5</v>
      </c>
      <c r="AHL18" s="53">
        <f t="shared" si="114"/>
        <v>6</v>
      </c>
      <c r="AHM18" s="53">
        <f t="shared" si="114"/>
        <v>7</v>
      </c>
      <c r="AHN18" s="53">
        <f t="shared" si="114"/>
        <v>8</v>
      </c>
      <c r="AHO18" s="53">
        <f t="shared" si="114"/>
        <v>9</v>
      </c>
      <c r="AHP18" s="53">
        <f t="shared" si="114"/>
        <v>10</v>
      </c>
      <c r="AHQ18" s="53">
        <f t="shared" si="114"/>
        <v>11</v>
      </c>
      <c r="AHR18" s="53">
        <f t="shared" si="114"/>
        <v>12</v>
      </c>
      <c r="AHS18" s="53">
        <f t="shared" si="114"/>
        <v>1</v>
      </c>
      <c r="AHT18" s="53">
        <f t="shared" si="114"/>
        <v>2</v>
      </c>
      <c r="AHU18" s="53">
        <f t="shared" si="114"/>
        <v>3</v>
      </c>
      <c r="AHV18" s="53">
        <f t="shared" si="114"/>
        <v>4</v>
      </c>
      <c r="AHW18" s="53">
        <f t="shared" si="114"/>
        <v>5</v>
      </c>
      <c r="AHX18" s="53">
        <f t="shared" si="114"/>
        <v>6</v>
      </c>
      <c r="AHY18" s="53">
        <f t="shared" si="114"/>
        <v>7</v>
      </c>
      <c r="AHZ18" s="53">
        <f t="shared" si="114"/>
        <v>8</v>
      </c>
      <c r="AIA18" s="53">
        <f t="shared" si="114"/>
        <v>9</v>
      </c>
      <c r="AIB18" s="53">
        <f t="shared" si="114"/>
        <v>10</v>
      </c>
      <c r="AIC18" s="53">
        <f t="shared" si="114"/>
        <v>11</v>
      </c>
      <c r="AID18" s="53">
        <f t="shared" si="114"/>
        <v>12</v>
      </c>
      <c r="AIE18" s="53">
        <f t="shared" si="114"/>
        <v>1</v>
      </c>
      <c r="AIF18" s="53">
        <f t="shared" si="114"/>
        <v>2</v>
      </c>
      <c r="AIG18" s="53">
        <f t="shared" si="114"/>
        <v>3</v>
      </c>
      <c r="AIH18" s="53">
        <f t="shared" si="114"/>
        <v>4</v>
      </c>
      <c r="AII18" s="53">
        <f t="shared" si="114"/>
        <v>5</v>
      </c>
      <c r="AIJ18" s="53">
        <f t="shared" ref="AIJ18:AKU18" si="115">AHX18</f>
        <v>6</v>
      </c>
      <c r="AIK18" s="53">
        <f t="shared" si="115"/>
        <v>7</v>
      </c>
      <c r="AIL18" s="53">
        <f t="shared" si="115"/>
        <v>8</v>
      </c>
      <c r="AIM18" s="53">
        <f t="shared" si="115"/>
        <v>9</v>
      </c>
      <c r="AIN18" s="53">
        <f t="shared" si="115"/>
        <v>10</v>
      </c>
      <c r="AIO18" s="53">
        <f t="shared" si="115"/>
        <v>11</v>
      </c>
      <c r="AIP18" s="53">
        <f t="shared" si="115"/>
        <v>12</v>
      </c>
      <c r="AIQ18" s="53">
        <f t="shared" si="115"/>
        <v>1</v>
      </c>
      <c r="AIR18" s="53">
        <f t="shared" si="115"/>
        <v>2</v>
      </c>
      <c r="AIS18" s="53">
        <f t="shared" si="115"/>
        <v>3</v>
      </c>
      <c r="AIT18" s="53">
        <f t="shared" si="115"/>
        <v>4</v>
      </c>
      <c r="AIU18" s="53">
        <f t="shared" si="115"/>
        <v>5</v>
      </c>
      <c r="AIV18" s="53">
        <f t="shared" si="115"/>
        <v>6</v>
      </c>
      <c r="AIW18" s="53">
        <f t="shared" si="115"/>
        <v>7</v>
      </c>
      <c r="AIX18" s="53">
        <f t="shared" si="115"/>
        <v>8</v>
      </c>
      <c r="AIY18" s="53">
        <f t="shared" si="115"/>
        <v>9</v>
      </c>
      <c r="AIZ18" s="53">
        <f t="shared" si="115"/>
        <v>10</v>
      </c>
      <c r="AJA18" s="53">
        <f t="shared" si="115"/>
        <v>11</v>
      </c>
      <c r="AJB18" s="53">
        <f t="shared" si="115"/>
        <v>12</v>
      </c>
      <c r="AJC18" s="53">
        <f t="shared" si="115"/>
        <v>1</v>
      </c>
      <c r="AJD18" s="53">
        <f t="shared" si="115"/>
        <v>2</v>
      </c>
      <c r="AJE18" s="53">
        <f t="shared" si="115"/>
        <v>3</v>
      </c>
      <c r="AJF18" s="53">
        <f t="shared" si="115"/>
        <v>4</v>
      </c>
      <c r="AJG18" s="53">
        <f t="shared" si="115"/>
        <v>5</v>
      </c>
      <c r="AJH18" s="53">
        <f t="shared" si="115"/>
        <v>6</v>
      </c>
      <c r="AJI18" s="53">
        <f t="shared" si="115"/>
        <v>7</v>
      </c>
      <c r="AJJ18" s="53">
        <f t="shared" si="115"/>
        <v>8</v>
      </c>
      <c r="AJK18" s="53">
        <f t="shared" si="115"/>
        <v>9</v>
      </c>
      <c r="AJL18" s="53">
        <f t="shared" si="115"/>
        <v>10</v>
      </c>
      <c r="AJM18" s="53">
        <f t="shared" si="115"/>
        <v>11</v>
      </c>
      <c r="AJN18" s="53">
        <f t="shared" si="115"/>
        <v>12</v>
      </c>
      <c r="AJO18" s="53">
        <f t="shared" si="115"/>
        <v>1</v>
      </c>
      <c r="AJP18" s="53">
        <f t="shared" si="115"/>
        <v>2</v>
      </c>
      <c r="AJQ18" s="53">
        <f t="shared" si="115"/>
        <v>3</v>
      </c>
      <c r="AJR18" s="53">
        <f t="shared" si="115"/>
        <v>4</v>
      </c>
      <c r="AJS18" s="53">
        <f t="shared" si="115"/>
        <v>5</v>
      </c>
      <c r="AJT18" s="53">
        <f t="shared" si="115"/>
        <v>6</v>
      </c>
      <c r="AJU18" s="53">
        <f t="shared" si="115"/>
        <v>7</v>
      </c>
      <c r="AJV18" s="53">
        <f t="shared" si="115"/>
        <v>8</v>
      </c>
      <c r="AJW18" s="53">
        <f t="shared" si="115"/>
        <v>9</v>
      </c>
      <c r="AJX18" s="53">
        <f t="shared" si="115"/>
        <v>10</v>
      </c>
      <c r="AJY18" s="53">
        <f t="shared" si="115"/>
        <v>11</v>
      </c>
      <c r="AJZ18" s="53">
        <f t="shared" si="115"/>
        <v>12</v>
      </c>
      <c r="AKA18" s="53">
        <f t="shared" si="115"/>
        <v>1</v>
      </c>
      <c r="AKB18" s="53">
        <f t="shared" si="115"/>
        <v>2</v>
      </c>
      <c r="AKC18" s="53">
        <f t="shared" si="115"/>
        <v>3</v>
      </c>
      <c r="AKD18" s="53">
        <f t="shared" si="115"/>
        <v>4</v>
      </c>
      <c r="AKE18" s="53">
        <f t="shared" si="115"/>
        <v>5</v>
      </c>
      <c r="AKF18" s="53">
        <f t="shared" si="115"/>
        <v>6</v>
      </c>
      <c r="AKG18" s="53">
        <f t="shared" si="115"/>
        <v>7</v>
      </c>
      <c r="AKH18" s="53">
        <f t="shared" si="115"/>
        <v>8</v>
      </c>
      <c r="AKI18" s="53">
        <f t="shared" si="115"/>
        <v>9</v>
      </c>
      <c r="AKJ18" s="53">
        <f t="shared" si="115"/>
        <v>10</v>
      </c>
      <c r="AKK18" s="53">
        <f t="shared" si="115"/>
        <v>11</v>
      </c>
      <c r="AKL18" s="53">
        <f t="shared" si="115"/>
        <v>12</v>
      </c>
      <c r="AKM18" s="53">
        <f t="shared" si="115"/>
        <v>1</v>
      </c>
      <c r="AKN18" s="53">
        <f t="shared" si="115"/>
        <v>2</v>
      </c>
      <c r="AKO18" s="53">
        <f t="shared" si="115"/>
        <v>3</v>
      </c>
      <c r="AKP18" s="53">
        <f t="shared" si="115"/>
        <v>4</v>
      </c>
      <c r="AKQ18" s="53">
        <f t="shared" si="115"/>
        <v>5</v>
      </c>
      <c r="AKR18" s="53">
        <f t="shared" si="115"/>
        <v>6</v>
      </c>
      <c r="AKS18" s="53">
        <f t="shared" si="115"/>
        <v>7</v>
      </c>
      <c r="AKT18" s="53">
        <f t="shared" si="115"/>
        <v>8</v>
      </c>
      <c r="AKU18" s="53">
        <f t="shared" si="115"/>
        <v>9</v>
      </c>
      <c r="AKV18" s="53">
        <f t="shared" ref="AKV18:ANG18" si="116">AKJ18</f>
        <v>10</v>
      </c>
      <c r="AKW18" s="53">
        <f t="shared" si="116"/>
        <v>11</v>
      </c>
      <c r="AKX18" s="53">
        <f t="shared" si="116"/>
        <v>12</v>
      </c>
      <c r="AKY18" s="53">
        <f t="shared" si="116"/>
        <v>1</v>
      </c>
      <c r="AKZ18" s="53">
        <f t="shared" si="116"/>
        <v>2</v>
      </c>
      <c r="ALA18" s="53">
        <f t="shared" si="116"/>
        <v>3</v>
      </c>
      <c r="ALB18" s="53">
        <f t="shared" si="116"/>
        <v>4</v>
      </c>
      <c r="ALC18" s="53">
        <f t="shared" si="116"/>
        <v>5</v>
      </c>
      <c r="ALD18" s="53">
        <f t="shared" si="116"/>
        <v>6</v>
      </c>
      <c r="ALE18" s="53">
        <f t="shared" si="116"/>
        <v>7</v>
      </c>
      <c r="ALF18" s="53">
        <f t="shared" si="116"/>
        <v>8</v>
      </c>
      <c r="ALG18" s="53">
        <f t="shared" si="116"/>
        <v>9</v>
      </c>
      <c r="ALH18" s="53">
        <f t="shared" si="116"/>
        <v>10</v>
      </c>
      <c r="ALI18" s="53">
        <f t="shared" si="116"/>
        <v>11</v>
      </c>
      <c r="ALJ18" s="53">
        <f t="shared" si="116"/>
        <v>12</v>
      </c>
      <c r="ALK18" s="53">
        <f t="shared" si="116"/>
        <v>1</v>
      </c>
      <c r="ALL18" s="53">
        <f t="shared" si="116"/>
        <v>2</v>
      </c>
      <c r="ALM18" s="53">
        <f t="shared" si="116"/>
        <v>3</v>
      </c>
      <c r="ALN18" s="53">
        <f t="shared" si="116"/>
        <v>4</v>
      </c>
      <c r="ALO18" s="53">
        <f t="shared" si="116"/>
        <v>5</v>
      </c>
      <c r="ALP18" s="53">
        <f t="shared" si="116"/>
        <v>6</v>
      </c>
      <c r="ALQ18" s="53">
        <f t="shared" si="116"/>
        <v>7</v>
      </c>
      <c r="ALR18" s="53">
        <f t="shared" si="116"/>
        <v>8</v>
      </c>
      <c r="ALS18" s="53">
        <f t="shared" si="116"/>
        <v>9</v>
      </c>
      <c r="ALT18" s="53">
        <f t="shared" si="116"/>
        <v>10</v>
      </c>
      <c r="ALU18" s="53">
        <f t="shared" si="116"/>
        <v>11</v>
      </c>
      <c r="ALV18" s="53">
        <f t="shared" si="116"/>
        <v>12</v>
      </c>
      <c r="ALW18" s="53">
        <f t="shared" si="116"/>
        <v>1</v>
      </c>
      <c r="ALX18" s="53">
        <f t="shared" si="116"/>
        <v>2</v>
      </c>
      <c r="ALY18" s="53">
        <f t="shared" si="116"/>
        <v>3</v>
      </c>
      <c r="ALZ18" s="53">
        <f t="shared" si="116"/>
        <v>4</v>
      </c>
      <c r="AMA18" s="53">
        <f t="shared" si="116"/>
        <v>5</v>
      </c>
      <c r="AMB18" s="53">
        <f t="shared" si="116"/>
        <v>6</v>
      </c>
      <c r="AMC18" s="53">
        <f t="shared" si="116"/>
        <v>7</v>
      </c>
      <c r="AMD18" s="53">
        <f t="shared" si="116"/>
        <v>8</v>
      </c>
      <c r="AME18" s="53">
        <f t="shared" si="116"/>
        <v>9</v>
      </c>
      <c r="AMF18" s="53">
        <f t="shared" si="116"/>
        <v>10</v>
      </c>
      <c r="AMG18" s="53">
        <f t="shared" si="116"/>
        <v>11</v>
      </c>
      <c r="AMH18" s="53">
        <f t="shared" si="116"/>
        <v>12</v>
      </c>
      <c r="AMI18" s="53">
        <f t="shared" si="116"/>
        <v>1</v>
      </c>
      <c r="AMJ18" s="53">
        <f t="shared" si="116"/>
        <v>2</v>
      </c>
      <c r="AMK18" s="53">
        <f t="shared" si="116"/>
        <v>3</v>
      </c>
      <c r="AML18" s="53">
        <f t="shared" si="116"/>
        <v>4</v>
      </c>
      <c r="AMM18" s="53">
        <f t="shared" si="116"/>
        <v>5</v>
      </c>
      <c r="AMN18" s="53">
        <f t="shared" si="116"/>
        <v>6</v>
      </c>
      <c r="AMO18" s="53">
        <f t="shared" si="116"/>
        <v>7</v>
      </c>
      <c r="AMP18" s="53">
        <f t="shared" si="116"/>
        <v>8</v>
      </c>
      <c r="AMQ18" s="53">
        <f t="shared" si="116"/>
        <v>9</v>
      </c>
      <c r="AMR18" s="53">
        <f t="shared" si="116"/>
        <v>10</v>
      </c>
      <c r="AMS18" s="53">
        <f t="shared" si="116"/>
        <v>11</v>
      </c>
      <c r="AMT18" s="53">
        <f t="shared" si="116"/>
        <v>12</v>
      </c>
      <c r="AMU18" s="53">
        <f t="shared" si="116"/>
        <v>1</v>
      </c>
      <c r="AMV18" s="53">
        <f t="shared" si="116"/>
        <v>2</v>
      </c>
      <c r="AMW18" s="53">
        <f t="shared" si="116"/>
        <v>3</v>
      </c>
      <c r="AMX18" s="53">
        <f t="shared" si="116"/>
        <v>4</v>
      </c>
      <c r="AMY18" s="53">
        <f t="shared" si="116"/>
        <v>5</v>
      </c>
      <c r="AMZ18" s="53">
        <f t="shared" si="116"/>
        <v>6</v>
      </c>
      <c r="ANA18" s="53">
        <f t="shared" si="116"/>
        <v>7</v>
      </c>
      <c r="ANB18" s="53">
        <f t="shared" si="116"/>
        <v>8</v>
      </c>
      <c r="ANC18" s="53">
        <f t="shared" si="116"/>
        <v>9</v>
      </c>
      <c r="AND18" s="53">
        <f t="shared" si="116"/>
        <v>10</v>
      </c>
      <c r="ANE18" s="53">
        <f t="shared" si="116"/>
        <v>11</v>
      </c>
      <c r="ANF18" s="53">
        <f t="shared" si="116"/>
        <v>12</v>
      </c>
      <c r="ANG18" s="53">
        <f t="shared" si="116"/>
        <v>1</v>
      </c>
      <c r="ANH18" s="53">
        <f t="shared" ref="ANH18:AOP18" si="117">AMV18</f>
        <v>2</v>
      </c>
      <c r="ANI18" s="53">
        <f t="shared" si="117"/>
        <v>3</v>
      </c>
      <c r="ANJ18" s="53">
        <f t="shared" si="117"/>
        <v>4</v>
      </c>
      <c r="ANK18" s="53">
        <f t="shared" si="117"/>
        <v>5</v>
      </c>
      <c r="ANL18" s="53">
        <f t="shared" si="117"/>
        <v>6</v>
      </c>
      <c r="ANM18" s="53">
        <f t="shared" si="117"/>
        <v>7</v>
      </c>
      <c r="ANN18" s="53">
        <f t="shared" si="117"/>
        <v>8</v>
      </c>
      <c r="ANO18" s="53">
        <f t="shared" si="117"/>
        <v>9</v>
      </c>
      <c r="ANP18" s="53">
        <f t="shared" si="117"/>
        <v>10</v>
      </c>
      <c r="ANQ18" s="53">
        <f t="shared" si="117"/>
        <v>11</v>
      </c>
      <c r="ANR18" s="53">
        <f t="shared" si="117"/>
        <v>12</v>
      </c>
      <c r="ANS18" s="53">
        <f t="shared" si="117"/>
        <v>1</v>
      </c>
      <c r="ANT18" s="53">
        <f t="shared" si="117"/>
        <v>2</v>
      </c>
      <c r="ANU18" s="53">
        <f t="shared" si="117"/>
        <v>3</v>
      </c>
      <c r="ANV18" s="53">
        <f t="shared" si="117"/>
        <v>4</v>
      </c>
      <c r="ANW18" s="53">
        <f t="shared" si="117"/>
        <v>5</v>
      </c>
      <c r="ANX18" s="53">
        <f t="shared" si="117"/>
        <v>6</v>
      </c>
      <c r="ANY18" s="53">
        <f t="shared" si="117"/>
        <v>7</v>
      </c>
      <c r="ANZ18" s="53">
        <f t="shared" si="117"/>
        <v>8</v>
      </c>
      <c r="AOA18" s="53">
        <f t="shared" si="117"/>
        <v>9</v>
      </c>
      <c r="AOB18" s="53">
        <f t="shared" si="117"/>
        <v>10</v>
      </c>
      <c r="AOC18" s="53">
        <f t="shared" si="117"/>
        <v>11</v>
      </c>
      <c r="AOD18" s="53">
        <f t="shared" si="117"/>
        <v>12</v>
      </c>
      <c r="AOE18" s="53">
        <f t="shared" si="117"/>
        <v>1</v>
      </c>
      <c r="AOF18" s="53">
        <f t="shared" si="117"/>
        <v>2</v>
      </c>
      <c r="AOG18" s="53">
        <f t="shared" si="117"/>
        <v>3</v>
      </c>
      <c r="AOH18" s="53">
        <f t="shared" si="117"/>
        <v>4</v>
      </c>
      <c r="AOI18" s="53">
        <f t="shared" si="117"/>
        <v>5</v>
      </c>
      <c r="AOJ18" s="53">
        <f t="shared" si="117"/>
        <v>6</v>
      </c>
      <c r="AOK18" s="53">
        <f t="shared" si="117"/>
        <v>7</v>
      </c>
      <c r="AOL18" s="53">
        <f t="shared" si="117"/>
        <v>8</v>
      </c>
      <c r="AOM18" s="53">
        <f t="shared" si="117"/>
        <v>9</v>
      </c>
      <c r="AON18" s="53">
        <f t="shared" si="117"/>
        <v>10</v>
      </c>
      <c r="AOO18" s="53">
        <f t="shared" si="117"/>
        <v>11</v>
      </c>
      <c r="AOP18" s="53">
        <f t="shared" si="117"/>
        <v>12</v>
      </c>
    </row>
    <row r="20" spans="2:1102" x14ac:dyDescent="0.25">
      <c r="B20" s="55" t="s">
        <v>175</v>
      </c>
      <c r="C20" s="56">
        <v>0</v>
      </c>
      <c r="D20" s="56">
        <f>C25</f>
        <v>0</v>
      </c>
      <c r="E20" s="56">
        <f t="shared" ref="E20:BP20" si="118">D25</f>
        <v>0</v>
      </c>
      <c r="F20" s="56">
        <f t="shared" si="118"/>
        <v>0</v>
      </c>
      <c r="G20" s="56">
        <f t="shared" si="118"/>
        <v>0</v>
      </c>
      <c r="H20" s="56">
        <f t="shared" si="118"/>
        <v>0</v>
      </c>
      <c r="I20" s="56">
        <f t="shared" si="118"/>
        <v>0</v>
      </c>
      <c r="J20" s="56">
        <f t="shared" si="118"/>
        <v>0</v>
      </c>
      <c r="K20" s="56">
        <f t="shared" si="118"/>
        <v>0</v>
      </c>
      <c r="L20" s="56">
        <f t="shared" si="118"/>
        <v>0</v>
      </c>
      <c r="M20" s="56">
        <f t="shared" si="118"/>
        <v>0</v>
      </c>
      <c r="N20" s="56">
        <f t="shared" si="118"/>
        <v>0</v>
      </c>
      <c r="O20" s="56">
        <f t="shared" si="118"/>
        <v>0</v>
      </c>
      <c r="P20" s="56">
        <f t="shared" si="118"/>
        <v>0</v>
      </c>
      <c r="Q20" s="56">
        <f t="shared" si="118"/>
        <v>0</v>
      </c>
      <c r="R20" s="56">
        <f t="shared" si="118"/>
        <v>0</v>
      </c>
      <c r="S20" s="56">
        <f t="shared" si="118"/>
        <v>0</v>
      </c>
      <c r="T20" s="56">
        <f t="shared" si="118"/>
        <v>0</v>
      </c>
      <c r="U20" s="56">
        <f t="shared" si="118"/>
        <v>0</v>
      </c>
      <c r="V20" s="56">
        <f t="shared" si="118"/>
        <v>0</v>
      </c>
      <c r="W20" s="56">
        <f t="shared" si="118"/>
        <v>0</v>
      </c>
      <c r="X20" s="56">
        <f t="shared" si="118"/>
        <v>0</v>
      </c>
      <c r="Y20" s="56">
        <f t="shared" si="118"/>
        <v>0</v>
      </c>
      <c r="Z20" s="56">
        <f t="shared" si="118"/>
        <v>0</v>
      </c>
      <c r="AA20" s="56">
        <f t="shared" si="118"/>
        <v>0</v>
      </c>
      <c r="AB20" s="56">
        <f t="shared" si="118"/>
        <v>0</v>
      </c>
      <c r="AC20" s="56">
        <f t="shared" si="118"/>
        <v>0</v>
      </c>
      <c r="AD20" s="56">
        <f t="shared" si="118"/>
        <v>0</v>
      </c>
      <c r="AE20" s="56">
        <f t="shared" si="118"/>
        <v>0</v>
      </c>
      <c r="AF20" s="56">
        <f t="shared" si="118"/>
        <v>0</v>
      </c>
      <c r="AG20" s="56">
        <f t="shared" si="118"/>
        <v>0</v>
      </c>
      <c r="AH20" s="56">
        <f t="shared" si="118"/>
        <v>0</v>
      </c>
      <c r="AI20" s="56">
        <f t="shared" si="118"/>
        <v>0</v>
      </c>
      <c r="AJ20" s="56">
        <f t="shared" si="118"/>
        <v>0</v>
      </c>
      <c r="AK20" s="56">
        <f t="shared" si="118"/>
        <v>0</v>
      </c>
      <c r="AL20" s="56">
        <f t="shared" si="118"/>
        <v>0</v>
      </c>
      <c r="AM20" s="56">
        <f t="shared" si="118"/>
        <v>0</v>
      </c>
      <c r="AN20" s="56">
        <f t="shared" si="118"/>
        <v>0</v>
      </c>
      <c r="AO20" s="56">
        <f t="shared" si="118"/>
        <v>0</v>
      </c>
      <c r="AP20" s="56">
        <f t="shared" si="118"/>
        <v>0</v>
      </c>
      <c r="AQ20" s="56">
        <f t="shared" si="118"/>
        <v>0</v>
      </c>
      <c r="AR20" s="56">
        <f t="shared" si="118"/>
        <v>0</v>
      </c>
      <c r="AS20" s="56">
        <f t="shared" si="118"/>
        <v>0</v>
      </c>
      <c r="AT20" s="56">
        <f t="shared" si="118"/>
        <v>0</v>
      </c>
      <c r="AU20" s="56">
        <f t="shared" si="118"/>
        <v>0</v>
      </c>
      <c r="AV20" s="56">
        <f t="shared" si="118"/>
        <v>0</v>
      </c>
      <c r="AW20" s="56">
        <f t="shared" si="118"/>
        <v>0</v>
      </c>
      <c r="AX20" s="56">
        <f t="shared" si="118"/>
        <v>0</v>
      </c>
      <c r="AY20" s="56">
        <f t="shared" si="118"/>
        <v>0</v>
      </c>
      <c r="AZ20" s="56">
        <f t="shared" si="118"/>
        <v>0</v>
      </c>
      <c r="BA20" s="56">
        <f t="shared" si="118"/>
        <v>0</v>
      </c>
      <c r="BB20" s="56">
        <f t="shared" si="118"/>
        <v>0</v>
      </c>
      <c r="BC20" s="56">
        <f t="shared" si="118"/>
        <v>0</v>
      </c>
      <c r="BD20" s="56">
        <f t="shared" si="118"/>
        <v>0</v>
      </c>
      <c r="BE20" s="56">
        <f t="shared" si="118"/>
        <v>0</v>
      </c>
      <c r="BF20" s="56">
        <f t="shared" si="118"/>
        <v>0</v>
      </c>
      <c r="BG20" s="56">
        <f t="shared" si="118"/>
        <v>0</v>
      </c>
      <c r="BH20" s="56">
        <f t="shared" si="118"/>
        <v>0</v>
      </c>
      <c r="BI20" s="56">
        <f t="shared" si="118"/>
        <v>0</v>
      </c>
      <c r="BJ20" s="56">
        <f t="shared" si="118"/>
        <v>0</v>
      </c>
      <c r="BK20" s="56">
        <f t="shared" si="118"/>
        <v>0</v>
      </c>
      <c r="BL20" s="56">
        <f t="shared" si="118"/>
        <v>0</v>
      </c>
      <c r="BM20" s="56">
        <f t="shared" si="118"/>
        <v>0</v>
      </c>
      <c r="BN20" s="56">
        <f t="shared" si="118"/>
        <v>0</v>
      </c>
      <c r="BO20" s="56">
        <f t="shared" si="118"/>
        <v>0</v>
      </c>
      <c r="BP20" s="56">
        <f t="shared" si="118"/>
        <v>0</v>
      </c>
      <c r="BQ20" s="56">
        <f t="shared" ref="BQ20:EB20" si="119">BP25</f>
        <v>0</v>
      </c>
      <c r="BR20" s="56">
        <f t="shared" si="119"/>
        <v>0</v>
      </c>
      <c r="BS20" s="56">
        <f t="shared" si="119"/>
        <v>0</v>
      </c>
      <c r="BT20" s="56">
        <f t="shared" si="119"/>
        <v>0</v>
      </c>
      <c r="BU20" s="56">
        <f t="shared" si="119"/>
        <v>0</v>
      </c>
      <c r="BV20" s="56">
        <f t="shared" si="119"/>
        <v>0</v>
      </c>
      <c r="BW20" s="56">
        <f t="shared" si="119"/>
        <v>0</v>
      </c>
      <c r="BX20" s="56">
        <f t="shared" si="119"/>
        <v>0</v>
      </c>
      <c r="BY20" s="56">
        <f t="shared" si="119"/>
        <v>0</v>
      </c>
      <c r="BZ20" s="56">
        <f t="shared" si="119"/>
        <v>0</v>
      </c>
      <c r="CA20" s="56">
        <f t="shared" si="119"/>
        <v>0</v>
      </c>
      <c r="CB20" s="56">
        <f t="shared" si="119"/>
        <v>0</v>
      </c>
      <c r="CC20" s="56">
        <f t="shared" si="119"/>
        <v>0</v>
      </c>
      <c r="CD20" s="56">
        <f t="shared" si="119"/>
        <v>0</v>
      </c>
      <c r="CE20" s="56">
        <f t="shared" si="119"/>
        <v>0</v>
      </c>
      <c r="CF20" s="56">
        <f t="shared" si="119"/>
        <v>0</v>
      </c>
      <c r="CG20" s="56">
        <f t="shared" si="119"/>
        <v>0</v>
      </c>
      <c r="CH20" s="56">
        <f t="shared" si="119"/>
        <v>0</v>
      </c>
      <c r="CI20" s="56">
        <f t="shared" si="119"/>
        <v>0</v>
      </c>
      <c r="CJ20" s="56">
        <f t="shared" si="119"/>
        <v>0</v>
      </c>
      <c r="CK20" s="56">
        <f t="shared" si="119"/>
        <v>0</v>
      </c>
      <c r="CL20" s="56">
        <f t="shared" si="119"/>
        <v>0</v>
      </c>
      <c r="CM20" s="56">
        <f t="shared" si="119"/>
        <v>0</v>
      </c>
      <c r="CN20" s="56">
        <f t="shared" si="119"/>
        <v>0</v>
      </c>
      <c r="CO20" s="56">
        <f t="shared" si="119"/>
        <v>0</v>
      </c>
      <c r="CP20" s="56">
        <f t="shared" si="119"/>
        <v>0</v>
      </c>
      <c r="CQ20" s="56">
        <f t="shared" si="119"/>
        <v>0</v>
      </c>
      <c r="CR20" s="56">
        <f t="shared" si="119"/>
        <v>0</v>
      </c>
      <c r="CS20" s="56">
        <f t="shared" si="119"/>
        <v>0</v>
      </c>
      <c r="CT20" s="56">
        <f t="shared" si="119"/>
        <v>0</v>
      </c>
      <c r="CU20" s="56">
        <f t="shared" si="119"/>
        <v>0</v>
      </c>
      <c r="CV20" s="56">
        <f t="shared" si="119"/>
        <v>0</v>
      </c>
      <c r="CW20" s="56">
        <f t="shared" si="119"/>
        <v>0</v>
      </c>
      <c r="CX20" s="56">
        <f t="shared" si="119"/>
        <v>0</v>
      </c>
      <c r="CY20" s="56">
        <f t="shared" si="119"/>
        <v>0</v>
      </c>
      <c r="CZ20" s="56">
        <f t="shared" si="119"/>
        <v>0</v>
      </c>
      <c r="DA20" s="56">
        <f t="shared" si="119"/>
        <v>0</v>
      </c>
      <c r="DB20" s="56">
        <f t="shared" si="119"/>
        <v>0</v>
      </c>
      <c r="DC20" s="56">
        <f t="shared" si="119"/>
        <v>0</v>
      </c>
      <c r="DD20" s="56">
        <f t="shared" si="119"/>
        <v>0</v>
      </c>
      <c r="DE20" s="56">
        <f t="shared" si="119"/>
        <v>0</v>
      </c>
      <c r="DF20" s="56">
        <f t="shared" si="119"/>
        <v>0</v>
      </c>
      <c r="DG20" s="56">
        <f t="shared" si="119"/>
        <v>0</v>
      </c>
      <c r="DH20" s="56">
        <f t="shared" si="119"/>
        <v>0</v>
      </c>
      <c r="DI20" s="56">
        <f t="shared" si="119"/>
        <v>0</v>
      </c>
      <c r="DJ20" s="56">
        <f t="shared" si="119"/>
        <v>0</v>
      </c>
      <c r="DK20" s="56">
        <f t="shared" si="119"/>
        <v>0</v>
      </c>
      <c r="DL20" s="56">
        <f t="shared" si="119"/>
        <v>0</v>
      </c>
      <c r="DM20" s="56">
        <f t="shared" si="119"/>
        <v>0</v>
      </c>
      <c r="DN20" s="56">
        <f t="shared" si="119"/>
        <v>0</v>
      </c>
      <c r="DO20" s="56">
        <f t="shared" si="119"/>
        <v>0</v>
      </c>
      <c r="DP20" s="56">
        <f t="shared" si="119"/>
        <v>0</v>
      </c>
      <c r="DQ20" s="56">
        <f t="shared" si="119"/>
        <v>0</v>
      </c>
      <c r="DR20" s="56">
        <f t="shared" si="119"/>
        <v>0</v>
      </c>
      <c r="DS20" s="56">
        <f t="shared" si="119"/>
        <v>0</v>
      </c>
      <c r="DT20" s="56">
        <f t="shared" si="119"/>
        <v>0</v>
      </c>
      <c r="DU20" s="56">
        <f t="shared" si="119"/>
        <v>0</v>
      </c>
      <c r="DV20" s="56">
        <f t="shared" si="119"/>
        <v>0</v>
      </c>
      <c r="DW20" s="56">
        <f t="shared" si="119"/>
        <v>0</v>
      </c>
      <c r="DX20" s="56">
        <f t="shared" si="119"/>
        <v>0</v>
      </c>
      <c r="DY20" s="56">
        <f t="shared" si="119"/>
        <v>0</v>
      </c>
      <c r="DZ20" s="56">
        <f t="shared" si="119"/>
        <v>0</v>
      </c>
      <c r="EA20" s="56">
        <f t="shared" si="119"/>
        <v>0</v>
      </c>
      <c r="EB20" s="56">
        <f t="shared" si="119"/>
        <v>0</v>
      </c>
      <c r="EC20" s="56">
        <f t="shared" ref="EC20:GN20" si="120">EB25</f>
        <v>0</v>
      </c>
      <c r="ED20" s="56">
        <f t="shared" si="120"/>
        <v>0</v>
      </c>
      <c r="EE20" s="56">
        <f t="shared" si="120"/>
        <v>0</v>
      </c>
      <c r="EF20" s="56">
        <f t="shared" si="120"/>
        <v>0</v>
      </c>
      <c r="EG20" s="56">
        <f t="shared" si="120"/>
        <v>0</v>
      </c>
      <c r="EH20" s="56">
        <f t="shared" si="120"/>
        <v>0</v>
      </c>
      <c r="EI20" s="56">
        <f t="shared" si="120"/>
        <v>0</v>
      </c>
      <c r="EJ20" s="56">
        <f t="shared" si="120"/>
        <v>0</v>
      </c>
      <c r="EK20" s="56">
        <f t="shared" si="120"/>
        <v>0</v>
      </c>
      <c r="EL20" s="56">
        <f t="shared" si="120"/>
        <v>0</v>
      </c>
      <c r="EM20" s="56">
        <f t="shared" si="120"/>
        <v>0</v>
      </c>
      <c r="EN20" s="56">
        <f t="shared" si="120"/>
        <v>0</v>
      </c>
      <c r="EO20" s="56">
        <f t="shared" si="120"/>
        <v>0</v>
      </c>
      <c r="EP20" s="56">
        <f t="shared" si="120"/>
        <v>0</v>
      </c>
      <c r="EQ20" s="56">
        <f t="shared" si="120"/>
        <v>0</v>
      </c>
      <c r="ER20" s="56">
        <f t="shared" si="120"/>
        <v>0</v>
      </c>
      <c r="ES20" s="56">
        <f t="shared" si="120"/>
        <v>0</v>
      </c>
      <c r="ET20" s="56">
        <f t="shared" si="120"/>
        <v>0</v>
      </c>
      <c r="EU20" s="56">
        <f t="shared" si="120"/>
        <v>0</v>
      </c>
      <c r="EV20" s="56">
        <f t="shared" si="120"/>
        <v>0</v>
      </c>
      <c r="EW20" s="56">
        <f t="shared" si="120"/>
        <v>0</v>
      </c>
      <c r="EX20" s="56">
        <f t="shared" si="120"/>
        <v>0</v>
      </c>
      <c r="EY20" s="56">
        <f t="shared" si="120"/>
        <v>0</v>
      </c>
      <c r="EZ20" s="56">
        <f t="shared" si="120"/>
        <v>0</v>
      </c>
      <c r="FA20" s="56">
        <f t="shared" si="120"/>
        <v>0</v>
      </c>
      <c r="FB20" s="56">
        <f t="shared" si="120"/>
        <v>0</v>
      </c>
      <c r="FC20" s="56">
        <f t="shared" si="120"/>
        <v>0</v>
      </c>
      <c r="FD20" s="56">
        <f t="shared" si="120"/>
        <v>0</v>
      </c>
      <c r="FE20" s="56">
        <f t="shared" si="120"/>
        <v>0</v>
      </c>
      <c r="FF20" s="56">
        <f t="shared" si="120"/>
        <v>0</v>
      </c>
      <c r="FG20" s="56">
        <f t="shared" si="120"/>
        <v>0</v>
      </c>
      <c r="FH20" s="56">
        <f t="shared" si="120"/>
        <v>0</v>
      </c>
      <c r="FI20" s="56">
        <f t="shared" si="120"/>
        <v>0</v>
      </c>
      <c r="FJ20" s="56">
        <f t="shared" si="120"/>
        <v>0</v>
      </c>
      <c r="FK20" s="56">
        <f t="shared" si="120"/>
        <v>0</v>
      </c>
      <c r="FL20" s="56">
        <f t="shared" si="120"/>
        <v>0</v>
      </c>
      <c r="FM20" s="56">
        <f t="shared" si="120"/>
        <v>0</v>
      </c>
      <c r="FN20" s="56">
        <f t="shared" si="120"/>
        <v>0</v>
      </c>
      <c r="FO20" s="56">
        <f t="shared" si="120"/>
        <v>0</v>
      </c>
      <c r="FP20" s="56">
        <f t="shared" si="120"/>
        <v>0</v>
      </c>
      <c r="FQ20" s="56">
        <f t="shared" si="120"/>
        <v>0</v>
      </c>
      <c r="FR20" s="56">
        <f t="shared" si="120"/>
        <v>0</v>
      </c>
      <c r="FS20" s="56">
        <f t="shared" si="120"/>
        <v>0</v>
      </c>
      <c r="FT20" s="56">
        <f t="shared" si="120"/>
        <v>0</v>
      </c>
      <c r="FU20" s="56">
        <f t="shared" si="120"/>
        <v>0</v>
      </c>
      <c r="FV20" s="56">
        <f t="shared" si="120"/>
        <v>0</v>
      </c>
      <c r="FW20" s="56">
        <f t="shared" si="120"/>
        <v>0</v>
      </c>
      <c r="FX20" s="56">
        <f t="shared" si="120"/>
        <v>0</v>
      </c>
      <c r="FY20" s="56">
        <f t="shared" si="120"/>
        <v>0</v>
      </c>
      <c r="FZ20" s="56">
        <f t="shared" si="120"/>
        <v>0</v>
      </c>
      <c r="GA20" s="56">
        <f t="shared" si="120"/>
        <v>0</v>
      </c>
      <c r="GB20" s="56">
        <f t="shared" si="120"/>
        <v>0</v>
      </c>
      <c r="GC20" s="56">
        <f t="shared" si="120"/>
        <v>0</v>
      </c>
      <c r="GD20" s="56">
        <f t="shared" si="120"/>
        <v>0</v>
      </c>
      <c r="GE20" s="56">
        <f t="shared" si="120"/>
        <v>0</v>
      </c>
      <c r="GF20" s="56">
        <f t="shared" si="120"/>
        <v>0</v>
      </c>
      <c r="GG20" s="56">
        <f t="shared" si="120"/>
        <v>0</v>
      </c>
      <c r="GH20" s="56">
        <f t="shared" si="120"/>
        <v>0</v>
      </c>
      <c r="GI20" s="56">
        <f t="shared" si="120"/>
        <v>0</v>
      </c>
      <c r="GJ20" s="56">
        <f t="shared" si="120"/>
        <v>0</v>
      </c>
      <c r="GK20" s="56">
        <f t="shared" si="120"/>
        <v>0</v>
      </c>
      <c r="GL20" s="56">
        <f t="shared" si="120"/>
        <v>0</v>
      </c>
      <c r="GM20" s="56">
        <f t="shared" si="120"/>
        <v>0</v>
      </c>
      <c r="GN20" s="56">
        <f t="shared" si="120"/>
        <v>0</v>
      </c>
      <c r="GO20" s="56">
        <f t="shared" ref="GO20:IZ20" si="121">GN25</f>
        <v>0</v>
      </c>
      <c r="GP20" s="56">
        <f t="shared" si="121"/>
        <v>0</v>
      </c>
      <c r="GQ20" s="56">
        <f t="shared" si="121"/>
        <v>0</v>
      </c>
      <c r="GR20" s="56">
        <f t="shared" si="121"/>
        <v>0</v>
      </c>
      <c r="GS20" s="56">
        <f t="shared" si="121"/>
        <v>0</v>
      </c>
      <c r="GT20" s="56">
        <f t="shared" si="121"/>
        <v>0</v>
      </c>
      <c r="GU20" s="56">
        <f t="shared" si="121"/>
        <v>0</v>
      </c>
      <c r="GV20" s="56">
        <f t="shared" si="121"/>
        <v>0</v>
      </c>
      <c r="GW20" s="56">
        <f t="shared" si="121"/>
        <v>0</v>
      </c>
      <c r="GX20" s="56">
        <f t="shared" si="121"/>
        <v>0</v>
      </c>
      <c r="GY20" s="56">
        <f t="shared" si="121"/>
        <v>0</v>
      </c>
      <c r="GZ20" s="56">
        <f t="shared" si="121"/>
        <v>0</v>
      </c>
      <c r="HA20" s="56">
        <f t="shared" si="121"/>
        <v>0</v>
      </c>
      <c r="HB20" s="56">
        <f t="shared" si="121"/>
        <v>0</v>
      </c>
      <c r="HC20" s="56">
        <f t="shared" si="121"/>
        <v>0</v>
      </c>
      <c r="HD20" s="56">
        <f t="shared" si="121"/>
        <v>0</v>
      </c>
      <c r="HE20" s="56">
        <f t="shared" si="121"/>
        <v>0</v>
      </c>
      <c r="HF20" s="56">
        <f t="shared" si="121"/>
        <v>0</v>
      </c>
      <c r="HG20" s="56">
        <f t="shared" si="121"/>
        <v>0</v>
      </c>
      <c r="HH20" s="56">
        <f t="shared" si="121"/>
        <v>0</v>
      </c>
      <c r="HI20" s="56">
        <f t="shared" si="121"/>
        <v>0</v>
      </c>
      <c r="HJ20" s="56">
        <f t="shared" si="121"/>
        <v>0</v>
      </c>
      <c r="HK20" s="56">
        <f t="shared" si="121"/>
        <v>0</v>
      </c>
      <c r="HL20" s="56">
        <f t="shared" si="121"/>
        <v>0</v>
      </c>
      <c r="HM20" s="56">
        <f t="shared" si="121"/>
        <v>0</v>
      </c>
      <c r="HN20" s="56">
        <f t="shared" si="121"/>
        <v>0</v>
      </c>
      <c r="HO20" s="56">
        <f t="shared" si="121"/>
        <v>0</v>
      </c>
      <c r="HP20" s="56">
        <f t="shared" si="121"/>
        <v>0</v>
      </c>
      <c r="HQ20" s="56">
        <f t="shared" si="121"/>
        <v>0</v>
      </c>
      <c r="HR20" s="56">
        <f t="shared" si="121"/>
        <v>0</v>
      </c>
      <c r="HS20" s="56">
        <f t="shared" si="121"/>
        <v>0</v>
      </c>
      <c r="HT20" s="56">
        <f t="shared" si="121"/>
        <v>0</v>
      </c>
      <c r="HU20" s="56">
        <f t="shared" si="121"/>
        <v>0</v>
      </c>
      <c r="HV20" s="56">
        <f t="shared" si="121"/>
        <v>0</v>
      </c>
      <c r="HW20" s="56">
        <f t="shared" si="121"/>
        <v>0</v>
      </c>
      <c r="HX20" s="56">
        <f t="shared" si="121"/>
        <v>0</v>
      </c>
      <c r="HY20" s="56">
        <f t="shared" si="121"/>
        <v>0</v>
      </c>
      <c r="HZ20" s="56">
        <f t="shared" si="121"/>
        <v>0</v>
      </c>
      <c r="IA20" s="56">
        <f t="shared" si="121"/>
        <v>0</v>
      </c>
      <c r="IB20" s="56">
        <f t="shared" si="121"/>
        <v>0</v>
      </c>
      <c r="IC20" s="56">
        <f t="shared" si="121"/>
        <v>0</v>
      </c>
      <c r="ID20" s="56">
        <f t="shared" si="121"/>
        <v>0</v>
      </c>
      <c r="IE20" s="56">
        <f t="shared" si="121"/>
        <v>0</v>
      </c>
      <c r="IF20" s="56">
        <f t="shared" si="121"/>
        <v>0</v>
      </c>
      <c r="IG20" s="56">
        <f t="shared" si="121"/>
        <v>0</v>
      </c>
      <c r="IH20" s="56">
        <f t="shared" si="121"/>
        <v>0</v>
      </c>
      <c r="II20" s="56">
        <f t="shared" si="121"/>
        <v>0</v>
      </c>
      <c r="IJ20" s="56">
        <f t="shared" si="121"/>
        <v>0</v>
      </c>
      <c r="IK20" s="56">
        <f t="shared" si="121"/>
        <v>0</v>
      </c>
      <c r="IL20" s="56">
        <f t="shared" si="121"/>
        <v>0</v>
      </c>
      <c r="IM20" s="56">
        <f t="shared" si="121"/>
        <v>0</v>
      </c>
      <c r="IN20" s="56">
        <f t="shared" si="121"/>
        <v>0</v>
      </c>
      <c r="IO20" s="56">
        <f t="shared" si="121"/>
        <v>0</v>
      </c>
      <c r="IP20" s="56">
        <f t="shared" si="121"/>
        <v>0</v>
      </c>
      <c r="IQ20" s="56">
        <f t="shared" si="121"/>
        <v>0</v>
      </c>
      <c r="IR20" s="56">
        <f t="shared" si="121"/>
        <v>0</v>
      </c>
      <c r="IS20" s="56">
        <f t="shared" si="121"/>
        <v>0</v>
      </c>
      <c r="IT20" s="56">
        <f t="shared" si="121"/>
        <v>0</v>
      </c>
      <c r="IU20" s="56">
        <f t="shared" si="121"/>
        <v>0</v>
      </c>
      <c r="IV20" s="56">
        <f t="shared" si="121"/>
        <v>0</v>
      </c>
      <c r="IW20" s="56">
        <f t="shared" si="121"/>
        <v>0</v>
      </c>
      <c r="IX20" s="56">
        <f t="shared" si="121"/>
        <v>0</v>
      </c>
      <c r="IY20" s="56">
        <f t="shared" si="121"/>
        <v>0</v>
      </c>
      <c r="IZ20" s="56">
        <f t="shared" si="121"/>
        <v>0</v>
      </c>
      <c r="JA20" s="56">
        <f t="shared" ref="JA20:LL20" si="122">IZ25</f>
        <v>0</v>
      </c>
      <c r="JB20" s="56">
        <f t="shared" si="122"/>
        <v>0</v>
      </c>
      <c r="JC20" s="56">
        <f t="shared" si="122"/>
        <v>0</v>
      </c>
      <c r="JD20" s="56">
        <f t="shared" si="122"/>
        <v>0</v>
      </c>
      <c r="JE20" s="56">
        <f t="shared" si="122"/>
        <v>0</v>
      </c>
      <c r="JF20" s="56">
        <f t="shared" si="122"/>
        <v>0</v>
      </c>
      <c r="JG20" s="56">
        <f t="shared" si="122"/>
        <v>0</v>
      </c>
      <c r="JH20" s="56">
        <f t="shared" si="122"/>
        <v>0</v>
      </c>
      <c r="JI20" s="56">
        <f t="shared" si="122"/>
        <v>0</v>
      </c>
      <c r="JJ20" s="56">
        <f t="shared" si="122"/>
        <v>0</v>
      </c>
      <c r="JK20" s="56">
        <f t="shared" si="122"/>
        <v>0</v>
      </c>
      <c r="JL20" s="56">
        <f t="shared" si="122"/>
        <v>0</v>
      </c>
      <c r="JM20" s="56">
        <f t="shared" si="122"/>
        <v>0</v>
      </c>
      <c r="JN20" s="56">
        <f t="shared" si="122"/>
        <v>0</v>
      </c>
      <c r="JO20" s="56">
        <f t="shared" si="122"/>
        <v>0</v>
      </c>
      <c r="JP20" s="56">
        <f t="shared" si="122"/>
        <v>0</v>
      </c>
      <c r="JQ20" s="56">
        <f t="shared" si="122"/>
        <v>0</v>
      </c>
      <c r="JR20" s="56">
        <f t="shared" si="122"/>
        <v>0</v>
      </c>
      <c r="JS20" s="56">
        <f t="shared" si="122"/>
        <v>0</v>
      </c>
      <c r="JT20" s="56">
        <f t="shared" si="122"/>
        <v>0</v>
      </c>
      <c r="JU20" s="56">
        <f t="shared" si="122"/>
        <v>0</v>
      </c>
      <c r="JV20" s="56">
        <f t="shared" si="122"/>
        <v>0</v>
      </c>
      <c r="JW20" s="56">
        <f t="shared" si="122"/>
        <v>0</v>
      </c>
      <c r="JX20" s="56">
        <f t="shared" si="122"/>
        <v>0</v>
      </c>
      <c r="JY20" s="56">
        <f t="shared" si="122"/>
        <v>0</v>
      </c>
      <c r="JZ20" s="56">
        <f t="shared" si="122"/>
        <v>0</v>
      </c>
      <c r="KA20" s="56">
        <f t="shared" si="122"/>
        <v>0</v>
      </c>
      <c r="KB20" s="56">
        <f t="shared" si="122"/>
        <v>0</v>
      </c>
      <c r="KC20" s="56">
        <f t="shared" si="122"/>
        <v>0</v>
      </c>
      <c r="KD20" s="56">
        <f t="shared" si="122"/>
        <v>0</v>
      </c>
      <c r="KE20" s="56">
        <f t="shared" si="122"/>
        <v>0</v>
      </c>
      <c r="KF20" s="56">
        <f t="shared" si="122"/>
        <v>0</v>
      </c>
      <c r="KG20" s="56">
        <f t="shared" si="122"/>
        <v>0</v>
      </c>
      <c r="KH20" s="56">
        <f t="shared" si="122"/>
        <v>0</v>
      </c>
      <c r="KI20" s="56">
        <f t="shared" si="122"/>
        <v>0</v>
      </c>
      <c r="KJ20" s="56">
        <f t="shared" si="122"/>
        <v>0</v>
      </c>
      <c r="KK20" s="56">
        <f t="shared" si="122"/>
        <v>0</v>
      </c>
      <c r="KL20" s="56">
        <f t="shared" si="122"/>
        <v>0</v>
      </c>
      <c r="KM20" s="56">
        <f t="shared" si="122"/>
        <v>0</v>
      </c>
      <c r="KN20" s="56">
        <f t="shared" si="122"/>
        <v>0</v>
      </c>
      <c r="KO20" s="56">
        <f t="shared" si="122"/>
        <v>0</v>
      </c>
      <c r="KP20" s="56">
        <f t="shared" si="122"/>
        <v>0</v>
      </c>
      <c r="KQ20" s="56">
        <f t="shared" si="122"/>
        <v>0</v>
      </c>
      <c r="KR20" s="56">
        <f t="shared" si="122"/>
        <v>0</v>
      </c>
      <c r="KS20" s="56">
        <f t="shared" si="122"/>
        <v>0</v>
      </c>
      <c r="KT20" s="56">
        <f t="shared" si="122"/>
        <v>0</v>
      </c>
      <c r="KU20" s="56">
        <f t="shared" si="122"/>
        <v>0</v>
      </c>
      <c r="KV20" s="56">
        <f t="shared" si="122"/>
        <v>0</v>
      </c>
      <c r="KW20" s="56">
        <f t="shared" si="122"/>
        <v>0</v>
      </c>
      <c r="KX20" s="56">
        <f t="shared" si="122"/>
        <v>0</v>
      </c>
      <c r="KY20" s="56">
        <f t="shared" si="122"/>
        <v>0</v>
      </c>
      <c r="KZ20" s="56">
        <f t="shared" si="122"/>
        <v>0</v>
      </c>
      <c r="LA20" s="56">
        <f t="shared" si="122"/>
        <v>0</v>
      </c>
      <c r="LB20" s="56">
        <f t="shared" si="122"/>
        <v>0</v>
      </c>
      <c r="LC20" s="56">
        <f t="shared" si="122"/>
        <v>0</v>
      </c>
      <c r="LD20" s="56">
        <f t="shared" si="122"/>
        <v>0</v>
      </c>
      <c r="LE20" s="56">
        <f t="shared" si="122"/>
        <v>0</v>
      </c>
      <c r="LF20" s="56">
        <f t="shared" si="122"/>
        <v>0</v>
      </c>
      <c r="LG20" s="56">
        <f t="shared" si="122"/>
        <v>0</v>
      </c>
      <c r="LH20" s="56">
        <f t="shared" si="122"/>
        <v>0</v>
      </c>
      <c r="LI20" s="56">
        <f t="shared" si="122"/>
        <v>0</v>
      </c>
      <c r="LJ20" s="56">
        <f t="shared" si="122"/>
        <v>0</v>
      </c>
      <c r="LK20" s="56">
        <f t="shared" si="122"/>
        <v>0</v>
      </c>
      <c r="LL20" s="56">
        <f t="shared" si="122"/>
        <v>0</v>
      </c>
      <c r="LM20" s="56">
        <f t="shared" ref="LM20:NX20" si="123">LL25</f>
        <v>0</v>
      </c>
      <c r="LN20" s="56">
        <f t="shared" si="123"/>
        <v>0</v>
      </c>
      <c r="LO20" s="56">
        <f t="shared" si="123"/>
        <v>0</v>
      </c>
      <c r="LP20" s="56">
        <f t="shared" si="123"/>
        <v>0</v>
      </c>
      <c r="LQ20" s="56">
        <f t="shared" si="123"/>
        <v>0</v>
      </c>
      <c r="LR20" s="56">
        <f t="shared" si="123"/>
        <v>0</v>
      </c>
      <c r="LS20" s="56">
        <f t="shared" si="123"/>
        <v>0</v>
      </c>
      <c r="LT20" s="56">
        <f t="shared" si="123"/>
        <v>0</v>
      </c>
      <c r="LU20" s="56">
        <f t="shared" si="123"/>
        <v>0</v>
      </c>
      <c r="LV20" s="56">
        <f t="shared" si="123"/>
        <v>0</v>
      </c>
      <c r="LW20" s="56">
        <f t="shared" si="123"/>
        <v>0</v>
      </c>
      <c r="LX20" s="56">
        <f t="shared" si="123"/>
        <v>0</v>
      </c>
      <c r="LY20" s="56">
        <f t="shared" si="123"/>
        <v>0</v>
      </c>
      <c r="LZ20" s="56">
        <f t="shared" si="123"/>
        <v>0</v>
      </c>
      <c r="MA20" s="56">
        <f t="shared" si="123"/>
        <v>0</v>
      </c>
      <c r="MB20" s="56">
        <f t="shared" si="123"/>
        <v>0</v>
      </c>
      <c r="MC20" s="56">
        <f t="shared" si="123"/>
        <v>0</v>
      </c>
      <c r="MD20" s="56">
        <f t="shared" si="123"/>
        <v>0</v>
      </c>
      <c r="ME20" s="56">
        <f t="shared" si="123"/>
        <v>0</v>
      </c>
      <c r="MF20" s="56">
        <f t="shared" si="123"/>
        <v>0</v>
      </c>
      <c r="MG20" s="56">
        <f t="shared" si="123"/>
        <v>0</v>
      </c>
      <c r="MH20" s="56">
        <f t="shared" si="123"/>
        <v>0</v>
      </c>
      <c r="MI20" s="56">
        <f t="shared" si="123"/>
        <v>0</v>
      </c>
      <c r="MJ20" s="56">
        <f t="shared" si="123"/>
        <v>0</v>
      </c>
      <c r="MK20" s="56">
        <f t="shared" si="123"/>
        <v>0</v>
      </c>
      <c r="ML20" s="56">
        <f t="shared" si="123"/>
        <v>0</v>
      </c>
      <c r="MM20" s="56">
        <f t="shared" si="123"/>
        <v>0</v>
      </c>
      <c r="MN20" s="56">
        <f t="shared" si="123"/>
        <v>0</v>
      </c>
      <c r="MO20" s="56">
        <f t="shared" si="123"/>
        <v>0</v>
      </c>
      <c r="MP20" s="56">
        <f t="shared" si="123"/>
        <v>0</v>
      </c>
      <c r="MQ20" s="56">
        <f t="shared" si="123"/>
        <v>0</v>
      </c>
      <c r="MR20" s="56">
        <f t="shared" si="123"/>
        <v>0</v>
      </c>
      <c r="MS20" s="56">
        <f t="shared" si="123"/>
        <v>0</v>
      </c>
      <c r="MT20" s="56">
        <f t="shared" si="123"/>
        <v>0</v>
      </c>
      <c r="MU20" s="56">
        <f t="shared" si="123"/>
        <v>0</v>
      </c>
      <c r="MV20" s="56">
        <f t="shared" si="123"/>
        <v>0</v>
      </c>
      <c r="MW20" s="56">
        <f t="shared" si="123"/>
        <v>0</v>
      </c>
      <c r="MX20" s="56">
        <f t="shared" si="123"/>
        <v>0</v>
      </c>
      <c r="MY20" s="56">
        <f t="shared" si="123"/>
        <v>0</v>
      </c>
      <c r="MZ20" s="56">
        <f t="shared" si="123"/>
        <v>0</v>
      </c>
      <c r="NA20" s="56">
        <f t="shared" si="123"/>
        <v>0</v>
      </c>
      <c r="NB20" s="56">
        <f t="shared" si="123"/>
        <v>0</v>
      </c>
      <c r="NC20" s="56">
        <f t="shared" si="123"/>
        <v>0</v>
      </c>
      <c r="ND20" s="56">
        <f t="shared" si="123"/>
        <v>0</v>
      </c>
      <c r="NE20" s="56">
        <f t="shared" si="123"/>
        <v>0</v>
      </c>
      <c r="NF20" s="56">
        <f t="shared" si="123"/>
        <v>0</v>
      </c>
      <c r="NG20" s="56">
        <f t="shared" si="123"/>
        <v>0</v>
      </c>
      <c r="NH20" s="56">
        <f t="shared" si="123"/>
        <v>0</v>
      </c>
      <c r="NI20" s="56">
        <f t="shared" si="123"/>
        <v>0</v>
      </c>
      <c r="NJ20" s="56">
        <f t="shared" si="123"/>
        <v>0</v>
      </c>
      <c r="NK20" s="56">
        <f t="shared" si="123"/>
        <v>0</v>
      </c>
      <c r="NL20" s="56">
        <f t="shared" si="123"/>
        <v>0</v>
      </c>
      <c r="NM20" s="56">
        <f t="shared" si="123"/>
        <v>0</v>
      </c>
      <c r="NN20" s="56">
        <f t="shared" si="123"/>
        <v>0</v>
      </c>
      <c r="NO20" s="56">
        <f t="shared" si="123"/>
        <v>0</v>
      </c>
      <c r="NP20" s="56">
        <f t="shared" si="123"/>
        <v>0</v>
      </c>
      <c r="NQ20" s="56">
        <f t="shared" si="123"/>
        <v>0</v>
      </c>
      <c r="NR20" s="56">
        <f t="shared" si="123"/>
        <v>0</v>
      </c>
      <c r="NS20" s="56">
        <f t="shared" si="123"/>
        <v>0</v>
      </c>
      <c r="NT20" s="56">
        <f t="shared" si="123"/>
        <v>0</v>
      </c>
      <c r="NU20" s="56">
        <f t="shared" si="123"/>
        <v>0</v>
      </c>
      <c r="NV20" s="56">
        <f t="shared" si="123"/>
        <v>0</v>
      </c>
      <c r="NW20" s="56">
        <f t="shared" si="123"/>
        <v>0</v>
      </c>
      <c r="NX20" s="56">
        <f t="shared" si="123"/>
        <v>0</v>
      </c>
      <c r="NY20" s="56">
        <f t="shared" ref="NY20:QJ20" si="124">NX25</f>
        <v>0</v>
      </c>
      <c r="NZ20" s="56">
        <f t="shared" si="124"/>
        <v>0</v>
      </c>
      <c r="OA20" s="56">
        <f t="shared" si="124"/>
        <v>0</v>
      </c>
      <c r="OB20" s="56">
        <f t="shared" si="124"/>
        <v>0</v>
      </c>
      <c r="OC20" s="56">
        <f t="shared" si="124"/>
        <v>0</v>
      </c>
      <c r="OD20" s="56">
        <f t="shared" si="124"/>
        <v>0</v>
      </c>
      <c r="OE20" s="56">
        <f t="shared" si="124"/>
        <v>0</v>
      </c>
      <c r="OF20" s="56">
        <f t="shared" si="124"/>
        <v>0</v>
      </c>
      <c r="OG20" s="56">
        <f t="shared" si="124"/>
        <v>0</v>
      </c>
      <c r="OH20" s="56">
        <f t="shared" si="124"/>
        <v>0</v>
      </c>
      <c r="OI20" s="56">
        <f t="shared" si="124"/>
        <v>0</v>
      </c>
      <c r="OJ20" s="56">
        <f t="shared" si="124"/>
        <v>0</v>
      </c>
      <c r="OK20" s="56">
        <f t="shared" si="124"/>
        <v>0</v>
      </c>
      <c r="OL20" s="56">
        <f t="shared" si="124"/>
        <v>0</v>
      </c>
      <c r="OM20" s="56">
        <f t="shared" si="124"/>
        <v>0</v>
      </c>
      <c r="ON20" s="56">
        <f t="shared" si="124"/>
        <v>0</v>
      </c>
      <c r="OO20" s="56">
        <f t="shared" si="124"/>
        <v>0</v>
      </c>
      <c r="OP20" s="56">
        <f t="shared" si="124"/>
        <v>0</v>
      </c>
      <c r="OQ20" s="56">
        <f t="shared" si="124"/>
        <v>0</v>
      </c>
      <c r="OR20" s="56">
        <f t="shared" si="124"/>
        <v>0</v>
      </c>
      <c r="OS20" s="56">
        <f t="shared" si="124"/>
        <v>0</v>
      </c>
      <c r="OT20" s="56">
        <f t="shared" si="124"/>
        <v>0</v>
      </c>
      <c r="OU20" s="56">
        <f t="shared" si="124"/>
        <v>0</v>
      </c>
      <c r="OV20" s="56">
        <f t="shared" si="124"/>
        <v>0</v>
      </c>
      <c r="OW20" s="56">
        <f t="shared" si="124"/>
        <v>0</v>
      </c>
      <c r="OX20" s="56">
        <f t="shared" si="124"/>
        <v>0</v>
      </c>
      <c r="OY20" s="56">
        <f t="shared" si="124"/>
        <v>0</v>
      </c>
      <c r="OZ20" s="56">
        <f t="shared" si="124"/>
        <v>0</v>
      </c>
      <c r="PA20" s="56">
        <f t="shared" si="124"/>
        <v>0</v>
      </c>
      <c r="PB20" s="56">
        <f t="shared" si="124"/>
        <v>0</v>
      </c>
      <c r="PC20" s="56">
        <f t="shared" si="124"/>
        <v>0</v>
      </c>
      <c r="PD20" s="56">
        <f t="shared" si="124"/>
        <v>0</v>
      </c>
      <c r="PE20" s="56">
        <f t="shared" si="124"/>
        <v>0</v>
      </c>
      <c r="PF20" s="56">
        <f t="shared" si="124"/>
        <v>0</v>
      </c>
      <c r="PG20" s="56">
        <f t="shared" si="124"/>
        <v>0</v>
      </c>
      <c r="PH20" s="56">
        <f t="shared" si="124"/>
        <v>0</v>
      </c>
      <c r="PI20" s="56">
        <f t="shared" si="124"/>
        <v>0</v>
      </c>
      <c r="PJ20" s="56">
        <f t="shared" si="124"/>
        <v>0</v>
      </c>
      <c r="PK20" s="56">
        <f t="shared" si="124"/>
        <v>0</v>
      </c>
      <c r="PL20" s="56">
        <f t="shared" si="124"/>
        <v>0</v>
      </c>
      <c r="PM20" s="56">
        <f t="shared" si="124"/>
        <v>0</v>
      </c>
      <c r="PN20" s="56">
        <f t="shared" si="124"/>
        <v>0</v>
      </c>
      <c r="PO20" s="56">
        <f t="shared" si="124"/>
        <v>0</v>
      </c>
      <c r="PP20" s="56">
        <f t="shared" si="124"/>
        <v>0</v>
      </c>
      <c r="PQ20" s="56">
        <f t="shared" si="124"/>
        <v>0</v>
      </c>
      <c r="PR20" s="56">
        <f t="shared" si="124"/>
        <v>0</v>
      </c>
      <c r="PS20" s="56">
        <f t="shared" si="124"/>
        <v>0</v>
      </c>
      <c r="PT20" s="56">
        <f t="shared" si="124"/>
        <v>0</v>
      </c>
      <c r="PU20" s="56">
        <f t="shared" si="124"/>
        <v>0</v>
      </c>
      <c r="PV20" s="56">
        <f t="shared" si="124"/>
        <v>0</v>
      </c>
      <c r="PW20" s="56">
        <f t="shared" si="124"/>
        <v>0</v>
      </c>
      <c r="PX20" s="56">
        <f t="shared" si="124"/>
        <v>0</v>
      </c>
      <c r="PY20" s="56">
        <f t="shared" si="124"/>
        <v>0</v>
      </c>
      <c r="PZ20" s="56">
        <f t="shared" si="124"/>
        <v>0</v>
      </c>
      <c r="QA20" s="56">
        <f t="shared" si="124"/>
        <v>0</v>
      </c>
      <c r="QB20" s="56">
        <f t="shared" si="124"/>
        <v>0</v>
      </c>
      <c r="QC20" s="56">
        <f t="shared" si="124"/>
        <v>0</v>
      </c>
      <c r="QD20" s="56">
        <f t="shared" si="124"/>
        <v>0</v>
      </c>
      <c r="QE20" s="56">
        <f t="shared" si="124"/>
        <v>0</v>
      </c>
      <c r="QF20" s="56">
        <f t="shared" si="124"/>
        <v>0</v>
      </c>
      <c r="QG20" s="56">
        <f t="shared" si="124"/>
        <v>0</v>
      </c>
      <c r="QH20" s="56">
        <f t="shared" si="124"/>
        <v>0</v>
      </c>
      <c r="QI20" s="56">
        <f t="shared" si="124"/>
        <v>0</v>
      </c>
      <c r="QJ20" s="56">
        <f t="shared" si="124"/>
        <v>0</v>
      </c>
      <c r="QK20" s="56">
        <f t="shared" ref="QK20:SV20" si="125">QJ25</f>
        <v>0</v>
      </c>
      <c r="QL20" s="56">
        <f t="shared" si="125"/>
        <v>0</v>
      </c>
      <c r="QM20" s="56">
        <f t="shared" si="125"/>
        <v>0</v>
      </c>
      <c r="QN20" s="56">
        <f t="shared" si="125"/>
        <v>0</v>
      </c>
      <c r="QO20" s="56">
        <f t="shared" si="125"/>
        <v>0</v>
      </c>
      <c r="QP20" s="56">
        <f t="shared" si="125"/>
        <v>0</v>
      </c>
      <c r="QQ20" s="56">
        <f t="shared" si="125"/>
        <v>0</v>
      </c>
      <c r="QR20" s="56">
        <f t="shared" si="125"/>
        <v>0</v>
      </c>
      <c r="QS20" s="56">
        <f t="shared" si="125"/>
        <v>0</v>
      </c>
      <c r="QT20" s="56">
        <f t="shared" si="125"/>
        <v>0</v>
      </c>
      <c r="QU20" s="56">
        <f t="shared" si="125"/>
        <v>0</v>
      </c>
      <c r="QV20" s="56">
        <f t="shared" si="125"/>
        <v>0</v>
      </c>
      <c r="QW20" s="56">
        <f t="shared" si="125"/>
        <v>0</v>
      </c>
      <c r="QX20" s="56">
        <f t="shared" si="125"/>
        <v>0</v>
      </c>
      <c r="QY20" s="56">
        <f t="shared" si="125"/>
        <v>0</v>
      </c>
      <c r="QZ20" s="56">
        <f t="shared" si="125"/>
        <v>0</v>
      </c>
      <c r="RA20" s="56">
        <f t="shared" si="125"/>
        <v>0</v>
      </c>
      <c r="RB20" s="56">
        <f t="shared" si="125"/>
        <v>0</v>
      </c>
      <c r="RC20" s="56">
        <f t="shared" si="125"/>
        <v>0</v>
      </c>
      <c r="RD20" s="56">
        <f t="shared" si="125"/>
        <v>0</v>
      </c>
      <c r="RE20" s="56">
        <f t="shared" si="125"/>
        <v>0</v>
      </c>
      <c r="RF20" s="56">
        <f t="shared" si="125"/>
        <v>0</v>
      </c>
      <c r="RG20" s="56">
        <f t="shared" si="125"/>
        <v>0</v>
      </c>
      <c r="RH20" s="56">
        <f t="shared" si="125"/>
        <v>0</v>
      </c>
      <c r="RI20" s="56">
        <f t="shared" si="125"/>
        <v>0</v>
      </c>
      <c r="RJ20" s="56">
        <f t="shared" si="125"/>
        <v>0</v>
      </c>
      <c r="RK20" s="56">
        <f t="shared" si="125"/>
        <v>0</v>
      </c>
      <c r="RL20" s="56">
        <f t="shared" si="125"/>
        <v>0</v>
      </c>
      <c r="RM20" s="56">
        <f t="shared" si="125"/>
        <v>0</v>
      </c>
      <c r="RN20" s="56">
        <f t="shared" si="125"/>
        <v>0</v>
      </c>
      <c r="RO20" s="56">
        <f t="shared" si="125"/>
        <v>0</v>
      </c>
      <c r="RP20" s="56">
        <f t="shared" si="125"/>
        <v>0</v>
      </c>
      <c r="RQ20" s="56">
        <f t="shared" si="125"/>
        <v>0</v>
      </c>
      <c r="RR20" s="56">
        <f t="shared" si="125"/>
        <v>0</v>
      </c>
      <c r="RS20" s="56">
        <f t="shared" si="125"/>
        <v>0</v>
      </c>
      <c r="RT20" s="56">
        <f t="shared" si="125"/>
        <v>0</v>
      </c>
      <c r="RU20" s="56">
        <f t="shared" si="125"/>
        <v>0</v>
      </c>
      <c r="RV20" s="56">
        <f t="shared" si="125"/>
        <v>0</v>
      </c>
      <c r="RW20" s="56">
        <f t="shared" si="125"/>
        <v>0</v>
      </c>
      <c r="RX20" s="56">
        <f t="shared" si="125"/>
        <v>0</v>
      </c>
      <c r="RY20" s="56">
        <f t="shared" si="125"/>
        <v>0</v>
      </c>
      <c r="RZ20" s="56">
        <f t="shared" si="125"/>
        <v>0</v>
      </c>
      <c r="SA20" s="56">
        <f t="shared" si="125"/>
        <v>0</v>
      </c>
      <c r="SB20" s="56">
        <f t="shared" si="125"/>
        <v>0</v>
      </c>
      <c r="SC20" s="56">
        <f t="shared" si="125"/>
        <v>0</v>
      </c>
      <c r="SD20" s="56">
        <f t="shared" si="125"/>
        <v>0</v>
      </c>
      <c r="SE20" s="56">
        <f t="shared" si="125"/>
        <v>0</v>
      </c>
      <c r="SF20" s="56">
        <f t="shared" si="125"/>
        <v>0</v>
      </c>
      <c r="SG20" s="56">
        <f t="shared" si="125"/>
        <v>0</v>
      </c>
      <c r="SH20" s="56">
        <f t="shared" si="125"/>
        <v>0</v>
      </c>
      <c r="SI20" s="56">
        <f t="shared" si="125"/>
        <v>0</v>
      </c>
      <c r="SJ20" s="56">
        <f t="shared" si="125"/>
        <v>0</v>
      </c>
      <c r="SK20" s="56">
        <f t="shared" si="125"/>
        <v>0</v>
      </c>
      <c r="SL20" s="56">
        <f t="shared" si="125"/>
        <v>0</v>
      </c>
      <c r="SM20" s="56">
        <f t="shared" si="125"/>
        <v>0</v>
      </c>
      <c r="SN20" s="56">
        <f t="shared" si="125"/>
        <v>0</v>
      </c>
      <c r="SO20" s="56">
        <f t="shared" si="125"/>
        <v>0</v>
      </c>
      <c r="SP20" s="56">
        <f t="shared" si="125"/>
        <v>0</v>
      </c>
      <c r="SQ20" s="56">
        <f t="shared" si="125"/>
        <v>0</v>
      </c>
      <c r="SR20" s="56">
        <f t="shared" si="125"/>
        <v>0</v>
      </c>
      <c r="SS20" s="56">
        <f t="shared" si="125"/>
        <v>0</v>
      </c>
      <c r="ST20" s="56">
        <f t="shared" si="125"/>
        <v>0</v>
      </c>
      <c r="SU20" s="56">
        <f t="shared" si="125"/>
        <v>0</v>
      </c>
      <c r="SV20" s="56">
        <f t="shared" si="125"/>
        <v>0</v>
      </c>
      <c r="SW20" s="56">
        <f t="shared" ref="SW20:VH20" si="126">SV25</f>
        <v>0</v>
      </c>
      <c r="SX20" s="56">
        <f t="shared" si="126"/>
        <v>0</v>
      </c>
      <c r="SY20" s="56">
        <f t="shared" si="126"/>
        <v>0</v>
      </c>
      <c r="SZ20" s="56">
        <f t="shared" si="126"/>
        <v>0</v>
      </c>
      <c r="TA20" s="56">
        <f t="shared" si="126"/>
        <v>0</v>
      </c>
      <c r="TB20" s="56">
        <f t="shared" si="126"/>
        <v>0</v>
      </c>
      <c r="TC20" s="56">
        <f t="shared" si="126"/>
        <v>0</v>
      </c>
      <c r="TD20" s="56">
        <f t="shared" si="126"/>
        <v>0</v>
      </c>
      <c r="TE20" s="56">
        <f t="shared" si="126"/>
        <v>0</v>
      </c>
      <c r="TF20" s="56">
        <f t="shared" si="126"/>
        <v>0</v>
      </c>
      <c r="TG20" s="56">
        <f t="shared" si="126"/>
        <v>0</v>
      </c>
      <c r="TH20" s="56">
        <f t="shared" si="126"/>
        <v>0</v>
      </c>
      <c r="TI20" s="56">
        <f t="shared" si="126"/>
        <v>0</v>
      </c>
      <c r="TJ20" s="56">
        <f t="shared" si="126"/>
        <v>0</v>
      </c>
      <c r="TK20" s="56">
        <f t="shared" si="126"/>
        <v>0</v>
      </c>
      <c r="TL20" s="56">
        <f t="shared" si="126"/>
        <v>0</v>
      </c>
      <c r="TM20" s="56">
        <f t="shared" si="126"/>
        <v>0</v>
      </c>
      <c r="TN20" s="56">
        <f t="shared" si="126"/>
        <v>0</v>
      </c>
      <c r="TO20" s="56">
        <f t="shared" si="126"/>
        <v>0</v>
      </c>
      <c r="TP20" s="56">
        <f t="shared" si="126"/>
        <v>0</v>
      </c>
      <c r="TQ20" s="56">
        <f t="shared" si="126"/>
        <v>0</v>
      </c>
      <c r="TR20" s="56">
        <f t="shared" si="126"/>
        <v>0</v>
      </c>
      <c r="TS20" s="56">
        <f t="shared" si="126"/>
        <v>0</v>
      </c>
      <c r="TT20" s="56">
        <f t="shared" si="126"/>
        <v>0</v>
      </c>
      <c r="TU20" s="56">
        <f t="shared" si="126"/>
        <v>0</v>
      </c>
      <c r="TV20" s="56">
        <f t="shared" si="126"/>
        <v>0</v>
      </c>
      <c r="TW20" s="56">
        <f t="shared" si="126"/>
        <v>0</v>
      </c>
      <c r="TX20" s="56">
        <f t="shared" si="126"/>
        <v>0</v>
      </c>
      <c r="TY20" s="56">
        <f t="shared" si="126"/>
        <v>0</v>
      </c>
      <c r="TZ20" s="56">
        <f t="shared" si="126"/>
        <v>0</v>
      </c>
      <c r="UA20" s="56">
        <f t="shared" si="126"/>
        <v>0</v>
      </c>
      <c r="UB20" s="56">
        <f t="shared" si="126"/>
        <v>0</v>
      </c>
      <c r="UC20" s="56">
        <f t="shared" si="126"/>
        <v>0</v>
      </c>
      <c r="UD20" s="56">
        <f t="shared" si="126"/>
        <v>0</v>
      </c>
      <c r="UE20" s="56">
        <f t="shared" si="126"/>
        <v>0</v>
      </c>
      <c r="UF20" s="56">
        <f t="shared" si="126"/>
        <v>0</v>
      </c>
      <c r="UG20" s="56">
        <f t="shared" si="126"/>
        <v>0</v>
      </c>
      <c r="UH20" s="56">
        <f t="shared" si="126"/>
        <v>0</v>
      </c>
      <c r="UI20" s="56">
        <f t="shared" si="126"/>
        <v>0</v>
      </c>
      <c r="UJ20" s="56">
        <f t="shared" si="126"/>
        <v>0</v>
      </c>
      <c r="UK20" s="56">
        <f t="shared" si="126"/>
        <v>0</v>
      </c>
      <c r="UL20" s="56">
        <f t="shared" si="126"/>
        <v>0</v>
      </c>
      <c r="UM20" s="56">
        <f t="shared" si="126"/>
        <v>0</v>
      </c>
      <c r="UN20" s="56">
        <f t="shared" si="126"/>
        <v>0</v>
      </c>
      <c r="UO20" s="56">
        <f t="shared" si="126"/>
        <v>0</v>
      </c>
      <c r="UP20" s="56">
        <f t="shared" si="126"/>
        <v>0</v>
      </c>
      <c r="UQ20" s="56">
        <f t="shared" si="126"/>
        <v>0</v>
      </c>
      <c r="UR20" s="56">
        <f t="shared" si="126"/>
        <v>0</v>
      </c>
      <c r="US20" s="56">
        <f t="shared" si="126"/>
        <v>0</v>
      </c>
      <c r="UT20" s="56">
        <f t="shared" si="126"/>
        <v>0</v>
      </c>
      <c r="UU20" s="56">
        <f t="shared" si="126"/>
        <v>0</v>
      </c>
      <c r="UV20" s="56">
        <f t="shared" si="126"/>
        <v>0</v>
      </c>
      <c r="UW20" s="56">
        <f t="shared" si="126"/>
        <v>0</v>
      </c>
      <c r="UX20" s="56">
        <f t="shared" si="126"/>
        <v>0</v>
      </c>
      <c r="UY20" s="56">
        <f t="shared" si="126"/>
        <v>0</v>
      </c>
      <c r="UZ20" s="56">
        <f t="shared" si="126"/>
        <v>0</v>
      </c>
      <c r="VA20" s="56">
        <f t="shared" si="126"/>
        <v>0</v>
      </c>
      <c r="VB20" s="56">
        <f t="shared" si="126"/>
        <v>0</v>
      </c>
      <c r="VC20" s="56">
        <f t="shared" si="126"/>
        <v>0</v>
      </c>
      <c r="VD20" s="56">
        <f t="shared" si="126"/>
        <v>0</v>
      </c>
      <c r="VE20" s="56">
        <f t="shared" si="126"/>
        <v>0</v>
      </c>
      <c r="VF20" s="56">
        <f t="shared" si="126"/>
        <v>0</v>
      </c>
      <c r="VG20" s="56">
        <f t="shared" si="126"/>
        <v>0</v>
      </c>
      <c r="VH20" s="56">
        <f t="shared" si="126"/>
        <v>0</v>
      </c>
      <c r="VI20" s="56">
        <f t="shared" ref="VI20:XT20" si="127">VH25</f>
        <v>0</v>
      </c>
      <c r="VJ20" s="56">
        <f t="shared" si="127"/>
        <v>0</v>
      </c>
      <c r="VK20" s="56">
        <f t="shared" si="127"/>
        <v>0</v>
      </c>
      <c r="VL20" s="56">
        <f t="shared" si="127"/>
        <v>0</v>
      </c>
      <c r="VM20" s="56">
        <f t="shared" si="127"/>
        <v>0</v>
      </c>
      <c r="VN20" s="56">
        <f t="shared" si="127"/>
        <v>0</v>
      </c>
      <c r="VO20" s="56">
        <f t="shared" si="127"/>
        <v>0</v>
      </c>
      <c r="VP20" s="56">
        <f t="shared" si="127"/>
        <v>0</v>
      </c>
      <c r="VQ20" s="56">
        <f t="shared" si="127"/>
        <v>0</v>
      </c>
      <c r="VR20" s="56">
        <f t="shared" si="127"/>
        <v>0</v>
      </c>
      <c r="VS20" s="56">
        <f t="shared" si="127"/>
        <v>0</v>
      </c>
      <c r="VT20" s="56">
        <f t="shared" si="127"/>
        <v>2301916.6666666665</v>
      </c>
      <c r="VU20" s="56">
        <f t="shared" si="127"/>
        <v>2303834.9305555555</v>
      </c>
      <c r="VV20" s="56">
        <f t="shared" si="127"/>
        <v>2305754.7929976853</v>
      </c>
      <c r="VW20" s="56">
        <f t="shared" si="127"/>
        <v>2307676.2553251833</v>
      </c>
      <c r="VX20" s="56">
        <f t="shared" si="127"/>
        <v>2309599.3188712876</v>
      </c>
      <c r="VY20" s="56">
        <f t="shared" si="127"/>
        <v>2311523.984970347</v>
      </c>
      <c r="VZ20" s="56">
        <f t="shared" si="127"/>
        <v>2313450.2549578222</v>
      </c>
      <c r="WA20" s="56">
        <f t="shared" si="127"/>
        <v>2315378.1301702871</v>
      </c>
      <c r="WB20" s="56">
        <f t="shared" si="127"/>
        <v>2317307.6119454289</v>
      </c>
      <c r="WC20" s="56">
        <f t="shared" si="127"/>
        <v>2319238.7016220503</v>
      </c>
      <c r="WD20" s="56">
        <f t="shared" si="127"/>
        <v>2321171.4005400687</v>
      </c>
      <c r="WE20" s="56">
        <f t="shared" si="127"/>
        <v>2323105.710040519</v>
      </c>
      <c r="WF20" s="56">
        <f t="shared" si="127"/>
        <v>2325041.6314655528</v>
      </c>
      <c r="WG20" s="56">
        <f t="shared" si="127"/>
        <v>2326979.166158441</v>
      </c>
      <c r="WH20" s="56">
        <f t="shared" si="127"/>
        <v>2328918.3154635732</v>
      </c>
      <c r="WI20" s="56">
        <f t="shared" si="127"/>
        <v>2330859.0807264596</v>
      </c>
      <c r="WJ20" s="56">
        <f t="shared" si="127"/>
        <v>2332801.4632937317</v>
      </c>
      <c r="WK20" s="56">
        <f t="shared" si="127"/>
        <v>2334745.4645131431</v>
      </c>
      <c r="WL20" s="56">
        <f t="shared" si="127"/>
        <v>2336691.0857335706</v>
      </c>
      <c r="WM20" s="56">
        <f t="shared" si="127"/>
        <v>2338638.3283050153</v>
      </c>
      <c r="WN20" s="56">
        <f t="shared" si="127"/>
        <v>2340587.1935786027</v>
      </c>
      <c r="WO20" s="56">
        <f t="shared" si="127"/>
        <v>2342537.6829065848</v>
      </c>
      <c r="WP20" s="56">
        <f t="shared" si="127"/>
        <v>2344489.7976423404</v>
      </c>
      <c r="WQ20" s="56">
        <f t="shared" si="127"/>
        <v>2346443.5391403758</v>
      </c>
      <c r="WR20" s="56">
        <f t="shared" si="127"/>
        <v>2348398.908756326</v>
      </c>
      <c r="WS20" s="56">
        <f t="shared" si="127"/>
        <v>2350355.907846956</v>
      </c>
      <c r="WT20" s="56">
        <f t="shared" si="127"/>
        <v>2352314.5377701619</v>
      </c>
      <c r="WU20" s="56">
        <f t="shared" si="127"/>
        <v>2354274.7998849703</v>
      </c>
      <c r="WV20" s="56">
        <f t="shared" si="127"/>
        <v>2356236.6955515412</v>
      </c>
      <c r="WW20" s="56">
        <f t="shared" si="127"/>
        <v>2358200.2261311673</v>
      </c>
      <c r="WX20" s="56">
        <f t="shared" si="127"/>
        <v>2360165.3929862767</v>
      </c>
      <c r="WY20" s="56">
        <f t="shared" si="127"/>
        <v>2362132.1974804318</v>
      </c>
      <c r="WZ20" s="56">
        <f t="shared" si="127"/>
        <v>2364100.6409783321</v>
      </c>
      <c r="XA20" s="56">
        <f t="shared" si="127"/>
        <v>2366070.7248458141</v>
      </c>
      <c r="XB20" s="56">
        <f t="shared" si="127"/>
        <v>2368042.4504498523</v>
      </c>
      <c r="XC20" s="56">
        <f t="shared" si="127"/>
        <v>2370015.8191585606</v>
      </c>
      <c r="XD20" s="56">
        <f t="shared" si="127"/>
        <v>2371990.8323411928</v>
      </c>
      <c r="XE20" s="56">
        <f t="shared" si="127"/>
        <v>2373967.4913681438</v>
      </c>
      <c r="XF20" s="56">
        <f t="shared" si="127"/>
        <v>2375945.7976109507</v>
      </c>
      <c r="XG20" s="56">
        <f t="shared" si="127"/>
        <v>2377925.7524422933</v>
      </c>
      <c r="XH20" s="56">
        <f t="shared" si="127"/>
        <v>2379907.3572359951</v>
      </c>
      <c r="XI20" s="56">
        <f t="shared" si="127"/>
        <v>2381890.6133670253</v>
      </c>
      <c r="XJ20" s="56">
        <f t="shared" si="127"/>
        <v>2383875.5222114976</v>
      </c>
      <c r="XK20" s="56">
        <f t="shared" si="127"/>
        <v>2385862.085146674</v>
      </c>
      <c r="XL20" s="56">
        <f t="shared" si="127"/>
        <v>2387850.3035509628</v>
      </c>
      <c r="XM20" s="56">
        <f t="shared" si="127"/>
        <v>2389840.1788039221</v>
      </c>
      <c r="XN20" s="56">
        <f t="shared" si="127"/>
        <v>2391831.7122862586</v>
      </c>
      <c r="XO20" s="56">
        <f t="shared" si="127"/>
        <v>2393824.9053798304</v>
      </c>
      <c r="XP20" s="56">
        <f t="shared" si="127"/>
        <v>2395819.7594676469</v>
      </c>
      <c r="XQ20" s="56">
        <f t="shared" si="127"/>
        <v>2397816.2759338701</v>
      </c>
      <c r="XR20" s="56">
        <f t="shared" si="127"/>
        <v>2399814.4561638152</v>
      </c>
      <c r="XS20" s="56">
        <f t="shared" si="127"/>
        <v>2401814.301543952</v>
      </c>
      <c r="XT20" s="56">
        <f t="shared" si="127"/>
        <v>2403815.8134619053</v>
      </c>
      <c r="XU20" s="56">
        <f t="shared" ref="XU20:AAF20" si="128">XT25</f>
        <v>2405818.9933064571</v>
      </c>
      <c r="XV20" s="56">
        <f t="shared" si="128"/>
        <v>2407823.842467546</v>
      </c>
      <c r="XW20" s="56">
        <f t="shared" si="128"/>
        <v>2409830.3623362691</v>
      </c>
      <c r="XX20" s="56">
        <f t="shared" si="128"/>
        <v>2411838.5543048829</v>
      </c>
      <c r="XY20" s="56">
        <f t="shared" si="128"/>
        <v>2413848.4197668037</v>
      </c>
      <c r="XZ20" s="56">
        <f t="shared" si="128"/>
        <v>2415859.9601166095</v>
      </c>
      <c r="YA20" s="56">
        <f t="shared" si="128"/>
        <v>2417873.1767500401</v>
      </c>
      <c r="YB20" s="56">
        <f t="shared" si="128"/>
        <v>2419888.0710639986</v>
      </c>
      <c r="YC20" s="56">
        <f t="shared" si="128"/>
        <v>2421904.6444565519</v>
      </c>
      <c r="YD20" s="56">
        <f t="shared" si="128"/>
        <v>2423922.8983269325</v>
      </c>
      <c r="YE20" s="56">
        <f t="shared" si="128"/>
        <v>2425942.8340755384</v>
      </c>
      <c r="YF20" s="56">
        <f t="shared" si="128"/>
        <v>2427964.4531039349</v>
      </c>
      <c r="YG20" s="56">
        <f t="shared" si="128"/>
        <v>2429987.7568148547</v>
      </c>
      <c r="YH20" s="56">
        <f t="shared" si="128"/>
        <v>2432012.7466122005</v>
      </c>
      <c r="YI20" s="56">
        <f t="shared" si="128"/>
        <v>2434039.4239010438</v>
      </c>
      <c r="YJ20" s="56">
        <f t="shared" si="128"/>
        <v>2436067.7900876282</v>
      </c>
      <c r="YK20" s="56">
        <f t="shared" si="128"/>
        <v>2438097.8465793678</v>
      </c>
      <c r="YL20" s="56">
        <f t="shared" si="128"/>
        <v>2440129.5947848507</v>
      </c>
      <c r="YM20" s="56">
        <f t="shared" si="128"/>
        <v>2442163.0361138382</v>
      </c>
      <c r="YN20" s="56">
        <f t="shared" si="128"/>
        <v>2444198.1719772662</v>
      </c>
      <c r="YO20" s="56">
        <f t="shared" si="128"/>
        <v>2446235.0037872475</v>
      </c>
      <c r="YP20" s="56">
        <f t="shared" si="128"/>
        <v>2448273.53295707</v>
      </c>
      <c r="YQ20" s="56">
        <f t="shared" si="128"/>
        <v>2450313.7609012011</v>
      </c>
      <c r="YR20" s="56">
        <f t="shared" si="128"/>
        <v>2452355.6890352853</v>
      </c>
      <c r="YS20" s="56">
        <f t="shared" si="128"/>
        <v>2454399.3187761479</v>
      </c>
      <c r="YT20" s="56">
        <f t="shared" si="128"/>
        <v>2456444.6515417947</v>
      </c>
      <c r="YU20" s="56">
        <f t="shared" si="128"/>
        <v>2458491.688751413</v>
      </c>
      <c r="YV20" s="56">
        <f t="shared" si="128"/>
        <v>2460540.4318253724</v>
      </c>
      <c r="YW20" s="56">
        <f t="shared" si="128"/>
        <v>2462590.8821852268</v>
      </c>
      <c r="YX20" s="56">
        <f t="shared" si="128"/>
        <v>2464643.0412537144</v>
      </c>
      <c r="YY20" s="56">
        <f t="shared" si="128"/>
        <v>2466696.9104547589</v>
      </c>
      <c r="YZ20" s="56">
        <f t="shared" si="128"/>
        <v>2468752.4912134712</v>
      </c>
      <c r="ZA20" s="56">
        <f t="shared" si="128"/>
        <v>2470809.7849561488</v>
      </c>
      <c r="ZB20" s="56">
        <f t="shared" si="128"/>
        <v>2472868.7931102789</v>
      </c>
      <c r="ZC20" s="56">
        <f t="shared" si="128"/>
        <v>2474929.5171045377</v>
      </c>
      <c r="ZD20" s="56">
        <f t="shared" si="128"/>
        <v>2476991.9583687913</v>
      </c>
      <c r="ZE20" s="56">
        <f t="shared" si="128"/>
        <v>2479056.1183340987</v>
      </c>
      <c r="ZF20" s="56">
        <f t="shared" si="128"/>
        <v>2481121.9984327103</v>
      </c>
      <c r="ZG20" s="56">
        <f t="shared" si="128"/>
        <v>2483189.6000980707</v>
      </c>
      <c r="ZH20" s="56">
        <f t="shared" si="128"/>
        <v>2485258.924764819</v>
      </c>
      <c r="ZI20" s="56">
        <f t="shared" si="128"/>
        <v>2487329.9738687896</v>
      </c>
      <c r="ZJ20" s="56">
        <f t="shared" si="128"/>
        <v>2489402.7488470138</v>
      </c>
      <c r="ZK20" s="56">
        <f t="shared" si="128"/>
        <v>2491477.2511377195</v>
      </c>
      <c r="ZL20" s="56">
        <f t="shared" si="128"/>
        <v>2493553.4821803342</v>
      </c>
      <c r="ZM20" s="56">
        <f t="shared" si="128"/>
        <v>2495631.4434154844</v>
      </c>
      <c r="ZN20" s="56">
        <f t="shared" si="128"/>
        <v>2497711.1362849972</v>
      </c>
      <c r="ZO20" s="56">
        <f t="shared" si="128"/>
        <v>2499792.5622319016</v>
      </c>
      <c r="ZP20" s="56">
        <f t="shared" si="128"/>
        <v>2501875.7227004282</v>
      </c>
      <c r="ZQ20" s="56">
        <f t="shared" si="128"/>
        <v>2503960.6191360117</v>
      </c>
      <c r="ZR20" s="56">
        <f t="shared" si="128"/>
        <v>2506047.2529852916</v>
      </c>
      <c r="ZS20" s="56">
        <f t="shared" si="128"/>
        <v>2508135.6256961129</v>
      </c>
      <c r="ZT20" s="56">
        <f t="shared" si="128"/>
        <v>2510225.7387175262</v>
      </c>
      <c r="ZU20" s="56">
        <f t="shared" si="128"/>
        <v>2512317.5934997909</v>
      </c>
      <c r="ZV20" s="56">
        <f t="shared" si="128"/>
        <v>2514411.1914943741</v>
      </c>
      <c r="ZW20" s="56">
        <f t="shared" si="128"/>
        <v>2516506.5341539527</v>
      </c>
      <c r="ZX20" s="56">
        <f t="shared" si="128"/>
        <v>2518603.6229324145</v>
      </c>
      <c r="ZY20" s="56">
        <f t="shared" si="128"/>
        <v>2520702.4592848583</v>
      </c>
      <c r="ZZ20" s="56">
        <f t="shared" si="128"/>
        <v>2522803.0446675955</v>
      </c>
      <c r="AAA20" s="56">
        <f t="shared" si="128"/>
        <v>2524905.3805381521</v>
      </c>
      <c r="AAB20" s="56">
        <f t="shared" si="128"/>
        <v>2527009.4683552673</v>
      </c>
      <c r="AAC20" s="56">
        <f t="shared" si="128"/>
        <v>2529115.3095788965</v>
      </c>
      <c r="AAD20" s="56">
        <f t="shared" si="128"/>
        <v>2531222.9056702121</v>
      </c>
      <c r="AAE20" s="56">
        <f t="shared" si="128"/>
        <v>2533332.2580916039</v>
      </c>
      <c r="AAF20" s="56">
        <f t="shared" si="128"/>
        <v>2535443.3683066801</v>
      </c>
      <c r="AAG20" s="56">
        <f t="shared" ref="AAG20:ACR20" si="129">AAF25</f>
        <v>2537556.2377802692</v>
      </c>
      <c r="AAH20" s="56">
        <f t="shared" si="129"/>
        <v>2539670.8679784196</v>
      </c>
      <c r="AAI20" s="56">
        <f t="shared" si="129"/>
        <v>2541787.2603684017</v>
      </c>
      <c r="AAJ20" s="56">
        <f t="shared" si="129"/>
        <v>2542455.7681672676</v>
      </c>
      <c r="AAK20" s="56">
        <f t="shared" si="129"/>
        <v>2543124.8330559656</v>
      </c>
      <c r="AAL20" s="56">
        <f t="shared" si="129"/>
        <v>2543794.4554987377</v>
      </c>
      <c r="AAM20" s="56">
        <f t="shared" si="129"/>
        <v>2544464.635960212</v>
      </c>
      <c r="AAN20" s="56">
        <f t="shared" si="129"/>
        <v>2545135.3749054042</v>
      </c>
      <c r="AAO20" s="56">
        <f t="shared" si="129"/>
        <v>2545806.6727997172</v>
      </c>
      <c r="AAP20" s="56">
        <f t="shared" si="129"/>
        <v>2546478.5301089422</v>
      </c>
      <c r="AAQ20" s="56">
        <f t="shared" si="129"/>
        <v>2547150.9472992583</v>
      </c>
      <c r="AAR20" s="56">
        <f t="shared" si="129"/>
        <v>2547823.924837233</v>
      </c>
      <c r="AAS20" s="56">
        <f t="shared" si="129"/>
        <v>2548497.4631898226</v>
      </c>
      <c r="AAT20" s="56">
        <f t="shared" si="129"/>
        <v>2549171.5628243727</v>
      </c>
      <c r="AAU20" s="56">
        <f t="shared" si="129"/>
        <v>2549846.2242086185</v>
      </c>
      <c r="AAV20" s="56">
        <f t="shared" si="129"/>
        <v>2550521.4478106843</v>
      </c>
      <c r="AAW20" s="56">
        <f t="shared" si="129"/>
        <v>2551197.2340990854</v>
      </c>
      <c r="AAX20" s="56">
        <f t="shared" si="129"/>
        <v>2551873.5835427269</v>
      </c>
      <c r="AAY20" s="56">
        <f t="shared" si="129"/>
        <v>2552550.4966109046</v>
      </c>
      <c r="AAZ20" s="56">
        <f t="shared" si="129"/>
        <v>2553227.9737733058</v>
      </c>
      <c r="ABA20" s="56">
        <f t="shared" si="129"/>
        <v>2553906.0155000091</v>
      </c>
      <c r="ABB20" s="56">
        <f t="shared" si="129"/>
        <v>2554584.6222614846</v>
      </c>
      <c r="ABC20" s="56">
        <f t="shared" si="129"/>
        <v>2555263.7945285947</v>
      </c>
      <c r="ABD20" s="56">
        <f t="shared" si="129"/>
        <v>2555943.5327725937</v>
      </c>
      <c r="ABE20" s="56">
        <f t="shared" si="129"/>
        <v>2556623.8374651293</v>
      </c>
      <c r="ABF20" s="56">
        <f t="shared" si="129"/>
        <v>2557304.7090782421</v>
      </c>
      <c r="ABG20" s="56">
        <f t="shared" si="129"/>
        <v>2557986.1480843658</v>
      </c>
      <c r="ABH20" s="56">
        <f t="shared" si="129"/>
        <v>2558668.1549563282</v>
      </c>
      <c r="ABI20" s="56">
        <f t="shared" si="129"/>
        <v>2559350.7301673507</v>
      </c>
      <c r="ABJ20" s="56">
        <f t="shared" si="129"/>
        <v>2560033.874191049</v>
      </c>
      <c r="ABK20" s="56">
        <f t="shared" si="129"/>
        <v>2560717.5875014337</v>
      </c>
      <c r="ABL20" s="56">
        <f t="shared" si="129"/>
        <v>2561401.8705729102</v>
      </c>
      <c r="ABM20" s="56">
        <f t="shared" si="129"/>
        <v>2562086.7238802798</v>
      </c>
      <c r="ABN20" s="56">
        <f t="shared" si="129"/>
        <v>2562772.1478987387</v>
      </c>
      <c r="ABO20" s="56">
        <f t="shared" si="129"/>
        <v>2563458.1431038799</v>
      </c>
      <c r="ABP20" s="56">
        <f t="shared" si="129"/>
        <v>2564144.7099716919</v>
      </c>
      <c r="ABQ20" s="56">
        <f t="shared" si="129"/>
        <v>2564831.8489785604</v>
      </c>
      <c r="ABR20" s="56">
        <f t="shared" si="129"/>
        <v>2565519.560601268</v>
      </c>
      <c r="ABS20" s="56">
        <f t="shared" si="129"/>
        <v>2566207.8453169945</v>
      </c>
      <c r="ABT20" s="56">
        <f t="shared" si="129"/>
        <v>2566896.7036033175</v>
      </c>
      <c r="ABU20" s="56">
        <f t="shared" si="129"/>
        <v>2567586.1359382123</v>
      </c>
      <c r="ABV20" s="56">
        <f t="shared" si="129"/>
        <v>2568276.1428000527</v>
      </c>
      <c r="ABW20" s="56">
        <f t="shared" si="129"/>
        <v>2568966.7246676115</v>
      </c>
      <c r="ABX20" s="56">
        <f t="shared" si="129"/>
        <v>2569657.88202006</v>
      </c>
      <c r="ABY20" s="56">
        <f t="shared" si="129"/>
        <v>2570349.6153369686</v>
      </c>
      <c r="ABZ20" s="56">
        <f t="shared" si="129"/>
        <v>2571041.9250983079</v>
      </c>
      <c r="ACA20" s="56">
        <f t="shared" si="129"/>
        <v>2571734.8117844486</v>
      </c>
      <c r="ACB20" s="56">
        <f t="shared" si="129"/>
        <v>2572428.2758761612</v>
      </c>
      <c r="ACC20" s="56">
        <f t="shared" si="129"/>
        <v>2573122.3178546168</v>
      </c>
      <c r="ACD20" s="56">
        <f t="shared" si="129"/>
        <v>2573816.9382013879</v>
      </c>
      <c r="ACE20" s="56">
        <f t="shared" si="129"/>
        <v>2574512.1373984478</v>
      </c>
      <c r="ACF20" s="56">
        <f t="shared" si="129"/>
        <v>2575207.9159281719</v>
      </c>
      <c r="ACG20" s="56">
        <f t="shared" si="129"/>
        <v>2575904.2742733373</v>
      </c>
      <c r="ACH20" s="56">
        <f t="shared" si="129"/>
        <v>2576601.2129171239</v>
      </c>
      <c r="ACI20" s="56">
        <f t="shared" si="129"/>
        <v>2577298.7323431135</v>
      </c>
      <c r="ACJ20" s="56">
        <f t="shared" si="129"/>
        <v>2577996.8330352916</v>
      </c>
      <c r="ACK20" s="56">
        <f t="shared" si="129"/>
        <v>2578695.5154780466</v>
      </c>
      <c r="ACL20" s="56">
        <f t="shared" si="129"/>
        <v>2579394.7801561705</v>
      </c>
      <c r="ACM20" s="56">
        <f t="shared" si="129"/>
        <v>2580094.6275548595</v>
      </c>
      <c r="ACN20" s="56">
        <f t="shared" si="129"/>
        <v>2580795.0581597141</v>
      </c>
      <c r="ACO20" s="56">
        <f t="shared" si="129"/>
        <v>2581496.0724567394</v>
      </c>
      <c r="ACP20" s="56">
        <f t="shared" si="129"/>
        <v>2582197.6709323456</v>
      </c>
      <c r="ACQ20" s="56">
        <f t="shared" si="129"/>
        <v>2582899.854073348</v>
      </c>
      <c r="ACR20" s="56">
        <f t="shared" si="129"/>
        <v>2583602.6223669676</v>
      </c>
      <c r="ACS20" s="56">
        <f t="shared" ref="ACS20:AFD20" si="130">ACR25</f>
        <v>2584305.9763008319</v>
      </c>
      <c r="ACT20" s="56">
        <f t="shared" si="130"/>
        <v>2585009.9163629748</v>
      </c>
      <c r="ACU20" s="56">
        <f t="shared" si="130"/>
        <v>2585714.4430418359</v>
      </c>
      <c r="ACV20" s="56">
        <f t="shared" si="130"/>
        <v>2586419.5568262627</v>
      </c>
      <c r="ACW20" s="56">
        <f t="shared" si="130"/>
        <v>2587125.2582055102</v>
      </c>
      <c r="ACX20" s="56">
        <f t="shared" si="130"/>
        <v>2587831.5476692403</v>
      </c>
      <c r="ACY20" s="56">
        <f t="shared" si="130"/>
        <v>2588538.4257075232</v>
      </c>
      <c r="ACZ20" s="56">
        <f t="shared" si="130"/>
        <v>2589245.8928108383</v>
      </c>
      <c r="ADA20" s="56">
        <f t="shared" si="130"/>
        <v>2589953.9494700725</v>
      </c>
      <c r="ADB20" s="56">
        <f t="shared" si="130"/>
        <v>2590662.5961765228</v>
      </c>
      <c r="ADC20" s="56">
        <f t="shared" si="130"/>
        <v>2591371.8334218953</v>
      </c>
      <c r="ADD20" s="56">
        <f t="shared" si="130"/>
        <v>2592081.6616983055</v>
      </c>
      <c r="ADE20" s="56">
        <f t="shared" si="130"/>
        <v>2592792.0814982792</v>
      </c>
      <c r="ADF20" s="56">
        <f t="shared" si="130"/>
        <v>2593503.0933147534</v>
      </c>
      <c r="ADG20" s="56">
        <f t="shared" si="130"/>
        <v>2594214.6976410742</v>
      </c>
      <c r="ADH20" s="56">
        <f t="shared" si="130"/>
        <v>2594926.8949710005</v>
      </c>
      <c r="ADI20" s="56">
        <f t="shared" si="130"/>
        <v>2595639.6857987018</v>
      </c>
      <c r="ADJ20" s="56">
        <f t="shared" si="130"/>
        <v>2596353.0706187594</v>
      </c>
      <c r="ADK20" s="56">
        <f t="shared" si="130"/>
        <v>2597067.0499261669</v>
      </c>
      <c r="ADL20" s="56">
        <f t="shared" si="130"/>
        <v>2597781.6242163307</v>
      </c>
      <c r="ADM20" s="56">
        <f t="shared" si="130"/>
        <v>2598496.7939850697</v>
      </c>
      <c r="ADN20" s="56">
        <f t="shared" si="130"/>
        <v>2599212.5597286159</v>
      </c>
      <c r="ADO20" s="56">
        <f t="shared" si="130"/>
        <v>2599928.9219436152</v>
      </c>
      <c r="ADP20" s="56">
        <f t="shared" si="130"/>
        <v>2600645.881127127</v>
      </c>
      <c r="ADQ20" s="56">
        <f t="shared" si="130"/>
        <v>2601363.4377766252</v>
      </c>
      <c r="ADR20" s="56">
        <f t="shared" si="130"/>
        <v>2602081.5923899976</v>
      </c>
      <c r="ADS20" s="56">
        <f t="shared" si="130"/>
        <v>2602800.3454655479</v>
      </c>
      <c r="ADT20" s="56">
        <f t="shared" si="130"/>
        <v>2603519.6975019947</v>
      </c>
      <c r="ADU20" s="56">
        <f t="shared" si="130"/>
        <v>2604239.6489984719</v>
      </c>
      <c r="ADV20" s="56">
        <f t="shared" si="130"/>
        <v>2604960.2004545294</v>
      </c>
      <c r="ADW20" s="56">
        <f t="shared" si="130"/>
        <v>2605681.3523701336</v>
      </c>
      <c r="ADX20" s="56">
        <f t="shared" si="130"/>
        <v>2606403.1052456675</v>
      </c>
      <c r="ADY20" s="56">
        <f t="shared" si="130"/>
        <v>2607125.4595819311</v>
      </c>
      <c r="ADZ20" s="56">
        <f t="shared" si="130"/>
        <v>2607848.4158801413</v>
      </c>
      <c r="AEA20" s="56">
        <f t="shared" si="130"/>
        <v>2608571.9746419336</v>
      </c>
      <c r="AEB20" s="56">
        <f t="shared" si="130"/>
        <v>2609296.1363693606</v>
      </c>
      <c r="AEC20" s="56">
        <f t="shared" si="130"/>
        <v>2610020.9015648938</v>
      </c>
      <c r="AED20" s="56">
        <f t="shared" si="130"/>
        <v>2610746.2707314231</v>
      </c>
      <c r="AEE20" s="56">
        <f t="shared" si="130"/>
        <v>2611472.244372258</v>
      </c>
      <c r="AEF20" s="56">
        <f t="shared" si="130"/>
        <v>2612198.8229911267</v>
      </c>
      <c r="AEG20" s="56">
        <f t="shared" si="130"/>
        <v>2612926.0070921779</v>
      </c>
      <c r="AEH20" s="56">
        <f t="shared" si="130"/>
        <v>2613653.7971799802</v>
      </c>
      <c r="AEI20" s="56">
        <f t="shared" si="130"/>
        <v>2614382.1937595224</v>
      </c>
      <c r="AEJ20" s="56">
        <f t="shared" si="130"/>
        <v>2615111.1973362141</v>
      </c>
      <c r="AEK20" s="56">
        <f t="shared" si="130"/>
        <v>2615840.8084158865</v>
      </c>
      <c r="AEL20" s="56">
        <f t="shared" si="130"/>
        <v>2616571.027504792</v>
      </c>
      <c r="AEM20" s="56">
        <f t="shared" si="130"/>
        <v>2617301.8551096045</v>
      </c>
      <c r="AEN20" s="56">
        <f t="shared" si="130"/>
        <v>2618033.2917374214</v>
      </c>
      <c r="AEO20" s="56">
        <f t="shared" si="130"/>
        <v>2618765.3378957612</v>
      </c>
      <c r="AEP20" s="56">
        <f t="shared" si="130"/>
        <v>2619497.9940925664</v>
      </c>
      <c r="AEQ20" s="56">
        <f t="shared" si="130"/>
        <v>2620231.2608362022</v>
      </c>
      <c r="AER20" s="56">
        <f t="shared" si="130"/>
        <v>2620965.1386354575</v>
      </c>
      <c r="AES20" s="56">
        <f t="shared" si="130"/>
        <v>2621699.6279995455</v>
      </c>
      <c r="AET20" s="56">
        <f t="shared" si="130"/>
        <v>2622434.7294381037</v>
      </c>
      <c r="AEU20" s="56">
        <f t="shared" si="130"/>
        <v>2623170.4434611942</v>
      </c>
      <c r="AEV20" s="56">
        <f t="shared" si="130"/>
        <v>2623906.7705793041</v>
      </c>
      <c r="AEW20" s="56">
        <f t="shared" si="130"/>
        <v>2624643.7113033454</v>
      </c>
      <c r="AEX20" s="56">
        <f t="shared" si="130"/>
        <v>2625381.266144657</v>
      </c>
      <c r="AEY20" s="56">
        <f t="shared" si="130"/>
        <v>2626119.4356150031</v>
      </c>
      <c r="AEZ20" s="56">
        <f t="shared" si="130"/>
        <v>2626858.2202265742</v>
      </c>
      <c r="AFA20" s="56">
        <f t="shared" si="130"/>
        <v>2627597.6204919885</v>
      </c>
      <c r="AFB20" s="56">
        <f t="shared" si="130"/>
        <v>2628337.6369242906</v>
      </c>
      <c r="AFC20" s="56">
        <f t="shared" si="130"/>
        <v>2629078.270036953</v>
      </c>
      <c r="AFD20" s="56">
        <f t="shared" si="130"/>
        <v>2629819.520343876</v>
      </c>
      <c r="AFE20" s="56">
        <f t="shared" ref="AFE20:AHP20" si="131">AFD25</f>
        <v>2630561.3883593879</v>
      </c>
      <c r="AFF20" s="56">
        <f t="shared" si="131"/>
        <v>2631303.8745982461</v>
      </c>
      <c r="AFG20" s="56">
        <f t="shared" si="131"/>
        <v>2632046.9795756368</v>
      </c>
      <c r="AFH20" s="56">
        <f t="shared" si="131"/>
        <v>2632790.7038071752</v>
      </c>
      <c r="AFI20" s="56">
        <f t="shared" si="131"/>
        <v>2633535.0478089065</v>
      </c>
      <c r="AFJ20" s="56">
        <f t="shared" si="131"/>
        <v>2634280.0120973061</v>
      </c>
      <c r="AFK20" s="56">
        <f t="shared" si="131"/>
        <v>2635025.5971892793</v>
      </c>
      <c r="AFL20" s="56">
        <f t="shared" si="131"/>
        <v>2635771.8036021623</v>
      </c>
      <c r="AFM20" s="56">
        <f t="shared" si="131"/>
        <v>2636518.631853723</v>
      </c>
      <c r="AFN20" s="56">
        <f t="shared" si="131"/>
        <v>2637266.0824621599</v>
      </c>
      <c r="AFO20" s="56">
        <f t="shared" si="131"/>
        <v>2638014.1559461039</v>
      </c>
      <c r="AFP20" s="56">
        <f t="shared" si="131"/>
        <v>2638762.8528246176</v>
      </c>
      <c r="AFQ20" s="56">
        <f t="shared" si="131"/>
        <v>2639512.1736171967</v>
      </c>
      <c r="AFR20" s="56">
        <f t="shared" si="131"/>
        <v>2640262.1188437697</v>
      </c>
      <c r="AFS20" s="56">
        <f t="shared" si="131"/>
        <v>2641012.689024698</v>
      </c>
      <c r="AFT20" s="56">
        <f t="shared" si="131"/>
        <v>2641763.8846807773</v>
      </c>
      <c r="AFU20" s="56">
        <f t="shared" si="131"/>
        <v>2642515.7063332368</v>
      </c>
      <c r="AFV20" s="56">
        <f t="shared" si="131"/>
        <v>2643268.1545037399</v>
      </c>
      <c r="AFW20" s="56">
        <f t="shared" si="131"/>
        <v>2644021.2297143852</v>
      </c>
      <c r="AFX20" s="56">
        <f t="shared" si="131"/>
        <v>2644774.9324877057</v>
      </c>
      <c r="AFY20" s="56">
        <f t="shared" si="131"/>
        <v>2645529.2633466707</v>
      </c>
      <c r="AFZ20" s="56">
        <f t="shared" si="131"/>
        <v>2646284.2228146847</v>
      </c>
      <c r="AGA20" s="56">
        <f t="shared" si="131"/>
        <v>2647039.8114155889</v>
      </c>
      <c r="AGB20" s="56">
        <f t="shared" si="131"/>
        <v>2647796.0296736606</v>
      </c>
      <c r="AGC20" s="56">
        <f t="shared" si="131"/>
        <v>2648552.8781136139</v>
      </c>
      <c r="AGD20" s="56">
        <f t="shared" si="131"/>
        <v>2649310.3572606007</v>
      </c>
      <c r="AGE20" s="56">
        <f t="shared" si="131"/>
        <v>2650068.4676402099</v>
      </c>
      <c r="AGF20" s="56">
        <f t="shared" si="131"/>
        <v>2650827.2097784686</v>
      </c>
      <c r="AGG20" s="56">
        <f t="shared" si="131"/>
        <v>2651586.5842018425</v>
      </c>
      <c r="AGH20" s="56">
        <f t="shared" si="131"/>
        <v>2652346.5914372359</v>
      </c>
      <c r="AGI20" s="56">
        <f t="shared" si="131"/>
        <v>2653107.2320119925</v>
      </c>
      <c r="AGJ20" s="56">
        <f t="shared" si="131"/>
        <v>2653868.5064538945</v>
      </c>
      <c r="AGK20" s="56">
        <f t="shared" si="131"/>
        <v>2654630.415291165</v>
      </c>
      <c r="AGL20" s="56">
        <f t="shared" si="131"/>
        <v>2655392.9590524663</v>
      </c>
      <c r="AGM20" s="56">
        <f t="shared" si="131"/>
        <v>2656156.138266902</v>
      </c>
      <c r="AGN20" s="56">
        <f t="shared" si="131"/>
        <v>2656919.9534640163</v>
      </c>
      <c r="AGO20" s="56">
        <f t="shared" si="131"/>
        <v>2657684.4051737948</v>
      </c>
      <c r="AGP20" s="56">
        <f t="shared" si="131"/>
        <v>2658449.4939266648</v>
      </c>
      <c r="AGQ20" s="56">
        <f t="shared" si="131"/>
        <v>2659215.2202534955</v>
      </c>
      <c r="AGR20" s="56">
        <f t="shared" si="131"/>
        <v>2659981.584685599</v>
      </c>
      <c r="AGS20" s="56">
        <f t="shared" si="131"/>
        <v>2660748.5877547292</v>
      </c>
      <c r="AGT20" s="56">
        <f t="shared" si="131"/>
        <v>2661516.2299930835</v>
      </c>
      <c r="AGU20" s="56">
        <f t="shared" si="131"/>
        <v>2662284.511933303</v>
      </c>
      <c r="AGV20" s="56">
        <f t="shared" si="131"/>
        <v>2663053.4341084729</v>
      </c>
      <c r="AGW20" s="56">
        <f t="shared" si="131"/>
        <v>2663822.9970521219</v>
      </c>
      <c r="AGX20" s="56">
        <f t="shared" si="131"/>
        <v>2664593.2012982238</v>
      </c>
      <c r="AGY20" s="56">
        <f t="shared" si="131"/>
        <v>2665364.0473811976</v>
      </c>
      <c r="AGZ20" s="56">
        <f t="shared" si="131"/>
        <v>2666135.5358359073</v>
      </c>
      <c r="AHA20" s="56">
        <f t="shared" si="131"/>
        <v>2666907.6671976624</v>
      </c>
      <c r="AHB20" s="56">
        <f t="shared" si="131"/>
        <v>2667680.4420022191</v>
      </c>
      <c r="AHC20" s="56">
        <f t="shared" si="131"/>
        <v>2668453.8607857795</v>
      </c>
      <c r="AHD20" s="56">
        <f t="shared" si="131"/>
        <v>2669227.9240849931</v>
      </c>
      <c r="AHE20" s="56">
        <f t="shared" si="131"/>
        <v>2670002.6324369558</v>
      </c>
      <c r="AHF20" s="56">
        <f t="shared" si="131"/>
        <v>2670777.9863792118</v>
      </c>
      <c r="AHG20" s="56">
        <f t="shared" si="131"/>
        <v>2671553.9864497529</v>
      </c>
      <c r="AHH20" s="56">
        <f t="shared" si="131"/>
        <v>2672330.6331870197</v>
      </c>
      <c r="AHI20" s="56">
        <f t="shared" si="131"/>
        <v>2673107.927129901</v>
      </c>
      <c r="AHJ20" s="56">
        <f t="shared" si="131"/>
        <v>2673885.8688177345</v>
      </c>
      <c r="AHK20" s="56">
        <f t="shared" si="131"/>
        <v>2674664.4587903079</v>
      </c>
      <c r="AHL20" s="56">
        <f t="shared" si="131"/>
        <v>2675443.6975878584</v>
      </c>
      <c r="AHM20" s="56">
        <f t="shared" si="131"/>
        <v>2676223.5857510734</v>
      </c>
      <c r="AHN20" s="56">
        <f t="shared" si="131"/>
        <v>2677004.1238210914</v>
      </c>
      <c r="AHO20" s="56">
        <f t="shared" si="131"/>
        <v>2677785.312339501</v>
      </c>
      <c r="AHP20" s="56">
        <f t="shared" si="131"/>
        <v>2678567.1518483427</v>
      </c>
      <c r="AHQ20" s="56">
        <f t="shared" ref="AHQ20:AKB20" si="132">AHP25</f>
        <v>2679349.6428901083</v>
      </c>
      <c r="AHR20" s="56">
        <f t="shared" si="132"/>
        <v>2680132.7860077419</v>
      </c>
      <c r="AHS20" s="56">
        <f t="shared" si="132"/>
        <v>2680916.5817446406</v>
      </c>
      <c r="AHT20" s="56">
        <f t="shared" si="132"/>
        <v>2681701.0306446534</v>
      </c>
      <c r="AHU20" s="56">
        <f t="shared" si="132"/>
        <v>2682486.1332520824</v>
      </c>
      <c r="AHV20" s="56">
        <f t="shared" si="132"/>
        <v>2683271.8901116843</v>
      </c>
      <c r="AHW20" s="56">
        <f t="shared" si="132"/>
        <v>2684058.3017686694</v>
      </c>
      <c r="AHX20" s="56">
        <f t="shared" si="132"/>
        <v>2684845.3687687018</v>
      </c>
      <c r="AHY20" s="56">
        <f t="shared" si="132"/>
        <v>2685633.0916579012</v>
      </c>
      <c r="AHZ20" s="56">
        <f t="shared" si="132"/>
        <v>2686421.4709828417</v>
      </c>
      <c r="AIA20" s="56">
        <f t="shared" si="132"/>
        <v>2687210.5072905528</v>
      </c>
      <c r="AIB20" s="56">
        <f t="shared" si="132"/>
        <v>2688000.2011285205</v>
      </c>
      <c r="AIC20" s="56">
        <f t="shared" si="132"/>
        <v>2688790.5530446866</v>
      </c>
      <c r="AID20" s="56">
        <f t="shared" si="132"/>
        <v>2689581.563587449</v>
      </c>
      <c r="AIE20" s="56">
        <f t="shared" si="132"/>
        <v>2690373.2333056638</v>
      </c>
      <c r="AIF20" s="56">
        <f t="shared" si="132"/>
        <v>2691165.562748644</v>
      </c>
      <c r="AIG20" s="56">
        <f t="shared" si="132"/>
        <v>2691958.5524661602</v>
      </c>
      <c r="AIH20" s="56">
        <f t="shared" si="132"/>
        <v>2692752.2030084408</v>
      </c>
      <c r="AII20" s="56">
        <f t="shared" si="132"/>
        <v>2693546.5149261733</v>
      </c>
      <c r="AIJ20" s="56">
        <f t="shared" si="132"/>
        <v>2694341.4887705036</v>
      </c>
      <c r="AIK20" s="56">
        <f t="shared" si="132"/>
        <v>2695137.1250930377</v>
      </c>
      <c r="AIL20" s="56">
        <f t="shared" si="132"/>
        <v>2695933.4244458405</v>
      </c>
      <c r="AIM20" s="56">
        <f t="shared" si="132"/>
        <v>2696730.3873814372</v>
      </c>
      <c r="AIN20" s="56">
        <f t="shared" si="132"/>
        <v>2697528.0144528137</v>
      </c>
      <c r="AIO20" s="56">
        <f t="shared" si="132"/>
        <v>2698326.3062134162</v>
      </c>
      <c r="AIP20" s="56">
        <f t="shared" si="132"/>
        <v>2699125.2632171526</v>
      </c>
      <c r="AIQ20" s="56">
        <f t="shared" si="132"/>
        <v>2699924.8860183922</v>
      </c>
      <c r="AIR20" s="56">
        <f t="shared" si="132"/>
        <v>2700725.1751719662</v>
      </c>
      <c r="AIS20" s="56">
        <f t="shared" si="132"/>
        <v>2701526.1312331683</v>
      </c>
      <c r="AIT20" s="56">
        <f t="shared" si="132"/>
        <v>2702327.7547577545</v>
      </c>
      <c r="AIU20" s="56">
        <f t="shared" si="132"/>
        <v>2703130.0463019446</v>
      </c>
      <c r="AIV20" s="56">
        <f t="shared" si="132"/>
        <v>2703933.0064224214</v>
      </c>
      <c r="AIW20" s="56">
        <f t="shared" si="132"/>
        <v>2704736.6356763323</v>
      </c>
      <c r="AIX20" s="56">
        <f t="shared" si="132"/>
        <v>2705540.934621288</v>
      </c>
      <c r="AIY20" s="56">
        <f t="shared" si="132"/>
        <v>2706345.9038153645</v>
      </c>
      <c r="AIZ20" s="56">
        <f t="shared" si="132"/>
        <v>2707151.5438171024</v>
      </c>
      <c r="AJA20" s="56">
        <f t="shared" si="132"/>
        <v>2707957.8551855087</v>
      </c>
      <c r="AJB20" s="56">
        <f t="shared" si="132"/>
        <v>2708764.8384800553</v>
      </c>
      <c r="AJC20" s="56">
        <f t="shared" si="132"/>
        <v>2709572.4942606809</v>
      </c>
      <c r="AJD20" s="56">
        <f t="shared" si="132"/>
        <v>2710380.82308779</v>
      </c>
      <c r="AJE20" s="56">
        <f t="shared" si="132"/>
        <v>2711189.8255222552</v>
      </c>
      <c r="AJF20" s="56">
        <f t="shared" si="132"/>
        <v>2711999.502125416</v>
      </c>
      <c r="AJG20" s="56">
        <f t="shared" si="132"/>
        <v>2712809.8534590793</v>
      </c>
      <c r="AJH20" s="56">
        <f t="shared" si="132"/>
        <v>2713620.8800855204</v>
      </c>
      <c r="AJI20" s="56">
        <f t="shared" si="132"/>
        <v>2714432.5825674837</v>
      </c>
      <c r="AJJ20" s="56">
        <f t="shared" si="132"/>
        <v>2715244.961468182</v>
      </c>
      <c r="AJK20" s="56">
        <f t="shared" si="132"/>
        <v>2716058.0173512977</v>
      </c>
      <c r="AJL20" s="56">
        <f t="shared" si="132"/>
        <v>2716871.7507809824</v>
      </c>
      <c r="AJM20" s="56">
        <f t="shared" si="132"/>
        <v>2717686.1623218586</v>
      </c>
      <c r="AJN20" s="56">
        <f t="shared" si="132"/>
        <v>2718501.2525390186</v>
      </c>
      <c r="AJO20" s="56">
        <f t="shared" si="132"/>
        <v>2719317.0219980264</v>
      </c>
      <c r="AJP20" s="56">
        <f t="shared" si="132"/>
        <v>2720133.4712649169</v>
      </c>
      <c r="AJQ20" s="56">
        <f t="shared" si="132"/>
        <v>2720950.6009061965</v>
      </c>
      <c r="AJR20" s="56">
        <f t="shared" si="132"/>
        <v>2721768.4114888436</v>
      </c>
      <c r="AJS20" s="56">
        <f t="shared" si="132"/>
        <v>2722586.9035803098</v>
      </c>
      <c r="AJT20" s="56">
        <f t="shared" si="132"/>
        <v>2723406.0777485189</v>
      </c>
      <c r="AJU20" s="56">
        <f t="shared" si="132"/>
        <v>2724225.9345618682</v>
      </c>
      <c r="AJV20" s="56">
        <f t="shared" si="132"/>
        <v>2725046.4745892286</v>
      </c>
      <c r="AJW20" s="56">
        <f t="shared" si="132"/>
        <v>2725867.6983999452</v>
      </c>
      <c r="AJX20" s="56">
        <f t="shared" si="132"/>
        <v>2726689.6065638373</v>
      </c>
      <c r="AJY20" s="56">
        <f t="shared" si="132"/>
        <v>2727512.1996511989</v>
      </c>
      <c r="AJZ20" s="56">
        <f t="shared" si="132"/>
        <v>2728335.4782328005</v>
      </c>
      <c r="AKA20" s="56">
        <f t="shared" si="132"/>
        <v>2729159.4428798864</v>
      </c>
      <c r="AKB20" s="56">
        <f t="shared" si="132"/>
        <v>2729984.0941641782</v>
      </c>
      <c r="AKC20" s="56">
        <f t="shared" ref="AKC20:AMN20" si="133">AKB25</f>
        <v>2730809.4326578737</v>
      </c>
      <c r="AKD20" s="56">
        <f t="shared" si="133"/>
        <v>2731635.4589336473</v>
      </c>
      <c r="AKE20" s="56">
        <f t="shared" si="133"/>
        <v>2732462.1735646506</v>
      </c>
      <c r="AKF20" s="56">
        <f t="shared" si="133"/>
        <v>2733289.5771245132</v>
      </c>
      <c r="AKG20" s="56">
        <f t="shared" si="133"/>
        <v>2734117.6701873424</v>
      </c>
      <c r="AKH20" s="56">
        <f t="shared" si="133"/>
        <v>2734946.4533277238</v>
      </c>
      <c r="AKI20" s="56">
        <f t="shared" si="133"/>
        <v>2735775.9271207224</v>
      </c>
      <c r="AKJ20" s="56">
        <f t="shared" si="133"/>
        <v>2736606.0921418816</v>
      </c>
      <c r="AKK20" s="56">
        <f t="shared" si="133"/>
        <v>2737436.9489672254</v>
      </c>
      <c r="AKL20" s="56">
        <f t="shared" si="133"/>
        <v>2738268.4981732569</v>
      </c>
      <c r="AKM20" s="56">
        <f t="shared" si="133"/>
        <v>2739100.7403369597</v>
      </c>
      <c r="AKN20" s="56">
        <f t="shared" si="133"/>
        <v>2739933.6760357991</v>
      </c>
      <c r="AKO20" s="56">
        <f t="shared" si="133"/>
        <v>2740767.3058477212</v>
      </c>
      <c r="AKP20" s="56">
        <f t="shared" si="133"/>
        <v>2741601.6303511527</v>
      </c>
      <c r="AKQ20" s="56">
        <f t="shared" si="133"/>
        <v>2742436.6501250039</v>
      </c>
      <c r="AKR20" s="56">
        <f t="shared" si="133"/>
        <v>2743272.3657486667</v>
      </c>
      <c r="AKS20" s="56">
        <f t="shared" si="133"/>
        <v>2744108.7778020161</v>
      </c>
      <c r="AKT20" s="56">
        <f t="shared" si="133"/>
        <v>2744945.88686541</v>
      </c>
      <c r="AKU20" s="56">
        <f t="shared" si="133"/>
        <v>2745783.6935196901</v>
      </c>
      <c r="AKV20" s="56">
        <f t="shared" si="133"/>
        <v>2746622.1983461818</v>
      </c>
      <c r="AKW20" s="56">
        <f t="shared" si="133"/>
        <v>2747461.4019266958</v>
      </c>
      <c r="AKX20" s="56">
        <f t="shared" si="133"/>
        <v>2748301.3048435268</v>
      </c>
      <c r="AKY20" s="56">
        <f t="shared" si="133"/>
        <v>2749141.9076794549</v>
      </c>
      <c r="AKZ20" s="56">
        <f t="shared" si="133"/>
        <v>2749983.2110177465</v>
      </c>
      <c r="ALA20" s="56">
        <f t="shared" si="133"/>
        <v>2750825.2154421532</v>
      </c>
      <c r="ALB20" s="56">
        <f t="shared" si="133"/>
        <v>2751667.9215369136</v>
      </c>
      <c r="ALC20" s="56">
        <f t="shared" si="133"/>
        <v>2752511.3298867531</v>
      </c>
      <c r="ALD20" s="56">
        <f t="shared" si="133"/>
        <v>2753355.441076884</v>
      </c>
      <c r="ALE20" s="56">
        <f t="shared" si="133"/>
        <v>2754200.2556930068</v>
      </c>
      <c r="ALF20" s="56">
        <f t="shared" si="133"/>
        <v>2755045.7743213098</v>
      </c>
      <c r="ALG20" s="56">
        <f t="shared" si="133"/>
        <v>2755891.9975484693</v>
      </c>
      <c r="ALH20" s="56">
        <f t="shared" si="133"/>
        <v>2756738.9259616518</v>
      </c>
      <c r="ALI20" s="56">
        <f t="shared" si="133"/>
        <v>2757586.560148512</v>
      </c>
      <c r="ALJ20" s="56">
        <f t="shared" si="133"/>
        <v>2758434.9006971945</v>
      </c>
      <c r="ALK20" s="56">
        <f t="shared" si="133"/>
        <v>2759283.9481963343</v>
      </c>
      <c r="ALL20" s="56">
        <f t="shared" si="133"/>
        <v>2760133.7032350567</v>
      </c>
      <c r="ALM20" s="56">
        <f t="shared" si="133"/>
        <v>2760984.1664029779</v>
      </c>
      <c r="ALN20" s="56">
        <f t="shared" si="133"/>
        <v>2761835.3382902057</v>
      </c>
      <c r="ALO20" s="56">
        <f t="shared" si="133"/>
        <v>2762687.2194873397</v>
      </c>
      <c r="ALP20" s="56">
        <f t="shared" si="133"/>
        <v>2763539.8105854713</v>
      </c>
      <c r="ALQ20" s="56">
        <f t="shared" si="133"/>
        <v>2764393.1121761845</v>
      </c>
      <c r="ALR20" s="56">
        <f t="shared" si="133"/>
        <v>2765247.1248515565</v>
      </c>
      <c r="ALS20" s="56">
        <f t="shared" si="133"/>
        <v>2766101.8492041579</v>
      </c>
      <c r="ALT20" s="56">
        <f t="shared" si="133"/>
        <v>2766957.2858270532</v>
      </c>
      <c r="ALU20" s="56">
        <f t="shared" si="133"/>
        <v>2767813.4353138013</v>
      </c>
      <c r="ALV20" s="56">
        <f t="shared" si="133"/>
        <v>2768670.298258455</v>
      </c>
      <c r="ALW20" s="56">
        <f t="shared" si="133"/>
        <v>2769527.8752555624</v>
      </c>
      <c r="ALX20" s="56">
        <f t="shared" si="133"/>
        <v>2770386.1669001672</v>
      </c>
      <c r="ALY20" s="56">
        <f t="shared" si="133"/>
        <v>2771245.1737878094</v>
      </c>
      <c r="ALZ20" s="56">
        <f t="shared" si="133"/>
        <v>2772104.8965145247</v>
      </c>
      <c r="AMA20" s="56">
        <f t="shared" si="133"/>
        <v>2772965.3356768456</v>
      </c>
      <c r="AMB20" s="56">
        <f t="shared" si="133"/>
        <v>2773826.4918718017</v>
      </c>
      <c r="AMC20" s="56">
        <f t="shared" si="133"/>
        <v>2774688.3656969201</v>
      </c>
      <c r="AMD20" s="56">
        <f t="shared" si="133"/>
        <v>2775550.9577502264</v>
      </c>
      <c r="AME20" s="56">
        <f t="shared" si="133"/>
        <v>2776414.2686302434</v>
      </c>
      <c r="AMF20" s="56">
        <f t="shared" si="133"/>
        <v>2777278.298935994</v>
      </c>
      <c r="AMG20" s="56">
        <f t="shared" si="133"/>
        <v>2778143.0492669996</v>
      </c>
      <c r="AMH20" s="56">
        <f t="shared" si="133"/>
        <v>2779008.5202232809</v>
      </c>
      <c r="AMI20" s="56">
        <f t="shared" si="133"/>
        <v>2779874.7124053589</v>
      </c>
      <c r="AMJ20" s="56">
        <f t="shared" si="133"/>
        <v>2780741.6264142552</v>
      </c>
      <c r="AMK20" s="56">
        <f t="shared" si="133"/>
        <v>2781609.2628514925</v>
      </c>
      <c r="AML20" s="56">
        <f t="shared" si="133"/>
        <v>2782477.6223190939</v>
      </c>
      <c r="AMM20" s="56">
        <f t="shared" si="133"/>
        <v>2783346.7054195851</v>
      </c>
      <c r="AMN20" s="56">
        <f t="shared" si="133"/>
        <v>2784216.5127559933</v>
      </c>
      <c r="AMO20" s="56">
        <f t="shared" ref="AMO20:AOP20" si="134">AMN25</f>
        <v>2785087.0449318485</v>
      </c>
      <c r="AMP20" s="56">
        <f t="shared" si="134"/>
        <v>2785958.3025511838</v>
      </c>
      <c r="AMQ20" s="56">
        <f t="shared" si="134"/>
        <v>2786830.2862185352</v>
      </c>
      <c r="AMR20" s="56">
        <f t="shared" si="134"/>
        <v>2787702.9965389427</v>
      </c>
      <c r="AMS20" s="56">
        <f t="shared" si="134"/>
        <v>2788576.4341179505</v>
      </c>
      <c r="AMT20" s="56">
        <f t="shared" si="134"/>
        <v>2789450.5995616075</v>
      </c>
      <c r="AMU20" s="56">
        <f t="shared" si="134"/>
        <v>2790325.4934764677</v>
      </c>
      <c r="AMV20" s="56">
        <f t="shared" si="134"/>
        <v>2791201.11646959</v>
      </c>
      <c r="AMW20" s="56">
        <f t="shared" si="134"/>
        <v>2792077.4691485399</v>
      </c>
      <c r="AMX20" s="56">
        <f t="shared" si="134"/>
        <v>2792954.5521213892</v>
      </c>
      <c r="AMY20" s="56">
        <f t="shared" si="134"/>
        <v>2793832.3659967156</v>
      </c>
      <c r="AMZ20" s="56">
        <f t="shared" si="134"/>
        <v>2794710.9113836051</v>
      </c>
      <c r="ANA20" s="56">
        <f t="shared" si="134"/>
        <v>2795590.1888916502</v>
      </c>
      <c r="ANB20" s="56">
        <f t="shared" si="134"/>
        <v>2796470.1991309519</v>
      </c>
      <c r="ANC20" s="56">
        <f t="shared" si="134"/>
        <v>2797350.9427121198</v>
      </c>
      <c r="AND20" s="56">
        <f t="shared" si="134"/>
        <v>2798232.4202462719</v>
      </c>
      <c r="ANE20" s="56">
        <f t="shared" si="134"/>
        <v>2799114.6323450357</v>
      </c>
      <c r="ANF20" s="56">
        <f t="shared" si="134"/>
        <v>2799997.5796205485</v>
      </c>
      <c r="ANG20" s="56">
        <f t="shared" si="134"/>
        <v>2800881.2626854577</v>
      </c>
      <c r="ANH20" s="56">
        <f t="shared" si="134"/>
        <v>2801765.6821529209</v>
      </c>
      <c r="ANI20" s="56">
        <f t="shared" si="134"/>
        <v>2802650.8386366069</v>
      </c>
      <c r="ANJ20" s="56">
        <f t="shared" si="134"/>
        <v>2803536.7327506961</v>
      </c>
      <c r="ANK20" s="56">
        <f t="shared" si="134"/>
        <v>2804423.3651098805</v>
      </c>
      <c r="ANL20" s="56">
        <f t="shared" si="134"/>
        <v>2805310.7363293641</v>
      </c>
      <c r="ANM20" s="56">
        <f t="shared" si="134"/>
        <v>2806198.8470248641</v>
      </c>
      <c r="ANN20" s="56">
        <f t="shared" si="134"/>
        <v>2807087.6978126103</v>
      </c>
      <c r="ANO20" s="56">
        <f t="shared" si="134"/>
        <v>2807977.2893093461</v>
      </c>
      <c r="ANP20" s="56">
        <f t="shared" si="134"/>
        <v>2808867.6221323293</v>
      </c>
      <c r="ANQ20" s="56">
        <f t="shared" si="134"/>
        <v>2809758.6968993316</v>
      </c>
      <c r="ANR20" s="56">
        <f t="shared" si="134"/>
        <v>2810650.5142286397</v>
      </c>
      <c r="ANS20" s="56">
        <f t="shared" si="134"/>
        <v>2811543.0747390557</v>
      </c>
      <c r="ANT20" s="56">
        <f t="shared" si="134"/>
        <v>2812436.3790498967</v>
      </c>
      <c r="ANU20" s="56">
        <f t="shared" si="134"/>
        <v>2813330.427780997</v>
      </c>
      <c r="ANV20" s="56">
        <f t="shared" si="134"/>
        <v>2814225.2215527063</v>
      </c>
      <c r="ANW20" s="56">
        <f t="shared" si="134"/>
        <v>2815120.7609858923</v>
      </c>
      <c r="ANX20" s="56">
        <f t="shared" si="134"/>
        <v>2816017.0467019393</v>
      </c>
      <c r="ANY20" s="56">
        <f t="shared" si="134"/>
        <v>2816914.0793227497</v>
      </c>
      <c r="ANZ20" s="56">
        <f t="shared" si="134"/>
        <v>2817811.8594707442</v>
      </c>
      <c r="AOA20" s="56">
        <f t="shared" si="134"/>
        <v>2818710.3877688618</v>
      </c>
      <c r="AOB20" s="56">
        <f t="shared" si="134"/>
        <v>2819609.6648405613</v>
      </c>
      <c r="AOC20" s="56">
        <f t="shared" si="134"/>
        <v>2820509.6913098204</v>
      </c>
      <c r="AOD20" s="56">
        <f>AOC25</f>
        <v>2821410.4678011374</v>
      </c>
      <c r="AOE20" s="56">
        <f t="shared" si="134"/>
        <v>2822311.99</v>
      </c>
      <c r="AOF20" s="56">
        <f t="shared" si="134"/>
        <v>2824663.9166583335</v>
      </c>
      <c r="AOG20" s="56">
        <f t="shared" si="134"/>
        <v>2827017.8032555487</v>
      </c>
      <c r="AOH20" s="56">
        <f t="shared" si="134"/>
        <v>2829373.6514249281</v>
      </c>
      <c r="AOI20" s="56">
        <f t="shared" si="134"/>
        <v>2831731.4628011156</v>
      </c>
      <c r="AOJ20" s="56">
        <f t="shared" si="134"/>
        <v>2834091.2390201166</v>
      </c>
      <c r="AOK20" s="56">
        <f t="shared" si="134"/>
        <v>2836452.9817193002</v>
      </c>
      <c r="AOL20" s="56">
        <f t="shared" si="134"/>
        <v>2838816.6925373995</v>
      </c>
      <c r="AOM20" s="56">
        <f t="shared" si="134"/>
        <v>2841182.3731145142</v>
      </c>
      <c r="AON20" s="56">
        <f t="shared" si="134"/>
        <v>2843550.0250921096</v>
      </c>
      <c r="AOO20" s="56">
        <f t="shared" si="134"/>
        <v>2845919.6501130196</v>
      </c>
      <c r="AOP20" s="56">
        <f t="shared" si="134"/>
        <v>2848291.2498214473</v>
      </c>
    </row>
    <row r="21" spans="2:1102" x14ac:dyDescent="0.25">
      <c r="B21" s="42" t="s">
        <v>157</v>
      </c>
      <c r="C21" s="57">
        <f>IF(C14="Aportación Inicial",$D$5+$D$4,0)</f>
        <v>0</v>
      </c>
      <c r="D21" s="57">
        <f t="shared" ref="D21:BO21" si="135">IF(D14="Aportación Inicial",$D$5+$D$4,0)</f>
        <v>0</v>
      </c>
      <c r="E21" s="57">
        <f t="shared" si="135"/>
        <v>0</v>
      </c>
      <c r="F21" s="57">
        <f t="shared" si="135"/>
        <v>0</v>
      </c>
      <c r="G21" s="57">
        <f t="shared" si="135"/>
        <v>0</v>
      </c>
      <c r="H21" s="57">
        <f t="shared" si="135"/>
        <v>0</v>
      </c>
      <c r="I21" s="57">
        <f t="shared" si="135"/>
        <v>0</v>
      </c>
      <c r="J21" s="57">
        <f t="shared" si="135"/>
        <v>0</v>
      </c>
      <c r="K21" s="57">
        <f t="shared" si="135"/>
        <v>0</v>
      </c>
      <c r="L21" s="57">
        <f t="shared" si="135"/>
        <v>0</v>
      </c>
      <c r="M21" s="57">
        <f t="shared" si="135"/>
        <v>0</v>
      </c>
      <c r="N21" s="57">
        <f t="shared" si="135"/>
        <v>0</v>
      </c>
      <c r="O21" s="57">
        <f t="shared" si="135"/>
        <v>0</v>
      </c>
      <c r="P21" s="57">
        <f t="shared" si="135"/>
        <v>0</v>
      </c>
      <c r="Q21" s="57">
        <f t="shared" si="135"/>
        <v>0</v>
      </c>
      <c r="R21" s="57">
        <f t="shared" si="135"/>
        <v>0</v>
      </c>
      <c r="S21" s="57">
        <f t="shared" si="135"/>
        <v>0</v>
      </c>
      <c r="T21" s="57">
        <f t="shared" si="135"/>
        <v>0</v>
      </c>
      <c r="U21" s="57">
        <f t="shared" si="135"/>
        <v>0</v>
      </c>
      <c r="V21" s="57">
        <f t="shared" si="135"/>
        <v>0</v>
      </c>
      <c r="W21" s="57">
        <f t="shared" si="135"/>
        <v>0</v>
      </c>
      <c r="X21" s="57">
        <f t="shared" si="135"/>
        <v>0</v>
      </c>
      <c r="Y21" s="57">
        <f t="shared" si="135"/>
        <v>0</v>
      </c>
      <c r="Z21" s="57">
        <f t="shared" si="135"/>
        <v>0</v>
      </c>
      <c r="AA21" s="57">
        <f t="shared" si="135"/>
        <v>0</v>
      </c>
      <c r="AB21" s="57">
        <f t="shared" si="135"/>
        <v>0</v>
      </c>
      <c r="AC21" s="57">
        <f t="shared" si="135"/>
        <v>0</v>
      </c>
      <c r="AD21" s="57">
        <f t="shared" si="135"/>
        <v>0</v>
      </c>
      <c r="AE21" s="57">
        <f t="shared" si="135"/>
        <v>0</v>
      </c>
      <c r="AF21" s="57">
        <f t="shared" si="135"/>
        <v>0</v>
      </c>
      <c r="AG21" s="57">
        <f t="shared" si="135"/>
        <v>0</v>
      </c>
      <c r="AH21" s="57">
        <f t="shared" si="135"/>
        <v>0</v>
      </c>
      <c r="AI21" s="57">
        <f t="shared" si="135"/>
        <v>0</v>
      </c>
      <c r="AJ21" s="57">
        <f t="shared" si="135"/>
        <v>0</v>
      </c>
      <c r="AK21" s="57">
        <f t="shared" si="135"/>
        <v>0</v>
      </c>
      <c r="AL21" s="57">
        <f t="shared" si="135"/>
        <v>0</v>
      </c>
      <c r="AM21" s="57">
        <f t="shared" si="135"/>
        <v>0</v>
      </c>
      <c r="AN21" s="57">
        <f t="shared" si="135"/>
        <v>0</v>
      </c>
      <c r="AO21" s="57">
        <f t="shared" si="135"/>
        <v>0</v>
      </c>
      <c r="AP21" s="57">
        <f t="shared" si="135"/>
        <v>0</v>
      </c>
      <c r="AQ21" s="57">
        <f t="shared" si="135"/>
        <v>0</v>
      </c>
      <c r="AR21" s="57">
        <f t="shared" si="135"/>
        <v>0</v>
      </c>
      <c r="AS21" s="57">
        <f t="shared" si="135"/>
        <v>0</v>
      </c>
      <c r="AT21" s="57">
        <f t="shared" si="135"/>
        <v>0</v>
      </c>
      <c r="AU21" s="57">
        <f t="shared" si="135"/>
        <v>0</v>
      </c>
      <c r="AV21" s="57">
        <f t="shared" si="135"/>
        <v>0</v>
      </c>
      <c r="AW21" s="57">
        <f t="shared" si="135"/>
        <v>0</v>
      </c>
      <c r="AX21" s="57">
        <f t="shared" si="135"/>
        <v>0</v>
      </c>
      <c r="AY21" s="57">
        <f t="shared" si="135"/>
        <v>0</v>
      </c>
      <c r="AZ21" s="57">
        <f t="shared" si="135"/>
        <v>0</v>
      </c>
      <c r="BA21" s="57">
        <f t="shared" si="135"/>
        <v>0</v>
      </c>
      <c r="BB21" s="57">
        <f t="shared" si="135"/>
        <v>0</v>
      </c>
      <c r="BC21" s="57">
        <f t="shared" si="135"/>
        <v>0</v>
      </c>
      <c r="BD21" s="57">
        <f t="shared" si="135"/>
        <v>0</v>
      </c>
      <c r="BE21" s="57">
        <f t="shared" si="135"/>
        <v>0</v>
      </c>
      <c r="BF21" s="57">
        <f t="shared" si="135"/>
        <v>0</v>
      </c>
      <c r="BG21" s="57">
        <f t="shared" si="135"/>
        <v>0</v>
      </c>
      <c r="BH21" s="57">
        <f t="shared" si="135"/>
        <v>0</v>
      </c>
      <c r="BI21" s="57">
        <f t="shared" si="135"/>
        <v>0</v>
      </c>
      <c r="BJ21" s="57">
        <f t="shared" si="135"/>
        <v>0</v>
      </c>
      <c r="BK21" s="57">
        <f t="shared" si="135"/>
        <v>0</v>
      </c>
      <c r="BL21" s="57">
        <f t="shared" si="135"/>
        <v>0</v>
      </c>
      <c r="BM21" s="57">
        <f t="shared" si="135"/>
        <v>0</v>
      </c>
      <c r="BN21" s="57">
        <f t="shared" si="135"/>
        <v>0</v>
      </c>
      <c r="BO21" s="57">
        <f t="shared" si="135"/>
        <v>0</v>
      </c>
      <c r="BP21" s="57">
        <f t="shared" ref="BP21:EA21" si="136">IF(BP14="Aportación Inicial",$D$5+$D$4,0)</f>
        <v>0</v>
      </c>
      <c r="BQ21" s="57">
        <f t="shared" si="136"/>
        <v>0</v>
      </c>
      <c r="BR21" s="57">
        <f t="shared" si="136"/>
        <v>0</v>
      </c>
      <c r="BS21" s="57">
        <f t="shared" si="136"/>
        <v>0</v>
      </c>
      <c r="BT21" s="57">
        <f t="shared" si="136"/>
        <v>0</v>
      </c>
      <c r="BU21" s="57">
        <f t="shared" si="136"/>
        <v>0</v>
      </c>
      <c r="BV21" s="57">
        <f t="shared" si="136"/>
        <v>0</v>
      </c>
      <c r="BW21" s="57">
        <f t="shared" si="136"/>
        <v>0</v>
      </c>
      <c r="BX21" s="57">
        <f t="shared" si="136"/>
        <v>0</v>
      </c>
      <c r="BY21" s="57">
        <f t="shared" si="136"/>
        <v>0</v>
      </c>
      <c r="BZ21" s="57">
        <f t="shared" si="136"/>
        <v>0</v>
      </c>
      <c r="CA21" s="57">
        <f t="shared" si="136"/>
        <v>0</v>
      </c>
      <c r="CB21" s="57">
        <f t="shared" si="136"/>
        <v>0</v>
      </c>
      <c r="CC21" s="57">
        <f t="shared" si="136"/>
        <v>0</v>
      </c>
      <c r="CD21" s="57">
        <f t="shared" si="136"/>
        <v>0</v>
      </c>
      <c r="CE21" s="57">
        <f t="shared" si="136"/>
        <v>0</v>
      </c>
      <c r="CF21" s="57">
        <f t="shared" si="136"/>
        <v>0</v>
      </c>
      <c r="CG21" s="57">
        <f t="shared" si="136"/>
        <v>0</v>
      </c>
      <c r="CH21" s="57">
        <f t="shared" si="136"/>
        <v>0</v>
      </c>
      <c r="CI21" s="57">
        <f t="shared" si="136"/>
        <v>0</v>
      </c>
      <c r="CJ21" s="57">
        <f t="shared" si="136"/>
        <v>0</v>
      </c>
      <c r="CK21" s="57">
        <f t="shared" si="136"/>
        <v>0</v>
      </c>
      <c r="CL21" s="57">
        <f t="shared" si="136"/>
        <v>0</v>
      </c>
      <c r="CM21" s="57">
        <f t="shared" si="136"/>
        <v>0</v>
      </c>
      <c r="CN21" s="57">
        <f t="shared" si="136"/>
        <v>0</v>
      </c>
      <c r="CO21" s="57">
        <f t="shared" si="136"/>
        <v>0</v>
      </c>
      <c r="CP21" s="57">
        <f t="shared" si="136"/>
        <v>0</v>
      </c>
      <c r="CQ21" s="57">
        <f t="shared" si="136"/>
        <v>0</v>
      </c>
      <c r="CR21" s="57">
        <f t="shared" si="136"/>
        <v>0</v>
      </c>
      <c r="CS21" s="57">
        <f t="shared" si="136"/>
        <v>0</v>
      </c>
      <c r="CT21" s="57">
        <f t="shared" si="136"/>
        <v>0</v>
      </c>
      <c r="CU21" s="57">
        <f t="shared" si="136"/>
        <v>0</v>
      </c>
      <c r="CV21" s="57">
        <f t="shared" si="136"/>
        <v>0</v>
      </c>
      <c r="CW21" s="57">
        <f t="shared" si="136"/>
        <v>0</v>
      </c>
      <c r="CX21" s="57">
        <f t="shared" si="136"/>
        <v>0</v>
      </c>
      <c r="CY21" s="57">
        <f t="shared" si="136"/>
        <v>0</v>
      </c>
      <c r="CZ21" s="57">
        <f t="shared" si="136"/>
        <v>0</v>
      </c>
      <c r="DA21" s="57">
        <f t="shared" si="136"/>
        <v>0</v>
      </c>
      <c r="DB21" s="57">
        <f t="shared" si="136"/>
        <v>0</v>
      </c>
      <c r="DC21" s="57">
        <f t="shared" si="136"/>
        <v>0</v>
      </c>
      <c r="DD21" s="57">
        <f t="shared" si="136"/>
        <v>0</v>
      </c>
      <c r="DE21" s="57">
        <f t="shared" si="136"/>
        <v>0</v>
      </c>
      <c r="DF21" s="57">
        <f t="shared" si="136"/>
        <v>0</v>
      </c>
      <c r="DG21" s="57">
        <f t="shared" si="136"/>
        <v>0</v>
      </c>
      <c r="DH21" s="57">
        <f t="shared" si="136"/>
        <v>0</v>
      </c>
      <c r="DI21" s="57">
        <f t="shared" si="136"/>
        <v>0</v>
      </c>
      <c r="DJ21" s="57">
        <f t="shared" si="136"/>
        <v>0</v>
      </c>
      <c r="DK21" s="57">
        <f t="shared" si="136"/>
        <v>0</v>
      </c>
      <c r="DL21" s="57">
        <f t="shared" si="136"/>
        <v>0</v>
      </c>
      <c r="DM21" s="57">
        <f t="shared" si="136"/>
        <v>0</v>
      </c>
      <c r="DN21" s="57">
        <f t="shared" si="136"/>
        <v>0</v>
      </c>
      <c r="DO21" s="57">
        <f t="shared" si="136"/>
        <v>0</v>
      </c>
      <c r="DP21" s="57">
        <f t="shared" si="136"/>
        <v>0</v>
      </c>
      <c r="DQ21" s="57">
        <f t="shared" si="136"/>
        <v>0</v>
      </c>
      <c r="DR21" s="57">
        <f t="shared" si="136"/>
        <v>0</v>
      </c>
      <c r="DS21" s="57">
        <f t="shared" si="136"/>
        <v>0</v>
      </c>
      <c r="DT21" s="57">
        <f t="shared" si="136"/>
        <v>0</v>
      </c>
      <c r="DU21" s="57">
        <f t="shared" si="136"/>
        <v>0</v>
      </c>
      <c r="DV21" s="57">
        <f t="shared" si="136"/>
        <v>0</v>
      </c>
      <c r="DW21" s="57">
        <f t="shared" si="136"/>
        <v>0</v>
      </c>
      <c r="DX21" s="57">
        <f t="shared" si="136"/>
        <v>0</v>
      </c>
      <c r="DY21" s="57">
        <f t="shared" si="136"/>
        <v>0</v>
      </c>
      <c r="DZ21" s="57">
        <f t="shared" si="136"/>
        <v>0</v>
      </c>
      <c r="EA21" s="57">
        <f t="shared" si="136"/>
        <v>0</v>
      </c>
      <c r="EB21" s="57">
        <f t="shared" ref="EB21:GM21" si="137">IF(EB14="Aportación Inicial",$D$5+$D$4,0)</f>
        <v>0</v>
      </c>
      <c r="EC21" s="57">
        <f t="shared" si="137"/>
        <v>0</v>
      </c>
      <c r="ED21" s="57">
        <f t="shared" si="137"/>
        <v>0</v>
      </c>
      <c r="EE21" s="57">
        <f t="shared" si="137"/>
        <v>0</v>
      </c>
      <c r="EF21" s="57">
        <f t="shared" si="137"/>
        <v>0</v>
      </c>
      <c r="EG21" s="57">
        <f t="shared" si="137"/>
        <v>0</v>
      </c>
      <c r="EH21" s="57">
        <f t="shared" si="137"/>
        <v>0</v>
      </c>
      <c r="EI21" s="57">
        <f t="shared" si="137"/>
        <v>0</v>
      </c>
      <c r="EJ21" s="57">
        <f t="shared" si="137"/>
        <v>0</v>
      </c>
      <c r="EK21" s="57">
        <f t="shared" si="137"/>
        <v>0</v>
      </c>
      <c r="EL21" s="57">
        <f t="shared" si="137"/>
        <v>0</v>
      </c>
      <c r="EM21" s="57">
        <f t="shared" si="137"/>
        <v>0</v>
      </c>
      <c r="EN21" s="57">
        <f t="shared" si="137"/>
        <v>0</v>
      </c>
      <c r="EO21" s="57">
        <f t="shared" si="137"/>
        <v>0</v>
      </c>
      <c r="EP21" s="57">
        <f t="shared" si="137"/>
        <v>0</v>
      </c>
      <c r="EQ21" s="57">
        <f t="shared" si="137"/>
        <v>0</v>
      </c>
      <c r="ER21" s="57">
        <f t="shared" si="137"/>
        <v>0</v>
      </c>
      <c r="ES21" s="57">
        <f t="shared" si="137"/>
        <v>0</v>
      </c>
      <c r="ET21" s="57">
        <f t="shared" si="137"/>
        <v>0</v>
      </c>
      <c r="EU21" s="57">
        <f t="shared" si="137"/>
        <v>0</v>
      </c>
      <c r="EV21" s="57">
        <f t="shared" si="137"/>
        <v>0</v>
      </c>
      <c r="EW21" s="57">
        <f t="shared" si="137"/>
        <v>0</v>
      </c>
      <c r="EX21" s="57">
        <f t="shared" si="137"/>
        <v>0</v>
      </c>
      <c r="EY21" s="57">
        <f t="shared" si="137"/>
        <v>0</v>
      </c>
      <c r="EZ21" s="57">
        <f t="shared" si="137"/>
        <v>0</v>
      </c>
      <c r="FA21" s="57">
        <f t="shared" si="137"/>
        <v>0</v>
      </c>
      <c r="FB21" s="57">
        <f t="shared" si="137"/>
        <v>0</v>
      </c>
      <c r="FC21" s="57">
        <f t="shared" si="137"/>
        <v>0</v>
      </c>
      <c r="FD21" s="57">
        <f t="shared" si="137"/>
        <v>0</v>
      </c>
      <c r="FE21" s="57">
        <f t="shared" si="137"/>
        <v>0</v>
      </c>
      <c r="FF21" s="57">
        <f t="shared" si="137"/>
        <v>0</v>
      </c>
      <c r="FG21" s="57">
        <f t="shared" si="137"/>
        <v>0</v>
      </c>
      <c r="FH21" s="57">
        <f t="shared" si="137"/>
        <v>0</v>
      </c>
      <c r="FI21" s="57">
        <f t="shared" si="137"/>
        <v>0</v>
      </c>
      <c r="FJ21" s="57">
        <f t="shared" si="137"/>
        <v>0</v>
      </c>
      <c r="FK21" s="57">
        <f t="shared" si="137"/>
        <v>0</v>
      </c>
      <c r="FL21" s="57">
        <f t="shared" si="137"/>
        <v>0</v>
      </c>
      <c r="FM21" s="57">
        <f t="shared" si="137"/>
        <v>0</v>
      </c>
      <c r="FN21" s="57">
        <f t="shared" si="137"/>
        <v>0</v>
      </c>
      <c r="FO21" s="57">
        <f t="shared" si="137"/>
        <v>0</v>
      </c>
      <c r="FP21" s="57">
        <f t="shared" si="137"/>
        <v>0</v>
      </c>
      <c r="FQ21" s="57">
        <f t="shared" si="137"/>
        <v>0</v>
      </c>
      <c r="FR21" s="57">
        <f t="shared" si="137"/>
        <v>0</v>
      </c>
      <c r="FS21" s="57">
        <f t="shared" si="137"/>
        <v>0</v>
      </c>
      <c r="FT21" s="57">
        <f t="shared" si="137"/>
        <v>0</v>
      </c>
      <c r="FU21" s="57">
        <f t="shared" si="137"/>
        <v>0</v>
      </c>
      <c r="FV21" s="57">
        <f t="shared" si="137"/>
        <v>0</v>
      </c>
      <c r="FW21" s="57">
        <f t="shared" si="137"/>
        <v>0</v>
      </c>
      <c r="FX21" s="57">
        <f t="shared" si="137"/>
        <v>0</v>
      </c>
      <c r="FY21" s="57">
        <f t="shared" si="137"/>
        <v>0</v>
      </c>
      <c r="FZ21" s="57">
        <f t="shared" si="137"/>
        <v>0</v>
      </c>
      <c r="GA21" s="57">
        <f t="shared" si="137"/>
        <v>0</v>
      </c>
      <c r="GB21" s="57">
        <f t="shared" si="137"/>
        <v>0</v>
      </c>
      <c r="GC21" s="57">
        <f t="shared" si="137"/>
        <v>0</v>
      </c>
      <c r="GD21" s="57">
        <f t="shared" si="137"/>
        <v>0</v>
      </c>
      <c r="GE21" s="57">
        <f t="shared" si="137"/>
        <v>0</v>
      </c>
      <c r="GF21" s="57">
        <f t="shared" si="137"/>
        <v>0</v>
      </c>
      <c r="GG21" s="57">
        <f t="shared" si="137"/>
        <v>0</v>
      </c>
      <c r="GH21" s="57">
        <f t="shared" si="137"/>
        <v>0</v>
      </c>
      <c r="GI21" s="57">
        <f t="shared" si="137"/>
        <v>0</v>
      </c>
      <c r="GJ21" s="57">
        <f t="shared" si="137"/>
        <v>0</v>
      </c>
      <c r="GK21" s="57">
        <f t="shared" si="137"/>
        <v>0</v>
      </c>
      <c r="GL21" s="57">
        <f t="shared" si="137"/>
        <v>0</v>
      </c>
      <c r="GM21" s="57">
        <f t="shared" si="137"/>
        <v>0</v>
      </c>
      <c r="GN21" s="57">
        <f t="shared" ref="GN21:IY21" si="138">IF(GN14="Aportación Inicial",$D$5+$D$4,0)</f>
        <v>0</v>
      </c>
      <c r="GO21" s="57">
        <f t="shared" si="138"/>
        <v>0</v>
      </c>
      <c r="GP21" s="57">
        <f t="shared" si="138"/>
        <v>0</v>
      </c>
      <c r="GQ21" s="57">
        <f t="shared" si="138"/>
        <v>0</v>
      </c>
      <c r="GR21" s="57">
        <f t="shared" si="138"/>
        <v>0</v>
      </c>
      <c r="GS21" s="57">
        <f t="shared" si="138"/>
        <v>0</v>
      </c>
      <c r="GT21" s="57">
        <f t="shared" si="138"/>
        <v>0</v>
      </c>
      <c r="GU21" s="57">
        <f t="shared" si="138"/>
        <v>0</v>
      </c>
      <c r="GV21" s="57">
        <f t="shared" si="138"/>
        <v>0</v>
      </c>
      <c r="GW21" s="57">
        <f t="shared" si="138"/>
        <v>0</v>
      </c>
      <c r="GX21" s="57">
        <f t="shared" si="138"/>
        <v>0</v>
      </c>
      <c r="GY21" s="57">
        <f t="shared" si="138"/>
        <v>0</v>
      </c>
      <c r="GZ21" s="57">
        <f t="shared" si="138"/>
        <v>0</v>
      </c>
      <c r="HA21" s="57">
        <f t="shared" si="138"/>
        <v>0</v>
      </c>
      <c r="HB21" s="57">
        <f t="shared" si="138"/>
        <v>0</v>
      </c>
      <c r="HC21" s="57">
        <f t="shared" si="138"/>
        <v>0</v>
      </c>
      <c r="HD21" s="57">
        <f t="shared" si="138"/>
        <v>0</v>
      </c>
      <c r="HE21" s="57">
        <f t="shared" si="138"/>
        <v>0</v>
      </c>
      <c r="HF21" s="57">
        <f t="shared" si="138"/>
        <v>0</v>
      </c>
      <c r="HG21" s="57">
        <f t="shared" si="138"/>
        <v>0</v>
      </c>
      <c r="HH21" s="57">
        <f t="shared" si="138"/>
        <v>0</v>
      </c>
      <c r="HI21" s="57">
        <f t="shared" si="138"/>
        <v>0</v>
      </c>
      <c r="HJ21" s="57">
        <f t="shared" si="138"/>
        <v>0</v>
      </c>
      <c r="HK21" s="57">
        <f t="shared" si="138"/>
        <v>0</v>
      </c>
      <c r="HL21" s="57">
        <f t="shared" si="138"/>
        <v>0</v>
      </c>
      <c r="HM21" s="57">
        <f t="shared" si="138"/>
        <v>0</v>
      </c>
      <c r="HN21" s="57">
        <f t="shared" si="138"/>
        <v>0</v>
      </c>
      <c r="HO21" s="57">
        <f t="shared" si="138"/>
        <v>0</v>
      </c>
      <c r="HP21" s="57">
        <f t="shared" si="138"/>
        <v>0</v>
      </c>
      <c r="HQ21" s="57">
        <f t="shared" si="138"/>
        <v>0</v>
      </c>
      <c r="HR21" s="57">
        <f t="shared" si="138"/>
        <v>0</v>
      </c>
      <c r="HS21" s="57">
        <f t="shared" si="138"/>
        <v>0</v>
      </c>
      <c r="HT21" s="57">
        <f t="shared" si="138"/>
        <v>0</v>
      </c>
      <c r="HU21" s="57">
        <f t="shared" si="138"/>
        <v>0</v>
      </c>
      <c r="HV21" s="57">
        <f t="shared" si="138"/>
        <v>0</v>
      </c>
      <c r="HW21" s="57">
        <f t="shared" si="138"/>
        <v>0</v>
      </c>
      <c r="HX21" s="57">
        <f t="shared" si="138"/>
        <v>0</v>
      </c>
      <c r="HY21" s="57">
        <f t="shared" si="138"/>
        <v>0</v>
      </c>
      <c r="HZ21" s="57">
        <f t="shared" si="138"/>
        <v>0</v>
      </c>
      <c r="IA21" s="57">
        <f t="shared" si="138"/>
        <v>0</v>
      </c>
      <c r="IB21" s="57">
        <f t="shared" si="138"/>
        <v>0</v>
      </c>
      <c r="IC21" s="57">
        <f t="shared" si="138"/>
        <v>0</v>
      </c>
      <c r="ID21" s="57">
        <f t="shared" si="138"/>
        <v>0</v>
      </c>
      <c r="IE21" s="57">
        <f t="shared" si="138"/>
        <v>0</v>
      </c>
      <c r="IF21" s="57">
        <f t="shared" si="138"/>
        <v>0</v>
      </c>
      <c r="IG21" s="57">
        <f t="shared" si="138"/>
        <v>0</v>
      </c>
      <c r="IH21" s="57">
        <f t="shared" si="138"/>
        <v>0</v>
      </c>
      <c r="II21" s="57">
        <f t="shared" si="138"/>
        <v>0</v>
      </c>
      <c r="IJ21" s="57">
        <f t="shared" si="138"/>
        <v>0</v>
      </c>
      <c r="IK21" s="57">
        <f t="shared" si="138"/>
        <v>0</v>
      </c>
      <c r="IL21" s="57">
        <f t="shared" si="138"/>
        <v>0</v>
      </c>
      <c r="IM21" s="57">
        <f t="shared" si="138"/>
        <v>0</v>
      </c>
      <c r="IN21" s="57">
        <f t="shared" si="138"/>
        <v>0</v>
      </c>
      <c r="IO21" s="57">
        <f t="shared" si="138"/>
        <v>0</v>
      </c>
      <c r="IP21" s="57">
        <f t="shared" si="138"/>
        <v>0</v>
      </c>
      <c r="IQ21" s="57">
        <f t="shared" si="138"/>
        <v>0</v>
      </c>
      <c r="IR21" s="57">
        <f t="shared" si="138"/>
        <v>0</v>
      </c>
      <c r="IS21" s="57">
        <f t="shared" si="138"/>
        <v>0</v>
      </c>
      <c r="IT21" s="57">
        <f t="shared" si="138"/>
        <v>0</v>
      </c>
      <c r="IU21" s="57">
        <f t="shared" si="138"/>
        <v>0</v>
      </c>
      <c r="IV21" s="57">
        <f t="shared" si="138"/>
        <v>0</v>
      </c>
      <c r="IW21" s="57">
        <f t="shared" si="138"/>
        <v>0</v>
      </c>
      <c r="IX21" s="57">
        <f t="shared" si="138"/>
        <v>0</v>
      </c>
      <c r="IY21" s="57">
        <f t="shared" si="138"/>
        <v>0</v>
      </c>
      <c r="IZ21" s="57">
        <f t="shared" ref="IZ21:LK21" si="139">IF(IZ14="Aportación Inicial",$D$5+$D$4,0)</f>
        <v>0</v>
      </c>
      <c r="JA21" s="57">
        <f t="shared" si="139"/>
        <v>0</v>
      </c>
      <c r="JB21" s="57">
        <f t="shared" si="139"/>
        <v>0</v>
      </c>
      <c r="JC21" s="57">
        <f t="shared" si="139"/>
        <v>0</v>
      </c>
      <c r="JD21" s="57">
        <f t="shared" si="139"/>
        <v>0</v>
      </c>
      <c r="JE21" s="57">
        <f t="shared" si="139"/>
        <v>0</v>
      </c>
      <c r="JF21" s="57">
        <f t="shared" si="139"/>
        <v>0</v>
      </c>
      <c r="JG21" s="57">
        <f t="shared" si="139"/>
        <v>0</v>
      </c>
      <c r="JH21" s="57">
        <f t="shared" si="139"/>
        <v>0</v>
      </c>
      <c r="JI21" s="57">
        <f t="shared" si="139"/>
        <v>0</v>
      </c>
      <c r="JJ21" s="57">
        <f t="shared" si="139"/>
        <v>0</v>
      </c>
      <c r="JK21" s="57">
        <f t="shared" si="139"/>
        <v>0</v>
      </c>
      <c r="JL21" s="57">
        <f t="shared" si="139"/>
        <v>0</v>
      </c>
      <c r="JM21" s="57">
        <f t="shared" si="139"/>
        <v>0</v>
      </c>
      <c r="JN21" s="57">
        <f t="shared" si="139"/>
        <v>0</v>
      </c>
      <c r="JO21" s="57">
        <f t="shared" si="139"/>
        <v>0</v>
      </c>
      <c r="JP21" s="57">
        <f t="shared" si="139"/>
        <v>0</v>
      </c>
      <c r="JQ21" s="57">
        <f t="shared" si="139"/>
        <v>0</v>
      </c>
      <c r="JR21" s="57">
        <f t="shared" si="139"/>
        <v>0</v>
      </c>
      <c r="JS21" s="57">
        <f t="shared" si="139"/>
        <v>0</v>
      </c>
      <c r="JT21" s="57">
        <f t="shared" si="139"/>
        <v>0</v>
      </c>
      <c r="JU21" s="57">
        <f t="shared" si="139"/>
        <v>0</v>
      </c>
      <c r="JV21" s="57">
        <f t="shared" si="139"/>
        <v>0</v>
      </c>
      <c r="JW21" s="57">
        <f t="shared" si="139"/>
        <v>0</v>
      </c>
      <c r="JX21" s="57">
        <f t="shared" si="139"/>
        <v>0</v>
      </c>
      <c r="JY21" s="57">
        <f t="shared" si="139"/>
        <v>0</v>
      </c>
      <c r="JZ21" s="57">
        <f t="shared" si="139"/>
        <v>0</v>
      </c>
      <c r="KA21" s="57">
        <f t="shared" si="139"/>
        <v>0</v>
      </c>
      <c r="KB21" s="57">
        <f t="shared" si="139"/>
        <v>0</v>
      </c>
      <c r="KC21" s="57">
        <f t="shared" si="139"/>
        <v>0</v>
      </c>
      <c r="KD21" s="57">
        <f t="shared" si="139"/>
        <v>0</v>
      </c>
      <c r="KE21" s="57">
        <f t="shared" si="139"/>
        <v>0</v>
      </c>
      <c r="KF21" s="57">
        <f t="shared" si="139"/>
        <v>0</v>
      </c>
      <c r="KG21" s="57">
        <f t="shared" si="139"/>
        <v>0</v>
      </c>
      <c r="KH21" s="57">
        <f t="shared" si="139"/>
        <v>0</v>
      </c>
      <c r="KI21" s="57">
        <f t="shared" si="139"/>
        <v>0</v>
      </c>
      <c r="KJ21" s="57">
        <f t="shared" si="139"/>
        <v>0</v>
      </c>
      <c r="KK21" s="57">
        <f t="shared" si="139"/>
        <v>0</v>
      </c>
      <c r="KL21" s="57">
        <f t="shared" si="139"/>
        <v>0</v>
      </c>
      <c r="KM21" s="57">
        <f t="shared" si="139"/>
        <v>0</v>
      </c>
      <c r="KN21" s="57">
        <f t="shared" si="139"/>
        <v>0</v>
      </c>
      <c r="KO21" s="57">
        <f t="shared" si="139"/>
        <v>0</v>
      </c>
      <c r="KP21" s="57">
        <f t="shared" si="139"/>
        <v>0</v>
      </c>
      <c r="KQ21" s="57">
        <f t="shared" si="139"/>
        <v>0</v>
      </c>
      <c r="KR21" s="57">
        <f t="shared" si="139"/>
        <v>0</v>
      </c>
      <c r="KS21" s="57">
        <f t="shared" si="139"/>
        <v>0</v>
      </c>
      <c r="KT21" s="57">
        <f t="shared" si="139"/>
        <v>0</v>
      </c>
      <c r="KU21" s="57">
        <f t="shared" si="139"/>
        <v>0</v>
      </c>
      <c r="KV21" s="57">
        <f t="shared" si="139"/>
        <v>0</v>
      </c>
      <c r="KW21" s="57">
        <f t="shared" si="139"/>
        <v>0</v>
      </c>
      <c r="KX21" s="57">
        <f t="shared" si="139"/>
        <v>0</v>
      </c>
      <c r="KY21" s="57">
        <f t="shared" si="139"/>
        <v>0</v>
      </c>
      <c r="KZ21" s="57">
        <f t="shared" si="139"/>
        <v>0</v>
      </c>
      <c r="LA21" s="57">
        <f t="shared" si="139"/>
        <v>0</v>
      </c>
      <c r="LB21" s="57">
        <f t="shared" si="139"/>
        <v>0</v>
      </c>
      <c r="LC21" s="57">
        <f t="shared" si="139"/>
        <v>0</v>
      </c>
      <c r="LD21" s="57">
        <f t="shared" si="139"/>
        <v>0</v>
      </c>
      <c r="LE21" s="57">
        <f t="shared" si="139"/>
        <v>0</v>
      </c>
      <c r="LF21" s="57">
        <f t="shared" si="139"/>
        <v>0</v>
      </c>
      <c r="LG21" s="57">
        <f t="shared" si="139"/>
        <v>0</v>
      </c>
      <c r="LH21" s="57">
        <f t="shared" si="139"/>
        <v>0</v>
      </c>
      <c r="LI21" s="57">
        <f t="shared" si="139"/>
        <v>0</v>
      </c>
      <c r="LJ21" s="57">
        <f t="shared" si="139"/>
        <v>0</v>
      </c>
      <c r="LK21" s="57">
        <f t="shared" si="139"/>
        <v>0</v>
      </c>
      <c r="LL21" s="57">
        <f t="shared" ref="LL21:NW21" si="140">IF(LL14="Aportación Inicial",$D$5+$D$4,0)</f>
        <v>0</v>
      </c>
      <c r="LM21" s="57">
        <f t="shared" si="140"/>
        <v>0</v>
      </c>
      <c r="LN21" s="57">
        <f t="shared" si="140"/>
        <v>0</v>
      </c>
      <c r="LO21" s="57">
        <f t="shared" si="140"/>
        <v>0</v>
      </c>
      <c r="LP21" s="57">
        <f t="shared" si="140"/>
        <v>0</v>
      </c>
      <c r="LQ21" s="57">
        <f t="shared" si="140"/>
        <v>0</v>
      </c>
      <c r="LR21" s="57">
        <f t="shared" si="140"/>
        <v>0</v>
      </c>
      <c r="LS21" s="57">
        <f t="shared" si="140"/>
        <v>0</v>
      </c>
      <c r="LT21" s="57">
        <f t="shared" si="140"/>
        <v>0</v>
      </c>
      <c r="LU21" s="57">
        <f t="shared" si="140"/>
        <v>0</v>
      </c>
      <c r="LV21" s="57">
        <f t="shared" si="140"/>
        <v>0</v>
      </c>
      <c r="LW21" s="57">
        <f t="shared" si="140"/>
        <v>0</v>
      </c>
      <c r="LX21" s="57">
        <f t="shared" si="140"/>
        <v>0</v>
      </c>
      <c r="LY21" s="57">
        <f t="shared" si="140"/>
        <v>0</v>
      </c>
      <c r="LZ21" s="57">
        <f t="shared" si="140"/>
        <v>0</v>
      </c>
      <c r="MA21" s="57">
        <f t="shared" si="140"/>
        <v>0</v>
      </c>
      <c r="MB21" s="57">
        <f t="shared" si="140"/>
        <v>0</v>
      </c>
      <c r="MC21" s="57">
        <f t="shared" si="140"/>
        <v>0</v>
      </c>
      <c r="MD21" s="57">
        <f t="shared" si="140"/>
        <v>0</v>
      </c>
      <c r="ME21" s="57">
        <f t="shared" si="140"/>
        <v>0</v>
      </c>
      <c r="MF21" s="57">
        <f t="shared" si="140"/>
        <v>0</v>
      </c>
      <c r="MG21" s="57">
        <f t="shared" si="140"/>
        <v>0</v>
      </c>
      <c r="MH21" s="57">
        <f t="shared" si="140"/>
        <v>0</v>
      </c>
      <c r="MI21" s="57">
        <f t="shared" si="140"/>
        <v>0</v>
      </c>
      <c r="MJ21" s="57">
        <f t="shared" si="140"/>
        <v>0</v>
      </c>
      <c r="MK21" s="57">
        <f t="shared" si="140"/>
        <v>0</v>
      </c>
      <c r="ML21" s="57">
        <f t="shared" si="140"/>
        <v>0</v>
      </c>
      <c r="MM21" s="57">
        <f t="shared" si="140"/>
        <v>0</v>
      </c>
      <c r="MN21" s="57">
        <f t="shared" si="140"/>
        <v>0</v>
      </c>
      <c r="MO21" s="57">
        <f t="shared" si="140"/>
        <v>0</v>
      </c>
      <c r="MP21" s="57">
        <f t="shared" si="140"/>
        <v>0</v>
      </c>
      <c r="MQ21" s="57">
        <f t="shared" si="140"/>
        <v>0</v>
      </c>
      <c r="MR21" s="57">
        <f t="shared" si="140"/>
        <v>0</v>
      </c>
      <c r="MS21" s="57">
        <f t="shared" si="140"/>
        <v>0</v>
      </c>
      <c r="MT21" s="57">
        <f t="shared" si="140"/>
        <v>0</v>
      </c>
      <c r="MU21" s="57">
        <f t="shared" si="140"/>
        <v>0</v>
      </c>
      <c r="MV21" s="57">
        <f t="shared" si="140"/>
        <v>0</v>
      </c>
      <c r="MW21" s="57">
        <f t="shared" si="140"/>
        <v>0</v>
      </c>
      <c r="MX21" s="57">
        <f t="shared" si="140"/>
        <v>0</v>
      </c>
      <c r="MY21" s="57">
        <f t="shared" si="140"/>
        <v>0</v>
      </c>
      <c r="MZ21" s="57">
        <f t="shared" si="140"/>
        <v>0</v>
      </c>
      <c r="NA21" s="57">
        <f t="shared" si="140"/>
        <v>0</v>
      </c>
      <c r="NB21" s="57">
        <f t="shared" si="140"/>
        <v>0</v>
      </c>
      <c r="NC21" s="57">
        <f t="shared" si="140"/>
        <v>0</v>
      </c>
      <c r="ND21" s="57">
        <f t="shared" si="140"/>
        <v>0</v>
      </c>
      <c r="NE21" s="57">
        <f t="shared" si="140"/>
        <v>0</v>
      </c>
      <c r="NF21" s="57">
        <f t="shared" si="140"/>
        <v>0</v>
      </c>
      <c r="NG21" s="57">
        <f t="shared" si="140"/>
        <v>0</v>
      </c>
      <c r="NH21" s="57">
        <f t="shared" si="140"/>
        <v>0</v>
      </c>
      <c r="NI21" s="57">
        <f t="shared" si="140"/>
        <v>0</v>
      </c>
      <c r="NJ21" s="57">
        <f t="shared" si="140"/>
        <v>0</v>
      </c>
      <c r="NK21" s="57">
        <f t="shared" si="140"/>
        <v>0</v>
      </c>
      <c r="NL21" s="57">
        <f t="shared" si="140"/>
        <v>0</v>
      </c>
      <c r="NM21" s="57">
        <f t="shared" si="140"/>
        <v>0</v>
      </c>
      <c r="NN21" s="57">
        <f t="shared" si="140"/>
        <v>0</v>
      </c>
      <c r="NO21" s="57">
        <f t="shared" si="140"/>
        <v>0</v>
      </c>
      <c r="NP21" s="57">
        <f t="shared" si="140"/>
        <v>0</v>
      </c>
      <c r="NQ21" s="57">
        <f t="shared" si="140"/>
        <v>0</v>
      </c>
      <c r="NR21" s="57">
        <f t="shared" si="140"/>
        <v>0</v>
      </c>
      <c r="NS21" s="57">
        <f t="shared" si="140"/>
        <v>0</v>
      </c>
      <c r="NT21" s="57">
        <f t="shared" si="140"/>
        <v>0</v>
      </c>
      <c r="NU21" s="57">
        <f t="shared" si="140"/>
        <v>0</v>
      </c>
      <c r="NV21" s="57">
        <f t="shared" si="140"/>
        <v>0</v>
      </c>
      <c r="NW21" s="57">
        <f t="shared" si="140"/>
        <v>0</v>
      </c>
      <c r="NX21" s="57">
        <f t="shared" ref="NX21:QI21" si="141">IF(NX14="Aportación Inicial",$D$5+$D$4,0)</f>
        <v>0</v>
      </c>
      <c r="NY21" s="57">
        <f t="shared" si="141"/>
        <v>0</v>
      </c>
      <c r="NZ21" s="57">
        <f t="shared" si="141"/>
        <v>0</v>
      </c>
      <c r="OA21" s="57">
        <f t="shared" si="141"/>
        <v>0</v>
      </c>
      <c r="OB21" s="57">
        <f t="shared" si="141"/>
        <v>0</v>
      </c>
      <c r="OC21" s="57">
        <f t="shared" si="141"/>
        <v>0</v>
      </c>
      <c r="OD21" s="57">
        <f t="shared" si="141"/>
        <v>0</v>
      </c>
      <c r="OE21" s="57">
        <f t="shared" si="141"/>
        <v>0</v>
      </c>
      <c r="OF21" s="57">
        <f t="shared" si="141"/>
        <v>0</v>
      </c>
      <c r="OG21" s="57">
        <f t="shared" si="141"/>
        <v>0</v>
      </c>
      <c r="OH21" s="57">
        <f t="shared" si="141"/>
        <v>0</v>
      </c>
      <c r="OI21" s="57">
        <f t="shared" si="141"/>
        <v>0</v>
      </c>
      <c r="OJ21" s="57">
        <f t="shared" si="141"/>
        <v>0</v>
      </c>
      <c r="OK21" s="57">
        <f t="shared" si="141"/>
        <v>0</v>
      </c>
      <c r="OL21" s="57">
        <f t="shared" si="141"/>
        <v>0</v>
      </c>
      <c r="OM21" s="57">
        <f t="shared" si="141"/>
        <v>0</v>
      </c>
      <c r="ON21" s="57">
        <f t="shared" si="141"/>
        <v>0</v>
      </c>
      <c r="OO21" s="57">
        <f t="shared" si="141"/>
        <v>0</v>
      </c>
      <c r="OP21" s="57">
        <f t="shared" si="141"/>
        <v>0</v>
      </c>
      <c r="OQ21" s="57">
        <f t="shared" si="141"/>
        <v>0</v>
      </c>
      <c r="OR21" s="57">
        <f t="shared" si="141"/>
        <v>0</v>
      </c>
      <c r="OS21" s="57">
        <f t="shared" si="141"/>
        <v>0</v>
      </c>
      <c r="OT21" s="57">
        <f t="shared" si="141"/>
        <v>0</v>
      </c>
      <c r="OU21" s="57">
        <f t="shared" si="141"/>
        <v>0</v>
      </c>
      <c r="OV21" s="57">
        <f t="shared" si="141"/>
        <v>0</v>
      </c>
      <c r="OW21" s="57">
        <f t="shared" si="141"/>
        <v>0</v>
      </c>
      <c r="OX21" s="57">
        <f t="shared" si="141"/>
        <v>0</v>
      </c>
      <c r="OY21" s="57">
        <f t="shared" si="141"/>
        <v>0</v>
      </c>
      <c r="OZ21" s="57">
        <f t="shared" si="141"/>
        <v>0</v>
      </c>
      <c r="PA21" s="57">
        <f t="shared" si="141"/>
        <v>0</v>
      </c>
      <c r="PB21" s="57">
        <f t="shared" si="141"/>
        <v>0</v>
      </c>
      <c r="PC21" s="57">
        <f t="shared" si="141"/>
        <v>0</v>
      </c>
      <c r="PD21" s="57">
        <f t="shared" si="141"/>
        <v>0</v>
      </c>
      <c r="PE21" s="57">
        <f t="shared" si="141"/>
        <v>0</v>
      </c>
      <c r="PF21" s="57">
        <f t="shared" si="141"/>
        <v>0</v>
      </c>
      <c r="PG21" s="57">
        <f t="shared" si="141"/>
        <v>0</v>
      </c>
      <c r="PH21" s="57">
        <f t="shared" si="141"/>
        <v>0</v>
      </c>
      <c r="PI21" s="57">
        <f t="shared" si="141"/>
        <v>0</v>
      </c>
      <c r="PJ21" s="57">
        <f t="shared" si="141"/>
        <v>0</v>
      </c>
      <c r="PK21" s="57">
        <f t="shared" si="141"/>
        <v>0</v>
      </c>
      <c r="PL21" s="57">
        <f t="shared" si="141"/>
        <v>0</v>
      </c>
      <c r="PM21" s="57">
        <f t="shared" si="141"/>
        <v>0</v>
      </c>
      <c r="PN21" s="57">
        <f t="shared" si="141"/>
        <v>0</v>
      </c>
      <c r="PO21" s="57">
        <f t="shared" si="141"/>
        <v>0</v>
      </c>
      <c r="PP21" s="57">
        <f t="shared" si="141"/>
        <v>0</v>
      </c>
      <c r="PQ21" s="57">
        <f t="shared" si="141"/>
        <v>0</v>
      </c>
      <c r="PR21" s="57">
        <f t="shared" si="141"/>
        <v>0</v>
      </c>
      <c r="PS21" s="57">
        <f t="shared" si="141"/>
        <v>0</v>
      </c>
      <c r="PT21" s="57">
        <f t="shared" si="141"/>
        <v>0</v>
      </c>
      <c r="PU21" s="57">
        <f t="shared" si="141"/>
        <v>0</v>
      </c>
      <c r="PV21" s="57">
        <f t="shared" si="141"/>
        <v>0</v>
      </c>
      <c r="PW21" s="57">
        <f t="shared" si="141"/>
        <v>0</v>
      </c>
      <c r="PX21" s="57">
        <f t="shared" si="141"/>
        <v>0</v>
      </c>
      <c r="PY21" s="57">
        <f t="shared" si="141"/>
        <v>0</v>
      </c>
      <c r="PZ21" s="57">
        <f t="shared" si="141"/>
        <v>0</v>
      </c>
      <c r="QA21" s="57">
        <f t="shared" si="141"/>
        <v>0</v>
      </c>
      <c r="QB21" s="57">
        <f t="shared" si="141"/>
        <v>0</v>
      </c>
      <c r="QC21" s="57">
        <f t="shared" si="141"/>
        <v>0</v>
      </c>
      <c r="QD21" s="57">
        <f t="shared" si="141"/>
        <v>0</v>
      </c>
      <c r="QE21" s="57">
        <f t="shared" si="141"/>
        <v>0</v>
      </c>
      <c r="QF21" s="57">
        <f t="shared" si="141"/>
        <v>0</v>
      </c>
      <c r="QG21" s="57">
        <f t="shared" si="141"/>
        <v>0</v>
      </c>
      <c r="QH21" s="57">
        <f t="shared" si="141"/>
        <v>0</v>
      </c>
      <c r="QI21" s="57">
        <f t="shared" si="141"/>
        <v>0</v>
      </c>
      <c r="QJ21" s="57">
        <f t="shared" ref="QJ21:SU21" si="142">IF(QJ14="Aportación Inicial",$D$5+$D$4,0)</f>
        <v>0</v>
      </c>
      <c r="QK21" s="57">
        <f t="shared" si="142"/>
        <v>0</v>
      </c>
      <c r="QL21" s="57">
        <f t="shared" si="142"/>
        <v>0</v>
      </c>
      <c r="QM21" s="57">
        <f t="shared" si="142"/>
        <v>0</v>
      </c>
      <c r="QN21" s="57">
        <f t="shared" si="142"/>
        <v>0</v>
      </c>
      <c r="QO21" s="57">
        <f t="shared" si="142"/>
        <v>0</v>
      </c>
      <c r="QP21" s="57">
        <f t="shared" si="142"/>
        <v>0</v>
      </c>
      <c r="QQ21" s="57">
        <f t="shared" si="142"/>
        <v>0</v>
      </c>
      <c r="QR21" s="57">
        <f t="shared" si="142"/>
        <v>0</v>
      </c>
      <c r="QS21" s="57">
        <f t="shared" si="142"/>
        <v>0</v>
      </c>
      <c r="QT21" s="57">
        <f t="shared" si="142"/>
        <v>0</v>
      </c>
      <c r="QU21" s="57">
        <f t="shared" si="142"/>
        <v>0</v>
      </c>
      <c r="QV21" s="57">
        <f t="shared" si="142"/>
        <v>0</v>
      </c>
      <c r="QW21" s="57">
        <f t="shared" si="142"/>
        <v>0</v>
      </c>
      <c r="QX21" s="57">
        <f t="shared" si="142"/>
        <v>0</v>
      </c>
      <c r="QY21" s="57">
        <f t="shared" si="142"/>
        <v>0</v>
      </c>
      <c r="QZ21" s="57">
        <f t="shared" si="142"/>
        <v>0</v>
      </c>
      <c r="RA21" s="57">
        <f t="shared" si="142"/>
        <v>0</v>
      </c>
      <c r="RB21" s="57">
        <f t="shared" si="142"/>
        <v>0</v>
      </c>
      <c r="RC21" s="57">
        <f t="shared" si="142"/>
        <v>0</v>
      </c>
      <c r="RD21" s="57">
        <f t="shared" si="142"/>
        <v>0</v>
      </c>
      <c r="RE21" s="57">
        <f t="shared" si="142"/>
        <v>0</v>
      </c>
      <c r="RF21" s="57">
        <f t="shared" si="142"/>
        <v>0</v>
      </c>
      <c r="RG21" s="57">
        <f t="shared" si="142"/>
        <v>0</v>
      </c>
      <c r="RH21" s="57">
        <f t="shared" si="142"/>
        <v>0</v>
      </c>
      <c r="RI21" s="57">
        <f t="shared" si="142"/>
        <v>0</v>
      </c>
      <c r="RJ21" s="57">
        <f t="shared" si="142"/>
        <v>0</v>
      </c>
      <c r="RK21" s="57">
        <f t="shared" si="142"/>
        <v>0</v>
      </c>
      <c r="RL21" s="57">
        <f t="shared" si="142"/>
        <v>0</v>
      </c>
      <c r="RM21" s="57">
        <f t="shared" si="142"/>
        <v>0</v>
      </c>
      <c r="RN21" s="57">
        <f t="shared" si="142"/>
        <v>0</v>
      </c>
      <c r="RO21" s="57">
        <f t="shared" si="142"/>
        <v>0</v>
      </c>
      <c r="RP21" s="57">
        <f t="shared" si="142"/>
        <v>0</v>
      </c>
      <c r="RQ21" s="57">
        <f t="shared" si="142"/>
        <v>0</v>
      </c>
      <c r="RR21" s="57">
        <f t="shared" si="142"/>
        <v>0</v>
      </c>
      <c r="RS21" s="57">
        <f t="shared" si="142"/>
        <v>0</v>
      </c>
      <c r="RT21" s="57">
        <f t="shared" si="142"/>
        <v>0</v>
      </c>
      <c r="RU21" s="57">
        <f t="shared" si="142"/>
        <v>0</v>
      </c>
      <c r="RV21" s="57">
        <f t="shared" si="142"/>
        <v>0</v>
      </c>
      <c r="RW21" s="57">
        <f t="shared" si="142"/>
        <v>0</v>
      </c>
      <c r="RX21" s="57">
        <f t="shared" si="142"/>
        <v>0</v>
      </c>
      <c r="RY21" s="57">
        <f t="shared" si="142"/>
        <v>0</v>
      </c>
      <c r="RZ21" s="57">
        <f t="shared" si="142"/>
        <v>0</v>
      </c>
      <c r="SA21" s="57">
        <f t="shared" si="142"/>
        <v>0</v>
      </c>
      <c r="SB21" s="57">
        <f t="shared" si="142"/>
        <v>0</v>
      </c>
      <c r="SC21" s="57">
        <f t="shared" si="142"/>
        <v>0</v>
      </c>
      <c r="SD21" s="57">
        <f t="shared" si="142"/>
        <v>0</v>
      </c>
      <c r="SE21" s="57">
        <f t="shared" si="142"/>
        <v>0</v>
      </c>
      <c r="SF21" s="57">
        <f t="shared" si="142"/>
        <v>0</v>
      </c>
      <c r="SG21" s="57">
        <f t="shared" si="142"/>
        <v>0</v>
      </c>
      <c r="SH21" s="57">
        <f t="shared" si="142"/>
        <v>0</v>
      </c>
      <c r="SI21" s="57">
        <f t="shared" si="142"/>
        <v>0</v>
      </c>
      <c r="SJ21" s="57">
        <f t="shared" si="142"/>
        <v>0</v>
      </c>
      <c r="SK21" s="57">
        <f t="shared" si="142"/>
        <v>0</v>
      </c>
      <c r="SL21" s="57">
        <f t="shared" si="142"/>
        <v>0</v>
      </c>
      <c r="SM21" s="57">
        <f t="shared" si="142"/>
        <v>0</v>
      </c>
      <c r="SN21" s="57">
        <f t="shared" si="142"/>
        <v>0</v>
      </c>
      <c r="SO21" s="57">
        <f t="shared" si="142"/>
        <v>0</v>
      </c>
      <c r="SP21" s="57">
        <f t="shared" si="142"/>
        <v>0</v>
      </c>
      <c r="SQ21" s="57">
        <f t="shared" si="142"/>
        <v>0</v>
      </c>
      <c r="SR21" s="57">
        <f t="shared" si="142"/>
        <v>0</v>
      </c>
      <c r="SS21" s="57">
        <f t="shared" si="142"/>
        <v>0</v>
      </c>
      <c r="ST21" s="57">
        <f t="shared" si="142"/>
        <v>0</v>
      </c>
      <c r="SU21" s="57">
        <f t="shared" si="142"/>
        <v>0</v>
      </c>
      <c r="SV21" s="57">
        <f t="shared" ref="SV21:VG21" si="143">IF(SV14="Aportación Inicial",$D$5+$D$4,0)</f>
        <v>0</v>
      </c>
      <c r="SW21" s="57">
        <f t="shared" si="143"/>
        <v>0</v>
      </c>
      <c r="SX21" s="57">
        <f t="shared" si="143"/>
        <v>0</v>
      </c>
      <c r="SY21" s="57">
        <f t="shared" si="143"/>
        <v>0</v>
      </c>
      <c r="SZ21" s="57">
        <f t="shared" si="143"/>
        <v>0</v>
      </c>
      <c r="TA21" s="57">
        <f t="shared" si="143"/>
        <v>0</v>
      </c>
      <c r="TB21" s="57">
        <f t="shared" si="143"/>
        <v>0</v>
      </c>
      <c r="TC21" s="57">
        <f t="shared" si="143"/>
        <v>0</v>
      </c>
      <c r="TD21" s="57">
        <f t="shared" si="143"/>
        <v>0</v>
      </c>
      <c r="TE21" s="57">
        <f t="shared" si="143"/>
        <v>0</v>
      </c>
      <c r="TF21" s="57">
        <f t="shared" si="143"/>
        <v>0</v>
      </c>
      <c r="TG21" s="57">
        <f t="shared" si="143"/>
        <v>0</v>
      </c>
      <c r="TH21" s="57">
        <f t="shared" si="143"/>
        <v>0</v>
      </c>
      <c r="TI21" s="57">
        <f t="shared" si="143"/>
        <v>0</v>
      </c>
      <c r="TJ21" s="57">
        <f t="shared" si="143"/>
        <v>0</v>
      </c>
      <c r="TK21" s="57">
        <f t="shared" si="143"/>
        <v>0</v>
      </c>
      <c r="TL21" s="57">
        <f t="shared" si="143"/>
        <v>0</v>
      </c>
      <c r="TM21" s="57">
        <f t="shared" si="143"/>
        <v>0</v>
      </c>
      <c r="TN21" s="57">
        <f t="shared" si="143"/>
        <v>0</v>
      </c>
      <c r="TO21" s="57">
        <f t="shared" si="143"/>
        <v>0</v>
      </c>
      <c r="TP21" s="57">
        <f t="shared" si="143"/>
        <v>0</v>
      </c>
      <c r="TQ21" s="57">
        <f t="shared" si="143"/>
        <v>0</v>
      </c>
      <c r="TR21" s="57">
        <f t="shared" si="143"/>
        <v>0</v>
      </c>
      <c r="TS21" s="57">
        <f t="shared" si="143"/>
        <v>0</v>
      </c>
      <c r="TT21" s="57">
        <f t="shared" si="143"/>
        <v>0</v>
      </c>
      <c r="TU21" s="57">
        <f t="shared" si="143"/>
        <v>0</v>
      </c>
      <c r="TV21" s="57">
        <f t="shared" si="143"/>
        <v>0</v>
      </c>
      <c r="TW21" s="57">
        <f t="shared" si="143"/>
        <v>0</v>
      </c>
      <c r="TX21" s="57">
        <f t="shared" si="143"/>
        <v>0</v>
      </c>
      <c r="TY21" s="57">
        <f t="shared" si="143"/>
        <v>0</v>
      </c>
      <c r="TZ21" s="57">
        <f t="shared" si="143"/>
        <v>0</v>
      </c>
      <c r="UA21" s="57">
        <f t="shared" si="143"/>
        <v>0</v>
      </c>
      <c r="UB21" s="57">
        <f t="shared" si="143"/>
        <v>0</v>
      </c>
      <c r="UC21" s="57">
        <f t="shared" si="143"/>
        <v>0</v>
      </c>
      <c r="UD21" s="57">
        <f t="shared" si="143"/>
        <v>0</v>
      </c>
      <c r="UE21" s="57">
        <f t="shared" si="143"/>
        <v>0</v>
      </c>
      <c r="UF21" s="57">
        <f t="shared" si="143"/>
        <v>0</v>
      </c>
      <c r="UG21" s="57">
        <f t="shared" si="143"/>
        <v>0</v>
      </c>
      <c r="UH21" s="57">
        <f t="shared" si="143"/>
        <v>0</v>
      </c>
      <c r="UI21" s="57">
        <f t="shared" si="143"/>
        <v>0</v>
      </c>
      <c r="UJ21" s="57">
        <f t="shared" si="143"/>
        <v>0</v>
      </c>
      <c r="UK21" s="57">
        <f t="shared" si="143"/>
        <v>0</v>
      </c>
      <c r="UL21" s="57">
        <f t="shared" si="143"/>
        <v>0</v>
      </c>
      <c r="UM21" s="57">
        <f t="shared" si="143"/>
        <v>0</v>
      </c>
      <c r="UN21" s="57">
        <f t="shared" si="143"/>
        <v>0</v>
      </c>
      <c r="UO21" s="57">
        <f t="shared" si="143"/>
        <v>0</v>
      </c>
      <c r="UP21" s="57">
        <f t="shared" si="143"/>
        <v>0</v>
      </c>
      <c r="UQ21" s="57">
        <f t="shared" si="143"/>
        <v>0</v>
      </c>
      <c r="UR21" s="57">
        <f t="shared" si="143"/>
        <v>0</v>
      </c>
      <c r="US21" s="57">
        <f t="shared" si="143"/>
        <v>0</v>
      </c>
      <c r="UT21" s="57">
        <f t="shared" si="143"/>
        <v>0</v>
      </c>
      <c r="UU21" s="57">
        <f t="shared" si="143"/>
        <v>0</v>
      </c>
      <c r="UV21" s="57">
        <f t="shared" si="143"/>
        <v>0</v>
      </c>
      <c r="UW21" s="57">
        <f t="shared" si="143"/>
        <v>0</v>
      </c>
      <c r="UX21" s="57">
        <f t="shared" si="143"/>
        <v>0</v>
      </c>
      <c r="UY21" s="57">
        <f t="shared" si="143"/>
        <v>0</v>
      </c>
      <c r="UZ21" s="57">
        <f t="shared" si="143"/>
        <v>0</v>
      </c>
      <c r="VA21" s="57">
        <f t="shared" si="143"/>
        <v>0</v>
      </c>
      <c r="VB21" s="57">
        <f t="shared" si="143"/>
        <v>0</v>
      </c>
      <c r="VC21" s="57">
        <f t="shared" si="143"/>
        <v>0</v>
      </c>
      <c r="VD21" s="57">
        <f t="shared" si="143"/>
        <v>0</v>
      </c>
      <c r="VE21" s="57">
        <f t="shared" si="143"/>
        <v>0</v>
      </c>
      <c r="VF21" s="57">
        <f t="shared" si="143"/>
        <v>0</v>
      </c>
      <c r="VG21" s="57">
        <f t="shared" si="143"/>
        <v>0</v>
      </c>
      <c r="VH21" s="57">
        <f t="shared" ref="VH21:XS21" si="144">IF(VH14="Aportación Inicial",$D$5+$D$4,0)</f>
        <v>0</v>
      </c>
      <c r="VI21" s="57">
        <f t="shared" si="144"/>
        <v>0</v>
      </c>
      <c r="VJ21" s="57">
        <f t="shared" si="144"/>
        <v>0</v>
      </c>
      <c r="VK21" s="57">
        <f t="shared" si="144"/>
        <v>0</v>
      </c>
      <c r="VL21" s="57">
        <f t="shared" si="144"/>
        <v>0</v>
      </c>
      <c r="VM21" s="57">
        <f t="shared" si="144"/>
        <v>0</v>
      </c>
      <c r="VN21" s="57">
        <f t="shared" si="144"/>
        <v>0</v>
      </c>
      <c r="VO21" s="57">
        <f t="shared" si="144"/>
        <v>0</v>
      </c>
      <c r="VP21" s="57">
        <f t="shared" si="144"/>
        <v>0</v>
      </c>
      <c r="VQ21" s="57">
        <f t="shared" si="144"/>
        <v>0</v>
      </c>
      <c r="VR21" s="57">
        <f t="shared" si="144"/>
        <v>0</v>
      </c>
      <c r="VS21" s="57">
        <f t="shared" si="144"/>
        <v>2300000</v>
      </c>
      <c r="VT21" s="57">
        <f t="shared" si="144"/>
        <v>0</v>
      </c>
      <c r="VU21" s="57">
        <f t="shared" si="144"/>
        <v>0</v>
      </c>
      <c r="VV21" s="57">
        <f t="shared" si="144"/>
        <v>0</v>
      </c>
      <c r="VW21" s="57">
        <f t="shared" si="144"/>
        <v>0</v>
      </c>
      <c r="VX21" s="57">
        <f t="shared" si="144"/>
        <v>0</v>
      </c>
      <c r="VY21" s="57">
        <f t="shared" si="144"/>
        <v>0</v>
      </c>
      <c r="VZ21" s="57">
        <f t="shared" si="144"/>
        <v>0</v>
      </c>
      <c r="WA21" s="57">
        <f t="shared" si="144"/>
        <v>0</v>
      </c>
      <c r="WB21" s="57">
        <f t="shared" si="144"/>
        <v>0</v>
      </c>
      <c r="WC21" s="57">
        <f t="shared" si="144"/>
        <v>0</v>
      </c>
      <c r="WD21" s="57">
        <f t="shared" si="144"/>
        <v>0</v>
      </c>
      <c r="WE21" s="57">
        <f t="shared" si="144"/>
        <v>0</v>
      </c>
      <c r="WF21" s="57">
        <f t="shared" si="144"/>
        <v>0</v>
      </c>
      <c r="WG21" s="57">
        <f t="shared" si="144"/>
        <v>0</v>
      </c>
      <c r="WH21" s="57">
        <f t="shared" si="144"/>
        <v>0</v>
      </c>
      <c r="WI21" s="57">
        <f t="shared" si="144"/>
        <v>0</v>
      </c>
      <c r="WJ21" s="57">
        <f t="shared" si="144"/>
        <v>0</v>
      </c>
      <c r="WK21" s="57">
        <f t="shared" si="144"/>
        <v>0</v>
      </c>
      <c r="WL21" s="57">
        <f t="shared" si="144"/>
        <v>0</v>
      </c>
      <c r="WM21" s="57">
        <f t="shared" si="144"/>
        <v>0</v>
      </c>
      <c r="WN21" s="57">
        <f t="shared" si="144"/>
        <v>0</v>
      </c>
      <c r="WO21" s="57">
        <f t="shared" si="144"/>
        <v>0</v>
      </c>
      <c r="WP21" s="57">
        <f t="shared" si="144"/>
        <v>0</v>
      </c>
      <c r="WQ21" s="57">
        <f t="shared" si="144"/>
        <v>0</v>
      </c>
      <c r="WR21" s="57">
        <f t="shared" si="144"/>
        <v>0</v>
      </c>
      <c r="WS21" s="57">
        <f t="shared" si="144"/>
        <v>0</v>
      </c>
      <c r="WT21" s="57">
        <f t="shared" si="144"/>
        <v>0</v>
      </c>
      <c r="WU21" s="57">
        <f t="shared" si="144"/>
        <v>0</v>
      </c>
      <c r="WV21" s="57">
        <f t="shared" si="144"/>
        <v>0</v>
      </c>
      <c r="WW21" s="57">
        <f t="shared" si="144"/>
        <v>0</v>
      </c>
      <c r="WX21" s="57">
        <f t="shared" si="144"/>
        <v>0</v>
      </c>
      <c r="WY21" s="57">
        <f t="shared" si="144"/>
        <v>0</v>
      </c>
      <c r="WZ21" s="57">
        <f t="shared" si="144"/>
        <v>0</v>
      </c>
      <c r="XA21" s="57">
        <f t="shared" si="144"/>
        <v>0</v>
      </c>
      <c r="XB21" s="57">
        <f t="shared" si="144"/>
        <v>0</v>
      </c>
      <c r="XC21" s="57">
        <f t="shared" si="144"/>
        <v>0</v>
      </c>
      <c r="XD21" s="57">
        <f t="shared" si="144"/>
        <v>0</v>
      </c>
      <c r="XE21" s="57">
        <f t="shared" si="144"/>
        <v>0</v>
      </c>
      <c r="XF21" s="57">
        <f t="shared" si="144"/>
        <v>0</v>
      </c>
      <c r="XG21" s="57">
        <f t="shared" si="144"/>
        <v>0</v>
      </c>
      <c r="XH21" s="57">
        <f t="shared" si="144"/>
        <v>0</v>
      </c>
      <c r="XI21" s="57">
        <f t="shared" si="144"/>
        <v>0</v>
      </c>
      <c r="XJ21" s="57">
        <f t="shared" si="144"/>
        <v>0</v>
      </c>
      <c r="XK21" s="57">
        <f t="shared" si="144"/>
        <v>0</v>
      </c>
      <c r="XL21" s="57">
        <f t="shared" si="144"/>
        <v>0</v>
      </c>
      <c r="XM21" s="57">
        <f t="shared" si="144"/>
        <v>0</v>
      </c>
      <c r="XN21" s="57">
        <f t="shared" si="144"/>
        <v>0</v>
      </c>
      <c r="XO21" s="57">
        <f t="shared" si="144"/>
        <v>0</v>
      </c>
      <c r="XP21" s="57">
        <f t="shared" si="144"/>
        <v>0</v>
      </c>
      <c r="XQ21" s="57">
        <f t="shared" si="144"/>
        <v>0</v>
      </c>
      <c r="XR21" s="57">
        <f t="shared" si="144"/>
        <v>0</v>
      </c>
      <c r="XS21" s="57">
        <f t="shared" si="144"/>
        <v>0</v>
      </c>
      <c r="XT21" s="57">
        <f t="shared" ref="XT21:AAE21" si="145">IF(XT14="Aportación Inicial",$D$5+$D$4,0)</f>
        <v>0</v>
      </c>
      <c r="XU21" s="57">
        <f t="shared" si="145"/>
        <v>0</v>
      </c>
      <c r="XV21" s="57">
        <f t="shared" si="145"/>
        <v>0</v>
      </c>
      <c r="XW21" s="57">
        <f t="shared" si="145"/>
        <v>0</v>
      </c>
      <c r="XX21" s="57">
        <f t="shared" si="145"/>
        <v>0</v>
      </c>
      <c r="XY21" s="57">
        <f t="shared" si="145"/>
        <v>0</v>
      </c>
      <c r="XZ21" s="57">
        <f t="shared" si="145"/>
        <v>0</v>
      </c>
      <c r="YA21" s="57">
        <f t="shared" si="145"/>
        <v>0</v>
      </c>
      <c r="YB21" s="57">
        <f t="shared" si="145"/>
        <v>0</v>
      </c>
      <c r="YC21" s="57">
        <f t="shared" si="145"/>
        <v>0</v>
      </c>
      <c r="YD21" s="57">
        <f t="shared" si="145"/>
        <v>0</v>
      </c>
      <c r="YE21" s="57">
        <f t="shared" si="145"/>
        <v>0</v>
      </c>
      <c r="YF21" s="57">
        <f t="shared" si="145"/>
        <v>0</v>
      </c>
      <c r="YG21" s="57">
        <f t="shared" si="145"/>
        <v>0</v>
      </c>
      <c r="YH21" s="57">
        <f t="shared" si="145"/>
        <v>0</v>
      </c>
      <c r="YI21" s="57">
        <f t="shared" si="145"/>
        <v>0</v>
      </c>
      <c r="YJ21" s="57">
        <f t="shared" si="145"/>
        <v>0</v>
      </c>
      <c r="YK21" s="57">
        <f t="shared" si="145"/>
        <v>0</v>
      </c>
      <c r="YL21" s="57">
        <f t="shared" si="145"/>
        <v>0</v>
      </c>
      <c r="YM21" s="57">
        <f t="shared" si="145"/>
        <v>0</v>
      </c>
      <c r="YN21" s="57">
        <f t="shared" si="145"/>
        <v>0</v>
      </c>
      <c r="YO21" s="57">
        <f t="shared" si="145"/>
        <v>0</v>
      </c>
      <c r="YP21" s="57">
        <f t="shared" si="145"/>
        <v>0</v>
      </c>
      <c r="YQ21" s="57">
        <f t="shared" si="145"/>
        <v>0</v>
      </c>
      <c r="YR21" s="57">
        <f t="shared" si="145"/>
        <v>0</v>
      </c>
      <c r="YS21" s="57">
        <f t="shared" si="145"/>
        <v>0</v>
      </c>
      <c r="YT21" s="57">
        <f t="shared" si="145"/>
        <v>0</v>
      </c>
      <c r="YU21" s="57">
        <f t="shared" si="145"/>
        <v>0</v>
      </c>
      <c r="YV21" s="57">
        <f t="shared" si="145"/>
        <v>0</v>
      </c>
      <c r="YW21" s="57">
        <f t="shared" si="145"/>
        <v>0</v>
      </c>
      <c r="YX21" s="57">
        <f t="shared" si="145"/>
        <v>0</v>
      </c>
      <c r="YY21" s="57">
        <f t="shared" si="145"/>
        <v>0</v>
      </c>
      <c r="YZ21" s="57">
        <f t="shared" si="145"/>
        <v>0</v>
      </c>
      <c r="ZA21" s="57">
        <f t="shared" si="145"/>
        <v>0</v>
      </c>
      <c r="ZB21" s="57">
        <f t="shared" si="145"/>
        <v>0</v>
      </c>
      <c r="ZC21" s="57">
        <f t="shared" si="145"/>
        <v>0</v>
      </c>
      <c r="ZD21" s="57">
        <f t="shared" si="145"/>
        <v>0</v>
      </c>
      <c r="ZE21" s="57">
        <f t="shared" si="145"/>
        <v>0</v>
      </c>
      <c r="ZF21" s="57">
        <f t="shared" si="145"/>
        <v>0</v>
      </c>
      <c r="ZG21" s="57">
        <f t="shared" si="145"/>
        <v>0</v>
      </c>
      <c r="ZH21" s="57">
        <f t="shared" si="145"/>
        <v>0</v>
      </c>
      <c r="ZI21" s="57">
        <f t="shared" si="145"/>
        <v>0</v>
      </c>
      <c r="ZJ21" s="57">
        <f t="shared" si="145"/>
        <v>0</v>
      </c>
      <c r="ZK21" s="57">
        <f t="shared" si="145"/>
        <v>0</v>
      </c>
      <c r="ZL21" s="57">
        <f t="shared" si="145"/>
        <v>0</v>
      </c>
      <c r="ZM21" s="57">
        <f t="shared" si="145"/>
        <v>0</v>
      </c>
      <c r="ZN21" s="57">
        <f t="shared" si="145"/>
        <v>0</v>
      </c>
      <c r="ZO21" s="57">
        <f t="shared" si="145"/>
        <v>0</v>
      </c>
      <c r="ZP21" s="57">
        <f t="shared" si="145"/>
        <v>0</v>
      </c>
      <c r="ZQ21" s="57">
        <f t="shared" si="145"/>
        <v>0</v>
      </c>
      <c r="ZR21" s="57">
        <f t="shared" si="145"/>
        <v>0</v>
      </c>
      <c r="ZS21" s="57">
        <f t="shared" si="145"/>
        <v>0</v>
      </c>
      <c r="ZT21" s="57">
        <f t="shared" si="145"/>
        <v>0</v>
      </c>
      <c r="ZU21" s="57">
        <f t="shared" si="145"/>
        <v>0</v>
      </c>
      <c r="ZV21" s="57">
        <f t="shared" si="145"/>
        <v>0</v>
      </c>
      <c r="ZW21" s="57">
        <f t="shared" si="145"/>
        <v>0</v>
      </c>
      <c r="ZX21" s="57">
        <f t="shared" si="145"/>
        <v>0</v>
      </c>
      <c r="ZY21" s="57">
        <f t="shared" si="145"/>
        <v>0</v>
      </c>
      <c r="ZZ21" s="57">
        <f t="shared" si="145"/>
        <v>0</v>
      </c>
      <c r="AAA21" s="57">
        <f t="shared" si="145"/>
        <v>0</v>
      </c>
      <c r="AAB21" s="57">
        <f t="shared" si="145"/>
        <v>0</v>
      </c>
      <c r="AAC21" s="57">
        <f t="shared" si="145"/>
        <v>0</v>
      </c>
      <c r="AAD21" s="57">
        <f t="shared" si="145"/>
        <v>0</v>
      </c>
      <c r="AAE21" s="57">
        <f t="shared" si="145"/>
        <v>0</v>
      </c>
      <c r="AAF21" s="57">
        <f t="shared" ref="AAF21:ACQ21" si="146">IF(AAF14="Aportación Inicial",$D$5+$D$4,0)</f>
        <v>0</v>
      </c>
      <c r="AAG21" s="57">
        <f t="shared" si="146"/>
        <v>0</v>
      </c>
      <c r="AAH21" s="57">
        <f t="shared" si="146"/>
        <v>0</v>
      </c>
      <c r="AAI21" s="57">
        <f t="shared" si="146"/>
        <v>0</v>
      </c>
      <c r="AAJ21" s="57">
        <f t="shared" si="146"/>
        <v>0</v>
      </c>
      <c r="AAK21" s="57">
        <f t="shared" si="146"/>
        <v>0</v>
      </c>
      <c r="AAL21" s="57">
        <f t="shared" si="146"/>
        <v>0</v>
      </c>
      <c r="AAM21" s="57">
        <f t="shared" si="146"/>
        <v>0</v>
      </c>
      <c r="AAN21" s="57">
        <f t="shared" si="146"/>
        <v>0</v>
      </c>
      <c r="AAO21" s="57">
        <f t="shared" si="146"/>
        <v>0</v>
      </c>
      <c r="AAP21" s="57">
        <f t="shared" si="146"/>
        <v>0</v>
      </c>
      <c r="AAQ21" s="57">
        <f t="shared" si="146"/>
        <v>0</v>
      </c>
      <c r="AAR21" s="57">
        <f t="shared" si="146"/>
        <v>0</v>
      </c>
      <c r="AAS21" s="57">
        <f t="shared" si="146"/>
        <v>0</v>
      </c>
      <c r="AAT21" s="57">
        <f t="shared" si="146"/>
        <v>0</v>
      </c>
      <c r="AAU21" s="57">
        <f t="shared" si="146"/>
        <v>0</v>
      </c>
      <c r="AAV21" s="57">
        <f t="shared" si="146"/>
        <v>0</v>
      </c>
      <c r="AAW21" s="57">
        <f t="shared" si="146"/>
        <v>0</v>
      </c>
      <c r="AAX21" s="57">
        <f t="shared" si="146"/>
        <v>0</v>
      </c>
      <c r="AAY21" s="57">
        <f t="shared" si="146"/>
        <v>0</v>
      </c>
      <c r="AAZ21" s="57">
        <f t="shared" si="146"/>
        <v>0</v>
      </c>
      <c r="ABA21" s="57">
        <f t="shared" si="146"/>
        <v>0</v>
      </c>
      <c r="ABB21" s="57">
        <f t="shared" si="146"/>
        <v>0</v>
      </c>
      <c r="ABC21" s="57">
        <f t="shared" si="146"/>
        <v>0</v>
      </c>
      <c r="ABD21" s="57">
        <f t="shared" si="146"/>
        <v>0</v>
      </c>
      <c r="ABE21" s="57">
        <f t="shared" si="146"/>
        <v>0</v>
      </c>
      <c r="ABF21" s="57">
        <f t="shared" si="146"/>
        <v>0</v>
      </c>
      <c r="ABG21" s="57">
        <f t="shared" si="146"/>
        <v>0</v>
      </c>
      <c r="ABH21" s="57">
        <f t="shared" si="146"/>
        <v>0</v>
      </c>
      <c r="ABI21" s="57">
        <f t="shared" si="146"/>
        <v>0</v>
      </c>
      <c r="ABJ21" s="57">
        <f t="shared" si="146"/>
        <v>0</v>
      </c>
      <c r="ABK21" s="57">
        <f t="shared" si="146"/>
        <v>0</v>
      </c>
      <c r="ABL21" s="57">
        <f t="shared" si="146"/>
        <v>0</v>
      </c>
      <c r="ABM21" s="57">
        <f t="shared" si="146"/>
        <v>0</v>
      </c>
      <c r="ABN21" s="57">
        <f t="shared" si="146"/>
        <v>0</v>
      </c>
      <c r="ABO21" s="57">
        <f t="shared" si="146"/>
        <v>0</v>
      </c>
      <c r="ABP21" s="57">
        <f t="shared" si="146"/>
        <v>0</v>
      </c>
      <c r="ABQ21" s="57">
        <f t="shared" si="146"/>
        <v>0</v>
      </c>
      <c r="ABR21" s="57">
        <f t="shared" si="146"/>
        <v>0</v>
      </c>
      <c r="ABS21" s="57">
        <f t="shared" si="146"/>
        <v>0</v>
      </c>
      <c r="ABT21" s="57">
        <f t="shared" si="146"/>
        <v>0</v>
      </c>
      <c r="ABU21" s="57">
        <f t="shared" si="146"/>
        <v>0</v>
      </c>
      <c r="ABV21" s="57">
        <f t="shared" si="146"/>
        <v>0</v>
      </c>
      <c r="ABW21" s="57">
        <f t="shared" si="146"/>
        <v>0</v>
      </c>
      <c r="ABX21" s="57">
        <f t="shared" si="146"/>
        <v>0</v>
      </c>
      <c r="ABY21" s="57">
        <f t="shared" si="146"/>
        <v>0</v>
      </c>
      <c r="ABZ21" s="57">
        <f t="shared" si="146"/>
        <v>0</v>
      </c>
      <c r="ACA21" s="57">
        <f t="shared" si="146"/>
        <v>0</v>
      </c>
      <c r="ACB21" s="57">
        <f t="shared" si="146"/>
        <v>0</v>
      </c>
      <c r="ACC21" s="57">
        <f t="shared" si="146"/>
        <v>0</v>
      </c>
      <c r="ACD21" s="57">
        <f t="shared" si="146"/>
        <v>0</v>
      </c>
      <c r="ACE21" s="57">
        <f t="shared" si="146"/>
        <v>0</v>
      </c>
      <c r="ACF21" s="57">
        <f t="shared" si="146"/>
        <v>0</v>
      </c>
      <c r="ACG21" s="57">
        <f t="shared" si="146"/>
        <v>0</v>
      </c>
      <c r="ACH21" s="57">
        <f t="shared" si="146"/>
        <v>0</v>
      </c>
      <c r="ACI21" s="57">
        <f t="shared" si="146"/>
        <v>0</v>
      </c>
      <c r="ACJ21" s="57">
        <f t="shared" si="146"/>
        <v>0</v>
      </c>
      <c r="ACK21" s="57">
        <f t="shared" si="146"/>
        <v>0</v>
      </c>
      <c r="ACL21" s="57">
        <f t="shared" si="146"/>
        <v>0</v>
      </c>
      <c r="ACM21" s="57">
        <f t="shared" si="146"/>
        <v>0</v>
      </c>
      <c r="ACN21" s="57">
        <f t="shared" si="146"/>
        <v>0</v>
      </c>
      <c r="ACO21" s="57">
        <f t="shared" si="146"/>
        <v>0</v>
      </c>
      <c r="ACP21" s="57">
        <f t="shared" si="146"/>
        <v>0</v>
      </c>
      <c r="ACQ21" s="57">
        <f t="shared" si="146"/>
        <v>0</v>
      </c>
      <c r="ACR21" s="57">
        <f t="shared" ref="ACR21:AFC21" si="147">IF(ACR14="Aportación Inicial",$D$5+$D$4,0)</f>
        <v>0</v>
      </c>
      <c r="ACS21" s="57">
        <f t="shared" si="147"/>
        <v>0</v>
      </c>
      <c r="ACT21" s="57">
        <f t="shared" si="147"/>
        <v>0</v>
      </c>
      <c r="ACU21" s="57">
        <f t="shared" si="147"/>
        <v>0</v>
      </c>
      <c r="ACV21" s="57">
        <f t="shared" si="147"/>
        <v>0</v>
      </c>
      <c r="ACW21" s="57">
        <f t="shared" si="147"/>
        <v>0</v>
      </c>
      <c r="ACX21" s="57">
        <f t="shared" si="147"/>
        <v>0</v>
      </c>
      <c r="ACY21" s="57">
        <f t="shared" si="147"/>
        <v>0</v>
      </c>
      <c r="ACZ21" s="57">
        <f t="shared" si="147"/>
        <v>0</v>
      </c>
      <c r="ADA21" s="57">
        <f t="shared" si="147"/>
        <v>0</v>
      </c>
      <c r="ADB21" s="57">
        <f t="shared" si="147"/>
        <v>0</v>
      </c>
      <c r="ADC21" s="57">
        <f t="shared" si="147"/>
        <v>0</v>
      </c>
      <c r="ADD21" s="57">
        <f t="shared" si="147"/>
        <v>0</v>
      </c>
      <c r="ADE21" s="57">
        <f t="shared" si="147"/>
        <v>0</v>
      </c>
      <c r="ADF21" s="57">
        <f t="shared" si="147"/>
        <v>0</v>
      </c>
      <c r="ADG21" s="57">
        <f t="shared" si="147"/>
        <v>0</v>
      </c>
      <c r="ADH21" s="57">
        <f t="shared" si="147"/>
        <v>0</v>
      </c>
      <c r="ADI21" s="57">
        <f t="shared" si="147"/>
        <v>0</v>
      </c>
      <c r="ADJ21" s="57">
        <f t="shared" si="147"/>
        <v>0</v>
      </c>
      <c r="ADK21" s="57">
        <f t="shared" si="147"/>
        <v>0</v>
      </c>
      <c r="ADL21" s="57">
        <f t="shared" si="147"/>
        <v>0</v>
      </c>
      <c r="ADM21" s="57">
        <f t="shared" si="147"/>
        <v>0</v>
      </c>
      <c r="ADN21" s="57">
        <f t="shared" si="147"/>
        <v>0</v>
      </c>
      <c r="ADO21" s="57">
        <f t="shared" si="147"/>
        <v>0</v>
      </c>
      <c r="ADP21" s="57">
        <f t="shared" si="147"/>
        <v>0</v>
      </c>
      <c r="ADQ21" s="57">
        <f t="shared" si="147"/>
        <v>0</v>
      </c>
      <c r="ADR21" s="57">
        <f t="shared" si="147"/>
        <v>0</v>
      </c>
      <c r="ADS21" s="57">
        <f t="shared" si="147"/>
        <v>0</v>
      </c>
      <c r="ADT21" s="57">
        <f t="shared" si="147"/>
        <v>0</v>
      </c>
      <c r="ADU21" s="57">
        <f t="shared" si="147"/>
        <v>0</v>
      </c>
      <c r="ADV21" s="57">
        <f t="shared" si="147"/>
        <v>0</v>
      </c>
      <c r="ADW21" s="57">
        <f t="shared" si="147"/>
        <v>0</v>
      </c>
      <c r="ADX21" s="57">
        <f t="shared" si="147"/>
        <v>0</v>
      </c>
      <c r="ADY21" s="57">
        <f t="shared" si="147"/>
        <v>0</v>
      </c>
      <c r="ADZ21" s="57">
        <f t="shared" si="147"/>
        <v>0</v>
      </c>
      <c r="AEA21" s="57">
        <f t="shared" si="147"/>
        <v>0</v>
      </c>
      <c r="AEB21" s="57">
        <f t="shared" si="147"/>
        <v>0</v>
      </c>
      <c r="AEC21" s="57">
        <f t="shared" si="147"/>
        <v>0</v>
      </c>
      <c r="AED21" s="57">
        <f t="shared" si="147"/>
        <v>0</v>
      </c>
      <c r="AEE21" s="57">
        <f t="shared" si="147"/>
        <v>0</v>
      </c>
      <c r="AEF21" s="57">
        <f t="shared" si="147"/>
        <v>0</v>
      </c>
      <c r="AEG21" s="57">
        <f t="shared" si="147"/>
        <v>0</v>
      </c>
      <c r="AEH21" s="57">
        <f t="shared" si="147"/>
        <v>0</v>
      </c>
      <c r="AEI21" s="57">
        <f t="shared" si="147"/>
        <v>0</v>
      </c>
      <c r="AEJ21" s="57">
        <f t="shared" si="147"/>
        <v>0</v>
      </c>
      <c r="AEK21" s="57">
        <f t="shared" si="147"/>
        <v>0</v>
      </c>
      <c r="AEL21" s="57">
        <f t="shared" si="147"/>
        <v>0</v>
      </c>
      <c r="AEM21" s="57">
        <f t="shared" si="147"/>
        <v>0</v>
      </c>
      <c r="AEN21" s="57">
        <f t="shared" si="147"/>
        <v>0</v>
      </c>
      <c r="AEO21" s="57">
        <f t="shared" si="147"/>
        <v>0</v>
      </c>
      <c r="AEP21" s="57">
        <f t="shared" si="147"/>
        <v>0</v>
      </c>
      <c r="AEQ21" s="57">
        <f t="shared" si="147"/>
        <v>0</v>
      </c>
      <c r="AER21" s="57">
        <f t="shared" si="147"/>
        <v>0</v>
      </c>
      <c r="AES21" s="57">
        <f t="shared" si="147"/>
        <v>0</v>
      </c>
      <c r="AET21" s="57">
        <f t="shared" si="147"/>
        <v>0</v>
      </c>
      <c r="AEU21" s="57">
        <f t="shared" si="147"/>
        <v>0</v>
      </c>
      <c r="AEV21" s="57">
        <f t="shared" si="147"/>
        <v>0</v>
      </c>
      <c r="AEW21" s="57">
        <f t="shared" si="147"/>
        <v>0</v>
      </c>
      <c r="AEX21" s="57">
        <f t="shared" si="147"/>
        <v>0</v>
      </c>
      <c r="AEY21" s="57">
        <f t="shared" si="147"/>
        <v>0</v>
      </c>
      <c r="AEZ21" s="57">
        <f t="shared" si="147"/>
        <v>0</v>
      </c>
      <c r="AFA21" s="57">
        <f t="shared" si="147"/>
        <v>0</v>
      </c>
      <c r="AFB21" s="57">
        <f t="shared" si="147"/>
        <v>0</v>
      </c>
      <c r="AFC21" s="57">
        <f t="shared" si="147"/>
        <v>0</v>
      </c>
      <c r="AFD21" s="57">
        <f t="shared" ref="AFD21:AHO21" si="148">IF(AFD14="Aportación Inicial",$D$5+$D$4,0)</f>
        <v>0</v>
      </c>
      <c r="AFE21" s="57">
        <f t="shared" si="148"/>
        <v>0</v>
      </c>
      <c r="AFF21" s="57">
        <f t="shared" si="148"/>
        <v>0</v>
      </c>
      <c r="AFG21" s="57">
        <f t="shared" si="148"/>
        <v>0</v>
      </c>
      <c r="AFH21" s="57">
        <f t="shared" si="148"/>
        <v>0</v>
      </c>
      <c r="AFI21" s="57">
        <f t="shared" si="148"/>
        <v>0</v>
      </c>
      <c r="AFJ21" s="57">
        <f t="shared" si="148"/>
        <v>0</v>
      </c>
      <c r="AFK21" s="57">
        <f t="shared" si="148"/>
        <v>0</v>
      </c>
      <c r="AFL21" s="57">
        <f t="shared" si="148"/>
        <v>0</v>
      </c>
      <c r="AFM21" s="57">
        <f t="shared" si="148"/>
        <v>0</v>
      </c>
      <c r="AFN21" s="57">
        <f t="shared" si="148"/>
        <v>0</v>
      </c>
      <c r="AFO21" s="57">
        <f t="shared" si="148"/>
        <v>0</v>
      </c>
      <c r="AFP21" s="57">
        <f t="shared" si="148"/>
        <v>0</v>
      </c>
      <c r="AFQ21" s="57">
        <f t="shared" si="148"/>
        <v>0</v>
      </c>
      <c r="AFR21" s="57">
        <f t="shared" si="148"/>
        <v>0</v>
      </c>
      <c r="AFS21" s="57">
        <f t="shared" si="148"/>
        <v>0</v>
      </c>
      <c r="AFT21" s="57">
        <f t="shared" si="148"/>
        <v>0</v>
      </c>
      <c r="AFU21" s="57">
        <f t="shared" si="148"/>
        <v>0</v>
      </c>
      <c r="AFV21" s="57">
        <f t="shared" si="148"/>
        <v>0</v>
      </c>
      <c r="AFW21" s="57">
        <f t="shared" si="148"/>
        <v>0</v>
      </c>
      <c r="AFX21" s="57">
        <f t="shared" si="148"/>
        <v>0</v>
      </c>
      <c r="AFY21" s="57">
        <f t="shared" si="148"/>
        <v>0</v>
      </c>
      <c r="AFZ21" s="57">
        <f t="shared" si="148"/>
        <v>0</v>
      </c>
      <c r="AGA21" s="57">
        <f t="shared" si="148"/>
        <v>0</v>
      </c>
      <c r="AGB21" s="57">
        <f t="shared" si="148"/>
        <v>0</v>
      </c>
      <c r="AGC21" s="57">
        <f t="shared" si="148"/>
        <v>0</v>
      </c>
      <c r="AGD21" s="57">
        <f t="shared" si="148"/>
        <v>0</v>
      </c>
      <c r="AGE21" s="57">
        <f t="shared" si="148"/>
        <v>0</v>
      </c>
      <c r="AGF21" s="57">
        <f t="shared" si="148"/>
        <v>0</v>
      </c>
      <c r="AGG21" s="57">
        <f t="shared" si="148"/>
        <v>0</v>
      </c>
      <c r="AGH21" s="57">
        <f t="shared" si="148"/>
        <v>0</v>
      </c>
      <c r="AGI21" s="57">
        <f t="shared" si="148"/>
        <v>0</v>
      </c>
      <c r="AGJ21" s="57">
        <f t="shared" si="148"/>
        <v>0</v>
      </c>
      <c r="AGK21" s="57">
        <f t="shared" si="148"/>
        <v>0</v>
      </c>
      <c r="AGL21" s="57">
        <f t="shared" si="148"/>
        <v>0</v>
      </c>
      <c r="AGM21" s="57">
        <f t="shared" si="148"/>
        <v>0</v>
      </c>
      <c r="AGN21" s="57">
        <f t="shared" si="148"/>
        <v>0</v>
      </c>
      <c r="AGO21" s="57">
        <f t="shared" si="148"/>
        <v>0</v>
      </c>
      <c r="AGP21" s="57">
        <f t="shared" si="148"/>
        <v>0</v>
      </c>
      <c r="AGQ21" s="57">
        <f t="shared" si="148"/>
        <v>0</v>
      </c>
      <c r="AGR21" s="57">
        <f t="shared" si="148"/>
        <v>0</v>
      </c>
      <c r="AGS21" s="57">
        <f t="shared" si="148"/>
        <v>0</v>
      </c>
      <c r="AGT21" s="57">
        <f t="shared" si="148"/>
        <v>0</v>
      </c>
      <c r="AGU21" s="57">
        <f t="shared" si="148"/>
        <v>0</v>
      </c>
      <c r="AGV21" s="57">
        <f t="shared" si="148"/>
        <v>0</v>
      </c>
      <c r="AGW21" s="57">
        <f t="shared" si="148"/>
        <v>0</v>
      </c>
      <c r="AGX21" s="57">
        <f t="shared" si="148"/>
        <v>0</v>
      </c>
      <c r="AGY21" s="57">
        <f t="shared" si="148"/>
        <v>0</v>
      </c>
      <c r="AGZ21" s="57">
        <f t="shared" si="148"/>
        <v>0</v>
      </c>
      <c r="AHA21" s="57">
        <f t="shared" si="148"/>
        <v>0</v>
      </c>
      <c r="AHB21" s="57">
        <f t="shared" si="148"/>
        <v>0</v>
      </c>
      <c r="AHC21" s="57">
        <f t="shared" si="148"/>
        <v>0</v>
      </c>
      <c r="AHD21" s="57">
        <f t="shared" si="148"/>
        <v>0</v>
      </c>
      <c r="AHE21" s="57">
        <f t="shared" si="148"/>
        <v>0</v>
      </c>
      <c r="AHF21" s="57">
        <f t="shared" si="148"/>
        <v>0</v>
      </c>
      <c r="AHG21" s="57">
        <f t="shared" si="148"/>
        <v>0</v>
      </c>
      <c r="AHH21" s="57">
        <f t="shared" si="148"/>
        <v>0</v>
      </c>
      <c r="AHI21" s="57">
        <f t="shared" si="148"/>
        <v>0</v>
      </c>
      <c r="AHJ21" s="57">
        <f t="shared" si="148"/>
        <v>0</v>
      </c>
      <c r="AHK21" s="57">
        <f t="shared" si="148"/>
        <v>0</v>
      </c>
      <c r="AHL21" s="57">
        <f t="shared" si="148"/>
        <v>0</v>
      </c>
      <c r="AHM21" s="57">
        <f t="shared" si="148"/>
        <v>0</v>
      </c>
      <c r="AHN21" s="57">
        <f t="shared" si="148"/>
        <v>0</v>
      </c>
      <c r="AHO21" s="57">
        <f t="shared" si="148"/>
        <v>0</v>
      </c>
      <c r="AHP21" s="57">
        <f t="shared" ref="AHP21:AKA21" si="149">IF(AHP14="Aportación Inicial",$D$5+$D$4,0)</f>
        <v>0</v>
      </c>
      <c r="AHQ21" s="57">
        <f t="shared" si="149"/>
        <v>0</v>
      </c>
      <c r="AHR21" s="57">
        <f t="shared" si="149"/>
        <v>0</v>
      </c>
      <c r="AHS21" s="57">
        <f t="shared" si="149"/>
        <v>0</v>
      </c>
      <c r="AHT21" s="57">
        <f t="shared" si="149"/>
        <v>0</v>
      </c>
      <c r="AHU21" s="57">
        <f t="shared" si="149"/>
        <v>0</v>
      </c>
      <c r="AHV21" s="57">
        <f t="shared" si="149"/>
        <v>0</v>
      </c>
      <c r="AHW21" s="57">
        <f t="shared" si="149"/>
        <v>0</v>
      </c>
      <c r="AHX21" s="57">
        <f t="shared" si="149"/>
        <v>0</v>
      </c>
      <c r="AHY21" s="57">
        <f t="shared" si="149"/>
        <v>0</v>
      </c>
      <c r="AHZ21" s="57">
        <f t="shared" si="149"/>
        <v>0</v>
      </c>
      <c r="AIA21" s="57">
        <f t="shared" si="149"/>
        <v>0</v>
      </c>
      <c r="AIB21" s="57">
        <f t="shared" si="149"/>
        <v>0</v>
      </c>
      <c r="AIC21" s="57">
        <f t="shared" si="149"/>
        <v>0</v>
      </c>
      <c r="AID21" s="57">
        <f t="shared" si="149"/>
        <v>0</v>
      </c>
      <c r="AIE21" s="57">
        <f t="shared" si="149"/>
        <v>0</v>
      </c>
      <c r="AIF21" s="57">
        <f t="shared" si="149"/>
        <v>0</v>
      </c>
      <c r="AIG21" s="57">
        <f t="shared" si="149"/>
        <v>0</v>
      </c>
      <c r="AIH21" s="57">
        <f t="shared" si="149"/>
        <v>0</v>
      </c>
      <c r="AII21" s="57">
        <f t="shared" si="149"/>
        <v>0</v>
      </c>
      <c r="AIJ21" s="57">
        <f t="shared" si="149"/>
        <v>0</v>
      </c>
      <c r="AIK21" s="57">
        <f t="shared" si="149"/>
        <v>0</v>
      </c>
      <c r="AIL21" s="57">
        <f t="shared" si="149"/>
        <v>0</v>
      </c>
      <c r="AIM21" s="57">
        <f t="shared" si="149"/>
        <v>0</v>
      </c>
      <c r="AIN21" s="57">
        <f t="shared" si="149"/>
        <v>0</v>
      </c>
      <c r="AIO21" s="57">
        <f t="shared" si="149"/>
        <v>0</v>
      </c>
      <c r="AIP21" s="57">
        <f t="shared" si="149"/>
        <v>0</v>
      </c>
      <c r="AIQ21" s="57">
        <f t="shared" si="149"/>
        <v>0</v>
      </c>
      <c r="AIR21" s="57">
        <f t="shared" si="149"/>
        <v>0</v>
      </c>
      <c r="AIS21" s="57">
        <f t="shared" si="149"/>
        <v>0</v>
      </c>
      <c r="AIT21" s="57">
        <f t="shared" si="149"/>
        <v>0</v>
      </c>
      <c r="AIU21" s="57">
        <f t="shared" si="149"/>
        <v>0</v>
      </c>
      <c r="AIV21" s="57">
        <f t="shared" si="149"/>
        <v>0</v>
      </c>
      <c r="AIW21" s="57">
        <f t="shared" si="149"/>
        <v>0</v>
      </c>
      <c r="AIX21" s="57">
        <f t="shared" si="149"/>
        <v>0</v>
      </c>
      <c r="AIY21" s="57">
        <f t="shared" si="149"/>
        <v>0</v>
      </c>
      <c r="AIZ21" s="57">
        <f t="shared" si="149"/>
        <v>0</v>
      </c>
      <c r="AJA21" s="57">
        <f t="shared" si="149"/>
        <v>0</v>
      </c>
      <c r="AJB21" s="57">
        <f t="shared" si="149"/>
        <v>0</v>
      </c>
      <c r="AJC21" s="57">
        <f t="shared" si="149"/>
        <v>0</v>
      </c>
      <c r="AJD21" s="57">
        <f t="shared" si="149"/>
        <v>0</v>
      </c>
      <c r="AJE21" s="57">
        <f t="shared" si="149"/>
        <v>0</v>
      </c>
      <c r="AJF21" s="57">
        <f t="shared" si="149"/>
        <v>0</v>
      </c>
      <c r="AJG21" s="57">
        <f t="shared" si="149"/>
        <v>0</v>
      </c>
      <c r="AJH21" s="57">
        <f t="shared" si="149"/>
        <v>0</v>
      </c>
      <c r="AJI21" s="57">
        <f t="shared" si="149"/>
        <v>0</v>
      </c>
      <c r="AJJ21" s="57">
        <f t="shared" si="149"/>
        <v>0</v>
      </c>
      <c r="AJK21" s="57">
        <f t="shared" si="149"/>
        <v>0</v>
      </c>
      <c r="AJL21" s="57">
        <f t="shared" si="149"/>
        <v>0</v>
      </c>
      <c r="AJM21" s="57">
        <f t="shared" si="149"/>
        <v>0</v>
      </c>
      <c r="AJN21" s="57">
        <f t="shared" si="149"/>
        <v>0</v>
      </c>
      <c r="AJO21" s="57">
        <f t="shared" si="149"/>
        <v>0</v>
      </c>
      <c r="AJP21" s="57">
        <f t="shared" si="149"/>
        <v>0</v>
      </c>
      <c r="AJQ21" s="57">
        <f t="shared" si="149"/>
        <v>0</v>
      </c>
      <c r="AJR21" s="57">
        <f t="shared" si="149"/>
        <v>0</v>
      </c>
      <c r="AJS21" s="57">
        <f t="shared" si="149"/>
        <v>0</v>
      </c>
      <c r="AJT21" s="57">
        <f t="shared" si="149"/>
        <v>0</v>
      </c>
      <c r="AJU21" s="57">
        <f t="shared" si="149"/>
        <v>0</v>
      </c>
      <c r="AJV21" s="57">
        <f t="shared" si="149"/>
        <v>0</v>
      </c>
      <c r="AJW21" s="57">
        <f t="shared" si="149"/>
        <v>0</v>
      </c>
      <c r="AJX21" s="57">
        <f t="shared" si="149"/>
        <v>0</v>
      </c>
      <c r="AJY21" s="57">
        <f t="shared" si="149"/>
        <v>0</v>
      </c>
      <c r="AJZ21" s="57">
        <f t="shared" si="149"/>
        <v>0</v>
      </c>
      <c r="AKA21" s="57">
        <f t="shared" si="149"/>
        <v>0</v>
      </c>
      <c r="AKB21" s="57">
        <f t="shared" ref="AKB21:AMM21" si="150">IF(AKB14="Aportación Inicial",$D$5+$D$4,0)</f>
        <v>0</v>
      </c>
      <c r="AKC21" s="57">
        <f t="shared" si="150"/>
        <v>0</v>
      </c>
      <c r="AKD21" s="57">
        <f t="shared" si="150"/>
        <v>0</v>
      </c>
      <c r="AKE21" s="57">
        <f t="shared" si="150"/>
        <v>0</v>
      </c>
      <c r="AKF21" s="57">
        <f t="shared" si="150"/>
        <v>0</v>
      </c>
      <c r="AKG21" s="57">
        <f t="shared" si="150"/>
        <v>0</v>
      </c>
      <c r="AKH21" s="57">
        <f t="shared" si="150"/>
        <v>0</v>
      </c>
      <c r="AKI21" s="57">
        <f t="shared" si="150"/>
        <v>0</v>
      </c>
      <c r="AKJ21" s="57">
        <f t="shared" si="150"/>
        <v>0</v>
      </c>
      <c r="AKK21" s="57">
        <f t="shared" si="150"/>
        <v>0</v>
      </c>
      <c r="AKL21" s="57">
        <f t="shared" si="150"/>
        <v>0</v>
      </c>
      <c r="AKM21" s="57">
        <f t="shared" si="150"/>
        <v>0</v>
      </c>
      <c r="AKN21" s="57">
        <f t="shared" si="150"/>
        <v>0</v>
      </c>
      <c r="AKO21" s="57">
        <f t="shared" si="150"/>
        <v>0</v>
      </c>
      <c r="AKP21" s="57">
        <f t="shared" si="150"/>
        <v>0</v>
      </c>
      <c r="AKQ21" s="57">
        <f t="shared" si="150"/>
        <v>0</v>
      </c>
      <c r="AKR21" s="57">
        <f t="shared" si="150"/>
        <v>0</v>
      </c>
      <c r="AKS21" s="57">
        <f t="shared" si="150"/>
        <v>0</v>
      </c>
      <c r="AKT21" s="57">
        <f t="shared" si="150"/>
        <v>0</v>
      </c>
      <c r="AKU21" s="57">
        <f t="shared" si="150"/>
        <v>0</v>
      </c>
      <c r="AKV21" s="57">
        <f t="shared" si="150"/>
        <v>0</v>
      </c>
      <c r="AKW21" s="57">
        <f t="shared" si="150"/>
        <v>0</v>
      </c>
      <c r="AKX21" s="57">
        <f t="shared" si="150"/>
        <v>0</v>
      </c>
      <c r="AKY21" s="57">
        <f t="shared" si="150"/>
        <v>0</v>
      </c>
      <c r="AKZ21" s="57">
        <f t="shared" si="150"/>
        <v>0</v>
      </c>
      <c r="ALA21" s="57">
        <f t="shared" si="150"/>
        <v>0</v>
      </c>
      <c r="ALB21" s="57">
        <f t="shared" si="150"/>
        <v>0</v>
      </c>
      <c r="ALC21" s="57">
        <f t="shared" si="150"/>
        <v>0</v>
      </c>
      <c r="ALD21" s="57">
        <f t="shared" si="150"/>
        <v>0</v>
      </c>
      <c r="ALE21" s="57">
        <f t="shared" si="150"/>
        <v>0</v>
      </c>
      <c r="ALF21" s="57">
        <f t="shared" si="150"/>
        <v>0</v>
      </c>
      <c r="ALG21" s="57">
        <f t="shared" si="150"/>
        <v>0</v>
      </c>
      <c r="ALH21" s="57">
        <f t="shared" si="150"/>
        <v>0</v>
      </c>
      <c r="ALI21" s="57">
        <f t="shared" si="150"/>
        <v>0</v>
      </c>
      <c r="ALJ21" s="57">
        <f t="shared" si="150"/>
        <v>0</v>
      </c>
      <c r="ALK21" s="57">
        <f t="shared" si="150"/>
        <v>0</v>
      </c>
      <c r="ALL21" s="57">
        <f t="shared" si="150"/>
        <v>0</v>
      </c>
      <c r="ALM21" s="57">
        <f t="shared" si="150"/>
        <v>0</v>
      </c>
      <c r="ALN21" s="57">
        <f t="shared" si="150"/>
        <v>0</v>
      </c>
      <c r="ALO21" s="57">
        <f t="shared" si="150"/>
        <v>0</v>
      </c>
      <c r="ALP21" s="57">
        <f t="shared" si="150"/>
        <v>0</v>
      </c>
      <c r="ALQ21" s="57">
        <f t="shared" si="150"/>
        <v>0</v>
      </c>
      <c r="ALR21" s="57">
        <f t="shared" si="150"/>
        <v>0</v>
      </c>
      <c r="ALS21" s="57">
        <f t="shared" si="150"/>
        <v>0</v>
      </c>
      <c r="ALT21" s="57">
        <f t="shared" si="150"/>
        <v>0</v>
      </c>
      <c r="ALU21" s="57">
        <f t="shared" si="150"/>
        <v>0</v>
      </c>
      <c r="ALV21" s="57">
        <f t="shared" si="150"/>
        <v>0</v>
      </c>
      <c r="ALW21" s="57">
        <f t="shared" si="150"/>
        <v>0</v>
      </c>
      <c r="ALX21" s="57">
        <f t="shared" si="150"/>
        <v>0</v>
      </c>
      <c r="ALY21" s="57">
        <f t="shared" si="150"/>
        <v>0</v>
      </c>
      <c r="ALZ21" s="57">
        <f t="shared" si="150"/>
        <v>0</v>
      </c>
      <c r="AMA21" s="57">
        <f t="shared" si="150"/>
        <v>0</v>
      </c>
      <c r="AMB21" s="57">
        <f t="shared" si="150"/>
        <v>0</v>
      </c>
      <c r="AMC21" s="57">
        <f t="shared" si="150"/>
        <v>0</v>
      </c>
      <c r="AMD21" s="57">
        <f t="shared" si="150"/>
        <v>0</v>
      </c>
      <c r="AME21" s="57">
        <f t="shared" si="150"/>
        <v>0</v>
      </c>
      <c r="AMF21" s="57">
        <f t="shared" si="150"/>
        <v>0</v>
      </c>
      <c r="AMG21" s="57">
        <f t="shared" si="150"/>
        <v>0</v>
      </c>
      <c r="AMH21" s="57">
        <f t="shared" si="150"/>
        <v>0</v>
      </c>
      <c r="AMI21" s="57">
        <f t="shared" si="150"/>
        <v>0</v>
      </c>
      <c r="AMJ21" s="57">
        <f t="shared" si="150"/>
        <v>0</v>
      </c>
      <c r="AMK21" s="57">
        <f t="shared" si="150"/>
        <v>0</v>
      </c>
      <c r="AML21" s="57">
        <f t="shared" si="150"/>
        <v>0</v>
      </c>
      <c r="AMM21" s="57">
        <f t="shared" si="150"/>
        <v>0</v>
      </c>
      <c r="AMN21" s="57">
        <f t="shared" ref="AMN21:AOP21" si="151">IF(AMN14="Aportación Inicial",$D$5+$D$4,0)</f>
        <v>0</v>
      </c>
      <c r="AMO21" s="57">
        <f t="shared" si="151"/>
        <v>0</v>
      </c>
      <c r="AMP21" s="57">
        <f t="shared" si="151"/>
        <v>0</v>
      </c>
      <c r="AMQ21" s="57">
        <f t="shared" si="151"/>
        <v>0</v>
      </c>
      <c r="AMR21" s="57">
        <f t="shared" si="151"/>
        <v>0</v>
      </c>
      <c r="AMS21" s="57">
        <f t="shared" si="151"/>
        <v>0</v>
      </c>
      <c r="AMT21" s="57">
        <f t="shared" si="151"/>
        <v>0</v>
      </c>
      <c r="AMU21" s="57">
        <f t="shared" si="151"/>
        <v>0</v>
      </c>
      <c r="AMV21" s="57">
        <f t="shared" si="151"/>
        <v>0</v>
      </c>
      <c r="AMW21" s="57">
        <f t="shared" si="151"/>
        <v>0</v>
      </c>
      <c r="AMX21" s="57">
        <f t="shared" si="151"/>
        <v>0</v>
      </c>
      <c r="AMY21" s="57">
        <f t="shared" si="151"/>
        <v>0</v>
      </c>
      <c r="AMZ21" s="57">
        <f t="shared" si="151"/>
        <v>0</v>
      </c>
      <c r="ANA21" s="57">
        <f t="shared" si="151"/>
        <v>0</v>
      </c>
      <c r="ANB21" s="57">
        <f t="shared" si="151"/>
        <v>0</v>
      </c>
      <c r="ANC21" s="57">
        <f t="shared" si="151"/>
        <v>0</v>
      </c>
      <c r="AND21" s="57">
        <f t="shared" si="151"/>
        <v>0</v>
      </c>
      <c r="ANE21" s="57">
        <f t="shared" si="151"/>
        <v>0</v>
      </c>
      <c r="ANF21" s="57">
        <f t="shared" si="151"/>
        <v>0</v>
      </c>
      <c r="ANG21" s="57">
        <f t="shared" si="151"/>
        <v>0</v>
      </c>
      <c r="ANH21" s="57">
        <f t="shared" si="151"/>
        <v>0</v>
      </c>
      <c r="ANI21" s="57">
        <f t="shared" si="151"/>
        <v>0</v>
      </c>
      <c r="ANJ21" s="57">
        <f t="shared" si="151"/>
        <v>0</v>
      </c>
      <c r="ANK21" s="57">
        <f t="shared" si="151"/>
        <v>0</v>
      </c>
      <c r="ANL21" s="57">
        <f t="shared" si="151"/>
        <v>0</v>
      </c>
      <c r="ANM21" s="57">
        <f t="shared" si="151"/>
        <v>0</v>
      </c>
      <c r="ANN21" s="57">
        <f t="shared" si="151"/>
        <v>0</v>
      </c>
      <c r="ANO21" s="57">
        <f t="shared" si="151"/>
        <v>0</v>
      </c>
      <c r="ANP21" s="57">
        <f t="shared" si="151"/>
        <v>0</v>
      </c>
      <c r="ANQ21" s="57">
        <f t="shared" si="151"/>
        <v>0</v>
      </c>
      <c r="ANR21" s="57">
        <f t="shared" si="151"/>
        <v>0</v>
      </c>
      <c r="ANS21" s="57">
        <f t="shared" si="151"/>
        <v>0</v>
      </c>
      <c r="ANT21" s="57">
        <f t="shared" si="151"/>
        <v>0</v>
      </c>
      <c r="ANU21" s="57">
        <f t="shared" si="151"/>
        <v>0</v>
      </c>
      <c r="ANV21" s="57">
        <f t="shared" si="151"/>
        <v>0</v>
      </c>
      <c r="ANW21" s="57">
        <f t="shared" si="151"/>
        <v>0</v>
      </c>
      <c r="ANX21" s="57">
        <f t="shared" si="151"/>
        <v>0</v>
      </c>
      <c r="ANY21" s="57">
        <f t="shared" si="151"/>
        <v>0</v>
      </c>
      <c r="ANZ21" s="57">
        <f t="shared" si="151"/>
        <v>0</v>
      </c>
      <c r="AOA21" s="57">
        <f t="shared" si="151"/>
        <v>0</v>
      </c>
      <c r="AOB21" s="57">
        <f t="shared" si="151"/>
        <v>0</v>
      </c>
      <c r="AOC21" s="57">
        <f t="shared" si="151"/>
        <v>0</v>
      </c>
      <c r="AOD21" s="57">
        <f t="shared" si="151"/>
        <v>0</v>
      </c>
      <c r="AOE21" s="57">
        <f t="shared" si="151"/>
        <v>0</v>
      </c>
      <c r="AOF21" s="57">
        <f t="shared" si="151"/>
        <v>0</v>
      </c>
      <c r="AOG21" s="57">
        <f t="shared" si="151"/>
        <v>0</v>
      </c>
      <c r="AOH21" s="57">
        <f t="shared" si="151"/>
        <v>0</v>
      </c>
      <c r="AOI21" s="57">
        <f t="shared" si="151"/>
        <v>0</v>
      </c>
      <c r="AOJ21" s="57">
        <f t="shared" si="151"/>
        <v>0</v>
      </c>
      <c r="AOK21" s="57">
        <f t="shared" si="151"/>
        <v>0</v>
      </c>
      <c r="AOL21" s="57">
        <f t="shared" si="151"/>
        <v>0</v>
      </c>
      <c r="AOM21" s="57">
        <f t="shared" si="151"/>
        <v>0</v>
      </c>
      <c r="AON21" s="57">
        <f t="shared" si="151"/>
        <v>0</v>
      </c>
      <c r="AOO21" s="57">
        <f t="shared" si="151"/>
        <v>0</v>
      </c>
      <c r="AOP21" s="57">
        <f t="shared" si="151"/>
        <v>0</v>
      </c>
    </row>
    <row r="22" spans="2:1102" x14ac:dyDescent="0.25">
      <c r="B22" s="42" t="s">
        <v>176</v>
      </c>
      <c r="C22" s="57">
        <f t="shared" ref="C22:BN22" si="152">IF(C15="Acumulación",$D$7,0)</f>
        <v>0</v>
      </c>
      <c r="D22" s="57">
        <f t="shared" si="152"/>
        <v>0</v>
      </c>
      <c r="E22" s="57">
        <f t="shared" si="152"/>
        <v>0</v>
      </c>
      <c r="F22" s="57">
        <f t="shared" si="152"/>
        <v>0</v>
      </c>
      <c r="G22" s="57">
        <f t="shared" si="152"/>
        <v>0</v>
      </c>
      <c r="H22" s="57">
        <f t="shared" si="152"/>
        <v>0</v>
      </c>
      <c r="I22" s="57">
        <f t="shared" si="152"/>
        <v>0</v>
      </c>
      <c r="J22" s="57">
        <f t="shared" si="152"/>
        <v>0</v>
      </c>
      <c r="K22" s="57">
        <f t="shared" si="152"/>
        <v>0</v>
      </c>
      <c r="L22" s="57">
        <f t="shared" si="152"/>
        <v>0</v>
      </c>
      <c r="M22" s="57">
        <f t="shared" si="152"/>
        <v>0</v>
      </c>
      <c r="N22" s="57">
        <f t="shared" si="152"/>
        <v>0</v>
      </c>
      <c r="O22" s="57">
        <f t="shared" si="152"/>
        <v>0</v>
      </c>
      <c r="P22" s="57">
        <f t="shared" si="152"/>
        <v>0</v>
      </c>
      <c r="Q22" s="57">
        <f t="shared" si="152"/>
        <v>0</v>
      </c>
      <c r="R22" s="57">
        <f t="shared" si="152"/>
        <v>0</v>
      </c>
      <c r="S22" s="57">
        <f t="shared" si="152"/>
        <v>0</v>
      </c>
      <c r="T22" s="57">
        <f t="shared" si="152"/>
        <v>0</v>
      </c>
      <c r="U22" s="57">
        <f t="shared" si="152"/>
        <v>0</v>
      </c>
      <c r="V22" s="57">
        <f t="shared" si="152"/>
        <v>0</v>
      </c>
      <c r="W22" s="57">
        <f t="shared" si="152"/>
        <v>0</v>
      </c>
      <c r="X22" s="57">
        <f t="shared" si="152"/>
        <v>0</v>
      </c>
      <c r="Y22" s="57">
        <f t="shared" si="152"/>
        <v>0</v>
      </c>
      <c r="Z22" s="57">
        <f t="shared" si="152"/>
        <v>0</v>
      </c>
      <c r="AA22" s="57">
        <f t="shared" si="152"/>
        <v>0</v>
      </c>
      <c r="AB22" s="57">
        <f t="shared" si="152"/>
        <v>0</v>
      </c>
      <c r="AC22" s="57">
        <f t="shared" si="152"/>
        <v>0</v>
      </c>
      <c r="AD22" s="57">
        <f t="shared" si="152"/>
        <v>0</v>
      </c>
      <c r="AE22" s="57">
        <f t="shared" si="152"/>
        <v>0</v>
      </c>
      <c r="AF22" s="57">
        <f t="shared" si="152"/>
        <v>0</v>
      </c>
      <c r="AG22" s="57">
        <f t="shared" si="152"/>
        <v>0</v>
      </c>
      <c r="AH22" s="57">
        <f t="shared" si="152"/>
        <v>0</v>
      </c>
      <c r="AI22" s="57">
        <f t="shared" si="152"/>
        <v>0</v>
      </c>
      <c r="AJ22" s="57">
        <f t="shared" si="152"/>
        <v>0</v>
      </c>
      <c r="AK22" s="57">
        <f t="shared" si="152"/>
        <v>0</v>
      </c>
      <c r="AL22" s="57">
        <f t="shared" si="152"/>
        <v>0</v>
      </c>
      <c r="AM22" s="57">
        <f t="shared" si="152"/>
        <v>0</v>
      </c>
      <c r="AN22" s="57">
        <f t="shared" si="152"/>
        <v>0</v>
      </c>
      <c r="AO22" s="57">
        <f t="shared" si="152"/>
        <v>0</v>
      </c>
      <c r="AP22" s="57">
        <f t="shared" si="152"/>
        <v>0</v>
      </c>
      <c r="AQ22" s="57">
        <f t="shared" si="152"/>
        <v>0</v>
      </c>
      <c r="AR22" s="57">
        <f t="shared" si="152"/>
        <v>0</v>
      </c>
      <c r="AS22" s="57">
        <f t="shared" si="152"/>
        <v>0</v>
      </c>
      <c r="AT22" s="57">
        <f t="shared" si="152"/>
        <v>0</v>
      </c>
      <c r="AU22" s="57">
        <f t="shared" si="152"/>
        <v>0</v>
      </c>
      <c r="AV22" s="57">
        <f t="shared" si="152"/>
        <v>0</v>
      </c>
      <c r="AW22" s="57">
        <f t="shared" si="152"/>
        <v>0</v>
      </c>
      <c r="AX22" s="57">
        <f t="shared" si="152"/>
        <v>0</v>
      </c>
      <c r="AY22" s="57">
        <f t="shared" si="152"/>
        <v>0</v>
      </c>
      <c r="AZ22" s="57">
        <f t="shared" si="152"/>
        <v>0</v>
      </c>
      <c r="BA22" s="57">
        <f t="shared" si="152"/>
        <v>0</v>
      </c>
      <c r="BB22" s="57">
        <f t="shared" si="152"/>
        <v>0</v>
      </c>
      <c r="BC22" s="57">
        <f t="shared" si="152"/>
        <v>0</v>
      </c>
      <c r="BD22" s="57">
        <f t="shared" si="152"/>
        <v>0</v>
      </c>
      <c r="BE22" s="57">
        <f t="shared" si="152"/>
        <v>0</v>
      </c>
      <c r="BF22" s="57">
        <f t="shared" si="152"/>
        <v>0</v>
      </c>
      <c r="BG22" s="57">
        <f t="shared" si="152"/>
        <v>0</v>
      </c>
      <c r="BH22" s="57">
        <f t="shared" si="152"/>
        <v>0</v>
      </c>
      <c r="BI22" s="57">
        <f t="shared" si="152"/>
        <v>0</v>
      </c>
      <c r="BJ22" s="57">
        <f t="shared" si="152"/>
        <v>0</v>
      </c>
      <c r="BK22" s="57">
        <f t="shared" si="152"/>
        <v>0</v>
      </c>
      <c r="BL22" s="57">
        <f t="shared" si="152"/>
        <v>0</v>
      </c>
      <c r="BM22" s="57">
        <f t="shared" si="152"/>
        <v>0</v>
      </c>
      <c r="BN22" s="57">
        <f t="shared" si="152"/>
        <v>0</v>
      </c>
      <c r="BO22" s="57">
        <f t="shared" ref="BO22:DZ22" si="153">IF(BO15="Acumulación",$D$7,0)</f>
        <v>0</v>
      </c>
      <c r="BP22" s="57">
        <f t="shared" si="153"/>
        <v>0</v>
      </c>
      <c r="BQ22" s="57">
        <f t="shared" si="153"/>
        <v>0</v>
      </c>
      <c r="BR22" s="57">
        <f t="shared" si="153"/>
        <v>0</v>
      </c>
      <c r="BS22" s="57">
        <f t="shared" si="153"/>
        <v>0</v>
      </c>
      <c r="BT22" s="57">
        <f t="shared" si="153"/>
        <v>0</v>
      </c>
      <c r="BU22" s="57">
        <f t="shared" si="153"/>
        <v>0</v>
      </c>
      <c r="BV22" s="57">
        <f t="shared" si="153"/>
        <v>0</v>
      </c>
      <c r="BW22" s="57">
        <f t="shared" si="153"/>
        <v>0</v>
      </c>
      <c r="BX22" s="57">
        <f t="shared" si="153"/>
        <v>0</v>
      </c>
      <c r="BY22" s="57">
        <f t="shared" si="153"/>
        <v>0</v>
      </c>
      <c r="BZ22" s="57">
        <f t="shared" si="153"/>
        <v>0</v>
      </c>
      <c r="CA22" s="57">
        <f t="shared" si="153"/>
        <v>0</v>
      </c>
      <c r="CB22" s="57">
        <f t="shared" si="153"/>
        <v>0</v>
      </c>
      <c r="CC22" s="57">
        <f t="shared" si="153"/>
        <v>0</v>
      </c>
      <c r="CD22" s="57">
        <f t="shared" si="153"/>
        <v>0</v>
      </c>
      <c r="CE22" s="57">
        <f t="shared" si="153"/>
        <v>0</v>
      </c>
      <c r="CF22" s="57">
        <f t="shared" si="153"/>
        <v>0</v>
      </c>
      <c r="CG22" s="57">
        <f t="shared" si="153"/>
        <v>0</v>
      </c>
      <c r="CH22" s="57">
        <f t="shared" si="153"/>
        <v>0</v>
      </c>
      <c r="CI22" s="57">
        <f t="shared" si="153"/>
        <v>0</v>
      </c>
      <c r="CJ22" s="57">
        <f t="shared" si="153"/>
        <v>0</v>
      </c>
      <c r="CK22" s="57">
        <f t="shared" si="153"/>
        <v>0</v>
      </c>
      <c r="CL22" s="57">
        <f t="shared" si="153"/>
        <v>0</v>
      </c>
      <c r="CM22" s="57">
        <f t="shared" si="153"/>
        <v>0</v>
      </c>
      <c r="CN22" s="57">
        <f t="shared" si="153"/>
        <v>0</v>
      </c>
      <c r="CO22" s="57">
        <f t="shared" si="153"/>
        <v>0</v>
      </c>
      <c r="CP22" s="57">
        <f t="shared" si="153"/>
        <v>0</v>
      </c>
      <c r="CQ22" s="57">
        <f t="shared" si="153"/>
        <v>0</v>
      </c>
      <c r="CR22" s="57">
        <f t="shared" si="153"/>
        <v>0</v>
      </c>
      <c r="CS22" s="57">
        <f t="shared" si="153"/>
        <v>0</v>
      </c>
      <c r="CT22" s="57">
        <f t="shared" si="153"/>
        <v>0</v>
      </c>
      <c r="CU22" s="57">
        <f t="shared" si="153"/>
        <v>0</v>
      </c>
      <c r="CV22" s="57">
        <f t="shared" si="153"/>
        <v>0</v>
      </c>
      <c r="CW22" s="57">
        <f t="shared" si="153"/>
        <v>0</v>
      </c>
      <c r="CX22" s="57">
        <f t="shared" si="153"/>
        <v>0</v>
      </c>
      <c r="CY22" s="57">
        <f t="shared" si="153"/>
        <v>0</v>
      </c>
      <c r="CZ22" s="57">
        <f t="shared" si="153"/>
        <v>0</v>
      </c>
      <c r="DA22" s="57">
        <f t="shared" si="153"/>
        <v>0</v>
      </c>
      <c r="DB22" s="57">
        <f t="shared" si="153"/>
        <v>0</v>
      </c>
      <c r="DC22" s="57">
        <f t="shared" si="153"/>
        <v>0</v>
      </c>
      <c r="DD22" s="57">
        <f t="shared" si="153"/>
        <v>0</v>
      </c>
      <c r="DE22" s="57">
        <f t="shared" si="153"/>
        <v>0</v>
      </c>
      <c r="DF22" s="57">
        <f t="shared" si="153"/>
        <v>0</v>
      </c>
      <c r="DG22" s="57">
        <f t="shared" si="153"/>
        <v>0</v>
      </c>
      <c r="DH22" s="57">
        <f t="shared" si="153"/>
        <v>0</v>
      </c>
      <c r="DI22" s="57">
        <f t="shared" si="153"/>
        <v>0</v>
      </c>
      <c r="DJ22" s="57">
        <f t="shared" si="153"/>
        <v>0</v>
      </c>
      <c r="DK22" s="57">
        <f t="shared" si="153"/>
        <v>0</v>
      </c>
      <c r="DL22" s="57">
        <f t="shared" si="153"/>
        <v>0</v>
      </c>
      <c r="DM22" s="57">
        <f t="shared" si="153"/>
        <v>0</v>
      </c>
      <c r="DN22" s="57">
        <f t="shared" si="153"/>
        <v>0</v>
      </c>
      <c r="DO22" s="57">
        <f t="shared" si="153"/>
        <v>0</v>
      </c>
      <c r="DP22" s="57">
        <f t="shared" si="153"/>
        <v>0</v>
      </c>
      <c r="DQ22" s="57">
        <f t="shared" si="153"/>
        <v>0</v>
      </c>
      <c r="DR22" s="57">
        <f t="shared" si="153"/>
        <v>0</v>
      </c>
      <c r="DS22" s="57">
        <f t="shared" si="153"/>
        <v>0</v>
      </c>
      <c r="DT22" s="57">
        <f t="shared" si="153"/>
        <v>0</v>
      </c>
      <c r="DU22" s="57">
        <f t="shared" si="153"/>
        <v>0</v>
      </c>
      <c r="DV22" s="57">
        <f t="shared" si="153"/>
        <v>0</v>
      </c>
      <c r="DW22" s="57">
        <f t="shared" si="153"/>
        <v>0</v>
      </c>
      <c r="DX22" s="57">
        <f t="shared" si="153"/>
        <v>0</v>
      </c>
      <c r="DY22" s="57">
        <f t="shared" si="153"/>
        <v>0</v>
      </c>
      <c r="DZ22" s="57">
        <f t="shared" si="153"/>
        <v>0</v>
      </c>
      <c r="EA22" s="57">
        <f t="shared" ref="EA22:GL22" si="154">IF(EA15="Acumulación",$D$7,0)</f>
        <v>0</v>
      </c>
      <c r="EB22" s="57">
        <f t="shared" si="154"/>
        <v>0</v>
      </c>
      <c r="EC22" s="57">
        <f t="shared" si="154"/>
        <v>0</v>
      </c>
      <c r="ED22" s="57">
        <f t="shared" si="154"/>
        <v>0</v>
      </c>
      <c r="EE22" s="57">
        <f t="shared" si="154"/>
        <v>0</v>
      </c>
      <c r="EF22" s="57">
        <f t="shared" si="154"/>
        <v>0</v>
      </c>
      <c r="EG22" s="57">
        <f t="shared" si="154"/>
        <v>0</v>
      </c>
      <c r="EH22" s="57">
        <f t="shared" si="154"/>
        <v>0</v>
      </c>
      <c r="EI22" s="57">
        <f t="shared" si="154"/>
        <v>0</v>
      </c>
      <c r="EJ22" s="57">
        <f t="shared" si="154"/>
        <v>0</v>
      </c>
      <c r="EK22" s="57">
        <f t="shared" si="154"/>
        <v>0</v>
      </c>
      <c r="EL22" s="57">
        <f t="shared" si="154"/>
        <v>0</v>
      </c>
      <c r="EM22" s="57">
        <f t="shared" si="154"/>
        <v>0</v>
      </c>
      <c r="EN22" s="57">
        <f t="shared" si="154"/>
        <v>0</v>
      </c>
      <c r="EO22" s="57">
        <f t="shared" si="154"/>
        <v>0</v>
      </c>
      <c r="EP22" s="57">
        <f t="shared" si="154"/>
        <v>0</v>
      </c>
      <c r="EQ22" s="57">
        <f t="shared" si="154"/>
        <v>0</v>
      </c>
      <c r="ER22" s="57">
        <f t="shared" si="154"/>
        <v>0</v>
      </c>
      <c r="ES22" s="57">
        <f t="shared" si="154"/>
        <v>0</v>
      </c>
      <c r="ET22" s="57">
        <f t="shared" si="154"/>
        <v>0</v>
      </c>
      <c r="EU22" s="57">
        <f t="shared" si="154"/>
        <v>0</v>
      </c>
      <c r="EV22" s="57">
        <f t="shared" si="154"/>
        <v>0</v>
      </c>
      <c r="EW22" s="57">
        <f t="shared" si="154"/>
        <v>0</v>
      </c>
      <c r="EX22" s="57">
        <f t="shared" si="154"/>
        <v>0</v>
      </c>
      <c r="EY22" s="57">
        <f t="shared" si="154"/>
        <v>0</v>
      </c>
      <c r="EZ22" s="57">
        <f t="shared" si="154"/>
        <v>0</v>
      </c>
      <c r="FA22" s="57">
        <f t="shared" si="154"/>
        <v>0</v>
      </c>
      <c r="FB22" s="57">
        <f t="shared" si="154"/>
        <v>0</v>
      </c>
      <c r="FC22" s="57">
        <f t="shared" si="154"/>
        <v>0</v>
      </c>
      <c r="FD22" s="57">
        <f t="shared" si="154"/>
        <v>0</v>
      </c>
      <c r="FE22" s="57">
        <f t="shared" si="154"/>
        <v>0</v>
      </c>
      <c r="FF22" s="57">
        <f t="shared" si="154"/>
        <v>0</v>
      </c>
      <c r="FG22" s="57">
        <f t="shared" si="154"/>
        <v>0</v>
      </c>
      <c r="FH22" s="57">
        <f t="shared" si="154"/>
        <v>0</v>
      </c>
      <c r="FI22" s="57">
        <f t="shared" si="154"/>
        <v>0</v>
      </c>
      <c r="FJ22" s="57">
        <f t="shared" si="154"/>
        <v>0</v>
      </c>
      <c r="FK22" s="57">
        <f t="shared" si="154"/>
        <v>0</v>
      </c>
      <c r="FL22" s="57">
        <f t="shared" si="154"/>
        <v>0</v>
      </c>
      <c r="FM22" s="57">
        <f t="shared" si="154"/>
        <v>0</v>
      </c>
      <c r="FN22" s="57">
        <f t="shared" si="154"/>
        <v>0</v>
      </c>
      <c r="FO22" s="57">
        <f t="shared" si="154"/>
        <v>0</v>
      </c>
      <c r="FP22" s="57">
        <f t="shared" si="154"/>
        <v>0</v>
      </c>
      <c r="FQ22" s="57">
        <f t="shared" si="154"/>
        <v>0</v>
      </c>
      <c r="FR22" s="57">
        <f t="shared" si="154"/>
        <v>0</v>
      </c>
      <c r="FS22" s="57">
        <f t="shared" si="154"/>
        <v>0</v>
      </c>
      <c r="FT22" s="57">
        <f t="shared" si="154"/>
        <v>0</v>
      </c>
      <c r="FU22" s="57">
        <f t="shared" si="154"/>
        <v>0</v>
      </c>
      <c r="FV22" s="57">
        <f t="shared" si="154"/>
        <v>0</v>
      </c>
      <c r="FW22" s="57">
        <f t="shared" si="154"/>
        <v>0</v>
      </c>
      <c r="FX22" s="57">
        <f t="shared" si="154"/>
        <v>0</v>
      </c>
      <c r="FY22" s="57">
        <f t="shared" si="154"/>
        <v>0</v>
      </c>
      <c r="FZ22" s="57">
        <f t="shared" si="154"/>
        <v>0</v>
      </c>
      <c r="GA22" s="57">
        <f t="shared" si="154"/>
        <v>0</v>
      </c>
      <c r="GB22" s="57">
        <f t="shared" si="154"/>
        <v>0</v>
      </c>
      <c r="GC22" s="57">
        <f t="shared" si="154"/>
        <v>0</v>
      </c>
      <c r="GD22" s="57">
        <f t="shared" si="154"/>
        <v>0</v>
      </c>
      <c r="GE22" s="57">
        <f t="shared" si="154"/>
        <v>0</v>
      </c>
      <c r="GF22" s="57">
        <f t="shared" si="154"/>
        <v>0</v>
      </c>
      <c r="GG22" s="57">
        <f t="shared" si="154"/>
        <v>0</v>
      </c>
      <c r="GH22" s="57">
        <f t="shared" si="154"/>
        <v>0</v>
      </c>
      <c r="GI22" s="57">
        <f t="shared" si="154"/>
        <v>0</v>
      </c>
      <c r="GJ22" s="57">
        <f t="shared" si="154"/>
        <v>0</v>
      </c>
      <c r="GK22" s="57">
        <f t="shared" si="154"/>
        <v>0</v>
      </c>
      <c r="GL22" s="57">
        <f t="shared" si="154"/>
        <v>0</v>
      </c>
      <c r="GM22" s="57">
        <f t="shared" ref="GM22:IX22" si="155">IF(GM15="Acumulación",$D$7,0)</f>
        <v>0</v>
      </c>
      <c r="GN22" s="57">
        <f t="shared" si="155"/>
        <v>0</v>
      </c>
      <c r="GO22" s="57">
        <f t="shared" si="155"/>
        <v>0</v>
      </c>
      <c r="GP22" s="57">
        <f t="shared" si="155"/>
        <v>0</v>
      </c>
      <c r="GQ22" s="57">
        <f t="shared" si="155"/>
        <v>0</v>
      </c>
      <c r="GR22" s="57">
        <f t="shared" si="155"/>
        <v>0</v>
      </c>
      <c r="GS22" s="57">
        <f t="shared" si="155"/>
        <v>0</v>
      </c>
      <c r="GT22" s="57">
        <f t="shared" si="155"/>
        <v>0</v>
      </c>
      <c r="GU22" s="57">
        <f t="shared" si="155"/>
        <v>0</v>
      </c>
      <c r="GV22" s="57">
        <f t="shared" si="155"/>
        <v>0</v>
      </c>
      <c r="GW22" s="57">
        <f t="shared" si="155"/>
        <v>0</v>
      </c>
      <c r="GX22" s="57">
        <f t="shared" si="155"/>
        <v>0</v>
      </c>
      <c r="GY22" s="57">
        <f t="shared" si="155"/>
        <v>0</v>
      </c>
      <c r="GZ22" s="57">
        <f t="shared" si="155"/>
        <v>0</v>
      </c>
      <c r="HA22" s="57">
        <f t="shared" si="155"/>
        <v>0</v>
      </c>
      <c r="HB22" s="57">
        <f t="shared" si="155"/>
        <v>0</v>
      </c>
      <c r="HC22" s="57">
        <f t="shared" si="155"/>
        <v>0</v>
      </c>
      <c r="HD22" s="57">
        <f t="shared" si="155"/>
        <v>0</v>
      </c>
      <c r="HE22" s="57">
        <f t="shared" si="155"/>
        <v>0</v>
      </c>
      <c r="HF22" s="57">
        <f t="shared" si="155"/>
        <v>0</v>
      </c>
      <c r="HG22" s="57">
        <f t="shared" si="155"/>
        <v>0</v>
      </c>
      <c r="HH22" s="57">
        <f t="shared" si="155"/>
        <v>0</v>
      </c>
      <c r="HI22" s="57">
        <f t="shared" si="155"/>
        <v>0</v>
      </c>
      <c r="HJ22" s="57">
        <f t="shared" si="155"/>
        <v>0</v>
      </c>
      <c r="HK22" s="57">
        <f t="shared" si="155"/>
        <v>0</v>
      </c>
      <c r="HL22" s="57">
        <f t="shared" si="155"/>
        <v>0</v>
      </c>
      <c r="HM22" s="57">
        <f t="shared" si="155"/>
        <v>0</v>
      </c>
      <c r="HN22" s="57">
        <f t="shared" si="155"/>
        <v>0</v>
      </c>
      <c r="HO22" s="57">
        <f t="shared" si="155"/>
        <v>0</v>
      </c>
      <c r="HP22" s="57">
        <f t="shared" si="155"/>
        <v>0</v>
      </c>
      <c r="HQ22" s="57">
        <f t="shared" si="155"/>
        <v>0</v>
      </c>
      <c r="HR22" s="57">
        <f t="shared" si="155"/>
        <v>0</v>
      </c>
      <c r="HS22" s="57">
        <f t="shared" si="155"/>
        <v>0</v>
      </c>
      <c r="HT22" s="57">
        <f t="shared" si="155"/>
        <v>0</v>
      </c>
      <c r="HU22" s="57">
        <f t="shared" si="155"/>
        <v>0</v>
      </c>
      <c r="HV22" s="57">
        <f t="shared" si="155"/>
        <v>0</v>
      </c>
      <c r="HW22" s="57">
        <f t="shared" si="155"/>
        <v>0</v>
      </c>
      <c r="HX22" s="57">
        <f t="shared" si="155"/>
        <v>0</v>
      </c>
      <c r="HY22" s="57">
        <f t="shared" si="155"/>
        <v>0</v>
      </c>
      <c r="HZ22" s="57">
        <f t="shared" si="155"/>
        <v>0</v>
      </c>
      <c r="IA22" s="57">
        <f t="shared" si="155"/>
        <v>0</v>
      </c>
      <c r="IB22" s="57">
        <f t="shared" si="155"/>
        <v>0</v>
      </c>
      <c r="IC22" s="57">
        <f t="shared" si="155"/>
        <v>0</v>
      </c>
      <c r="ID22" s="57">
        <f t="shared" si="155"/>
        <v>0</v>
      </c>
      <c r="IE22" s="57">
        <f t="shared" si="155"/>
        <v>0</v>
      </c>
      <c r="IF22" s="57">
        <f t="shared" si="155"/>
        <v>0</v>
      </c>
      <c r="IG22" s="57">
        <f t="shared" si="155"/>
        <v>0</v>
      </c>
      <c r="IH22" s="57">
        <f t="shared" si="155"/>
        <v>0</v>
      </c>
      <c r="II22" s="57">
        <f t="shared" si="155"/>
        <v>0</v>
      </c>
      <c r="IJ22" s="57">
        <f t="shared" si="155"/>
        <v>0</v>
      </c>
      <c r="IK22" s="57">
        <f t="shared" si="155"/>
        <v>0</v>
      </c>
      <c r="IL22" s="57">
        <f t="shared" si="155"/>
        <v>0</v>
      </c>
      <c r="IM22" s="57">
        <f t="shared" si="155"/>
        <v>0</v>
      </c>
      <c r="IN22" s="57">
        <f t="shared" si="155"/>
        <v>0</v>
      </c>
      <c r="IO22" s="57">
        <f t="shared" si="155"/>
        <v>0</v>
      </c>
      <c r="IP22" s="57">
        <f t="shared" si="155"/>
        <v>0</v>
      </c>
      <c r="IQ22" s="57">
        <f t="shared" si="155"/>
        <v>0</v>
      </c>
      <c r="IR22" s="57">
        <f t="shared" si="155"/>
        <v>0</v>
      </c>
      <c r="IS22" s="57">
        <f t="shared" si="155"/>
        <v>0</v>
      </c>
      <c r="IT22" s="57">
        <f t="shared" si="155"/>
        <v>0</v>
      </c>
      <c r="IU22" s="57">
        <f t="shared" si="155"/>
        <v>0</v>
      </c>
      <c r="IV22" s="57">
        <f t="shared" si="155"/>
        <v>0</v>
      </c>
      <c r="IW22" s="57">
        <f t="shared" si="155"/>
        <v>0</v>
      </c>
      <c r="IX22" s="57">
        <f t="shared" si="155"/>
        <v>0</v>
      </c>
      <c r="IY22" s="57">
        <f t="shared" ref="IY22:LJ22" si="156">IF(IY15="Acumulación",$D$7,0)</f>
        <v>0</v>
      </c>
      <c r="IZ22" s="57">
        <f t="shared" si="156"/>
        <v>0</v>
      </c>
      <c r="JA22" s="57">
        <f t="shared" si="156"/>
        <v>0</v>
      </c>
      <c r="JB22" s="57">
        <f t="shared" si="156"/>
        <v>0</v>
      </c>
      <c r="JC22" s="57">
        <f t="shared" si="156"/>
        <v>0</v>
      </c>
      <c r="JD22" s="57">
        <f t="shared" si="156"/>
        <v>0</v>
      </c>
      <c r="JE22" s="57">
        <f t="shared" si="156"/>
        <v>0</v>
      </c>
      <c r="JF22" s="57">
        <f t="shared" si="156"/>
        <v>0</v>
      </c>
      <c r="JG22" s="57">
        <f t="shared" si="156"/>
        <v>0</v>
      </c>
      <c r="JH22" s="57">
        <f t="shared" si="156"/>
        <v>0</v>
      </c>
      <c r="JI22" s="57">
        <f t="shared" si="156"/>
        <v>0</v>
      </c>
      <c r="JJ22" s="57">
        <f t="shared" si="156"/>
        <v>0</v>
      </c>
      <c r="JK22" s="57">
        <f t="shared" si="156"/>
        <v>0</v>
      </c>
      <c r="JL22" s="57">
        <f t="shared" si="156"/>
        <v>0</v>
      </c>
      <c r="JM22" s="57">
        <f t="shared" si="156"/>
        <v>0</v>
      </c>
      <c r="JN22" s="57">
        <f t="shared" si="156"/>
        <v>0</v>
      </c>
      <c r="JO22" s="57">
        <f t="shared" si="156"/>
        <v>0</v>
      </c>
      <c r="JP22" s="57">
        <f t="shared" si="156"/>
        <v>0</v>
      </c>
      <c r="JQ22" s="57">
        <f t="shared" si="156"/>
        <v>0</v>
      </c>
      <c r="JR22" s="57">
        <f t="shared" si="156"/>
        <v>0</v>
      </c>
      <c r="JS22" s="57">
        <f t="shared" si="156"/>
        <v>0</v>
      </c>
      <c r="JT22" s="57">
        <f t="shared" si="156"/>
        <v>0</v>
      </c>
      <c r="JU22" s="57">
        <f t="shared" si="156"/>
        <v>0</v>
      </c>
      <c r="JV22" s="57">
        <f t="shared" si="156"/>
        <v>0</v>
      </c>
      <c r="JW22" s="57">
        <f t="shared" si="156"/>
        <v>0</v>
      </c>
      <c r="JX22" s="57">
        <f t="shared" si="156"/>
        <v>0</v>
      </c>
      <c r="JY22" s="57">
        <f t="shared" si="156"/>
        <v>0</v>
      </c>
      <c r="JZ22" s="57">
        <f t="shared" si="156"/>
        <v>0</v>
      </c>
      <c r="KA22" s="57">
        <f t="shared" si="156"/>
        <v>0</v>
      </c>
      <c r="KB22" s="57">
        <f t="shared" si="156"/>
        <v>0</v>
      </c>
      <c r="KC22" s="57">
        <f t="shared" si="156"/>
        <v>0</v>
      </c>
      <c r="KD22" s="57">
        <f t="shared" si="156"/>
        <v>0</v>
      </c>
      <c r="KE22" s="57">
        <f t="shared" si="156"/>
        <v>0</v>
      </c>
      <c r="KF22" s="57">
        <f t="shared" si="156"/>
        <v>0</v>
      </c>
      <c r="KG22" s="57">
        <f t="shared" si="156"/>
        <v>0</v>
      </c>
      <c r="KH22" s="57">
        <f t="shared" si="156"/>
        <v>0</v>
      </c>
      <c r="KI22" s="57">
        <f t="shared" si="156"/>
        <v>0</v>
      </c>
      <c r="KJ22" s="57">
        <f t="shared" si="156"/>
        <v>0</v>
      </c>
      <c r="KK22" s="57">
        <f t="shared" si="156"/>
        <v>0</v>
      </c>
      <c r="KL22" s="57">
        <f t="shared" si="156"/>
        <v>0</v>
      </c>
      <c r="KM22" s="57">
        <f t="shared" si="156"/>
        <v>0</v>
      </c>
      <c r="KN22" s="57">
        <f t="shared" si="156"/>
        <v>0</v>
      </c>
      <c r="KO22" s="57">
        <f t="shared" si="156"/>
        <v>0</v>
      </c>
      <c r="KP22" s="57">
        <f t="shared" si="156"/>
        <v>0</v>
      </c>
      <c r="KQ22" s="57">
        <f t="shared" si="156"/>
        <v>0</v>
      </c>
      <c r="KR22" s="57">
        <f t="shared" si="156"/>
        <v>0</v>
      </c>
      <c r="KS22" s="57">
        <f t="shared" si="156"/>
        <v>0</v>
      </c>
      <c r="KT22" s="57">
        <f t="shared" si="156"/>
        <v>0</v>
      </c>
      <c r="KU22" s="57">
        <f t="shared" si="156"/>
        <v>0</v>
      </c>
      <c r="KV22" s="57">
        <f t="shared" si="156"/>
        <v>0</v>
      </c>
      <c r="KW22" s="57">
        <f t="shared" si="156"/>
        <v>0</v>
      </c>
      <c r="KX22" s="57">
        <f t="shared" si="156"/>
        <v>0</v>
      </c>
      <c r="KY22" s="57">
        <f t="shared" si="156"/>
        <v>0</v>
      </c>
      <c r="KZ22" s="57">
        <f t="shared" si="156"/>
        <v>0</v>
      </c>
      <c r="LA22" s="57">
        <f t="shared" si="156"/>
        <v>0</v>
      </c>
      <c r="LB22" s="57">
        <f t="shared" si="156"/>
        <v>0</v>
      </c>
      <c r="LC22" s="57">
        <f t="shared" si="156"/>
        <v>0</v>
      </c>
      <c r="LD22" s="57">
        <f t="shared" si="156"/>
        <v>0</v>
      </c>
      <c r="LE22" s="57">
        <f t="shared" si="156"/>
        <v>0</v>
      </c>
      <c r="LF22" s="57">
        <f t="shared" si="156"/>
        <v>0</v>
      </c>
      <c r="LG22" s="57">
        <f t="shared" si="156"/>
        <v>0</v>
      </c>
      <c r="LH22" s="57">
        <f t="shared" si="156"/>
        <v>0</v>
      </c>
      <c r="LI22" s="57">
        <f t="shared" si="156"/>
        <v>0</v>
      </c>
      <c r="LJ22" s="57">
        <f t="shared" si="156"/>
        <v>0</v>
      </c>
      <c r="LK22" s="57">
        <f t="shared" ref="LK22:NV22" si="157">IF(LK15="Acumulación",$D$7,0)</f>
        <v>0</v>
      </c>
      <c r="LL22" s="57">
        <f t="shared" si="157"/>
        <v>0</v>
      </c>
      <c r="LM22" s="57">
        <f t="shared" si="157"/>
        <v>0</v>
      </c>
      <c r="LN22" s="57">
        <f t="shared" si="157"/>
        <v>0</v>
      </c>
      <c r="LO22" s="57">
        <f t="shared" si="157"/>
        <v>0</v>
      </c>
      <c r="LP22" s="57">
        <f t="shared" si="157"/>
        <v>0</v>
      </c>
      <c r="LQ22" s="57">
        <f t="shared" si="157"/>
        <v>0</v>
      </c>
      <c r="LR22" s="57">
        <f t="shared" si="157"/>
        <v>0</v>
      </c>
      <c r="LS22" s="57">
        <f t="shared" si="157"/>
        <v>0</v>
      </c>
      <c r="LT22" s="57">
        <f t="shared" si="157"/>
        <v>0</v>
      </c>
      <c r="LU22" s="57">
        <f t="shared" si="157"/>
        <v>0</v>
      </c>
      <c r="LV22" s="57">
        <f t="shared" si="157"/>
        <v>0</v>
      </c>
      <c r="LW22" s="57">
        <f t="shared" si="157"/>
        <v>0</v>
      </c>
      <c r="LX22" s="57">
        <f t="shared" si="157"/>
        <v>0</v>
      </c>
      <c r="LY22" s="57">
        <f t="shared" si="157"/>
        <v>0</v>
      </c>
      <c r="LZ22" s="57">
        <f t="shared" si="157"/>
        <v>0</v>
      </c>
      <c r="MA22" s="57">
        <f t="shared" si="157"/>
        <v>0</v>
      </c>
      <c r="MB22" s="57">
        <f t="shared" si="157"/>
        <v>0</v>
      </c>
      <c r="MC22" s="57">
        <f t="shared" si="157"/>
        <v>0</v>
      </c>
      <c r="MD22" s="57">
        <f t="shared" si="157"/>
        <v>0</v>
      </c>
      <c r="ME22" s="57">
        <f t="shared" si="157"/>
        <v>0</v>
      </c>
      <c r="MF22" s="57">
        <f t="shared" si="157"/>
        <v>0</v>
      </c>
      <c r="MG22" s="57">
        <f t="shared" si="157"/>
        <v>0</v>
      </c>
      <c r="MH22" s="57">
        <f t="shared" si="157"/>
        <v>0</v>
      </c>
      <c r="MI22" s="57">
        <f t="shared" si="157"/>
        <v>0</v>
      </c>
      <c r="MJ22" s="57">
        <f t="shared" si="157"/>
        <v>0</v>
      </c>
      <c r="MK22" s="57">
        <f t="shared" si="157"/>
        <v>0</v>
      </c>
      <c r="ML22" s="57">
        <f t="shared" si="157"/>
        <v>0</v>
      </c>
      <c r="MM22" s="57">
        <f t="shared" si="157"/>
        <v>0</v>
      </c>
      <c r="MN22" s="57">
        <f t="shared" si="157"/>
        <v>0</v>
      </c>
      <c r="MO22" s="57">
        <f t="shared" si="157"/>
        <v>0</v>
      </c>
      <c r="MP22" s="57">
        <f t="shared" si="157"/>
        <v>0</v>
      </c>
      <c r="MQ22" s="57">
        <f t="shared" si="157"/>
        <v>0</v>
      </c>
      <c r="MR22" s="57">
        <f t="shared" si="157"/>
        <v>0</v>
      </c>
      <c r="MS22" s="57">
        <f t="shared" si="157"/>
        <v>0</v>
      </c>
      <c r="MT22" s="57">
        <f t="shared" si="157"/>
        <v>0</v>
      </c>
      <c r="MU22" s="57">
        <f t="shared" si="157"/>
        <v>0</v>
      </c>
      <c r="MV22" s="57">
        <f t="shared" si="157"/>
        <v>0</v>
      </c>
      <c r="MW22" s="57">
        <f t="shared" si="157"/>
        <v>0</v>
      </c>
      <c r="MX22" s="57">
        <f t="shared" si="157"/>
        <v>0</v>
      </c>
      <c r="MY22" s="57">
        <f t="shared" si="157"/>
        <v>0</v>
      </c>
      <c r="MZ22" s="57">
        <f t="shared" si="157"/>
        <v>0</v>
      </c>
      <c r="NA22" s="57">
        <f t="shared" si="157"/>
        <v>0</v>
      </c>
      <c r="NB22" s="57">
        <f t="shared" si="157"/>
        <v>0</v>
      </c>
      <c r="NC22" s="57">
        <f t="shared" si="157"/>
        <v>0</v>
      </c>
      <c r="ND22" s="57">
        <f t="shared" si="157"/>
        <v>0</v>
      </c>
      <c r="NE22" s="57">
        <f t="shared" si="157"/>
        <v>0</v>
      </c>
      <c r="NF22" s="57">
        <f t="shared" si="157"/>
        <v>0</v>
      </c>
      <c r="NG22" s="57">
        <f t="shared" si="157"/>
        <v>0</v>
      </c>
      <c r="NH22" s="57">
        <f t="shared" si="157"/>
        <v>0</v>
      </c>
      <c r="NI22" s="57">
        <f t="shared" si="157"/>
        <v>0</v>
      </c>
      <c r="NJ22" s="57">
        <f t="shared" si="157"/>
        <v>0</v>
      </c>
      <c r="NK22" s="57">
        <f t="shared" si="157"/>
        <v>0</v>
      </c>
      <c r="NL22" s="57">
        <f t="shared" si="157"/>
        <v>0</v>
      </c>
      <c r="NM22" s="57">
        <f t="shared" si="157"/>
        <v>0</v>
      </c>
      <c r="NN22" s="57">
        <f t="shared" si="157"/>
        <v>0</v>
      </c>
      <c r="NO22" s="57">
        <f t="shared" si="157"/>
        <v>0</v>
      </c>
      <c r="NP22" s="57">
        <f t="shared" si="157"/>
        <v>0</v>
      </c>
      <c r="NQ22" s="57">
        <f t="shared" si="157"/>
        <v>0</v>
      </c>
      <c r="NR22" s="57">
        <f t="shared" si="157"/>
        <v>0</v>
      </c>
      <c r="NS22" s="57">
        <f t="shared" si="157"/>
        <v>0</v>
      </c>
      <c r="NT22" s="57">
        <f t="shared" si="157"/>
        <v>0</v>
      </c>
      <c r="NU22" s="57">
        <f t="shared" si="157"/>
        <v>0</v>
      </c>
      <c r="NV22" s="57">
        <f t="shared" si="157"/>
        <v>0</v>
      </c>
      <c r="NW22" s="57">
        <f t="shared" ref="NW22:QH22" si="158">IF(NW15="Acumulación",$D$7,0)</f>
        <v>0</v>
      </c>
      <c r="NX22" s="57">
        <f t="shared" si="158"/>
        <v>0</v>
      </c>
      <c r="NY22" s="57">
        <f t="shared" si="158"/>
        <v>0</v>
      </c>
      <c r="NZ22" s="57">
        <f t="shared" si="158"/>
        <v>0</v>
      </c>
      <c r="OA22" s="57">
        <f t="shared" si="158"/>
        <v>0</v>
      </c>
      <c r="OB22" s="57">
        <f t="shared" si="158"/>
        <v>0</v>
      </c>
      <c r="OC22" s="57">
        <f t="shared" si="158"/>
        <v>0</v>
      </c>
      <c r="OD22" s="57">
        <f t="shared" si="158"/>
        <v>0</v>
      </c>
      <c r="OE22" s="57">
        <f t="shared" si="158"/>
        <v>0</v>
      </c>
      <c r="OF22" s="57">
        <f t="shared" si="158"/>
        <v>0</v>
      </c>
      <c r="OG22" s="57">
        <f t="shared" si="158"/>
        <v>0</v>
      </c>
      <c r="OH22" s="57">
        <f t="shared" si="158"/>
        <v>0</v>
      </c>
      <c r="OI22" s="57">
        <f t="shared" si="158"/>
        <v>0</v>
      </c>
      <c r="OJ22" s="57">
        <f t="shared" si="158"/>
        <v>0</v>
      </c>
      <c r="OK22" s="57">
        <f t="shared" si="158"/>
        <v>0</v>
      </c>
      <c r="OL22" s="57">
        <f t="shared" si="158"/>
        <v>0</v>
      </c>
      <c r="OM22" s="57">
        <f t="shared" si="158"/>
        <v>0</v>
      </c>
      <c r="ON22" s="57">
        <f t="shared" si="158"/>
        <v>0</v>
      </c>
      <c r="OO22" s="57">
        <f t="shared" si="158"/>
        <v>0</v>
      </c>
      <c r="OP22" s="57">
        <f t="shared" si="158"/>
        <v>0</v>
      </c>
      <c r="OQ22" s="57">
        <f t="shared" si="158"/>
        <v>0</v>
      </c>
      <c r="OR22" s="57">
        <f t="shared" si="158"/>
        <v>0</v>
      </c>
      <c r="OS22" s="57">
        <f t="shared" si="158"/>
        <v>0</v>
      </c>
      <c r="OT22" s="57">
        <f t="shared" si="158"/>
        <v>0</v>
      </c>
      <c r="OU22" s="57">
        <f t="shared" si="158"/>
        <v>0</v>
      </c>
      <c r="OV22" s="57">
        <f t="shared" si="158"/>
        <v>0</v>
      </c>
      <c r="OW22" s="57">
        <f t="shared" si="158"/>
        <v>0</v>
      </c>
      <c r="OX22" s="57">
        <f t="shared" si="158"/>
        <v>0</v>
      </c>
      <c r="OY22" s="57">
        <f t="shared" si="158"/>
        <v>0</v>
      </c>
      <c r="OZ22" s="57">
        <f t="shared" si="158"/>
        <v>0</v>
      </c>
      <c r="PA22" s="57">
        <f t="shared" si="158"/>
        <v>0</v>
      </c>
      <c r="PB22" s="57">
        <f t="shared" si="158"/>
        <v>0</v>
      </c>
      <c r="PC22" s="57">
        <f t="shared" si="158"/>
        <v>0</v>
      </c>
      <c r="PD22" s="57">
        <f t="shared" si="158"/>
        <v>0</v>
      </c>
      <c r="PE22" s="57">
        <f t="shared" si="158"/>
        <v>0</v>
      </c>
      <c r="PF22" s="57">
        <f t="shared" si="158"/>
        <v>0</v>
      </c>
      <c r="PG22" s="57">
        <f t="shared" si="158"/>
        <v>0</v>
      </c>
      <c r="PH22" s="57">
        <f t="shared" si="158"/>
        <v>0</v>
      </c>
      <c r="PI22" s="57">
        <f t="shared" si="158"/>
        <v>0</v>
      </c>
      <c r="PJ22" s="57">
        <f t="shared" si="158"/>
        <v>0</v>
      </c>
      <c r="PK22" s="57">
        <f t="shared" si="158"/>
        <v>0</v>
      </c>
      <c r="PL22" s="57">
        <f t="shared" si="158"/>
        <v>0</v>
      </c>
      <c r="PM22" s="57">
        <f t="shared" si="158"/>
        <v>0</v>
      </c>
      <c r="PN22" s="57">
        <f t="shared" si="158"/>
        <v>0</v>
      </c>
      <c r="PO22" s="57">
        <f t="shared" si="158"/>
        <v>0</v>
      </c>
      <c r="PP22" s="57">
        <f t="shared" si="158"/>
        <v>0</v>
      </c>
      <c r="PQ22" s="57">
        <f t="shared" si="158"/>
        <v>0</v>
      </c>
      <c r="PR22" s="57">
        <f t="shared" si="158"/>
        <v>0</v>
      </c>
      <c r="PS22" s="57">
        <f t="shared" si="158"/>
        <v>0</v>
      </c>
      <c r="PT22" s="57">
        <f t="shared" si="158"/>
        <v>0</v>
      </c>
      <c r="PU22" s="57">
        <f t="shared" si="158"/>
        <v>0</v>
      </c>
      <c r="PV22" s="57">
        <f t="shared" si="158"/>
        <v>0</v>
      </c>
      <c r="PW22" s="57">
        <f t="shared" si="158"/>
        <v>0</v>
      </c>
      <c r="PX22" s="57">
        <f t="shared" si="158"/>
        <v>0</v>
      </c>
      <c r="PY22" s="57">
        <f t="shared" si="158"/>
        <v>0</v>
      </c>
      <c r="PZ22" s="57">
        <f t="shared" si="158"/>
        <v>0</v>
      </c>
      <c r="QA22" s="57">
        <f t="shared" si="158"/>
        <v>0</v>
      </c>
      <c r="QB22" s="57">
        <f t="shared" si="158"/>
        <v>0</v>
      </c>
      <c r="QC22" s="57">
        <f t="shared" si="158"/>
        <v>0</v>
      </c>
      <c r="QD22" s="57">
        <f t="shared" si="158"/>
        <v>0</v>
      </c>
      <c r="QE22" s="57">
        <f t="shared" si="158"/>
        <v>0</v>
      </c>
      <c r="QF22" s="57">
        <f t="shared" si="158"/>
        <v>0</v>
      </c>
      <c r="QG22" s="57">
        <f t="shared" si="158"/>
        <v>0</v>
      </c>
      <c r="QH22" s="57">
        <f t="shared" si="158"/>
        <v>0</v>
      </c>
      <c r="QI22" s="57">
        <f t="shared" ref="QI22:ST22" si="159">IF(QI15="Acumulación",$D$7,0)</f>
        <v>0</v>
      </c>
      <c r="QJ22" s="57">
        <f t="shared" si="159"/>
        <v>0</v>
      </c>
      <c r="QK22" s="57">
        <f t="shared" si="159"/>
        <v>0</v>
      </c>
      <c r="QL22" s="57">
        <f t="shared" si="159"/>
        <v>0</v>
      </c>
      <c r="QM22" s="57">
        <f t="shared" si="159"/>
        <v>0</v>
      </c>
      <c r="QN22" s="57">
        <f t="shared" si="159"/>
        <v>0</v>
      </c>
      <c r="QO22" s="57">
        <f t="shared" si="159"/>
        <v>0</v>
      </c>
      <c r="QP22" s="57">
        <f t="shared" si="159"/>
        <v>0</v>
      </c>
      <c r="QQ22" s="57">
        <f t="shared" si="159"/>
        <v>0</v>
      </c>
      <c r="QR22" s="57">
        <f t="shared" si="159"/>
        <v>0</v>
      </c>
      <c r="QS22" s="57">
        <f t="shared" si="159"/>
        <v>0</v>
      </c>
      <c r="QT22" s="57">
        <f t="shared" si="159"/>
        <v>0</v>
      </c>
      <c r="QU22" s="57">
        <f t="shared" si="159"/>
        <v>0</v>
      </c>
      <c r="QV22" s="57">
        <f t="shared" si="159"/>
        <v>0</v>
      </c>
      <c r="QW22" s="57">
        <f t="shared" si="159"/>
        <v>0</v>
      </c>
      <c r="QX22" s="57">
        <f t="shared" si="159"/>
        <v>0</v>
      </c>
      <c r="QY22" s="57">
        <f t="shared" si="159"/>
        <v>0</v>
      </c>
      <c r="QZ22" s="57">
        <f t="shared" si="159"/>
        <v>0</v>
      </c>
      <c r="RA22" s="57">
        <f t="shared" si="159"/>
        <v>0</v>
      </c>
      <c r="RB22" s="57">
        <f t="shared" si="159"/>
        <v>0</v>
      </c>
      <c r="RC22" s="57">
        <f t="shared" si="159"/>
        <v>0</v>
      </c>
      <c r="RD22" s="57">
        <f t="shared" si="159"/>
        <v>0</v>
      </c>
      <c r="RE22" s="57">
        <f t="shared" si="159"/>
        <v>0</v>
      </c>
      <c r="RF22" s="57">
        <f t="shared" si="159"/>
        <v>0</v>
      </c>
      <c r="RG22" s="57">
        <f t="shared" si="159"/>
        <v>0</v>
      </c>
      <c r="RH22" s="57">
        <f t="shared" si="159"/>
        <v>0</v>
      </c>
      <c r="RI22" s="57">
        <f t="shared" si="159"/>
        <v>0</v>
      </c>
      <c r="RJ22" s="57">
        <f t="shared" si="159"/>
        <v>0</v>
      </c>
      <c r="RK22" s="57">
        <f t="shared" si="159"/>
        <v>0</v>
      </c>
      <c r="RL22" s="57">
        <f t="shared" si="159"/>
        <v>0</v>
      </c>
      <c r="RM22" s="57">
        <f t="shared" si="159"/>
        <v>0</v>
      </c>
      <c r="RN22" s="57">
        <f t="shared" si="159"/>
        <v>0</v>
      </c>
      <c r="RO22" s="57">
        <f t="shared" si="159"/>
        <v>0</v>
      </c>
      <c r="RP22" s="57">
        <f t="shared" si="159"/>
        <v>0</v>
      </c>
      <c r="RQ22" s="57">
        <f t="shared" si="159"/>
        <v>0</v>
      </c>
      <c r="RR22" s="57">
        <f t="shared" si="159"/>
        <v>0</v>
      </c>
      <c r="RS22" s="57">
        <f t="shared" si="159"/>
        <v>0</v>
      </c>
      <c r="RT22" s="57">
        <f t="shared" si="159"/>
        <v>0</v>
      </c>
      <c r="RU22" s="57">
        <f t="shared" si="159"/>
        <v>0</v>
      </c>
      <c r="RV22" s="57">
        <f t="shared" si="159"/>
        <v>0</v>
      </c>
      <c r="RW22" s="57">
        <f t="shared" si="159"/>
        <v>0</v>
      </c>
      <c r="RX22" s="57">
        <f t="shared" si="159"/>
        <v>0</v>
      </c>
      <c r="RY22" s="57">
        <f t="shared" si="159"/>
        <v>0</v>
      </c>
      <c r="RZ22" s="57">
        <f t="shared" si="159"/>
        <v>0</v>
      </c>
      <c r="SA22" s="57">
        <f t="shared" si="159"/>
        <v>0</v>
      </c>
      <c r="SB22" s="57">
        <f t="shared" si="159"/>
        <v>0</v>
      </c>
      <c r="SC22" s="57">
        <f t="shared" si="159"/>
        <v>0</v>
      </c>
      <c r="SD22" s="57">
        <f t="shared" si="159"/>
        <v>0</v>
      </c>
      <c r="SE22" s="57">
        <f t="shared" si="159"/>
        <v>0</v>
      </c>
      <c r="SF22" s="57">
        <f t="shared" si="159"/>
        <v>0</v>
      </c>
      <c r="SG22" s="57">
        <f t="shared" si="159"/>
        <v>0</v>
      </c>
      <c r="SH22" s="57">
        <f t="shared" si="159"/>
        <v>0</v>
      </c>
      <c r="SI22" s="57">
        <f t="shared" si="159"/>
        <v>0</v>
      </c>
      <c r="SJ22" s="57">
        <f t="shared" si="159"/>
        <v>0</v>
      </c>
      <c r="SK22" s="57">
        <f t="shared" si="159"/>
        <v>0</v>
      </c>
      <c r="SL22" s="57">
        <f t="shared" si="159"/>
        <v>0</v>
      </c>
      <c r="SM22" s="57">
        <f t="shared" si="159"/>
        <v>0</v>
      </c>
      <c r="SN22" s="57">
        <f t="shared" si="159"/>
        <v>0</v>
      </c>
      <c r="SO22" s="57">
        <f t="shared" si="159"/>
        <v>0</v>
      </c>
      <c r="SP22" s="57">
        <f t="shared" si="159"/>
        <v>0</v>
      </c>
      <c r="SQ22" s="57">
        <f t="shared" si="159"/>
        <v>0</v>
      </c>
      <c r="SR22" s="57">
        <f t="shared" si="159"/>
        <v>0</v>
      </c>
      <c r="SS22" s="57">
        <f t="shared" si="159"/>
        <v>0</v>
      </c>
      <c r="ST22" s="57">
        <f t="shared" si="159"/>
        <v>0</v>
      </c>
      <c r="SU22" s="57">
        <f t="shared" ref="SU22:VF22" si="160">IF(SU15="Acumulación",$D$7,0)</f>
        <v>0</v>
      </c>
      <c r="SV22" s="57">
        <f t="shared" si="160"/>
        <v>0</v>
      </c>
      <c r="SW22" s="57">
        <f t="shared" si="160"/>
        <v>0</v>
      </c>
      <c r="SX22" s="57">
        <f t="shared" si="160"/>
        <v>0</v>
      </c>
      <c r="SY22" s="57">
        <f t="shared" si="160"/>
        <v>0</v>
      </c>
      <c r="SZ22" s="57">
        <f t="shared" si="160"/>
        <v>0</v>
      </c>
      <c r="TA22" s="57">
        <f t="shared" si="160"/>
        <v>0</v>
      </c>
      <c r="TB22" s="57">
        <f t="shared" si="160"/>
        <v>0</v>
      </c>
      <c r="TC22" s="57">
        <f t="shared" si="160"/>
        <v>0</v>
      </c>
      <c r="TD22" s="57">
        <f t="shared" si="160"/>
        <v>0</v>
      </c>
      <c r="TE22" s="57">
        <f t="shared" si="160"/>
        <v>0</v>
      </c>
      <c r="TF22" s="57">
        <f t="shared" si="160"/>
        <v>0</v>
      </c>
      <c r="TG22" s="57">
        <f t="shared" si="160"/>
        <v>0</v>
      </c>
      <c r="TH22" s="57">
        <f t="shared" si="160"/>
        <v>0</v>
      </c>
      <c r="TI22" s="57">
        <f t="shared" si="160"/>
        <v>0</v>
      </c>
      <c r="TJ22" s="57">
        <f t="shared" si="160"/>
        <v>0</v>
      </c>
      <c r="TK22" s="57">
        <f t="shared" si="160"/>
        <v>0</v>
      </c>
      <c r="TL22" s="57">
        <f t="shared" si="160"/>
        <v>0</v>
      </c>
      <c r="TM22" s="57">
        <f t="shared" si="160"/>
        <v>0</v>
      </c>
      <c r="TN22" s="57">
        <f t="shared" si="160"/>
        <v>0</v>
      </c>
      <c r="TO22" s="57">
        <f t="shared" si="160"/>
        <v>0</v>
      </c>
      <c r="TP22" s="57">
        <f t="shared" si="160"/>
        <v>0</v>
      </c>
      <c r="TQ22" s="57">
        <f t="shared" si="160"/>
        <v>0</v>
      </c>
      <c r="TR22" s="57">
        <f t="shared" si="160"/>
        <v>0</v>
      </c>
      <c r="TS22" s="57">
        <f t="shared" si="160"/>
        <v>0</v>
      </c>
      <c r="TT22" s="57">
        <f t="shared" si="160"/>
        <v>0</v>
      </c>
      <c r="TU22" s="57">
        <f t="shared" si="160"/>
        <v>0</v>
      </c>
      <c r="TV22" s="57">
        <f t="shared" si="160"/>
        <v>0</v>
      </c>
      <c r="TW22" s="57">
        <f t="shared" si="160"/>
        <v>0</v>
      </c>
      <c r="TX22" s="57">
        <f t="shared" si="160"/>
        <v>0</v>
      </c>
      <c r="TY22" s="57">
        <f t="shared" si="160"/>
        <v>0</v>
      </c>
      <c r="TZ22" s="57">
        <f t="shared" si="160"/>
        <v>0</v>
      </c>
      <c r="UA22" s="57">
        <f t="shared" si="160"/>
        <v>0</v>
      </c>
      <c r="UB22" s="57">
        <f t="shared" si="160"/>
        <v>0</v>
      </c>
      <c r="UC22" s="57">
        <f t="shared" si="160"/>
        <v>0</v>
      </c>
      <c r="UD22" s="57">
        <f t="shared" si="160"/>
        <v>0</v>
      </c>
      <c r="UE22" s="57">
        <f t="shared" si="160"/>
        <v>0</v>
      </c>
      <c r="UF22" s="57">
        <f t="shared" si="160"/>
        <v>0</v>
      </c>
      <c r="UG22" s="57">
        <f t="shared" si="160"/>
        <v>0</v>
      </c>
      <c r="UH22" s="57">
        <f t="shared" si="160"/>
        <v>0</v>
      </c>
      <c r="UI22" s="57">
        <f t="shared" si="160"/>
        <v>0</v>
      </c>
      <c r="UJ22" s="57">
        <f t="shared" si="160"/>
        <v>0</v>
      </c>
      <c r="UK22" s="57">
        <f t="shared" si="160"/>
        <v>0</v>
      </c>
      <c r="UL22" s="57">
        <f t="shared" si="160"/>
        <v>0</v>
      </c>
      <c r="UM22" s="57">
        <f t="shared" si="160"/>
        <v>0</v>
      </c>
      <c r="UN22" s="57">
        <f t="shared" si="160"/>
        <v>0</v>
      </c>
      <c r="UO22" s="57">
        <f t="shared" si="160"/>
        <v>0</v>
      </c>
      <c r="UP22" s="57">
        <f t="shared" si="160"/>
        <v>0</v>
      </c>
      <c r="UQ22" s="57">
        <f t="shared" si="160"/>
        <v>0</v>
      </c>
      <c r="UR22" s="57">
        <f t="shared" si="160"/>
        <v>0</v>
      </c>
      <c r="US22" s="57">
        <f t="shared" si="160"/>
        <v>0</v>
      </c>
      <c r="UT22" s="57">
        <f t="shared" si="160"/>
        <v>0</v>
      </c>
      <c r="UU22" s="57">
        <f t="shared" si="160"/>
        <v>0</v>
      </c>
      <c r="UV22" s="57">
        <f t="shared" si="160"/>
        <v>0</v>
      </c>
      <c r="UW22" s="57">
        <f t="shared" si="160"/>
        <v>0</v>
      </c>
      <c r="UX22" s="57">
        <f t="shared" si="160"/>
        <v>0</v>
      </c>
      <c r="UY22" s="57">
        <f t="shared" si="160"/>
        <v>0</v>
      </c>
      <c r="UZ22" s="57">
        <f t="shared" si="160"/>
        <v>0</v>
      </c>
      <c r="VA22" s="57">
        <f t="shared" si="160"/>
        <v>0</v>
      </c>
      <c r="VB22" s="57">
        <f t="shared" si="160"/>
        <v>0</v>
      </c>
      <c r="VC22" s="57">
        <f t="shared" si="160"/>
        <v>0</v>
      </c>
      <c r="VD22" s="57">
        <f t="shared" si="160"/>
        <v>0</v>
      </c>
      <c r="VE22" s="57">
        <f t="shared" si="160"/>
        <v>0</v>
      </c>
      <c r="VF22" s="57">
        <f t="shared" si="160"/>
        <v>0</v>
      </c>
      <c r="VG22" s="57">
        <f t="shared" ref="VG22:XR22" si="161">IF(VG15="Acumulación",$D$7,0)</f>
        <v>0</v>
      </c>
      <c r="VH22" s="57">
        <f t="shared" si="161"/>
        <v>0</v>
      </c>
      <c r="VI22" s="57">
        <f t="shared" si="161"/>
        <v>0</v>
      </c>
      <c r="VJ22" s="57">
        <f t="shared" si="161"/>
        <v>0</v>
      </c>
      <c r="VK22" s="57">
        <f t="shared" si="161"/>
        <v>0</v>
      </c>
      <c r="VL22" s="57">
        <f t="shared" si="161"/>
        <v>0</v>
      </c>
      <c r="VM22" s="57">
        <f t="shared" si="161"/>
        <v>0</v>
      </c>
      <c r="VN22" s="57">
        <f t="shared" si="161"/>
        <v>0</v>
      </c>
      <c r="VO22" s="57">
        <f t="shared" si="161"/>
        <v>0</v>
      </c>
      <c r="VP22" s="57">
        <f t="shared" si="161"/>
        <v>0</v>
      </c>
      <c r="VQ22" s="57">
        <f t="shared" si="161"/>
        <v>0</v>
      </c>
      <c r="VR22" s="57">
        <f t="shared" si="161"/>
        <v>0</v>
      </c>
      <c r="VS22" s="57">
        <f t="shared" si="161"/>
        <v>0</v>
      </c>
      <c r="VT22" s="57">
        <f t="shared" si="161"/>
        <v>0</v>
      </c>
      <c r="VU22" s="57">
        <f t="shared" si="161"/>
        <v>0</v>
      </c>
      <c r="VV22" s="57">
        <f t="shared" si="161"/>
        <v>0</v>
      </c>
      <c r="VW22" s="57">
        <f t="shared" si="161"/>
        <v>0</v>
      </c>
      <c r="VX22" s="57">
        <f t="shared" si="161"/>
        <v>0</v>
      </c>
      <c r="VY22" s="57">
        <f t="shared" si="161"/>
        <v>0</v>
      </c>
      <c r="VZ22" s="57">
        <f t="shared" si="161"/>
        <v>0</v>
      </c>
      <c r="WA22" s="57">
        <f t="shared" si="161"/>
        <v>0</v>
      </c>
      <c r="WB22" s="57">
        <f t="shared" si="161"/>
        <v>0</v>
      </c>
      <c r="WC22" s="57">
        <f t="shared" si="161"/>
        <v>0</v>
      </c>
      <c r="WD22" s="57">
        <f t="shared" si="161"/>
        <v>0</v>
      </c>
      <c r="WE22" s="57">
        <f t="shared" si="161"/>
        <v>0</v>
      </c>
      <c r="WF22" s="57">
        <f t="shared" si="161"/>
        <v>0</v>
      </c>
      <c r="WG22" s="57">
        <f t="shared" si="161"/>
        <v>0</v>
      </c>
      <c r="WH22" s="57">
        <f t="shared" si="161"/>
        <v>0</v>
      </c>
      <c r="WI22" s="57">
        <f t="shared" si="161"/>
        <v>0</v>
      </c>
      <c r="WJ22" s="57">
        <f t="shared" si="161"/>
        <v>0</v>
      </c>
      <c r="WK22" s="57">
        <f t="shared" si="161"/>
        <v>0</v>
      </c>
      <c r="WL22" s="57">
        <f t="shared" si="161"/>
        <v>0</v>
      </c>
      <c r="WM22" s="57">
        <f t="shared" si="161"/>
        <v>0</v>
      </c>
      <c r="WN22" s="57">
        <f t="shared" si="161"/>
        <v>0</v>
      </c>
      <c r="WO22" s="57">
        <f t="shared" si="161"/>
        <v>0</v>
      </c>
      <c r="WP22" s="57">
        <f t="shared" si="161"/>
        <v>0</v>
      </c>
      <c r="WQ22" s="57">
        <f t="shared" si="161"/>
        <v>0</v>
      </c>
      <c r="WR22" s="57">
        <f t="shared" si="161"/>
        <v>0</v>
      </c>
      <c r="WS22" s="57">
        <f t="shared" si="161"/>
        <v>0</v>
      </c>
      <c r="WT22" s="57">
        <f t="shared" si="161"/>
        <v>0</v>
      </c>
      <c r="WU22" s="57">
        <f t="shared" si="161"/>
        <v>0</v>
      </c>
      <c r="WV22" s="57">
        <f t="shared" si="161"/>
        <v>0</v>
      </c>
      <c r="WW22" s="57">
        <f t="shared" si="161"/>
        <v>0</v>
      </c>
      <c r="WX22" s="57">
        <f t="shared" si="161"/>
        <v>0</v>
      </c>
      <c r="WY22" s="57">
        <f t="shared" si="161"/>
        <v>0</v>
      </c>
      <c r="WZ22" s="57">
        <f t="shared" si="161"/>
        <v>0</v>
      </c>
      <c r="XA22" s="57">
        <f t="shared" si="161"/>
        <v>0</v>
      </c>
      <c r="XB22" s="57">
        <f t="shared" si="161"/>
        <v>0</v>
      </c>
      <c r="XC22" s="57">
        <f t="shared" si="161"/>
        <v>0</v>
      </c>
      <c r="XD22" s="57">
        <f t="shared" si="161"/>
        <v>0</v>
      </c>
      <c r="XE22" s="57">
        <f t="shared" si="161"/>
        <v>0</v>
      </c>
      <c r="XF22" s="57">
        <f t="shared" si="161"/>
        <v>0</v>
      </c>
      <c r="XG22" s="57">
        <f t="shared" si="161"/>
        <v>0</v>
      </c>
      <c r="XH22" s="57">
        <f t="shared" si="161"/>
        <v>0</v>
      </c>
      <c r="XI22" s="57">
        <f t="shared" si="161"/>
        <v>0</v>
      </c>
      <c r="XJ22" s="57">
        <f t="shared" si="161"/>
        <v>0</v>
      </c>
      <c r="XK22" s="57">
        <f t="shared" si="161"/>
        <v>0</v>
      </c>
      <c r="XL22" s="57">
        <f t="shared" si="161"/>
        <v>0</v>
      </c>
      <c r="XM22" s="57">
        <f t="shared" si="161"/>
        <v>0</v>
      </c>
      <c r="XN22" s="57">
        <f t="shared" si="161"/>
        <v>0</v>
      </c>
      <c r="XO22" s="57">
        <f t="shared" si="161"/>
        <v>0</v>
      </c>
      <c r="XP22" s="57">
        <f t="shared" si="161"/>
        <v>0</v>
      </c>
      <c r="XQ22" s="57">
        <f t="shared" si="161"/>
        <v>0</v>
      </c>
      <c r="XR22" s="57">
        <f t="shared" si="161"/>
        <v>0</v>
      </c>
      <c r="XS22" s="57">
        <f t="shared" ref="XS22:AAD22" si="162">IF(XS15="Acumulación",$D$7,0)</f>
        <v>0</v>
      </c>
      <c r="XT22" s="57">
        <f t="shared" si="162"/>
        <v>0</v>
      </c>
      <c r="XU22" s="57">
        <f t="shared" si="162"/>
        <v>0</v>
      </c>
      <c r="XV22" s="57">
        <f t="shared" si="162"/>
        <v>0</v>
      </c>
      <c r="XW22" s="57">
        <f t="shared" si="162"/>
        <v>0</v>
      </c>
      <c r="XX22" s="57">
        <f t="shared" si="162"/>
        <v>0</v>
      </c>
      <c r="XY22" s="57">
        <f t="shared" si="162"/>
        <v>0</v>
      </c>
      <c r="XZ22" s="57">
        <f t="shared" si="162"/>
        <v>0</v>
      </c>
      <c r="YA22" s="57">
        <f t="shared" si="162"/>
        <v>0</v>
      </c>
      <c r="YB22" s="57">
        <f t="shared" si="162"/>
        <v>0</v>
      </c>
      <c r="YC22" s="57">
        <f t="shared" si="162"/>
        <v>0</v>
      </c>
      <c r="YD22" s="57">
        <f t="shared" si="162"/>
        <v>0</v>
      </c>
      <c r="YE22" s="57">
        <f t="shared" si="162"/>
        <v>0</v>
      </c>
      <c r="YF22" s="57">
        <f t="shared" si="162"/>
        <v>0</v>
      </c>
      <c r="YG22" s="57">
        <f t="shared" si="162"/>
        <v>0</v>
      </c>
      <c r="YH22" s="57">
        <f t="shared" si="162"/>
        <v>0</v>
      </c>
      <c r="YI22" s="57">
        <f t="shared" si="162"/>
        <v>0</v>
      </c>
      <c r="YJ22" s="57">
        <f t="shared" si="162"/>
        <v>0</v>
      </c>
      <c r="YK22" s="57">
        <f t="shared" si="162"/>
        <v>0</v>
      </c>
      <c r="YL22" s="57">
        <f t="shared" si="162"/>
        <v>0</v>
      </c>
      <c r="YM22" s="57">
        <f t="shared" si="162"/>
        <v>0</v>
      </c>
      <c r="YN22" s="57">
        <f t="shared" si="162"/>
        <v>0</v>
      </c>
      <c r="YO22" s="57">
        <f t="shared" si="162"/>
        <v>0</v>
      </c>
      <c r="YP22" s="57">
        <f t="shared" si="162"/>
        <v>0</v>
      </c>
      <c r="YQ22" s="57">
        <f t="shared" si="162"/>
        <v>0</v>
      </c>
      <c r="YR22" s="57">
        <f t="shared" si="162"/>
        <v>0</v>
      </c>
      <c r="YS22" s="57">
        <f t="shared" si="162"/>
        <v>0</v>
      </c>
      <c r="YT22" s="57">
        <f t="shared" si="162"/>
        <v>0</v>
      </c>
      <c r="YU22" s="57">
        <f t="shared" si="162"/>
        <v>0</v>
      </c>
      <c r="YV22" s="57">
        <f t="shared" si="162"/>
        <v>0</v>
      </c>
      <c r="YW22" s="57">
        <f t="shared" si="162"/>
        <v>0</v>
      </c>
      <c r="YX22" s="57">
        <f t="shared" si="162"/>
        <v>0</v>
      </c>
      <c r="YY22" s="57">
        <f t="shared" si="162"/>
        <v>0</v>
      </c>
      <c r="YZ22" s="57">
        <f t="shared" si="162"/>
        <v>0</v>
      </c>
      <c r="ZA22" s="57">
        <f t="shared" si="162"/>
        <v>0</v>
      </c>
      <c r="ZB22" s="57">
        <f t="shared" si="162"/>
        <v>0</v>
      </c>
      <c r="ZC22" s="57">
        <f t="shared" si="162"/>
        <v>0</v>
      </c>
      <c r="ZD22" s="57">
        <f t="shared" si="162"/>
        <v>0</v>
      </c>
      <c r="ZE22" s="57">
        <f t="shared" si="162"/>
        <v>0</v>
      </c>
      <c r="ZF22" s="57">
        <f t="shared" si="162"/>
        <v>0</v>
      </c>
      <c r="ZG22" s="57">
        <f t="shared" si="162"/>
        <v>0</v>
      </c>
      <c r="ZH22" s="57">
        <f t="shared" si="162"/>
        <v>0</v>
      </c>
      <c r="ZI22" s="57">
        <f t="shared" si="162"/>
        <v>0</v>
      </c>
      <c r="ZJ22" s="57">
        <f t="shared" si="162"/>
        <v>0</v>
      </c>
      <c r="ZK22" s="57">
        <f t="shared" si="162"/>
        <v>0</v>
      </c>
      <c r="ZL22" s="57">
        <f t="shared" si="162"/>
        <v>0</v>
      </c>
      <c r="ZM22" s="57">
        <f t="shared" si="162"/>
        <v>0</v>
      </c>
      <c r="ZN22" s="57">
        <f t="shared" si="162"/>
        <v>0</v>
      </c>
      <c r="ZO22" s="57">
        <f t="shared" si="162"/>
        <v>0</v>
      </c>
      <c r="ZP22" s="57">
        <f t="shared" si="162"/>
        <v>0</v>
      </c>
      <c r="ZQ22" s="57">
        <f t="shared" si="162"/>
        <v>0</v>
      </c>
      <c r="ZR22" s="57">
        <f t="shared" si="162"/>
        <v>0</v>
      </c>
      <c r="ZS22" s="57">
        <f t="shared" si="162"/>
        <v>0</v>
      </c>
      <c r="ZT22" s="57">
        <f t="shared" si="162"/>
        <v>0</v>
      </c>
      <c r="ZU22" s="57">
        <f t="shared" si="162"/>
        <v>0</v>
      </c>
      <c r="ZV22" s="57">
        <f t="shared" si="162"/>
        <v>0</v>
      </c>
      <c r="ZW22" s="57">
        <f t="shared" si="162"/>
        <v>0</v>
      </c>
      <c r="ZX22" s="57">
        <f t="shared" si="162"/>
        <v>0</v>
      </c>
      <c r="ZY22" s="57">
        <f t="shared" si="162"/>
        <v>0</v>
      </c>
      <c r="ZZ22" s="57">
        <f t="shared" si="162"/>
        <v>0</v>
      </c>
      <c r="AAA22" s="57">
        <f t="shared" si="162"/>
        <v>0</v>
      </c>
      <c r="AAB22" s="57">
        <f t="shared" si="162"/>
        <v>0</v>
      </c>
      <c r="AAC22" s="57">
        <f t="shared" si="162"/>
        <v>0</v>
      </c>
      <c r="AAD22" s="57">
        <f t="shared" si="162"/>
        <v>0</v>
      </c>
      <c r="AAE22" s="57">
        <f t="shared" ref="AAE22:ACP22" si="163">IF(AAE15="Acumulación",$D$7,0)</f>
        <v>0</v>
      </c>
      <c r="AAF22" s="57">
        <f t="shared" si="163"/>
        <v>0</v>
      </c>
      <c r="AAG22" s="57">
        <f t="shared" si="163"/>
        <v>0</v>
      </c>
      <c r="AAH22" s="57">
        <f t="shared" si="163"/>
        <v>0</v>
      </c>
      <c r="AAI22" s="57">
        <f t="shared" si="163"/>
        <v>0</v>
      </c>
      <c r="AAJ22" s="57">
        <f t="shared" si="163"/>
        <v>0</v>
      </c>
      <c r="AAK22" s="57">
        <f t="shared" si="163"/>
        <v>0</v>
      </c>
      <c r="AAL22" s="57">
        <f t="shared" si="163"/>
        <v>0</v>
      </c>
      <c r="AAM22" s="57">
        <f t="shared" si="163"/>
        <v>0</v>
      </c>
      <c r="AAN22" s="57">
        <f t="shared" si="163"/>
        <v>0</v>
      </c>
      <c r="AAO22" s="57">
        <f t="shared" si="163"/>
        <v>0</v>
      </c>
      <c r="AAP22" s="57">
        <f t="shared" si="163"/>
        <v>0</v>
      </c>
      <c r="AAQ22" s="57">
        <f t="shared" si="163"/>
        <v>0</v>
      </c>
      <c r="AAR22" s="57">
        <f t="shared" si="163"/>
        <v>0</v>
      </c>
      <c r="AAS22" s="57">
        <f t="shared" si="163"/>
        <v>0</v>
      </c>
      <c r="AAT22" s="57">
        <f t="shared" si="163"/>
        <v>0</v>
      </c>
      <c r="AAU22" s="57">
        <f t="shared" si="163"/>
        <v>0</v>
      </c>
      <c r="AAV22" s="57">
        <f t="shared" si="163"/>
        <v>0</v>
      </c>
      <c r="AAW22" s="57">
        <f t="shared" si="163"/>
        <v>0</v>
      </c>
      <c r="AAX22" s="57">
        <f t="shared" si="163"/>
        <v>0</v>
      </c>
      <c r="AAY22" s="57">
        <f t="shared" si="163"/>
        <v>0</v>
      </c>
      <c r="AAZ22" s="57">
        <f t="shared" si="163"/>
        <v>0</v>
      </c>
      <c r="ABA22" s="57">
        <f t="shared" si="163"/>
        <v>0</v>
      </c>
      <c r="ABB22" s="57">
        <f t="shared" si="163"/>
        <v>0</v>
      </c>
      <c r="ABC22" s="57">
        <f t="shared" si="163"/>
        <v>0</v>
      </c>
      <c r="ABD22" s="57">
        <f t="shared" si="163"/>
        <v>0</v>
      </c>
      <c r="ABE22" s="57">
        <f t="shared" si="163"/>
        <v>0</v>
      </c>
      <c r="ABF22" s="57">
        <f t="shared" si="163"/>
        <v>0</v>
      </c>
      <c r="ABG22" s="57">
        <f t="shared" si="163"/>
        <v>0</v>
      </c>
      <c r="ABH22" s="57">
        <f t="shared" si="163"/>
        <v>0</v>
      </c>
      <c r="ABI22" s="57">
        <f t="shared" si="163"/>
        <v>0</v>
      </c>
      <c r="ABJ22" s="57">
        <f t="shared" si="163"/>
        <v>0</v>
      </c>
      <c r="ABK22" s="57">
        <f t="shared" si="163"/>
        <v>0</v>
      </c>
      <c r="ABL22" s="57">
        <f t="shared" si="163"/>
        <v>0</v>
      </c>
      <c r="ABM22" s="57">
        <f t="shared" si="163"/>
        <v>0</v>
      </c>
      <c r="ABN22" s="57">
        <f t="shared" si="163"/>
        <v>0</v>
      </c>
      <c r="ABO22" s="57">
        <f t="shared" si="163"/>
        <v>0</v>
      </c>
      <c r="ABP22" s="57">
        <f t="shared" si="163"/>
        <v>0</v>
      </c>
      <c r="ABQ22" s="57">
        <f t="shared" si="163"/>
        <v>0</v>
      </c>
      <c r="ABR22" s="57">
        <f t="shared" si="163"/>
        <v>0</v>
      </c>
      <c r="ABS22" s="57">
        <f t="shared" si="163"/>
        <v>0</v>
      </c>
      <c r="ABT22" s="57">
        <f t="shared" si="163"/>
        <v>0</v>
      </c>
      <c r="ABU22" s="57">
        <f t="shared" si="163"/>
        <v>0</v>
      </c>
      <c r="ABV22" s="57">
        <f t="shared" si="163"/>
        <v>0</v>
      </c>
      <c r="ABW22" s="57">
        <f t="shared" si="163"/>
        <v>0</v>
      </c>
      <c r="ABX22" s="57">
        <f t="shared" si="163"/>
        <v>0</v>
      </c>
      <c r="ABY22" s="57">
        <f t="shared" si="163"/>
        <v>0</v>
      </c>
      <c r="ABZ22" s="57">
        <f t="shared" si="163"/>
        <v>0</v>
      </c>
      <c r="ACA22" s="57">
        <f t="shared" si="163"/>
        <v>0</v>
      </c>
      <c r="ACB22" s="57">
        <f t="shared" si="163"/>
        <v>0</v>
      </c>
      <c r="ACC22" s="57">
        <f t="shared" si="163"/>
        <v>0</v>
      </c>
      <c r="ACD22" s="57">
        <f t="shared" si="163"/>
        <v>0</v>
      </c>
      <c r="ACE22" s="57">
        <f t="shared" si="163"/>
        <v>0</v>
      </c>
      <c r="ACF22" s="57">
        <f t="shared" si="163"/>
        <v>0</v>
      </c>
      <c r="ACG22" s="57">
        <f t="shared" si="163"/>
        <v>0</v>
      </c>
      <c r="ACH22" s="57">
        <f t="shared" si="163"/>
        <v>0</v>
      </c>
      <c r="ACI22" s="57">
        <f t="shared" si="163"/>
        <v>0</v>
      </c>
      <c r="ACJ22" s="57">
        <f t="shared" si="163"/>
        <v>0</v>
      </c>
      <c r="ACK22" s="57">
        <f t="shared" si="163"/>
        <v>0</v>
      </c>
      <c r="ACL22" s="57">
        <f t="shared" si="163"/>
        <v>0</v>
      </c>
      <c r="ACM22" s="57">
        <f t="shared" si="163"/>
        <v>0</v>
      </c>
      <c r="ACN22" s="57">
        <f t="shared" si="163"/>
        <v>0</v>
      </c>
      <c r="ACO22" s="57">
        <f t="shared" si="163"/>
        <v>0</v>
      </c>
      <c r="ACP22" s="57">
        <f t="shared" si="163"/>
        <v>0</v>
      </c>
      <c r="ACQ22" s="57">
        <f t="shared" ref="ACQ22:AFB22" si="164">IF(ACQ15="Acumulación",$D$7,0)</f>
        <v>0</v>
      </c>
      <c r="ACR22" s="57">
        <f t="shared" si="164"/>
        <v>0</v>
      </c>
      <c r="ACS22" s="57">
        <f t="shared" si="164"/>
        <v>0</v>
      </c>
      <c r="ACT22" s="57">
        <f t="shared" si="164"/>
        <v>0</v>
      </c>
      <c r="ACU22" s="57">
        <f t="shared" si="164"/>
        <v>0</v>
      </c>
      <c r="ACV22" s="57">
        <f t="shared" si="164"/>
        <v>0</v>
      </c>
      <c r="ACW22" s="57">
        <f t="shared" si="164"/>
        <v>0</v>
      </c>
      <c r="ACX22" s="57">
        <f t="shared" si="164"/>
        <v>0</v>
      </c>
      <c r="ACY22" s="57">
        <f t="shared" si="164"/>
        <v>0</v>
      </c>
      <c r="ACZ22" s="57">
        <f t="shared" si="164"/>
        <v>0</v>
      </c>
      <c r="ADA22" s="57">
        <f t="shared" si="164"/>
        <v>0</v>
      </c>
      <c r="ADB22" s="57">
        <f t="shared" si="164"/>
        <v>0</v>
      </c>
      <c r="ADC22" s="57">
        <f t="shared" si="164"/>
        <v>0</v>
      </c>
      <c r="ADD22" s="57">
        <f t="shared" si="164"/>
        <v>0</v>
      </c>
      <c r="ADE22" s="57">
        <f t="shared" si="164"/>
        <v>0</v>
      </c>
      <c r="ADF22" s="57">
        <f t="shared" si="164"/>
        <v>0</v>
      </c>
      <c r="ADG22" s="57">
        <f t="shared" si="164"/>
        <v>0</v>
      </c>
      <c r="ADH22" s="57">
        <f t="shared" si="164"/>
        <v>0</v>
      </c>
      <c r="ADI22" s="57">
        <f t="shared" si="164"/>
        <v>0</v>
      </c>
      <c r="ADJ22" s="57">
        <f t="shared" si="164"/>
        <v>0</v>
      </c>
      <c r="ADK22" s="57">
        <f t="shared" si="164"/>
        <v>0</v>
      </c>
      <c r="ADL22" s="57">
        <f t="shared" si="164"/>
        <v>0</v>
      </c>
      <c r="ADM22" s="57">
        <f t="shared" si="164"/>
        <v>0</v>
      </c>
      <c r="ADN22" s="57">
        <f t="shared" si="164"/>
        <v>0</v>
      </c>
      <c r="ADO22" s="57">
        <f t="shared" si="164"/>
        <v>0</v>
      </c>
      <c r="ADP22" s="57">
        <f t="shared" si="164"/>
        <v>0</v>
      </c>
      <c r="ADQ22" s="57">
        <f t="shared" si="164"/>
        <v>0</v>
      </c>
      <c r="ADR22" s="57">
        <f t="shared" si="164"/>
        <v>0</v>
      </c>
      <c r="ADS22" s="57">
        <f t="shared" si="164"/>
        <v>0</v>
      </c>
      <c r="ADT22" s="57">
        <f t="shared" si="164"/>
        <v>0</v>
      </c>
      <c r="ADU22" s="57">
        <f t="shared" si="164"/>
        <v>0</v>
      </c>
      <c r="ADV22" s="57">
        <f t="shared" si="164"/>
        <v>0</v>
      </c>
      <c r="ADW22" s="57">
        <f t="shared" si="164"/>
        <v>0</v>
      </c>
      <c r="ADX22" s="57">
        <f t="shared" si="164"/>
        <v>0</v>
      </c>
      <c r="ADY22" s="57">
        <f t="shared" si="164"/>
        <v>0</v>
      </c>
      <c r="ADZ22" s="57">
        <f t="shared" si="164"/>
        <v>0</v>
      </c>
      <c r="AEA22" s="57">
        <f t="shared" si="164"/>
        <v>0</v>
      </c>
      <c r="AEB22" s="57">
        <f t="shared" si="164"/>
        <v>0</v>
      </c>
      <c r="AEC22" s="57">
        <f t="shared" si="164"/>
        <v>0</v>
      </c>
      <c r="AED22" s="57">
        <f t="shared" si="164"/>
        <v>0</v>
      </c>
      <c r="AEE22" s="57">
        <f t="shared" si="164"/>
        <v>0</v>
      </c>
      <c r="AEF22" s="57">
        <f t="shared" si="164"/>
        <v>0</v>
      </c>
      <c r="AEG22" s="57">
        <f t="shared" si="164"/>
        <v>0</v>
      </c>
      <c r="AEH22" s="57">
        <f t="shared" si="164"/>
        <v>0</v>
      </c>
      <c r="AEI22" s="57">
        <f t="shared" si="164"/>
        <v>0</v>
      </c>
      <c r="AEJ22" s="57">
        <f t="shared" si="164"/>
        <v>0</v>
      </c>
      <c r="AEK22" s="57">
        <f t="shared" si="164"/>
        <v>0</v>
      </c>
      <c r="AEL22" s="57">
        <f t="shared" si="164"/>
        <v>0</v>
      </c>
      <c r="AEM22" s="57">
        <f t="shared" si="164"/>
        <v>0</v>
      </c>
      <c r="AEN22" s="57">
        <f t="shared" si="164"/>
        <v>0</v>
      </c>
      <c r="AEO22" s="57">
        <f t="shared" si="164"/>
        <v>0</v>
      </c>
      <c r="AEP22" s="57">
        <f t="shared" si="164"/>
        <v>0</v>
      </c>
      <c r="AEQ22" s="57">
        <f t="shared" si="164"/>
        <v>0</v>
      </c>
      <c r="AER22" s="57">
        <f t="shared" si="164"/>
        <v>0</v>
      </c>
      <c r="AES22" s="57">
        <f t="shared" si="164"/>
        <v>0</v>
      </c>
      <c r="AET22" s="57">
        <f t="shared" si="164"/>
        <v>0</v>
      </c>
      <c r="AEU22" s="57">
        <f t="shared" si="164"/>
        <v>0</v>
      </c>
      <c r="AEV22" s="57">
        <f t="shared" si="164"/>
        <v>0</v>
      </c>
      <c r="AEW22" s="57">
        <f t="shared" si="164"/>
        <v>0</v>
      </c>
      <c r="AEX22" s="57">
        <f t="shared" si="164"/>
        <v>0</v>
      </c>
      <c r="AEY22" s="57">
        <f t="shared" si="164"/>
        <v>0</v>
      </c>
      <c r="AEZ22" s="57">
        <f t="shared" si="164"/>
        <v>0</v>
      </c>
      <c r="AFA22" s="57">
        <f t="shared" si="164"/>
        <v>0</v>
      </c>
      <c r="AFB22" s="57">
        <f t="shared" si="164"/>
        <v>0</v>
      </c>
      <c r="AFC22" s="57">
        <f t="shared" ref="AFC22:AHN22" si="165">IF(AFC15="Acumulación",$D$7,0)</f>
        <v>0</v>
      </c>
      <c r="AFD22" s="57">
        <f t="shared" si="165"/>
        <v>0</v>
      </c>
      <c r="AFE22" s="57">
        <f t="shared" si="165"/>
        <v>0</v>
      </c>
      <c r="AFF22" s="57">
        <f t="shared" si="165"/>
        <v>0</v>
      </c>
      <c r="AFG22" s="57">
        <f t="shared" si="165"/>
        <v>0</v>
      </c>
      <c r="AFH22" s="57">
        <f t="shared" si="165"/>
        <v>0</v>
      </c>
      <c r="AFI22" s="57">
        <f t="shared" si="165"/>
        <v>0</v>
      </c>
      <c r="AFJ22" s="57">
        <f t="shared" si="165"/>
        <v>0</v>
      </c>
      <c r="AFK22" s="57">
        <f t="shared" si="165"/>
        <v>0</v>
      </c>
      <c r="AFL22" s="57">
        <f t="shared" si="165"/>
        <v>0</v>
      </c>
      <c r="AFM22" s="57">
        <f t="shared" si="165"/>
        <v>0</v>
      </c>
      <c r="AFN22" s="57">
        <f t="shared" si="165"/>
        <v>0</v>
      </c>
      <c r="AFO22" s="57">
        <f t="shared" si="165"/>
        <v>0</v>
      </c>
      <c r="AFP22" s="57">
        <f t="shared" si="165"/>
        <v>0</v>
      </c>
      <c r="AFQ22" s="57">
        <f t="shared" si="165"/>
        <v>0</v>
      </c>
      <c r="AFR22" s="57">
        <f t="shared" si="165"/>
        <v>0</v>
      </c>
      <c r="AFS22" s="57">
        <f t="shared" si="165"/>
        <v>0</v>
      </c>
      <c r="AFT22" s="57">
        <f t="shared" si="165"/>
        <v>0</v>
      </c>
      <c r="AFU22" s="57">
        <f t="shared" si="165"/>
        <v>0</v>
      </c>
      <c r="AFV22" s="57">
        <f t="shared" si="165"/>
        <v>0</v>
      </c>
      <c r="AFW22" s="57">
        <f t="shared" si="165"/>
        <v>0</v>
      </c>
      <c r="AFX22" s="57">
        <f t="shared" si="165"/>
        <v>0</v>
      </c>
      <c r="AFY22" s="57">
        <f t="shared" si="165"/>
        <v>0</v>
      </c>
      <c r="AFZ22" s="57">
        <f t="shared" si="165"/>
        <v>0</v>
      </c>
      <c r="AGA22" s="57">
        <f t="shared" si="165"/>
        <v>0</v>
      </c>
      <c r="AGB22" s="57">
        <f t="shared" si="165"/>
        <v>0</v>
      </c>
      <c r="AGC22" s="57">
        <f t="shared" si="165"/>
        <v>0</v>
      </c>
      <c r="AGD22" s="57">
        <f t="shared" si="165"/>
        <v>0</v>
      </c>
      <c r="AGE22" s="57">
        <f t="shared" si="165"/>
        <v>0</v>
      </c>
      <c r="AGF22" s="57">
        <f t="shared" si="165"/>
        <v>0</v>
      </c>
      <c r="AGG22" s="57">
        <f t="shared" si="165"/>
        <v>0</v>
      </c>
      <c r="AGH22" s="57">
        <f t="shared" si="165"/>
        <v>0</v>
      </c>
      <c r="AGI22" s="57">
        <f t="shared" si="165"/>
        <v>0</v>
      </c>
      <c r="AGJ22" s="57">
        <f t="shared" si="165"/>
        <v>0</v>
      </c>
      <c r="AGK22" s="57">
        <f t="shared" si="165"/>
        <v>0</v>
      </c>
      <c r="AGL22" s="57">
        <f t="shared" si="165"/>
        <v>0</v>
      </c>
      <c r="AGM22" s="57">
        <f t="shared" si="165"/>
        <v>0</v>
      </c>
      <c r="AGN22" s="57">
        <f t="shared" si="165"/>
        <v>0</v>
      </c>
      <c r="AGO22" s="57">
        <f t="shared" si="165"/>
        <v>0</v>
      </c>
      <c r="AGP22" s="57">
        <f t="shared" si="165"/>
        <v>0</v>
      </c>
      <c r="AGQ22" s="57">
        <f t="shared" si="165"/>
        <v>0</v>
      </c>
      <c r="AGR22" s="57">
        <f t="shared" si="165"/>
        <v>0</v>
      </c>
      <c r="AGS22" s="57">
        <f t="shared" si="165"/>
        <v>0</v>
      </c>
      <c r="AGT22" s="57">
        <f t="shared" si="165"/>
        <v>0</v>
      </c>
      <c r="AGU22" s="57">
        <f t="shared" si="165"/>
        <v>0</v>
      </c>
      <c r="AGV22" s="57">
        <f t="shared" si="165"/>
        <v>0</v>
      </c>
      <c r="AGW22" s="57">
        <f t="shared" si="165"/>
        <v>0</v>
      </c>
      <c r="AGX22" s="57">
        <f t="shared" si="165"/>
        <v>0</v>
      </c>
      <c r="AGY22" s="57">
        <f t="shared" si="165"/>
        <v>0</v>
      </c>
      <c r="AGZ22" s="57">
        <f t="shared" si="165"/>
        <v>0</v>
      </c>
      <c r="AHA22" s="57">
        <f t="shared" si="165"/>
        <v>0</v>
      </c>
      <c r="AHB22" s="57">
        <f t="shared" si="165"/>
        <v>0</v>
      </c>
      <c r="AHC22" s="57">
        <f t="shared" si="165"/>
        <v>0</v>
      </c>
      <c r="AHD22" s="57">
        <f t="shared" si="165"/>
        <v>0</v>
      </c>
      <c r="AHE22" s="57">
        <f t="shared" si="165"/>
        <v>0</v>
      </c>
      <c r="AHF22" s="57">
        <f t="shared" si="165"/>
        <v>0</v>
      </c>
      <c r="AHG22" s="57">
        <f t="shared" si="165"/>
        <v>0</v>
      </c>
      <c r="AHH22" s="57">
        <f t="shared" si="165"/>
        <v>0</v>
      </c>
      <c r="AHI22" s="57">
        <f t="shared" si="165"/>
        <v>0</v>
      </c>
      <c r="AHJ22" s="57">
        <f t="shared" si="165"/>
        <v>0</v>
      </c>
      <c r="AHK22" s="57">
        <f t="shared" si="165"/>
        <v>0</v>
      </c>
      <c r="AHL22" s="57">
        <f t="shared" si="165"/>
        <v>0</v>
      </c>
      <c r="AHM22" s="57">
        <f t="shared" si="165"/>
        <v>0</v>
      </c>
      <c r="AHN22" s="57">
        <f t="shared" si="165"/>
        <v>0</v>
      </c>
      <c r="AHO22" s="57">
        <f t="shared" ref="AHO22:AJZ22" si="166">IF(AHO15="Acumulación",$D$7,0)</f>
        <v>0</v>
      </c>
      <c r="AHP22" s="57">
        <f t="shared" si="166"/>
        <v>0</v>
      </c>
      <c r="AHQ22" s="57">
        <f t="shared" si="166"/>
        <v>0</v>
      </c>
      <c r="AHR22" s="57">
        <f t="shared" si="166"/>
        <v>0</v>
      </c>
      <c r="AHS22" s="57">
        <f t="shared" si="166"/>
        <v>0</v>
      </c>
      <c r="AHT22" s="57">
        <f t="shared" si="166"/>
        <v>0</v>
      </c>
      <c r="AHU22" s="57">
        <f t="shared" si="166"/>
        <v>0</v>
      </c>
      <c r="AHV22" s="57">
        <f t="shared" si="166"/>
        <v>0</v>
      </c>
      <c r="AHW22" s="57">
        <f t="shared" si="166"/>
        <v>0</v>
      </c>
      <c r="AHX22" s="57">
        <f t="shared" si="166"/>
        <v>0</v>
      </c>
      <c r="AHY22" s="57">
        <f t="shared" si="166"/>
        <v>0</v>
      </c>
      <c r="AHZ22" s="57">
        <f t="shared" si="166"/>
        <v>0</v>
      </c>
      <c r="AIA22" s="57">
        <f t="shared" si="166"/>
        <v>0</v>
      </c>
      <c r="AIB22" s="57">
        <f t="shared" si="166"/>
        <v>0</v>
      </c>
      <c r="AIC22" s="57">
        <f t="shared" si="166"/>
        <v>0</v>
      </c>
      <c r="AID22" s="57">
        <f t="shared" si="166"/>
        <v>0</v>
      </c>
      <c r="AIE22" s="57">
        <f t="shared" si="166"/>
        <v>0</v>
      </c>
      <c r="AIF22" s="57">
        <f t="shared" si="166"/>
        <v>0</v>
      </c>
      <c r="AIG22" s="57">
        <f t="shared" si="166"/>
        <v>0</v>
      </c>
      <c r="AIH22" s="57">
        <f t="shared" si="166"/>
        <v>0</v>
      </c>
      <c r="AII22" s="57">
        <f t="shared" si="166"/>
        <v>0</v>
      </c>
      <c r="AIJ22" s="57">
        <f t="shared" si="166"/>
        <v>0</v>
      </c>
      <c r="AIK22" s="57">
        <f t="shared" si="166"/>
        <v>0</v>
      </c>
      <c r="AIL22" s="57">
        <f t="shared" si="166"/>
        <v>0</v>
      </c>
      <c r="AIM22" s="57">
        <f t="shared" si="166"/>
        <v>0</v>
      </c>
      <c r="AIN22" s="57">
        <f t="shared" si="166"/>
        <v>0</v>
      </c>
      <c r="AIO22" s="57">
        <f t="shared" si="166"/>
        <v>0</v>
      </c>
      <c r="AIP22" s="57">
        <f t="shared" si="166"/>
        <v>0</v>
      </c>
      <c r="AIQ22" s="57">
        <f t="shared" si="166"/>
        <v>0</v>
      </c>
      <c r="AIR22" s="57">
        <f t="shared" si="166"/>
        <v>0</v>
      </c>
      <c r="AIS22" s="57">
        <f t="shared" si="166"/>
        <v>0</v>
      </c>
      <c r="AIT22" s="57">
        <f t="shared" si="166"/>
        <v>0</v>
      </c>
      <c r="AIU22" s="57">
        <f t="shared" si="166"/>
        <v>0</v>
      </c>
      <c r="AIV22" s="57">
        <f t="shared" si="166"/>
        <v>0</v>
      </c>
      <c r="AIW22" s="57">
        <f t="shared" si="166"/>
        <v>0</v>
      </c>
      <c r="AIX22" s="57">
        <f t="shared" si="166"/>
        <v>0</v>
      </c>
      <c r="AIY22" s="57">
        <f t="shared" si="166"/>
        <v>0</v>
      </c>
      <c r="AIZ22" s="57">
        <f t="shared" si="166"/>
        <v>0</v>
      </c>
      <c r="AJA22" s="57">
        <f t="shared" si="166"/>
        <v>0</v>
      </c>
      <c r="AJB22" s="57">
        <f t="shared" si="166"/>
        <v>0</v>
      </c>
      <c r="AJC22" s="57">
        <f t="shared" si="166"/>
        <v>0</v>
      </c>
      <c r="AJD22" s="57">
        <f t="shared" si="166"/>
        <v>0</v>
      </c>
      <c r="AJE22" s="57">
        <f t="shared" si="166"/>
        <v>0</v>
      </c>
      <c r="AJF22" s="57">
        <f t="shared" si="166"/>
        <v>0</v>
      </c>
      <c r="AJG22" s="57">
        <f t="shared" si="166"/>
        <v>0</v>
      </c>
      <c r="AJH22" s="57">
        <f t="shared" si="166"/>
        <v>0</v>
      </c>
      <c r="AJI22" s="57">
        <f t="shared" si="166"/>
        <v>0</v>
      </c>
      <c r="AJJ22" s="57">
        <f t="shared" si="166"/>
        <v>0</v>
      </c>
      <c r="AJK22" s="57">
        <f t="shared" si="166"/>
        <v>0</v>
      </c>
      <c r="AJL22" s="57">
        <f t="shared" si="166"/>
        <v>0</v>
      </c>
      <c r="AJM22" s="57">
        <f t="shared" si="166"/>
        <v>0</v>
      </c>
      <c r="AJN22" s="57">
        <f t="shared" si="166"/>
        <v>0</v>
      </c>
      <c r="AJO22" s="57">
        <f t="shared" si="166"/>
        <v>0</v>
      </c>
      <c r="AJP22" s="57">
        <f t="shared" si="166"/>
        <v>0</v>
      </c>
      <c r="AJQ22" s="57">
        <f t="shared" si="166"/>
        <v>0</v>
      </c>
      <c r="AJR22" s="57">
        <f t="shared" si="166"/>
        <v>0</v>
      </c>
      <c r="AJS22" s="57">
        <f t="shared" si="166"/>
        <v>0</v>
      </c>
      <c r="AJT22" s="57">
        <f t="shared" si="166"/>
        <v>0</v>
      </c>
      <c r="AJU22" s="57">
        <f t="shared" si="166"/>
        <v>0</v>
      </c>
      <c r="AJV22" s="57">
        <f t="shared" si="166"/>
        <v>0</v>
      </c>
      <c r="AJW22" s="57">
        <f t="shared" si="166"/>
        <v>0</v>
      </c>
      <c r="AJX22" s="57">
        <f t="shared" si="166"/>
        <v>0</v>
      </c>
      <c r="AJY22" s="57">
        <f t="shared" si="166"/>
        <v>0</v>
      </c>
      <c r="AJZ22" s="57">
        <f t="shared" si="166"/>
        <v>0</v>
      </c>
      <c r="AKA22" s="57">
        <f t="shared" ref="AKA22:AML22" si="167">IF(AKA15="Acumulación",$D$7,0)</f>
        <v>0</v>
      </c>
      <c r="AKB22" s="57">
        <f t="shared" si="167"/>
        <v>0</v>
      </c>
      <c r="AKC22" s="57">
        <f t="shared" si="167"/>
        <v>0</v>
      </c>
      <c r="AKD22" s="57">
        <f t="shared" si="167"/>
        <v>0</v>
      </c>
      <c r="AKE22" s="57">
        <f t="shared" si="167"/>
        <v>0</v>
      </c>
      <c r="AKF22" s="57">
        <f t="shared" si="167"/>
        <v>0</v>
      </c>
      <c r="AKG22" s="57">
        <f t="shared" si="167"/>
        <v>0</v>
      </c>
      <c r="AKH22" s="57">
        <f t="shared" si="167"/>
        <v>0</v>
      </c>
      <c r="AKI22" s="57">
        <f t="shared" si="167"/>
        <v>0</v>
      </c>
      <c r="AKJ22" s="57">
        <f t="shared" si="167"/>
        <v>0</v>
      </c>
      <c r="AKK22" s="57">
        <f t="shared" si="167"/>
        <v>0</v>
      </c>
      <c r="AKL22" s="57">
        <f t="shared" si="167"/>
        <v>0</v>
      </c>
      <c r="AKM22" s="57">
        <f t="shared" si="167"/>
        <v>0</v>
      </c>
      <c r="AKN22" s="57">
        <f t="shared" si="167"/>
        <v>0</v>
      </c>
      <c r="AKO22" s="57">
        <f t="shared" si="167"/>
        <v>0</v>
      </c>
      <c r="AKP22" s="57">
        <f t="shared" si="167"/>
        <v>0</v>
      </c>
      <c r="AKQ22" s="57">
        <f t="shared" si="167"/>
        <v>0</v>
      </c>
      <c r="AKR22" s="57">
        <f t="shared" si="167"/>
        <v>0</v>
      </c>
      <c r="AKS22" s="57">
        <f t="shared" si="167"/>
        <v>0</v>
      </c>
      <c r="AKT22" s="57">
        <f t="shared" si="167"/>
        <v>0</v>
      </c>
      <c r="AKU22" s="57">
        <f t="shared" si="167"/>
        <v>0</v>
      </c>
      <c r="AKV22" s="57">
        <f t="shared" si="167"/>
        <v>0</v>
      </c>
      <c r="AKW22" s="57">
        <f t="shared" si="167"/>
        <v>0</v>
      </c>
      <c r="AKX22" s="57">
        <f t="shared" si="167"/>
        <v>0</v>
      </c>
      <c r="AKY22" s="57">
        <f t="shared" si="167"/>
        <v>0</v>
      </c>
      <c r="AKZ22" s="57">
        <f t="shared" si="167"/>
        <v>0</v>
      </c>
      <c r="ALA22" s="57">
        <f t="shared" si="167"/>
        <v>0</v>
      </c>
      <c r="ALB22" s="57">
        <f t="shared" si="167"/>
        <v>0</v>
      </c>
      <c r="ALC22" s="57">
        <f t="shared" si="167"/>
        <v>0</v>
      </c>
      <c r="ALD22" s="57">
        <f t="shared" si="167"/>
        <v>0</v>
      </c>
      <c r="ALE22" s="57">
        <f t="shared" si="167"/>
        <v>0</v>
      </c>
      <c r="ALF22" s="57">
        <f t="shared" si="167"/>
        <v>0</v>
      </c>
      <c r="ALG22" s="57">
        <f t="shared" si="167"/>
        <v>0</v>
      </c>
      <c r="ALH22" s="57">
        <f t="shared" si="167"/>
        <v>0</v>
      </c>
      <c r="ALI22" s="57">
        <f t="shared" si="167"/>
        <v>0</v>
      </c>
      <c r="ALJ22" s="57">
        <f t="shared" si="167"/>
        <v>0</v>
      </c>
      <c r="ALK22" s="57">
        <f t="shared" si="167"/>
        <v>0</v>
      </c>
      <c r="ALL22" s="57">
        <f t="shared" si="167"/>
        <v>0</v>
      </c>
      <c r="ALM22" s="57">
        <f t="shared" si="167"/>
        <v>0</v>
      </c>
      <c r="ALN22" s="57">
        <f t="shared" si="167"/>
        <v>0</v>
      </c>
      <c r="ALO22" s="57">
        <f t="shared" si="167"/>
        <v>0</v>
      </c>
      <c r="ALP22" s="57">
        <f t="shared" si="167"/>
        <v>0</v>
      </c>
      <c r="ALQ22" s="57">
        <f t="shared" si="167"/>
        <v>0</v>
      </c>
      <c r="ALR22" s="57">
        <f t="shared" si="167"/>
        <v>0</v>
      </c>
      <c r="ALS22" s="57">
        <f t="shared" si="167"/>
        <v>0</v>
      </c>
      <c r="ALT22" s="57">
        <f t="shared" si="167"/>
        <v>0</v>
      </c>
      <c r="ALU22" s="57">
        <f t="shared" si="167"/>
        <v>0</v>
      </c>
      <c r="ALV22" s="57">
        <f t="shared" si="167"/>
        <v>0</v>
      </c>
      <c r="ALW22" s="57">
        <f t="shared" si="167"/>
        <v>0</v>
      </c>
      <c r="ALX22" s="57">
        <f t="shared" si="167"/>
        <v>0</v>
      </c>
      <c r="ALY22" s="57">
        <f t="shared" si="167"/>
        <v>0</v>
      </c>
      <c r="ALZ22" s="57">
        <f t="shared" si="167"/>
        <v>0</v>
      </c>
      <c r="AMA22" s="57">
        <f t="shared" si="167"/>
        <v>0</v>
      </c>
      <c r="AMB22" s="57">
        <f t="shared" si="167"/>
        <v>0</v>
      </c>
      <c r="AMC22" s="57">
        <f t="shared" si="167"/>
        <v>0</v>
      </c>
      <c r="AMD22" s="57">
        <f t="shared" si="167"/>
        <v>0</v>
      </c>
      <c r="AME22" s="57">
        <f t="shared" si="167"/>
        <v>0</v>
      </c>
      <c r="AMF22" s="57">
        <f t="shared" si="167"/>
        <v>0</v>
      </c>
      <c r="AMG22" s="57">
        <f t="shared" si="167"/>
        <v>0</v>
      </c>
      <c r="AMH22" s="57">
        <f t="shared" si="167"/>
        <v>0</v>
      </c>
      <c r="AMI22" s="57">
        <f t="shared" si="167"/>
        <v>0</v>
      </c>
      <c r="AMJ22" s="57">
        <f t="shared" si="167"/>
        <v>0</v>
      </c>
      <c r="AMK22" s="57">
        <f t="shared" si="167"/>
        <v>0</v>
      </c>
      <c r="AML22" s="57">
        <f t="shared" si="167"/>
        <v>0</v>
      </c>
      <c r="AMM22" s="57">
        <f t="shared" ref="AMM22:AOP22" si="168">IF(AMM15="Acumulación",$D$7,0)</f>
        <v>0</v>
      </c>
      <c r="AMN22" s="57">
        <f t="shared" si="168"/>
        <v>0</v>
      </c>
      <c r="AMO22" s="57">
        <f t="shared" si="168"/>
        <v>0</v>
      </c>
      <c r="AMP22" s="57">
        <f t="shared" si="168"/>
        <v>0</v>
      </c>
      <c r="AMQ22" s="57">
        <f t="shared" si="168"/>
        <v>0</v>
      </c>
      <c r="AMR22" s="57">
        <f t="shared" si="168"/>
        <v>0</v>
      </c>
      <c r="AMS22" s="57">
        <f t="shared" si="168"/>
        <v>0</v>
      </c>
      <c r="AMT22" s="57">
        <f t="shared" si="168"/>
        <v>0</v>
      </c>
      <c r="AMU22" s="57">
        <f t="shared" si="168"/>
        <v>0</v>
      </c>
      <c r="AMV22" s="57">
        <f t="shared" si="168"/>
        <v>0</v>
      </c>
      <c r="AMW22" s="57">
        <f t="shared" si="168"/>
        <v>0</v>
      </c>
      <c r="AMX22" s="57">
        <f t="shared" si="168"/>
        <v>0</v>
      </c>
      <c r="AMY22" s="57">
        <f t="shared" si="168"/>
        <v>0</v>
      </c>
      <c r="AMZ22" s="57">
        <f t="shared" si="168"/>
        <v>0</v>
      </c>
      <c r="ANA22" s="57">
        <f t="shared" si="168"/>
        <v>0</v>
      </c>
      <c r="ANB22" s="57">
        <f t="shared" si="168"/>
        <v>0</v>
      </c>
      <c r="ANC22" s="57">
        <f t="shared" si="168"/>
        <v>0</v>
      </c>
      <c r="AND22" s="57">
        <f t="shared" si="168"/>
        <v>0</v>
      </c>
      <c r="ANE22" s="57">
        <f t="shared" si="168"/>
        <v>0</v>
      </c>
      <c r="ANF22" s="57">
        <f t="shared" si="168"/>
        <v>0</v>
      </c>
      <c r="ANG22" s="57">
        <f t="shared" si="168"/>
        <v>0</v>
      </c>
      <c r="ANH22" s="57">
        <f t="shared" si="168"/>
        <v>0</v>
      </c>
      <c r="ANI22" s="57">
        <f t="shared" si="168"/>
        <v>0</v>
      </c>
      <c r="ANJ22" s="57">
        <f t="shared" si="168"/>
        <v>0</v>
      </c>
      <c r="ANK22" s="57">
        <f t="shared" si="168"/>
        <v>0</v>
      </c>
      <c r="ANL22" s="57">
        <f t="shared" si="168"/>
        <v>0</v>
      </c>
      <c r="ANM22" s="57">
        <f t="shared" si="168"/>
        <v>0</v>
      </c>
      <c r="ANN22" s="57">
        <f t="shared" si="168"/>
        <v>0</v>
      </c>
      <c r="ANO22" s="57">
        <f t="shared" si="168"/>
        <v>0</v>
      </c>
      <c r="ANP22" s="57">
        <f t="shared" si="168"/>
        <v>0</v>
      </c>
      <c r="ANQ22" s="57">
        <f t="shared" si="168"/>
        <v>0</v>
      </c>
      <c r="ANR22" s="57">
        <f t="shared" si="168"/>
        <v>0</v>
      </c>
      <c r="ANS22" s="57">
        <f t="shared" si="168"/>
        <v>0</v>
      </c>
      <c r="ANT22" s="57">
        <f t="shared" si="168"/>
        <v>0</v>
      </c>
      <c r="ANU22" s="57">
        <f t="shared" si="168"/>
        <v>0</v>
      </c>
      <c r="ANV22" s="57">
        <f t="shared" si="168"/>
        <v>0</v>
      </c>
      <c r="ANW22" s="57">
        <f t="shared" si="168"/>
        <v>0</v>
      </c>
      <c r="ANX22" s="57">
        <f t="shared" si="168"/>
        <v>0</v>
      </c>
      <c r="ANY22" s="57">
        <f t="shared" si="168"/>
        <v>0</v>
      </c>
      <c r="ANZ22" s="57">
        <f t="shared" si="168"/>
        <v>0</v>
      </c>
      <c r="AOA22" s="57">
        <f t="shared" si="168"/>
        <v>0</v>
      </c>
      <c r="AOB22" s="57">
        <f t="shared" si="168"/>
        <v>0</v>
      </c>
      <c r="AOC22" s="57">
        <f t="shared" si="168"/>
        <v>0</v>
      </c>
      <c r="AOD22" s="57">
        <f t="shared" si="168"/>
        <v>0</v>
      </c>
      <c r="AOE22" s="57">
        <f t="shared" si="168"/>
        <v>0</v>
      </c>
      <c r="AOF22" s="57">
        <f t="shared" si="168"/>
        <v>0</v>
      </c>
      <c r="AOG22" s="57">
        <f t="shared" si="168"/>
        <v>0</v>
      </c>
      <c r="AOH22" s="57">
        <f t="shared" si="168"/>
        <v>0</v>
      </c>
      <c r="AOI22" s="57">
        <f t="shared" si="168"/>
        <v>0</v>
      </c>
      <c r="AOJ22" s="57">
        <f t="shared" si="168"/>
        <v>0</v>
      </c>
      <c r="AOK22" s="57">
        <f t="shared" si="168"/>
        <v>0</v>
      </c>
      <c r="AOL22" s="57">
        <f t="shared" si="168"/>
        <v>0</v>
      </c>
      <c r="AOM22" s="57">
        <f t="shared" si="168"/>
        <v>0</v>
      </c>
      <c r="AON22" s="57">
        <f t="shared" si="168"/>
        <v>0</v>
      </c>
      <c r="AOO22" s="57">
        <f t="shared" si="168"/>
        <v>0</v>
      </c>
      <c r="AOP22" s="57">
        <f t="shared" si="168"/>
        <v>0</v>
      </c>
    </row>
    <row r="23" spans="2:1102" x14ac:dyDescent="0.25">
      <c r="B23" s="42" t="s">
        <v>177</v>
      </c>
      <c r="C23" s="57">
        <f>IF(C16="Desacumulación",$I$7,0)</f>
        <v>0</v>
      </c>
      <c r="D23" s="57">
        <f t="shared" ref="D23:BO23" si="169">IF(D16="Desacumulación",$I$7,0)</f>
        <v>0</v>
      </c>
      <c r="E23" s="57">
        <f t="shared" si="169"/>
        <v>0</v>
      </c>
      <c r="F23" s="57">
        <f t="shared" si="169"/>
        <v>0</v>
      </c>
      <c r="G23" s="57">
        <f t="shared" si="169"/>
        <v>0</v>
      </c>
      <c r="H23" s="57">
        <f t="shared" si="169"/>
        <v>0</v>
      </c>
      <c r="I23" s="57">
        <f t="shared" si="169"/>
        <v>0</v>
      </c>
      <c r="J23" s="57">
        <f t="shared" si="169"/>
        <v>0</v>
      </c>
      <c r="K23" s="57">
        <f t="shared" si="169"/>
        <v>0</v>
      </c>
      <c r="L23" s="57">
        <f t="shared" si="169"/>
        <v>0</v>
      </c>
      <c r="M23" s="57">
        <f t="shared" si="169"/>
        <v>0</v>
      </c>
      <c r="N23" s="57">
        <f t="shared" si="169"/>
        <v>0</v>
      </c>
      <c r="O23" s="57">
        <f t="shared" si="169"/>
        <v>0</v>
      </c>
      <c r="P23" s="57">
        <f t="shared" si="169"/>
        <v>0</v>
      </c>
      <c r="Q23" s="57">
        <f t="shared" si="169"/>
        <v>0</v>
      </c>
      <c r="R23" s="57">
        <f t="shared" si="169"/>
        <v>0</v>
      </c>
      <c r="S23" s="57">
        <f t="shared" si="169"/>
        <v>0</v>
      </c>
      <c r="T23" s="57">
        <f t="shared" si="169"/>
        <v>0</v>
      </c>
      <c r="U23" s="57">
        <f t="shared" si="169"/>
        <v>0</v>
      </c>
      <c r="V23" s="57">
        <f t="shared" si="169"/>
        <v>0</v>
      </c>
      <c r="W23" s="57">
        <f t="shared" si="169"/>
        <v>0</v>
      </c>
      <c r="X23" s="57">
        <f t="shared" si="169"/>
        <v>0</v>
      </c>
      <c r="Y23" s="57">
        <f t="shared" si="169"/>
        <v>0</v>
      </c>
      <c r="Z23" s="57">
        <f t="shared" si="169"/>
        <v>0</v>
      </c>
      <c r="AA23" s="57">
        <f t="shared" si="169"/>
        <v>0</v>
      </c>
      <c r="AB23" s="57">
        <f t="shared" si="169"/>
        <v>0</v>
      </c>
      <c r="AC23" s="57">
        <f t="shared" si="169"/>
        <v>0</v>
      </c>
      <c r="AD23" s="57">
        <f t="shared" si="169"/>
        <v>0</v>
      </c>
      <c r="AE23" s="57">
        <f t="shared" si="169"/>
        <v>0</v>
      </c>
      <c r="AF23" s="57">
        <f t="shared" si="169"/>
        <v>0</v>
      </c>
      <c r="AG23" s="57">
        <f t="shared" si="169"/>
        <v>0</v>
      </c>
      <c r="AH23" s="57">
        <f t="shared" si="169"/>
        <v>0</v>
      </c>
      <c r="AI23" s="57">
        <f t="shared" si="169"/>
        <v>0</v>
      </c>
      <c r="AJ23" s="57">
        <f t="shared" si="169"/>
        <v>0</v>
      </c>
      <c r="AK23" s="57">
        <f t="shared" si="169"/>
        <v>0</v>
      </c>
      <c r="AL23" s="57">
        <f t="shared" si="169"/>
        <v>0</v>
      </c>
      <c r="AM23" s="57">
        <f t="shared" si="169"/>
        <v>0</v>
      </c>
      <c r="AN23" s="57">
        <f t="shared" si="169"/>
        <v>0</v>
      </c>
      <c r="AO23" s="57">
        <f t="shared" si="169"/>
        <v>0</v>
      </c>
      <c r="AP23" s="57">
        <f t="shared" si="169"/>
        <v>0</v>
      </c>
      <c r="AQ23" s="57">
        <f t="shared" si="169"/>
        <v>0</v>
      </c>
      <c r="AR23" s="57">
        <f t="shared" si="169"/>
        <v>0</v>
      </c>
      <c r="AS23" s="57">
        <f t="shared" si="169"/>
        <v>0</v>
      </c>
      <c r="AT23" s="57">
        <f t="shared" si="169"/>
        <v>0</v>
      </c>
      <c r="AU23" s="57">
        <f t="shared" si="169"/>
        <v>0</v>
      </c>
      <c r="AV23" s="57">
        <f t="shared" si="169"/>
        <v>0</v>
      </c>
      <c r="AW23" s="57">
        <f t="shared" si="169"/>
        <v>0</v>
      </c>
      <c r="AX23" s="57">
        <f t="shared" si="169"/>
        <v>0</v>
      </c>
      <c r="AY23" s="57">
        <f t="shared" si="169"/>
        <v>0</v>
      </c>
      <c r="AZ23" s="57">
        <f t="shared" si="169"/>
        <v>0</v>
      </c>
      <c r="BA23" s="57">
        <f t="shared" si="169"/>
        <v>0</v>
      </c>
      <c r="BB23" s="57">
        <f t="shared" si="169"/>
        <v>0</v>
      </c>
      <c r="BC23" s="57">
        <f t="shared" si="169"/>
        <v>0</v>
      </c>
      <c r="BD23" s="57">
        <f t="shared" si="169"/>
        <v>0</v>
      </c>
      <c r="BE23" s="57">
        <f t="shared" si="169"/>
        <v>0</v>
      </c>
      <c r="BF23" s="57">
        <f t="shared" si="169"/>
        <v>0</v>
      </c>
      <c r="BG23" s="57">
        <f t="shared" si="169"/>
        <v>0</v>
      </c>
      <c r="BH23" s="57">
        <f t="shared" si="169"/>
        <v>0</v>
      </c>
      <c r="BI23" s="57">
        <f t="shared" si="169"/>
        <v>0</v>
      </c>
      <c r="BJ23" s="57">
        <f t="shared" si="169"/>
        <v>0</v>
      </c>
      <c r="BK23" s="57">
        <f t="shared" si="169"/>
        <v>0</v>
      </c>
      <c r="BL23" s="57">
        <f t="shared" si="169"/>
        <v>0</v>
      </c>
      <c r="BM23" s="57">
        <f t="shared" si="169"/>
        <v>0</v>
      </c>
      <c r="BN23" s="57">
        <f t="shared" si="169"/>
        <v>0</v>
      </c>
      <c r="BO23" s="57">
        <f t="shared" si="169"/>
        <v>0</v>
      </c>
      <c r="BP23" s="57">
        <f t="shared" ref="BP23:EA23" si="170">IF(BP16="Desacumulación",$I$7,0)</f>
        <v>0</v>
      </c>
      <c r="BQ23" s="57">
        <f t="shared" si="170"/>
        <v>0</v>
      </c>
      <c r="BR23" s="57">
        <f t="shared" si="170"/>
        <v>0</v>
      </c>
      <c r="BS23" s="57">
        <f t="shared" si="170"/>
        <v>0</v>
      </c>
      <c r="BT23" s="57">
        <f t="shared" si="170"/>
        <v>0</v>
      </c>
      <c r="BU23" s="57">
        <f t="shared" si="170"/>
        <v>0</v>
      </c>
      <c r="BV23" s="57">
        <f t="shared" si="170"/>
        <v>0</v>
      </c>
      <c r="BW23" s="57">
        <f t="shared" si="170"/>
        <v>0</v>
      </c>
      <c r="BX23" s="57">
        <f t="shared" si="170"/>
        <v>0</v>
      </c>
      <c r="BY23" s="57">
        <f t="shared" si="170"/>
        <v>0</v>
      </c>
      <c r="BZ23" s="57">
        <f t="shared" si="170"/>
        <v>0</v>
      </c>
      <c r="CA23" s="57">
        <f t="shared" si="170"/>
        <v>0</v>
      </c>
      <c r="CB23" s="57">
        <f t="shared" si="170"/>
        <v>0</v>
      </c>
      <c r="CC23" s="57">
        <f t="shared" si="170"/>
        <v>0</v>
      </c>
      <c r="CD23" s="57">
        <f t="shared" si="170"/>
        <v>0</v>
      </c>
      <c r="CE23" s="57">
        <f t="shared" si="170"/>
        <v>0</v>
      </c>
      <c r="CF23" s="57">
        <f t="shared" si="170"/>
        <v>0</v>
      </c>
      <c r="CG23" s="57">
        <f t="shared" si="170"/>
        <v>0</v>
      </c>
      <c r="CH23" s="57">
        <f t="shared" si="170"/>
        <v>0</v>
      </c>
      <c r="CI23" s="57">
        <f t="shared" si="170"/>
        <v>0</v>
      </c>
      <c r="CJ23" s="57">
        <f t="shared" si="170"/>
        <v>0</v>
      </c>
      <c r="CK23" s="57">
        <f t="shared" si="170"/>
        <v>0</v>
      </c>
      <c r="CL23" s="57">
        <f t="shared" si="170"/>
        <v>0</v>
      </c>
      <c r="CM23" s="57">
        <f t="shared" si="170"/>
        <v>0</v>
      </c>
      <c r="CN23" s="57">
        <f t="shared" si="170"/>
        <v>0</v>
      </c>
      <c r="CO23" s="57">
        <f t="shared" si="170"/>
        <v>0</v>
      </c>
      <c r="CP23" s="57">
        <f t="shared" si="170"/>
        <v>0</v>
      </c>
      <c r="CQ23" s="57">
        <f t="shared" si="170"/>
        <v>0</v>
      </c>
      <c r="CR23" s="57">
        <f t="shared" si="170"/>
        <v>0</v>
      </c>
      <c r="CS23" s="57">
        <f t="shared" si="170"/>
        <v>0</v>
      </c>
      <c r="CT23" s="57">
        <f t="shared" si="170"/>
        <v>0</v>
      </c>
      <c r="CU23" s="57">
        <f t="shared" si="170"/>
        <v>0</v>
      </c>
      <c r="CV23" s="57">
        <f t="shared" si="170"/>
        <v>0</v>
      </c>
      <c r="CW23" s="57">
        <f t="shared" si="170"/>
        <v>0</v>
      </c>
      <c r="CX23" s="57">
        <f t="shared" si="170"/>
        <v>0</v>
      </c>
      <c r="CY23" s="57">
        <f t="shared" si="170"/>
        <v>0</v>
      </c>
      <c r="CZ23" s="57">
        <f t="shared" si="170"/>
        <v>0</v>
      </c>
      <c r="DA23" s="57">
        <f t="shared" si="170"/>
        <v>0</v>
      </c>
      <c r="DB23" s="57">
        <f t="shared" si="170"/>
        <v>0</v>
      </c>
      <c r="DC23" s="57">
        <f t="shared" si="170"/>
        <v>0</v>
      </c>
      <c r="DD23" s="57">
        <f t="shared" si="170"/>
        <v>0</v>
      </c>
      <c r="DE23" s="57">
        <f t="shared" si="170"/>
        <v>0</v>
      </c>
      <c r="DF23" s="57">
        <f t="shared" si="170"/>
        <v>0</v>
      </c>
      <c r="DG23" s="57">
        <f t="shared" si="170"/>
        <v>0</v>
      </c>
      <c r="DH23" s="57">
        <f t="shared" si="170"/>
        <v>0</v>
      </c>
      <c r="DI23" s="57">
        <f t="shared" si="170"/>
        <v>0</v>
      </c>
      <c r="DJ23" s="57">
        <f t="shared" si="170"/>
        <v>0</v>
      </c>
      <c r="DK23" s="57">
        <f t="shared" si="170"/>
        <v>0</v>
      </c>
      <c r="DL23" s="57">
        <f t="shared" si="170"/>
        <v>0</v>
      </c>
      <c r="DM23" s="57">
        <f t="shared" si="170"/>
        <v>0</v>
      </c>
      <c r="DN23" s="57">
        <f t="shared" si="170"/>
        <v>0</v>
      </c>
      <c r="DO23" s="57">
        <f t="shared" si="170"/>
        <v>0</v>
      </c>
      <c r="DP23" s="57">
        <f t="shared" si="170"/>
        <v>0</v>
      </c>
      <c r="DQ23" s="57">
        <f t="shared" si="170"/>
        <v>0</v>
      </c>
      <c r="DR23" s="57">
        <f t="shared" si="170"/>
        <v>0</v>
      </c>
      <c r="DS23" s="57">
        <f t="shared" si="170"/>
        <v>0</v>
      </c>
      <c r="DT23" s="57">
        <f t="shared" si="170"/>
        <v>0</v>
      </c>
      <c r="DU23" s="57">
        <f t="shared" si="170"/>
        <v>0</v>
      </c>
      <c r="DV23" s="57">
        <f t="shared" si="170"/>
        <v>0</v>
      </c>
      <c r="DW23" s="57">
        <f t="shared" si="170"/>
        <v>0</v>
      </c>
      <c r="DX23" s="57">
        <f t="shared" si="170"/>
        <v>0</v>
      </c>
      <c r="DY23" s="57">
        <f t="shared" si="170"/>
        <v>0</v>
      </c>
      <c r="DZ23" s="57">
        <f t="shared" si="170"/>
        <v>0</v>
      </c>
      <c r="EA23" s="57">
        <f t="shared" si="170"/>
        <v>0</v>
      </c>
      <c r="EB23" s="57">
        <f t="shared" ref="EB23:GM23" si="171">IF(EB16="Desacumulación",$I$7,0)</f>
        <v>0</v>
      </c>
      <c r="EC23" s="57">
        <f t="shared" si="171"/>
        <v>0</v>
      </c>
      <c r="ED23" s="57">
        <f t="shared" si="171"/>
        <v>0</v>
      </c>
      <c r="EE23" s="57">
        <f t="shared" si="171"/>
        <v>0</v>
      </c>
      <c r="EF23" s="57">
        <f t="shared" si="171"/>
        <v>0</v>
      </c>
      <c r="EG23" s="57">
        <f t="shared" si="171"/>
        <v>0</v>
      </c>
      <c r="EH23" s="57">
        <f t="shared" si="171"/>
        <v>0</v>
      </c>
      <c r="EI23" s="57">
        <f t="shared" si="171"/>
        <v>0</v>
      </c>
      <c r="EJ23" s="57">
        <f t="shared" si="171"/>
        <v>0</v>
      </c>
      <c r="EK23" s="57">
        <f t="shared" si="171"/>
        <v>0</v>
      </c>
      <c r="EL23" s="57">
        <f t="shared" si="171"/>
        <v>0</v>
      </c>
      <c r="EM23" s="57">
        <f t="shared" si="171"/>
        <v>0</v>
      </c>
      <c r="EN23" s="57">
        <f t="shared" si="171"/>
        <v>0</v>
      </c>
      <c r="EO23" s="57">
        <f t="shared" si="171"/>
        <v>0</v>
      </c>
      <c r="EP23" s="57">
        <f t="shared" si="171"/>
        <v>0</v>
      </c>
      <c r="EQ23" s="57">
        <f t="shared" si="171"/>
        <v>0</v>
      </c>
      <c r="ER23" s="57">
        <f t="shared" si="171"/>
        <v>0</v>
      </c>
      <c r="ES23" s="57">
        <f t="shared" si="171"/>
        <v>0</v>
      </c>
      <c r="ET23" s="57">
        <f t="shared" si="171"/>
        <v>0</v>
      </c>
      <c r="EU23" s="57">
        <f t="shared" si="171"/>
        <v>0</v>
      </c>
      <c r="EV23" s="57">
        <f t="shared" si="171"/>
        <v>0</v>
      </c>
      <c r="EW23" s="57">
        <f t="shared" si="171"/>
        <v>0</v>
      </c>
      <c r="EX23" s="57">
        <f t="shared" si="171"/>
        <v>0</v>
      </c>
      <c r="EY23" s="57">
        <f t="shared" si="171"/>
        <v>0</v>
      </c>
      <c r="EZ23" s="57">
        <f t="shared" si="171"/>
        <v>0</v>
      </c>
      <c r="FA23" s="57">
        <f t="shared" si="171"/>
        <v>0</v>
      </c>
      <c r="FB23" s="57">
        <f t="shared" si="171"/>
        <v>0</v>
      </c>
      <c r="FC23" s="57">
        <f t="shared" si="171"/>
        <v>0</v>
      </c>
      <c r="FD23" s="57">
        <f t="shared" si="171"/>
        <v>0</v>
      </c>
      <c r="FE23" s="57">
        <f t="shared" si="171"/>
        <v>0</v>
      </c>
      <c r="FF23" s="57">
        <f t="shared" si="171"/>
        <v>0</v>
      </c>
      <c r="FG23" s="57">
        <f t="shared" si="171"/>
        <v>0</v>
      </c>
      <c r="FH23" s="57">
        <f t="shared" si="171"/>
        <v>0</v>
      </c>
      <c r="FI23" s="57">
        <f t="shared" si="171"/>
        <v>0</v>
      </c>
      <c r="FJ23" s="57">
        <f t="shared" si="171"/>
        <v>0</v>
      </c>
      <c r="FK23" s="57">
        <f t="shared" si="171"/>
        <v>0</v>
      </c>
      <c r="FL23" s="57">
        <f t="shared" si="171"/>
        <v>0</v>
      </c>
      <c r="FM23" s="57">
        <f t="shared" si="171"/>
        <v>0</v>
      </c>
      <c r="FN23" s="57">
        <f t="shared" si="171"/>
        <v>0</v>
      </c>
      <c r="FO23" s="57">
        <f t="shared" si="171"/>
        <v>0</v>
      </c>
      <c r="FP23" s="57">
        <f t="shared" si="171"/>
        <v>0</v>
      </c>
      <c r="FQ23" s="57">
        <f t="shared" si="171"/>
        <v>0</v>
      </c>
      <c r="FR23" s="57">
        <f t="shared" si="171"/>
        <v>0</v>
      </c>
      <c r="FS23" s="57">
        <f t="shared" si="171"/>
        <v>0</v>
      </c>
      <c r="FT23" s="57">
        <f t="shared" si="171"/>
        <v>0</v>
      </c>
      <c r="FU23" s="57">
        <f t="shared" si="171"/>
        <v>0</v>
      </c>
      <c r="FV23" s="57">
        <f t="shared" si="171"/>
        <v>0</v>
      </c>
      <c r="FW23" s="57">
        <f t="shared" si="171"/>
        <v>0</v>
      </c>
      <c r="FX23" s="57">
        <f t="shared" si="171"/>
        <v>0</v>
      </c>
      <c r="FY23" s="57">
        <f t="shared" si="171"/>
        <v>0</v>
      </c>
      <c r="FZ23" s="57">
        <f t="shared" si="171"/>
        <v>0</v>
      </c>
      <c r="GA23" s="57">
        <f t="shared" si="171"/>
        <v>0</v>
      </c>
      <c r="GB23" s="57">
        <f t="shared" si="171"/>
        <v>0</v>
      </c>
      <c r="GC23" s="57">
        <f t="shared" si="171"/>
        <v>0</v>
      </c>
      <c r="GD23" s="57">
        <f t="shared" si="171"/>
        <v>0</v>
      </c>
      <c r="GE23" s="57">
        <f t="shared" si="171"/>
        <v>0</v>
      </c>
      <c r="GF23" s="57">
        <f t="shared" si="171"/>
        <v>0</v>
      </c>
      <c r="GG23" s="57">
        <f t="shared" si="171"/>
        <v>0</v>
      </c>
      <c r="GH23" s="57">
        <f t="shared" si="171"/>
        <v>0</v>
      </c>
      <c r="GI23" s="57">
        <f t="shared" si="171"/>
        <v>0</v>
      </c>
      <c r="GJ23" s="57">
        <f t="shared" si="171"/>
        <v>0</v>
      </c>
      <c r="GK23" s="57">
        <f t="shared" si="171"/>
        <v>0</v>
      </c>
      <c r="GL23" s="57">
        <f t="shared" si="171"/>
        <v>0</v>
      </c>
      <c r="GM23" s="57">
        <f t="shared" si="171"/>
        <v>0</v>
      </c>
      <c r="GN23" s="57">
        <f t="shared" ref="GN23:IY23" si="172">IF(GN16="Desacumulación",$I$7,0)</f>
        <v>0</v>
      </c>
      <c r="GO23" s="57">
        <f t="shared" si="172"/>
        <v>0</v>
      </c>
      <c r="GP23" s="57">
        <f t="shared" si="172"/>
        <v>0</v>
      </c>
      <c r="GQ23" s="57">
        <f t="shared" si="172"/>
        <v>0</v>
      </c>
      <c r="GR23" s="57">
        <f t="shared" si="172"/>
        <v>0</v>
      </c>
      <c r="GS23" s="57">
        <f t="shared" si="172"/>
        <v>0</v>
      </c>
      <c r="GT23" s="57">
        <f t="shared" si="172"/>
        <v>0</v>
      </c>
      <c r="GU23" s="57">
        <f t="shared" si="172"/>
        <v>0</v>
      </c>
      <c r="GV23" s="57">
        <f t="shared" si="172"/>
        <v>0</v>
      </c>
      <c r="GW23" s="57">
        <f t="shared" si="172"/>
        <v>0</v>
      </c>
      <c r="GX23" s="57">
        <f t="shared" si="172"/>
        <v>0</v>
      </c>
      <c r="GY23" s="57">
        <f t="shared" si="172"/>
        <v>0</v>
      </c>
      <c r="GZ23" s="57">
        <f t="shared" si="172"/>
        <v>0</v>
      </c>
      <c r="HA23" s="57">
        <f t="shared" si="172"/>
        <v>0</v>
      </c>
      <c r="HB23" s="57">
        <f t="shared" si="172"/>
        <v>0</v>
      </c>
      <c r="HC23" s="57">
        <f t="shared" si="172"/>
        <v>0</v>
      </c>
      <c r="HD23" s="57">
        <f t="shared" si="172"/>
        <v>0</v>
      </c>
      <c r="HE23" s="57">
        <f t="shared" si="172"/>
        <v>0</v>
      </c>
      <c r="HF23" s="57">
        <f t="shared" si="172"/>
        <v>0</v>
      </c>
      <c r="HG23" s="57">
        <f t="shared" si="172"/>
        <v>0</v>
      </c>
      <c r="HH23" s="57">
        <f t="shared" si="172"/>
        <v>0</v>
      </c>
      <c r="HI23" s="57">
        <f t="shared" si="172"/>
        <v>0</v>
      </c>
      <c r="HJ23" s="57">
        <f t="shared" si="172"/>
        <v>0</v>
      </c>
      <c r="HK23" s="57">
        <f t="shared" si="172"/>
        <v>0</v>
      </c>
      <c r="HL23" s="57">
        <f t="shared" si="172"/>
        <v>0</v>
      </c>
      <c r="HM23" s="57">
        <f t="shared" si="172"/>
        <v>0</v>
      </c>
      <c r="HN23" s="57">
        <f t="shared" si="172"/>
        <v>0</v>
      </c>
      <c r="HO23" s="57">
        <f t="shared" si="172"/>
        <v>0</v>
      </c>
      <c r="HP23" s="57">
        <f t="shared" si="172"/>
        <v>0</v>
      </c>
      <c r="HQ23" s="57">
        <f t="shared" si="172"/>
        <v>0</v>
      </c>
      <c r="HR23" s="57">
        <f t="shared" si="172"/>
        <v>0</v>
      </c>
      <c r="HS23" s="57">
        <f t="shared" si="172"/>
        <v>0</v>
      </c>
      <c r="HT23" s="57">
        <f t="shared" si="172"/>
        <v>0</v>
      </c>
      <c r="HU23" s="57">
        <f t="shared" si="172"/>
        <v>0</v>
      </c>
      <c r="HV23" s="57">
        <f t="shared" si="172"/>
        <v>0</v>
      </c>
      <c r="HW23" s="57">
        <f t="shared" si="172"/>
        <v>0</v>
      </c>
      <c r="HX23" s="57">
        <f t="shared" si="172"/>
        <v>0</v>
      </c>
      <c r="HY23" s="57">
        <f t="shared" si="172"/>
        <v>0</v>
      </c>
      <c r="HZ23" s="57">
        <f t="shared" si="172"/>
        <v>0</v>
      </c>
      <c r="IA23" s="57">
        <f t="shared" si="172"/>
        <v>0</v>
      </c>
      <c r="IB23" s="57">
        <f t="shared" si="172"/>
        <v>0</v>
      </c>
      <c r="IC23" s="57">
        <f t="shared" si="172"/>
        <v>0</v>
      </c>
      <c r="ID23" s="57">
        <f t="shared" si="172"/>
        <v>0</v>
      </c>
      <c r="IE23" s="57">
        <f t="shared" si="172"/>
        <v>0</v>
      </c>
      <c r="IF23" s="57">
        <f t="shared" si="172"/>
        <v>0</v>
      </c>
      <c r="IG23" s="57">
        <f t="shared" si="172"/>
        <v>0</v>
      </c>
      <c r="IH23" s="57">
        <f t="shared" si="172"/>
        <v>0</v>
      </c>
      <c r="II23" s="57">
        <f t="shared" si="172"/>
        <v>0</v>
      </c>
      <c r="IJ23" s="57">
        <f t="shared" si="172"/>
        <v>0</v>
      </c>
      <c r="IK23" s="57">
        <f t="shared" si="172"/>
        <v>0</v>
      </c>
      <c r="IL23" s="57">
        <f t="shared" si="172"/>
        <v>0</v>
      </c>
      <c r="IM23" s="57">
        <f t="shared" si="172"/>
        <v>0</v>
      </c>
      <c r="IN23" s="57">
        <f t="shared" si="172"/>
        <v>0</v>
      </c>
      <c r="IO23" s="57">
        <f t="shared" si="172"/>
        <v>0</v>
      </c>
      <c r="IP23" s="57">
        <f t="shared" si="172"/>
        <v>0</v>
      </c>
      <c r="IQ23" s="57">
        <f t="shared" si="172"/>
        <v>0</v>
      </c>
      <c r="IR23" s="57">
        <f t="shared" si="172"/>
        <v>0</v>
      </c>
      <c r="IS23" s="57">
        <f t="shared" si="172"/>
        <v>0</v>
      </c>
      <c r="IT23" s="57">
        <f t="shared" si="172"/>
        <v>0</v>
      </c>
      <c r="IU23" s="57">
        <f t="shared" si="172"/>
        <v>0</v>
      </c>
      <c r="IV23" s="57">
        <f t="shared" si="172"/>
        <v>0</v>
      </c>
      <c r="IW23" s="57">
        <f t="shared" si="172"/>
        <v>0</v>
      </c>
      <c r="IX23" s="57">
        <f t="shared" si="172"/>
        <v>0</v>
      </c>
      <c r="IY23" s="57">
        <f t="shared" si="172"/>
        <v>0</v>
      </c>
      <c r="IZ23" s="57">
        <f t="shared" ref="IZ23:LK23" si="173">IF(IZ16="Desacumulación",$I$7,0)</f>
        <v>0</v>
      </c>
      <c r="JA23" s="57">
        <f t="shared" si="173"/>
        <v>0</v>
      </c>
      <c r="JB23" s="57">
        <f t="shared" si="173"/>
        <v>0</v>
      </c>
      <c r="JC23" s="57">
        <f t="shared" si="173"/>
        <v>0</v>
      </c>
      <c r="JD23" s="57">
        <f t="shared" si="173"/>
        <v>0</v>
      </c>
      <c r="JE23" s="57">
        <f t="shared" si="173"/>
        <v>0</v>
      </c>
      <c r="JF23" s="57">
        <f t="shared" si="173"/>
        <v>0</v>
      </c>
      <c r="JG23" s="57">
        <f t="shared" si="173"/>
        <v>0</v>
      </c>
      <c r="JH23" s="57">
        <f t="shared" si="173"/>
        <v>0</v>
      </c>
      <c r="JI23" s="57">
        <f t="shared" si="173"/>
        <v>0</v>
      </c>
      <c r="JJ23" s="57">
        <f t="shared" si="173"/>
        <v>0</v>
      </c>
      <c r="JK23" s="57">
        <f t="shared" si="173"/>
        <v>0</v>
      </c>
      <c r="JL23" s="57">
        <f t="shared" si="173"/>
        <v>0</v>
      </c>
      <c r="JM23" s="57">
        <f t="shared" si="173"/>
        <v>0</v>
      </c>
      <c r="JN23" s="57">
        <f t="shared" si="173"/>
        <v>0</v>
      </c>
      <c r="JO23" s="57">
        <f t="shared" si="173"/>
        <v>0</v>
      </c>
      <c r="JP23" s="57">
        <f t="shared" si="173"/>
        <v>0</v>
      </c>
      <c r="JQ23" s="57">
        <f t="shared" si="173"/>
        <v>0</v>
      </c>
      <c r="JR23" s="57">
        <f t="shared" si="173"/>
        <v>0</v>
      </c>
      <c r="JS23" s="57">
        <f t="shared" si="173"/>
        <v>0</v>
      </c>
      <c r="JT23" s="57">
        <f t="shared" si="173"/>
        <v>0</v>
      </c>
      <c r="JU23" s="57">
        <f t="shared" si="173"/>
        <v>0</v>
      </c>
      <c r="JV23" s="57">
        <f t="shared" si="173"/>
        <v>0</v>
      </c>
      <c r="JW23" s="57">
        <f t="shared" si="173"/>
        <v>0</v>
      </c>
      <c r="JX23" s="57">
        <f t="shared" si="173"/>
        <v>0</v>
      </c>
      <c r="JY23" s="57">
        <f t="shared" si="173"/>
        <v>0</v>
      </c>
      <c r="JZ23" s="57">
        <f t="shared" si="173"/>
        <v>0</v>
      </c>
      <c r="KA23" s="57">
        <f t="shared" si="173"/>
        <v>0</v>
      </c>
      <c r="KB23" s="57">
        <f t="shared" si="173"/>
        <v>0</v>
      </c>
      <c r="KC23" s="57">
        <f t="shared" si="173"/>
        <v>0</v>
      </c>
      <c r="KD23" s="57">
        <f t="shared" si="173"/>
        <v>0</v>
      </c>
      <c r="KE23" s="57">
        <f t="shared" si="173"/>
        <v>0</v>
      </c>
      <c r="KF23" s="57">
        <f t="shared" si="173"/>
        <v>0</v>
      </c>
      <c r="KG23" s="57">
        <f t="shared" si="173"/>
        <v>0</v>
      </c>
      <c r="KH23" s="57">
        <f t="shared" si="173"/>
        <v>0</v>
      </c>
      <c r="KI23" s="57">
        <f t="shared" si="173"/>
        <v>0</v>
      </c>
      <c r="KJ23" s="57">
        <f t="shared" si="173"/>
        <v>0</v>
      </c>
      <c r="KK23" s="57">
        <f t="shared" si="173"/>
        <v>0</v>
      </c>
      <c r="KL23" s="57">
        <f t="shared" si="173"/>
        <v>0</v>
      </c>
      <c r="KM23" s="57">
        <f t="shared" si="173"/>
        <v>0</v>
      </c>
      <c r="KN23" s="57">
        <f t="shared" si="173"/>
        <v>0</v>
      </c>
      <c r="KO23" s="57">
        <f t="shared" si="173"/>
        <v>0</v>
      </c>
      <c r="KP23" s="57">
        <f t="shared" si="173"/>
        <v>0</v>
      </c>
      <c r="KQ23" s="57">
        <f t="shared" si="173"/>
        <v>0</v>
      </c>
      <c r="KR23" s="57">
        <f t="shared" si="173"/>
        <v>0</v>
      </c>
      <c r="KS23" s="57">
        <f t="shared" si="173"/>
        <v>0</v>
      </c>
      <c r="KT23" s="57">
        <f t="shared" si="173"/>
        <v>0</v>
      </c>
      <c r="KU23" s="57">
        <f t="shared" si="173"/>
        <v>0</v>
      </c>
      <c r="KV23" s="57">
        <f t="shared" si="173"/>
        <v>0</v>
      </c>
      <c r="KW23" s="57">
        <f t="shared" si="173"/>
        <v>0</v>
      </c>
      <c r="KX23" s="57">
        <f t="shared" si="173"/>
        <v>0</v>
      </c>
      <c r="KY23" s="57">
        <f t="shared" si="173"/>
        <v>0</v>
      </c>
      <c r="KZ23" s="57">
        <f t="shared" si="173"/>
        <v>0</v>
      </c>
      <c r="LA23" s="57">
        <f t="shared" si="173"/>
        <v>0</v>
      </c>
      <c r="LB23" s="57">
        <f t="shared" si="173"/>
        <v>0</v>
      </c>
      <c r="LC23" s="57">
        <f t="shared" si="173"/>
        <v>0</v>
      </c>
      <c r="LD23" s="57">
        <f t="shared" si="173"/>
        <v>0</v>
      </c>
      <c r="LE23" s="57">
        <f t="shared" si="173"/>
        <v>0</v>
      </c>
      <c r="LF23" s="57">
        <f t="shared" si="173"/>
        <v>0</v>
      </c>
      <c r="LG23" s="57">
        <f t="shared" si="173"/>
        <v>0</v>
      </c>
      <c r="LH23" s="57">
        <f t="shared" si="173"/>
        <v>0</v>
      </c>
      <c r="LI23" s="57">
        <f t="shared" si="173"/>
        <v>0</v>
      </c>
      <c r="LJ23" s="57">
        <f t="shared" si="173"/>
        <v>0</v>
      </c>
      <c r="LK23" s="57">
        <f t="shared" si="173"/>
        <v>0</v>
      </c>
      <c r="LL23" s="57">
        <f t="shared" ref="LL23:NW23" si="174">IF(LL16="Desacumulación",$I$7,0)</f>
        <v>0</v>
      </c>
      <c r="LM23" s="57">
        <f t="shared" si="174"/>
        <v>0</v>
      </c>
      <c r="LN23" s="57">
        <f t="shared" si="174"/>
        <v>0</v>
      </c>
      <c r="LO23" s="57">
        <f t="shared" si="174"/>
        <v>0</v>
      </c>
      <c r="LP23" s="57">
        <f t="shared" si="174"/>
        <v>0</v>
      </c>
      <c r="LQ23" s="57">
        <f t="shared" si="174"/>
        <v>0</v>
      </c>
      <c r="LR23" s="57">
        <f t="shared" si="174"/>
        <v>0</v>
      </c>
      <c r="LS23" s="57">
        <f t="shared" si="174"/>
        <v>0</v>
      </c>
      <c r="LT23" s="57">
        <f t="shared" si="174"/>
        <v>0</v>
      </c>
      <c r="LU23" s="57">
        <f t="shared" si="174"/>
        <v>0</v>
      </c>
      <c r="LV23" s="57">
        <f t="shared" si="174"/>
        <v>0</v>
      </c>
      <c r="LW23" s="57">
        <f t="shared" si="174"/>
        <v>0</v>
      </c>
      <c r="LX23" s="57">
        <f t="shared" si="174"/>
        <v>0</v>
      </c>
      <c r="LY23" s="57">
        <f t="shared" si="174"/>
        <v>0</v>
      </c>
      <c r="LZ23" s="57">
        <f t="shared" si="174"/>
        <v>0</v>
      </c>
      <c r="MA23" s="57">
        <f t="shared" si="174"/>
        <v>0</v>
      </c>
      <c r="MB23" s="57">
        <f t="shared" si="174"/>
        <v>0</v>
      </c>
      <c r="MC23" s="57">
        <f t="shared" si="174"/>
        <v>0</v>
      </c>
      <c r="MD23" s="57">
        <f t="shared" si="174"/>
        <v>0</v>
      </c>
      <c r="ME23" s="57">
        <f t="shared" si="174"/>
        <v>0</v>
      </c>
      <c r="MF23" s="57">
        <f t="shared" si="174"/>
        <v>0</v>
      </c>
      <c r="MG23" s="57">
        <f t="shared" si="174"/>
        <v>0</v>
      </c>
      <c r="MH23" s="57">
        <f t="shared" si="174"/>
        <v>0</v>
      </c>
      <c r="MI23" s="57">
        <f t="shared" si="174"/>
        <v>0</v>
      </c>
      <c r="MJ23" s="57">
        <f t="shared" si="174"/>
        <v>0</v>
      </c>
      <c r="MK23" s="57">
        <f t="shared" si="174"/>
        <v>0</v>
      </c>
      <c r="ML23" s="57">
        <f t="shared" si="174"/>
        <v>0</v>
      </c>
      <c r="MM23" s="57">
        <f t="shared" si="174"/>
        <v>0</v>
      </c>
      <c r="MN23" s="57">
        <f t="shared" si="174"/>
        <v>0</v>
      </c>
      <c r="MO23" s="57">
        <f t="shared" si="174"/>
        <v>0</v>
      </c>
      <c r="MP23" s="57">
        <f t="shared" si="174"/>
        <v>0</v>
      </c>
      <c r="MQ23" s="57">
        <f t="shared" si="174"/>
        <v>0</v>
      </c>
      <c r="MR23" s="57">
        <f t="shared" si="174"/>
        <v>0</v>
      </c>
      <c r="MS23" s="57">
        <f t="shared" si="174"/>
        <v>0</v>
      </c>
      <c r="MT23" s="57">
        <f t="shared" si="174"/>
        <v>0</v>
      </c>
      <c r="MU23" s="57">
        <f t="shared" si="174"/>
        <v>0</v>
      </c>
      <c r="MV23" s="57">
        <f t="shared" si="174"/>
        <v>0</v>
      </c>
      <c r="MW23" s="57">
        <f t="shared" si="174"/>
        <v>0</v>
      </c>
      <c r="MX23" s="57">
        <f t="shared" si="174"/>
        <v>0</v>
      </c>
      <c r="MY23" s="57">
        <f t="shared" si="174"/>
        <v>0</v>
      </c>
      <c r="MZ23" s="57">
        <f t="shared" si="174"/>
        <v>0</v>
      </c>
      <c r="NA23" s="57">
        <f t="shared" si="174"/>
        <v>0</v>
      </c>
      <c r="NB23" s="57">
        <f t="shared" si="174"/>
        <v>0</v>
      </c>
      <c r="NC23" s="57">
        <f t="shared" si="174"/>
        <v>0</v>
      </c>
      <c r="ND23" s="57">
        <f t="shared" si="174"/>
        <v>0</v>
      </c>
      <c r="NE23" s="57">
        <f t="shared" si="174"/>
        <v>0</v>
      </c>
      <c r="NF23" s="57">
        <f t="shared" si="174"/>
        <v>0</v>
      </c>
      <c r="NG23" s="57">
        <f t="shared" si="174"/>
        <v>0</v>
      </c>
      <c r="NH23" s="57">
        <f t="shared" si="174"/>
        <v>0</v>
      </c>
      <c r="NI23" s="57">
        <f t="shared" si="174"/>
        <v>0</v>
      </c>
      <c r="NJ23" s="57">
        <f t="shared" si="174"/>
        <v>0</v>
      </c>
      <c r="NK23" s="57">
        <f t="shared" si="174"/>
        <v>0</v>
      </c>
      <c r="NL23" s="57">
        <f t="shared" si="174"/>
        <v>0</v>
      </c>
      <c r="NM23" s="57">
        <f t="shared" si="174"/>
        <v>0</v>
      </c>
      <c r="NN23" s="57">
        <f t="shared" si="174"/>
        <v>0</v>
      </c>
      <c r="NO23" s="57">
        <f t="shared" si="174"/>
        <v>0</v>
      </c>
      <c r="NP23" s="57">
        <f t="shared" si="174"/>
        <v>0</v>
      </c>
      <c r="NQ23" s="57">
        <f t="shared" si="174"/>
        <v>0</v>
      </c>
      <c r="NR23" s="57">
        <f t="shared" si="174"/>
        <v>0</v>
      </c>
      <c r="NS23" s="57">
        <f t="shared" si="174"/>
        <v>0</v>
      </c>
      <c r="NT23" s="57">
        <f t="shared" si="174"/>
        <v>0</v>
      </c>
      <c r="NU23" s="57">
        <f t="shared" si="174"/>
        <v>0</v>
      </c>
      <c r="NV23" s="57">
        <f t="shared" si="174"/>
        <v>0</v>
      </c>
      <c r="NW23" s="57">
        <f t="shared" si="174"/>
        <v>0</v>
      </c>
      <c r="NX23" s="57">
        <f t="shared" ref="NX23:QI23" si="175">IF(NX16="Desacumulación",$I$7,0)</f>
        <v>0</v>
      </c>
      <c r="NY23" s="57">
        <f t="shared" si="175"/>
        <v>0</v>
      </c>
      <c r="NZ23" s="57">
        <f t="shared" si="175"/>
        <v>0</v>
      </c>
      <c r="OA23" s="57">
        <f t="shared" si="175"/>
        <v>0</v>
      </c>
      <c r="OB23" s="57">
        <f t="shared" si="175"/>
        <v>0</v>
      </c>
      <c r="OC23" s="57">
        <f t="shared" si="175"/>
        <v>0</v>
      </c>
      <c r="OD23" s="57">
        <f t="shared" si="175"/>
        <v>0</v>
      </c>
      <c r="OE23" s="57">
        <f t="shared" si="175"/>
        <v>0</v>
      </c>
      <c r="OF23" s="57">
        <f t="shared" si="175"/>
        <v>0</v>
      </c>
      <c r="OG23" s="57">
        <f t="shared" si="175"/>
        <v>0</v>
      </c>
      <c r="OH23" s="57">
        <f t="shared" si="175"/>
        <v>0</v>
      </c>
      <c r="OI23" s="57">
        <f t="shared" si="175"/>
        <v>0</v>
      </c>
      <c r="OJ23" s="57">
        <f t="shared" si="175"/>
        <v>0</v>
      </c>
      <c r="OK23" s="57">
        <f t="shared" si="175"/>
        <v>0</v>
      </c>
      <c r="OL23" s="57">
        <f t="shared" si="175"/>
        <v>0</v>
      </c>
      <c r="OM23" s="57">
        <f t="shared" si="175"/>
        <v>0</v>
      </c>
      <c r="ON23" s="57">
        <f t="shared" si="175"/>
        <v>0</v>
      </c>
      <c r="OO23" s="57">
        <f t="shared" si="175"/>
        <v>0</v>
      </c>
      <c r="OP23" s="57">
        <f t="shared" si="175"/>
        <v>0</v>
      </c>
      <c r="OQ23" s="57">
        <f t="shared" si="175"/>
        <v>0</v>
      </c>
      <c r="OR23" s="57">
        <f t="shared" si="175"/>
        <v>0</v>
      </c>
      <c r="OS23" s="57">
        <f t="shared" si="175"/>
        <v>0</v>
      </c>
      <c r="OT23" s="57">
        <f t="shared" si="175"/>
        <v>0</v>
      </c>
      <c r="OU23" s="57">
        <f t="shared" si="175"/>
        <v>0</v>
      </c>
      <c r="OV23" s="57">
        <f t="shared" si="175"/>
        <v>0</v>
      </c>
      <c r="OW23" s="57">
        <f t="shared" si="175"/>
        <v>0</v>
      </c>
      <c r="OX23" s="57">
        <f t="shared" si="175"/>
        <v>0</v>
      </c>
      <c r="OY23" s="57">
        <f t="shared" si="175"/>
        <v>0</v>
      </c>
      <c r="OZ23" s="57">
        <f t="shared" si="175"/>
        <v>0</v>
      </c>
      <c r="PA23" s="57">
        <f t="shared" si="175"/>
        <v>0</v>
      </c>
      <c r="PB23" s="57">
        <f t="shared" si="175"/>
        <v>0</v>
      </c>
      <c r="PC23" s="57">
        <f t="shared" si="175"/>
        <v>0</v>
      </c>
      <c r="PD23" s="57">
        <f t="shared" si="175"/>
        <v>0</v>
      </c>
      <c r="PE23" s="57">
        <f t="shared" si="175"/>
        <v>0</v>
      </c>
      <c r="PF23" s="57">
        <f t="shared" si="175"/>
        <v>0</v>
      </c>
      <c r="PG23" s="57">
        <f t="shared" si="175"/>
        <v>0</v>
      </c>
      <c r="PH23" s="57">
        <f t="shared" si="175"/>
        <v>0</v>
      </c>
      <c r="PI23" s="57">
        <f t="shared" si="175"/>
        <v>0</v>
      </c>
      <c r="PJ23" s="57">
        <f t="shared" si="175"/>
        <v>0</v>
      </c>
      <c r="PK23" s="57">
        <f t="shared" si="175"/>
        <v>0</v>
      </c>
      <c r="PL23" s="57">
        <f t="shared" si="175"/>
        <v>0</v>
      </c>
      <c r="PM23" s="57">
        <f t="shared" si="175"/>
        <v>0</v>
      </c>
      <c r="PN23" s="57">
        <f t="shared" si="175"/>
        <v>0</v>
      </c>
      <c r="PO23" s="57">
        <f t="shared" si="175"/>
        <v>0</v>
      </c>
      <c r="PP23" s="57">
        <f t="shared" si="175"/>
        <v>0</v>
      </c>
      <c r="PQ23" s="57">
        <f t="shared" si="175"/>
        <v>0</v>
      </c>
      <c r="PR23" s="57">
        <f t="shared" si="175"/>
        <v>0</v>
      </c>
      <c r="PS23" s="57">
        <f t="shared" si="175"/>
        <v>0</v>
      </c>
      <c r="PT23" s="57">
        <f t="shared" si="175"/>
        <v>0</v>
      </c>
      <c r="PU23" s="57">
        <f t="shared" si="175"/>
        <v>0</v>
      </c>
      <c r="PV23" s="57">
        <f t="shared" si="175"/>
        <v>0</v>
      </c>
      <c r="PW23" s="57">
        <f t="shared" si="175"/>
        <v>0</v>
      </c>
      <c r="PX23" s="57">
        <f t="shared" si="175"/>
        <v>0</v>
      </c>
      <c r="PY23" s="57">
        <f t="shared" si="175"/>
        <v>0</v>
      </c>
      <c r="PZ23" s="57">
        <f t="shared" si="175"/>
        <v>0</v>
      </c>
      <c r="QA23" s="57">
        <f t="shared" si="175"/>
        <v>0</v>
      </c>
      <c r="QB23" s="57">
        <f t="shared" si="175"/>
        <v>0</v>
      </c>
      <c r="QC23" s="57">
        <f t="shared" si="175"/>
        <v>0</v>
      </c>
      <c r="QD23" s="57">
        <f t="shared" si="175"/>
        <v>0</v>
      </c>
      <c r="QE23" s="57">
        <f t="shared" si="175"/>
        <v>0</v>
      </c>
      <c r="QF23" s="57">
        <f t="shared" si="175"/>
        <v>0</v>
      </c>
      <c r="QG23" s="57">
        <f t="shared" si="175"/>
        <v>0</v>
      </c>
      <c r="QH23" s="57">
        <f t="shared" si="175"/>
        <v>0</v>
      </c>
      <c r="QI23" s="57">
        <f t="shared" si="175"/>
        <v>0</v>
      </c>
      <c r="QJ23" s="57">
        <f t="shared" ref="QJ23:SU23" si="176">IF(QJ16="Desacumulación",$I$7,0)</f>
        <v>0</v>
      </c>
      <c r="QK23" s="57">
        <f t="shared" si="176"/>
        <v>0</v>
      </c>
      <c r="QL23" s="57">
        <f t="shared" si="176"/>
        <v>0</v>
      </c>
      <c r="QM23" s="57">
        <f t="shared" si="176"/>
        <v>0</v>
      </c>
      <c r="QN23" s="57">
        <f t="shared" si="176"/>
        <v>0</v>
      </c>
      <c r="QO23" s="57">
        <f t="shared" si="176"/>
        <v>0</v>
      </c>
      <c r="QP23" s="57">
        <f t="shared" si="176"/>
        <v>0</v>
      </c>
      <c r="QQ23" s="57">
        <f t="shared" si="176"/>
        <v>0</v>
      </c>
      <c r="QR23" s="57">
        <f t="shared" si="176"/>
        <v>0</v>
      </c>
      <c r="QS23" s="57">
        <f t="shared" si="176"/>
        <v>0</v>
      </c>
      <c r="QT23" s="57">
        <f t="shared" si="176"/>
        <v>0</v>
      </c>
      <c r="QU23" s="57">
        <f t="shared" si="176"/>
        <v>0</v>
      </c>
      <c r="QV23" s="57">
        <f t="shared" si="176"/>
        <v>0</v>
      </c>
      <c r="QW23" s="57">
        <f t="shared" si="176"/>
        <v>0</v>
      </c>
      <c r="QX23" s="57">
        <f t="shared" si="176"/>
        <v>0</v>
      </c>
      <c r="QY23" s="57">
        <f t="shared" si="176"/>
        <v>0</v>
      </c>
      <c r="QZ23" s="57">
        <f t="shared" si="176"/>
        <v>0</v>
      </c>
      <c r="RA23" s="57">
        <f t="shared" si="176"/>
        <v>0</v>
      </c>
      <c r="RB23" s="57">
        <f t="shared" si="176"/>
        <v>0</v>
      </c>
      <c r="RC23" s="57">
        <f t="shared" si="176"/>
        <v>0</v>
      </c>
      <c r="RD23" s="57">
        <f t="shared" si="176"/>
        <v>0</v>
      </c>
      <c r="RE23" s="57">
        <f t="shared" si="176"/>
        <v>0</v>
      </c>
      <c r="RF23" s="57">
        <f t="shared" si="176"/>
        <v>0</v>
      </c>
      <c r="RG23" s="57">
        <f t="shared" si="176"/>
        <v>0</v>
      </c>
      <c r="RH23" s="57">
        <f t="shared" si="176"/>
        <v>0</v>
      </c>
      <c r="RI23" s="57">
        <f t="shared" si="176"/>
        <v>0</v>
      </c>
      <c r="RJ23" s="57">
        <f t="shared" si="176"/>
        <v>0</v>
      </c>
      <c r="RK23" s="57">
        <f t="shared" si="176"/>
        <v>0</v>
      </c>
      <c r="RL23" s="57">
        <f t="shared" si="176"/>
        <v>0</v>
      </c>
      <c r="RM23" s="57">
        <f t="shared" si="176"/>
        <v>0</v>
      </c>
      <c r="RN23" s="57">
        <f t="shared" si="176"/>
        <v>0</v>
      </c>
      <c r="RO23" s="57">
        <f t="shared" si="176"/>
        <v>0</v>
      </c>
      <c r="RP23" s="57">
        <f t="shared" si="176"/>
        <v>0</v>
      </c>
      <c r="RQ23" s="57">
        <f t="shared" si="176"/>
        <v>0</v>
      </c>
      <c r="RR23" s="57">
        <f t="shared" si="176"/>
        <v>0</v>
      </c>
      <c r="RS23" s="57">
        <f t="shared" si="176"/>
        <v>0</v>
      </c>
      <c r="RT23" s="57">
        <f t="shared" si="176"/>
        <v>0</v>
      </c>
      <c r="RU23" s="57">
        <f t="shared" si="176"/>
        <v>0</v>
      </c>
      <c r="RV23" s="57">
        <f t="shared" si="176"/>
        <v>0</v>
      </c>
      <c r="RW23" s="57">
        <f t="shared" si="176"/>
        <v>0</v>
      </c>
      <c r="RX23" s="57">
        <f t="shared" si="176"/>
        <v>0</v>
      </c>
      <c r="RY23" s="57">
        <f t="shared" si="176"/>
        <v>0</v>
      </c>
      <c r="RZ23" s="57">
        <f t="shared" si="176"/>
        <v>0</v>
      </c>
      <c r="SA23" s="57">
        <f t="shared" si="176"/>
        <v>0</v>
      </c>
      <c r="SB23" s="57">
        <f t="shared" si="176"/>
        <v>0</v>
      </c>
      <c r="SC23" s="57">
        <f t="shared" si="176"/>
        <v>0</v>
      </c>
      <c r="SD23" s="57">
        <f t="shared" si="176"/>
        <v>0</v>
      </c>
      <c r="SE23" s="57">
        <f t="shared" si="176"/>
        <v>0</v>
      </c>
      <c r="SF23" s="57">
        <f t="shared" si="176"/>
        <v>0</v>
      </c>
      <c r="SG23" s="57">
        <f t="shared" si="176"/>
        <v>0</v>
      </c>
      <c r="SH23" s="57">
        <f t="shared" si="176"/>
        <v>0</v>
      </c>
      <c r="SI23" s="57">
        <f t="shared" si="176"/>
        <v>0</v>
      </c>
      <c r="SJ23" s="57">
        <f t="shared" si="176"/>
        <v>0</v>
      </c>
      <c r="SK23" s="57">
        <f t="shared" si="176"/>
        <v>0</v>
      </c>
      <c r="SL23" s="57">
        <f t="shared" si="176"/>
        <v>0</v>
      </c>
      <c r="SM23" s="57">
        <f t="shared" si="176"/>
        <v>0</v>
      </c>
      <c r="SN23" s="57">
        <f t="shared" si="176"/>
        <v>0</v>
      </c>
      <c r="SO23" s="57">
        <f t="shared" si="176"/>
        <v>0</v>
      </c>
      <c r="SP23" s="57">
        <f t="shared" si="176"/>
        <v>0</v>
      </c>
      <c r="SQ23" s="57">
        <f t="shared" si="176"/>
        <v>0</v>
      </c>
      <c r="SR23" s="57">
        <f t="shared" si="176"/>
        <v>0</v>
      </c>
      <c r="SS23" s="57">
        <f t="shared" si="176"/>
        <v>0</v>
      </c>
      <c r="ST23" s="57">
        <f t="shared" si="176"/>
        <v>0</v>
      </c>
      <c r="SU23" s="57">
        <f t="shared" si="176"/>
        <v>0</v>
      </c>
      <c r="SV23" s="57">
        <f t="shared" ref="SV23:VG23" si="177">IF(SV16="Desacumulación",$I$7,0)</f>
        <v>0</v>
      </c>
      <c r="SW23" s="57">
        <f t="shared" si="177"/>
        <v>0</v>
      </c>
      <c r="SX23" s="57">
        <f t="shared" si="177"/>
        <v>0</v>
      </c>
      <c r="SY23" s="57">
        <f t="shared" si="177"/>
        <v>0</v>
      </c>
      <c r="SZ23" s="57">
        <f t="shared" si="177"/>
        <v>0</v>
      </c>
      <c r="TA23" s="57">
        <f t="shared" si="177"/>
        <v>0</v>
      </c>
      <c r="TB23" s="57">
        <f t="shared" si="177"/>
        <v>0</v>
      </c>
      <c r="TC23" s="57">
        <f t="shared" si="177"/>
        <v>0</v>
      </c>
      <c r="TD23" s="57">
        <f t="shared" si="177"/>
        <v>0</v>
      </c>
      <c r="TE23" s="57">
        <f t="shared" si="177"/>
        <v>0</v>
      </c>
      <c r="TF23" s="57">
        <f t="shared" si="177"/>
        <v>0</v>
      </c>
      <c r="TG23" s="57">
        <f t="shared" si="177"/>
        <v>0</v>
      </c>
      <c r="TH23" s="57">
        <f t="shared" si="177"/>
        <v>0</v>
      </c>
      <c r="TI23" s="57">
        <f t="shared" si="177"/>
        <v>0</v>
      </c>
      <c r="TJ23" s="57">
        <f t="shared" si="177"/>
        <v>0</v>
      </c>
      <c r="TK23" s="57">
        <f t="shared" si="177"/>
        <v>0</v>
      </c>
      <c r="TL23" s="57">
        <f t="shared" si="177"/>
        <v>0</v>
      </c>
      <c r="TM23" s="57">
        <f t="shared" si="177"/>
        <v>0</v>
      </c>
      <c r="TN23" s="57">
        <f t="shared" si="177"/>
        <v>0</v>
      </c>
      <c r="TO23" s="57">
        <f t="shared" si="177"/>
        <v>0</v>
      </c>
      <c r="TP23" s="57">
        <f t="shared" si="177"/>
        <v>0</v>
      </c>
      <c r="TQ23" s="57">
        <f t="shared" si="177"/>
        <v>0</v>
      </c>
      <c r="TR23" s="57">
        <f t="shared" si="177"/>
        <v>0</v>
      </c>
      <c r="TS23" s="57">
        <f t="shared" si="177"/>
        <v>0</v>
      </c>
      <c r="TT23" s="57">
        <f t="shared" si="177"/>
        <v>0</v>
      </c>
      <c r="TU23" s="57">
        <f t="shared" si="177"/>
        <v>0</v>
      </c>
      <c r="TV23" s="57">
        <f t="shared" si="177"/>
        <v>0</v>
      </c>
      <c r="TW23" s="57">
        <f t="shared" si="177"/>
        <v>0</v>
      </c>
      <c r="TX23" s="57">
        <f t="shared" si="177"/>
        <v>0</v>
      </c>
      <c r="TY23" s="57">
        <f t="shared" si="177"/>
        <v>0</v>
      </c>
      <c r="TZ23" s="57">
        <f t="shared" si="177"/>
        <v>0</v>
      </c>
      <c r="UA23" s="57">
        <f t="shared" si="177"/>
        <v>0</v>
      </c>
      <c r="UB23" s="57">
        <f t="shared" si="177"/>
        <v>0</v>
      </c>
      <c r="UC23" s="57">
        <f t="shared" si="177"/>
        <v>0</v>
      </c>
      <c r="UD23" s="57">
        <f t="shared" si="177"/>
        <v>0</v>
      </c>
      <c r="UE23" s="57">
        <f t="shared" si="177"/>
        <v>0</v>
      </c>
      <c r="UF23" s="57">
        <f t="shared" si="177"/>
        <v>0</v>
      </c>
      <c r="UG23" s="57">
        <f t="shared" si="177"/>
        <v>0</v>
      </c>
      <c r="UH23" s="57">
        <f t="shared" si="177"/>
        <v>0</v>
      </c>
      <c r="UI23" s="57">
        <f t="shared" si="177"/>
        <v>0</v>
      </c>
      <c r="UJ23" s="57">
        <f t="shared" si="177"/>
        <v>0</v>
      </c>
      <c r="UK23" s="57">
        <f t="shared" si="177"/>
        <v>0</v>
      </c>
      <c r="UL23" s="57">
        <f t="shared" si="177"/>
        <v>0</v>
      </c>
      <c r="UM23" s="57">
        <f t="shared" si="177"/>
        <v>0</v>
      </c>
      <c r="UN23" s="57">
        <f t="shared" si="177"/>
        <v>0</v>
      </c>
      <c r="UO23" s="57">
        <f t="shared" si="177"/>
        <v>0</v>
      </c>
      <c r="UP23" s="57">
        <f t="shared" si="177"/>
        <v>0</v>
      </c>
      <c r="UQ23" s="57">
        <f t="shared" si="177"/>
        <v>0</v>
      </c>
      <c r="UR23" s="57">
        <f t="shared" si="177"/>
        <v>0</v>
      </c>
      <c r="US23" s="57">
        <f t="shared" si="177"/>
        <v>0</v>
      </c>
      <c r="UT23" s="57">
        <f t="shared" si="177"/>
        <v>0</v>
      </c>
      <c r="UU23" s="57">
        <f t="shared" si="177"/>
        <v>0</v>
      </c>
      <c r="UV23" s="57">
        <f t="shared" si="177"/>
        <v>0</v>
      </c>
      <c r="UW23" s="57">
        <f t="shared" si="177"/>
        <v>0</v>
      </c>
      <c r="UX23" s="57">
        <f t="shared" si="177"/>
        <v>0</v>
      </c>
      <c r="UY23" s="57">
        <f t="shared" si="177"/>
        <v>0</v>
      </c>
      <c r="UZ23" s="57">
        <f t="shared" si="177"/>
        <v>0</v>
      </c>
      <c r="VA23" s="57">
        <f t="shared" si="177"/>
        <v>0</v>
      </c>
      <c r="VB23" s="57">
        <f t="shared" si="177"/>
        <v>0</v>
      </c>
      <c r="VC23" s="57">
        <f t="shared" si="177"/>
        <v>0</v>
      </c>
      <c r="VD23" s="57">
        <f t="shared" si="177"/>
        <v>0</v>
      </c>
      <c r="VE23" s="57">
        <f t="shared" si="177"/>
        <v>0</v>
      </c>
      <c r="VF23" s="57">
        <f t="shared" si="177"/>
        <v>0</v>
      </c>
      <c r="VG23" s="57">
        <f t="shared" si="177"/>
        <v>0</v>
      </c>
      <c r="VH23" s="57">
        <f t="shared" ref="VH23:XS23" si="178">IF(VH16="Desacumulación",$I$7,0)</f>
        <v>0</v>
      </c>
      <c r="VI23" s="57">
        <f t="shared" si="178"/>
        <v>0</v>
      </c>
      <c r="VJ23" s="57">
        <f t="shared" si="178"/>
        <v>0</v>
      </c>
      <c r="VK23" s="57">
        <f t="shared" si="178"/>
        <v>0</v>
      </c>
      <c r="VL23" s="57">
        <f t="shared" si="178"/>
        <v>0</v>
      </c>
      <c r="VM23" s="57">
        <f t="shared" si="178"/>
        <v>0</v>
      </c>
      <c r="VN23" s="57">
        <f t="shared" si="178"/>
        <v>0</v>
      </c>
      <c r="VO23" s="57">
        <f t="shared" si="178"/>
        <v>0</v>
      </c>
      <c r="VP23" s="57">
        <f t="shared" si="178"/>
        <v>0</v>
      </c>
      <c r="VQ23" s="57">
        <f t="shared" si="178"/>
        <v>0</v>
      </c>
      <c r="VR23" s="57">
        <f t="shared" si="178"/>
        <v>0</v>
      </c>
      <c r="VS23" s="57">
        <f t="shared" si="178"/>
        <v>0</v>
      </c>
      <c r="VT23" s="57">
        <f t="shared" si="178"/>
        <v>0</v>
      </c>
      <c r="VU23" s="57">
        <f t="shared" si="178"/>
        <v>0</v>
      </c>
      <c r="VV23" s="57">
        <f t="shared" si="178"/>
        <v>0</v>
      </c>
      <c r="VW23" s="57">
        <f t="shared" si="178"/>
        <v>0</v>
      </c>
      <c r="VX23" s="57">
        <f t="shared" si="178"/>
        <v>0</v>
      </c>
      <c r="VY23" s="57">
        <f t="shared" si="178"/>
        <v>0</v>
      </c>
      <c r="VZ23" s="57">
        <f t="shared" si="178"/>
        <v>0</v>
      </c>
      <c r="WA23" s="57">
        <f t="shared" si="178"/>
        <v>0</v>
      </c>
      <c r="WB23" s="57">
        <f t="shared" si="178"/>
        <v>0</v>
      </c>
      <c r="WC23" s="57">
        <f t="shared" si="178"/>
        <v>0</v>
      </c>
      <c r="WD23" s="57">
        <f t="shared" si="178"/>
        <v>0</v>
      </c>
      <c r="WE23" s="57">
        <f t="shared" si="178"/>
        <v>0</v>
      </c>
      <c r="WF23" s="57">
        <f t="shared" si="178"/>
        <v>0</v>
      </c>
      <c r="WG23" s="57">
        <f t="shared" si="178"/>
        <v>0</v>
      </c>
      <c r="WH23" s="57">
        <f t="shared" si="178"/>
        <v>0</v>
      </c>
      <c r="WI23" s="57">
        <f t="shared" si="178"/>
        <v>0</v>
      </c>
      <c r="WJ23" s="57">
        <f t="shared" si="178"/>
        <v>0</v>
      </c>
      <c r="WK23" s="57">
        <f t="shared" si="178"/>
        <v>0</v>
      </c>
      <c r="WL23" s="57">
        <f t="shared" si="178"/>
        <v>0</v>
      </c>
      <c r="WM23" s="57">
        <f t="shared" si="178"/>
        <v>0</v>
      </c>
      <c r="WN23" s="57">
        <f t="shared" si="178"/>
        <v>0</v>
      </c>
      <c r="WO23" s="57">
        <f t="shared" si="178"/>
        <v>0</v>
      </c>
      <c r="WP23" s="57">
        <f t="shared" si="178"/>
        <v>0</v>
      </c>
      <c r="WQ23" s="57">
        <f t="shared" si="178"/>
        <v>0</v>
      </c>
      <c r="WR23" s="57">
        <f t="shared" si="178"/>
        <v>0</v>
      </c>
      <c r="WS23" s="57">
        <f t="shared" si="178"/>
        <v>0</v>
      </c>
      <c r="WT23" s="57">
        <f t="shared" si="178"/>
        <v>0</v>
      </c>
      <c r="WU23" s="57">
        <f t="shared" si="178"/>
        <v>0</v>
      </c>
      <c r="WV23" s="57">
        <f t="shared" si="178"/>
        <v>0</v>
      </c>
      <c r="WW23" s="57">
        <f t="shared" si="178"/>
        <v>0</v>
      </c>
      <c r="WX23" s="57">
        <f t="shared" si="178"/>
        <v>0</v>
      </c>
      <c r="WY23" s="57">
        <f t="shared" si="178"/>
        <v>0</v>
      </c>
      <c r="WZ23" s="57">
        <f t="shared" si="178"/>
        <v>0</v>
      </c>
      <c r="XA23" s="57">
        <f t="shared" si="178"/>
        <v>0</v>
      </c>
      <c r="XB23" s="57">
        <f t="shared" si="178"/>
        <v>0</v>
      </c>
      <c r="XC23" s="57">
        <f t="shared" si="178"/>
        <v>0</v>
      </c>
      <c r="XD23" s="57">
        <f t="shared" si="178"/>
        <v>0</v>
      </c>
      <c r="XE23" s="57">
        <f t="shared" si="178"/>
        <v>0</v>
      </c>
      <c r="XF23" s="57">
        <f t="shared" si="178"/>
        <v>0</v>
      </c>
      <c r="XG23" s="57">
        <f t="shared" si="178"/>
        <v>0</v>
      </c>
      <c r="XH23" s="57">
        <f t="shared" si="178"/>
        <v>0</v>
      </c>
      <c r="XI23" s="57">
        <f t="shared" si="178"/>
        <v>0</v>
      </c>
      <c r="XJ23" s="57">
        <f t="shared" si="178"/>
        <v>0</v>
      </c>
      <c r="XK23" s="57">
        <f t="shared" si="178"/>
        <v>0</v>
      </c>
      <c r="XL23" s="57">
        <f t="shared" si="178"/>
        <v>0</v>
      </c>
      <c r="XM23" s="57">
        <f t="shared" si="178"/>
        <v>0</v>
      </c>
      <c r="XN23" s="57">
        <f t="shared" si="178"/>
        <v>0</v>
      </c>
      <c r="XO23" s="57">
        <f t="shared" si="178"/>
        <v>0</v>
      </c>
      <c r="XP23" s="57">
        <f t="shared" si="178"/>
        <v>0</v>
      </c>
      <c r="XQ23" s="57">
        <f t="shared" si="178"/>
        <v>0</v>
      </c>
      <c r="XR23" s="57">
        <f t="shared" si="178"/>
        <v>0</v>
      </c>
      <c r="XS23" s="57">
        <f t="shared" si="178"/>
        <v>0</v>
      </c>
      <c r="XT23" s="57">
        <f t="shared" ref="XT23:AAE23" si="179">IF(XT16="Desacumulación",$I$7,0)</f>
        <v>0</v>
      </c>
      <c r="XU23" s="57">
        <f t="shared" si="179"/>
        <v>0</v>
      </c>
      <c r="XV23" s="57">
        <f t="shared" si="179"/>
        <v>0</v>
      </c>
      <c r="XW23" s="57">
        <f t="shared" si="179"/>
        <v>0</v>
      </c>
      <c r="XX23" s="57">
        <f t="shared" si="179"/>
        <v>0</v>
      </c>
      <c r="XY23" s="57">
        <f t="shared" si="179"/>
        <v>0</v>
      </c>
      <c r="XZ23" s="57">
        <f t="shared" si="179"/>
        <v>0</v>
      </c>
      <c r="YA23" s="57">
        <f t="shared" si="179"/>
        <v>0</v>
      </c>
      <c r="YB23" s="57">
        <f t="shared" si="179"/>
        <v>0</v>
      </c>
      <c r="YC23" s="57">
        <f t="shared" si="179"/>
        <v>0</v>
      </c>
      <c r="YD23" s="57">
        <f t="shared" si="179"/>
        <v>0</v>
      </c>
      <c r="YE23" s="57">
        <f t="shared" si="179"/>
        <v>0</v>
      </c>
      <c r="YF23" s="57">
        <f t="shared" si="179"/>
        <v>0</v>
      </c>
      <c r="YG23" s="57">
        <f t="shared" si="179"/>
        <v>0</v>
      </c>
      <c r="YH23" s="57">
        <f t="shared" si="179"/>
        <v>0</v>
      </c>
      <c r="YI23" s="57">
        <f t="shared" si="179"/>
        <v>0</v>
      </c>
      <c r="YJ23" s="57">
        <f t="shared" si="179"/>
        <v>0</v>
      </c>
      <c r="YK23" s="57">
        <f t="shared" si="179"/>
        <v>0</v>
      </c>
      <c r="YL23" s="57">
        <f t="shared" si="179"/>
        <v>0</v>
      </c>
      <c r="YM23" s="57">
        <f t="shared" si="179"/>
        <v>0</v>
      </c>
      <c r="YN23" s="57">
        <f t="shared" si="179"/>
        <v>0</v>
      </c>
      <c r="YO23" s="57">
        <f t="shared" si="179"/>
        <v>0</v>
      </c>
      <c r="YP23" s="57">
        <f t="shared" si="179"/>
        <v>0</v>
      </c>
      <c r="YQ23" s="57">
        <f t="shared" si="179"/>
        <v>0</v>
      </c>
      <c r="YR23" s="57">
        <f t="shared" si="179"/>
        <v>0</v>
      </c>
      <c r="YS23" s="57">
        <f t="shared" si="179"/>
        <v>0</v>
      </c>
      <c r="YT23" s="57">
        <f t="shared" si="179"/>
        <v>0</v>
      </c>
      <c r="YU23" s="57">
        <f t="shared" si="179"/>
        <v>0</v>
      </c>
      <c r="YV23" s="57">
        <f t="shared" si="179"/>
        <v>0</v>
      </c>
      <c r="YW23" s="57">
        <f t="shared" si="179"/>
        <v>0</v>
      </c>
      <c r="YX23" s="57">
        <f t="shared" si="179"/>
        <v>0</v>
      </c>
      <c r="YY23" s="57">
        <f t="shared" si="179"/>
        <v>0</v>
      </c>
      <c r="YZ23" s="57">
        <f t="shared" si="179"/>
        <v>0</v>
      </c>
      <c r="ZA23" s="57">
        <f t="shared" si="179"/>
        <v>0</v>
      </c>
      <c r="ZB23" s="57">
        <f t="shared" si="179"/>
        <v>0</v>
      </c>
      <c r="ZC23" s="57">
        <f t="shared" si="179"/>
        <v>0</v>
      </c>
      <c r="ZD23" s="57">
        <f t="shared" si="179"/>
        <v>0</v>
      </c>
      <c r="ZE23" s="57">
        <f t="shared" si="179"/>
        <v>0</v>
      </c>
      <c r="ZF23" s="57">
        <f t="shared" si="179"/>
        <v>0</v>
      </c>
      <c r="ZG23" s="57">
        <f t="shared" si="179"/>
        <v>0</v>
      </c>
      <c r="ZH23" s="57">
        <f t="shared" si="179"/>
        <v>0</v>
      </c>
      <c r="ZI23" s="57">
        <f t="shared" si="179"/>
        <v>0</v>
      </c>
      <c r="ZJ23" s="57">
        <f t="shared" si="179"/>
        <v>0</v>
      </c>
      <c r="ZK23" s="57">
        <f t="shared" si="179"/>
        <v>0</v>
      </c>
      <c r="ZL23" s="57">
        <f t="shared" si="179"/>
        <v>0</v>
      </c>
      <c r="ZM23" s="57">
        <f t="shared" si="179"/>
        <v>0</v>
      </c>
      <c r="ZN23" s="57">
        <f t="shared" si="179"/>
        <v>0</v>
      </c>
      <c r="ZO23" s="57">
        <f t="shared" si="179"/>
        <v>0</v>
      </c>
      <c r="ZP23" s="57">
        <f t="shared" si="179"/>
        <v>0</v>
      </c>
      <c r="ZQ23" s="57">
        <f t="shared" si="179"/>
        <v>0</v>
      </c>
      <c r="ZR23" s="57">
        <f t="shared" si="179"/>
        <v>0</v>
      </c>
      <c r="ZS23" s="57">
        <f t="shared" si="179"/>
        <v>0</v>
      </c>
      <c r="ZT23" s="57">
        <f t="shared" si="179"/>
        <v>0</v>
      </c>
      <c r="ZU23" s="57">
        <f t="shared" si="179"/>
        <v>0</v>
      </c>
      <c r="ZV23" s="57">
        <f t="shared" si="179"/>
        <v>0</v>
      </c>
      <c r="ZW23" s="57">
        <f t="shared" si="179"/>
        <v>0</v>
      </c>
      <c r="ZX23" s="57">
        <f t="shared" si="179"/>
        <v>0</v>
      </c>
      <c r="ZY23" s="57">
        <f t="shared" si="179"/>
        <v>0</v>
      </c>
      <c r="ZZ23" s="57">
        <f t="shared" si="179"/>
        <v>0</v>
      </c>
      <c r="AAA23" s="57">
        <f t="shared" si="179"/>
        <v>0</v>
      </c>
      <c r="AAB23" s="57">
        <f t="shared" si="179"/>
        <v>0</v>
      </c>
      <c r="AAC23" s="57">
        <f t="shared" si="179"/>
        <v>0</v>
      </c>
      <c r="AAD23" s="57">
        <f t="shared" si="179"/>
        <v>0</v>
      </c>
      <c r="AAE23" s="57">
        <f t="shared" si="179"/>
        <v>0</v>
      </c>
      <c r="AAF23" s="57">
        <f t="shared" ref="AAF23:ACP23" si="180">IF(AAF16="Desacumulación",$I$7,0)</f>
        <v>0</v>
      </c>
      <c r="AAG23" s="57">
        <f t="shared" si="180"/>
        <v>0</v>
      </c>
      <c r="AAH23" s="57">
        <f t="shared" si="180"/>
        <v>0</v>
      </c>
      <c r="AAI23" s="57">
        <f t="shared" si="180"/>
        <v>1448.4412170937503</v>
      </c>
      <c r="AAJ23" s="57">
        <f t="shared" si="180"/>
        <v>1448.4412170937503</v>
      </c>
      <c r="AAK23" s="57">
        <f t="shared" si="180"/>
        <v>1448.4412170937503</v>
      </c>
      <c r="AAL23" s="57">
        <f t="shared" si="180"/>
        <v>1448.4412170937503</v>
      </c>
      <c r="AAM23" s="57">
        <f t="shared" si="180"/>
        <v>1448.4412170937503</v>
      </c>
      <c r="AAN23" s="57">
        <f t="shared" si="180"/>
        <v>1448.4412170937503</v>
      </c>
      <c r="AAO23" s="57">
        <f t="shared" si="180"/>
        <v>1448.4412170937503</v>
      </c>
      <c r="AAP23" s="57">
        <f t="shared" si="180"/>
        <v>1448.4412170937503</v>
      </c>
      <c r="AAQ23" s="57">
        <f t="shared" si="180"/>
        <v>1448.4412170937503</v>
      </c>
      <c r="AAR23" s="57">
        <f t="shared" si="180"/>
        <v>1448.4412170937503</v>
      </c>
      <c r="AAS23" s="57">
        <f t="shared" si="180"/>
        <v>1448.4412170937503</v>
      </c>
      <c r="AAT23" s="57">
        <f t="shared" si="180"/>
        <v>1448.4412170937503</v>
      </c>
      <c r="AAU23" s="57">
        <f t="shared" si="180"/>
        <v>1448.4412170937503</v>
      </c>
      <c r="AAV23" s="57">
        <f t="shared" si="180"/>
        <v>1448.4412170937503</v>
      </c>
      <c r="AAW23" s="57">
        <f t="shared" si="180"/>
        <v>1448.4412170937503</v>
      </c>
      <c r="AAX23" s="57">
        <f t="shared" si="180"/>
        <v>1448.4412170937503</v>
      </c>
      <c r="AAY23" s="57">
        <f t="shared" si="180"/>
        <v>1448.4412170937503</v>
      </c>
      <c r="AAZ23" s="57">
        <f t="shared" si="180"/>
        <v>1448.4412170937503</v>
      </c>
      <c r="ABA23" s="57">
        <f t="shared" si="180"/>
        <v>1448.4412170937503</v>
      </c>
      <c r="ABB23" s="57">
        <f t="shared" si="180"/>
        <v>1448.4412170937503</v>
      </c>
      <c r="ABC23" s="57">
        <f t="shared" si="180"/>
        <v>1448.4412170937503</v>
      </c>
      <c r="ABD23" s="57">
        <f t="shared" si="180"/>
        <v>1448.4412170937503</v>
      </c>
      <c r="ABE23" s="57">
        <f t="shared" si="180"/>
        <v>1448.4412170937503</v>
      </c>
      <c r="ABF23" s="57">
        <f t="shared" si="180"/>
        <v>1448.4412170937503</v>
      </c>
      <c r="ABG23" s="57">
        <f t="shared" si="180"/>
        <v>1448.4412170937503</v>
      </c>
      <c r="ABH23" s="57">
        <f t="shared" si="180"/>
        <v>1448.4412170937503</v>
      </c>
      <c r="ABI23" s="57">
        <f t="shared" si="180"/>
        <v>1448.4412170937503</v>
      </c>
      <c r="ABJ23" s="57">
        <f t="shared" si="180"/>
        <v>1448.4412170937503</v>
      </c>
      <c r="ABK23" s="57">
        <f t="shared" si="180"/>
        <v>1448.4412170937503</v>
      </c>
      <c r="ABL23" s="57">
        <f t="shared" si="180"/>
        <v>1448.4412170937503</v>
      </c>
      <c r="ABM23" s="57">
        <f t="shared" si="180"/>
        <v>1448.4412170937503</v>
      </c>
      <c r="ABN23" s="57">
        <f t="shared" si="180"/>
        <v>1448.4412170937503</v>
      </c>
      <c r="ABO23" s="57">
        <f t="shared" si="180"/>
        <v>1448.4412170937503</v>
      </c>
      <c r="ABP23" s="57">
        <f t="shared" si="180"/>
        <v>1448.4412170937503</v>
      </c>
      <c r="ABQ23" s="57">
        <f t="shared" si="180"/>
        <v>1448.4412170937503</v>
      </c>
      <c r="ABR23" s="57">
        <f t="shared" si="180"/>
        <v>1448.4412170937503</v>
      </c>
      <c r="ABS23" s="57">
        <f t="shared" si="180"/>
        <v>1448.4412170937503</v>
      </c>
      <c r="ABT23" s="57">
        <f t="shared" si="180"/>
        <v>1448.4412170937503</v>
      </c>
      <c r="ABU23" s="57">
        <f t="shared" si="180"/>
        <v>1448.4412170937503</v>
      </c>
      <c r="ABV23" s="57">
        <f t="shared" si="180"/>
        <v>1448.4412170937503</v>
      </c>
      <c r="ABW23" s="57">
        <f t="shared" si="180"/>
        <v>1448.4412170937503</v>
      </c>
      <c r="ABX23" s="57">
        <f t="shared" si="180"/>
        <v>1448.4412170937503</v>
      </c>
      <c r="ABY23" s="57">
        <f t="shared" si="180"/>
        <v>1448.4412170937503</v>
      </c>
      <c r="ABZ23" s="57">
        <f t="shared" si="180"/>
        <v>1448.4412170937503</v>
      </c>
      <c r="ACA23" s="57">
        <f t="shared" si="180"/>
        <v>1448.4412170937503</v>
      </c>
      <c r="ACB23" s="57">
        <f t="shared" si="180"/>
        <v>1448.4412170937503</v>
      </c>
      <c r="ACC23" s="57">
        <f t="shared" si="180"/>
        <v>1448.4412170937503</v>
      </c>
      <c r="ACD23" s="57">
        <f t="shared" si="180"/>
        <v>1448.4412170937503</v>
      </c>
      <c r="ACE23" s="57">
        <f t="shared" si="180"/>
        <v>1448.4412170937503</v>
      </c>
      <c r="ACF23" s="57">
        <f t="shared" si="180"/>
        <v>1448.4412170937503</v>
      </c>
      <c r="ACG23" s="57">
        <f t="shared" si="180"/>
        <v>1448.4412170937503</v>
      </c>
      <c r="ACH23" s="57">
        <f t="shared" si="180"/>
        <v>1448.4412170937503</v>
      </c>
      <c r="ACI23" s="57">
        <f t="shared" si="180"/>
        <v>1448.4412170937503</v>
      </c>
      <c r="ACJ23" s="57">
        <f t="shared" si="180"/>
        <v>1448.4412170937503</v>
      </c>
      <c r="ACK23" s="57">
        <f t="shared" si="180"/>
        <v>1448.4412170937503</v>
      </c>
      <c r="ACL23" s="57">
        <f t="shared" si="180"/>
        <v>1448.4412170937503</v>
      </c>
      <c r="ACM23" s="57">
        <f t="shared" si="180"/>
        <v>1448.4412170937503</v>
      </c>
      <c r="ACN23" s="57">
        <f t="shared" si="180"/>
        <v>1448.4412170937503</v>
      </c>
      <c r="ACO23" s="57">
        <f t="shared" si="180"/>
        <v>1448.4412170937503</v>
      </c>
      <c r="ACP23" s="57">
        <f t="shared" si="180"/>
        <v>1448.4412170937503</v>
      </c>
      <c r="ACQ23" s="57">
        <f>IF(ACQ16="Desacumulación",$I$7,0)</f>
        <v>1448.4412170937503</v>
      </c>
      <c r="ACR23" s="57">
        <f t="shared" ref="ACR23:AFC23" si="181">IF(ACR16="Desacumulación",$I$7,0)</f>
        <v>1448.4412170937503</v>
      </c>
      <c r="ACS23" s="57">
        <f t="shared" si="181"/>
        <v>1448.4412170937503</v>
      </c>
      <c r="ACT23" s="57">
        <f t="shared" si="181"/>
        <v>1448.4412170937503</v>
      </c>
      <c r="ACU23" s="57">
        <f t="shared" si="181"/>
        <v>1448.4412170937503</v>
      </c>
      <c r="ACV23" s="57">
        <f t="shared" si="181"/>
        <v>1448.4412170937503</v>
      </c>
      <c r="ACW23" s="57">
        <f t="shared" si="181"/>
        <v>1448.4412170937503</v>
      </c>
      <c r="ACX23" s="57">
        <f t="shared" si="181"/>
        <v>1448.4412170937503</v>
      </c>
      <c r="ACY23" s="57">
        <f t="shared" si="181"/>
        <v>1448.4412170937503</v>
      </c>
      <c r="ACZ23" s="57">
        <f t="shared" si="181"/>
        <v>1448.4412170937503</v>
      </c>
      <c r="ADA23" s="57">
        <f t="shared" si="181"/>
        <v>1448.4412170937503</v>
      </c>
      <c r="ADB23" s="57">
        <f t="shared" si="181"/>
        <v>1448.4412170937503</v>
      </c>
      <c r="ADC23" s="57">
        <f t="shared" si="181"/>
        <v>1448.4412170937503</v>
      </c>
      <c r="ADD23" s="57">
        <f t="shared" si="181"/>
        <v>1448.4412170937503</v>
      </c>
      <c r="ADE23" s="57">
        <f t="shared" si="181"/>
        <v>1448.4412170937503</v>
      </c>
      <c r="ADF23" s="57">
        <f t="shared" si="181"/>
        <v>1448.4412170937503</v>
      </c>
      <c r="ADG23" s="57">
        <f t="shared" si="181"/>
        <v>1448.4412170937503</v>
      </c>
      <c r="ADH23" s="57">
        <f t="shared" si="181"/>
        <v>1448.4412170937503</v>
      </c>
      <c r="ADI23" s="57">
        <f t="shared" si="181"/>
        <v>1448.4412170937503</v>
      </c>
      <c r="ADJ23" s="57">
        <f t="shared" si="181"/>
        <v>1448.4412170937503</v>
      </c>
      <c r="ADK23" s="57">
        <f t="shared" si="181"/>
        <v>1448.4412170937503</v>
      </c>
      <c r="ADL23" s="57">
        <f t="shared" si="181"/>
        <v>1448.4412170937503</v>
      </c>
      <c r="ADM23" s="57">
        <f t="shared" si="181"/>
        <v>1448.4412170937503</v>
      </c>
      <c r="ADN23" s="57">
        <f t="shared" si="181"/>
        <v>1448.4412170937503</v>
      </c>
      <c r="ADO23" s="57">
        <f t="shared" si="181"/>
        <v>1448.4412170937503</v>
      </c>
      <c r="ADP23" s="57">
        <f t="shared" si="181"/>
        <v>1448.4412170937503</v>
      </c>
      <c r="ADQ23" s="57">
        <f t="shared" si="181"/>
        <v>1448.4412170937503</v>
      </c>
      <c r="ADR23" s="57">
        <f t="shared" si="181"/>
        <v>1448.4412170937503</v>
      </c>
      <c r="ADS23" s="57">
        <f t="shared" si="181"/>
        <v>1448.4412170937503</v>
      </c>
      <c r="ADT23" s="57">
        <f t="shared" si="181"/>
        <v>1448.4412170937503</v>
      </c>
      <c r="ADU23" s="57">
        <f t="shared" si="181"/>
        <v>1448.4412170937503</v>
      </c>
      <c r="ADV23" s="57">
        <f t="shared" si="181"/>
        <v>1448.4412170937503</v>
      </c>
      <c r="ADW23" s="57">
        <f t="shared" si="181"/>
        <v>1448.4412170937503</v>
      </c>
      <c r="ADX23" s="57">
        <f t="shared" si="181"/>
        <v>1448.4412170937503</v>
      </c>
      <c r="ADY23" s="57">
        <f t="shared" si="181"/>
        <v>1448.4412170937503</v>
      </c>
      <c r="ADZ23" s="57">
        <f t="shared" si="181"/>
        <v>1448.4412170937503</v>
      </c>
      <c r="AEA23" s="57">
        <f t="shared" si="181"/>
        <v>1448.4412170937503</v>
      </c>
      <c r="AEB23" s="57">
        <f t="shared" si="181"/>
        <v>1448.4412170937503</v>
      </c>
      <c r="AEC23" s="57">
        <f t="shared" si="181"/>
        <v>1448.4412170937503</v>
      </c>
      <c r="AED23" s="57">
        <f t="shared" si="181"/>
        <v>1448.4412170937503</v>
      </c>
      <c r="AEE23" s="57">
        <f t="shared" si="181"/>
        <v>1448.4412170937503</v>
      </c>
      <c r="AEF23" s="57">
        <f t="shared" si="181"/>
        <v>1448.4412170937503</v>
      </c>
      <c r="AEG23" s="57">
        <f t="shared" si="181"/>
        <v>1448.4412170937503</v>
      </c>
      <c r="AEH23" s="57">
        <f t="shared" si="181"/>
        <v>1448.4412170937503</v>
      </c>
      <c r="AEI23" s="57">
        <f t="shared" si="181"/>
        <v>1448.4412170937503</v>
      </c>
      <c r="AEJ23" s="57">
        <f t="shared" si="181"/>
        <v>1448.4412170937503</v>
      </c>
      <c r="AEK23" s="57">
        <f t="shared" si="181"/>
        <v>1448.4412170937503</v>
      </c>
      <c r="AEL23" s="57">
        <f t="shared" si="181"/>
        <v>1448.4412170937503</v>
      </c>
      <c r="AEM23" s="57">
        <f t="shared" si="181"/>
        <v>1448.4412170937503</v>
      </c>
      <c r="AEN23" s="57">
        <f t="shared" si="181"/>
        <v>1448.4412170937503</v>
      </c>
      <c r="AEO23" s="57">
        <f t="shared" si="181"/>
        <v>1448.4412170937503</v>
      </c>
      <c r="AEP23" s="57">
        <f t="shared" si="181"/>
        <v>1448.4412170937503</v>
      </c>
      <c r="AEQ23" s="57">
        <f t="shared" si="181"/>
        <v>1448.4412170937503</v>
      </c>
      <c r="AER23" s="57">
        <f t="shared" si="181"/>
        <v>1448.4412170937503</v>
      </c>
      <c r="AES23" s="57">
        <f t="shared" si="181"/>
        <v>1448.4412170937503</v>
      </c>
      <c r="AET23" s="57">
        <f t="shared" si="181"/>
        <v>1448.4412170937503</v>
      </c>
      <c r="AEU23" s="57">
        <f t="shared" si="181"/>
        <v>1448.4412170937503</v>
      </c>
      <c r="AEV23" s="57">
        <f t="shared" si="181"/>
        <v>1448.4412170937503</v>
      </c>
      <c r="AEW23" s="57">
        <f t="shared" si="181"/>
        <v>1448.4412170937503</v>
      </c>
      <c r="AEX23" s="57">
        <f t="shared" si="181"/>
        <v>1448.4412170937503</v>
      </c>
      <c r="AEY23" s="57">
        <f t="shared" si="181"/>
        <v>1448.4412170937503</v>
      </c>
      <c r="AEZ23" s="57">
        <f t="shared" si="181"/>
        <v>1448.4412170937503</v>
      </c>
      <c r="AFA23" s="57">
        <f t="shared" si="181"/>
        <v>1448.4412170937503</v>
      </c>
      <c r="AFB23" s="57">
        <f t="shared" si="181"/>
        <v>1448.4412170937503</v>
      </c>
      <c r="AFC23" s="57">
        <f t="shared" si="181"/>
        <v>1448.4412170937503</v>
      </c>
      <c r="AFD23" s="57">
        <f t="shared" ref="AFD23:AHO23" si="182">IF(AFD16="Desacumulación",$I$7,0)</f>
        <v>1448.4412170937503</v>
      </c>
      <c r="AFE23" s="57">
        <f t="shared" si="182"/>
        <v>1448.4412170937503</v>
      </c>
      <c r="AFF23" s="57">
        <f t="shared" si="182"/>
        <v>1448.4412170937503</v>
      </c>
      <c r="AFG23" s="57">
        <f t="shared" si="182"/>
        <v>1448.4412170937503</v>
      </c>
      <c r="AFH23" s="57">
        <f t="shared" si="182"/>
        <v>1448.4412170937503</v>
      </c>
      <c r="AFI23" s="57">
        <f t="shared" si="182"/>
        <v>1448.4412170937503</v>
      </c>
      <c r="AFJ23" s="57">
        <f t="shared" si="182"/>
        <v>1448.4412170937503</v>
      </c>
      <c r="AFK23" s="57">
        <f t="shared" si="182"/>
        <v>1448.4412170937503</v>
      </c>
      <c r="AFL23" s="57">
        <f t="shared" si="182"/>
        <v>1448.4412170937503</v>
      </c>
      <c r="AFM23" s="57">
        <f t="shared" si="182"/>
        <v>1448.4412170937503</v>
      </c>
      <c r="AFN23" s="57">
        <f t="shared" si="182"/>
        <v>1448.4412170937503</v>
      </c>
      <c r="AFO23" s="57">
        <f t="shared" si="182"/>
        <v>1448.4412170937503</v>
      </c>
      <c r="AFP23" s="57">
        <f t="shared" si="182"/>
        <v>1448.4412170937503</v>
      </c>
      <c r="AFQ23" s="57">
        <f t="shared" si="182"/>
        <v>1448.4412170937503</v>
      </c>
      <c r="AFR23" s="57">
        <f t="shared" si="182"/>
        <v>1448.4412170937503</v>
      </c>
      <c r="AFS23" s="57">
        <f t="shared" si="182"/>
        <v>1448.4412170937503</v>
      </c>
      <c r="AFT23" s="57">
        <f t="shared" si="182"/>
        <v>1448.4412170937503</v>
      </c>
      <c r="AFU23" s="57">
        <f t="shared" si="182"/>
        <v>1448.4412170937503</v>
      </c>
      <c r="AFV23" s="57">
        <f t="shared" si="182"/>
        <v>1448.4412170937503</v>
      </c>
      <c r="AFW23" s="57">
        <f t="shared" si="182"/>
        <v>1448.4412170937503</v>
      </c>
      <c r="AFX23" s="57">
        <f t="shared" si="182"/>
        <v>1448.4412170937503</v>
      </c>
      <c r="AFY23" s="57">
        <f t="shared" si="182"/>
        <v>1448.4412170937503</v>
      </c>
      <c r="AFZ23" s="57">
        <f t="shared" si="182"/>
        <v>1448.4412170937503</v>
      </c>
      <c r="AGA23" s="57">
        <f t="shared" si="182"/>
        <v>1448.4412170937503</v>
      </c>
      <c r="AGB23" s="57">
        <f t="shared" si="182"/>
        <v>1448.4412170937503</v>
      </c>
      <c r="AGC23" s="57">
        <f t="shared" si="182"/>
        <v>1448.4412170937503</v>
      </c>
      <c r="AGD23" s="57">
        <f t="shared" si="182"/>
        <v>1448.4412170937503</v>
      </c>
      <c r="AGE23" s="57">
        <f t="shared" si="182"/>
        <v>1448.4412170937503</v>
      </c>
      <c r="AGF23" s="57">
        <f t="shared" si="182"/>
        <v>1448.4412170937503</v>
      </c>
      <c r="AGG23" s="57">
        <f t="shared" si="182"/>
        <v>1448.4412170937503</v>
      </c>
      <c r="AGH23" s="57">
        <f t="shared" si="182"/>
        <v>1448.4412170937503</v>
      </c>
      <c r="AGI23" s="57">
        <f t="shared" si="182"/>
        <v>1448.4412170937503</v>
      </c>
      <c r="AGJ23" s="57">
        <f t="shared" si="182"/>
        <v>1448.4412170937503</v>
      </c>
      <c r="AGK23" s="57">
        <f t="shared" si="182"/>
        <v>1448.4412170937503</v>
      </c>
      <c r="AGL23" s="57">
        <f t="shared" si="182"/>
        <v>1448.4412170937503</v>
      </c>
      <c r="AGM23" s="57">
        <f t="shared" si="182"/>
        <v>1448.4412170937503</v>
      </c>
      <c r="AGN23" s="57">
        <f t="shared" si="182"/>
        <v>1448.4412170937503</v>
      </c>
      <c r="AGO23" s="57">
        <f t="shared" si="182"/>
        <v>1448.4412170937503</v>
      </c>
      <c r="AGP23" s="57">
        <f t="shared" si="182"/>
        <v>1448.4412170937503</v>
      </c>
      <c r="AGQ23" s="57">
        <f t="shared" si="182"/>
        <v>1448.4412170937503</v>
      </c>
      <c r="AGR23" s="57">
        <f t="shared" si="182"/>
        <v>1448.4412170937503</v>
      </c>
      <c r="AGS23" s="57">
        <f t="shared" si="182"/>
        <v>1448.4412170937503</v>
      </c>
      <c r="AGT23" s="57">
        <f t="shared" si="182"/>
        <v>1448.4412170937503</v>
      </c>
      <c r="AGU23" s="57">
        <f t="shared" si="182"/>
        <v>1448.4412170937503</v>
      </c>
      <c r="AGV23" s="57">
        <f t="shared" si="182"/>
        <v>1448.4412170937503</v>
      </c>
      <c r="AGW23" s="57">
        <f t="shared" si="182"/>
        <v>1448.4412170937503</v>
      </c>
      <c r="AGX23" s="57">
        <f t="shared" si="182"/>
        <v>1448.4412170937503</v>
      </c>
      <c r="AGY23" s="57">
        <f t="shared" si="182"/>
        <v>1448.4412170937503</v>
      </c>
      <c r="AGZ23" s="57">
        <f t="shared" si="182"/>
        <v>1448.4412170937503</v>
      </c>
      <c r="AHA23" s="57">
        <f t="shared" si="182"/>
        <v>1448.4412170937503</v>
      </c>
      <c r="AHB23" s="57">
        <f t="shared" si="182"/>
        <v>1448.4412170937503</v>
      </c>
      <c r="AHC23" s="57">
        <f t="shared" si="182"/>
        <v>1448.4412170937503</v>
      </c>
      <c r="AHD23" s="57">
        <f t="shared" si="182"/>
        <v>1448.4412170937503</v>
      </c>
      <c r="AHE23" s="57">
        <f t="shared" si="182"/>
        <v>1448.4412170937503</v>
      </c>
      <c r="AHF23" s="57">
        <f t="shared" si="182"/>
        <v>1448.4412170937503</v>
      </c>
      <c r="AHG23" s="57">
        <f t="shared" si="182"/>
        <v>1448.4412170937503</v>
      </c>
      <c r="AHH23" s="57">
        <f t="shared" si="182"/>
        <v>1448.4412170937503</v>
      </c>
      <c r="AHI23" s="57">
        <f t="shared" si="182"/>
        <v>1448.4412170937503</v>
      </c>
      <c r="AHJ23" s="57">
        <f t="shared" si="182"/>
        <v>1448.4412170937503</v>
      </c>
      <c r="AHK23" s="57">
        <f t="shared" si="182"/>
        <v>1448.4412170937503</v>
      </c>
      <c r="AHL23" s="57">
        <f t="shared" si="182"/>
        <v>1448.4412170937503</v>
      </c>
      <c r="AHM23" s="57">
        <f t="shared" si="182"/>
        <v>1448.4412170937503</v>
      </c>
      <c r="AHN23" s="57">
        <f t="shared" si="182"/>
        <v>1448.4412170937503</v>
      </c>
      <c r="AHO23" s="57">
        <f t="shared" si="182"/>
        <v>1448.4412170937503</v>
      </c>
      <c r="AHP23" s="57">
        <f t="shared" ref="AHP23:AKA23" si="183">IF(AHP16="Desacumulación",$I$7,0)</f>
        <v>1448.4412170937503</v>
      </c>
      <c r="AHQ23" s="57">
        <f t="shared" si="183"/>
        <v>1448.4412170937503</v>
      </c>
      <c r="AHR23" s="57">
        <f t="shared" si="183"/>
        <v>1448.4412170937503</v>
      </c>
      <c r="AHS23" s="57">
        <f t="shared" si="183"/>
        <v>1448.4412170937503</v>
      </c>
      <c r="AHT23" s="57">
        <f t="shared" si="183"/>
        <v>1448.4412170937503</v>
      </c>
      <c r="AHU23" s="57">
        <f t="shared" si="183"/>
        <v>1448.4412170937503</v>
      </c>
      <c r="AHV23" s="57">
        <f t="shared" si="183"/>
        <v>1448.4412170937503</v>
      </c>
      <c r="AHW23" s="57">
        <f t="shared" si="183"/>
        <v>1448.4412170937503</v>
      </c>
      <c r="AHX23" s="57">
        <f t="shared" si="183"/>
        <v>1448.4412170937503</v>
      </c>
      <c r="AHY23" s="57">
        <f t="shared" si="183"/>
        <v>1448.4412170937503</v>
      </c>
      <c r="AHZ23" s="57">
        <f t="shared" si="183"/>
        <v>1448.4412170937503</v>
      </c>
      <c r="AIA23" s="57">
        <f t="shared" si="183"/>
        <v>1448.4412170937503</v>
      </c>
      <c r="AIB23" s="57">
        <f t="shared" si="183"/>
        <v>1448.4412170937503</v>
      </c>
      <c r="AIC23" s="57">
        <f t="shared" si="183"/>
        <v>1448.4412170937503</v>
      </c>
      <c r="AID23" s="57">
        <f t="shared" si="183"/>
        <v>1448.4412170937503</v>
      </c>
      <c r="AIE23" s="57">
        <f t="shared" si="183"/>
        <v>1448.4412170937503</v>
      </c>
      <c r="AIF23" s="57">
        <f t="shared" si="183"/>
        <v>1448.4412170937503</v>
      </c>
      <c r="AIG23" s="57">
        <f t="shared" si="183"/>
        <v>1448.4412170937503</v>
      </c>
      <c r="AIH23" s="57">
        <f t="shared" si="183"/>
        <v>1448.4412170937503</v>
      </c>
      <c r="AII23" s="57">
        <f t="shared" si="183"/>
        <v>1448.4412170937503</v>
      </c>
      <c r="AIJ23" s="57">
        <f t="shared" si="183"/>
        <v>1448.4412170937503</v>
      </c>
      <c r="AIK23" s="57">
        <f t="shared" si="183"/>
        <v>1448.4412170937503</v>
      </c>
      <c r="AIL23" s="57">
        <f t="shared" si="183"/>
        <v>1448.4412170937503</v>
      </c>
      <c r="AIM23" s="57">
        <f t="shared" si="183"/>
        <v>1448.4412170937503</v>
      </c>
      <c r="AIN23" s="57">
        <f t="shared" si="183"/>
        <v>1448.4412170937503</v>
      </c>
      <c r="AIO23" s="57">
        <f t="shared" si="183"/>
        <v>1448.4412170937503</v>
      </c>
      <c r="AIP23" s="57">
        <f t="shared" si="183"/>
        <v>1448.4412170937503</v>
      </c>
      <c r="AIQ23" s="57">
        <f t="shared" si="183"/>
        <v>1448.4412170937503</v>
      </c>
      <c r="AIR23" s="57">
        <f t="shared" si="183"/>
        <v>1448.4412170937503</v>
      </c>
      <c r="AIS23" s="57">
        <f t="shared" si="183"/>
        <v>1448.4412170937503</v>
      </c>
      <c r="AIT23" s="57">
        <f t="shared" si="183"/>
        <v>1448.4412170937503</v>
      </c>
      <c r="AIU23" s="57">
        <f t="shared" si="183"/>
        <v>1448.4412170937503</v>
      </c>
      <c r="AIV23" s="57">
        <f t="shared" si="183"/>
        <v>1448.4412170937503</v>
      </c>
      <c r="AIW23" s="57">
        <f t="shared" si="183"/>
        <v>1448.4412170937503</v>
      </c>
      <c r="AIX23" s="57">
        <f t="shared" si="183"/>
        <v>1448.4412170937503</v>
      </c>
      <c r="AIY23" s="57">
        <f t="shared" si="183"/>
        <v>1448.4412170937503</v>
      </c>
      <c r="AIZ23" s="57">
        <f t="shared" si="183"/>
        <v>1448.4412170937503</v>
      </c>
      <c r="AJA23" s="57">
        <f t="shared" si="183"/>
        <v>1448.4412170937503</v>
      </c>
      <c r="AJB23" s="57">
        <f t="shared" si="183"/>
        <v>1448.4412170937503</v>
      </c>
      <c r="AJC23" s="57">
        <f t="shared" si="183"/>
        <v>1448.4412170937503</v>
      </c>
      <c r="AJD23" s="57">
        <f t="shared" si="183"/>
        <v>1448.4412170937503</v>
      </c>
      <c r="AJE23" s="57">
        <f t="shared" si="183"/>
        <v>1448.4412170937503</v>
      </c>
      <c r="AJF23" s="57">
        <f t="shared" si="183"/>
        <v>1448.4412170937503</v>
      </c>
      <c r="AJG23" s="57">
        <f t="shared" si="183"/>
        <v>1448.4412170937503</v>
      </c>
      <c r="AJH23" s="57">
        <f t="shared" si="183"/>
        <v>1448.4412170937503</v>
      </c>
      <c r="AJI23" s="57">
        <f t="shared" si="183"/>
        <v>1448.4412170937503</v>
      </c>
      <c r="AJJ23" s="57">
        <f t="shared" si="183"/>
        <v>1448.4412170937503</v>
      </c>
      <c r="AJK23" s="57">
        <f t="shared" si="183"/>
        <v>1448.4412170937503</v>
      </c>
      <c r="AJL23" s="57">
        <f t="shared" si="183"/>
        <v>1448.4412170937503</v>
      </c>
      <c r="AJM23" s="57">
        <f t="shared" si="183"/>
        <v>1448.4412170937503</v>
      </c>
      <c r="AJN23" s="57">
        <f t="shared" si="183"/>
        <v>1448.4412170937503</v>
      </c>
      <c r="AJO23" s="57">
        <f t="shared" si="183"/>
        <v>1448.4412170937503</v>
      </c>
      <c r="AJP23" s="57">
        <f t="shared" si="183"/>
        <v>1448.4412170937503</v>
      </c>
      <c r="AJQ23" s="57">
        <f t="shared" si="183"/>
        <v>1448.4412170937503</v>
      </c>
      <c r="AJR23" s="57">
        <f t="shared" si="183"/>
        <v>1448.4412170937503</v>
      </c>
      <c r="AJS23" s="57">
        <f t="shared" si="183"/>
        <v>1448.4412170937503</v>
      </c>
      <c r="AJT23" s="57">
        <f t="shared" si="183"/>
        <v>1448.4412170937503</v>
      </c>
      <c r="AJU23" s="57">
        <f t="shared" si="183"/>
        <v>1448.4412170937503</v>
      </c>
      <c r="AJV23" s="57">
        <f t="shared" si="183"/>
        <v>1448.4412170937503</v>
      </c>
      <c r="AJW23" s="57">
        <f t="shared" si="183"/>
        <v>1448.4412170937503</v>
      </c>
      <c r="AJX23" s="57">
        <f t="shared" si="183"/>
        <v>1448.4412170937503</v>
      </c>
      <c r="AJY23" s="57">
        <f t="shared" si="183"/>
        <v>1448.4412170937503</v>
      </c>
      <c r="AJZ23" s="57">
        <f t="shared" si="183"/>
        <v>1448.4412170937503</v>
      </c>
      <c r="AKA23" s="57">
        <f t="shared" si="183"/>
        <v>1448.4412170937503</v>
      </c>
      <c r="AKB23" s="57">
        <f t="shared" ref="AKB23:AMM23" si="184">IF(AKB16="Desacumulación",$I$7,0)</f>
        <v>1448.4412170937503</v>
      </c>
      <c r="AKC23" s="57">
        <f t="shared" si="184"/>
        <v>1448.4412170937503</v>
      </c>
      <c r="AKD23" s="57">
        <f t="shared" si="184"/>
        <v>1448.4412170937503</v>
      </c>
      <c r="AKE23" s="57">
        <f t="shared" si="184"/>
        <v>1448.4412170937503</v>
      </c>
      <c r="AKF23" s="57">
        <f t="shared" si="184"/>
        <v>1448.4412170937503</v>
      </c>
      <c r="AKG23" s="57">
        <f t="shared" si="184"/>
        <v>1448.4412170937503</v>
      </c>
      <c r="AKH23" s="57">
        <f t="shared" si="184"/>
        <v>1448.4412170937503</v>
      </c>
      <c r="AKI23" s="57">
        <f t="shared" si="184"/>
        <v>1448.4412170937503</v>
      </c>
      <c r="AKJ23" s="57">
        <f t="shared" si="184"/>
        <v>1448.4412170937503</v>
      </c>
      <c r="AKK23" s="57">
        <f t="shared" si="184"/>
        <v>1448.4412170937503</v>
      </c>
      <c r="AKL23" s="57">
        <f t="shared" si="184"/>
        <v>1448.4412170937503</v>
      </c>
      <c r="AKM23" s="57">
        <f t="shared" si="184"/>
        <v>1448.4412170937503</v>
      </c>
      <c r="AKN23" s="57">
        <f t="shared" si="184"/>
        <v>1448.4412170937503</v>
      </c>
      <c r="AKO23" s="57">
        <f t="shared" si="184"/>
        <v>1448.4412170937503</v>
      </c>
      <c r="AKP23" s="57">
        <f t="shared" si="184"/>
        <v>1448.4412170937503</v>
      </c>
      <c r="AKQ23" s="57">
        <f t="shared" si="184"/>
        <v>1448.4412170937503</v>
      </c>
      <c r="AKR23" s="57">
        <f t="shared" si="184"/>
        <v>1448.4412170937503</v>
      </c>
      <c r="AKS23" s="57">
        <f t="shared" si="184"/>
        <v>1448.4412170937503</v>
      </c>
      <c r="AKT23" s="57">
        <f t="shared" si="184"/>
        <v>1448.4412170937503</v>
      </c>
      <c r="AKU23" s="57">
        <f t="shared" si="184"/>
        <v>1448.4412170937503</v>
      </c>
      <c r="AKV23" s="57">
        <f t="shared" si="184"/>
        <v>1448.4412170937503</v>
      </c>
      <c r="AKW23" s="57">
        <f t="shared" si="184"/>
        <v>1448.4412170937503</v>
      </c>
      <c r="AKX23" s="57">
        <f t="shared" si="184"/>
        <v>1448.4412170937503</v>
      </c>
      <c r="AKY23" s="57">
        <f t="shared" si="184"/>
        <v>1448.4412170937503</v>
      </c>
      <c r="AKZ23" s="57">
        <f t="shared" si="184"/>
        <v>1448.4412170937503</v>
      </c>
      <c r="ALA23" s="57">
        <f t="shared" si="184"/>
        <v>1448.4412170937503</v>
      </c>
      <c r="ALB23" s="57">
        <f t="shared" si="184"/>
        <v>1448.4412170937503</v>
      </c>
      <c r="ALC23" s="57">
        <f t="shared" si="184"/>
        <v>1448.4412170937503</v>
      </c>
      <c r="ALD23" s="57">
        <f t="shared" si="184"/>
        <v>1448.4412170937503</v>
      </c>
      <c r="ALE23" s="57">
        <f t="shared" si="184"/>
        <v>1448.4412170937503</v>
      </c>
      <c r="ALF23" s="57">
        <f t="shared" si="184"/>
        <v>1448.4412170937503</v>
      </c>
      <c r="ALG23" s="57">
        <f t="shared" si="184"/>
        <v>1448.4412170937503</v>
      </c>
      <c r="ALH23" s="57">
        <f t="shared" si="184"/>
        <v>1448.4412170937503</v>
      </c>
      <c r="ALI23" s="57">
        <f t="shared" si="184"/>
        <v>1448.4412170937503</v>
      </c>
      <c r="ALJ23" s="57">
        <f t="shared" si="184"/>
        <v>1448.4412170937503</v>
      </c>
      <c r="ALK23" s="57">
        <f t="shared" si="184"/>
        <v>1448.4412170937503</v>
      </c>
      <c r="ALL23" s="57">
        <f t="shared" si="184"/>
        <v>1448.4412170937503</v>
      </c>
      <c r="ALM23" s="57">
        <f t="shared" si="184"/>
        <v>1448.4412170937503</v>
      </c>
      <c r="ALN23" s="57">
        <f t="shared" si="184"/>
        <v>1448.4412170937503</v>
      </c>
      <c r="ALO23" s="57">
        <f t="shared" si="184"/>
        <v>1448.4412170937503</v>
      </c>
      <c r="ALP23" s="57">
        <f t="shared" si="184"/>
        <v>1448.4412170937503</v>
      </c>
      <c r="ALQ23" s="57">
        <f t="shared" si="184"/>
        <v>1448.4412170937503</v>
      </c>
      <c r="ALR23" s="57">
        <f t="shared" si="184"/>
        <v>1448.4412170937503</v>
      </c>
      <c r="ALS23" s="57">
        <f t="shared" si="184"/>
        <v>1448.4412170937503</v>
      </c>
      <c r="ALT23" s="57">
        <f t="shared" si="184"/>
        <v>1448.4412170937503</v>
      </c>
      <c r="ALU23" s="57">
        <f t="shared" si="184"/>
        <v>1448.4412170937503</v>
      </c>
      <c r="ALV23" s="57">
        <f t="shared" si="184"/>
        <v>1448.4412170937503</v>
      </c>
      <c r="ALW23" s="57">
        <f t="shared" si="184"/>
        <v>1448.4412170937503</v>
      </c>
      <c r="ALX23" s="57">
        <f t="shared" si="184"/>
        <v>1448.4412170937503</v>
      </c>
      <c r="ALY23" s="57">
        <f t="shared" si="184"/>
        <v>1448.4412170937503</v>
      </c>
      <c r="ALZ23" s="57">
        <f t="shared" si="184"/>
        <v>1448.4412170937503</v>
      </c>
      <c r="AMA23" s="57">
        <f t="shared" si="184"/>
        <v>1448.4412170937503</v>
      </c>
      <c r="AMB23" s="57">
        <f t="shared" si="184"/>
        <v>1448.4412170937503</v>
      </c>
      <c r="AMC23" s="57">
        <f t="shared" si="184"/>
        <v>1448.4412170937503</v>
      </c>
      <c r="AMD23" s="57">
        <f t="shared" si="184"/>
        <v>1448.4412170937503</v>
      </c>
      <c r="AME23" s="57">
        <f t="shared" si="184"/>
        <v>1448.4412170937503</v>
      </c>
      <c r="AMF23" s="57">
        <f t="shared" si="184"/>
        <v>1448.4412170937503</v>
      </c>
      <c r="AMG23" s="57">
        <f t="shared" si="184"/>
        <v>1448.4412170937503</v>
      </c>
      <c r="AMH23" s="57">
        <f t="shared" si="184"/>
        <v>1448.4412170937503</v>
      </c>
      <c r="AMI23" s="57">
        <f t="shared" si="184"/>
        <v>1448.4412170937503</v>
      </c>
      <c r="AMJ23" s="57">
        <f t="shared" si="184"/>
        <v>1448.4412170937503</v>
      </c>
      <c r="AMK23" s="57">
        <f t="shared" si="184"/>
        <v>1448.4412170937503</v>
      </c>
      <c r="AML23" s="57">
        <f t="shared" si="184"/>
        <v>1448.4412170937503</v>
      </c>
      <c r="AMM23" s="57">
        <f t="shared" si="184"/>
        <v>1448.4412170937503</v>
      </c>
      <c r="AMN23" s="57">
        <f t="shared" ref="AMN23:AOP23" si="185">IF(AMN16="Desacumulación",$I$7,0)</f>
        <v>1448.4412170937503</v>
      </c>
      <c r="AMO23" s="57">
        <f t="shared" si="185"/>
        <v>1448.4412170937503</v>
      </c>
      <c r="AMP23" s="57">
        <f t="shared" si="185"/>
        <v>1448.4412170937503</v>
      </c>
      <c r="AMQ23" s="57">
        <f t="shared" si="185"/>
        <v>1448.4412170937503</v>
      </c>
      <c r="AMR23" s="57">
        <f t="shared" si="185"/>
        <v>1448.4412170937503</v>
      </c>
      <c r="AMS23" s="57">
        <f t="shared" si="185"/>
        <v>1448.4412170937503</v>
      </c>
      <c r="AMT23" s="57">
        <f t="shared" si="185"/>
        <v>1448.4412170937503</v>
      </c>
      <c r="AMU23" s="57">
        <f t="shared" si="185"/>
        <v>1448.4412170937503</v>
      </c>
      <c r="AMV23" s="57">
        <f t="shared" si="185"/>
        <v>1448.4412170937503</v>
      </c>
      <c r="AMW23" s="57">
        <f t="shared" si="185"/>
        <v>1448.4412170937503</v>
      </c>
      <c r="AMX23" s="57">
        <f t="shared" si="185"/>
        <v>1448.4412170937503</v>
      </c>
      <c r="AMY23" s="57">
        <f t="shared" si="185"/>
        <v>1448.4412170937503</v>
      </c>
      <c r="AMZ23" s="57">
        <f t="shared" si="185"/>
        <v>1448.4412170937503</v>
      </c>
      <c r="ANA23" s="57">
        <f t="shared" si="185"/>
        <v>1448.4412170937503</v>
      </c>
      <c r="ANB23" s="57">
        <f t="shared" si="185"/>
        <v>1448.4412170937503</v>
      </c>
      <c r="ANC23" s="57">
        <f t="shared" si="185"/>
        <v>1448.4412170937503</v>
      </c>
      <c r="AND23" s="57">
        <f t="shared" si="185"/>
        <v>1448.4412170937503</v>
      </c>
      <c r="ANE23" s="57">
        <f t="shared" si="185"/>
        <v>1448.4412170937503</v>
      </c>
      <c r="ANF23" s="57">
        <f t="shared" si="185"/>
        <v>1448.4412170937503</v>
      </c>
      <c r="ANG23" s="57">
        <f t="shared" si="185"/>
        <v>1448.4412170937503</v>
      </c>
      <c r="ANH23" s="57">
        <f t="shared" si="185"/>
        <v>1448.4412170937503</v>
      </c>
      <c r="ANI23" s="57">
        <f t="shared" si="185"/>
        <v>1448.4412170937503</v>
      </c>
      <c r="ANJ23" s="57">
        <f t="shared" si="185"/>
        <v>1448.4412170937503</v>
      </c>
      <c r="ANK23" s="57">
        <f t="shared" si="185"/>
        <v>1448.4412170937503</v>
      </c>
      <c r="ANL23" s="57">
        <f t="shared" si="185"/>
        <v>1448.4412170937503</v>
      </c>
      <c r="ANM23" s="57">
        <f t="shared" si="185"/>
        <v>1448.4412170937503</v>
      </c>
      <c r="ANN23" s="57">
        <f t="shared" si="185"/>
        <v>1448.4412170937503</v>
      </c>
      <c r="ANO23" s="57">
        <f t="shared" si="185"/>
        <v>1448.4412170937503</v>
      </c>
      <c r="ANP23" s="57">
        <f t="shared" si="185"/>
        <v>1448.4412170937503</v>
      </c>
      <c r="ANQ23" s="57">
        <f t="shared" si="185"/>
        <v>1448.4412170937503</v>
      </c>
      <c r="ANR23" s="57">
        <f t="shared" si="185"/>
        <v>1448.4412170937503</v>
      </c>
      <c r="ANS23" s="57">
        <f t="shared" si="185"/>
        <v>1448.4412170937503</v>
      </c>
      <c r="ANT23" s="57">
        <f t="shared" si="185"/>
        <v>1448.4412170937503</v>
      </c>
      <c r="ANU23" s="57">
        <f t="shared" si="185"/>
        <v>1448.4412170937503</v>
      </c>
      <c r="ANV23" s="57">
        <f t="shared" si="185"/>
        <v>1448.4412170937503</v>
      </c>
      <c r="ANW23" s="57">
        <f t="shared" si="185"/>
        <v>1448.4412170937503</v>
      </c>
      <c r="ANX23" s="57">
        <f t="shared" si="185"/>
        <v>1448.4412170937503</v>
      </c>
      <c r="ANY23" s="57">
        <f t="shared" si="185"/>
        <v>1448.4412170937503</v>
      </c>
      <c r="ANZ23" s="57">
        <f t="shared" si="185"/>
        <v>1448.4412170937503</v>
      </c>
      <c r="AOA23" s="57">
        <f t="shared" si="185"/>
        <v>1448.4412170937503</v>
      </c>
      <c r="AOB23" s="57">
        <f t="shared" si="185"/>
        <v>1448.4412170937503</v>
      </c>
      <c r="AOC23" s="57">
        <f t="shared" si="185"/>
        <v>1448.4412170937503</v>
      </c>
      <c r="AOD23" s="57">
        <f t="shared" si="185"/>
        <v>1448.4412170937503</v>
      </c>
      <c r="AOE23" s="57">
        <f t="shared" si="185"/>
        <v>0</v>
      </c>
      <c r="AOF23" s="57">
        <f t="shared" si="185"/>
        <v>0</v>
      </c>
      <c r="AOG23" s="57">
        <f t="shared" si="185"/>
        <v>0</v>
      </c>
      <c r="AOH23" s="57">
        <f t="shared" si="185"/>
        <v>0</v>
      </c>
      <c r="AOI23" s="57">
        <f t="shared" si="185"/>
        <v>0</v>
      </c>
      <c r="AOJ23" s="57">
        <f t="shared" si="185"/>
        <v>0</v>
      </c>
      <c r="AOK23" s="57">
        <f t="shared" si="185"/>
        <v>0</v>
      </c>
      <c r="AOL23" s="57">
        <f t="shared" si="185"/>
        <v>0</v>
      </c>
      <c r="AOM23" s="57">
        <f t="shared" si="185"/>
        <v>0</v>
      </c>
      <c r="AON23" s="57">
        <f t="shared" si="185"/>
        <v>0</v>
      </c>
      <c r="AOO23" s="57">
        <f t="shared" si="185"/>
        <v>0</v>
      </c>
      <c r="AOP23" s="57">
        <f t="shared" si="185"/>
        <v>0</v>
      </c>
    </row>
    <row r="24" spans="2:1102" x14ac:dyDescent="0.25">
      <c r="B24" s="42" t="s">
        <v>178</v>
      </c>
      <c r="C24" s="57">
        <f>(C20+C21-C23)*($D$3/12)</f>
        <v>0</v>
      </c>
      <c r="D24" s="57">
        <f t="shared" ref="D24:BO24" si="186">(D20+D21-D23)*($D$3/12)</f>
        <v>0</v>
      </c>
      <c r="E24" s="57">
        <f t="shared" si="186"/>
        <v>0</v>
      </c>
      <c r="F24" s="57">
        <f t="shared" si="186"/>
        <v>0</v>
      </c>
      <c r="G24" s="57">
        <f t="shared" si="186"/>
        <v>0</v>
      </c>
      <c r="H24" s="57">
        <f t="shared" si="186"/>
        <v>0</v>
      </c>
      <c r="I24" s="57">
        <f t="shared" si="186"/>
        <v>0</v>
      </c>
      <c r="J24" s="57">
        <f t="shared" si="186"/>
        <v>0</v>
      </c>
      <c r="K24" s="57">
        <f t="shared" si="186"/>
        <v>0</v>
      </c>
      <c r="L24" s="57">
        <f t="shared" si="186"/>
        <v>0</v>
      </c>
      <c r="M24" s="57">
        <f t="shared" si="186"/>
        <v>0</v>
      </c>
      <c r="N24" s="57">
        <f t="shared" si="186"/>
        <v>0</v>
      </c>
      <c r="O24" s="57">
        <f t="shared" si="186"/>
        <v>0</v>
      </c>
      <c r="P24" s="57">
        <f t="shared" si="186"/>
        <v>0</v>
      </c>
      <c r="Q24" s="57">
        <f t="shared" si="186"/>
        <v>0</v>
      </c>
      <c r="R24" s="57">
        <f t="shared" si="186"/>
        <v>0</v>
      </c>
      <c r="S24" s="57">
        <f t="shared" si="186"/>
        <v>0</v>
      </c>
      <c r="T24" s="57">
        <f t="shared" si="186"/>
        <v>0</v>
      </c>
      <c r="U24" s="57">
        <f t="shared" si="186"/>
        <v>0</v>
      </c>
      <c r="V24" s="57">
        <f t="shared" si="186"/>
        <v>0</v>
      </c>
      <c r="W24" s="57">
        <f t="shared" si="186"/>
        <v>0</v>
      </c>
      <c r="X24" s="57">
        <f t="shared" si="186"/>
        <v>0</v>
      </c>
      <c r="Y24" s="57">
        <f t="shared" si="186"/>
        <v>0</v>
      </c>
      <c r="Z24" s="57">
        <f t="shared" si="186"/>
        <v>0</v>
      </c>
      <c r="AA24" s="57">
        <f t="shared" si="186"/>
        <v>0</v>
      </c>
      <c r="AB24" s="57">
        <f t="shared" si="186"/>
        <v>0</v>
      </c>
      <c r="AC24" s="57">
        <f t="shared" si="186"/>
        <v>0</v>
      </c>
      <c r="AD24" s="57">
        <f t="shared" si="186"/>
        <v>0</v>
      </c>
      <c r="AE24" s="57">
        <f t="shared" si="186"/>
        <v>0</v>
      </c>
      <c r="AF24" s="57">
        <f t="shared" si="186"/>
        <v>0</v>
      </c>
      <c r="AG24" s="57">
        <f t="shared" si="186"/>
        <v>0</v>
      </c>
      <c r="AH24" s="57">
        <f t="shared" si="186"/>
        <v>0</v>
      </c>
      <c r="AI24" s="57">
        <f t="shared" si="186"/>
        <v>0</v>
      </c>
      <c r="AJ24" s="57">
        <f t="shared" si="186"/>
        <v>0</v>
      </c>
      <c r="AK24" s="57">
        <f t="shared" si="186"/>
        <v>0</v>
      </c>
      <c r="AL24" s="57">
        <f t="shared" si="186"/>
        <v>0</v>
      </c>
      <c r="AM24" s="57">
        <f t="shared" si="186"/>
        <v>0</v>
      </c>
      <c r="AN24" s="57">
        <f t="shared" si="186"/>
        <v>0</v>
      </c>
      <c r="AO24" s="57">
        <f t="shared" si="186"/>
        <v>0</v>
      </c>
      <c r="AP24" s="57">
        <f t="shared" si="186"/>
        <v>0</v>
      </c>
      <c r="AQ24" s="57">
        <f t="shared" si="186"/>
        <v>0</v>
      </c>
      <c r="AR24" s="57">
        <f t="shared" si="186"/>
        <v>0</v>
      </c>
      <c r="AS24" s="57">
        <f t="shared" si="186"/>
        <v>0</v>
      </c>
      <c r="AT24" s="57">
        <f t="shared" si="186"/>
        <v>0</v>
      </c>
      <c r="AU24" s="57">
        <f t="shared" si="186"/>
        <v>0</v>
      </c>
      <c r="AV24" s="57">
        <f t="shared" si="186"/>
        <v>0</v>
      </c>
      <c r="AW24" s="57">
        <f t="shared" si="186"/>
        <v>0</v>
      </c>
      <c r="AX24" s="57">
        <f t="shared" si="186"/>
        <v>0</v>
      </c>
      <c r="AY24" s="57">
        <f t="shared" si="186"/>
        <v>0</v>
      </c>
      <c r="AZ24" s="57">
        <f t="shared" si="186"/>
        <v>0</v>
      </c>
      <c r="BA24" s="57">
        <f t="shared" si="186"/>
        <v>0</v>
      </c>
      <c r="BB24" s="57">
        <f t="shared" si="186"/>
        <v>0</v>
      </c>
      <c r="BC24" s="57">
        <f t="shared" si="186"/>
        <v>0</v>
      </c>
      <c r="BD24" s="57">
        <f t="shared" si="186"/>
        <v>0</v>
      </c>
      <c r="BE24" s="57">
        <f t="shared" si="186"/>
        <v>0</v>
      </c>
      <c r="BF24" s="57">
        <f t="shared" si="186"/>
        <v>0</v>
      </c>
      <c r="BG24" s="57">
        <f t="shared" si="186"/>
        <v>0</v>
      </c>
      <c r="BH24" s="57">
        <f t="shared" si="186"/>
        <v>0</v>
      </c>
      <c r="BI24" s="57">
        <f t="shared" si="186"/>
        <v>0</v>
      </c>
      <c r="BJ24" s="57">
        <f t="shared" si="186"/>
        <v>0</v>
      </c>
      <c r="BK24" s="57">
        <f t="shared" si="186"/>
        <v>0</v>
      </c>
      <c r="BL24" s="57">
        <f t="shared" si="186"/>
        <v>0</v>
      </c>
      <c r="BM24" s="57">
        <f t="shared" si="186"/>
        <v>0</v>
      </c>
      <c r="BN24" s="57">
        <f t="shared" si="186"/>
        <v>0</v>
      </c>
      <c r="BO24" s="57">
        <f t="shared" si="186"/>
        <v>0</v>
      </c>
      <c r="BP24" s="57">
        <f t="shared" ref="BP24:EA24" si="187">(BP20+BP21-BP23)*($D$3/12)</f>
        <v>0</v>
      </c>
      <c r="BQ24" s="57">
        <f t="shared" si="187"/>
        <v>0</v>
      </c>
      <c r="BR24" s="57">
        <f t="shared" si="187"/>
        <v>0</v>
      </c>
      <c r="BS24" s="57">
        <f t="shared" si="187"/>
        <v>0</v>
      </c>
      <c r="BT24" s="57">
        <f t="shared" si="187"/>
        <v>0</v>
      </c>
      <c r="BU24" s="57">
        <f t="shared" si="187"/>
        <v>0</v>
      </c>
      <c r="BV24" s="57">
        <f t="shared" si="187"/>
        <v>0</v>
      </c>
      <c r="BW24" s="57">
        <f t="shared" si="187"/>
        <v>0</v>
      </c>
      <c r="BX24" s="57">
        <f t="shared" si="187"/>
        <v>0</v>
      </c>
      <c r="BY24" s="57">
        <f t="shared" si="187"/>
        <v>0</v>
      </c>
      <c r="BZ24" s="57">
        <f t="shared" si="187"/>
        <v>0</v>
      </c>
      <c r="CA24" s="57">
        <f t="shared" si="187"/>
        <v>0</v>
      </c>
      <c r="CB24" s="57">
        <f t="shared" si="187"/>
        <v>0</v>
      </c>
      <c r="CC24" s="57">
        <f t="shared" si="187"/>
        <v>0</v>
      </c>
      <c r="CD24" s="57">
        <f t="shared" si="187"/>
        <v>0</v>
      </c>
      <c r="CE24" s="57">
        <f t="shared" si="187"/>
        <v>0</v>
      </c>
      <c r="CF24" s="57">
        <f t="shared" si="187"/>
        <v>0</v>
      </c>
      <c r="CG24" s="57">
        <f t="shared" si="187"/>
        <v>0</v>
      </c>
      <c r="CH24" s="57">
        <f t="shared" si="187"/>
        <v>0</v>
      </c>
      <c r="CI24" s="57">
        <f t="shared" si="187"/>
        <v>0</v>
      </c>
      <c r="CJ24" s="57">
        <f t="shared" si="187"/>
        <v>0</v>
      </c>
      <c r="CK24" s="57">
        <f t="shared" si="187"/>
        <v>0</v>
      </c>
      <c r="CL24" s="57">
        <f t="shared" si="187"/>
        <v>0</v>
      </c>
      <c r="CM24" s="57">
        <f t="shared" si="187"/>
        <v>0</v>
      </c>
      <c r="CN24" s="57">
        <f t="shared" si="187"/>
        <v>0</v>
      </c>
      <c r="CO24" s="57">
        <f t="shared" si="187"/>
        <v>0</v>
      </c>
      <c r="CP24" s="57">
        <f t="shared" si="187"/>
        <v>0</v>
      </c>
      <c r="CQ24" s="57">
        <f t="shared" si="187"/>
        <v>0</v>
      </c>
      <c r="CR24" s="57">
        <f t="shared" si="187"/>
        <v>0</v>
      </c>
      <c r="CS24" s="57">
        <f t="shared" si="187"/>
        <v>0</v>
      </c>
      <c r="CT24" s="57">
        <f t="shared" si="187"/>
        <v>0</v>
      </c>
      <c r="CU24" s="57">
        <f t="shared" si="187"/>
        <v>0</v>
      </c>
      <c r="CV24" s="57">
        <f t="shared" si="187"/>
        <v>0</v>
      </c>
      <c r="CW24" s="57">
        <f t="shared" si="187"/>
        <v>0</v>
      </c>
      <c r="CX24" s="57">
        <f t="shared" si="187"/>
        <v>0</v>
      </c>
      <c r="CY24" s="57">
        <f t="shared" si="187"/>
        <v>0</v>
      </c>
      <c r="CZ24" s="57">
        <f t="shared" si="187"/>
        <v>0</v>
      </c>
      <c r="DA24" s="57">
        <f t="shared" si="187"/>
        <v>0</v>
      </c>
      <c r="DB24" s="57">
        <f t="shared" si="187"/>
        <v>0</v>
      </c>
      <c r="DC24" s="57">
        <f t="shared" si="187"/>
        <v>0</v>
      </c>
      <c r="DD24" s="57">
        <f t="shared" si="187"/>
        <v>0</v>
      </c>
      <c r="DE24" s="57">
        <f t="shared" si="187"/>
        <v>0</v>
      </c>
      <c r="DF24" s="57">
        <f t="shared" si="187"/>
        <v>0</v>
      </c>
      <c r="DG24" s="57">
        <f t="shared" si="187"/>
        <v>0</v>
      </c>
      <c r="DH24" s="57">
        <f t="shared" si="187"/>
        <v>0</v>
      </c>
      <c r="DI24" s="57">
        <f t="shared" si="187"/>
        <v>0</v>
      </c>
      <c r="DJ24" s="57">
        <f t="shared" si="187"/>
        <v>0</v>
      </c>
      <c r="DK24" s="57">
        <f t="shared" si="187"/>
        <v>0</v>
      </c>
      <c r="DL24" s="57">
        <f t="shared" si="187"/>
        <v>0</v>
      </c>
      <c r="DM24" s="57">
        <f t="shared" si="187"/>
        <v>0</v>
      </c>
      <c r="DN24" s="57">
        <f t="shared" si="187"/>
        <v>0</v>
      </c>
      <c r="DO24" s="57">
        <f t="shared" si="187"/>
        <v>0</v>
      </c>
      <c r="DP24" s="57">
        <f t="shared" si="187"/>
        <v>0</v>
      </c>
      <c r="DQ24" s="57">
        <f t="shared" si="187"/>
        <v>0</v>
      </c>
      <c r="DR24" s="57">
        <f t="shared" si="187"/>
        <v>0</v>
      </c>
      <c r="DS24" s="57">
        <f t="shared" si="187"/>
        <v>0</v>
      </c>
      <c r="DT24" s="57">
        <f t="shared" si="187"/>
        <v>0</v>
      </c>
      <c r="DU24" s="57">
        <f t="shared" si="187"/>
        <v>0</v>
      </c>
      <c r="DV24" s="57">
        <f t="shared" si="187"/>
        <v>0</v>
      </c>
      <c r="DW24" s="57">
        <f t="shared" si="187"/>
        <v>0</v>
      </c>
      <c r="DX24" s="57">
        <f t="shared" si="187"/>
        <v>0</v>
      </c>
      <c r="DY24" s="57">
        <f t="shared" si="187"/>
        <v>0</v>
      </c>
      <c r="DZ24" s="57">
        <f t="shared" si="187"/>
        <v>0</v>
      </c>
      <c r="EA24" s="57">
        <f t="shared" si="187"/>
        <v>0</v>
      </c>
      <c r="EB24" s="57">
        <f t="shared" ref="EB24:GM24" si="188">(EB20+EB21-EB23)*($D$3/12)</f>
        <v>0</v>
      </c>
      <c r="EC24" s="57">
        <f t="shared" si="188"/>
        <v>0</v>
      </c>
      <c r="ED24" s="57">
        <f t="shared" si="188"/>
        <v>0</v>
      </c>
      <c r="EE24" s="57">
        <f t="shared" si="188"/>
        <v>0</v>
      </c>
      <c r="EF24" s="57">
        <f t="shared" si="188"/>
        <v>0</v>
      </c>
      <c r="EG24" s="57">
        <f t="shared" si="188"/>
        <v>0</v>
      </c>
      <c r="EH24" s="57">
        <f t="shared" si="188"/>
        <v>0</v>
      </c>
      <c r="EI24" s="57">
        <f t="shared" si="188"/>
        <v>0</v>
      </c>
      <c r="EJ24" s="57">
        <f t="shared" si="188"/>
        <v>0</v>
      </c>
      <c r="EK24" s="57">
        <f t="shared" si="188"/>
        <v>0</v>
      </c>
      <c r="EL24" s="57">
        <f t="shared" si="188"/>
        <v>0</v>
      </c>
      <c r="EM24" s="57">
        <f t="shared" si="188"/>
        <v>0</v>
      </c>
      <c r="EN24" s="57">
        <f t="shared" si="188"/>
        <v>0</v>
      </c>
      <c r="EO24" s="57">
        <f t="shared" si="188"/>
        <v>0</v>
      </c>
      <c r="EP24" s="57">
        <f t="shared" si="188"/>
        <v>0</v>
      </c>
      <c r="EQ24" s="57">
        <f t="shared" si="188"/>
        <v>0</v>
      </c>
      <c r="ER24" s="57">
        <f t="shared" si="188"/>
        <v>0</v>
      </c>
      <c r="ES24" s="57">
        <f t="shared" si="188"/>
        <v>0</v>
      </c>
      <c r="ET24" s="57">
        <f t="shared" si="188"/>
        <v>0</v>
      </c>
      <c r="EU24" s="57">
        <f t="shared" si="188"/>
        <v>0</v>
      </c>
      <c r="EV24" s="57">
        <f t="shared" si="188"/>
        <v>0</v>
      </c>
      <c r="EW24" s="57">
        <f t="shared" si="188"/>
        <v>0</v>
      </c>
      <c r="EX24" s="57">
        <f t="shared" si="188"/>
        <v>0</v>
      </c>
      <c r="EY24" s="57">
        <f t="shared" si="188"/>
        <v>0</v>
      </c>
      <c r="EZ24" s="57">
        <f t="shared" si="188"/>
        <v>0</v>
      </c>
      <c r="FA24" s="57">
        <f t="shared" si="188"/>
        <v>0</v>
      </c>
      <c r="FB24" s="57">
        <f t="shared" si="188"/>
        <v>0</v>
      </c>
      <c r="FC24" s="57">
        <f t="shared" si="188"/>
        <v>0</v>
      </c>
      <c r="FD24" s="57">
        <f t="shared" si="188"/>
        <v>0</v>
      </c>
      <c r="FE24" s="57">
        <f t="shared" si="188"/>
        <v>0</v>
      </c>
      <c r="FF24" s="57">
        <f t="shared" si="188"/>
        <v>0</v>
      </c>
      <c r="FG24" s="57">
        <f t="shared" si="188"/>
        <v>0</v>
      </c>
      <c r="FH24" s="57">
        <f t="shared" si="188"/>
        <v>0</v>
      </c>
      <c r="FI24" s="57">
        <f t="shared" si="188"/>
        <v>0</v>
      </c>
      <c r="FJ24" s="57">
        <f t="shared" si="188"/>
        <v>0</v>
      </c>
      <c r="FK24" s="57">
        <f t="shared" si="188"/>
        <v>0</v>
      </c>
      <c r="FL24" s="57">
        <f t="shared" si="188"/>
        <v>0</v>
      </c>
      <c r="FM24" s="57">
        <f t="shared" si="188"/>
        <v>0</v>
      </c>
      <c r="FN24" s="57">
        <f t="shared" si="188"/>
        <v>0</v>
      </c>
      <c r="FO24" s="57">
        <f t="shared" si="188"/>
        <v>0</v>
      </c>
      <c r="FP24" s="57">
        <f t="shared" si="188"/>
        <v>0</v>
      </c>
      <c r="FQ24" s="57">
        <f t="shared" si="188"/>
        <v>0</v>
      </c>
      <c r="FR24" s="57">
        <f t="shared" si="188"/>
        <v>0</v>
      </c>
      <c r="FS24" s="57">
        <f t="shared" si="188"/>
        <v>0</v>
      </c>
      <c r="FT24" s="57">
        <f t="shared" si="188"/>
        <v>0</v>
      </c>
      <c r="FU24" s="57">
        <f t="shared" si="188"/>
        <v>0</v>
      </c>
      <c r="FV24" s="57">
        <f t="shared" si="188"/>
        <v>0</v>
      </c>
      <c r="FW24" s="57">
        <f t="shared" si="188"/>
        <v>0</v>
      </c>
      <c r="FX24" s="57">
        <f t="shared" si="188"/>
        <v>0</v>
      </c>
      <c r="FY24" s="57">
        <f t="shared" si="188"/>
        <v>0</v>
      </c>
      <c r="FZ24" s="57">
        <f t="shared" si="188"/>
        <v>0</v>
      </c>
      <c r="GA24" s="57">
        <f t="shared" si="188"/>
        <v>0</v>
      </c>
      <c r="GB24" s="57">
        <f t="shared" si="188"/>
        <v>0</v>
      </c>
      <c r="GC24" s="57">
        <f t="shared" si="188"/>
        <v>0</v>
      </c>
      <c r="GD24" s="57">
        <f t="shared" si="188"/>
        <v>0</v>
      </c>
      <c r="GE24" s="57">
        <f t="shared" si="188"/>
        <v>0</v>
      </c>
      <c r="GF24" s="57">
        <f t="shared" si="188"/>
        <v>0</v>
      </c>
      <c r="GG24" s="57">
        <f t="shared" si="188"/>
        <v>0</v>
      </c>
      <c r="GH24" s="57">
        <f t="shared" si="188"/>
        <v>0</v>
      </c>
      <c r="GI24" s="57">
        <f t="shared" si="188"/>
        <v>0</v>
      </c>
      <c r="GJ24" s="57">
        <f t="shared" si="188"/>
        <v>0</v>
      </c>
      <c r="GK24" s="57">
        <f t="shared" si="188"/>
        <v>0</v>
      </c>
      <c r="GL24" s="57">
        <f t="shared" si="188"/>
        <v>0</v>
      </c>
      <c r="GM24" s="57">
        <f t="shared" si="188"/>
        <v>0</v>
      </c>
      <c r="GN24" s="57">
        <f t="shared" ref="GN24:IY24" si="189">(GN20+GN21-GN23)*($D$3/12)</f>
        <v>0</v>
      </c>
      <c r="GO24" s="57">
        <f t="shared" si="189"/>
        <v>0</v>
      </c>
      <c r="GP24" s="57">
        <f t="shared" si="189"/>
        <v>0</v>
      </c>
      <c r="GQ24" s="57">
        <f t="shared" si="189"/>
        <v>0</v>
      </c>
      <c r="GR24" s="57">
        <f t="shared" si="189"/>
        <v>0</v>
      </c>
      <c r="GS24" s="57">
        <f t="shared" si="189"/>
        <v>0</v>
      </c>
      <c r="GT24" s="57">
        <f t="shared" si="189"/>
        <v>0</v>
      </c>
      <c r="GU24" s="57">
        <f t="shared" si="189"/>
        <v>0</v>
      </c>
      <c r="GV24" s="57">
        <f t="shared" si="189"/>
        <v>0</v>
      </c>
      <c r="GW24" s="57">
        <f t="shared" si="189"/>
        <v>0</v>
      </c>
      <c r="GX24" s="57">
        <f t="shared" si="189"/>
        <v>0</v>
      </c>
      <c r="GY24" s="57">
        <f t="shared" si="189"/>
        <v>0</v>
      </c>
      <c r="GZ24" s="57">
        <f t="shared" si="189"/>
        <v>0</v>
      </c>
      <c r="HA24" s="57">
        <f t="shared" si="189"/>
        <v>0</v>
      </c>
      <c r="HB24" s="57">
        <f t="shared" si="189"/>
        <v>0</v>
      </c>
      <c r="HC24" s="57">
        <f t="shared" si="189"/>
        <v>0</v>
      </c>
      <c r="HD24" s="57">
        <f t="shared" si="189"/>
        <v>0</v>
      </c>
      <c r="HE24" s="57">
        <f t="shared" si="189"/>
        <v>0</v>
      </c>
      <c r="HF24" s="57">
        <f t="shared" si="189"/>
        <v>0</v>
      </c>
      <c r="HG24" s="57">
        <f t="shared" si="189"/>
        <v>0</v>
      </c>
      <c r="HH24" s="57">
        <f t="shared" si="189"/>
        <v>0</v>
      </c>
      <c r="HI24" s="57">
        <f t="shared" si="189"/>
        <v>0</v>
      </c>
      <c r="HJ24" s="57">
        <f t="shared" si="189"/>
        <v>0</v>
      </c>
      <c r="HK24" s="57">
        <f t="shared" si="189"/>
        <v>0</v>
      </c>
      <c r="HL24" s="57">
        <f t="shared" si="189"/>
        <v>0</v>
      </c>
      <c r="HM24" s="57">
        <f t="shared" si="189"/>
        <v>0</v>
      </c>
      <c r="HN24" s="57">
        <f t="shared" si="189"/>
        <v>0</v>
      </c>
      <c r="HO24" s="57">
        <f t="shared" si="189"/>
        <v>0</v>
      </c>
      <c r="HP24" s="57">
        <f t="shared" si="189"/>
        <v>0</v>
      </c>
      <c r="HQ24" s="57">
        <f t="shared" si="189"/>
        <v>0</v>
      </c>
      <c r="HR24" s="57">
        <f t="shared" si="189"/>
        <v>0</v>
      </c>
      <c r="HS24" s="57">
        <f t="shared" si="189"/>
        <v>0</v>
      </c>
      <c r="HT24" s="57">
        <f t="shared" si="189"/>
        <v>0</v>
      </c>
      <c r="HU24" s="57">
        <f t="shared" si="189"/>
        <v>0</v>
      </c>
      <c r="HV24" s="57">
        <f t="shared" si="189"/>
        <v>0</v>
      </c>
      <c r="HW24" s="57">
        <f t="shared" si="189"/>
        <v>0</v>
      </c>
      <c r="HX24" s="57">
        <f t="shared" si="189"/>
        <v>0</v>
      </c>
      <c r="HY24" s="57">
        <f t="shared" si="189"/>
        <v>0</v>
      </c>
      <c r="HZ24" s="57">
        <f t="shared" si="189"/>
        <v>0</v>
      </c>
      <c r="IA24" s="57">
        <f t="shared" si="189"/>
        <v>0</v>
      </c>
      <c r="IB24" s="57">
        <f t="shared" si="189"/>
        <v>0</v>
      </c>
      <c r="IC24" s="57">
        <f t="shared" si="189"/>
        <v>0</v>
      </c>
      <c r="ID24" s="57">
        <f t="shared" si="189"/>
        <v>0</v>
      </c>
      <c r="IE24" s="57">
        <f t="shared" si="189"/>
        <v>0</v>
      </c>
      <c r="IF24" s="57">
        <f t="shared" si="189"/>
        <v>0</v>
      </c>
      <c r="IG24" s="57">
        <f t="shared" si="189"/>
        <v>0</v>
      </c>
      <c r="IH24" s="57">
        <f t="shared" si="189"/>
        <v>0</v>
      </c>
      <c r="II24" s="57">
        <f t="shared" si="189"/>
        <v>0</v>
      </c>
      <c r="IJ24" s="57">
        <f t="shared" si="189"/>
        <v>0</v>
      </c>
      <c r="IK24" s="57">
        <f t="shared" si="189"/>
        <v>0</v>
      </c>
      <c r="IL24" s="57">
        <f t="shared" si="189"/>
        <v>0</v>
      </c>
      <c r="IM24" s="57">
        <f t="shared" si="189"/>
        <v>0</v>
      </c>
      <c r="IN24" s="57">
        <f t="shared" si="189"/>
        <v>0</v>
      </c>
      <c r="IO24" s="57">
        <f t="shared" si="189"/>
        <v>0</v>
      </c>
      <c r="IP24" s="57">
        <f t="shared" si="189"/>
        <v>0</v>
      </c>
      <c r="IQ24" s="57">
        <f t="shared" si="189"/>
        <v>0</v>
      </c>
      <c r="IR24" s="57">
        <f t="shared" si="189"/>
        <v>0</v>
      </c>
      <c r="IS24" s="57">
        <f t="shared" si="189"/>
        <v>0</v>
      </c>
      <c r="IT24" s="57">
        <f t="shared" si="189"/>
        <v>0</v>
      </c>
      <c r="IU24" s="57">
        <f t="shared" si="189"/>
        <v>0</v>
      </c>
      <c r="IV24" s="57">
        <f t="shared" si="189"/>
        <v>0</v>
      </c>
      <c r="IW24" s="57">
        <f t="shared" si="189"/>
        <v>0</v>
      </c>
      <c r="IX24" s="57">
        <f t="shared" si="189"/>
        <v>0</v>
      </c>
      <c r="IY24" s="57">
        <f t="shared" si="189"/>
        <v>0</v>
      </c>
      <c r="IZ24" s="57">
        <f t="shared" ref="IZ24:LK24" si="190">(IZ20+IZ21-IZ23)*($D$3/12)</f>
        <v>0</v>
      </c>
      <c r="JA24" s="57">
        <f t="shared" si="190"/>
        <v>0</v>
      </c>
      <c r="JB24" s="57">
        <f t="shared" si="190"/>
        <v>0</v>
      </c>
      <c r="JC24" s="57">
        <f t="shared" si="190"/>
        <v>0</v>
      </c>
      <c r="JD24" s="57">
        <f t="shared" si="190"/>
        <v>0</v>
      </c>
      <c r="JE24" s="57">
        <f t="shared" si="190"/>
        <v>0</v>
      </c>
      <c r="JF24" s="57">
        <f t="shared" si="190"/>
        <v>0</v>
      </c>
      <c r="JG24" s="57">
        <f t="shared" si="190"/>
        <v>0</v>
      </c>
      <c r="JH24" s="57">
        <f t="shared" si="190"/>
        <v>0</v>
      </c>
      <c r="JI24" s="57">
        <f t="shared" si="190"/>
        <v>0</v>
      </c>
      <c r="JJ24" s="57">
        <f t="shared" si="190"/>
        <v>0</v>
      </c>
      <c r="JK24" s="57">
        <f t="shared" si="190"/>
        <v>0</v>
      </c>
      <c r="JL24" s="57">
        <f t="shared" si="190"/>
        <v>0</v>
      </c>
      <c r="JM24" s="57">
        <f t="shared" si="190"/>
        <v>0</v>
      </c>
      <c r="JN24" s="57">
        <f t="shared" si="190"/>
        <v>0</v>
      </c>
      <c r="JO24" s="57">
        <f t="shared" si="190"/>
        <v>0</v>
      </c>
      <c r="JP24" s="57">
        <f t="shared" si="190"/>
        <v>0</v>
      </c>
      <c r="JQ24" s="57">
        <f t="shared" si="190"/>
        <v>0</v>
      </c>
      <c r="JR24" s="57">
        <f t="shared" si="190"/>
        <v>0</v>
      </c>
      <c r="JS24" s="57">
        <f t="shared" si="190"/>
        <v>0</v>
      </c>
      <c r="JT24" s="57">
        <f t="shared" si="190"/>
        <v>0</v>
      </c>
      <c r="JU24" s="57">
        <f t="shared" si="190"/>
        <v>0</v>
      </c>
      <c r="JV24" s="57">
        <f t="shared" si="190"/>
        <v>0</v>
      </c>
      <c r="JW24" s="57">
        <f t="shared" si="190"/>
        <v>0</v>
      </c>
      <c r="JX24" s="57">
        <f t="shared" si="190"/>
        <v>0</v>
      </c>
      <c r="JY24" s="57">
        <f t="shared" si="190"/>
        <v>0</v>
      </c>
      <c r="JZ24" s="57">
        <f t="shared" si="190"/>
        <v>0</v>
      </c>
      <c r="KA24" s="57">
        <f t="shared" si="190"/>
        <v>0</v>
      </c>
      <c r="KB24" s="57">
        <f t="shared" si="190"/>
        <v>0</v>
      </c>
      <c r="KC24" s="57">
        <f t="shared" si="190"/>
        <v>0</v>
      </c>
      <c r="KD24" s="57">
        <f t="shared" si="190"/>
        <v>0</v>
      </c>
      <c r="KE24" s="57">
        <f t="shared" si="190"/>
        <v>0</v>
      </c>
      <c r="KF24" s="57">
        <f t="shared" si="190"/>
        <v>0</v>
      </c>
      <c r="KG24" s="57">
        <f t="shared" si="190"/>
        <v>0</v>
      </c>
      <c r="KH24" s="57">
        <f t="shared" si="190"/>
        <v>0</v>
      </c>
      <c r="KI24" s="57">
        <f t="shared" si="190"/>
        <v>0</v>
      </c>
      <c r="KJ24" s="57">
        <f t="shared" si="190"/>
        <v>0</v>
      </c>
      <c r="KK24" s="57">
        <f t="shared" si="190"/>
        <v>0</v>
      </c>
      <c r="KL24" s="57">
        <f t="shared" si="190"/>
        <v>0</v>
      </c>
      <c r="KM24" s="57">
        <f t="shared" si="190"/>
        <v>0</v>
      </c>
      <c r="KN24" s="57">
        <f t="shared" si="190"/>
        <v>0</v>
      </c>
      <c r="KO24" s="57">
        <f t="shared" si="190"/>
        <v>0</v>
      </c>
      <c r="KP24" s="57">
        <f t="shared" si="190"/>
        <v>0</v>
      </c>
      <c r="KQ24" s="57">
        <f t="shared" si="190"/>
        <v>0</v>
      </c>
      <c r="KR24" s="57">
        <f t="shared" si="190"/>
        <v>0</v>
      </c>
      <c r="KS24" s="57">
        <f t="shared" si="190"/>
        <v>0</v>
      </c>
      <c r="KT24" s="57">
        <f t="shared" si="190"/>
        <v>0</v>
      </c>
      <c r="KU24" s="57">
        <f t="shared" si="190"/>
        <v>0</v>
      </c>
      <c r="KV24" s="57">
        <f t="shared" si="190"/>
        <v>0</v>
      </c>
      <c r="KW24" s="57">
        <f t="shared" si="190"/>
        <v>0</v>
      </c>
      <c r="KX24" s="57">
        <f t="shared" si="190"/>
        <v>0</v>
      </c>
      <c r="KY24" s="57">
        <f t="shared" si="190"/>
        <v>0</v>
      </c>
      <c r="KZ24" s="57">
        <f t="shared" si="190"/>
        <v>0</v>
      </c>
      <c r="LA24" s="57">
        <f t="shared" si="190"/>
        <v>0</v>
      </c>
      <c r="LB24" s="57">
        <f t="shared" si="190"/>
        <v>0</v>
      </c>
      <c r="LC24" s="57">
        <f t="shared" si="190"/>
        <v>0</v>
      </c>
      <c r="LD24" s="57">
        <f t="shared" si="190"/>
        <v>0</v>
      </c>
      <c r="LE24" s="57">
        <f t="shared" si="190"/>
        <v>0</v>
      </c>
      <c r="LF24" s="57">
        <f t="shared" si="190"/>
        <v>0</v>
      </c>
      <c r="LG24" s="57">
        <f t="shared" si="190"/>
        <v>0</v>
      </c>
      <c r="LH24" s="57">
        <f t="shared" si="190"/>
        <v>0</v>
      </c>
      <c r="LI24" s="57">
        <f t="shared" si="190"/>
        <v>0</v>
      </c>
      <c r="LJ24" s="57">
        <f t="shared" si="190"/>
        <v>0</v>
      </c>
      <c r="LK24" s="57">
        <f t="shared" si="190"/>
        <v>0</v>
      </c>
      <c r="LL24" s="57">
        <f t="shared" ref="LL24:NW24" si="191">(LL20+LL21-LL23)*($D$3/12)</f>
        <v>0</v>
      </c>
      <c r="LM24" s="57">
        <f t="shared" si="191"/>
        <v>0</v>
      </c>
      <c r="LN24" s="57">
        <f t="shared" si="191"/>
        <v>0</v>
      </c>
      <c r="LO24" s="57">
        <f t="shared" si="191"/>
        <v>0</v>
      </c>
      <c r="LP24" s="57">
        <f t="shared" si="191"/>
        <v>0</v>
      </c>
      <c r="LQ24" s="57">
        <f t="shared" si="191"/>
        <v>0</v>
      </c>
      <c r="LR24" s="57">
        <f t="shared" si="191"/>
        <v>0</v>
      </c>
      <c r="LS24" s="57">
        <f t="shared" si="191"/>
        <v>0</v>
      </c>
      <c r="LT24" s="57">
        <f t="shared" si="191"/>
        <v>0</v>
      </c>
      <c r="LU24" s="57">
        <f t="shared" si="191"/>
        <v>0</v>
      </c>
      <c r="LV24" s="57">
        <f t="shared" si="191"/>
        <v>0</v>
      </c>
      <c r="LW24" s="57">
        <f t="shared" si="191"/>
        <v>0</v>
      </c>
      <c r="LX24" s="57">
        <f t="shared" si="191"/>
        <v>0</v>
      </c>
      <c r="LY24" s="57">
        <f t="shared" si="191"/>
        <v>0</v>
      </c>
      <c r="LZ24" s="57">
        <f t="shared" si="191"/>
        <v>0</v>
      </c>
      <c r="MA24" s="57">
        <f t="shared" si="191"/>
        <v>0</v>
      </c>
      <c r="MB24" s="57">
        <f t="shared" si="191"/>
        <v>0</v>
      </c>
      <c r="MC24" s="57">
        <f t="shared" si="191"/>
        <v>0</v>
      </c>
      <c r="MD24" s="57">
        <f t="shared" si="191"/>
        <v>0</v>
      </c>
      <c r="ME24" s="57">
        <f t="shared" si="191"/>
        <v>0</v>
      </c>
      <c r="MF24" s="57">
        <f t="shared" si="191"/>
        <v>0</v>
      </c>
      <c r="MG24" s="57">
        <f t="shared" si="191"/>
        <v>0</v>
      </c>
      <c r="MH24" s="57">
        <f t="shared" si="191"/>
        <v>0</v>
      </c>
      <c r="MI24" s="57">
        <f t="shared" si="191"/>
        <v>0</v>
      </c>
      <c r="MJ24" s="57">
        <f t="shared" si="191"/>
        <v>0</v>
      </c>
      <c r="MK24" s="57">
        <f t="shared" si="191"/>
        <v>0</v>
      </c>
      <c r="ML24" s="57">
        <f t="shared" si="191"/>
        <v>0</v>
      </c>
      <c r="MM24" s="57">
        <f t="shared" si="191"/>
        <v>0</v>
      </c>
      <c r="MN24" s="57">
        <f t="shared" si="191"/>
        <v>0</v>
      </c>
      <c r="MO24" s="57">
        <f t="shared" si="191"/>
        <v>0</v>
      </c>
      <c r="MP24" s="57">
        <f t="shared" si="191"/>
        <v>0</v>
      </c>
      <c r="MQ24" s="57">
        <f t="shared" si="191"/>
        <v>0</v>
      </c>
      <c r="MR24" s="57">
        <f t="shared" si="191"/>
        <v>0</v>
      </c>
      <c r="MS24" s="57">
        <f t="shared" si="191"/>
        <v>0</v>
      </c>
      <c r="MT24" s="57">
        <f t="shared" si="191"/>
        <v>0</v>
      </c>
      <c r="MU24" s="57">
        <f t="shared" si="191"/>
        <v>0</v>
      </c>
      <c r="MV24" s="57">
        <f t="shared" si="191"/>
        <v>0</v>
      </c>
      <c r="MW24" s="57">
        <f t="shared" si="191"/>
        <v>0</v>
      </c>
      <c r="MX24" s="57">
        <f t="shared" si="191"/>
        <v>0</v>
      </c>
      <c r="MY24" s="57">
        <f t="shared" si="191"/>
        <v>0</v>
      </c>
      <c r="MZ24" s="57">
        <f t="shared" si="191"/>
        <v>0</v>
      </c>
      <c r="NA24" s="57">
        <f t="shared" si="191"/>
        <v>0</v>
      </c>
      <c r="NB24" s="57">
        <f t="shared" si="191"/>
        <v>0</v>
      </c>
      <c r="NC24" s="57">
        <f t="shared" si="191"/>
        <v>0</v>
      </c>
      <c r="ND24" s="57">
        <f t="shared" si="191"/>
        <v>0</v>
      </c>
      <c r="NE24" s="57">
        <f t="shared" si="191"/>
        <v>0</v>
      </c>
      <c r="NF24" s="57">
        <f t="shared" si="191"/>
        <v>0</v>
      </c>
      <c r="NG24" s="57">
        <f t="shared" si="191"/>
        <v>0</v>
      </c>
      <c r="NH24" s="57">
        <f t="shared" si="191"/>
        <v>0</v>
      </c>
      <c r="NI24" s="57">
        <f t="shared" si="191"/>
        <v>0</v>
      </c>
      <c r="NJ24" s="57">
        <f t="shared" si="191"/>
        <v>0</v>
      </c>
      <c r="NK24" s="57">
        <f t="shared" si="191"/>
        <v>0</v>
      </c>
      <c r="NL24" s="57">
        <f t="shared" si="191"/>
        <v>0</v>
      </c>
      <c r="NM24" s="57">
        <f t="shared" si="191"/>
        <v>0</v>
      </c>
      <c r="NN24" s="57">
        <f t="shared" si="191"/>
        <v>0</v>
      </c>
      <c r="NO24" s="57">
        <f t="shared" si="191"/>
        <v>0</v>
      </c>
      <c r="NP24" s="57">
        <f t="shared" si="191"/>
        <v>0</v>
      </c>
      <c r="NQ24" s="57">
        <f t="shared" si="191"/>
        <v>0</v>
      </c>
      <c r="NR24" s="57">
        <f t="shared" si="191"/>
        <v>0</v>
      </c>
      <c r="NS24" s="57">
        <f t="shared" si="191"/>
        <v>0</v>
      </c>
      <c r="NT24" s="57">
        <f t="shared" si="191"/>
        <v>0</v>
      </c>
      <c r="NU24" s="57">
        <f t="shared" si="191"/>
        <v>0</v>
      </c>
      <c r="NV24" s="57">
        <f t="shared" si="191"/>
        <v>0</v>
      </c>
      <c r="NW24" s="57">
        <f t="shared" si="191"/>
        <v>0</v>
      </c>
      <c r="NX24" s="57">
        <f t="shared" ref="NX24:QI24" si="192">(NX20+NX21-NX23)*($D$3/12)</f>
        <v>0</v>
      </c>
      <c r="NY24" s="57">
        <f t="shared" si="192"/>
        <v>0</v>
      </c>
      <c r="NZ24" s="57">
        <f t="shared" si="192"/>
        <v>0</v>
      </c>
      <c r="OA24" s="57">
        <f t="shared" si="192"/>
        <v>0</v>
      </c>
      <c r="OB24" s="57">
        <f t="shared" si="192"/>
        <v>0</v>
      </c>
      <c r="OC24" s="57">
        <f t="shared" si="192"/>
        <v>0</v>
      </c>
      <c r="OD24" s="57">
        <f t="shared" si="192"/>
        <v>0</v>
      </c>
      <c r="OE24" s="57">
        <f t="shared" si="192"/>
        <v>0</v>
      </c>
      <c r="OF24" s="57">
        <f t="shared" si="192"/>
        <v>0</v>
      </c>
      <c r="OG24" s="57">
        <f t="shared" si="192"/>
        <v>0</v>
      </c>
      <c r="OH24" s="57">
        <f t="shared" si="192"/>
        <v>0</v>
      </c>
      <c r="OI24" s="57">
        <f t="shared" si="192"/>
        <v>0</v>
      </c>
      <c r="OJ24" s="57">
        <f t="shared" si="192"/>
        <v>0</v>
      </c>
      <c r="OK24" s="57">
        <f t="shared" si="192"/>
        <v>0</v>
      </c>
      <c r="OL24" s="57">
        <f t="shared" si="192"/>
        <v>0</v>
      </c>
      <c r="OM24" s="57">
        <f t="shared" si="192"/>
        <v>0</v>
      </c>
      <c r="ON24" s="57">
        <f t="shared" si="192"/>
        <v>0</v>
      </c>
      <c r="OO24" s="57">
        <f t="shared" si="192"/>
        <v>0</v>
      </c>
      <c r="OP24" s="57">
        <f t="shared" si="192"/>
        <v>0</v>
      </c>
      <c r="OQ24" s="57">
        <f t="shared" si="192"/>
        <v>0</v>
      </c>
      <c r="OR24" s="57">
        <f t="shared" si="192"/>
        <v>0</v>
      </c>
      <c r="OS24" s="57">
        <f t="shared" si="192"/>
        <v>0</v>
      </c>
      <c r="OT24" s="57">
        <f t="shared" si="192"/>
        <v>0</v>
      </c>
      <c r="OU24" s="57">
        <f t="shared" si="192"/>
        <v>0</v>
      </c>
      <c r="OV24" s="57">
        <f t="shared" si="192"/>
        <v>0</v>
      </c>
      <c r="OW24" s="57">
        <f t="shared" si="192"/>
        <v>0</v>
      </c>
      <c r="OX24" s="57">
        <f t="shared" si="192"/>
        <v>0</v>
      </c>
      <c r="OY24" s="57">
        <f t="shared" si="192"/>
        <v>0</v>
      </c>
      <c r="OZ24" s="57">
        <f t="shared" si="192"/>
        <v>0</v>
      </c>
      <c r="PA24" s="57">
        <f t="shared" si="192"/>
        <v>0</v>
      </c>
      <c r="PB24" s="57">
        <f t="shared" si="192"/>
        <v>0</v>
      </c>
      <c r="PC24" s="57">
        <f t="shared" si="192"/>
        <v>0</v>
      </c>
      <c r="PD24" s="57">
        <f t="shared" si="192"/>
        <v>0</v>
      </c>
      <c r="PE24" s="57">
        <f t="shared" si="192"/>
        <v>0</v>
      </c>
      <c r="PF24" s="57">
        <f t="shared" si="192"/>
        <v>0</v>
      </c>
      <c r="PG24" s="57">
        <f t="shared" si="192"/>
        <v>0</v>
      </c>
      <c r="PH24" s="57">
        <f t="shared" si="192"/>
        <v>0</v>
      </c>
      <c r="PI24" s="57">
        <f t="shared" si="192"/>
        <v>0</v>
      </c>
      <c r="PJ24" s="57">
        <f t="shared" si="192"/>
        <v>0</v>
      </c>
      <c r="PK24" s="57">
        <f t="shared" si="192"/>
        <v>0</v>
      </c>
      <c r="PL24" s="57">
        <f t="shared" si="192"/>
        <v>0</v>
      </c>
      <c r="PM24" s="57">
        <f t="shared" si="192"/>
        <v>0</v>
      </c>
      <c r="PN24" s="57">
        <f t="shared" si="192"/>
        <v>0</v>
      </c>
      <c r="PO24" s="57">
        <f t="shared" si="192"/>
        <v>0</v>
      </c>
      <c r="PP24" s="57">
        <f t="shared" si="192"/>
        <v>0</v>
      </c>
      <c r="PQ24" s="57">
        <f t="shared" si="192"/>
        <v>0</v>
      </c>
      <c r="PR24" s="57">
        <f t="shared" si="192"/>
        <v>0</v>
      </c>
      <c r="PS24" s="57">
        <f t="shared" si="192"/>
        <v>0</v>
      </c>
      <c r="PT24" s="57">
        <f t="shared" si="192"/>
        <v>0</v>
      </c>
      <c r="PU24" s="57">
        <f t="shared" si="192"/>
        <v>0</v>
      </c>
      <c r="PV24" s="57">
        <f t="shared" si="192"/>
        <v>0</v>
      </c>
      <c r="PW24" s="57">
        <f t="shared" si="192"/>
        <v>0</v>
      </c>
      <c r="PX24" s="57">
        <f t="shared" si="192"/>
        <v>0</v>
      </c>
      <c r="PY24" s="57">
        <f t="shared" si="192"/>
        <v>0</v>
      </c>
      <c r="PZ24" s="57">
        <f t="shared" si="192"/>
        <v>0</v>
      </c>
      <c r="QA24" s="57">
        <f t="shared" si="192"/>
        <v>0</v>
      </c>
      <c r="QB24" s="57">
        <f t="shared" si="192"/>
        <v>0</v>
      </c>
      <c r="QC24" s="57">
        <f t="shared" si="192"/>
        <v>0</v>
      </c>
      <c r="QD24" s="57">
        <f t="shared" si="192"/>
        <v>0</v>
      </c>
      <c r="QE24" s="57">
        <f t="shared" si="192"/>
        <v>0</v>
      </c>
      <c r="QF24" s="57">
        <f t="shared" si="192"/>
        <v>0</v>
      </c>
      <c r="QG24" s="57">
        <f t="shared" si="192"/>
        <v>0</v>
      </c>
      <c r="QH24" s="57">
        <f t="shared" si="192"/>
        <v>0</v>
      </c>
      <c r="QI24" s="57">
        <f t="shared" si="192"/>
        <v>0</v>
      </c>
      <c r="QJ24" s="57">
        <f t="shared" ref="QJ24:SU24" si="193">(QJ20+QJ21-QJ23)*($D$3/12)</f>
        <v>0</v>
      </c>
      <c r="QK24" s="57">
        <f t="shared" si="193"/>
        <v>0</v>
      </c>
      <c r="QL24" s="57">
        <f t="shared" si="193"/>
        <v>0</v>
      </c>
      <c r="QM24" s="57">
        <f t="shared" si="193"/>
        <v>0</v>
      </c>
      <c r="QN24" s="57">
        <f t="shared" si="193"/>
        <v>0</v>
      </c>
      <c r="QO24" s="57">
        <f t="shared" si="193"/>
        <v>0</v>
      </c>
      <c r="QP24" s="57">
        <f t="shared" si="193"/>
        <v>0</v>
      </c>
      <c r="QQ24" s="57">
        <f t="shared" si="193"/>
        <v>0</v>
      </c>
      <c r="QR24" s="57">
        <f t="shared" si="193"/>
        <v>0</v>
      </c>
      <c r="QS24" s="57">
        <f t="shared" si="193"/>
        <v>0</v>
      </c>
      <c r="QT24" s="57">
        <f t="shared" si="193"/>
        <v>0</v>
      </c>
      <c r="QU24" s="57">
        <f t="shared" si="193"/>
        <v>0</v>
      </c>
      <c r="QV24" s="57">
        <f t="shared" si="193"/>
        <v>0</v>
      </c>
      <c r="QW24" s="57">
        <f t="shared" si="193"/>
        <v>0</v>
      </c>
      <c r="QX24" s="57">
        <f t="shared" si="193"/>
        <v>0</v>
      </c>
      <c r="QY24" s="57">
        <f t="shared" si="193"/>
        <v>0</v>
      </c>
      <c r="QZ24" s="57">
        <f t="shared" si="193"/>
        <v>0</v>
      </c>
      <c r="RA24" s="57">
        <f t="shared" si="193"/>
        <v>0</v>
      </c>
      <c r="RB24" s="57">
        <f t="shared" si="193"/>
        <v>0</v>
      </c>
      <c r="RC24" s="57">
        <f t="shared" si="193"/>
        <v>0</v>
      </c>
      <c r="RD24" s="57">
        <f t="shared" si="193"/>
        <v>0</v>
      </c>
      <c r="RE24" s="57">
        <f t="shared" si="193"/>
        <v>0</v>
      </c>
      <c r="RF24" s="57">
        <f t="shared" si="193"/>
        <v>0</v>
      </c>
      <c r="RG24" s="57">
        <f t="shared" si="193"/>
        <v>0</v>
      </c>
      <c r="RH24" s="57">
        <f t="shared" si="193"/>
        <v>0</v>
      </c>
      <c r="RI24" s="57">
        <f t="shared" si="193"/>
        <v>0</v>
      </c>
      <c r="RJ24" s="57">
        <f t="shared" si="193"/>
        <v>0</v>
      </c>
      <c r="RK24" s="57">
        <f t="shared" si="193"/>
        <v>0</v>
      </c>
      <c r="RL24" s="57">
        <f t="shared" si="193"/>
        <v>0</v>
      </c>
      <c r="RM24" s="57">
        <f t="shared" si="193"/>
        <v>0</v>
      </c>
      <c r="RN24" s="57">
        <f t="shared" si="193"/>
        <v>0</v>
      </c>
      <c r="RO24" s="57">
        <f t="shared" si="193"/>
        <v>0</v>
      </c>
      <c r="RP24" s="57">
        <f t="shared" si="193"/>
        <v>0</v>
      </c>
      <c r="RQ24" s="57">
        <f t="shared" si="193"/>
        <v>0</v>
      </c>
      <c r="RR24" s="57">
        <f t="shared" si="193"/>
        <v>0</v>
      </c>
      <c r="RS24" s="57">
        <f t="shared" si="193"/>
        <v>0</v>
      </c>
      <c r="RT24" s="57">
        <f t="shared" si="193"/>
        <v>0</v>
      </c>
      <c r="RU24" s="57">
        <f t="shared" si="193"/>
        <v>0</v>
      </c>
      <c r="RV24" s="57">
        <f t="shared" si="193"/>
        <v>0</v>
      </c>
      <c r="RW24" s="57">
        <f t="shared" si="193"/>
        <v>0</v>
      </c>
      <c r="RX24" s="57">
        <f t="shared" si="193"/>
        <v>0</v>
      </c>
      <c r="RY24" s="57">
        <f t="shared" si="193"/>
        <v>0</v>
      </c>
      <c r="RZ24" s="57">
        <f t="shared" si="193"/>
        <v>0</v>
      </c>
      <c r="SA24" s="57">
        <f t="shared" si="193"/>
        <v>0</v>
      </c>
      <c r="SB24" s="57">
        <f t="shared" si="193"/>
        <v>0</v>
      </c>
      <c r="SC24" s="57">
        <f t="shared" si="193"/>
        <v>0</v>
      </c>
      <c r="SD24" s="57">
        <f t="shared" si="193"/>
        <v>0</v>
      </c>
      <c r="SE24" s="57">
        <f t="shared" si="193"/>
        <v>0</v>
      </c>
      <c r="SF24" s="57">
        <f t="shared" si="193"/>
        <v>0</v>
      </c>
      <c r="SG24" s="57">
        <f t="shared" si="193"/>
        <v>0</v>
      </c>
      <c r="SH24" s="57">
        <f t="shared" si="193"/>
        <v>0</v>
      </c>
      <c r="SI24" s="57">
        <f t="shared" si="193"/>
        <v>0</v>
      </c>
      <c r="SJ24" s="57">
        <f t="shared" si="193"/>
        <v>0</v>
      </c>
      <c r="SK24" s="57">
        <f t="shared" si="193"/>
        <v>0</v>
      </c>
      <c r="SL24" s="57">
        <f t="shared" si="193"/>
        <v>0</v>
      </c>
      <c r="SM24" s="57">
        <f t="shared" si="193"/>
        <v>0</v>
      </c>
      <c r="SN24" s="57">
        <f t="shared" si="193"/>
        <v>0</v>
      </c>
      <c r="SO24" s="57">
        <f t="shared" si="193"/>
        <v>0</v>
      </c>
      <c r="SP24" s="57">
        <f t="shared" si="193"/>
        <v>0</v>
      </c>
      <c r="SQ24" s="57">
        <f t="shared" si="193"/>
        <v>0</v>
      </c>
      <c r="SR24" s="57">
        <f t="shared" si="193"/>
        <v>0</v>
      </c>
      <c r="SS24" s="57">
        <f t="shared" si="193"/>
        <v>0</v>
      </c>
      <c r="ST24" s="57">
        <f t="shared" si="193"/>
        <v>0</v>
      </c>
      <c r="SU24" s="57">
        <f t="shared" si="193"/>
        <v>0</v>
      </c>
      <c r="SV24" s="57">
        <f t="shared" ref="SV24:VG24" si="194">(SV20+SV21-SV23)*($D$3/12)</f>
        <v>0</v>
      </c>
      <c r="SW24" s="57">
        <f t="shared" si="194"/>
        <v>0</v>
      </c>
      <c r="SX24" s="57">
        <f t="shared" si="194"/>
        <v>0</v>
      </c>
      <c r="SY24" s="57">
        <f t="shared" si="194"/>
        <v>0</v>
      </c>
      <c r="SZ24" s="57">
        <f t="shared" si="194"/>
        <v>0</v>
      </c>
      <c r="TA24" s="57">
        <f t="shared" si="194"/>
        <v>0</v>
      </c>
      <c r="TB24" s="57">
        <f t="shared" si="194"/>
        <v>0</v>
      </c>
      <c r="TC24" s="57">
        <f t="shared" si="194"/>
        <v>0</v>
      </c>
      <c r="TD24" s="57">
        <f t="shared" si="194"/>
        <v>0</v>
      </c>
      <c r="TE24" s="57">
        <f t="shared" si="194"/>
        <v>0</v>
      </c>
      <c r="TF24" s="57">
        <f t="shared" si="194"/>
        <v>0</v>
      </c>
      <c r="TG24" s="57">
        <f t="shared" si="194"/>
        <v>0</v>
      </c>
      <c r="TH24" s="57">
        <f t="shared" si="194"/>
        <v>0</v>
      </c>
      <c r="TI24" s="57">
        <f t="shared" si="194"/>
        <v>0</v>
      </c>
      <c r="TJ24" s="57">
        <f t="shared" si="194"/>
        <v>0</v>
      </c>
      <c r="TK24" s="57">
        <f t="shared" si="194"/>
        <v>0</v>
      </c>
      <c r="TL24" s="57">
        <f t="shared" si="194"/>
        <v>0</v>
      </c>
      <c r="TM24" s="57">
        <f t="shared" si="194"/>
        <v>0</v>
      </c>
      <c r="TN24" s="57">
        <f t="shared" si="194"/>
        <v>0</v>
      </c>
      <c r="TO24" s="57">
        <f t="shared" si="194"/>
        <v>0</v>
      </c>
      <c r="TP24" s="57">
        <f t="shared" si="194"/>
        <v>0</v>
      </c>
      <c r="TQ24" s="57">
        <f t="shared" si="194"/>
        <v>0</v>
      </c>
      <c r="TR24" s="57">
        <f t="shared" si="194"/>
        <v>0</v>
      </c>
      <c r="TS24" s="57">
        <f t="shared" si="194"/>
        <v>0</v>
      </c>
      <c r="TT24" s="57">
        <f t="shared" si="194"/>
        <v>0</v>
      </c>
      <c r="TU24" s="57">
        <f t="shared" si="194"/>
        <v>0</v>
      </c>
      <c r="TV24" s="57">
        <f t="shared" si="194"/>
        <v>0</v>
      </c>
      <c r="TW24" s="57">
        <f t="shared" si="194"/>
        <v>0</v>
      </c>
      <c r="TX24" s="57">
        <f t="shared" si="194"/>
        <v>0</v>
      </c>
      <c r="TY24" s="57">
        <f t="shared" si="194"/>
        <v>0</v>
      </c>
      <c r="TZ24" s="57">
        <f t="shared" si="194"/>
        <v>0</v>
      </c>
      <c r="UA24" s="57">
        <f t="shared" si="194"/>
        <v>0</v>
      </c>
      <c r="UB24" s="57">
        <f t="shared" si="194"/>
        <v>0</v>
      </c>
      <c r="UC24" s="57">
        <f t="shared" si="194"/>
        <v>0</v>
      </c>
      <c r="UD24" s="57">
        <f t="shared" si="194"/>
        <v>0</v>
      </c>
      <c r="UE24" s="57">
        <f t="shared" si="194"/>
        <v>0</v>
      </c>
      <c r="UF24" s="57">
        <f t="shared" si="194"/>
        <v>0</v>
      </c>
      <c r="UG24" s="57">
        <f t="shared" si="194"/>
        <v>0</v>
      </c>
      <c r="UH24" s="57">
        <f t="shared" si="194"/>
        <v>0</v>
      </c>
      <c r="UI24" s="57">
        <f t="shared" si="194"/>
        <v>0</v>
      </c>
      <c r="UJ24" s="57">
        <f t="shared" si="194"/>
        <v>0</v>
      </c>
      <c r="UK24" s="57">
        <f t="shared" si="194"/>
        <v>0</v>
      </c>
      <c r="UL24" s="57">
        <f t="shared" si="194"/>
        <v>0</v>
      </c>
      <c r="UM24" s="57">
        <f t="shared" si="194"/>
        <v>0</v>
      </c>
      <c r="UN24" s="57">
        <f t="shared" si="194"/>
        <v>0</v>
      </c>
      <c r="UO24" s="57">
        <f t="shared" si="194"/>
        <v>0</v>
      </c>
      <c r="UP24" s="57">
        <f t="shared" si="194"/>
        <v>0</v>
      </c>
      <c r="UQ24" s="57">
        <f t="shared" si="194"/>
        <v>0</v>
      </c>
      <c r="UR24" s="57">
        <f t="shared" si="194"/>
        <v>0</v>
      </c>
      <c r="US24" s="57">
        <f t="shared" si="194"/>
        <v>0</v>
      </c>
      <c r="UT24" s="57">
        <f t="shared" si="194"/>
        <v>0</v>
      </c>
      <c r="UU24" s="57">
        <f t="shared" si="194"/>
        <v>0</v>
      </c>
      <c r="UV24" s="57">
        <f t="shared" si="194"/>
        <v>0</v>
      </c>
      <c r="UW24" s="57">
        <f t="shared" si="194"/>
        <v>0</v>
      </c>
      <c r="UX24" s="57">
        <f t="shared" si="194"/>
        <v>0</v>
      </c>
      <c r="UY24" s="57">
        <f t="shared" si="194"/>
        <v>0</v>
      </c>
      <c r="UZ24" s="57">
        <f t="shared" si="194"/>
        <v>0</v>
      </c>
      <c r="VA24" s="57">
        <f t="shared" si="194"/>
        <v>0</v>
      </c>
      <c r="VB24" s="57">
        <f t="shared" si="194"/>
        <v>0</v>
      </c>
      <c r="VC24" s="57">
        <f t="shared" si="194"/>
        <v>0</v>
      </c>
      <c r="VD24" s="57">
        <f t="shared" si="194"/>
        <v>0</v>
      </c>
      <c r="VE24" s="57">
        <f t="shared" si="194"/>
        <v>0</v>
      </c>
      <c r="VF24" s="57">
        <f t="shared" si="194"/>
        <v>0</v>
      </c>
      <c r="VG24" s="57">
        <f t="shared" si="194"/>
        <v>0</v>
      </c>
      <c r="VH24" s="57">
        <f t="shared" ref="VH24:XS24" si="195">(VH20+VH21-VH23)*($D$3/12)</f>
        <v>0</v>
      </c>
      <c r="VI24" s="57">
        <f t="shared" si="195"/>
        <v>0</v>
      </c>
      <c r="VJ24" s="57">
        <f t="shared" si="195"/>
        <v>0</v>
      </c>
      <c r="VK24" s="57">
        <f t="shared" si="195"/>
        <v>0</v>
      </c>
      <c r="VL24" s="57">
        <f t="shared" si="195"/>
        <v>0</v>
      </c>
      <c r="VM24" s="57">
        <f t="shared" si="195"/>
        <v>0</v>
      </c>
      <c r="VN24" s="57">
        <f t="shared" si="195"/>
        <v>0</v>
      </c>
      <c r="VO24" s="57">
        <f t="shared" si="195"/>
        <v>0</v>
      </c>
      <c r="VP24" s="57">
        <f t="shared" si="195"/>
        <v>0</v>
      </c>
      <c r="VQ24" s="57">
        <f t="shared" si="195"/>
        <v>0</v>
      </c>
      <c r="VR24" s="57">
        <f t="shared" si="195"/>
        <v>0</v>
      </c>
      <c r="VS24" s="57">
        <f t="shared" si="195"/>
        <v>1916.6666666666667</v>
      </c>
      <c r="VT24" s="57">
        <f t="shared" si="195"/>
        <v>1918.2638888888889</v>
      </c>
      <c r="VU24" s="57">
        <f t="shared" si="195"/>
        <v>1919.8624421296297</v>
      </c>
      <c r="VV24" s="57">
        <f t="shared" si="195"/>
        <v>1921.4623274980711</v>
      </c>
      <c r="VW24" s="57">
        <f t="shared" si="195"/>
        <v>1923.0635461043196</v>
      </c>
      <c r="VX24" s="57">
        <f t="shared" si="195"/>
        <v>1924.6660990594064</v>
      </c>
      <c r="VY24" s="57">
        <f t="shared" si="195"/>
        <v>1926.2699874752893</v>
      </c>
      <c r="VZ24" s="57">
        <f t="shared" si="195"/>
        <v>1927.875212464852</v>
      </c>
      <c r="WA24" s="57">
        <f t="shared" si="195"/>
        <v>1929.4817751419059</v>
      </c>
      <c r="WB24" s="57">
        <f t="shared" si="195"/>
        <v>1931.0896766211908</v>
      </c>
      <c r="WC24" s="57">
        <f t="shared" si="195"/>
        <v>1932.6989180183753</v>
      </c>
      <c r="WD24" s="57">
        <f t="shared" si="195"/>
        <v>1934.3095004500574</v>
      </c>
      <c r="WE24" s="57">
        <f t="shared" si="195"/>
        <v>1935.9214250337659</v>
      </c>
      <c r="WF24" s="57">
        <f t="shared" si="195"/>
        <v>1937.5346928879608</v>
      </c>
      <c r="WG24" s="57">
        <f t="shared" si="195"/>
        <v>1939.1493051320342</v>
      </c>
      <c r="WH24" s="57">
        <f t="shared" si="195"/>
        <v>1940.7652628863111</v>
      </c>
      <c r="WI24" s="57">
        <f t="shared" si="195"/>
        <v>1942.3825672720498</v>
      </c>
      <c r="WJ24" s="57">
        <f t="shared" si="195"/>
        <v>1944.0012194114431</v>
      </c>
      <c r="WK24" s="57">
        <f t="shared" si="195"/>
        <v>1945.6212204276194</v>
      </c>
      <c r="WL24" s="57">
        <f t="shared" si="195"/>
        <v>1947.2425714446424</v>
      </c>
      <c r="WM24" s="57">
        <f t="shared" si="195"/>
        <v>1948.865273587513</v>
      </c>
      <c r="WN24" s="57">
        <f t="shared" si="195"/>
        <v>1950.489327982169</v>
      </c>
      <c r="WO24" s="57">
        <f t="shared" si="195"/>
        <v>1952.1147357554876</v>
      </c>
      <c r="WP24" s="57">
        <f t="shared" si="195"/>
        <v>1953.7414980352837</v>
      </c>
      <c r="WQ24" s="57">
        <f t="shared" si="195"/>
        <v>1955.3696159503133</v>
      </c>
      <c r="WR24" s="57">
        <f t="shared" si="195"/>
        <v>1956.9990906302717</v>
      </c>
      <c r="WS24" s="57">
        <f t="shared" si="195"/>
        <v>1958.6299232057968</v>
      </c>
      <c r="WT24" s="57">
        <f t="shared" si="195"/>
        <v>1960.2621148084684</v>
      </c>
      <c r="WU24" s="57">
        <f t="shared" si="195"/>
        <v>1961.8956665708088</v>
      </c>
      <c r="WV24" s="57">
        <f t="shared" si="195"/>
        <v>1963.5305796262844</v>
      </c>
      <c r="WW24" s="57">
        <f t="shared" si="195"/>
        <v>1965.1668551093062</v>
      </c>
      <c r="WX24" s="57">
        <f t="shared" si="195"/>
        <v>1966.8044941552307</v>
      </c>
      <c r="WY24" s="57">
        <f t="shared" si="195"/>
        <v>1968.4434979003599</v>
      </c>
      <c r="WZ24" s="57">
        <f t="shared" si="195"/>
        <v>1970.0838674819436</v>
      </c>
      <c r="XA24" s="57">
        <f t="shared" si="195"/>
        <v>1971.7256040381785</v>
      </c>
      <c r="XB24" s="57">
        <f t="shared" si="195"/>
        <v>1973.3687087082103</v>
      </c>
      <c r="XC24" s="57">
        <f t="shared" si="195"/>
        <v>1975.013182632134</v>
      </c>
      <c r="XD24" s="57">
        <f t="shared" si="195"/>
        <v>1976.6590269509941</v>
      </c>
      <c r="XE24" s="57">
        <f t="shared" si="195"/>
        <v>1978.3062428067867</v>
      </c>
      <c r="XF24" s="57">
        <f t="shared" si="195"/>
        <v>1979.9548313424591</v>
      </c>
      <c r="XG24" s="57">
        <f t="shared" si="195"/>
        <v>1981.6047937019111</v>
      </c>
      <c r="XH24" s="57">
        <f t="shared" si="195"/>
        <v>1983.2561310299961</v>
      </c>
      <c r="XI24" s="57">
        <f t="shared" si="195"/>
        <v>1984.9088444725212</v>
      </c>
      <c r="XJ24" s="57">
        <f t="shared" si="195"/>
        <v>1986.5629351762482</v>
      </c>
      <c r="XK24" s="57">
        <f t="shared" si="195"/>
        <v>1988.218404288895</v>
      </c>
      <c r="XL24" s="57">
        <f t="shared" si="195"/>
        <v>1989.8752529591359</v>
      </c>
      <c r="XM24" s="57">
        <f t="shared" si="195"/>
        <v>1991.533482336602</v>
      </c>
      <c r="XN24" s="57">
        <f t="shared" si="195"/>
        <v>1993.1930935718822</v>
      </c>
      <c r="XO24" s="57">
        <f t="shared" si="195"/>
        <v>1994.8540878165254</v>
      </c>
      <c r="XP24" s="57">
        <f t="shared" si="195"/>
        <v>1996.5164662230393</v>
      </c>
      <c r="XQ24" s="57">
        <f t="shared" si="195"/>
        <v>1998.1802299448918</v>
      </c>
      <c r="XR24" s="57">
        <f t="shared" si="195"/>
        <v>1999.8453801365129</v>
      </c>
      <c r="XS24" s="57">
        <f t="shared" si="195"/>
        <v>2001.5119179532935</v>
      </c>
      <c r="XT24" s="57">
        <f t="shared" ref="XT24:AAE24" si="196">(XT20+XT21-XT23)*($D$3/12)</f>
        <v>2003.1798445515878</v>
      </c>
      <c r="XU24" s="57">
        <f t="shared" si="196"/>
        <v>2004.8491610887143</v>
      </c>
      <c r="XV24" s="57">
        <f t="shared" si="196"/>
        <v>2006.5198687229552</v>
      </c>
      <c r="XW24" s="57">
        <f t="shared" si="196"/>
        <v>2008.1919686135577</v>
      </c>
      <c r="XX24" s="57">
        <f t="shared" si="196"/>
        <v>2009.8654619207359</v>
      </c>
      <c r="XY24" s="57">
        <f t="shared" si="196"/>
        <v>2011.5403498056698</v>
      </c>
      <c r="XZ24" s="57">
        <f t="shared" si="196"/>
        <v>2013.216633430508</v>
      </c>
      <c r="YA24" s="57">
        <f t="shared" si="196"/>
        <v>2014.8943139583669</v>
      </c>
      <c r="YB24" s="57">
        <f t="shared" si="196"/>
        <v>2016.5733925533323</v>
      </c>
      <c r="YC24" s="57">
        <f t="shared" si="196"/>
        <v>2018.2538703804601</v>
      </c>
      <c r="YD24" s="57">
        <f t="shared" si="196"/>
        <v>2019.9357486057772</v>
      </c>
      <c r="YE24" s="57">
        <f t="shared" si="196"/>
        <v>2021.6190283962821</v>
      </c>
      <c r="YF24" s="57">
        <f t="shared" si="196"/>
        <v>2023.3037109199458</v>
      </c>
      <c r="YG24" s="57">
        <f t="shared" si="196"/>
        <v>2024.9897973457123</v>
      </c>
      <c r="YH24" s="57">
        <f t="shared" si="196"/>
        <v>2026.6772888435005</v>
      </c>
      <c r="YI24" s="57">
        <f t="shared" si="196"/>
        <v>2028.3661865842034</v>
      </c>
      <c r="YJ24" s="57">
        <f t="shared" si="196"/>
        <v>2030.0564917396903</v>
      </c>
      <c r="YK24" s="57">
        <f t="shared" si="196"/>
        <v>2031.7482054828065</v>
      </c>
      <c r="YL24" s="57">
        <f t="shared" si="196"/>
        <v>2033.4413289873758</v>
      </c>
      <c r="YM24" s="57">
        <f t="shared" si="196"/>
        <v>2035.1358634281987</v>
      </c>
      <c r="YN24" s="57">
        <f t="shared" si="196"/>
        <v>2036.8318099810554</v>
      </c>
      <c r="YO24" s="57">
        <f t="shared" si="196"/>
        <v>2038.5291698227063</v>
      </c>
      <c r="YP24" s="57">
        <f t="shared" si="196"/>
        <v>2040.2279441308917</v>
      </c>
      <c r="YQ24" s="57">
        <f t="shared" si="196"/>
        <v>2041.9281340843343</v>
      </c>
      <c r="YR24" s="57">
        <f t="shared" si="196"/>
        <v>2043.6297408627379</v>
      </c>
      <c r="YS24" s="57">
        <f t="shared" si="196"/>
        <v>2045.33276564679</v>
      </c>
      <c r="YT24" s="57">
        <f t="shared" si="196"/>
        <v>2047.0372096181623</v>
      </c>
      <c r="YU24" s="57">
        <f t="shared" si="196"/>
        <v>2048.7430739595111</v>
      </c>
      <c r="YV24" s="57">
        <f t="shared" si="196"/>
        <v>2050.450359854477</v>
      </c>
      <c r="YW24" s="57">
        <f t="shared" si="196"/>
        <v>2052.1590684876892</v>
      </c>
      <c r="YX24" s="57">
        <f t="shared" si="196"/>
        <v>2053.8692010447621</v>
      </c>
      <c r="YY24" s="57">
        <f t="shared" si="196"/>
        <v>2055.580758712299</v>
      </c>
      <c r="YZ24" s="57">
        <f t="shared" si="196"/>
        <v>2057.2937426778926</v>
      </c>
      <c r="ZA24" s="57">
        <f t="shared" si="196"/>
        <v>2059.0081541301242</v>
      </c>
      <c r="ZB24" s="57">
        <f t="shared" si="196"/>
        <v>2060.7239942585661</v>
      </c>
      <c r="ZC24" s="57">
        <f t="shared" si="196"/>
        <v>2062.4412642537814</v>
      </c>
      <c r="ZD24" s="57">
        <f t="shared" si="196"/>
        <v>2064.1599653073263</v>
      </c>
      <c r="ZE24" s="57">
        <f t="shared" si="196"/>
        <v>2065.880098611749</v>
      </c>
      <c r="ZF24" s="57">
        <f t="shared" si="196"/>
        <v>2067.6016653605921</v>
      </c>
      <c r="ZG24" s="57">
        <f t="shared" si="196"/>
        <v>2069.3246667483922</v>
      </c>
      <c r="ZH24" s="57">
        <f t="shared" si="196"/>
        <v>2071.0491039706826</v>
      </c>
      <c r="ZI24" s="57">
        <f t="shared" si="196"/>
        <v>2072.7749782239916</v>
      </c>
      <c r="ZJ24" s="57">
        <f t="shared" si="196"/>
        <v>2074.5022907058451</v>
      </c>
      <c r="ZK24" s="57">
        <f t="shared" si="196"/>
        <v>2076.2310426147665</v>
      </c>
      <c r="ZL24" s="57">
        <f t="shared" si="196"/>
        <v>2077.9612351502788</v>
      </c>
      <c r="ZM24" s="57">
        <f t="shared" si="196"/>
        <v>2079.6928695129036</v>
      </c>
      <c r="ZN24" s="57">
        <f t="shared" si="196"/>
        <v>2081.4259469041644</v>
      </c>
      <c r="ZO24" s="57">
        <f t="shared" si="196"/>
        <v>2083.1604685265847</v>
      </c>
      <c r="ZP24" s="57">
        <f t="shared" si="196"/>
        <v>2084.8964355836902</v>
      </c>
      <c r="ZQ24" s="57">
        <f t="shared" si="196"/>
        <v>2086.6338492800101</v>
      </c>
      <c r="ZR24" s="57">
        <f t="shared" si="196"/>
        <v>2088.3727108210765</v>
      </c>
      <c r="ZS24" s="57">
        <f t="shared" si="196"/>
        <v>2090.1130214134273</v>
      </c>
      <c r="ZT24" s="57">
        <f t="shared" si="196"/>
        <v>2091.8547822646051</v>
      </c>
      <c r="ZU24" s="57">
        <f t="shared" si="196"/>
        <v>2093.5979945831591</v>
      </c>
      <c r="ZV24" s="57">
        <f t="shared" si="196"/>
        <v>2095.342659578645</v>
      </c>
      <c r="ZW24" s="57">
        <f t="shared" si="196"/>
        <v>2097.0887784616275</v>
      </c>
      <c r="ZX24" s="57">
        <f t="shared" si="196"/>
        <v>2098.8363524436791</v>
      </c>
      <c r="ZY24" s="57">
        <f t="shared" si="196"/>
        <v>2100.5853827373821</v>
      </c>
      <c r="ZZ24" s="57">
        <f t="shared" si="196"/>
        <v>2102.3358705563296</v>
      </c>
      <c r="AAA24" s="57">
        <f t="shared" si="196"/>
        <v>2104.0878171151267</v>
      </c>
      <c r="AAB24" s="57">
        <f t="shared" si="196"/>
        <v>2105.8412236293893</v>
      </c>
      <c r="AAC24" s="57">
        <f t="shared" si="196"/>
        <v>2107.5960913157473</v>
      </c>
      <c r="AAD24" s="57">
        <f t="shared" si="196"/>
        <v>2109.3524213918436</v>
      </c>
      <c r="AAE24" s="57">
        <f t="shared" si="196"/>
        <v>2111.1102150763368</v>
      </c>
      <c r="AAF24" s="57">
        <f t="shared" ref="AAF24:ACQ24" si="197">(AAF20+AAF21-AAF23)*($D$3/12)</f>
        <v>2112.8694735889003</v>
      </c>
      <c r="AAG24" s="57">
        <f t="shared" si="197"/>
        <v>2114.6301981502247</v>
      </c>
      <c r="AAH24" s="57">
        <f t="shared" si="197"/>
        <v>2116.3923899820165</v>
      </c>
      <c r="AAI24" s="57">
        <f t="shared" si="197"/>
        <v>2116.9490159594234</v>
      </c>
      <c r="AAJ24" s="57">
        <f t="shared" si="197"/>
        <v>2117.5061057918115</v>
      </c>
      <c r="AAK24" s="57">
        <f t="shared" si="197"/>
        <v>2118.0636598657265</v>
      </c>
      <c r="AAL24" s="57">
        <f t="shared" si="197"/>
        <v>2118.6216785680367</v>
      </c>
      <c r="AAM24" s="57">
        <f t="shared" si="197"/>
        <v>2119.1801622859321</v>
      </c>
      <c r="AAN24" s="57">
        <f t="shared" si="197"/>
        <v>2119.7391114069255</v>
      </c>
      <c r="AAO24" s="57">
        <f t="shared" si="197"/>
        <v>2120.298526318853</v>
      </c>
      <c r="AAP24" s="57">
        <f t="shared" si="197"/>
        <v>2120.858407409874</v>
      </c>
      <c r="AAQ24" s="57">
        <f t="shared" si="197"/>
        <v>2121.4187550684705</v>
      </c>
      <c r="AAR24" s="57">
        <f t="shared" si="197"/>
        <v>2121.9795696834494</v>
      </c>
      <c r="AAS24" s="57">
        <f t="shared" si="197"/>
        <v>2122.5408516439411</v>
      </c>
      <c r="AAT24" s="57">
        <f t="shared" si="197"/>
        <v>2123.1026013393994</v>
      </c>
      <c r="AAU24" s="57">
        <f t="shared" si="197"/>
        <v>2123.6648191596041</v>
      </c>
      <c r="AAV24" s="57">
        <f t="shared" si="197"/>
        <v>2124.227505494659</v>
      </c>
      <c r="AAW24" s="57">
        <f t="shared" si="197"/>
        <v>2124.7906607349933</v>
      </c>
      <c r="AAX24" s="57">
        <f t="shared" si="197"/>
        <v>2125.3542852713613</v>
      </c>
      <c r="AAY24" s="57">
        <f t="shared" si="197"/>
        <v>2125.9183794948426</v>
      </c>
      <c r="AAZ24" s="57">
        <f t="shared" si="197"/>
        <v>2126.4829437968433</v>
      </c>
      <c r="ABA24" s="57">
        <f t="shared" si="197"/>
        <v>2127.0479785690964</v>
      </c>
      <c r="ABB24" s="57">
        <f t="shared" si="197"/>
        <v>2127.613484203659</v>
      </c>
      <c r="ABC24" s="57">
        <f t="shared" si="197"/>
        <v>2128.1794610929178</v>
      </c>
      <c r="ABD24" s="57">
        <f t="shared" si="197"/>
        <v>2128.7459096295834</v>
      </c>
      <c r="ABE24" s="57">
        <f t="shared" si="197"/>
        <v>2129.3128302066966</v>
      </c>
      <c r="ABF24" s="57">
        <f t="shared" si="197"/>
        <v>2129.8802232176236</v>
      </c>
      <c r="ABG24" s="57">
        <f t="shared" si="197"/>
        <v>2130.4480890560603</v>
      </c>
      <c r="ABH24" s="57">
        <f t="shared" si="197"/>
        <v>2131.0164281160287</v>
      </c>
      <c r="ABI24" s="57">
        <f t="shared" si="197"/>
        <v>2131.585240791881</v>
      </c>
      <c r="ABJ24" s="57">
        <f t="shared" si="197"/>
        <v>2132.1545274782961</v>
      </c>
      <c r="ABK24" s="57">
        <f t="shared" si="197"/>
        <v>2132.7242885702835</v>
      </c>
      <c r="ABL24" s="57">
        <f t="shared" si="197"/>
        <v>2133.2945244631806</v>
      </c>
      <c r="ABM24" s="57">
        <f t="shared" si="197"/>
        <v>2133.8652355526551</v>
      </c>
      <c r="ABN24" s="57">
        <f t="shared" si="197"/>
        <v>2134.4364222347044</v>
      </c>
      <c r="ABO24" s="57">
        <f t="shared" si="197"/>
        <v>2135.0080849056553</v>
      </c>
      <c r="ABP24" s="57">
        <f t="shared" si="197"/>
        <v>2135.5802239621653</v>
      </c>
      <c r="ABQ24" s="57">
        <f t="shared" si="197"/>
        <v>2136.1528398012224</v>
      </c>
      <c r="ABR24" s="57">
        <f t="shared" si="197"/>
        <v>2136.7259328201453</v>
      </c>
      <c r="ABS24" s="57">
        <f t="shared" si="197"/>
        <v>2137.2995034165842</v>
      </c>
      <c r="ABT24" s="57">
        <f t="shared" si="197"/>
        <v>2137.8735519885199</v>
      </c>
      <c r="ABU24" s="57">
        <f t="shared" si="197"/>
        <v>2138.4480789342656</v>
      </c>
      <c r="ABV24" s="57">
        <f t="shared" si="197"/>
        <v>2139.023084652466</v>
      </c>
      <c r="ABW24" s="57">
        <f t="shared" si="197"/>
        <v>2139.5985695420982</v>
      </c>
      <c r="ABX24" s="57">
        <f t="shared" si="197"/>
        <v>2140.1745340024722</v>
      </c>
      <c r="ABY24" s="57">
        <f t="shared" si="197"/>
        <v>2140.7509784332292</v>
      </c>
      <c r="ABZ24" s="57">
        <f t="shared" si="197"/>
        <v>2141.3279032343453</v>
      </c>
      <c r="ACA24" s="57">
        <f t="shared" si="197"/>
        <v>2141.9053088061291</v>
      </c>
      <c r="ACB24" s="57">
        <f t="shared" si="197"/>
        <v>2142.4831955492232</v>
      </c>
      <c r="ACC24" s="57">
        <f t="shared" si="197"/>
        <v>2143.0615638646027</v>
      </c>
      <c r="ACD24" s="57">
        <f t="shared" si="197"/>
        <v>2143.6404141535786</v>
      </c>
      <c r="ACE24" s="57">
        <f t="shared" si="197"/>
        <v>2144.2197468177951</v>
      </c>
      <c r="ACF24" s="57">
        <f t="shared" si="197"/>
        <v>2144.7995622592321</v>
      </c>
      <c r="ACG24" s="57">
        <f t="shared" si="197"/>
        <v>2145.3798608802031</v>
      </c>
      <c r="ACH24" s="57">
        <f t="shared" si="197"/>
        <v>2145.9606430833587</v>
      </c>
      <c r="ACI24" s="57">
        <f t="shared" si="197"/>
        <v>2146.5419092716834</v>
      </c>
      <c r="ACJ24" s="57">
        <f t="shared" si="197"/>
        <v>2147.1236598484984</v>
      </c>
      <c r="ACK24" s="57">
        <f t="shared" si="197"/>
        <v>2147.7058952174607</v>
      </c>
      <c r="ACL24" s="57">
        <f t="shared" si="197"/>
        <v>2148.2886157825642</v>
      </c>
      <c r="ACM24" s="57">
        <f t="shared" si="197"/>
        <v>2148.8718219481384</v>
      </c>
      <c r="ACN24" s="57">
        <f t="shared" si="197"/>
        <v>2149.4555141188503</v>
      </c>
      <c r="ACO24" s="57">
        <f t="shared" si="197"/>
        <v>2150.039692699705</v>
      </c>
      <c r="ACP24" s="57">
        <f t="shared" si="197"/>
        <v>2150.6243580960431</v>
      </c>
      <c r="ACQ24" s="57">
        <f t="shared" si="197"/>
        <v>2151.2095107135456</v>
      </c>
      <c r="ACR24" s="57">
        <f t="shared" ref="ACR24:AFC24" si="198">(ACR20+ACR21-ACR23)*($D$3/12)</f>
        <v>2151.7951509582285</v>
      </c>
      <c r="ACS24" s="57">
        <f t="shared" si="198"/>
        <v>2152.3812792364488</v>
      </c>
      <c r="ACT24" s="57">
        <f t="shared" si="198"/>
        <v>2152.967895954901</v>
      </c>
      <c r="ACU24" s="57">
        <f t="shared" si="198"/>
        <v>2153.5550015206186</v>
      </c>
      <c r="ACV24" s="57">
        <f t="shared" si="198"/>
        <v>2154.1425963409743</v>
      </c>
      <c r="ACW24" s="57">
        <f t="shared" si="198"/>
        <v>2154.7306808236804</v>
      </c>
      <c r="ACX24" s="57">
        <f t="shared" si="198"/>
        <v>2155.319255376789</v>
      </c>
      <c r="ACY24" s="57">
        <f t="shared" si="198"/>
        <v>2155.9083204086915</v>
      </c>
      <c r="ACZ24" s="57">
        <f t="shared" si="198"/>
        <v>2156.4978763281206</v>
      </c>
      <c r="ADA24" s="57">
        <f t="shared" si="198"/>
        <v>2157.0879235441489</v>
      </c>
      <c r="ADB24" s="57">
        <f t="shared" si="198"/>
        <v>2157.6784624661909</v>
      </c>
      <c r="ADC24" s="57">
        <f t="shared" si="198"/>
        <v>2158.2694935040013</v>
      </c>
      <c r="ADD24" s="57">
        <f t="shared" si="198"/>
        <v>2158.8610170676766</v>
      </c>
      <c r="ADE24" s="57">
        <f t="shared" si="198"/>
        <v>2159.4530335676545</v>
      </c>
      <c r="ADF24" s="57">
        <f t="shared" si="198"/>
        <v>2160.0455434147166</v>
      </c>
      <c r="ADG24" s="57">
        <f t="shared" si="198"/>
        <v>2160.6385470199839</v>
      </c>
      <c r="ADH24" s="57">
        <f t="shared" si="198"/>
        <v>2161.2320447949223</v>
      </c>
      <c r="ADI24" s="57">
        <f t="shared" si="198"/>
        <v>2161.8260371513402</v>
      </c>
      <c r="ADJ24" s="57">
        <f t="shared" si="198"/>
        <v>2162.4205245013882</v>
      </c>
      <c r="ADK24" s="57">
        <f t="shared" si="198"/>
        <v>2163.0155072575612</v>
      </c>
      <c r="ADL24" s="57">
        <f t="shared" si="198"/>
        <v>2163.6109858326977</v>
      </c>
      <c r="ADM24" s="57">
        <f t="shared" si="198"/>
        <v>2164.20696063998</v>
      </c>
      <c r="ADN24" s="57">
        <f t="shared" si="198"/>
        <v>2164.8034320929355</v>
      </c>
      <c r="ADO24" s="57">
        <f t="shared" si="198"/>
        <v>2165.4004006054347</v>
      </c>
      <c r="ADP24" s="57">
        <f t="shared" si="198"/>
        <v>2165.9978665916947</v>
      </c>
      <c r="ADQ24" s="57">
        <f t="shared" si="198"/>
        <v>2166.5958304662763</v>
      </c>
      <c r="ADR24" s="57">
        <f t="shared" si="198"/>
        <v>2167.1942926440865</v>
      </c>
      <c r="ADS24" s="57">
        <f t="shared" si="198"/>
        <v>2167.7932535403784</v>
      </c>
      <c r="ADT24" s="57">
        <f t="shared" si="198"/>
        <v>2168.3927135707509</v>
      </c>
      <c r="ADU24" s="57">
        <f t="shared" si="198"/>
        <v>2168.9926731511487</v>
      </c>
      <c r="ADV24" s="57">
        <f t="shared" si="198"/>
        <v>2169.593132697863</v>
      </c>
      <c r="ADW24" s="57">
        <f t="shared" si="198"/>
        <v>2170.1940926275333</v>
      </c>
      <c r="ADX24" s="57">
        <f t="shared" si="198"/>
        <v>2170.7955533571449</v>
      </c>
      <c r="ADY24" s="57">
        <f t="shared" si="198"/>
        <v>2171.3975153040315</v>
      </c>
      <c r="ADZ24" s="57">
        <f t="shared" si="198"/>
        <v>2171.9999788858731</v>
      </c>
      <c r="AEA24" s="57">
        <f t="shared" si="198"/>
        <v>2172.6029445207</v>
      </c>
      <c r="AEB24" s="57">
        <f t="shared" si="198"/>
        <v>2173.2064126268892</v>
      </c>
      <c r="AEC24" s="57">
        <f t="shared" si="198"/>
        <v>2173.8103836231667</v>
      </c>
      <c r="AED24" s="57">
        <f t="shared" si="198"/>
        <v>2174.4148579286079</v>
      </c>
      <c r="AEE24" s="57">
        <f t="shared" si="198"/>
        <v>2175.019835962637</v>
      </c>
      <c r="AEF24" s="57">
        <f t="shared" si="198"/>
        <v>2175.6253181450274</v>
      </c>
      <c r="AEG24" s="57">
        <f t="shared" si="198"/>
        <v>2176.2313048959036</v>
      </c>
      <c r="AEH24" s="57">
        <f t="shared" si="198"/>
        <v>2176.8377966357389</v>
      </c>
      <c r="AEI24" s="57">
        <f t="shared" si="198"/>
        <v>2177.4447937853574</v>
      </c>
      <c r="AEJ24" s="57">
        <f t="shared" si="198"/>
        <v>2178.052296765934</v>
      </c>
      <c r="AEK24" s="57">
        <f t="shared" si="198"/>
        <v>2178.6603059989943</v>
      </c>
      <c r="AEL24" s="57">
        <f t="shared" si="198"/>
        <v>2179.2688219064153</v>
      </c>
      <c r="AEM24" s="57">
        <f t="shared" si="198"/>
        <v>2179.8778449104257</v>
      </c>
      <c r="AEN24" s="57">
        <f t="shared" si="198"/>
        <v>2180.4873754336068</v>
      </c>
      <c r="AEO24" s="57">
        <f t="shared" si="198"/>
        <v>2181.09741389889</v>
      </c>
      <c r="AEP24" s="57">
        <f t="shared" si="198"/>
        <v>2181.7079607295609</v>
      </c>
      <c r="AEQ24" s="57">
        <f t="shared" si="198"/>
        <v>2182.3190163492573</v>
      </c>
      <c r="AER24" s="57">
        <f t="shared" si="198"/>
        <v>2182.93058118197</v>
      </c>
      <c r="AES24" s="57">
        <f t="shared" si="198"/>
        <v>2183.5426556520433</v>
      </c>
      <c r="AET24" s="57">
        <f t="shared" si="198"/>
        <v>2184.155240184175</v>
      </c>
      <c r="AEU24" s="57">
        <f t="shared" si="198"/>
        <v>2184.7683352034173</v>
      </c>
      <c r="AEV24" s="57">
        <f t="shared" si="198"/>
        <v>2185.3819411351756</v>
      </c>
      <c r="AEW24" s="57">
        <f t="shared" si="198"/>
        <v>2185.9960584052101</v>
      </c>
      <c r="AEX24" s="57">
        <f t="shared" si="198"/>
        <v>2186.6106874396364</v>
      </c>
      <c r="AEY24" s="57">
        <f t="shared" si="198"/>
        <v>2187.2258286649248</v>
      </c>
      <c r="AEZ24" s="57">
        <f t="shared" si="198"/>
        <v>2187.8414825079008</v>
      </c>
      <c r="AFA24" s="57">
        <f t="shared" si="198"/>
        <v>2188.4576493957456</v>
      </c>
      <c r="AFB24" s="57">
        <f t="shared" si="198"/>
        <v>2189.0743297559975</v>
      </c>
      <c r="AFC24" s="57">
        <f t="shared" si="198"/>
        <v>2189.6915240165495</v>
      </c>
      <c r="AFD24" s="57">
        <f t="shared" ref="AFD24:AHO24" si="199">(AFD20+AFD21-AFD23)*($D$3/12)</f>
        <v>2190.3092326056521</v>
      </c>
      <c r="AFE24" s="57">
        <f t="shared" si="199"/>
        <v>2190.9274559519117</v>
      </c>
      <c r="AFF24" s="57">
        <f t="shared" si="199"/>
        <v>2191.5461944842937</v>
      </c>
      <c r="AFG24" s="57">
        <f t="shared" si="199"/>
        <v>2192.1654486321195</v>
      </c>
      <c r="AFH24" s="57">
        <f t="shared" si="199"/>
        <v>2192.7852188250681</v>
      </c>
      <c r="AFI24" s="57">
        <f t="shared" si="199"/>
        <v>2193.4055054931773</v>
      </c>
      <c r="AFJ24" s="57">
        <f t="shared" si="199"/>
        <v>2194.0263090668436</v>
      </c>
      <c r="AFK24" s="57">
        <f t="shared" si="199"/>
        <v>2194.6476299768215</v>
      </c>
      <c r="AFL24" s="57">
        <f t="shared" si="199"/>
        <v>2195.2694686542241</v>
      </c>
      <c r="AFM24" s="57">
        <f t="shared" si="199"/>
        <v>2195.8918255305243</v>
      </c>
      <c r="AFN24" s="57">
        <f t="shared" si="199"/>
        <v>2196.5147010375554</v>
      </c>
      <c r="AFO24" s="57">
        <f t="shared" si="199"/>
        <v>2197.1380956075086</v>
      </c>
      <c r="AFP24" s="57">
        <f t="shared" si="199"/>
        <v>2197.7620096729365</v>
      </c>
      <c r="AFQ24" s="57">
        <f t="shared" si="199"/>
        <v>2198.3864436667527</v>
      </c>
      <c r="AFR24" s="57">
        <f t="shared" si="199"/>
        <v>2199.01139802223</v>
      </c>
      <c r="AFS24" s="57">
        <f t="shared" si="199"/>
        <v>2199.6368731730036</v>
      </c>
      <c r="AFT24" s="57">
        <f t="shared" si="199"/>
        <v>2200.2628695530698</v>
      </c>
      <c r="AFU24" s="57">
        <f t="shared" si="199"/>
        <v>2200.889387596786</v>
      </c>
      <c r="AFV24" s="57">
        <f t="shared" si="199"/>
        <v>2201.5164277388722</v>
      </c>
      <c r="AFW24" s="57">
        <f t="shared" si="199"/>
        <v>2202.1439904144099</v>
      </c>
      <c r="AFX24" s="57">
        <f t="shared" si="199"/>
        <v>2202.7720760588436</v>
      </c>
      <c r="AFY24" s="57">
        <f t="shared" si="199"/>
        <v>2203.4006851079807</v>
      </c>
      <c r="AFZ24" s="57">
        <f t="shared" si="199"/>
        <v>2204.0298179979927</v>
      </c>
      <c r="AGA24" s="57">
        <f t="shared" si="199"/>
        <v>2204.6594751654129</v>
      </c>
      <c r="AGB24" s="57">
        <f t="shared" si="199"/>
        <v>2205.2896570471394</v>
      </c>
      <c r="AGC24" s="57">
        <f t="shared" si="199"/>
        <v>2205.9203640804335</v>
      </c>
      <c r="AGD24" s="57">
        <f t="shared" si="199"/>
        <v>2206.5515967029228</v>
      </c>
      <c r="AGE24" s="57">
        <f t="shared" si="199"/>
        <v>2207.1833553525971</v>
      </c>
      <c r="AGF24" s="57">
        <f t="shared" si="199"/>
        <v>2207.8156404678125</v>
      </c>
      <c r="AGG24" s="57">
        <f t="shared" si="199"/>
        <v>2208.448452487291</v>
      </c>
      <c r="AGH24" s="57">
        <f t="shared" si="199"/>
        <v>2209.0817918501189</v>
      </c>
      <c r="AGI24" s="57">
        <f t="shared" si="199"/>
        <v>2209.715658995749</v>
      </c>
      <c r="AGJ24" s="57">
        <f t="shared" si="199"/>
        <v>2210.3500543640007</v>
      </c>
      <c r="AGK24" s="57">
        <f t="shared" si="199"/>
        <v>2210.9849783950594</v>
      </c>
      <c r="AGL24" s="57">
        <f t="shared" si="199"/>
        <v>2211.6204315294772</v>
      </c>
      <c r="AGM24" s="57">
        <f t="shared" si="199"/>
        <v>2212.2564142081737</v>
      </c>
      <c r="AGN24" s="57">
        <f t="shared" si="199"/>
        <v>2212.8929268724355</v>
      </c>
      <c r="AGO24" s="57">
        <f t="shared" si="199"/>
        <v>2213.5299699639177</v>
      </c>
      <c r="AGP24" s="57">
        <f t="shared" si="199"/>
        <v>2214.1675439246428</v>
      </c>
      <c r="AGQ24" s="57">
        <f t="shared" si="199"/>
        <v>2214.8056491970015</v>
      </c>
      <c r="AGR24" s="57">
        <f t="shared" si="199"/>
        <v>2215.4442862237547</v>
      </c>
      <c r="AGS24" s="57">
        <f t="shared" si="199"/>
        <v>2216.0834554480298</v>
      </c>
      <c r="AGT24" s="57">
        <f t="shared" si="199"/>
        <v>2216.7231573133249</v>
      </c>
      <c r="AGU24" s="57">
        <f t="shared" si="199"/>
        <v>2217.3633922635076</v>
      </c>
      <c r="AGV24" s="57">
        <f t="shared" si="199"/>
        <v>2218.0041607428161</v>
      </c>
      <c r="AGW24" s="57">
        <f t="shared" si="199"/>
        <v>2218.6454631958568</v>
      </c>
      <c r="AGX24" s="57">
        <f t="shared" si="199"/>
        <v>2219.2873000676086</v>
      </c>
      <c r="AGY24" s="57">
        <f t="shared" si="199"/>
        <v>2219.9296718034202</v>
      </c>
      <c r="AGZ24" s="57">
        <f t="shared" si="199"/>
        <v>2220.5725788490113</v>
      </c>
      <c r="AHA24" s="57">
        <f t="shared" si="199"/>
        <v>2221.216021650474</v>
      </c>
      <c r="AHB24" s="57">
        <f t="shared" si="199"/>
        <v>2221.8600006542715</v>
      </c>
      <c r="AHC24" s="57">
        <f t="shared" si="199"/>
        <v>2222.5045163072382</v>
      </c>
      <c r="AHD24" s="57">
        <f t="shared" si="199"/>
        <v>2223.149569056583</v>
      </c>
      <c r="AHE24" s="57">
        <f t="shared" si="199"/>
        <v>2223.7951593498851</v>
      </c>
      <c r="AHF24" s="57">
        <f t="shared" si="199"/>
        <v>2224.4412876350984</v>
      </c>
      <c r="AHG24" s="57">
        <f t="shared" si="199"/>
        <v>2225.0879543605497</v>
      </c>
      <c r="AHH24" s="57">
        <f t="shared" si="199"/>
        <v>2225.7351599749386</v>
      </c>
      <c r="AHI24" s="57">
        <f t="shared" si="199"/>
        <v>2226.3829049273395</v>
      </c>
      <c r="AHJ24" s="57">
        <f t="shared" si="199"/>
        <v>2227.031189667201</v>
      </c>
      <c r="AHK24" s="57">
        <f t="shared" si="199"/>
        <v>2227.6800146443452</v>
      </c>
      <c r="AHL24" s="57">
        <f t="shared" si="199"/>
        <v>2228.3293803089709</v>
      </c>
      <c r="AHM24" s="57">
        <f t="shared" si="199"/>
        <v>2228.9792871116497</v>
      </c>
      <c r="AHN24" s="57">
        <f t="shared" si="199"/>
        <v>2229.6297355033316</v>
      </c>
      <c r="AHO24" s="57">
        <f t="shared" si="199"/>
        <v>2230.2807259353394</v>
      </c>
      <c r="AHP24" s="57">
        <f t="shared" ref="AHP24:AKA24" si="200">(AHP20+AHP21-AHP23)*($D$3/12)</f>
        <v>2230.9322588593745</v>
      </c>
      <c r="AHQ24" s="57">
        <f t="shared" si="200"/>
        <v>2231.5843347275122</v>
      </c>
      <c r="AHR24" s="57">
        <f t="shared" si="200"/>
        <v>2232.236953992207</v>
      </c>
      <c r="AHS24" s="57">
        <f t="shared" si="200"/>
        <v>2232.8901171062894</v>
      </c>
      <c r="AHT24" s="57">
        <f t="shared" si="200"/>
        <v>2233.5438245229666</v>
      </c>
      <c r="AHU24" s="57">
        <f t="shared" si="200"/>
        <v>2234.1980766958241</v>
      </c>
      <c r="AHV24" s="57">
        <f t="shared" si="200"/>
        <v>2234.8528740788256</v>
      </c>
      <c r="AHW24" s="57">
        <f t="shared" si="200"/>
        <v>2235.5082171263134</v>
      </c>
      <c r="AHX24" s="57">
        <f t="shared" si="200"/>
        <v>2236.1641062930071</v>
      </c>
      <c r="AHY24" s="57">
        <f t="shared" si="200"/>
        <v>2236.8205420340064</v>
      </c>
      <c r="AHZ24" s="57">
        <f t="shared" si="200"/>
        <v>2237.4775248047899</v>
      </c>
      <c r="AIA24" s="57">
        <f t="shared" si="200"/>
        <v>2238.135055061216</v>
      </c>
      <c r="AIB24" s="57">
        <f t="shared" si="200"/>
        <v>2238.7931332595226</v>
      </c>
      <c r="AIC24" s="57">
        <f t="shared" si="200"/>
        <v>2239.4517598563275</v>
      </c>
      <c r="AID24" s="57">
        <f t="shared" si="200"/>
        <v>2240.1109353086295</v>
      </c>
      <c r="AIE24" s="57">
        <f t="shared" si="200"/>
        <v>2240.7706600738084</v>
      </c>
      <c r="AIF24" s="57">
        <f t="shared" si="200"/>
        <v>2241.4309346096252</v>
      </c>
      <c r="AIG24" s="57">
        <f t="shared" si="200"/>
        <v>2242.091759374222</v>
      </c>
      <c r="AIH24" s="57">
        <f t="shared" si="200"/>
        <v>2242.7531348261227</v>
      </c>
      <c r="AII24" s="57">
        <f t="shared" si="200"/>
        <v>2243.415061424233</v>
      </c>
      <c r="AIJ24" s="57">
        <f t="shared" si="200"/>
        <v>2244.0775396278418</v>
      </c>
      <c r="AIK24" s="57">
        <f t="shared" si="200"/>
        <v>2244.7405698966199</v>
      </c>
      <c r="AIL24" s="57">
        <f t="shared" si="200"/>
        <v>2245.4041526906226</v>
      </c>
      <c r="AIM24" s="57">
        <f t="shared" si="200"/>
        <v>2246.0682884702865</v>
      </c>
      <c r="AIN24" s="57">
        <f t="shared" si="200"/>
        <v>2246.7329776964334</v>
      </c>
      <c r="AIO24" s="57">
        <f t="shared" si="200"/>
        <v>2247.3982208302687</v>
      </c>
      <c r="AIP24" s="57">
        <f t="shared" si="200"/>
        <v>2248.0640183333826</v>
      </c>
      <c r="AIQ24" s="57">
        <f t="shared" si="200"/>
        <v>2248.730370667749</v>
      </c>
      <c r="AIR24" s="57">
        <f t="shared" si="200"/>
        <v>2249.3972782957271</v>
      </c>
      <c r="AIS24" s="57">
        <f t="shared" si="200"/>
        <v>2250.0647416800621</v>
      </c>
      <c r="AIT24" s="57">
        <f t="shared" si="200"/>
        <v>2250.732761283884</v>
      </c>
      <c r="AIU24" s="57">
        <f t="shared" si="200"/>
        <v>2251.4013375707091</v>
      </c>
      <c r="AIV24" s="57">
        <f t="shared" si="200"/>
        <v>2252.0704710044397</v>
      </c>
      <c r="AIW24" s="57">
        <f t="shared" si="200"/>
        <v>2252.7401620493656</v>
      </c>
      <c r="AIX24" s="57">
        <f t="shared" si="200"/>
        <v>2253.4104111701622</v>
      </c>
      <c r="AIY24" s="57">
        <f t="shared" si="200"/>
        <v>2254.0812188318923</v>
      </c>
      <c r="AIZ24" s="57">
        <f t="shared" si="200"/>
        <v>2254.7525855000076</v>
      </c>
      <c r="AJA24" s="57">
        <f t="shared" si="200"/>
        <v>2255.4245116403458</v>
      </c>
      <c r="AJB24" s="57">
        <f t="shared" si="200"/>
        <v>2256.0969977191348</v>
      </c>
      <c r="AJC24" s="57">
        <f t="shared" si="200"/>
        <v>2256.7700442029895</v>
      </c>
      <c r="AJD24" s="57">
        <f t="shared" si="200"/>
        <v>2257.4436515589136</v>
      </c>
      <c r="AJE24" s="57">
        <f t="shared" si="200"/>
        <v>2258.1178202543015</v>
      </c>
      <c r="AJF24" s="57">
        <f t="shared" si="200"/>
        <v>2258.7925507569353</v>
      </c>
      <c r="AJG24" s="57">
        <f t="shared" si="200"/>
        <v>2259.4678435349883</v>
      </c>
      <c r="AJH24" s="57">
        <f t="shared" si="200"/>
        <v>2260.1436990570223</v>
      </c>
      <c r="AJI24" s="57">
        <f t="shared" si="200"/>
        <v>2260.8201177919918</v>
      </c>
      <c r="AJJ24" s="57">
        <f t="shared" si="200"/>
        <v>2261.4971002092402</v>
      </c>
      <c r="AJK24" s="57">
        <f t="shared" si="200"/>
        <v>2262.1746467785033</v>
      </c>
      <c r="AJL24" s="57">
        <f t="shared" si="200"/>
        <v>2262.8527579699075</v>
      </c>
      <c r="AJM24" s="57">
        <f t="shared" si="200"/>
        <v>2263.5314342539709</v>
      </c>
      <c r="AJN24" s="57">
        <f t="shared" si="200"/>
        <v>2264.2106761016043</v>
      </c>
      <c r="AJO24" s="57">
        <f t="shared" si="200"/>
        <v>2264.8904839841107</v>
      </c>
      <c r="AJP24" s="57">
        <f t="shared" si="200"/>
        <v>2265.5708583731862</v>
      </c>
      <c r="AJQ24" s="57">
        <f t="shared" si="200"/>
        <v>2266.2517997409191</v>
      </c>
      <c r="AJR24" s="57">
        <f t="shared" si="200"/>
        <v>2266.9333085597918</v>
      </c>
      <c r="AJS24" s="57">
        <f t="shared" si="200"/>
        <v>2267.6153853026804</v>
      </c>
      <c r="AJT24" s="57">
        <f t="shared" si="200"/>
        <v>2268.2980304428543</v>
      </c>
      <c r="AJU24" s="57">
        <f t="shared" si="200"/>
        <v>2268.9812444539789</v>
      </c>
      <c r="AJV24" s="57">
        <f t="shared" si="200"/>
        <v>2269.6650278101124</v>
      </c>
      <c r="AJW24" s="57">
        <f t="shared" si="200"/>
        <v>2270.3493809857096</v>
      </c>
      <c r="AJX24" s="57">
        <f t="shared" si="200"/>
        <v>2271.0343044556198</v>
      </c>
      <c r="AJY24" s="57">
        <f t="shared" si="200"/>
        <v>2271.7197986950878</v>
      </c>
      <c r="AJZ24" s="57">
        <f t="shared" si="200"/>
        <v>2272.405864179756</v>
      </c>
      <c r="AKA24" s="57">
        <f t="shared" si="200"/>
        <v>2273.0925013856609</v>
      </c>
      <c r="AKB24" s="57">
        <f t="shared" ref="AKB24:AMM24" si="201">(AKB20+AKB21-AKB23)*($D$3/12)</f>
        <v>2273.779710789237</v>
      </c>
      <c r="AKC24" s="57">
        <f t="shared" si="201"/>
        <v>2274.4674928673167</v>
      </c>
      <c r="AKD24" s="57">
        <f t="shared" si="201"/>
        <v>2275.155848097128</v>
      </c>
      <c r="AKE24" s="57">
        <f t="shared" si="201"/>
        <v>2275.8447769562977</v>
      </c>
      <c r="AKF24" s="57">
        <f t="shared" si="201"/>
        <v>2276.5342799228497</v>
      </c>
      <c r="AKG24" s="57">
        <f t="shared" si="201"/>
        <v>2277.2243574752074</v>
      </c>
      <c r="AKH24" s="57">
        <f t="shared" si="201"/>
        <v>2277.915010092192</v>
      </c>
      <c r="AKI24" s="57">
        <f t="shared" si="201"/>
        <v>2278.606238253024</v>
      </c>
      <c r="AKJ24" s="57">
        <f t="shared" si="201"/>
        <v>2279.2980424373231</v>
      </c>
      <c r="AKK24" s="57">
        <f t="shared" si="201"/>
        <v>2279.9904231251098</v>
      </c>
      <c r="AKL24" s="57">
        <f t="shared" si="201"/>
        <v>2280.6833807968028</v>
      </c>
      <c r="AKM24" s="57">
        <f t="shared" si="201"/>
        <v>2281.3769159332219</v>
      </c>
      <c r="AKN24" s="57">
        <f t="shared" si="201"/>
        <v>2282.071029015588</v>
      </c>
      <c r="AKO24" s="57">
        <f t="shared" si="201"/>
        <v>2282.7657205255232</v>
      </c>
      <c r="AKP24" s="57">
        <f t="shared" si="201"/>
        <v>2283.4609909450492</v>
      </c>
      <c r="AKQ24" s="57">
        <f t="shared" si="201"/>
        <v>2284.1568407565919</v>
      </c>
      <c r="AKR24" s="57">
        <f t="shared" si="201"/>
        <v>2284.8532704429776</v>
      </c>
      <c r="AKS24" s="57">
        <f t="shared" si="201"/>
        <v>2285.5502804874354</v>
      </c>
      <c r="AKT24" s="57">
        <f t="shared" si="201"/>
        <v>2286.2478713735973</v>
      </c>
      <c r="AKU24" s="57">
        <f t="shared" si="201"/>
        <v>2286.9460435854971</v>
      </c>
      <c r="AKV24" s="57">
        <f t="shared" si="201"/>
        <v>2287.6447976075733</v>
      </c>
      <c r="AKW24" s="57">
        <f t="shared" si="201"/>
        <v>2288.3441339246688</v>
      </c>
      <c r="AKX24" s="57">
        <f t="shared" si="201"/>
        <v>2289.0440530220276</v>
      </c>
      <c r="AKY24" s="57">
        <f t="shared" si="201"/>
        <v>2289.7445553853013</v>
      </c>
      <c r="AKZ24" s="57">
        <f t="shared" si="201"/>
        <v>2290.4456415005443</v>
      </c>
      <c r="ALA24" s="57">
        <f t="shared" si="201"/>
        <v>2291.1473118542162</v>
      </c>
      <c r="ALB24" s="57">
        <f t="shared" si="201"/>
        <v>2291.8495669331833</v>
      </c>
      <c r="ALC24" s="57">
        <f t="shared" si="201"/>
        <v>2292.5524072247163</v>
      </c>
      <c r="ALD24" s="57">
        <f t="shared" si="201"/>
        <v>2293.2558332164922</v>
      </c>
      <c r="ALE24" s="57">
        <f t="shared" si="201"/>
        <v>2293.9598453965946</v>
      </c>
      <c r="ALF24" s="57">
        <f t="shared" si="201"/>
        <v>2294.6644442535135</v>
      </c>
      <c r="ALG24" s="57">
        <f t="shared" si="201"/>
        <v>2295.3696302761464</v>
      </c>
      <c r="ALH24" s="57">
        <f t="shared" si="201"/>
        <v>2296.0754039537987</v>
      </c>
      <c r="ALI24" s="57">
        <f t="shared" si="201"/>
        <v>2296.7817657761821</v>
      </c>
      <c r="ALJ24" s="57">
        <f t="shared" si="201"/>
        <v>2297.4887162334176</v>
      </c>
      <c r="ALK24" s="57">
        <f t="shared" si="201"/>
        <v>2298.196255816034</v>
      </c>
      <c r="ALL24" s="57">
        <f t="shared" si="201"/>
        <v>2298.9043850149692</v>
      </c>
      <c r="ALM24" s="57">
        <f t="shared" si="201"/>
        <v>2299.6131043215701</v>
      </c>
      <c r="ALN24" s="57">
        <f t="shared" si="201"/>
        <v>2300.3224142275935</v>
      </c>
      <c r="ALO24" s="57">
        <f t="shared" si="201"/>
        <v>2301.0323152252054</v>
      </c>
      <c r="ALP24" s="57">
        <f t="shared" si="201"/>
        <v>2301.7428078069815</v>
      </c>
      <c r="ALQ24" s="57">
        <f t="shared" si="201"/>
        <v>2302.4538924659091</v>
      </c>
      <c r="ALR24" s="57">
        <f t="shared" si="201"/>
        <v>2303.1655696953858</v>
      </c>
      <c r="ALS24" s="57">
        <f t="shared" si="201"/>
        <v>2303.8778399892203</v>
      </c>
      <c r="ALT24" s="57">
        <f t="shared" si="201"/>
        <v>2304.5907038416331</v>
      </c>
      <c r="ALU24" s="57">
        <f t="shared" si="201"/>
        <v>2305.3041617472563</v>
      </c>
      <c r="ALV24" s="57">
        <f t="shared" si="201"/>
        <v>2306.0182142011345</v>
      </c>
      <c r="ALW24" s="57">
        <f t="shared" si="201"/>
        <v>2306.7328616987238</v>
      </c>
      <c r="ALX24" s="57">
        <f t="shared" si="201"/>
        <v>2307.448104735895</v>
      </c>
      <c r="ALY24" s="57">
        <f t="shared" si="201"/>
        <v>2308.1639438089301</v>
      </c>
      <c r="ALZ24" s="57">
        <f t="shared" si="201"/>
        <v>2308.880379414526</v>
      </c>
      <c r="AMA24" s="57">
        <f t="shared" si="201"/>
        <v>2309.5974120497935</v>
      </c>
      <c r="AMB24" s="57">
        <f t="shared" si="201"/>
        <v>2310.3150422122567</v>
      </c>
      <c r="AMC24" s="57">
        <f t="shared" si="201"/>
        <v>2311.0332703998556</v>
      </c>
      <c r="AMD24" s="57">
        <f t="shared" si="201"/>
        <v>2311.7520971109439</v>
      </c>
      <c r="AME24" s="57">
        <f t="shared" si="201"/>
        <v>2312.4715228442915</v>
      </c>
      <c r="AMF24" s="57">
        <f t="shared" si="201"/>
        <v>2313.1915480990838</v>
      </c>
      <c r="AMG24" s="57">
        <f t="shared" si="201"/>
        <v>2313.9121733749216</v>
      </c>
      <c r="AMH24" s="57">
        <f t="shared" si="201"/>
        <v>2314.6333991718229</v>
      </c>
      <c r="AMI24" s="57">
        <f t="shared" si="201"/>
        <v>2315.3552259902212</v>
      </c>
      <c r="AMJ24" s="57">
        <f t="shared" si="201"/>
        <v>2316.077654330968</v>
      </c>
      <c r="AMK24" s="57">
        <f t="shared" si="201"/>
        <v>2316.8006846953326</v>
      </c>
      <c r="AML24" s="57">
        <f t="shared" si="201"/>
        <v>2317.5243175850005</v>
      </c>
      <c r="AMM24" s="57">
        <f t="shared" si="201"/>
        <v>2318.2485535020764</v>
      </c>
      <c r="AMN24" s="57">
        <f t="shared" ref="AMN24:AOP24" si="202">(AMN20+AMN21-AMN23)*($D$3/12)</f>
        <v>2318.9733929490831</v>
      </c>
      <c r="AMO24" s="57">
        <f t="shared" si="202"/>
        <v>2319.6988364289623</v>
      </c>
      <c r="AMP24" s="57">
        <f t="shared" si="202"/>
        <v>2320.4248844450753</v>
      </c>
      <c r="AMQ24" s="57">
        <f t="shared" si="202"/>
        <v>2321.1515375012013</v>
      </c>
      <c r="AMR24" s="57">
        <f t="shared" si="202"/>
        <v>2321.878796101541</v>
      </c>
      <c r="AMS24" s="57">
        <f t="shared" si="202"/>
        <v>2322.6066607507141</v>
      </c>
      <c r="AMT24" s="57">
        <f t="shared" si="202"/>
        <v>2323.3351319537614</v>
      </c>
      <c r="AMU24" s="57">
        <f t="shared" si="202"/>
        <v>2324.0642102161451</v>
      </c>
      <c r="AMV24" s="57">
        <f t="shared" si="202"/>
        <v>2324.7938960437468</v>
      </c>
      <c r="AMW24" s="57">
        <f t="shared" si="202"/>
        <v>2325.524189942872</v>
      </c>
      <c r="AMX24" s="57">
        <f t="shared" si="202"/>
        <v>2326.2550924202465</v>
      </c>
      <c r="AMY24" s="57">
        <f t="shared" si="202"/>
        <v>2326.9866039830185</v>
      </c>
      <c r="AMZ24" s="57">
        <f t="shared" si="202"/>
        <v>2327.7187251387595</v>
      </c>
      <c r="ANA24" s="57">
        <f t="shared" si="202"/>
        <v>2328.451456395464</v>
      </c>
      <c r="ANB24" s="57">
        <f t="shared" si="202"/>
        <v>2329.1847982615486</v>
      </c>
      <c r="ANC24" s="57">
        <f t="shared" si="202"/>
        <v>2329.9187512458552</v>
      </c>
      <c r="AND24" s="57">
        <f t="shared" si="202"/>
        <v>2330.6533158576485</v>
      </c>
      <c r="ANE24" s="57">
        <f t="shared" si="202"/>
        <v>2331.3884926066185</v>
      </c>
      <c r="ANF24" s="57">
        <f t="shared" si="202"/>
        <v>2332.1242820028792</v>
      </c>
      <c r="ANG24" s="57">
        <f t="shared" si="202"/>
        <v>2332.8606845569702</v>
      </c>
      <c r="ANH24" s="57">
        <f t="shared" si="202"/>
        <v>2333.597700779856</v>
      </c>
      <c r="ANI24" s="57">
        <f t="shared" si="202"/>
        <v>2334.3353311829278</v>
      </c>
      <c r="ANJ24" s="57">
        <f t="shared" si="202"/>
        <v>2335.0735762780023</v>
      </c>
      <c r="ANK24" s="57">
        <f t="shared" si="202"/>
        <v>2335.8124365773224</v>
      </c>
      <c r="ANL24" s="57">
        <f t="shared" si="202"/>
        <v>2336.5519125935589</v>
      </c>
      <c r="ANM24" s="57">
        <f t="shared" si="202"/>
        <v>2337.2920048398087</v>
      </c>
      <c r="ANN24" s="57">
        <f t="shared" si="202"/>
        <v>2338.0327138295975</v>
      </c>
      <c r="ANO24" s="57">
        <f t="shared" si="202"/>
        <v>2338.7740400768771</v>
      </c>
      <c r="ANP24" s="57">
        <f t="shared" si="202"/>
        <v>2339.5159840960296</v>
      </c>
      <c r="ANQ24" s="57">
        <f t="shared" si="202"/>
        <v>2340.2585464018653</v>
      </c>
      <c r="ANR24" s="57">
        <f t="shared" si="202"/>
        <v>2341.0017275096216</v>
      </c>
      <c r="ANS24" s="57">
        <f t="shared" si="202"/>
        <v>2341.7455279349683</v>
      </c>
      <c r="ANT24" s="57">
        <f t="shared" si="202"/>
        <v>2342.4899481940029</v>
      </c>
      <c r="ANU24" s="57">
        <f t="shared" si="202"/>
        <v>2343.2349888032527</v>
      </c>
      <c r="ANV24" s="57">
        <f t="shared" si="202"/>
        <v>2343.9806502796773</v>
      </c>
      <c r="ANW24" s="57">
        <f t="shared" si="202"/>
        <v>2344.7269331406656</v>
      </c>
      <c r="ANX24" s="57">
        <f t="shared" si="202"/>
        <v>2345.4738379040382</v>
      </c>
      <c r="ANY24" s="57">
        <f t="shared" si="202"/>
        <v>2346.2213650880467</v>
      </c>
      <c r="ANZ24" s="57">
        <f t="shared" si="202"/>
        <v>2346.9695152113754</v>
      </c>
      <c r="AOA24" s="57">
        <f t="shared" si="202"/>
        <v>2347.7182887931403</v>
      </c>
      <c r="AOB24" s="57">
        <f t="shared" si="202"/>
        <v>2348.4676863528898</v>
      </c>
      <c r="AOC24" s="57">
        <f t="shared" si="202"/>
        <v>2349.2177084106056</v>
      </c>
      <c r="AOD24" s="57">
        <f t="shared" si="202"/>
        <v>2349.9683554867033</v>
      </c>
      <c r="AOE24" s="57">
        <f t="shared" si="202"/>
        <v>2351.9266583333338</v>
      </c>
      <c r="AOF24" s="57">
        <f t="shared" si="202"/>
        <v>2353.886597215278</v>
      </c>
      <c r="AOG24" s="57">
        <f t="shared" si="202"/>
        <v>2355.8481693796239</v>
      </c>
      <c r="AOH24" s="57">
        <f t="shared" si="202"/>
        <v>2357.8113761874401</v>
      </c>
      <c r="AOI24" s="57">
        <f t="shared" si="202"/>
        <v>2359.7762190009298</v>
      </c>
      <c r="AOJ24" s="57">
        <f t="shared" si="202"/>
        <v>2361.7426991834309</v>
      </c>
      <c r="AOK24" s="57">
        <f t="shared" si="202"/>
        <v>2363.7108180994169</v>
      </c>
      <c r="AOL24" s="57">
        <f t="shared" si="202"/>
        <v>2365.6805771144996</v>
      </c>
      <c r="AOM24" s="57">
        <f t="shared" si="202"/>
        <v>2367.6519775954284</v>
      </c>
      <c r="AON24" s="57">
        <f t="shared" si="202"/>
        <v>2369.6250209100913</v>
      </c>
      <c r="AOO24" s="57">
        <f t="shared" si="202"/>
        <v>2371.5997084275164</v>
      </c>
      <c r="AOP24" s="57">
        <f t="shared" si="202"/>
        <v>2373.5760415178729</v>
      </c>
    </row>
    <row r="25" spans="2:1102" x14ac:dyDescent="0.25">
      <c r="B25" s="58" t="s">
        <v>179</v>
      </c>
      <c r="C25" s="59">
        <f t="shared" ref="C25:BN25" si="203">IF(AND(C16="Desacumulación",D16="-"),ROUND(C20+C21+C22-C23+C24,2),C20+C21+C22-C23+C24)</f>
        <v>0</v>
      </c>
      <c r="D25" s="59">
        <f t="shared" si="203"/>
        <v>0</v>
      </c>
      <c r="E25" s="59">
        <f t="shared" si="203"/>
        <v>0</v>
      </c>
      <c r="F25" s="59">
        <f t="shared" si="203"/>
        <v>0</v>
      </c>
      <c r="G25" s="59">
        <f t="shared" si="203"/>
        <v>0</v>
      </c>
      <c r="H25" s="59">
        <f t="shared" si="203"/>
        <v>0</v>
      </c>
      <c r="I25" s="59">
        <f t="shared" si="203"/>
        <v>0</v>
      </c>
      <c r="J25" s="59">
        <f t="shared" si="203"/>
        <v>0</v>
      </c>
      <c r="K25" s="59">
        <f t="shared" si="203"/>
        <v>0</v>
      </c>
      <c r="L25" s="59">
        <f t="shared" si="203"/>
        <v>0</v>
      </c>
      <c r="M25" s="59">
        <f t="shared" si="203"/>
        <v>0</v>
      </c>
      <c r="N25" s="59">
        <f t="shared" si="203"/>
        <v>0</v>
      </c>
      <c r="O25" s="59">
        <f t="shared" si="203"/>
        <v>0</v>
      </c>
      <c r="P25" s="59">
        <f t="shared" si="203"/>
        <v>0</v>
      </c>
      <c r="Q25" s="59">
        <f t="shared" si="203"/>
        <v>0</v>
      </c>
      <c r="R25" s="59">
        <f t="shared" si="203"/>
        <v>0</v>
      </c>
      <c r="S25" s="59">
        <f t="shared" si="203"/>
        <v>0</v>
      </c>
      <c r="T25" s="59">
        <f t="shared" si="203"/>
        <v>0</v>
      </c>
      <c r="U25" s="59">
        <f t="shared" si="203"/>
        <v>0</v>
      </c>
      <c r="V25" s="59">
        <f t="shared" si="203"/>
        <v>0</v>
      </c>
      <c r="W25" s="59">
        <f t="shared" si="203"/>
        <v>0</v>
      </c>
      <c r="X25" s="59">
        <f t="shared" si="203"/>
        <v>0</v>
      </c>
      <c r="Y25" s="59">
        <f t="shared" si="203"/>
        <v>0</v>
      </c>
      <c r="Z25" s="59">
        <f t="shared" si="203"/>
        <v>0</v>
      </c>
      <c r="AA25" s="59">
        <f t="shared" si="203"/>
        <v>0</v>
      </c>
      <c r="AB25" s="59">
        <f t="shared" si="203"/>
        <v>0</v>
      </c>
      <c r="AC25" s="59">
        <f t="shared" si="203"/>
        <v>0</v>
      </c>
      <c r="AD25" s="59">
        <f t="shared" si="203"/>
        <v>0</v>
      </c>
      <c r="AE25" s="59">
        <f t="shared" si="203"/>
        <v>0</v>
      </c>
      <c r="AF25" s="59">
        <f t="shared" si="203"/>
        <v>0</v>
      </c>
      <c r="AG25" s="59">
        <f t="shared" si="203"/>
        <v>0</v>
      </c>
      <c r="AH25" s="59">
        <f t="shared" si="203"/>
        <v>0</v>
      </c>
      <c r="AI25" s="59">
        <f t="shared" si="203"/>
        <v>0</v>
      </c>
      <c r="AJ25" s="59">
        <f t="shared" si="203"/>
        <v>0</v>
      </c>
      <c r="AK25" s="59">
        <f t="shared" si="203"/>
        <v>0</v>
      </c>
      <c r="AL25" s="59">
        <f t="shared" si="203"/>
        <v>0</v>
      </c>
      <c r="AM25" s="59">
        <f t="shared" si="203"/>
        <v>0</v>
      </c>
      <c r="AN25" s="59">
        <f t="shared" si="203"/>
        <v>0</v>
      </c>
      <c r="AO25" s="59">
        <f t="shared" si="203"/>
        <v>0</v>
      </c>
      <c r="AP25" s="59">
        <f t="shared" si="203"/>
        <v>0</v>
      </c>
      <c r="AQ25" s="59">
        <f t="shared" si="203"/>
        <v>0</v>
      </c>
      <c r="AR25" s="59">
        <f t="shared" si="203"/>
        <v>0</v>
      </c>
      <c r="AS25" s="59">
        <f t="shared" si="203"/>
        <v>0</v>
      </c>
      <c r="AT25" s="59">
        <f t="shared" si="203"/>
        <v>0</v>
      </c>
      <c r="AU25" s="59">
        <f t="shared" si="203"/>
        <v>0</v>
      </c>
      <c r="AV25" s="59">
        <f t="shared" si="203"/>
        <v>0</v>
      </c>
      <c r="AW25" s="59">
        <f t="shared" si="203"/>
        <v>0</v>
      </c>
      <c r="AX25" s="59">
        <f t="shared" si="203"/>
        <v>0</v>
      </c>
      <c r="AY25" s="59">
        <f t="shared" si="203"/>
        <v>0</v>
      </c>
      <c r="AZ25" s="59">
        <f t="shared" si="203"/>
        <v>0</v>
      </c>
      <c r="BA25" s="59">
        <f t="shared" si="203"/>
        <v>0</v>
      </c>
      <c r="BB25" s="59">
        <f t="shared" si="203"/>
        <v>0</v>
      </c>
      <c r="BC25" s="59">
        <f t="shared" si="203"/>
        <v>0</v>
      </c>
      <c r="BD25" s="59">
        <f t="shared" si="203"/>
        <v>0</v>
      </c>
      <c r="BE25" s="59">
        <f t="shared" si="203"/>
        <v>0</v>
      </c>
      <c r="BF25" s="59">
        <f t="shared" si="203"/>
        <v>0</v>
      </c>
      <c r="BG25" s="59">
        <f t="shared" si="203"/>
        <v>0</v>
      </c>
      <c r="BH25" s="59">
        <f t="shared" si="203"/>
        <v>0</v>
      </c>
      <c r="BI25" s="59">
        <f t="shared" si="203"/>
        <v>0</v>
      </c>
      <c r="BJ25" s="59">
        <f t="shared" si="203"/>
        <v>0</v>
      </c>
      <c r="BK25" s="59">
        <f t="shared" si="203"/>
        <v>0</v>
      </c>
      <c r="BL25" s="59">
        <f t="shared" si="203"/>
        <v>0</v>
      </c>
      <c r="BM25" s="59">
        <f t="shared" si="203"/>
        <v>0</v>
      </c>
      <c r="BN25" s="59">
        <f t="shared" si="203"/>
        <v>0</v>
      </c>
      <c r="BO25" s="59">
        <f t="shared" ref="BO25:DZ25" si="204">IF(AND(BO16="Desacumulación",BP16="-"),ROUND(BO20+BO21+BO22-BO23+BO24,2),BO20+BO21+BO22-BO23+BO24)</f>
        <v>0</v>
      </c>
      <c r="BP25" s="59">
        <f t="shared" si="204"/>
        <v>0</v>
      </c>
      <c r="BQ25" s="59">
        <f t="shared" si="204"/>
        <v>0</v>
      </c>
      <c r="BR25" s="59">
        <f t="shared" si="204"/>
        <v>0</v>
      </c>
      <c r="BS25" s="59">
        <f t="shared" si="204"/>
        <v>0</v>
      </c>
      <c r="BT25" s="59">
        <f t="shared" si="204"/>
        <v>0</v>
      </c>
      <c r="BU25" s="59">
        <f t="shared" si="204"/>
        <v>0</v>
      </c>
      <c r="BV25" s="59">
        <f t="shared" si="204"/>
        <v>0</v>
      </c>
      <c r="BW25" s="59">
        <f t="shared" si="204"/>
        <v>0</v>
      </c>
      <c r="BX25" s="59">
        <f t="shared" si="204"/>
        <v>0</v>
      </c>
      <c r="BY25" s="59">
        <f t="shared" si="204"/>
        <v>0</v>
      </c>
      <c r="BZ25" s="59">
        <f t="shared" si="204"/>
        <v>0</v>
      </c>
      <c r="CA25" s="59">
        <f t="shared" si="204"/>
        <v>0</v>
      </c>
      <c r="CB25" s="59">
        <f t="shared" si="204"/>
        <v>0</v>
      </c>
      <c r="CC25" s="59">
        <f t="shared" si="204"/>
        <v>0</v>
      </c>
      <c r="CD25" s="59">
        <f t="shared" si="204"/>
        <v>0</v>
      </c>
      <c r="CE25" s="59">
        <f t="shared" si="204"/>
        <v>0</v>
      </c>
      <c r="CF25" s="59">
        <f t="shared" si="204"/>
        <v>0</v>
      </c>
      <c r="CG25" s="59">
        <f t="shared" si="204"/>
        <v>0</v>
      </c>
      <c r="CH25" s="59">
        <f t="shared" si="204"/>
        <v>0</v>
      </c>
      <c r="CI25" s="59">
        <f t="shared" si="204"/>
        <v>0</v>
      </c>
      <c r="CJ25" s="59">
        <f t="shared" si="204"/>
        <v>0</v>
      </c>
      <c r="CK25" s="59">
        <f t="shared" si="204"/>
        <v>0</v>
      </c>
      <c r="CL25" s="59">
        <f t="shared" si="204"/>
        <v>0</v>
      </c>
      <c r="CM25" s="59">
        <f t="shared" si="204"/>
        <v>0</v>
      </c>
      <c r="CN25" s="59">
        <f t="shared" si="204"/>
        <v>0</v>
      </c>
      <c r="CO25" s="59">
        <f t="shared" si="204"/>
        <v>0</v>
      </c>
      <c r="CP25" s="59">
        <f t="shared" si="204"/>
        <v>0</v>
      </c>
      <c r="CQ25" s="59">
        <f t="shared" si="204"/>
        <v>0</v>
      </c>
      <c r="CR25" s="59">
        <f t="shared" si="204"/>
        <v>0</v>
      </c>
      <c r="CS25" s="59">
        <f t="shared" si="204"/>
        <v>0</v>
      </c>
      <c r="CT25" s="59">
        <f t="shared" si="204"/>
        <v>0</v>
      </c>
      <c r="CU25" s="59">
        <f t="shared" si="204"/>
        <v>0</v>
      </c>
      <c r="CV25" s="59">
        <f t="shared" si="204"/>
        <v>0</v>
      </c>
      <c r="CW25" s="59">
        <f t="shared" si="204"/>
        <v>0</v>
      </c>
      <c r="CX25" s="59">
        <f t="shared" si="204"/>
        <v>0</v>
      </c>
      <c r="CY25" s="59">
        <f t="shared" si="204"/>
        <v>0</v>
      </c>
      <c r="CZ25" s="59">
        <f t="shared" si="204"/>
        <v>0</v>
      </c>
      <c r="DA25" s="59">
        <f t="shared" si="204"/>
        <v>0</v>
      </c>
      <c r="DB25" s="59">
        <f t="shared" si="204"/>
        <v>0</v>
      </c>
      <c r="DC25" s="59">
        <f t="shared" si="204"/>
        <v>0</v>
      </c>
      <c r="DD25" s="59">
        <f t="shared" si="204"/>
        <v>0</v>
      </c>
      <c r="DE25" s="59">
        <f t="shared" si="204"/>
        <v>0</v>
      </c>
      <c r="DF25" s="59">
        <f t="shared" si="204"/>
        <v>0</v>
      </c>
      <c r="DG25" s="59">
        <f t="shared" si="204"/>
        <v>0</v>
      </c>
      <c r="DH25" s="59">
        <f t="shared" si="204"/>
        <v>0</v>
      </c>
      <c r="DI25" s="59">
        <f t="shared" si="204"/>
        <v>0</v>
      </c>
      <c r="DJ25" s="59">
        <f t="shared" si="204"/>
        <v>0</v>
      </c>
      <c r="DK25" s="59">
        <f t="shared" si="204"/>
        <v>0</v>
      </c>
      <c r="DL25" s="59">
        <f t="shared" si="204"/>
        <v>0</v>
      </c>
      <c r="DM25" s="59">
        <f t="shared" si="204"/>
        <v>0</v>
      </c>
      <c r="DN25" s="59">
        <f t="shared" si="204"/>
        <v>0</v>
      </c>
      <c r="DO25" s="59">
        <f t="shared" si="204"/>
        <v>0</v>
      </c>
      <c r="DP25" s="59">
        <f t="shared" si="204"/>
        <v>0</v>
      </c>
      <c r="DQ25" s="59">
        <f t="shared" si="204"/>
        <v>0</v>
      </c>
      <c r="DR25" s="59">
        <f t="shared" si="204"/>
        <v>0</v>
      </c>
      <c r="DS25" s="59">
        <f t="shared" si="204"/>
        <v>0</v>
      </c>
      <c r="DT25" s="59">
        <f t="shared" si="204"/>
        <v>0</v>
      </c>
      <c r="DU25" s="59">
        <f t="shared" si="204"/>
        <v>0</v>
      </c>
      <c r="DV25" s="59">
        <f t="shared" si="204"/>
        <v>0</v>
      </c>
      <c r="DW25" s="59">
        <f t="shared" si="204"/>
        <v>0</v>
      </c>
      <c r="DX25" s="59">
        <f t="shared" si="204"/>
        <v>0</v>
      </c>
      <c r="DY25" s="59">
        <f t="shared" si="204"/>
        <v>0</v>
      </c>
      <c r="DZ25" s="59">
        <f t="shared" si="204"/>
        <v>0</v>
      </c>
      <c r="EA25" s="59">
        <f t="shared" ref="EA25:GL25" si="205">IF(AND(EA16="Desacumulación",EB16="-"),ROUND(EA20+EA21+EA22-EA23+EA24,2),EA20+EA21+EA22-EA23+EA24)</f>
        <v>0</v>
      </c>
      <c r="EB25" s="59">
        <f t="shared" si="205"/>
        <v>0</v>
      </c>
      <c r="EC25" s="59">
        <f t="shared" si="205"/>
        <v>0</v>
      </c>
      <c r="ED25" s="59">
        <f t="shared" si="205"/>
        <v>0</v>
      </c>
      <c r="EE25" s="59">
        <f t="shared" si="205"/>
        <v>0</v>
      </c>
      <c r="EF25" s="59">
        <f t="shared" si="205"/>
        <v>0</v>
      </c>
      <c r="EG25" s="59">
        <f t="shared" si="205"/>
        <v>0</v>
      </c>
      <c r="EH25" s="59">
        <f t="shared" si="205"/>
        <v>0</v>
      </c>
      <c r="EI25" s="59">
        <f t="shared" si="205"/>
        <v>0</v>
      </c>
      <c r="EJ25" s="59">
        <f t="shared" si="205"/>
        <v>0</v>
      </c>
      <c r="EK25" s="59">
        <f t="shared" si="205"/>
        <v>0</v>
      </c>
      <c r="EL25" s="59">
        <f t="shared" si="205"/>
        <v>0</v>
      </c>
      <c r="EM25" s="59">
        <f t="shared" si="205"/>
        <v>0</v>
      </c>
      <c r="EN25" s="59">
        <f t="shared" si="205"/>
        <v>0</v>
      </c>
      <c r="EO25" s="59">
        <f t="shared" si="205"/>
        <v>0</v>
      </c>
      <c r="EP25" s="59">
        <f t="shared" si="205"/>
        <v>0</v>
      </c>
      <c r="EQ25" s="59">
        <f t="shared" si="205"/>
        <v>0</v>
      </c>
      <c r="ER25" s="59">
        <f t="shared" si="205"/>
        <v>0</v>
      </c>
      <c r="ES25" s="59">
        <f t="shared" si="205"/>
        <v>0</v>
      </c>
      <c r="ET25" s="59">
        <f t="shared" si="205"/>
        <v>0</v>
      </c>
      <c r="EU25" s="59">
        <f t="shared" si="205"/>
        <v>0</v>
      </c>
      <c r="EV25" s="59">
        <f t="shared" si="205"/>
        <v>0</v>
      </c>
      <c r="EW25" s="59">
        <f t="shared" si="205"/>
        <v>0</v>
      </c>
      <c r="EX25" s="59">
        <f t="shared" si="205"/>
        <v>0</v>
      </c>
      <c r="EY25" s="59">
        <f t="shared" si="205"/>
        <v>0</v>
      </c>
      <c r="EZ25" s="59">
        <f t="shared" si="205"/>
        <v>0</v>
      </c>
      <c r="FA25" s="59">
        <f t="shared" si="205"/>
        <v>0</v>
      </c>
      <c r="FB25" s="59">
        <f t="shared" si="205"/>
        <v>0</v>
      </c>
      <c r="FC25" s="59">
        <f t="shared" si="205"/>
        <v>0</v>
      </c>
      <c r="FD25" s="59">
        <f t="shared" si="205"/>
        <v>0</v>
      </c>
      <c r="FE25" s="59">
        <f t="shared" si="205"/>
        <v>0</v>
      </c>
      <c r="FF25" s="59">
        <f t="shared" si="205"/>
        <v>0</v>
      </c>
      <c r="FG25" s="59">
        <f t="shared" si="205"/>
        <v>0</v>
      </c>
      <c r="FH25" s="59">
        <f t="shared" si="205"/>
        <v>0</v>
      </c>
      <c r="FI25" s="59">
        <f t="shared" si="205"/>
        <v>0</v>
      </c>
      <c r="FJ25" s="59">
        <f t="shared" si="205"/>
        <v>0</v>
      </c>
      <c r="FK25" s="59">
        <f t="shared" si="205"/>
        <v>0</v>
      </c>
      <c r="FL25" s="59">
        <f t="shared" si="205"/>
        <v>0</v>
      </c>
      <c r="FM25" s="59">
        <f t="shared" si="205"/>
        <v>0</v>
      </c>
      <c r="FN25" s="59">
        <f t="shared" si="205"/>
        <v>0</v>
      </c>
      <c r="FO25" s="59">
        <f t="shared" si="205"/>
        <v>0</v>
      </c>
      <c r="FP25" s="59">
        <f t="shared" si="205"/>
        <v>0</v>
      </c>
      <c r="FQ25" s="59">
        <f t="shared" si="205"/>
        <v>0</v>
      </c>
      <c r="FR25" s="59">
        <f t="shared" si="205"/>
        <v>0</v>
      </c>
      <c r="FS25" s="59">
        <f t="shared" si="205"/>
        <v>0</v>
      </c>
      <c r="FT25" s="59">
        <f t="shared" si="205"/>
        <v>0</v>
      </c>
      <c r="FU25" s="59">
        <f t="shared" si="205"/>
        <v>0</v>
      </c>
      <c r="FV25" s="59">
        <f t="shared" si="205"/>
        <v>0</v>
      </c>
      <c r="FW25" s="59">
        <f t="shared" si="205"/>
        <v>0</v>
      </c>
      <c r="FX25" s="59">
        <f t="shared" si="205"/>
        <v>0</v>
      </c>
      <c r="FY25" s="59">
        <f t="shared" si="205"/>
        <v>0</v>
      </c>
      <c r="FZ25" s="59">
        <f t="shared" si="205"/>
        <v>0</v>
      </c>
      <c r="GA25" s="59">
        <f t="shared" si="205"/>
        <v>0</v>
      </c>
      <c r="GB25" s="59">
        <f t="shared" si="205"/>
        <v>0</v>
      </c>
      <c r="GC25" s="59">
        <f t="shared" si="205"/>
        <v>0</v>
      </c>
      <c r="GD25" s="59">
        <f t="shared" si="205"/>
        <v>0</v>
      </c>
      <c r="GE25" s="59">
        <f t="shared" si="205"/>
        <v>0</v>
      </c>
      <c r="GF25" s="59">
        <f t="shared" si="205"/>
        <v>0</v>
      </c>
      <c r="GG25" s="59">
        <f t="shared" si="205"/>
        <v>0</v>
      </c>
      <c r="GH25" s="59">
        <f t="shared" si="205"/>
        <v>0</v>
      </c>
      <c r="GI25" s="59">
        <f t="shared" si="205"/>
        <v>0</v>
      </c>
      <c r="GJ25" s="59">
        <f t="shared" si="205"/>
        <v>0</v>
      </c>
      <c r="GK25" s="59">
        <f t="shared" si="205"/>
        <v>0</v>
      </c>
      <c r="GL25" s="59">
        <f t="shared" si="205"/>
        <v>0</v>
      </c>
      <c r="GM25" s="59">
        <f t="shared" ref="GM25:IX25" si="206">IF(AND(GM16="Desacumulación",GN16="-"),ROUND(GM20+GM21+GM22-GM23+GM24,2),GM20+GM21+GM22-GM23+GM24)</f>
        <v>0</v>
      </c>
      <c r="GN25" s="59">
        <f t="shared" si="206"/>
        <v>0</v>
      </c>
      <c r="GO25" s="59">
        <f t="shared" si="206"/>
        <v>0</v>
      </c>
      <c r="GP25" s="59">
        <f t="shared" si="206"/>
        <v>0</v>
      </c>
      <c r="GQ25" s="59">
        <f t="shared" si="206"/>
        <v>0</v>
      </c>
      <c r="GR25" s="59">
        <f t="shared" si="206"/>
        <v>0</v>
      </c>
      <c r="GS25" s="59">
        <f t="shared" si="206"/>
        <v>0</v>
      </c>
      <c r="GT25" s="59">
        <f t="shared" si="206"/>
        <v>0</v>
      </c>
      <c r="GU25" s="59">
        <f t="shared" si="206"/>
        <v>0</v>
      </c>
      <c r="GV25" s="59">
        <f t="shared" si="206"/>
        <v>0</v>
      </c>
      <c r="GW25" s="59">
        <f t="shared" si="206"/>
        <v>0</v>
      </c>
      <c r="GX25" s="59">
        <f t="shared" si="206"/>
        <v>0</v>
      </c>
      <c r="GY25" s="59">
        <f t="shared" si="206"/>
        <v>0</v>
      </c>
      <c r="GZ25" s="59">
        <f t="shared" si="206"/>
        <v>0</v>
      </c>
      <c r="HA25" s="59">
        <f t="shared" si="206"/>
        <v>0</v>
      </c>
      <c r="HB25" s="59">
        <f t="shared" si="206"/>
        <v>0</v>
      </c>
      <c r="HC25" s="59">
        <f t="shared" si="206"/>
        <v>0</v>
      </c>
      <c r="HD25" s="59">
        <f t="shared" si="206"/>
        <v>0</v>
      </c>
      <c r="HE25" s="59">
        <f t="shared" si="206"/>
        <v>0</v>
      </c>
      <c r="HF25" s="59">
        <f t="shared" si="206"/>
        <v>0</v>
      </c>
      <c r="HG25" s="59">
        <f t="shared" si="206"/>
        <v>0</v>
      </c>
      <c r="HH25" s="59">
        <f t="shared" si="206"/>
        <v>0</v>
      </c>
      <c r="HI25" s="59">
        <f t="shared" si="206"/>
        <v>0</v>
      </c>
      <c r="HJ25" s="59">
        <f t="shared" si="206"/>
        <v>0</v>
      </c>
      <c r="HK25" s="59">
        <f t="shared" si="206"/>
        <v>0</v>
      </c>
      <c r="HL25" s="59">
        <f t="shared" si="206"/>
        <v>0</v>
      </c>
      <c r="HM25" s="59">
        <f t="shared" si="206"/>
        <v>0</v>
      </c>
      <c r="HN25" s="59">
        <f t="shared" si="206"/>
        <v>0</v>
      </c>
      <c r="HO25" s="59">
        <f t="shared" si="206"/>
        <v>0</v>
      </c>
      <c r="HP25" s="59">
        <f t="shared" si="206"/>
        <v>0</v>
      </c>
      <c r="HQ25" s="59">
        <f t="shared" si="206"/>
        <v>0</v>
      </c>
      <c r="HR25" s="59">
        <f t="shared" si="206"/>
        <v>0</v>
      </c>
      <c r="HS25" s="59">
        <f t="shared" si="206"/>
        <v>0</v>
      </c>
      <c r="HT25" s="59">
        <f t="shared" si="206"/>
        <v>0</v>
      </c>
      <c r="HU25" s="59">
        <f t="shared" si="206"/>
        <v>0</v>
      </c>
      <c r="HV25" s="59">
        <f t="shared" si="206"/>
        <v>0</v>
      </c>
      <c r="HW25" s="59">
        <f t="shared" si="206"/>
        <v>0</v>
      </c>
      <c r="HX25" s="59">
        <f t="shared" si="206"/>
        <v>0</v>
      </c>
      <c r="HY25" s="59">
        <f t="shared" si="206"/>
        <v>0</v>
      </c>
      <c r="HZ25" s="59">
        <f t="shared" si="206"/>
        <v>0</v>
      </c>
      <c r="IA25" s="59">
        <f t="shared" si="206"/>
        <v>0</v>
      </c>
      <c r="IB25" s="59">
        <f t="shared" si="206"/>
        <v>0</v>
      </c>
      <c r="IC25" s="59">
        <f t="shared" si="206"/>
        <v>0</v>
      </c>
      <c r="ID25" s="59">
        <f t="shared" si="206"/>
        <v>0</v>
      </c>
      <c r="IE25" s="59">
        <f t="shared" si="206"/>
        <v>0</v>
      </c>
      <c r="IF25" s="59">
        <f t="shared" si="206"/>
        <v>0</v>
      </c>
      <c r="IG25" s="59">
        <f t="shared" si="206"/>
        <v>0</v>
      </c>
      <c r="IH25" s="59">
        <f t="shared" si="206"/>
        <v>0</v>
      </c>
      <c r="II25" s="59">
        <f t="shared" si="206"/>
        <v>0</v>
      </c>
      <c r="IJ25" s="59">
        <f t="shared" si="206"/>
        <v>0</v>
      </c>
      <c r="IK25" s="59">
        <f t="shared" si="206"/>
        <v>0</v>
      </c>
      <c r="IL25" s="59">
        <f t="shared" si="206"/>
        <v>0</v>
      </c>
      <c r="IM25" s="59">
        <f t="shared" si="206"/>
        <v>0</v>
      </c>
      <c r="IN25" s="59">
        <f t="shared" si="206"/>
        <v>0</v>
      </c>
      <c r="IO25" s="59">
        <f t="shared" si="206"/>
        <v>0</v>
      </c>
      <c r="IP25" s="59">
        <f t="shared" si="206"/>
        <v>0</v>
      </c>
      <c r="IQ25" s="59">
        <f t="shared" si="206"/>
        <v>0</v>
      </c>
      <c r="IR25" s="59">
        <f t="shared" si="206"/>
        <v>0</v>
      </c>
      <c r="IS25" s="59">
        <f t="shared" si="206"/>
        <v>0</v>
      </c>
      <c r="IT25" s="59">
        <f t="shared" si="206"/>
        <v>0</v>
      </c>
      <c r="IU25" s="59">
        <f t="shared" si="206"/>
        <v>0</v>
      </c>
      <c r="IV25" s="59">
        <f t="shared" si="206"/>
        <v>0</v>
      </c>
      <c r="IW25" s="59">
        <f t="shared" si="206"/>
        <v>0</v>
      </c>
      <c r="IX25" s="59">
        <f t="shared" si="206"/>
        <v>0</v>
      </c>
      <c r="IY25" s="59">
        <f t="shared" ref="IY25:LJ25" si="207">IF(AND(IY16="Desacumulación",IZ16="-"),ROUND(IY20+IY21+IY22-IY23+IY24,2),IY20+IY21+IY22-IY23+IY24)</f>
        <v>0</v>
      </c>
      <c r="IZ25" s="59">
        <f t="shared" si="207"/>
        <v>0</v>
      </c>
      <c r="JA25" s="59">
        <f t="shared" si="207"/>
        <v>0</v>
      </c>
      <c r="JB25" s="59">
        <f t="shared" si="207"/>
        <v>0</v>
      </c>
      <c r="JC25" s="59">
        <f t="shared" si="207"/>
        <v>0</v>
      </c>
      <c r="JD25" s="59">
        <f t="shared" si="207"/>
        <v>0</v>
      </c>
      <c r="JE25" s="59">
        <f t="shared" si="207"/>
        <v>0</v>
      </c>
      <c r="JF25" s="59">
        <f t="shared" si="207"/>
        <v>0</v>
      </c>
      <c r="JG25" s="59">
        <f t="shared" si="207"/>
        <v>0</v>
      </c>
      <c r="JH25" s="59">
        <f t="shared" si="207"/>
        <v>0</v>
      </c>
      <c r="JI25" s="59">
        <f t="shared" si="207"/>
        <v>0</v>
      </c>
      <c r="JJ25" s="59">
        <f t="shared" si="207"/>
        <v>0</v>
      </c>
      <c r="JK25" s="59">
        <f t="shared" si="207"/>
        <v>0</v>
      </c>
      <c r="JL25" s="59">
        <f t="shared" si="207"/>
        <v>0</v>
      </c>
      <c r="JM25" s="59">
        <f t="shared" si="207"/>
        <v>0</v>
      </c>
      <c r="JN25" s="59">
        <f t="shared" si="207"/>
        <v>0</v>
      </c>
      <c r="JO25" s="59">
        <f t="shared" si="207"/>
        <v>0</v>
      </c>
      <c r="JP25" s="59">
        <f t="shared" si="207"/>
        <v>0</v>
      </c>
      <c r="JQ25" s="59">
        <f t="shared" si="207"/>
        <v>0</v>
      </c>
      <c r="JR25" s="59">
        <f t="shared" si="207"/>
        <v>0</v>
      </c>
      <c r="JS25" s="59">
        <f t="shared" si="207"/>
        <v>0</v>
      </c>
      <c r="JT25" s="59">
        <f t="shared" si="207"/>
        <v>0</v>
      </c>
      <c r="JU25" s="59">
        <f t="shared" si="207"/>
        <v>0</v>
      </c>
      <c r="JV25" s="59">
        <f t="shared" si="207"/>
        <v>0</v>
      </c>
      <c r="JW25" s="59">
        <f t="shared" si="207"/>
        <v>0</v>
      </c>
      <c r="JX25" s="59">
        <f t="shared" si="207"/>
        <v>0</v>
      </c>
      <c r="JY25" s="59">
        <f t="shared" si="207"/>
        <v>0</v>
      </c>
      <c r="JZ25" s="59">
        <f t="shared" si="207"/>
        <v>0</v>
      </c>
      <c r="KA25" s="59">
        <f t="shared" si="207"/>
        <v>0</v>
      </c>
      <c r="KB25" s="59">
        <f t="shared" si="207"/>
        <v>0</v>
      </c>
      <c r="KC25" s="59">
        <f t="shared" si="207"/>
        <v>0</v>
      </c>
      <c r="KD25" s="59">
        <f t="shared" si="207"/>
        <v>0</v>
      </c>
      <c r="KE25" s="59">
        <f t="shared" si="207"/>
        <v>0</v>
      </c>
      <c r="KF25" s="59">
        <f t="shared" si="207"/>
        <v>0</v>
      </c>
      <c r="KG25" s="59">
        <f t="shared" si="207"/>
        <v>0</v>
      </c>
      <c r="KH25" s="59">
        <f t="shared" si="207"/>
        <v>0</v>
      </c>
      <c r="KI25" s="59">
        <f t="shared" si="207"/>
        <v>0</v>
      </c>
      <c r="KJ25" s="59">
        <f t="shared" si="207"/>
        <v>0</v>
      </c>
      <c r="KK25" s="59">
        <f t="shared" si="207"/>
        <v>0</v>
      </c>
      <c r="KL25" s="59">
        <f t="shared" si="207"/>
        <v>0</v>
      </c>
      <c r="KM25" s="59">
        <f t="shared" si="207"/>
        <v>0</v>
      </c>
      <c r="KN25" s="59">
        <f t="shared" si="207"/>
        <v>0</v>
      </c>
      <c r="KO25" s="59">
        <f t="shared" si="207"/>
        <v>0</v>
      </c>
      <c r="KP25" s="59">
        <f t="shared" si="207"/>
        <v>0</v>
      </c>
      <c r="KQ25" s="59">
        <f t="shared" si="207"/>
        <v>0</v>
      </c>
      <c r="KR25" s="59">
        <f t="shared" si="207"/>
        <v>0</v>
      </c>
      <c r="KS25" s="59">
        <f t="shared" si="207"/>
        <v>0</v>
      </c>
      <c r="KT25" s="59">
        <f t="shared" si="207"/>
        <v>0</v>
      </c>
      <c r="KU25" s="59">
        <f t="shared" si="207"/>
        <v>0</v>
      </c>
      <c r="KV25" s="59">
        <f t="shared" si="207"/>
        <v>0</v>
      </c>
      <c r="KW25" s="59">
        <f t="shared" si="207"/>
        <v>0</v>
      </c>
      <c r="KX25" s="59">
        <f t="shared" si="207"/>
        <v>0</v>
      </c>
      <c r="KY25" s="59">
        <f t="shared" si="207"/>
        <v>0</v>
      </c>
      <c r="KZ25" s="59">
        <f t="shared" si="207"/>
        <v>0</v>
      </c>
      <c r="LA25" s="59">
        <f t="shared" si="207"/>
        <v>0</v>
      </c>
      <c r="LB25" s="59">
        <f t="shared" si="207"/>
        <v>0</v>
      </c>
      <c r="LC25" s="59">
        <f t="shared" si="207"/>
        <v>0</v>
      </c>
      <c r="LD25" s="59">
        <f t="shared" si="207"/>
        <v>0</v>
      </c>
      <c r="LE25" s="59">
        <f t="shared" si="207"/>
        <v>0</v>
      </c>
      <c r="LF25" s="59">
        <f t="shared" si="207"/>
        <v>0</v>
      </c>
      <c r="LG25" s="59">
        <f t="shared" si="207"/>
        <v>0</v>
      </c>
      <c r="LH25" s="59">
        <f t="shared" si="207"/>
        <v>0</v>
      </c>
      <c r="LI25" s="59">
        <f t="shared" si="207"/>
        <v>0</v>
      </c>
      <c r="LJ25" s="59">
        <f t="shared" si="207"/>
        <v>0</v>
      </c>
      <c r="LK25" s="59">
        <f t="shared" ref="LK25:NV25" si="208">IF(AND(LK16="Desacumulación",LL16="-"),ROUND(LK20+LK21+LK22-LK23+LK24,2),LK20+LK21+LK22-LK23+LK24)</f>
        <v>0</v>
      </c>
      <c r="LL25" s="59">
        <f t="shared" si="208"/>
        <v>0</v>
      </c>
      <c r="LM25" s="59">
        <f t="shared" si="208"/>
        <v>0</v>
      </c>
      <c r="LN25" s="59">
        <f t="shared" si="208"/>
        <v>0</v>
      </c>
      <c r="LO25" s="59">
        <f t="shared" si="208"/>
        <v>0</v>
      </c>
      <c r="LP25" s="59">
        <f t="shared" si="208"/>
        <v>0</v>
      </c>
      <c r="LQ25" s="59">
        <f t="shared" si="208"/>
        <v>0</v>
      </c>
      <c r="LR25" s="59">
        <f t="shared" si="208"/>
        <v>0</v>
      </c>
      <c r="LS25" s="59">
        <f t="shared" si="208"/>
        <v>0</v>
      </c>
      <c r="LT25" s="59">
        <f t="shared" si="208"/>
        <v>0</v>
      </c>
      <c r="LU25" s="59">
        <f t="shared" si="208"/>
        <v>0</v>
      </c>
      <c r="LV25" s="59">
        <f t="shared" si="208"/>
        <v>0</v>
      </c>
      <c r="LW25" s="59">
        <f t="shared" si="208"/>
        <v>0</v>
      </c>
      <c r="LX25" s="59">
        <f t="shared" si="208"/>
        <v>0</v>
      </c>
      <c r="LY25" s="59">
        <f t="shared" si="208"/>
        <v>0</v>
      </c>
      <c r="LZ25" s="59">
        <f t="shared" si="208"/>
        <v>0</v>
      </c>
      <c r="MA25" s="59">
        <f t="shared" si="208"/>
        <v>0</v>
      </c>
      <c r="MB25" s="59">
        <f t="shared" si="208"/>
        <v>0</v>
      </c>
      <c r="MC25" s="59">
        <f t="shared" si="208"/>
        <v>0</v>
      </c>
      <c r="MD25" s="59">
        <f t="shared" si="208"/>
        <v>0</v>
      </c>
      <c r="ME25" s="59">
        <f t="shared" si="208"/>
        <v>0</v>
      </c>
      <c r="MF25" s="59">
        <f t="shared" si="208"/>
        <v>0</v>
      </c>
      <c r="MG25" s="59">
        <f t="shared" si="208"/>
        <v>0</v>
      </c>
      <c r="MH25" s="59">
        <f t="shared" si="208"/>
        <v>0</v>
      </c>
      <c r="MI25" s="59">
        <f t="shared" si="208"/>
        <v>0</v>
      </c>
      <c r="MJ25" s="59">
        <f t="shared" si="208"/>
        <v>0</v>
      </c>
      <c r="MK25" s="59">
        <f t="shared" si="208"/>
        <v>0</v>
      </c>
      <c r="ML25" s="59">
        <f t="shared" si="208"/>
        <v>0</v>
      </c>
      <c r="MM25" s="59">
        <f t="shared" si="208"/>
        <v>0</v>
      </c>
      <c r="MN25" s="59">
        <f t="shared" si="208"/>
        <v>0</v>
      </c>
      <c r="MO25" s="59">
        <f t="shared" si="208"/>
        <v>0</v>
      </c>
      <c r="MP25" s="59">
        <f t="shared" si="208"/>
        <v>0</v>
      </c>
      <c r="MQ25" s="59">
        <f t="shared" si="208"/>
        <v>0</v>
      </c>
      <c r="MR25" s="59">
        <f t="shared" si="208"/>
        <v>0</v>
      </c>
      <c r="MS25" s="59">
        <f t="shared" si="208"/>
        <v>0</v>
      </c>
      <c r="MT25" s="59">
        <f t="shared" si="208"/>
        <v>0</v>
      </c>
      <c r="MU25" s="59">
        <f t="shared" si="208"/>
        <v>0</v>
      </c>
      <c r="MV25" s="59">
        <f t="shared" si="208"/>
        <v>0</v>
      </c>
      <c r="MW25" s="59">
        <f t="shared" si="208"/>
        <v>0</v>
      </c>
      <c r="MX25" s="59">
        <f t="shared" si="208"/>
        <v>0</v>
      </c>
      <c r="MY25" s="59">
        <f t="shared" si="208"/>
        <v>0</v>
      </c>
      <c r="MZ25" s="59">
        <f t="shared" si="208"/>
        <v>0</v>
      </c>
      <c r="NA25" s="59">
        <f t="shared" si="208"/>
        <v>0</v>
      </c>
      <c r="NB25" s="59">
        <f t="shared" si="208"/>
        <v>0</v>
      </c>
      <c r="NC25" s="59">
        <f t="shared" si="208"/>
        <v>0</v>
      </c>
      <c r="ND25" s="59">
        <f t="shared" si="208"/>
        <v>0</v>
      </c>
      <c r="NE25" s="59">
        <f t="shared" si="208"/>
        <v>0</v>
      </c>
      <c r="NF25" s="59">
        <f t="shared" si="208"/>
        <v>0</v>
      </c>
      <c r="NG25" s="59">
        <f t="shared" si="208"/>
        <v>0</v>
      </c>
      <c r="NH25" s="59">
        <f t="shared" si="208"/>
        <v>0</v>
      </c>
      <c r="NI25" s="59">
        <f t="shared" si="208"/>
        <v>0</v>
      </c>
      <c r="NJ25" s="59">
        <f t="shared" si="208"/>
        <v>0</v>
      </c>
      <c r="NK25" s="59">
        <f t="shared" si="208"/>
        <v>0</v>
      </c>
      <c r="NL25" s="59">
        <f t="shared" si="208"/>
        <v>0</v>
      </c>
      <c r="NM25" s="59">
        <f t="shared" si="208"/>
        <v>0</v>
      </c>
      <c r="NN25" s="59">
        <f t="shared" si="208"/>
        <v>0</v>
      </c>
      <c r="NO25" s="59">
        <f t="shared" si="208"/>
        <v>0</v>
      </c>
      <c r="NP25" s="59">
        <f t="shared" si="208"/>
        <v>0</v>
      </c>
      <c r="NQ25" s="59">
        <f t="shared" si="208"/>
        <v>0</v>
      </c>
      <c r="NR25" s="59">
        <f t="shared" si="208"/>
        <v>0</v>
      </c>
      <c r="NS25" s="59">
        <f t="shared" si="208"/>
        <v>0</v>
      </c>
      <c r="NT25" s="59">
        <f t="shared" si="208"/>
        <v>0</v>
      </c>
      <c r="NU25" s="59">
        <f t="shared" si="208"/>
        <v>0</v>
      </c>
      <c r="NV25" s="59">
        <f t="shared" si="208"/>
        <v>0</v>
      </c>
      <c r="NW25" s="59">
        <f t="shared" ref="NW25:QH25" si="209">IF(AND(NW16="Desacumulación",NX16="-"),ROUND(NW20+NW21+NW22-NW23+NW24,2),NW20+NW21+NW22-NW23+NW24)</f>
        <v>0</v>
      </c>
      <c r="NX25" s="59">
        <f t="shared" si="209"/>
        <v>0</v>
      </c>
      <c r="NY25" s="59">
        <f t="shared" si="209"/>
        <v>0</v>
      </c>
      <c r="NZ25" s="59">
        <f t="shared" si="209"/>
        <v>0</v>
      </c>
      <c r="OA25" s="59">
        <f t="shared" si="209"/>
        <v>0</v>
      </c>
      <c r="OB25" s="59">
        <f t="shared" si="209"/>
        <v>0</v>
      </c>
      <c r="OC25" s="59">
        <f t="shared" si="209"/>
        <v>0</v>
      </c>
      <c r="OD25" s="59">
        <f t="shared" si="209"/>
        <v>0</v>
      </c>
      <c r="OE25" s="59">
        <f t="shared" si="209"/>
        <v>0</v>
      </c>
      <c r="OF25" s="59">
        <f t="shared" si="209"/>
        <v>0</v>
      </c>
      <c r="OG25" s="59">
        <f t="shared" si="209"/>
        <v>0</v>
      </c>
      <c r="OH25" s="59">
        <f t="shared" si="209"/>
        <v>0</v>
      </c>
      <c r="OI25" s="59">
        <f t="shared" si="209"/>
        <v>0</v>
      </c>
      <c r="OJ25" s="59">
        <f t="shared" si="209"/>
        <v>0</v>
      </c>
      <c r="OK25" s="59">
        <f t="shared" si="209"/>
        <v>0</v>
      </c>
      <c r="OL25" s="59">
        <f t="shared" si="209"/>
        <v>0</v>
      </c>
      <c r="OM25" s="59">
        <f t="shared" si="209"/>
        <v>0</v>
      </c>
      <c r="ON25" s="59">
        <f t="shared" si="209"/>
        <v>0</v>
      </c>
      <c r="OO25" s="59">
        <f t="shared" si="209"/>
        <v>0</v>
      </c>
      <c r="OP25" s="59">
        <f t="shared" si="209"/>
        <v>0</v>
      </c>
      <c r="OQ25" s="59">
        <f t="shared" si="209"/>
        <v>0</v>
      </c>
      <c r="OR25" s="59">
        <f t="shared" si="209"/>
        <v>0</v>
      </c>
      <c r="OS25" s="59">
        <f t="shared" si="209"/>
        <v>0</v>
      </c>
      <c r="OT25" s="59">
        <f t="shared" si="209"/>
        <v>0</v>
      </c>
      <c r="OU25" s="59">
        <f t="shared" si="209"/>
        <v>0</v>
      </c>
      <c r="OV25" s="59">
        <f t="shared" si="209"/>
        <v>0</v>
      </c>
      <c r="OW25" s="59">
        <f t="shared" si="209"/>
        <v>0</v>
      </c>
      <c r="OX25" s="59">
        <f t="shared" si="209"/>
        <v>0</v>
      </c>
      <c r="OY25" s="59">
        <f t="shared" si="209"/>
        <v>0</v>
      </c>
      <c r="OZ25" s="59">
        <f t="shared" si="209"/>
        <v>0</v>
      </c>
      <c r="PA25" s="59">
        <f t="shared" si="209"/>
        <v>0</v>
      </c>
      <c r="PB25" s="59">
        <f t="shared" si="209"/>
        <v>0</v>
      </c>
      <c r="PC25" s="59">
        <f t="shared" si="209"/>
        <v>0</v>
      </c>
      <c r="PD25" s="59">
        <f t="shared" si="209"/>
        <v>0</v>
      </c>
      <c r="PE25" s="59">
        <f t="shared" si="209"/>
        <v>0</v>
      </c>
      <c r="PF25" s="59">
        <f t="shared" si="209"/>
        <v>0</v>
      </c>
      <c r="PG25" s="59">
        <f t="shared" si="209"/>
        <v>0</v>
      </c>
      <c r="PH25" s="59">
        <f t="shared" si="209"/>
        <v>0</v>
      </c>
      <c r="PI25" s="59">
        <f t="shared" si="209"/>
        <v>0</v>
      </c>
      <c r="PJ25" s="59">
        <f t="shared" si="209"/>
        <v>0</v>
      </c>
      <c r="PK25" s="59">
        <f t="shared" si="209"/>
        <v>0</v>
      </c>
      <c r="PL25" s="59">
        <f t="shared" si="209"/>
        <v>0</v>
      </c>
      <c r="PM25" s="59">
        <f t="shared" si="209"/>
        <v>0</v>
      </c>
      <c r="PN25" s="59">
        <f t="shared" si="209"/>
        <v>0</v>
      </c>
      <c r="PO25" s="59">
        <f t="shared" si="209"/>
        <v>0</v>
      </c>
      <c r="PP25" s="59">
        <f t="shared" si="209"/>
        <v>0</v>
      </c>
      <c r="PQ25" s="59">
        <f t="shared" si="209"/>
        <v>0</v>
      </c>
      <c r="PR25" s="59">
        <f t="shared" si="209"/>
        <v>0</v>
      </c>
      <c r="PS25" s="59">
        <f t="shared" si="209"/>
        <v>0</v>
      </c>
      <c r="PT25" s="59">
        <f t="shared" si="209"/>
        <v>0</v>
      </c>
      <c r="PU25" s="59">
        <f t="shared" si="209"/>
        <v>0</v>
      </c>
      <c r="PV25" s="59">
        <f t="shared" si="209"/>
        <v>0</v>
      </c>
      <c r="PW25" s="59">
        <f t="shared" si="209"/>
        <v>0</v>
      </c>
      <c r="PX25" s="59">
        <f t="shared" si="209"/>
        <v>0</v>
      </c>
      <c r="PY25" s="59">
        <f t="shared" si="209"/>
        <v>0</v>
      </c>
      <c r="PZ25" s="59">
        <f t="shared" si="209"/>
        <v>0</v>
      </c>
      <c r="QA25" s="59">
        <f t="shared" si="209"/>
        <v>0</v>
      </c>
      <c r="QB25" s="59">
        <f t="shared" si="209"/>
        <v>0</v>
      </c>
      <c r="QC25" s="59">
        <f t="shared" si="209"/>
        <v>0</v>
      </c>
      <c r="QD25" s="59">
        <f t="shared" si="209"/>
        <v>0</v>
      </c>
      <c r="QE25" s="59">
        <f t="shared" si="209"/>
        <v>0</v>
      </c>
      <c r="QF25" s="59">
        <f t="shared" si="209"/>
        <v>0</v>
      </c>
      <c r="QG25" s="59">
        <f t="shared" si="209"/>
        <v>0</v>
      </c>
      <c r="QH25" s="59">
        <f t="shared" si="209"/>
        <v>0</v>
      </c>
      <c r="QI25" s="59">
        <f t="shared" ref="QI25:ST25" si="210">IF(AND(QI16="Desacumulación",QJ16="-"),ROUND(QI20+QI21+QI22-QI23+QI24,2),QI20+QI21+QI22-QI23+QI24)</f>
        <v>0</v>
      </c>
      <c r="QJ25" s="59">
        <f t="shared" si="210"/>
        <v>0</v>
      </c>
      <c r="QK25" s="59">
        <f t="shared" si="210"/>
        <v>0</v>
      </c>
      <c r="QL25" s="59">
        <f t="shared" si="210"/>
        <v>0</v>
      </c>
      <c r="QM25" s="59">
        <f t="shared" si="210"/>
        <v>0</v>
      </c>
      <c r="QN25" s="59">
        <f t="shared" si="210"/>
        <v>0</v>
      </c>
      <c r="QO25" s="59">
        <f t="shared" si="210"/>
        <v>0</v>
      </c>
      <c r="QP25" s="59">
        <f t="shared" si="210"/>
        <v>0</v>
      </c>
      <c r="QQ25" s="59">
        <f t="shared" si="210"/>
        <v>0</v>
      </c>
      <c r="QR25" s="59">
        <f t="shared" si="210"/>
        <v>0</v>
      </c>
      <c r="QS25" s="59">
        <f t="shared" si="210"/>
        <v>0</v>
      </c>
      <c r="QT25" s="59">
        <f t="shared" si="210"/>
        <v>0</v>
      </c>
      <c r="QU25" s="59">
        <f t="shared" si="210"/>
        <v>0</v>
      </c>
      <c r="QV25" s="59">
        <f t="shared" si="210"/>
        <v>0</v>
      </c>
      <c r="QW25" s="59">
        <f t="shared" si="210"/>
        <v>0</v>
      </c>
      <c r="QX25" s="59">
        <f t="shared" si="210"/>
        <v>0</v>
      </c>
      <c r="QY25" s="59">
        <f t="shared" si="210"/>
        <v>0</v>
      </c>
      <c r="QZ25" s="59">
        <f t="shared" si="210"/>
        <v>0</v>
      </c>
      <c r="RA25" s="59">
        <f t="shared" si="210"/>
        <v>0</v>
      </c>
      <c r="RB25" s="59">
        <f t="shared" si="210"/>
        <v>0</v>
      </c>
      <c r="RC25" s="59">
        <f t="shared" si="210"/>
        <v>0</v>
      </c>
      <c r="RD25" s="59">
        <f t="shared" si="210"/>
        <v>0</v>
      </c>
      <c r="RE25" s="59">
        <f t="shared" si="210"/>
        <v>0</v>
      </c>
      <c r="RF25" s="59">
        <f t="shared" si="210"/>
        <v>0</v>
      </c>
      <c r="RG25" s="59">
        <f t="shared" si="210"/>
        <v>0</v>
      </c>
      <c r="RH25" s="59">
        <f t="shared" si="210"/>
        <v>0</v>
      </c>
      <c r="RI25" s="59">
        <f t="shared" si="210"/>
        <v>0</v>
      </c>
      <c r="RJ25" s="59">
        <f t="shared" si="210"/>
        <v>0</v>
      </c>
      <c r="RK25" s="59">
        <f t="shared" si="210"/>
        <v>0</v>
      </c>
      <c r="RL25" s="59">
        <f t="shared" si="210"/>
        <v>0</v>
      </c>
      <c r="RM25" s="59">
        <f t="shared" si="210"/>
        <v>0</v>
      </c>
      <c r="RN25" s="59">
        <f t="shared" si="210"/>
        <v>0</v>
      </c>
      <c r="RO25" s="59">
        <f t="shared" si="210"/>
        <v>0</v>
      </c>
      <c r="RP25" s="59">
        <f t="shared" si="210"/>
        <v>0</v>
      </c>
      <c r="RQ25" s="59">
        <f t="shared" si="210"/>
        <v>0</v>
      </c>
      <c r="RR25" s="59">
        <f t="shared" si="210"/>
        <v>0</v>
      </c>
      <c r="RS25" s="59">
        <f t="shared" si="210"/>
        <v>0</v>
      </c>
      <c r="RT25" s="59">
        <f t="shared" si="210"/>
        <v>0</v>
      </c>
      <c r="RU25" s="59">
        <f t="shared" si="210"/>
        <v>0</v>
      </c>
      <c r="RV25" s="59">
        <f t="shared" si="210"/>
        <v>0</v>
      </c>
      <c r="RW25" s="59">
        <f t="shared" si="210"/>
        <v>0</v>
      </c>
      <c r="RX25" s="59">
        <f t="shared" si="210"/>
        <v>0</v>
      </c>
      <c r="RY25" s="59">
        <f t="shared" si="210"/>
        <v>0</v>
      </c>
      <c r="RZ25" s="59">
        <f t="shared" si="210"/>
        <v>0</v>
      </c>
      <c r="SA25" s="59">
        <f t="shared" si="210"/>
        <v>0</v>
      </c>
      <c r="SB25" s="59">
        <f t="shared" si="210"/>
        <v>0</v>
      </c>
      <c r="SC25" s="59">
        <f t="shared" si="210"/>
        <v>0</v>
      </c>
      <c r="SD25" s="59">
        <f t="shared" si="210"/>
        <v>0</v>
      </c>
      <c r="SE25" s="59">
        <f t="shared" si="210"/>
        <v>0</v>
      </c>
      <c r="SF25" s="59">
        <f t="shared" si="210"/>
        <v>0</v>
      </c>
      <c r="SG25" s="59">
        <f t="shared" si="210"/>
        <v>0</v>
      </c>
      <c r="SH25" s="59">
        <f t="shared" si="210"/>
        <v>0</v>
      </c>
      <c r="SI25" s="59">
        <f t="shared" si="210"/>
        <v>0</v>
      </c>
      <c r="SJ25" s="59">
        <f t="shared" si="210"/>
        <v>0</v>
      </c>
      <c r="SK25" s="59">
        <f t="shared" si="210"/>
        <v>0</v>
      </c>
      <c r="SL25" s="59">
        <f t="shared" si="210"/>
        <v>0</v>
      </c>
      <c r="SM25" s="59">
        <f t="shared" si="210"/>
        <v>0</v>
      </c>
      <c r="SN25" s="59">
        <f t="shared" si="210"/>
        <v>0</v>
      </c>
      <c r="SO25" s="59">
        <f t="shared" si="210"/>
        <v>0</v>
      </c>
      <c r="SP25" s="59">
        <f t="shared" si="210"/>
        <v>0</v>
      </c>
      <c r="SQ25" s="59">
        <f t="shared" si="210"/>
        <v>0</v>
      </c>
      <c r="SR25" s="59">
        <f t="shared" si="210"/>
        <v>0</v>
      </c>
      <c r="SS25" s="59">
        <f t="shared" si="210"/>
        <v>0</v>
      </c>
      <c r="ST25" s="59">
        <f t="shared" si="210"/>
        <v>0</v>
      </c>
      <c r="SU25" s="59">
        <f t="shared" ref="SU25:VF25" si="211">IF(AND(SU16="Desacumulación",SV16="-"),ROUND(SU20+SU21+SU22-SU23+SU24,2),SU20+SU21+SU22-SU23+SU24)</f>
        <v>0</v>
      </c>
      <c r="SV25" s="59">
        <f t="shared" si="211"/>
        <v>0</v>
      </c>
      <c r="SW25" s="59">
        <f t="shared" si="211"/>
        <v>0</v>
      </c>
      <c r="SX25" s="59">
        <f t="shared" si="211"/>
        <v>0</v>
      </c>
      <c r="SY25" s="59">
        <f t="shared" si="211"/>
        <v>0</v>
      </c>
      <c r="SZ25" s="59">
        <f t="shared" si="211"/>
        <v>0</v>
      </c>
      <c r="TA25" s="59">
        <f t="shared" si="211"/>
        <v>0</v>
      </c>
      <c r="TB25" s="59">
        <f t="shared" si="211"/>
        <v>0</v>
      </c>
      <c r="TC25" s="59">
        <f t="shared" si="211"/>
        <v>0</v>
      </c>
      <c r="TD25" s="59">
        <f t="shared" si="211"/>
        <v>0</v>
      </c>
      <c r="TE25" s="59">
        <f t="shared" si="211"/>
        <v>0</v>
      </c>
      <c r="TF25" s="59">
        <f t="shared" si="211"/>
        <v>0</v>
      </c>
      <c r="TG25" s="59">
        <f t="shared" si="211"/>
        <v>0</v>
      </c>
      <c r="TH25" s="59">
        <f t="shared" si="211"/>
        <v>0</v>
      </c>
      <c r="TI25" s="59">
        <f t="shared" si="211"/>
        <v>0</v>
      </c>
      <c r="TJ25" s="59">
        <f t="shared" si="211"/>
        <v>0</v>
      </c>
      <c r="TK25" s="59">
        <f t="shared" si="211"/>
        <v>0</v>
      </c>
      <c r="TL25" s="59">
        <f t="shared" si="211"/>
        <v>0</v>
      </c>
      <c r="TM25" s="59">
        <f t="shared" si="211"/>
        <v>0</v>
      </c>
      <c r="TN25" s="59">
        <f t="shared" si="211"/>
        <v>0</v>
      </c>
      <c r="TO25" s="59">
        <f t="shared" si="211"/>
        <v>0</v>
      </c>
      <c r="TP25" s="59">
        <f t="shared" si="211"/>
        <v>0</v>
      </c>
      <c r="TQ25" s="59">
        <f t="shared" si="211"/>
        <v>0</v>
      </c>
      <c r="TR25" s="59">
        <f t="shared" si="211"/>
        <v>0</v>
      </c>
      <c r="TS25" s="59">
        <f t="shared" si="211"/>
        <v>0</v>
      </c>
      <c r="TT25" s="59">
        <f t="shared" si="211"/>
        <v>0</v>
      </c>
      <c r="TU25" s="59">
        <f t="shared" si="211"/>
        <v>0</v>
      </c>
      <c r="TV25" s="59">
        <f t="shared" si="211"/>
        <v>0</v>
      </c>
      <c r="TW25" s="59">
        <f t="shared" si="211"/>
        <v>0</v>
      </c>
      <c r="TX25" s="59">
        <f t="shared" si="211"/>
        <v>0</v>
      </c>
      <c r="TY25" s="59">
        <f t="shared" si="211"/>
        <v>0</v>
      </c>
      <c r="TZ25" s="59">
        <f t="shared" si="211"/>
        <v>0</v>
      </c>
      <c r="UA25" s="59">
        <f t="shared" si="211"/>
        <v>0</v>
      </c>
      <c r="UB25" s="59">
        <f t="shared" si="211"/>
        <v>0</v>
      </c>
      <c r="UC25" s="59">
        <f t="shared" si="211"/>
        <v>0</v>
      </c>
      <c r="UD25" s="59">
        <f t="shared" si="211"/>
        <v>0</v>
      </c>
      <c r="UE25" s="59">
        <f t="shared" si="211"/>
        <v>0</v>
      </c>
      <c r="UF25" s="59">
        <f t="shared" si="211"/>
        <v>0</v>
      </c>
      <c r="UG25" s="59">
        <f t="shared" si="211"/>
        <v>0</v>
      </c>
      <c r="UH25" s="59">
        <f t="shared" si="211"/>
        <v>0</v>
      </c>
      <c r="UI25" s="59">
        <f t="shared" si="211"/>
        <v>0</v>
      </c>
      <c r="UJ25" s="59">
        <f t="shared" si="211"/>
        <v>0</v>
      </c>
      <c r="UK25" s="59">
        <f t="shared" si="211"/>
        <v>0</v>
      </c>
      <c r="UL25" s="59">
        <f t="shared" si="211"/>
        <v>0</v>
      </c>
      <c r="UM25" s="59">
        <f t="shared" si="211"/>
        <v>0</v>
      </c>
      <c r="UN25" s="59">
        <f t="shared" si="211"/>
        <v>0</v>
      </c>
      <c r="UO25" s="59">
        <f t="shared" si="211"/>
        <v>0</v>
      </c>
      <c r="UP25" s="59">
        <f t="shared" si="211"/>
        <v>0</v>
      </c>
      <c r="UQ25" s="59">
        <f t="shared" si="211"/>
        <v>0</v>
      </c>
      <c r="UR25" s="59">
        <f t="shared" si="211"/>
        <v>0</v>
      </c>
      <c r="US25" s="59">
        <f t="shared" si="211"/>
        <v>0</v>
      </c>
      <c r="UT25" s="59">
        <f t="shared" si="211"/>
        <v>0</v>
      </c>
      <c r="UU25" s="59">
        <f t="shared" si="211"/>
        <v>0</v>
      </c>
      <c r="UV25" s="59">
        <f t="shared" si="211"/>
        <v>0</v>
      </c>
      <c r="UW25" s="59">
        <f t="shared" si="211"/>
        <v>0</v>
      </c>
      <c r="UX25" s="59">
        <f t="shared" si="211"/>
        <v>0</v>
      </c>
      <c r="UY25" s="59">
        <f t="shared" si="211"/>
        <v>0</v>
      </c>
      <c r="UZ25" s="59">
        <f t="shared" si="211"/>
        <v>0</v>
      </c>
      <c r="VA25" s="59">
        <f t="shared" si="211"/>
        <v>0</v>
      </c>
      <c r="VB25" s="59">
        <f t="shared" si="211"/>
        <v>0</v>
      </c>
      <c r="VC25" s="59">
        <f t="shared" si="211"/>
        <v>0</v>
      </c>
      <c r="VD25" s="59">
        <f t="shared" si="211"/>
        <v>0</v>
      </c>
      <c r="VE25" s="59">
        <f t="shared" si="211"/>
        <v>0</v>
      </c>
      <c r="VF25" s="59">
        <f t="shared" si="211"/>
        <v>0</v>
      </c>
      <c r="VG25" s="59">
        <f t="shared" ref="VG25:XR25" si="212">IF(AND(VG16="Desacumulación",VH16="-"),ROUND(VG20+VG21+VG22-VG23+VG24,2),VG20+VG21+VG22-VG23+VG24)</f>
        <v>0</v>
      </c>
      <c r="VH25" s="59">
        <f t="shared" si="212"/>
        <v>0</v>
      </c>
      <c r="VI25" s="59">
        <f t="shared" si="212"/>
        <v>0</v>
      </c>
      <c r="VJ25" s="59">
        <f t="shared" si="212"/>
        <v>0</v>
      </c>
      <c r="VK25" s="59">
        <f t="shared" si="212"/>
        <v>0</v>
      </c>
      <c r="VL25" s="59">
        <f t="shared" si="212"/>
        <v>0</v>
      </c>
      <c r="VM25" s="59">
        <f t="shared" si="212"/>
        <v>0</v>
      </c>
      <c r="VN25" s="59">
        <f t="shared" si="212"/>
        <v>0</v>
      </c>
      <c r="VO25" s="59">
        <f t="shared" si="212"/>
        <v>0</v>
      </c>
      <c r="VP25" s="59">
        <f t="shared" si="212"/>
        <v>0</v>
      </c>
      <c r="VQ25" s="59">
        <f t="shared" si="212"/>
        <v>0</v>
      </c>
      <c r="VR25" s="59">
        <f t="shared" si="212"/>
        <v>0</v>
      </c>
      <c r="VS25" s="59">
        <f t="shared" si="212"/>
        <v>2301916.6666666665</v>
      </c>
      <c r="VT25" s="59">
        <f t="shared" si="212"/>
        <v>2303834.9305555555</v>
      </c>
      <c r="VU25" s="59">
        <f t="shared" si="212"/>
        <v>2305754.7929976853</v>
      </c>
      <c r="VV25" s="59">
        <f t="shared" si="212"/>
        <v>2307676.2553251833</v>
      </c>
      <c r="VW25" s="59">
        <f t="shared" si="212"/>
        <v>2309599.3188712876</v>
      </c>
      <c r="VX25" s="59">
        <f t="shared" si="212"/>
        <v>2311523.984970347</v>
      </c>
      <c r="VY25" s="59">
        <f t="shared" si="212"/>
        <v>2313450.2549578222</v>
      </c>
      <c r="VZ25" s="59">
        <f t="shared" si="212"/>
        <v>2315378.1301702871</v>
      </c>
      <c r="WA25" s="59">
        <f t="shared" si="212"/>
        <v>2317307.6119454289</v>
      </c>
      <c r="WB25" s="59">
        <f t="shared" si="212"/>
        <v>2319238.7016220503</v>
      </c>
      <c r="WC25" s="59">
        <f t="shared" si="212"/>
        <v>2321171.4005400687</v>
      </c>
      <c r="WD25" s="59">
        <f t="shared" si="212"/>
        <v>2323105.710040519</v>
      </c>
      <c r="WE25" s="59">
        <f t="shared" si="212"/>
        <v>2325041.6314655528</v>
      </c>
      <c r="WF25" s="59">
        <f t="shared" si="212"/>
        <v>2326979.166158441</v>
      </c>
      <c r="WG25" s="59">
        <f t="shared" si="212"/>
        <v>2328918.3154635732</v>
      </c>
      <c r="WH25" s="59">
        <f t="shared" si="212"/>
        <v>2330859.0807264596</v>
      </c>
      <c r="WI25" s="59">
        <f t="shared" si="212"/>
        <v>2332801.4632937317</v>
      </c>
      <c r="WJ25" s="59">
        <f t="shared" si="212"/>
        <v>2334745.4645131431</v>
      </c>
      <c r="WK25" s="59">
        <f t="shared" si="212"/>
        <v>2336691.0857335706</v>
      </c>
      <c r="WL25" s="59">
        <f t="shared" si="212"/>
        <v>2338638.3283050153</v>
      </c>
      <c r="WM25" s="59">
        <f t="shared" si="212"/>
        <v>2340587.1935786027</v>
      </c>
      <c r="WN25" s="59">
        <f t="shared" si="212"/>
        <v>2342537.6829065848</v>
      </c>
      <c r="WO25" s="59">
        <f t="shared" si="212"/>
        <v>2344489.7976423404</v>
      </c>
      <c r="WP25" s="59">
        <f t="shared" si="212"/>
        <v>2346443.5391403758</v>
      </c>
      <c r="WQ25" s="59">
        <f t="shared" si="212"/>
        <v>2348398.908756326</v>
      </c>
      <c r="WR25" s="59">
        <f t="shared" si="212"/>
        <v>2350355.907846956</v>
      </c>
      <c r="WS25" s="59">
        <f t="shared" si="212"/>
        <v>2352314.5377701619</v>
      </c>
      <c r="WT25" s="59">
        <f t="shared" si="212"/>
        <v>2354274.7998849703</v>
      </c>
      <c r="WU25" s="59">
        <f t="shared" si="212"/>
        <v>2356236.6955515412</v>
      </c>
      <c r="WV25" s="59">
        <f t="shared" si="212"/>
        <v>2358200.2261311673</v>
      </c>
      <c r="WW25" s="59">
        <f t="shared" si="212"/>
        <v>2360165.3929862767</v>
      </c>
      <c r="WX25" s="59">
        <f t="shared" si="212"/>
        <v>2362132.1974804318</v>
      </c>
      <c r="WY25" s="59">
        <f t="shared" si="212"/>
        <v>2364100.6409783321</v>
      </c>
      <c r="WZ25" s="59">
        <f t="shared" si="212"/>
        <v>2366070.7248458141</v>
      </c>
      <c r="XA25" s="59">
        <f t="shared" si="212"/>
        <v>2368042.4504498523</v>
      </c>
      <c r="XB25" s="59">
        <f t="shared" si="212"/>
        <v>2370015.8191585606</v>
      </c>
      <c r="XC25" s="59">
        <f t="shared" si="212"/>
        <v>2371990.8323411928</v>
      </c>
      <c r="XD25" s="59">
        <f t="shared" si="212"/>
        <v>2373967.4913681438</v>
      </c>
      <c r="XE25" s="59">
        <f t="shared" si="212"/>
        <v>2375945.7976109507</v>
      </c>
      <c r="XF25" s="59">
        <f t="shared" si="212"/>
        <v>2377925.7524422933</v>
      </c>
      <c r="XG25" s="59">
        <f t="shared" si="212"/>
        <v>2379907.3572359951</v>
      </c>
      <c r="XH25" s="59">
        <f t="shared" si="212"/>
        <v>2381890.6133670253</v>
      </c>
      <c r="XI25" s="59">
        <f t="shared" si="212"/>
        <v>2383875.5222114976</v>
      </c>
      <c r="XJ25" s="59">
        <f t="shared" si="212"/>
        <v>2385862.085146674</v>
      </c>
      <c r="XK25" s="59">
        <f t="shared" si="212"/>
        <v>2387850.3035509628</v>
      </c>
      <c r="XL25" s="59">
        <f t="shared" si="212"/>
        <v>2389840.1788039221</v>
      </c>
      <c r="XM25" s="59">
        <f t="shared" si="212"/>
        <v>2391831.7122862586</v>
      </c>
      <c r="XN25" s="59">
        <f t="shared" si="212"/>
        <v>2393824.9053798304</v>
      </c>
      <c r="XO25" s="59">
        <f t="shared" si="212"/>
        <v>2395819.7594676469</v>
      </c>
      <c r="XP25" s="59">
        <f t="shared" si="212"/>
        <v>2397816.2759338701</v>
      </c>
      <c r="XQ25" s="59">
        <f t="shared" si="212"/>
        <v>2399814.4561638152</v>
      </c>
      <c r="XR25" s="59">
        <f t="shared" si="212"/>
        <v>2401814.301543952</v>
      </c>
      <c r="XS25" s="59">
        <f t="shared" ref="XS25:AAD25" si="213">IF(AND(XS16="Desacumulación",XT16="-"),ROUND(XS20+XS21+XS22-XS23+XS24,2),XS20+XS21+XS22-XS23+XS24)</f>
        <v>2403815.8134619053</v>
      </c>
      <c r="XT25" s="59">
        <f t="shared" si="213"/>
        <v>2405818.9933064571</v>
      </c>
      <c r="XU25" s="59">
        <f t="shared" si="213"/>
        <v>2407823.842467546</v>
      </c>
      <c r="XV25" s="59">
        <f t="shared" si="213"/>
        <v>2409830.3623362691</v>
      </c>
      <c r="XW25" s="59">
        <f t="shared" si="213"/>
        <v>2411838.5543048829</v>
      </c>
      <c r="XX25" s="59">
        <f t="shared" si="213"/>
        <v>2413848.4197668037</v>
      </c>
      <c r="XY25" s="59">
        <f t="shared" si="213"/>
        <v>2415859.9601166095</v>
      </c>
      <c r="XZ25" s="59">
        <f t="shared" si="213"/>
        <v>2417873.1767500401</v>
      </c>
      <c r="YA25" s="59">
        <f t="shared" si="213"/>
        <v>2419888.0710639986</v>
      </c>
      <c r="YB25" s="59">
        <f t="shared" si="213"/>
        <v>2421904.6444565519</v>
      </c>
      <c r="YC25" s="59">
        <f t="shared" si="213"/>
        <v>2423922.8983269325</v>
      </c>
      <c r="YD25" s="59">
        <f t="shared" si="213"/>
        <v>2425942.8340755384</v>
      </c>
      <c r="YE25" s="59">
        <f t="shared" si="213"/>
        <v>2427964.4531039349</v>
      </c>
      <c r="YF25" s="59">
        <f t="shared" si="213"/>
        <v>2429987.7568148547</v>
      </c>
      <c r="YG25" s="59">
        <f t="shared" si="213"/>
        <v>2432012.7466122005</v>
      </c>
      <c r="YH25" s="59">
        <f t="shared" si="213"/>
        <v>2434039.4239010438</v>
      </c>
      <c r="YI25" s="59">
        <f t="shared" si="213"/>
        <v>2436067.7900876282</v>
      </c>
      <c r="YJ25" s="59">
        <f t="shared" si="213"/>
        <v>2438097.8465793678</v>
      </c>
      <c r="YK25" s="59">
        <f t="shared" si="213"/>
        <v>2440129.5947848507</v>
      </c>
      <c r="YL25" s="59">
        <f t="shared" si="213"/>
        <v>2442163.0361138382</v>
      </c>
      <c r="YM25" s="59">
        <f t="shared" si="213"/>
        <v>2444198.1719772662</v>
      </c>
      <c r="YN25" s="59">
        <f t="shared" si="213"/>
        <v>2446235.0037872475</v>
      </c>
      <c r="YO25" s="59">
        <f t="shared" si="213"/>
        <v>2448273.53295707</v>
      </c>
      <c r="YP25" s="59">
        <f t="shared" si="213"/>
        <v>2450313.7609012011</v>
      </c>
      <c r="YQ25" s="59">
        <f t="shared" si="213"/>
        <v>2452355.6890352853</v>
      </c>
      <c r="YR25" s="59">
        <f t="shared" si="213"/>
        <v>2454399.3187761479</v>
      </c>
      <c r="YS25" s="59">
        <f t="shared" si="213"/>
        <v>2456444.6515417947</v>
      </c>
      <c r="YT25" s="59">
        <f t="shared" si="213"/>
        <v>2458491.688751413</v>
      </c>
      <c r="YU25" s="59">
        <f t="shared" si="213"/>
        <v>2460540.4318253724</v>
      </c>
      <c r="YV25" s="59">
        <f t="shared" si="213"/>
        <v>2462590.8821852268</v>
      </c>
      <c r="YW25" s="59">
        <f t="shared" si="213"/>
        <v>2464643.0412537144</v>
      </c>
      <c r="YX25" s="59">
        <f t="shared" si="213"/>
        <v>2466696.9104547589</v>
      </c>
      <c r="YY25" s="59">
        <f t="shared" si="213"/>
        <v>2468752.4912134712</v>
      </c>
      <c r="YZ25" s="59">
        <f t="shared" si="213"/>
        <v>2470809.7849561488</v>
      </c>
      <c r="ZA25" s="59">
        <f t="shared" si="213"/>
        <v>2472868.7931102789</v>
      </c>
      <c r="ZB25" s="59">
        <f t="shared" si="213"/>
        <v>2474929.5171045377</v>
      </c>
      <c r="ZC25" s="59">
        <f t="shared" si="213"/>
        <v>2476991.9583687913</v>
      </c>
      <c r="ZD25" s="59">
        <f t="shared" si="213"/>
        <v>2479056.1183340987</v>
      </c>
      <c r="ZE25" s="59">
        <f t="shared" si="213"/>
        <v>2481121.9984327103</v>
      </c>
      <c r="ZF25" s="59">
        <f t="shared" si="213"/>
        <v>2483189.6000980707</v>
      </c>
      <c r="ZG25" s="59">
        <f t="shared" si="213"/>
        <v>2485258.924764819</v>
      </c>
      <c r="ZH25" s="59">
        <f t="shared" si="213"/>
        <v>2487329.9738687896</v>
      </c>
      <c r="ZI25" s="59">
        <f t="shared" si="213"/>
        <v>2489402.7488470138</v>
      </c>
      <c r="ZJ25" s="59">
        <f t="shared" si="213"/>
        <v>2491477.2511377195</v>
      </c>
      <c r="ZK25" s="59">
        <f t="shared" si="213"/>
        <v>2493553.4821803342</v>
      </c>
      <c r="ZL25" s="59">
        <f t="shared" si="213"/>
        <v>2495631.4434154844</v>
      </c>
      <c r="ZM25" s="59">
        <f t="shared" si="213"/>
        <v>2497711.1362849972</v>
      </c>
      <c r="ZN25" s="59">
        <f t="shared" si="213"/>
        <v>2499792.5622319016</v>
      </c>
      <c r="ZO25" s="59">
        <f t="shared" si="213"/>
        <v>2501875.7227004282</v>
      </c>
      <c r="ZP25" s="59">
        <f t="shared" si="213"/>
        <v>2503960.6191360117</v>
      </c>
      <c r="ZQ25" s="59">
        <f t="shared" si="213"/>
        <v>2506047.2529852916</v>
      </c>
      <c r="ZR25" s="59">
        <f t="shared" si="213"/>
        <v>2508135.6256961129</v>
      </c>
      <c r="ZS25" s="59">
        <f t="shared" si="213"/>
        <v>2510225.7387175262</v>
      </c>
      <c r="ZT25" s="59">
        <f t="shared" si="213"/>
        <v>2512317.5934997909</v>
      </c>
      <c r="ZU25" s="59">
        <f t="shared" si="213"/>
        <v>2514411.1914943741</v>
      </c>
      <c r="ZV25" s="59">
        <f t="shared" si="213"/>
        <v>2516506.5341539527</v>
      </c>
      <c r="ZW25" s="59">
        <f t="shared" si="213"/>
        <v>2518603.6229324145</v>
      </c>
      <c r="ZX25" s="59">
        <f t="shared" si="213"/>
        <v>2520702.4592848583</v>
      </c>
      <c r="ZY25" s="59">
        <f t="shared" si="213"/>
        <v>2522803.0446675955</v>
      </c>
      <c r="ZZ25" s="59">
        <f t="shared" si="213"/>
        <v>2524905.3805381521</v>
      </c>
      <c r="AAA25" s="59">
        <f t="shared" si="213"/>
        <v>2527009.4683552673</v>
      </c>
      <c r="AAB25" s="59">
        <f t="shared" si="213"/>
        <v>2529115.3095788965</v>
      </c>
      <c r="AAC25" s="59">
        <f t="shared" si="213"/>
        <v>2531222.9056702121</v>
      </c>
      <c r="AAD25" s="59">
        <f t="shared" si="213"/>
        <v>2533332.2580916039</v>
      </c>
      <c r="AAE25" s="59">
        <f t="shared" ref="AAE25:ACO25" si="214">IF(AND(AAE16="Desacumulación",AAF16="-"),ROUND(AAE20+AAE21+AAE22-AAE23+AAE24,2),AAE20+AAE21+AAE22-AAE23+AAE24)</f>
        <v>2535443.3683066801</v>
      </c>
      <c r="AAF25" s="59">
        <f t="shared" si="214"/>
        <v>2537556.2377802692</v>
      </c>
      <c r="AAG25" s="59">
        <f t="shared" si="214"/>
        <v>2539670.8679784196</v>
      </c>
      <c r="AAH25" s="59">
        <f t="shared" si="214"/>
        <v>2541787.2603684017</v>
      </c>
      <c r="AAI25" s="59">
        <f t="shared" si="214"/>
        <v>2542455.7681672676</v>
      </c>
      <c r="AAJ25" s="59">
        <f t="shared" si="214"/>
        <v>2543124.8330559656</v>
      </c>
      <c r="AAK25" s="59">
        <f t="shared" si="214"/>
        <v>2543794.4554987377</v>
      </c>
      <c r="AAL25" s="59">
        <f t="shared" si="214"/>
        <v>2544464.635960212</v>
      </c>
      <c r="AAM25" s="59">
        <f t="shared" si="214"/>
        <v>2545135.3749054042</v>
      </c>
      <c r="AAN25" s="59">
        <f t="shared" si="214"/>
        <v>2545806.6727997172</v>
      </c>
      <c r="AAO25" s="59">
        <f t="shared" si="214"/>
        <v>2546478.5301089422</v>
      </c>
      <c r="AAP25" s="59">
        <f t="shared" si="214"/>
        <v>2547150.9472992583</v>
      </c>
      <c r="AAQ25" s="59">
        <f t="shared" si="214"/>
        <v>2547823.924837233</v>
      </c>
      <c r="AAR25" s="59">
        <f t="shared" si="214"/>
        <v>2548497.4631898226</v>
      </c>
      <c r="AAS25" s="59">
        <f t="shared" si="214"/>
        <v>2549171.5628243727</v>
      </c>
      <c r="AAT25" s="59">
        <f t="shared" si="214"/>
        <v>2549846.2242086185</v>
      </c>
      <c r="AAU25" s="59">
        <f t="shared" si="214"/>
        <v>2550521.4478106843</v>
      </c>
      <c r="AAV25" s="59">
        <f t="shared" si="214"/>
        <v>2551197.2340990854</v>
      </c>
      <c r="AAW25" s="59">
        <f t="shared" si="214"/>
        <v>2551873.5835427269</v>
      </c>
      <c r="AAX25" s="59">
        <f t="shared" si="214"/>
        <v>2552550.4966109046</v>
      </c>
      <c r="AAY25" s="59">
        <f t="shared" si="214"/>
        <v>2553227.9737733058</v>
      </c>
      <c r="AAZ25" s="59">
        <f t="shared" si="214"/>
        <v>2553906.0155000091</v>
      </c>
      <c r="ABA25" s="59">
        <f t="shared" si="214"/>
        <v>2554584.6222614846</v>
      </c>
      <c r="ABB25" s="59">
        <f t="shared" si="214"/>
        <v>2555263.7945285947</v>
      </c>
      <c r="ABC25" s="59">
        <f t="shared" si="214"/>
        <v>2555943.5327725937</v>
      </c>
      <c r="ABD25" s="59">
        <f t="shared" si="214"/>
        <v>2556623.8374651293</v>
      </c>
      <c r="ABE25" s="59">
        <f t="shared" si="214"/>
        <v>2557304.7090782421</v>
      </c>
      <c r="ABF25" s="59">
        <f t="shared" si="214"/>
        <v>2557986.1480843658</v>
      </c>
      <c r="ABG25" s="59">
        <f t="shared" si="214"/>
        <v>2558668.1549563282</v>
      </c>
      <c r="ABH25" s="59">
        <f t="shared" si="214"/>
        <v>2559350.7301673507</v>
      </c>
      <c r="ABI25" s="59">
        <f t="shared" si="214"/>
        <v>2560033.874191049</v>
      </c>
      <c r="ABJ25" s="59">
        <f t="shared" si="214"/>
        <v>2560717.5875014337</v>
      </c>
      <c r="ABK25" s="59">
        <f t="shared" si="214"/>
        <v>2561401.8705729102</v>
      </c>
      <c r="ABL25" s="59">
        <f t="shared" si="214"/>
        <v>2562086.7238802798</v>
      </c>
      <c r="ABM25" s="59">
        <f t="shared" si="214"/>
        <v>2562772.1478987387</v>
      </c>
      <c r="ABN25" s="59">
        <f t="shared" si="214"/>
        <v>2563458.1431038799</v>
      </c>
      <c r="ABO25" s="59">
        <f t="shared" si="214"/>
        <v>2564144.7099716919</v>
      </c>
      <c r="ABP25" s="59">
        <f t="shared" si="214"/>
        <v>2564831.8489785604</v>
      </c>
      <c r="ABQ25" s="59">
        <f t="shared" si="214"/>
        <v>2565519.560601268</v>
      </c>
      <c r="ABR25" s="59">
        <f t="shared" si="214"/>
        <v>2566207.8453169945</v>
      </c>
      <c r="ABS25" s="59">
        <f t="shared" si="214"/>
        <v>2566896.7036033175</v>
      </c>
      <c r="ABT25" s="59">
        <f t="shared" si="214"/>
        <v>2567586.1359382123</v>
      </c>
      <c r="ABU25" s="59">
        <f t="shared" si="214"/>
        <v>2568276.1428000527</v>
      </c>
      <c r="ABV25" s="59">
        <f t="shared" si="214"/>
        <v>2568966.7246676115</v>
      </c>
      <c r="ABW25" s="59">
        <f t="shared" si="214"/>
        <v>2569657.88202006</v>
      </c>
      <c r="ABX25" s="59">
        <f t="shared" si="214"/>
        <v>2570349.6153369686</v>
      </c>
      <c r="ABY25" s="59">
        <f t="shared" si="214"/>
        <v>2571041.9250983079</v>
      </c>
      <c r="ABZ25" s="59">
        <f t="shared" si="214"/>
        <v>2571734.8117844486</v>
      </c>
      <c r="ACA25" s="59">
        <f t="shared" si="214"/>
        <v>2572428.2758761612</v>
      </c>
      <c r="ACB25" s="59">
        <f t="shared" si="214"/>
        <v>2573122.3178546168</v>
      </c>
      <c r="ACC25" s="59">
        <f t="shared" si="214"/>
        <v>2573816.9382013879</v>
      </c>
      <c r="ACD25" s="59">
        <f t="shared" si="214"/>
        <v>2574512.1373984478</v>
      </c>
      <c r="ACE25" s="59">
        <f t="shared" si="214"/>
        <v>2575207.9159281719</v>
      </c>
      <c r="ACF25" s="59">
        <f t="shared" si="214"/>
        <v>2575904.2742733373</v>
      </c>
      <c r="ACG25" s="59">
        <f t="shared" si="214"/>
        <v>2576601.2129171239</v>
      </c>
      <c r="ACH25" s="59">
        <f t="shared" si="214"/>
        <v>2577298.7323431135</v>
      </c>
      <c r="ACI25" s="59">
        <f t="shared" si="214"/>
        <v>2577996.8330352916</v>
      </c>
      <c r="ACJ25" s="59">
        <f t="shared" si="214"/>
        <v>2578695.5154780466</v>
      </c>
      <c r="ACK25" s="59">
        <f t="shared" si="214"/>
        <v>2579394.7801561705</v>
      </c>
      <c r="ACL25" s="59">
        <f t="shared" si="214"/>
        <v>2580094.6275548595</v>
      </c>
      <c r="ACM25" s="59">
        <f t="shared" si="214"/>
        <v>2580795.0581597141</v>
      </c>
      <c r="ACN25" s="59">
        <f t="shared" si="214"/>
        <v>2581496.0724567394</v>
      </c>
      <c r="ACO25" s="59">
        <f t="shared" si="214"/>
        <v>2582197.6709323456</v>
      </c>
      <c r="ACP25" s="59">
        <f>IF(AND(ACP16="Desacumulación",ACQ16="-"),ROUND(ACP20+ACP21+ACP22-ACP23+ACP24,2),ACP20+ACP21+ACP22-ACP23+ACP24)</f>
        <v>2582899.854073348</v>
      </c>
      <c r="ACQ25" s="59">
        <f t="shared" ref="ACQ25:AFB25" si="215">IF(AND(ACQ16="Desacumulación",ACR16="-"),ROUND(ACQ20+ACQ21+ACQ22-ACQ23+ACQ24,2),ACQ20+ACQ21+ACQ22-ACQ23+ACQ24)</f>
        <v>2583602.6223669676</v>
      </c>
      <c r="ACR25" s="59">
        <f t="shared" si="215"/>
        <v>2584305.9763008319</v>
      </c>
      <c r="ACS25" s="59">
        <f t="shared" si="215"/>
        <v>2585009.9163629748</v>
      </c>
      <c r="ACT25" s="59">
        <f t="shared" si="215"/>
        <v>2585714.4430418359</v>
      </c>
      <c r="ACU25" s="59">
        <f t="shared" si="215"/>
        <v>2586419.5568262627</v>
      </c>
      <c r="ACV25" s="59">
        <f t="shared" si="215"/>
        <v>2587125.2582055102</v>
      </c>
      <c r="ACW25" s="59">
        <f t="shared" si="215"/>
        <v>2587831.5476692403</v>
      </c>
      <c r="ACX25" s="59">
        <f t="shared" si="215"/>
        <v>2588538.4257075232</v>
      </c>
      <c r="ACY25" s="59">
        <f t="shared" si="215"/>
        <v>2589245.8928108383</v>
      </c>
      <c r="ACZ25" s="59">
        <f t="shared" si="215"/>
        <v>2589953.9494700725</v>
      </c>
      <c r="ADA25" s="59">
        <f t="shared" si="215"/>
        <v>2590662.5961765228</v>
      </c>
      <c r="ADB25" s="59">
        <f t="shared" si="215"/>
        <v>2591371.8334218953</v>
      </c>
      <c r="ADC25" s="59">
        <f t="shared" si="215"/>
        <v>2592081.6616983055</v>
      </c>
      <c r="ADD25" s="59">
        <f t="shared" si="215"/>
        <v>2592792.0814982792</v>
      </c>
      <c r="ADE25" s="59">
        <f t="shared" si="215"/>
        <v>2593503.0933147534</v>
      </c>
      <c r="ADF25" s="59">
        <f t="shared" si="215"/>
        <v>2594214.6976410742</v>
      </c>
      <c r="ADG25" s="59">
        <f t="shared" si="215"/>
        <v>2594926.8949710005</v>
      </c>
      <c r="ADH25" s="59">
        <f t="shared" si="215"/>
        <v>2595639.6857987018</v>
      </c>
      <c r="ADI25" s="59">
        <f t="shared" si="215"/>
        <v>2596353.0706187594</v>
      </c>
      <c r="ADJ25" s="59">
        <f t="shared" si="215"/>
        <v>2597067.0499261669</v>
      </c>
      <c r="ADK25" s="59">
        <f t="shared" si="215"/>
        <v>2597781.6242163307</v>
      </c>
      <c r="ADL25" s="59">
        <f t="shared" si="215"/>
        <v>2598496.7939850697</v>
      </c>
      <c r="ADM25" s="59">
        <f t="shared" si="215"/>
        <v>2599212.5597286159</v>
      </c>
      <c r="ADN25" s="59">
        <f t="shared" si="215"/>
        <v>2599928.9219436152</v>
      </c>
      <c r="ADO25" s="59">
        <f t="shared" si="215"/>
        <v>2600645.881127127</v>
      </c>
      <c r="ADP25" s="59">
        <f t="shared" si="215"/>
        <v>2601363.4377766252</v>
      </c>
      <c r="ADQ25" s="59">
        <f t="shared" si="215"/>
        <v>2602081.5923899976</v>
      </c>
      <c r="ADR25" s="59">
        <f t="shared" si="215"/>
        <v>2602800.3454655479</v>
      </c>
      <c r="ADS25" s="59">
        <f t="shared" si="215"/>
        <v>2603519.6975019947</v>
      </c>
      <c r="ADT25" s="59">
        <f t="shared" si="215"/>
        <v>2604239.6489984719</v>
      </c>
      <c r="ADU25" s="59">
        <f t="shared" si="215"/>
        <v>2604960.2004545294</v>
      </c>
      <c r="ADV25" s="59">
        <f t="shared" si="215"/>
        <v>2605681.3523701336</v>
      </c>
      <c r="ADW25" s="59">
        <f t="shared" si="215"/>
        <v>2606403.1052456675</v>
      </c>
      <c r="ADX25" s="59">
        <f t="shared" si="215"/>
        <v>2607125.4595819311</v>
      </c>
      <c r="ADY25" s="59">
        <f t="shared" si="215"/>
        <v>2607848.4158801413</v>
      </c>
      <c r="ADZ25" s="59">
        <f t="shared" si="215"/>
        <v>2608571.9746419336</v>
      </c>
      <c r="AEA25" s="59">
        <f t="shared" si="215"/>
        <v>2609296.1363693606</v>
      </c>
      <c r="AEB25" s="59">
        <f t="shared" si="215"/>
        <v>2610020.9015648938</v>
      </c>
      <c r="AEC25" s="59">
        <f t="shared" si="215"/>
        <v>2610746.2707314231</v>
      </c>
      <c r="AED25" s="59">
        <f t="shared" si="215"/>
        <v>2611472.244372258</v>
      </c>
      <c r="AEE25" s="59">
        <f t="shared" si="215"/>
        <v>2612198.8229911267</v>
      </c>
      <c r="AEF25" s="59">
        <f t="shared" si="215"/>
        <v>2612926.0070921779</v>
      </c>
      <c r="AEG25" s="59">
        <f t="shared" si="215"/>
        <v>2613653.7971799802</v>
      </c>
      <c r="AEH25" s="59">
        <f t="shared" si="215"/>
        <v>2614382.1937595224</v>
      </c>
      <c r="AEI25" s="59">
        <f t="shared" si="215"/>
        <v>2615111.1973362141</v>
      </c>
      <c r="AEJ25" s="59">
        <f t="shared" si="215"/>
        <v>2615840.8084158865</v>
      </c>
      <c r="AEK25" s="59">
        <f t="shared" si="215"/>
        <v>2616571.027504792</v>
      </c>
      <c r="AEL25" s="59">
        <f t="shared" si="215"/>
        <v>2617301.8551096045</v>
      </c>
      <c r="AEM25" s="59">
        <f t="shared" si="215"/>
        <v>2618033.2917374214</v>
      </c>
      <c r="AEN25" s="59">
        <f t="shared" si="215"/>
        <v>2618765.3378957612</v>
      </c>
      <c r="AEO25" s="59">
        <f t="shared" si="215"/>
        <v>2619497.9940925664</v>
      </c>
      <c r="AEP25" s="59">
        <f t="shared" si="215"/>
        <v>2620231.2608362022</v>
      </c>
      <c r="AEQ25" s="59">
        <f t="shared" si="215"/>
        <v>2620965.1386354575</v>
      </c>
      <c r="AER25" s="59">
        <f t="shared" si="215"/>
        <v>2621699.6279995455</v>
      </c>
      <c r="AES25" s="59">
        <f t="shared" si="215"/>
        <v>2622434.7294381037</v>
      </c>
      <c r="AET25" s="59">
        <f t="shared" si="215"/>
        <v>2623170.4434611942</v>
      </c>
      <c r="AEU25" s="59">
        <f t="shared" si="215"/>
        <v>2623906.7705793041</v>
      </c>
      <c r="AEV25" s="59">
        <f t="shared" si="215"/>
        <v>2624643.7113033454</v>
      </c>
      <c r="AEW25" s="59">
        <f t="shared" si="215"/>
        <v>2625381.266144657</v>
      </c>
      <c r="AEX25" s="59">
        <f t="shared" si="215"/>
        <v>2626119.4356150031</v>
      </c>
      <c r="AEY25" s="59">
        <f t="shared" si="215"/>
        <v>2626858.2202265742</v>
      </c>
      <c r="AEZ25" s="59">
        <f t="shared" si="215"/>
        <v>2627597.6204919885</v>
      </c>
      <c r="AFA25" s="59">
        <f t="shared" si="215"/>
        <v>2628337.6369242906</v>
      </c>
      <c r="AFB25" s="59">
        <f t="shared" si="215"/>
        <v>2629078.270036953</v>
      </c>
      <c r="AFC25" s="59">
        <f t="shared" ref="AFC25:AHN25" si="216">IF(AND(AFC16="Desacumulación",AFD16="-"),ROUND(AFC20+AFC21+AFC22-AFC23+AFC24,2),AFC20+AFC21+AFC22-AFC23+AFC24)</f>
        <v>2629819.520343876</v>
      </c>
      <c r="AFD25" s="59">
        <f t="shared" si="216"/>
        <v>2630561.3883593879</v>
      </c>
      <c r="AFE25" s="59">
        <f t="shared" si="216"/>
        <v>2631303.8745982461</v>
      </c>
      <c r="AFF25" s="59">
        <f t="shared" si="216"/>
        <v>2632046.9795756368</v>
      </c>
      <c r="AFG25" s="59">
        <f t="shared" si="216"/>
        <v>2632790.7038071752</v>
      </c>
      <c r="AFH25" s="59">
        <f t="shared" si="216"/>
        <v>2633535.0478089065</v>
      </c>
      <c r="AFI25" s="59">
        <f t="shared" si="216"/>
        <v>2634280.0120973061</v>
      </c>
      <c r="AFJ25" s="59">
        <f t="shared" si="216"/>
        <v>2635025.5971892793</v>
      </c>
      <c r="AFK25" s="59">
        <f t="shared" si="216"/>
        <v>2635771.8036021623</v>
      </c>
      <c r="AFL25" s="59">
        <f t="shared" si="216"/>
        <v>2636518.631853723</v>
      </c>
      <c r="AFM25" s="59">
        <f t="shared" si="216"/>
        <v>2637266.0824621599</v>
      </c>
      <c r="AFN25" s="59">
        <f t="shared" si="216"/>
        <v>2638014.1559461039</v>
      </c>
      <c r="AFO25" s="59">
        <f t="shared" si="216"/>
        <v>2638762.8528246176</v>
      </c>
      <c r="AFP25" s="59">
        <f t="shared" si="216"/>
        <v>2639512.1736171967</v>
      </c>
      <c r="AFQ25" s="59">
        <f t="shared" si="216"/>
        <v>2640262.1188437697</v>
      </c>
      <c r="AFR25" s="59">
        <f t="shared" si="216"/>
        <v>2641012.689024698</v>
      </c>
      <c r="AFS25" s="59">
        <f t="shared" si="216"/>
        <v>2641763.8846807773</v>
      </c>
      <c r="AFT25" s="59">
        <f t="shared" si="216"/>
        <v>2642515.7063332368</v>
      </c>
      <c r="AFU25" s="59">
        <f t="shared" si="216"/>
        <v>2643268.1545037399</v>
      </c>
      <c r="AFV25" s="59">
        <f t="shared" si="216"/>
        <v>2644021.2297143852</v>
      </c>
      <c r="AFW25" s="59">
        <f t="shared" si="216"/>
        <v>2644774.9324877057</v>
      </c>
      <c r="AFX25" s="59">
        <f t="shared" si="216"/>
        <v>2645529.2633466707</v>
      </c>
      <c r="AFY25" s="59">
        <f t="shared" si="216"/>
        <v>2646284.2228146847</v>
      </c>
      <c r="AFZ25" s="59">
        <f t="shared" si="216"/>
        <v>2647039.8114155889</v>
      </c>
      <c r="AGA25" s="59">
        <f t="shared" si="216"/>
        <v>2647796.0296736606</v>
      </c>
      <c r="AGB25" s="59">
        <f t="shared" si="216"/>
        <v>2648552.8781136139</v>
      </c>
      <c r="AGC25" s="59">
        <f t="shared" si="216"/>
        <v>2649310.3572606007</v>
      </c>
      <c r="AGD25" s="59">
        <f t="shared" si="216"/>
        <v>2650068.4676402099</v>
      </c>
      <c r="AGE25" s="59">
        <f t="shared" si="216"/>
        <v>2650827.2097784686</v>
      </c>
      <c r="AGF25" s="59">
        <f t="shared" si="216"/>
        <v>2651586.5842018425</v>
      </c>
      <c r="AGG25" s="59">
        <f t="shared" si="216"/>
        <v>2652346.5914372359</v>
      </c>
      <c r="AGH25" s="59">
        <f t="shared" si="216"/>
        <v>2653107.2320119925</v>
      </c>
      <c r="AGI25" s="59">
        <f t="shared" si="216"/>
        <v>2653868.5064538945</v>
      </c>
      <c r="AGJ25" s="59">
        <f t="shared" si="216"/>
        <v>2654630.415291165</v>
      </c>
      <c r="AGK25" s="59">
        <f t="shared" si="216"/>
        <v>2655392.9590524663</v>
      </c>
      <c r="AGL25" s="59">
        <f t="shared" si="216"/>
        <v>2656156.138266902</v>
      </c>
      <c r="AGM25" s="59">
        <f t="shared" si="216"/>
        <v>2656919.9534640163</v>
      </c>
      <c r="AGN25" s="59">
        <f t="shared" si="216"/>
        <v>2657684.4051737948</v>
      </c>
      <c r="AGO25" s="59">
        <f t="shared" si="216"/>
        <v>2658449.4939266648</v>
      </c>
      <c r="AGP25" s="59">
        <f t="shared" si="216"/>
        <v>2659215.2202534955</v>
      </c>
      <c r="AGQ25" s="59">
        <f t="shared" si="216"/>
        <v>2659981.584685599</v>
      </c>
      <c r="AGR25" s="59">
        <f t="shared" si="216"/>
        <v>2660748.5877547292</v>
      </c>
      <c r="AGS25" s="59">
        <f t="shared" si="216"/>
        <v>2661516.2299930835</v>
      </c>
      <c r="AGT25" s="59">
        <f t="shared" si="216"/>
        <v>2662284.511933303</v>
      </c>
      <c r="AGU25" s="59">
        <f t="shared" si="216"/>
        <v>2663053.4341084729</v>
      </c>
      <c r="AGV25" s="59">
        <f t="shared" si="216"/>
        <v>2663822.9970521219</v>
      </c>
      <c r="AGW25" s="59">
        <f t="shared" si="216"/>
        <v>2664593.2012982238</v>
      </c>
      <c r="AGX25" s="59">
        <f t="shared" si="216"/>
        <v>2665364.0473811976</v>
      </c>
      <c r="AGY25" s="59">
        <f t="shared" si="216"/>
        <v>2666135.5358359073</v>
      </c>
      <c r="AGZ25" s="59">
        <f t="shared" si="216"/>
        <v>2666907.6671976624</v>
      </c>
      <c r="AHA25" s="59">
        <f t="shared" si="216"/>
        <v>2667680.4420022191</v>
      </c>
      <c r="AHB25" s="59">
        <f t="shared" si="216"/>
        <v>2668453.8607857795</v>
      </c>
      <c r="AHC25" s="59">
        <f t="shared" si="216"/>
        <v>2669227.9240849931</v>
      </c>
      <c r="AHD25" s="59">
        <f t="shared" si="216"/>
        <v>2670002.6324369558</v>
      </c>
      <c r="AHE25" s="59">
        <f t="shared" si="216"/>
        <v>2670777.9863792118</v>
      </c>
      <c r="AHF25" s="59">
        <f t="shared" si="216"/>
        <v>2671553.9864497529</v>
      </c>
      <c r="AHG25" s="59">
        <f t="shared" si="216"/>
        <v>2672330.6331870197</v>
      </c>
      <c r="AHH25" s="59">
        <f t="shared" si="216"/>
        <v>2673107.927129901</v>
      </c>
      <c r="AHI25" s="59">
        <f t="shared" si="216"/>
        <v>2673885.8688177345</v>
      </c>
      <c r="AHJ25" s="59">
        <f t="shared" si="216"/>
        <v>2674664.4587903079</v>
      </c>
      <c r="AHK25" s="59">
        <f t="shared" si="216"/>
        <v>2675443.6975878584</v>
      </c>
      <c r="AHL25" s="59">
        <f t="shared" si="216"/>
        <v>2676223.5857510734</v>
      </c>
      <c r="AHM25" s="59">
        <f t="shared" si="216"/>
        <v>2677004.1238210914</v>
      </c>
      <c r="AHN25" s="59">
        <f t="shared" si="216"/>
        <v>2677785.312339501</v>
      </c>
      <c r="AHO25" s="59">
        <f t="shared" ref="AHO25:AJZ25" si="217">IF(AND(AHO16="Desacumulación",AHP16="-"),ROUND(AHO20+AHO21+AHO22-AHO23+AHO24,2),AHO20+AHO21+AHO22-AHO23+AHO24)</f>
        <v>2678567.1518483427</v>
      </c>
      <c r="AHP25" s="59">
        <f t="shared" si="217"/>
        <v>2679349.6428901083</v>
      </c>
      <c r="AHQ25" s="59">
        <f t="shared" si="217"/>
        <v>2680132.7860077419</v>
      </c>
      <c r="AHR25" s="59">
        <f t="shared" si="217"/>
        <v>2680916.5817446406</v>
      </c>
      <c r="AHS25" s="59">
        <f t="shared" si="217"/>
        <v>2681701.0306446534</v>
      </c>
      <c r="AHT25" s="59">
        <f t="shared" si="217"/>
        <v>2682486.1332520824</v>
      </c>
      <c r="AHU25" s="59">
        <f t="shared" si="217"/>
        <v>2683271.8901116843</v>
      </c>
      <c r="AHV25" s="59">
        <f t="shared" si="217"/>
        <v>2684058.3017686694</v>
      </c>
      <c r="AHW25" s="59">
        <f t="shared" si="217"/>
        <v>2684845.3687687018</v>
      </c>
      <c r="AHX25" s="59">
        <f t="shared" si="217"/>
        <v>2685633.0916579012</v>
      </c>
      <c r="AHY25" s="59">
        <f t="shared" si="217"/>
        <v>2686421.4709828417</v>
      </c>
      <c r="AHZ25" s="59">
        <f t="shared" si="217"/>
        <v>2687210.5072905528</v>
      </c>
      <c r="AIA25" s="59">
        <f t="shared" si="217"/>
        <v>2688000.2011285205</v>
      </c>
      <c r="AIB25" s="59">
        <f t="shared" si="217"/>
        <v>2688790.5530446866</v>
      </c>
      <c r="AIC25" s="59">
        <f t="shared" si="217"/>
        <v>2689581.563587449</v>
      </c>
      <c r="AID25" s="59">
        <f t="shared" si="217"/>
        <v>2690373.2333056638</v>
      </c>
      <c r="AIE25" s="59">
        <f t="shared" si="217"/>
        <v>2691165.562748644</v>
      </c>
      <c r="AIF25" s="59">
        <f t="shared" si="217"/>
        <v>2691958.5524661602</v>
      </c>
      <c r="AIG25" s="59">
        <f t="shared" si="217"/>
        <v>2692752.2030084408</v>
      </c>
      <c r="AIH25" s="59">
        <f t="shared" si="217"/>
        <v>2693546.5149261733</v>
      </c>
      <c r="AII25" s="59">
        <f t="shared" si="217"/>
        <v>2694341.4887705036</v>
      </c>
      <c r="AIJ25" s="59">
        <f t="shared" si="217"/>
        <v>2695137.1250930377</v>
      </c>
      <c r="AIK25" s="59">
        <f t="shared" si="217"/>
        <v>2695933.4244458405</v>
      </c>
      <c r="AIL25" s="59">
        <f t="shared" si="217"/>
        <v>2696730.3873814372</v>
      </c>
      <c r="AIM25" s="59">
        <f t="shared" si="217"/>
        <v>2697528.0144528137</v>
      </c>
      <c r="AIN25" s="59">
        <f t="shared" si="217"/>
        <v>2698326.3062134162</v>
      </c>
      <c r="AIO25" s="59">
        <f t="shared" si="217"/>
        <v>2699125.2632171526</v>
      </c>
      <c r="AIP25" s="59">
        <f t="shared" si="217"/>
        <v>2699924.8860183922</v>
      </c>
      <c r="AIQ25" s="59">
        <f t="shared" si="217"/>
        <v>2700725.1751719662</v>
      </c>
      <c r="AIR25" s="59">
        <f t="shared" si="217"/>
        <v>2701526.1312331683</v>
      </c>
      <c r="AIS25" s="59">
        <f t="shared" si="217"/>
        <v>2702327.7547577545</v>
      </c>
      <c r="AIT25" s="59">
        <f t="shared" si="217"/>
        <v>2703130.0463019446</v>
      </c>
      <c r="AIU25" s="59">
        <f t="shared" si="217"/>
        <v>2703933.0064224214</v>
      </c>
      <c r="AIV25" s="59">
        <f t="shared" si="217"/>
        <v>2704736.6356763323</v>
      </c>
      <c r="AIW25" s="59">
        <f t="shared" si="217"/>
        <v>2705540.934621288</v>
      </c>
      <c r="AIX25" s="59">
        <f t="shared" si="217"/>
        <v>2706345.9038153645</v>
      </c>
      <c r="AIY25" s="59">
        <f t="shared" si="217"/>
        <v>2707151.5438171024</v>
      </c>
      <c r="AIZ25" s="59">
        <f t="shared" si="217"/>
        <v>2707957.8551855087</v>
      </c>
      <c r="AJA25" s="59">
        <f t="shared" si="217"/>
        <v>2708764.8384800553</v>
      </c>
      <c r="AJB25" s="59">
        <f t="shared" si="217"/>
        <v>2709572.4942606809</v>
      </c>
      <c r="AJC25" s="59">
        <f t="shared" si="217"/>
        <v>2710380.82308779</v>
      </c>
      <c r="AJD25" s="59">
        <f t="shared" si="217"/>
        <v>2711189.8255222552</v>
      </c>
      <c r="AJE25" s="59">
        <f t="shared" si="217"/>
        <v>2711999.502125416</v>
      </c>
      <c r="AJF25" s="59">
        <f t="shared" si="217"/>
        <v>2712809.8534590793</v>
      </c>
      <c r="AJG25" s="59">
        <f t="shared" si="217"/>
        <v>2713620.8800855204</v>
      </c>
      <c r="AJH25" s="59">
        <f t="shared" si="217"/>
        <v>2714432.5825674837</v>
      </c>
      <c r="AJI25" s="59">
        <f t="shared" si="217"/>
        <v>2715244.961468182</v>
      </c>
      <c r="AJJ25" s="59">
        <f t="shared" si="217"/>
        <v>2716058.0173512977</v>
      </c>
      <c r="AJK25" s="59">
        <f t="shared" si="217"/>
        <v>2716871.7507809824</v>
      </c>
      <c r="AJL25" s="59">
        <f t="shared" si="217"/>
        <v>2717686.1623218586</v>
      </c>
      <c r="AJM25" s="59">
        <f t="shared" si="217"/>
        <v>2718501.2525390186</v>
      </c>
      <c r="AJN25" s="59">
        <f t="shared" si="217"/>
        <v>2719317.0219980264</v>
      </c>
      <c r="AJO25" s="59">
        <f t="shared" si="217"/>
        <v>2720133.4712649169</v>
      </c>
      <c r="AJP25" s="59">
        <f t="shared" si="217"/>
        <v>2720950.6009061965</v>
      </c>
      <c r="AJQ25" s="59">
        <f t="shared" si="217"/>
        <v>2721768.4114888436</v>
      </c>
      <c r="AJR25" s="59">
        <f t="shared" si="217"/>
        <v>2722586.9035803098</v>
      </c>
      <c r="AJS25" s="59">
        <f t="shared" si="217"/>
        <v>2723406.0777485189</v>
      </c>
      <c r="AJT25" s="59">
        <f t="shared" si="217"/>
        <v>2724225.9345618682</v>
      </c>
      <c r="AJU25" s="59">
        <f t="shared" si="217"/>
        <v>2725046.4745892286</v>
      </c>
      <c r="AJV25" s="59">
        <f t="shared" si="217"/>
        <v>2725867.6983999452</v>
      </c>
      <c r="AJW25" s="59">
        <f t="shared" si="217"/>
        <v>2726689.6065638373</v>
      </c>
      <c r="AJX25" s="59">
        <f t="shared" si="217"/>
        <v>2727512.1996511989</v>
      </c>
      <c r="AJY25" s="59">
        <f t="shared" si="217"/>
        <v>2728335.4782328005</v>
      </c>
      <c r="AJZ25" s="59">
        <f t="shared" si="217"/>
        <v>2729159.4428798864</v>
      </c>
      <c r="AKA25" s="59">
        <f t="shared" ref="AKA25:AML25" si="218">IF(AND(AKA16="Desacumulación",AKB16="-"),ROUND(AKA20+AKA21+AKA22-AKA23+AKA24,2),AKA20+AKA21+AKA22-AKA23+AKA24)</f>
        <v>2729984.0941641782</v>
      </c>
      <c r="AKB25" s="59">
        <f t="shared" si="218"/>
        <v>2730809.4326578737</v>
      </c>
      <c r="AKC25" s="59">
        <f t="shared" si="218"/>
        <v>2731635.4589336473</v>
      </c>
      <c r="AKD25" s="59">
        <f t="shared" si="218"/>
        <v>2732462.1735646506</v>
      </c>
      <c r="AKE25" s="59">
        <f t="shared" si="218"/>
        <v>2733289.5771245132</v>
      </c>
      <c r="AKF25" s="59">
        <f t="shared" si="218"/>
        <v>2734117.6701873424</v>
      </c>
      <c r="AKG25" s="59">
        <f t="shared" si="218"/>
        <v>2734946.4533277238</v>
      </c>
      <c r="AKH25" s="59">
        <f t="shared" si="218"/>
        <v>2735775.9271207224</v>
      </c>
      <c r="AKI25" s="59">
        <f t="shared" si="218"/>
        <v>2736606.0921418816</v>
      </c>
      <c r="AKJ25" s="59">
        <f t="shared" si="218"/>
        <v>2737436.9489672254</v>
      </c>
      <c r="AKK25" s="59">
        <f t="shared" si="218"/>
        <v>2738268.4981732569</v>
      </c>
      <c r="AKL25" s="59">
        <f t="shared" si="218"/>
        <v>2739100.7403369597</v>
      </c>
      <c r="AKM25" s="59">
        <f t="shared" si="218"/>
        <v>2739933.6760357991</v>
      </c>
      <c r="AKN25" s="59">
        <f t="shared" si="218"/>
        <v>2740767.3058477212</v>
      </c>
      <c r="AKO25" s="59">
        <f t="shared" si="218"/>
        <v>2741601.6303511527</v>
      </c>
      <c r="AKP25" s="59">
        <f t="shared" si="218"/>
        <v>2742436.6501250039</v>
      </c>
      <c r="AKQ25" s="59">
        <f t="shared" si="218"/>
        <v>2743272.3657486667</v>
      </c>
      <c r="AKR25" s="59">
        <f t="shared" si="218"/>
        <v>2744108.7778020161</v>
      </c>
      <c r="AKS25" s="59">
        <f t="shared" si="218"/>
        <v>2744945.88686541</v>
      </c>
      <c r="AKT25" s="59">
        <f t="shared" si="218"/>
        <v>2745783.6935196901</v>
      </c>
      <c r="AKU25" s="59">
        <f t="shared" si="218"/>
        <v>2746622.1983461818</v>
      </c>
      <c r="AKV25" s="59">
        <f t="shared" si="218"/>
        <v>2747461.4019266958</v>
      </c>
      <c r="AKW25" s="59">
        <f t="shared" si="218"/>
        <v>2748301.3048435268</v>
      </c>
      <c r="AKX25" s="59">
        <f t="shared" si="218"/>
        <v>2749141.9076794549</v>
      </c>
      <c r="AKY25" s="59">
        <f t="shared" si="218"/>
        <v>2749983.2110177465</v>
      </c>
      <c r="AKZ25" s="59">
        <f t="shared" si="218"/>
        <v>2750825.2154421532</v>
      </c>
      <c r="ALA25" s="59">
        <f t="shared" si="218"/>
        <v>2751667.9215369136</v>
      </c>
      <c r="ALB25" s="59">
        <f t="shared" si="218"/>
        <v>2752511.3298867531</v>
      </c>
      <c r="ALC25" s="59">
        <f t="shared" si="218"/>
        <v>2753355.441076884</v>
      </c>
      <c r="ALD25" s="59">
        <f t="shared" si="218"/>
        <v>2754200.2556930068</v>
      </c>
      <c r="ALE25" s="59">
        <f t="shared" si="218"/>
        <v>2755045.7743213098</v>
      </c>
      <c r="ALF25" s="59">
        <f t="shared" si="218"/>
        <v>2755891.9975484693</v>
      </c>
      <c r="ALG25" s="59">
        <f t="shared" si="218"/>
        <v>2756738.9259616518</v>
      </c>
      <c r="ALH25" s="59">
        <f t="shared" si="218"/>
        <v>2757586.560148512</v>
      </c>
      <c r="ALI25" s="59">
        <f t="shared" si="218"/>
        <v>2758434.9006971945</v>
      </c>
      <c r="ALJ25" s="59">
        <f t="shared" si="218"/>
        <v>2759283.9481963343</v>
      </c>
      <c r="ALK25" s="59">
        <f t="shared" si="218"/>
        <v>2760133.7032350567</v>
      </c>
      <c r="ALL25" s="59">
        <f t="shared" si="218"/>
        <v>2760984.1664029779</v>
      </c>
      <c r="ALM25" s="59">
        <f t="shared" si="218"/>
        <v>2761835.3382902057</v>
      </c>
      <c r="ALN25" s="59">
        <f t="shared" si="218"/>
        <v>2762687.2194873397</v>
      </c>
      <c r="ALO25" s="59">
        <f t="shared" si="218"/>
        <v>2763539.8105854713</v>
      </c>
      <c r="ALP25" s="59">
        <f t="shared" si="218"/>
        <v>2764393.1121761845</v>
      </c>
      <c r="ALQ25" s="59">
        <f t="shared" si="218"/>
        <v>2765247.1248515565</v>
      </c>
      <c r="ALR25" s="59">
        <f t="shared" si="218"/>
        <v>2766101.8492041579</v>
      </c>
      <c r="ALS25" s="59">
        <f t="shared" si="218"/>
        <v>2766957.2858270532</v>
      </c>
      <c r="ALT25" s="59">
        <f t="shared" si="218"/>
        <v>2767813.4353138013</v>
      </c>
      <c r="ALU25" s="59">
        <f t="shared" si="218"/>
        <v>2768670.298258455</v>
      </c>
      <c r="ALV25" s="59">
        <f t="shared" si="218"/>
        <v>2769527.8752555624</v>
      </c>
      <c r="ALW25" s="59">
        <f t="shared" si="218"/>
        <v>2770386.1669001672</v>
      </c>
      <c r="ALX25" s="59">
        <f t="shared" si="218"/>
        <v>2771245.1737878094</v>
      </c>
      <c r="ALY25" s="59">
        <f t="shared" si="218"/>
        <v>2772104.8965145247</v>
      </c>
      <c r="ALZ25" s="59">
        <f t="shared" si="218"/>
        <v>2772965.3356768456</v>
      </c>
      <c r="AMA25" s="59">
        <f t="shared" si="218"/>
        <v>2773826.4918718017</v>
      </c>
      <c r="AMB25" s="59">
        <f t="shared" si="218"/>
        <v>2774688.3656969201</v>
      </c>
      <c r="AMC25" s="59">
        <f t="shared" si="218"/>
        <v>2775550.9577502264</v>
      </c>
      <c r="AMD25" s="59">
        <f t="shared" si="218"/>
        <v>2776414.2686302434</v>
      </c>
      <c r="AME25" s="59">
        <f t="shared" si="218"/>
        <v>2777278.298935994</v>
      </c>
      <c r="AMF25" s="59">
        <f t="shared" si="218"/>
        <v>2778143.0492669996</v>
      </c>
      <c r="AMG25" s="59">
        <f t="shared" si="218"/>
        <v>2779008.5202232809</v>
      </c>
      <c r="AMH25" s="59">
        <f t="shared" si="218"/>
        <v>2779874.7124053589</v>
      </c>
      <c r="AMI25" s="59">
        <f t="shared" si="218"/>
        <v>2780741.6264142552</v>
      </c>
      <c r="AMJ25" s="59">
        <f t="shared" si="218"/>
        <v>2781609.2628514925</v>
      </c>
      <c r="AMK25" s="59">
        <f t="shared" si="218"/>
        <v>2782477.6223190939</v>
      </c>
      <c r="AML25" s="59">
        <f t="shared" si="218"/>
        <v>2783346.7054195851</v>
      </c>
      <c r="AMM25" s="59">
        <f t="shared" ref="AMM25:ANQ25" si="219">IF(AND(AMM16="Desacumulación",AMN16="-"),ROUND(AMM20+AMM21+AMM22-AMM23+AMM24,2),AMM20+AMM21+AMM22-AMM23+AMM24)</f>
        <v>2784216.5127559933</v>
      </c>
      <c r="AMN25" s="59">
        <f t="shared" si="219"/>
        <v>2785087.0449318485</v>
      </c>
      <c r="AMO25" s="59">
        <f t="shared" si="219"/>
        <v>2785958.3025511838</v>
      </c>
      <c r="AMP25" s="59">
        <f t="shared" si="219"/>
        <v>2786830.2862185352</v>
      </c>
      <c r="AMQ25" s="59">
        <f t="shared" si="219"/>
        <v>2787702.9965389427</v>
      </c>
      <c r="AMR25" s="59">
        <f t="shared" si="219"/>
        <v>2788576.4341179505</v>
      </c>
      <c r="AMS25" s="59">
        <f t="shared" si="219"/>
        <v>2789450.5995616075</v>
      </c>
      <c r="AMT25" s="59">
        <f t="shared" si="219"/>
        <v>2790325.4934764677</v>
      </c>
      <c r="AMU25" s="59">
        <f t="shared" si="219"/>
        <v>2791201.11646959</v>
      </c>
      <c r="AMV25" s="59">
        <f t="shared" si="219"/>
        <v>2792077.4691485399</v>
      </c>
      <c r="AMW25" s="59">
        <f t="shared" si="219"/>
        <v>2792954.5521213892</v>
      </c>
      <c r="AMX25" s="59">
        <f t="shared" si="219"/>
        <v>2793832.3659967156</v>
      </c>
      <c r="AMY25" s="59">
        <f t="shared" si="219"/>
        <v>2794710.9113836051</v>
      </c>
      <c r="AMZ25" s="59">
        <f t="shared" si="219"/>
        <v>2795590.1888916502</v>
      </c>
      <c r="ANA25" s="59">
        <f t="shared" si="219"/>
        <v>2796470.1991309519</v>
      </c>
      <c r="ANB25" s="59">
        <f t="shared" si="219"/>
        <v>2797350.9427121198</v>
      </c>
      <c r="ANC25" s="59">
        <f t="shared" si="219"/>
        <v>2798232.4202462719</v>
      </c>
      <c r="AND25" s="59">
        <f t="shared" si="219"/>
        <v>2799114.6323450357</v>
      </c>
      <c r="ANE25" s="59">
        <f t="shared" si="219"/>
        <v>2799997.5796205485</v>
      </c>
      <c r="ANF25" s="59">
        <f t="shared" si="219"/>
        <v>2800881.2626854577</v>
      </c>
      <c r="ANG25" s="59">
        <f t="shared" si="219"/>
        <v>2801765.6821529209</v>
      </c>
      <c r="ANH25" s="59">
        <f t="shared" si="219"/>
        <v>2802650.8386366069</v>
      </c>
      <c r="ANI25" s="59">
        <f t="shared" si="219"/>
        <v>2803536.7327506961</v>
      </c>
      <c r="ANJ25" s="59">
        <f t="shared" si="219"/>
        <v>2804423.3651098805</v>
      </c>
      <c r="ANK25" s="59">
        <f t="shared" si="219"/>
        <v>2805310.7363293641</v>
      </c>
      <c r="ANL25" s="59">
        <f t="shared" si="219"/>
        <v>2806198.8470248641</v>
      </c>
      <c r="ANM25" s="59">
        <f t="shared" si="219"/>
        <v>2807087.6978126103</v>
      </c>
      <c r="ANN25" s="59">
        <f t="shared" si="219"/>
        <v>2807977.2893093461</v>
      </c>
      <c r="ANO25" s="59">
        <f t="shared" si="219"/>
        <v>2808867.6221323293</v>
      </c>
      <c r="ANP25" s="59">
        <f t="shared" si="219"/>
        <v>2809758.6968993316</v>
      </c>
      <c r="ANQ25" s="59">
        <f t="shared" si="219"/>
        <v>2810650.5142286397</v>
      </c>
      <c r="ANR25" s="59">
        <f>IF(AND(ANR16="Desacumulación",ANS16="-"),ROUND(ANR20+ANR21+ANR22-ANR23+ANR24,2),ANR20+ANR21+ANR22-ANR23+ANR24)</f>
        <v>2811543.0747390557</v>
      </c>
      <c r="ANS25" s="59">
        <f t="shared" ref="ANS25:AOO25" si="220">IF(AND(ANS16="Desacumulación",ANT16="-"),ROUND(ANS20+ANS21+ANS22-ANS23+ANS24,2),ANS20+ANS21+ANS22-ANS23+ANS24)</f>
        <v>2812436.3790498967</v>
      </c>
      <c r="ANT25" s="59">
        <f t="shared" si="220"/>
        <v>2813330.427780997</v>
      </c>
      <c r="ANU25" s="59">
        <f t="shared" si="220"/>
        <v>2814225.2215527063</v>
      </c>
      <c r="ANV25" s="59">
        <f t="shared" si="220"/>
        <v>2815120.7609858923</v>
      </c>
      <c r="ANW25" s="59">
        <f t="shared" si="220"/>
        <v>2816017.0467019393</v>
      </c>
      <c r="ANX25" s="59">
        <f t="shared" si="220"/>
        <v>2816914.0793227497</v>
      </c>
      <c r="ANY25" s="59">
        <f t="shared" si="220"/>
        <v>2817811.8594707442</v>
      </c>
      <c r="ANZ25" s="59">
        <f t="shared" si="220"/>
        <v>2818710.3877688618</v>
      </c>
      <c r="AOA25" s="59">
        <f t="shared" si="220"/>
        <v>2819609.6648405613</v>
      </c>
      <c r="AOB25" s="59">
        <f t="shared" si="220"/>
        <v>2820509.6913098204</v>
      </c>
      <c r="AOC25" s="59">
        <f t="shared" si="220"/>
        <v>2821410.4678011374</v>
      </c>
      <c r="AOD25" s="59">
        <f t="shared" si="220"/>
        <v>2822311.99</v>
      </c>
      <c r="AOE25" s="59">
        <f t="shared" si="220"/>
        <v>2824663.9166583335</v>
      </c>
      <c r="AOF25" s="59">
        <f t="shared" si="220"/>
        <v>2827017.8032555487</v>
      </c>
      <c r="AOG25" s="59">
        <f t="shared" si="220"/>
        <v>2829373.6514249281</v>
      </c>
      <c r="AOH25" s="59">
        <f t="shared" si="220"/>
        <v>2831731.4628011156</v>
      </c>
      <c r="AOI25" s="59">
        <f t="shared" si="220"/>
        <v>2834091.2390201166</v>
      </c>
      <c r="AOJ25" s="59">
        <f t="shared" si="220"/>
        <v>2836452.9817193002</v>
      </c>
      <c r="AOK25" s="59">
        <f t="shared" si="220"/>
        <v>2838816.6925373995</v>
      </c>
      <c r="AOL25" s="59">
        <f t="shared" si="220"/>
        <v>2841182.3731145142</v>
      </c>
      <c r="AOM25" s="59">
        <f t="shared" si="220"/>
        <v>2843550.0250921096</v>
      </c>
      <c r="AON25" s="59">
        <f t="shared" si="220"/>
        <v>2845919.6501130196</v>
      </c>
      <c r="AOO25" s="59">
        <f t="shared" si="220"/>
        <v>2848291.2498214473</v>
      </c>
      <c r="AOP25" s="59">
        <f>IF(AND(AOP16="Desacumulación",AOQ16="-"),ROUND(AOP20+AOP21+AOP22-AOP23+AOP24,2),AOP20+AOP21+AOP22-AOP23+AOP24)</f>
        <v>2850664.8258629651</v>
      </c>
    </row>
    <row r="28" spans="2:1102" x14ac:dyDescent="0.25">
      <c r="B28" s="64" t="s">
        <v>214</v>
      </c>
    </row>
    <row r="30" spans="2:1102" x14ac:dyDescent="0.25">
      <c r="B30" s="66" t="s">
        <v>173</v>
      </c>
    </row>
    <row r="31" spans="2:1102" x14ac:dyDescent="0.25">
      <c r="B31" s="42"/>
      <c r="C31" s="42">
        <v>12</v>
      </c>
      <c r="D31" s="42">
        <v>12</v>
      </c>
      <c r="E31" s="42">
        <v>12</v>
      </c>
      <c r="F31" s="42">
        <v>12</v>
      </c>
      <c r="G31" s="42">
        <v>12</v>
      </c>
      <c r="H31" s="42">
        <v>12</v>
      </c>
      <c r="I31" s="42">
        <v>12</v>
      </c>
      <c r="J31" s="42">
        <v>12</v>
      </c>
      <c r="K31" s="42">
        <v>12</v>
      </c>
      <c r="L31" s="42">
        <v>12</v>
      </c>
      <c r="M31" s="42">
        <v>12</v>
      </c>
      <c r="N31" s="42">
        <v>12</v>
      </c>
      <c r="O31" s="42">
        <v>12</v>
      </c>
      <c r="P31" s="42">
        <v>12</v>
      </c>
      <c r="Q31" s="42">
        <v>12</v>
      </c>
      <c r="R31" s="42">
        <v>12</v>
      </c>
      <c r="S31" s="42">
        <v>12</v>
      </c>
      <c r="T31" s="42">
        <v>12</v>
      </c>
      <c r="U31" s="42">
        <v>12</v>
      </c>
      <c r="V31" s="42">
        <v>12</v>
      </c>
      <c r="W31" s="42">
        <v>12</v>
      </c>
      <c r="X31" s="42">
        <v>12</v>
      </c>
      <c r="Y31" s="42">
        <v>12</v>
      </c>
      <c r="Z31" s="42">
        <v>12</v>
      </c>
      <c r="AA31" s="42">
        <v>12</v>
      </c>
    </row>
    <row r="32" spans="2:1102" x14ac:dyDescent="0.25">
      <c r="B32" s="42" t="s">
        <v>22</v>
      </c>
      <c r="C32" s="65">
        <f>Desacumulación!D9</f>
        <v>60</v>
      </c>
      <c r="D32" s="65">
        <f>IFERROR(IF(C32+1&gt;=Desacumulación!$D$10,"",C32+1),"")</f>
        <v>61</v>
      </c>
      <c r="E32" s="65">
        <f>IFERROR(IF(D32+1&gt;=Desacumulación!$D$10,"",D32+1),"")</f>
        <v>62</v>
      </c>
      <c r="F32" s="65">
        <f>IFERROR(IF(E32+1&gt;=Desacumulación!$D$10,"",E32+1),"")</f>
        <v>63</v>
      </c>
      <c r="G32" s="65">
        <f>IFERROR(IF(F32+1&gt;=Desacumulación!$D$10,"",F32+1),"")</f>
        <v>64</v>
      </c>
      <c r="H32" s="65">
        <f>IFERROR(IF(G32+1&gt;=Desacumulación!$D$10,"",G32+1),"")</f>
        <v>65</v>
      </c>
      <c r="I32" s="65">
        <f>IFERROR(IF(H32+1&gt;=Desacumulación!$D$10,"",H32+1),"")</f>
        <v>66</v>
      </c>
      <c r="J32" s="65">
        <f>IFERROR(IF(I32+1&gt;=Desacumulación!$D$10,"",I32+1),"")</f>
        <v>67</v>
      </c>
      <c r="K32" s="65">
        <f>IFERROR(IF(J32+1&gt;=Desacumulación!$D$10,"",J32+1),"")</f>
        <v>68</v>
      </c>
      <c r="L32" s="65">
        <f>IFERROR(IF(K32+1&gt;=Desacumulación!$D$10,"",K32+1),"")</f>
        <v>69</v>
      </c>
      <c r="M32" s="65">
        <f>IFERROR(IF(L32+1&gt;=Desacumulación!$D$10,"",L32+1),"")</f>
        <v>70</v>
      </c>
      <c r="N32" s="65">
        <f>IFERROR(IF(M32+1&gt;=Desacumulación!$D$10,"",M32+1),"")</f>
        <v>71</v>
      </c>
      <c r="O32" s="65">
        <f>IFERROR(IF(N32+1&gt;=Desacumulación!$D$10,"",N32+1),"")</f>
        <v>72</v>
      </c>
      <c r="P32" s="65">
        <f>IFERROR(IF(O32+1&gt;=Desacumulación!$D$10,"",O32+1),"")</f>
        <v>73</v>
      </c>
      <c r="Q32" s="65">
        <f>IFERROR(IF(P32+1&gt;=Desacumulación!$D$10,"",P32+1),"")</f>
        <v>74</v>
      </c>
      <c r="R32" s="65">
        <f>IFERROR(IF(Q32+1&gt;=Desacumulación!$D$10,"",Q32+1),"")</f>
        <v>75</v>
      </c>
      <c r="S32" s="65">
        <f>IFERROR(IF(R32+1&gt;=Desacumulación!$D$10,"",R32+1),"")</f>
        <v>76</v>
      </c>
      <c r="T32" s="65">
        <f>IFERROR(IF(S32+1&gt;=Desacumulación!$D$10,"",S32+1),"")</f>
        <v>77</v>
      </c>
      <c r="U32" s="65">
        <f>IFERROR(IF(T32+1&gt;=Desacumulación!$D$10,"",T32+1),"")</f>
        <v>78</v>
      </c>
      <c r="V32" s="65">
        <f>IFERROR(IF(U32+1&gt;=Desacumulación!$D$10,"",U32+1),"")</f>
        <v>79</v>
      </c>
      <c r="W32" s="65">
        <f>IFERROR(IF(V32+1&gt;=Desacumulación!$D$10,"",V32+1),"")</f>
        <v>80</v>
      </c>
      <c r="X32" s="65">
        <f>IFERROR(IF(W32+1&gt;=Desacumulación!$D$10,"",W32+1),"")</f>
        <v>81</v>
      </c>
      <c r="Y32" s="65">
        <f>IFERROR(IF(X32+1&gt;=Desacumulación!$D$10,"",X32+1),"")</f>
        <v>82</v>
      </c>
      <c r="Z32" s="65">
        <f>IFERROR(IF(Y32+1&gt;=Desacumulación!$D$10,"",Y32+1),"")</f>
        <v>83</v>
      </c>
      <c r="AA32" s="65">
        <f>IFERROR(IF(Z32+1&gt;=Desacumulación!$D$10,"",Z32+1),"")</f>
        <v>84</v>
      </c>
    </row>
    <row r="33" spans="2:27" x14ac:dyDescent="0.25">
      <c r="B33" s="55" t="s">
        <v>175</v>
      </c>
      <c r="C33" s="61">
        <f>Desacumulación!I4</f>
        <v>2541787.2603684017</v>
      </c>
      <c r="D33" s="61">
        <f t="shared" ref="D33:AA33" si="221">IF(D32="","",C34)</f>
        <v>2549846.2242086185</v>
      </c>
      <c r="E33" s="61">
        <f t="shared" si="221"/>
        <v>2557986.1480843658</v>
      </c>
      <c r="F33" s="61">
        <f t="shared" si="221"/>
        <v>2566207.8453169945</v>
      </c>
      <c r="G33" s="61">
        <f t="shared" si="221"/>
        <v>2574512.1373984478</v>
      </c>
      <c r="H33" s="61">
        <f t="shared" si="221"/>
        <v>2582899.854073348</v>
      </c>
      <c r="I33" s="61">
        <f t="shared" si="221"/>
        <v>2591371.8334218953</v>
      </c>
      <c r="J33" s="61">
        <f t="shared" si="221"/>
        <v>2599928.9219436152</v>
      </c>
      <c r="K33" s="61">
        <f t="shared" si="221"/>
        <v>2608571.9746419336</v>
      </c>
      <c r="L33" s="61">
        <f t="shared" si="221"/>
        <v>2617301.8551096045</v>
      </c>
      <c r="M33" s="61">
        <f t="shared" si="221"/>
        <v>2626119.4356150031</v>
      </c>
      <c r="N33" s="61">
        <f t="shared" si="221"/>
        <v>2635025.5971892793</v>
      </c>
      <c r="O33" s="61">
        <f t="shared" si="221"/>
        <v>2644021.2297143852</v>
      </c>
      <c r="P33" s="61">
        <f t="shared" si="221"/>
        <v>2653107.2320119925</v>
      </c>
      <c r="Q33" s="61">
        <f t="shared" si="221"/>
        <v>2662284.511933303</v>
      </c>
      <c r="R33" s="61">
        <f t="shared" si="221"/>
        <v>2671553.9864497529</v>
      </c>
      <c r="S33" s="61">
        <f t="shared" si="221"/>
        <v>2680916.5817446406</v>
      </c>
      <c r="T33" s="61">
        <f t="shared" si="221"/>
        <v>2690373.2333056638</v>
      </c>
      <c r="U33" s="61">
        <f t="shared" si="221"/>
        <v>2699924.8860183922</v>
      </c>
      <c r="V33" s="61">
        <f t="shared" si="221"/>
        <v>2709572.4942606809</v>
      </c>
      <c r="W33" s="61">
        <f t="shared" si="221"/>
        <v>2719317.0219980264</v>
      </c>
      <c r="X33" s="61">
        <f t="shared" si="221"/>
        <v>2729159.4428798864</v>
      </c>
      <c r="Y33" s="61">
        <f t="shared" si="221"/>
        <v>2739100.7403369597</v>
      </c>
      <c r="Z33" s="61">
        <f t="shared" si="221"/>
        <v>2749141.9076794549</v>
      </c>
      <c r="AA33" s="61">
        <f t="shared" si="221"/>
        <v>2759283.9481963343</v>
      </c>
    </row>
    <row r="34" spans="2:27" x14ac:dyDescent="0.25">
      <c r="B34" s="58" t="s">
        <v>179</v>
      </c>
      <c r="C34" s="62">
        <f>IF(C32="","",SUMIFS(Desacumulación!$C$25:$AOP$25,Desacumulación!$C$17:$AOP$17,C32,Desacumulación!$C$18:$AOP$18,C31))</f>
        <v>2549846.2242086185</v>
      </c>
      <c r="D34" s="62">
        <f>IF(D32="","",SUMIFS(Desacumulación!$C$25:$AOP$25,Desacumulación!$C$17:$AOP$17,D32,Desacumulación!$C$18:$AOP$18,D31))</f>
        <v>2557986.1480843658</v>
      </c>
      <c r="E34" s="62">
        <f>IF(E32="","",SUMIFS(Desacumulación!$C$25:$AOP$25,Desacumulación!$C$17:$AOP$17,E32,Desacumulación!$C$18:$AOP$18,E31))</f>
        <v>2566207.8453169945</v>
      </c>
      <c r="F34" s="62">
        <f>IF(F32="","",SUMIFS(Desacumulación!$C$25:$AOP$25,Desacumulación!$C$17:$AOP$17,F32,Desacumulación!$C$18:$AOP$18,F31))</f>
        <v>2574512.1373984478</v>
      </c>
      <c r="G34" s="62">
        <f>IF(G32="","",SUMIFS(Desacumulación!$C$25:$AOP$25,Desacumulación!$C$17:$AOP$17,G32,Desacumulación!$C$18:$AOP$18,G31))</f>
        <v>2582899.854073348</v>
      </c>
      <c r="H34" s="62">
        <f>IF(H32="","",SUMIFS(Desacumulación!$C$25:$AOP$25,Desacumulación!$C$17:$AOP$17,H32,Desacumulación!$C$18:$AOP$18,H31))</f>
        <v>2591371.8334218953</v>
      </c>
      <c r="I34" s="62">
        <f>IF(I32="","",SUMIFS(Desacumulación!$C$25:$AOP$25,Desacumulación!$C$17:$AOP$17,I32,Desacumulación!$C$18:$AOP$18,I31))</f>
        <v>2599928.9219436152</v>
      </c>
      <c r="J34" s="62">
        <f>IF(J32="","",SUMIFS(Desacumulación!$C$25:$AOP$25,Desacumulación!$C$17:$AOP$17,J32,Desacumulación!$C$18:$AOP$18,J31))</f>
        <v>2608571.9746419336</v>
      </c>
      <c r="K34" s="62">
        <f>IF(K32="","",SUMIFS(Desacumulación!$C$25:$AOP$25,Desacumulación!$C$17:$AOP$17,K32,Desacumulación!$C$18:$AOP$18,K31))</f>
        <v>2617301.8551096045</v>
      </c>
      <c r="L34" s="62">
        <f>IF(L32="","",SUMIFS(Desacumulación!$C$25:$AOP$25,Desacumulación!$C$17:$AOP$17,L32,Desacumulación!$C$18:$AOP$18,L31))</f>
        <v>2626119.4356150031</v>
      </c>
      <c r="M34" s="62">
        <f>IF(M32="","",SUMIFS(Desacumulación!$C$25:$AOP$25,Desacumulación!$C$17:$AOP$17,M32,Desacumulación!$C$18:$AOP$18,M31))</f>
        <v>2635025.5971892793</v>
      </c>
      <c r="N34" s="62">
        <f>IF(N32="","",SUMIFS(Desacumulación!$C$25:$AOP$25,Desacumulación!$C$17:$AOP$17,N32,Desacumulación!$C$18:$AOP$18,N31))</f>
        <v>2644021.2297143852</v>
      </c>
      <c r="O34" s="62">
        <f>IF(O32="","",SUMIFS(Desacumulación!$C$25:$AOP$25,Desacumulación!$C$17:$AOP$17,O32,Desacumulación!$C$18:$AOP$18,O31))</f>
        <v>2653107.2320119925</v>
      </c>
      <c r="P34" s="62">
        <f>IF(P32="","",SUMIFS(Desacumulación!$C$25:$AOP$25,Desacumulación!$C$17:$AOP$17,P32,Desacumulación!$C$18:$AOP$18,P31))</f>
        <v>2662284.511933303</v>
      </c>
      <c r="Q34" s="62">
        <f>IF(Q32="","",SUMIFS(Desacumulación!$C$25:$AOP$25,Desacumulación!$C$17:$AOP$17,Q32,Desacumulación!$C$18:$AOP$18,Q31))</f>
        <v>2671553.9864497529</v>
      </c>
      <c r="R34" s="62">
        <f>IF(R32="","",SUMIFS(Desacumulación!$C$25:$AOP$25,Desacumulación!$C$17:$AOP$17,R32,Desacumulación!$C$18:$AOP$18,R31))</f>
        <v>2680916.5817446406</v>
      </c>
      <c r="S34" s="62">
        <f>IF(S32="","",SUMIFS(Desacumulación!$C$25:$AOP$25,Desacumulación!$C$17:$AOP$17,S32,Desacumulación!$C$18:$AOP$18,S31))</f>
        <v>2690373.2333056638</v>
      </c>
      <c r="T34" s="62">
        <f>IF(T32="","",SUMIFS(Desacumulación!$C$25:$AOP$25,Desacumulación!$C$17:$AOP$17,T32,Desacumulación!$C$18:$AOP$18,T31))</f>
        <v>2699924.8860183922</v>
      </c>
      <c r="U34" s="62">
        <f>IF(U32="","",SUMIFS(Desacumulación!$C$25:$AOP$25,Desacumulación!$C$17:$AOP$17,U32,Desacumulación!$C$18:$AOP$18,U31))</f>
        <v>2709572.4942606809</v>
      </c>
      <c r="V34" s="62">
        <f>IF(V32="","",SUMIFS(Desacumulación!$C$25:$AOP$25,Desacumulación!$C$17:$AOP$17,V32,Desacumulación!$C$18:$AOP$18,V31))</f>
        <v>2719317.0219980264</v>
      </c>
      <c r="W34" s="62">
        <f>IF(W32="","",SUMIFS(Desacumulación!$C$25:$AOP$25,Desacumulación!$C$17:$AOP$17,W32,Desacumulación!$C$18:$AOP$18,W31))</f>
        <v>2729159.4428798864</v>
      </c>
      <c r="X34" s="62">
        <f>IF(X32="","",SUMIFS(Desacumulación!$C$25:$AOP$25,Desacumulación!$C$17:$AOP$17,X32,Desacumulación!$C$18:$AOP$18,X31))</f>
        <v>2739100.7403369597</v>
      </c>
      <c r="Y34" s="62">
        <f>IF(Y32="","",SUMIFS(Desacumulación!$C$25:$AOP$25,Desacumulación!$C$17:$AOP$17,Y32,Desacumulación!$C$18:$AOP$18,Y31))</f>
        <v>2749141.9076794549</v>
      </c>
      <c r="Z34" s="62">
        <f>IF(Z32="","",SUMIFS(Desacumulación!$C$25:$AOP$25,Desacumulación!$C$17:$AOP$17,Z32,Desacumulación!$C$18:$AOP$18,Z31))</f>
        <v>2759283.9481963343</v>
      </c>
      <c r="AA34" s="62">
        <f>IF(AA32="","",SUMIFS(Desacumulación!$C$25:$AOP$25,Desacumulación!$C$17:$AOP$17,AA32,Desacumulación!$C$18:$AOP$18,AA31))</f>
        <v>2769527.8752555624</v>
      </c>
    </row>
  </sheetData>
  <conditionalFormatting sqref="D7">
    <cfRule type="cellIs" dxfId="66" priority="6" operator="equal">
      <formula>0</formula>
    </cfRule>
  </conditionalFormatting>
  <conditionalFormatting sqref="D8">
    <cfRule type="expression" dxfId="65" priority="5">
      <formula>$D$7=0</formula>
    </cfRule>
  </conditionalFormatting>
  <conditionalFormatting sqref="D9:D10">
    <cfRule type="cellIs" dxfId="64" priority="7" operator="greaterThan">
      <formula>$D$10</formula>
    </cfRule>
  </conditionalFormatting>
  <conditionalFormatting sqref="D10">
    <cfRule type="cellIs" dxfId="63" priority="3" operator="lessThanOrEqual">
      <formula>$D$9-1</formula>
    </cfRule>
    <cfRule type="cellIs" dxfId="62" priority="4" operator="greaterThan">
      <formula>90</formula>
    </cfRule>
  </conditionalFormatting>
  <conditionalFormatting sqref="I8">
    <cfRule type="cellIs" dxfId="61" priority="1" operator="lessThan">
      <formula>$I$7</formula>
    </cfRule>
    <cfRule type="cellIs" dxfId="60" priority="2" operator="greaterThanOrEqual">
      <formula>$I$7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5BE6-CBB3-4230-99A5-7955B1ED51F8}">
  <sheetPr>
    <tabColor rgb="FFFF9999"/>
  </sheetPr>
  <dimension ref="A2:APK63"/>
  <sheetViews>
    <sheetView showGridLines="0" zoomScale="88" zoomScaleNormal="100" workbookViewId="0">
      <pane xSplit="3" topLeftCell="D1" activePane="topRight" state="frozen"/>
      <selection activeCell="I64" sqref="I64"/>
      <selection pane="topRight" activeCell="I64" sqref="I64"/>
    </sheetView>
  </sheetViews>
  <sheetFormatPr baseColWidth="10" defaultRowHeight="15" x14ac:dyDescent="0.25"/>
  <cols>
    <col min="1" max="1" width="3.5703125" customWidth="1"/>
    <col min="2" max="2" width="25.42578125" customWidth="1"/>
    <col min="3" max="3" width="14.5703125" customWidth="1"/>
    <col min="4" max="8" width="12.85546875" customWidth="1"/>
    <col min="9" max="9" width="13.7109375" bestFit="1" customWidth="1"/>
    <col min="10" max="1083" width="12.85546875" customWidth="1"/>
  </cols>
  <sheetData>
    <row r="2" spans="2:1103" x14ac:dyDescent="0.25">
      <c r="C2" s="38" t="s">
        <v>153</v>
      </c>
      <c r="F2" s="39" t="s">
        <v>154</v>
      </c>
    </row>
    <row r="3" spans="2:1103" x14ac:dyDescent="0.25">
      <c r="B3" s="40" t="s">
        <v>155</v>
      </c>
      <c r="C3" s="41">
        <f>'Cálculos y Supuestos Edo.Res'!C4</f>
        <v>0.01</v>
      </c>
      <c r="D3" s="42"/>
      <c r="F3" s="40" t="s">
        <v>156</v>
      </c>
      <c r="G3" s="42"/>
      <c r="H3" s="43">
        <f>IF(C7=0,"N/A",SUMIFS(D20:AOQ20,D15:AOQ15,C8,D16:AOQ16,1))</f>
        <v>0</v>
      </c>
      <c r="I3" s="44"/>
    </row>
    <row r="4" spans="2:1103" x14ac:dyDescent="0.25">
      <c r="B4" s="40" t="s">
        <v>157</v>
      </c>
      <c r="C4" s="45">
        <f>'Patrimonio Financiero'!AP200</f>
        <v>400000</v>
      </c>
      <c r="D4" s="42"/>
      <c r="F4" s="40" t="s">
        <v>158</v>
      </c>
      <c r="G4" s="42"/>
      <c r="H4" s="46">
        <f>SUMIFS(D20:AOQ20,D15:AOQ15,C9,D16:AOQ16,1)+SUMIFS(D21:AOQ21,D15:AOQ15,C9,D16:AOQ16,1)</f>
        <v>1774127.4087578077</v>
      </c>
    </row>
    <row r="5" spans="2:1103" x14ac:dyDescent="0.25">
      <c r="B5" s="40" t="s">
        <v>159</v>
      </c>
      <c r="C5" s="47">
        <f>EdadActual</f>
        <v>50</v>
      </c>
      <c r="D5" s="42"/>
      <c r="F5" s="40" t="s">
        <v>160</v>
      </c>
      <c r="G5" s="42"/>
      <c r="H5" s="48">
        <f>(C10-C9)</f>
        <v>30</v>
      </c>
    </row>
    <row r="6" spans="2:1103" x14ac:dyDescent="0.25">
      <c r="B6" s="40" t="s">
        <v>226</v>
      </c>
      <c r="C6" s="45">
        <f>'Patrimonio Financiero'!AP196</f>
        <v>150000</v>
      </c>
      <c r="F6" s="40" t="s">
        <v>163</v>
      </c>
      <c r="G6" s="42"/>
      <c r="H6" s="42">
        <f>H5*12</f>
        <v>360</v>
      </c>
    </row>
    <row r="7" spans="2:1103" ht="15.75" thickBot="1" x14ac:dyDescent="0.3">
      <c r="B7" s="40" t="s">
        <v>161</v>
      </c>
      <c r="C7" s="45">
        <f>'Patrimonio Financiero'!AE196</f>
        <v>15000</v>
      </c>
      <c r="D7" s="44" t="s">
        <v>162</v>
      </c>
      <c r="F7" s="40" t="s">
        <v>165</v>
      </c>
      <c r="H7" s="45">
        <f>'Cálculos y Supuestos Edo.Res'!G46</f>
        <v>1448.4412170937503</v>
      </c>
    </row>
    <row r="8" spans="2:1103" ht="15.75" thickBot="1" x14ac:dyDescent="0.3">
      <c r="B8" s="40" t="s">
        <v>164</v>
      </c>
      <c r="C8" s="47">
        <f>EdadActual</f>
        <v>50</v>
      </c>
      <c r="D8" s="44" t="s">
        <v>162</v>
      </c>
      <c r="F8" s="49" t="s">
        <v>168</v>
      </c>
      <c r="G8" s="50"/>
      <c r="H8" s="51">
        <f>PMT(($C$3/12),H6,H4,0,1)*-1</f>
        <v>5701.5436033019132</v>
      </c>
      <c r="I8" s="44" t="s">
        <v>169</v>
      </c>
    </row>
    <row r="9" spans="2:1103" x14ac:dyDescent="0.25">
      <c r="B9" s="40" t="s">
        <v>166</v>
      </c>
      <c r="C9" s="47">
        <f>InicioDesacumulacion</f>
        <v>60</v>
      </c>
      <c r="D9" s="44" t="s">
        <v>167</v>
      </c>
      <c r="J9" s="60"/>
      <c r="K9" s="44"/>
    </row>
    <row r="10" spans="2:1103" x14ac:dyDescent="0.25">
      <c r="B10" s="40" t="s">
        <v>170</v>
      </c>
      <c r="C10" s="47">
        <f>FinRecursos</f>
        <v>90</v>
      </c>
      <c r="D10" s="44" t="s">
        <v>171</v>
      </c>
      <c r="F10" s="40" t="s">
        <v>242</v>
      </c>
      <c r="G10" s="42"/>
      <c r="H10" s="46">
        <f>AOE25</f>
        <v>2394522.34</v>
      </c>
      <c r="J10" s="60"/>
      <c r="K10" s="44"/>
    </row>
    <row r="11" spans="2:1103" x14ac:dyDescent="0.25">
      <c r="F11" s="52"/>
      <c r="RD11">
        <v>40</v>
      </c>
      <c r="ADD11" t="s">
        <v>172</v>
      </c>
    </row>
    <row r="12" spans="2:1103" x14ac:dyDescent="0.25">
      <c r="B12" s="53" t="s">
        <v>157</v>
      </c>
      <c r="C12" s="53"/>
      <c r="D12" s="54" t="str">
        <f t="shared" ref="D12:BO12" si="0">IF(AND(D16=1,D15=$C$5),"Aportación Inicial","-")</f>
        <v>-</v>
      </c>
      <c r="E12" s="54" t="str">
        <f t="shared" si="0"/>
        <v>-</v>
      </c>
      <c r="F12" s="54" t="str">
        <f t="shared" si="0"/>
        <v>-</v>
      </c>
      <c r="G12" s="54" t="str">
        <f t="shared" si="0"/>
        <v>-</v>
      </c>
      <c r="H12" s="54" t="str">
        <f t="shared" si="0"/>
        <v>-</v>
      </c>
      <c r="I12" s="54" t="str">
        <f t="shared" si="0"/>
        <v>-</v>
      </c>
      <c r="J12" s="54" t="str">
        <f t="shared" si="0"/>
        <v>-</v>
      </c>
      <c r="K12" s="54" t="str">
        <f t="shared" si="0"/>
        <v>-</v>
      </c>
      <c r="L12" s="54" t="str">
        <f t="shared" si="0"/>
        <v>-</v>
      </c>
      <c r="M12" s="54" t="str">
        <f t="shared" si="0"/>
        <v>-</v>
      </c>
      <c r="N12" s="54" t="str">
        <f t="shared" si="0"/>
        <v>-</v>
      </c>
      <c r="O12" s="54" t="str">
        <f t="shared" si="0"/>
        <v>-</v>
      </c>
      <c r="P12" s="54" t="str">
        <f t="shared" si="0"/>
        <v>-</v>
      </c>
      <c r="Q12" s="54" t="str">
        <f t="shared" si="0"/>
        <v>-</v>
      </c>
      <c r="R12" s="54" t="str">
        <f t="shared" si="0"/>
        <v>-</v>
      </c>
      <c r="S12" s="54" t="str">
        <f t="shared" si="0"/>
        <v>-</v>
      </c>
      <c r="T12" s="54" t="str">
        <f t="shared" si="0"/>
        <v>-</v>
      </c>
      <c r="U12" s="54" t="str">
        <f t="shared" si="0"/>
        <v>-</v>
      </c>
      <c r="V12" s="54" t="str">
        <f t="shared" si="0"/>
        <v>-</v>
      </c>
      <c r="W12" s="54" t="str">
        <f t="shared" si="0"/>
        <v>-</v>
      </c>
      <c r="X12" s="54" t="str">
        <f t="shared" si="0"/>
        <v>-</v>
      </c>
      <c r="Y12" s="54" t="str">
        <f t="shared" si="0"/>
        <v>-</v>
      </c>
      <c r="Z12" s="54" t="str">
        <f t="shared" si="0"/>
        <v>-</v>
      </c>
      <c r="AA12" s="54" t="str">
        <f t="shared" si="0"/>
        <v>-</v>
      </c>
      <c r="AB12" s="54" t="str">
        <f t="shared" si="0"/>
        <v>-</v>
      </c>
      <c r="AC12" s="54" t="str">
        <f t="shared" si="0"/>
        <v>-</v>
      </c>
      <c r="AD12" s="54" t="str">
        <f t="shared" si="0"/>
        <v>-</v>
      </c>
      <c r="AE12" s="54" t="str">
        <f t="shared" si="0"/>
        <v>-</v>
      </c>
      <c r="AF12" s="54" t="str">
        <f t="shared" si="0"/>
        <v>-</v>
      </c>
      <c r="AG12" s="54" t="str">
        <f t="shared" si="0"/>
        <v>-</v>
      </c>
      <c r="AH12" s="54" t="str">
        <f t="shared" si="0"/>
        <v>-</v>
      </c>
      <c r="AI12" s="54" t="str">
        <f t="shared" si="0"/>
        <v>-</v>
      </c>
      <c r="AJ12" s="54" t="str">
        <f t="shared" si="0"/>
        <v>-</v>
      </c>
      <c r="AK12" s="54" t="str">
        <f t="shared" si="0"/>
        <v>-</v>
      </c>
      <c r="AL12" s="54" t="str">
        <f t="shared" si="0"/>
        <v>-</v>
      </c>
      <c r="AM12" s="54" t="str">
        <f t="shared" si="0"/>
        <v>-</v>
      </c>
      <c r="AN12" s="54" t="str">
        <f t="shared" si="0"/>
        <v>-</v>
      </c>
      <c r="AO12" s="54" t="str">
        <f t="shared" si="0"/>
        <v>-</v>
      </c>
      <c r="AP12" s="54" t="str">
        <f t="shared" si="0"/>
        <v>-</v>
      </c>
      <c r="AQ12" s="54" t="str">
        <f t="shared" si="0"/>
        <v>-</v>
      </c>
      <c r="AR12" s="54" t="str">
        <f t="shared" si="0"/>
        <v>-</v>
      </c>
      <c r="AS12" s="54" t="str">
        <f t="shared" si="0"/>
        <v>-</v>
      </c>
      <c r="AT12" s="54" t="str">
        <f t="shared" si="0"/>
        <v>-</v>
      </c>
      <c r="AU12" s="54" t="str">
        <f t="shared" si="0"/>
        <v>-</v>
      </c>
      <c r="AV12" s="54" t="str">
        <f t="shared" si="0"/>
        <v>-</v>
      </c>
      <c r="AW12" s="54" t="str">
        <f t="shared" si="0"/>
        <v>-</v>
      </c>
      <c r="AX12" s="54" t="str">
        <f t="shared" si="0"/>
        <v>-</v>
      </c>
      <c r="AY12" s="54" t="str">
        <f t="shared" si="0"/>
        <v>-</v>
      </c>
      <c r="AZ12" s="54" t="str">
        <f t="shared" si="0"/>
        <v>-</v>
      </c>
      <c r="BA12" s="54" t="str">
        <f t="shared" si="0"/>
        <v>-</v>
      </c>
      <c r="BB12" s="54" t="str">
        <f t="shared" si="0"/>
        <v>-</v>
      </c>
      <c r="BC12" s="54" t="str">
        <f t="shared" si="0"/>
        <v>-</v>
      </c>
      <c r="BD12" s="54" t="str">
        <f t="shared" si="0"/>
        <v>-</v>
      </c>
      <c r="BE12" s="54" t="str">
        <f t="shared" si="0"/>
        <v>-</v>
      </c>
      <c r="BF12" s="54" t="str">
        <f t="shared" si="0"/>
        <v>-</v>
      </c>
      <c r="BG12" s="54" t="str">
        <f t="shared" si="0"/>
        <v>-</v>
      </c>
      <c r="BH12" s="54" t="str">
        <f t="shared" si="0"/>
        <v>-</v>
      </c>
      <c r="BI12" s="54" t="str">
        <f t="shared" si="0"/>
        <v>-</v>
      </c>
      <c r="BJ12" s="54" t="str">
        <f t="shared" si="0"/>
        <v>-</v>
      </c>
      <c r="BK12" s="54" t="str">
        <f t="shared" si="0"/>
        <v>-</v>
      </c>
      <c r="BL12" s="54" t="str">
        <f t="shared" si="0"/>
        <v>-</v>
      </c>
      <c r="BM12" s="54" t="str">
        <f t="shared" si="0"/>
        <v>-</v>
      </c>
      <c r="BN12" s="54" t="str">
        <f t="shared" si="0"/>
        <v>-</v>
      </c>
      <c r="BO12" s="54" t="str">
        <f t="shared" si="0"/>
        <v>-</v>
      </c>
      <c r="BP12" s="54" t="str">
        <f t="shared" ref="BP12:EA12" si="1">IF(AND(BP16=1,BP15=$C$5),"Aportación Inicial","-")</f>
        <v>-</v>
      </c>
      <c r="BQ12" s="54" t="str">
        <f t="shared" si="1"/>
        <v>-</v>
      </c>
      <c r="BR12" s="54" t="str">
        <f t="shared" si="1"/>
        <v>-</v>
      </c>
      <c r="BS12" s="54" t="str">
        <f t="shared" si="1"/>
        <v>-</v>
      </c>
      <c r="BT12" s="54" t="str">
        <f t="shared" si="1"/>
        <v>-</v>
      </c>
      <c r="BU12" s="54" t="str">
        <f t="shared" si="1"/>
        <v>-</v>
      </c>
      <c r="BV12" s="54" t="str">
        <f t="shared" si="1"/>
        <v>-</v>
      </c>
      <c r="BW12" s="54" t="str">
        <f t="shared" si="1"/>
        <v>-</v>
      </c>
      <c r="BX12" s="54" t="str">
        <f t="shared" si="1"/>
        <v>-</v>
      </c>
      <c r="BY12" s="54" t="str">
        <f t="shared" si="1"/>
        <v>-</v>
      </c>
      <c r="BZ12" s="54" t="str">
        <f t="shared" si="1"/>
        <v>-</v>
      </c>
      <c r="CA12" s="54" t="str">
        <f t="shared" si="1"/>
        <v>-</v>
      </c>
      <c r="CB12" s="54" t="str">
        <f t="shared" si="1"/>
        <v>-</v>
      </c>
      <c r="CC12" s="54" t="str">
        <f t="shared" si="1"/>
        <v>-</v>
      </c>
      <c r="CD12" s="54" t="str">
        <f t="shared" si="1"/>
        <v>-</v>
      </c>
      <c r="CE12" s="54" t="str">
        <f t="shared" si="1"/>
        <v>-</v>
      </c>
      <c r="CF12" s="54" t="str">
        <f t="shared" si="1"/>
        <v>-</v>
      </c>
      <c r="CG12" s="54" t="str">
        <f t="shared" si="1"/>
        <v>-</v>
      </c>
      <c r="CH12" s="54" t="str">
        <f t="shared" si="1"/>
        <v>-</v>
      </c>
      <c r="CI12" s="54" t="str">
        <f t="shared" si="1"/>
        <v>-</v>
      </c>
      <c r="CJ12" s="54" t="str">
        <f t="shared" si="1"/>
        <v>-</v>
      </c>
      <c r="CK12" s="54" t="str">
        <f t="shared" si="1"/>
        <v>-</v>
      </c>
      <c r="CL12" s="54" t="str">
        <f t="shared" si="1"/>
        <v>-</v>
      </c>
      <c r="CM12" s="54" t="str">
        <f t="shared" si="1"/>
        <v>-</v>
      </c>
      <c r="CN12" s="54" t="str">
        <f t="shared" si="1"/>
        <v>-</v>
      </c>
      <c r="CO12" s="54" t="str">
        <f t="shared" si="1"/>
        <v>-</v>
      </c>
      <c r="CP12" s="54" t="str">
        <f t="shared" si="1"/>
        <v>-</v>
      </c>
      <c r="CQ12" s="54" t="str">
        <f t="shared" si="1"/>
        <v>-</v>
      </c>
      <c r="CR12" s="54" t="str">
        <f t="shared" si="1"/>
        <v>-</v>
      </c>
      <c r="CS12" s="54" t="str">
        <f t="shared" si="1"/>
        <v>-</v>
      </c>
      <c r="CT12" s="54" t="str">
        <f t="shared" si="1"/>
        <v>-</v>
      </c>
      <c r="CU12" s="54" t="str">
        <f t="shared" si="1"/>
        <v>-</v>
      </c>
      <c r="CV12" s="54" t="str">
        <f t="shared" si="1"/>
        <v>-</v>
      </c>
      <c r="CW12" s="54" t="str">
        <f t="shared" si="1"/>
        <v>-</v>
      </c>
      <c r="CX12" s="54" t="str">
        <f t="shared" si="1"/>
        <v>-</v>
      </c>
      <c r="CY12" s="54" t="str">
        <f t="shared" si="1"/>
        <v>-</v>
      </c>
      <c r="CZ12" s="54" t="str">
        <f t="shared" si="1"/>
        <v>-</v>
      </c>
      <c r="DA12" s="54" t="str">
        <f t="shared" si="1"/>
        <v>-</v>
      </c>
      <c r="DB12" s="54" t="str">
        <f t="shared" si="1"/>
        <v>-</v>
      </c>
      <c r="DC12" s="54" t="str">
        <f t="shared" si="1"/>
        <v>-</v>
      </c>
      <c r="DD12" s="54" t="str">
        <f t="shared" si="1"/>
        <v>-</v>
      </c>
      <c r="DE12" s="54" t="str">
        <f t="shared" si="1"/>
        <v>-</v>
      </c>
      <c r="DF12" s="54" t="str">
        <f t="shared" si="1"/>
        <v>-</v>
      </c>
      <c r="DG12" s="54" t="str">
        <f t="shared" si="1"/>
        <v>-</v>
      </c>
      <c r="DH12" s="54" t="str">
        <f t="shared" si="1"/>
        <v>-</v>
      </c>
      <c r="DI12" s="54" t="str">
        <f t="shared" si="1"/>
        <v>-</v>
      </c>
      <c r="DJ12" s="54" t="str">
        <f t="shared" si="1"/>
        <v>-</v>
      </c>
      <c r="DK12" s="54" t="str">
        <f t="shared" si="1"/>
        <v>-</v>
      </c>
      <c r="DL12" s="54" t="str">
        <f t="shared" si="1"/>
        <v>-</v>
      </c>
      <c r="DM12" s="54" t="str">
        <f t="shared" si="1"/>
        <v>-</v>
      </c>
      <c r="DN12" s="54" t="str">
        <f t="shared" si="1"/>
        <v>-</v>
      </c>
      <c r="DO12" s="54" t="str">
        <f t="shared" si="1"/>
        <v>-</v>
      </c>
      <c r="DP12" s="54" t="str">
        <f t="shared" si="1"/>
        <v>-</v>
      </c>
      <c r="DQ12" s="54" t="str">
        <f t="shared" si="1"/>
        <v>-</v>
      </c>
      <c r="DR12" s="54" t="str">
        <f t="shared" si="1"/>
        <v>-</v>
      </c>
      <c r="DS12" s="54" t="str">
        <f t="shared" si="1"/>
        <v>-</v>
      </c>
      <c r="DT12" s="54" t="str">
        <f t="shared" si="1"/>
        <v>-</v>
      </c>
      <c r="DU12" s="54" t="str">
        <f t="shared" si="1"/>
        <v>-</v>
      </c>
      <c r="DV12" s="54" t="str">
        <f t="shared" si="1"/>
        <v>-</v>
      </c>
      <c r="DW12" s="54" t="str">
        <f t="shared" si="1"/>
        <v>-</v>
      </c>
      <c r="DX12" s="54" t="str">
        <f t="shared" si="1"/>
        <v>-</v>
      </c>
      <c r="DY12" s="54" t="str">
        <f t="shared" si="1"/>
        <v>-</v>
      </c>
      <c r="DZ12" s="54" t="str">
        <f t="shared" si="1"/>
        <v>-</v>
      </c>
      <c r="EA12" s="54" t="str">
        <f t="shared" si="1"/>
        <v>-</v>
      </c>
      <c r="EB12" s="54" t="str">
        <f t="shared" ref="EB12:GM12" si="2">IF(AND(EB16=1,EB15=$C$5),"Aportación Inicial","-")</f>
        <v>-</v>
      </c>
      <c r="EC12" s="54" t="str">
        <f t="shared" si="2"/>
        <v>-</v>
      </c>
      <c r="ED12" s="54" t="str">
        <f t="shared" si="2"/>
        <v>-</v>
      </c>
      <c r="EE12" s="54" t="str">
        <f t="shared" si="2"/>
        <v>-</v>
      </c>
      <c r="EF12" s="54" t="str">
        <f t="shared" si="2"/>
        <v>-</v>
      </c>
      <c r="EG12" s="54" t="str">
        <f t="shared" si="2"/>
        <v>-</v>
      </c>
      <c r="EH12" s="54" t="str">
        <f t="shared" si="2"/>
        <v>-</v>
      </c>
      <c r="EI12" s="54" t="str">
        <f t="shared" si="2"/>
        <v>-</v>
      </c>
      <c r="EJ12" s="54" t="str">
        <f t="shared" si="2"/>
        <v>-</v>
      </c>
      <c r="EK12" s="54" t="str">
        <f t="shared" si="2"/>
        <v>-</v>
      </c>
      <c r="EL12" s="54" t="str">
        <f t="shared" si="2"/>
        <v>-</v>
      </c>
      <c r="EM12" s="54" t="str">
        <f t="shared" si="2"/>
        <v>-</v>
      </c>
      <c r="EN12" s="54" t="str">
        <f t="shared" si="2"/>
        <v>-</v>
      </c>
      <c r="EO12" s="54" t="str">
        <f t="shared" si="2"/>
        <v>-</v>
      </c>
      <c r="EP12" s="54" t="str">
        <f t="shared" si="2"/>
        <v>-</v>
      </c>
      <c r="EQ12" s="54" t="str">
        <f t="shared" si="2"/>
        <v>-</v>
      </c>
      <c r="ER12" s="54" t="str">
        <f t="shared" si="2"/>
        <v>-</v>
      </c>
      <c r="ES12" s="54" t="str">
        <f t="shared" si="2"/>
        <v>-</v>
      </c>
      <c r="ET12" s="54" t="str">
        <f t="shared" si="2"/>
        <v>-</v>
      </c>
      <c r="EU12" s="54" t="str">
        <f t="shared" si="2"/>
        <v>-</v>
      </c>
      <c r="EV12" s="54" t="str">
        <f t="shared" si="2"/>
        <v>-</v>
      </c>
      <c r="EW12" s="54" t="str">
        <f t="shared" si="2"/>
        <v>-</v>
      </c>
      <c r="EX12" s="54" t="str">
        <f t="shared" si="2"/>
        <v>-</v>
      </c>
      <c r="EY12" s="54" t="str">
        <f t="shared" si="2"/>
        <v>-</v>
      </c>
      <c r="EZ12" s="54" t="str">
        <f t="shared" si="2"/>
        <v>-</v>
      </c>
      <c r="FA12" s="54" t="str">
        <f t="shared" si="2"/>
        <v>-</v>
      </c>
      <c r="FB12" s="54" t="str">
        <f t="shared" si="2"/>
        <v>-</v>
      </c>
      <c r="FC12" s="54" t="str">
        <f t="shared" si="2"/>
        <v>-</v>
      </c>
      <c r="FD12" s="54" t="str">
        <f t="shared" si="2"/>
        <v>-</v>
      </c>
      <c r="FE12" s="54" t="str">
        <f t="shared" si="2"/>
        <v>-</v>
      </c>
      <c r="FF12" s="54" t="str">
        <f t="shared" si="2"/>
        <v>-</v>
      </c>
      <c r="FG12" s="54" t="str">
        <f t="shared" si="2"/>
        <v>-</v>
      </c>
      <c r="FH12" s="54" t="str">
        <f t="shared" si="2"/>
        <v>-</v>
      </c>
      <c r="FI12" s="54" t="str">
        <f t="shared" si="2"/>
        <v>-</v>
      </c>
      <c r="FJ12" s="54" t="str">
        <f t="shared" si="2"/>
        <v>-</v>
      </c>
      <c r="FK12" s="54" t="str">
        <f t="shared" si="2"/>
        <v>-</v>
      </c>
      <c r="FL12" s="54" t="str">
        <f t="shared" si="2"/>
        <v>-</v>
      </c>
      <c r="FM12" s="54" t="str">
        <f t="shared" si="2"/>
        <v>-</v>
      </c>
      <c r="FN12" s="54" t="str">
        <f t="shared" si="2"/>
        <v>-</v>
      </c>
      <c r="FO12" s="54" t="str">
        <f t="shared" si="2"/>
        <v>-</v>
      </c>
      <c r="FP12" s="54" t="str">
        <f t="shared" si="2"/>
        <v>-</v>
      </c>
      <c r="FQ12" s="54" t="str">
        <f t="shared" si="2"/>
        <v>-</v>
      </c>
      <c r="FR12" s="54" t="str">
        <f t="shared" si="2"/>
        <v>-</v>
      </c>
      <c r="FS12" s="54" t="str">
        <f t="shared" si="2"/>
        <v>-</v>
      </c>
      <c r="FT12" s="54" t="str">
        <f t="shared" si="2"/>
        <v>-</v>
      </c>
      <c r="FU12" s="54" t="str">
        <f t="shared" si="2"/>
        <v>-</v>
      </c>
      <c r="FV12" s="54" t="str">
        <f t="shared" si="2"/>
        <v>-</v>
      </c>
      <c r="FW12" s="54" t="str">
        <f t="shared" si="2"/>
        <v>-</v>
      </c>
      <c r="FX12" s="54" t="str">
        <f t="shared" si="2"/>
        <v>-</v>
      </c>
      <c r="FY12" s="54" t="str">
        <f t="shared" si="2"/>
        <v>-</v>
      </c>
      <c r="FZ12" s="54" t="str">
        <f t="shared" si="2"/>
        <v>-</v>
      </c>
      <c r="GA12" s="54" t="str">
        <f t="shared" si="2"/>
        <v>-</v>
      </c>
      <c r="GB12" s="54" t="str">
        <f t="shared" si="2"/>
        <v>-</v>
      </c>
      <c r="GC12" s="54" t="str">
        <f t="shared" si="2"/>
        <v>-</v>
      </c>
      <c r="GD12" s="54" t="str">
        <f t="shared" si="2"/>
        <v>-</v>
      </c>
      <c r="GE12" s="54" t="str">
        <f t="shared" si="2"/>
        <v>-</v>
      </c>
      <c r="GF12" s="54" t="str">
        <f t="shared" si="2"/>
        <v>-</v>
      </c>
      <c r="GG12" s="54" t="str">
        <f t="shared" si="2"/>
        <v>-</v>
      </c>
      <c r="GH12" s="54" t="str">
        <f t="shared" si="2"/>
        <v>-</v>
      </c>
      <c r="GI12" s="54" t="str">
        <f t="shared" si="2"/>
        <v>-</v>
      </c>
      <c r="GJ12" s="54" t="str">
        <f t="shared" si="2"/>
        <v>-</v>
      </c>
      <c r="GK12" s="54" t="str">
        <f t="shared" si="2"/>
        <v>-</v>
      </c>
      <c r="GL12" s="54" t="str">
        <f t="shared" si="2"/>
        <v>-</v>
      </c>
      <c r="GM12" s="54" t="str">
        <f t="shared" si="2"/>
        <v>-</v>
      </c>
      <c r="GN12" s="54" t="str">
        <f t="shared" ref="GN12:IY12" si="3">IF(AND(GN16=1,GN15=$C$5),"Aportación Inicial","-")</f>
        <v>-</v>
      </c>
      <c r="GO12" s="54" t="str">
        <f t="shared" si="3"/>
        <v>-</v>
      </c>
      <c r="GP12" s="54" t="str">
        <f t="shared" si="3"/>
        <v>-</v>
      </c>
      <c r="GQ12" s="54" t="str">
        <f t="shared" si="3"/>
        <v>-</v>
      </c>
      <c r="GR12" s="54" t="str">
        <f t="shared" si="3"/>
        <v>-</v>
      </c>
      <c r="GS12" s="54" t="str">
        <f t="shared" si="3"/>
        <v>-</v>
      </c>
      <c r="GT12" s="54" t="str">
        <f t="shared" si="3"/>
        <v>-</v>
      </c>
      <c r="GU12" s="54" t="str">
        <f t="shared" si="3"/>
        <v>-</v>
      </c>
      <c r="GV12" s="54" t="str">
        <f t="shared" si="3"/>
        <v>-</v>
      </c>
      <c r="GW12" s="54" t="str">
        <f t="shared" si="3"/>
        <v>-</v>
      </c>
      <c r="GX12" s="54" t="str">
        <f t="shared" si="3"/>
        <v>-</v>
      </c>
      <c r="GY12" s="54" t="str">
        <f t="shared" si="3"/>
        <v>-</v>
      </c>
      <c r="GZ12" s="54" t="str">
        <f t="shared" si="3"/>
        <v>-</v>
      </c>
      <c r="HA12" s="54" t="str">
        <f t="shared" si="3"/>
        <v>-</v>
      </c>
      <c r="HB12" s="54" t="str">
        <f t="shared" si="3"/>
        <v>-</v>
      </c>
      <c r="HC12" s="54" t="str">
        <f t="shared" si="3"/>
        <v>-</v>
      </c>
      <c r="HD12" s="54" t="str">
        <f t="shared" si="3"/>
        <v>-</v>
      </c>
      <c r="HE12" s="54" t="str">
        <f t="shared" si="3"/>
        <v>-</v>
      </c>
      <c r="HF12" s="54" t="str">
        <f t="shared" si="3"/>
        <v>-</v>
      </c>
      <c r="HG12" s="54" t="str">
        <f t="shared" si="3"/>
        <v>-</v>
      </c>
      <c r="HH12" s="54" t="str">
        <f t="shared" si="3"/>
        <v>-</v>
      </c>
      <c r="HI12" s="54" t="str">
        <f t="shared" si="3"/>
        <v>-</v>
      </c>
      <c r="HJ12" s="54" t="str">
        <f t="shared" si="3"/>
        <v>-</v>
      </c>
      <c r="HK12" s="54" t="str">
        <f t="shared" si="3"/>
        <v>-</v>
      </c>
      <c r="HL12" s="54" t="str">
        <f t="shared" si="3"/>
        <v>-</v>
      </c>
      <c r="HM12" s="54" t="str">
        <f t="shared" si="3"/>
        <v>-</v>
      </c>
      <c r="HN12" s="54" t="str">
        <f t="shared" si="3"/>
        <v>-</v>
      </c>
      <c r="HO12" s="54" t="str">
        <f t="shared" si="3"/>
        <v>-</v>
      </c>
      <c r="HP12" s="54" t="str">
        <f t="shared" si="3"/>
        <v>-</v>
      </c>
      <c r="HQ12" s="54" t="str">
        <f t="shared" si="3"/>
        <v>-</v>
      </c>
      <c r="HR12" s="54" t="str">
        <f t="shared" si="3"/>
        <v>-</v>
      </c>
      <c r="HS12" s="54" t="str">
        <f t="shared" si="3"/>
        <v>-</v>
      </c>
      <c r="HT12" s="54" t="str">
        <f t="shared" si="3"/>
        <v>-</v>
      </c>
      <c r="HU12" s="54" t="str">
        <f t="shared" si="3"/>
        <v>-</v>
      </c>
      <c r="HV12" s="54" t="str">
        <f t="shared" si="3"/>
        <v>-</v>
      </c>
      <c r="HW12" s="54" t="str">
        <f t="shared" si="3"/>
        <v>-</v>
      </c>
      <c r="HX12" s="54" t="str">
        <f t="shared" si="3"/>
        <v>-</v>
      </c>
      <c r="HY12" s="54" t="str">
        <f t="shared" si="3"/>
        <v>-</v>
      </c>
      <c r="HZ12" s="54" t="str">
        <f t="shared" si="3"/>
        <v>-</v>
      </c>
      <c r="IA12" s="54" t="str">
        <f t="shared" si="3"/>
        <v>-</v>
      </c>
      <c r="IB12" s="54" t="str">
        <f t="shared" si="3"/>
        <v>-</v>
      </c>
      <c r="IC12" s="54" t="str">
        <f t="shared" si="3"/>
        <v>-</v>
      </c>
      <c r="ID12" s="54" t="str">
        <f t="shared" si="3"/>
        <v>-</v>
      </c>
      <c r="IE12" s="54" t="str">
        <f t="shared" si="3"/>
        <v>-</v>
      </c>
      <c r="IF12" s="54" t="str">
        <f t="shared" si="3"/>
        <v>-</v>
      </c>
      <c r="IG12" s="54" t="str">
        <f t="shared" si="3"/>
        <v>-</v>
      </c>
      <c r="IH12" s="54" t="str">
        <f t="shared" si="3"/>
        <v>-</v>
      </c>
      <c r="II12" s="54" t="str">
        <f t="shared" si="3"/>
        <v>-</v>
      </c>
      <c r="IJ12" s="54" t="str">
        <f t="shared" si="3"/>
        <v>-</v>
      </c>
      <c r="IK12" s="54" t="str">
        <f t="shared" si="3"/>
        <v>-</v>
      </c>
      <c r="IL12" s="54" t="str">
        <f t="shared" si="3"/>
        <v>-</v>
      </c>
      <c r="IM12" s="54" t="str">
        <f t="shared" si="3"/>
        <v>-</v>
      </c>
      <c r="IN12" s="54" t="str">
        <f t="shared" si="3"/>
        <v>-</v>
      </c>
      <c r="IO12" s="54" t="str">
        <f t="shared" si="3"/>
        <v>-</v>
      </c>
      <c r="IP12" s="54" t="str">
        <f t="shared" si="3"/>
        <v>-</v>
      </c>
      <c r="IQ12" s="54" t="str">
        <f t="shared" si="3"/>
        <v>-</v>
      </c>
      <c r="IR12" s="54" t="str">
        <f t="shared" si="3"/>
        <v>-</v>
      </c>
      <c r="IS12" s="54" t="str">
        <f t="shared" si="3"/>
        <v>-</v>
      </c>
      <c r="IT12" s="54" t="str">
        <f t="shared" si="3"/>
        <v>-</v>
      </c>
      <c r="IU12" s="54" t="str">
        <f t="shared" si="3"/>
        <v>-</v>
      </c>
      <c r="IV12" s="54" t="str">
        <f t="shared" si="3"/>
        <v>-</v>
      </c>
      <c r="IW12" s="54" t="str">
        <f t="shared" si="3"/>
        <v>-</v>
      </c>
      <c r="IX12" s="54" t="str">
        <f t="shared" si="3"/>
        <v>-</v>
      </c>
      <c r="IY12" s="54" t="str">
        <f t="shared" si="3"/>
        <v>-</v>
      </c>
      <c r="IZ12" s="54" t="str">
        <f t="shared" ref="IZ12:LK12" si="4">IF(AND(IZ16=1,IZ15=$C$5),"Aportación Inicial","-")</f>
        <v>-</v>
      </c>
      <c r="JA12" s="54" t="str">
        <f t="shared" si="4"/>
        <v>-</v>
      </c>
      <c r="JB12" s="54" t="str">
        <f t="shared" si="4"/>
        <v>-</v>
      </c>
      <c r="JC12" s="54" t="str">
        <f t="shared" si="4"/>
        <v>-</v>
      </c>
      <c r="JD12" s="54" t="str">
        <f t="shared" si="4"/>
        <v>-</v>
      </c>
      <c r="JE12" s="54" t="str">
        <f t="shared" si="4"/>
        <v>-</v>
      </c>
      <c r="JF12" s="54" t="str">
        <f t="shared" si="4"/>
        <v>-</v>
      </c>
      <c r="JG12" s="54" t="str">
        <f t="shared" si="4"/>
        <v>-</v>
      </c>
      <c r="JH12" s="54" t="str">
        <f t="shared" si="4"/>
        <v>-</v>
      </c>
      <c r="JI12" s="54" t="str">
        <f t="shared" si="4"/>
        <v>-</v>
      </c>
      <c r="JJ12" s="54" t="str">
        <f t="shared" si="4"/>
        <v>-</v>
      </c>
      <c r="JK12" s="54" t="str">
        <f t="shared" si="4"/>
        <v>-</v>
      </c>
      <c r="JL12" s="54" t="str">
        <f t="shared" si="4"/>
        <v>-</v>
      </c>
      <c r="JM12" s="54" t="str">
        <f t="shared" si="4"/>
        <v>-</v>
      </c>
      <c r="JN12" s="54" t="str">
        <f t="shared" si="4"/>
        <v>-</v>
      </c>
      <c r="JO12" s="54" t="str">
        <f t="shared" si="4"/>
        <v>-</v>
      </c>
      <c r="JP12" s="54" t="str">
        <f t="shared" si="4"/>
        <v>-</v>
      </c>
      <c r="JQ12" s="54" t="str">
        <f t="shared" si="4"/>
        <v>-</v>
      </c>
      <c r="JR12" s="54" t="str">
        <f t="shared" si="4"/>
        <v>-</v>
      </c>
      <c r="JS12" s="54" t="str">
        <f t="shared" si="4"/>
        <v>-</v>
      </c>
      <c r="JT12" s="54" t="str">
        <f t="shared" si="4"/>
        <v>-</v>
      </c>
      <c r="JU12" s="54" t="str">
        <f t="shared" si="4"/>
        <v>-</v>
      </c>
      <c r="JV12" s="54" t="str">
        <f t="shared" si="4"/>
        <v>-</v>
      </c>
      <c r="JW12" s="54" t="str">
        <f t="shared" si="4"/>
        <v>-</v>
      </c>
      <c r="JX12" s="54" t="str">
        <f t="shared" si="4"/>
        <v>-</v>
      </c>
      <c r="JY12" s="54" t="str">
        <f t="shared" si="4"/>
        <v>-</v>
      </c>
      <c r="JZ12" s="54" t="str">
        <f t="shared" si="4"/>
        <v>-</v>
      </c>
      <c r="KA12" s="54" t="str">
        <f t="shared" si="4"/>
        <v>-</v>
      </c>
      <c r="KB12" s="54" t="str">
        <f t="shared" si="4"/>
        <v>-</v>
      </c>
      <c r="KC12" s="54" t="str">
        <f t="shared" si="4"/>
        <v>-</v>
      </c>
      <c r="KD12" s="54" t="str">
        <f t="shared" si="4"/>
        <v>-</v>
      </c>
      <c r="KE12" s="54" t="str">
        <f t="shared" si="4"/>
        <v>-</v>
      </c>
      <c r="KF12" s="54" t="str">
        <f t="shared" si="4"/>
        <v>-</v>
      </c>
      <c r="KG12" s="54" t="str">
        <f t="shared" si="4"/>
        <v>-</v>
      </c>
      <c r="KH12" s="54" t="str">
        <f t="shared" si="4"/>
        <v>-</v>
      </c>
      <c r="KI12" s="54" t="str">
        <f t="shared" si="4"/>
        <v>-</v>
      </c>
      <c r="KJ12" s="54" t="str">
        <f t="shared" si="4"/>
        <v>-</v>
      </c>
      <c r="KK12" s="54" t="str">
        <f t="shared" si="4"/>
        <v>-</v>
      </c>
      <c r="KL12" s="54" t="str">
        <f t="shared" si="4"/>
        <v>-</v>
      </c>
      <c r="KM12" s="54" t="str">
        <f t="shared" si="4"/>
        <v>-</v>
      </c>
      <c r="KN12" s="54" t="str">
        <f t="shared" si="4"/>
        <v>-</v>
      </c>
      <c r="KO12" s="54" t="str">
        <f t="shared" si="4"/>
        <v>-</v>
      </c>
      <c r="KP12" s="54" t="str">
        <f t="shared" si="4"/>
        <v>-</v>
      </c>
      <c r="KQ12" s="54" t="str">
        <f t="shared" si="4"/>
        <v>-</v>
      </c>
      <c r="KR12" s="54" t="str">
        <f t="shared" si="4"/>
        <v>-</v>
      </c>
      <c r="KS12" s="54" t="str">
        <f t="shared" si="4"/>
        <v>-</v>
      </c>
      <c r="KT12" s="54" t="str">
        <f t="shared" si="4"/>
        <v>-</v>
      </c>
      <c r="KU12" s="54" t="str">
        <f t="shared" si="4"/>
        <v>-</v>
      </c>
      <c r="KV12" s="54" t="str">
        <f t="shared" si="4"/>
        <v>-</v>
      </c>
      <c r="KW12" s="54" t="str">
        <f t="shared" si="4"/>
        <v>-</v>
      </c>
      <c r="KX12" s="54" t="str">
        <f t="shared" si="4"/>
        <v>-</v>
      </c>
      <c r="KY12" s="54" t="str">
        <f t="shared" si="4"/>
        <v>-</v>
      </c>
      <c r="KZ12" s="54" t="str">
        <f t="shared" si="4"/>
        <v>-</v>
      </c>
      <c r="LA12" s="54" t="str">
        <f t="shared" si="4"/>
        <v>-</v>
      </c>
      <c r="LB12" s="54" t="str">
        <f t="shared" si="4"/>
        <v>-</v>
      </c>
      <c r="LC12" s="54" t="str">
        <f t="shared" si="4"/>
        <v>-</v>
      </c>
      <c r="LD12" s="54" t="str">
        <f t="shared" si="4"/>
        <v>-</v>
      </c>
      <c r="LE12" s="54" t="str">
        <f t="shared" si="4"/>
        <v>-</v>
      </c>
      <c r="LF12" s="54" t="str">
        <f t="shared" si="4"/>
        <v>-</v>
      </c>
      <c r="LG12" s="54" t="str">
        <f t="shared" si="4"/>
        <v>-</v>
      </c>
      <c r="LH12" s="54" t="str">
        <f t="shared" si="4"/>
        <v>-</v>
      </c>
      <c r="LI12" s="54" t="str">
        <f t="shared" si="4"/>
        <v>-</v>
      </c>
      <c r="LJ12" s="54" t="str">
        <f t="shared" si="4"/>
        <v>-</v>
      </c>
      <c r="LK12" s="54" t="str">
        <f t="shared" si="4"/>
        <v>-</v>
      </c>
      <c r="LL12" s="54" t="str">
        <f t="shared" ref="LL12:NW12" si="5">IF(AND(LL16=1,LL15=$C$5),"Aportación Inicial","-")</f>
        <v>-</v>
      </c>
      <c r="LM12" s="54" t="str">
        <f t="shared" si="5"/>
        <v>-</v>
      </c>
      <c r="LN12" s="54" t="str">
        <f t="shared" si="5"/>
        <v>-</v>
      </c>
      <c r="LO12" s="54" t="str">
        <f t="shared" si="5"/>
        <v>-</v>
      </c>
      <c r="LP12" s="54" t="str">
        <f t="shared" si="5"/>
        <v>-</v>
      </c>
      <c r="LQ12" s="54" t="str">
        <f t="shared" si="5"/>
        <v>-</v>
      </c>
      <c r="LR12" s="54" t="str">
        <f t="shared" si="5"/>
        <v>-</v>
      </c>
      <c r="LS12" s="54" t="str">
        <f t="shared" si="5"/>
        <v>-</v>
      </c>
      <c r="LT12" s="54" t="str">
        <f t="shared" si="5"/>
        <v>-</v>
      </c>
      <c r="LU12" s="54" t="str">
        <f t="shared" si="5"/>
        <v>-</v>
      </c>
      <c r="LV12" s="54" t="str">
        <f t="shared" si="5"/>
        <v>-</v>
      </c>
      <c r="LW12" s="54" t="str">
        <f t="shared" si="5"/>
        <v>-</v>
      </c>
      <c r="LX12" s="54" t="str">
        <f t="shared" si="5"/>
        <v>-</v>
      </c>
      <c r="LY12" s="54" t="str">
        <f t="shared" si="5"/>
        <v>-</v>
      </c>
      <c r="LZ12" s="54" t="str">
        <f t="shared" si="5"/>
        <v>-</v>
      </c>
      <c r="MA12" s="54" t="str">
        <f t="shared" si="5"/>
        <v>-</v>
      </c>
      <c r="MB12" s="54" t="str">
        <f t="shared" si="5"/>
        <v>-</v>
      </c>
      <c r="MC12" s="54" t="str">
        <f t="shared" si="5"/>
        <v>-</v>
      </c>
      <c r="MD12" s="54" t="str">
        <f t="shared" si="5"/>
        <v>-</v>
      </c>
      <c r="ME12" s="54" t="str">
        <f t="shared" si="5"/>
        <v>-</v>
      </c>
      <c r="MF12" s="54" t="str">
        <f t="shared" si="5"/>
        <v>-</v>
      </c>
      <c r="MG12" s="54" t="str">
        <f t="shared" si="5"/>
        <v>-</v>
      </c>
      <c r="MH12" s="54" t="str">
        <f t="shared" si="5"/>
        <v>-</v>
      </c>
      <c r="MI12" s="54" t="str">
        <f t="shared" si="5"/>
        <v>-</v>
      </c>
      <c r="MJ12" s="54" t="str">
        <f t="shared" si="5"/>
        <v>-</v>
      </c>
      <c r="MK12" s="54" t="str">
        <f t="shared" si="5"/>
        <v>-</v>
      </c>
      <c r="ML12" s="54" t="str">
        <f t="shared" si="5"/>
        <v>-</v>
      </c>
      <c r="MM12" s="54" t="str">
        <f t="shared" si="5"/>
        <v>-</v>
      </c>
      <c r="MN12" s="54" t="str">
        <f t="shared" si="5"/>
        <v>-</v>
      </c>
      <c r="MO12" s="54" t="str">
        <f t="shared" si="5"/>
        <v>-</v>
      </c>
      <c r="MP12" s="54" t="str">
        <f t="shared" si="5"/>
        <v>-</v>
      </c>
      <c r="MQ12" s="54" t="str">
        <f t="shared" si="5"/>
        <v>-</v>
      </c>
      <c r="MR12" s="54" t="str">
        <f t="shared" si="5"/>
        <v>-</v>
      </c>
      <c r="MS12" s="54" t="str">
        <f t="shared" si="5"/>
        <v>-</v>
      </c>
      <c r="MT12" s="54" t="str">
        <f t="shared" si="5"/>
        <v>-</v>
      </c>
      <c r="MU12" s="54" t="str">
        <f t="shared" si="5"/>
        <v>-</v>
      </c>
      <c r="MV12" s="54" t="str">
        <f t="shared" si="5"/>
        <v>-</v>
      </c>
      <c r="MW12" s="54" t="str">
        <f t="shared" si="5"/>
        <v>-</v>
      </c>
      <c r="MX12" s="54" t="str">
        <f t="shared" si="5"/>
        <v>-</v>
      </c>
      <c r="MY12" s="54" t="str">
        <f t="shared" si="5"/>
        <v>-</v>
      </c>
      <c r="MZ12" s="54" t="str">
        <f t="shared" si="5"/>
        <v>-</v>
      </c>
      <c r="NA12" s="54" t="str">
        <f t="shared" si="5"/>
        <v>-</v>
      </c>
      <c r="NB12" s="54" t="str">
        <f t="shared" si="5"/>
        <v>-</v>
      </c>
      <c r="NC12" s="54" t="str">
        <f t="shared" si="5"/>
        <v>-</v>
      </c>
      <c r="ND12" s="54" t="str">
        <f t="shared" si="5"/>
        <v>-</v>
      </c>
      <c r="NE12" s="54" t="str">
        <f t="shared" si="5"/>
        <v>-</v>
      </c>
      <c r="NF12" s="54" t="str">
        <f t="shared" si="5"/>
        <v>-</v>
      </c>
      <c r="NG12" s="54" t="str">
        <f t="shared" si="5"/>
        <v>-</v>
      </c>
      <c r="NH12" s="54" t="str">
        <f t="shared" si="5"/>
        <v>-</v>
      </c>
      <c r="NI12" s="54" t="str">
        <f t="shared" si="5"/>
        <v>-</v>
      </c>
      <c r="NJ12" s="54" t="str">
        <f t="shared" si="5"/>
        <v>-</v>
      </c>
      <c r="NK12" s="54" t="str">
        <f t="shared" si="5"/>
        <v>-</v>
      </c>
      <c r="NL12" s="54" t="str">
        <f t="shared" si="5"/>
        <v>-</v>
      </c>
      <c r="NM12" s="54" t="str">
        <f t="shared" si="5"/>
        <v>-</v>
      </c>
      <c r="NN12" s="54" t="str">
        <f t="shared" si="5"/>
        <v>-</v>
      </c>
      <c r="NO12" s="54" t="str">
        <f t="shared" si="5"/>
        <v>-</v>
      </c>
      <c r="NP12" s="54" t="str">
        <f t="shared" si="5"/>
        <v>-</v>
      </c>
      <c r="NQ12" s="54" t="str">
        <f t="shared" si="5"/>
        <v>-</v>
      </c>
      <c r="NR12" s="54" t="str">
        <f t="shared" si="5"/>
        <v>-</v>
      </c>
      <c r="NS12" s="54" t="str">
        <f t="shared" si="5"/>
        <v>-</v>
      </c>
      <c r="NT12" s="54" t="str">
        <f t="shared" si="5"/>
        <v>-</v>
      </c>
      <c r="NU12" s="54" t="str">
        <f t="shared" si="5"/>
        <v>-</v>
      </c>
      <c r="NV12" s="54" t="str">
        <f t="shared" si="5"/>
        <v>-</v>
      </c>
      <c r="NW12" s="54" t="str">
        <f t="shared" si="5"/>
        <v>-</v>
      </c>
      <c r="NX12" s="54" t="str">
        <f t="shared" ref="NX12:QI12" si="6">IF(AND(NX16=1,NX15=$C$5),"Aportación Inicial","-")</f>
        <v>-</v>
      </c>
      <c r="NY12" s="54" t="str">
        <f t="shared" si="6"/>
        <v>-</v>
      </c>
      <c r="NZ12" s="54" t="str">
        <f t="shared" si="6"/>
        <v>-</v>
      </c>
      <c r="OA12" s="54" t="str">
        <f t="shared" si="6"/>
        <v>-</v>
      </c>
      <c r="OB12" s="54" t="str">
        <f t="shared" si="6"/>
        <v>-</v>
      </c>
      <c r="OC12" s="54" t="str">
        <f t="shared" si="6"/>
        <v>-</v>
      </c>
      <c r="OD12" s="54" t="str">
        <f t="shared" si="6"/>
        <v>-</v>
      </c>
      <c r="OE12" s="54" t="str">
        <f t="shared" si="6"/>
        <v>-</v>
      </c>
      <c r="OF12" s="54" t="str">
        <f t="shared" si="6"/>
        <v>-</v>
      </c>
      <c r="OG12" s="54" t="str">
        <f t="shared" si="6"/>
        <v>-</v>
      </c>
      <c r="OH12" s="54" t="str">
        <f t="shared" si="6"/>
        <v>-</v>
      </c>
      <c r="OI12" s="54" t="str">
        <f t="shared" si="6"/>
        <v>-</v>
      </c>
      <c r="OJ12" s="54" t="str">
        <f t="shared" si="6"/>
        <v>-</v>
      </c>
      <c r="OK12" s="54" t="str">
        <f t="shared" si="6"/>
        <v>-</v>
      </c>
      <c r="OL12" s="54" t="str">
        <f t="shared" si="6"/>
        <v>-</v>
      </c>
      <c r="OM12" s="54" t="str">
        <f t="shared" si="6"/>
        <v>-</v>
      </c>
      <c r="ON12" s="54" t="str">
        <f t="shared" si="6"/>
        <v>-</v>
      </c>
      <c r="OO12" s="54" t="str">
        <f t="shared" si="6"/>
        <v>-</v>
      </c>
      <c r="OP12" s="54" t="str">
        <f t="shared" si="6"/>
        <v>-</v>
      </c>
      <c r="OQ12" s="54" t="str">
        <f t="shared" si="6"/>
        <v>-</v>
      </c>
      <c r="OR12" s="54" t="str">
        <f t="shared" si="6"/>
        <v>-</v>
      </c>
      <c r="OS12" s="54" t="str">
        <f t="shared" si="6"/>
        <v>-</v>
      </c>
      <c r="OT12" s="54" t="str">
        <f t="shared" si="6"/>
        <v>-</v>
      </c>
      <c r="OU12" s="54" t="str">
        <f t="shared" si="6"/>
        <v>-</v>
      </c>
      <c r="OV12" s="54" t="str">
        <f t="shared" si="6"/>
        <v>-</v>
      </c>
      <c r="OW12" s="54" t="str">
        <f t="shared" si="6"/>
        <v>-</v>
      </c>
      <c r="OX12" s="54" t="str">
        <f t="shared" si="6"/>
        <v>-</v>
      </c>
      <c r="OY12" s="54" t="str">
        <f t="shared" si="6"/>
        <v>-</v>
      </c>
      <c r="OZ12" s="54" t="str">
        <f t="shared" si="6"/>
        <v>-</v>
      </c>
      <c r="PA12" s="54" t="str">
        <f t="shared" si="6"/>
        <v>-</v>
      </c>
      <c r="PB12" s="54" t="str">
        <f t="shared" si="6"/>
        <v>-</v>
      </c>
      <c r="PC12" s="54" t="str">
        <f t="shared" si="6"/>
        <v>-</v>
      </c>
      <c r="PD12" s="54" t="str">
        <f t="shared" si="6"/>
        <v>-</v>
      </c>
      <c r="PE12" s="54" t="str">
        <f t="shared" si="6"/>
        <v>-</v>
      </c>
      <c r="PF12" s="54" t="str">
        <f t="shared" si="6"/>
        <v>-</v>
      </c>
      <c r="PG12" s="54" t="str">
        <f t="shared" si="6"/>
        <v>-</v>
      </c>
      <c r="PH12" s="54" t="str">
        <f t="shared" si="6"/>
        <v>-</v>
      </c>
      <c r="PI12" s="54" t="str">
        <f t="shared" si="6"/>
        <v>-</v>
      </c>
      <c r="PJ12" s="54" t="str">
        <f t="shared" si="6"/>
        <v>-</v>
      </c>
      <c r="PK12" s="54" t="str">
        <f t="shared" si="6"/>
        <v>-</v>
      </c>
      <c r="PL12" s="54" t="str">
        <f t="shared" si="6"/>
        <v>-</v>
      </c>
      <c r="PM12" s="54" t="str">
        <f t="shared" si="6"/>
        <v>-</v>
      </c>
      <c r="PN12" s="54" t="str">
        <f t="shared" si="6"/>
        <v>-</v>
      </c>
      <c r="PO12" s="54" t="str">
        <f t="shared" si="6"/>
        <v>-</v>
      </c>
      <c r="PP12" s="54" t="str">
        <f t="shared" si="6"/>
        <v>-</v>
      </c>
      <c r="PQ12" s="54" t="str">
        <f t="shared" si="6"/>
        <v>-</v>
      </c>
      <c r="PR12" s="54" t="str">
        <f t="shared" si="6"/>
        <v>-</v>
      </c>
      <c r="PS12" s="54" t="str">
        <f t="shared" si="6"/>
        <v>-</v>
      </c>
      <c r="PT12" s="54" t="str">
        <f t="shared" si="6"/>
        <v>-</v>
      </c>
      <c r="PU12" s="54" t="str">
        <f t="shared" si="6"/>
        <v>-</v>
      </c>
      <c r="PV12" s="54" t="str">
        <f t="shared" si="6"/>
        <v>-</v>
      </c>
      <c r="PW12" s="54" t="str">
        <f t="shared" si="6"/>
        <v>-</v>
      </c>
      <c r="PX12" s="54" t="str">
        <f t="shared" si="6"/>
        <v>-</v>
      </c>
      <c r="PY12" s="54" t="str">
        <f t="shared" si="6"/>
        <v>-</v>
      </c>
      <c r="PZ12" s="54" t="str">
        <f t="shared" si="6"/>
        <v>-</v>
      </c>
      <c r="QA12" s="54" t="str">
        <f t="shared" si="6"/>
        <v>-</v>
      </c>
      <c r="QB12" s="54" t="str">
        <f t="shared" si="6"/>
        <v>-</v>
      </c>
      <c r="QC12" s="54" t="str">
        <f t="shared" si="6"/>
        <v>-</v>
      </c>
      <c r="QD12" s="54" t="str">
        <f t="shared" si="6"/>
        <v>-</v>
      </c>
      <c r="QE12" s="54" t="str">
        <f t="shared" si="6"/>
        <v>-</v>
      </c>
      <c r="QF12" s="54" t="str">
        <f t="shared" si="6"/>
        <v>-</v>
      </c>
      <c r="QG12" s="54" t="str">
        <f t="shared" si="6"/>
        <v>-</v>
      </c>
      <c r="QH12" s="54" t="str">
        <f t="shared" si="6"/>
        <v>-</v>
      </c>
      <c r="QI12" s="54" t="str">
        <f t="shared" si="6"/>
        <v>-</v>
      </c>
      <c r="QJ12" s="54" t="str">
        <f t="shared" ref="QJ12:SU12" si="7">IF(AND(QJ16=1,QJ15=$C$5),"Aportación Inicial","-")</f>
        <v>-</v>
      </c>
      <c r="QK12" s="54" t="str">
        <f t="shared" si="7"/>
        <v>-</v>
      </c>
      <c r="QL12" s="54" t="str">
        <f t="shared" si="7"/>
        <v>-</v>
      </c>
      <c r="QM12" s="54" t="str">
        <f t="shared" si="7"/>
        <v>-</v>
      </c>
      <c r="QN12" s="54" t="str">
        <f t="shared" si="7"/>
        <v>-</v>
      </c>
      <c r="QO12" s="54" t="str">
        <f t="shared" si="7"/>
        <v>-</v>
      </c>
      <c r="QP12" s="54" t="str">
        <f t="shared" si="7"/>
        <v>-</v>
      </c>
      <c r="QQ12" s="54" t="str">
        <f t="shared" si="7"/>
        <v>-</v>
      </c>
      <c r="QR12" s="54" t="str">
        <f t="shared" si="7"/>
        <v>-</v>
      </c>
      <c r="QS12" s="54" t="str">
        <f t="shared" si="7"/>
        <v>-</v>
      </c>
      <c r="QT12" s="54" t="str">
        <f t="shared" si="7"/>
        <v>-</v>
      </c>
      <c r="QU12" s="54" t="str">
        <f t="shared" si="7"/>
        <v>-</v>
      </c>
      <c r="QV12" s="54" t="str">
        <f t="shared" si="7"/>
        <v>-</v>
      </c>
      <c r="QW12" s="54" t="str">
        <f t="shared" si="7"/>
        <v>-</v>
      </c>
      <c r="QX12" s="54" t="str">
        <f t="shared" si="7"/>
        <v>-</v>
      </c>
      <c r="QY12" s="54" t="str">
        <f t="shared" si="7"/>
        <v>-</v>
      </c>
      <c r="QZ12" s="54" t="str">
        <f t="shared" si="7"/>
        <v>-</v>
      </c>
      <c r="RA12" s="54" t="str">
        <f t="shared" si="7"/>
        <v>-</v>
      </c>
      <c r="RB12" s="54" t="str">
        <f t="shared" si="7"/>
        <v>-</v>
      </c>
      <c r="RC12" s="54" t="str">
        <f t="shared" si="7"/>
        <v>-</v>
      </c>
      <c r="RD12" s="54" t="str">
        <f t="shared" si="7"/>
        <v>-</v>
      </c>
      <c r="RE12" s="54" t="str">
        <f t="shared" si="7"/>
        <v>-</v>
      </c>
      <c r="RF12" s="54" t="str">
        <f t="shared" si="7"/>
        <v>-</v>
      </c>
      <c r="RG12" s="54" t="str">
        <f t="shared" si="7"/>
        <v>-</v>
      </c>
      <c r="RH12" s="54" t="str">
        <f t="shared" si="7"/>
        <v>-</v>
      </c>
      <c r="RI12" s="54" t="str">
        <f t="shared" si="7"/>
        <v>-</v>
      </c>
      <c r="RJ12" s="54" t="str">
        <f t="shared" si="7"/>
        <v>-</v>
      </c>
      <c r="RK12" s="54" t="str">
        <f t="shared" si="7"/>
        <v>-</v>
      </c>
      <c r="RL12" s="54" t="str">
        <f t="shared" si="7"/>
        <v>-</v>
      </c>
      <c r="RM12" s="54" t="str">
        <f t="shared" si="7"/>
        <v>-</v>
      </c>
      <c r="RN12" s="54" t="str">
        <f t="shared" si="7"/>
        <v>-</v>
      </c>
      <c r="RO12" s="54" t="str">
        <f t="shared" si="7"/>
        <v>-</v>
      </c>
      <c r="RP12" s="54" t="str">
        <f t="shared" si="7"/>
        <v>-</v>
      </c>
      <c r="RQ12" s="54" t="str">
        <f t="shared" si="7"/>
        <v>-</v>
      </c>
      <c r="RR12" s="54" t="str">
        <f t="shared" si="7"/>
        <v>-</v>
      </c>
      <c r="RS12" s="54" t="str">
        <f t="shared" si="7"/>
        <v>-</v>
      </c>
      <c r="RT12" s="54" t="str">
        <f t="shared" si="7"/>
        <v>-</v>
      </c>
      <c r="RU12" s="54" t="str">
        <f t="shared" si="7"/>
        <v>-</v>
      </c>
      <c r="RV12" s="54" t="str">
        <f t="shared" si="7"/>
        <v>-</v>
      </c>
      <c r="RW12" s="54" t="str">
        <f t="shared" si="7"/>
        <v>-</v>
      </c>
      <c r="RX12" s="54" t="str">
        <f t="shared" si="7"/>
        <v>-</v>
      </c>
      <c r="RY12" s="54" t="str">
        <f t="shared" si="7"/>
        <v>-</v>
      </c>
      <c r="RZ12" s="54" t="str">
        <f t="shared" si="7"/>
        <v>-</v>
      </c>
      <c r="SA12" s="54" t="str">
        <f t="shared" si="7"/>
        <v>-</v>
      </c>
      <c r="SB12" s="54" t="str">
        <f t="shared" si="7"/>
        <v>-</v>
      </c>
      <c r="SC12" s="54" t="str">
        <f t="shared" si="7"/>
        <v>-</v>
      </c>
      <c r="SD12" s="54" t="str">
        <f t="shared" si="7"/>
        <v>-</v>
      </c>
      <c r="SE12" s="54" t="str">
        <f t="shared" si="7"/>
        <v>-</v>
      </c>
      <c r="SF12" s="54" t="str">
        <f t="shared" si="7"/>
        <v>-</v>
      </c>
      <c r="SG12" s="54" t="str">
        <f t="shared" si="7"/>
        <v>-</v>
      </c>
      <c r="SH12" s="54" t="str">
        <f t="shared" si="7"/>
        <v>-</v>
      </c>
      <c r="SI12" s="54" t="str">
        <f t="shared" si="7"/>
        <v>-</v>
      </c>
      <c r="SJ12" s="54" t="str">
        <f t="shared" si="7"/>
        <v>-</v>
      </c>
      <c r="SK12" s="54" t="str">
        <f t="shared" si="7"/>
        <v>-</v>
      </c>
      <c r="SL12" s="54" t="str">
        <f t="shared" si="7"/>
        <v>-</v>
      </c>
      <c r="SM12" s="54" t="str">
        <f t="shared" si="7"/>
        <v>-</v>
      </c>
      <c r="SN12" s="54" t="str">
        <f t="shared" si="7"/>
        <v>-</v>
      </c>
      <c r="SO12" s="54" t="str">
        <f t="shared" si="7"/>
        <v>-</v>
      </c>
      <c r="SP12" s="54" t="str">
        <f t="shared" si="7"/>
        <v>-</v>
      </c>
      <c r="SQ12" s="54" t="str">
        <f t="shared" si="7"/>
        <v>-</v>
      </c>
      <c r="SR12" s="54" t="str">
        <f t="shared" si="7"/>
        <v>-</v>
      </c>
      <c r="SS12" s="54" t="str">
        <f t="shared" si="7"/>
        <v>-</v>
      </c>
      <c r="ST12" s="54" t="str">
        <f t="shared" si="7"/>
        <v>-</v>
      </c>
      <c r="SU12" s="54" t="str">
        <f t="shared" si="7"/>
        <v>-</v>
      </c>
      <c r="SV12" s="54" t="str">
        <f t="shared" ref="SV12:VG12" si="8">IF(AND(SV16=1,SV15=$C$5),"Aportación Inicial","-")</f>
        <v>-</v>
      </c>
      <c r="SW12" s="54" t="str">
        <f t="shared" si="8"/>
        <v>-</v>
      </c>
      <c r="SX12" s="54" t="str">
        <f t="shared" si="8"/>
        <v>-</v>
      </c>
      <c r="SY12" s="54" t="str">
        <f t="shared" si="8"/>
        <v>-</v>
      </c>
      <c r="SZ12" s="54" t="str">
        <f t="shared" si="8"/>
        <v>-</v>
      </c>
      <c r="TA12" s="54" t="str">
        <f t="shared" si="8"/>
        <v>-</v>
      </c>
      <c r="TB12" s="54" t="str">
        <f t="shared" si="8"/>
        <v>-</v>
      </c>
      <c r="TC12" s="54" t="str">
        <f t="shared" si="8"/>
        <v>-</v>
      </c>
      <c r="TD12" s="54" t="str">
        <f t="shared" si="8"/>
        <v>-</v>
      </c>
      <c r="TE12" s="54" t="str">
        <f t="shared" si="8"/>
        <v>-</v>
      </c>
      <c r="TF12" s="54" t="str">
        <f t="shared" si="8"/>
        <v>-</v>
      </c>
      <c r="TG12" s="54" t="str">
        <f t="shared" si="8"/>
        <v>-</v>
      </c>
      <c r="TH12" s="54" t="str">
        <f t="shared" si="8"/>
        <v>-</v>
      </c>
      <c r="TI12" s="54" t="str">
        <f t="shared" si="8"/>
        <v>-</v>
      </c>
      <c r="TJ12" s="54" t="str">
        <f t="shared" si="8"/>
        <v>-</v>
      </c>
      <c r="TK12" s="54" t="str">
        <f t="shared" si="8"/>
        <v>-</v>
      </c>
      <c r="TL12" s="54" t="str">
        <f t="shared" si="8"/>
        <v>-</v>
      </c>
      <c r="TM12" s="54" t="str">
        <f t="shared" si="8"/>
        <v>-</v>
      </c>
      <c r="TN12" s="54" t="str">
        <f t="shared" si="8"/>
        <v>-</v>
      </c>
      <c r="TO12" s="54" t="str">
        <f t="shared" si="8"/>
        <v>-</v>
      </c>
      <c r="TP12" s="54" t="str">
        <f t="shared" si="8"/>
        <v>-</v>
      </c>
      <c r="TQ12" s="54" t="str">
        <f t="shared" si="8"/>
        <v>-</v>
      </c>
      <c r="TR12" s="54" t="str">
        <f t="shared" si="8"/>
        <v>-</v>
      </c>
      <c r="TS12" s="54" t="str">
        <f t="shared" si="8"/>
        <v>-</v>
      </c>
      <c r="TT12" s="54" t="str">
        <f t="shared" si="8"/>
        <v>-</v>
      </c>
      <c r="TU12" s="54" t="str">
        <f t="shared" si="8"/>
        <v>-</v>
      </c>
      <c r="TV12" s="54" t="str">
        <f t="shared" si="8"/>
        <v>-</v>
      </c>
      <c r="TW12" s="54" t="str">
        <f t="shared" si="8"/>
        <v>-</v>
      </c>
      <c r="TX12" s="54" t="str">
        <f t="shared" si="8"/>
        <v>-</v>
      </c>
      <c r="TY12" s="54" t="str">
        <f t="shared" si="8"/>
        <v>-</v>
      </c>
      <c r="TZ12" s="54" t="str">
        <f t="shared" si="8"/>
        <v>-</v>
      </c>
      <c r="UA12" s="54" t="str">
        <f t="shared" si="8"/>
        <v>-</v>
      </c>
      <c r="UB12" s="54" t="str">
        <f t="shared" si="8"/>
        <v>-</v>
      </c>
      <c r="UC12" s="54" t="str">
        <f t="shared" si="8"/>
        <v>-</v>
      </c>
      <c r="UD12" s="54" t="str">
        <f t="shared" si="8"/>
        <v>-</v>
      </c>
      <c r="UE12" s="54" t="str">
        <f t="shared" si="8"/>
        <v>-</v>
      </c>
      <c r="UF12" s="54" t="str">
        <f t="shared" si="8"/>
        <v>-</v>
      </c>
      <c r="UG12" s="54" t="str">
        <f t="shared" si="8"/>
        <v>-</v>
      </c>
      <c r="UH12" s="54" t="str">
        <f t="shared" si="8"/>
        <v>-</v>
      </c>
      <c r="UI12" s="54" t="str">
        <f t="shared" si="8"/>
        <v>-</v>
      </c>
      <c r="UJ12" s="54" t="str">
        <f t="shared" si="8"/>
        <v>-</v>
      </c>
      <c r="UK12" s="54" t="str">
        <f t="shared" si="8"/>
        <v>-</v>
      </c>
      <c r="UL12" s="54" t="str">
        <f t="shared" si="8"/>
        <v>-</v>
      </c>
      <c r="UM12" s="54" t="str">
        <f t="shared" si="8"/>
        <v>-</v>
      </c>
      <c r="UN12" s="54" t="str">
        <f t="shared" si="8"/>
        <v>-</v>
      </c>
      <c r="UO12" s="54" t="str">
        <f t="shared" si="8"/>
        <v>-</v>
      </c>
      <c r="UP12" s="54" t="str">
        <f t="shared" si="8"/>
        <v>-</v>
      </c>
      <c r="UQ12" s="54" t="str">
        <f t="shared" si="8"/>
        <v>-</v>
      </c>
      <c r="UR12" s="54" t="str">
        <f t="shared" si="8"/>
        <v>-</v>
      </c>
      <c r="US12" s="54" t="str">
        <f t="shared" si="8"/>
        <v>-</v>
      </c>
      <c r="UT12" s="54" t="str">
        <f t="shared" si="8"/>
        <v>-</v>
      </c>
      <c r="UU12" s="54" t="str">
        <f t="shared" si="8"/>
        <v>-</v>
      </c>
      <c r="UV12" s="54" t="str">
        <f t="shared" si="8"/>
        <v>-</v>
      </c>
      <c r="UW12" s="54" t="str">
        <f t="shared" si="8"/>
        <v>-</v>
      </c>
      <c r="UX12" s="54" t="str">
        <f t="shared" si="8"/>
        <v>-</v>
      </c>
      <c r="UY12" s="54" t="str">
        <f t="shared" si="8"/>
        <v>-</v>
      </c>
      <c r="UZ12" s="54" t="str">
        <f t="shared" si="8"/>
        <v>-</v>
      </c>
      <c r="VA12" s="54" t="str">
        <f t="shared" si="8"/>
        <v>-</v>
      </c>
      <c r="VB12" s="54" t="str">
        <f t="shared" si="8"/>
        <v>-</v>
      </c>
      <c r="VC12" s="54" t="str">
        <f t="shared" si="8"/>
        <v>-</v>
      </c>
      <c r="VD12" s="54" t="str">
        <f t="shared" si="8"/>
        <v>-</v>
      </c>
      <c r="VE12" s="54" t="str">
        <f t="shared" si="8"/>
        <v>-</v>
      </c>
      <c r="VF12" s="54" t="str">
        <f t="shared" si="8"/>
        <v>-</v>
      </c>
      <c r="VG12" s="54" t="str">
        <f t="shared" si="8"/>
        <v>-</v>
      </c>
      <c r="VH12" s="54" t="str">
        <f t="shared" ref="VH12:XS12" si="9">IF(AND(VH16=1,VH15=$C$5),"Aportación Inicial","-")</f>
        <v>-</v>
      </c>
      <c r="VI12" s="54" t="str">
        <f t="shared" si="9"/>
        <v>-</v>
      </c>
      <c r="VJ12" s="54" t="str">
        <f t="shared" si="9"/>
        <v>-</v>
      </c>
      <c r="VK12" s="54" t="str">
        <f t="shared" si="9"/>
        <v>-</v>
      </c>
      <c r="VL12" s="54" t="str">
        <f t="shared" si="9"/>
        <v>-</v>
      </c>
      <c r="VM12" s="54" t="str">
        <f t="shared" si="9"/>
        <v>-</v>
      </c>
      <c r="VN12" s="54" t="str">
        <f t="shared" si="9"/>
        <v>-</v>
      </c>
      <c r="VO12" s="54" t="str">
        <f t="shared" si="9"/>
        <v>-</v>
      </c>
      <c r="VP12" s="54" t="str">
        <f t="shared" si="9"/>
        <v>-</v>
      </c>
      <c r="VQ12" s="54" t="str">
        <f t="shared" si="9"/>
        <v>-</v>
      </c>
      <c r="VR12" s="54" t="str">
        <f t="shared" si="9"/>
        <v>-</v>
      </c>
      <c r="VS12" s="54" t="str">
        <f t="shared" si="9"/>
        <v>-</v>
      </c>
      <c r="VT12" s="54" t="str">
        <f t="shared" si="9"/>
        <v>Aportación Inicial</v>
      </c>
      <c r="VU12" s="54" t="str">
        <f t="shared" si="9"/>
        <v>-</v>
      </c>
      <c r="VV12" s="54" t="str">
        <f t="shared" si="9"/>
        <v>-</v>
      </c>
      <c r="VW12" s="54" t="str">
        <f t="shared" si="9"/>
        <v>-</v>
      </c>
      <c r="VX12" s="54" t="str">
        <f t="shared" si="9"/>
        <v>-</v>
      </c>
      <c r="VY12" s="54" t="str">
        <f t="shared" si="9"/>
        <v>-</v>
      </c>
      <c r="VZ12" s="54" t="str">
        <f t="shared" si="9"/>
        <v>-</v>
      </c>
      <c r="WA12" s="54" t="str">
        <f t="shared" si="9"/>
        <v>-</v>
      </c>
      <c r="WB12" s="54" t="str">
        <f t="shared" si="9"/>
        <v>-</v>
      </c>
      <c r="WC12" s="54" t="str">
        <f t="shared" si="9"/>
        <v>-</v>
      </c>
      <c r="WD12" s="54" t="str">
        <f t="shared" si="9"/>
        <v>-</v>
      </c>
      <c r="WE12" s="54" t="str">
        <f t="shared" si="9"/>
        <v>-</v>
      </c>
      <c r="WF12" s="54" t="str">
        <f t="shared" si="9"/>
        <v>-</v>
      </c>
      <c r="WG12" s="54" t="str">
        <f t="shared" si="9"/>
        <v>-</v>
      </c>
      <c r="WH12" s="54" t="str">
        <f t="shared" si="9"/>
        <v>-</v>
      </c>
      <c r="WI12" s="54" t="str">
        <f t="shared" si="9"/>
        <v>-</v>
      </c>
      <c r="WJ12" s="54" t="str">
        <f t="shared" si="9"/>
        <v>-</v>
      </c>
      <c r="WK12" s="54" t="str">
        <f t="shared" si="9"/>
        <v>-</v>
      </c>
      <c r="WL12" s="54" t="str">
        <f t="shared" si="9"/>
        <v>-</v>
      </c>
      <c r="WM12" s="54" t="str">
        <f t="shared" si="9"/>
        <v>-</v>
      </c>
      <c r="WN12" s="54" t="str">
        <f t="shared" si="9"/>
        <v>-</v>
      </c>
      <c r="WO12" s="54" t="str">
        <f t="shared" si="9"/>
        <v>-</v>
      </c>
      <c r="WP12" s="54" t="str">
        <f t="shared" si="9"/>
        <v>-</v>
      </c>
      <c r="WQ12" s="54" t="str">
        <f t="shared" si="9"/>
        <v>-</v>
      </c>
      <c r="WR12" s="54" t="str">
        <f t="shared" si="9"/>
        <v>-</v>
      </c>
      <c r="WS12" s="54" t="str">
        <f t="shared" si="9"/>
        <v>-</v>
      </c>
      <c r="WT12" s="54" t="str">
        <f t="shared" si="9"/>
        <v>-</v>
      </c>
      <c r="WU12" s="54" t="str">
        <f t="shared" si="9"/>
        <v>-</v>
      </c>
      <c r="WV12" s="54" t="str">
        <f t="shared" si="9"/>
        <v>-</v>
      </c>
      <c r="WW12" s="54" t="str">
        <f t="shared" si="9"/>
        <v>-</v>
      </c>
      <c r="WX12" s="54" t="str">
        <f t="shared" si="9"/>
        <v>-</v>
      </c>
      <c r="WY12" s="54" t="str">
        <f t="shared" si="9"/>
        <v>-</v>
      </c>
      <c r="WZ12" s="54" t="str">
        <f t="shared" si="9"/>
        <v>-</v>
      </c>
      <c r="XA12" s="54" t="str">
        <f t="shared" si="9"/>
        <v>-</v>
      </c>
      <c r="XB12" s="54" t="str">
        <f t="shared" si="9"/>
        <v>-</v>
      </c>
      <c r="XC12" s="54" t="str">
        <f t="shared" si="9"/>
        <v>-</v>
      </c>
      <c r="XD12" s="54" t="str">
        <f t="shared" si="9"/>
        <v>-</v>
      </c>
      <c r="XE12" s="54" t="str">
        <f t="shared" si="9"/>
        <v>-</v>
      </c>
      <c r="XF12" s="54" t="str">
        <f t="shared" si="9"/>
        <v>-</v>
      </c>
      <c r="XG12" s="54" t="str">
        <f t="shared" si="9"/>
        <v>-</v>
      </c>
      <c r="XH12" s="54" t="str">
        <f t="shared" si="9"/>
        <v>-</v>
      </c>
      <c r="XI12" s="54" t="str">
        <f t="shared" si="9"/>
        <v>-</v>
      </c>
      <c r="XJ12" s="54" t="str">
        <f t="shared" si="9"/>
        <v>-</v>
      </c>
      <c r="XK12" s="54" t="str">
        <f t="shared" si="9"/>
        <v>-</v>
      </c>
      <c r="XL12" s="54" t="str">
        <f t="shared" si="9"/>
        <v>-</v>
      </c>
      <c r="XM12" s="54" t="str">
        <f t="shared" si="9"/>
        <v>-</v>
      </c>
      <c r="XN12" s="54" t="str">
        <f t="shared" si="9"/>
        <v>-</v>
      </c>
      <c r="XO12" s="54" t="str">
        <f t="shared" si="9"/>
        <v>-</v>
      </c>
      <c r="XP12" s="54" t="str">
        <f t="shared" si="9"/>
        <v>-</v>
      </c>
      <c r="XQ12" s="54" t="str">
        <f t="shared" si="9"/>
        <v>-</v>
      </c>
      <c r="XR12" s="54" t="str">
        <f t="shared" si="9"/>
        <v>-</v>
      </c>
      <c r="XS12" s="54" t="str">
        <f t="shared" si="9"/>
        <v>-</v>
      </c>
      <c r="XT12" s="54" t="str">
        <f t="shared" ref="XT12:AAE12" si="10">IF(AND(XT16=1,XT15=$C$5),"Aportación Inicial","-")</f>
        <v>-</v>
      </c>
      <c r="XU12" s="54" t="str">
        <f t="shared" si="10"/>
        <v>-</v>
      </c>
      <c r="XV12" s="54" t="str">
        <f t="shared" si="10"/>
        <v>-</v>
      </c>
      <c r="XW12" s="54" t="str">
        <f t="shared" si="10"/>
        <v>-</v>
      </c>
      <c r="XX12" s="54" t="str">
        <f t="shared" si="10"/>
        <v>-</v>
      </c>
      <c r="XY12" s="54" t="str">
        <f t="shared" si="10"/>
        <v>-</v>
      </c>
      <c r="XZ12" s="54" t="str">
        <f t="shared" si="10"/>
        <v>-</v>
      </c>
      <c r="YA12" s="54" t="str">
        <f t="shared" si="10"/>
        <v>-</v>
      </c>
      <c r="YB12" s="54" t="str">
        <f t="shared" si="10"/>
        <v>-</v>
      </c>
      <c r="YC12" s="54" t="str">
        <f t="shared" si="10"/>
        <v>-</v>
      </c>
      <c r="YD12" s="54" t="str">
        <f t="shared" si="10"/>
        <v>-</v>
      </c>
      <c r="YE12" s="54" t="str">
        <f t="shared" si="10"/>
        <v>-</v>
      </c>
      <c r="YF12" s="54" t="str">
        <f t="shared" si="10"/>
        <v>-</v>
      </c>
      <c r="YG12" s="54" t="str">
        <f t="shared" si="10"/>
        <v>-</v>
      </c>
      <c r="YH12" s="54" t="str">
        <f t="shared" si="10"/>
        <v>-</v>
      </c>
      <c r="YI12" s="54" t="str">
        <f t="shared" si="10"/>
        <v>-</v>
      </c>
      <c r="YJ12" s="54" t="str">
        <f t="shared" si="10"/>
        <v>-</v>
      </c>
      <c r="YK12" s="54" t="str">
        <f t="shared" si="10"/>
        <v>-</v>
      </c>
      <c r="YL12" s="54" t="str">
        <f t="shared" si="10"/>
        <v>-</v>
      </c>
      <c r="YM12" s="54" t="str">
        <f t="shared" si="10"/>
        <v>-</v>
      </c>
      <c r="YN12" s="54" t="str">
        <f t="shared" si="10"/>
        <v>-</v>
      </c>
      <c r="YO12" s="54" t="str">
        <f t="shared" si="10"/>
        <v>-</v>
      </c>
      <c r="YP12" s="54" t="str">
        <f t="shared" si="10"/>
        <v>-</v>
      </c>
      <c r="YQ12" s="54" t="str">
        <f t="shared" si="10"/>
        <v>-</v>
      </c>
      <c r="YR12" s="54" t="str">
        <f t="shared" si="10"/>
        <v>-</v>
      </c>
      <c r="YS12" s="54" t="str">
        <f t="shared" si="10"/>
        <v>-</v>
      </c>
      <c r="YT12" s="54" t="str">
        <f t="shared" si="10"/>
        <v>-</v>
      </c>
      <c r="YU12" s="54" t="str">
        <f t="shared" si="10"/>
        <v>-</v>
      </c>
      <c r="YV12" s="54" t="str">
        <f t="shared" si="10"/>
        <v>-</v>
      </c>
      <c r="YW12" s="54" t="str">
        <f t="shared" si="10"/>
        <v>-</v>
      </c>
      <c r="YX12" s="54" t="str">
        <f t="shared" si="10"/>
        <v>-</v>
      </c>
      <c r="YY12" s="54" t="str">
        <f t="shared" si="10"/>
        <v>-</v>
      </c>
      <c r="YZ12" s="54" t="str">
        <f t="shared" si="10"/>
        <v>-</v>
      </c>
      <c r="ZA12" s="54" t="str">
        <f t="shared" si="10"/>
        <v>-</v>
      </c>
      <c r="ZB12" s="54" t="str">
        <f t="shared" si="10"/>
        <v>-</v>
      </c>
      <c r="ZC12" s="54" t="str">
        <f t="shared" si="10"/>
        <v>-</v>
      </c>
      <c r="ZD12" s="54" t="str">
        <f t="shared" si="10"/>
        <v>-</v>
      </c>
      <c r="ZE12" s="54" t="str">
        <f t="shared" si="10"/>
        <v>-</v>
      </c>
      <c r="ZF12" s="54" t="str">
        <f t="shared" si="10"/>
        <v>-</v>
      </c>
      <c r="ZG12" s="54" t="str">
        <f t="shared" si="10"/>
        <v>-</v>
      </c>
      <c r="ZH12" s="54" t="str">
        <f t="shared" si="10"/>
        <v>-</v>
      </c>
      <c r="ZI12" s="54" t="str">
        <f t="shared" si="10"/>
        <v>-</v>
      </c>
      <c r="ZJ12" s="54" t="str">
        <f t="shared" si="10"/>
        <v>-</v>
      </c>
      <c r="ZK12" s="54" t="str">
        <f t="shared" si="10"/>
        <v>-</v>
      </c>
      <c r="ZL12" s="54" t="str">
        <f t="shared" si="10"/>
        <v>-</v>
      </c>
      <c r="ZM12" s="54" t="str">
        <f t="shared" si="10"/>
        <v>-</v>
      </c>
      <c r="ZN12" s="54" t="str">
        <f t="shared" si="10"/>
        <v>-</v>
      </c>
      <c r="ZO12" s="54" t="str">
        <f t="shared" si="10"/>
        <v>-</v>
      </c>
      <c r="ZP12" s="54" t="str">
        <f t="shared" si="10"/>
        <v>-</v>
      </c>
      <c r="ZQ12" s="54" t="str">
        <f t="shared" si="10"/>
        <v>-</v>
      </c>
      <c r="ZR12" s="54" t="str">
        <f t="shared" si="10"/>
        <v>-</v>
      </c>
      <c r="ZS12" s="54" t="str">
        <f t="shared" si="10"/>
        <v>-</v>
      </c>
      <c r="ZT12" s="54" t="str">
        <f t="shared" si="10"/>
        <v>-</v>
      </c>
      <c r="ZU12" s="54" t="str">
        <f t="shared" si="10"/>
        <v>-</v>
      </c>
      <c r="ZV12" s="54" t="str">
        <f t="shared" si="10"/>
        <v>-</v>
      </c>
      <c r="ZW12" s="54" t="str">
        <f t="shared" si="10"/>
        <v>-</v>
      </c>
      <c r="ZX12" s="54" t="str">
        <f t="shared" si="10"/>
        <v>-</v>
      </c>
      <c r="ZY12" s="54" t="str">
        <f t="shared" si="10"/>
        <v>-</v>
      </c>
      <c r="ZZ12" s="54" t="str">
        <f t="shared" si="10"/>
        <v>-</v>
      </c>
      <c r="AAA12" s="54" t="str">
        <f t="shared" si="10"/>
        <v>-</v>
      </c>
      <c r="AAB12" s="54" t="str">
        <f t="shared" si="10"/>
        <v>-</v>
      </c>
      <c r="AAC12" s="54" t="str">
        <f t="shared" si="10"/>
        <v>-</v>
      </c>
      <c r="AAD12" s="54" t="str">
        <f t="shared" si="10"/>
        <v>-</v>
      </c>
      <c r="AAE12" s="54" t="str">
        <f t="shared" si="10"/>
        <v>-</v>
      </c>
      <c r="AAF12" s="54" t="str">
        <f t="shared" ref="AAF12:ACQ12" si="11">IF(AND(AAF16=1,AAF15=$C$5),"Aportación Inicial","-")</f>
        <v>-</v>
      </c>
      <c r="AAG12" s="54" t="str">
        <f t="shared" si="11"/>
        <v>-</v>
      </c>
      <c r="AAH12" s="54" t="str">
        <f t="shared" si="11"/>
        <v>-</v>
      </c>
      <c r="AAI12" s="54" t="str">
        <f t="shared" si="11"/>
        <v>-</v>
      </c>
      <c r="AAJ12" s="54" t="str">
        <f t="shared" si="11"/>
        <v>-</v>
      </c>
      <c r="AAK12" s="54" t="str">
        <f t="shared" si="11"/>
        <v>-</v>
      </c>
      <c r="AAL12" s="54" t="str">
        <f t="shared" si="11"/>
        <v>-</v>
      </c>
      <c r="AAM12" s="54" t="str">
        <f t="shared" si="11"/>
        <v>-</v>
      </c>
      <c r="AAN12" s="54" t="str">
        <f t="shared" si="11"/>
        <v>-</v>
      </c>
      <c r="AAO12" s="54" t="str">
        <f t="shared" si="11"/>
        <v>-</v>
      </c>
      <c r="AAP12" s="54" t="str">
        <f t="shared" si="11"/>
        <v>-</v>
      </c>
      <c r="AAQ12" s="54" t="str">
        <f t="shared" si="11"/>
        <v>-</v>
      </c>
      <c r="AAR12" s="54" t="str">
        <f t="shared" si="11"/>
        <v>-</v>
      </c>
      <c r="AAS12" s="54" t="str">
        <f t="shared" si="11"/>
        <v>-</v>
      </c>
      <c r="AAT12" s="54" t="str">
        <f t="shared" si="11"/>
        <v>-</v>
      </c>
      <c r="AAU12" s="54" t="str">
        <f t="shared" si="11"/>
        <v>-</v>
      </c>
      <c r="AAV12" s="54" t="str">
        <f t="shared" si="11"/>
        <v>-</v>
      </c>
      <c r="AAW12" s="54" t="str">
        <f t="shared" si="11"/>
        <v>-</v>
      </c>
      <c r="AAX12" s="54" t="str">
        <f t="shared" si="11"/>
        <v>-</v>
      </c>
      <c r="AAY12" s="54" t="str">
        <f t="shared" si="11"/>
        <v>-</v>
      </c>
      <c r="AAZ12" s="54" t="str">
        <f t="shared" si="11"/>
        <v>-</v>
      </c>
      <c r="ABA12" s="54" t="str">
        <f t="shared" si="11"/>
        <v>-</v>
      </c>
      <c r="ABB12" s="54" t="str">
        <f t="shared" si="11"/>
        <v>-</v>
      </c>
      <c r="ABC12" s="54" t="str">
        <f t="shared" si="11"/>
        <v>-</v>
      </c>
      <c r="ABD12" s="54" t="str">
        <f t="shared" si="11"/>
        <v>-</v>
      </c>
      <c r="ABE12" s="54" t="str">
        <f t="shared" si="11"/>
        <v>-</v>
      </c>
      <c r="ABF12" s="54" t="str">
        <f t="shared" si="11"/>
        <v>-</v>
      </c>
      <c r="ABG12" s="54" t="str">
        <f t="shared" si="11"/>
        <v>-</v>
      </c>
      <c r="ABH12" s="54" t="str">
        <f t="shared" si="11"/>
        <v>-</v>
      </c>
      <c r="ABI12" s="54" t="str">
        <f t="shared" si="11"/>
        <v>-</v>
      </c>
      <c r="ABJ12" s="54" t="str">
        <f t="shared" si="11"/>
        <v>-</v>
      </c>
      <c r="ABK12" s="54" t="str">
        <f t="shared" si="11"/>
        <v>-</v>
      </c>
      <c r="ABL12" s="54" t="str">
        <f t="shared" si="11"/>
        <v>-</v>
      </c>
      <c r="ABM12" s="54" t="str">
        <f t="shared" si="11"/>
        <v>-</v>
      </c>
      <c r="ABN12" s="54" t="str">
        <f t="shared" si="11"/>
        <v>-</v>
      </c>
      <c r="ABO12" s="54" t="str">
        <f t="shared" si="11"/>
        <v>-</v>
      </c>
      <c r="ABP12" s="54" t="str">
        <f t="shared" si="11"/>
        <v>-</v>
      </c>
      <c r="ABQ12" s="54" t="str">
        <f t="shared" si="11"/>
        <v>-</v>
      </c>
      <c r="ABR12" s="54" t="str">
        <f t="shared" si="11"/>
        <v>-</v>
      </c>
      <c r="ABS12" s="54" t="str">
        <f t="shared" si="11"/>
        <v>-</v>
      </c>
      <c r="ABT12" s="54" t="str">
        <f t="shared" si="11"/>
        <v>-</v>
      </c>
      <c r="ABU12" s="54" t="str">
        <f t="shared" si="11"/>
        <v>-</v>
      </c>
      <c r="ABV12" s="54" t="str">
        <f t="shared" si="11"/>
        <v>-</v>
      </c>
      <c r="ABW12" s="54" t="str">
        <f t="shared" si="11"/>
        <v>-</v>
      </c>
      <c r="ABX12" s="54" t="str">
        <f t="shared" si="11"/>
        <v>-</v>
      </c>
      <c r="ABY12" s="54" t="str">
        <f t="shared" si="11"/>
        <v>-</v>
      </c>
      <c r="ABZ12" s="54" t="str">
        <f t="shared" si="11"/>
        <v>-</v>
      </c>
      <c r="ACA12" s="54" t="str">
        <f t="shared" si="11"/>
        <v>-</v>
      </c>
      <c r="ACB12" s="54" t="str">
        <f t="shared" si="11"/>
        <v>-</v>
      </c>
      <c r="ACC12" s="54" t="str">
        <f t="shared" si="11"/>
        <v>-</v>
      </c>
      <c r="ACD12" s="54" t="str">
        <f t="shared" si="11"/>
        <v>-</v>
      </c>
      <c r="ACE12" s="54" t="str">
        <f t="shared" si="11"/>
        <v>-</v>
      </c>
      <c r="ACF12" s="54" t="str">
        <f t="shared" si="11"/>
        <v>-</v>
      </c>
      <c r="ACG12" s="54" t="str">
        <f t="shared" si="11"/>
        <v>-</v>
      </c>
      <c r="ACH12" s="54" t="str">
        <f t="shared" si="11"/>
        <v>-</v>
      </c>
      <c r="ACI12" s="54" t="str">
        <f t="shared" si="11"/>
        <v>-</v>
      </c>
      <c r="ACJ12" s="54" t="str">
        <f t="shared" si="11"/>
        <v>-</v>
      </c>
      <c r="ACK12" s="54" t="str">
        <f t="shared" si="11"/>
        <v>-</v>
      </c>
      <c r="ACL12" s="54" t="str">
        <f t="shared" si="11"/>
        <v>-</v>
      </c>
      <c r="ACM12" s="54" t="str">
        <f t="shared" si="11"/>
        <v>-</v>
      </c>
      <c r="ACN12" s="54" t="str">
        <f t="shared" si="11"/>
        <v>-</v>
      </c>
      <c r="ACO12" s="54" t="str">
        <f t="shared" si="11"/>
        <v>-</v>
      </c>
      <c r="ACP12" s="54" t="str">
        <f t="shared" si="11"/>
        <v>-</v>
      </c>
      <c r="ACQ12" s="54" t="str">
        <f t="shared" si="11"/>
        <v>-</v>
      </c>
      <c r="ACR12" s="54" t="str">
        <f t="shared" ref="ACR12:AFC12" si="12">IF(AND(ACR16=1,ACR15=$C$5),"Aportación Inicial","-")</f>
        <v>-</v>
      </c>
      <c r="ACS12" s="54" t="str">
        <f t="shared" si="12"/>
        <v>-</v>
      </c>
      <c r="ACT12" s="54" t="str">
        <f t="shared" si="12"/>
        <v>-</v>
      </c>
      <c r="ACU12" s="54" t="str">
        <f t="shared" si="12"/>
        <v>-</v>
      </c>
      <c r="ACV12" s="54" t="str">
        <f t="shared" si="12"/>
        <v>-</v>
      </c>
      <c r="ACW12" s="54" t="str">
        <f t="shared" si="12"/>
        <v>-</v>
      </c>
      <c r="ACX12" s="54" t="str">
        <f t="shared" si="12"/>
        <v>-</v>
      </c>
      <c r="ACY12" s="54" t="str">
        <f t="shared" si="12"/>
        <v>-</v>
      </c>
      <c r="ACZ12" s="54" t="str">
        <f t="shared" si="12"/>
        <v>-</v>
      </c>
      <c r="ADA12" s="54" t="str">
        <f t="shared" si="12"/>
        <v>-</v>
      </c>
      <c r="ADB12" s="54" t="str">
        <f t="shared" si="12"/>
        <v>-</v>
      </c>
      <c r="ADC12" s="54" t="str">
        <f t="shared" si="12"/>
        <v>-</v>
      </c>
      <c r="ADD12" s="54" t="str">
        <f t="shared" si="12"/>
        <v>-</v>
      </c>
      <c r="ADE12" s="54" t="str">
        <f t="shared" si="12"/>
        <v>-</v>
      </c>
      <c r="ADF12" s="54" t="str">
        <f t="shared" si="12"/>
        <v>-</v>
      </c>
      <c r="ADG12" s="54" t="str">
        <f t="shared" si="12"/>
        <v>-</v>
      </c>
      <c r="ADH12" s="54" t="str">
        <f t="shared" si="12"/>
        <v>-</v>
      </c>
      <c r="ADI12" s="54" t="str">
        <f t="shared" si="12"/>
        <v>-</v>
      </c>
      <c r="ADJ12" s="54" t="str">
        <f t="shared" si="12"/>
        <v>-</v>
      </c>
      <c r="ADK12" s="54" t="str">
        <f t="shared" si="12"/>
        <v>-</v>
      </c>
      <c r="ADL12" s="54" t="str">
        <f t="shared" si="12"/>
        <v>-</v>
      </c>
      <c r="ADM12" s="54" t="str">
        <f t="shared" si="12"/>
        <v>-</v>
      </c>
      <c r="ADN12" s="54" t="str">
        <f t="shared" si="12"/>
        <v>-</v>
      </c>
      <c r="ADO12" s="54" t="str">
        <f t="shared" si="12"/>
        <v>-</v>
      </c>
      <c r="ADP12" s="54" t="str">
        <f t="shared" si="12"/>
        <v>-</v>
      </c>
      <c r="ADQ12" s="54" t="str">
        <f t="shared" si="12"/>
        <v>-</v>
      </c>
      <c r="ADR12" s="54" t="str">
        <f t="shared" si="12"/>
        <v>-</v>
      </c>
      <c r="ADS12" s="54" t="str">
        <f t="shared" si="12"/>
        <v>-</v>
      </c>
      <c r="ADT12" s="54" t="str">
        <f t="shared" si="12"/>
        <v>-</v>
      </c>
      <c r="ADU12" s="54" t="str">
        <f t="shared" si="12"/>
        <v>-</v>
      </c>
      <c r="ADV12" s="54" t="str">
        <f t="shared" si="12"/>
        <v>-</v>
      </c>
      <c r="ADW12" s="54" t="str">
        <f t="shared" si="12"/>
        <v>-</v>
      </c>
      <c r="ADX12" s="54" t="str">
        <f t="shared" si="12"/>
        <v>-</v>
      </c>
      <c r="ADY12" s="54" t="str">
        <f t="shared" si="12"/>
        <v>-</v>
      </c>
      <c r="ADZ12" s="54" t="str">
        <f t="shared" si="12"/>
        <v>-</v>
      </c>
      <c r="AEA12" s="54" t="str">
        <f t="shared" si="12"/>
        <v>-</v>
      </c>
      <c r="AEB12" s="54" t="str">
        <f t="shared" si="12"/>
        <v>-</v>
      </c>
      <c r="AEC12" s="54" t="str">
        <f t="shared" si="12"/>
        <v>-</v>
      </c>
      <c r="AED12" s="54" t="str">
        <f t="shared" si="12"/>
        <v>-</v>
      </c>
      <c r="AEE12" s="54" t="str">
        <f t="shared" si="12"/>
        <v>-</v>
      </c>
      <c r="AEF12" s="54" t="str">
        <f t="shared" si="12"/>
        <v>-</v>
      </c>
      <c r="AEG12" s="54" t="str">
        <f t="shared" si="12"/>
        <v>-</v>
      </c>
      <c r="AEH12" s="54" t="str">
        <f t="shared" si="12"/>
        <v>-</v>
      </c>
      <c r="AEI12" s="54" t="str">
        <f t="shared" si="12"/>
        <v>-</v>
      </c>
      <c r="AEJ12" s="54" t="str">
        <f t="shared" si="12"/>
        <v>-</v>
      </c>
      <c r="AEK12" s="54" t="str">
        <f t="shared" si="12"/>
        <v>-</v>
      </c>
      <c r="AEL12" s="54" t="str">
        <f t="shared" si="12"/>
        <v>-</v>
      </c>
      <c r="AEM12" s="54" t="str">
        <f t="shared" si="12"/>
        <v>-</v>
      </c>
      <c r="AEN12" s="54" t="str">
        <f t="shared" si="12"/>
        <v>-</v>
      </c>
      <c r="AEO12" s="54" t="str">
        <f t="shared" si="12"/>
        <v>-</v>
      </c>
      <c r="AEP12" s="54" t="str">
        <f t="shared" si="12"/>
        <v>-</v>
      </c>
      <c r="AEQ12" s="54" t="str">
        <f t="shared" si="12"/>
        <v>-</v>
      </c>
      <c r="AER12" s="54" t="str">
        <f t="shared" si="12"/>
        <v>-</v>
      </c>
      <c r="AES12" s="54" t="str">
        <f t="shared" si="12"/>
        <v>-</v>
      </c>
      <c r="AET12" s="54" t="str">
        <f t="shared" si="12"/>
        <v>-</v>
      </c>
      <c r="AEU12" s="54" t="str">
        <f t="shared" si="12"/>
        <v>-</v>
      </c>
      <c r="AEV12" s="54" t="str">
        <f t="shared" si="12"/>
        <v>-</v>
      </c>
      <c r="AEW12" s="54" t="str">
        <f t="shared" si="12"/>
        <v>-</v>
      </c>
      <c r="AEX12" s="54" t="str">
        <f t="shared" si="12"/>
        <v>-</v>
      </c>
      <c r="AEY12" s="54" t="str">
        <f t="shared" si="12"/>
        <v>-</v>
      </c>
      <c r="AEZ12" s="54" t="str">
        <f t="shared" si="12"/>
        <v>-</v>
      </c>
      <c r="AFA12" s="54" t="str">
        <f t="shared" si="12"/>
        <v>-</v>
      </c>
      <c r="AFB12" s="54" t="str">
        <f t="shared" si="12"/>
        <v>-</v>
      </c>
      <c r="AFC12" s="54" t="str">
        <f t="shared" si="12"/>
        <v>-</v>
      </c>
      <c r="AFD12" s="54" t="str">
        <f t="shared" ref="AFD12:AHO12" si="13">IF(AND(AFD16=1,AFD15=$C$5),"Aportación Inicial","-")</f>
        <v>-</v>
      </c>
      <c r="AFE12" s="54" t="str">
        <f t="shared" si="13"/>
        <v>-</v>
      </c>
      <c r="AFF12" s="54" t="str">
        <f t="shared" si="13"/>
        <v>-</v>
      </c>
      <c r="AFG12" s="54" t="str">
        <f t="shared" si="13"/>
        <v>-</v>
      </c>
      <c r="AFH12" s="54" t="str">
        <f t="shared" si="13"/>
        <v>-</v>
      </c>
      <c r="AFI12" s="54" t="str">
        <f t="shared" si="13"/>
        <v>-</v>
      </c>
      <c r="AFJ12" s="54" t="str">
        <f t="shared" si="13"/>
        <v>-</v>
      </c>
      <c r="AFK12" s="54" t="str">
        <f t="shared" si="13"/>
        <v>-</v>
      </c>
      <c r="AFL12" s="54" t="str">
        <f t="shared" si="13"/>
        <v>-</v>
      </c>
      <c r="AFM12" s="54" t="str">
        <f t="shared" si="13"/>
        <v>-</v>
      </c>
      <c r="AFN12" s="54" t="str">
        <f t="shared" si="13"/>
        <v>-</v>
      </c>
      <c r="AFO12" s="54" t="str">
        <f t="shared" si="13"/>
        <v>-</v>
      </c>
      <c r="AFP12" s="54" t="str">
        <f t="shared" si="13"/>
        <v>-</v>
      </c>
      <c r="AFQ12" s="54" t="str">
        <f t="shared" si="13"/>
        <v>-</v>
      </c>
      <c r="AFR12" s="54" t="str">
        <f t="shared" si="13"/>
        <v>-</v>
      </c>
      <c r="AFS12" s="54" t="str">
        <f t="shared" si="13"/>
        <v>-</v>
      </c>
      <c r="AFT12" s="54" t="str">
        <f t="shared" si="13"/>
        <v>-</v>
      </c>
      <c r="AFU12" s="54" t="str">
        <f t="shared" si="13"/>
        <v>-</v>
      </c>
      <c r="AFV12" s="54" t="str">
        <f t="shared" si="13"/>
        <v>-</v>
      </c>
      <c r="AFW12" s="54" t="str">
        <f t="shared" si="13"/>
        <v>-</v>
      </c>
      <c r="AFX12" s="54" t="str">
        <f t="shared" si="13"/>
        <v>-</v>
      </c>
      <c r="AFY12" s="54" t="str">
        <f t="shared" si="13"/>
        <v>-</v>
      </c>
      <c r="AFZ12" s="54" t="str">
        <f t="shared" si="13"/>
        <v>-</v>
      </c>
      <c r="AGA12" s="54" t="str">
        <f t="shared" si="13"/>
        <v>-</v>
      </c>
      <c r="AGB12" s="54" t="str">
        <f t="shared" si="13"/>
        <v>-</v>
      </c>
      <c r="AGC12" s="54" t="str">
        <f t="shared" si="13"/>
        <v>-</v>
      </c>
      <c r="AGD12" s="54" t="str">
        <f t="shared" si="13"/>
        <v>-</v>
      </c>
      <c r="AGE12" s="54" t="str">
        <f t="shared" si="13"/>
        <v>-</v>
      </c>
      <c r="AGF12" s="54" t="str">
        <f t="shared" si="13"/>
        <v>-</v>
      </c>
      <c r="AGG12" s="54" t="str">
        <f t="shared" si="13"/>
        <v>-</v>
      </c>
      <c r="AGH12" s="54" t="str">
        <f t="shared" si="13"/>
        <v>-</v>
      </c>
      <c r="AGI12" s="54" t="str">
        <f t="shared" si="13"/>
        <v>-</v>
      </c>
      <c r="AGJ12" s="54" t="str">
        <f t="shared" si="13"/>
        <v>-</v>
      </c>
      <c r="AGK12" s="54" t="str">
        <f t="shared" si="13"/>
        <v>-</v>
      </c>
      <c r="AGL12" s="54" t="str">
        <f t="shared" si="13"/>
        <v>-</v>
      </c>
      <c r="AGM12" s="54" t="str">
        <f t="shared" si="13"/>
        <v>-</v>
      </c>
      <c r="AGN12" s="54" t="str">
        <f t="shared" si="13"/>
        <v>-</v>
      </c>
      <c r="AGO12" s="54" t="str">
        <f t="shared" si="13"/>
        <v>-</v>
      </c>
      <c r="AGP12" s="54" t="str">
        <f t="shared" si="13"/>
        <v>-</v>
      </c>
      <c r="AGQ12" s="54" t="str">
        <f t="shared" si="13"/>
        <v>-</v>
      </c>
      <c r="AGR12" s="54" t="str">
        <f t="shared" si="13"/>
        <v>-</v>
      </c>
      <c r="AGS12" s="54" t="str">
        <f t="shared" si="13"/>
        <v>-</v>
      </c>
      <c r="AGT12" s="54" t="str">
        <f t="shared" si="13"/>
        <v>-</v>
      </c>
      <c r="AGU12" s="54" t="str">
        <f t="shared" si="13"/>
        <v>-</v>
      </c>
      <c r="AGV12" s="54" t="str">
        <f t="shared" si="13"/>
        <v>-</v>
      </c>
      <c r="AGW12" s="54" t="str">
        <f t="shared" si="13"/>
        <v>-</v>
      </c>
      <c r="AGX12" s="54" t="str">
        <f t="shared" si="13"/>
        <v>-</v>
      </c>
      <c r="AGY12" s="54" t="str">
        <f t="shared" si="13"/>
        <v>-</v>
      </c>
      <c r="AGZ12" s="54" t="str">
        <f t="shared" si="13"/>
        <v>-</v>
      </c>
      <c r="AHA12" s="54" t="str">
        <f t="shared" si="13"/>
        <v>-</v>
      </c>
      <c r="AHB12" s="54" t="str">
        <f t="shared" si="13"/>
        <v>-</v>
      </c>
      <c r="AHC12" s="54" t="str">
        <f t="shared" si="13"/>
        <v>-</v>
      </c>
      <c r="AHD12" s="54" t="str">
        <f t="shared" si="13"/>
        <v>-</v>
      </c>
      <c r="AHE12" s="54" t="str">
        <f t="shared" si="13"/>
        <v>-</v>
      </c>
      <c r="AHF12" s="54" t="str">
        <f t="shared" si="13"/>
        <v>-</v>
      </c>
      <c r="AHG12" s="54" t="str">
        <f t="shared" si="13"/>
        <v>-</v>
      </c>
      <c r="AHH12" s="54" t="str">
        <f t="shared" si="13"/>
        <v>-</v>
      </c>
      <c r="AHI12" s="54" t="str">
        <f t="shared" si="13"/>
        <v>-</v>
      </c>
      <c r="AHJ12" s="54" t="str">
        <f t="shared" si="13"/>
        <v>-</v>
      </c>
      <c r="AHK12" s="54" t="str">
        <f t="shared" si="13"/>
        <v>-</v>
      </c>
      <c r="AHL12" s="54" t="str">
        <f t="shared" si="13"/>
        <v>-</v>
      </c>
      <c r="AHM12" s="54" t="str">
        <f t="shared" si="13"/>
        <v>-</v>
      </c>
      <c r="AHN12" s="54" t="str">
        <f t="shared" si="13"/>
        <v>-</v>
      </c>
      <c r="AHO12" s="54" t="str">
        <f t="shared" si="13"/>
        <v>-</v>
      </c>
      <c r="AHP12" s="54" t="str">
        <f t="shared" ref="AHP12:AKA12" si="14">IF(AND(AHP16=1,AHP15=$C$5),"Aportación Inicial","-")</f>
        <v>-</v>
      </c>
      <c r="AHQ12" s="54" t="str">
        <f t="shared" si="14"/>
        <v>-</v>
      </c>
      <c r="AHR12" s="54" t="str">
        <f t="shared" si="14"/>
        <v>-</v>
      </c>
      <c r="AHS12" s="54" t="str">
        <f t="shared" si="14"/>
        <v>-</v>
      </c>
      <c r="AHT12" s="54" t="str">
        <f t="shared" si="14"/>
        <v>-</v>
      </c>
      <c r="AHU12" s="54" t="str">
        <f t="shared" si="14"/>
        <v>-</v>
      </c>
      <c r="AHV12" s="54" t="str">
        <f t="shared" si="14"/>
        <v>-</v>
      </c>
      <c r="AHW12" s="54" t="str">
        <f t="shared" si="14"/>
        <v>-</v>
      </c>
      <c r="AHX12" s="54" t="str">
        <f t="shared" si="14"/>
        <v>-</v>
      </c>
      <c r="AHY12" s="54" t="str">
        <f t="shared" si="14"/>
        <v>-</v>
      </c>
      <c r="AHZ12" s="54" t="str">
        <f t="shared" si="14"/>
        <v>-</v>
      </c>
      <c r="AIA12" s="54" t="str">
        <f t="shared" si="14"/>
        <v>-</v>
      </c>
      <c r="AIB12" s="54" t="str">
        <f t="shared" si="14"/>
        <v>-</v>
      </c>
      <c r="AIC12" s="54" t="str">
        <f t="shared" si="14"/>
        <v>-</v>
      </c>
      <c r="AID12" s="54" t="str">
        <f t="shared" si="14"/>
        <v>-</v>
      </c>
      <c r="AIE12" s="54" t="str">
        <f t="shared" si="14"/>
        <v>-</v>
      </c>
      <c r="AIF12" s="54" t="str">
        <f t="shared" si="14"/>
        <v>-</v>
      </c>
      <c r="AIG12" s="54" t="str">
        <f t="shared" si="14"/>
        <v>-</v>
      </c>
      <c r="AIH12" s="54" t="str">
        <f t="shared" si="14"/>
        <v>-</v>
      </c>
      <c r="AII12" s="54" t="str">
        <f t="shared" si="14"/>
        <v>-</v>
      </c>
      <c r="AIJ12" s="54" t="str">
        <f t="shared" si="14"/>
        <v>-</v>
      </c>
      <c r="AIK12" s="54" t="str">
        <f t="shared" si="14"/>
        <v>-</v>
      </c>
      <c r="AIL12" s="54" t="str">
        <f t="shared" si="14"/>
        <v>-</v>
      </c>
      <c r="AIM12" s="54" t="str">
        <f t="shared" si="14"/>
        <v>-</v>
      </c>
      <c r="AIN12" s="54" t="str">
        <f t="shared" si="14"/>
        <v>-</v>
      </c>
      <c r="AIO12" s="54" t="str">
        <f t="shared" si="14"/>
        <v>-</v>
      </c>
      <c r="AIP12" s="54" t="str">
        <f t="shared" si="14"/>
        <v>-</v>
      </c>
      <c r="AIQ12" s="54" t="str">
        <f t="shared" si="14"/>
        <v>-</v>
      </c>
      <c r="AIR12" s="54" t="str">
        <f t="shared" si="14"/>
        <v>-</v>
      </c>
      <c r="AIS12" s="54" t="str">
        <f t="shared" si="14"/>
        <v>-</v>
      </c>
      <c r="AIT12" s="54" t="str">
        <f t="shared" si="14"/>
        <v>-</v>
      </c>
      <c r="AIU12" s="54" t="str">
        <f t="shared" si="14"/>
        <v>-</v>
      </c>
      <c r="AIV12" s="54" t="str">
        <f t="shared" si="14"/>
        <v>-</v>
      </c>
      <c r="AIW12" s="54" t="str">
        <f t="shared" si="14"/>
        <v>-</v>
      </c>
      <c r="AIX12" s="54" t="str">
        <f t="shared" si="14"/>
        <v>-</v>
      </c>
      <c r="AIY12" s="54" t="str">
        <f t="shared" si="14"/>
        <v>-</v>
      </c>
      <c r="AIZ12" s="54" t="str">
        <f t="shared" si="14"/>
        <v>-</v>
      </c>
      <c r="AJA12" s="54" t="str">
        <f t="shared" si="14"/>
        <v>-</v>
      </c>
      <c r="AJB12" s="54" t="str">
        <f t="shared" si="14"/>
        <v>-</v>
      </c>
      <c r="AJC12" s="54" t="str">
        <f t="shared" si="14"/>
        <v>-</v>
      </c>
      <c r="AJD12" s="54" t="str">
        <f t="shared" si="14"/>
        <v>-</v>
      </c>
      <c r="AJE12" s="54" t="str">
        <f t="shared" si="14"/>
        <v>-</v>
      </c>
      <c r="AJF12" s="54" t="str">
        <f t="shared" si="14"/>
        <v>-</v>
      </c>
      <c r="AJG12" s="54" t="str">
        <f t="shared" si="14"/>
        <v>-</v>
      </c>
      <c r="AJH12" s="54" t="str">
        <f t="shared" si="14"/>
        <v>-</v>
      </c>
      <c r="AJI12" s="54" t="str">
        <f t="shared" si="14"/>
        <v>-</v>
      </c>
      <c r="AJJ12" s="54" t="str">
        <f t="shared" si="14"/>
        <v>-</v>
      </c>
      <c r="AJK12" s="54" t="str">
        <f t="shared" si="14"/>
        <v>-</v>
      </c>
      <c r="AJL12" s="54" t="str">
        <f t="shared" si="14"/>
        <v>-</v>
      </c>
      <c r="AJM12" s="54" t="str">
        <f t="shared" si="14"/>
        <v>-</v>
      </c>
      <c r="AJN12" s="54" t="str">
        <f t="shared" si="14"/>
        <v>-</v>
      </c>
      <c r="AJO12" s="54" t="str">
        <f t="shared" si="14"/>
        <v>-</v>
      </c>
      <c r="AJP12" s="54" t="str">
        <f t="shared" si="14"/>
        <v>-</v>
      </c>
      <c r="AJQ12" s="54" t="str">
        <f t="shared" si="14"/>
        <v>-</v>
      </c>
      <c r="AJR12" s="54" t="str">
        <f t="shared" si="14"/>
        <v>-</v>
      </c>
      <c r="AJS12" s="54" t="str">
        <f t="shared" si="14"/>
        <v>-</v>
      </c>
      <c r="AJT12" s="54" t="str">
        <f t="shared" si="14"/>
        <v>-</v>
      </c>
      <c r="AJU12" s="54" t="str">
        <f t="shared" si="14"/>
        <v>-</v>
      </c>
      <c r="AJV12" s="54" t="str">
        <f t="shared" si="14"/>
        <v>-</v>
      </c>
      <c r="AJW12" s="54" t="str">
        <f t="shared" si="14"/>
        <v>-</v>
      </c>
      <c r="AJX12" s="54" t="str">
        <f t="shared" si="14"/>
        <v>-</v>
      </c>
      <c r="AJY12" s="54" t="str">
        <f t="shared" si="14"/>
        <v>-</v>
      </c>
      <c r="AJZ12" s="54" t="str">
        <f t="shared" si="14"/>
        <v>-</v>
      </c>
      <c r="AKA12" s="54" t="str">
        <f t="shared" si="14"/>
        <v>-</v>
      </c>
      <c r="AKB12" s="54" t="str">
        <f t="shared" ref="AKB12:AMM12" si="15">IF(AND(AKB16=1,AKB15=$C$5),"Aportación Inicial","-")</f>
        <v>-</v>
      </c>
      <c r="AKC12" s="54" t="str">
        <f t="shared" si="15"/>
        <v>-</v>
      </c>
      <c r="AKD12" s="54" t="str">
        <f t="shared" si="15"/>
        <v>-</v>
      </c>
      <c r="AKE12" s="54" t="str">
        <f t="shared" si="15"/>
        <v>-</v>
      </c>
      <c r="AKF12" s="54" t="str">
        <f t="shared" si="15"/>
        <v>-</v>
      </c>
      <c r="AKG12" s="54" t="str">
        <f t="shared" si="15"/>
        <v>-</v>
      </c>
      <c r="AKH12" s="54" t="str">
        <f t="shared" si="15"/>
        <v>-</v>
      </c>
      <c r="AKI12" s="54" t="str">
        <f t="shared" si="15"/>
        <v>-</v>
      </c>
      <c r="AKJ12" s="54" t="str">
        <f t="shared" si="15"/>
        <v>-</v>
      </c>
      <c r="AKK12" s="54" t="str">
        <f t="shared" si="15"/>
        <v>-</v>
      </c>
      <c r="AKL12" s="54" t="str">
        <f t="shared" si="15"/>
        <v>-</v>
      </c>
      <c r="AKM12" s="54" t="str">
        <f t="shared" si="15"/>
        <v>-</v>
      </c>
      <c r="AKN12" s="54" t="str">
        <f t="shared" si="15"/>
        <v>-</v>
      </c>
      <c r="AKO12" s="54" t="str">
        <f t="shared" si="15"/>
        <v>-</v>
      </c>
      <c r="AKP12" s="54" t="str">
        <f t="shared" si="15"/>
        <v>-</v>
      </c>
      <c r="AKQ12" s="54" t="str">
        <f t="shared" si="15"/>
        <v>-</v>
      </c>
      <c r="AKR12" s="54" t="str">
        <f t="shared" si="15"/>
        <v>-</v>
      </c>
      <c r="AKS12" s="54" t="str">
        <f t="shared" si="15"/>
        <v>-</v>
      </c>
      <c r="AKT12" s="54" t="str">
        <f t="shared" si="15"/>
        <v>-</v>
      </c>
      <c r="AKU12" s="54" t="str">
        <f t="shared" si="15"/>
        <v>-</v>
      </c>
      <c r="AKV12" s="54" t="str">
        <f t="shared" si="15"/>
        <v>-</v>
      </c>
      <c r="AKW12" s="54" t="str">
        <f t="shared" si="15"/>
        <v>-</v>
      </c>
      <c r="AKX12" s="54" t="str">
        <f t="shared" si="15"/>
        <v>-</v>
      </c>
      <c r="AKY12" s="54" t="str">
        <f t="shared" si="15"/>
        <v>-</v>
      </c>
      <c r="AKZ12" s="54" t="str">
        <f t="shared" si="15"/>
        <v>-</v>
      </c>
      <c r="ALA12" s="54" t="str">
        <f t="shared" si="15"/>
        <v>-</v>
      </c>
      <c r="ALB12" s="54" t="str">
        <f t="shared" si="15"/>
        <v>-</v>
      </c>
      <c r="ALC12" s="54" t="str">
        <f t="shared" si="15"/>
        <v>-</v>
      </c>
      <c r="ALD12" s="54" t="str">
        <f t="shared" si="15"/>
        <v>-</v>
      </c>
      <c r="ALE12" s="54" t="str">
        <f t="shared" si="15"/>
        <v>-</v>
      </c>
      <c r="ALF12" s="54" t="str">
        <f t="shared" si="15"/>
        <v>-</v>
      </c>
      <c r="ALG12" s="54" t="str">
        <f t="shared" si="15"/>
        <v>-</v>
      </c>
      <c r="ALH12" s="54" t="str">
        <f t="shared" si="15"/>
        <v>-</v>
      </c>
      <c r="ALI12" s="54" t="str">
        <f t="shared" si="15"/>
        <v>-</v>
      </c>
      <c r="ALJ12" s="54" t="str">
        <f t="shared" si="15"/>
        <v>-</v>
      </c>
      <c r="ALK12" s="54" t="str">
        <f t="shared" si="15"/>
        <v>-</v>
      </c>
      <c r="ALL12" s="54" t="str">
        <f t="shared" si="15"/>
        <v>-</v>
      </c>
      <c r="ALM12" s="54" t="str">
        <f t="shared" si="15"/>
        <v>-</v>
      </c>
      <c r="ALN12" s="54" t="str">
        <f t="shared" si="15"/>
        <v>-</v>
      </c>
      <c r="ALO12" s="54" t="str">
        <f t="shared" si="15"/>
        <v>-</v>
      </c>
      <c r="ALP12" s="54" t="str">
        <f t="shared" si="15"/>
        <v>-</v>
      </c>
      <c r="ALQ12" s="54" t="str">
        <f t="shared" si="15"/>
        <v>-</v>
      </c>
      <c r="ALR12" s="54" t="str">
        <f t="shared" si="15"/>
        <v>-</v>
      </c>
      <c r="ALS12" s="54" t="str">
        <f t="shared" si="15"/>
        <v>-</v>
      </c>
      <c r="ALT12" s="54" t="str">
        <f t="shared" si="15"/>
        <v>-</v>
      </c>
      <c r="ALU12" s="54" t="str">
        <f t="shared" si="15"/>
        <v>-</v>
      </c>
      <c r="ALV12" s="54" t="str">
        <f t="shared" si="15"/>
        <v>-</v>
      </c>
      <c r="ALW12" s="54" t="str">
        <f t="shared" si="15"/>
        <v>-</v>
      </c>
      <c r="ALX12" s="54" t="str">
        <f t="shared" si="15"/>
        <v>-</v>
      </c>
      <c r="ALY12" s="54" t="str">
        <f t="shared" si="15"/>
        <v>-</v>
      </c>
      <c r="ALZ12" s="54" t="str">
        <f t="shared" si="15"/>
        <v>-</v>
      </c>
      <c r="AMA12" s="54" t="str">
        <f t="shared" si="15"/>
        <v>-</v>
      </c>
      <c r="AMB12" s="54" t="str">
        <f t="shared" si="15"/>
        <v>-</v>
      </c>
      <c r="AMC12" s="54" t="str">
        <f t="shared" si="15"/>
        <v>-</v>
      </c>
      <c r="AMD12" s="54" t="str">
        <f t="shared" si="15"/>
        <v>-</v>
      </c>
      <c r="AME12" s="54" t="str">
        <f t="shared" si="15"/>
        <v>-</v>
      </c>
      <c r="AMF12" s="54" t="str">
        <f t="shared" si="15"/>
        <v>-</v>
      </c>
      <c r="AMG12" s="54" t="str">
        <f t="shared" si="15"/>
        <v>-</v>
      </c>
      <c r="AMH12" s="54" t="str">
        <f t="shared" si="15"/>
        <v>-</v>
      </c>
      <c r="AMI12" s="54" t="str">
        <f t="shared" si="15"/>
        <v>-</v>
      </c>
      <c r="AMJ12" s="54" t="str">
        <f t="shared" si="15"/>
        <v>-</v>
      </c>
      <c r="AMK12" s="54" t="str">
        <f t="shared" si="15"/>
        <v>-</v>
      </c>
      <c r="AML12" s="54" t="str">
        <f t="shared" si="15"/>
        <v>-</v>
      </c>
      <c r="AMM12" s="54" t="str">
        <f t="shared" si="15"/>
        <v>-</v>
      </c>
      <c r="AMN12" s="54" t="str">
        <f t="shared" ref="AMN12:AOQ12" si="16">IF(AND(AMN16=1,AMN15=$C$5),"Aportación Inicial","-")</f>
        <v>-</v>
      </c>
      <c r="AMO12" s="54" t="str">
        <f t="shared" si="16"/>
        <v>-</v>
      </c>
      <c r="AMP12" s="54" t="str">
        <f t="shared" si="16"/>
        <v>-</v>
      </c>
      <c r="AMQ12" s="54" t="str">
        <f t="shared" si="16"/>
        <v>-</v>
      </c>
      <c r="AMR12" s="54" t="str">
        <f t="shared" si="16"/>
        <v>-</v>
      </c>
      <c r="AMS12" s="54" t="str">
        <f t="shared" si="16"/>
        <v>-</v>
      </c>
      <c r="AMT12" s="54" t="str">
        <f t="shared" si="16"/>
        <v>-</v>
      </c>
      <c r="AMU12" s="54" t="str">
        <f t="shared" si="16"/>
        <v>-</v>
      </c>
      <c r="AMV12" s="54" t="str">
        <f t="shared" si="16"/>
        <v>-</v>
      </c>
      <c r="AMW12" s="54" t="str">
        <f t="shared" si="16"/>
        <v>-</v>
      </c>
      <c r="AMX12" s="54" t="str">
        <f t="shared" si="16"/>
        <v>-</v>
      </c>
      <c r="AMY12" s="54" t="str">
        <f t="shared" si="16"/>
        <v>-</v>
      </c>
      <c r="AMZ12" s="54" t="str">
        <f t="shared" si="16"/>
        <v>-</v>
      </c>
      <c r="ANA12" s="54" t="str">
        <f t="shared" si="16"/>
        <v>-</v>
      </c>
      <c r="ANB12" s="54" t="str">
        <f t="shared" si="16"/>
        <v>-</v>
      </c>
      <c r="ANC12" s="54" t="str">
        <f t="shared" si="16"/>
        <v>-</v>
      </c>
      <c r="AND12" s="54" t="str">
        <f t="shared" si="16"/>
        <v>-</v>
      </c>
      <c r="ANE12" s="54" t="str">
        <f t="shared" si="16"/>
        <v>-</v>
      </c>
      <c r="ANF12" s="54" t="str">
        <f t="shared" si="16"/>
        <v>-</v>
      </c>
      <c r="ANG12" s="54" t="str">
        <f t="shared" si="16"/>
        <v>-</v>
      </c>
      <c r="ANH12" s="54" t="str">
        <f t="shared" si="16"/>
        <v>-</v>
      </c>
      <c r="ANI12" s="54" t="str">
        <f t="shared" si="16"/>
        <v>-</v>
      </c>
      <c r="ANJ12" s="54" t="str">
        <f t="shared" si="16"/>
        <v>-</v>
      </c>
      <c r="ANK12" s="54" t="str">
        <f t="shared" si="16"/>
        <v>-</v>
      </c>
      <c r="ANL12" s="54" t="str">
        <f t="shared" si="16"/>
        <v>-</v>
      </c>
      <c r="ANM12" s="54" t="str">
        <f t="shared" si="16"/>
        <v>-</v>
      </c>
      <c r="ANN12" s="54" t="str">
        <f t="shared" si="16"/>
        <v>-</v>
      </c>
      <c r="ANO12" s="54" t="str">
        <f t="shared" si="16"/>
        <v>-</v>
      </c>
      <c r="ANP12" s="54" t="str">
        <f t="shared" si="16"/>
        <v>-</v>
      </c>
      <c r="ANQ12" s="54" t="str">
        <f t="shared" si="16"/>
        <v>-</v>
      </c>
      <c r="ANR12" s="54" t="str">
        <f t="shared" si="16"/>
        <v>-</v>
      </c>
      <c r="ANS12" s="54" t="str">
        <f t="shared" si="16"/>
        <v>-</v>
      </c>
      <c r="ANT12" s="54" t="str">
        <f t="shared" si="16"/>
        <v>-</v>
      </c>
      <c r="ANU12" s="54" t="str">
        <f t="shared" si="16"/>
        <v>-</v>
      </c>
      <c r="ANV12" s="54" t="str">
        <f t="shared" si="16"/>
        <v>-</v>
      </c>
      <c r="ANW12" s="54" t="str">
        <f t="shared" si="16"/>
        <v>-</v>
      </c>
      <c r="ANX12" s="54" t="str">
        <f t="shared" si="16"/>
        <v>-</v>
      </c>
      <c r="ANY12" s="54" t="str">
        <f t="shared" si="16"/>
        <v>-</v>
      </c>
      <c r="ANZ12" s="54" t="str">
        <f t="shared" si="16"/>
        <v>-</v>
      </c>
      <c r="AOA12" s="54" t="str">
        <f t="shared" si="16"/>
        <v>-</v>
      </c>
      <c r="AOB12" s="54" t="str">
        <f t="shared" si="16"/>
        <v>-</v>
      </c>
      <c r="AOC12" s="54" t="str">
        <f t="shared" si="16"/>
        <v>-</v>
      </c>
      <c r="AOD12" s="54" t="str">
        <f t="shared" si="16"/>
        <v>-</v>
      </c>
      <c r="AOE12" s="54" t="str">
        <f t="shared" si="16"/>
        <v>-</v>
      </c>
      <c r="AOF12" s="54" t="str">
        <f t="shared" si="16"/>
        <v>-</v>
      </c>
      <c r="AOG12" s="54" t="str">
        <f t="shared" si="16"/>
        <v>-</v>
      </c>
      <c r="AOH12" s="54" t="str">
        <f t="shared" si="16"/>
        <v>-</v>
      </c>
      <c r="AOI12" s="54" t="str">
        <f t="shared" si="16"/>
        <v>-</v>
      </c>
      <c r="AOJ12" s="54" t="str">
        <f t="shared" si="16"/>
        <v>-</v>
      </c>
      <c r="AOK12" s="54" t="str">
        <f t="shared" si="16"/>
        <v>-</v>
      </c>
      <c r="AOL12" s="54" t="str">
        <f t="shared" si="16"/>
        <v>-</v>
      </c>
      <c r="AOM12" s="54" t="str">
        <f t="shared" si="16"/>
        <v>-</v>
      </c>
      <c r="AON12" s="54" t="str">
        <f t="shared" si="16"/>
        <v>-</v>
      </c>
      <c r="AOO12" s="54" t="str">
        <f t="shared" si="16"/>
        <v>-</v>
      </c>
      <c r="AOP12" s="54" t="str">
        <f t="shared" si="16"/>
        <v>-</v>
      </c>
      <c r="AOQ12" s="54" t="str">
        <f t="shared" si="16"/>
        <v>-</v>
      </c>
    </row>
    <row r="13" spans="2:1103" x14ac:dyDescent="0.25">
      <c r="B13" s="53" t="s">
        <v>143</v>
      </c>
      <c r="C13" s="53"/>
      <c r="D13" s="54" t="str">
        <f t="shared" ref="D13:BO13" si="17">IF(AND(IF(D15&gt;=$C$8,1,0),IF(D15&lt;$C$9,1,0)),"Acumulación","-")</f>
        <v>-</v>
      </c>
      <c r="E13" s="54" t="str">
        <f t="shared" si="17"/>
        <v>-</v>
      </c>
      <c r="F13" s="54" t="str">
        <f t="shared" si="17"/>
        <v>-</v>
      </c>
      <c r="G13" s="54" t="str">
        <f t="shared" si="17"/>
        <v>-</v>
      </c>
      <c r="H13" s="54" t="str">
        <f t="shared" si="17"/>
        <v>-</v>
      </c>
      <c r="I13" s="54" t="str">
        <f t="shared" si="17"/>
        <v>-</v>
      </c>
      <c r="J13" s="54" t="str">
        <f t="shared" si="17"/>
        <v>-</v>
      </c>
      <c r="K13" s="54" t="str">
        <f t="shared" si="17"/>
        <v>-</v>
      </c>
      <c r="L13" s="54" t="str">
        <f t="shared" si="17"/>
        <v>-</v>
      </c>
      <c r="M13" s="54" t="str">
        <f t="shared" si="17"/>
        <v>-</v>
      </c>
      <c r="N13" s="54" t="str">
        <f t="shared" si="17"/>
        <v>-</v>
      </c>
      <c r="O13" s="54" t="str">
        <f t="shared" si="17"/>
        <v>-</v>
      </c>
      <c r="P13" s="54" t="str">
        <f t="shared" si="17"/>
        <v>-</v>
      </c>
      <c r="Q13" s="54" t="str">
        <f t="shared" si="17"/>
        <v>-</v>
      </c>
      <c r="R13" s="54" t="str">
        <f t="shared" si="17"/>
        <v>-</v>
      </c>
      <c r="S13" s="54" t="str">
        <f t="shared" si="17"/>
        <v>-</v>
      </c>
      <c r="T13" s="54" t="str">
        <f t="shared" si="17"/>
        <v>-</v>
      </c>
      <c r="U13" s="54" t="str">
        <f t="shared" si="17"/>
        <v>-</v>
      </c>
      <c r="V13" s="54" t="str">
        <f t="shared" si="17"/>
        <v>-</v>
      </c>
      <c r="W13" s="54" t="str">
        <f t="shared" si="17"/>
        <v>-</v>
      </c>
      <c r="X13" s="54" t="str">
        <f t="shared" si="17"/>
        <v>-</v>
      </c>
      <c r="Y13" s="54" t="str">
        <f t="shared" si="17"/>
        <v>-</v>
      </c>
      <c r="Z13" s="54" t="str">
        <f t="shared" si="17"/>
        <v>-</v>
      </c>
      <c r="AA13" s="54" t="str">
        <f t="shared" si="17"/>
        <v>-</v>
      </c>
      <c r="AB13" s="54" t="str">
        <f t="shared" si="17"/>
        <v>-</v>
      </c>
      <c r="AC13" s="54" t="str">
        <f t="shared" si="17"/>
        <v>-</v>
      </c>
      <c r="AD13" s="54" t="str">
        <f t="shared" si="17"/>
        <v>-</v>
      </c>
      <c r="AE13" s="54" t="str">
        <f t="shared" si="17"/>
        <v>-</v>
      </c>
      <c r="AF13" s="54" t="str">
        <f t="shared" si="17"/>
        <v>-</v>
      </c>
      <c r="AG13" s="54" t="str">
        <f t="shared" si="17"/>
        <v>-</v>
      </c>
      <c r="AH13" s="54" t="str">
        <f t="shared" si="17"/>
        <v>-</v>
      </c>
      <c r="AI13" s="54" t="str">
        <f t="shared" si="17"/>
        <v>-</v>
      </c>
      <c r="AJ13" s="54" t="str">
        <f t="shared" si="17"/>
        <v>-</v>
      </c>
      <c r="AK13" s="54" t="str">
        <f t="shared" si="17"/>
        <v>-</v>
      </c>
      <c r="AL13" s="54" t="str">
        <f t="shared" si="17"/>
        <v>-</v>
      </c>
      <c r="AM13" s="54" t="str">
        <f t="shared" si="17"/>
        <v>-</v>
      </c>
      <c r="AN13" s="54" t="str">
        <f t="shared" si="17"/>
        <v>-</v>
      </c>
      <c r="AO13" s="54" t="str">
        <f t="shared" si="17"/>
        <v>-</v>
      </c>
      <c r="AP13" s="54" t="str">
        <f t="shared" si="17"/>
        <v>-</v>
      </c>
      <c r="AQ13" s="54" t="str">
        <f t="shared" si="17"/>
        <v>-</v>
      </c>
      <c r="AR13" s="54" t="str">
        <f t="shared" si="17"/>
        <v>-</v>
      </c>
      <c r="AS13" s="54" t="str">
        <f t="shared" si="17"/>
        <v>-</v>
      </c>
      <c r="AT13" s="54" t="str">
        <f t="shared" si="17"/>
        <v>-</v>
      </c>
      <c r="AU13" s="54" t="str">
        <f t="shared" si="17"/>
        <v>-</v>
      </c>
      <c r="AV13" s="54" t="str">
        <f t="shared" si="17"/>
        <v>-</v>
      </c>
      <c r="AW13" s="54" t="str">
        <f t="shared" si="17"/>
        <v>-</v>
      </c>
      <c r="AX13" s="54" t="str">
        <f t="shared" si="17"/>
        <v>-</v>
      </c>
      <c r="AY13" s="54" t="str">
        <f t="shared" si="17"/>
        <v>-</v>
      </c>
      <c r="AZ13" s="54" t="str">
        <f t="shared" si="17"/>
        <v>-</v>
      </c>
      <c r="BA13" s="54" t="str">
        <f t="shared" si="17"/>
        <v>-</v>
      </c>
      <c r="BB13" s="54" t="str">
        <f t="shared" si="17"/>
        <v>-</v>
      </c>
      <c r="BC13" s="54" t="str">
        <f t="shared" si="17"/>
        <v>-</v>
      </c>
      <c r="BD13" s="54" t="str">
        <f t="shared" si="17"/>
        <v>-</v>
      </c>
      <c r="BE13" s="54" t="str">
        <f t="shared" si="17"/>
        <v>-</v>
      </c>
      <c r="BF13" s="54" t="str">
        <f t="shared" si="17"/>
        <v>-</v>
      </c>
      <c r="BG13" s="54" t="str">
        <f t="shared" si="17"/>
        <v>-</v>
      </c>
      <c r="BH13" s="54" t="str">
        <f t="shared" si="17"/>
        <v>-</v>
      </c>
      <c r="BI13" s="54" t="str">
        <f t="shared" si="17"/>
        <v>-</v>
      </c>
      <c r="BJ13" s="54" t="str">
        <f t="shared" si="17"/>
        <v>-</v>
      </c>
      <c r="BK13" s="54" t="str">
        <f t="shared" si="17"/>
        <v>-</v>
      </c>
      <c r="BL13" s="54" t="str">
        <f t="shared" si="17"/>
        <v>-</v>
      </c>
      <c r="BM13" s="54" t="str">
        <f t="shared" si="17"/>
        <v>-</v>
      </c>
      <c r="BN13" s="54" t="str">
        <f t="shared" si="17"/>
        <v>-</v>
      </c>
      <c r="BO13" s="54" t="str">
        <f t="shared" si="17"/>
        <v>-</v>
      </c>
      <c r="BP13" s="54" t="str">
        <f t="shared" ref="BP13:EA13" si="18">IF(AND(IF(BP15&gt;=$C$8,1,0),IF(BP15&lt;$C$9,1,0)),"Acumulación","-")</f>
        <v>-</v>
      </c>
      <c r="BQ13" s="54" t="str">
        <f t="shared" si="18"/>
        <v>-</v>
      </c>
      <c r="BR13" s="54" t="str">
        <f t="shared" si="18"/>
        <v>-</v>
      </c>
      <c r="BS13" s="54" t="str">
        <f t="shared" si="18"/>
        <v>-</v>
      </c>
      <c r="BT13" s="54" t="str">
        <f t="shared" si="18"/>
        <v>-</v>
      </c>
      <c r="BU13" s="54" t="str">
        <f t="shared" si="18"/>
        <v>-</v>
      </c>
      <c r="BV13" s="54" t="str">
        <f t="shared" si="18"/>
        <v>-</v>
      </c>
      <c r="BW13" s="54" t="str">
        <f t="shared" si="18"/>
        <v>-</v>
      </c>
      <c r="BX13" s="54" t="str">
        <f t="shared" si="18"/>
        <v>-</v>
      </c>
      <c r="BY13" s="54" t="str">
        <f t="shared" si="18"/>
        <v>-</v>
      </c>
      <c r="BZ13" s="54" t="str">
        <f t="shared" si="18"/>
        <v>-</v>
      </c>
      <c r="CA13" s="54" t="str">
        <f t="shared" si="18"/>
        <v>-</v>
      </c>
      <c r="CB13" s="54" t="str">
        <f t="shared" si="18"/>
        <v>-</v>
      </c>
      <c r="CC13" s="54" t="str">
        <f t="shared" si="18"/>
        <v>-</v>
      </c>
      <c r="CD13" s="54" t="str">
        <f t="shared" si="18"/>
        <v>-</v>
      </c>
      <c r="CE13" s="54" t="str">
        <f t="shared" si="18"/>
        <v>-</v>
      </c>
      <c r="CF13" s="54" t="str">
        <f t="shared" si="18"/>
        <v>-</v>
      </c>
      <c r="CG13" s="54" t="str">
        <f t="shared" si="18"/>
        <v>-</v>
      </c>
      <c r="CH13" s="54" t="str">
        <f t="shared" si="18"/>
        <v>-</v>
      </c>
      <c r="CI13" s="54" t="str">
        <f t="shared" si="18"/>
        <v>-</v>
      </c>
      <c r="CJ13" s="54" t="str">
        <f t="shared" si="18"/>
        <v>-</v>
      </c>
      <c r="CK13" s="54" t="str">
        <f t="shared" si="18"/>
        <v>-</v>
      </c>
      <c r="CL13" s="54" t="str">
        <f t="shared" si="18"/>
        <v>-</v>
      </c>
      <c r="CM13" s="54" t="str">
        <f t="shared" si="18"/>
        <v>-</v>
      </c>
      <c r="CN13" s="54" t="str">
        <f t="shared" si="18"/>
        <v>-</v>
      </c>
      <c r="CO13" s="54" t="str">
        <f t="shared" si="18"/>
        <v>-</v>
      </c>
      <c r="CP13" s="54" t="str">
        <f t="shared" si="18"/>
        <v>-</v>
      </c>
      <c r="CQ13" s="54" t="str">
        <f t="shared" si="18"/>
        <v>-</v>
      </c>
      <c r="CR13" s="54" t="str">
        <f t="shared" si="18"/>
        <v>-</v>
      </c>
      <c r="CS13" s="54" t="str">
        <f t="shared" si="18"/>
        <v>-</v>
      </c>
      <c r="CT13" s="54" t="str">
        <f t="shared" si="18"/>
        <v>-</v>
      </c>
      <c r="CU13" s="54" t="str">
        <f t="shared" si="18"/>
        <v>-</v>
      </c>
      <c r="CV13" s="54" t="str">
        <f t="shared" si="18"/>
        <v>-</v>
      </c>
      <c r="CW13" s="54" t="str">
        <f t="shared" si="18"/>
        <v>-</v>
      </c>
      <c r="CX13" s="54" t="str">
        <f t="shared" si="18"/>
        <v>-</v>
      </c>
      <c r="CY13" s="54" t="str">
        <f t="shared" si="18"/>
        <v>-</v>
      </c>
      <c r="CZ13" s="54" t="str">
        <f t="shared" si="18"/>
        <v>-</v>
      </c>
      <c r="DA13" s="54" t="str">
        <f t="shared" si="18"/>
        <v>-</v>
      </c>
      <c r="DB13" s="54" t="str">
        <f t="shared" si="18"/>
        <v>-</v>
      </c>
      <c r="DC13" s="54" t="str">
        <f t="shared" si="18"/>
        <v>-</v>
      </c>
      <c r="DD13" s="54" t="str">
        <f t="shared" si="18"/>
        <v>-</v>
      </c>
      <c r="DE13" s="54" t="str">
        <f t="shared" si="18"/>
        <v>-</v>
      </c>
      <c r="DF13" s="54" t="str">
        <f t="shared" si="18"/>
        <v>-</v>
      </c>
      <c r="DG13" s="54" t="str">
        <f t="shared" si="18"/>
        <v>-</v>
      </c>
      <c r="DH13" s="54" t="str">
        <f t="shared" si="18"/>
        <v>-</v>
      </c>
      <c r="DI13" s="54" t="str">
        <f t="shared" si="18"/>
        <v>-</v>
      </c>
      <c r="DJ13" s="54" t="str">
        <f t="shared" si="18"/>
        <v>-</v>
      </c>
      <c r="DK13" s="54" t="str">
        <f t="shared" si="18"/>
        <v>-</v>
      </c>
      <c r="DL13" s="54" t="str">
        <f t="shared" si="18"/>
        <v>-</v>
      </c>
      <c r="DM13" s="54" t="str">
        <f t="shared" si="18"/>
        <v>-</v>
      </c>
      <c r="DN13" s="54" t="str">
        <f t="shared" si="18"/>
        <v>-</v>
      </c>
      <c r="DO13" s="54" t="str">
        <f t="shared" si="18"/>
        <v>-</v>
      </c>
      <c r="DP13" s="54" t="str">
        <f t="shared" si="18"/>
        <v>-</v>
      </c>
      <c r="DQ13" s="54" t="str">
        <f t="shared" si="18"/>
        <v>-</v>
      </c>
      <c r="DR13" s="54" t="str">
        <f t="shared" si="18"/>
        <v>-</v>
      </c>
      <c r="DS13" s="54" t="str">
        <f t="shared" si="18"/>
        <v>-</v>
      </c>
      <c r="DT13" s="54" t="str">
        <f t="shared" si="18"/>
        <v>-</v>
      </c>
      <c r="DU13" s="54" t="str">
        <f t="shared" si="18"/>
        <v>-</v>
      </c>
      <c r="DV13" s="54" t="str">
        <f t="shared" si="18"/>
        <v>-</v>
      </c>
      <c r="DW13" s="54" t="str">
        <f t="shared" si="18"/>
        <v>-</v>
      </c>
      <c r="DX13" s="54" t="str">
        <f t="shared" si="18"/>
        <v>-</v>
      </c>
      <c r="DY13" s="54" t="str">
        <f t="shared" si="18"/>
        <v>-</v>
      </c>
      <c r="DZ13" s="54" t="str">
        <f t="shared" si="18"/>
        <v>-</v>
      </c>
      <c r="EA13" s="54" t="str">
        <f t="shared" si="18"/>
        <v>-</v>
      </c>
      <c r="EB13" s="54" t="str">
        <f t="shared" ref="EB13:GM13" si="19">IF(AND(IF(EB15&gt;=$C$8,1,0),IF(EB15&lt;$C$9,1,0)),"Acumulación","-")</f>
        <v>-</v>
      </c>
      <c r="EC13" s="54" t="str">
        <f t="shared" si="19"/>
        <v>-</v>
      </c>
      <c r="ED13" s="54" t="str">
        <f t="shared" si="19"/>
        <v>-</v>
      </c>
      <c r="EE13" s="54" t="str">
        <f t="shared" si="19"/>
        <v>-</v>
      </c>
      <c r="EF13" s="54" t="str">
        <f t="shared" si="19"/>
        <v>-</v>
      </c>
      <c r="EG13" s="54" t="str">
        <f t="shared" si="19"/>
        <v>-</v>
      </c>
      <c r="EH13" s="54" t="str">
        <f t="shared" si="19"/>
        <v>-</v>
      </c>
      <c r="EI13" s="54" t="str">
        <f t="shared" si="19"/>
        <v>-</v>
      </c>
      <c r="EJ13" s="54" t="str">
        <f t="shared" si="19"/>
        <v>-</v>
      </c>
      <c r="EK13" s="54" t="str">
        <f t="shared" si="19"/>
        <v>-</v>
      </c>
      <c r="EL13" s="54" t="str">
        <f t="shared" si="19"/>
        <v>-</v>
      </c>
      <c r="EM13" s="54" t="str">
        <f t="shared" si="19"/>
        <v>-</v>
      </c>
      <c r="EN13" s="54" t="str">
        <f t="shared" si="19"/>
        <v>-</v>
      </c>
      <c r="EO13" s="54" t="str">
        <f t="shared" si="19"/>
        <v>-</v>
      </c>
      <c r="EP13" s="54" t="str">
        <f t="shared" si="19"/>
        <v>-</v>
      </c>
      <c r="EQ13" s="54" t="str">
        <f t="shared" si="19"/>
        <v>-</v>
      </c>
      <c r="ER13" s="54" t="str">
        <f t="shared" si="19"/>
        <v>-</v>
      </c>
      <c r="ES13" s="54" t="str">
        <f t="shared" si="19"/>
        <v>-</v>
      </c>
      <c r="ET13" s="54" t="str">
        <f t="shared" si="19"/>
        <v>-</v>
      </c>
      <c r="EU13" s="54" t="str">
        <f t="shared" si="19"/>
        <v>-</v>
      </c>
      <c r="EV13" s="54" t="str">
        <f t="shared" si="19"/>
        <v>-</v>
      </c>
      <c r="EW13" s="54" t="str">
        <f t="shared" si="19"/>
        <v>-</v>
      </c>
      <c r="EX13" s="54" t="str">
        <f t="shared" si="19"/>
        <v>-</v>
      </c>
      <c r="EY13" s="54" t="str">
        <f t="shared" si="19"/>
        <v>-</v>
      </c>
      <c r="EZ13" s="54" t="str">
        <f t="shared" si="19"/>
        <v>-</v>
      </c>
      <c r="FA13" s="54" t="str">
        <f t="shared" si="19"/>
        <v>-</v>
      </c>
      <c r="FB13" s="54" t="str">
        <f t="shared" si="19"/>
        <v>-</v>
      </c>
      <c r="FC13" s="54" t="str">
        <f t="shared" si="19"/>
        <v>-</v>
      </c>
      <c r="FD13" s="54" t="str">
        <f t="shared" si="19"/>
        <v>-</v>
      </c>
      <c r="FE13" s="54" t="str">
        <f t="shared" si="19"/>
        <v>-</v>
      </c>
      <c r="FF13" s="54" t="str">
        <f t="shared" si="19"/>
        <v>-</v>
      </c>
      <c r="FG13" s="54" t="str">
        <f t="shared" si="19"/>
        <v>-</v>
      </c>
      <c r="FH13" s="54" t="str">
        <f t="shared" si="19"/>
        <v>-</v>
      </c>
      <c r="FI13" s="54" t="str">
        <f t="shared" si="19"/>
        <v>-</v>
      </c>
      <c r="FJ13" s="54" t="str">
        <f t="shared" si="19"/>
        <v>-</v>
      </c>
      <c r="FK13" s="54" t="str">
        <f t="shared" si="19"/>
        <v>-</v>
      </c>
      <c r="FL13" s="54" t="str">
        <f t="shared" si="19"/>
        <v>-</v>
      </c>
      <c r="FM13" s="54" t="str">
        <f t="shared" si="19"/>
        <v>-</v>
      </c>
      <c r="FN13" s="54" t="str">
        <f t="shared" si="19"/>
        <v>-</v>
      </c>
      <c r="FO13" s="54" t="str">
        <f t="shared" si="19"/>
        <v>-</v>
      </c>
      <c r="FP13" s="54" t="str">
        <f t="shared" si="19"/>
        <v>-</v>
      </c>
      <c r="FQ13" s="54" t="str">
        <f t="shared" si="19"/>
        <v>-</v>
      </c>
      <c r="FR13" s="54" t="str">
        <f t="shared" si="19"/>
        <v>-</v>
      </c>
      <c r="FS13" s="54" t="str">
        <f t="shared" si="19"/>
        <v>-</v>
      </c>
      <c r="FT13" s="54" t="str">
        <f t="shared" si="19"/>
        <v>-</v>
      </c>
      <c r="FU13" s="54" t="str">
        <f t="shared" si="19"/>
        <v>-</v>
      </c>
      <c r="FV13" s="54" t="str">
        <f t="shared" si="19"/>
        <v>-</v>
      </c>
      <c r="FW13" s="54" t="str">
        <f t="shared" si="19"/>
        <v>-</v>
      </c>
      <c r="FX13" s="54" t="str">
        <f t="shared" si="19"/>
        <v>-</v>
      </c>
      <c r="FY13" s="54" t="str">
        <f t="shared" si="19"/>
        <v>-</v>
      </c>
      <c r="FZ13" s="54" t="str">
        <f t="shared" si="19"/>
        <v>-</v>
      </c>
      <c r="GA13" s="54" t="str">
        <f t="shared" si="19"/>
        <v>-</v>
      </c>
      <c r="GB13" s="54" t="str">
        <f t="shared" si="19"/>
        <v>-</v>
      </c>
      <c r="GC13" s="54" t="str">
        <f t="shared" si="19"/>
        <v>-</v>
      </c>
      <c r="GD13" s="54" t="str">
        <f t="shared" si="19"/>
        <v>-</v>
      </c>
      <c r="GE13" s="54" t="str">
        <f t="shared" si="19"/>
        <v>-</v>
      </c>
      <c r="GF13" s="54" t="str">
        <f t="shared" si="19"/>
        <v>-</v>
      </c>
      <c r="GG13" s="54" t="str">
        <f t="shared" si="19"/>
        <v>-</v>
      </c>
      <c r="GH13" s="54" t="str">
        <f t="shared" si="19"/>
        <v>-</v>
      </c>
      <c r="GI13" s="54" t="str">
        <f t="shared" si="19"/>
        <v>-</v>
      </c>
      <c r="GJ13" s="54" t="str">
        <f t="shared" si="19"/>
        <v>-</v>
      </c>
      <c r="GK13" s="54" t="str">
        <f t="shared" si="19"/>
        <v>-</v>
      </c>
      <c r="GL13" s="54" t="str">
        <f t="shared" si="19"/>
        <v>-</v>
      </c>
      <c r="GM13" s="54" t="str">
        <f t="shared" si="19"/>
        <v>-</v>
      </c>
      <c r="GN13" s="54" t="str">
        <f t="shared" ref="GN13:IY13" si="20">IF(AND(IF(GN15&gt;=$C$8,1,0),IF(GN15&lt;$C$9,1,0)),"Acumulación","-")</f>
        <v>-</v>
      </c>
      <c r="GO13" s="54" t="str">
        <f t="shared" si="20"/>
        <v>-</v>
      </c>
      <c r="GP13" s="54" t="str">
        <f t="shared" si="20"/>
        <v>-</v>
      </c>
      <c r="GQ13" s="54" t="str">
        <f t="shared" si="20"/>
        <v>-</v>
      </c>
      <c r="GR13" s="54" t="str">
        <f t="shared" si="20"/>
        <v>-</v>
      </c>
      <c r="GS13" s="54" t="str">
        <f t="shared" si="20"/>
        <v>-</v>
      </c>
      <c r="GT13" s="54" t="str">
        <f t="shared" si="20"/>
        <v>-</v>
      </c>
      <c r="GU13" s="54" t="str">
        <f t="shared" si="20"/>
        <v>-</v>
      </c>
      <c r="GV13" s="54" t="str">
        <f t="shared" si="20"/>
        <v>-</v>
      </c>
      <c r="GW13" s="54" t="str">
        <f t="shared" si="20"/>
        <v>-</v>
      </c>
      <c r="GX13" s="54" t="str">
        <f t="shared" si="20"/>
        <v>-</v>
      </c>
      <c r="GY13" s="54" t="str">
        <f t="shared" si="20"/>
        <v>-</v>
      </c>
      <c r="GZ13" s="54" t="str">
        <f t="shared" si="20"/>
        <v>-</v>
      </c>
      <c r="HA13" s="54" t="str">
        <f t="shared" si="20"/>
        <v>-</v>
      </c>
      <c r="HB13" s="54" t="str">
        <f t="shared" si="20"/>
        <v>-</v>
      </c>
      <c r="HC13" s="54" t="str">
        <f t="shared" si="20"/>
        <v>-</v>
      </c>
      <c r="HD13" s="54" t="str">
        <f t="shared" si="20"/>
        <v>-</v>
      </c>
      <c r="HE13" s="54" t="str">
        <f t="shared" si="20"/>
        <v>-</v>
      </c>
      <c r="HF13" s="54" t="str">
        <f t="shared" si="20"/>
        <v>-</v>
      </c>
      <c r="HG13" s="54" t="str">
        <f t="shared" si="20"/>
        <v>-</v>
      </c>
      <c r="HH13" s="54" t="str">
        <f t="shared" si="20"/>
        <v>-</v>
      </c>
      <c r="HI13" s="54" t="str">
        <f t="shared" si="20"/>
        <v>-</v>
      </c>
      <c r="HJ13" s="54" t="str">
        <f t="shared" si="20"/>
        <v>-</v>
      </c>
      <c r="HK13" s="54" t="str">
        <f t="shared" si="20"/>
        <v>-</v>
      </c>
      <c r="HL13" s="54" t="str">
        <f t="shared" si="20"/>
        <v>-</v>
      </c>
      <c r="HM13" s="54" t="str">
        <f t="shared" si="20"/>
        <v>-</v>
      </c>
      <c r="HN13" s="54" t="str">
        <f t="shared" si="20"/>
        <v>-</v>
      </c>
      <c r="HO13" s="54" t="str">
        <f t="shared" si="20"/>
        <v>-</v>
      </c>
      <c r="HP13" s="54" t="str">
        <f t="shared" si="20"/>
        <v>-</v>
      </c>
      <c r="HQ13" s="54" t="str">
        <f t="shared" si="20"/>
        <v>-</v>
      </c>
      <c r="HR13" s="54" t="str">
        <f t="shared" si="20"/>
        <v>-</v>
      </c>
      <c r="HS13" s="54" t="str">
        <f t="shared" si="20"/>
        <v>-</v>
      </c>
      <c r="HT13" s="54" t="str">
        <f t="shared" si="20"/>
        <v>-</v>
      </c>
      <c r="HU13" s="54" t="str">
        <f t="shared" si="20"/>
        <v>-</v>
      </c>
      <c r="HV13" s="54" t="str">
        <f t="shared" si="20"/>
        <v>-</v>
      </c>
      <c r="HW13" s="54" t="str">
        <f t="shared" si="20"/>
        <v>-</v>
      </c>
      <c r="HX13" s="54" t="str">
        <f t="shared" si="20"/>
        <v>-</v>
      </c>
      <c r="HY13" s="54" t="str">
        <f t="shared" si="20"/>
        <v>-</v>
      </c>
      <c r="HZ13" s="54" t="str">
        <f t="shared" si="20"/>
        <v>-</v>
      </c>
      <c r="IA13" s="54" t="str">
        <f t="shared" si="20"/>
        <v>-</v>
      </c>
      <c r="IB13" s="54" t="str">
        <f t="shared" si="20"/>
        <v>-</v>
      </c>
      <c r="IC13" s="54" t="str">
        <f t="shared" si="20"/>
        <v>-</v>
      </c>
      <c r="ID13" s="54" t="str">
        <f t="shared" si="20"/>
        <v>-</v>
      </c>
      <c r="IE13" s="54" t="str">
        <f t="shared" si="20"/>
        <v>-</v>
      </c>
      <c r="IF13" s="54" t="str">
        <f t="shared" si="20"/>
        <v>-</v>
      </c>
      <c r="IG13" s="54" t="str">
        <f t="shared" si="20"/>
        <v>-</v>
      </c>
      <c r="IH13" s="54" t="str">
        <f t="shared" si="20"/>
        <v>-</v>
      </c>
      <c r="II13" s="54" t="str">
        <f t="shared" si="20"/>
        <v>-</v>
      </c>
      <c r="IJ13" s="54" t="str">
        <f t="shared" si="20"/>
        <v>-</v>
      </c>
      <c r="IK13" s="54" t="str">
        <f t="shared" si="20"/>
        <v>-</v>
      </c>
      <c r="IL13" s="54" t="str">
        <f t="shared" si="20"/>
        <v>-</v>
      </c>
      <c r="IM13" s="54" t="str">
        <f t="shared" si="20"/>
        <v>-</v>
      </c>
      <c r="IN13" s="54" t="str">
        <f t="shared" si="20"/>
        <v>-</v>
      </c>
      <c r="IO13" s="54" t="str">
        <f t="shared" si="20"/>
        <v>-</v>
      </c>
      <c r="IP13" s="54" t="str">
        <f t="shared" si="20"/>
        <v>-</v>
      </c>
      <c r="IQ13" s="54" t="str">
        <f t="shared" si="20"/>
        <v>-</v>
      </c>
      <c r="IR13" s="54" t="str">
        <f t="shared" si="20"/>
        <v>-</v>
      </c>
      <c r="IS13" s="54" t="str">
        <f t="shared" si="20"/>
        <v>-</v>
      </c>
      <c r="IT13" s="54" t="str">
        <f t="shared" si="20"/>
        <v>-</v>
      </c>
      <c r="IU13" s="54" t="str">
        <f t="shared" si="20"/>
        <v>-</v>
      </c>
      <c r="IV13" s="54" t="str">
        <f t="shared" si="20"/>
        <v>-</v>
      </c>
      <c r="IW13" s="54" t="str">
        <f t="shared" si="20"/>
        <v>-</v>
      </c>
      <c r="IX13" s="54" t="str">
        <f t="shared" si="20"/>
        <v>-</v>
      </c>
      <c r="IY13" s="54" t="str">
        <f t="shared" si="20"/>
        <v>-</v>
      </c>
      <c r="IZ13" s="54" t="str">
        <f t="shared" ref="IZ13:LK13" si="21">IF(AND(IF(IZ15&gt;=$C$8,1,0),IF(IZ15&lt;$C$9,1,0)),"Acumulación","-")</f>
        <v>-</v>
      </c>
      <c r="JA13" s="54" t="str">
        <f t="shared" si="21"/>
        <v>-</v>
      </c>
      <c r="JB13" s="54" t="str">
        <f t="shared" si="21"/>
        <v>-</v>
      </c>
      <c r="JC13" s="54" t="str">
        <f t="shared" si="21"/>
        <v>-</v>
      </c>
      <c r="JD13" s="54" t="str">
        <f t="shared" si="21"/>
        <v>-</v>
      </c>
      <c r="JE13" s="54" t="str">
        <f t="shared" si="21"/>
        <v>-</v>
      </c>
      <c r="JF13" s="54" t="str">
        <f t="shared" si="21"/>
        <v>-</v>
      </c>
      <c r="JG13" s="54" t="str">
        <f t="shared" si="21"/>
        <v>-</v>
      </c>
      <c r="JH13" s="54" t="str">
        <f t="shared" si="21"/>
        <v>-</v>
      </c>
      <c r="JI13" s="54" t="str">
        <f t="shared" si="21"/>
        <v>-</v>
      </c>
      <c r="JJ13" s="54" t="str">
        <f t="shared" si="21"/>
        <v>-</v>
      </c>
      <c r="JK13" s="54" t="str">
        <f t="shared" si="21"/>
        <v>-</v>
      </c>
      <c r="JL13" s="54" t="str">
        <f t="shared" si="21"/>
        <v>-</v>
      </c>
      <c r="JM13" s="54" t="str">
        <f t="shared" si="21"/>
        <v>-</v>
      </c>
      <c r="JN13" s="54" t="str">
        <f t="shared" si="21"/>
        <v>-</v>
      </c>
      <c r="JO13" s="54" t="str">
        <f t="shared" si="21"/>
        <v>-</v>
      </c>
      <c r="JP13" s="54" t="str">
        <f t="shared" si="21"/>
        <v>-</v>
      </c>
      <c r="JQ13" s="54" t="str">
        <f t="shared" si="21"/>
        <v>-</v>
      </c>
      <c r="JR13" s="54" t="str">
        <f t="shared" si="21"/>
        <v>-</v>
      </c>
      <c r="JS13" s="54" t="str">
        <f t="shared" si="21"/>
        <v>-</v>
      </c>
      <c r="JT13" s="54" t="str">
        <f t="shared" si="21"/>
        <v>-</v>
      </c>
      <c r="JU13" s="54" t="str">
        <f t="shared" si="21"/>
        <v>-</v>
      </c>
      <c r="JV13" s="54" t="str">
        <f t="shared" si="21"/>
        <v>-</v>
      </c>
      <c r="JW13" s="54" t="str">
        <f t="shared" si="21"/>
        <v>-</v>
      </c>
      <c r="JX13" s="54" t="str">
        <f t="shared" si="21"/>
        <v>-</v>
      </c>
      <c r="JY13" s="54" t="str">
        <f t="shared" si="21"/>
        <v>-</v>
      </c>
      <c r="JZ13" s="54" t="str">
        <f t="shared" si="21"/>
        <v>-</v>
      </c>
      <c r="KA13" s="54" t="str">
        <f t="shared" si="21"/>
        <v>-</v>
      </c>
      <c r="KB13" s="54" t="str">
        <f t="shared" si="21"/>
        <v>-</v>
      </c>
      <c r="KC13" s="54" t="str">
        <f t="shared" si="21"/>
        <v>-</v>
      </c>
      <c r="KD13" s="54" t="str">
        <f t="shared" si="21"/>
        <v>-</v>
      </c>
      <c r="KE13" s="54" t="str">
        <f t="shared" si="21"/>
        <v>-</v>
      </c>
      <c r="KF13" s="54" t="str">
        <f t="shared" si="21"/>
        <v>-</v>
      </c>
      <c r="KG13" s="54" t="str">
        <f t="shared" si="21"/>
        <v>-</v>
      </c>
      <c r="KH13" s="54" t="str">
        <f t="shared" si="21"/>
        <v>-</v>
      </c>
      <c r="KI13" s="54" t="str">
        <f t="shared" si="21"/>
        <v>-</v>
      </c>
      <c r="KJ13" s="54" t="str">
        <f t="shared" si="21"/>
        <v>-</v>
      </c>
      <c r="KK13" s="54" t="str">
        <f t="shared" si="21"/>
        <v>-</v>
      </c>
      <c r="KL13" s="54" t="str">
        <f t="shared" si="21"/>
        <v>-</v>
      </c>
      <c r="KM13" s="54" t="str">
        <f t="shared" si="21"/>
        <v>-</v>
      </c>
      <c r="KN13" s="54" t="str">
        <f t="shared" si="21"/>
        <v>-</v>
      </c>
      <c r="KO13" s="54" t="str">
        <f t="shared" si="21"/>
        <v>-</v>
      </c>
      <c r="KP13" s="54" t="str">
        <f t="shared" si="21"/>
        <v>-</v>
      </c>
      <c r="KQ13" s="54" t="str">
        <f t="shared" si="21"/>
        <v>-</v>
      </c>
      <c r="KR13" s="54" t="str">
        <f t="shared" si="21"/>
        <v>-</v>
      </c>
      <c r="KS13" s="54" t="str">
        <f t="shared" si="21"/>
        <v>-</v>
      </c>
      <c r="KT13" s="54" t="str">
        <f t="shared" si="21"/>
        <v>-</v>
      </c>
      <c r="KU13" s="54" t="str">
        <f t="shared" si="21"/>
        <v>-</v>
      </c>
      <c r="KV13" s="54" t="str">
        <f t="shared" si="21"/>
        <v>-</v>
      </c>
      <c r="KW13" s="54" t="str">
        <f t="shared" si="21"/>
        <v>-</v>
      </c>
      <c r="KX13" s="54" t="str">
        <f t="shared" si="21"/>
        <v>-</v>
      </c>
      <c r="KY13" s="54" t="str">
        <f t="shared" si="21"/>
        <v>-</v>
      </c>
      <c r="KZ13" s="54" t="str">
        <f t="shared" si="21"/>
        <v>-</v>
      </c>
      <c r="LA13" s="54" t="str">
        <f t="shared" si="21"/>
        <v>-</v>
      </c>
      <c r="LB13" s="54" t="str">
        <f t="shared" si="21"/>
        <v>-</v>
      </c>
      <c r="LC13" s="54" t="str">
        <f t="shared" si="21"/>
        <v>-</v>
      </c>
      <c r="LD13" s="54" t="str">
        <f t="shared" si="21"/>
        <v>-</v>
      </c>
      <c r="LE13" s="54" t="str">
        <f t="shared" si="21"/>
        <v>-</v>
      </c>
      <c r="LF13" s="54" t="str">
        <f t="shared" si="21"/>
        <v>-</v>
      </c>
      <c r="LG13" s="54" t="str">
        <f t="shared" si="21"/>
        <v>-</v>
      </c>
      <c r="LH13" s="54" t="str">
        <f t="shared" si="21"/>
        <v>-</v>
      </c>
      <c r="LI13" s="54" t="str">
        <f t="shared" si="21"/>
        <v>-</v>
      </c>
      <c r="LJ13" s="54" t="str">
        <f t="shared" si="21"/>
        <v>-</v>
      </c>
      <c r="LK13" s="54" t="str">
        <f t="shared" si="21"/>
        <v>-</v>
      </c>
      <c r="LL13" s="54" t="str">
        <f t="shared" ref="LL13:NW13" si="22">IF(AND(IF(LL15&gt;=$C$8,1,0),IF(LL15&lt;$C$9,1,0)),"Acumulación","-")</f>
        <v>-</v>
      </c>
      <c r="LM13" s="54" t="str">
        <f t="shared" si="22"/>
        <v>-</v>
      </c>
      <c r="LN13" s="54" t="str">
        <f t="shared" si="22"/>
        <v>-</v>
      </c>
      <c r="LO13" s="54" t="str">
        <f t="shared" si="22"/>
        <v>-</v>
      </c>
      <c r="LP13" s="54" t="str">
        <f t="shared" si="22"/>
        <v>-</v>
      </c>
      <c r="LQ13" s="54" t="str">
        <f t="shared" si="22"/>
        <v>-</v>
      </c>
      <c r="LR13" s="54" t="str">
        <f t="shared" si="22"/>
        <v>-</v>
      </c>
      <c r="LS13" s="54" t="str">
        <f t="shared" si="22"/>
        <v>-</v>
      </c>
      <c r="LT13" s="54" t="str">
        <f t="shared" si="22"/>
        <v>-</v>
      </c>
      <c r="LU13" s="54" t="str">
        <f t="shared" si="22"/>
        <v>-</v>
      </c>
      <c r="LV13" s="54" t="str">
        <f t="shared" si="22"/>
        <v>-</v>
      </c>
      <c r="LW13" s="54" t="str">
        <f t="shared" si="22"/>
        <v>-</v>
      </c>
      <c r="LX13" s="54" t="str">
        <f t="shared" si="22"/>
        <v>-</v>
      </c>
      <c r="LY13" s="54" t="str">
        <f t="shared" si="22"/>
        <v>-</v>
      </c>
      <c r="LZ13" s="54" t="str">
        <f t="shared" si="22"/>
        <v>-</v>
      </c>
      <c r="MA13" s="54" t="str">
        <f t="shared" si="22"/>
        <v>-</v>
      </c>
      <c r="MB13" s="54" t="str">
        <f t="shared" si="22"/>
        <v>-</v>
      </c>
      <c r="MC13" s="54" t="str">
        <f t="shared" si="22"/>
        <v>-</v>
      </c>
      <c r="MD13" s="54" t="str">
        <f t="shared" si="22"/>
        <v>-</v>
      </c>
      <c r="ME13" s="54" t="str">
        <f t="shared" si="22"/>
        <v>-</v>
      </c>
      <c r="MF13" s="54" t="str">
        <f t="shared" si="22"/>
        <v>-</v>
      </c>
      <c r="MG13" s="54" t="str">
        <f t="shared" si="22"/>
        <v>-</v>
      </c>
      <c r="MH13" s="54" t="str">
        <f t="shared" si="22"/>
        <v>-</v>
      </c>
      <c r="MI13" s="54" t="str">
        <f t="shared" si="22"/>
        <v>-</v>
      </c>
      <c r="MJ13" s="54" t="str">
        <f t="shared" si="22"/>
        <v>-</v>
      </c>
      <c r="MK13" s="54" t="str">
        <f t="shared" si="22"/>
        <v>-</v>
      </c>
      <c r="ML13" s="54" t="str">
        <f t="shared" si="22"/>
        <v>-</v>
      </c>
      <c r="MM13" s="54" t="str">
        <f t="shared" si="22"/>
        <v>-</v>
      </c>
      <c r="MN13" s="54" t="str">
        <f t="shared" si="22"/>
        <v>-</v>
      </c>
      <c r="MO13" s="54" t="str">
        <f t="shared" si="22"/>
        <v>-</v>
      </c>
      <c r="MP13" s="54" t="str">
        <f t="shared" si="22"/>
        <v>-</v>
      </c>
      <c r="MQ13" s="54" t="str">
        <f t="shared" si="22"/>
        <v>-</v>
      </c>
      <c r="MR13" s="54" t="str">
        <f t="shared" si="22"/>
        <v>-</v>
      </c>
      <c r="MS13" s="54" t="str">
        <f t="shared" si="22"/>
        <v>-</v>
      </c>
      <c r="MT13" s="54" t="str">
        <f t="shared" si="22"/>
        <v>-</v>
      </c>
      <c r="MU13" s="54" t="str">
        <f t="shared" si="22"/>
        <v>-</v>
      </c>
      <c r="MV13" s="54" t="str">
        <f t="shared" si="22"/>
        <v>-</v>
      </c>
      <c r="MW13" s="54" t="str">
        <f t="shared" si="22"/>
        <v>-</v>
      </c>
      <c r="MX13" s="54" t="str">
        <f t="shared" si="22"/>
        <v>-</v>
      </c>
      <c r="MY13" s="54" t="str">
        <f t="shared" si="22"/>
        <v>-</v>
      </c>
      <c r="MZ13" s="54" t="str">
        <f t="shared" si="22"/>
        <v>-</v>
      </c>
      <c r="NA13" s="54" t="str">
        <f t="shared" si="22"/>
        <v>-</v>
      </c>
      <c r="NB13" s="54" t="str">
        <f t="shared" si="22"/>
        <v>-</v>
      </c>
      <c r="NC13" s="54" t="str">
        <f t="shared" si="22"/>
        <v>-</v>
      </c>
      <c r="ND13" s="54" t="str">
        <f t="shared" si="22"/>
        <v>-</v>
      </c>
      <c r="NE13" s="54" t="str">
        <f t="shared" si="22"/>
        <v>-</v>
      </c>
      <c r="NF13" s="54" t="str">
        <f t="shared" si="22"/>
        <v>-</v>
      </c>
      <c r="NG13" s="54" t="str">
        <f t="shared" si="22"/>
        <v>-</v>
      </c>
      <c r="NH13" s="54" t="str">
        <f t="shared" si="22"/>
        <v>-</v>
      </c>
      <c r="NI13" s="54" t="str">
        <f t="shared" si="22"/>
        <v>-</v>
      </c>
      <c r="NJ13" s="54" t="str">
        <f t="shared" si="22"/>
        <v>-</v>
      </c>
      <c r="NK13" s="54" t="str">
        <f t="shared" si="22"/>
        <v>-</v>
      </c>
      <c r="NL13" s="54" t="str">
        <f t="shared" si="22"/>
        <v>-</v>
      </c>
      <c r="NM13" s="54" t="str">
        <f t="shared" si="22"/>
        <v>-</v>
      </c>
      <c r="NN13" s="54" t="str">
        <f t="shared" si="22"/>
        <v>-</v>
      </c>
      <c r="NO13" s="54" t="str">
        <f t="shared" si="22"/>
        <v>-</v>
      </c>
      <c r="NP13" s="54" t="str">
        <f t="shared" si="22"/>
        <v>-</v>
      </c>
      <c r="NQ13" s="54" t="str">
        <f t="shared" si="22"/>
        <v>-</v>
      </c>
      <c r="NR13" s="54" t="str">
        <f t="shared" si="22"/>
        <v>-</v>
      </c>
      <c r="NS13" s="54" t="str">
        <f t="shared" si="22"/>
        <v>-</v>
      </c>
      <c r="NT13" s="54" t="str">
        <f t="shared" si="22"/>
        <v>-</v>
      </c>
      <c r="NU13" s="54" t="str">
        <f t="shared" si="22"/>
        <v>-</v>
      </c>
      <c r="NV13" s="54" t="str">
        <f t="shared" si="22"/>
        <v>-</v>
      </c>
      <c r="NW13" s="54" t="str">
        <f t="shared" si="22"/>
        <v>-</v>
      </c>
      <c r="NX13" s="54" t="str">
        <f t="shared" ref="NX13:QI13" si="23">IF(AND(IF(NX15&gt;=$C$8,1,0),IF(NX15&lt;$C$9,1,0)),"Acumulación","-")</f>
        <v>-</v>
      </c>
      <c r="NY13" s="54" t="str">
        <f t="shared" si="23"/>
        <v>-</v>
      </c>
      <c r="NZ13" s="54" t="str">
        <f t="shared" si="23"/>
        <v>-</v>
      </c>
      <c r="OA13" s="54" t="str">
        <f t="shared" si="23"/>
        <v>-</v>
      </c>
      <c r="OB13" s="54" t="str">
        <f t="shared" si="23"/>
        <v>-</v>
      </c>
      <c r="OC13" s="54" t="str">
        <f t="shared" si="23"/>
        <v>-</v>
      </c>
      <c r="OD13" s="54" t="str">
        <f t="shared" si="23"/>
        <v>-</v>
      </c>
      <c r="OE13" s="54" t="str">
        <f t="shared" si="23"/>
        <v>-</v>
      </c>
      <c r="OF13" s="54" t="str">
        <f t="shared" si="23"/>
        <v>-</v>
      </c>
      <c r="OG13" s="54" t="str">
        <f t="shared" si="23"/>
        <v>-</v>
      </c>
      <c r="OH13" s="54" t="str">
        <f t="shared" si="23"/>
        <v>-</v>
      </c>
      <c r="OI13" s="54" t="str">
        <f t="shared" si="23"/>
        <v>-</v>
      </c>
      <c r="OJ13" s="54" t="str">
        <f t="shared" si="23"/>
        <v>-</v>
      </c>
      <c r="OK13" s="54" t="str">
        <f t="shared" si="23"/>
        <v>-</v>
      </c>
      <c r="OL13" s="54" t="str">
        <f t="shared" si="23"/>
        <v>-</v>
      </c>
      <c r="OM13" s="54" t="str">
        <f t="shared" si="23"/>
        <v>-</v>
      </c>
      <c r="ON13" s="54" t="str">
        <f t="shared" si="23"/>
        <v>-</v>
      </c>
      <c r="OO13" s="54" t="str">
        <f t="shared" si="23"/>
        <v>-</v>
      </c>
      <c r="OP13" s="54" t="str">
        <f t="shared" si="23"/>
        <v>-</v>
      </c>
      <c r="OQ13" s="54" t="str">
        <f t="shared" si="23"/>
        <v>-</v>
      </c>
      <c r="OR13" s="54" t="str">
        <f t="shared" si="23"/>
        <v>-</v>
      </c>
      <c r="OS13" s="54" t="str">
        <f t="shared" si="23"/>
        <v>-</v>
      </c>
      <c r="OT13" s="54" t="str">
        <f t="shared" si="23"/>
        <v>-</v>
      </c>
      <c r="OU13" s="54" t="str">
        <f t="shared" si="23"/>
        <v>-</v>
      </c>
      <c r="OV13" s="54" t="str">
        <f t="shared" si="23"/>
        <v>-</v>
      </c>
      <c r="OW13" s="54" t="str">
        <f t="shared" si="23"/>
        <v>-</v>
      </c>
      <c r="OX13" s="54" t="str">
        <f t="shared" si="23"/>
        <v>-</v>
      </c>
      <c r="OY13" s="54" t="str">
        <f t="shared" si="23"/>
        <v>-</v>
      </c>
      <c r="OZ13" s="54" t="str">
        <f t="shared" si="23"/>
        <v>-</v>
      </c>
      <c r="PA13" s="54" t="str">
        <f t="shared" si="23"/>
        <v>-</v>
      </c>
      <c r="PB13" s="54" t="str">
        <f t="shared" si="23"/>
        <v>-</v>
      </c>
      <c r="PC13" s="54" t="str">
        <f t="shared" si="23"/>
        <v>-</v>
      </c>
      <c r="PD13" s="54" t="str">
        <f t="shared" si="23"/>
        <v>-</v>
      </c>
      <c r="PE13" s="54" t="str">
        <f t="shared" si="23"/>
        <v>-</v>
      </c>
      <c r="PF13" s="54" t="str">
        <f t="shared" si="23"/>
        <v>-</v>
      </c>
      <c r="PG13" s="54" t="str">
        <f t="shared" si="23"/>
        <v>-</v>
      </c>
      <c r="PH13" s="54" t="str">
        <f t="shared" si="23"/>
        <v>-</v>
      </c>
      <c r="PI13" s="54" t="str">
        <f t="shared" si="23"/>
        <v>-</v>
      </c>
      <c r="PJ13" s="54" t="str">
        <f t="shared" si="23"/>
        <v>-</v>
      </c>
      <c r="PK13" s="54" t="str">
        <f t="shared" si="23"/>
        <v>-</v>
      </c>
      <c r="PL13" s="54" t="str">
        <f t="shared" si="23"/>
        <v>-</v>
      </c>
      <c r="PM13" s="54" t="str">
        <f t="shared" si="23"/>
        <v>-</v>
      </c>
      <c r="PN13" s="54" t="str">
        <f t="shared" si="23"/>
        <v>-</v>
      </c>
      <c r="PO13" s="54" t="str">
        <f t="shared" si="23"/>
        <v>-</v>
      </c>
      <c r="PP13" s="54" t="str">
        <f t="shared" si="23"/>
        <v>-</v>
      </c>
      <c r="PQ13" s="54" t="str">
        <f t="shared" si="23"/>
        <v>-</v>
      </c>
      <c r="PR13" s="54" t="str">
        <f t="shared" si="23"/>
        <v>-</v>
      </c>
      <c r="PS13" s="54" t="str">
        <f t="shared" si="23"/>
        <v>-</v>
      </c>
      <c r="PT13" s="54" t="str">
        <f t="shared" si="23"/>
        <v>-</v>
      </c>
      <c r="PU13" s="54" t="str">
        <f t="shared" si="23"/>
        <v>-</v>
      </c>
      <c r="PV13" s="54" t="str">
        <f t="shared" si="23"/>
        <v>-</v>
      </c>
      <c r="PW13" s="54" t="str">
        <f t="shared" si="23"/>
        <v>-</v>
      </c>
      <c r="PX13" s="54" t="str">
        <f t="shared" si="23"/>
        <v>-</v>
      </c>
      <c r="PY13" s="54" t="str">
        <f t="shared" si="23"/>
        <v>-</v>
      </c>
      <c r="PZ13" s="54" t="str">
        <f t="shared" si="23"/>
        <v>-</v>
      </c>
      <c r="QA13" s="54" t="str">
        <f t="shared" si="23"/>
        <v>-</v>
      </c>
      <c r="QB13" s="54" t="str">
        <f t="shared" si="23"/>
        <v>-</v>
      </c>
      <c r="QC13" s="54" t="str">
        <f t="shared" si="23"/>
        <v>-</v>
      </c>
      <c r="QD13" s="54" t="str">
        <f t="shared" si="23"/>
        <v>-</v>
      </c>
      <c r="QE13" s="54" t="str">
        <f t="shared" si="23"/>
        <v>-</v>
      </c>
      <c r="QF13" s="54" t="str">
        <f t="shared" si="23"/>
        <v>-</v>
      </c>
      <c r="QG13" s="54" t="str">
        <f t="shared" si="23"/>
        <v>-</v>
      </c>
      <c r="QH13" s="54" t="str">
        <f t="shared" si="23"/>
        <v>-</v>
      </c>
      <c r="QI13" s="54" t="str">
        <f t="shared" si="23"/>
        <v>-</v>
      </c>
      <c r="QJ13" s="54" t="str">
        <f t="shared" ref="QJ13:SU13" si="24">IF(AND(IF(QJ15&gt;=$C$8,1,0),IF(QJ15&lt;$C$9,1,0)),"Acumulación","-")</f>
        <v>-</v>
      </c>
      <c r="QK13" s="54" t="str">
        <f t="shared" si="24"/>
        <v>-</v>
      </c>
      <c r="QL13" s="54" t="str">
        <f t="shared" si="24"/>
        <v>-</v>
      </c>
      <c r="QM13" s="54" t="str">
        <f t="shared" si="24"/>
        <v>-</v>
      </c>
      <c r="QN13" s="54" t="str">
        <f t="shared" si="24"/>
        <v>-</v>
      </c>
      <c r="QO13" s="54" t="str">
        <f t="shared" si="24"/>
        <v>-</v>
      </c>
      <c r="QP13" s="54" t="str">
        <f t="shared" si="24"/>
        <v>-</v>
      </c>
      <c r="QQ13" s="54" t="str">
        <f t="shared" si="24"/>
        <v>-</v>
      </c>
      <c r="QR13" s="54" t="str">
        <f t="shared" si="24"/>
        <v>-</v>
      </c>
      <c r="QS13" s="54" t="str">
        <f t="shared" si="24"/>
        <v>-</v>
      </c>
      <c r="QT13" s="54" t="str">
        <f t="shared" si="24"/>
        <v>-</v>
      </c>
      <c r="QU13" s="54" t="str">
        <f t="shared" si="24"/>
        <v>-</v>
      </c>
      <c r="QV13" s="54" t="str">
        <f t="shared" si="24"/>
        <v>-</v>
      </c>
      <c r="QW13" s="54" t="str">
        <f t="shared" si="24"/>
        <v>-</v>
      </c>
      <c r="QX13" s="54" t="str">
        <f t="shared" si="24"/>
        <v>-</v>
      </c>
      <c r="QY13" s="54" t="str">
        <f t="shared" si="24"/>
        <v>-</v>
      </c>
      <c r="QZ13" s="54" t="str">
        <f t="shared" si="24"/>
        <v>-</v>
      </c>
      <c r="RA13" s="54" t="str">
        <f t="shared" si="24"/>
        <v>-</v>
      </c>
      <c r="RB13" s="54" t="str">
        <f t="shared" si="24"/>
        <v>-</v>
      </c>
      <c r="RC13" s="54" t="str">
        <f t="shared" si="24"/>
        <v>-</v>
      </c>
      <c r="RD13" s="54" t="str">
        <f t="shared" si="24"/>
        <v>-</v>
      </c>
      <c r="RE13" s="54" t="str">
        <f t="shared" si="24"/>
        <v>-</v>
      </c>
      <c r="RF13" s="54" t="str">
        <f t="shared" si="24"/>
        <v>-</v>
      </c>
      <c r="RG13" s="54" t="str">
        <f t="shared" si="24"/>
        <v>-</v>
      </c>
      <c r="RH13" s="54" t="str">
        <f t="shared" si="24"/>
        <v>-</v>
      </c>
      <c r="RI13" s="54" t="str">
        <f t="shared" si="24"/>
        <v>-</v>
      </c>
      <c r="RJ13" s="54" t="str">
        <f t="shared" si="24"/>
        <v>-</v>
      </c>
      <c r="RK13" s="54" t="str">
        <f t="shared" si="24"/>
        <v>-</v>
      </c>
      <c r="RL13" s="54" t="str">
        <f t="shared" si="24"/>
        <v>-</v>
      </c>
      <c r="RM13" s="54" t="str">
        <f t="shared" si="24"/>
        <v>-</v>
      </c>
      <c r="RN13" s="54" t="str">
        <f t="shared" si="24"/>
        <v>-</v>
      </c>
      <c r="RO13" s="54" t="str">
        <f t="shared" si="24"/>
        <v>-</v>
      </c>
      <c r="RP13" s="54" t="str">
        <f t="shared" si="24"/>
        <v>-</v>
      </c>
      <c r="RQ13" s="54" t="str">
        <f t="shared" si="24"/>
        <v>-</v>
      </c>
      <c r="RR13" s="54" t="str">
        <f t="shared" si="24"/>
        <v>-</v>
      </c>
      <c r="RS13" s="54" t="str">
        <f t="shared" si="24"/>
        <v>-</v>
      </c>
      <c r="RT13" s="54" t="str">
        <f t="shared" si="24"/>
        <v>-</v>
      </c>
      <c r="RU13" s="54" t="str">
        <f t="shared" si="24"/>
        <v>-</v>
      </c>
      <c r="RV13" s="54" t="str">
        <f t="shared" si="24"/>
        <v>-</v>
      </c>
      <c r="RW13" s="54" t="str">
        <f t="shared" si="24"/>
        <v>-</v>
      </c>
      <c r="RX13" s="54" t="str">
        <f t="shared" si="24"/>
        <v>-</v>
      </c>
      <c r="RY13" s="54" t="str">
        <f t="shared" si="24"/>
        <v>-</v>
      </c>
      <c r="RZ13" s="54" t="str">
        <f t="shared" si="24"/>
        <v>-</v>
      </c>
      <c r="SA13" s="54" t="str">
        <f t="shared" si="24"/>
        <v>-</v>
      </c>
      <c r="SB13" s="54" t="str">
        <f t="shared" si="24"/>
        <v>-</v>
      </c>
      <c r="SC13" s="54" t="str">
        <f t="shared" si="24"/>
        <v>-</v>
      </c>
      <c r="SD13" s="54" t="str">
        <f t="shared" si="24"/>
        <v>-</v>
      </c>
      <c r="SE13" s="54" t="str">
        <f t="shared" si="24"/>
        <v>-</v>
      </c>
      <c r="SF13" s="54" t="str">
        <f t="shared" si="24"/>
        <v>-</v>
      </c>
      <c r="SG13" s="54" t="str">
        <f t="shared" si="24"/>
        <v>-</v>
      </c>
      <c r="SH13" s="54" t="str">
        <f t="shared" si="24"/>
        <v>-</v>
      </c>
      <c r="SI13" s="54" t="str">
        <f t="shared" si="24"/>
        <v>-</v>
      </c>
      <c r="SJ13" s="54" t="str">
        <f t="shared" si="24"/>
        <v>-</v>
      </c>
      <c r="SK13" s="54" t="str">
        <f t="shared" si="24"/>
        <v>-</v>
      </c>
      <c r="SL13" s="54" t="str">
        <f t="shared" si="24"/>
        <v>-</v>
      </c>
      <c r="SM13" s="54" t="str">
        <f t="shared" si="24"/>
        <v>-</v>
      </c>
      <c r="SN13" s="54" t="str">
        <f t="shared" si="24"/>
        <v>-</v>
      </c>
      <c r="SO13" s="54" t="str">
        <f t="shared" si="24"/>
        <v>-</v>
      </c>
      <c r="SP13" s="54" t="str">
        <f t="shared" si="24"/>
        <v>-</v>
      </c>
      <c r="SQ13" s="54" t="str">
        <f t="shared" si="24"/>
        <v>-</v>
      </c>
      <c r="SR13" s="54" t="str">
        <f t="shared" si="24"/>
        <v>-</v>
      </c>
      <c r="SS13" s="54" t="str">
        <f t="shared" si="24"/>
        <v>-</v>
      </c>
      <c r="ST13" s="54" t="str">
        <f t="shared" si="24"/>
        <v>-</v>
      </c>
      <c r="SU13" s="54" t="str">
        <f t="shared" si="24"/>
        <v>-</v>
      </c>
      <c r="SV13" s="54" t="str">
        <f t="shared" ref="SV13:VG13" si="25">IF(AND(IF(SV15&gt;=$C$8,1,0),IF(SV15&lt;$C$9,1,0)),"Acumulación","-")</f>
        <v>-</v>
      </c>
      <c r="SW13" s="54" t="str">
        <f t="shared" si="25"/>
        <v>-</v>
      </c>
      <c r="SX13" s="54" t="str">
        <f t="shared" si="25"/>
        <v>-</v>
      </c>
      <c r="SY13" s="54" t="str">
        <f t="shared" si="25"/>
        <v>-</v>
      </c>
      <c r="SZ13" s="54" t="str">
        <f t="shared" si="25"/>
        <v>-</v>
      </c>
      <c r="TA13" s="54" t="str">
        <f t="shared" si="25"/>
        <v>-</v>
      </c>
      <c r="TB13" s="54" t="str">
        <f t="shared" si="25"/>
        <v>-</v>
      </c>
      <c r="TC13" s="54" t="str">
        <f t="shared" si="25"/>
        <v>-</v>
      </c>
      <c r="TD13" s="54" t="str">
        <f t="shared" si="25"/>
        <v>-</v>
      </c>
      <c r="TE13" s="54" t="str">
        <f t="shared" si="25"/>
        <v>-</v>
      </c>
      <c r="TF13" s="54" t="str">
        <f t="shared" si="25"/>
        <v>-</v>
      </c>
      <c r="TG13" s="54" t="str">
        <f t="shared" si="25"/>
        <v>-</v>
      </c>
      <c r="TH13" s="54" t="str">
        <f t="shared" si="25"/>
        <v>-</v>
      </c>
      <c r="TI13" s="54" t="str">
        <f t="shared" si="25"/>
        <v>-</v>
      </c>
      <c r="TJ13" s="54" t="str">
        <f t="shared" si="25"/>
        <v>-</v>
      </c>
      <c r="TK13" s="54" t="str">
        <f t="shared" si="25"/>
        <v>-</v>
      </c>
      <c r="TL13" s="54" t="str">
        <f t="shared" si="25"/>
        <v>-</v>
      </c>
      <c r="TM13" s="54" t="str">
        <f t="shared" si="25"/>
        <v>-</v>
      </c>
      <c r="TN13" s="54" t="str">
        <f t="shared" si="25"/>
        <v>-</v>
      </c>
      <c r="TO13" s="54" t="str">
        <f t="shared" si="25"/>
        <v>-</v>
      </c>
      <c r="TP13" s="54" t="str">
        <f t="shared" si="25"/>
        <v>-</v>
      </c>
      <c r="TQ13" s="54" t="str">
        <f t="shared" si="25"/>
        <v>-</v>
      </c>
      <c r="TR13" s="54" t="str">
        <f t="shared" si="25"/>
        <v>-</v>
      </c>
      <c r="TS13" s="54" t="str">
        <f t="shared" si="25"/>
        <v>-</v>
      </c>
      <c r="TT13" s="54" t="str">
        <f t="shared" si="25"/>
        <v>-</v>
      </c>
      <c r="TU13" s="54" t="str">
        <f t="shared" si="25"/>
        <v>-</v>
      </c>
      <c r="TV13" s="54" t="str">
        <f t="shared" si="25"/>
        <v>-</v>
      </c>
      <c r="TW13" s="54" t="str">
        <f t="shared" si="25"/>
        <v>-</v>
      </c>
      <c r="TX13" s="54" t="str">
        <f t="shared" si="25"/>
        <v>-</v>
      </c>
      <c r="TY13" s="54" t="str">
        <f t="shared" si="25"/>
        <v>-</v>
      </c>
      <c r="TZ13" s="54" t="str">
        <f t="shared" si="25"/>
        <v>-</v>
      </c>
      <c r="UA13" s="54" t="str">
        <f t="shared" si="25"/>
        <v>-</v>
      </c>
      <c r="UB13" s="54" t="str">
        <f t="shared" si="25"/>
        <v>-</v>
      </c>
      <c r="UC13" s="54" t="str">
        <f t="shared" si="25"/>
        <v>-</v>
      </c>
      <c r="UD13" s="54" t="str">
        <f t="shared" si="25"/>
        <v>-</v>
      </c>
      <c r="UE13" s="54" t="str">
        <f t="shared" si="25"/>
        <v>-</v>
      </c>
      <c r="UF13" s="54" t="str">
        <f t="shared" si="25"/>
        <v>-</v>
      </c>
      <c r="UG13" s="54" t="str">
        <f t="shared" si="25"/>
        <v>-</v>
      </c>
      <c r="UH13" s="54" t="str">
        <f t="shared" si="25"/>
        <v>-</v>
      </c>
      <c r="UI13" s="54" t="str">
        <f t="shared" si="25"/>
        <v>-</v>
      </c>
      <c r="UJ13" s="54" t="str">
        <f t="shared" si="25"/>
        <v>-</v>
      </c>
      <c r="UK13" s="54" t="str">
        <f t="shared" si="25"/>
        <v>-</v>
      </c>
      <c r="UL13" s="54" t="str">
        <f t="shared" si="25"/>
        <v>-</v>
      </c>
      <c r="UM13" s="54" t="str">
        <f t="shared" si="25"/>
        <v>-</v>
      </c>
      <c r="UN13" s="54" t="str">
        <f t="shared" si="25"/>
        <v>-</v>
      </c>
      <c r="UO13" s="54" t="str">
        <f t="shared" si="25"/>
        <v>-</v>
      </c>
      <c r="UP13" s="54" t="str">
        <f t="shared" si="25"/>
        <v>-</v>
      </c>
      <c r="UQ13" s="54" t="str">
        <f t="shared" si="25"/>
        <v>-</v>
      </c>
      <c r="UR13" s="54" t="str">
        <f t="shared" si="25"/>
        <v>-</v>
      </c>
      <c r="US13" s="54" t="str">
        <f t="shared" si="25"/>
        <v>-</v>
      </c>
      <c r="UT13" s="54" t="str">
        <f t="shared" si="25"/>
        <v>-</v>
      </c>
      <c r="UU13" s="54" t="str">
        <f t="shared" si="25"/>
        <v>-</v>
      </c>
      <c r="UV13" s="54" t="str">
        <f t="shared" si="25"/>
        <v>-</v>
      </c>
      <c r="UW13" s="54" t="str">
        <f t="shared" si="25"/>
        <v>-</v>
      </c>
      <c r="UX13" s="54" t="str">
        <f t="shared" si="25"/>
        <v>-</v>
      </c>
      <c r="UY13" s="54" t="str">
        <f t="shared" si="25"/>
        <v>-</v>
      </c>
      <c r="UZ13" s="54" t="str">
        <f t="shared" si="25"/>
        <v>-</v>
      </c>
      <c r="VA13" s="54" t="str">
        <f t="shared" si="25"/>
        <v>-</v>
      </c>
      <c r="VB13" s="54" t="str">
        <f t="shared" si="25"/>
        <v>-</v>
      </c>
      <c r="VC13" s="54" t="str">
        <f t="shared" si="25"/>
        <v>-</v>
      </c>
      <c r="VD13" s="54" t="str">
        <f t="shared" si="25"/>
        <v>-</v>
      </c>
      <c r="VE13" s="54" t="str">
        <f t="shared" si="25"/>
        <v>-</v>
      </c>
      <c r="VF13" s="54" t="str">
        <f t="shared" si="25"/>
        <v>-</v>
      </c>
      <c r="VG13" s="54" t="str">
        <f t="shared" si="25"/>
        <v>-</v>
      </c>
      <c r="VH13" s="54" t="str">
        <f t="shared" ref="VH13:XS13" si="26">IF(AND(IF(VH15&gt;=$C$8,1,0),IF(VH15&lt;$C$9,1,0)),"Acumulación","-")</f>
        <v>-</v>
      </c>
      <c r="VI13" s="54" t="str">
        <f t="shared" si="26"/>
        <v>-</v>
      </c>
      <c r="VJ13" s="54" t="str">
        <f t="shared" si="26"/>
        <v>-</v>
      </c>
      <c r="VK13" s="54" t="str">
        <f t="shared" si="26"/>
        <v>-</v>
      </c>
      <c r="VL13" s="54" t="str">
        <f t="shared" si="26"/>
        <v>-</v>
      </c>
      <c r="VM13" s="54" t="str">
        <f t="shared" si="26"/>
        <v>-</v>
      </c>
      <c r="VN13" s="54" t="str">
        <f t="shared" si="26"/>
        <v>-</v>
      </c>
      <c r="VO13" s="54" t="str">
        <f t="shared" si="26"/>
        <v>-</v>
      </c>
      <c r="VP13" s="54" t="str">
        <f t="shared" si="26"/>
        <v>-</v>
      </c>
      <c r="VQ13" s="54" t="str">
        <f t="shared" si="26"/>
        <v>-</v>
      </c>
      <c r="VR13" s="54" t="str">
        <f t="shared" si="26"/>
        <v>-</v>
      </c>
      <c r="VS13" s="54" t="str">
        <f t="shared" si="26"/>
        <v>-</v>
      </c>
      <c r="VT13" s="54" t="str">
        <f t="shared" si="26"/>
        <v>Acumulación</v>
      </c>
      <c r="VU13" s="54" t="str">
        <f t="shared" si="26"/>
        <v>Acumulación</v>
      </c>
      <c r="VV13" s="54" t="str">
        <f t="shared" si="26"/>
        <v>Acumulación</v>
      </c>
      <c r="VW13" s="54" t="str">
        <f t="shared" si="26"/>
        <v>Acumulación</v>
      </c>
      <c r="VX13" s="54" t="str">
        <f t="shared" si="26"/>
        <v>Acumulación</v>
      </c>
      <c r="VY13" s="54" t="str">
        <f t="shared" si="26"/>
        <v>Acumulación</v>
      </c>
      <c r="VZ13" s="54" t="str">
        <f t="shared" si="26"/>
        <v>Acumulación</v>
      </c>
      <c r="WA13" s="54" t="str">
        <f t="shared" si="26"/>
        <v>Acumulación</v>
      </c>
      <c r="WB13" s="54" t="str">
        <f t="shared" si="26"/>
        <v>Acumulación</v>
      </c>
      <c r="WC13" s="54" t="str">
        <f t="shared" si="26"/>
        <v>Acumulación</v>
      </c>
      <c r="WD13" s="54" t="str">
        <f t="shared" si="26"/>
        <v>Acumulación</v>
      </c>
      <c r="WE13" s="54" t="str">
        <f t="shared" si="26"/>
        <v>Acumulación</v>
      </c>
      <c r="WF13" s="54" t="str">
        <f t="shared" si="26"/>
        <v>Acumulación</v>
      </c>
      <c r="WG13" s="54" t="str">
        <f t="shared" si="26"/>
        <v>Acumulación</v>
      </c>
      <c r="WH13" s="54" t="str">
        <f t="shared" si="26"/>
        <v>Acumulación</v>
      </c>
      <c r="WI13" s="54" t="str">
        <f t="shared" si="26"/>
        <v>Acumulación</v>
      </c>
      <c r="WJ13" s="54" t="str">
        <f t="shared" si="26"/>
        <v>Acumulación</v>
      </c>
      <c r="WK13" s="54" t="str">
        <f t="shared" si="26"/>
        <v>Acumulación</v>
      </c>
      <c r="WL13" s="54" t="str">
        <f t="shared" si="26"/>
        <v>Acumulación</v>
      </c>
      <c r="WM13" s="54" t="str">
        <f t="shared" si="26"/>
        <v>Acumulación</v>
      </c>
      <c r="WN13" s="54" t="str">
        <f t="shared" si="26"/>
        <v>Acumulación</v>
      </c>
      <c r="WO13" s="54" t="str">
        <f t="shared" si="26"/>
        <v>Acumulación</v>
      </c>
      <c r="WP13" s="54" t="str">
        <f t="shared" si="26"/>
        <v>Acumulación</v>
      </c>
      <c r="WQ13" s="54" t="str">
        <f t="shared" si="26"/>
        <v>Acumulación</v>
      </c>
      <c r="WR13" s="54" t="str">
        <f t="shared" si="26"/>
        <v>Acumulación</v>
      </c>
      <c r="WS13" s="54" t="str">
        <f t="shared" si="26"/>
        <v>Acumulación</v>
      </c>
      <c r="WT13" s="54" t="str">
        <f t="shared" si="26"/>
        <v>Acumulación</v>
      </c>
      <c r="WU13" s="54" t="str">
        <f t="shared" si="26"/>
        <v>Acumulación</v>
      </c>
      <c r="WV13" s="54" t="str">
        <f t="shared" si="26"/>
        <v>Acumulación</v>
      </c>
      <c r="WW13" s="54" t="str">
        <f t="shared" si="26"/>
        <v>Acumulación</v>
      </c>
      <c r="WX13" s="54" t="str">
        <f t="shared" si="26"/>
        <v>Acumulación</v>
      </c>
      <c r="WY13" s="54" t="str">
        <f t="shared" si="26"/>
        <v>Acumulación</v>
      </c>
      <c r="WZ13" s="54" t="str">
        <f t="shared" si="26"/>
        <v>Acumulación</v>
      </c>
      <c r="XA13" s="54" t="str">
        <f t="shared" si="26"/>
        <v>Acumulación</v>
      </c>
      <c r="XB13" s="54" t="str">
        <f t="shared" si="26"/>
        <v>Acumulación</v>
      </c>
      <c r="XC13" s="54" t="str">
        <f t="shared" si="26"/>
        <v>Acumulación</v>
      </c>
      <c r="XD13" s="54" t="str">
        <f t="shared" si="26"/>
        <v>Acumulación</v>
      </c>
      <c r="XE13" s="54" t="str">
        <f t="shared" si="26"/>
        <v>Acumulación</v>
      </c>
      <c r="XF13" s="54" t="str">
        <f t="shared" si="26"/>
        <v>Acumulación</v>
      </c>
      <c r="XG13" s="54" t="str">
        <f t="shared" si="26"/>
        <v>Acumulación</v>
      </c>
      <c r="XH13" s="54" t="str">
        <f t="shared" si="26"/>
        <v>Acumulación</v>
      </c>
      <c r="XI13" s="54" t="str">
        <f t="shared" si="26"/>
        <v>Acumulación</v>
      </c>
      <c r="XJ13" s="54" t="str">
        <f t="shared" si="26"/>
        <v>Acumulación</v>
      </c>
      <c r="XK13" s="54" t="str">
        <f t="shared" si="26"/>
        <v>Acumulación</v>
      </c>
      <c r="XL13" s="54" t="str">
        <f t="shared" si="26"/>
        <v>Acumulación</v>
      </c>
      <c r="XM13" s="54" t="str">
        <f t="shared" si="26"/>
        <v>Acumulación</v>
      </c>
      <c r="XN13" s="54" t="str">
        <f t="shared" si="26"/>
        <v>Acumulación</v>
      </c>
      <c r="XO13" s="54" t="str">
        <f t="shared" si="26"/>
        <v>Acumulación</v>
      </c>
      <c r="XP13" s="54" t="str">
        <f t="shared" si="26"/>
        <v>Acumulación</v>
      </c>
      <c r="XQ13" s="54" t="str">
        <f t="shared" si="26"/>
        <v>Acumulación</v>
      </c>
      <c r="XR13" s="54" t="str">
        <f t="shared" si="26"/>
        <v>Acumulación</v>
      </c>
      <c r="XS13" s="54" t="str">
        <f t="shared" si="26"/>
        <v>Acumulación</v>
      </c>
      <c r="XT13" s="54" t="str">
        <f t="shared" ref="XT13:AAE13" si="27">IF(AND(IF(XT15&gt;=$C$8,1,0),IF(XT15&lt;$C$9,1,0)),"Acumulación","-")</f>
        <v>Acumulación</v>
      </c>
      <c r="XU13" s="54" t="str">
        <f t="shared" si="27"/>
        <v>Acumulación</v>
      </c>
      <c r="XV13" s="54" t="str">
        <f t="shared" si="27"/>
        <v>Acumulación</v>
      </c>
      <c r="XW13" s="54" t="str">
        <f t="shared" si="27"/>
        <v>Acumulación</v>
      </c>
      <c r="XX13" s="54" t="str">
        <f t="shared" si="27"/>
        <v>Acumulación</v>
      </c>
      <c r="XY13" s="54" t="str">
        <f t="shared" si="27"/>
        <v>Acumulación</v>
      </c>
      <c r="XZ13" s="54" t="str">
        <f t="shared" si="27"/>
        <v>Acumulación</v>
      </c>
      <c r="YA13" s="54" t="str">
        <f t="shared" si="27"/>
        <v>Acumulación</v>
      </c>
      <c r="YB13" s="54" t="str">
        <f t="shared" si="27"/>
        <v>Acumulación</v>
      </c>
      <c r="YC13" s="54" t="str">
        <f t="shared" si="27"/>
        <v>Acumulación</v>
      </c>
      <c r="YD13" s="54" t="str">
        <f t="shared" si="27"/>
        <v>Acumulación</v>
      </c>
      <c r="YE13" s="54" t="str">
        <f t="shared" si="27"/>
        <v>Acumulación</v>
      </c>
      <c r="YF13" s="54" t="str">
        <f t="shared" si="27"/>
        <v>Acumulación</v>
      </c>
      <c r="YG13" s="54" t="str">
        <f t="shared" si="27"/>
        <v>Acumulación</v>
      </c>
      <c r="YH13" s="54" t="str">
        <f t="shared" si="27"/>
        <v>Acumulación</v>
      </c>
      <c r="YI13" s="54" t="str">
        <f t="shared" si="27"/>
        <v>Acumulación</v>
      </c>
      <c r="YJ13" s="54" t="str">
        <f t="shared" si="27"/>
        <v>Acumulación</v>
      </c>
      <c r="YK13" s="54" t="str">
        <f t="shared" si="27"/>
        <v>Acumulación</v>
      </c>
      <c r="YL13" s="54" t="str">
        <f t="shared" si="27"/>
        <v>Acumulación</v>
      </c>
      <c r="YM13" s="54" t="str">
        <f t="shared" si="27"/>
        <v>Acumulación</v>
      </c>
      <c r="YN13" s="54" t="str">
        <f t="shared" si="27"/>
        <v>Acumulación</v>
      </c>
      <c r="YO13" s="54" t="str">
        <f t="shared" si="27"/>
        <v>Acumulación</v>
      </c>
      <c r="YP13" s="54" t="str">
        <f t="shared" si="27"/>
        <v>Acumulación</v>
      </c>
      <c r="YQ13" s="54" t="str">
        <f t="shared" si="27"/>
        <v>Acumulación</v>
      </c>
      <c r="YR13" s="54" t="str">
        <f t="shared" si="27"/>
        <v>Acumulación</v>
      </c>
      <c r="YS13" s="54" t="str">
        <f t="shared" si="27"/>
        <v>Acumulación</v>
      </c>
      <c r="YT13" s="54" t="str">
        <f t="shared" si="27"/>
        <v>Acumulación</v>
      </c>
      <c r="YU13" s="54" t="str">
        <f t="shared" si="27"/>
        <v>Acumulación</v>
      </c>
      <c r="YV13" s="54" t="str">
        <f t="shared" si="27"/>
        <v>Acumulación</v>
      </c>
      <c r="YW13" s="54" t="str">
        <f t="shared" si="27"/>
        <v>Acumulación</v>
      </c>
      <c r="YX13" s="54" t="str">
        <f t="shared" si="27"/>
        <v>Acumulación</v>
      </c>
      <c r="YY13" s="54" t="str">
        <f t="shared" si="27"/>
        <v>Acumulación</v>
      </c>
      <c r="YZ13" s="54" t="str">
        <f t="shared" si="27"/>
        <v>Acumulación</v>
      </c>
      <c r="ZA13" s="54" t="str">
        <f t="shared" si="27"/>
        <v>Acumulación</v>
      </c>
      <c r="ZB13" s="54" t="str">
        <f t="shared" si="27"/>
        <v>Acumulación</v>
      </c>
      <c r="ZC13" s="54" t="str">
        <f t="shared" si="27"/>
        <v>Acumulación</v>
      </c>
      <c r="ZD13" s="54" t="str">
        <f t="shared" si="27"/>
        <v>Acumulación</v>
      </c>
      <c r="ZE13" s="54" t="str">
        <f t="shared" si="27"/>
        <v>Acumulación</v>
      </c>
      <c r="ZF13" s="54" t="str">
        <f t="shared" si="27"/>
        <v>Acumulación</v>
      </c>
      <c r="ZG13" s="54" t="str">
        <f t="shared" si="27"/>
        <v>Acumulación</v>
      </c>
      <c r="ZH13" s="54" t="str">
        <f t="shared" si="27"/>
        <v>Acumulación</v>
      </c>
      <c r="ZI13" s="54" t="str">
        <f t="shared" si="27"/>
        <v>Acumulación</v>
      </c>
      <c r="ZJ13" s="54" t="str">
        <f t="shared" si="27"/>
        <v>Acumulación</v>
      </c>
      <c r="ZK13" s="54" t="str">
        <f t="shared" si="27"/>
        <v>Acumulación</v>
      </c>
      <c r="ZL13" s="54" t="str">
        <f t="shared" si="27"/>
        <v>Acumulación</v>
      </c>
      <c r="ZM13" s="54" t="str">
        <f t="shared" si="27"/>
        <v>Acumulación</v>
      </c>
      <c r="ZN13" s="54" t="str">
        <f t="shared" si="27"/>
        <v>Acumulación</v>
      </c>
      <c r="ZO13" s="54" t="str">
        <f t="shared" si="27"/>
        <v>Acumulación</v>
      </c>
      <c r="ZP13" s="54" t="str">
        <f t="shared" si="27"/>
        <v>Acumulación</v>
      </c>
      <c r="ZQ13" s="54" t="str">
        <f t="shared" si="27"/>
        <v>Acumulación</v>
      </c>
      <c r="ZR13" s="54" t="str">
        <f t="shared" si="27"/>
        <v>Acumulación</v>
      </c>
      <c r="ZS13" s="54" t="str">
        <f t="shared" si="27"/>
        <v>Acumulación</v>
      </c>
      <c r="ZT13" s="54" t="str">
        <f t="shared" si="27"/>
        <v>Acumulación</v>
      </c>
      <c r="ZU13" s="54" t="str">
        <f t="shared" si="27"/>
        <v>Acumulación</v>
      </c>
      <c r="ZV13" s="54" t="str">
        <f t="shared" si="27"/>
        <v>Acumulación</v>
      </c>
      <c r="ZW13" s="54" t="str">
        <f t="shared" si="27"/>
        <v>Acumulación</v>
      </c>
      <c r="ZX13" s="54" t="str">
        <f t="shared" si="27"/>
        <v>Acumulación</v>
      </c>
      <c r="ZY13" s="54" t="str">
        <f t="shared" si="27"/>
        <v>Acumulación</v>
      </c>
      <c r="ZZ13" s="54" t="str">
        <f t="shared" si="27"/>
        <v>Acumulación</v>
      </c>
      <c r="AAA13" s="54" t="str">
        <f t="shared" si="27"/>
        <v>Acumulación</v>
      </c>
      <c r="AAB13" s="54" t="str">
        <f t="shared" si="27"/>
        <v>Acumulación</v>
      </c>
      <c r="AAC13" s="54" t="str">
        <f t="shared" si="27"/>
        <v>Acumulación</v>
      </c>
      <c r="AAD13" s="54" t="str">
        <f t="shared" si="27"/>
        <v>Acumulación</v>
      </c>
      <c r="AAE13" s="54" t="str">
        <f t="shared" si="27"/>
        <v>Acumulación</v>
      </c>
      <c r="AAF13" s="54" t="str">
        <f t="shared" ref="AAF13:ACQ13" si="28">IF(AND(IF(AAF15&gt;=$C$8,1,0),IF(AAF15&lt;$C$9,1,0)),"Acumulación","-")</f>
        <v>Acumulación</v>
      </c>
      <c r="AAG13" s="54" t="str">
        <f t="shared" si="28"/>
        <v>Acumulación</v>
      </c>
      <c r="AAH13" s="54" t="str">
        <f t="shared" si="28"/>
        <v>Acumulación</v>
      </c>
      <c r="AAI13" s="54" t="str">
        <f t="shared" si="28"/>
        <v>Acumulación</v>
      </c>
      <c r="AAJ13" s="54" t="str">
        <f t="shared" si="28"/>
        <v>-</v>
      </c>
      <c r="AAK13" s="54" t="str">
        <f t="shared" si="28"/>
        <v>-</v>
      </c>
      <c r="AAL13" s="54" t="str">
        <f t="shared" si="28"/>
        <v>-</v>
      </c>
      <c r="AAM13" s="54" t="str">
        <f t="shared" si="28"/>
        <v>-</v>
      </c>
      <c r="AAN13" s="54" t="str">
        <f t="shared" si="28"/>
        <v>-</v>
      </c>
      <c r="AAO13" s="54" t="str">
        <f t="shared" si="28"/>
        <v>-</v>
      </c>
      <c r="AAP13" s="54" t="str">
        <f t="shared" si="28"/>
        <v>-</v>
      </c>
      <c r="AAQ13" s="54" t="str">
        <f t="shared" si="28"/>
        <v>-</v>
      </c>
      <c r="AAR13" s="54" t="str">
        <f t="shared" si="28"/>
        <v>-</v>
      </c>
      <c r="AAS13" s="54" t="str">
        <f t="shared" si="28"/>
        <v>-</v>
      </c>
      <c r="AAT13" s="54" t="str">
        <f t="shared" si="28"/>
        <v>-</v>
      </c>
      <c r="AAU13" s="54" t="str">
        <f t="shared" si="28"/>
        <v>-</v>
      </c>
      <c r="AAV13" s="54" t="str">
        <f t="shared" si="28"/>
        <v>-</v>
      </c>
      <c r="AAW13" s="54" t="str">
        <f t="shared" si="28"/>
        <v>-</v>
      </c>
      <c r="AAX13" s="54" t="str">
        <f t="shared" si="28"/>
        <v>-</v>
      </c>
      <c r="AAY13" s="54" t="str">
        <f t="shared" si="28"/>
        <v>-</v>
      </c>
      <c r="AAZ13" s="54" t="str">
        <f t="shared" si="28"/>
        <v>-</v>
      </c>
      <c r="ABA13" s="54" t="str">
        <f t="shared" si="28"/>
        <v>-</v>
      </c>
      <c r="ABB13" s="54" t="str">
        <f t="shared" si="28"/>
        <v>-</v>
      </c>
      <c r="ABC13" s="54" t="str">
        <f t="shared" si="28"/>
        <v>-</v>
      </c>
      <c r="ABD13" s="54" t="str">
        <f t="shared" si="28"/>
        <v>-</v>
      </c>
      <c r="ABE13" s="54" t="str">
        <f t="shared" si="28"/>
        <v>-</v>
      </c>
      <c r="ABF13" s="54" t="str">
        <f t="shared" si="28"/>
        <v>-</v>
      </c>
      <c r="ABG13" s="54" t="str">
        <f t="shared" si="28"/>
        <v>-</v>
      </c>
      <c r="ABH13" s="54" t="str">
        <f t="shared" si="28"/>
        <v>-</v>
      </c>
      <c r="ABI13" s="54" t="str">
        <f t="shared" si="28"/>
        <v>-</v>
      </c>
      <c r="ABJ13" s="54" t="str">
        <f t="shared" si="28"/>
        <v>-</v>
      </c>
      <c r="ABK13" s="54" t="str">
        <f t="shared" si="28"/>
        <v>-</v>
      </c>
      <c r="ABL13" s="54" t="str">
        <f t="shared" si="28"/>
        <v>-</v>
      </c>
      <c r="ABM13" s="54" t="str">
        <f t="shared" si="28"/>
        <v>-</v>
      </c>
      <c r="ABN13" s="54" t="str">
        <f t="shared" si="28"/>
        <v>-</v>
      </c>
      <c r="ABO13" s="54" t="str">
        <f t="shared" si="28"/>
        <v>-</v>
      </c>
      <c r="ABP13" s="54" t="str">
        <f t="shared" si="28"/>
        <v>-</v>
      </c>
      <c r="ABQ13" s="54" t="str">
        <f t="shared" si="28"/>
        <v>-</v>
      </c>
      <c r="ABR13" s="54" t="str">
        <f t="shared" si="28"/>
        <v>-</v>
      </c>
      <c r="ABS13" s="54" t="str">
        <f t="shared" si="28"/>
        <v>-</v>
      </c>
      <c r="ABT13" s="54" t="str">
        <f t="shared" si="28"/>
        <v>-</v>
      </c>
      <c r="ABU13" s="54" t="str">
        <f t="shared" si="28"/>
        <v>-</v>
      </c>
      <c r="ABV13" s="54" t="str">
        <f t="shared" si="28"/>
        <v>-</v>
      </c>
      <c r="ABW13" s="54" t="str">
        <f t="shared" si="28"/>
        <v>-</v>
      </c>
      <c r="ABX13" s="54" t="str">
        <f t="shared" si="28"/>
        <v>-</v>
      </c>
      <c r="ABY13" s="54" t="str">
        <f t="shared" si="28"/>
        <v>-</v>
      </c>
      <c r="ABZ13" s="54" t="str">
        <f t="shared" si="28"/>
        <v>-</v>
      </c>
      <c r="ACA13" s="54" t="str">
        <f t="shared" si="28"/>
        <v>-</v>
      </c>
      <c r="ACB13" s="54" t="str">
        <f t="shared" si="28"/>
        <v>-</v>
      </c>
      <c r="ACC13" s="54" t="str">
        <f t="shared" si="28"/>
        <v>-</v>
      </c>
      <c r="ACD13" s="54" t="str">
        <f t="shared" si="28"/>
        <v>-</v>
      </c>
      <c r="ACE13" s="54" t="str">
        <f t="shared" si="28"/>
        <v>-</v>
      </c>
      <c r="ACF13" s="54" t="str">
        <f t="shared" si="28"/>
        <v>-</v>
      </c>
      <c r="ACG13" s="54" t="str">
        <f t="shared" si="28"/>
        <v>-</v>
      </c>
      <c r="ACH13" s="54" t="str">
        <f t="shared" si="28"/>
        <v>-</v>
      </c>
      <c r="ACI13" s="54" t="str">
        <f t="shared" si="28"/>
        <v>-</v>
      </c>
      <c r="ACJ13" s="54" t="str">
        <f t="shared" si="28"/>
        <v>-</v>
      </c>
      <c r="ACK13" s="54" t="str">
        <f t="shared" si="28"/>
        <v>-</v>
      </c>
      <c r="ACL13" s="54" t="str">
        <f t="shared" si="28"/>
        <v>-</v>
      </c>
      <c r="ACM13" s="54" t="str">
        <f t="shared" si="28"/>
        <v>-</v>
      </c>
      <c r="ACN13" s="54" t="str">
        <f t="shared" si="28"/>
        <v>-</v>
      </c>
      <c r="ACO13" s="54" t="str">
        <f t="shared" si="28"/>
        <v>-</v>
      </c>
      <c r="ACP13" s="54" t="str">
        <f t="shared" si="28"/>
        <v>-</v>
      </c>
      <c r="ACQ13" s="54" t="str">
        <f t="shared" si="28"/>
        <v>-</v>
      </c>
      <c r="ACR13" s="54" t="str">
        <f t="shared" ref="ACR13:AFC13" si="29">IF(AND(IF(ACR15&gt;=$C$8,1,0),IF(ACR15&lt;$C$9,1,0)),"Acumulación","-")</f>
        <v>-</v>
      </c>
      <c r="ACS13" s="54" t="str">
        <f t="shared" si="29"/>
        <v>-</v>
      </c>
      <c r="ACT13" s="54" t="str">
        <f t="shared" si="29"/>
        <v>-</v>
      </c>
      <c r="ACU13" s="54" t="str">
        <f t="shared" si="29"/>
        <v>-</v>
      </c>
      <c r="ACV13" s="54" t="str">
        <f t="shared" si="29"/>
        <v>-</v>
      </c>
      <c r="ACW13" s="54" t="str">
        <f t="shared" si="29"/>
        <v>-</v>
      </c>
      <c r="ACX13" s="54" t="str">
        <f t="shared" si="29"/>
        <v>-</v>
      </c>
      <c r="ACY13" s="54" t="str">
        <f t="shared" si="29"/>
        <v>-</v>
      </c>
      <c r="ACZ13" s="54" t="str">
        <f t="shared" si="29"/>
        <v>-</v>
      </c>
      <c r="ADA13" s="54" t="str">
        <f t="shared" si="29"/>
        <v>-</v>
      </c>
      <c r="ADB13" s="54" t="str">
        <f t="shared" si="29"/>
        <v>-</v>
      </c>
      <c r="ADC13" s="54" t="str">
        <f t="shared" si="29"/>
        <v>-</v>
      </c>
      <c r="ADD13" s="54" t="str">
        <f t="shared" si="29"/>
        <v>-</v>
      </c>
      <c r="ADE13" s="54" t="str">
        <f t="shared" si="29"/>
        <v>-</v>
      </c>
      <c r="ADF13" s="54" t="str">
        <f t="shared" si="29"/>
        <v>-</v>
      </c>
      <c r="ADG13" s="54" t="str">
        <f t="shared" si="29"/>
        <v>-</v>
      </c>
      <c r="ADH13" s="54" t="str">
        <f t="shared" si="29"/>
        <v>-</v>
      </c>
      <c r="ADI13" s="54" t="str">
        <f t="shared" si="29"/>
        <v>-</v>
      </c>
      <c r="ADJ13" s="54" t="str">
        <f t="shared" si="29"/>
        <v>-</v>
      </c>
      <c r="ADK13" s="54" t="str">
        <f t="shared" si="29"/>
        <v>-</v>
      </c>
      <c r="ADL13" s="54" t="str">
        <f t="shared" si="29"/>
        <v>-</v>
      </c>
      <c r="ADM13" s="54" t="str">
        <f t="shared" si="29"/>
        <v>-</v>
      </c>
      <c r="ADN13" s="54" t="str">
        <f t="shared" si="29"/>
        <v>-</v>
      </c>
      <c r="ADO13" s="54" t="str">
        <f t="shared" si="29"/>
        <v>-</v>
      </c>
      <c r="ADP13" s="54" t="str">
        <f t="shared" si="29"/>
        <v>-</v>
      </c>
      <c r="ADQ13" s="54" t="str">
        <f t="shared" si="29"/>
        <v>-</v>
      </c>
      <c r="ADR13" s="54" t="str">
        <f t="shared" si="29"/>
        <v>-</v>
      </c>
      <c r="ADS13" s="54" t="str">
        <f t="shared" si="29"/>
        <v>-</v>
      </c>
      <c r="ADT13" s="54" t="str">
        <f t="shared" si="29"/>
        <v>-</v>
      </c>
      <c r="ADU13" s="54" t="str">
        <f t="shared" si="29"/>
        <v>-</v>
      </c>
      <c r="ADV13" s="54" t="str">
        <f t="shared" si="29"/>
        <v>-</v>
      </c>
      <c r="ADW13" s="54" t="str">
        <f t="shared" si="29"/>
        <v>-</v>
      </c>
      <c r="ADX13" s="54" t="str">
        <f t="shared" si="29"/>
        <v>-</v>
      </c>
      <c r="ADY13" s="54" t="str">
        <f t="shared" si="29"/>
        <v>-</v>
      </c>
      <c r="ADZ13" s="54" t="str">
        <f t="shared" si="29"/>
        <v>-</v>
      </c>
      <c r="AEA13" s="54" t="str">
        <f t="shared" si="29"/>
        <v>-</v>
      </c>
      <c r="AEB13" s="54" t="str">
        <f t="shared" si="29"/>
        <v>-</v>
      </c>
      <c r="AEC13" s="54" t="str">
        <f t="shared" si="29"/>
        <v>-</v>
      </c>
      <c r="AED13" s="54" t="str">
        <f t="shared" si="29"/>
        <v>-</v>
      </c>
      <c r="AEE13" s="54" t="str">
        <f t="shared" si="29"/>
        <v>-</v>
      </c>
      <c r="AEF13" s="54" t="str">
        <f t="shared" si="29"/>
        <v>-</v>
      </c>
      <c r="AEG13" s="54" t="str">
        <f t="shared" si="29"/>
        <v>-</v>
      </c>
      <c r="AEH13" s="54" t="str">
        <f t="shared" si="29"/>
        <v>-</v>
      </c>
      <c r="AEI13" s="54" t="str">
        <f t="shared" si="29"/>
        <v>-</v>
      </c>
      <c r="AEJ13" s="54" t="str">
        <f t="shared" si="29"/>
        <v>-</v>
      </c>
      <c r="AEK13" s="54" t="str">
        <f t="shared" si="29"/>
        <v>-</v>
      </c>
      <c r="AEL13" s="54" t="str">
        <f t="shared" si="29"/>
        <v>-</v>
      </c>
      <c r="AEM13" s="54" t="str">
        <f t="shared" si="29"/>
        <v>-</v>
      </c>
      <c r="AEN13" s="54" t="str">
        <f t="shared" si="29"/>
        <v>-</v>
      </c>
      <c r="AEO13" s="54" t="str">
        <f t="shared" si="29"/>
        <v>-</v>
      </c>
      <c r="AEP13" s="54" t="str">
        <f t="shared" si="29"/>
        <v>-</v>
      </c>
      <c r="AEQ13" s="54" t="str">
        <f t="shared" si="29"/>
        <v>-</v>
      </c>
      <c r="AER13" s="54" t="str">
        <f t="shared" si="29"/>
        <v>-</v>
      </c>
      <c r="AES13" s="54" t="str">
        <f t="shared" si="29"/>
        <v>-</v>
      </c>
      <c r="AET13" s="54" t="str">
        <f t="shared" si="29"/>
        <v>-</v>
      </c>
      <c r="AEU13" s="54" t="str">
        <f t="shared" si="29"/>
        <v>-</v>
      </c>
      <c r="AEV13" s="54" t="str">
        <f t="shared" si="29"/>
        <v>-</v>
      </c>
      <c r="AEW13" s="54" t="str">
        <f t="shared" si="29"/>
        <v>-</v>
      </c>
      <c r="AEX13" s="54" t="str">
        <f t="shared" si="29"/>
        <v>-</v>
      </c>
      <c r="AEY13" s="54" t="str">
        <f t="shared" si="29"/>
        <v>-</v>
      </c>
      <c r="AEZ13" s="54" t="str">
        <f t="shared" si="29"/>
        <v>-</v>
      </c>
      <c r="AFA13" s="54" t="str">
        <f t="shared" si="29"/>
        <v>-</v>
      </c>
      <c r="AFB13" s="54" t="str">
        <f t="shared" si="29"/>
        <v>-</v>
      </c>
      <c r="AFC13" s="54" t="str">
        <f t="shared" si="29"/>
        <v>-</v>
      </c>
      <c r="AFD13" s="54" t="str">
        <f t="shared" ref="AFD13:AHO13" si="30">IF(AND(IF(AFD15&gt;=$C$8,1,0),IF(AFD15&lt;$C$9,1,0)),"Acumulación","-")</f>
        <v>-</v>
      </c>
      <c r="AFE13" s="54" t="str">
        <f t="shared" si="30"/>
        <v>-</v>
      </c>
      <c r="AFF13" s="54" t="str">
        <f t="shared" si="30"/>
        <v>-</v>
      </c>
      <c r="AFG13" s="54" t="str">
        <f t="shared" si="30"/>
        <v>-</v>
      </c>
      <c r="AFH13" s="54" t="str">
        <f t="shared" si="30"/>
        <v>-</v>
      </c>
      <c r="AFI13" s="54" t="str">
        <f t="shared" si="30"/>
        <v>-</v>
      </c>
      <c r="AFJ13" s="54" t="str">
        <f t="shared" si="30"/>
        <v>-</v>
      </c>
      <c r="AFK13" s="54" t="str">
        <f t="shared" si="30"/>
        <v>-</v>
      </c>
      <c r="AFL13" s="54" t="str">
        <f t="shared" si="30"/>
        <v>-</v>
      </c>
      <c r="AFM13" s="54" t="str">
        <f t="shared" si="30"/>
        <v>-</v>
      </c>
      <c r="AFN13" s="54" t="str">
        <f t="shared" si="30"/>
        <v>-</v>
      </c>
      <c r="AFO13" s="54" t="str">
        <f t="shared" si="30"/>
        <v>-</v>
      </c>
      <c r="AFP13" s="54" t="str">
        <f t="shared" si="30"/>
        <v>-</v>
      </c>
      <c r="AFQ13" s="54" t="str">
        <f t="shared" si="30"/>
        <v>-</v>
      </c>
      <c r="AFR13" s="54" t="str">
        <f t="shared" si="30"/>
        <v>-</v>
      </c>
      <c r="AFS13" s="54" t="str">
        <f t="shared" si="30"/>
        <v>-</v>
      </c>
      <c r="AFT13" s="54" t="str">
        <f t="shared" si="30"/>
        <v>-</v>
      </c>
      <c r="AFU13" s="54" t="str">
        <f t="shared" si="30"/>
        <v>-</v>
      </c>
      <c r="AFV13" s="54" t="str">
        <f t="shared" si="30"/>
        <v>-</v>
      </c>
      <c r="AFW13" s="54" t="str">
        <f t="shared" si="30"/>
        <v>-</v>
      </c>
      <c r="AFX13" s="54" t="str">
        <f t="shared" si="30"/>
        <v>-</v>
      </c>
      <c r="AFY13" s="54" t="str">
        <f t="shared" si="30"/>
        <v>-</v>
      </c>
      <c r="AFZ13" s="54" t="str">
        <f t="shared" si="30"/>
        <v>-</v>
      </c>
      <c r="AGA13" s="54" t="str">
        <f t="shared" si="30"/>
        <v>-</v>
      </c>
      <c r="AGB13" s="54" t="str">
        <f t="shared" si="30"/>
        <v>-</v>
      </c>
      <c r="AGC13" s="54" t="str">
        <f t="shared" si="30"/>
        <v>-</v>
      </c>
      <c r="AGD13" s="54" t="str">
        <f t="shared" si="30"/>
        <v>-</v>
      </c>
      <c r="AGE13" s="54" t="str">
        <f t="shared" si="30"/>
        <v>-</v>
      </c>
      <c r="AGF13" s="54" t="str">
        <f t="shared" si="30"/>
        <v>-</v>
      </c>
      <c r="AGG13" s="54" t="str">
        <f t="shared" si="30"/>
        <v>-</v>
      </c>
      <c r="AGH13" s="54" t="str">
        <f t="shared" si="30"/>
        <v>-</v>
      </c>
      <c r="AGI13" s="54" t="str">
        <f t="shared" si="30"/>
        <v>-</v>
      </c>
      <c r="AGJ13" s="54" t="str">
        <f t="shared" si="30"/>
        <v>-</v>
      </c>
      <c r="AGK13" s="54" t="str">
        <f t="shared" si="30"/>
        <v>-</v>
      </c>
      <c r="AGL13" s="54" t="str">
        <f t="shared" si="30"/>
        <v>-</v>
      </c>
      <c r="AGM13" s="54" t="str">
        <f t="shared" si="30"/>
        <v>-</v>
      </c>
      <c r="AGN13" s="54" t="str">
        <f t="shared" si="30"/>
        <v>-</v>
      </c>
      <c r="AGO13" s="54" t="str">
        <f t="shared" si="30"/>
        <v>-</v>
      </c>
      <c r="AGP13" s="54" t="str">
        <f t="shared" si="30"/>
        <v>-</v>
      </c>
      <c r="AGQ13" s="54" t="str">
        <f t="shared" si="30"/>
        <v>-</v>
      </c>
      <c r="AGR13" s="54" t="str">
        <f t="shared" si="30"/>
        <v>-</v>
      </c>
      <c r="AGS13" s="54" t="str">
        <f t="shared" si="30"/>
        <v>-</v>
      </c>
      <c r="AGT13" s="54" t="str">
        <f t="shared" si="30"/>
        <v>-</v>
      </c>
      <c r="AGU13" s="54" t="str">
        <f t="shared" si="30"/>
        <v>-</v>
      </c>
      <c r="AGV13" s="54" t="str">
        <f t="shared" si="30"/>
        <v>-</v>
      </c>
      <c r="AGW13" s="54" t="str">
        <f t="shared" si="30"/>
        <v>-</v>
      </c>
      <c r="AGX13" s="54" t="str">
        <f t="shared" si="30"/>
        <v>-</v>
      </c>
      <c r="AGY13" s="54" t="str">
        <f t="shared" si="30"/>
        <v>-</v>
      </c>
      <c r="AGZ13" s="54" t="str">
        <f t="shared" si="30"/>
        <v>-</v>
      </c>
      <c r="AHA13" s="54" t="str">
        <f t="shared" si="30"/>
        <v>-</v>
      </c>
      <c r="AHB13" s="54" t="str">
        <f t="shared" si="30"/>
        <v>-</v>
      </c>
      <c r="AHC13" s="54" t="str">
        <f t="shared" si="30"/>
        <v>-</v>
      </c>
      <c r="AHD13" s="54" t="str">
        <f t="shared" si="30"/>
        <v>-</v>
      </c>
      <c r="AHE13" s="54" t="str">
        <f t="shared" si="30"/>
        <v>-</v>
      </c>
      <c r="AHF13" s="54" t="str">
        <f t="shared" si="30"/>
        <v>-</v>
      </c>
      <c r="AHG13" s="54" t="str">
        <f t="shared" si="30"/>
        <v>-</v>
      </c>
      <c r="AHH13" s="54" t="str">
        <f t="shared" si="30"/>
        <v>-</v>
      </c>
      <c r="AHI13" s="54" t="str">
        <f t="shared" si="30"/>
        <v>-</v>
      </c>
      <c r="AHJ13" s="54" t="str">
        <f t="shared" si="30"/>
        <v>-</v>
      </c>
      <c r="AHK13" s="54" t="str">
        <f t="shared" si="30"/>
        <v>-</v>
      </c>
      <c r="AHL13" s="54" t="str">
        <f t="shared" si="30"/>
        <v>-</v>
      </c>
      <c r="AHM13" s="54" t="str">
        <f t="shared" si="30"/>
        <v>-</v>
      </c>
      <c r="AHN13" s="54" t="str">
        <f t="shared" si="30"/>
        <v>-</v>
      </c>
      <c r="AHO13" s="54" t="str">
        <f t="shared" si="30"/>
        <v>-</v>
      </c>
      <c r="AHP13" s="54" t="str">
        <f t="shared" ref="AHP13:AKA13" si="31">IF(AND(IF(AHP15&gt;=$C$8,1,0),IF(AHP15&lt;$C$9,1,0)),"Acumulación","-")</f>
        <v>-</v>
      </c>
      <c r="AHQ13" s="54" t="str">
        <f t="shared" si="31"/>
        <v>-</v>
      </c>
      <c r="AHR13" s="54" t="str">
        <f t="shared" si="31"/>
        <v>-</v>
      </c>
      <c r="AHS13" s="54" t="str">
        <f t="shared" si="31"/>
        <v>-</v>
      </c>
      <c r="AHT13" s="54" t="str">
        <f t="shared" si="31"/>
        <v>-</v>
      </c>
      <c r="AHU13" s="54" t="str">
        <f t="shared" si="31"/>
        <v>-</v>
      </c>
      <c r="AHV13" s="54" t="str">
        <f t="shared" si="31"/>
        <v>-</v>
      </c>
      <c r="AHW13" s="54" t="str">
        <f t="shared" si="31"/>
        <v>-</v>
      </c>
      <c r="AHX13" s="54" t="str">
        <f t="shared" si="31"/>
        <v>-</v>
      </c>
      <c r="AHY13" s="54" t="str">
        <f t="shared" si="31"/>
        <v>-</v>
      </c>
      <c r="AHZ13" s="54" t="str">
        <f t="shared" si="31"/>
        <v>-</v>
      </c>
      <c r="AIA13" s="54" t="str">
        <f t="shared" si="31"/>
        <v>-</v>
      </c>
      <c r="AIB13" s="54" t="str">
        <f t="shared" si="31"/>
        <v>-</v>
      </c>
      <c r="AIC13" s="54" t="str">
        <f t="shared" si="31"/>
        <v>-</v>
      </c>
      <c r="AID13" s="54" t="str">
        <f t="shared" si="31"/>
        <v>-</v>
      </c>
      <c r="AIE13" s="54" t="str">
        <f t="shared" si="31"/>
        <v>-</v>
      </c>
      <c r="AIF13" s="54" t="str">
        <f t="shared" si="31"/>
        <v>-</v>
      </c>
      <c r="AIG13" s="54" t="str">
        <f t="shared" si="31"/>
        <v>-</v>
      </c>
      <c r="AIH13" s="54" t="str">
        <f t="shared" si="31"/>
        <v>-</v>
      </c>
      <c r="AII13" s="54" t="str">
        <f t="shared" si="31"/>
        <v>-</v>
      </c>
      <c r="AIJ13" s="54" t="str">
        <f t="shared" si="31"/>
        <v>-</v>
      </c>
      <c r="AIK13" s="54" t="str">
        <f t="shared" si="31"/>
        <v>-</v>
      </c>
      <c r="AIL13" s="54" t="str">
        <f t="shared" si="31"/>
        <v>-</v>
      </c>
      <c r="AIM13" s="54" t="str">
        <f t="shared" si="31"/>
        <v>-</v>
      </c>
      <c r="AIN13" s="54" t="str">
        <f t="shared" si="31"/>
        <v>-</v>
      </c>
      <c r="AIO13" s="54" t="str">
        <f t="shared" si="31"/>
        <v>-</v>
      </c>
      <c r="AIP13" s="54" t="str">
        <f t="shared" si="31"/>
        <v>-</v>
      </c>
      <c r="AIQ13" s="54" t="str">
        <f t="shared" si="31"/>
        <v>-</v>
      </c>
      <c r="AIR13" s="54" t="str">
        <f t="shared" si="31"/>
        <v>-</v>
      </c>
      <c r="AIS13" s="54" t="str">
        <f t="shared" si="31"/>
        <v>-</v>
      </c>
      <c r="AIT13" s="54" t="str">
        <f t="shared" si="31"/>
        <v>-</v>
      </c>
      <c r="AIU13" s="54" t="str">
        <f t="shared" si="31"/>
        <v>-</v>
      </c>
      <c r="AIV13" s="54" t="str">
        <f t="shared" si="31"/>
        <v>-</v>
      </c>
      <c r="AIW13" s="54" t="str">
        <f t="shared" si="31"/>
        <v>-</v>
      </c>
      <c r="AIX13" s="54" t="str">
        <f t="shared" si="31"/>
        <v>-</v>
      </c>
      <c r="AIY13" s="54" t="str">
        <f t="shared" si="31"/>
        <v>-</v>
      </c>
      <c r="AIZ13" s="54" t="str">
        <f t="shared" si="31"/>
        <v>-</v>
      </c>
      <c r="AJA13" s="54" t="str">
        <f t="shared" si="31"/>
        <v>-</v>
      </c>
      <c r="AJB13" s="54" t="str">
        <f t="shared" si="31"/>
        <v>-</v>
      </c>
      <c r="AJC13" s="54" t="str">
        <f t="shared" si="31"/>
        <v>-</v>
      </c>
      <c r="AJD13" s="54" t="str">
        <f t="shared" si="31"/>
        <v>-</v>
      </c>
      <c r="AJE13" s="54" t="str">
        <f t="shared" si="31"/>
        <v>-</v>
      </c>
      <c r="AJF13" s="54" t="str">
        <f t="shared" si="31"/>
        <v>-</v>
      </c>
      <c r="AJG13" s="54" t="str">
        <f t="shared" si="31"/>
        <v>-</v>
      </c>
      <c r="AJH13" s="54" t="str">
        <f t="shared" si="31"/>
        <v>-</v>
      </c>
      <c r="AJI13" s="54" t="str">
        <f t="shared" si="31"/>
        <v>-</v>
      </c>
      <c r="AJJ13" s="54" t="str">
        <f t="shared" si="31"/>
        <v>-</v>
      </c>
      <c r="AJK13" s="54" t="str">
        <f t="shared" si="31"/>
        <v>-</v>
      </c>
      <c r="AJL13" s="54" t="str">
        <f t="shared" si="31"/>
        <v>-</v>
      </c>
      <c r="AJM13" s="54" t="str">
        <f t="shared" si="31"/>
        <v>-</v>
      </c>
      <c r="AJN13" s="54" t="str">
        <f t="shared" si="31"/>
        <v>-</v>
      </c>
      <c r="AJO13" s="54" t="str">
        <f t="shared" si="31"/>
        <v>-</v>
      </c>
      <c r="AJP13" s="54" t="str">
        <f t="shared" si="31"/>
        <v>-</v>
      </c>
      <c r="AJQ13" s="54" t="str">
        <f t="shared" si="31"/>
        <v>-</v>
      </c>
      <c r="AJR13" s="54" t="str">
        <f t="shared" si="31"/>
        <v>-</v>
      </c>
      <c r="AJS13" s="54" t="str">
        <f t="shared" si="31"/>
        <v>-</v>
      </c>
      <c r="AJT13" s="54" t="str">
        <f t="shared" si="31"/>
        <v>-</v>
      </c>
      <c r="AJU13" s="54" t="str">
        <f t="shared" si="31"/>
        <v>-</v>
      </c>
      <c r="AJV13" s="54" t="str">
        <f t="shared" si="31"/>
        <v>-</v>
      </c>
      <c r="AJW13" s="54" t="str">
        <f t="shared" si="31"/>
        <v>-</v>
      </c>
      <c r="AJX13" s="54" t="str">
        <f t="shared" si="31"/>
        <v>-</v>
      </c>
      <c r="AJY13" s="54" t="str">
        <f t="shared" si="31"/>
        <v>-</v>
      </c>
      <c r="AJZ13" s="54" t="str">
        <f t="shared" si="31"/>
        <v>-</v>
      </c>
      <c r="AKA13" s="54" t="str">
        <f t="shared" si="31"/>
        <v>-</v>
      </c>
      <c r="AKB13" s="54" t="str">
        <f t="shared" ref="AKB13:AMM13" si="32">IF(AND(IF(AKB15&gt;=$C$8,1,0),IF(AKB15&lt;$C$9,1,0)),"Acumulación","-")</f>
        <v>-</v>
      </c>
      <c r="AKC13" s="54" t="str">
        <f t="shared" si="32"/>
        <v>-</v>
      </c>
      <c r="AKD13" s="54" t="str">
        <f t="shared" si="32"/>
        <v>-</v>
      </c>
      <c r="AKE13" s="54" t="str">
        <f t="shared" si="32"/>
        <v>-</v>
      </c>
      <c r="AKF13" s="54" t="str">
        <f t="shared" si="32"/>
        <v>-</v>
      </c>
      <c r="AKG13" s="54" t="str">
        <f t="shared" si="32"/>
        <v>-</v>
      </c>
      <c r="AKH13" s="54" t="str">
        <f t="shared" si="32"/>
        <v>-</v>
      </c>
      <c r="AKI13" s="54" t="str">
        <f t="shared" si="32"/>
        <v>-</v>
      </c>
      <c r="AKJ13" s="54" t="str">
        <f t="shared" si="32"/>
        <v>-</v>
      </c>
      <c r="AKK13" s="54" t="str">
        <f t="shared" si="32"/>
        <v>-</v>
      </c>
      <c r="AKL13" s="54" t="str">
        <f t="shared" si="32"/>
        <v>-</v>
      </c>
      <c r="AKM13" s="54" t="str">
        <f t="shared" si="32"/>
        <v>-</v>
      </c>
      <c r="AKN13" s="54" t="str">
        <f t="shared" si="32"/>
        <v>-</v>
      </c>
      <c r="AKO13" s="54" t="str">
        <f t="shared" si="32"/>
        <v>-</v>
      </c>
      <c r="AKP13" s="54" t="str">
        <f t="shared" si="32"/>
        <v>-</v>
      </c>
      <c r="AKQ13" s="54" t="str">
        <f t="shared" si="32"/>
        <v>-</v>
      </c>
      <c r="AKR13" s="54" t="str">
        <f t="shared" si="32"/>
        <v>-</v>
      </c>
      <c r="AKS13" s="54" t="str">
        <f t="shared" si="32"/>
        <v>-</v>
      </c>
      <c r="AKT13" s="54" t="str">
        <f t="shared" si="32"/>
        <v>-</v>
      </c>
      <c r="AKU13" s="54" t="str">
        <f t="shared" si="32"/>
        <v>-</v>
      </c>
      <c r="AKV13" s="54" t="str">
        <f t="shared" si="32"/>
        <v>-</v>
      </c>
      <c r="AKW13" s="54" t="str">
        <f t="shared" si="32"/>
        <v>-</v>
      </c>
      <c r="AKX13" s="54" t="str">
        <f t="shared" si="32"/>
        <v>-</v>
      </c>
      <c r="AKY13" s="54" t="str">
        <f t="shared" si="32"/>
        <v>-</v>
      </c>
      <c r="AKZ13" s="54" t="str">
        <f t="shared" si="32"/>
        <v>-</v>
      </c>
      <c r="ALA13" s="54" t="str">
        <f t="shared" si="32"/>
        <v>-</v>
      </c>
      <c r="ALB13" s="54" t="str">
        <f t="shared" si="32"/>
        <v>-</v>
      </c>
      <c r="ALC13" s="54" t="str">
        <f t="shared" si="32"/>
        <v>-</v>
      </c>
      <c r="ALD13" s="54" t="str">
        <f t="shared" si="32"/>
        <v>-</v>
      </c>
      <c r="ALE13" s="54" t="str">
        <f t="shared" si="32"/>
        <v>-</v>
      </c>
      <c r="ALF13" s="54" t="str">
        <f t="shared" si="32"/>
        <v>-</v>
      </c>
      <c r="ALG13" s="54" t="str">
        <f t="shared" si="32"/>
        <v>-</v>
      </c>
      <c r="ALH13" s="54" t="str">
        <f t="shared" si="32"/>
        <v>-</v>
      </c>
      <c r="ALI13" s="54" t="str">
        <f t="shared" si="32"/>
        <v>-</v>
      </c>
      <c r="ALJ13" s="54" t="str">
        <f t="shared" si="32"/>
        <v>-</v>
      </c>
      <c r="ALK13" s="54" t="str">
        <f t="shared" si="32"/>
        <v>-</v>
      </c>
      <c r="ALL13" s="54" t="str">
        <f t="shared" si="32"/>
        <v>-</v>
      </c>
      <c r="ALM13" s="54" t="str">
        <f t="shared" si="32"/>
        <v>-</v>
      </c>
      <c r="ALN13" s="54" t="str">
        <f t="shared" si="32"/>
        <v>-</v>
      </c>
      <c r="ALO13" s="54" t="str">
        <f t="shared" si="32"/>
        <v>-</v>
      </c>
      <c r="ALP13" s="54" t="str">
        <f t="shared" si="32"/>
        <v>-</v>
      </c>
      <c r="ALQ13" s="54" t="str">
        <f t="shared" si="32"/>
        <v>-</v>
      </c>
      <c r="ALR13" s="54" t="str">
        <f t="shared" si="32"/>
        <v>-</v>
      </c>
      <c r="ALS13" s="54" t="str">
        <f t="shared" si="32"/>
        <v>-</v>
      </c>
      <c r="ALT13" s="54" t="str">
        <f t="shared" si="32"/>
        <v>-</v>
      </c>
      <c r="ALU13" s="54" t="str">
        <f t="shared" si="32"/>
        <v>-</v>
      </c>
      <c r="ALV13" s="54" t="str">
        <f t="shared" si="32"/>
        <v>-</v>
      </c>
      <c r="ALW13" s="54" t="str">
        <f t="shared" si="32"/>
        <v>-</v>
      </c>
      <c r="ALX13" s="54" t="str">
        <f t="shared" si="32"/>
        <v>-</v>
      </c>
      <c r="ALY13" s="54" t="str">
        <f t="shared" si="32"/>
        <v>-</v>
      </c>
      <c r="ALZ13" s="54" t="str">
        <f t="shared" si="32"/>
        <v>-</v>
      </c>
      <c r="AMA13" s="54" t="str">
        <f t="shared" si="32"/>
        <v>-</v>
      </c>
      <c r="AMB13" s="54" t="str">
        <f t="shared" si="32"/>
        <v>-</v>
      </c>
      <c r="AMC13" s="54" t="str">
        <f t="shared" si="32"/>
        <v>-</v>
      </c>
      <c r="AMD13" s="54" t="str">
        <f t="shared" si="32"/>
        <v>-</v>
      </c>
      <c r="AME13" s="54" t="str">
        <f t="shared" si="32"/>
        <v>-</v>
      </c>
      <c r="AMF13" s="54" t="str">
        <f t="shared" si="32"/>
        <v>-</v>
      </c>
      <c r="AMG13" s="54" t="str">
        <f t="shared" si="32"/>
        <v>-</v>
      </c>
      <c r="AMH13" s="54" t="str">
        <f t="shared" si="32"/>
        <v>-</v>
      </c>
      <c r="AMI13" s="54" t="str">
        <f t="shared" si="32"/>
        <v>-</v>
      </c>
      <c r="AMJ13" s="54" t="str">
        <f t="shared" si="32"/>
        <v>-</v>
      </c>
      <c r="AMK13" s="54" t="str">
        <f t="shared" si="32"/>
        <v>-</v>
      </c>
      <c r="AML13" s="54" t="str">
        <f t="shared" si="32"/>
        <v>-</v>
      </c>
      <c r="AMM13" s="54" t="str">
        <f t="shared" si="32"/>
        <v>-</v>
      </c>
      <c r="AMN13" s="54" t="str">
        <f t="shared" ref="AMN13:AOQ13" si="33">IF(AND(IF(AMN15&gt;=$C$8,1,0),IF(AMN15&lt;$C$9,1,0)),"Acumulación","-")</f>
        <v>-</v>
      </c>
      <c r="AMO13" s="54" t="str">
        <f t="shared" si="33"/>
        <v>-</v>
      </c>
      <c r="AMP13" s="54" t="str">
        <f t="shared" si="33"/>
        <v>-</v>
      </c>
      <c r="AMQ13" s="54" t="str">
        <f t="shared" si="33"/>
        <v>-</v>
      </c>
      <c r="AMR13" s="54" t="str">
        <f t="shared" si="33"/>
        <v>-</v>
      </c>
      <c r="AMS13" s="54" t="str">
        <f t="shared" si="33"/>
        <v>-</v>
      </c>
      <c r="AMT13" s="54" t="str">
        <f t="shared" si="33"/>
        <v>-</v>
      </c>
      <c r="AMU13" s="54" t="str">
        <f t="shared" si="33"/>
        <v>-</v>
      </c>
      <c r="AMV13" s="54" t="str">
        <f t="shared" si="33"/>
        <v>-</v>
      </c>
      <c r="AMW13" s="54" t="str">
        <f t="shared" si="33"/>
        <v>-</v>
      </c>
      <c r="AMX13" s="54" t="str">
        <f t="shared" si="33"/>
        <v>-</v>
      </c>
      <c r="AMY13" s="54" t="str">
        <f t="shared" si="33"/>
        <v>-</v>
      </c>
      <c r="AMZ13" s="54" t="str">
        <f t="shared" si="33"/>
        <v>-</v>
      </c>
      <c r="ANA13" s="54" t="str">
        <f t="shared" si="33"/>
        <v>-</v>
      </c>
      <c r="ANB13" s="54" t="str">
        <f t="shared" si="33"/>
        <v>-</v>
      </c>
      <c r="ANC13" s="54" t="str">
        <f t="shared" si="33"/>
        <v>-</v>
      </c>
      <c r="AND13" s="54" t="str">
        <f t="shared" si="33"/>
        <v>-</v>
      </c>
      <c r="ANE13" s="54" t="str">
        <f t="shared" si="33"/>
        <v>-</v>
      </c>
      <c r="ANF13" s="54" t="str">
        <f t="shared" si="33"/>
        <v>-</v>
      </c>
      <c r="ANG13" s="54" t="str">
        <f t="shared" si="33"/>
        <v>-</v>
      </c>
      <c r="ANH13" s="54" t="str">
        <f t="shared" si="33"/>
        <v>-</v>
      </c>
      <c r="ANI13" s="54" t="str">
        <f t="shared" si="33"/>
        <v>-</v>
      </c>
      <c r="ANJ13" s="54" t="str">
        <f t="shared" si="33"/>
        <v>-</v>
      </c>
      <c r="ANK13" s="54" t="str">
        <f t="shared" si="33"/>
        <v>-</v>
      </c>
      <c r="ANL13" s="54" t="str">
        <f t="shared" si="33"/>
        <v>-</v>
      </c>
      <c r="ANM13" s="54" t="str">
        <f t="shared" si="33"/>
        <v>-</v>
      </c>
      <c r="ANN13" s="54" t="str">
        <f t="shared" si="33"/>
        <v>-</v>
      </c>
      <c r="ANO13" s="54" t="str">
        <f t="shared" si="33"/>
        <v>-</v>
      </c>
      <c r="ANP13" s="54" t="str">
        <f t="shared" si="33"/>
        <v>-</v>
      </c>
      <c r="ANQ13" s="54" t="str">
        <f t="shared" si="33"/>
        <v>-</v>
      </c>
      <c r="ANR13" s="54" t="str">
        <f t="shared" si="33"/>
        <v>-</v>
      </c>
      <c r="ANS13" s="54" t="str">
        <f t="shared" si="33"/>
        <v>-</v>
      </c>
      <c r="ANT13" s="54" t="str">
        <f t="shared" si="33"/>
        <v>-</v>
      </c>
      <c r="ANU13" s="54" t="str">
        <f t="shared" si="33"/>
        <v>-</v>
      </c>
      <c r="ANV13" s="54" t="str">
        <f t="shared" si="33"/>
        <v>-</v>
      </c>
      <c r="ANW13" s="54" t="str">
        <f t="shared" si="33"/>
        <v>-</v>
      </c>
      <c r="ANX13" s="54" t="str">
        <f t="shared" si="33"/>
        <v>-</v>
      </c>
      <c r="ANY13" s="54" t="str">
        <f t="shared" si="33"/>
        <v>-</v>
      </c>
      <c r="ANZ13" s="54" t="str">
        <f t="shared" si="33"/>
        <v>-</v>
      </c>
      <c r="AOA13" s="54" t="str">
        <f t="shared" si="33"/>
        <v>-</v>
      </c>
      <c r="AOB13" s="54" t="str">
        <f t="shared" si="33"/>
        <v>-</v>
      </c>
      <c r="AOC13" s="54" t="str">
        <f t="shared" si="33"/>
        <v>-</v>
      </c>
      <c r="AOD13" s="54" t="str">
        <f t="shared" si="33"/>
        <v>-</v>
      </c>
      <c r="AOE13" s="54" t="str">
        <f t="shared" si="33"/>
        <v>-</v>
      </c>
      <c r="AOF13" s="54" t="str">
        <f t="shared" si="33"/>
        <v>-</v>
      </c>
      <c r="AOG13" s="54" t="str">
        <f t="shared" si="33"/>
        <v>-</v>
      </c>
      <c r="AOH13" s="54" t="str">
        <f t="shared" si="33"/>
        <v>-</v>
      </c>
      <c r="AOI13" s="54" t="str">
        <f t="shared" si="33"/>
        <v>-</v>
      </c>
      <c r="AOJ13" s="54" t="str">
        <f t="shared" si="33"/>
        <v>-</v>
      </c>
      <c r="AOK13" s="54" t="str">
        <f t="shared" si="33"/>
        <v>-</v>
      </c>
      <c r="AOL13" s="54" t="str">
        <f t="shared" si="33"/>
        <v>-</v>
      </c>
      <c r="AOM13" s="54" t="str">
        <f t="shared" si="33"/>
        <v>-</v>
      </c>
      <c r="AON13" s="54" t="str">
        <f t="shared" si="33"/>
        <v>-</v>
      </c>
      <c r="AOO13" s="54" t="str">
        <f t="shared" si="33"/>
        <v>-</v>
      </c>
      <c r="AOP13" s="54" t="str">
        <f t="shared" si="33"/>
        <v>-</v>
      </c>
      <c r="AOQ13" s="54" t="str">
        <f t="shared" si="33"/>
        <v>-</v>
      </c>
    </row>
    <row r="14" spans="2:1103" x14ac:dyDescent="0.25">
      <c r="B14" s="53" t="s">
        <v>173</v>
      </c>
      <c r="C14" s="53"/>
      <c r="D14" s="54" t="str">
        <f t="shared" ref="D14:BO14" si="34">IF(AND(D15&gt;=$C$9,D15&lt;$C$10),"Desacumulación","-")</f>
        <v>-</v>
      </c>
      <c r="E14" s="54" t="str">
        <f t="shared" si="34"/>
        <v>-</v>
      </c>
      <c r="F14" s="54" t="str">
        <f t="shared" si="34"/>
        <v>-</v>
      </c>
      <c r="G14" s="54" t="str">
        <f t="shared" si="34"/>
        <v>-</v>
      </c>
      <c r="H14" s="54" t="str">
        <f t="shared" si="34"/>
        <v>-</v>
      </c>
      <c r="I14" s="54" t="str">
        <f t="shared" si="34"/>
        <v>-</v>
      </c>
      <c r="J14" s="54" t="str">
        <f t="shared" si="34"/>
        <v>-</v>
      </c>
      <c r="K14" s="54" t="str">
        <f t="shared" si="34"/>
        <v>-</v>
      </c>
      <c r="L14" s="54" t="str">
        <f t="shared" si="34"/>
        <v>-</v>
      </c>
      <c r="M14" s="54" t="str">
        <f t="shared" si="34"/>
        <v>-</v>
      </c>
      <c r="N14" s="54" t="str">
        <f t="shared" si="34"/>
        <v>-</v>
      </c>
      <c r="O14" s="54" t="str">
        <f t="shared" si="34"/>
        <v>-</v>
      </c>
      <c r="P14" s="54" t="str">
        <f t="shared" si="34"/>
        <v>-</v>
      </c>
      <c r="Q14" s="54" t="str">
        <f t="shared" si="34"/>
        <v>-</v>
      </c>
      <c r="R14" s="54" t="str">
        <f t="shared" si="34"/>
        <v>-</v>
      </c>
      <c r="S14" s="54" t="str">
        <f t="shared" si="34"/>
        <v>-</v>
      </c>
      <c r="T14" s="54" t="str">
        <f t="shared" si="34"/>
        <v>-</v>
      </c>
      <c r="U14" s="54" t="str">
        <f t="shared" si="34"/>
        <v>-</v>
      </c>
      <c r="V14" s="54" t="str">
        <f t="shared" si="34"/>
        <v>-</v>
      </c>
      <c r="W14" s="54" t="str">
        <f t="shared" si="34"/>
        <v>-</v>
      </c>
      <c r="X14" s="54" t="str">
        <f t="shared" si="34"/>
        <v>-</v>
      </c>
      <c r="Y14" s="54" t="str">
        <f t="shared" si="34"/>
        <v>-</v>
      </c>
      <c r="Z14" s="54" t="str">
        <f t="shared" si="34"/>
        <v>-</v>
      </c>
      <c r="AA14" s="54" t="str">
        <f t="shared" si="34"/>
        <v>-</v>
      </c>
      <c r="AB14" s="54" t="str">
        <f t="shared" si="34"/>
        <v>-</v>
      </c>
      <c r="AC14" s="54" t="str">
        <f t="shared" si="34"/>
        <v>-</v>
      </c>
      <c r="AD14" s="54" t="str">
        <f t="shared" si="34"/>
        <v>-</v>
      </c>
      <c r="AE14" s="54" t="str">
        <f t="shared" si="34"/>
        <v>-</v>
      </c>
      <c r="AF14" s="54" t="str">
        <f t="shared" si="34"/>
        <v>-</v>
      </c>
      <c r="AG14" s="54" t="str">
        <f t="shared" si="34"/>
        <v>-</v>
      </c>
      <c r="AH14" s="54" t="str">
        <f t="shared" si="34"/>
        <v>-</v>
      </c>
      <c r="AI14" s="54" t="str">
        <f t="shared" si="34"/>
        <v>-</v>
      </c>
      <c r="AJ14" s="54" t="str">
        <f t="shared" si="34"/>
        <v>-</v>
      </c>
      <c r="AK14" s="54" t="str">
        <f t="shared" si="34"/>
        <v>-</v>
      </c>
      <c r="AL14" s="54" t="str">
        <f t="shared" si="34"/>
        <v>-</v>
      </c>
      <c r="AM14" s="54" t="str">
        <f t="shared" si="34"/>
        <v>-</v>
      </c>
      <c r="AN14" s="54" t="str">
        <f t="shared" si="34"/>
        <v>-</v>
      </c>
      <c r="AO14" s="54" t="str">
        <f t="shared" si="34"/>
        <v>-</v>
      </c>
      <c r="AP14" s="54" t="str">
        <f t="shared" si="34"/>
        <v>-</v>
      </c>
      <c r="AQ14" s="54" t="str">
        <f t="shared" si="34"/>
        <v>-</v>
      </c>
      <c r="AR14" s="54" t="str">
        <f t="shared" si="34"/>
        <v>-</v>
      </c>
      <c r="AS14" s="54" t="str">
        <f t="shared" si="34"/>
        <v>-</v>
      </c>
      <c r="AT14" s="54" t="str">
        <f t="shared" si="34"/>
        <v>-</v>
      </c>
      <c r="AU14" s="54" t="str">
        <f t="shared" si="34"/>
        <v>-</v>
      </c>
      <c r="AV14" s="54" t="str">
        <f t="shared" si="34"/>
        <v>-</v>
      </c>
      <c r="AW14" s="54" t="str">
        <f t="shared" si="34"/>
        <v>-</v>
      </c>
      <c r="AX14" s="54" t="str">
        <f t="shared" si="34"/>
        <v>-</v>
      </c>
      <c r="AY14" s="54" t="str">
        <f t="shared" si="34"/>
        <v>-</v>
      </c>
      <c r="AZ14" s="54" t="str">
        <f t="shared" si="34"/>
        <v>-</v>
      </c>
      <c r="BA14" s="54" t="str">
        <f t="shared" si="34"/>
        <v>-</v>
      </c>
      <c r="BB14" s="54" t="str">
        <f t="shared" si="34"/>
        <v>-</v>
      </c>
      <c r="BC14" s="54" t="str">
        <f t="shared" si="34"/>
        <v>-</v>
      </c>
      <c r="BD14" s="54" t="str">
        <f t="shared" si="34"/>
        <v>-</v>
      </c>
      <c r="BE14" s="54" t="str">
        <f t="shared" si="34"/>
        <v>-</v>
      </c>
      <c r="BF14" s="54" t="str">
        <f t="shared" si="34"/>
        <v>-</v>
      </c>
      <c r="BG14" s="54" t="str">
        <f t="shared" si="34"/>
        <v>-</v>
      </c>
      <c r="BH14" s="54" t="str">
        <f t="shared" si="34"/>
        <v>-</v>
      </c>
      <c r="BI14" s="54" t="str">
        <f t="shared" si="34"/>
        <v>-</v>
      </c>
      <c r="BJ14" s="54" t="str">
        <f t="shared" si="34"/>
        <v>-</v>
      </c>
      <c r="BK14" s="54" t="str">
        <f t="shared" si="34"/>
        <v>-</v>
      </c>
      <c r="BL14" s="54" t="str">
        <f t="shared" si="34"/>
        <v>-</v>
      </c>
      <c r="BM14" s="54" t="str">
        <f t="shared" si="34"/>
        <v>-</v>
      </c>
      <c r="BN14" s="54" t="str">
        <f t="shared" si="34"/>
        <v>-</v>
      </c>
      <c r="BO14" s="54" t="str">
        <f t="shared" si="34"/>
        <v>-</v>
      </c>
      <c r="BP14" s="54" t="str">
        <f t="shared" ref="BP14:EA14" si="35">IF(AND(BP15&gt;=$C$9,BP15&lt;$C$10),"Desacumulación","-")</f>
        <v>-</v>
      </c>
      <c r="BQ14" s="54" t="str">
        <f t="shared" si="35"/>
        <v>-</v>
      </c>
      <c r="BR14" s="54" t="str">
        <f t="shared" si="35"/>
        <v>-</v>
      </c>
      <c r="BS14" s="54" t="str">
        <f t="shared" si="35"/>
        <v>-</v>
      </c>
      <c r="BT14" s="54" t="str">
        <f t="shared" si="35"/>
        <v>-</v>
      </c>
      <c r="BU14" s="54" t="str">
        <f t="shared" si="35"/>
        <v>-</v>
      </c>
      <c r="BV14" s="54" t="str">
        <f t="shared" si="35"/>
        <v>-</v>
      </c>
      <c r="BW14" s="54" t="str">
        <f t="shared" si="35"/>
        <v>-</v>
      </c>
      <c r="BX14" s="54" t="str">
        <f t="shared" si="35"/>
        <v>-</v>
      </c>
      <c r="BY14" s="54" t="str">
        <f t="shared" si="35"/>
        <v>-</v>
      </c>
      <c r="BZ14" s="54" t="str">
        <f t="shared" si="35"/>
        <v>-</v>
      </c>
      <c r="CA14" s="54" t="str">
        <f t="shared" si="35"/>
        <v>-</v>
      </c>
      <c r="CB14" s="54" t="str">
        <f t="shared" si="35"/>
        <v>-</v>
      </c>
      <c r="CC14" s="54" t="str">
        <f t="shared" si="35"/>
        <v>-</v>
      </c>
      <c r="CD14" s="54" t="str">
        <f t="shared" si="35"/>
        <v>-</v>
      </c>
      <c r="CE14" s="54" t="str">
        <f t="shared" si="35"/>
        <v>-</v>
      </c>
      <c r="CF14" s="54" t="str">
        <f t="shared" si="35"/>
        <v>-</v>
      </c>
      <c r="CG14" s="54" t="str">
        <f t="shared" si="35"/>
        <v>-</v>
      </c>
      <c r="CH14" s="54" t="str">
        <f t="shared" si="35"/>
        <v>-</v>
      </c>
      <c r="CI14" s="54" t="str">
        <f t="shared" si="35"/>
        <v>-</v>
      </c>
      <c r="CJ14" s="54" t="str">
        <f t="shared" si="35"/>
        <v>-</v>
      </c>
      <c r="CK14" s="54" t="str">
        <f t="shared" si="35"/>
        <v>-</v>
      </c>
      <c r="CL14" s="54" t="str">
        <f t="shared" si="35"/>
        <v>-</v>
      </c>
      <c r="CM14" s="54" t="str">
        <f t="shared" si="35"/>
        <v>-</v>
      </c>
      <c r="CN14" s="54" t="str">
        <f t="shared" si="35"/>
        <v>-</v>
      </c>
      <c r="CO14" s="54" t="str">
        <f t="shared" si="35"/>
        <v>-</v>
      </c>
      <c r="CP14" s="54" t="str">
        <f t="shared" si="35"/>
        <v>-</v>
      </c>
      <c r="CQ14" s="54" t="str">
        <f t="shared" si="35"/>
        <v>-</v>
      </c>
      <c r="CR14" s="54" t="str">
        <f t="shared" si="35"/>
        <v>-</v>
      </c>
      <c r="CS14" s="54" t="str">
        <f t="shared" si="35"/>
        <v>-</v>
      </c>
      <c r="CT14" s="54" t="str">
        <f t="shared" si="35"/>
        <v>-</v>
      </c>
      <c r="CU14" s="54" t="str">
        <f t="shared" si="35"/>
        <v>-</v>
      </c>
      <c r="CV14" s="54" t="str">
        <f t="shared" si="35"/>
        <v>-</v>
      </c>
      <c r="CW14" s="54" t="str">
        <f t="shared" si="35"/>
        <v>-</v>
      </c>
      <c r="CX14" s="54" t="str">
        <f t="shared" si="35"/>
        <v>-</v>
      </c>
      <c r="CY14" s="54" t="str">
        <f t="shared" si="35"/>
        <v>-</v>
      </c>
      <c r="CZ14" s="54" t="str">
        <f t="shared" si="35"/>
        <v>-</v>
      </c>
      <c r="DA14" s="54" t="str">
        <f t="shared" si="35"/>
        <v>-</v>
      </c>
      <c r="DB14" s="54" t="str">
        <f t="shared" si="35"/>
        <v>-</v>
      </c>
      <c r="DC14" s="54" t="str">
        <f t="shared" si="35"/>
        <v>-</v>
      </c>
      <c r="DD14" s="54" t="str">
        <f t="shared" si="35"/>
        <v>-</v>
      </c>
      <c r="DE14" s="54" t="str">
        <f t="shared" si="35"/>
        <v>-</v>
      </c>
      <c r="DF14" s="54" t="str">
        <f t="shared" si="35"/>
        <v>-</v>
      </c>
      <c r="DG14" s="54" t="str">
        <f t="shared" si="35"/>
        <v>-</v>
      </c>
      <c r="DH14" s="54" t="str">
        <f t="shared" si="35"/>
        <v>-</v>
      </c>
      <c r="DI14" s="54" t="str">
        <f t="shared" si="35"/>
        <v>-</v>
      </c>
      <c r="DJ14" s="54" t="str">
        <f t="shared" si="35"/>
        <v>-</v>
      </c>
      <c r="DK14" s="54" t="str">
        <f t="shared" si="35"/>
        <v>-</v>
      </c>
      <c r="DL14" s="54" t="str">
        <f t="shared" si="35"/>
        <v>-</v>
      </c>
      <c r="DM14" s="54" t="str">
        <f t="shared" si="35"/>
        <v>-</v>
      </c>
      <c r="DN14" s="54" t="str">
        <f t="shared" si="35"/>
        <v>-</v>
      </c>
      <c r="DO14" s="54" t="str">
        <f t="shared" si="35"/>
        <v>-</v>
      </c>
      <c r="DP14" s="54" t="str">
        <f t="shared" si="35"/>
        <v>-</v>
      </c>
      <c r="DQ14" s="54" t="str">
        <f t="shared" si="35"/>
        <v>-</v>
      </c>
      <c r="DR14" s="54" t="str">
        <f t="shared" si="35"/>
        <v>-</v>
      </c>
      <c r="DS14" s="54" t="str">
        <f t="shared" si="35"/>
        <v>-</v>
      </c>
      <c r="DT14" s="54" t="str">
        <f t="shared" si="35"/>
        <v>-</v>
      </c>
      <c r="DU14" s="54" t="str">
        <f t="shared" si="35"/>
        <v>-</v>
      </c>
      <c r="DV14" s="54" t="str">
        <f t="shared" si="35"/>
        <v>-</v>
      </c>
      <c r="DW14" s="54" t="str">
        <f t="shared" si="35"/>
        <v>-</v>
      </c>
      <c r="DX14" s="54" t="str">
        <f t="shared" si="35"/>
        <v>-</v>
      </c>
      <c r="DY14" s="54" t="str">
        <f t="shared" si="35"/>
        <v>-</v>
      </c>
      <c r="DZ14" s="54" t="str">
        <f t="shared" si="35"/>
        <v>-</v>
      </c>
      <c r="EA14" s="54" t="str">
        <f t="shared" si="35"/>
        <v>-</v>
      </c>
      <c r="EB14" s="54" t="str">
        <f t="shared" ref="EB14:GM14" si="36">IF(AND(EB15&gt;=$C$9,EB15&lt;$C$10),"Desacumulación","-")</f>
        <v>-</v>
      </c>
      <c r="EC14" s="54" t="str">
        <f t="shared" si="36"/>
        <v>-</v>
      </c>
      <c r="ED14" s="54" t="str">
        <f t="shared" si="36"/>
        <v>-</v>
      </c>
      <c r="EE14" s="54" t="str">
        <f t="shared" si="36"/>
        <v>-</v>
      </c>
      <c r="EF14" s="54" t="str">
        <f t="shared" si="36"/>
        <v>-</v>
      </c>
      <c r="EG14" s="54" t="str">
        <f t="shared" si="36"/>
        <v>-</v>
      </c>
      <c r="EH14" s="54" t="str">
        <f t="shared" si="36"/>
        <v>-</v>
      </c>
      <c r="EI14" s="54" t="str">
        <f t="shared" si="36"/>
        <v>-</v>
      </c>
      <c r="EJ14" s="54" t="str">
        <f t="shared" si="36"/>
        <v>-</v>
      </c>
      <c r="EK14" s="54" t="str">
        <f t="shared" si="36"/>
        <v>-</v>
      </c>
      <c r="EL14" s="54" t="str">
        <f t="shared" si="36"/>
        <v>-</v>
      </c>
      <c r="EM14" s="54" t="str">
        <f t="shared" si="36"/>
        <v>-</v>
      </c>
      <c r="EN14" s="54" t="str">
        <f t="shared" si="36"/>
        <v>-</v>
      </c>
      <c r="EO14" s="54" t="str">
        <f t="shared" si="36"/>
        <v>-</v>
      </c>
      <c r="EP14" s="54" t="str">
        <f t="shared" si="36"/>
        <v>-</v>
      </c>
      <c r="EQ14" s="54" t="str">
        <f t="shared" si="36"/>
        <v>-</v>
      </c>
      <c r="ER14" s="54" t="str">
        <f t="shared" si="36"/>
        <v>-</v>
      </c>
      <c r="ES14" s="54" t="str">
        <f t="shared" si="36"/>
        <v>-</v>
      </c>
      <c r="ET14" s="54" t="str">
        <f t="shared" si="36"/>
        <v>-</v>
      </c>
      <c r="EU14" s="54" t="str">
        <f t="shared" si="36"/>
        <v>-</v>
      </c>
      <c r="EV14" s="54" t="str">
        <f t="shared" si="36"/>
        <v>-</v>
      </c>
      <c r="EW14" s="54" t="str">
        <f t="shared" si="36"/>
        <v>-</v>
      </c>
      <c r="EX14" s="54" t="str">
        <f t="shared" si="36"/>
        <v>-</v>
      </c>
      <c r="EY14" s="54" t="str">
        <f t="shared" si="36"/>
        <v>-</v>
      </c>
      <c r="EZ14" s="54" t="str">
        <f t="shared" si="36"/>
        <v>-</v>
      </c>
      <c r="FA14" s="54" t="str">
        <f t="shared" si="36"/>
        <v>-</v>
      </c>
      <c r="FB14" s="54" t="str">
        <f t="shared" si="36"/>
        <v>-</v>
      </c>
      <c r="FC14" s="54" t="str">
        <f t="shared" si="36"/>
        <v>-</v>
      </c>
      <c r="FD14" s="54" t="str">
        <f t="shared" si="36"/>
        <v>-</v>
      </c>
      <c r="FE14" s="54" t="str">
        <f t="shared" si="36"/>
        <v>-</v>
      </c>
      <c r="FF14" s="54" t="str">
        <f t="shared" si="36"/>
        <v>-</v>
      </c>
      <c r="FG14" s="54" t="str">
        <f t="shared" si="36"/>
        <v>-</v>
      </c>
      <c r="FH14" s="54" t="str">
        <f t="shared" si="36"/>
        <v>-</v>
      </c>
      <c r="FI14" s="54" t="str">
        <f t="shared" si="36"/>
        <v>-</v>
      </c>
      <c r="FJ14" s="54" t="str">
        <f t="shared" si="36"/>
        <v>-</v>
      </c>
      <c r="FK14" s="54" t="str">
        <f t="shared" si="36"/>
        <v>-</v>
      </c>
      <c r="FL14" s="54" t="str">
        <f t="shared" si="36"/>
        <v>-</v>
      </c>
      <c r="FM14" s="54" t="str">
        <f t="shared" si="36"/>
        <v>-</v>
      </c>
      <c r="FN14" s="54" t="str">
        <f t="shared" si="36"/>
        <v>-</v>
      </c>
      <c r="FO14" s="54" t="str">
        <f t="shared" si="36"/>
        <v>-</v>
      </c>
      <c r="FP14" s="54" t="str">
        <f t="shared" si="36"/>
        <v>-</v>
      </c>
      <c r="FQ14" s="54" t="str">
        <f t="shared" si="36"/>
        <v>-</v>
      </c>
      <c r="FR14" s="54" t="str">
        <f t="shared" si="36"/>
        <v>-</v>
      </c>
      <c r="FS14" s="54" t="str">
        <f t="shared" si="36"/>
        <v>-</v>
      </c>
      <c r="FT14" s="54" t="str">
        <f t="shared" si="36"/>
        <v>-</v>
      </c>
      <c r="FU14" s="54" t="str">
        <f t="shared" si="36"/>
        <v>-</v>
      </c>
      <c r="FV14" s="54" t="str">
        <f t="shared" si="36"/>
        <v>-</v>
      </c>
      <c r="FW14" s="54" t="str">
        <f t="shared" si="36"/>
        <v>-</v>
      </c>
      <c r="FX14" s="54" t="str">
        <f t="shared" si="36"/>
        <v>-</v>
      </c>
      <c r="FY14" s="54" t="str">
        <f t="shared" si="36"/>
        <v>-</v>
      </c>
      <c r="FZ14" s="54" t="str">
        <f t="shared" si="36"/>
        <v>-</v>
      </c>
      <c r="GA14" s="54" t="str">
        <f t="shared" si="36"/>
        <v>-</v>
      </c>
      <c r="GB14" s="54" t="str">
        <f t="shared" si="36"/>
        <v>-</v>
      </c>
      <c r="GC14" s="54" t="str">
        <f t="shared" si="36"/>
        <v>-</v>
      </c>
      <c r="GD14" s="54" t="str">
        <f t="shared" si="36"/>
        <v>-</v>
      </c>
      <c r="GE14" s="54" t="str">
        <f t="shared" si="36"/>
        <v>-</v>
      </c>
      <c r="GF14" s="54" t="str">
        <f t="shared" si="36"/>
        <v>-</v>
      </c>
      <c r="GG14" s="54" t="str">
        <f t="shared" si="36"/>
        <v>-</v>
      </c>
      <c r="GH14" s="54" t="str">
        <f t="shared" si="36"/>
        <v>-</v>
      </c>
      <c r="GI14" s="54" t="str">
        <f t="shared" si="36"/>
        <v>-</v>
      </c>
      <c r="GJ14" s="54" t="str">
        <f t="shared" si="36"/>
        <v>-</v>
      </c>
      <c r="GK14" s="54" t="str">
        <f t="shared" si="36"/>
        <v>-</v>
      </c>
      <c r="GL14" s="54" t="str">
        <f t="shared" si="36"/>
        <v>-</v>
      </c>
      <c r="GM14" s="54" t="str">
        <f t="shared" si="36"/>
        <v>-</v>
      </c>
      <c r="GN14" s="54" t="str">
        <f t="shared" ref="GN14:IY14" si="37">IF(AND(GN15&gt;=$C$9,GN15&lt;$C$10),"Desacumulación","-")</f>
        <v>-</v>
      </c>
      <c r="GO14" s="54" t="str">
        <f t="shared" si="37"/>
        <v>-</v>
      </c>
      <c r="GP14" s="54" t="str">
        <f t="shared" si="37"/>
        <v>-</v>
      </c>
      <c r="GQ14" s="54" t="str">
        <f t="shared" si="37"/>
        <v>-</v>
      </c>
      <c r="GR14" s="54" t="str">
        <f t="shared" si="37"/>
        <v>-</v>
      </c>
      <c r="GS14" s="54" t="str">
        <f t="shared" si="37"/>
        <v>-</v>
      </c>
      <c r="GT14" s="54" t="str">
        <f t="shared" si="37"/>
        <v>-</v>
      </c>
      <c r="GU14" s="54" t="str">
        <f t="shared" si="37"/>
        <v>-</v>
      </c>
      <c r="GV14" s="54" t="str">
        <f t="shared" si="37"/>
        <v>-</v>
      </c>
      <c r="GW14" s="54" t="str">
        <f t="shared" si="37"/>
        <v>-</v>
      </c>
      <c r="GX14" s="54" t="str">
        <f t="shared" si="37"/>
        <v>-</v>
      </c>
      <c r="GY14" s="54" t="str">
        <f t="shared" si="37"/>
        <v>-</v>
      </c>
      <c r="GZ14" s="54" t="str">
        <f t="shared" si="37"/>
        <v>-</v>
      </c>
      <c r="HA14" s="54" t="str">
        <f t="shared" si="37"/>
        <v>-</v>
      </c>
      <c r="HB14" s="54" t="str">
        <f t="shared" si="37"/>
        <v>-</v>
      </c>
      <c r="HC14" s="54" t="str">
        <f t="shared" si="37"/>
        <v>-</v>
      </c>
      <c r="HD14" s="54" t="str">
        <f t="shared" si="37"/>
        <v>-</v>
      </c>
      <c r="HE14" s="54" t="str">
        <f t="shared" si="37"/>
        <v>-</v>
      </c>
      <c r="HF14" s="54" t="str">
        <f t="shared" si="37"/>
        <v>-</v>
      </c>
      <c r="HG14" s="54" t="str">
        <f t="shared" si="37"/>
        <v>-</v>
      </c>
      <c r="HH14" s="54" t="str">
        <f t="shared" si="37"/>
        <v>-</v>
      </c>
      <c r="HI14" s="54" t="str">
        <f t="shared" si="37"/>
        <v>-</v>
      </c>
      <c r="HJ14" s="54" t="str">
        <f t="shared" si="37"/>
        <v>-</v>
      </c>
      <c r="HK14" s="54" t="str">
        <f t="shared" si="37"/>
        <v>-</v>
      </c>
      <c r="HL14" s="54" t="str">
        <f t="shared" si="37"/>
        <v>-</v>
      </c>
      <c r="HM14" s="54" t="str">
        <f t="shared" si="37"/>
        <v>-</v>
      </c>
      <c r="HN14" s="54" t="str">
        <f t="shared" si="37"/>
        <v>-</v>
      </c>
      <c r="HO14" s="54" t="str">
        <f t="shared" si="37"/>
        <v>-</v>
      </c>
      <c r="HP14" s="54" t="str">
        <f t="shared" si="37"/>
        <v>-</v>
      </c>
      <c r="HQ14" s="54" t="str">
        <f t="shared" si="37"/>
        <v>-</v>
      </c>
      <c r="HR14" s="54" t="str">
        <f t="shared" si="37"/>
        <v>-</v>
      </c>
      <c r="HS14" s="54" t="str">
        <f t="shared" si="37"/>
        <v>-</v>
      </c>
      <c r="HT14" s="54" t="str">
        <f t="shared" si="37"/>
        <v>-</v>
      </c>
      <c r="HU14" s="54" t="str">
        <f t="shared" si="37"/>
        <v>-</v>
      </c>
      <c r="HV14" s="54" t="str">
        <f t="shared" si="37"/>
        <v>-</v>
      </c>
      <c r="HW14" s="54" t="str">
        <f t="shared" si="37"/>
        <v>-</v>
      </c>
      <c r="HX14" s="54" t="str">
        <f t="shared" si="37"/>
        <v>-</v>
      </c>
      <c r="HY14" s="54" t="str">
        <f t="shared" si="37"/>
        <v>-</v>
      </c>
      <c r="HZ14" s="54" t="str">
        <f t="shared" si="37"/>
        <v>-</v>
      </c>
      <c r="IA14" s="54" t="str">
        <f t="shared" si="37"/>
        <v>-</v>
      </c>
      <c r="IB14" s="54" t="str">
        <f t="shared" si="37"/>
        <v>-</v>
      </c>
      <c r="IC14" s="54" t="str">
        <f t="shared" si="37"/>
        <v>-</v>
      </c>
      <c r="ID14" s="54" t="str">
        <f t="shared" si="37"/>
        <v>-</v>
      </c>
      <c r="IE14" s="54" t="str">
        <f t="shared" si="37"/>
        <v>-</v>
      </c>
      <c r="IF14" s="54" t="str">
        <f t="shared" si="37"/>
        <v>-</v>
      </c>
      <c r="IG14" s="54" t="str">
        <f t="shared" si="37"/>
        <v>-</v>
      </c>
      <c r="IH14" s="54" t="str">
        <f t="shared" si="37"/>
        <v>-</v>
      </c>
      <c r="II14" s="54" t="str">
        <f t="shared" si="37"/>
        <v>-</v>
      </c>
      <c r="IJ14" s="54" t="str">
        <f t="shared" si="37"/>
        <v>-</v>
      </c>
      <c r="IK14" s="54" t="str">
        <f t="shared" si="37"/>
        <v>-</v>
      </c>
      <c r="IL14" s="54" t="str">
        <f t="shared" si="37"/>
        <v>-</v>
      </c>
      <c r="IM14" s="54" t="str">
        <f t="shared" si="37"/>
        <v>-</v>
      </c>
      <c r="IN14" s="54" t="str">
        <f t="shared" si="37"/>
        <v>-</v>
      </c>
      <c r="IO14" s="54" t="str">
        <f t="shared" si="37"/>
        <v>-</v>
      </c>
      <c r="IP14" s="54" t="str">
        <f t="shared" si="37"/>
        <v>-</v>
      </c>
      <c r="IQ14" s="54" t="str">
        <f t="shared" si="37"/>
        <v>-</v>
      </c>
      <c r="IR14" s="54" t="str">
        <f t="shared" si="37"/>
        <v>-</v>
      </c>
      <c r="IS14" s="54" t="str">
        <f t="shared" si="37"/>
        <v>-</v>
      </c>
      <c r="IT14" s="54" t="str">
        <f t="shared" si="37"/>
        <v>-</v>
      </c>
      <c r="IU14" s="54" t="str">
        <f t="shared" si="37"/>
        <v>-</v>
      </c>
      <c r="IV14" s="54" t="str">
        <f t="shared" si="37"/>
        <v>-</v>
      </c>
      <c r="IW14" s="54" t="str">
        <f t="shared" si="37"/>
        <v>-</v>
      </c>
      <c r="IX14" s="54" t="str">
        <f t="shared" si="37"/>
        <v>-</v>
      </c>
      <c r="IY14" s="54" t="str">
        <f t="shared" si="37"/>
        <v>-</v>
      </c>
      <c r="IZ14" s="54" t="str">
        <f t="shared" ref="IZ14:LK14" si="38">IF(AND(IZ15&gt;=$C$9,IZ15&lt;$C$10),"Desacumulación","-")</f>
        <v>-</v>
      </c>
      <c r="JA14" s="54" t="str">
        <f t="shared" si="38"/>
        <v>-</v>
      </c>
      <c r="JB14" s="54" t="str">
        <f t="shared" si="38"/>
        <v>-</v>
      </c>
      <c r="JC14" s="54" t="str">
        <f t="shared" si="38"/>
        <v>-</v>
      </c>
      <c r="JD14" s="54" t="str">
        <f t="shared" si="38"/>
        <v>-</v>
      </c>
      <c r="JE14" s="54" t="str">
        <f t="shared" si="38"/>
        <v>-</v>
      </c>
      <c r="JF14" s="54" t="str">
        <f t="shared" si="38"/>
        <v>-</v>
      </c>
      <c r="JG14" s="54" t="str">
        <f t="shared" si="38"/>
        <v>-</v>
      </c>
      <c r="JH14" s="54" t="str">
        <f t="shared" si="38"/>
        <v>-</v>
      </c>
      <c r="JI14" s="54" t="str">
        <f t="shared" si="38"/>
        <v>-</v>
      </c>
      <c r="JJ14" s="54" t="str">
        <f t="shared" si="38"/>
        <v>-</v>
      </c>
      <c r="JK14" s="54" t="str">
        <f t="shared" si="38"/>
        <v>-</v>
      </c>
      <c r="JL14" s="54" t="str">
        <f t="shared" si="38"/>
        <v>-</v>
      </c>
      <c r="JM14" s="54" t="str">
        <f t="shared" si="38"/>
        <v>-</v>
      </c>
      <c r="JN14" s="54" t="str">
        <f t="shared" si="38"/>
        <v>-</v>
      </c>
      <c r="JO14" s="54" t="str">
        <f t="shared" si="38"/>
        <v>-</v>
      </c>
      <c r="JP14" s="54" t="str">
        <f t="shared" si="38"/>
        <v>-</v>
      </c>
      <c r="JQ14" s="54" t="str">
        <f t="shared" si="38"/>
        <v>-</v>
      </c>
      <c r="JR14" s="54" t="str">
        <f t="shared" si="38"/>
        <v>-</v>
      </c>
      <c r="JS14" s="54" t="str">
        <f t="shared" si="38"/>
        <v>-</v>
      </c>
      <c r="JT14" s="54" t="str">
        <f t="shared" si="38"/>
        <v>-</v>
      </c>
      <c r="JU14" s="54" t="str">
        <f t="shared" si="38"/>
        <v>-</v>
      </c>
      <c r="JV14" s="54" t="str">
        <f t="shared" si="38"/>
        <v>-</v>
      </c>
      <c r="JW14" s="54" t="str">
        <f t="shared" si="38"/>
        <v>-</v>
      </c>
      <c r="JX14" s="54" t="str">
        <f t="shared" si="38"/>
        <v>-</v>
      </c>
      <c r="JY14" s="54" t="str">
        <f t="shared" si="38"/>
        <v>-</v>
      </c>
      <c r="JZ14" s="54" t="str">
        <f t="shared" si="38"/>
        <v>-</v>
      </c>
      <c r="KA14" s="54" t="str">
        <f t="shared" si="38"/>
        <v>-</v>
      </c>
      <c r="KB14" s="54" t="str">
        <f t="shared" si="38"/>
        <v>-</v>
      </c>
      <c r="KC14" s="54" t="str">
        <f t="shared" si="38"/>
        <v>-</v>
      </c>
      <c r="KD14" s="54" t="str">
        <f t="shared" si="38"/>
        <v>-</v>
      </c>
      <c r="KE14" s="54" t="str">
        <f t="shared" si="38"/>
        <v>-</v>
      </c>
      <c r="KF14" s="54" t="str">
        <f t="shared" si="38"/>
        <v>-</v>
      </c>
      <c r="KG14" s="54" t="str">
        <f t="shared" si="38"/>
        <v>-</v>
      </c>
      <c r="KH14" s="54" t="str">
        <f t="shared" si="38"/>
        <v>-</v>
      </c>
      <c r="KI14" s="54" t="str">
        <f t="shared" si="38"/>
        <v>-</v>
      </c>
      <c r="KJ14" s="54" t="str">
        <f t="shared" si="38"/>
        <v>-</v>
      </c>
      <c r="KK14" s="54" t="str">
        <f t="shared" si="38"/>
        <v>-</v>
      </c>
      <c r="KL14" s="54" t="str">
        <f t="shared" si="38"/>
        <v>-</v>
      </c>
      <c r="KM14" s="54" t="str">
        <f t="shared" si="38"/>
        <v>-</v>
      </c>
      <c r="KN14" s="54" t="str">
        <f t="shared" si="38"/>
        <v>-</v>
      </c>
      <c r="KO14" s="54" t="str">
        <f t="shared" si="38"/>
        <v>-</v>
      </c>
      <c r="KP14" s="54" t="str">
        <f t="shared" si="38"/>
        <v>-</v>
      </c>
      <c r="KQ14" s="54" t="str">
        <f t="shared" si="38"/>
        <v>-</v>
      </c>
      <c r="KR14" s="54" t="str">
        <f t="shared" si="38"/>
        <v>-</v>
      </c>
      <c r="KS14" s="54" t="str">
        <f t="shared" si="38"/>
        <v>-</v>
      </c>
      <c r="KT14" s="54" t="str">
        <f t="shared" si="38"/>
        <v>-</v>
      </c>
      <c r="KU14" s="54" t="str">
        <f t="shared" si="38"/>
        <v>-</v>
      </c>
      <c r="KV14" s="54" t="str">
        <f t="shared" si="38"/>
        <v>-</v>
      </c>
      <c r="KW14" s="54" t="str">
        <f t="shared" si="38"/>
        <v>-</v>
      </c>
      <c r="KX14" s="54" t="str">
        <f t="shared" si="38"/>
        <v>-</v>
      </c>
      <c r="KY14" s="54" t="str">
        <f t="shared" si="38"/>
        <v>-</v>
      </c>
      <c r="KZ14" s="54" t="str">
        <f t="shared" si="38"/>
        <v>-</v>
      </c>
      <c r="LA14" s="54" t="str">
        <f t="shared" si="38"/>
        <v>-</v>
      </c>
      <c r="LB14" s="54" t="str">
        <f t="shared" si="38"/>
        <v>-</v>
      </c>
      <c r="LC14" s="54" t="str">
        <f t="shared" si="38"/>
        <v>-</v>
      </c>
      <c r="LD14" s="54" t="str">
        <f t="shared" si="38"/>
        <v>-</v>
      </c>
      <c r="LE14" s="54" t="str">
        <f t="shared" si="38"/>
        <v>-</v>
      </c>
      <c r="LF14" s="54" t="str">
        <f t="shared" si="38"/>
        <v>-</v>
      </c>
      <c r="LG14" s="54" t="str">
        <f t="shared" si="38"/>
        <v>-</v>
      </c>
      <c r="LH14" s="54" t="str">
        <f t="shared" si="38"/>
        <v>-</v>
      </c>
      <c r="LI14" s="54" t="str">
        <f t="shared" si="38"/>
        <v>-</v>
      </c>
      <c r="LJ14" s="54" t="str">
        <f t="shared" si="38"/>
        <v>-</v>
      </c>
      <c r="LK14" s="54" t="str">
        <f t="shared" si="38"/>
        <v>-</v>
      </c>
      <c r="LL14" s="54" t="str">
        <f t="shared" ref="LL14:NW14" si="39">IF(AND(LL15&gt;=$C$9,LL15&lt;$C$10),"Desacumulación","-")</f>
        <v>-</v>
      </c>
      <c r="LM14" s="54" t="str">
        <f t="shared" si="39"/>
        <v>-</v>
      </c>
      <c r="LN14" s="54" t="str">
        <f t="shared" si="39"/>
        <v>-</v>
      </c>
      <c r="LO14" s="54" t="str">
        <f t="shared" si="39"/>
        <v>-</v>
      </c>
      <c r="LP14" s="54" t="str">
        <f t="shared" si="39"/>
        <v>-</v>
      </c>
      <c r="LQ14" s="54" t="str">
        <f t="shared" si="39"/>
        <v>-</v>
      </c>
      <c r="LR14" s="54" t="str">
        <f t="shared" si="39"/>
        <v>-</v>
      </c>
      <c r="LS14" s="54" t="str">
        <f t="shared" si="39"/>
        <v>-</v>
      </c>
      <c r="LT14" s="54" t="str">
        <f t="shared" si="39"/>
        <v>-</v>
      </c>
      <c r="LU14" s="54" t="str">
        <f t="shared" si="39"/>
        <v>-</v>
      </c>
      <c r="LV14" s="54" t="str">
        <f t="shared" si="39"/>
        <v>-</v>
      </c>
      <c r="LW14" s="54" t="str">
        <f t="shared" si="39"/>
        <v>-</v>
      </c>
      <c r="LX14" s="54" t="str">
        <f t="shared" si="39"/>
        <v>-</v>
      </c>
      <c r="LY14" s="54" t="str">
        <f t="shared" si="39"/>
        <v>-</v>
      </c>
      <c r="LZ14" s="54" t="str">
        <f t="shared" si="39"/>
        <v>-</v>
      </c>
      <c r="MA14" s="54" t="str">
        <f t="shared" si="39"/>
        <v>-</v>
      </c>
      <c r="MB14" s="54" t="str">
        <f t="shared" si="39"/>
        <v>-</v>
      </c>
      <c r="MC14" s="54" t="str">
        <f t="shared" si="39"/>
        <v>-</v>
      </c>
      <c r="MD14" s="54" t="str">
        <f t="shared" si="39"/>
        <v>-</v>
      </c>
      <c r="ME14" s="54" t="str">
        <f t="shared" si="39"/>
        <v>-</v>
      </c>
      <c r="MF14" s="54" t="str">
        <f t="shared" si="39"/>
        <v>-</v>
      </c>
      <c r="MG14" s="54" t="str">
        <f t="shared" si="39"/>
        <v>-</v>
      </c>
      <c r="MH14" s="54" t="str">
        <f t="shared" si="39"/>
        <v>-</v>
      </c>
      <c r="MI14" s="54" t="str">
        <f t="shared" si="39"/>
        <v>-</v>
      </c>
      <c r="MJ14" s="54" t="str">
        <f t="shared" si="39"/>
        <v>-</v>
      </c>
      <c r="MK14" s="54" t="str">
        <f t="shared" si="39"/>
        <v>-</v>
      </c>
      <c r="ML14" s="54" t="str">
        <f t="shared" si="39"/>
        <v>-</v>
      </c>
      <c r="MM14" s="54" t="str">
        <f t="shared" si="39"/>
        <v>-</v>
      </c>
      <c r="MN14" s="54" t="str">
        <f t="shared" si="39"/>
        <v>-</v>
      </c>
      <c r="MO14" s="54" t="str">
        <f t="shared" si="39"/>
        <v>-</v>
      </c>
      <c r="MP14" s="54" t="str">
        <f t="shared" si="39"/>
        <v>-</v>
      </c>
      <c r="MQ14" s="54" t="str">
        <f t="shared" si="39"/>
        <v>-</v>
      </c>
      <c r="MR14" s="54" t="str">
        <f t="shared" si="39"/>
        <v>-</v>
      </c>
      <c r="MS14" s="54" t="str">
        <f t="shared" si="39"/>
        <v>-</v>
      </c>
      <c r="MT14" s="54" t="str">
        <f t="shared" si="39"/>
        <v>-</v>
      </c>
      <c r="MU14" s="54" t="str">
        <f t="shared" si="39"/>
        <v>-</v>
      </c>
      <c r="MV14" s="54" t="str">
        <f t="shared" si="39"/>
        <v>-</v>
      </c>
      <c r="MW14" s="54" t="str">
        <f t="shared" si="39"/>
        <v>-</v>
      </c>
      <c r="MX14" s="54" t="str">
        <f t="shared" si="39"/>
        <v>-</v>
      </c>
      <c r="MY14" s="54" t="str">
        <f t="shared" si="39"/>
        <v>-</v>
      </c>
      <c r="MZ14" s="54" t="str">
        <f t="shared" si="39"/>
        <v>-</v>
      </c>
      <c r="NA14" s="54" t="str">
        <f t="shared" si="39"/>
        <v>-</v>
      </c>
      <c r="NB14" s="54" t="str">
        <f t="shared" si="39"/>
        <v>-</v>
      </c>
      <c r="NC14" s="54" t="str">
        <f t="shared" si="39"/>
        <v>-</v>
      </c>
      <c r="ND14" s="54" t="str">
        <f t="shared" si="39"/>
        <v>-</v>
      </c>
      <c r="NE14" s="54" t="str">
        <f t="shared" si="39"/>
        <v>-</v>
      </c>
      <c r="NF14" s="54" t="str">
        <f t="shared" si="39"/>
        <v>-</v>
      </c>
      <c r="NG14" s="54" t="str">
        <f t="shared" si="39"/>
        <v>-</v>
      </c>
      <c r="NH14" s="54" t="str">
        <f t="shared" si="39"/>
        <v>-</v>
      </c>
      <c r="NI14" s="54" t="str">
        <f t="shared" si="39"/>
        <v>-</v>
      </c>
      <c r="NJ14" s="54" t="str">
        <f t="shared" si="39"/>
        <v>-</v>
      </c>
      <c r="NK14" s="54" t="str">
        <f t="shared" si="39"/>
        <v>-</v>
      </c>
      <c r="NL14" s="54" t="str">
        <f t="shared" si="39"/>
        <v>-</v>
      </c>
      <c r="NM14" s="54" t="str">
        <f t="shared" si="39"/>
        <v>-</v>
      </c>
      <c r="NN14" s="54" t="str">
        <f t="shared" si="39"/>
        <v>-</v>
      </c>
      <c r="NO14" s="54" t="str">
        <f t="shared" si="39"/>
        <v>-</v>
      </c>
      <c r="NP14" s="54" t="str">
        <f t="shared" si="39"/>
        <v>-</v>
      </c>
      <c r="NQ14" s="54" t="str">
        <f t="shared" si="39"/>
        <v>-</v>
      </c>
      <c r="NR14" s="54" t="str">
        <f t="shared" si="39"/>
        <v>-</v>
      </c>
      <c r="NS14" s="54" t="str">
        <f t="shared" si="39"/>
        <v>-</v>
      </c>
      <c r="NT14" s="54" t="str">
        <f t="shared" si="39"/>
        <v>-</v>
      </c>
      <c r="NU14" s="54" t="str">
        <f t="shared" si="39"/>
        <v>-</v>
      </c>
      <c r="NV14" s="54" t="str">
        <f t="shared" si="39"/>
        <v>-</v>
      </c>
      <c r="NW14" s="54" t="str">
        <f t="shared" si="39"/>
        <v>-</v>
      </c>
      <c r="NX14" s="54" t="str">
        <f t="shared" ref="NX14:QI14" si="40">IF(AND(NX15&gt;=$C$9,NX15&lt;$C$10),"Desacumulación","-")</f>
        <v>-</v>
      </c>
      <c r="NY14" s="54" t="str">
        <f t="shared" si="40"/>
        <v>-</v>
      </c>
      <c r="NZ14" s="54" t="str">
        <f t="shared" si="40"/>
        <v>-</v>
      </c>
      <c r="OA14" s="54" t="str">
        <f t="shared" si="40"/>
        <v>-</v>
      </c>
      <c r="OB14" s="54" t="str">
        <f t="shared" si="40"/>
        <v>-</v>
      </c>
      <c r="OC14" s="54" t="str">
        <f t="shared" si="40"/>
        <v>-</v>
      </c>
      <c r="OD14" s="54" t="str">
        <f t="shared" si="40"/>
        <v>-</v>
      </c>
      <c r="OE14" s="54" t="str">
        <f t="shared" si="40"/>
        <v>-</v>
      </c>
      <c r="OF14" s="54" t="str">
        <f t="shared" si="40"/>
        <v>-</v>
      </c>
      <c r="OG14" s="54" t="str">
        <f t="shared" si="40"/>
        <v>-</v>
      </c>
      <c r="OH14" s="54" t="str">
        <f t="shared" si="40"/>
        <v>-</v>
      </c>
      <c r="OI14" s="54" t="str">
        <f t="shared" si="40"/>
        <v>-</v>
      </c>
      <c r="OJ14" s="54" t="str">
        <f t="shared" si="40"/>
        <v>-</v>
      </c>
      <c r="OK14" s="54" t="str">
        <f t="shared" si="40"/>
        <v>-</v>
      </c>
      <c r="OL14" s="54" t="str">
        <f t="shared" si="40"/>
        <v>-</v>
      </c>
      <c r="OM14" s="54" t="str">
        <f t="shared" si="40"/>
        <v>-</v>
      </c>
      <c r="ON14" s="54" t="str">
        <f t="shared" si="40"/>
        <v>-</v>
      </c>
      <c r="OO14" s="54" t="str">
        <f t="shared" si="40"/>
        <v>-</v>
      </c>
      <c r="OP14" s="54" t="str">
        <f t="shared" si="40"/>
        <v>-</v>
      </c>
      <c r="OQ14" s="54" t="str">
        <f t="shared" si="40"/>
        <v>-</v>
      </c>
      <c r="OR14" s="54" t="str">
        <f t="shared" si="40"/>
        <v>-</v>
      </c>
      <c r="OS14" s="54" t="str">
        <f t="shared" si="40"/>
        <v>-</v>
      </c>
      <c r="OT14" s="54" t="str">
        <f t="shared" si="40"/>
        <v>-</v>
      </c>
      <c r="OU14" s="54" t="str">
        <f t="shared" si="40"/>
        <v>-</v>
      </c>
      <c r="OV14" s="54" t="str">
        <f t="shared" si="40"/>
        <v>-</v>
      </c>
      <c r="OW14" s="54" t="str">
        <f t="shared" si="40"/>
        <v>-</v>
      </c>
      <c r="OX14" s="54" t="str">
        <f t="shared" si="40"/>
        <v>-</v>
      </c>
      <c r="OY14" s="54" t="str">
        <f t="shared" si="40"/>
        <v>-</v>
      </c>
      <c r="OZ14" s="54" t="str">
        <f t="shared" si="40"/>
        <v>-</v>
      </c>
      <c r="PA14" s="54" t="str">
        <f t="shared" si="40"/>
        <v>-</v>
      </c>
      <c r="PB14" s="54" t="str">
        <f t="shared" si="40"/>
        <v>-</v>
      </c>
      <c r="PC14" s="54" t="str">
        <f t="shared" si="40"/>
        <v>-</v>
      </c>
      <c r="PD14" s="54" t="str">
        <f t="shared" si="40"/>
        <v>-</v>
      </c>
      <c r="PE14" s="54" t="str">
        <f t="shared" si="40"/>
        <v>-</v>
      </c>
      <c r="PF14" s="54" t="str">
        <f t="shared" si="40"/>
        <v>-</v>
      </c>
      <c r="PG14" s="54" t="str">
        <f t="shared" si="40"/>
        <v>-</v>
      </c>
      <c r="PH14" s="54" t="str">
        <f t="shared" si="40"/>
        <v>-</v>
      </c>
      <c r="PI14" s="54" t="str">
        <f t="shared" si="40"/>
        <v>-</v>
      </c>
      <c r="PJ14" s="54" t="str">
        <f t="shared" si="40"/>
        <v>-</v>
      </c>
      <c r="PK14" s="54" t="str">
        <f t="shared" si="40"/>
        <v>-</v>
      </c>
      <c r="PL14" s="54" t="str">
        <f t="shared" si="40"/>
        <v>-</v>
      </c>
      <c r="PM14" s="54" t="str">
        <f t="shared" si="40"/>
        <v>-</v>
      </c>
      <c r="PN14" s="54" t="str">
        <f t="shared" si="40"/>
        <v>-</v>
      </c>
      <c r="PO14" s="54" t="str">
        <f t="shared" si="40"/>
        <v>-</v>
      </c>
      <c r="PP14" s="54" t="str">
        <f t="shared" si="40"/>
        <v>-</v>
      </c>
      <c r="PQ14" s="54" t="str">
        <f t="shared" si="40"/>
        <v>-</v>
      </c>
      <c r="PR14" s="54" t="str">
        <f t="shared" si="40"/>
        <v>-</v>
      </c>
      <c r="PS14" s="54" t="str">
        <f t="shared" si="40"/>
        <v>-</v>
      </c>
      <c r="PT14" s="54" t="str">
        <f t="shared" si="40"/>
        <v>-</v>
      </c>
      <c r="PU14" s="54" t="str">
        <f t="shared" si="40"/>
        <v>-</v>
      </c>
      <c r="PV14" s="54" t="str">
        <f t="shared" si="40"/>
        <v>-</v>
      </c>
      <c r="PW14" s="54" t="str">
        <f t="shared" si="40"/>
        <v>-</v>
      </c>
      <c r="PX14" s="54" t="str">
        <f t="shared" si="40"/>
        <v>-</v>
      </c>
      <c r="PY14" s="54" t="str">
        <f t="shared" si="40"/>
        <v>-</v>
      </c>
      <c r="PZ14" s="54" t="str">
        <f t="shared" si="40"/>
        <v>-</v>
      </c>
      <c r="QA14" s="54" t="str">
        <f t="shared" si="40"/>
        <v>-</v>
      </c>
      <c r="QB14" s="54" t="str">
        <f t="shared" si="40"/>
        <v>-</v>
      </c>
      <c r="QC14" s="54" t="str">
        <f t="shared" si="40"/>
        <v>-</v>
      </c>
      <c r="QD14" s="54" t="str">
        <f t="shared" si="40"/>
        <v>-</v>
      </c>
      <c r="QE14" s="54" t="str">
        <f t="shared" si="40"/>
        <v>-</v>
      </c>
      <c r="QF14" s="54" t="str">
        <f t="shared" si="40"/>
        <v>-</v>
      </c>
      <c r="QG14" s="54" t="str">
        <f t="shared" si="40"/>
        <v>-</v>
      </c>
      <c r="QH14" s="54" t="str">
        <f t="shared" si="40"/>
        <v>-</v>
      </c>
      <c r="QI14" s="54" t="str">
        <f t="shared" si="40"/>
        <v>-</v>
      </c>
      <c r="QJ14" s="54" t="str">
        <f t="shared" ref="QJ14:SU14" si="41">IF(AND(QJ15&gt;=$C$9,QJ15&lt;$C$10),"Desacumulación","-")</f>
        <v>-</v>
      </c>
      <c r="QK14" s="54" t="str">
        <f t="shared" si="41"/>
        <v>-</v>
      </c>
      <c r="QL14" s="54" t="str">
        <f t="shared" si="41"/>
        <v>-</v>
      </c>
      <c r="QM14" s="54" t="str">
        <f t="shared" si="41"/>
        <v>-</v>
      </c>
      <c r="QN14" s="54" t="str">
        <f t="shared" si="41"/>
        <v>-</v>
      </c>
      <c r="QO14" s="54" t="str">
        <f t="shared" si="41"/>
        <v>-</v>
      </c>
      <c r="QP14" s="54" t="str">
        <f t="shared" si="41"/>
        <v>-</v>
      </c>
      <c r="QQ14" s="54" t="str">
        <f t="shared" si="41"/>
        <v>-</v>
      </c>
      <c r="QR14" s="54" t="str">
        <f t="shared" si="41"/>
        <v>-</v>
      </c>
      <c r="QS14" s="54" t="str">
        <f t="shared" si="41"/>
        <v>-</v>
      </c>
      <c r="QT14" s="54" t="str">
        <f t="shared" si="41"/>
        <v>-</v>
      </c>
      <c r="QU14" s="54" t="str">
        <f t="shared" si="41"/>
        <v>-</v>
      </c>
      <c r="QV14" s="54" t="str">
        <f t="shared" si="41"/>
        <v>-</v>
      </c>
      <c r="QW14" s="54" t="str">
        <f t="shared" si="41"/>
        <v>-</v>
      </c>
      <c r="QX14" s="54" t="str">
        <f t="shared" si="41"/>
        <v>-</v>
      </c>
      <c r="QY14" s="54" t="str">
        <f t="shared" si="41"/>
        <v>-</v>
      </c>
      <c r="QZ14" s="54" t="str">
        <f t="shared" si="41"/>
        <v>-</v>
      </c>
      <c r="RA14" s="54" t="str">
        <f t="shared" si="41"/>
        <v>-</v>
      </c>
      <c r="RB14" s="54" t="str">
        <f t="shared" si="41"/>
        <v>-</v>
      </c>
      <c r="RC14" s="54" t="str">
        <f t="shared" si="41"/>
        <v>-</v>
      </c>
      <c r="RD14" s="54" t="str">
        <f t="shared" si="41"/>
        <v>-</v>
      </c>
      <c r="RE14" s="54" t="str">
        <f t="shared" si="41"/>
        <v>-</v>
      </c>
      <c r="RF14" s="54" t="str">
        <f t="shared" si="41"/>
        <v>-</v>
      </c>
      <c r="RG14" s="54" t="str">
        <f t="shared" si="41"/>
        <v>-</v>
      </c>
      <c r="RH14" s="54" t="str">
        <f t="shared" si="41"/>
        <v>-</v>
      </c>
      <c r="RI14" s="54" t="str">
        <f t="shared" si="41"/>
        <v>-</v>
      </c>
      <c r="RJ14" s="54" t="str">
        <f t="shared" si="41"/>
        <v>-</v>
      </c>
      <c r="RK14" s="54" t="str">
        <f t="shared" si="41"/>
        <v>-</v>
      </c>
      <c r="RL14" s="54" t="str">
        <f t="shared" si="41"/>
        <v>-</v>
      </c>
      <c r="RM14" s="54" t="str">
        <f t="shared" si="41"/>
        <v>-</v>
      </c>
      <c r="RN14" s="54" t="str">
        <f t="shared" si="41"/>
        <v>-</v>
      </c>
      <c r="RO14" s="54" t="str">
        <f t="shared" si="41"/>
        <v>-</v>
      </c>
      <c r="RP14" s="54" t="str">
        <f t="shared" si="41"/>
        <v>-</v>
      </c>
      <c r="RQ14" s="54" t="str">
        <f t="shared" si="41"/>
        <v>-</v>
      </c>
      <c r="RR14" s="54" t="str">
        <f t="shared" si="41"/>
        <v>-</v>
      </c>
      <c r="RS14" s="54" t="str">
        <f t="shared" si="41"/>
        <v>-</v>
      </c>
      <c r="RT14" s="54" t="str">
        <f t="shared" si="41"/>
        <v>-</v>
      </c>
      <c r="RU14" s="54" t="str">
        <f t="shared" si="41"/>
        <v>-</v>
      </c>
      <c r="RV14" s="54" t="str">
        <f t="shared" si="41"/>
        <v>-</v>
      </c>
      <c r="RW14" s="54" t="str">
        <f t="shared" si="41"/>
        <v>-</v>
      </c>
      <c r="RX14" s="54" t="str">
        <f t="shared" si="41"/>
        <v>-</v>
      </c>
      <c r="RY14" s="54" t="str">
        <f t="shared" si="41"/>
        <v>-</v>
      </c>
      <c r="RZ14" s="54" t="str">
        <f t="shared" si="41"/>
        <v>-</v>
      </c>
      <c r="SA14" s="54" t="str">
        <f t="shared" si="41"/>
        <v>-</v>
      </c>
      <c r="SB14" s="54" t="str">
        <f t="shared" si="41"/>
        <v>-</v>
      </c>
      <c r="SC14" s="54" t="str">
        <f t="shared" si="41"/>
        <v>-</v>
      </c>
      <c r="SD14" s="54" t="str">
        <f t="shared" si="41"/>
        <v>-</v>
      </c>
      <c r="SE14" s="54" t="str">
        <f t="shared" si="41"/>
        <v>-</v>
      </c>
      <c r="SF14" s="54" t="str">
        <f t="shared" si="41"/>
        <v>-</v>
      </c>
      <c r="SG14" s="54" t="str">
        <f t="shared" si="41"/>
        <v>-</v>
      </c>
      <c r="SH14" s="54" t="str">
        <f t="shared" si="41"/>
        <v>-</v>
      </c>
      <c r="SI14" s="54" t="str">
        <f t="shared" si="41"/>
        <v>-</v>
      </c>
      <c r="SJ14" s="54" t="str">
        <f t="shared" si="41"/>
        <v>-</v>
      </c>
      <c r="SK14" s="54" t="str">
        <f t="shared" si="41"/>
        <v>-</v>
      </c>
      <c r="SL14" s="54" t="str">
        <f t="shared" si="41"/>
        <v>-</v>
      </c>
      <c r="SM14" s="54" t="str">
        <f t="shared" si="41"/>
        <v>-</v>
      </c>
      <c r="SN14" s="54" t="str">
        <f t="shared" si="41"/>
        <v>-</v>
      </c>
      <c r="SO14" s="54" t="str">
        <f t="shared" si="41"/>
        <v>-</v>
      </c>
      <c r="SP14" s="54" t="str">
        <f t="shared" si="41"/>
        <v>-</v>
      </c>
      <c r="SQ14" s="54" t="str">
        <f t="shared" si="41"/>
        <v>-</v>
      </c>
      <c r="SR14" s="54" t="str">
        <f t="shared" si="41"/>
        <v>-</v>
      </c>
      <c r="SS14" s="54" t="str">
        <f t="shared" si="41"/>
        <v>-</v>
      </c>
      <c r="ST14" s="54" t="str">
        <f t="shared" si="41"/>
        <v>-</v>
      </c>
      <c r="SU14" s="54" t="str">
        <f t="shared" si="41"/>
        <v>-</v>
      </c>
      <c r="SV14" s="54" t="str">
        <f t="shared" ref="SV14:VG14" si="42">IF(AND(SV15&gt;=$C$9,SV15&lt;$C$10),"Desacumulación","-")</f>
        <v>-</v>
      </c>
      <c r="SW14" s="54" t="str">
        <f t="shared" si="42"/>
        <v>-</v>
      </c>
      <c r="SX14" s="54" t="str">
        <f t="shared" si="42"/>
        <v>-</v>
      </c>
      <c r="SY14" s="54" t="str">
        <f t="shared" si="42"/>
        <v>-</v>
      </c>
      <c r="SZ14" s="54" t="str">
        <f t="shared" si="42"/>
        <v>-</v>
      </c>
      <c r="TA14" s="54" t="str">
        <f t="shared" si="42"/>
        <v>-</v>
      </c>
      <c r="TB14" s="54" t="str">
        <f t="shared" si="42"/>
        <v>-</v>
      </c>
      <c r="TC14" s="54" t="str">
        <f t="shared" si="42"/>
        <v>-</v>
      </c>
      <c r="TD14" s="54" t="str">
        <f t="shared" si="42"/>
        <v>-</v>
      </c>
      <c r="TE14" s="54" t="str">
        <f t="shared" si="42"/>
        <v>-</v>
      </c>
      <c r="TF14" s="54" t="str">
        <f t="shared" si="42"/>
        <v>-</v>
      </c>
      <c r="TG14" s="54" t="str">
        <f t="shared" si="42"/>
        <v>-</v>
      </c>
      <c r="TH14" s="54" t="str">
        <f t="shared" si="42"/>
        <v>-</v>
      </c>
      <c r="TI14" s="54" t="str">
        <f t="shared" si="42"/>
        <v>-</v>
      </c>
      <c r="TJ14" s="54" t="str">
        <f t="shared" si="42"/>
        <v>-</v>
      </c>
      <c r="TK14" s="54" t="str">
        <f t="shared" si="42"/>
        <v>-</v>
      </c>
      <c r="TL14" s="54" t="str">
        <f t="shared" si="42"/>
        <v>-</v>
      </c>
      <c r="TM14" s="54" t="str">
        <f t="shared" si="42"/>
        <v>-</v>
      </c>
      <c r="TN14" s="54" t="str">
        <f t="shared" si="42"/>
        <v>-</v>
      </c>
      <c r="TO14" s="54" t="str">
        <f t="shared" si="42"/>
        <v>-</v>
      </c>
      <c r="TP14" s="54" t="str">
        <f t="shared" si="42"/>
        <v>-</v>
      </c>
      <c r="TQ14" s="54" t="str">
        <f t="shared" si="42"/>
        <v>-</v>
      </c>
      <c r="TR14" s="54" t="str">
        <f t="shared" si="42"/>
        <v>-</v>
      </c>
      <c r="TS14" s="54" t="str">
        <f t="shared" si="42"/>
        <v>-</v>
      </c>
      <c r="TT14" s="54" t="str">
        <f t="shared" si="42"/>
        <v>-</v>
      </c>
      <c r="TU14" s="54" t="str">
        <f t="shared" si="42"/>
        <v>-</v>
      </c>
      <c r="TV14" s="54" t="str">
        <f t="shared" si="42"/>
        <v>-</v>
      </c>
      <c r="TW14" s="54" t="str">
        <f t="shared" si="42"/>
        <v>-</v>
      </c>
      <c r="TX14" s="54" t="str">
        <f t="shared" si="42"/>
        <v>-</v>
      </c>
      <c r="TY14" s="54" t="str">
        <f t="shared" si="42"/>
        <v>-</v>
      </c>
      <c r="TZ14" s="54" t="str">
        <f t="shared" si="42"/>
        <v>-</v>
      </c>
      <c r="UA14" s="54" t="str">
        <f t="shared" si="42"/>
        <v>-</v>
      </c>
      <c r="UB14" s="54" t="str">
        <f t="shared" si="42"/>
        <v>-</v>
      </c>
      <c r="UC14" s="54" t="str">
        <f t="shared" si="42"/>
        <v>-</v>
      </c>
      <c r="UD14" s="54" t="str">
        <f t="shared" si="42"/>
        <v>-</v>
      </c>
      <c r="UE14" s="54" t="str">
        <f t="shared" si="42"/>
        <v>-</v>
      </c>
      <c r="UF14" s="54" t="str">
        <f t="shared" si="42"/>
        <v>-</v>
      </c>
      <c r="UG14" s="54" t="str">
        <f t="shared" si="42"/>
        <v>-</v>
      </c>
      <c r="UH14" s="54" t="str">
        <f t="shared" si="42"/>
        <v>-</v>
      </c>
      <c r="UI14" s="54" t="str">
        <f t="shared" si="42"/>
        <v>-</v>
      </c>
      <c r="UJ14" s="54" t="str">
        <f t="shared" si="42"/>
        <v>-</v>
      </c>
      <c r="UK14" s="54" t="str">
        <f t="shared" si="42"/>
        <v>-</v>
      </c>
      <c r="UL14" s="54" t="str">
        <f t="shared" si="42"/>
        <v>-</v>
      </c>
      <c r="UM14" s="54" t="str">
        <f t="shared" si="42"/>
        <v>-</v>
      </c>
      <c r="UN14" s="54" t="str">
        <f t="shared" si="42"/>
        <v>-</v>
      </c>
      <c r="UO14" s="54" t="str">
        <f t="shared" si="42"/>
        <v>-</v>
      </c>
      <c r="UP14" s="54" t="str">
        <f t="shared" si="42"/>
        <v>-</v>
      </c>
      <c r="UQ14" s="54" t="str">
        <f t="shared" si="42"/>
        <v>-</v>
      </c>
      <c r="UR14" s="54" t="str">
        <f t="shared" si="42"/>
        <v>-</v>
      </c>
      <c r="US14" s="54" t="str">
        <f t="shared" si="42"/>
        <v>-</v>
      </c>
      <c r="UT14" s="54" t="str">
        <f t="shared" si="42"/>
        <v>-</v>
      </c>
      <c r="UU14" s="54" t="str">
        <f t="shared" si="42"/>
        <v>-</v>
      </c>
      <c r="UV14" s="54" t="str">
        <f t="shared" si="42"/>
        <v>-</v>
      </c>
      <c r="UW14" s="54" t="str">
        <f t="shared" si="42"/>
        <v>-</v>
      </c>
      <c r="UX14" s="54" t="str">
        <f t="shared" si="42"/>
        <v>-</v>
      </c>
      <c r="UY14" s="54" t="str">
        <f t="shared" si="42"/>
        <v>-</v>
      </c>
      <c r="UZ14" s="54" t="str">
        <f t="shared" si="42"/>
        <v>-</v>
      </c>
      <c r="VA14" s="54" t="str">
        <f t="shared" si="42"/>
        <v>-</v>
      </c>
      <c r="VB14" s="54" t="str">
        <f t="shared" si="42"/>
        <v>-</v>
      </c>
      <c r="VC14" s="54" t="str">
        <f t="shared" si="42"/>
        <v>-</v>
      </c>
      <c r="VD14" s="54" t="str">
        <f t="shared" si="42"/>
        <v>-</v>
      </c>
      <c r="VE14" s="54" t="str">
        <f t="shared" si="42"/>
        <v>-</v>
      </c>
      <c r="VF14" s="54" t="str">
        <f t="shared" si="42"/>
        <v>-</v>
      </c>
      <c r="VG14" s="54" t="str">
        <f t="shared" si="42"/>
        <v>-</v>
      </c>
      <c r="VH14" s="54" t="str">
        <f t="shared" ref="VH14:XS14" si="43">IF(AND(VH15&gt;=$C$9,VH15&lt;$C$10),"Desacumulación","-")</f>
        <v>-</v>
      </c>
      <c r="VI14" s="54" t="str">
        <f t="shared" si="43"/>
        <v>-</v>
      </c>
      <c r="VJ14" s="54" t="str">
        <f t="shared" si="43"/>
        <v>-</v>
      </c>
      <c r="VK14" s="54" t="str">
        <f t="shared" si="43"/>
        <v>-</v>
      </c>
      <c r="VL14" s="54" t="str">
        <f t="shared" si="43"/>
        <v>-</v>
      </c>
      <c r="VM14" s="54" t="str">
        <f t="shared" si="43"/>
        <v>-</v>
      </c>
      <c r="VN14" s="54" t="str">
        <f t="shared" si="43"/>
        <v>-</v>
      </c>
      <c r="VO14" s="54" t="str">
        <f t="shared" si="43"/>
        <v>-</v>
      </c>
      <c r="VP14" s="54" t="str">
        <f t="shared" si="43"/>
        <v>-</v>
      </c>
      <c r="VQ14" s="54" t="str">
        <f t="shared" si="43"/>
        <v>-</v>
      </c>
      <c r="VR14" s="54" t="str">
        <f t="shared" si="43"/>
        <v>-</v>
      </c>
      <c r="VS14" s="54" t="str">
        <f t="shared" si="43"/>
        <v>-</v>
      </c>
      <c r="VT14" s="54" t="str">
        <f t="shared" si="43"/>
        <v>-</v>
      </c>
      <c r="VU14" s="54" t="str">
        <f t="shared" si="43"/>
        <v>-</v>
      </c>
      <c r="VV14" s="54" t="str">
        <f t="shared" si="43"/>
        <v>-</v>
      </c>
      <c r="VW14" s="54" t="str">
        <f t="shared" si="43"/>
        <v>-</v>
      </c>
      <c r="VX14" s="54" t="str">
        <f t="shared" si="43"/>
        <v>-</v>
      </c>
      <c r="VY14" s="54" t="str">
        <f t="shared" si="43"/>
        <v>-</v>
      </c>
      <c r="VZ14" s="54" t="str">
        <f t="shared" si="43"/>
        <v>-</v>
      </c>
      <c r="WA14" s="54" t="str">
        <f t="shared" si="43"/>
        <v>-</v>
      </c>
      <c r="WB14" s="54" t="str">
        <f t="shared" si="43"/>
        <v>-</v>
      </c>
      <c r="WC14" s="54" t="str">
        <f t="shared" si="43"/>
        <v>-</v>
      </c>
      <c r="WD14" s="54" t="str">
        <f t="shared" si="43"/>
        <v>-</v>
      </c>
      <c r="WE14" s="54" t="str">
        <f t="shared" si="43"/>
        <v>-</v>
      </c>
      <c r="WF14" s="54" t="str">
        <f t="shared" si="43"/>
        <v>-</v>
      </c>
      <c r="WG14" s="54" t="str">
        <f t="shared" si="43"/>
        <v>-</v>
      </c>
      <c r="WH14" s="54" t="str">
        <f t="shared" si="43"/>
        <v>-</v>
      </c>
      <c r="WI14" s="54" t="str">
        <f t="shared" si="43"/>
        <v>-</v>
      </c>
      <c r="WJ14" s="54" t="str">
        <f t="shared" si="43"/>
        <v>-</v>
      </c>
      <c r="WK14" s="54" t="str">
        <f t="shared" si="43"/>
        <v>-</v>
      </c>
      <c r="WL14" s="54" t="str">
        <f t="shared" si="43"/>
        <v>-</v>
      </c>
      <c r="WM14" s="54" t="str">
        <f t="shared" si="43"/>
        <v>-</v>
      </c>
      <c r="WN14" s="54" t="str">
        <f t="shared" si="43"/>
        <v>-</v>
      </c>
      <c r="WO14" s="54" t="str">
        <f t="shared" si="43"/>
        <v>-</v>
      </c>
      <c r="WP14" s="54" t="str">
        <f t="shared" si="43"/>
        <v>-</v>
      </c>
      <c r="WQ14" s="54" t="str">
        <f t="shared" si="43"/>
        <v>-</v>
      </c>
      <c r="WR14" s="54" t="str">
        <f t="shared" si="43"/>
        <v>-</v>
      </c>
      <c r="WS14" s="54" t="str">
        <f t="shared" si="43"/>
        <v>-</v>
      </c>
      <c r="WT14" s="54" t="str">
        <f t="shared" si="43"/>
        <v>-</v>
      </c>
      <c r="WU14" s="54" t="str">
        <f t="shared" si="43"/>
        <v>-</v>
      </c>
      <c r="WV14" s="54" t="str">
        <f t="shared" si="43"/>
        <v>-</v>
      </c>
      <c r="WW14" s="54" t="str">
        <f t="shared" si="43"/>
        <v>-</v>
      </c>
      <c r="WX14" s="54" t="str">
        <f t="shared" si="43"/>
        <v>-</v>
      </c>
      <c r="WY14" s="54" t="str">
        <f t="shared" si="43"/>
        <v>-</v>
      </c>
      <c r="WZ14" s="54" t="str">
        <f t="shared" si="43"/>
        <v>-</v>
      </c>
      <c r="XA14" s="54" t="str">
        <f t="shared" si="43"/>
        <v>-</v>
      </c>
      <c r="XB14" s="54" t="str">
        <f t="shared" si="43"/>
        <v>-</v>
      </c>
      <c r="XC14" s="54" t="str">
        <f t="shared" si="43"/>
        <v>-</v>
      </c>
      <c r="XD14" s="54" t="str">
        <f t="shared" si="43"/>
        <v>-</v>
      </c>
      <c r="XE14" s="54" t="str">
        <f t="shared" si="43"/>
        <v>-</v>
      </c>
      <c r="XF14" s="54" t="str">
        <f t="shared" si="43"/>
        <v>-</v>
      </c>
      <c r="XG14" s="54" t="str">
        <f t="shared" si="43"/>
        <v>-</v>
      </c>
      <c r="XH14" s="54" t="str">
        <f t="shared" si="43"/>
        <v>-</v>
      </c>
      <c r="XI14" s="54" t="str">
        <f t="shared" si="43"/>
        <v>-</v>
      </c>
      <c r="XJ14" s="54" t="str">
        <f t="shared" si="43"/>
        <v>-</v>
      </c>
      <c r="XK14" s="54" t="str">
        <f t="shared" si="43"/>
        <v>-</v>
      </c>
      <c r="XL14" s="54" t="str">
        <f t="shared" si="43"/>
        <v>-</v>
      </c>
      <c r="XM14" s="54" t="str">
        <f t="shared" si="43"/>
        <v>-</v>
      </c>
      <c r="XN14" s="54" t="str">
        <f t="shared" si="43"/>
        <v>-</v>
      </c>
      <c r="XO14" s="54" t="str">
        <f t="shared" si="43"/>
        <v>-</v>
      </c>
      <c r="XP14" s="54" t="str">
        <f t="shared" si="43"/>
        <v>-</v>
      </c>
      <c r="XQ14" s="54" t="str">
        <f t="shared" si="43"/>
        <v>-</v>
      </c>
      <c r="XR14" s="54" t="str">
        <f t="shared" si="43"/>
        <v>-</v>
      </c>
      <c r="XS14" s="54" t="str">
        <f t="shared" si="43"/>
        <v>-</v>
      </c>
      <c r="XT14" s="54" t="str">
        <f t="shared" ref="XT14:AAE14" si="44">IF(AND(XT15&gt;=$C$9,XT15&lt;$C$10),"Desacumulación","-")</f>
        <v>-</v>
      </c>
      <c r="XU14" s="54" t="str">
        <f t="shared" si="44"/>
        <v>-</v>
      </c>
      <c r="XV14" s="54" t="str">
        <f t="shared" si="44"/>
        <v>-</v>
      </c>
      <c r="XW14" s="54" t="str">
        <f t="shared" si="44"/>
        <v>-</v>
      </c>
      <c r="XX14" s="54" t="str">
        <f t="shared" si="44"/>
        <v>-</v>
      </c>
      <c r="XY14" s="54" t="str">
        <f t="shared" si="44"/>
        <v>-</v>
      </c>
      <c r="XZ14" s="54" t="str">
        <f t="shared" si="44"/>
        <v>-</v>
      </c>
      <c r="YA14" s="54" t="str">
        <f t="shared" si="44"/>
        <v>-</v>
      </c>
      <c r="YB14" s="54" t="str">
        <f t="shared" si="44"/>
        <v>-</v>
      </c>
      <c r="YC14" s="54" t="str">
        <f t="shared" si="44"/>
        <v>-</v>
      </c>
      <c r="YD14" s="54" t="str">
        <f t="shared" si="44"/>
        <v>-</v>
      </c>
      <c r="YE14" s="54" t="str">
        <f t="shared" si="44"/>
        <v>-</v>
      </c>
      <c r="YF14" s="54" t="str">
        <f t="shared" si="44"/>
        <v>-</v>
      </c>
      <c r="YG14" s="54" t="str">
        <f t="shared" si="44"/>
        <v>-</v>
      </c>
      <c r="YH14" s="54" t="str">
        <f t="shared" si="44"/>
        <v>-</v>
      </c>
      <c r="YI14" s="54" t="str">
        <f t="shared" si="44"/>
        <v>-</v>
      </c>
      <c r="YJ14" s="54" t="str">
        <f t="shared" si="44"/>
        <v>-</v>
      </c>
      <c r="YK14" s="54" t="str">
        <f t="shared" si="44"/>
        <v>-</v>
      </c>
      <c r="YL14" s="54" t="str">
        <f t="shared" si="44"/>
        <v>-</v>
      </c>
      <c r="YM14" s="54" t="str">
        <f t="shared" si="44"/>
        <v>-</v>
      </c>
      <c r="YN14" s="54" t="str">
        <f t="shared" si="44"/>
        <v>-</v>
      </c>
      <c r="YO14" s="54" t="str">
        <f t="shared" si="44"/>
        <v>-</v>
      </c>
      <c r="YP14" s="54" t="str">
        <f t="shared" si="44"/>
        <v>-</v>
      </c>
      <c r="YQ14" s="54" t="str">
        <f t="shared" si="44"/>
        <v>-</v>
      </c>
      <c r="YR14" s="54" t="str">
        <f t="shared" si="44"/>
        <v>-</v>
      </c>
      <c r="YS14" s="54" t="str">
        <f t="shared" si="44"/>
        <v>-</v>
      </c>
      <c r="YT14" s="54" t="str">
        <f t="shared" si="44"/>
        <v>-</v>
      </c>
      <c r="YU14" s="54" t="str">
        <f t="shared" si="44"/>
        <v>-</v>
      </c>
      <c r="YV14" s="54" t="str">
        <f t="shared" si="44"/>
        <v>-</v>
      </c>
      <c r="YW14" s="54" t="str">
        <f t="shared" si="44"/>
        <v>-</v>
      </c>
      <c r="YX14" s="54" t="str">
        <f t="shared" si="44"/>
        <v>-</v>
      </c>
      <c r="YY14" s="54" t="str">
        <f t="shared" si="44"/>
        <v>-</v>
      </c>
      <c r="YZ14" s="54" t="str">
        <f t="shared" si="44"/>
        <v>-</v>
      </c>
      <c r="ZA14" s="54" t="str">
        <f t="shared" si="44"/>
        <v>-</v>
      </c>
      <c r="ZB14" s="54" t="str">
        <f t="shared" si="44"/>
        <v>-</v>
      </c>
      <c r="ZC14" s="54" t="str">
        <f t="shared" si="44"/>
        <v>-</v>
      </c>
      <c r="ZD14" s="54" t="str">
        <f t="shared" si="44"/>
        <v>-</v>
      </c>
      <c r="ZE14" s="54" t="str">
        <f t="shared" si="44"/>
        <v>-</v>
      </c>
      <c r="ZF14" s="54" t="str">
        <f t="shared" si="44"/>
        <v>-</v>
      </c>
      <c r="ZG14" s="54" t="str">
        <f t="shared" si="44"/>
        <v>-</v>
      </c>
      <c r="ZH14" s="54" t="str">
        <f t="shared" si="44"/>
        <v>-</v>
      </c>
      <c r="ZI14" s="54" t="str">
        <f t="shared" si="44"/>
        <v>-</v>
      </c>
      <c r="ZJ14" s="54" t="str">
        <f t="shared" si="44"/>
        <v>-</v>
      </c>
      <c r="ZK14" s="54" t="str">
        <f t="shared" si="44"/>
        <v>-</v>
      </c>
      <c r="ZL14" s="54" t="str">
        <f t="shared" si="44"/>
        <v>-</v>
      </c>
      <c r="ZM14" s="54" t="str">
        <f t="shared" si="44"/>
        <v>-</v>
      </c>
      <c r="ZN14" s="54" t="str">
        <f t="shared" si="44"/>
        <v>-</v>
      </c>
      <c r="ZO14" s="54" t="str">
        <f t="shared" si="44"/>
        <v>-</v>
      </c>
      <c r="ZP14" s="54" t="str">
        <f t="shared" si="44"/>
        <v>-</v>
      </c>
      <c r="ZQ14" s="54" t="str">
        <f t="shared" si="44"/>
        <v>-</v>
      </c>
      <c r="ZR14" s="54" t="str">
        <f t="shared" si="44"/>
        <v>-</v>
      </c>
      <c r="ZS14" s="54" t="str">
        <f t="shared" si="44"/>
        <v>-</v>
      </c>
      <c r="ZT14" s="54" t="str">
        <f t="shared" si="44"/>
        <v>-</v>
      </c>
      <c r="ZU14" s="54" t="str">
        <f t="shared" si="44"/>
        <v>-</v>
      </c>
      <c r="ZV14" s="54" t="str">
        <f t="shared" si="44"/>
        <v>-</v>
      </c>
      <c r="ZW14" s="54" t="str">
        <f t="shared" si="44"/>
        <v>-</v>
      </c>
      <c r="ZX14" s="54" t="str">
        <f t="shared" si="44"/>
        <v>-</v>
      </c>
      <c r="ZY14" s="54" t="str">
        <f t="shared" si="44"/>
        <v>-</v>
      </c>
      <c r="ZZ14" s="54" t="str">
        <f t="shared" si="44"/>
        <v>-</v>
      </c>
      <c r="AAA14" s="54" t="str">
        <f t="shared" si="44"/>
        <v>-</v>
      </c>
      <c r="AAB14" s="54" t="str">
        <f t="shared" si="44"/>
        <v>-</v>
      </c>
      <c r="AAC14" s="54" t="str">
        <f t="shared" si="44"/>
        <v>-</v>
      </c>
      <c r="AAD14" s="54" t="str">
        <f t="shared" si="44"/>
        <v>-</v>
      </c>
      <c r="AAE14" s="54" t="str">
        <f t="shared" si="44"/>
        <v>-</v>
      </c>
      <c r="AAF14" s="54" t="str">
        <f t="shared" ref="AAF14:ACQ14" si="45">IF(AND(AAF15&gt;=$C$9,AAF15&lt;$C$10),"Desacumulación","-")</f>
        <v>-</v>
      </c>
      <c r="AAG14" s="54" t="str">
        <f t="shared" si="45"/>
        <v>-</v>
      </c>
      <c r="AAH14" s="54" t="str">
        <f t="shared" si="45"/>
        <v>-</v>
      </c>
      <c r="AAI14" s="54" t="str">
        <f t="shared" si="45"/>
        <v>-</v>
      </c>
      <c r="AAJ14" s="54" t="str">
        <f t="shared" si="45"/>
        <v>Desacumulación</v>
      </c>
      <c r="AAK14" s="54" t="str">
        <f t="shared" si="45"/>
        <v>Desacumulación</v>
      </c>
      <c r="AAL14" s="54" t="str">
        <f t="shared" si="45"/>
        <v>Desacumulación</v>
      </c>
      <c r="AAM14" s="54" t="str">
        <f t="shared" si="45"/>
        <v>Desacumulación</v>
      </c>
      <c r="AAN14" s="54" t="str">
        <f t="shared" si="45"/>
        <v>Desacumulación</v>
      </c>
      <c r="AAO14" s="54" t="str">
        <f t="shared" si="45"/>
        <v>Desacumulación</v>
      </c>
      <c r="AAP14" s="54" t="str">
        <f t="shared" si="45"/>
        <v>Desacumulación</v>
      </c>
      <c r="AAQ14" s="54" t="str">
        <f t="shared" si="45"/>
        <v>Desacumulación</v>
      </c>
      <c r="AAR14" s="54" t="str">
        <f t="shared" si="45"/>
        <v>Desacumulación</v>
      </c>
      <c r="AAS14" s="54" t="str">
        <f t="shared" si="45"/>
        <v>Desacumulación</v>
      </c>
      <c r="AAT14" s="54" t="str">
        <f t="shared" si="45"/>
        <v>Desacumulación</v>
      </c>
      <c r="AAU14" s="54" t="str">
        <f t="shared" si="45"/>
        <v>Desacumulación</v>
      </c>
      <c r="AAV14" s="54" t="str">
        <f t="shared" si="45"/>
        <v>Desacumulación</v>
      </c>
      <c r="AAW14" s="54" t="str">
        <f t="shared" si="45"/>
        <v>Desacumulación</v>
      </c>
      <c r="AAX14" s="54" t="str">
        <f t="shared" si="45"/>
        <v>Desacumulación</v>
      </c>
      <c r="AAY14" s="54" t="str">
        <f t="shared" si="45"/>
        <v>Desacumulación</v>
      </c>
      <c r="AAZ14" s="54" t="str">
        <f t="shared" si="45"/>
        <v>Desacumulación</v>
      </c>
      <c r="ABA14" s="54" t="str">
        <f t="shared" si="45"/>
        <v>Desacumulación</v>
      </c>
      <c r="ABB14" s="54" t="str">
        <f t="shared" si="45"/>
        <v>Desacumulación</v>
      </c>
      <c r="ABC14" s="54" t="str">
        <f t="shared" si="45"/>
        <v>Desacumulación</v>
      </c>
      <c r="ABD14" s="54" t="str">
        <f t="shared" si="45"/>
        <v>Desacumulación</v>
      </c>
      <c r="ABE14" s="54" t="str">
        <f t="shared" si="45"/>
        <v>Desacumulación</v>
      </c>
      <c r="ABF14" s="54" t="str">
        <f t="shared" si="45"/>
        <v>Desacumulación</v>
      </c>
      <c r="ABG14" s="54" t="str">
        <f t="shared" si="45"/>
        <v>Desacumulación</v>
      </c>
      <c r="ABH14" s="54" t="str">
        <f t="shared" si="45"/>
        <v>Desacumulación</v>
      </c>
      <c r="ABI14" s="54" t="str">
        <f t="shared" si="45"/>
        <v>Desacumulación</v>
      </c>
      <c r="ABJ14" s="54" t="str">
        <f t="shared" si="45"/>
        <v>Desacumulación</v>
      </c>
      <c r="ABK14" s="54" t="str">
        <f t="shared" si="45"/>
        <v>Desacumulación</v>
      </c>
      <c r="ABL14" s="54" t="str">
        <f t="shared" si="45"/>
        <v>Desacumulación</v>
      </c>
      <c r="ABM14" s="54" t="str">
        <f t="shared" si="45"/>
        <v>Desacumulación</v>
      </c>
      <c r="ABN14" s="54" t="str">
        <f t="shared" si="45"/>
        <v>Desacumulación</v>
      </c>
      <c r="ABO14" s="54" t="str">
        <f t="shared" si="45"/>
        <v>Desacumulación</v>
      </c>
      <c r="ABP14" s="54" t="str">
        <f t="shared" si="45"/>
        <v>Desacumulación</v>
      </c>
      <c r="ABQ14" s="54" t="str">
        <f t="shared" si="45"/>
        <v>Desacumulación</v>
      </c>
      <c r="ABR14" s="54" t="str">
        <f t="shared" si="45"/>
        <v>Desacumulación</v>
      </c>
      <c r="ABS14" s="54" t="str">
        <f t="shared" si="45"/>
        <v>Desacumulación</v>
      </c>
      <c r="ABT14" s="54" t="str">
        <f t="shared" si="45"/>
        <v>Desacumulación</v>
      </c>
      <c r="ABU14" s="54" t="str">
        <f t="shared" si="45"/>
        <v>Desacumulación</v>
      </c>
      <c r="ABV14" s="54" t="str">
        <f t="shared" si="45"/>
        <v>Desacumulación</v>
      </c>
      <c r="ABW14" s="54" t="str">
        <f t="shared" si="45"/>
        <v>Desacumulación</v>
      </c>
      <c r="ABX14" s="54" t="str">
        <f t="shared" si="45"/>
        <v>Desacumulación</v>
      </c>
      <c r="ABY14" s="54" t="str">
        <f t="shared" si="45"/>
        <v>Desacumulación</v>
      </c>
      <c r="ABZ14" s="54" t="str">
        <f t="shared" si="45"/>
        <v>Desacumulación</v>
      </c>
      <c r="ACA14" s="54" t="str">
        <f t="shared" si="45"/>
        <v>Desacumulación</v>
      </c>
      <c r="ACB14" s="54" t="str">
        <f t="shared" si="45"/>
        <v>Desacumulación</v>
      </c>
      <c r="ACC14" s="54" t="str">
        <f t="shared" si="45"/>
        <v>Desacumulación</v>
      </c>
      <c r="ACD14" s="54" t="str">
        <f t="shared" si="45"/>
        <v>Desacumulación</v>
      </c>
      <c r="ACE14" s="54" t="str">
        <f t="shared" si="45"/>
        <v>Desacumulación</v>
      </c>
      <c r="ACF14" s="54" t="str">
        <f t="shared" si="45"/>
        <v>Desacumulación</v>
      </c>
      <c r="ACG14" s="54" t="str">
        <f t="shared" si="45"/>
        <v>Desacumulación</v>
      </c>
      <c r="ACH14" s="54" t="str">
        <f t="shared" si="45"/>
        <v>Desacumulación</v>
      </c>
      <c r="ACI14" s="54" t="str">
        <f t="shared" si="45"/>
        <v>Desacumulación</v>
      </c>
      <c r="ACJ14" s="54" t="str">
        <f t="shared" si="45"/>
        <v>Desacumulación</v>
      </c>
      <c r="ACK14" s="54" t="str">
        <f t="shared" si="45"/>
        <v>Desacumulación</v>
      </c>
      <c r="ACL14" s="54" t="str">
        <f t="shared" si="45"/>
        <v>Desacumulación</v>
      </c>
      <c r="ACM14" s="54" t="str">
        <f t="shared" si="45"/>
        <v>Desacumulación</v>
      </c>
      <c r="ACN14" s="54" t="str">
        <f t="shared" si="45"/>
        <v>Desacumulación</v>
      </c>
      <c r="ACO14" s="54" t="str">
        <f t="shared" si="45"/>
        <v>Desacumulación</v>
      </c>
      <c r="ACP14" s="54" t="str">
        <f t="shared" si="45"/>
        <v>Desacumulación</v>
      </c>
      <c r="ACQ14" s="54" t="str">
        <f t="shared" si="45"/>
        <v>Desacumulación</v>
      </c>
      <c r="ACR14" s="54" t="str">
        <f t="shared" ref="ACR14:AFC14" si="46">IF(AND(ACR15&gt;=$C$9,ACR15&lt;$C$10),"Desacumulación","-")</f>
        <v>Desacumulación</v>
      </c>
      <c r="ACS14" s="54" t="str">
        <f t="shared" si="46"/>
        <v>Desacumulación</v>
      </c>
      <c r="ACT14" s="54" t="str">
        <f t="shared" si="46"/>
        <v>Desacumulación</v>
      </c>
      <c r="ACU14" s="54" t="str">
        <f t="shared" si="46"/>
        <v>Desacumulación</v>
      </c>
      <c r="ACV14" s="54" t="str">
        <f t="shared" si="46"/>
        <v>Desacumulación</v>
      </c>
      <c r="ACW14" s="54" t="str">
        <f t="shared" si="46"/>
        <v>Desacumulación</v>
      </c>
      <c r="ACX14" s="54" t="str">
        <f t="shared" si="46"/>
        <v>Desacumulación</v>
      </c>
      <c r="ACY14" s="54" t="str">
        <f t="shared" si="46"/>
        <v>Desacumulación</v>
      </c>
      <c r="ACZ14" s="54" t="str">
        <f t="shared" si="46"/>
        <v>Desacumulación</v>
      </c>
      <c r="ADA14" s="54" t="str">
        <f t="shared" si="46"/>
        <v>Desacumulación</v>
      </c>
      <c r="ADB14" s="54" t="str">
        <f t="shared" si="46"/>
        <v>Desacumulación</v>
      </c>
      <c r="ADC14" s="54" t="str">
        <f t="shared" si="46"/>
        <v>Desacumulación</v>
      </c>
      <c r="ADD14" s="54" t="str">
        <f t="shared" si="46"/>
        <v>Desacumulación</v>
      </c>
      <c r="ADE14" s="54" t="str">
        <f t="shared" si="46"/>
        <v>Desacumulación</v>
      </c>
      <c r="ADF14" s="54" t="str">
        <f t="shared" si="46"/>
        <v>Desacumulación</v>
      </c>
      <c r="ADG14" s="54" t="str">
        <f t="shared" si="46"/>
        <v>Desacumulación</v>
      </c>
      <c r="ADH14" s="54" t="str">
        <f t="shared" si="46"/>
        <v>Desacumulación</v>
      </c>
      <c r="ADI14" s="54" t="str">
        <f t="shared" si="46"/>
        <v>Desacumulación</v>
      </c>
      <c r="ADJ14" s="54" t="str">
        <f t="shared" si="46"/>
        <v>Desacumulación</v>
      </c>
      <c r="ADK14" s="54" t="str">
        <f t="shared" si="46"/>
        <v>Desacumulación</v>
      </c>
      <c r="ADL14" s="54" t="str">
        <f t="shared" si="46"/>
        <v>Desacumulación</v>
      </c>
      <c r="ADM14" s="54" t="str">
        <f t="shared" si="46"/>
        <v>Desacumulación</v>
      </c>
      <c r="ADN14" s="54" t="str">
        <f t="shared" si="46"/>
        <v>Desacumulación</v>
      </c>
      <c r="ADO14" s="54" t="str">
        <f t="shared" si="46"/>
        <v>Desacumulación</v>
      </c>
      <c r="ADP14" s="54" t="str">
        <f t="shared" si="46"/>
        <v>Desacumulación</v>
      </c>
      <c r="ADQ14" s="54" t="str">
        <f t="shared" si="46"/>
        <v>Desacumulación</v>
      </c>
      <c r="ADR14" s="54" t="str">
        <f t="shared" si="46"/>
        <v>Desacumulación</v>
      </c>
      <c r="ADS14" s="54" t="str">
        <f t="shared" si="46"/>
        <v>Desacumulación</v>
      </c>
      <c r="ADT14" s="54" t="str">
        <f t="shared" si="46"/>
        <v>Desacumulación</v>
      </c>
      <c r="ADU14" s="54" t="str">
        <f t="shared" si="46"/>
        <v>Desacumulación</v>
      </c>
      <c r="ADV14" s="54" t="str">
        <f t="shared" si="46"/>
        <v>Desacumulación</v>
      </c>
      <c r="ADW14" s="54" t="str">
        <f t="shared" si="46"/>
        <v>Desacumulación</v>
      </c>
      <c r="ADX14" s="54" t="str">
        <f t="shared" si="46"/>
        <v>Desacumulación</v>
      </c>
      <c r="ADY14" s="54" t="str">
        <f t="shared" si="46"/>
        <v>Desacumulación</v>
      </c>
      <c r="ADZ14" s="54" t="str">
        <f t="shared" si="46"/>
        <v>Desacumulación</v>
      </c>
      <c r="AEA14" s="54" t="str">
        <f t="shared" si="46"/>
        <v>Desacumulación</v>
      </c>
      <c r="AEB14" s="54" t="str">
        <f t="shared" si="46"/>
        <v>Desacumulación</v>
      </c>
      <c r="AEC14" s="54" t="str">
        <f t="shared" si="46"/>
        <v>Desacumulación</v>
      </c>
      <c r="AED14" s="54" t="str">
        <f t="shared" si="46"/>
        <v>Desacumulación</v>
      </c>
      <c r="AEE14" s="54" t="str">
        <f t="shared" si="46"/>
        <v>Desacumulación</v>
      </c>
      <c r="AEF14" s="54" t="str">
        <f t="shared" si="46"/>
        <v>Desacumulación</v>
      </c>
      <c r="AEG14" s="54" t="str">
        <f t="shared" si="46"/>
        <v>Desacumulación</v>
      </c>
      <c r="AEH14" s="54" t="str">
        <f t="shared" si="46"/>
        <v>Desacumulación</v>
      </c>
      <c r="AEI14" s="54" t="str">
        <f t="shared" si="46"/>
        <v>Desacumulación</v>
      </c>
      <c r="AEJ14" s="54" t="str">
        <f t="shared" si="46"/>
        <v>Desacumulación</v>
      </c>
      <c r="AEK14" s="54" t="str">
        <f t="shared" si="46"/>
        <v>Desacumulación</v>
      </c>
      <c r="AEL14" s="54" t="str">
        <f t="shared" si="46"/>
        <v>Desacumulación</v>
      </c>
      <c r="AEM14" s="54" t="str">
        <f t="shared" si="46"/>
        <v>Desacumulación</v>
      </c>
      <c r="AEN14" s="54" t="str">
        <f t="shared" si="46"/>
        <v>Desacumulación</v>
      </c>
      <c r="AEO14" s="54" t="str">
        <f t="shared" si="46"/>
        <v>Desacumulación</v>
      </c>
      <c r="AEP14" s="54" t="str">
        <f t="shared" si="46"/>
        <v>Desacumulación</v>
      </c>
      <c r="AEQ14" s="54" t="str">
        <f t="shared" si="46"/>
        <v>Desacumulación</v>
      </c>
      <c r="AER14" s="54" t="str">
        <f t="shared" si="46"/>
        <v>Desacumulación</v>
      </c>
      <c r="AES14" s="54" t="str">
        <f t="shared" si="46"/>
        <v>Desacumulación</v>
      </c>
      <c r="AET14" s="54" t="str">
        <f t="shared" si="46"/>
        <v>Desacumulación</v>
      </c>
      <c r="AEU14" s="54" t="str">
        <f t="shared" si="46"/>
        <v>Desacumulación</v>
      </c>
      <c r="AEV14" s="54" t="str">
        <f t="shared" si="46"/>
        <v>Desacumulación</v>
      </c>
      <c r="AEW14" s="54" t="str">
        <f t="shared" si="46"/>
        <v>Desacumulación</v>
      </c>
      <c r="AEX14" s="54" t="str">
        <f t="shared" si="46"/>
        <v>Desacumulación</v>
      </c>
      <c r="AEY14" s="54" t="str">
        <f t="shared" si="46"/>
        <v>Desacumulación</v>
      </c>
      <c r="AEZ14" s="54" t="str">
        <f t="shared" si="46"/>
        <v>Desacumulación</v>
      </c>
      <c r="AFA14" s="54" t="str">
        <f t="shared" si="46"/>
        <v>Desacumulación</v>
      </c>
      <c r="AFB14" s="54" t="str">
        <f t="shared" si="46"/>
        <v>Desacumulación</v>
      </c>
      <c r="AFC14" s="54" t="str">
        <f t="shared" si="46"/>
        <v>Desacumulación</v>
      </c>
      <c r="AFD14" s="54" t="str">
        <f t="shared" ref="AFD14:AHO14" si="47">IF(AND(AFD15&gt;=$C$9,AFD15&lt;$C$10),"Desacumulación","-")</f>
        <v>Desacumulación</v>
      </c>
      <c r="AFE14" s="54" t="str">
        <f t="shared" si="47"/>
        <v>Desacumulación</v>
      </c>
      <c r="AFF14" s="54" t="str">
        <f t="shared" si="47"/>
        <v>Desacumulación</v>
      </c>
      <c r="AFG14" s="54" t="str">
        <f t="shared" si="47"/>
        <v>Desacumulación</v>
      </c>
      <c r="AFH14" s="54" t="str">
        <f t="shared" si="47"/>
        <v>Desacumulación</v>
      </c>
      <c r="AFI14" s="54" t="str">
        <f t="shared" si="47"/>
        <v>Desacumulación</v>
      </c>
      <c r="AFJ14" s="54" t="str">
        <f t="shared" si="47"/>
        <v>Desacumulación</v>
      </c>
      <c r="AFK14" s="54" t="str">
        <f t="shared" si="47"/>
        <v>Desacumulación</v>
      </c>
      <c r="AFL14" s="54" t="str">
        <f t="shared" si="47"/>
        <v>Desacumulación</v>
      </c>
      <c r="AFM14" s="54" t="str">
        <f t="shared" si="47"/>
        <v>Desacumulación</v>
      </c>
      <c r="AFN14" s="54" t="str">
        <f t="shared" si="47"/>
        <v>Desacumulación</v>
      </c>
      <c r="AFO14" s="54" t="str">
        <f t="shared" si="47"/>
        <v>Desacumulación</v>
      </c>
      <c r="AFP14" s="54" t="str">
        <f t="shared" si="47"/>
        <v>Desacumulación</v>
      </c>
      <c r="AFQ14" s="54" t="str">
        <f t="shared" si="47"/>
        <v>Desacumulación</v>
      </c>
      <c r="AFR14" s="54" t="str">
        <f t="shared" si="47"/>
        <v>Desacumulación</v>
      </c>
      <c r="AFS14" s="54" t="str">
        <f t="shared" si="47"/>
        <v>Desacumulación</v>
      </c>
      <c r="AFT14" s="54" t="str">
        <f t="shared" si="47"/>
        <v>Desacumulación</v>
      </c>
      <c r="AFU14" s="54" t="str">
        <f t="shared" si="47"/>
        <v>Desacumulación</v>
      </c>
      <c r="AFV14" s="54" t="str">
        <f t="shared" si="47"/>
        <v>Desacumulación</v>
      </c>
      <c r="AFW14" s="54" t="str">
        <f t="shared" si="47"/>
        <v>Desacumulación</v>
      </c>
      <c r="AFX14" s="54" t="str">
        <f t="shared" si="47"/>
        <v>Desacumulación</v>
      </c>
      <c r="AFY14" s="54" t="str">
        <f t="shared" si="47"/>
        <v>Desacumulación</v>
      </c>
      <c r="AFZ14" s="54" t="str">
        <f t="shared" si="47"/>
        <v>Desacumulación</v>
      </c>
      <c r="AGA14" s="54" t="str">
        <f t="shared" si="47"/>
        <v>Desacumulación</v>
      </c>
      <c r="AGB14" s="54" t="str">
        <f t="shared" si="47"/>
        <v>Desacumulación</v>
      </c>
      <c r="AGC14" s="54" t="str">
        <f t="shared" si="47"/>
        <v>Desacumulación</v>
      </c>
      <c r="AGD14" s="54" t="str">
        <f t="shared" si="47"/>
        <v>Desacumulación</v>
      </c>
      <c r="AGE14" s="54" t="str">
        <f t="shared" si="47"/>
        <v>Desacumulación</v>
      </c>
      <c r="AGF14" s="54" t="str">
        <f t="shared" si="47"/>
        <v>Desacumulación</v>
      </c>
      <c r="AGG14" s="54" t="str">
        <f t="shared" si="47"/>
        <v>Desacumulación</v>
      </c>
      <c r="AGH14" s="54" t="str">
        <f t="shared" si="47"/>
        <v>Desacumulación</v>
      </c>
      <c r="AGI14" s="54" t="str">
        <f t="shared" si="47"/>
        <v>Desacumulación</v>
      </c>
      <c r="AGJ14" s="54" t="str">
        <f t="shared" si="47"/>
        <v>Desacumulación</v>
      </c>
      <c r="AGK14" s="54" t="str">
        <f t="shared" si="47"/>
        <v>Desacumulación</v>
      </c>
      <c r="AGL14" s="54" t="str">
        <f t="shared" si="47"/>
        <v>Desacumulación</v>
      </c>
      <c r="AGM14" s="54" t="str">
        <f t="shared" si="47"/>
        <v>Desacumulación</v>
      </c>
      <c r="AGN14" s="54" t="str">
        <f t="shared" si="47"/>
        <v>Desacumulación</v>
      </c>
      <c r="AGO14" s="54" t="str">
        <f t="shared" si="47"/>
        <v>Desacumulación</v>
      </c>
      <c r="AGP14" s="54" t="str">
        <f t="shared" si="47"/>
        <v>Desacumulación</v>
      </c>
      <c r="AGQ14" s="54" t="str">
        <f t="shared" si="47"/>
        <v>Desacumulación</v>
      </c>
      <c r="AGR14" s="54" t="str">
        <f t="shared" si="47"/>
        <v>Desacumulación</v>
      </c>
      <c r="AGS14" s="54" t="str">
        <f t="shared" si="47"/>
        <v>Desacumulación</v>
      </c>
      <c r="AGT14" s="54" t="str">
        <f t="shared" si="47"/>
        <v>Desacumulación</v>
      </c>
      <c r="AGU14" s="54" t="str">
        <f t="shared" si="47"/>
        <v>Desacumulación</v>
      </c>
      <c r="AGV14" s="54" t="str">
        <f t="shared" si="47"/>
        <v>Desacumulación</v>
      </c>
      <c r="AGW14" s="54" t="str">
        <f t="shared" si="47"/>
        <v>Desacumulación</v>
      </c>
      <c r="AGX14" s="54" t="str">
        <f t="shared" si="47"/>
        <v>Desacumulación</v>
      </c>
      <c r="AGY14" s="54" t="str">
        <f t="shared" si="47"/>
        <v>Desacumulación</v>
      </c>
      <c r="AGZ14" s="54" t="str">
        <f t="shared" si="47"/>
        <v>Desacumulación</v>
      </c>
      <c r="AHA14" s="54" t="str">
        <f t="shared" si="47"/>
        <v>Desacumulación</v>
      </c>
      <c r="AHB14" s="54" t="str">
        <f t="shared" si="47"/>
        <v>Desacumulación</v>
      </c>
      <c r="AHC14" s="54" t="str">
        <f t="shared" si="47"/>
        <v>Desacumulación</v>
      </c>
      <c r="AHD14" s="54" t="str">
        <f t="shared" si="47"/>
        <v>Desacumulación</v>
      </c>
      <c r="AHE14" s="54" t="str">
        <f t="shared" si="47"/>
        <v>Desacumulación</v>
      </c>
      <c r="AHF14" s="54" t="str">
        <f t="shared" si="47"/>
        <v>Desacumulación</v>
      </c>
      <c r="AHG14" s="54" t="str">
        <f t="shared" si="47"/>
        <v>Desacumulación</v>
      </c>
      <c r="AHH14" s="54" t="str">
        <f t="shared" si="47"/>
        <v>Desacumulación</v>
      </c>
      <c r="AHI14" s="54" t="str">
        <f t="shared" si="47"/>
        <v>Desacumulación</v>
      </c>
      <c r="AHJ14" s="54" t="str">
        <f t="shared" si="47"/>
        <v>Desacumulación</v>
      </c>
      <c r="AHK14" s="54" t="str">
        <f t="shared" si="47"/>
        <v>Desacumulación</v>
      </c>
      <c r="AHL14" s="54" t="str">
        <f t="shared" si="47"/>
        <v>Desacumulación</v>
      </c>
      <c r="AHM14" s="54" t="str">
        <f t="shared" si="47"/>
        <v>Desacumulación</v>
      </c>
      <c r="AHN14" s="54" t="str">
        <f t="shared" si="47"/>
        <v>Desacumulación</v>
      </c>
      <c r="AHO14" s="54" t="str">
        <f t="shared" si="47"/>
        <v>Desacumulación</v>
      </c>
      <c r="AHP14" s="54" t="str">
        <f t="shared" ref="AHP14:AKA14" si="48">IF(AND(AHP15&gt;=$C$9,AHP15&lt;$C$10),"Desacumulación","-")</f>
        <v>Desacumulación</v>
      </c>
      <c r="AHQ14" s="54" t="str">
        <f t="shared" si="48"/>
        <v>Desacumulación</v>
      </c>
      <c r="AHR14" s="54" t="str">
        <f t="shared" si="48"/>
        <v>Desacumulación</v>
      </c>
      <c r="AHS14" s="54" t="str">
        <f t="shared" si="48"/>
        <v>Desacumulación</v>
      </c>
      <c r="AHT14" s="54" t="str">
        <f t="shared" si="48"/>
        <v>Desacumulación</v>
      </c>
      <c r="AHU14" s="54" t="str">
        <f t="shared" si="48"/>
        <v>Desacumulación</v>
      </c>
      <c r="AHV14" s="54" t="str">
        <f t="shared" si="48"/>
        <v>Desacumulación</v>
      </c>
      <c r="AHW14" s="54" t="str">
        <f t="shared" si="48"/>
        <v>Desacumulación</v>
      </c>
      <c r="AHX14" s="54" t="str">
        <f t="shared" si="48"/>
        <v>Desacumulación</v>
      </c>
      <c r="AHY14" s="54" t="str">
        <f t="shared" si="48"/>
        <v>Desacumulación</v>
      </c>
      <c r="AHZ14" s="54" t="str">
        <f t="shared" si="48"/>
        <v>Desacumulación</v>
      </c>
      <c r="AIA14" s="54" t="str">
        <f t="shared" si="48"/>
        <v>Desacumulación</v>
      </c>
      <c r="AIB14" s="54" t="str">
        <f t="shared" si="48"/>
        <v>Desacumulación</v>
      </c>
      <c r="AIC14" s="54" t="str">
        <f t="shared" si="48"/>
        <v>Desacumulación</v>
      </c>
      <c r="AID14" s="54" t="str">
        <f t="shared" si="48"/>
        <v>Desacumulación</v>
      </c>
      <c r="AIE14" s="54" t="str">
        <f t="shared" si="48"/>
        <v>Desacumulación</v>
      </c>
      <c r="AIF14" s="54" t="str">
        <f t="shared" si="48"/>
        <v>Desacumulación</v>
      </c>
      <c r="AIG14" s="54" t="str">
        <f t="shared" si="48"/>
        <v>Desacumulación</v>
      </c>
      <c r="AIH14" s="54" t="str">
        <f t="shared" si="48"/>
        <v>Desacumulación</v>
      </c>
      <c r="AII14" s="54" t="str">
        <f t="shared" si="48"/>
        <v>Desacumulación</v>
      </c>
      <c r="AIJ14" s="54" t="str">
        <f t="shared" si="48"/>
        <v>Desacumulación</v>
      </c>
      <c r="AIK14" s="54" t="str">
        <f t="shared" si="48"/>
        <v>Desacumulación</v>
      </c>
      <c r="AIL14" s="54" t="str">
        <f t="shared" si="48"/>
        <v>Desacumulación</v>
      </c>
      <c r="AIM14" s="54" t="str">
        <f t="shared" si="48"/>
        <v>Desacumulación</v>
      </c>
      <c r="AIN14" s="54" t="str">
        <f t="shared" si="48"/>
        <v>Desacumulación</v>
      </c>
      <c r="AIO14" s="54" t="str">
        <f t="shared" si="48"/>
        <v>Desacumulación</v>
      </c>
      <c r="AIP14" s="54" t="str">
        <f t="shared" si="48"/>
        <v>Desacumulación</v>
      </c>
      <c r="AIQ14" s="54" t="str">
        <f t="shared" si="48"/>
        <v>Desacumulación</v>
      </c>
      <c r="AIR14" s="54" t="str">
        <f t="shared" si="48"/>
        <v>Desacumulación</v>
      </c>
      <c r="AIS14" s="54" t="str">
        <f t="shared" si="48"/>
        <v>Desacumulación</v>
      </c>
      <c r="AIT14" s="54" t="str">
        <f t="shared" si="48"/>
        <v>Desacumulación</v>
      </c>
      <c r="AIU14" s="54" t="str">
        <f t="shared" si="48"/>
        <v>Desacumulación</v>
      </c>
      <c r="AIV14" s="54" t="str">
        <f t="shared" si="48"/>
        <v>Desacumulación</v>
      </c>
      <c r="AIW14" s="54" t="str">
        <f t="shared" si="48"/>
        <v>Desacumulación</v>
      </c>
      <c r="AIX14" s="54" t="str">
        <f t="shared" si="48"/>
        <v>Desacumulación</v>
      </c>
      <c r="AIY14" s="54" t="str">
        <f t="shared" si="48"/>
        <v>Desacumulación</v>
      </c>
      <c r="AIZ14" s="54" t="str">
        <f t="shared" si="48"/>
        <v>Desacumulación</v>
      </c>
      <c r="AJA14" s="54" t="str">
        <f t="shared" si="48"/>
        <v>Desacumulación</v>
      </c>
      <c r="AJB14" s="54" t="str">
        <f t="shared" si="48"/>
        <v>Desacumulación</v>
      </c>
      <c r="AJC14" s="54" t="str">
        <f t="shared" si="48"/>
        <v>Desacumulación</v>
      </c>
      <c r="AJD14" s="54" t="str">
        <f t="shared" si="48"/>
        <v>Desacumulación</v>
      </c>
      <c r="AJE14" s="54" t="str">
        <f t="shared" si="48"/>
        <v>Desacumulación</v>
      </c>
      <c r="AJF14" s="54" t="str">
        <f t="shared" si="48"/>
        <v>Desacumulación</v>
      </c>
      <c r="AJG14" s="54" t="str">
        <f t="shared" si="48"/>
        <v>Desacumulación</v>
      </c>
      <c r="AJH14" s="54" t="str">
        <f t="shared" si="48"/>
        <v>Desacumulación</v>
      </c>
      <c r="AJI14" s="54" t="str">
        <f t="shared" si="48"/>
        <v>Desacumulación</v>
      </c>
      <c r="AJJ14" s="54" t="str">
        <f t="shared" si="48"/>
        <v>Desacumulación</v>
      </c>
      <c r="AJK14" s="54" t="str">
        <f t="shared" si="48"/>
        <v>Desacumulación</v>
      </c>
      <c r="AJL14" s="54" t="str">
        <f t="shared" si="48"/>
        <v>Desacumulación</v>
      </c>
      <c r="AJM14" s="54" t="str">
        <f t="shared" si="48"/>
        <v>Desacumulación</v>
      </c>
      <c r="AJN14" s="54" t="str">
        <f t="shared" si="48"/>
        <v>Desacumulación</v>
      </c>
      <c r="AJO14" s="54" t="str">
        <f t="shared" si="48"/>
        <v>Desacumulación</v>
      </c>
      <c r="AJP14" s="54" t="str">
        <f t="shared" si="48"/>
        <v>Desacumulación</v>
      </c>
      <c r="AJQ14" s="54" t="str">
        <f t="shared" si="48"/>
        <v>Desacumulación</v>
      </c>
      <c r="AJR14" s="54" t="str">
        <f t="shared" si="48"/>
        <v>Desacumulación</v>
      </c>
      <c r="AJS14" s="54" t="str">
        <f t="shared" si="48"/>
        <v>Desacumulación</v>
      </c>
      <c r="AJT14" s="54" t="str">
        <f t="shared" si="48"/>
        <v>Desacumulación</v>
      </c>
      <c r="AJU14" s="54" t="str">
        <f t="shared" si="48"/>
        <v>Desacumulación</v>
      </c>
      <c r="AJV14" s="54" t="str">
        <f t="shared" si="48"/>
        <v>Desacumulación</v>
      </c>
      <c r="AJW14" s="54" t="str">
        <f t="shared" si="48"/>
        <v>Desacumulación</v>
      </c>
      <c r="AJX14" s="54" t="str">
        <f t="shared" si="48"/>
        <v>Desacumulación</v>
      </c>
      <c r="AJY14" s="54" t="str">
        <f t="shared" si="48"/>
        <v>Desacumulación</v>
      </c>
      <c r="AJZ14" s="54" t="str">
        <f t="shared" si="48"/>
        <v>Desacumulación</v>
      </c>
      <c r="AKA14" s="54" t="str">
        <f t="shared" si="48"/>
        <v>Desacumulación</v>
      </c>
      <c r="AKB14" s="54" t="str">
        <f t="shared" ref="AKB14:AMM14" si="49">IF(AND(AKB15&gt;=$C$9,AKB15&lt;$C$10),"Desacumulación","-")</f>
        <v>Desacumulación</v>
      </c>
      <c r="AKC14" s="54" t="str">
        <f t="shared" si="49"/>
        <v>Desacumulación</v>
      </c>
      <c r="AKD14" s="54" t="str">
        <f t="shared" si="49"/>
        <v>Desacumulación</v>
      </c>
      <c r="AKE14" s="54" t="str">
        <f t="shared" si="49"/>
        <v>Desacumulación</v>
      </c>
      <c r="AKF14" s="54" t="str">
        <f t="shared" si="49"/>
        <v>Desacumulación</v>
      </c>
      <c r="AKG14" s="54" t="str">
        <f t="shared" si="49"/>
        <v>Desacumulación</v>
      </c>
      <c r="AKH14" s="54" t="str">
        <f t="shared" si="49"/>
        <v>Desacumulación</v>
      </c>
      <c r="AKI14" s="54" t="str">
        <f t="shared" si="49"/>
        <v>Desacumulación</v>
      </c>
      <c r="AKJ14" s="54" t="str">
        <f t="shared" si="49"/>
        <v>Desacumulación</v>
      </c>
      <c r="AKK14" s="54" t="str">
        <f t="shared" si="49"/>
        <v>Desacumulación</v>
      </c>
      <c r="AKL14" s="54" t="str">
        <f t="shared" si="49"/>
        <v>Desacumulación</v>
      </c>
      <c r="AKM14" s="54" t="str">
        <f t="shared" si="49"/>
        <v>Desacumulación</v>
      </c>
      <c r="AKN14" s="54" t="str">
        <f t="shared" si="49"/>
        <v>Desacumulación</v>
      </c>
      <c r="AKO14" s="54" t="str">
        <f t="shared" si="49"/>
        <v>Desacumulación</v>
      </c>
      <c r="AKP14" s="54" t="str">
        <f t="shared" si="49"/>
        <v>Desacumulación</v>
      </c>
      <c r="AKQ14" s="54" t="str">
        <f t="shared" si="49"/>
        <v>Desacumulación</v>
      </c>
      <c r="AKR14" s="54" t="str">
        <f t="shared" si="49"/>
        <v>Desacumulación</v>
      </c>
      <c r="AKS14" s="54" t="str">
        <f t="shared" si="49"/>
        <v>Desacumulación</v>
      </c>
      <c r="AKT14" s="54" t="str">
        <f t="shared" si="49"/>
        <v>Desacumulación</v>
      </c>
      <c r="AKU14" s="54" t="str">
        <f t="shared" si="49"/>
        <v>Desacumulación</v>
      </c>
      <c r="AKV14" s="54" t="str">
        <f t="shared" si="49"/>
        <v>Desacumulación</v>
      </c>
      <c r="AKW14" s="54" t="str">
        <f t="shared" si="49"/>
        <v>Desacumulación</v>
      </c>
      <c r="AKX14" s="54" t="str">
        <f t="shared" si="49"/>
        <v>Desacumulación</v>
      </c>
      <c r="AKY14" s="54" t="str">
        <f t="shared" si="49"/>
        <v>Desacumulación</v>
      </c>
      <c r="AKZ14" s="54" t="str">
        <f t="shared" si="49"/>
        <v>Desacumulación</v>
      </c>
      <c r="ALA14" s="54" t="str">
        <f t="shared" si="49"/>
        <v>Desacumulación</v>
      </c>
      <c r="ALB14" s="54" t="str">
        <f t="shared" si="49"/>
        <v>Desacumulación</v>
      </c>
      <c r="ALC14" s="54" t="str">
        <f t="shared" si="49"/>
        <v>Desacumulación</v>
      </c>
      <c r="ALD14" s="54" t="str">
        <f t="shared" si="49"/>
        <v>Desacumulación</v>
      </c>
      <c r="ALE14" s="54" t="str">
        <f t="shared" si="49"/>
        <v>Desacumulación</v>
      </c>
      <c r="ALF14" s="54" t="str">
        <f t="shared" si="49"/>
        <v>Desacumulación</v>
      </c>
      <c r="ALG14" s="54" t="str">
        <f t="shared" si="49"/>
        <v>Desacumulación</v>
      </c>
      <c r="ALH14" s="54" t="str">
        <f t="shared" si="49"/>
        <v>Desacumulación</v>
      </c>
      <c r="ALI14" s="54" t="str">
        <f t="shared" si="49"/>
        <v>Desacumulación</v>
      </c>
      <c r="ALJ14" s="54" t="str">
        <f t="shared" si="49"/>
        <v>Desacumulación</v>
      </c>
      <c r="ALK14" s="54" t="str">
        <f t="shared" si="49"/>
        <v>Desacumulación</v>
      </c>
      <c r="ALL14" s="54" t="str">
        <f t="shared" si="49"/>
        <v>Desacumulación</v>
      </c>
      <c r="ALM14" s="54" t="str">
        <f t="shared" si="49"/>
        <v>Desacumulación</v>
      </c>
      <c r="ALN14" s="54" t="str">
        <f t="shared" si="49"/>
        <v>Desacumulación</v>
      </c>
      <c r="ALO14" s="54" t="str">
        <f t="shared" si="49"/>
        <v>Desacumulación</v>
      </c>
      <c r="ALP14" s="54" t="str">
        <f t="shared" si="49"/>
        <v>Desacumulación</v>
      </c>
      <c r="ALQ14" s="54" t="str">
        <f t="shared" si="49"/>
        <v>Desacumulación</v>
      </c>
      <c r="ALR14" s="54" t="str">
        <f t="shared" si="49"/>
        <v>Desacumulación</v>
      </c>
      <c r="ALS14" s="54" t="str">
        <f t="shared" si="49"/>
        <v>Desacumulación</v>
      </c>
      <c r="ALT14" s="54" t="str">
        <f t="shared" si="49"/>
        <v>Desacumulación</v>
      </c>
      <c r="ALU14" s="54" t="str">
        <f t="shared" si="49"/>
        <v>Desacumulación</v>
      </c>
      <c r="ALV14" s="54" t="str">
        <f t="shared" si="49"/>
        <v>Desacumulación</v>
      </c>
      <c r="ALW14" s="54" t="str">
        <f t="shared" si="49"/>
        <v>Desacumulación</v>
      </c>
      <c r="ALX14" s="54" t="str">
        <f t="shared" si="49"/>
        <v>Desacumulación</v>
      </c>
      <c r="ALY14" s="54" t="str">
        <f t="shared" si="49"/>
        <v>Desacumulación</v>
      </c>
      <c r="ALZ14" s="54" t="str">
        <f t="shared" si="49"/>
        <v>Desacumulación</v>
      </c>
      <c r="AMA14" s="54" t="str">
        <f t="shared" si="49"/>
        <v>Desacumulación</v>
      </c>
      <c r="AMB14" s="54" t="str">
        <f t="shared" si="49"/>
        <v>Desacumulación</v>
      </c>
      <c r="AMC14" s="54" t="str">
        <f t="shared" si="49"/>
        <v>Desacumulación</v>
      </c>
      <c r="AMD14" s="54" t="str">
        <f t="shared" si="49"/>
        <v>Desacumulación</v>
      </c>
      <c r="AME14" s="54" t="str">
        <f t="shared" si="49"/>
        <v>Desacumulación</v>
      </c>
      <c r="AMF14" s="54" t="str">
        <f t="shared" si="49"/>
        <v>Desacumulación</v>
      </c>
      <c r="AMG14" s="54" t="str">
        <f t="shared" si="49"/>
        <v>Desacumulación</v>
      </c>
      <c r="AMH14" s="54" t="str">
        <f t="shared" si="49"/>
        <v>Desacumulación</v>
      </c>
      <c r="AMI14" s="54" t="str">
        <f t="shared" si="49"/>
        <v>Desacumulación</v>
      </c>
      <c r="AMJ14" s="54" t="str">
        <f t="shared" si="49"/>
        <v>Desacumulación</v>
      </c>
      <c r="AMK14" s="54" t="str">
        <f t="shared" si="49"/>
        <v>Desacumulación</v>
      </c>
      <c r="AML14" s="54" t="str">
        <f t="shared" si="49"/>
        <v>Desacumulación</v>
      </c>
      <c r="AMM14" s="54" t="str">
        <f t="shared" si="49"/>
        <v>Desacumulación</v>
      </c>
      <c r="AMN14" s="54" t="str">
        <f t="shared" ref="AMN14:AOQ14" si="50">IF(AND(AMN15&gt;=$C$9,AMN15&lt;$C$10),"Desacumulación","-")</f>
        <v>Desacumulación</v>
      </c>
      <c r="AMO14" s="54" t="str">
        <f t="shared" si="50"/>
        <v>Desacumulación</v>
      </c>
      <c r="AMP14" s="54" t="str">
        <f t="shared" si="50"/>
        <v>Desacumulación</v>
      </c>
      <c r="AMQ14" s="54" t="str">
        <f t="shared" si="50"/>
        <v>Desacumulación</v>
      </c>
      <c r="AMR14" s="54" t="str">
        <f t="shared" si="50"/>
        <v>Desacumulación</v>
      </c>
      <c r="AMS14" s="54" t="str">
        <f t="shared" si="50"/>
        <v>Desacumulación</v>
      </c>
      <c r="AMT14" s="54" t="str">
        <f t="shared" si="50"/>
        <v>Desacumulación</v>
      </c>
      <c r="AMU14" s="54" t="str">
        <f t="shared" si="50"/>
        <v>Desacumulación</v>
      </c>
      <c r="AMV14" s="54" t="str">
        <f t="shared" si="50"/>
        <v>Desacumulación</v>
      </c>
      <c r="AMW14" s="54" t="str">
        <f t="shared" si="50"/>
        <v>Desacumulación</v>
      </c>
      <c r="AMX14" s="54" t="str">
        <f t="shared" si="50"/>
        <v>Desacumulación</v>
      </c>
      <c r="AMY14" s="54" t="str">
        <f t="shared" si="50"/>
        <v>Desacumulación</v>
      </c>
      <c r="AMZ14" s="54" t="str">
        <f t="shared" si="50"/>
        <v>Desacumulación</v>
      </c>
      <c r="ANA14" s="54" t="str">
        <f t="shared" si="50"/>
        <v>Desacumulación</v>
      </c>
      <c r="ANB14" s="54" t="str">
        <f t="shared" si="50"/>
        <v>Desacumulación</v>
      </c>
      <c r="ANC14" s="54" t="str">
        <f t="shared" si="50"/>
        <v>Desacumulación</v>
      </c>
      <c r="AND14" s="54" t="str">
        <f t="shared" si="50"/>
        <v>Desacumulación</v>
      </c>
      <c r="ANE14" s="54" t="str">
        <f t="shared" si="50"/>
        <v>Desacumulación</v>
      </c>
      <c r="ANF14" s="54" t="str">
        <f t="shared" si="50"/>
        <v>Desacumulación</v>
      </c>
      <c r="ANG14" s="54" t="str">
        <f t="shared" si="50"/>
        <v>Desacumulación</v>
      </c>
      <c r="ANH14" s="54" t="str">
        <f t="shared" si="50"/>
        <v>Desacumulación</v>
      </c>
      <c r="ANI14" s="54" t="str">
        <f t="shared" si="50"/>
        <v>Desacumulación</v>
      </c>
      <c r="ANJ14" s="54" t="str">
        <f t="shared" si="50"/>
        <v>Desacumulación</v>
      </c>
      <c r="ANK14" s="54" t="str">
        <f t="shared" si="50"/>
        <v>Desacumulación</v>
      </c>
      <c r="ANL14" s="54" t="str">
        <f t="shared" si="50"/>
        <v>Desacumulación</v>
      </c>
      <c r="ANM14" s="54" t="str">
        <f t="shared" si="50"/>
        <v>Desacumulación</v>
      </c>
      <c r="ANN14" s="54" t="str">
        <f t="shared" si="50"/>
        <v>Desacumulación</v>
      </c>
      <c r="ANO14" s="54" t="str">
        <f t="shared" si="50"/>
        <v>Desacumulación</v>
      </c>
      <c r="ANP14" s="54" t="str">
        <f t="shared" si="50"/>
        <v>Desacumulación</v>
      </c>
      <c r="ANQ14" s="54" t="str">
        <f t="shared" si="50"/>
        <v>Desacumulación</v>
      </c>
      <c r="ANR14" s="54" t="str">
        <f t="shared" si="50"/>
        <v>Desacumulación</v>
      </c>
      <c r="ANS14" s="54" t="str">
        <f t="shared" si="50"/>
        <v>Desacumulación</v>
      </c>
      <c r="ANT14" s="54" t="str">
        <f t="shared" si="50"/>
        <v>Desacumulación</v>
      </c>
      <c r="ANU14" s="54" t="str">
        <f t="shared" si="50"/>
        <v>Desacumulación</v>
      </c>
      <c r="ANV14" s="54" t="str">
        <f t="shared" si="50"/>
        <v>Desacumulación</v>
      </c>
      <c r="ANW14" s="54" t="str">
        <f t="shared" si="50"/>
        <v>Desacumulación</v>
      </c>
      <c r="ANX14" s="54" t="str">
        <f t="shared" si="50"/>
        <v>Desacumulación</v>
      </c>
      <c r="ANY14" s="54" t="str">
        <f t="shared" si="50"/>
        <v>Desacumulación</v>
      </c>
      <c r="ANZ14" s="54" t="str">
        <f t="shared" si="50"/>
        <v>Desacumulación</v>
      </c>
      <c r="AOA14" s="54" t="str">
        <f t="shared" si="50"/>
        <v>Desacumulación</v>
      </c>
      <c r="AOB14" s="54" t="str">
        <f t="shared" si="50"/>
        <v>Desacumulación</v>
      </c>
      <c r="AOC14" s="54" t="str">
        <f t="shared" si="50"/>
        <v>Desacumulación</v>
      </c>
      <c r="AOD14" s="54" t="str">
        <f t="shared" si="50"/>
        <v>Desacumulación</v>
      </c>
      <c r="AOE14" s="54" t="str">
        <f t="shared" si="50"/>
        <v>Desacumulación</v>
      </c>
      <c r="AOF14" s="54" t="str">
        <f t="shared" si="50"/>
        <v>-</v>
      </c>
      <c r="AOG14" s="54" t="str">
        <f t="shared" si="50"/>
        <v>-</v>
      </c>
      <c r="AOH14" s="54" t="str">
        <f t="shared" si="50"/>
        <v>-</v>
      </c>
      <c r="AOI14" s="54" t="str">
        <f t="shared" si="50"/>
        <v>-</v>
      </c>
      <c r="AOJ14" s="54" t="str">
        <f t="shared" si="50"/>
        <v>-</v>
      </c>
      <c r="AOK14" s="54" t="str">
        <f t="shared" si="50"/>
        <v>-</v>
      </c>
      <c r="AOL14" s="54" t="str">
        <f t="shared" si="50"/>
        <v>-</v>
      </c>
      <c r="AOM14" s="54" t="str">
        <f t="shared" si="50"/>
        <v>-</v>
      </c>
      <c r="AON14" s="54" t="str">
        <f t="shared" si="50"/>
        <v>-</v>
      </c>
      <c r="AOO14" s="54" t="str">
        <f t="shared" si="50"/>
        <v>-</v>
      </c>
      <c r="AOP14" s="54" t="str">
        <f t="shared" si="50"/>
        <v>-</v>
      </c>
      <c r="AOQ14" s="54" t="str">
        <f t="shared" si="50"/>
        <v>-</v>
      </c>
    </row>
    <row r="15" spans="2:1103" x14ac:dyDescent="0.25">
      <c r="B15" s="53" t="s">
        <v>22</v>
      </c>
      <c r="C15" s="53"/>
      <c r="D15" s="53">
        <v>1</v>
      </c>
      <c r="E15" s="53">
        <f t="shared" ref="E15:O15" si="51">D15</f>
        <v>1</v>
      </c>
      <c r="F15" s="53">
        <f t="shared" si="51"/>
        <v>1</v>
      </c>
      <c r="G15" s="53">
        <f t="shared" si="51"/>
        <v>1</v>
      </c>
      <c r="H15" s="53">
        <f t="shared" si="51"/>
        <v>1</v>
      </c>
      <c r="I15" s="53">
        <f t="shared" si="51"/>
        <v>1</v>
      </c>
      <c r="J15" s="53">
        <f t="shared" si="51"/>
        <v>1</v>
      </c>
      <c r="K15" s="53">
        <f t="shared" si="51"/>
        <v>1</v>
      </c>
      <c r="L15" s="53">
        <f t="shared" si="51"/>
        <v>1</v>
      </c>
      <c r="M15" s="53">
        <f t="shared" si="51"/>
        <v>1</v>
      </c>
      <c r="N15" s="53">
        <f t="shared" si="51"/>
        <v>1</v>
      </c>
      <c r="O15" s="53">
        <f t="shared" si="51"/>
        <v>1</v>
      </c>
      <c r="P15" s="53">
        <f>D15+1</f>
        <v>2</v>
      </c>
      <c r="Q15" s="53">
        <f t="shared" ref="Q15:CB15" si="52">E15+1</f>
        <v>2</v>
      </c>
      <c r="R15" s="53">
        <f t="shared" si="52"/>
        <v>2</v>
      </c>
      <c r="S15" s="53">
        <f t="shared" si="52"/>
        <v>2</v>
      </c>
      <c r="T15" s="53">
        <f t="shared" si="52"/>
        <v>2</v>
      </c>
      <c r="U15" s="53">
        <f t="shared" si="52"/>
        <v>2</v>
      </c>
      <c r="V15" s="53">
        <f t="shared" si="52"/>
        <v>2</v>
      </c>
      <c r="W15" s="53">
        <f t="shared" si="52"/>
        <v>2</v>
      </c>
      <c r="X15" s="53">
        <f t="shared" si="52"/>
        <v>2</v>
      </c>
      <c r="Y15" s="53">
        <f t="shared" si="52"/>
        <v>2</v>
      </c>
      <c r="Z15" s="53">
        <f t="shared" si="52"/>
        <v>2</v>
      </c>
      <c r="AA15" s="53">
        <f t="shared" si="52"/>
        <v>2</v>
      </c>
      <c r="AB15" s="53">
        <f t="shared" si="52"/>
        <v>3</v>
      </c>
      <c r="AC15" s="53">
        <f t="shared" si="52"/>
        <v>3</v>
      </c>
      <c r="AD15" s="53">
        <f t="shared" si="52"/>
        <v>3</v>
      </c>
      <c r="AE15" s="53">
        <f t="shared" si="52"/>
        <v>3</v>
      </c>
      <c r="AF15" s="53">
        <f t="shared" si="52"/>
        <v>3</v>
      </c>
      <c r="AG15" s="53">
        <f t="shared" si="52"/>
        <v>3</v>
      </c>
      <c r="AH15" s="53">
        <f t="shared" si="52"/>
        <v>3</v>
      </c>
      <c r="AI15" s="53">
        <f t="shared" si="52"/>
        <v>3</v>
      </c>
      <c r="AJ15" s="53">
        <f t="shared" si="52"/>
        <v>3</v>
      </c>
      <c r="AK15" s="53">
        <f t="shared" si="52"/>
        <v>3</v>
      </c>
      <c r="AL15" s="53">
        <f t="shared" si="52"/>
        <v>3</v>
      </c>
      <c r="AM15" s="53">
        <f t="shared" si="52"/>
        <v>3</v>
      </c>
      <c r="AN15" s="53">
        <f t="shared" si="52"/>
        <v>4</v>
      </c>
      <c r="AO15" s="53">
        <f t="shared" si="52"/>
        <v>4</v>
      </c>
      <c r="AP15" s="53">
        <f t="shared" si="52"/>
        <v>4</v>
      </c>
      <c r="AQ15" s="53">
        <f t="shared" si="52"/>
        <v>4</v>
      </c>
      <c r="AR15" s="53">
        <f t="shared" si="52"/>
        <v>4</v>
      </c>
      <c r="AS15" s="53">
        <f t="shared" si="52"/>
        <v>4</v>
      </c>
      <c r="AT15" s="53">
        <f t="shared" si="52"/>
        <v>4</v>
      </c>
      <c r="AU15" s="53">
        <f t="shared" si="52"/>
        <v>4</v>
      </c>
      <c r="AV15" s="53">
        <f t="shared" si="52"/>
        <v>4</v>
      </c>
      <c r="AW15" s="53">
        <f t="shared" si="52"/>
        <v>4</v>
      </c>
      <c r="AX15" s="53">
        <f t="shared" si="52"/>
        <v>4</v>
      </c>
      <c r="AY15" s="53">
        <f t="shared" si="52"/>
        <v>4</v>
      </c>
      <c r="AZ15" s="53">
        <f t="shared" si="52"/>
        <v>5</v>
      </c>
      <c r="BA15" s="53">
        <f t="shared" si="52"/>
        <v>5</v>
      </c>
      <c r="BB15" s="53">
        <f t="shared" si="52"/>
        <v>5</v>
      </c>
      <c r="BC15" s="53">
        <f t="shared" si="52"/>
        <v>5</v>
      </c>
      <c r="BD15" s="53">
        <f t="shared" si="52"/>
        <v>5</v>
      </c>
      <c r="BE15" s="53">
        <f t="shared" si="52"/>
        <v>5</v>
      </c>
      <c r="BF15" s="53">
        <f t="shared" si="52"/>
        <v>5</v>
      </c>
      <c r="BG15" s="53">
        <f t="shared" si="52"/>
        <v>5</v>
      </c>
      <c r="BH15" s="53">
        <f t="shared" si="52"/>
        <v>5</v>
      </c>
      <c r="BI15" s="53">
        <f t="shared" si="52"/>
        <v>5</v>
      </c>
      <c r="BJ15" s="53">
        <f t="shared" si="52"/>
        <v>5</v>
      </c>
      <c r="BK15" s="53">
        <f t="shared" si="52"/>
        <v>5</v>
      </c>
      <c r="BL15" s="53">
        <f t="shared" si="52"/>
        <v>6</v>
      </c>
      <c r="BM15" s="53">
        <f t="shared" si="52"/>
        <v>6</v>
      </c>
      <c r="BN15" s="53">
        <f t="shared" si="52"/>
        <v>6</v>
      </c>
      <c r="BO15" s="53">
        <f t="shared" si="52"/>
        <v>6</v>
      </c>
      <c r="BP15" s="53">
        <f t="shared" si="52"/>
        <v>6</v>
      </c>
      <c r="BQ15" s="53">
        <f t="shared" si="52"/>
        <v>6</v>
      </c>
      <c r="BR15" s="53">
        <f t="shared" si="52"/>
        <v>6</v>
      </c>
      <c r="BS15" s="53">
        <f t="shared" si="52"/>
        <v>6</v>
      </c>
      <c r="BT15" s="53">
        <f t="shared" si="52"/>
        <v>6</v>
      </c>
      <c r="BU15" s="53">
        <f t="shared" si="52"/>
        <v>6</v>
      </c>
      <c r="BV15" s="53">
        <f t="shared" si="52"/>
        <v>6</v>
      </c>
      <c r="BW15" s="53">
        <f t="shared" si="52"/>
        <v>6</v>
      </c>
      <c r="BX15" s="53">
        <f t="shared" si="52"/>
        <v>7</v>
      </c>
      <c r="BY15" s="53">
        <f t="shared" si="52"/>
        <v>7</v>
      </c>
      <c r="BZ15" s="53">
        <f t="shared" si="52"/>
        <v>7</v>
      </c>
      <c r="CA15" s="53">
        <f t="shared" si="52"/>
        <v>7</v>
      </c>
      <c r="CB15" s="53">
        <f t="shared" si="52"/>
        <v>7</v>
      </c>
      <c r="CC15" s="53">
        <f t="shared" ref="CC15:EN15" si="53">BQ15+1</f>
        <v>7</v>
      </c>
      <c r="CD15" s="53">
        <f t="shared" si="53"/>
        <v>7</v>
      </c>
      <c r="CE15" s="53">
        <f t="shared" si="53"/>
        <v>7</v>
      </c>
      <c r="CF15" s="53">
        <f t="shared" si="53"/>
        <v>7</v>
      </c>
      <c r="CG15" s="53">
        <f t="shared" si="53"/>
        <v>7</v>
      </c>
      <c r="CH15" s="53">
        <f t="shared" si="53"/>
        <v>7</v>
      </c>
      <c r="CI15" s="53">
        <f t="shared" si="53"/>
        <v>7</v>
      </c>
      <c r="CJ15" s="53">
        <f t="shared" si="53"/>
        <v>8</v>
      </c>
      <c r="CK15" s="53">
        <f t="shared" si="53"/>
        <v>8</v>
      </c>
      <c r="CL15" s="53">
        <f t="shared" si="53"/>
        <v>8</v>
      </c>
      <c r="CM15" s="53">
        <f t="shared" si="53"/>
        <v>8</v>
      </c>
      <c r="CN15" s="53">
        <f t="shared" si="53"/>
        <v>8</v>
      </c>
      <c r="CO15" s="53">
        <f t="shared" si="53"/>
        <v>8</v>
      </c>
      <c r="CP15" s="53">
        <f t="shared" si="53"/>
        <v>8</v>
      </c>
      <c r="CQ15" s="53">
        <f t="shared" si="53"/>
        <v>8</v>
      </c>
      <c r="CR15" s="53">
        <f t="shared" si="53"/>
        <v>8</v>
      </c>
      <c r="CS15" s="53">
        <f t="shared" si="53"/>
        <v>8</v>
      </c>
      <c r="CT15" s="53">
        <f t="shared" si="53"/>
        <v>8</v>
      </c>
      <c r="CU15" s="53">
        <f t="shared" si="53"/>
        <v>8</v>
      </c>
      <c r="CV15" s="53">
        <f t="shared" si="53"/>
        <v>9</v>
      </c>
      <c r="CW15" s="53">
        <f t="shared" si="53"/>
        <v>9</v>
      </c>
      <c r="CX15" s="53">
        <f t="shared" si="53"/>
        <v>9</v>
      </c>
      <c r="CY15" s="53">
        <f t="shared" si="53"/>
        <v>9</v>
      </c>
      <c r="CZ15" s="53">
        <f t="shared" si="53"/>
        <v>9</v>
      </c>
      <c r="DA15" s="53">
        <f t="shared" si="53"/>
        <v>9</v>
      </c>
      <c r="DB15" s="53">
        <f t="shared" si="53"/>
        <v>9</v>
      </c>
      <c r="DC15" s="53">
        <f t="shared" si="53"/>
        <v>9</v>
      </c>
      <c r="DD15" s="53">
        <f t="shared" si="53"/>
        <v>9</v>
      </c>
      <c r="DE15" s="53">
        <f t="shared" si="53"/>
        <v>9</v>
      </c>
      <c r="DF15" s="53">
        <f t="shared" si="53"/>
        <v>9</v>
      </c>
      <c r="DG15" s="53">
        <f t="shared" si="53"/>
        <v>9</v>
      </c>
      <c r="DH15" s="53">
        <f t="shared" si="53"/>
        <v>10</v>
      </c>
      <c r="DI15" s="53">
        <f t="shared" si="53"/>
        <v>10</v>
      </c>
      <c r="DJ15" s="53">
        <f t="shared" si="53"/>
        <v>10</v>
      </c>
      <c r="DK15" s="53">
        <f t="shared" si="53"/>
        <v>10</v>
      </c>
      <c r="DL15" s="53">
        <f t="shared" si="53"/>
        <v>10</v>
      </c>
      <c r="DM15" s="53">
        <f t="shared" si="53"/>
        <v>10</v>
      </c>
      <c r="DN15" s="53">
        <f t="shared" si="53"/>
        <v>10</v>
      </c>
      <c r="DO15" s="53">
        <f t="shared" si="53"/>
        <v>10</v>
      </c>
      <c r="DP15" s="53">
        <f t="shared" si="53"/>
        <v>10</v>
      </c>
      <c r="DQ15" s="53">
        <f t="shared" si="53"/>
        <v>10</v>
      </c>
      <c r="DR15" s="53">
        <f t="shared" si="53"/>
        <v>10</v>
      </c>
      <c r="DS15" s="53">
        <f t="shared" si="53"/>
        <v>10</v>
      </c>
      <c r="DT15" s="53">
        <f t="shared" si="53"/>
        <v>11</v>
      </c>
      <c r="DU15" s="53">
        <f t="shared" si="53"/>
        <v>11</v>
      </c>
      <c r="DV15" s="53">
        <f t="shared" si="53"/>
        <v>11</v>
      </c>
      <c r="DW15" s="53">
        <f t="shared" si="53"/>
        <v>11</v>
      </c>
      <c r="DX15" s="53">
        <f t="shared" si="53"/>
        <v>11</v>
      </c>
      <c r="DY15" s="53">
        <f t="shared" si="53"/>
        <v>11</v>
      </c>
      <c r="DZ15" s="53">
        <f t="shared" si="53"/>
        <v>11</v>
      </c>
      <c r="EA15" s="53">
        <f t="shared" si="53"/>
        <v>11</v>
      </c>
      <c r="EB15" s="53">
        <f t="shared" si="53"/>
        <v>11</v>
      </c>
      <c r="EC15" s="53">
        <f t="shared" si="53"/>
        <v>11</v>
      </c>
      <c r="ED15" s="53">
        <f t="shared" si="53"/>
        <v>11</v>
      </c>
      <c r="EE15" s="53">
        <f t="shared" si="53"/>
        <v>11</v>
      </c>
      <c r="EF15" s="53">
        <f t="shared" si="53"/>
        <v>12</v>
      </c>
      <c r="EG15" s="53">
        <f t="shared" si="53"/>
        <v>12</v>
      </c>
      <c r="EH15" s="53">
        <f t="shared" si="53"/>
        <v>12</v>
      </c>
      <c r="EI15" s="53">
        <f t="shared" si="53"/>
        <v>12</v>
      </c>
      <c r="EJ15" s="53">
        <f t="shared" si="53"/>
        <v>12</v>
      </c>
      <c r="EK15" s="53">
        <f t="shared" si="53"/>
        <v>12</v>
      </c>
      <c r="EL15" s="53">
        <f t="shared" si="53"/>
        <v>12</v>
      </c>
      <c r="EM15" s="53">
        <f t="shared" si="53"/>
        <v>12</v>
      </c>
      <c r="EN15" s="53">
        <f t="shared" si="53"/>
        <v>12</v>
      </c>
      <c r="EO15" s="53">
        <f t="shared" ref="EO15:GZ15" si="54">EC15+1</f>
        <v>12</v>
      </c>
      <c r="EP15" s="53">
        <f t="shared" si="54"/>
        <v>12</v>
      </c>
      <c r="EQ15" s="53">
        <f t="shared" si="54"/>
        <v>12</v>
      </c>
      <c r="ER15" s="53">
        <f t="shared" si="54"/>
        <v>13</v>
      </c>
      <c r="ES15" s="53">
        <f t="shared" si="54"/>
        <v>13</v>
      </c>
      <c r="ET15" s="53">
        <f t="shared" si="54"/>
        <v>13</v>
      </c>
      <c r="EU15" s="53">
        <f t="shared" si="54"/>
        <v>13</v>
      </c>
      <c r="EV15" s="53">
        <f t="shared" si="54"/>
        <v>13</v>
      </c>
      <c r="EW15" s="53">
        <f t="shared" si="54"/>
        <v>13</v>
      </c>
      <c r="EX15" s="53">
        <f t="shared" si="54"/>
        <v>13</v>
      </c>
      <c r="EY15" s="53">
        <f t="shared" si="54"/>
        <v>13</v>
      </c>
      <c r="EZ15" s="53">
        <f t="shared" si="54"/>
        <v>13</v>
      </c>
      <c r="FA15" s="53">
        <f t="shared" si="54"/>
        <v>13</v>
      </c>
      <c r="FB15" s="53">
        <f t="shared" si="54"/>
        <v>13</v>
      </c>
      <c r="FC15" s="53">
        <f t="shared" si="54"/>
        <v>13</v>
      </c>
      <c r="FD15" s="53">
        <f t="shared" si="54"/>
        <v>14</v>
      </c>
      <c r="FE15" s="53">
        <f t="shared" si="54"/>
        <v>14</v>
      </c>
      <c r="FF15" s="53">
        <f t="shared" si="54"/>
        <v>14</v>
      </c>
      <c r="FG15" s="53">
        <f t="shared" si="54"/>
        <v>14</v>
      </c>
      <c r="FH15" s="53">
        <f t="shared" si="54"/>
        <v>14</v>
      </c>
      <c r="FI15" s="53">
        <f t="shared" si="54"/>
        <v>14</v>
      </c>
      <c r="FJ15" s="53">
        <f t="shared" si="54"/>
        <v>14</v>
      </c>
      <c r="FK15" s="53">
        <f t="shared" si="54"/>
        <v>14</v>
      </c>
      <c r="FL15" s="53">
        <f t="shared" si="54"/>
        <v>14</v>
      </c>
      <c r="FM15" s="53">
        <f t="shared" si="54"/>
        <v>14</v>
      </c>
      <c r="FN15" s="53">
        <f t="shared" si="54"/>
        <v>14</v>
      </c>
      <c r="FO15" s="53">
        <f t="shared" si="54"/>
        <v>14</v>
      </c>
      <c r="FP15" s="53">
        <f t="shared" si="54"/>
        <v>15</v>
      </c>
      <c r="FQ15" s="53">
        <f t="shared" si="54"/>
        <v>15</v>
      </c>
      <c r="FR15" s="53">
        <f t="shared" si="54"/>
        <v>15</v>
      </c>
      <c r="FS15" s="53">
        <f t="shared" si="54"/>
        <v>15</v>
      </c>
      <c r="FT15" s="53">
        <f t="shared" si="54"/>
        <v>15</v>
      </c>
      <c r="FU15" s="53">
        <f t="shared" si="54"/>
        <v>15</v>
      </c>
      <c r="FV15" s="53">
        <f t="shared" si="54"/>
        <v>15</v>
      </c>
      <c r="FW15" s="53">
        <f t="shared" si="54"/>
        <v>15</v>
      </c>
      <c r="FX15" s="53">
        <f t="shared" si="54"/>
        <v>15</v>
      </c>
      <c r="FY15" s="53">
        <f t="shared" si="54"/>
        <v>15</v>
      </c>
      <c r="FZ15" s="53">
        <f t="shared" si="54"/>
        <v>15</v>
      </c>
      <c r="GA15" s="53">
        <f t="shared" si="54"/>
        <v>15</v>
      </c>
      <c r="GB15" s="53">
        <f t="shared" si="54"/>
        <v>16</v>
      </c>
      <c r="GC15" s="53">
        <f t="shared" si="54"/>
        <v>16</v>
      </c>
      <c r="GD15" s="53">
        <f t="shared" si="54"/>
        <v>16</v>
      </c>
      <c r="GE15" s="53">
        <f t="shared" si="54"/>
        <v>16</v>
      </c>
      <c r="GF15" s="53">
        <f t="shared" si="54"/>
        <v>16</v>
      </c>
      <c r="GG15" s="53">
        <f t="shared" si="54"/>
        <v>16</v>
      </c>
      <c r="GH15" s="53">
        <f t="shared" si="54"/>
        <v>16</v>
      </c>
      <c r="GI15" s="53">
        <f t="shared" si="54"/>
        <v>16</v>
      </c>
      <c r="GJ15" s="53">
        <f t="shared" si="54"/>
        <v>16</v>
      </c>
      <c r="GK15" s="53">
        <f t="shared" si="54"/>
        <v>16</v>
      </c>
      <c r="GL15" s="53">
        <f t="shared" si="54"/>
        <v>16</v>
      </c>
      <c r="GM15" s="53">
        <f t="shared" si="54"/>
        <v>16</v>
      </c>
      <c r="GN15" s="53">
        <f t="shared" si="54"/>
        <v>17</v>
      </c>
      <c r="GO15" s="53">
        <f t="shared" si="54"/>
        <v>17</v>
      </c>
      <c r="GP15" s="53">
        <f t="shared" si="54"/>
        <v>17</v>
      </c>
      <c r="GQ15" s="53">
        <f t="shared" si="54"/>
        <v>17</v>
      </c>
      <c r="GR15" s="53">
        <f t="shared" si="54"/>
        <v>17</v>
      </c>
      <c r="GS15" s="53">
        <f t="shared" si="54"/>
        <v>17</v>
      </c>
      <c r="GT15" s="53">
        <f t="shared" si="54"/>
        <v>17</v>
      </c>
      <c r="GU15" s="53">
        <f t="shared" si="54"/>
        <v>17</v>
      </c>
      <c r="GV15" s="53">
        <f t="shared" si="54"/>
        <v>17</v>
      </c>
      <c r="GW15" s="53">
        <f t="shared" si="54"/>
        <v>17</v>
      </c>
      <c r="GX15" s="53">
        <f t="shared" si="54"/>
        <v>17</v>
      </c>
      <c r="GY15" s="53">
        <f t="shared" si="54"/>
        <v>17</v>
      </c>
      <c r="GZ15" s="53">
        <f t="shared" si="54"/>
        <v>18</v>
      </c>
      <c r="HA15" s="53">
        <f t="shared" ref="HA15:JL15" si="55">GO15+1</f>
        <v>18</v>
      </c>
      <c r="HB15" s="53">
        <f t="shared" si="55"/>
        <v>18</v>
      </c>
      <c r="HC15" s="53">
        <f t="shared" si="55"/>
        <v>18</v>
      </c>
      <c r="HD15" s="53">
        <f t="shared" si="55"/>
        <v>18</v>
      </c>
      <c r="HE15" s="53">
        <f t="shared" si="55"/>
        <v>18</v>
      </c>
      <c r="HF15" s="53">
        <f t="shared" si="55"/>
        <v>18</v>
      </c>
      <c r="HG15" s="53">
        <f t="shared" si="55"/>
        <v>18</v>
      </c>
      <c r="HH15" s="53">
        <f t="shared" si="55"/>
        <v>18</v>
      </c>
      <c r="HI15" s="53">
        <f t="shared" si="55"/>
        <v>18</v>
      </c>
      <c r="HJ15" s="53">
        <f t="shared" si="55"/>
        <v>18</v>
      </c>
      <c r="HK15" s="53">
        <f t="shared" si="55"/>
        <v>18</v>
      </c>
      <c r="HL15" s="53">
        <f t="shared" si="55"/>
        <v>19</v>
      </c>
      <c r="HM15" s="53">
        <f t="shared" si="55"/>
        <v>19</v>
      </c>
      <c r="HN15" s="53">
        <f t="shared" si="55"/>
        <v>19</v>
      </c>
      <c r="HO15" s="53">
        <f t="shared" si="55"/>
        <v>19</v>
      </c>
      <c r="HP15" s="53">
        <f t="shared" si="55"/>
        <v>19</v>
      </c>
      <c r="HQ15" s="53">
        <f t="shared" si="55"/>
        <v>19</v>
      </c>
      <c r="HR15" s="53">
        <f t="shared" si="55"/>
        <v>19</v>
      </c>
      <c r="HS15" s="53">
        <f t="shared" si="55"/>
        <v>19</v>
      </c>
      <c r="HT15" s="53">
        <f t="shared" si="55"/>
        <v>19</v>
      </c>
      <c r="HU15" s="53">
        <f t="shared" si="55"/>
        <v>19</v>
      </c>
      <c r="HV15" s="53">
        <f t="shared" si="55"/>
        <v>19</v>
      </c>
      <c r="HW15" s="53">
        <f t="shared" si="55"/>
        <v>19</v>
      </c>
      <c r="HX15" s="53">
        <f t="shared" si="55"/>
        <v>20</v>
      </c>
      <c r="HY15" s="53">
        <f t="shared" si="55"/>
        <v>20</v>
      </c>
      <c r="HZ15" s="53">
        <f t="shared" si="55"/>
        <v>20</v>
      </c>
      <c r="IA15" s="53">
        <f t="shared" si="55"/>
        <v>20</v>
      </c>
      <c r="IB15" s="53">
        <f t="shared" si="55"/>
        <v>20</v>
      </c>
      <c r="IC15" s="53">
        <f t="shared" si="55"/>
        <v>20</v>
      </c>
      <c r="ID15" s="53">
        <f t="shared" si="55"/>
        <v>20</v>
      </c>
      <c r="IE15" s="53">
        <f t="shared" si="55"/>
        <v>20</v>
      </c>
      <c r="IF15" s="53">
        <f t="shared" si="55"/>
        <v>20</v>
      </c>
      <c r="IG15" s="53">
        <f t="shared" si="55"/>
        <v>20</v>
      </c>
      <c r="IH15" s="53">
        <f t="shared" si="55"/>
        <v>20</v>
      </c>
      <c r="II15" s="53">
        <f t="shared" si="55"/>
        <v>20</v>
      </c>
      <c r="IJ15" s="53">
        <f t="shared" si="55"/>
        <v>21</v>
      </c>
      <c r="IK15" s="53">
        <f t="shared" si="55"/>
        <v>21</v>
      </c>
      <c r="IL15" s="53">
        <f t="shared" si="55"/>
        <v>21</v>
      </c>
      <c r="IM15" s="53">
        <f t="shared" si="55"/>
        <v>21</v>
      </c>
      <c r="IN15" s="53">
        <f t="shared" si="55"/>
        <v>21</v>
      </c>
      <c r="IO15" s="53">
        <f t="shared" si="55"/>
        <v>21</v>
      </c>
      <c r="IP15" s="53">
        <f t="shared" si="55"/>
        <v>21</v>
      </c>
      <c r="IQ15" s="53">
        <f t="shared" si="55"/>
        <v>21</v>
      </c>
      <c r="IR15" s="53">
        <f t="shared" si="55"/>
        <v>21</v>
      </c>
      <c r="IS15" s="53">
        <f t="shared" si="55"/>
        <v>21</v>
      </c>
      <c r="IT15" s="53">
        <f t="shared" si="55"/>
        <v>21</v>
      </c>
      <c r="IU15" s="53">
        <f t="shared" si="55"/>
        <v>21</v>
      </c>
      <c r="IV15" s="53">
        <f t="shared" si="55"/>
        <v>22</v>
      </c>
      <c r="IW15" s="53">
        <f t="shared" si="55"/>
        <v>22</v>
      </c>
      <c r="IX15" s="53">
        <f t="shared" si="55"/>
        <v>22</v>
      </c>
      <c r="IY15" s="53">
        <f t="shared" si="55"/>
        <v>22</v>
      </c>
      <c r="IZ15" s="53">
        <f t="shared" si="55"/>
        <v>22</v>
      </c>
      <c r="JA15" s="53">
        <f t="shared" si="55"/>
        <v>22</v>
      </c>
      <c r="JB15" s="53">
        <f t="shared" si="55"/>
        <v>22</v>
      </c>
      <c r="JC15" s="53">
        <f t="shared" si="55"/>
        <v>22</v>
      </c>
      <c r="JD15" s="53">
        <f t="shared" si="55"/>
        <v>22</v>
      </c>
      <c r="JE15" s="53">
        <f t="shared" si="55"/>
        <v>22</v>
      </c>
      <c r="JF15" s="53">
        <f t="shared" si="55"/>
        <v>22</v>
      </c>
      <c r="JG15" s="53">
        <f t="shared" si="55"/>
        <v>22</v>
      </c>
      <c r="JH15" s="53">
        <f t="shared" si="55"/>
        <v>23</v>
      </c>
      <c r="JI15" s="53">
        <f t="shared" si="55"/>
        <v>23</v>
      </c>
      <c r="JJ15" s="53">
        <f t="shared" si="55"/>
        <v>23</v>
      </c>
      <c r="JK15" s="53">
        <f t="shared" si="55"/>
        <v>23</v>
      </c>
      <c r="JL15" s="53">
        <f t="shared" si="55"/>
        <v>23</v>
      </c>
      <c r="JM15" s="53">
        <f t="shared" ref="JM15:LX15" si="56">JA15+1</f>
        <v>23</v>
      </c>
      <c r="JN15" s="53">
        <f t="shared" si="56"/>
        <v>23</v>
      </c>
      <c r="JO15" s="53">
        <f t="shared" si="56"/>
        <v>23</v>
      </c>
      <c r="JP15" s="53">
        <f t="shared" si="56"/>
        <v>23</v>
      </c>
      <c r="JQ15" s="53">
        <f t="shared" si="56"/>
        <v>23</v>
      </c>
      <c r="JR15" s="53">
        <f t="shared" si="56"/>
        <v>23</v>
      </c>
      <c r="JS15" s="53">
        <f t="shared" si="56"/>
        <v>23</v>
      </c>
      <c r="JT15" s="53">
        <f t="shared" si="56"/>
        <v>24</v>
      </c>
      <c r="JU15" s="53">
        <f t="shared" si="56"/>
        <v>24</v>
      </c>
      <c r="JV15" s="53">
        <f t="shared" si="56"/>
        <v>24</v>
      </c>
      <c r="JW15" s="53">
        <f t="shared" si="56"/>
        <v>24</v>
      </c>
      <c r="JX15" s="53">
        <f t="shared" si="56"/>
        <v>24</v>
      </c>
      <c r="JY15" s="53">
        <f t="shared" si="56"/>
        <v>24</v>
      </c>
      <c r="JZ15" s="53">
        <f t="shared" si="56"/>
        <v>24</v>
      </c>
      <c r="KA15" s="53">
        <f t="shared" si="56"/>
        <v>24</v>
      </c>
      <c r="KB15" s="53">
        <f t="shared" si="56"/>
        <v>24</v>
      </c>
      <c r="KC15" s="53">
        <f t="shared" si="56"/>
        <v>24</v>
      </c>
      <c r="KD15" s="53">
        <f t="shared" si="56"/>
        <v>24</v>
      </c>
      <c r="KE15" s="53">
        <f t="shared" si="56"/>
        <v>24</v>
      </c>
      <c r="KF15" s="53">
        <f t="shared" si="56"/>
        <v>25</v>
      </c>
      <c r="KG15" s="53">
        <f t="shared" si="56"/>
        <v>25</v>
      </c>
      <c r="KH15" s="53">
        <f t="shared" si="56"/>
        <v>25</v>
      </c>
      <c r="KI15" s="53">
        <f t="shared" si="56"/>
        <v>25</v>
      </c>
      <c r="KJ15" s="53">
        <f t="shared" si="56"/>
        <v>25</v>
      </c>
      <c r="KK15" s="53">
        <f t="shared" si="56"/>
        <v>25</v>
      </c>
      <c r="KL15" s="53">
        <f t="shared" si="56"/>
        <v>25</v>
      </c>
      <c r="KM15" s="53">
        <f t="shared" si="56"/>
        <v>25</v>
      </c>
      <c r="KN15" s="53">
        <f t="shared" si="56"/>
        <v>25</v>
      </c>
      <c r="KO15" s="53">
        <f t="shared" si="56"/>
        <v>25</v>
      </c>
      <c r="KP15" s="53">
        <f t="shared" si="56"/>
        <v>25</v>
      </c>
      <c r="KQ15" s="53">
        <f t="shared" si="56"/>
        <v>25</v>
      </c>
      <c r="KR15" s="53">
        <f t="shared" si="56"/>
        <v>26</v>
      </c>
      <c r="KS15" s="53">
        <f t="shared" si="56"/>
        <v>26</v>
      </c>
      <c r="KT15" s="53">
        <f t="shared" si="56"/>
        <v>26</v>
      </c>
      <c r="KU15" s="53">
        <f t="shared" si="56"/>
        <v>26</v>
      </c>
      <c r="KV15" s="53">
        <f t="shared" si="56"/>
        <v>26</v>
      </c>
      <c r="KW15" s="53">
        <f t="shared" si="56"/>
        <v>26</v>
      </c>
      <c r="KX15" s="53">
        <f t="shared" si="56"/>
        <v>26</v>
      </c>
      <c r="KY15" s="53">
        <f t="shared" si="56"/>
        <v>26</v>
      </c>
      <c r="KZ15" s="53">
        <f t="shared" si="56"/>
        <v>26</v>
      </c>
      <c r="LA15" s="53">
        <f t="shared" si="56"/>
        <v>26</v>
      </c>
      <c r="LB15" s="53">
        <f t="shared" si="56"/>
        <v>26</v>
      </c>
      <c r="LC15" s="53">
        <f t="shared" si="56"/>
        <v>26</v>
      </c>
      <c r="LD15" s="53">
        <f t="shared" si="56"/>
        <v>27</v>
      </c>
      <c r="LE15" s="53">
        <f t="shared" si="56"/>
        <v>27</v>
      </c>
      <c r="LF15" s="53">
        <f t="shared" si="56"/>
        <v>27</v>
      </c>
      <c r="LG15" s="53">
        <f t="shared" si="56"/>
        <v>27</v>
      </c>
      <c r="LH15" s="53">
        <f t="shared" si="56"/>
        <v>27</v>
      </c>
      <c r="LI15" s="53">
        <f t="shared" si="56"/>
        <v>27</v>
      </c>
      <c r="LJ15" s="53">
        <f t="shared" si="56"/>
        <v>27</v>
      </c>
      <c r="LK15" s="53">
        <f t="shared" si="56"/>
        <v>27</v>
      </c>
      <c r="LL15" s="53">
        <f t="shared" si="56"/>
        <v>27</v>
      </c>
      <c r="LM15" s="53">
        <f t="shared" si="56"/>
        <v>27</v>
      </c>
      <c r="LN15" s="53">
        <f t="shared" si="56"/>
        <v>27</v>
      </c>
      <c r="LO15" s="53">
        <f t="shared" si="56"/>
        <v>27</v>
      </c>
      <c r="LP15" s="53">
        <f t="shared" si="56"/>
        <v>28</v>
      </c>
      <c r="LQ15" s="53">
        <f t="shared" si="56"/>
        <v>28</v>
      </c>
      <c r="LR15" s="53">
        <f t="shared" si="56"/>
        <v>28</v>
      </c>
      <c r="LS15" s="53">
        <f t="shared" si="56"/>
        <v>28</v>
      </c>
      <c r="LT15" s="53">
        <f t="shared" si="56"/>
        <v>28</v>
      </c>
      <c r="LU15" s="53">
        <f t="shared" si="56"/>
        <v>28</v>
      </c>
      <c r="LV15" s="53">
        <f t="shared" si="56"/>
        <v>28</v>
      </c>
      <c r="LW15" s="53">
        <f t="shared" si="56"/>
        <v>28</v>
      </c>
      <c r="LX15" s="53">
        <f t="shared" si="56"/>
        <v>28</v>
      </c>
      <c r="LY15" s="53">
        <f t="shared" ref="LY15:OJ15" si="57">LM15+1</f>
        <v>28</v>
      </c>
      <c r="LZ15" s="53">
        <f t="shared" si="57"/>
        <v>28</v>
      </c>
      <c r="MA15" s="53">
        <f t="shared" si="57"/>
        <v>28</v>
      </c>
      <c r="MB15" s="53">
        <f t="shared" si="57"/>
        <v>29</v>
      </c>
      <c r="MC15" s="53">
        <f t="shared" si="57"/>
        <v>29</v>
      </c>
      <c r="MD15" s="53">
        <f t="shared" si="57"/>
        <v>29</v>
      </c>
      <c r="ME15" s="53">
        <f t="shared" si="57"/>
        <v>29</v>
      </c>
      <c r="MF15" s="53">
        <f t="shared" si="57"/>
        <v>29</v>
      </c>
      <c r="MG15" s="53">
        <f t="shared" si="57"/>
        <v>29</v>
      </c>
      <c r="MH15" s="53">
        <f t="shared" si="57"/>
        <v>29</v>
      </c>
      <c r="MI15" s="53">
        <f t="shared" si="57"/>
        <v>29</v>
      </c>
      <c r="MJ15" s="53">
        <f t="shared" si="57"/>
        <v>29</v>
      </c>
      <c r="MK15" s="53">
        <f t="shared" si="57"/>
        <v>29</v>
      </c>
      <c r="ML15" s="53">
        <f t="shared" si="57"/>
        <v>29</v>
      </c>
      <c r="MM15" s="53">
        <f t="shared" si="57"/>
        <v>29</v>
      </c>
      <c r="MN15" s="53">
        <f t="shared" si="57"/>
        <v>30</v>
      </c>
      <c r="MO15" s="53">
        <f t="shared" si="57"/>
        <v>30</v>
      </c>
      <c r="MP15" s="53">
        <f t="shared" si="57"/>
        <v>30</v>
      </c>
      <c r="MQ15" s="53">
        <f t="shared" si="57"/>
        <v>30</v>
      </c>
      <c r="MR15" s="53">
        <f t="shared" si="57"/>
        <v>30</v>
      </c>
      <c r="MS15" s="53">
        <f t="shared" si="57"/>
        <v>30</v>
      </c>
      <c r="MT15" s="53">
        <f t="shared" si="57"/>
        <v>30</v>
      </c>
      <c r="MU15" s="53">
        <f t="shared" si="57"/>
        <v>30</v>
      </c>
      <c r="MV15" s="53">
        <f t="shared" si="57"/>
        <v>30</v>
      </c>
      <c r="MW15" s="53">
        <f t="shared" si="57"/>
        <v>30</v>
      </c>
      <c r="MX15" s="53">
        <f t="shared" si="57"/>
        <v>30</v>
      </c>
      <c r="MY15" s="53">
        <f t="shared" si="57"/>
        <v>30</v>
      </c>
      <c r="MZ15" s="53">
        <f t="shared" si="57"/>
        <v>31</v>
      </c>
      <c r="NA15" s="53">
        <f t="shared" si="57"/>
        <v>31</v>
      </c>
      <c r="NB15" s="53">
        <f t="shared" si="57"/>
        <v>31</v>
      </c>
      <c r="NC15" s="53">
        <f t="shared" si="57"/>
        <v>31</v>
      </c>
      <c r="ND15" s="53">
        <f t="shared" si="57"/>
        <v>31</v>
      </c>
      <c r="NE15" s="53">
        <f t="shared" si="57"/>
        <v>31</v>
      </c>
      <c r="NF15" s="53">
        <f t="shared" si="57"/>
        <v>31</v>
      </c>
      <c r="NG15" s="53">
        <f t="shared" si="57"/>
        <v>31</v>
      </c>
      <c r="NH15" s="53">
        <f t="shared" si="57"/>
        <v>31</v>
      </c>
      <c r="NI15" s="53">
        <f t="shared" si="57"/>
        <v>31</v>
      </c>
      <c r="NJ15" s="53">
        <f t="shared" si="57"/>
        <v>31</v>
      </c>
      <c r="NK15" s="53">
        <f t="shared" si="57"/>
        <v>31</v>
      </c>
      <c r="NL15" s="53">
        <f t="shared" si="57"/>
        <v>32</v>
      </c>
      <c r="NM15" s="53">
        <f t="shared" si="57"/>
        <v>32</v>
      </c>
      <c r="NN15" s="53">
        <f t="shared" si="57"/>
        <v>32</v>
      </c>
      <c r="NO15" s="53">
        <f t="shared" si="57"/>
        <v>32</v>
      </c>
      <c r="NP15" s="53">
        <f t="shared" si="57"/>
        <v>32</v>
      </c>
      <c r="NQ15" s="53">
        <f t="shared" si="57"/>
        <v>32</v>
      </c>
      <c r="NR15" s="53">
        <f t="shared" si="57"/>
        <v>32</v>
      </c>
      <c r="NS15" s="53">
        <f t="shared" si="57"/>
        <v>32</v>
      </c>
      <c r="NT15" s="53">
        <f t="shared" si="57"/>
        <v>32</v>
      </c>
      <c r="NU15" s="53">
        <f t="shared" si="57"/>
        <v>32</v>
      </c>
      <c r="NV15" s="53">
        <f t="shared" si="57"/>
        <v>32</v>
      </c>
      <c r="NW15" s="53">
        <f t="shared" si="57"/>
        <v>32</v>
      </c>
      <c r="NX15" s="53">
        <f t="shared" si="57"/>
        <v>33</v>
      </c>
      <c r="NY15" s="53">
        <f t="shared" si="57"/>
        <v>33</v>
      </c>
      <c r="NZ15" s="53">
        <f t="shared" si="57"/>
        <v>33</v>
      </c>
      <c r="OA15" s="53">
        <f t="shared" si="57"/>
        <v>33</v>
      </c>
      <c r="OB15" s="53">
        <f t="shared" si="57"/>
        <v>33</v>
      </c>
      <c r="OC15" s="53">
        <f t="shared" si="57"/>
        <v>33</v>
      </c>
      <c r="OD15" s="53">
        <f t="shared" si="57"/>
        <v>33</v>
      </c>
      <c r="OE15" s="53">
        <f t="shared" si="57"/>
        <v>33</v>
      </c>
      <c r="OF15" s="53">
        <f t="shared" si="57"/>
        <v>33</v>
      </c>
      <c r="OG15" s="53">
        <f t="shared" si="57"/>
        <v>33</v>
      </c>
      <c r="OH15" s="53">
        <f t="shared" si="57"/>
        <v>33</v>
      </c>
      <c r="OI15" s="53">
        <f t="shared" si="57"/>
        <v>33</v>
      </c>
      <c r="OJ15" s="53">
        <f t="shared" si="57"/>
        <v>34</v>
      </c>
      <c r="OK15" s="53">
        <f t="shared" ref="OK15:QV15" si="58">NY15+1</f>
        <v>34</v>
      </c>
      <c r="OL15" s="53">
        <f t="shared" si="58"/>
        <v>34</v>
      </c>
      <c r="OM15" s="53">
        <f t="shared" si="58"/>
        <v>34</v>
      </c>
      <c r="ON15" s="53">
        <f t="shared" si="58"/>
        <v>34</v>
      </c>
      <c r="OO15" s="53">
        <f t="shared" si="58"/>
        <v>34</v>
      </c>
      <c r="OP15" s="53">
        <f t="shared" si="58"/>
        <v>34</v>
      </c>
      <c r="OQ15" s="53">
        <f t="shared" si="58"/>
        <v>34</v>
      </c>
      <c r="OR15" s="53">
        <f t="shared" si="58"/>
        <v>34</v>
      </c>
      <c r="OS15" s="53">
        <f t="shared" si="58"/>
        <v>34</v>
      </c>
      <c r="OT15" s="53">
        <f t="shared" si="58"/>
        <v>34</v>
      </c>
      <c r="OU15" s="53">
        <f t="shared" si="58"/>
        <v>34</v>
      </c>
      <c r="OV15" s="53">
        <f t="shared" si="58"/>
        <v>35</v>
      </c>
      <c r="OW15" s="53">
        <f t="shared" si="58"/>
        <v>35</v>
      </c>
      <c r="OX15" s="53">
        <f t="shared" si="58"/>
        <v>35</v>
      </c>
      <c r="OY15" s="53">
        <f t="shared" si="58"/>
        <v>35</v>
      </c>
      <c r="OZ15" s="53">
        <f t="shared" si="58"/>
        <v>35</v>
      </c>
      <c r="PA15" s="53">
        <f t="shared" si="58"/>
        <v>35</v>
      </c>
      <c r="PB15" s="53">
        <f t="shared" si="58"/>
        <v>35</v>
      </c>
      <c r="PC15" s="53">
        <f t="shared" si="58"/>
        <v>35</v>
      </c>
      <c r="PD15" s="53">
        <f t="shared" si="58"/>
        <v>35</v>
      </c>
      <c r="PE15" s="53">
        <f t="shared" si="58"/>
        <v>35</v>
      </c>
      <c r="PF15" s="53">
        <f t="shared" si="58"/>
        <v>35</v>
      </c>
      <c r="PG15" s="53">
        <f t="shared" si="58"/>
        <v>35</v>
      </c>
      <c r="PH15" s="53">
        <f t="shared" si="58"/>
        <v>36</v>
      </c>
      <c r="PI15" s="53">
        <f t="shared" si="58"/>
        <v>36</v>
      </c>
      <c r="PJ15" s="53">
        <f t="shared" si="58"/>
        <v>36</v>
      </c>
      <c r="PK15" s="53">
        <f t="shared" si="58"/>
        <v>36</v>
      </c>
      <c r="PL15" s="53">
        <f t="shared" si="58"/>
        <v>36</v>
      </c>
      <c r="PM15" s="53">
        <f t="shared" si="58"/>
        <v>36</v>
      </c>
      <c r="PN15" s="53">
        <f t="shared" si="58"/>
        <v>36</v>
      </c>
      <c r="PO15" s="53">
        <f t="shared" si="58"/>
        <v>36</v>
      </c>
      <c r="PP15" s="53">
        <f t="shared" si="58"/>
        <v>36</v>
      </c>
      <c r="PQ15" s="53">
        <f t="shared" si="58"/>
        <v>36</v>
      </c>
      <c r="PR15" s="53">
        <f t="shared" si="58"/>
        <v>36</v>
      </c>
      <c r="PS15" s="53">
        <f t="shared" si="58"/>
        <v>36</v>
      </c>
      <c r="PT15" s="53">
        <f t="shared" si="58"/>
        <v>37</v>
      </c>
      <c r="PU15" s="53">
        <f t="shared" si="58"/>
        <v>37</v>
      </c>
      <c r="PV15" s="53">
        <f t="shared" si="58"/>
        <v>37</v>
      </c>
      <c r="PW15" s="53">
        <f t="shared" si="58"/>
        <v>37</v>
      </c>
      <c r="PX15" s="53">
        <f t="shared" si="58"/>
        <v>37</v>
      </c>
      <c r="PY15" s="53">
        <f t="shared" si="58"/>
        <v>37</v>
      </c>
      <c r="PZ15" s="53">
        <f t="shared" si="58"/>
        <v>37</v>
      </c>
      <c r="QA15" s="53">
        <f t="shared" si="58"/>
        <v>37</v>
      </c>
      <c r="QB15" s="53">
        <f t="shared" si="58"/>
        <v>37</v>
      </c>
      <c r="QC15" s="53">
        <f t="shared" si="58"/>
        <v>37</v>
      </c>
      <c r="QD15" s="53">
        <f t="shared" si="58"/>
        <v>37</v>
      </c>
      <c r="QE15" s="53">
        <f t="shared" si="58"/>
        <v>37</v>
      </c>
      <c r="QF15" s="53">
        <f t="shared" si="58"/>
        <v>38</v>
      </c>
      <c r="QG15" s="53">
        <f t="shared" si="58"/>
        <v>38</v>
      </c>
      <c r="QH15" s="53">
        <f t="shared" si="58"/>
        <v>38</v>
      </c>
      <c r="QI15" s="53">
        <f t="shared" si="58"/>
        <v>38</v>
      </c>
      <c r="QJ15" s="53">
        <f t="shared" si="58"/>
        <v>38</v>
      </c>
      <c r="QK15" s="53">
        <f t="shared" si="58"/>
        <v>38</v>
      </c>
      <c r="QL15" s="53">
        <f t="shared" si="58"/>
        <v>38</v>
      </c>
      <c r="QM15" s="53">
        <f t="shared" si="58"/>
        <v>38</v>
      </c>
      <c r="QN15" s="53">
        <f t="shared" si="58"/>
        <v>38</v>
      </c>
      <c r="QO15" s="53">
        <f t="shared" si="58"/>
        <v>38</v>
      </c>
      <c r="QP15" s="53">
        <f t="shared" si="58"/>
        <v>38</v>
      </c>
      <c r="QQ15" s="53">
        <f t="shared" si="58"/>
        <v>38</v>
      </c>
      <c r="QR15" s="53">
        <f t="shared" si="58"/>
        <v>39</v>
      </c>
      <c r="QS15" s="53">
        <f t="shared" si="58"/>
        <v>39</v>
      </c>
      <c r="QT15" s="53">
        <f t="shared" si="58"/>
        <v>39</v>
      </c>
      <c r="QU15" s="53">
        <f t="shared" si="58"/>
        <v>39</v>
      </c>
      <c r="QV15" s="53">
        <f t="shared" si="58"/>
        <v>39</v>
      </c>
      <c r="QW15" s="53">
        <f t="shared" ref="QW15:TH15" si="59">QK15+1</f>
        <v>39</v>
      </c>
      <c r="QX15" s="53">
        <f t="shared" si="59"/>
        <v>39</v>
      </c>
      <c r="QY15" s="53">
        <f t="shared" si="59"/>
        <v>39</v>
      </c>
      <c r="QZ15" s="53">
        <f t="shared" si="59"/>
        <v>39</v>
      </c>
      <c r="RA15" s="53">
        <f t="shared" si="59"/>
        <v>39</v>
      </c>
      <c r="RB15" s="53">
        <f t="shared" si="59"/>
        <v>39</v>
      </c>
      <c r="RC15" s="53">
        <f t="shared" si="59"/>
        <v>39</v>
      </c>
      <c r="RD15" s="53">
        <f t="shared" si="59"/>
        <v>40</v>
      </c>
      <c r="RE15" s="53">
        <f t="shared" si="59"/>
        <v>40</v>
      </c>
      <c r="RF15" s="53">
        <f t="shared" si="59"/>
        <v>40</v>
      </c>
      <c r="RG15" s="53">
        <f t="shared" si="59"/>
        <v>40</v>
      </c>
      <c r="RH15" s="53">
        <f t="shared" si="59"/>
        <v>40</v>
      </c>
      <c r="RI15" s="53">
        <f t="shared" si="59"/>
        <v>40</v>
      </c>
      <c r="RJ15" s="53">
        <f t="shared" si="59"/>
        <v>40</v>
      </c>
      <c r="RK15" s="53">
        <f t="shared" si="59"/>
        <v>40</v>
      </c>
      <c r="RL15" s="53">
        <f t="shared" si="59"/>
        <v>40</v>
      </c>
      <c r="RM15" s="53">
        <f t="shared" si="59"/>
        <v>40</v>
      </c>
      <c r="RN15" s="53">
        <f t="shared" si="59"/>
        <v>40</v>
      </c>
      <c r="RO15" s="53">
        <f t="shared" si="59"/>
        <v>40</v>
      </c>
      <c r="RP15" s="53">
        <f t="shared" si="59"/>
        <v>41</v>
      </c>
      <c r="RQ15" s="53">
        <f t="shared" si="59"/>
        <v>41</v>
      </c>
      <c r="RR15" s="53">
        <f t="shared" si="59"/>
        <v>41</v>
      </c>
      <c r="RS15" s="53">
        <f t="shared" si="59"/>
        <v>41</v>
      </c>
      <c r="RT15" s="53">
        <f t="shared" si="59"/>
        <v>41</v>
      </c>
      <c r="RU15" s="53">
        <f t="shared" si="59"/>
        <v>41</v>
      </c>
      <c r="RV15" s="53">
        <f t="shared" si="59"/>
        <v>41</v>
      </c>
      <c r="RW15" s="53">
        <f t="shared" si="59"/>
        <v>41</v>
      </c>
      <c r="RX15" s="53">
        <f t="shared" si="59"/>
        <v>41</v>
      </c>
      <c r="RY15" s="53">
        <f t="shared" si="59"/>
        <v>41</v>
      </c>
      <c r="RZ15" s="53">
        <f t="shared" si="59"/>
        <v>41</v>
      </c>
      <c r="SA15" s="53">
        <f t="shared" si="59"/>
        <v>41</v>
      </c>
      <c r="SB15" s="53">
        <f t="shared" si="59"/>
        <v>42</v>
      </c>
      <c r="SC15" s="53">
        <f t="shared" si="59"/>
        <v>42</v>
      </c>
      <c r="SD15" s="53">
        <f t="shared" si="59"/>
        <v>42</v>
      </c>
      <c r="SE15" s="53">
        <f t="shared" si="59"/>
        <v>42</v>
      </c>
      <c r="SF15" s="53">
        <f t="shared" si="59"/>
        <v>42</v>
      </c>
      <c r="SG15" s="53">
        <f t="shared" si="59"/>
        <v>42</v>
      </c>
      <c r="SH15" s="53">
        <f t="shared" si="59"/>
        <v>42</v>
      </c>
      <c r="SI15" s="53">
        <f t="shared" si="59"/>
        <v>42</v>
      </c>
      <c r="SJ15" s="53">
        <f t="shared" si="59"/>
        <v>42</v>
      </c>
      <c r="SK15" s="53">
        <f t="shared" si="59"/>
        <v>42</v>
      </c>
      <c r="SL15" s="53">
        <f t="shared" si="59"/>
        <v>42</v>
      </c>
      <c r="SM15" s="53">
        <f t="shared" si="59"/>
        <v>42</v>
      </c>
      <c r="SN15" s="53">
        <f t="shared" si="59"/>
        <v>43</v>
      </c>
      <c r="SO15" s="53">
        <f t="shared" si="59"/>
        <v>43</v>
      </c>
      <c r="SP15" s="53">
        <f t="shared" si="59"/>
        <v>43</v>
      </c>
      <c r="SQ15" s="53">
        <f t="shared" si="59"/>
        <v>43</v>
      </c>
      <c r="SR15" s="53">
        <f t="shared" si="59"/>
        <v>43</v>
      </c>
      <c r="SS15" s="53">
        <f t="shared" si="59"/>
        <v>43</v>
      </c>
      <c r="ST15" s="53">
        <f t="shared" si="59"/>
        <v>43</v>
      </c>
      <c r="SU15" s="53">
        <f t="shared" si="59"/>
        <v>43</v>
      </c>
      <c r="SV15" s="53">
        <f t="shared" si="59"/>
        <v>43</v>
      </c>
      <c r="SW15" s="53">
        <f t="shared" si="59"/>
        <v>43</v>
      </c>
      <c r="SX15" s="53">
        <f t="shared" si="59"/>
        <v>43</v>
      </c>
      <c r="SY15" s="53">
        <f t="shared" si="59"/>
        <v>43</v>
      </c>
      <c r="SZ15" s="53">
        <f t="shared" si="59"/>
        <v>44</v>
      </c>
      <c r="TA15" s="53">
        <f t="shared" si="59"/>
        <v>44</v>
      </c>
      <c r="TB15" s="53">
        <f t="shared" si="59"/>
        <v>44</v>
      </c>
      <c r="TC15" s="53">
        <f t="shared" si="59"/>
        <v>44</v>
      </c>
      <c r="TD15" s="53">
        <f t="shared" si="59"/>
        <v>44</v>
      </c>
      <c r="TE15" s="53">
        <f t="shared" si="59"/>
        <v>44</v>
      </c>
      <c r="TF15" s="53">
        <f t="shared" si="59"/>
        <v>44</v>
      </c>
      <c r="TG15" s="53">
        <f t="shared" si="59"/>
        <v>44</v>
      </c>
      <c r="TH15" s="53">
        <f t="shared" si="59"/>
        <v>44</v>
      </c>
      <c r="TI15" s="53">
        <f t="shared" ref="TI15:VT15" si="60">SW15+1</f>
        <v>44</v>
      </c>
      <c r="TJ15" s="53">
        <f t="shared" si="60"/>
        <v>44</v>
      </c>
      <c r="TK15" s="53">
        <f t="shared" si="60"/>
        <v>44</v>
      </c>
      <c r="TL15" s="53">
        <f t="shared" si="60"/>
        <v>45</v>
      </c>
      <c r="TM15" s="53">
        <f t="shared" si="60"/>
        <v>45</v>
      </c>
      <c r="TN15" s="53">
        <f t="shared" si="60"/>
        <v>45</v>
      </c>
      <c r="TO15" s="53">
        <f t="shared" si="60"/>
        <v>45</v>
      </c>
      <c r="TP15" s="53">
        <f t="shared" si="60"/>
        <v>45</v>
      </c>
      <c r="TQ15" s="53">
        <f t="shared" si="60"/>
        <v>45</v>
      </c>
      <c r="TR15" s="53">
        <f t="shared" si="60"/>
        <v>45</v>
      </c>
      <c r="TS15" s="53">
        <f t="shared" si="60"/>
        <v>45</v>
      </c>
      <c r="TT15" s="53">
        <f t="shared" si="60"/>
        <v>45</v>
      </c>
      <c r="TU15" s="53">
        <f t="shared" si="60"/>
        <v>45</v>
      </c>
      <c r="TV15" s="53">
        <f t="shared" si="60"/>
        <v>45</v>
      </c>
      <c r="TW15" s="53">
        <f t="shared" si="60"/>
        <v>45</v>
      </c>
      <c r="TX15" s="53">
        <f t="shared" si="60"/>
        <v>46</v>
      </c>
      <c r="TY15" s="53">
        <f t="shared" si="60"/>
        <v>46</v>
      </c>
      <c r="TZ15" s="53">
        <f t="shared" si="60"/>
        <v>46</v>
      </c>
      <c r="UA15" s="53">
        <f t="shared" si="60"/>
        <v>46</v>
      </c>
      <c r="UB15" s="53">
        <f t="shared" si="60"/>
        <v>46</v>
      </c>
      <c r="UC15" s="53">
        <f t="shared" si="60"/>
        <v>46</v>
      </c>
      <c r="UD15" s="53">
        <f t="shared" si="60"/>
        <v>46</v>
      </c>
      <c r="UE15" s="53">
        <f t="shared" si="60"/>
        <v>46</v>
      </c>
      <c r="UF15" s="53">
        <f t="shared" si="60"/>
        <v>46</v>
      </c>
      <c r="UG15" s="53">
        <f t="shared" si="60"/>
        <v>46</v>
      </c>
      <c r="UH15" s="53">
        <f t="shared" si="60"/>
        <v>46</v>
      </c>
      <c r="UI15" s="53">
        <f t="shared" si="60"/>
        <v>46</v>
      </c>
      <c r="UJ15" s="53">
        <f t="shared" si="60"/>
        <v>47</v>
      </c>
      <c r="UK15" s="53">
        <f t="shared" si="60"/>
        <v>47</v>
      </c>
      <c r="UL15" s="53">
        <f t="shared" si="60"/>
        <v>47</v>
      </c>
      <c r="UM15" s="53">
        <f t="shared" si="60"/>
        <v>47</v>
      </c>
      <c r="UN15" s="53">
        <f t="shared" si="60"/>
        <v>47</v>
      </c>
      <c r="UO15" s="53">
        <f t="shared" si="60"/>
        <v>47</v>
      </c>
      <c r="UP15" s="53">
        <f t="shared" si="60"/>
        <v>47</v>
      </c>
      <c r="UQ15" s="53">
        <f t="shared" si="60"/>
        <v>47</v>
      </c>
      <c r="UR15" s="53">
        <f t="shared" si="60"/>
        <v>47</v>
      </c>
      <c r="US15" s="53">
        <f t="shared" si="60"/>
        <v>47</v>
      </c>
      <c r="UT15" s="53">
        <f t="shared" si="60"/>
        <v>47</v>
      </c>
      <c r="UU15" s="53">
        <f t="shared" si="60"/>
        <v>47</v>
      </c>
      <c r="UV15" s="53">
        <f t="shared" si="60"/>
        <v>48</v>
      </c>
      <c r="UW15" s="53">
        <f t="shared" si="60"/>
        <v>48</v>
      </c>
      <c r="UX15" s="53">
        <f t="shared" si="60"/>
        <v>48</v>
      </c>
      <c r="UY15" s="53">
        <f t="shared" si="60"/>
        <v>48</v>
      </c>
      <c r="UZ15" s="53">
        <f t="shared" si="60"/>
        <v>48</v>
      </c>
      <c r="VA15" s="53">
        <f t="shared" si="60"/>
        <v>48</v>
      </c>
      <c r="VB15" s="53">
        <f t="shared" si="60"/>
        <v>48</v>
      </c>
      <c r="VC15" s="53">
        <f t="shared" si="60"/>
        <v>48</v>
      </c>
      <c r="VD15" s="53">
        <f t="shared" si="60"/>
        <v>48</v>
      </c>
      <c r="VE15" s="53">
        <f t="shared" si="60"/>
        <v>48</v>
      </c>
      <c r="VF15" s="53">
        <f t="shared" si="60"/>
        <v>48</v>
      </c>
      <c r="VG15" s="53">
        <f t="shared" si="60"/>
        <v>48</v>
      </c>
      <c r="VH15" s="53">
        <f t="shared" si="60"/>
        <v>49</v>
      </c>
      <c r="VI15" s="53">
        <f t="shared" si="60"/>
        <v>49</v>
      </c>
      <c r="VJ15" s="53">
        <f t="shared" si="60"/>
        <v>49</v>
      </c>
      <c r="VK15" s="53">
        <f t="shared" si="60"/>
        <v>49</v>
      </c>
      <c r="VL15" s="53">
        <f t="shared" si="60"/>
        <v>49</v>
      </c>
      <c r="VM15" s="53">
        <f t="shared" si="60"/>
        <v>49</v>
      </c>
      <c r="VN15" s="53">
        <f t="shared" si="60"/>
        <v>49</v>
      </c>
      <c r="VO15" s="53">
        <f t="shared" si="60"/>
        <v>49</v>
      </c>
      <c r="VP15" s="53">
        <f t="shared" si="60"/>
        <v>49</v>
      </c>
      <c r="VQ15" s="53">
        <f t="shared" si="60"/>
        <v>49</v>
      </c>
      <c r="VR15" s="53">
        <f t="shared" si="60"/>
        <v>49</v>
      </c>
      <c r="VS15" s="53">
        <f t="shared" si="60"/>
        <v>49</v>
      </c>
      <c r="VT15" s="53">
        <f t="shared" si="60"/>
        <v>50</v>
      </c>
      <c r="VU15" s="53">
        <f t="shared" ref="VU15:YF15" si="61">VI15+1</f>
        <v>50</v>
      </c>
      <c r="VV15" s="53">
        <f t="shared" si="61"/>
        <v>50</v>
      </c>
      <c r="VW15" s="53">
        <f t="shared" si="61"/>
        <v>50</v>
      </c>
      <c r="VX15" s="53">
        <f t="shared" si="61"/>
        <v>50</v>
      </c>
      <c r="VY15" s="53">
        <f t="shared" si="61"/>
        <v>50</v>
      </c>
      <c r="VZ15" s="53">
        <f t="shared" si="61"/>
        <v>50</v>
      </c>
      <c r="WA15" s="53">
        <f t="shared" si="61"/>
        <v>50</v>
      </c>
      <c r="WB15" s="53">
        <f t="shared" si="61"/>
        <v>50</v>
      </c>
      <c r="WC15" s="53">
        <f t="shared" si="61"/>
        <v>50</v>
      </c>
      <c r="WD15" s="53">
        <f t="shared" si="61"/>
        <v>50</v>
      </c>
      <c r="WE15" s="53">
        <f t="shared" si="61"/>
        <v>50</v>
      </c>
      <c r="WF15" s="53">
        <f t="shared" si="61"/>
        <v>51</v>
      </c>
      <c r="WG15" s="53">
        <f t="shared" si="61"/>
        <v>51</v>
      </c>
      <c r="WH15" s="53">
        <f t="shared" si="61"/>
        <v>51</v>
      </c>
      <c r="WI15" s="53">
        <f t="shared" si="61"/>
        <v>51</v>
      </c>
      <c r="WJ15" s="53">
        <f t="shared" si="61"/>
        <v>51</v>
      </c>
      <c r="WK15" s="53">
        <f t="shared" si="61"/>
        <v>51</v>
      </c>
      <c r="WL15" s="53">
        <f t="shared" si="61"/>
        <v>51</v>
      </c>
      <c r="WM15" s="53">
        <f t="shared" si="61"/>
        <v>51</v>
      </c>
      <c r="WN15" s="53">
        <f t="shared" si="61"/>
        <v>51</v>
      </c>
      <c r="WO15" s="53">
        <f t="shared" si="61"/>
        <v>51</v>
      </c>
      <c r="WP15" s="53">
        <f t="shared" si="61"/>
        <v>51</v>
      </c>
      <c r="WQ15" s="53">
        <f t="shared" si="61"/>
        <v>51</v>
      </c>
      <c r="WR15" s="53">
        <f t="shared" si="61"/>
        <v>52</v>
      </c>
      <c r="WS15" s="53">
        <f t="shared" si="61"/>
        <v>52</v>
      </c>
      <c r="WT15" s="53">
        <f t="shared" si="61"/>
        <v>52</v>
      </c>
      <c r="WU15" s="53">
        <f t="shared" si="61"/>
        <v>52</v>
      </c>
      <c r="WV15" s="53">
        <f t="shared" si="61"/>
        <v>52</v>
      </c>
      <c r="WW15" s="53">
        <f t="shared" si="61"/>
        <v>52</v>
      </c>
      <c r="WX15" s="53">
        <f t="shared" si="61"/>
        <v>52</v>
      </c>
      <c r="WY15" s="53">
        <f t="shared" si="61"/>
        <v>52</v>
      </c>
      <c r="WZ15" s="53">
        <f t="shared" si="61"/>
        <v>52</v>
      </c>
      <c r="XA15" s="53">
        <f t="shared" si="61"/>
        <v>52</v>
      </c>
      <c r="XB15" s="53">
        <f t="shared" si="61"/>
        <v>52</v>
      </c>
      <c r="XC15" s="53">
        <f t="shared" si="61"/>
        <v>52</v>
      </c>
      <c r="XD15" s="53">
        <f t="shared" si="61"/>
        <v>53</v>
      </c>
      <c r="XE15" s="53">
        <f t="shared" si="61"/>
        <v>53</v>
      </c>
      <c r="XF15" s="53">
        <f t="shared" si="61"/>
        <v>53</v>
      </c>
      <c r="XG15" s="53">
        <f t="shared" si="61"/>
        <v>53</v>
      </c>
      <c r="XH15" s="53">
        <f t="shared" si="61"/>
        <v>53</v>
      </c>
      <c r="XI15" s="53">
        <f t="shared" si="61"/>
        <v>53</v>
      </c>
      <c r="XJ15" s="53">
        <f t="shared" si="61"/>
        <v>53</v>
      </c>
      <c r="XK15" s="53">
        <f t="shared" si="61"/>
        <v>53</v>
      </c>
      <c r="XL15" s="53">
        <f t="shared" si="61"/>
        <v>53</v>
      </c>
      <c r="XM15" s="53">
        <f t="shared" si="61"/>
        <v>53</v>
      </c>
      <c r="XN15" s="53">
        <f t="shared" si="61"/>
        <v>53</v>
      </c>
      <c r="XO15" s="53">
        <f t="shared" si="61"/>
        <v>53</v>
      </c>
      <c r="XP15" s="53">
        <f t="shared" si="61"/>
        <v>54</v>
      </c>
      <c r="XQ15" s="53">
        <f t="shared" si="61"/>
        <v>54</v>
      </c>
      <c r="XR15" s="53">
        <f t="shared" si="61"/>
        <v>54</v>
      </c>
      <c r="XS15" s="53">
        <f t="shared" si="61"/>
        <v>54</v>
      </c>
      <c r="XT15" s="53">
        <f t="shared" si="61"/>
        <v>54</v>
      </c>
      <c r="XU15" s="53">
        <f t="shared" si="61"/>
        <v>54</v>
      </c>
      <c r="XV15" s="53">
        <f t="shared" si="61"/>
        <v>54</v>
      </c>
      <c r="XW15" s="53">
        <f t="shared" si="61"/>
        <v>54</v>
      </c>
      <c r="XX15" s="53">
        <f t="shared" si="61"/>
        <v>54</v>
      </c>
      <c r="XY15" s="53">
        <f t="shared" si="61"/>
        <v>54</v>
      </c>
      <c r="XZ15" s="53">
        <f t="shared" si="61"/>
        <v>54</v>
      </c>
      <c r="YA15" s="53">
        <f t="shared" si="61"/>
        <v>54</v>
      </c>
      <c r="YB15" s="53">
        <f t="shared" si="61"/>
        <v>55</v>
      </c>
      <c r="YC15" s="53">
        <f t="shared" si="61"/>
        <v>55</v>
      </c>
      <c r="YD15" s="53">
        <f t="shared" si="61"/>
        <v>55</v>
      </c>
      <c r="YE15" s="53">
        <f t="shared" si="61"/>
        <v>55</v>
      </c>
      <c r="YF15" s="53">
        <f t="shared" si="61"/>
        <v>55</v>
      </c>
      <c r="YG15" s="53">
        <f t="shared" ref="YG15:AAR15" si="62">XU15+1</f>
        <v>55</v>
      </c>
      <c r="YH15" s="53">
        <f t="shared" si="62"/>
        <v>55</v>
      </c>
      <c r="YI15" s="53">
        <f t="shared" si="62"/>
        <v>55</v>
      </c>
      <c r="YJ15" s="53">
        <f t="shared" si="62"/>
        <v>55</v>
      </c>
      <c r="YK15" s="53">
        <f t="shared" si="62"/>
        <v>55</v>
      </c>
      <c r="YL15" s="53">
        <f t="shared" si="62"/>
        <v>55</v>
      </c>
      <c r="YM15" s="53">
        <f t="shared" si="62"/>
        <v>55</v>
      </c>
      <c r="YN15" s="53">
        <f t="shared" si="62"/>
        <v>56</v>
      </c>
      <c r="YO15" s="53">
        <f t="shared" si="62"/>
        <v>56</v>
      </c>
      <c r="YP15" s="53">
        <f t="shared" si="62"/>
        <v>56</v>
      </c>
      <c r="YQ15" s="53">
        <f t="shared" si="62"/>
        <v>56</v>
      </c>
      <c r="YR15" s="53">
        <f t="shared" si="62"/>
        <v>56</v>
      </c>
      <c r="YS15" s="53">
        <f t="shared" si="62"/>
        <v>56</v>
      </c>
      <c r="YT15" s="53">
        <f t="shared" si="62"/>
        <v>56</v>
      </c>
      <c r="YU15" s="53">
        <f t="shared" si="62"/>
        <v>56</v>
      </c>
      <c r="YV15" s="53">
        <f t="shared" si="62"/>
        <v>56</v>
      </c>
      <c r="YW15" s="53">
        <f t="shared" si="62"/>
        <v>56</v>
      </c>
      <c r="YX15" s="53">
        <f t="shared" si="62"/>
        <v>56</v>
      </c>
      <c r="YY15" s="53">
        <f t="shared" si="62"/>
        <v>56</v>
      </c>
      <c r="YZ15" s="53">
        <f t="shared" si="62"/>
        <v>57</v>
      </c>
      <c r="ZA15" s="53">
        <f t="shared" si="62"/>
        <v>57</v>
      </c>
      <c r="ZB15" s="53">
        <f t="shared" si="62"/>
        <v>57</v>
      </c>
      <c r="ZC15" s="53">
        <f t="shared" si="62"/>
        <v>57</v>
      </c>
      <c r="ZD15" s="53">
        <f t="shared" si="62"/>
        <v>57</v>
      </c>
      <c r="ZE15" s="53">
        <f t="shared" si="62"/>
        <v>57</v>
      </c>
      <c r="ZF15" s="53">
        <f t="shared" si="62"/>
        <v>57</v>
      </c>
      <c r="ZG15" s="53">
        <f t="shared" si="62"/>
        <v>57</v>
      </c>
      <c r="ZH15" s="53">
        <f t="shared" si="62"/>
        <v>57</v>
      </c>
      <c r="ZI15" s="53">
        <f t="shared" si="62"/>
        <v>57</v>
      </c>
      <c r="ZJ15" s="53">
        <f t="shared" si="62"/>
        <v>57</v>
      </c>
      <c r="ZK15" s="53">
        <f t="shared" si="62"/>
        <v>57</v>
      </c>
      <c r="ZL15" s="53">
        <f t="shared" si="62"/>
        <v>58</v>
      </c>
      <c r="ZM15" s="53">
        <f t="shared" si="62"/>
        <v>58</v>
      </c>
      <c r="ZN15" s="53">
        <f t="shared" si="62"/>
        <v>58</v>
      </c>
      <c r="ZO15" s="53">
        <f t="shared" si="62"/>
        <v>58</v>
      </c>
      <c r="ZP15" s="53">
        <f t="shared" si="62"/>
        <v>58</v>
      </c>
      <c r="ZQ15" s="53">
        <f t="shared" si="62"/>
        <v>58</v>
      </c>
      <c r="ZR15" s="53">
        <f t="shared" si="62"/>
        <v>58</v>
      </c>
      <c r="ZS15" s="53">
        <f t="shared" si="62"/>
        <v>58</v>
      </c>
      <c r="ZT15" s="53">
        <f t="shared" si="62"/>
        <v>58</v>
      </c>
      <c r="ZU15" s="53">
        <f t="shared" si="62"/>
        <v>58</v>
      </c>
      <c r="ZV15" s="53">
        <f t="shared" si="62"/>
        <v>58</v>
      </c>
      <c r="ZW15" s="53">
        <f t="shared" si="62"/>
        <v>58</v>
      </c>
      <c r="ZX15" s="53">
        <f t="shared" si="62"/>
        <v>59</v>
      </c>
      <c r="ZY15" s="53">
        <f t="shared" si="62"/>
        <v>59</v>
      </c>
      <c r="ZZ15" s="53">
        <f t="shared" si="62"/>
        <v>59</v>
      </c>
      <c r="AAA15" s="53">
        <f t="shared" si="62"/>
        <v>59</v>
      </c>
      <c r="AAB15" s="53">
        <f t="shared" si="62"/>
        <v>59</v>
      </c>
      <c r="AAC15" s="53">
        <f t="shared" si="62"/>
        <v>59</v>
      </c>
      <c r="AAD15" s="53">
        <f t="shared" si="62"/>
        <v>59</v>
      </c>
      <c r="AAE15" s="53">
        <f t="shared" si="62"/>
        <v>59</v>
      </c>
      <c r="AAF15" s="53">
        <f t="shared" si="62"/>
        <v>59</v>
      </c>
      <c r="AAG15" s="53">
        <f t="shared" si="62"/>
        <v>59</v>
      </c>
      <c r="AAH15" s="53">
        <f t="shared" si="62"/>
        <v>59</v>
      </c>
      <c r="AAI15" s="53">
        <f t="shared" si="62"/>
        <v>59</v>
      </c>
      <c r="AAJ15" s="53">
        <f t="shared" si="62"/>
        <v>60</v>
      </c>
      <c r="AAK15" s="53">
        <f t="shared" si="62"/>
        <v>60</v>
      </c>
      <c r="AAL15" s="53">
        <f t="shared" si="62"/>
        <v>60</v>
      </c>
      <c r="AAM15" s="53">
        <f t="shared" si="62"/>
        <v>60</v>
      </c>
      <c r="AAN15" s="53">
        <f t="shared" si="62"/>
        <v>60</v>
      </c>
      <c r="AAO15" s="53">
        <f t="shared" si="62"/>
        <v>60</v>
      </c>
      <c r="AAP15" s="53">
        <f t="shared" si="62"/>
        <v>60</v>
      </c>
      <c r="AAQ15" s="53">
        <f t="shared" si="62"/>
        <v>60</v>
      </c>
      <c r="AAR15" s="53">
        <f t="shared" si="62"/>
        <v>60</v>
      </c>
      <c r="AAS15" s="53">
        <f t="shared" ref="AAS15:ADD15" si="63">AAG15+1</f>
        <v>60</v>
      </c>
      <c r="AAT15" s="53">
        <f t="shared" si="63"/>
        <v>60</v>
      </c>
      <c r="AAU15" s="53">
        <f t="shared" si="63"/>
        <v>60</v>
      </c>
      <c r="AAV15" s="53">
        <f t="shared" si="63"/>
        <v>61</v>
      </c>
      <c r="AAW15" s="53">
        <f t="shared" si="63"/>
        <v>61</v>
      </c>
      <c r="AAX15" s="53">
        <f t="shared" si="63"/>
        <v>61</v>
      </c>
      <c r="AAY15" s="53">
        <f t="shared" si="63"/>
        <v>61</v>
      </c>
      <c r="AAZ15" s="53">
        <f t="shared" si="63"/>
        <v>61</v>
      </c>
      <c r="ABA15" s="53">
        <f t="shared" si="63"/>
        <v>61</v>
      </c>
      <c r="ABB15" s="53">
        <f t="shared" si="63"/>
        <v>61</v>
      </c>
      <c r="ABC15" s="53">
        <f t="shared" si="63"/>
        <v>61</v>
      </c>
      <c r="ABD15" s="53">
        <f t="shared" si="63"/>
        <v>61</v>
      </c>
      <c r="ABE15" s="53">
        <f t="shared" si="63"/>
        <v>61</v>
      </c>
      <c r="ABF15" s="53">
        <f t="shared" si="63"/>
        <v>61</v>
      </c>
      <c r="ABG15" s="53">
        <f t="shared" si="63"/>
        <v>61</v>
      </c>
      <c r="ABH15" s="53">
        <f t="shared" si="63"/>
        <v>62</v>
      </c>
      <c r="ABI15" s="53">
        <f t="shared" si="63"/>
        <v>62</v>
      </c>
      <c r="ABJ15" s="53">
        <f t="shared" si="63"/>
        <v>62</v>
      </c>
      <c r="ABK15" s="53">
        <f t="shared" si="63"/>
        <v>62</v>
      </c>
      <c r="ABL15" s="53">
        <f t="shared" si="63"/>
        <v>62</v>
      </c>
      <c r="ABM15" s="53">
        <f t="shared" si="63"/>
        <v>62</v>
      </c>
      <c r="ABN15" s="53">
        <f t="shared" si="63"/>
        <v>62</v>
      </c>
      <c r="ABO15" s="53">
        <f t="shared" si="63"/>
        <v>62</v>
      </c>
      <c r="ABP15" s="53">
        <f t="shared" si="63"/>
        <v>62</v>
      </c>
      <c r="ABQ15" s="53">
        <f t="shared" si="63"/>
        <v>62</v>
      </c>
      <c r="ABR15" s="53">
        <f t="shared" si="63"/>
        <v>62</v>
      </c>
      <c r="ABS15" s="53">
        <f t="shared" si="63"/>
        <v>62</v>
      </c>
      <c r="ABT15" s="53">
        <f t="shared" si="63"/>
        <v>63</v>
      </c>
      <c r="ABU15" s="53">
        <f t="shared" si="63"/>
        <v>63</v>
      </c>
      <c r="ABV15" s="53">
        <f t="shared" si="63"/>
        <v>63</v>
      </c>
      <c r="ABW15" s="53">
        <f t="shared" si="63"/>
        <v>63</v>
      </c>
      <c r="ABX15" s="53">
        <f t="shared" si="63"/>
        <v>63</v>
      </c>
      <c r="ABY15" s="53">
        <f t="shared" si="63"/>
        <v>63</v>
      </c>
      <c r="ABZ15" s="53">
        <f t="shared" si="63"/>
        <v>63</v>
      </c>
      <c r="ACA15" s="53">
        <f t="shared" si="63"/>
        <v>63</v>
      </c>
      <c r="ACB15" s="53">
        <f t="shared" si="63"/>
        <v>63</v>
      </c>
      <c r="ACC15" s="53">
        <f t="shared" si="63"/>
        <v>63</v>
      </c>
      <c r="ACD15" s="53">
        <f t="shared" si="63"/>
        <v>63</v>
      </c>
      <c r="ACE15" s="53">
        <f t="shared" si="63"/>
        <v>63</v>
      </c>
      <c r="ACF15" s="53">
        <f t="shared" si="63"/>
        <v>64</v>
      </c>
      <c r="ACG15" s="53">
        <f t="shared" si="63"/>
        <v>64</v>
      </c>
      <c r="ACH15" s="53">
        <f t="shared" si="63"/>
        <v>64</v>
      </c>
      <c r="ACI15" s="53">
        <f t="shared" si="63"/>
        <v>64</v>
      </c>
      <c r="ACJ15" s="53">
        <f t="shared" si="63"/>
        <v>64</v>
      </c>
      <c r="ACK15" s="53">
        <f t="shared" si="63"/>
        <v>64</v>
      </c>
      <c r="ACL15" s="53">
        <f t="shared" si="63"/>
        <v>64</v>
      </c>
      <c r="ACM15" s="53">
        <f t="shared" si="63"/>
        <v>64</v>
      </c>
      <c r="ACN15" s="53">
        <f t="shared" si="63"/>
        <v>64</v>
      </c>
      <c r="ACO15" s="53">
        <f t="shared" si="63"/>
        <v>64</v>
      </c>
      <c r="ACP15" s="53">
        <f t="shared" si="63"/>
        <v>64</v>
      </c>
      <c r="ACQ15" s="53">
        <f t="shared" si="63"/>
        <v>64</v>
      </c>
      <c r="ACR15" s="53">
        <f t="shared" si="63"/>
        <v>65</v>
      </c>
      <c r="ACS15" s="53">
        <f t="shared" si="63"/>
        <v>65</v>
      </c>
      <c r="ACT15" s="53">
        <f t="shared" si="63"/>
        <v>65</v>
      </c>
      <c r="ACU15" s="53">
        <f t="shared" si="63"/>
        <v>65</v>
      </c>
      <c r="ACV15" s="53">
        <f t="shared" si="63"/>
        <v>65</v>
      </c>
      <c r="ACW15" s="53">
        <f t="shared" si="63"/>
        <v>65</v>
      </c>
      <c r="ACX15" s="53">
        <f t="shared" si="63"/>
        <v>65</v>
      </c>
      <c r="ACY15" s="53">
        <f t="shared" si="63"/>
        <v>65</v>
      </c>
      <c r="ACZ15" s="53">
        <f t="shared" si="63"/>
        <v>65</v>
      </c>
      <c r="ADA15" s="53">
        <f t="shared" si="63"/>
        <v>65</v>
      </c>
      <c r="ADB15" s="53">
        <f t="shared" si="63"/>
        <v>65</v>
      </c>
      <c r="ADC15" s="53">
        <f t="shared" si="63"/>
        <v>65</v>
      </c>
      <c r="ADD15" s="53">
        <f t="shared" si="63"/>
        <v>66</v>
      </c>
      <c r="ADE15" s="53">
        <f t="shared" ref="ADE15:AFP15" si="64">ACS15+1</f>
        <v>66</v>
      </c>
      <c r="ADF15" s="53">
        <f t="shared" si="64"/>
        <v>66</v>
      </c>
      <c r="ADG15" s="53">
        <f t="shared" si="64"/>
        <v>66</v>
      </c>
      <c r="ADH15" s="53">
        <f t="shared" si="64"/>
        <v>66</v>
      </c>
      <c r="ADI15" s="53">
        <f t="shared" si="64"/>
        <v>66</v>
      </c>
      <c r="ADJ15" s="53">
        <f t="shared" si="64"/>
        <v>66</v>
      </c>
      <c r="ADK15" s="53">
        <f t="shared" si="64"/>
        <v>66</v>
      </c>
      <c r="ADL15" s="53">
        <f t="shared" si="64"/>
        <v>66</v>
      </c>
      <c r="ADM15" s="53">
        <f t="shared" si="64"/>
        <v>66</v>
      </c>
      <c r="ADN15" s="53">
        <f t="shared" si="64"/>
        <v>66</v>
      </c>
      <c r="ADO15" s="53">
        <f t="shared" si="64"/>
        <v>66</v>
      </c>
      <c r="ADP15" s="53">
        <f t="shared" si="64"/>
        <v>67</v>
      </c>
      <c r="ADQ15" s="53">
        <f t="shared" si="64"/>
        <v>67</v>
      </c>
      <c r="ADR15" s="53">
        <f t="shared" si="64"/>
        <v>67</v>
      </c>
      <c r="ADS15" s="53">
        <f t="shared" si="64"/>
        <v>67</v>
      </c>
      <c r="ADT15" s="53">
        <f t="shared" si="64"/>
        <v>67</v>
      </c>
      <c r="ADU15" s="53">
        <f t="shared" si="64"/>
        <v>67</v>
      </c>
      <c r="ADV15" s="53">
        <f t="shared" si="64"/>
        <v>67</v>
      </c>
      <c r="ADW15" s="53">
        <f t="shared" si="64"/>
        <v>67</v>
      </c>
      <c r="ADX15" s="53">
        <f t="shared" si="64"/>
        <v>67</v>
      </c>
      <c r="ADY15" s="53">
        <f t="shared" si="64"/>
        <v>67</v>
      </c>
      <c r="ADZ15" s="53">
        <f t="shared" si="64"/>
        <v>67</v>
      </c>
      <c r="AEA15" s="53">
        <f t="shared" si="64"/>
        <v>67</v>
      </c>
      <c r="AEB15" s="53">
        <f t="shared" si="64"/>
        <v>68</v>
      </c>
      <c r="AEC15" s="53">
        <f t="shared" si="64"/>
        <v>68</v>
      </c>
      <c r="AED15" s="53">
        <f t="shared" si="64"/>
        <v>68</v>
      </c>
      <c r="AEE15" s="53">
        <f t="shared" si="64"/>
        <v>68</v>
      </c>
      <c r="AEF15" s="53">
        <f t="shared" si="64"/>
        <v>68</v>
      </c>
      <c r="AEG15" s="53">
        <f t="shared" si="64"/>
        <v>68</v>
      </c>
      <c r="AEH15" s="53">
        <f t="shared" si="64"/>
        <v>68</v>
      </c>
      <c r="AEI15" s="53">
        <f t="shared" si="64"/>
        <v>68</v>
      </c>
      <c r="AEJ15" s="53">
        <f t="shared" si="64"/>
        <v>68</v>
      </c>
      <c r="AEK15" s="53">
        <f t="shared" si="64"/>
        <v>68</v>
      </c>
      <c r="AEL15" s="53">
        <f t="shared" si="64"/>
        <v>68</v>
      </c>
      <c r="AEM15" s="53">
        <f t="shared" si="64"/>
        <v>68</v>
      </c>
      <c r="AEN15" s="53">
        <f t="shared" si="64"/>
        <v>69</v>
      </c>
      <c r="AEO15" s="53">
        <f t="shared" si="64"/>
        <v>69</v>
      </c>
      <c r="AEP15" s="53">
        <f t="shared" si="64"/>
        <v>69</v>
      </c>
      <c r="AEQ15" s="53">
        <f t="shared" si="64"/>
        <v>69</v>
      </c>
      <c r="AER15" s="53">
        <f t="shared" si="64"/>
        <v>69</v>
      </c>
      <c r="AES15" s="53">
        <f t="shared" si="64"/>
        <v>69</v>
      </c>
      <c r="AET15" s="53">
        <f t="shared" si="64"/>
        <v>69</v>
      </c>
      <c r="AEU15" s="53">
        <f t="shared" si="64"/>
        <v>69</v>
      </c>
      <c r="AEV15" s="53">
        <f t="shared" si="64"/>
        <v>69</v>
      </c>
      <c r="AEW15" s="53">
        <f t="shared" si="64"/>
        <v>69</v>
      </c>
      <c r="AEX15" s="53">
        <f t="shared" si="64"/>
        <v>69</v>
      </c>
      <c r="AEY15" s="53">
        <f t="shared" si="64"/>
        <v>69</v>
      </c>
      <c r="AEZ15" s="53">
        <f t="shared" si="64"/>
        <v>70</v>
      </c>
      <c r="AFA15" s="53">
        <f t="shared" si="64"/>
        <v>70</v>
      </c>
      <c r="AFB15" s="53">
        <f t="shared" si="64"/>
        <v>70</v>
      </c>
      <c r="AFC15" s="53">
        <f t="shared" si="64"/>
        <v>70</v>
      </c>
      <c r="AFD15" s="53">
        <f t="shared" si="64"/>
        <v>70</v>
      </c>
      <c r="AFE15" s="53">
        <f t="shared" si="64"/>
        <v>70</v>
      </c>
      <c r="AFF15" s="53">
        <f t="shared" si="64"/>
        <v>70</v>
      </c>
      <c r="AFG15" s="53">
        <f t="shared" si="64"/>
        <v>70</v>
      </c>
      <c r="AFH15" s="53">
        <f t="shared" si="64"/>
        <v>70</v>
      </c>
      <c r="AFI15" s="53">
        <f t="shared" si="64"/>
        <v>70</v>
      </c>
      <c r="AFJ15" s="53">
        <f t="shared" si="64"/>
        <v>70</v>
      </c>
      <c r="AFK15" s="53">
        <f t="shared" si="64"/>
        <v>70</v>
      </c>
      <c r="AFL15" s="53">
        <f t="shared" si="64"/>
        <v>71</v>
      </c>
      <c r="AFM15" s="53">
        <f t="shared" si="64"/>
        <v>71</v>
      </c>
      <c r="AFN15" s="53">
        <f t="shared" si="64"/>
        <v>71</v>
      </c>
      <c r="AFO15" s="53">
        <f t="shared" si="64"/>
        <v>71</v>
      </c>
      <c r="AFP15" s="53">
        <f t="shared" si="64"/>
        <v>71</v>
      </c>
      <c r="AFQ15" s="53">
        <f t="shared" ref="AFQ15:AIB15" si="65">AFE15+1</f>
        <v>71</v>
      </c>
      <c r="AFR15" s="53">
        <f t="shared" si="65"/>
        <v>71</v>
      </c>
      <c r="AFS15" s="53">
        <f t="shared" si="65"/>
        <v>71</v>
      </c>
      <c r="AFT15" s="53">
        <f t="shared" si="65"/>
        <v>71</v>
      </c>
      <c r="AFU15" s="53">
        <f t="shared" si="65"/>
        <v>71</v>
      </c>
      <c r="AFV15" s="53">
        <f t="shared" si="65"/>
        <v>71</v>
      </c>
      <c r="AFW15" s="53">
        <f t="shared" si="65"/>
        <v>71</v>
      </c>
      <c r="AFX15" s="53">
        <f t="shared" si="65"/>
        <v>72</v>
      </c>
      <c r="AFY15" s="53">
        <f t="shared" si="65"/>
        <v>72</v>
      </c>
      <c r="AFZ15" s="53">
        <f t="shared" si="65"/>
        <v>72</v>
      </c>
      <c r="AGA15" s="53">
        <f t="shared" si="65"/>
        <v>72</v>
      </c>
      <c r="AGB15" s="53">
        <f t="shared" si="65"/>
        <v>72</v>
      </c>
      <c r="AGC15" s="53">
        <f t="shared" si="65"/>
        <v>72</v>
      </c>
      <c r="AGD15" s="53">
        <f t="shared" si="65"/>
        <v>72</v>
      </c>
      <c r="AGE15" s="53">
        <f t="shared" si="65"/>
        <v>72</v>
      </c>
      <c r="AGF15" s="53">
        <f t="shared" si="65"/>
        <v>72</v>
      </c>
      <c r="AGG15" s="53">
        <f t="shared" si="65"/>
        <v>72</v>
      </c>
      <c r="AGH15" s="53">
        <f t="shared" si="65"/>
        <v>72</v>
      </c>
      <c r="AGI15" s="53">
        <f t="shared" si="65"/>
        <v>72</v>
      </c>
      <c r="AGJ15" s="53">
        <f t="shared" si="65"/>
        <v>73</v>
      </c>
      <c r="AGK15" s="53">
        <f t="shared" si="65"/>
        <v>73</v>
      </c>
      <c r="AGL15" s="53">
        <f t="shared" si="65"/>
        <v>73</v>
      </c>
      <c r="AGM15" s="53">
        <f t="shared" si="65"/>
        <v>73</v>
      </c>
      <c r="AGN15" s="53">
        <f t="shared" si="65"/>
        <v>73</v>
      </c>
      <c r="AGO15" s="53">
        <f t="shared" si="65"/>
        <v>73</v>
      </c>
      <c r="AGP15" s="53">
        <f t="shared" si="65"/>
        <v>73</v>
      </c>
      <c r="AGQ15" s="53">
        <f t="shared" si="65"/>
        <v>73</v>
      </c>
      <c r="AGR15" s="53">
        <f t="shared" si="65"/>
        <v>73</v>
      </c>
      <c r="AGS15" s="53">
        <f t="shared" si="65"/>
        <v>73</v>
      </c>
      <c r="AGT15" s="53">
        <f t="shared" si="65"/>
        <v>73</v>
      </c>
      <c r="AGU15" s="53">
        <f t="shared" si="65"/>
        <v>73</v>
      </c>
      <c r="AGV15" s="53">
        <f t="shared" si="65"/>
        <v>74</v>
      </c>
      <c r="AGW15" s="53">
        <f t="shared" si="65"/>
        <v>74</v>
      </c>
      <c r="AGX15" s="53">
        <f t="shared" si="65"/>
        <v>74</v>
      </c>
      <c r="AGY15" s="53">
        <f t="shared" si="65"/>
        <v>74</v>
      </c>
      <c r="AGZ15" s="53">
        <f t="shared" si="65"/>
        <v>74</v>
      </c>
      <c r="AHA15" s="53">
        <f t="shared" si="65"/>
        <v>74</v>
      </c>
      <c r="AHB15" s="53">
        <f t="shared" si="65"/>
        <v>74</v>
      </c>
      <c r="AHC15" s="53">
        <f t="shared" si="65"/>
        <v>74</v>
      </c>
      <c r="AHD15" s="53">
        <f t="shared" si="65"/>
        <v>74</v>
      </c>
      <c r="AHE15" s="53">
        <f t="shared" si="65"/>
        <v>74</v>
      </c>
      <c r="AHF15" s="53">
        <f t="shared" si="65"/>
        <v>74</v>
      </c>
      <c r="AHG15" s="53">
        <f t="shared" si="65"/>
        <v>74</v>
      </c>
      <c r="AHH15" s="53">
        <f t="shared" si="65"/>
        <v>75</v>
      </c>
      <c r="AHI15" s="53">
        <f t="shared" si="65"/>
        <v>75</v>
      </c>
      <c r="AHJ15" s="53">
        <f t="shared" si="65"/>
        <v>75</v>
      </c>
      <c r="AHK15" s="53">
        <f t="shared" si="65"/>
        <v>75</v>
      </c>
      <c r="AHL15" s="53">
        <f t="shared" si="65"/>
        <v>75</v>
      </c>
      <c r="AHM15" s="53">
        <f t="shared" si="65"/>
        <v>75</v>
      </c>
      <c r="AHN15" s="53">
        <f t="shared" si="65"/>
        <v>75</v>
      </c>
      <c r="AHO15" s="53">
        <f t="shared" si="65"/>
        <v>75</v>
      </c>
      <c r="AHP15" s="53">
        <f t="shared" si="65"/>
        <v>75</v>
      </c>
      <c r="AHQ15" s="53">
        <f t="shared" si="65"/>
        <v>75</v>
      </c>
      <c r="AHR15" s="53">
        <f t="shared" si="65"/>
        <v>75</v>
      </c>
      <c r="AHS15" s="53">
        <f t="shared" si="65"/>
        <v>75</v>
      </c>
      <c r="AHT15" s="53">
        <f t="shared" si="65"/>
        <v>76</v>
      </c>
      <c r="AHU15" s="53">
        <f t="shared" si="65"/>
        <v>76</v>
      </c>
      <c r="AHV15" s="53">
        <f t="shared" si="65"/>
        <v>76</v>
      </c>
      <c r="AHW15" s="53">
        <f t="shared" si="65"/>
        <v>76</v>
      </c>
      <c r="AHX15" s="53">
        <f t="shared" si="65"/>
        <v>76</v>
      </c>
      <c r="AHY15" s="53">
        <f t="shared" si="65"/>
        <v>76</v>
      </c>
      <c r="AHZ15" s="53">
        <f t="shared" si="65"/>
        <v>76</v>
      </c>
      <c r="AIA15" s="53">
        <f t="shared" si="65"/>
        <v>76</v>
      </c>
      <c r="AIB15" s="53">
        <f t="shared" si="65"/>
        <v>76</v>
      </c>
      <c r="AIC15" s="53">
        <f t="shared" ref="AIC15:AKN15" si="66">AHQ15+1</f>
        <v>76</v>
      </c>
      <c r="AID15" s="53">
        <f t="shared" si="66"/>
        <v>76</v>
      </c>
      <c r="AIE15" s="53">
        <f t="shared" si="66"/>
        <v>76</v>
      </c>
      <c r="AIF15" s="53">
        <f t="shared" si="66"/>
        <v>77</v>
      </c>
      <c r="AIG15" s="53">
        <f t="shared" si="66"/>
        <v>77</v>
      </c>
      <c r="AIH15" s="53">
        <f t="shared" si="66"/>
        <v>77</v>
      </c>
      <c r="AII15" s="53">
        <f t="shared" si="66"/>
        <v>77</v>
      </c>
      <c r="AIJ15" s="53">
        <f t="shared" si="66"/>
        <v>77</v>
      </c>
      <c r="AIK15" s="53">
        <f t="shared" si="66"/>
        <v>77</v>
      </c>
      <c r="AIL15" s="53">
        <f t="shared" si="66"/>
        <v>77</v>
      </c>
      <c r="AIM15" s="53">
        <f t="shared" si="66"/>
        <v>77</v>
      </c>
      <c r="AIN15" s="53">
        <f t="shared" si="66"/>
        <v>77</v>
      </c>
      <c r="AIO15" s="53">
        <f t="shared" si="66"/>
        <v>77</v>
      </c>
      <c r="AIP15" s="53">
        <f t="shared" si="66"/>
        <v>77</v>
      </c>
      <c r="AIQ15" s="53">
        <f t="shared" si="66"/>
        <v>77</v>
      </c>
      <c r="AIR15" s="53">
        <f t="shared" si="66"/>
        <v>78</v>
      </c>
      <c r="AIS15" s="53">
        <f t="shared" si="66"/>
        <v>78</v>
      </c>
      <c r="AIT15" s="53">
        <f t="shared" si="66"/>
        <v>78</v>
      </c>
      <c r="AIU15" s="53">
        <f t="shared" si="66"/>
        <v>78</v>
      </c>
      <c r="AIV15" s="53">
        <f t="shared" si="66"/>
        <v>78</v>
      </c>
      <c r="AIW15" s="53">
        <f t="shared" si="66"/>
        <v>78</v>
      </c>
      <c r="AIX15" s="53">
        <f t="shared" si="66"/>
        <v>78</v>
      </c>
      <c r="AIY15" s="53">
        <f t="shared" si="66"/>
        <v>78</v>
      </c>
      <c r="AIZ15" s="53">
        <f t="shared" si="66"/>
        <v>78</v>
      </c>
      <c r="AJA15" s="53">
        <f t="shared" si="66"/>
        <v>78</v>
      </c>
      <c r="AJB15" s="53">
        <f t="shared" si="66"/>
        <v>78</v>
      </c>
      <c r="AJC15" s="53">
        <f t="shared" si="66"/>
        <v>78</v>
      </c>
      <c r="AJD15" s="53">
        <f t="shared" si="66"/>
        <v>79</v>
      </c>
      <c r="AJE15" s="53">
        <f t="shared" si="66"/>
        <v>79</v>
      </c>
      <c r="AJF15" s="53">
        <f t="shared" si="66"/>
        <v>79</v>
      </c>
      <c r="AJG15" s="53">
        <f t="shared" si="66"/>
        <v>79</v>
      </c>
      <c r="AJH15" s="53">
        <f t="shared" si="66"/>
        <v>79</v>
      </c>
      <c r="AJI15" s="53">
        <f t="shared" si="66"/>
        <v>79</v>
      </c>
      <c r="AJJ15" s="53">
        <f t="shared" si="66"/>
        <v>79</v>
      </c>
      <c r="AJK15" s="53">
        <f t="shared" si="66"/>
        <v>79</v>
      </c>
      <c r="AJL15" s="53">
        <f t="shared" si="66"/>
        <v>79</v>
      </c>
      <c r="AJM15" s="53">
        <f t="shared" si="66"/>
        <v>79</v>
      </c>
      <c r="AJN15" s="53">
        <f t="shared" si="66"/>
        <v>79</v>
      </c>
      <c r="AJO15" s="53">
        <f t="shared" si="66"/>
        <v>79</v>
      </c>
      <c r="AJP15" s="53">
        <f t="shared" si="66"/>
        <v>80</v>
      </c>
      <c r="AJQ15" s="53">
        <f t="shared" si="66"/>
        <v>80</v>
      </c>
      <c r="AJR15" s="53">
        <f t="shared" si="66"/>
        <v>80</v>
      </c>
      <c r="AJS15" s="53">
        <f t="shared" si="66"/>
        <v>80</v>
      </c>
      <c r="AJT15" s="53">
        <f t="shared" si="66"/>
        <v>80</v>
      </c>
      <c r="AJU15" s="53">
        <f t="shared" si="66"/>
        <v>80</v>
      </c>
      <c r="AJV15" s="53">
        <f t="shared" si="66"/>
        <v>80</v>
      </c>
      <c r="AJW15" s="53">
        <f t="shared" si="66"/>
        <v>80</v>
      </c>
      <c r="AJX15" s="53">
        <f t="shared" si="66"/>
        <v>80</v>
      </c>
      <c r="AJY15" s="53">
        <f t="shared" si="66"/>
        <v>80</v>
      </c>
      <c r="AJZ15" s="53">
        <f t="shared" si="66"/>
        <v>80</v>
      </c>
      <c r="AKA15" s="53">
        <f t="shared" si="66"/>
        <v>80</v>
      </c>
      <c r="AKB15" s="53">
        <f t="shared" si="66"/>
        <v>81</v>
      </c>
      <c r="AKC15" s="53">
        <f t="shared" si="66"/>
        <v>81</v>
      </c>
      <c r="AKD15" s="53">
        <f t="shared" si="66"/>
        <v>81</v>
      </c>
      <c r="AKE15" s="53">
        <f t="shared" si="66"/>
        <v>81</v>
      </c>
      <c r="AKF15" s="53">
        <f t="shared" si="66"/>
        <v>81</v>
      </c>
      <c r="AKG15" s="53">
        <f t="shared" si="66"/>
        <v>81</v>
      </c>
      <c r="AKH15" s="53">
        <f t="shared" si="66"/>
        <v>81</v>
      </c>
      <c r="AKI15" s="53">
        <f t="shared" si="66"/>
        <v>81</v>
      </c>
      <c r="AKJ15" s="53">
        <f t="shared" si="66"/>
        <v>81</v>
      </c>
      <c r="AKK15" s="53">
        <f t="shared" si="66"/>
        <v>81</v>
      </c>
      <c r="AKL15" s="53">
        <f t="shared" si="66"/>
        <v>81</v>
      </c>
      <c r="AKM15" s="53">
        <f t="shared" si="66"/>
        <v>81</v>
      </c>
      <c r="AKN15" s="53">
        <f t="shared" si="66"/>
        <v>82</v>
      </c>
      <c r="AKO15" s="53">
        <f t="shared" ref="AKO15:AMZ15" si="67">AKC15+1</f>
        <v>82</v>
      </c>
      <c r="AKP15" s="53">
        <f t="shared" si="67"/>
        <v>82</v>
      </c>
      <c r="AKQ15" s="53">
        <f t="shared" si="67"/>
        <v>82</v>
      </c>
      <c r="AKR15" s="53">
        <f t="shared" si="67"/>
        <v>82</v>
      </c>
      <c r="AKS15" s="53">
        <f t="shared" si="67"/>
        <v>82</v>
      </c>
      <c r="AKT15" s="53">
        <f t="shared" si="67"/>
        <v>82</v>
      </c>
      <c r="AKU15" s="53">
        <f t="shared" si="67"/>
        <v>82</v>
      </c>
      <c r="AKV15" s="53">
        <f t="shared" si="67"/>
        <v>82</v>
      </c>
      <c r="AKW15" s="53">
        <f t="shared" si="67"/>
        <v>82</v>
      </c>
      <c r="AKX15" s="53">
        <f t="shared" si="67"/>
        <v>82</v>
      </c>
      <c r="AKY15" s="53">
        <f t="shared" si="67"/>
        <v>82</v>
      </c>
      <c r="AKZ15" s="53">
        <f t="shared" si="67"/>
        <v>83</v>
      </c>
      <c r="ALA15" s="53">
        <f t="shared" si="67"/>
        <v>83</v>
      </c>
      <c r="ALB15" s="53">
        <f t="shared" si="67"/>
        <v>83</v>
      </c>
      <c r="ALC15" s="53">
        <f t="shared" si="67"/>
        <v>83</v>
      </c>
      <c r="ALD15" s="53">
        <f t="shared" si="67"/>
        <v>83</v>
      </c>
      <c r="ALE15" s="53">
        <f t="shared" si="67"/>
        <v>83</v>
      </c>
      <c r="ALF15" s="53">
        <f t="shared" si="67"/>
        <v>83</v>
      </c>
      <c r="ALG15" s="53">
        <f t="shared" si="67"/>
        <v>83</v>
      </c>
      <c r="ALH15" s="53">
        <f t="shared" si="67"/>
        <v>83</v>
      </c>
      <c r="ALI15" s="53">
        <f t="shared" si="67"/>
        <v>83</v>
      </c>
      <c r="ALJ15" s="53">
        <f t="shared" si="67"/>
        <v>83</v>
      </c>
      <c r="ALK15" s="53">
        <f t="shared" si="67"/>
        <v>83</v>
      </c>
      <c r="ALL15" s="53">
        <f t="shared" si="67"/>
        <v>84</v>
      </c>
      <c r="ALM15" s="53">
        <f t="shared" si="67"/>
        <v>84</v>
      </c>
      <c r="ALN15" s="53">
        <f t="shared" si="67"/>
        <v>84</v>
      </c>
      <c r="ALO15" s="53">
        <f t="shared" si="67"/>
        <v>84</v>
      </c>
      <c r="ALP15" s="53">
        <f t="shared" si="67"/>
        <v>84</v>
      </c>
      <c r="ALQ15" s="53">
        <f t="shared" si="67"/>
        <v>84</v>
      </c>
      <c r="ALR15" s="53">
        <f t="shared" si="67"/>
        <v>84</v>
      </c>
      <c r="ALS15" s="53">
        <f t="shared" si="67"/>
        <v>84</v>
      </c>
      <c r="ALT15" s="53">
        <f t="shared" si="67"/>
        <v>84</v>
      </c>
      <c r="ALU15" s="53">
        <f t="shared" si="67"/>
        <v>84</v>
      </c>
      <c r="ALV15" s="53">
        <f t="shared" si="67"/>
        <v>84</v>
      </c>
      <c r="ALW15" s="53">
        <f t="shared" si="67"/>
        <v>84</v>
      </c>
      <c r="ALX15" s="53">
        <f t="shared" si="67"/>
        <v>85</v>
      </c>
      <c r="ALY15" s="53">
        <f t="shared" si="67"/>
        <v>85</v>
      </c>
      <c r="ALZ15" s="53">
        <f t="shared" si="67"/>
        <v>85</v>
      </c>
      <c r="AMA15" s="53">
        <f t="shared" si="67"/>
        <v>85</v>
      </c>
      <c r="AMB15" s="53">
        <f t="shared" si="67"/>
        <v>85</v>
      </c>
      <c r="AMC15" s="53">
        <f t="shared" si="67"/>
        <v>85</v>
      </c>
      <c r="AMD15" s="53">
        <f t="shared" si="67"/>
        <v>85</v>
      </c>
      <c r="AME15" s="53">
        <f t="shared" si="67"/>
        <v>85</v>
      </c>
      <c r="AMF15" s="53">
        <f t="shared" si="67"/>
        <v>85</v>
      </c>
      <c r="AMG15" s="53">
        <f t="shared" si="67"/>
        <v>85</v>
      </c>
      <c r="AMH15" s="53">
        <f t="shared" si="67"/>
        <v>85</v>
      </c>
      <c r="AMI15" s="53">
        <f t="shared" si="67"/>
        <v>85</v>
      </c>
      <c r="AMJ15" s="53">
        <f t="shared" si="67"/>
        <v>86</v>
      </c>
      <c r="AMK15" s="53">
        <f t="shared" si="67"/>
        <v>86</v>
      </c>
      <c r="AML15" s="53">
        <f t="shared" si="67"/>
        <v>86</v>
      </c>
      <c r="AMM15" s="53">
        <f t="shared" si="67"/>
        <v>86</v>
      </c>
      <c r="AMN15" s="53">
        <f t="shared" si="67"/>
        <v>86</v>
      </c>
      <c r="AMO15" s="53">
        <f t="shared" si="67"/>
        <v>86</v>
      </c>
      <c r="AMP15" s="53">
        <f t="shared" si="67"/>
        <v>86</v>
      </c>
      <c r="AMQ15" s="53">
        <f t="shared" si="67"/>
        <v>86</v>
      </c>
      <c r="AMR15" s="53">
        <f t="shared" si="67"/>
        <v>86</v>
      </c>
      <c r="AMS15" s="53">
        <f t="shared" si="67"/>
        <v>86</v>
      </c>
      <c r="AMT15" s="53">
        <f t="shared" si="67"/>
        <v>86</v>
      </c>
      <c r="AMU15" s="53">
        <f t="shared" si="67"/>
        <v>86</v>
      </c>
      <c r="AMV15" s="53">
        <f t="shared" si="67"/>
        <v>87</v>
      </c>
      <c r="AMW15" s="53">
        <f t="shared" si="67"/>
        <v>87</v>
      </c>
      <c r="AMX15" s="53">
        <f t="shared" si="67"/>
        <v>87</v>
      </c>
      <c r="AMY15" s="53">
        <f t="shared" si="67"/>
        <v>87</v>
      </c>
      <c r="AMZ15" s="53">
        <f t="shared" si="67"/>
        <v>87</v>
      </c>
      <c r="ANA15" s="53">
        <f t="shared" ref="ANA15:AOQ15" si="68">AMO15+1</f>
        <v>87</v>
      </c>
      <c r="ANB15" s="53">
        <f t="shared" si="68"/>
        <v>87</v>
      </c>
      <c r="ANC15" s="53">
        <f t="shared" si="68"/>
        <v>87</v>
      </c>
      <c r="AND15" s="53">
        <f t="shared" si="68"/>
        <v>87</v>
      </c>
      <c r="ANE15" s="53">
        <f t="shared" si="68"/>
        <v>87</v>
      </c>
      <c r="ANF15" s="53">
        <f t="shared" si="68"/>
        <v>87</v>
      </c>
      <c r="ANG15" s="53">
        <f t="shared" si="68"/>
        <v>87</v>
      </c>
      <c r="ANH15" s="53">
        <f t="shared" si="68"/>
        <v>88</v>
      </c>
      <c r="ANI15" s="53">
        <f t="shared" si="68"/>
        <v>88</v>
      </c>
      <c r="ANJ15" s="53">
        <f t="shared" si="68"/>
        <v>88</v>
      </c>
      <c r="ANK15" s="53">
        <f t="shared" si="68"/>
        <v>88</v>
      </c>
      <c r="ANL15" s="53">
        <f t="shared" si="68"/>
        <v>88</v>
      </c>
      <c r="ANM15" s="53">
        <f t="shared" si="68"/>
        <v>88</v>
      </c>
      <c r="ANN15" s="53">
        <f t="shared" si="68"/>
        <v>88</v>
      </c>
      <c r="ANO15" s="53">
        <f t="shared" si="68"/>
        <v>88</v>
      </c>
      <c r="ANP15" s="53">
        <f t="shared" si="68"/>
        <v>88</v>
      </c>
      <c r="ANQ15" s="53">
        <f t="shared" si="68"/>
        <v>88</v>
      </c>
      <c r="ANR15" s="53">
        <f t="shared" si="68"/>
        <v>88</v>
      </c>
      <c r="ANS15" s="53">
        <f t="shared" si="68"/>
        <v>88</v>
      </c>
      <c r="ANT15" s="53">
        <f t="shared" si="68"/>
        <v>89</v>
      </c>
      <c r="ANU15" s="53">
        <f t="shared" si="68"/>
        <v>89</v>
      </c>
      <c r="ANV15" s="53">
        <f t="shared" si="68"/>
        <v>89</v>
      </c>
      <c r="ANW15" s="53">
        <f t="shared" si="68"/>
        <v>89</v>
      </c>
      <c r="ANX15" s="53">
        <f t="shared" si="68"/>
        <v>89</v>
      </c>
      <c r="ANY15" s="53">
        <f t="shared" si="68"/>
        <v>89</v>
      </c>
      <c r="ANZ15" s="53">
        <f t="shared" si="68"/>
        <v>89</v>
      </c>
      <c r="AOA15" s="53">
        <f t="shared" si="68"/>
        <v>89</v>
      </c>
      <c r="AOB15" s="53">
        <f t="shared" si="68"/>
        <v>89</v>
      </c>
      <c r="AOC15" s="53">
        <f t="shared" si="68"/>
        <v>89</v>
      </c>
      <c r="AOD15" s="53">
        <f t="shared" si="68"/>
        <v>89</v>
      </c>
      <c r="AOE15" s="53">
        <f t="shared" si="68"/>
        <v>89</v>
      </c>
      <c r="AOF15" s="53">
        <f t="shared" si="68"/>
        <v>90</v>
      </c>
      <c r="AOG15" s="53">
        <f t="shared" si="68"/>
        <v>90</v>
      </c>
      <c r="AOH15" s="53">
        <f t="shared" si="68"/>
        <v>90</v>
      </c>
      <c r="AOI15" s="53">
        <f t="shared" si="68"/>
        <v>90</v>
      </c>
      <c r="AOJ15" s="53">
        <f t="shared" si="68"/>
        <v>90</v>
      </c>
      <c r="AOK15" s="53">
        <f t="shared" si="68"/>
        <v>90</v>
      </c>
      <c r="AOL15" s="53">
        <f t="shared" si="68"/>
        <v>90</v>
      </c>
      <c r="AOM15" s="53">
        <f t="shared" si="68"/>
        <v>90</v>
      </c>
      <c r="AON15" s="53">
        <f t="shared" si="68"/>
        <v>90</v>
      </c>
      <c r="AOO15" s="53">
        <f t="shared" si="68"/>
        <v>90</v>
      </c>
      <c r="AOP15" s="53">
        <f t="shared" si="68"/>
        <v>90</v>
      </c>
      <c r="AOQ15" s="53">
        <f t="shared" si="68"/>
        <v>90</v>
      </c>
      <c r="AOR15" s="53"/>
      <c r="AOS15" s="53"/>
      <c r="AOT15" s="53"/>
      <c r="AOU15" s="53"/>
      <c r="AOV15" s="53"/>
      <c r="AOW15" s="53"/>
      <c r="AOX15" s="53"/>
      <c r="AOY15" s="53"/>
      <c r="AOZ15" s="53"/>
      <c r="APA15" s="53"/>
      <c r="APB15" s="53"/>
      <c r="APC15" s="53"/>
      <c r="APD15" s="53"/>
      <c r="APE15" s="53"/>
      <c r="APF15" s="53"/>
      <c r="APG15" s="53"/>
      <c r="APH15" s="53"/>
      <c r="API15" s="53"/>
      <c r="APJ15" s="53"/>
      <c r="APK15" s="53"/>
    </row>
    <row r="16" spans="2:1103" x14ac:dyDescent="0.25">
      <c r="B16" s="53" t="s">
        <v>174</v>
      </c>
      <c r="C16" s="53"/>
      <c r="D16" s="53">
        <v>1</v>
      </c>
      <c r="E16" s="53">
        <f t="shared" ref="E16:O17" si="69">D16+1</f>
        <v>2</v>
      </c>
      <c r="F16" s="53">
        <f t="shared" si="69"/>
        <v>3</v>
      </c>
      <c r="G16" s="53">
        <f t="shared" si="69"/>
        <v>4</v>
      </c>
      <c r="H16" s="53">
        <f t="shared" si="69"/>
        <v>5</v>
      </c>
      <c r="I16" s="53">
        <f t="shared" si="69"/>
        <v>6</v>
      </c>
      <c r="J16" s="53">
        <f t="shared" si="69"/>
        <v>7</v>
      </c>
      <c r="K16" s="53">
        <f t="shared" si="69"/>
        <v>8</v>
      </c>
      <c r="L16" s="53">
        <f t="shared" si="69"/>
        <v>9</v>
      </c>
      <c r="M16" s="53">
        <f t="shared" si="69"/>
        <v>10</v>
      </c>
      <c r="N16" s="53">
        <f t="shared" si="69"/>
        <v>11</v>
      </c>
      <c r="O16" s="53">
        <f t="shared" si="69"/>
        <v>12</v>
      </c>
      <c r="P16" s="53">
        <f>D16</f>
        <v>1</v>
      </c>
      <c r="Q16" s="53">
        <f t="shared" ref="Q16:AA16" si="70">E16</f>
        <v>2</v>
      </c>
      <c r="R16" s="53">
        <f t="shared" si="70"/>
        <v>3</v>
      </c>
      <c r="S16" s="53">
        <f t="shared" si="70"/>
        <v>4</v>
      </c>
      <c r="T16" s="53">
        <f t="shared" si="70"/>
        <v>5</v>
      </c>
      <c r="U16" s="53">
        <f t="shared" si="70"/>
        <v>6</v>
      </c>
      <c r="V16" s="53">
        <f t="shared" si="70"/>
        <v>7</v>
      </c>
      <c r="W16" s="53">
        <f t="shared" si="70"/>
        <v>8</v>
      </c>
      <c r="X16" s="53">
        <f t="shared" si="70"/>
        <v>9</v>
      </c>
      <c r="Y16" s="53">
        <f t="shared" si="70"/>
        <v>10</v>
      </c>
      <c r="Z16" s="53">
        <f t="shared" si="70"/>
        <v>11</v>
      </c>
      <c r="AA16" s="53">
        <f t="shared" si="70"/>
        <v>12</v>
      </c>
      <c r="AB16" s="53">
        <f>P16</f>
        <v>1</v>
      </c>
      <c r="AC16" s="53">
        <f t="shared" ref="AC16:AM16" si="71">Q16</f>
        <v>2</v>
      </c>
      <c r="AD16" s="53">
        <f t="shared" si="71"/>
        <v>3</v>
      </c>
      <c r="AE16" s="53">
        <f t="shared" si="71"/>
        <v>4</v>
      </c>
      <c r="AF16" s="53">
        <f t="shared" si="71"/>
        <v>5</v>
      </c>
      <c r="AG16" s="53">
        <f t="shared" si="71"/>
        <v>6</v>
      </c>
      <c r="AH16" s="53">
        <f t="shared" si="71"/>
        <v>7</v>
      </c>
      <c r="AI16" s="53">
        <f t="shared" si="71"/>
        <v>8</v>
      </c>
      <c r="AJ16" s="53">
        <f t="shared" si="71"/>
        <v>9</v>
      </c>
      <c r="AK16" s="53">
        <f t="shared" si="71"/>
        <v>10</v>
      </c>
      <c r="AL16" s="53">
        <f t="shared" si="71"/>
        <v>11</v>
      </c>
      <c r="AM16" s="53">
        <f t="shared" si="71"/>
        <v>12</v>
      </c>
      <c r="AN16" s="53">
        <f>AB16</f>
        <v>1</v>
      </c>
      <c r="AO16" s="53">
        <f t="shared" ref="AO16:AY16" si="72">AC16</f>
        <v>2</v>
      </c>
      <c r="AP16" s="53">
        <f t="shared" si="72"/>
        <v>3</v>
      </c>
      <c r="AQ16" s="53">
        <f t="shared" si="72"/>
        <v>4</v>
      </c>
      <c r="AR16" s="53">
        <f t="shared" si="72"/>
        <v>5</v>
      </c>
      <c r="AS16" s="53">
        <f t="shared" si="72"/>
        <v>6</v>
      </c>
      <c r="AT16" s="53">
        <f t="shared" si="72"/>
        <v>7</v>
      </c>
      <c r="AU16" s="53">
        <f t="shared" si="72"/>
        <v>8</v>
      </c>
      <c r="AV16" s="53">
        <f t="shared" si="72"/>
        <v>9</v>
      </c>
      <c r="AW16" s="53">
        <f t="shared" si="72"/>
        <v>10</v>
      </c>
      <c r="AX16" s="53">
        <f t="shared" si="72"/>
        <v>11</v>
      </c>
      <c r="AY16" s="53">
        <f t="shared" si="72"/>
        <v>12</v>
      </c>
      <c r="AZ16" s="53">
        <f>AN16</f>
        <v>1</v>
      </c>
      <c r="BA16" s="53">
        <f t="shared" ref="BA16:BK16" si="73">AO16</f>
        <v>2</v>
      </c>
      <c r="BB16" s="53">
        <f t="shared" si="73"/>
        <v>3</v>
      </c>
      <c r="BC16" s="53">
        <f t="shared" si="73"/>
        <v>4</v>
      </c>
      <c r="BD16" s="53">
        <f t="shared" si="73"/>
        <v>5</v>
      </c>
      <c r="BE16" s="53">
        <f t="shared" si="73"/>
        <v>6</v>
      </c>
      <c r="BF16" s="53">
        <f t="shared" si="73"/>
        <v>7</v>
      </c>
      <c r="BG16" s="53">
        <f t="shared" si="73"/>
        <v>8</v>
      </c>
      <c r="BH16" s="53">
        <f t="shared" si="73"/>
        <v>9</v>
      </c>
      <c r="BI16" s="53">
        <f t="shared" si="73"/>
        <v>10</v>
      </c>
      <c r="BJ16" s="53">
        <f t="shared" si="73"/>
        <v>11</v>
      </c>
      <c r="BK16" s="53">
        <f t="shared" si="73"/>
        <v>12</v>
      </c>
      <c r="BL16" s="53">
        <f>AZ16</f>
        <v>1</v>
      </c>
      <c r="BM16" s="53">
        <f t="shared" ref="BM16:BW16" si="74">BA16</f>
        <v>2</v>
      </c>
      <c r="BN16" s="53">
        <f t="shared" si="74"/>
        <v>3</v>
      </c>
      <c r="BO16" s="53">
        <f t="shared" si="74"/>
        <v>4</v>
      </c>
      <c r="BP16" s="53">
        <f t="shared" si="74"/>
        <v>5</v>
      </c>
      <c r="BQ16" s="53">
        <f t="shared" si="74"/>
        <v>6</v>
      </c>
      <c r="BR16" s="53">
        <f t="shared" si="74"/>
        <v>7</v>
      </c>
      <c r="BS16" s="53">
        <f t="shared" si="74"/>
        <v>8</v>
      </c>
      <c r="BT16" s="53">
        <f t="shared" si="74"/>
        <v>9</v>
      </c>
      <c r="BU16" s="53">
        <f t="shared" si="74"/>
        <v>10</v>
      </c>
      <c r="BV16" s="53">
        <f t="shared" si="74"/>
        <v>11</v>
      </c>
      <c r="BW16" s="53">
        <f t="shared" si="74"/>
        <v>12</v>
      </c>
      <c r="BX16" s="53">
        <f>BL16</f>
        <v>1</v>
      </c>
      <c r="BY16" s="53">
        <f t="shared" ref="BY16:CI16" si="75">BM16</f>
        <v>2</v>
      </c>
      <c r="BZ16" s="53">
        <f t="shared" si="75"/>
        <v>3</v>
      </c>
      <c r="CA16" s="53">
        <f t="shared" si="75"/>
        <v>4</v>
      </c>
      <c r="CB16" s="53">
        <f t="shared" si="75"/>
        <v>5</v>
      </c>
      <c r="CC16" s="53">
        <f t="shared" si="75"/>
        <v>6</v>
      </c>
      <c r="CD16" s="53">
        <f t="shared" si="75"/>
        <v>7</v>
      </c>
      <c r="CE16" s="53">
        <f t="shared" si="75"/>
        <v>8</v>
      </c>
      <c r="CF16" s="53">
        <f t="shared" si="75"/>
        <v>9</v>
      </c>
      <c r="CG16" s="53">
        <f t="shared" si="75"/>
        <v>10</v>
      </c>
      <c r="CH16" s="53">
        <f t="shared" si="75"/>
        <v>11</v>
      </c>
      <c r="CI16" s="53">
        <f t="shared" si="75"/>
        <v>12</v>
      </c>
      <c r="CJ16" s="53">
        <f>BX16</f>
        <v>1</v>
      </c>
      <c r="CK16" s="53">
        <f t="shared" ref="CK16:CU16" si="76">BY16</f>
        <v>2</v>
      </c>
      <c r="CL16" s="53">
        <f t="shared" si="76"/>
        <v>3</v>
      </c>
      <c r="CM16" s="53">
        <f t="shared" si="76"/>
        <v>4</v>
      </c>
      <c r="CN16" s="53">
        <f t="shared" si="76"/>
        <v>5</v>
      </c>
      <c r="CO16" s="53">
        <f t="shared" si="76"/>
        <v>6</v>
      </c>
      <c r="CP16" s="53">
        <f t="shared" si="76"/>
        <v>7</v>
      </c>
      <c r="CQ16" s="53">
        <f t="shared" si="76"/>
        <v>8</v>
      </c>
      <c r="CR16" s="53">
        <f t="shared" si="76"/>
        <v>9</v>
      </c>
      <c r="CS16" s="53">
        <f t="shared" si="76"/>
        <v>10</v>
      </c>
      <c r="CT16" s="53">
        <f t="shared" si="76"/>
        <v>11</v>
      </c>
      <c r="CU16" s="53">
        <f t="shared" si="76"/>
        <v>12</v>
      </c>
      <c r="CV16" s="53">
        <f>CJ16</f>
        <v>1</v>
      </c>
      <c r="CW16" s="53">
        <f t="shared" ref="CW16:DG16" si="77">CK16</f>
        <v>2</v>
      </c>
      <c r="CX16" s="53">
        <f t="shared" si="77"/>
        <v>3</v>
      </c>
      <c r="CY16" s="53">
        <f t="shared" si="77"/>
        <v>4</v>
      </c>
      <c r="CZ16" s="53">
        <f t="shared" si="77"/>
        <v>5</v>
      </c>
      <c r="DA16" s="53">
        <f t="shared" si="77"/>
        <v>6</v>
      </c>
      <c r="DB16" s="53">
        <f t="shared" si="77"/>
        <v>7</v>
      </c>
      <c r="DC16" s="53">
        <f t="shared" si="77"/>
        <v>8</v>
      </c>
      <c r="DD16" s="53">
        <f t="shared" si="77"/>
        <v>9</v>
      </c>
      <c r="DE16" s="53">
        <f t="shared" si="77"/>
        <v>10</v>
      </c>
      <c r="DF16" s="53">
        <f t="shared" si="77"/>
        <v>11</v>
      </c>
      <c r="DG16" s="53">
        <f t="shared" si="77"/>
        <v>12</v>
      </c>
      <c r="DH16" s="53">
        <f>CV16</f>
        <v>1</v>
      </c>
      <c r="DI16" s="53">
        <f t="shared" ref="DI16:DS16" si="78">CW16</f>
        <v>2</v>
      </c>
      <c r="DJ16" s="53">
        <f t="shared" si="78"/>
        <v>3</v>
      </c>
      <c r="DK16" s="53">
        <f t="shared" si="78"/>
        <v>4</v>
      </c>
      <c r="DL16" s="53">
        <f t="shared" si="78"/>
        <v>5</v>
      </c>
      <c r="DM16" s="53">
        <f t="shared" si="78"/>
        <v>6</v>
      </c>
      <c r="DN16" s="53">
        <f t="shared" si="78"/>
        <v>7</v>
      </c>
      <c r="DO16" s="53">
        <f t="shared" si="78"/>
        <v>8</v>
      </c>
      <c r="DP16" s="53">
        <f t="shared" si="78"/>
        <v>9</v>
      </c>
      <c r="DQ16" s="53">
        <f t="shared" si="78"/>
        <v>10</v>
      </c>
      <c r="DR16" s="53">
        <f t="shared" si="78"/>
        <v>11</v>
      </c>
      <c r="DS16" s="53">
        <f t="shared" si="78"/>
        <v>12</v>
      </c>
      <c r="DT16" s="53">
        <f>DH16</f>
        <v>1</v>
      </c>
      <c r="DU16" s="53">
        <f t="shared" ref="DU16:EE16" si="79">DI16</f>
        <v>2</v>
      </c>
      <c r="DV16" s="53">
        <f t="shared" si="79"/>
        <v>3</v>
      </c>
      <c r="DW16" s="53">
        <f t="shared" si="79"/>
        <v>4</v>
      </c>
      <c r="DX16" s="53">
        <f t="shared" si="79"/>
        <v>5</v>
      </c>
      <c r="DY16" s="53">
        <f t="shared" si="79"/>
        <v>6</v>
      </c>
      <c r="DZ16" s="53">
        <f t="shared" si="79"/>
        <v>7</v>
      </c>
      <c r="EA16" s="53">
        <f t="shared" si="79"/>
        <v>8</v>
      </c>
      <c r="EB16" s="53">
        <f t="shared" si="79"/>
        <v>9</v>
      </c>
      <c r="EC16" s="53">
        <f t="shared" si="79"/>
        <v>10</v>
      </c>
      <c r="ED16" s="53">
        <f t="shared" si="79"/>
        <v>11</v>
      </c>
      <c r="EE16" s="53">
        <f t="shared" si="79"/>
        <v>12</v>
      </c>
      <c r="EF16" s="53">
        <f>DT16</f>
        <v>1</v>
      </c>
      <c r="EG16" s="53">
        <f t="shared" ref="EG16:EQ16" si="80">DU16</f>
        <v>2</v>
      </c>
      <c r="EH16" s="53">
        <f t="shared" si="80"/>
        <v>3</v>
      </c>
      <c r="EI16" s="53">
        <f t="shared" si="80"/>
        <v>4</v>
      </c>
      <c r="EJ16" s="53">
        <f t="shared" si="80"/>
        <v>5</v>
      </c>
      <c r="EK16" s="53">
        <f t="shared" si="80"/>
        <v>6</v>
      </c>
      <c r="EL16" s="53">
        <f t="shared" si="80"/>
        <v>7</v>
      </c>
      <c r="EM16" s="53">
        <f t="shared" si="80"/>
        <v>8</v>
      </c>
      <c r="EN16" s="53">
        <f t="shared" si="80"/>
        <v>9</v>
      </c>
      <c r="EO16" s="53">
        <f t="shared" si="80"/>
        <v>10</v>
      </c>
      <c r="EP16" s="53">
        <f t="shared" si="80"/>
        <v>11</v>
      </c>
      <c r="EQ16" s="53">
        <f t="shared" si="80"/>
        <v>12</v>
      </c>
      <c r="ER16" s="53">
        <f>EF16</f>
        <v>1</v>
      </c>
      <c r="ES16" s="53">
        <f t="shared" ref="ES16:FC16" si="81">EG16</f>
        <v>2</v>
      </c>
      <c r="ET16" s="53">
        <f t="shared" si="81"/>
        <v>3</v>
      </c>
      <c r="EU16" s="53">
        <f t="shared" si="81"/>
        <v>4</v>
      </c>
      <c r="EV16" s="53">
        <f t="shared" si="81"/>
        <v>5</v>
      </c>
      <c r="EW16" s="53">
        <f t="shared" si="81"/>
        <v>6</v>
      </c>
      <c r="EX16" s="53">
        <f t="shared" si="81"/>
        <v>7</v>
      </c>
      <c r="EY16" s="53">
        <f t="shared" si="81"/>
        <v>8</v>
      </c>
      <c r="EZ16" s="53">
        <f t="shared" si="81"/>
        <v>9</v>
      </c>
      <c r="FA16" s="53">
        <f t="shared" si="81"/>
        <v>10</v>
      </c>
      <c r="FB16" s="53">
        <f t="shared" si="81"/>
        <v>11</v>
      </c>
      <c r="FC16" s="53">
        <f t="shared" si="81"/>
        <v>12</v>
      </c>
      <c r="FD16" s="53">
        <f>ER16</f>
        <v>1</v>
      </c>
      <c r="FE16" s="53">
        <f t="shared" ref="FE16:FO16" si="82">ES16</f>
        <v>2</v>
      </c>
      <c r="FF16" s="53">
        <f t="shared" si="82"/>
        <v>3</v>
      </c>
      <c r="FG16" s="53">
        <f t="shared" si="82"/>
        <v>4</v>
      </c>
      <c r="FH16" s="53">
        <f t="shared" si="82"/>
        <v>5</v>
      </c>
      <c r="FI16" s="53">
        <f t="shared" si="82"/>
        <v>6</v>
      </c>
      <c r="FJ16" s="53">
        <f t="shared" si="82"/>
        <v>7</v>
      </c>
      <c r="FK16" s="53">
        <f t="shared" si="82"/>
        <v>8</v>
      </c>
      <c r="FL16" s="53">
        <f t="shared" si="82"/>
        <v>9</v>
      </c>
      <c r="FM16" s="53">
        <f t="shared" si="82"/>
        <v>10</v>
      </c>
      <c r="FN16" s="53">
        <f t="shared" si="82"/>
        <v>11</v>
      </c>
      <c r="FO16" s="53">
        <f t="shared" si="82"/>
        <v>12</v>
      </c>
      <c r="FP16" s="53">
        <f>FD16</f>
        <v>1</v>
      </c>
      <c r="FQ16" s="53">
        <f t="shared" ref="FQ16:GA16" si="83">FE16</f>
        <v>2</v>
      </c>
      <c r="FR16" s="53">
        <f t="shared" si="83"/>
        <v>3</v>
      </c>
      <c r="FS16" s="53">
        <f t="shared" si="83"/>
        <v>4</v>
      </c>
      <c r="FT16" s="53">
        <f t="shared" si="83"/>
        <v>5</v>
      </c>
      <c r="FU16" s="53">
        <f t="shared" si="83"/>
        <v>6</v>
      </c>
      <c r="FV16" s="53">
        <f t="shared" si="83"/>
        <v>7</v>
      </c>
      <c r="FW16" s="53">
        <f t="shared" si="83"/>
        <v>8</v>
      </c>
      <c r="FX16" s="53">
        <f t="shared" si="83"/>
        <v>9</v>
      </c>
      <c r="FY16" s="53">
        <f t="shared" si="83"/>
        <v>10</v>
      </c>
      <c r="FZ16" s="53">
        <f t="shared" si="83"/>
        <v>11</v>
      </c>
      <c r="GA16" s="53">
        <f t="shared" si="83"/>
        <v>12</v>
      </c>
      <c r="GB16" s="53">
        <f>FP16</f>
        <v>1</v>
      </c>
      <c r="GC16" s="53">
        <f t="shared" ref="GC16:GM16" si="84">FQ16</f>
        <v>2</v>
      </c>
      <c r="GD16" s="53">
        <f t="shared" si="84"/>
        <v>3</v>
      </c>
      <c r="GE16" s="53">
        <f t="shared" si="84"/>
        <v>4</v>
      </c>
      <c r="GF16" s="53">
        <f t="shared" si="84"/>
        <v>5</v>
      </c>
      <c r="GG16" s="53">
        <f t="shared" si="84"/>
        <v>6</v>
      </c>
      <c r="GH16" s="53">
        <f t="shared" si="84"/>
        <v>7</v>
      </c>
      <c r="GI16" s="53">
        <f t="shared" si="84"/>
        <v>8</v>
      </c>
      <c r="GJ16" s="53">
        <f t="shared" si="84"/>
        <v>9</v>
      </c>
      <c r="GK16" s="53">
        <f t="shared" si="84"/>
        <v>10</v>
      </c>
      <c r="GL16" s="53">
        <f t="shared" si="84"/>
        <v>11</v>
      </c>
      <c r="GM16" s="53">
        <f t="shared" si="84"/>
        <v>12</v>
      </c>
      <c r="GN16" s="53">
        <f>GB16</f>
        <v>1</v>
      </c>
      <c r="GO16" s="53">
        <f t="shared" ref="GO16:GY16" si="85">GC16</f>
        <v>2</v>
      </c>
      <c r="GP16" s="53">
        <f t="shared" si="85"/>
        <v>3</v>
      </c>
      <c r="GQ16" s="53">
        <f t="shared" si="85"/>
        <v>4</v>
      </c>
      <c r="GR16" s="53">
        <f t="shared" si="85"/>
        <v>5</v>
      </c>
      <c r="GS16" s="53">
        <f t="shared" si="85"/>
        <v>6</v>
      </c>
      <c r="GT16" s="53">
        <f t="shared" si="85"/>
        <v>7</v>
      </c>
      <c r="GU16" s="53">
        <f t="shared" si="85"/>
        <v>8</v>
      </c>
      <c r="GV16" s="53">
        <f t="shared" si="85"/>
        <v>9</v>
      </c>
      <c r="GW16" s="53">
        <f t="shared" si="85"/>
        <v>10</v>
      </c>
      <c r="GX16" s="53">
        <f t="shared" si="85"/>
        <v>11</v>
      </c>
      <c r="GY16" s="53">
        <f t="shared" si="85"/>
        <v>12</v>
      </c>
      <c r="GZ16" s="53">
        <f>GN16</f>
        <v>1</v>
      </c>
      <c r="HA16" s="53">
        <f t="shared" ref="HA16:HK16" si="86">GO16</f>
        <v>2</v>
      </c>
      <c r="HB16" s="53">
        <f t="shared" si="86"/>
        <v>3</v>
      </c>
      <c r="HC16" s="53">
        <f t="shared" si="86"/>
        <v>4</v>
      </c>
      <c r="HD16" s="53">
        <f t="shared" si="86"/>
        <v>5</v>
      </c>
      <c r="HE16" s="53">
        <f t="shared" si="86"/>
        <v>6</v>
      </c>
      <c r="HF16" s="53">
        <f t="shared" si="86"/>
        <v>7</v>
      </c>
      <c r="HG16" s="53">
        <f t="shared" si="86"/>
        <v>8</v>
      </c>
      <c r="HH16" s="53">
        <f t="shared" si="86"/>
        <v>9</v>
      </c>
      <c r="HI16" s="53">
        <f t="shared" si="86"/>
        <v>10</v>
      </c>
      <c r="HJ16" s="53">
        <f t="shared" si="86"/>
        <v>11</v>
      </c>
      <c r="HK16" s="53">
        <f t="shared" si="86"/>
        <v>12</v>
      </c>
      <c r="HL16" s="53">
        <f>GZ16</f>
        <v>1</v>
      </c>
      <c r="HM16" s="53">
        <f t="shared" ref="HM16:HW16" si="87">HA16</f>
        <v>2</v>
      </c>
      <c r="HN16" s="53">
        <f t="shared" si="87"/>
        <v>3</v>
      </c>
      <c r="HO16" s="53">
        <f t="shared" si="87"/>
        <v>4</v>
      </c>
      <c r="HP16" s="53">
        <f t="shared" si="87"/>
        <v>5</v>
      </c>
      <c r="HQ16" s="53">
        <f t="shared" si="87"/>
        <v>6</v>
      </c>
      <c r="HR16" s="53">
        <f t="shared" si="87"/>
        <v>7</v>
      </c>
      <c r="HS16" s="53">
        <f t="shared" si="87"/>
        <v>8</v>
      </c>
      <c r="HT16" s="53">
        <f t="shared" si="87"/>
        <v>9</v>
      </c>
      <c r="HU16" s="53">
        <f t="shared" si="87"/>
        <v>10</v>
      </c>
      <c r="HV16" s="53">
        <f t="shared" si="87"/>
        <v>11</v>
      </c>
      <c r="HW16" s="53">
        <f t="shared" si="87"/>
        <v>12</v>
      </c>
      <c r="HX16" s="53">
        <f>HL16</f>
        <v>1</v>
      </c>
      <c r="HY16" s="53">
        <f t="shared" ref="HY16:II16" si="88">HM16</f>
        <v>2</v>
      </c>
      <c r="HZ16" s="53">
        <f t="shared" si="88"/>
        <v>3</v>
      </c>
      <c r="IA16" s="53">
        <f t="shared" si="88"/>
        <v>4</v>
      </c>
      <c r="IB16" s="53">
        <f t="shared" si="88"/>
        <v>5</v>
      </c>
      <c r="IC16" s="53">
        <f t="shared" si="88"/>
        <v>6</v>
      </c>
      <c r="ID16" s="53">
        <f t="shared" si="88"/>
        <v>7</v>
      </c>
      <c r="IE16" s="53">
        <f t="shared" si="88"/>
        <v>8</v>
      </c>
      <c r="IF16" s="53">
        <f t="shared" si="88"/>
        <v>9</v>
      </c>
      <c r="IG16" s="53">
        <f t="shared" si="88"/>
        <v>10</v>
      </c>
      <c r="IH16" s="53">
        <f t="shared" si="88"/>
        <v>11</v>
      </c>
      <c r="II16" s="53">
        <f t="shared" si="88"/>
        <v>12</v>
      </c>
      <c r="IJ16" s="53">
        <f>HX16</f>
        <v>1</v>
      </c>
      <c r="IK16" s="53">
        <f t="shared" ref="IK16:IU16" si="89">HY16</f>
        <v>2</v>
      </c>
      <c r="IL16" s="53">
        <f t="shared" si="89"/>
        <v>3</v>
      </c>
      <c r="IM16" s="53">
        <f t="shared" si="89"/>
        <v>4</v>
      </c>
      <c r="IN16" s="53">
        <f t="shared" si="89"/>
        <v>5</v>
      </c>
      <c r="IO16" s="53">
        <f t="shared" si="89"/>
        <v>6</v>
      </c>
      <c r="IP16" s="53">
        <f t="shared" si="89"/>
        <v>7</v>
      </c>
      <c r="IQ16" s="53">
        <f t="shared" si="89"/>
        <v>8</v>
      </c>
      <c r="IR16" s="53">
        <f t="shared" si="89"/>
        <v>9</v>
      </c>
      <c r="IS16" s="53">
        <f t="shared" si="89"/>
        <v>10</v>
      </c>
      <c r="IT16" s="53">
        <f t="shared" si="89"/>
        <v>11</v>
      </c>
      <c r="IU16" s="53">
        <f t="shared" si="89"/>
        <v>12</v>
      </c>
      <c r="IV16" s="53">
        <f>IJ16</f>
        <v>1</v>
      </c>
      <c r="IW16" s="53">
        <f t="shared" ref="IW16:JG16" si="90">IK16</f>
        <v>2</v>
      </c>
      <c r="IX16" s="53">
        <f t="shared" si="90"/>
        <v>3</v>
      </c>
      <c r="IY16" s="53">
        <f t="shared" si="90"/>
        <v>4</v>
      </c>
      <c r="IZ16" s="53">
        <f t="shared" si="90"/>
        <v>5</v>
      </c>
      <c r="JA16" s="53">
        <f t="shared" si="90"/>
        <v>6</v>
      </c>
      <c r="JB16" s="53">
        <f t="shared" si="90"/>
        <v>7</v>
      </c>
      <c r="JC16" s="53">
        <f t="shared" si="90"/>
        <v>8</v>
      </c>
      <c r="JD16" s="53">
        <f t="shared" si="90"/>
        <v>9</v>
      </c>
      <c r="JE16" s="53">
        <f t="shared" si="90"/>
        <v>10</v>
      </c>
      <c r="JF16" s="53">
        <f t="shared" si="90"/>
        <v>11</v>
      </c>
      <c r="JG16" s="53">
        <f t="shared" si="90"/>
        <v>12</v>
      </c>
      <c r="JH16" s="53">
        <f>IV16</f>
        <v>1</v>
      </c>
      <c r="JI16" s="53">
        <f t="shared" ref="JI16:JS16" si="91">IW16</f>
        <v>2</v>
      </c>
      <c r="JJ16" s="53">
        <f t="shared" si="91"/>
        <v>3</v>
      </c>
      <c r="JK16" s="53">
        <f t="shared" si="91"/>
        <v>4</v>
      </c>
      <c r="JL16" s="53">
        <f t="shared" si="91"/>
        <v>5</v>
      </c>
      <c r="JM16" s="53">
        <f t="shared" si="91"/>
        <v>6</v>
      </c>
      <c r="JN16" s="53">
        <f t="shared" si="91"/>
        <v>7</v>
      </c>
      <c r="JO16" s="53">
        <f t="shared" si="91"/>
        <v>8</v>
      </c>
      <c r="JP16" s="53">
        <f t="shared" si="91"/>
        <v>9</v>
      </c>
      <c r="JQ16" s="53">
        <f t="shared" si="91"/>
        <v>10</v>
      </c>
      <c r="JR16" s="53">
        <f t="shared" si="91"/>
        <v>11</v>
      </c>
      <c r="JS16" s="53">
        <f t="shared" si="91"/>
        <v>12</v>
      </c>
      <c r="JT16" s="53">
        <f>JH16</f>
        <v>1</v>
      </c>
      <c r="JU16" s="53">
        <f t="shared" ref="JU16:KE16" si="92">JI16</f>
        <v>2</v>
      </c>
      <c r="JV16" s="53">
        <f t="shared" si="92"/>
        <v>3</v>
      </c>
      <c r="JW16" s="53">
        <f t="shared" si="92"/>
        <v>4</v>
      </c>
      <c r="JX16" s="53">
        <f t="shared" si="92"/>
        <v>5</v>
      </c>
      <c r="JY16" s="53">
        <f t="shared" si="92"/>
        <v>6</v>
      </c>
      <c r="JZ16" s="53">
        <f t="shared" si="92"/>
        <v>7</v>
      </c>
      <c r="KA16" s="53">
        <f t="shared" si="92"/>
        <v>8</v>
      </c>
      <c r="KB16" s="53">
        <f t="shared" si="92"/>
        <v>9</v>
      </c>
      <c r="KC16" s="53">
        <f t="shared" si="92"/>
        <v>10</v>
      </c>
      <c r="KD16" s="53">
        <f t="shared" si="92"/>
        <v>11</v>
      </c>
      <c r="KE16" s="53">
        <f t="shared" si="92"/>
        <v>12</v>
      </c>
      <c r="KF16" s="53">
        <f>JT16</f>
        <v>1</v>
      </c>
      <c r="KG16" s="53">
        <f t="shared" ref="KG16:KQ16" si="93">JU16</f>
        <v>2</v>
      </c>
      <c r="KH16" s="53">
        <f t="shared" si="93"/>
        <v>3</v>
      </c>
      <c r="KI16" s="53">
        <f t="shared" si="93"/>
        <v>4</v>
      </c>
      <c r="KJ16" s="53">
        <f t="shared" si="93"/>
        <v>5</v>
      </c>
      <c r="KK16" s="53">
        <f t="shared" si="93"/>
        <v>6</v>
      </c>
      <c r="KL16" s="53">
        <f t="shared" si="93"/>
        <v>7</v>
      </c>
      <c r="KM16" s="53">
        <f t="shared" si="93"/>
        <v>8</v>
      </c>
      <c r="KN16" s="53">
        <f t="shared" si="93"/>
        <v>9</v>
      </c>
      <c r="KO16" s="53">
        <f t="shared" si="93"/>
        <v>10</v>
      </c>
      <c r="KP16" s="53">
        <f t="shared" si="93"/>
        <v>11</v>
      </c>
      <c r="KQ16" s="53">
        <f t="shared" si="93"/>
        <v>12</v>
      </c>
      <c r="KR16" s="53">
        <f>KF16</f>
        <v>1</v>
      </c>
      <c r="KS16" s="53">
        <f t="shared" ref="KS16:LC16" si="94">KG16</f>
        <v>2</v>
      </c>
      <c r="KT16" s="53">
        <f t="shared" si="94"/>
        <v>3</v>
      </c>
      <c r="KU16" s="53">
        <f t="shared" si="94"/>
        <v>4</v>
      </c>
      <c r="KV16" s="53">
        <f t="shared" si="94"/>
        <v>5</v>
      </c>
      <c r="KW16" s="53">
        <f t="shared" si="94"/>
        <v>6</v>
      </c>
      <c r="KX16" s="53">
        <f t="shared" si="94"/>
        <v>7</v>
      </c>
      <c r="KY16" s="53">
        <f t="shared" si="94"/>
        <v>8</v>
      </c>
      <c r="KZ16" s="53">
        <f t="shared" si="94"/>
        <v>9</v>
      </c>
      <c r="LA16" s="53">
        <f t="shared" si="94"/>
        <v>10</v>
      </c>
      <c r="LB16" s="53">
        <f t="shared" si="94"/>
        <v>11</v>
      </c>
      <c r="LC16" s="53">
        <f t="shared" si="94"/>
        <v>12</v>
      </c>
      <c r="LD16" s="53">
        <f>KR16</f>
        <v>1</v>
      </c>
      <c r="LE16" s="53">
        <f t="shared" ref="LE16:LO16" si="95">KS16</f>
        <v>2</v>
      </c>
      <c r="LF16" s="53">
        <f t="shared" si="95"/>
        <v>3</v>
      </c>
      <c r="LG16" s="53">
        <f t="shared" si="95"/>
        <v>4</v>
      </c>
      <c r="LH16" s="53">
        <f t="shared" si="95"/>
        <v>5</v>
      </c>
      <c r="LI16" s="53">
        <f t="shared" si="95"/>
        <v>6</v>
      </c>
      <c r="LJ16" s="53">
        <f t="shared" si="95"/>
        <v>7</v>
      </c>
      <c r="LK16" s="53">
        <f t="shared" si="95"/>
        <v>8</v>
      </c>
      <c r="LL16" s="53">
        <f t="shared" si="95"/>
        <v>9</v>
      </c>
      <c r="LM16" s="53">
        <f t="shared" si="95"/>
        <v>10</v>
      </c>
      <c r="LN16" s="53">
        <f t="shared" si="95"/>
        <v>11</v>
      </c>
      <c r="LO16" s="53">
        <f t="shared" si="95"/>
        <v>12</v>
      </c>
      <c r="LP16" s="53">
        <f>LD16</f>
        <v>1</v>
      </c>
      <c r="LQ16" s="53">
        <f t="shared" ref="LQ16:MA16" si="96">LE16</f>
        <v>2</v>
      </c>
      <c r="LR16" s="53">
        <f t="shared" si="96"/>
        <v>3</v>
      </c>
      <c r="LS16" s="53">
        <f t="shared" si="96"/>
        <v>4</v>
      </c>
      <c r="LT16" s="53">
        <f t="shared" si="96"/>
        <v>5</v>
      </c>
      <c r="LU16" s="53">
        <f t="shared" si="96"/>
        <v>6</v>
      </c>
      <c r="LV16" s="53">
        <f t="shared" si="96"/>
        <v>7</v>
      </c>
      <c r="LW16" s="53">
        <f t="shared" si="96"/>
        <v>8</v>
      </c>
      <c r="LX16" s="53">
        <f t="shared" si="96"/>
        <v>9</v>
      </c>
      <c r="LY16" s="53">
        <f t="shared" si="96"/>
        <v>10</v>
      </c>
      <c r="LZ16" s="53">
        <f t="shared" si="96"/>
        <v>11</v>
      </c>
      <c r="MA16" s="53">
        <f t="shared" si="96"/>
        <v>12</v>
      </c>
      <c r="MB16" s="53">
        <f>LP16</f>
        <v>1</v>
      </c>
      <c r="MC16" s="53">
        <f t="shared" ref="MC16:MM16" si="97">LQ16</f>
        <v>2</v>
      </c>
      <c r="MD16" s="53">
        <f t="shared" si="97"/>
        <v>3</v>
      </c>
      <c r="ME16" s="53">
        <f t="shared" si="97"/>
        <v>4</v>
      </c>
      <c r="MF16" s="53">
        <f t="shared" si="97"/>
        <v>5</v>
      </c>
      <c r="MG16" s="53">
        <f t="shared" si="97"/>
        <v>6</v>
      </c>
      <c r="MH16" s="53">
        <f t="shared" si="97"/>
        <v>7</v>
      </c>
      <c r="MI16" s="53">
        <f t="shared" si="97"/>
        <v>8</v>
      </c>
      <c r="MJ16" s="53">
        <f t="shared" si="97"/>
        <v>9</v>
      </c>
      <c r="MK16" s="53">
        <f t="shared" si="97"/>
        <v>10</v>
      </c>
      <c r="ML16" s="53">
        <f t="shared" si="97"/>
        <v>11</v>
      </c>
      <c r="MM16" s="53">
        <f t="shared" si="97"/>
        <v>12</v>
      </c>
      <c r="MN16" s="53">
        <f>MB16</f>
        <v>1</v>
      </c>
      <c r="MO16" s="53">
        <f t="shared" ref="MO16:MY16" si="98">MC16</f>
        <v>2</v>
      </c>
      <c r="MP16" s="53">
        <f t="shared" si="98"/>
        <v>3</v>
      </c>
      <c r="MQ16" s="53">
        <f t="shared" si="98"/>
        <v>4</v>
      </c>
      <c r="MR16" s="53">
        <f t="shared" si="98"/>
        <v>5</v>
      </c>
      <c r="MS16" s="53">
        <f t="shared" si="98"/>
        <v>6</v>
      </c>
      <c r="MT16" s="53">
        <f t="shared" si="98"/>
        <v>7</v>
      </c>
      <c r="MU16" s="53">
        <f t="shared" si="98"/>
        <v>8</v>
      </c>
      <c r="MV16" s="53">
        <f t="shared" si="98"/>
        <v>9</v>
      </c>
      <c r="MW16" s="53">
        <f t="shared" si="98"/>
        <v>10</v>
      </c>
      <c r="MX16" s="53">
        <f t="shared" si="98"/>
        <v>11</v>
      </c>
      <c r="MY16" s="53">
        <f t="shared" si="98"/>
        <v>12</v>
      </c>
      <c r="MZ16" s="53">
        <f>MN16</f>
        <v>1</v>
      </c>
      <c r="NA16" s="53">
        <f t="shared" ref="NA16:NK16" si="99">MO16</f>
        <v>2</v>
      </c>
      <c r="NB16" s="53">
        <f t="shared" si="99"/>
        <v>3</v>
      </c>
      <c r="NC16" s="53">
        <f t="shared" si="99"/>
        <v>4</v>
      </c>
      <c r="ND16" s="53">
        <f t="shared" si="99"/>
        <v>5</v>
      </c>
      <c r="NE16" s="53">
        <f t="shared" si="99"/>
        <v>6</v>
      </c>
      <c r="NF16" s="53">
        <f t="shared" si="99"/>
        <v>7</v>
      </c>
      <c r="NG16" s="53">
        <f t="shared" si="99"/>
        <v>8</v>
      </c>
      <c r="NH16" s="53">
        <f t="shared" si="99"/>
        <v>9</v>
      </c>
      <c r="NI16" s="53">
        <f t="shared" si="99"/>
        <v>10</v>
      </c>
      <c r="NJ16" s="53">
        <f t="shared" si="99"/>
        <v>11</v>
      </c>
      <c r="NK16" s="53">
        <f t="shared" si="99"/>
        <v>12</v>
      </c>
      <c r="NL16" s="53">
        <f>MZ16</f>
        <v>1</v>
      </c>
      <c r="NM16" s="53">
        <f t="shared" ref="NM16:NW16" si="100">NA16</f>
        <v>2</v>
      </c>
      <c r="NN16" s="53">
        <f t="shared" si="100"/>
        <v>3</v>
      </c>
      <c r="NO16" s="53">
        <f t="shared" si="100"/>
        <v>4</v>
      </c>
      <c r="NP16" s="53">
        <f t="shared" si="100"/>
        <v>5</v>
      </c>
      <c r="NQ16" s="53">
        <f t="shared" si="100"/>
        <v>6</v>
      </c>
      <c r="NR16" s="53">
        <f t="shared" si="100"/>
        <v>7</v>
      </c>
      <c r="NS16" s="53">
        <f t="shared" si="100"/>
        <v>8</v>
      </c>
      <c r="NT16" s="53">
        <f t="shared" si="100"/>
        <v>9</v>
      </c>
      <c r="NU16" s="53">
        <f t="shared" si="100"/>
        <v>10</v>
      </c>
      <c r="NV16" s="53">
        <f t="shared" si="100"/>
        <v>11</v>
      </c>
      <c r="NW16" s="53">
        <f t="shared" si="100"/>
        <v>12</v>
      </c>
      <c r="NX16" s="53">
        <f>NL16</f>
        <v>1</v>
      </c>
      <c r="NY16" s="53">
        <f t="shared" ref="NY16:OI16" si="101">NM16</f>
        <v>2</v>
      </c>
      <c r="NZ16" s="53">
        <f t="shared" si="101"/>
        <v>3</v>
      </c>
      <c r="OA16" s="53">
        <f t="shared" si="101"/>
        <v>4</v>
      </c>
      <c r="OB16" s="53">
        <f t="shared" si="101"/>
        <v>5</v>
      </c>
      <c r="OC16" s="53">
        <f t="shared" si="101"/>
        <v>6</v>
      </c>
      <c r="OD16" s="53">
        <f t="shared" si="101"/>
        <v>7</v>
      </c>
      <c r="OE16" s="53">
        <f t="shared" si="101"/>
        <v>8</v>
      </c>
      <c r="OF16" s="53">
        <f t="shared" si="101"/>
        <v>9</v>
      </c>
      <c r="OG16" s="53">
        <f t="shared" si="101"/>
        <v>10</v>
      </c>
      <c r="OH16" s="53">
        <f t="shared" si="101"/>
        <v>11</v>
      </c>
      <c r="OI16" s="53">
        <f t="shared" si="101"/>
        <v>12</v>
      </c>
      <c r="OJ16" s="53">
        <f>NX16</f>
        <v>1</v>
      </c>
      <c r="OK16" s="53">
        <f t="shared" ref="OK16:OU16" si="102">NY16</f>
        <v>2</v>
      </c>
      <c r="OL16" s="53">
        <f t="shared" si="102"/>
        <v>3</v>
      </c>
      <c r="OM16" s="53">
        <f t="shared" si="102"/>
        <v>4</v>
      </c>
      <c r="ON16" s="53">
        <f t="shared" si="102"/>
        <v>5</v>
      </c>
      <c r="OO16" s="53">
        <f t="shared" si="102"/>
        <v>6</v>
      </c>
      <c r="OP16" s="53">
        <f t="shared" si="102"/>
        <v>7</v>
      </c>
      <c r="OQ16" s="53">
        <f t="shared" si="102"/>
        <v>8</v>
      </c>
      <c r="OR16" s="53">
        <f t="shared" si="102"/>
        <v>9</v>
      </c>
      <c r="OS16" s="53">
        <f t="shared" si="102"/>
        <v>10</v>
      </c>
      <c r="OT16" s="53">
        <f t="shared" si="102"/>
        <v>11</v>
      </c>
      <c r="OU16" s="53">
        <f t="shared" si="102"/>
        <v>12</v>
      </c>
      <c r="OV16" s="53">
        <f>OJ16</f>
        <v>1</v>
      </c>
      <c r="OW16" s="53">
        <f t="shared" ref="OW16:PG16" si="103">OK16</f>
        <v>2</v>
      </c>
      <c r="OX16" s="53">
        <f t="shared" si="103"/>
        <v>3</v>
      </c>
      <c r="OY16" s="53">
        <f t="shared" si="103"/>
        <v>4</v>
      </c>
      <c r="OZ16" s="53">
        <f t="shared" si="103"/>
        <v>5</v>
      </c>
      <c r="PA16" s="53">
        <f t="shared" si="103"/>
        <v>6</v>
      </c>
      <c r="PB16" s="53">
        <f t="shared" si="103"/>
        <v>7</v>
      </c>
      <c r="PC16" s="53">
        <f t="shared" si="103"/>
        <v>8</v>
      </c>
      <c r="PD16" s="53">
        <f t="shared" si="103"/>
        <v>9</v>
      </c>
      <c r="PE16" s="53">
        <f t="shared" si="103"/>
        <v>10</v>
      </c>
      <c r="PF16" s="53">
        <f t="shared" si="103"/>
        <v>11</v>
      </c>
      <c r="PG16" s="53">
        <f t="shared" si="103"/>
        <v>12</v>
      </c>
      <c r="PH16" s="53">
        <f>OV16</f>
        <v>1</v>
      </c>
      <c r="PI16" s="53">
        <f t="shared" ref="PI16:PS16" si="104">OW16</f>
        <v>2</v>
      </c>
      <c r="PJ16" s="53">
        <f t="shared" si="104"/>
        <v>3</v>
      </c>
      <c r="PK16" s="53">
        <f t="shared" si="104"/>
        <v>4</v>
      </c>
      <c r="PL16" s="53">
        <f t="shared" si="104"/>
        <v>5</v>
      </c>
      <c r="PM16" s="53">
        <f t="shared" si="104"/>
        <v>6</v>
      </c>
      <c r="PN16" s="53">
        <f t="shared" si="104"/>
        <v>7</v>
      </c>
      <c r="PO16" s="53">
        <f t="shared" si="104"/>
        <v>8</v>
      </c>
      <c r="PP16" s="53">
        <f t="shared" si="104"/>
        <v>9</v>
      </c>
      <c r="PQ16" s="53">
        <f t="shared" si="104"/>
        <v>10</v>
      </c>
      <c r="PR16" s="53">
        <f t="shared" si="104"/>
        <v>11</v>
      </c>
      <c r="PS16" s="53">
        <f t="shared" si="104"/>
        <v>12</v>
      </c>
      <c r="PT16" s="53">
        <f>PH16</f>
        <v>1</v>
      </c>
      <c r="PU16" s="53">
        <f t="shared" ref="PU16:QE16" si="105">PI16</f>
        <v>2</v>
      </c>
      <c r="PV16" s="53">
        <f t="shared" si="105"/>
        <v>3</v>
      </c>
      <c r="PW16" s="53">
        <f t="shared" si="105"/>
        <v>4</v>
      </c>
      <c r="PX16" s="53">
        <f t="shared" si="105"/>
        <v>5</v>
      </c>
      <c r="PY16" s="53">
        <f t="shared" si="105"/>
        <v>6</v>
      </c>
      <c r="PZ16" s="53">
        <f t="shared" si="105"/>
        <v>7</v>
      </c>
      <c r="QA16" s="53">
        <f t="shared" si="105"/>
        <v>8</v>
      </c>
      <c r="QB16" s="53">
        <f t="shared" si="105"/>
        <v>9</v>
      </c>
      <c r="QC16" s="53">
        <f t="shared" si="105"/>
        <v>10</v>
      </c>
      <c r="QD16" s="53">
        <f t="shared" si="105"/>
        <v>11</v>
      </c>
      <c r="QE16" s="53">
        <f t="shared" si="105"/>
        <v>12</v>
      </c>
      <c r="QF16" s="53">
        <f>PT16</f>
        <v>1</v>
      </c>
      <c r="QG16" s="53">
        <f t="shared" ref="QG16:QQ16" si="106">PU16</f>
        <v>2</v>
      </c>
      <c r="QH16" s="53">
        <f t="shared" si="106"/>
        <v>3</v>
      </c>
      <c r="QI16" s="53">
        <f t="shared" si="106"/>
        <v>4</v>
      </c>
      <c r="QJ16" s="53">
        <f t="shared" si="106"/>
        <v>5</v>
      </c>
      <c r="QK16" s="53">
        <f t="shared" si="106"/>
        <v>6</v>
      </c>
      <c r="QL16" s="53">
        <f t="shared" si="106"/>
        <v>7</v>
      </c>
      <c r="QM16" s="53">
        <f t="shared" si="106"/>
        <v>8</v>
      </c>
      <c r="QN16" s="53">
        <f t="shared" si="106"/>
        <v>9</v>
      </c>
      <c r="QO16" s="53">
        <f t="shared" si="106"/>
        <v>10</v>
      </c>
      <c r="QP16" s="53">
        <f t="shared" si="106"/>
        <v>11</v>
      </c>
      <c r="QQ16" s="53">
        <f t="shared" si="106"/>
        <v>12</v>
      </c>
      <c r="QR16" s="53">
        <f>QF16</f>
        <v>1</v>
      </c>
      <c r="QS16" s="53">
        <f t="shared" ref="QS16:RC16" si="107">QG16</f>
        <v>2</v>
      </c>
      <c r="QT16" s="53">
        <f t="shared" si="107"/>
        <v>3</v>
      </c>
      <c r="QU16" s="53">
        <f t="shared" si="107"/>
        <v>4</v>
      </c>
      <c r="QV16" s="53">
        <f t="shared" si="107"/>
        <v>5</v>
      </c>
      <c r="QW16" s="53">
        <f t="shared" si="107"/>
        <v>6</v>
      </c>
      <c r="QX16" s="53">
        <f t="shared" si="107"/>
        <v>7</v>
      </c>
      <c r="QY16" s="53">
        <f t="shared" si="107"/>
        <v>8</v>
      </c>
      <c r="QZ16" s="53">
        <f t="shared" si="107"/>
        <v>9</v>
      </c>
      <c r="RA16" s="53">
        <f t="shared" si="107"/>
        <v>10</v>
      </c>
      <c r="RB16" s="53">
        <f t="shared" si="107"/>
        <v>11</v>
      </c>
      <c r="RC16" s="53">
        <f t="shared" si="107"/>
        <v>12</v>
      </c>
      <c r="RD16" s="53">
        <f>QR16</f>
        <v>1</v>
      </c>
      <c r="RE16" s="53">
        <f t="shared" ref="RE16:TP16" si="108">QS16</f>
        <v>2</v>
      </c>
      <c r="RF16" s="53">
        <f t="shared" si="108"/>
        <v>3</v>
      </c>
      <c r="RG16" s="53">
        <f t="shared" si="108"/>
        <v>4</v>
      </c>
      <c r="RH16" s="53">
        <f t="shared" si="108"/>
        <v>5</v>
      </c>
      <c r="RI16" s="53">
        <f t="shared" si="108"/>
        <v>6</v>
      </c>
      <c r="RJ16" s="53">
        <f t="shared" si="108"/>
        <v>7</v>
      </c>
      <c r="RK16" s="53">
        <f t="shared" si="108"/>
        <v>8</v>
      </c>
      <c r="RL16" s="53">
        <f t="shared" si="108"/>
        <v>9</v>
      </c>
      <c r="RM16" s="53">
        <f t="shared" si="108"/>
        <v>10</v>
      </c>
      <c r="RN16" s="53">
        <f t="shared" si="108"/>
        <v>11</v>
      </c>
      <c r="RO16" s="53">
        <f t="shared" si="108"/>
        <v>12</v>
      </c>
      <c r="RP16" s="53">
        <f t="shared" si="108"/>
        <v>1</v>
      </c>
      <c r="RQ16" s="53">
        <f t="shared" si="108"/>
        <v>2</v>
      </c>
      <c r="RR16" s="53">
        <f t="shared" si="108"/>
        <v>3</v>
      </c>
      <c r="RS16" s="53">
        <f t="shared" si="108"/>
        <v>4</v>
      </c>
      <c r="RT16" s="53">
        <f t="shared" si="108"/>
        <v>5</v>
      </c>
      <c r="RU16" s="53">
        <f t="shared" si="108"/>
        <v>6</v>
      </c>
      <c r="RV16" s="53">
        <f t="shared" si="108"/>
        <v>7</v>
      </c>
      <c r="RW16" s="53">
        <f t="shared" si="108"/>
        <v>8</v>
      </c>
      <c r="RX16" s="53">
        <f t="shared" si="108"/>
        <v>9</v>
      </c>
      <c r="RY16" s="53">
        <f t="shared" si="108"/>
        <v>10</v>
      </c>
      <c r="RZ16" s="53">
        <f t="shared" si="108"/>
        <v>11</v>
      </c>
      <c r="SA16" s="53">
        <f t="shared" si="108"/>
        <v>12</v>
      </c>
      <c r="SB16" s="53">
        <f t="shared" si="108"/>
        <v>1</v>
      </c>
      <c r="SC16" s="53">
        <f t="shared" si="108"/>
        <v>2</v>
      </c>
      <c r="SD16" s="53">
        <f t="shared" si="108"/>
        <v>3</v>
      </c>
      <c r="SE16" s="53">
        <f t="shared" si="108"/>
        <v>4</v>
      </c>
      <c r="SF16" s="53">
        <f t="shared" si="108"/>
        <v>5</v>
      </c>
      <c r="SG16" s="53">
        <f t="shared" si="108"/>
        <v>6</v>
      </c>
      <c r="SH16" s="53">
        <f t="shared" si="108"/>
        <v>7</v>
      </c>
      <c r="SI16" s="53">
        <f t="shared" si="108"/>
        <v>8</v>
      </c>
      <c r="SJ16" s="53">
        <f t="shared" si="108"/>
        <v>9</v>
      </c>
      <c r="SK16" s="53">
        <f t="shared" si="108"/>
        <v>10</v>
      </c>
      <c r="SL16" s="53">
        <f t="shared" si="108"/>
        <v>11</v>
      </c>
      <c r="SM16" s="53">
        <f t="shared" si="108"/>
        <v>12</v>
      </c>
      <c r="SN16" s="53">
        <f t="shared" si="108"/>
        <v>1</v>
      </c>
      <c r="SO16" s="53">
        <f t="shared" si="108"/>
        <v>2</v>
      </c>
      <c r="SP16" s="53">
        <f t="shared" si="108"/>
        <v>3</v>
      </c>
      <c r="SQ16" s="53">
        <f t="shared" si="108"/>
        <v>4</v>
      </c>
      <c r="SR16" s="53">
        <f t="shared" si="108"/>
        <v>5</v>
      </c>
      <c r="SS16" s="53">
        <f t="shared" si="108"/>
        <v>6</v>
      </c>
      <c r="ST16" s="53">
        <f t="shared" si="108"/>
        <v>7</v>
      </c>
      <c r="SU16" s="53">
        <f t="shared" si="108"/>
        <v>8</v>
      </c>
      <c r="SV16" s="53">
        <f t="shared" si="108"/>
        <v>9</v>
      </c>
      <c r="SW16" s="53">
        <f t="shared" si="108"/>
        <v>10</v>
      </c>
      <c r="SX16" s="53">
        <f t="shared" si="108"/>
        <v>11</v>
      </c>
      <c r="SY16" s="53">
        <f t="shared" si="108"/>
        <v>12</v>
      </c>
      <c r="SZ16" s="53">
        <f t="shared" si="108"/>
        <v>1</v>
      </c>
      <c r="TA16" s="53">
        <f t="shared" si="108"/>
        <v>2</v>
      </c>
      <c r="TB16" s="53">
        <f t="shared" si="108"/>
        <v>3</v>
      </c>
      <c r="TC16" s="53">
        <f t="shared" si="108"/>
        <v>4</v>
      </c>
      <c r="TD16" s="53">
        <f t="shared" si="108"/>
        <v>5</v>
      </c>
      <c r="TE16" s="53">
        <f t="shared" si="108"/>
        <v>6</v>
      </c>
      <c r="TF16" s="53">
        <f t="shared" si="108"/>
        <v>7</v>
      </c>
      <c r="TG16" s="53">
        <f t="shared" si="108"/>
        <v>8</v>
      </c>
      <c r="TH16" s="53">
        <f t="shared" si="108"/>
        <v>9</v>
      </c>
      <c r="TI16" s="53">
        <f t="shared" si="108"/>
        <v>10</v>
      </c>
      <c r="TJ16" s="53">
        <f t="shared" si="108"/>
        <v>11</v>
      </c>
      <c r="TK16" s="53">
        <f t="shared" si="108"/>
        <v>12</v>
      </c>
      <c r="TL16" s="53">
        <f t="shared" si="108"/>
        <v>1</v>
      </c>
      <c r="TM16" s="53">
        <f t="shared" si="108"/>
        <v>2</v>
      </c>
      <c r="TN16" s="53">
        <f t="shared" si="108"/>
        <v>3</v>
      </c>
      <c r="TO16" s="53">
        <f t="shared" si="108"/>
        <v>4</v>
      </c>
      <c r="TP16" s="53">
        <f t="shared" si="108"/>
        <v>5</v>
      </c>
      <c r="TQ16" s="53">
        <f t="shared" ref="TQ16:WB16" si="109">TE16</f>
        <v>6</v>
      </c>
      <c r="TR16" s="53">
        <f t="shared" si="109"/>
        <v>7</v>
      </c>
      <c r="TS16" s="53">
        <f t="shared" si="109"/>
        <v>8</v>
      </c>
      <c r="TT16" s="53">
        <f t="shared" si="109"/>
        <v>9</v>
      </c>
      <c r="TU16" s="53">
        <f t="shared" si="109"/>
        <v>10</v>
      </c>
      <c r="TV16" s="53">
        <f t="shared" si="109"/>
        <v>11</v>
      </c>
      <c r="TW16" s="53">
        <f t="shared" si="109"/>
        <v>12</v>
      </c>
      <c r="TX16" s="53">
        <f t="shared" si="109"/>
        <v>1</v>
      </c>
      <c r="TY16" s="53">
        <f t="shared" si="109"/>
        <v>2</v>
      </c>
      <c r="TZ16" s="53">
        <f t="shared" si="109"/>
        <v>3</v>
      </c>
      <c r="UA16" s="53">
        <f t="shared" si="109"/>
        <v>4</v>
      </c>
      <c r="UB16" s="53">
        <f t="shared" si="109"/>
        <v>5</v>
      </c>
      <c r="UC16" s="53">
        <f t="shared" si="109"/>
        <v>6</v>
      </c>
      <c r="UD16" s="53">
        <f t="shared" si="109"/>
        <v>7</v>
      </c>
      <c r="UE16" s="53">
        <f t="shared" si="109"/>
        <v>8</v>
      </c>
      <c r="UF16" s="53">
        <f t="shared" si="109"/>
        <v>9</v>
      </c>
      <c r="UG16" s="53">
        <f t="shared" si="109"/>
        <v>10</v>
      </c>
      <c r="UH16" s="53">
        <f t="shared" si="109"/>
        <v>11</v>
      </c>
      <c r="UI16" s="53">
        <f t="shared" si="109"/>
        <v>12</v>
      </c>
      <c r="UJ16" s="53">
        <f t="shared" si="109"/>
        <v>1</v>
      </c>
      <c r="UK16" s="53">
        <f t="shared" si="109"/>
        <v>2</v>
      </c>
      <c r="UL16" s="53">
        <f t="shared" si="109"/>
        <v>3</v>
      </c>
      <c r="UM16" s="53">
        <f t="shared" si="109"/>
        <v>4</v>
      </c>
      <c r="UN16" s="53">
        <f t="shared" si="109"/>
        <v>5</v>
      </c>
      <c r="UO16" s="53">
        <f t="shared" si="109"/>
        <v>6</v>
      </c>
      <c r="UP16" s="53">
        <f t="shared" si="109"/>
        <v>7</v>
      </c>
      <c r="UQ16" s="53">
        <f t="shared" si="109"/>
        <v>8</v>
      </c>
      <c r="UR16" s="53">
        <f t="shared" si="109"/>
        <v>9</v>
      </c>
      <c r="US16" s="53">
        <f t="shared" si="109"/>
        <v>10</v>
      </c>
      <c r="UT16" s="53">
        <f t="shared" si="109"/>
        <v>11</v>
      </c>
      <c r="UU16" s="53">
        <f t="shared" si="109"/>
        <v>12</v>
      </c>
      <c r="UV16" s="53">
        <f t="shared" si="109"/>
        <v>1</v>
      </c>
      <c r="UW16" s="53">
        <f t="shared" si="109"/>
        <v>2</v>
      </c>
      <c r="UX16" s="53">
        <f t="shared" si="109"/>
        <v>3</v>
      </c>
      <c r="UY16" s="53">
        <f t="shared" si="109"/>
        <v>4</v>
      </c>
      <c r="UZ16" s="53">
        <f t="shared" si="109"/>
        <v>5</v>
      </c>
      <c r="VA16" s="53">
        <f t="shared" si="109"/>
        <v>6</v>
      </c>
      <c r="VB16" s="53">
        <f t="shared" si="109"/>
        <v>7</v>
      </c>
      <c r="VC16" s="53">
        <f t="shared" si="109"/>
        <v>8</v>
      </c>
      <c r="VD16" s="53">
        <f t="shared" si="109"/>
        <v>9</v>
      </c>
      <c r="VE16" s="53">
        <f t="shared" si="109"/>
        <v>10</v>
      </c>
      <c r="VF16" s="53">
        <f t="shared" si="109"/>
        <v>11</v>
      </c>
      <c r="VG16" s="53">
        <f t="shared" si="109"/>
        <v>12</v>
      </c>
      <c r="VH16" s="53">
        <f t="shared" si="109"/>
        <v>1</v>
      </c>
      <c r="VI16" s="53">
        <f t="shared" si="109"/>
        <v>2</v>
      </c>
      <c r="VJ16" s="53">
        <f t="shared" si="109"/>
        <v>3</v>
      </c>
      <c r="VK16" s="53">
        <f t="shared" si="109"/>
        <v>4</v>
      </c>
      <c r="VL16" s="53">
        <f t="shared" si="109"/>
        <v>5</v>
      </c>
      <c r="VM16" s="53">
        <f t="shared" si="109"/>
        <v>6</v>
      </c>
      <c r="VN16" s="53">
        <f t="shared" si="109"/>
        <v>7</v>
      </c>
      <c r="VO16" s="53">
        <f t="shared" si="109"/>
        <v>8</v>
      </c>
      <c r="VP16" s="53">
        <f t="shared" si="109"/>
        <v>9</v>
      </c>
      <c r="VQ16" s="53">
        <f t="shared" si="109"/>
        <v>10</v>
      </c>
      <c r="VR16" s="53">
        <f t="shared" si="109"/>
        <v>11</v>
      </c>
      <c r="VS16" s="53">
        <f t="shared" si="109"/>
        <v>12</v>
      </c>
      <c r="VT16" s="53">
        <f t="shared" si="109"/>
        <v>1</v>
      </c>
      <c r="VU16" s="53">
        <f t="shared" si="109"/>
        <v>2</v>
      </c>
      <c r="VV16" s="53">
        <f t="shared" si="109"/>
        <v>3</v>
      </c>
      <c r="VW16" s="53">
        <f t="shared" si="109"/>
        <v>4</v>
      </c>
      <c r="VX16" s="53">
        <f t="shared" si="109"/>
        <v>5</v>
      </c>
      <c r="VY16" s="53">
        <f t="shared" si="109"/>
        <v>6</v>
      </c>
      <c r="VZ16" s="53">
        <f t="shared" si="109"/>
        <v>7</v>
      </c>
      <c r="WA16" s="53">
        <f t="shared" si="109"/>
        <v>8</v>
      </c>
      <c r="WB16" s="53">
        <f t="shared" si="109"/>
        <v>9</v>
      </c>
      <c r="WC16" s="53">
        <f t="shared" ref="WC16:YN16" si="110">VQ16</f>
        <v>10</v>
      </c>
      <c r="WD16" s="53">
        <f t="shared" si="110"/>
        <v>11</v>
      </c>
      <c r="WE16" s="53">
        <f t="shared" si="110"/>
        <v>12</v>
      </c>
      <c r="WF16" s="53">
        <f t="shared" si="110"/>
        <v>1</v>
      </c>
      <c r="WG16" s="53">
        <f t="shared" si="110"/>
        <v>2</v>
      </c>
      <c r="WH16" s="53">
        <f t="shared" si="110"/>
        <v>3</v>
      </c>
      <c r="WI16" s="53">
        <f t="shared" si="110"/>
        <v>4</v>
      </c>
      <c r="WJ16" s="53">
        <f t="shared" si="110"/>
        <v>5</v>
      </c>
      <c r="WK16" s="53">
        <f t="shared" si="110"/>
        <v>6</v>
      </c>
      <c r="WL16" s="53">
        <f t="shared" si="110"/>
        <v>7</v>
      </c>
      <c r="WM16" s="53">
        <f t="shared" si="110"/>
        <v>8</v>
      </c>
      <c r="WN16" s="53">
        <f t="shared" si="110"/>
        <v>9</v>
      </c>
      <c r="WO16" s="53">
        <f t="shared" si="110"/>
        <v>10</v>
      </c>
      <c r="WP16" s="53">
        <f t="shared" si="110"/>
        <v>11</v>
      </c>
      <c r="WQ16" s="53">
        <f t="shared" si="110"/>
        <v>12</v>
      </c>
      <c r="WR16" s="53">
        <f t="shared" si="110"/>
        <v>1</v>
      </c>
      <c r="WS16" s="53">
        <f t="shared" si="110"/>
        <v>2</v>
      </c>
      <c r="WT16" s="53">
        <f t="shared" si="110"/>
        <v>3</v>
      </c>
      <c r="WU16" s="53">
        <f t="shared" si="110"/>
        <v>4</v>
      </c>
      <c r="WV16" s="53">
        <f t="shared" si="110"/>
        <v>5</v>
      </c>
      <c r="WW16" s="53">
        <f t="shared" si="110"/>
        <v>6</v>
      </c>
      <c r="WX16" s="53">
        <f t="shared" si="110"/>
        <v>7</v>
      </c>
      <c r="WY16" s="53">
        <f t="shared" si="110"/>
        <v>8</v>
      </c>
      <c r="WZ16" s="53">
        <f t="shared" si="110"/>
        <v>9</v>
      </c>
      <c r="XA16" s="53">
        <f t="shared" si="110"/>
        <v>10</v>
      </c>
      <c r="XB16" s="53">
        <f t="shared" si="110"/>
        <v>11</v>
      </c>
      <c r="XC16" s="53">
        <f t="shared" si="110"/>
        <v>12</v>
      </c>
      <c r="XD16" s="53">
        <f t="shared" si="110"/>
        <v>1</v>
      </c>
      <c r="XE16" s="53">
        <f t="shared" si="110"/>
        <v>2</v>
      </c>
      <c r="XF16" s="53">
        <f t="shared" si="110"/>
        <v>3</v>
      </c>
      <c r="XG16" s="53">
        <f t="shared" si="110"/>
        <v>4</v>
      </c>
      <c r="XH16" s="53">
        <f t="shared" si="110"/>
        <v>5</v>
      </c>
      <c r="XI16" s="53">
        <f t="shared" si="110"/>
        <v>6</v>
      </c>
      <c r="XJ16" s="53">
        <f t="shared" si="110"/>
        <v>7</v>
      </c>
      <c r="XK16" s="53">
        <f t="shared" si="110"/>
        <v>8</v>
      </c>
      <c r="XL16" s="53">
        <f t="shared" si="110"/>
        <v>9</v>
      </c>
      <c r="XM16" s="53">
        <f t="shared" si="110"/>
        <v>10</v>
      </c>
      <c r="XN16" s="53">
        <f t="shared" si="110"/>
        <v>11</v>
      </c>
      <c r="XO16" s="53">
        <f t="shared" si="110"/>
        <v>12</v>
      </c>
      <c r="XP16" s="53">
        <f t="shared" si="110"/>
        <v>1</v>
      </c>
      <c r="XQ16" s="53">
        <f t="shared" si="110"/>
        <v>2</v>
      </c>
      <c r="XR16" s="53">
        <f t="shared" si="110"/>
        <v>3</v>
      </c>
      <c r="XS16" s="53">
        <f t="shared" si="110"/>
        <v>4</v>
      </c>
      <c r="XT16" s="53">
        <f t="shared" si="110"/>
        <v>5</v>
      </c>
      <c r="XU16" s="53">
        <f t="shared" si="110"/>
        <v>6</v>
      </c>
      <c r="XV16" s="53">
        <f t="shared" si="110"/>
        <v>7</v>
      </c>
      <c r="XW16" s="53">
        <f t="shared" si="110"/>
        <v>8</v>
      </c>
      <c r="XX16" s="53">
        <f t="shared" si="110"/>
        <v>9</v>
      </c>
      <c r="XY16" s="53">
        <f t="shared" si="110"/>
        <v>10</v>
      </c>
      <c r="XZ16" s="53">
        <f t="shared" si="110"/>
        <v>11</v>
      </c>
      <c r="YA16" s="53">
        <f t="shared" si="110"/>
        <v>12</v>
      </c>
      <c r="YB16" s="53">
        <f t="shared" si="110"/>
        <v>1</v>
      </c>
      <c r="YC16" s="53">
        <f t="shared" si="110"/>
        <v>2</v>
      </c>
      <c r="YD16" s="53">
        <f t="shared" si="110"/>
        <v>3</v>
      </c>
      <c r="YE16" s="53">
        <f t="shared" si="110"/>
        <v>4</v>
      </c>
      <c r="YF16" s="53">
        <f t="shared" si="110"/>
        <v>5</v>
      </c>
      <c r="YG16" s="53">
        <f t="shared" si="110"/>
        <v>6</v>
      </c>
      <c r="YH16" s="53">
        <f t="shared" si="110"/>
        <v>7</v>
      </c>
      <c r="YI16" s="53">
        <f t="shared" si="110"/>
        <v>8</v>
      </c>
      <c r="YJ16" s="53">
        <f t="shared" si="110"/>
        <v>9</v>
      </c>
      <c r="YK16" s="53">
        <f t="shared" si="110"/>
        <v>10</v>
      </c>
      <c r="YL16" s="53">
        <f t="shared" si="110"/>
        <v>11</v>
      </c>
      <c r="YM16" s="53">
        <f t="shared" si="110"/>
        <v>12</v>
      </c>
      <c r="YN16" s="53">
        <f t="shared" si="110"/>
        <v>1</v>
      </c>
      <c r="YO16" s="53">
        <f t="shared" ref="YO16:AAZ16" si="111">YC16</f>
        <v>2</v>
      </c>
      <c r="YP16" s="53">
        <f t="shared" si="111"/>
        <v>3</v>
      </c>
      <c r="YQ16" s="53">
        <f t="shared" si="111"/>
        <v>4</v>
      </c>
      <c r="YR16" s="53">
        <f t="shared" si="111"/>
        <v>5</v>
      </c>
      <c r="YS16" s="53">
        <f t="shared" si="111"/>
        <v>6</v>
      </c>
      <c r="YT16" s="53">
        <f t="shared" si="111"/>
        <v>7</v>
      </c>
      <c r="YU16" s="53">
        <f t="shared" si="111"/>
        <v>8</v>
      </c>
      <c r="YV16" s="53">
        <f t="shared" si="111"/>
        <v>9</v>
      </c>
      <c r="YW16" s="53">
        <f t="shared" si="111"/>
        <v>10</v>
      </c>
      <c r="YX16" s="53">
        <f t="shared" si="111"/>
        <v>11</v>
      </c>
      <c r="YY16" s="53">
        <f t="shared" si="111"/>
        <v>12</v>
      </c>
      <c r="YZ16" s="53">
        <f t="shared" si="111"/>
        <v>1</v>
      </c>
      <c r="ZA16" s="53">
        <f t="shared" si="111"/>
        <v>2</v>
      </c>
      <c r="ZB16" s="53">
        <f t="shared" si="111"/>
        <v>3</v>
      </c>
      <c r="ZC16" s="53">
        <f t="shared" si="111"/>
        <v>4</v>
      </c>
      <c r="ZD16" s="53">
        <f t="shared" si="111"/>
        <v>5</v>
      </c>
      <c r="ZE16" s="53">
        <f t="shared" si="111"/>
        <v>6</v>
      </c>
      <c r="ZF16" s="53">
        <f t="shared" si="111"/>
        <v>7</v>
      </c>
      <c r="ZG16" s="53">
        <f t="shared" si="111"/>
        <v>8</v>
      </c>
      <c r="ZH16" s="53">
        <f t="shared" si="111"/>
        <v>9</v>
      </c>
      <c r="ZI16" s="53">
        <f t="shared" si="111"/>
        <v>10</v>
      </c>
      <c r="ZJ16" s="53">
        <f t="shared" si="111"/>
        <v>11</v>
      </c>
      <c r="ZK16" s="53">
        <f t="shared" si="111"/>
        <v>12</v>
      </c>
      <c r="ZL16" s="53">
        <f t="shared" si="111"/>
        <v>1</v>
      </c>
      <c r="ZM16" s="53">
        <f t="shared" si="111"/>
        <v>2</v>
      </c>
      <c r="ZN16" s="53">
        <f t="shared" si="111"/>
        <v>3</v>
      </c>
      <c r="ZO16" s="53">
        <f t="shared" si="111"/>
        <v>4</v>
      </c>
      <c r="ZP16" s="53">
        <f t="shared" si="111"/>
        <v>5</v>
      </c>
      <c r="ZQ16" s="53">
        <f t="shared" si="111"/>
        <v>6</v>
      </c>
      <c r="ZR16" s="53">
        <f t="shared" si="111"/>
        <v>7</v>
      </c>
      <c r="ZS16" s="53">
        <f t="shared" si="111"/>
        <v>8</v>
      </c>
      <c r="ZT16" s="53">
        <f t="shared" si="111"/>
        <v>9</v>
      </c>
      <c r="ZU16" s="53">
        <f t="shared" si="111"/>
        <v>10</v>
      </c>
      <c r="ZV16" s="53">
        <f t="shared" si="111"/>
        <v>11</v>
      </c>
      <c r="ZW16" s="53">
        <f t="shared" si="111"/>
        <v>12</v>
      </c>
      <c r="ZX16" s="53">
        <f t="shared" si="111"/>
        <v>1</v>
      </c>
      <c r="ZY16" s="53">
        <f t="shared" si="111"/>
        <v>2</v>
      </c>
      <c r="ZZ16" s="53">
        <f t="shared" si="111"/>
        <v>3</v>
      </c>
      <c r="AAA16" s="53">
        <f t="shared" si="111"/>
        <v>4</v>
      </c>
      <c r="AAB16" s="53">
        <f t="shared" si="111"/>
        <v>5</v>
      </c>
      <c r="AAC16" s="53">
        <f t="shared" si="111"/>
        <v>6</v>
      </c>
      <c r="AAD16" s="53">
        <f t="shared" si="111"/>
        <v>7</v>
      </c>
      <c r="AAE16" s="53">
        <f t="shared" si="111"/>
        <v>8</v>
      </c>
      <c r="AAF16" s="53">
        <f t="shared" si="111"/>
        <v>9</v>
      </c>
      <c r="AAG16" s="53">
        <f t="shared" si="111"/>
        <v>10</v>
      </c>
      <c r="AAH16" s="53">
        <f t="shared" si="111"/>
        <v>11</v>
      </c>
      <c r="AAI16" s="53">
        <f t="shared" si="111"/>
        <v>12</v>
      </c>
      <c r="AAJ16" s="53">
        <f t="shared" si="111"/>
        <v>1</v>
      </c>
      <c r="AAK16" s="53">
        <f t="shared" si="111"/>
        <v>2</v>
      </c>
      <c r="AAL16" s="53">
        <f t="shared" si="111"/>
        <v>3</v>
      </c>
      <c r="AAM16" s="53">
        <f t="shared" si="111"/>
        <v>4</v>
      </c>
      <c r="AAN16" s="53">
        <f t="shared" si="111"/>
        <v>5</v>
      </c>
      <c r="AAO16" s="53">
        <f t="shared" si="111"/>
        <v>6</v>
      </c>
      <c r="AAP16" s="53">
        <f t="shared" si="111"/>
        <v>7</v>
      </c>
      <c r="AAQ16" s="53">
        <f t="shared" si="111"/>
        <v>8</v>
      </c>
      <c r="AAR16" s="53">
        <f t="shared" si="111"/>
        <v>9</v>
      </c>
      <c r="AAS16" s="53">
        <f t="shared" si="111"/>
        <v>10</v>
      </c>
      <c r="AAT16" s="53">
        <f t="shared" si="111"/>
        <v>11</v>
      </c>
      <c r="AAU16" s="53">
        <f t="shared" si="111"/>
        <v>12</v>
      </c>
      <c r="AAV16" s="53">
        <f t="shared" si="111"/>
        <v>1</v>
      </c>
      <c r="AAW16" s="53">
        <f t="shared" si="111"/>
        <v>2</v>
      </c>
      <c r="AAX16" s="53">
        <f t="shared" si="111"/>
        <v>3</v>
      </c>
      <c r="AAY16" s="53">
        <f t="shared" si="111"/>
        <v>4</v>
      </c>
      <c r="AAZ16" s="53">
        <f t="shared" si="111"/>
        <v>5</v>
      </c>
      <c r="ABA16" s="53">
        <f t="shared" ref="ABA16:ADL16" si="112">AAO16</f>
        <v>6</v>
      </c>
      <c r="ABB16" s="53">
        <f t="shared" si="112"/>
        <v>7</v>
      </c>
      <c r="ABC16" s="53">
        <f t="shared" si="112"/>
        <v>8</v>
      </c>
      <c r="ABD16" s="53">
        <f t="shared" si="112"/>
        <v>9</v>
      </c>
      <c r="ABE16" s="53">
        <f t="shared" si="112"/>
        <v>10</v>
      </c>
      <c r="ABF16" s="53">
        <f t="shared" si="112"/>
        <v>11</v>
      </c>
      <c r="ABG16" s="53">
        <f t="shared" si="112"/>
        <v>12</v>
      </c>
      <c r="ABH16" s="53">
        <f t="shared" si="112"/>
        <v>1</v>
      </c>
      <c r="ABI16" s="53">
        <f t="shared" si="112"/>
        <v>2</v>
      </c>
      <c r="ABJ16" s="53">
        <f t="shared" si="112"/>
        <v>3</v>
      </c>
      <c r="ABK16" s="53">
        <f t="shared" si="112"/>
        <v>4</v>
      </c>
      <c r="ABL16" s="53">
        <f t="shared" si="112"/>
        <v>5</v>
      </c>
      <c r="ABM16" s="53">
        <f t="shared" si="112"/>
        <v>6</v>
      </c>
      <c r="ABN16" s="53">
        <f t="shared" si="112"/>
        <v>7</v>
      </c>
      <c r="ABO16" s="53">
        <f t="shared" si="112"/>
        <v>8</v>
      </c>
      <c r="ABP16" s="53">
        <f t="shared" si="112"/>
        <v>9</v>
      </c>
      <c r="ABQ16" s="53">
        <f t="shared" si="112"/>
        <v>10</v>
      </c>
      <c r="ABR16" s="53">
        <f t="shared" si="112"/>
        <v>11</v>
      </c>
      <c r="ABS16" s="53">
        <f t="shared" si="112"/>
        <v>12</v>
      </c>
      <c r="ABT16" s="53">
        <f t="shared" si="112"/>
        <v>1</v>
      </c>
      <c r="ABU16" s="53">
        <f t="shared" si="112"/>
        <v>2</v>
      </c>
      <c r="ABV16" s="53">
        <f t="shared" si="112"/>
        <v>3</v>
      </c>
      <c r="ABW16" s="53">
        <f t="shared" si="112"/>
        <v>4</v>
      </c>
      <c r="ABX16" s="53">
        <f t="shared" si="112"/>
        <v>5</v>
      </c>
      <c r="ABY16" s="53">
        <f t="shared" si="112"/>
        <v>6</v>
      </c>
      <c r="ABZ16" s="53">
        <f t="shared" si="112"/>
        <v>7</v>
      </c>
      <c r="ACA16" s="53">
        <f t="shared" si="112"/>
        <v>8</v>
      </c>
      <c r="ACB16" s="53">
        <f t="shared" si="112"/>
        <v>9</v>
      </c>
      <c r="ACC16" s="53">
        <f t="shared" si="112"/>
        <v>10</v>
      </c>
      <c r="ACD16" s="53">
        <f t="shared" si="112"/>
        <v>11</v>
      </c>
      <c r="ACE16" s="53">
        <f t="shared" si="112"/>
        <v>12</v>
      </c>
      <c r="ACF16" s="53">
        <f t="shared" si="112"/>
        <v>1</v>
      </c>
      <c r="ACG16" s="53">
        <f t="shared" si="112"/>
        <v>2</v>
      </c>
      <c r="ACH16" s="53">
        <f t="shared" si="112"/>
        <v>3</v>
      </c>
      <c r="ACI16" s="53">
        <f t="shared" si="112"/>
        <v>4</v>
      </c>
      <c r="ACJ16" s="53">
        <f t="shared" si="112"/>
        <v>5</v>
      </c>
      <c r="ACK16" s="53">
        <f t="shared" si="112"/>
        <v>6</v>
      </c>
      <c r="ACL16" s="53">
        <f t="shared" si="112"/>
        <v>7</v>
      </c>
      <c r="ACM16" s="53">
        <f t="shared" si="112"/>
        <v>8</v>
      </c>
      <c r="ACN16" s="53">
        <f t="shared" si="112"/>
        <v>9</v>
      </c>
      <c r="ACO16" s="53">
        <f t="shared" si="112"/>
        <v>10</v>
      </c>
      <c r="ACP16" s="53">
        <f t="shared" si="112"/>
        <v>11</v>
      </c>
      <c r="ACQ16" s="53">
        <f t="shared" si="112"/>
        <v>12</v>
      </c>
      <c r="ACR16" s="53">
        <f t="shared" si="112"/>
        <v>1</v>
      </c>
      <c r="ACS16" s="53">
        <f t="shared" si="112"/>
        <v>2</v>
      </c>
      <c r="ACT16" s="53">
        <f t="shared" si="112"/>
        <v>3</v>
      </c>
      <c r="ACU16" s="53">
        <f t="shared" si="112"/>
        <v>4</v>
      </c>
      <c r="ACV16" s="53">
        <f t="shared" si="112"/>
        <v>5</v>
      </c>
      <c r="ACW16" s="53">
        <f t="shared" si="112"/>
        <v>6</v>
      </c>
      <c r="ACX16" s="53">
        <f t="shared" si="112"/>
        <v>7</v>
      </c>
      <c r="ACY16" s="53">
        <f t="shared" si="112"/>
        <v>8</v>
      </c>
      <c r="ACZ16" s="53">
        <f t="shared" si="112"/>
        <v>9</v>
      </c>
      <c r="ADA16" s="53">
        <f t="shared" si="112"/>
        <v>10</v>
      </c>
      <c r="ADB16" s="53">
        <f t="shared" si="112"/>
        <v>11</v>
      </c>
      <c r="ADC16" s="53">
        <f t="shared" si="112"/>
        <v>12</v>
      </c>
      <c r="ADD16" s="53">
        <f t="shared" si="112"/>
        <v>1</v>
      </c>
      <c r="ADE16" s="53">
        <f t="shared" si="112"/>
        <v>2</v>
      </c>
      <c r="ADF16" s="53">
        <f t="shared" si="112"/>
        <v>3</v>
      </c>
      <c r="ADG16" s="53">
        <f t="shared" si="112"/>
        <v>4</v>
      </c>
      <c r="ADH16" s="53">
        <f t="shared" si="112"/>
        <v>5</v>
      </c>
      <c r="ADI16" s="53">
        <f t="shared" si="112"/>
        <v>6</v>
      </c>
      <c r="ADJ16" s="53">
        <f t="shared" si="112"/>
        <v>7</v>
      </c>
      <c r="ADK16" s="53">
        <f t="shared" si="112"/>
        <v>8</v>
      </c>
      <c r="ADL16" s="53">
        <f t="shared" si="112"/>
        <v>9</v>
      </c>
      <c r="ADM16" s="53">
        <f t="shared" ref="ADM16:AFX16" si="113">ADA16</f>
        <v>10</v>
      </c>
      <c r="ADN16" s="53">
        <f t="shared" si="113"/>
        <v>11</v>
      </c>
      <c r="ADO16" s="53">
        <f t="shared" si="113"/>
        <v>12</v>
      </c>
      <c r="ADP16" s="53">
        <f t="shared" si="113"/>
        <v>1</v>
      </c>
      <c r="ADQ16" s="53">
        <f t="shared" si="113"/>
        <v>2</v>
      </c>
      <c r="ADR16" s="53">
        <f t="shared" si="113"/>
        <v>3</v>
      </c>
      <c r="ADS16" s="53">
        <f t="shared" si="113"/>
        <v>4</v>
      </c>
      <c r="ADT16" s="53">
        <f t="shared" si="113"/>
        <v>5</v>
      </c>
      <c r="ADU16" s="53">
        <f t="shared" si="113"/>
        <v>6</v>
      </c>
      <c r="ADV16" s="53">
        <f t="shared" si="113"/>
        <v>7</v>
      </c>
      <c r="ADW16" s="53">
        <f t="shared" si="113"/>
        <v>8</v>
      </c>
      <c r="ADX16" s="53">
        <f t="shared" si="113"/>
        <v>9</v>
      </c>
      <c r="ADY16" s="53">
        <f t="shared" si="113"/>
        <v>10</v>
      </c>
      <c r="ADZ16" s="53">
        <f t="shared" si="113"/>
        <v>11</v>
      </c>
      <c r="AEA16" s="53">
        <f t="shared" si="113"/>
        <v>12</v>
      </c>
      <c r="AEB16" s="53">
        <f t="shared" si="113"/>
        <v>1</v>
      </c>
      <c r="AEC16" s="53">
        <f t="shared" si="113"/>
        <v>2</v>
      </c>
      <c r="AED16" s="53">
        <f t="shared" si="113"/>
        <v>3</v>
      </c>
      <c r="AEE16" s="53">
        <f t="shared" si="113"/>
        <v>4</v>
      </c>
      <c r="AEF16" s="53">
        <f t="shared" si="113"/>
        <v>5</v>
      </c>
      <c r="AEG16" s="53">
        <f t="shared" si="113"/>
        <v>6</v>
      </c>
      <c r="AEH16" s="53">
        <f t="shared" si="113"/>
        <v>7</v>
      </c>
      <c r="AEI16" s="53">
        <f t="shared" si="113"/>
        <v>8</v>
      </c>
      <c r="AEJ16" s="53">
        <f t="shared" si="113"/>
        <v>9</v>
      </c>
      <c r="AEK16" s="53">
        <f t="shared" si="113"/>
        <v>10</v>
      </c>
      <c r="AEL16" s="53">
        <f t="shared" si="113"/>
        <v>11</v>
      </c>
      <c r="AEM16" s="53">
        <f t="shared" si="113"/>
        <v>12</v>
      </c>
      <c r="AEN16" s="53">
        <f t="shared" si="113"/>
        <v>1</v>
      </c>
      <c r="AEO16" s="53">
        <f t="shared" si="113"/>
        <v>2</v>
      </c>
      <c r="AEP16" s="53">
        <f t="shared" si="113"/>
        <v>3</v>
      </c>
      <c r="AEQ16" s="53">
        <f t="shared" si="113"/>
        <v>4</v>
      </c>
      <c r="AER16" s="53">
        <f t="shared" si="113"/>
        <v>5</v>
      </c>
      <c r="AES16" s="53">
        <f t="shared" si="113"/>
        <v>6</v>
      </c>
      <c r="AET16" s="53">
        <f t="shared" si="113"/>
        <v>7</v>
      </c>
      <c r="AEU16" s="53">
        <f t="shared" si="113"/>
        <v>8</v>
      </c>
      <c r="AEV16" s="53">
        <f t="shared" si="113"/>
        <v>9</v>
      </c>
      <c r="AEW16" s="53">
        <f t="shared" si="113"/>
        <v>10</v>
      </c>
      <c r="AEX16" s="53">
        <f t="shared" si="113"/>
        <v>11</v>
      </c>
      <c r="AEY16" s="53">
        <f t="shared" si="113"/>
        <v>12</v>
      </c>
      <c r="AEZ16" s="53">
        <f t="shared" si="113"/>
        <v>1</v>
      </c>
      <c r="AFA16" s="53">
        <f t="shared" si="113"/>
        <v>2</v>
      </c>
      <c r="AFB16" s="53">
        <f t="shared" si="113"/>
        <v>3</v>
      </c>
      <c r="AFC16" s="53">
        <f t="shared" si="113"/>
        <v>4</v>
      </c>
      <c r="AFD16" s="53">
        <f t="shared" si="113"/>
        <v>5</v>
      </c>
      <c r="AFE16" s="53">
        <f t="shared" si="113"/>
        <v>6</v>
      </c>
      <c r="AFF16" s="53">
        <f t="shared" si="113"/>
        <v>7</v>
      </c>
      <c r="AFG16" s="53">
        <f t="shared" si="113"/>
        <v>8</v>
      </c>
      <c r="AFH16" s="53">
        <f t="shared" si="113"/>
        <v>9</v>
      </c>
      <c r="AFI16" s="53">
        <f t="shared" si="113"/>
        <v>10</v>
      </c>
      <c r="AFJ16" s="53">
        <f t="shared" si="113"/>
        <v>11</v>
      </c>
      <c r="AFK16" s="53">
        <f t="shared" si="113"/>
        <v>12</v>
      </c>
      <c r="AFL16" s="53">
        <f t="shared" si="113"/>
        <v>1</v>
      </c>
      <c r="AFM16" s="53">
        <f t="shared" si="113"/>
        <v>2</v>
      </c>
      <c r="AFN16" s="53">
        <f t="shared" si="113"/>
        <v>3</v>
      </c>
      <c r="AFO16" s="53">
        <f t="shared" si="113"/>
        <v>4</v>
      </c>
      <c r="AFP16" s="53">
        <f t="shared" si="113"/>
        <v>5</v>
      </c>
      <c r="AFQ16" s="53">
        <f t="shared" si="113"/>
        <v>6</v>
      </c>
      <c r="AFR16" s="53">
        <f t="shared" si="113"/>
        <v>7</v>
      </c>
      <c r="AFS16" s="53">
        <f t="shared" si="113"/>
        <v>8</v>
      </c>
      <c r="AFT16" s="53">
        <f t="shared" si="113"/>
        <v>9</v>
      </c>
      <c r="AFU16" s="53">
        <f t="shared" si="113"/>
        <v>10</v>
      </c>
      <c r="AFV16" s="53">
        <f t="shared" si="113"/>
        <v>11</v>
      </c>
      <c r="AFW16" s="53">
        <f t="shared" si="113"/>
        <v>12</v>
      </c>
      <c r="AFX16" s="53">
        <f t="shared" si="113"/>
        <v>1</v>
      </c>
      <c r="AFY16" s="53">
        <f t="shared" ref="AFY16:AIJ16" si="114">AFM16</f>
        <v>2</v>
      </c>
      <c r="AFZ16" s="53">
        <f t="shared" si="114"/>
        <v>3</v>
      </c>
      <c r="AGA16" s="53">
        <f t="shared" si="114"/>
        <v>4</v>
      </c>
      <c r="AGB16" s="53">
        <f t="shared" si="114"/>
        <v>5</v>
      </c>
      <c r="AGC16" s="53">
        <f t="shared" si="114"/>
        <v>6</v>
      </c>
      <c r="AGD16" s="53">
        <f t="shared" si="114"/>
        <v>7</v>
      </c>
      <c r="AGE16" s="53">
        <f t="shared" si="114"/>
        <v>8</v>
      </c>
      <c r="AGF16" s="53">
        <f t="shared" si="114"/>
        <v>9</v>
      </c>
      <c r="AGG16" s="53">
        <f t="shared" si="114"/>
        <v>10</v>
      </c>
      <c r="AGH16" s="53">
        <f t="shared" si="114"/>
        <v>11</v>
      </c>
      <c r="AGI16" s="53">
        <f t="shared" si="114"/>
        <v>12</v>
      </c>
      <c r="AGJ16" s="53">
        <f t="shared" si="114"/>
        <v>1</v>
      </c>
      <c r="AGK16" s="53">
        <f t="shared" si="114"/>
        <v>2</v>
      </c>
      <c r="AGL16" s="53">
        <f t="shared" si="114"/>
        <v>3</v>
      </c>
      <c r="AGM16" s="53">
        <f t="shared" si="114"/>
        <v>4</v>
      </c>
      <c r="AGN16" s="53">
        <f t="shared" si="114"/>
        <v>5</v>
      </c>
      <c r="AGO16" s="53">
        <f t="shared" si="114"/>
        <v>6</v>
      </c>
      <c r="AGP16" s="53">
        <f t="shared" si="114"/>
        <v>7</v>
      </c>
      <c r="AGQ16" s="53">
        <f t="shared" si="114"/>
        <v>8</v>
      </c>
      <c r="AGR16" s="53">
        <f t="shared" si="114"/>
        <v>9</v>
      </c>
      <c r="AGS16" s="53">
        <f t="shared" si="114"/>
        <v>10</v>
      </c>
      <c r="AGT16" s="53">
        <f t="shared" si="114"/>
        <v>11</v>
      </c>
      <c r="AGU16" s="53">
        <f t="shared" si="114"/>
        <v>12</v>
      </c>
      <c r="AGV16" s="53">
        <f t="shared" si="114"/>
        <v>1</v>
      </c>
      <c r="AGW16" s="53">
        <f t="shared" si="114"/>
        <v>2</v>
      </c>
      <c r="AGX16" s="53">
        <f t="shared" si="114"/>
        <v>3</v>
      </c>
      <c r="AGY16" s="53">
        <f t="shared" si="114"/>
        <v>4</v>
      </c>
      <c r="AGZ16" s="53">
        <f t="shared" si="114"/>
        <v>5</v>
      </c>
      <c r="AHA16" s="53">
        <f t="shared" si="114"/>
        <v>6</v>
      </c>
      <c r="AHB16" s="53">
        <f t="shared" si="114"/>
        <v>7</v>
      </c>
      <c r="AHC16" s="53">
        <f t="shared" si="114"/>
        <v>8</v>
      </c>
      <c r="AHD16" s="53">
        <f t="shared" si="114"/>
        <v>9</v>
      </c>
      <c r="AHE16" s="53">
        <f t="shared" si="114"/>
        <v>10</v>
      </c>
      <c r="AHF16" s="53">
        <f t="shared" si="114"/>
        <v>11</v>
      </c>
      <c r="AHG16" s="53">
        <f t="shared" si="114"/>
        <v>12</v>
      </c>
      <c r="AHH16" s="53">
        <f t="shared" si="114"/>
        <v>1</v>
      </c>
      <c r="AHI16" s="53">
        <f t="shared" si="114"/>
        <v>2</v>
      </c>
      <c r="AHJ16" s="53">
        <f t="shared" si="114"/>
        <v>3</v>
      </c>
      <c r="AHK16" s="53">
        <f t="shared" si="114"/>
        <v>4</v>
      </c>
      <c r="AHL16" s="53">
        <f t="shared" si="114"/>
        <v>5</v>
      </c>
      <c r="AHM16" s="53">
        <f t="shared" si="114"/>
        <v>6</v>
      </c>
      <c r="AHN16" s="53">
        <f t="shared" si="114"/>
        <v>7</v>
      </c>
      <c r="AHO16" s="53">
        <f t="shared" si="114"/>
        <v>8</v>
      </c>
      <c r="AHP16" s="53">
        <f t="shared" si="114"/>
        <v>9</v>
      </c>
      <c r="AHQ16" s="53">
        <f t="shared" si="114"/>
        <v>10</v>
      </c>
      <c r="AHR16" s="53">
        <f t="shared" si="114"/>
        <v>11</v>
      </c>
      <c r="AHS16" s="53">
        <f t="shared" si="114"/>
        <v>12</v>
      </c>
      <c r="AHT16" s="53">
        <f t="shared" si="114"/>
        <v>1</v>
      </c>
      <c r="AHU16" s="53">
        <f t="shared" si="114"/>
        <v>2</v>
      </c>
      <c r="AHV16" s="53">
        <f t="shared" si="114"/>
        <v>3</v>
      </c>
      <c r="AHW16" s="53">
        <f t="shared" si="114"/>
        <v>4</v>
      </c>
      <c r="AHX16" s="53">
        <f t="shared" si="114"/>
        <v>5</v>
      </c>
      <c r="AHY16" s="53">
        <f t="shared" si="114"/>
        <v>6</v>
      </c>
      <c r="AHZ16" s="53">
        <f t="shared" si="114"/>
        <v>7</v>
      </c>
      <c r="AIA16" s="53">
        <f t="shared" si="114"/>
        <v>8</v>
      </c>
      <c r="AIB16" s="53">
        <f t="shared" si="114"/>
        <v>9</v>
      </c>
      <c r="AIC16" s="53">
        <f t="shared" si="114"/>
        <v>10</v>
      </c>
      <c r="AID16" s="53">
        <f t="shared" si="114"/>
        <v>11</v>
      </c>
      <c r="AIE16" s="53">
        <f t="shared" si="114"/>
        <v>12</v>
      </c>
      <c r="AIF16" s="53">
        <f t="shared" si="114"/>
        <v>1</v>
      </c>
      <c r="AIG16" s="53">
        <f t="shared" si="114"/>
        <v>2</v>
      </c>
      <c r="AIH16" s="53">
        <f t="shared" si="114"/>
        <v>3</v>
      </c>
      <c r="AII16" s="53">
        <f t="shared" si="114"/>
        <v>4</v>
      </c>
      <c r="AIJ16" s="53">
        <f t="shared" si="114"/>
        <v>5</v>
      </c>
      <c r="AIK16" s="53">
        <f t="shared" ref="AIK16:AKV16" si="115">AHY16</f>
        <v>6</v>
      </c>
      <c r="AIL16" s="53">
        <f t="shared" si="115"/>
        <v>7</v>
      </c>
      <c r="AIM16" s="53">
        <f t="shared" si="115"/>
        <v>8</v>
      </c>
      <c r="AIN16" s="53">
        <f t="shared" si="115"/>
        <v>9</v>
      </c>
      <c r="AIO16" s="53">
        <f t="shared" si="115"/>
        <v>10</v>
      </c>
      <c r="AIP16" s="53">
        <f t="shared" si="115"/>
        <v>11</v>
      </c>
      <c r="AIQ16" s="53">
        <f t="shared" si="115"/>
        <v>12</v>
      </c>
      <c r="AIR16" s="53">
        <f t="shared" si="115"/>
        <v>1</v>
      </c>
      <c r="AIS16" s="53">
        <f t="shared" si="115"/>
        <v>2</v>
      </c>
      <c r="AIT16" s="53">
        <f t="shared" si="115"/>
        <v>3</v>
      </c>
      <c r="AIU16" s="53">
        <f t="shared" si="115"/>
        <v>4</v>
      </c>
      <c r="AIV16" s="53">
        <f t="shared" si="115"/>
        <v>5</v>
      </c>
      <c r="AIW16" s="53">
        <f t="shared" si="115"/>
        <v>6</v>
      </c>
      <c r="AIX16" s="53">
        <f t="shared" si="115"/>
        <v>7</v>
      </c>
      <c r="AIY16" s="53">
        <f t="shared" si="115"/>
        <v>8</v>
      </c>
      <c r="AIZ16" s="53">
        <f t="shared" si="115"/>
        <v>9</v>
      </c>
      <c r="AJA16" s="53">
        <f t="shared" si="115"/>
        <v>10</v>
      </c>
      <c r="AJB16" s="53">
        <f t="shared" si="115"/>
        <v>11</v>
      </c>
      <c r="AJC16" s="53">
        <f t="shared" si="115"/>
        <v>12</v>
      </c>
      <c r="AJD16" s="53">
        <f t="shared" si="115"/>
        <v>1</v>
      </c>
      <c r="AJE16" s="53">
        <f t="shared" si="115"/>
        <v>2</v>
      </c>
      <c r="AJF16" s="53">
        <f t="shared" si="115"/>
        <v>3</v>
      </c>
      <c r="AJG16" s="53">
        <f t="shared" si="115"/>
        <v>4</v>
      </c>
      <c r="AJH16" s="53">
        <f t="shared" si="115"/>
        <v>5</v>
      </c>
      <c r="AJI16" s="53">
        <f t="shared" si="115"/>
        <v>6</v>
      </c>
      <c r="AJJ16" s="53">
        <f t="shared" si="115"/>
        <v>7</v>
      </c>
      <c r="AJK16" s="53">
        <f t="shared" si="115"/>
        <v>8</v>
      </c>
      <c r="AJL16" s="53">
        <f t="shared" si="115"/>
        <v>9</v>
      </c>
      <c r="AJM16" s="53">
        <f t="shared" si="115"/>
        <v>10</v>
      </c>
      <c r="AJN16" s="53">
        <f t="shared" si="115"/>
        <v>11</v>
      </c>
      <c r="AJO16" s="53">
        <f t="shared" si="115"/>
        <v>12</v>
      </c>
      <c r="AJP16" s="53">
        <f t="shared" si="115"/>
        <v>1</v>
      </c>
      <c r="AJQ16" s="53">
        <f t="shared" si="115"/>
        <v>2</v>
      </c>
      <c r="AJR16" s="53">
        <f t="shared" si="115"/>
        <v>3</v>
      </c>
      <c r="AJS16" s="53">
        <f t="shared" si="115"/>
        <v>4</v>
      </c>
      <c r="AJT16" s="53">
        <f t="shared" si="115"/>
        <v>5</v>
      </c>
      <c r="AJU16" s="53">
        <f t="shared" si="115"/>
        <v>6</v>
      </c>
      <c r="AJV16" s="53">
        <f t="shared" si="115"/>
        <v>7</v>
      </c>
      <c r="AJW16" s="53">
        <f t="shared" si="115"/>
        <v>8</v>
      </c>
      <c r="AJX16" s="53">
        <f t="shared" si="115"/>
        <v>9</v>
      </c>
      <c r="AJY16" s="53">
        <f t="shared" si="115"/>
        <v>10</v>
      </c>
      <c r="AJZ16" s="53">
        <f t="shared" si="115"/>
        <v>11</v>
      </c>
      <c r="AKA16" s="53">
        <f t="shared" si="115"/>
        <v>12</v>
      </c>
      <c r="AKB16" s="53">
        <f t="shared" si="115"/>
        <v>1</v>
      </c>
      <c r="AKC16" s="53">
        <f t="shared" si="115"/>
        <v>2</v>
      </c>
      <c r="AKD16" s="53">
        <f t="shared" si="115"/>
        <v>3</v>
      </c>
      <c r="AKE16" s="53">
        <f t="shared" si="115"/>
        <v>4</v>
      </c>
      <c r="AKF16" s="53">
        <f t="shared" si="115"/>
        <v>5</v>
      </c>
      <c r="AKG16" s="53">
        <f t="shared" si="115"/>
        <v>6</v>
      </c>
      <c r="AKH16" s="53">
        <f t="shared" si="115"/>
        <v>7</v>
      </c>
      <c r="AKI16" s="53">
        <f t="shared" si="115"/>
        <v>8</v>
      </c>
      <c r="AKJ16" s="53">
        <f t="shared" si="115"/>
        <v>9</v>
      </c>
      <c r="AKK16" s="53">
        <f t="shared" si="115"/>
        <v>10</v>
      </c>
      <c r="AKL16" s="53">
        <f t="shared" si="115"/>
        <v>11</v>
      </c>
      <c r="AKM16" s="53">
        <f t="shared" si="115"/>
        <v>12</v>
      </c>
      <c r="AKN16" s="53">
        <f t="shared" si="115"/>
        <v>1</v>
      </c>
      <c r="AKO16" s="53">
        <f t="shared" si="115"/>
        <v>2</v>
      </c>
      <c r="AKP16" s="53">
        <f t="shared" si="115"/>
        <v>3</v>
      </c>
      <c r="AKQ16" s="53">
        <f t="shared" si="115"/>
        <v>4</v>
      </c>
      <c r="AKR16" s="53">
        <f t="shared" si="115"/>
        <v>5</v>
      </c>
      <c r="AKS16" s="53">
        <f t="shared" si="115"/>
        <v>6</v>
      </c>
      <c r="AKT16" s="53">
        <f t="shared" si="115"/>
        <v>7</v>
      </c>
      <c r="AKU16" s="53">
        <f t="shared" si="115"/>
        <v>8</v>
      </c>
      <c r="AKV16" s="53">
        <f t="shared" si="115"/>
        <v>9</v>
      </c>
      <c r="AKW16" s="53">
        <f t="shared" ref="AKW16:ANH16" si="116">AKK16</f>
        <v>10</v>
      </c>
      <c r="AKX16" s="53">
        <f t="shared" si="116"/>
        <v>11</v>
      </c>
      <c r="AKY16" s="53">
        <f t="shared" si="116"/>
        <v>12</v>
      </c>
      <c r="AKZ16" s="53">
        <f t="shared" si="116"/>
        <v>1</v>
      </c>
      <c r="ALA16" s="53">
        <f t="shared" si="116"/>
        <v>2</v>
      </c>
      <c r="ALB16" s="53">
        <f t="shared" si="116"/>
        <v>3</v>
      </c>
      <c r="ALC16" s="53">
        <f t="shared" si="116"/>
        <v>4</v>
      </c>
      <c r="ALD16" s="53">
        <f t="shared" si="116"/>
        <v>5</v>
      </c>
      <c r="ALE16" s="53">
        <f t="shared" si="116"/>
        <v>6</v>
      </c>
      <c r="ALF16" s="53">
        <f t="shared" si="116"/>
        <v>7</v>
      </c>
      <c r="ALG16" s="53">
        <f t="shared" si="116"/>
        <v>8</v>
      </c>
      <c r="ALH16" s="53">
        <f t="shared" si="116"/>
        <v>9</v>
      </c>
      <c r="ALI16" s="53">
        <f t="shared" si="116"/>
        <v>10</v>
      </c>
      <c r="ALJ16" s="53">
        <f t="shared" si="116"/>
        <v>11</v>
      </c>
      <c r="ALK16" s="53">
        <f t="shared" si="116"/>
        <v>12</v>
      </c>
      <c r="ALL16" s="53">
        <f t="shared" si="116"/>
        <v>1</v>
      </c>
      <c r="ALM16" s="53">
        <f t="shared" si="116"/>
        <v>2</v>
      </c>
      <c r="ALN16" s="53">
        <f t="shared" si="116"/>
        <v>3</v>
      </c>
      <c r="ALO16" s="53">
        <f t="shared" si="116"/>
        <v>4</v>
      </c>
      <c r="ALP16" s="53">
        <f t="shared" si="116"/>
        <v>5</v>
      </c>
      <c r="ALQ16" s="53">
        <f t="shared" si="116"/>
        <v>6</v>
      </c>
      <c r="ALR16" s="53">
        <f t="shared" si="116"/>
        <v>7</v>
      </c>
      <c r="ALS16" s="53">
        <f t="shared" si="116"/>
        <v>8</v>
      </c>
      <c r="ALT16" s="53">
        <f t="shared" si="116"/>
        <v>9</v>
      </c>
      <c r="ALU16" s="53">
        <f t="shared" si="116"/>
        <v>10</v>
      </c>
      <c r="ALV16" s="53">
        <f t="shared" si="116"/>
        <v>11</v>
      </c>
      <c r="ALW16" s="53">
        <f t="shared" si="116"/>
        <v>12</v>
      </c>
      <c r="ALX16" s="53">
        <f t="shared" si="116"/>
        <v>1</v>
      </c>
      <c r="ALY16" s="53">
        <f t="shared" si="116"/>
        <v>2</v>
      </c>
      <c r="ALZ16" s="53">
        <f t="shared" si="116"/>
        <v>3</v>
      </c>
      <c r="AMA16" s="53">
        <f t="shared" si="116"/>
        <v>4</v>
      </c>
      <c r="AMB16" s="53">
        <f t="shared" si="116"/>
        <v>5</v>
      </c>
      <c r="AMC16" s="53">
        <f t="shared" si="116"/>
        <v>6</v>
      </c>
      <c r="AMD16" s="53">
        <f t="shared" si="116"/>
        <v>7</v>
      </c>
      <c r="AME16" s="53">
        <f t="shared" si="116"/>
        <v>8</v>
      </c>
      <c r="AMF16" s="53">
        <f t="shared" si="116"/>
        <v>9</v>
      </c>
      <c r="AMG16" s="53">
        <f t="shared" si="116"/>
        <v>10</v>
      </c>
      <c r="AMH16" s="53">
        <f t="shared" si="116"/>
        <v>11</v>
      </c>
      <c r="AMI16" s="53">
        <f t="shared" si="116"/>
        <v>12</v>
      </c>
      <c r="AMJ16" s="53">
        <f t="shared" si="116"/>
        <v>1</v>
      </c>
      <c r="AMK16" s="53">
        <f t="shared" si="116"/>
        <v>2</v>
      </c>
      <c r="AML16" s="53">
        <f t="shared" si="116"/>
        <v>3</v>
      </c>
      <c r="AMM16" s="53">
        <f t="shared" si="116"/>
        <v>4</v>
      </c>
      <c r="AMN16" s="53">
        <f t="shared" si="116"/>
        <v>5</v>
      </c>
      <c r="AMO16" s="53">
        <f t="shared" si="116"/>
        <v>6</v>
      </c>
      <c r="AMP16" s="53">
        <f t="shared" si="116"/>
        <v>7</v>
      </c>
      <c r="AMQ16" s="53">
        <f t="shared" si="116"/>
        <v>8</v>
      </c>
      <c r="AMR16" s="53">
        <f t="shared" si="116"/>
        <v>9</v>
      </c>
      <c r="AMS16" s="53">
        <f t="shared" si="116"/>
        <v>10</v>
      </c>
      <c r="AMT16" s="53">
        <f t="shared" si="116"/>
        <v>11</v>
      </c>
      <c r="AMU16" s="53">
        <f t="shared" si="116"/>
        <v>12</v>
      </c>
      <c r="AMV16" s="53">
        <f t="shared" si="116"/>
        <v>1</v>
      </c>
      <c r="AMW16" s="53">
        <f t="shared" si="116"/>
        <v>2</v>
      </c>
      <c r="AMX16" s="53">
        <f t="shared" si="116"/>
        <v>3</v>
      </c>
      <c r="AMY16" s="53">
        <f t="shared" si="116"/>
        <v>4</v>
      </c>
      <c r="AMZ16" s="53">
        <f t="shared" si="116"/>
        <v>5</v>
      </c>
      <c r="ANA16" s="53">
        <f t="shared" si="116"/>
        <v>6</v>
      </c>
      <c r="ANB16" s="53">
        <f t="shared" si="116"/>
        <v>7</v>
      </c>
      <c r="ANC16" s="53">
        <f t="shared" si="116"/>
        <v>8</v>
      </c>
      <c r="AND16" s="53">
        <f t="shared" si="116"/>
        <v>9</v>
      </c>
      <c r="ANE16" s="53">
        <f t="shared" si="116"/>
        <v>10</v>
      </c>
      <c r="ANF16" s="53">
        <f t="shared" si="116"/>
        <v>11</v>
      </c>
      <c r="ANG16" s="53">
        <f t="shared" si="116"/>
        <v>12</v>
      </c>
      <c r="ANH16" s="53">
        <f t="shared" si="116"/>
        <v>1</v>
      </c>
      <c r="ANI16" s="53">
        <f t="shared" ref="ANI16:AOQ16" si="117">AMW16</f>
        <v>2</v>
      </c>
      <c r="ANJ16" s="53">
        <f t="shared" si="117"/>
        <v>3</v>
      </c>
      <c r="ANK16" s="53">
        <f t="shared" si="117"/>
        <v>4</v>
      </c>
      <c r="ANL16" s="53">
        <f t="shared" si="117"/>
        <v>5</v>
      </c>
      <c r="ANM16" s="53">
        <f t="shared" si="117"/>
        <v>6</v>
      </c>
      <c r="ANN16" s="53">
        <f t="shared" si="117"/>
        <v>7</v>
      </c>
      <c r="ANO16" s="53">
        <f t="shared" si="117"/>
        <v>8</v>
      </c>
      <c r="ANP16" s="53">
        <f t="shared" si="117"/>
        <v>9</v>
      </c>
      <c r="ANQ16" s="53">
        <f t="shared" si="117"/>
        <v>10</v>
      </c>
      <c r="ANR16" s="53">
        <f t="shared" si="117"/>
        <v>11</v>
      </c>
      <c r="ANS16" s="53">
        <f t="shared" si="117"/>
        <v>12</v>
      </c>
      <c r="ANT16" s="53">
        <f t="shared" si="117"/>
        <v>1</v>
      </c>
      <c r="ANU16" s="53">
        <f t="shared" si="117"/>
        <v>2</v>
      </c>
      <c r="ANV16" s="53">
        <f t="shared" si="117"/>
        <v>3</v>
      </c>
      <c r="ANW16" s="53">
        <f t="shared" si="117"/>
        <v>4</v>
      </c>
      <c r="ANX16" s="53">
        <f t="shared" si="117"/>
        <v>5</v>
      </c>
      <c r="ANY16" s="53">
        <f t="shared" si="117"/>
        <v>6</v>
      </c>
      <c r="ANZ16" s="53">
        <f t="shared" si="117"/>
        <v>7</v>
      </c>
      <c r="AOA16" s="53">
        <f t="shared" si="117"/>
        <v>8</v>
      </c>
      <c r="AOB16" s="53">
        <f t="shared" si="117"/>
        <v>9</v>
      </c>
      <c r="AOC16" s="53">
        <f t="shared" si="117"/>
        <v>10</v>
      </c>
      <c r="AOD16" s="53">
        <f t="shared" si="117"/>
        <v>11</v>
      </c>
      <c r="AOE16" s="53">
        <f t="shared" si="117"/>
        <v>12</v>
      </c>
      <c r="AOF16" s="53">
        <f t="shared" si="117"/>
        <v>1</v>
      </c>
      <c r="AOG16" s="53">
        <f t="shared" si="117"/>
        <v>2</v>
      </c>
      <c r="AOH16" s="53">
        <f t="shared" si="117"/>
        <v>3</v>
      </c>
      <c r="AOI16" s="53">
        <f t="shared" si="117"/>
        <v>4</v>
      </c>
      <c r="AOJ16" s="53">
        <f t="shared" si="117"/>
        <v>5</v>
      </c>
      <c r="AOK16" s="53">
        <f t="shared" si="117"/>
        <v>6</v>
      </c>
      <c r="AOL16" s="53">
        <f t="shared" si="117"/>
        <v>7</v>
      </c>
      <c r="AOM16" s="53">
        <f t="shared" si="117"/>
        <v>8</v>
      </c>
      <c r="AON16" s="53">
        <f t="shared" si="117"/>
        <v>9</v>
      </c>
      <c r="AOO16" s="53">
        <f t="shared" si="117"/>
        <v>10</v>
      </c>
      <c r="AOP16" s="53">
        <f t="shared" si="117"/>
        <v>11</v>
      </c>
      <c r="AOQ16" s="53">
        <f t="shared" si="117"/>
        <v>12</v>
      </c>
    </row>
    <row r="17" spans="2:1083" x14ac:dyDescent="0.25">
      <c r="B17" s="53" t="s">
        <v>212</v>
      </c>
      <c r="C17" s="53"/>
      <c r="D17" s="53">
        <v>1</v>
      </c>
      <c r="E17" s="53">
        <f>D17+1</f>
        <v>2</v>
      </c>
      <c r="F17" s="53">
        <f t="shared" si="69"/>
        <v>3</v>
      </c>
      <c r="G17" s="53">
        <f t="shared" si="69"/>
        <v>4</v>
      </c>
      <c r="H17" s="53">
        <f t="shared" si="69"/>
        <v>5</v>
      </c>
      <c r="I17" s="53">
        <f t="shared" si="69"/>
        <v>6</v>
      </c>
      <c r="J17" s="53">
        <f t="shared" si="69"/>
        <v>7</v>
      </c>
      <c r="K17" s="53">
        <f t="shared" si="69"/>
        <v>8</v>
      </c>
      <c r="L17" s="53">
        <f t="shared" si="69"/>
        <v>9</v>
      </c>
      <c r="M17" s="53">
        <f t="shared" si="69"/>
        <v>10</v>
      </c>
      <c r="N17" s="53">
        <f t="shared" si="69"/>
        <v>11</v>
      </c>
      <c r="O17" s="53">
        <f t="shared" si="69"/>
        <v>12</v>
      </c>
      <c r="P17" s="53">
        <f t="shared" ref="P17:CA17" si="118">O17+1</f>
        <v>13</v>
      </c>
      <c r="Q17" s="53">
        <f t="shared" si="118"/>
        <v>14</v>
      </c>
      <c r="R17" s="53">
        <f t="shared" si="118"/>
        <v>15</v>
      </c>
      <c r="S17" s="53">
        <f t="shared" si="118"/>
        <v>16</v>
      </c>
      <c r="T17" s="53">
        <f t="shared" si="118"/>
        <v>17</v>
      </c>
      <c r="U17" s="53">
        <f t="shared" si="118"/>
        <v>18</v>
      </c>
      <c r="V17" s="53">
        <f t="shared" si="118"/>
        <v>19</v>
      </c>
      <c r="W17" s="53">
        <f t="shared" si="118"/>
        <v>20</v>
      </c>
      <c r="X17" s="53">
        <f t="shared" si="118"/>
        <v>21</v>
      </c>
      <c r="Y17" s="53">
        <f t="shared" si="118"/>
        <v>22</v>
      </c>
      <c r="Z17" s="53">
        <f t="shared" si="118"/>
        <v>23</v>
      </c>
      <c r="AA17" s="53">
        <f t="shared" si="118"/>
        <v>24</v>
      </c>
      <c r="AB17" s="53">
        <f t="shared" si="118"/>
        <v>25</v>
      </c>
      <c r="AC17" s="53">
        <f t="shared" si="118"/>
        <v>26</v>
      </c>
      <c r="AD17" s="53">
        <f t="shared" si="118"/>
        <v>27</v>
      </c>
      <c r="AE17" s="53">
        <f t="shared" si="118"/>
        <v>28</v>
      </c>
      <c r="AF17" s="53">
        <f t="shared" si="118"/>
        <v>29</v>
      </c>
      <c r="AG17" s="53">
        <f t="shared" si="118"/>
        <v>30</v>
      </c>
      <c r="AH17" s="53">
        <f t="shared" si="118"/>
        <v>31</v>
      </c>
      <c r="AI17" s="53">
        <f t="shared" si="118"/>
        <v>32</v>
      </c>
      <c r="AJ17" s="53">
        <f t="shared" si="118"/>
        <v>33</v>
      </c>
      <c r="AK17" s="53">
        <f t="shared" si="118"/>
        <v>34</v>
      </c>
      <c r="AL17" s="53">
        <f t="shared" si="118"/>
        <v>35</v>
      </c>
      <c r="AM17" s="53">
        <f t="shared" si="118"/>
        <v>36</v>
      </c>
      <c r="AN17" s="53">
        <f t="shared" si="118"/>
        <v>37</v>
      </c>
      <c r="AO17" s="53">
        <f t="shared" si="118"/>
        <v>38</v>
      </c>
      <c r="AP17" s="53">
        <f t="shared" si="118"/>
        <v>39</v>
      </c>
      <c r="AQ17" s="53">
        <f t="shared" si="118"/>
        <v>40</v>
      </c>
      <c r="AR17" s="53">
        <f t="shared" si="118"/>
        <v>41</v>
      </c>
      <c r="AS17" s="53">
        <f t="shared" si="118"/>
        <v>42</v>
      </c>
      <c r="AT17" s="53">
        <f t="shared" si="118"/>
        <v>43</v>
      </c>
      <c r="AU17" s="53">
        <f t="shared" si="118"/>
        <v>44</v>
      </c>
      <c r="AV17" s="53">
        <f t="shared" si="118"/>
        <v>45</v>
      </c>
      <c r="AW17" s="53">
        <f t="shared" si="118"/>
        <v>46</v>
      </c>
      <c r="AX17" s="53">
        <f t="shared" si="118"/>
        <v>47</v>
      </c>
      <c r="AY17" s="53">
        <f t="shared" si="118"/>
        <v>48</v>
      </c>
      <c r="AZ17" s="53">
        <f t="shared" si="118"/>
        <v>49</v>
      </c>
      <c r="BA17" s="53">
        <f t="shared" si="118"/>
        <v>50</v>
      </c>
      <c r="BB17" s="53">
        <f t="shared" si="118"/>
        <v>51</v>
      </c>
      <c r="BC17" s="53">
        <f t="shared" si="118"/>
        <v>52</v>
      </c>
      <c r="BD17" s="53">
        <f t="shared" si="118"/>
        <v>53</v>
      </c>
      <c r="BE17" s="53">
        <f t="shared" si="118"/>
        <v>54</v>
      </c>
      <c r="BF17" s="53">
        <f t="shared" si="118"/>
        <v>55</v>
      </c>
      <c r="BG17" s="53">
        <f t="shared" si="118"/>
        <v>56</v>
      </c>
      <c r="BH17" s="53">
        <f t="shared" si="118"/>
        <v>57</v>
      </c>
      <c r="BI17" s="53">
        <f t="shared" si="118"/>
        <v>58</v>
      </c>
      <c r="BJ17" s="53">
        <f t="shared" si="118"/>
        <v>59</v>
      </c>
      <c r="BK17" s="53">
        <f t="shared" si="118"/>
        <v>60</v>
      </c>
      <c r="BL17" s="53">
        <f t="shared" si="118"/>
        <v>61</v>
      </c>
      <c r="BM17" s="53">
        <f t="shared" si="118"/>
        <v>62</v>
      </c>
      <c r="BN17" s="53">
        <f t="shared" si="118"/>
        <v>63</v>
      </c>
      <c r="BO17" s="53">
        <f t="shared" si="118"/>
        <v>64</v>
      </c>
      <c r="BP17" s="53">
        <f t="shared" si="118"/>
        <v>65</v>
      </c>
      <c r="BQ17" s="53">
        <f t="shared" si="118"/>
        <v>66</v>
      </c>
      <c r="BR17" s="53">
        <f t="shared" si="118"/>
        <v>67</v>
      </c>
      <c r="BS17" s="53">
        <f t="shared" si="118"/>
        <v>68</v>
      </c>
      <c r="BT17" s="53">
        <f t="shared" si="118"/>
        <v>69</v>
      </c>
      <c r="BU17" s="53">
        <f t="shared" si="118"/>
        <v>70</v>
      </c>
      <c r="BV17" s="53">
        <f t="shared" si="118"/>
        <v>71</v>
      </c>
      <c r="BW17" s="53">
        <f t="shared" si="118"/>
        <v>72</v>
      </c>
      <c r="BX17" s="53">
        <f t="shared" si="118"/>
        <v>73</v>
      </c>
      <c r="BY17" s="53">
        <f t="shared" si="118"/>
        <v>74</v>
      </c>
      <c r="BZ17" s="53">
        <f t="shared" si="118"/>
        <v>75</v>
      </c>
      <c r="CA17" s="53">
        <f t="shared" si="118"/>
        <v>76</v>
      </c>
      <c r="CB17" s="53">
        <f t="shared" ref="CB17:EM17" si="119">CA17+1</f>
        <v>77</v>
      </c>
      <c r="CC17" s="53">
        <f t="shared" si="119"/>
        <v>78</v>
      </c>
      <c r="CD17" s="53">
        <f t="shared" si="119"/>
        <v>79</v>
      </c>
      <c r="CE17" s="53">
        <f t="shared" si="119"/>
        <v>80</v>
      </c>
      <c r="CF17" s="53">
        <f t="shared" si="119"/>
        <v>81</v>
      </c>
      <c r="CG17" s="53">
        <f t="shared" si="119"/>
        <v>82</v>
      </c>
      <c r="CH17" s="53">
        <f t="shared" si="119"/>
        <v>83</v>
      </c>
      <c r="CI17" s="53">
        <f t="shared" si="119"/>
        <v>84</v>
      </c>
      <c r="CJ17" s="53">
        <f t="shared" si="119"/>
        <v>85</v>
      </c>
      <c r="CK17" s="53">
        <f t="shared" si="119"/>
        <v>86</v>
      </c>
      <c r="CL17" s="53">
        <f t="shared" si="119"/>
        <v>87</v>
      </c>
      <c r="CM17" s="53">
        <f t="shared" si="119"/>
        <v>88</v>
      </c>
      <c r="CN17" s="53">
        <f t="shared" si="119"/>
        <v>89</v>
      </c>
      <c r="CO17" s="53">
        <f t="shared" si="119"/>
        <v>90</v>
      </c>
      <c r="CP17" s="53">
        <f t="shared" si="119"/>
        <v>91</v>
      </c>
      <c r="CQ17" s="53">
        <f t="shared" si="119"/>
        <v>92</v>
      </c>
      <c r="CR17" s="53">
        <f t="shared" si="119"/>
        <v>93</v>
      </c>
      <c r="CS17" s="53">
        <f t="shared" si="119"/>
        <v>94</v>
      </c>
      <c r="CT17" s="53">
        <f t="shared" si="119"/>
        <v>95</v>
      </c>
      <c r="CU17" s="53">
        <f t="shared" si="119"/>
        <v>96</v>
      </c>
      <c r="CV17" s="53">
        <f t="shared" si="119"/>
        <v>97</v>
      </c>
      <c r="CW17" s="53">
        <f t="shared" si="119"/>
        <v>98</v>
      </c>
      <c r="CX17" s="53">
        <f t="shared" si="119"/>
        <v>99</v>
      </c>
      <c r="CY17" s="53">
        <f t="shared" si="119"/>
        <v>100</v>
      </c>
      <c r="CZ17" s="53">
        <f t="shared" si="119"/>
        <v>101</v>
      </c>
      <c r="DA17" s="53">
        <f t="shared" si="119"/>
        <v>102</v>
      </c>
      <c r="DB17" s="53">
        <f t="shared" si="119"/>
        <v>103</v>
      </c>
      <c r="DC17" s="53">
        <f t="shared" si="119"/>
        <v>104</v>
      </c>
      <c r="DD17" s="53">
        <f t="shared" si="119"/>
        <v>105</v>
      </c>
      <c r="DE17" s="53">
        <f t="shared" si="119"/>
        <v>106</v>
      </c>
      <c r="DF17" s="53">
        <f t="shared" si="119"/>
        <v>107</v>
      </c>
      <c r="DG17" s="53">
        <f t="shared" si="119"/>
        <v>108</v>
      </c>
      <c r="DH17" s="53">
        <f t="shared" si="119"/>
        <v>109</v>
      </c>
      <c r="DI17" s="53">
        <f t="shared" si="119"/>
        <v>110</v>
      </c>
      <c r="DJ17" s="53">
        <f t="shared" si="119"/>
        <v>111</v>
      </c>
      <c r="DK17" s="53">
        <f t="shared" si="119"/>
        <v>112</v>
      </c>
      <c r="DL17" s="53">
        <f t="shared" si="119"/>
        <v>113</v>
      </c>
      <c r="DM17" s="53">
        <f t="shared" si="119"/>
        <v>114</v>
      </c>
      <c r="DN17" s="53">
        <f t="shared" si="119"/>
        <v>115</v>
      </c>
      <c r="DO17" s="53">
        <f t="shared" si="119"/>
        <v>116</v>
      </c>
      <c r="DP17" s="53">
        <f t="shared" si="119"/>
        <v>117</v>
      </c>
      <c r="DQ17" s="53">
        <f t="shared" si="119"/>
        <v>118</v>
      </c>
      <c r="DR17" s="53">
        <f t="shared" si="119"/>
        <v>119</v>
      </c>
      <c r="DS17" s="53">
        <f t="shared" si="119"/>
        <v>120</v>
      </c>
      <c r="DT17" s="53">
        <f t="shared" si="119"/>
        <v>121</v>
      </c>
      <c r="DU17" s="53">
        <f t="shared" si="119"/>
        <v>122</v>
      </c>
      <c r="DV17" s="53">
        <f t="shared" si="119"/>
        <v>123</v>
      </c>
      <c r="DW17" s="53">
        <f t="shared" si="119"/>
        <v>124</v>
      </c>
      <c r="DX17" s="53">
        <f t="shared" si="119"/>
        <v>125</v>
      </c>
      <c r="DY17" s="53">
        <f t="shared" si="119"/>
        <v>126</v>
      </c>
      <c r="DZ17" s="53">
        <f t="shared" si="119"/>
        <v>127</v>
      </c>
      <c r="EA17" s="53">
        <f t="shared" si="119"/>
        <v>128</v>
      </c>
      <c r="EB17" s="53">
        <f t="shared" si="119"/>
        <v>129</v>
      </c>
      <c r="EC17" s="53">
        <f t="shared" si="119"/>
        <v>130</v>
      </c>
      <c r="ED17" s="53">
        <f t="shared" si="119"/>
        <v>131</v>
      </c>
      <c r="EE17" s="53">
        <f t="shared" si="119"/>
        <v>132</v>
      </c>
      <c r="EF17" s="53">
        <f t="shared" si="119"/>
        <v>133</v>
      </c>
      <c r="EG17" s="53">
        <f t="shared" si="119"/>
        <v>134</v>
      </c>
      <c r="EH17" s="53">
        <f t="shared" si="119"/>
        <v>135</v>
      </c>
      <c r="EI17" s="53">
        <f t="shared" si="119"/>
        <v>136</v>
      </c>
      <c r="EJ17" s="53">
        <f t="shared" si="119"/>
        <v>137</v>
      </c>
      <c r="EK17" s="53">
        <f t="shared" si="119"/>
        <v>138</v>
      </c>
      <c r="EL17" s="53">
        <f t="shared" si="119"/>
        <v>139</v>
      </c>
      <c r="EM17" s="53">
        <f t="shared" si="119"/>
        <v>140</v>
      </c>
      <c r="EN17" s="53">
        <f t="shared" ref="EN17:GY17" si="120">EM17+1</f>
        <v>141</v>
      </c>
      <c r="EO17" s="53">
        <f t="shared" si="120"/>
        <v>142</v>
      </c>
      <c r="EP17" s="53">
        <f t="shared" si="120"/>
        <v>143</v>
      </c>
      <c r="EQ17" s="53">
        <f t="shared" si="120"/>
        <v>144</v>
      </c>
      <c r="ER17" s="53">
        <f t="shared" si="120"/>
        <v>145</v>
      </c>
      <c r="ES17" s="53">
        <f t="shared" si="120"/>
        <v>146</v>
      </c>
      <c r="ET17" s="53">
        <f t="shared" si="120"/>
        <v>147</v>
      </c>
      <c r="EU17" s="53">
        <f t="shared" si="120"/>
        <v>148</v>
      </c>
      <c r="EV17" s="53">
        <f t="shared" si="120"/>
        <v>149</v>
      </c>
      <c r="EW17" s="53">
        <f t="shared" si="120"/>
        <v>150</v>
      </c>
      <c r="EX17" s="53">
        <f t="shared" si="120"/>
        <v>151</v>
      </c>
      <c r="EY17" s="53">
        <f t="shared" si="120"/>
        <v>152</v>
      </c>
      <c r="EZ17" s="53">
        <f t="shared" si="120"/>
        <v>153</v>
      </c>
      <c r="FA17" s="53">
        <f t="shared" si="120"/>
        <v>154</v>
      </c>
      <c r="FB17" s="53">
        <f t="shared" si="120"/>
        <v>155</v>
      </c>
      <c r="FC17" s="53">
        <f t="shared" si="120"/>
        <v>156</v>
      </c>
      <c r="FD17" s="53">
        <f t="shared" si="120"/>
        <v>157</v>
      </c>
      <c r="FE17" s="53">
        <f t="shared" si="120"/>
        <v>158</v>
      </c>
      <c r="FF17" s="53">
        <f t="shared" si="120"/>
        <v>159</v>
      </c>
      <c r="FG17" s="53">
        <f t="shared" si="120"/>
        <v>160</v>
      </c>
      <c r="FH17" s="53">
        <f t="shared" si="120"/>
        <v>161</v>
      </c>
      <c r="FI17" s="53">
        <f t="shared" si="120"/>
        <v>162</v>
      </c>
      <c r="FJ17" s="53">
        <f t="shared" si="120"/>
        <v>163</v>
      </c>
      <c r="FK17" s="53">
        <f t="shared" si="120"/>
        <v>164</v>
      </c>
      <c r="FL17" s="53">
        <f t="shared" si="120"/>
        <v>165</v>
      </c>
      <c r="FM17" s="53">
        <f t="shared" si="120"/>
        <v>166</v>
      </c>
      <c r="FN17" s="53">
        <f t="shared" si="120"/>
        <v>167</v>
      </c>
      <c r="FO17" s="53">
        <f t="shared" si="120"/>
        <v>168</v>
      </c>
      <c r="FP17" s="53">
        <f t="shared" si="120"/>
        <v>169</v>
      </c>
      <c r="FQ17" s="53">
        <f t="shared" si="120"/>
        <v>170</v>
      </c>
      <c r="FR17" s="53">
        <f t="shared" si="120"/>
        <v>171</v>
      </c>
      <c r="FS17" s="53">
        <f t="shared" si="120"/>
        <v>172</v>
      </c>
      <c r="FT17" s="53">
        <f t="shared" si="120"/>
        <v>173</v>
      </c>
      <c r="FU17" s="53">
        <f t="shared" si="120"/>
        <v>174</v>
      </c>
      <c r="FV17" s="53">
        <f t="shared" si="120"/>
        <v>175</v>
      </c>
      <c r="FW17" s="53">
        <f t="shared" si="120"/>
        <v>176</v>
      </c>
      <c r="FX17" s="53">
        <f t="shared" si="120"/>
        <v>177</v>
      </c>
      <c r="FY17" s="53">
        <f t="shared" si="120"/>
        <v>178</v>
      </c>
      <c r="FZ17" s="53">
        <f t="shared" si="120"/>
        <v>179</v>
      </c>
      <c r="GA17" s="53">
        <f t="shared" si="120"/>
        <v>180</v>
      </c>
      <c r="GB17" s="53">
        <f t="shared" si="120"/>
        <v>181</v>
      </c>
      <c r="GC17" s="53">
        <f t="shared" si="120"/>
        <v>182</v>
      </c>
      <c r="GD17" s="53">
        <f t="shared" si="120"/>
        <v>183</v>
      </c>
      <c r="GE17" s="53">
        <f t="shared" si="120"/>
        <v>184</v>
      </c>
      <c r="GF17" s="53">
        <f t="shared" si="120"/>
        <v>185</v>
      </c>
      <c r="GG17" s="53">
        <f t="shared" si="120"/>
        <v>186</v>
      </c>
      <c r="GH17" s="53">
        <f t="shared" si="120"/>
        <v>187</v>
      </c>
      <c r="GI17" s="53">
        <f t="shared" si="120"/>
        <v>188</v>
      </c>
      <c r="GJ17" s="53">
        <f t="shared" si="120"/>
        <v>189</v>
      </c>
      <c r="GK17" s="53">
        <f t="shared" si="120"/>
        <v>190</v>
      </c>
      <c r="GL17" s="53">
        <f t="shared" si="120"/>
        <v>191</v>
      </c>
      <c r="GM17" s="53">
        <f t="shared" si="120"/>
        <v>192</v>
      </c>
      <c r="GN17" s="53">
        <f t="shared" si="120"/>
        <v>193</v>
      </c>
      <c r="GO17" s="53">
        <f t="shared" si="120"/>
        <v>194</v>
      </c>
      <c r="GP17" s="53">
        <f t="shared" si="120"/>
        <v>195</v>
      </c>
      <c r="GQ17" s="53">
        <f t="shared" si="120"/>
        <v>196</v>
      </c>
      <c r="GR17" s="53">
        <f t="shared" si="120"/>
        <v>197</v>
      </c>
      <c r="GS17" s="53">
        <f t="shared" si="120"/>
        <v>198</v>
      </c>
      <c r="GT17" s="53">
        <f t="shared" si="120"/>
        <v>199</v>
      </c>
      <c r="GU17" s="53">
        <f t="shared" si="120"/>
        <v>200</v>
      </c>
      <c r="GV17" s="53">
        <f t="shared" si="120"/>
        <v>201</v>
      </c>
      <c r="GW17" s="53">
        <f t="shared" si="120"/>
        <v>202</v>
      </c>
      <c r="GX17" s="53">
        <f t="shared" si="120"/>
        <v>203</v>
      </c>
      <c r="GY17" s="53">
        <f t="shared" si="120"/>
        <v>204</v>
      </c>
      <c r="GZ17" s="53">
        <f t="shared" ref="GZ17:JK17" si="121">GY17+1</f>
        <v>205</v>
      </c>
      <c r="HA17" s="53">
        <f t="shared" si="121"/>
        <v>206</v>
      </c>
      <c r="HB17" s="53">
        <f t="shared" si="121"/>
        <v>207</v>
      </c>
      <c r="HC17" s="53">
        <f t="shared" si="121"/>
        <v>208</v>
      </c>
      <c r="HD17" s="53">
        <f t="shared" si="121"/>
        <v>209</v>
      </c>
      <c r="HE17" s="53">
        <f t="shared" si="121"/>
        <v>210</v>
      </c>
      <c r="HF17" s="53">
        <f t="shared" si="121"/>
        <v>211</v>
      </c>
      <c r="HG17" s="53">
        <f t="shared" si="121"/>
        <v>212</v>
      </c>
      <c r="HH17" s="53">
        <f t="shared" si="121"/>
        <v>213</v>
      </c>
      <c r="HI17" s="53">
        <f t="shared" si="121"/>
        <v>214</v>
      </c>
      <c r="HJ17" s="53">
        <f t="shared" si="121"/>
        <v>215</v>
      </c>
      <c r="HK17" s="53">
        <f t="shared" si="121"/>
        <v>216</v>
      </c>
      <c r="HL17" s="53">
        <f t="shared" si="121"/>
        <v>217</v>
      </c>
      <c r="HM17" s="53">
        <f t="shared" si="121"/>
        <v>218</v>
      </c>
      <c r="HN17" s="53">
        <f t="shared" si="121"/>
        <v>219</v>
      </c>
      <c r="HO17" s="53">
        <f t="shared" si="121"/>
        <v>220</v>
      </c>
      <c r="HP17" s="53">
        <f t="shared" si="121"/>
        <v>221</v>
      </c>
      <c r="HQ17" s="53">
        <f t="shared" si="121"/>
        <v>222</v>
      </c>
      <c r="HR17" s="53">
        <f t="shared" si="121"/>
        <v>223</v>
      </c>
      <c r="HS17" s="53">
        <f t="shared" si="121"/>
        <v>224</v>
      </c>
      <c r="HT17" s="53">
        <f t="shared" si="121"/>
        <v>225</v>
      </c>
      <c r="HU17" s="53">
        <f t="shared" si="121"/>
        <v>226</v>
      </c>
      <c r="HV17" s="53">
        <f t="shared" si="121"/>
        <v>227</v>
      </c>
      <c r="HW17" s="53">
        <f t="shared" si="121"/>
        <v>228</v>
      </c>
      <c r="HX17" s="53">
        <f t="shared" si="121"/>
        <v>229</v>
      </c>
      <c r="HY17" s="53">
        <f t="shared" si="121"/>
        <v>230</v>
      </c>
      <c r="HZ17" s="53">
        <f t="shared" si="121"/>
        <v>231</v>
      </c>
      <c r="IA17" s="53">
        <f t="shared" si="121"/>
        <v>232</v>
      </c>
      <c r="IB17" s="53">
        <f t="shared" si="121"/>
        <v>233</v>
      </c>
      <c r="IC17" s="53">
        <f t="shared" si="121"/>
        <v>234</v>
      </c>
      <c r="ID17" s="53">
        <f t="shared" si="121"/>
        <v>235</v>
      </c>
      <c r="IE17" s="53">
        <f t="shared" si="121"/>
        <v>236</v>
      </c>
      <c r="IF17" s="53">
        <f t="shared" si="121"/>
        <v>237</v>
      </c>
      <c r="IG17" s="53">
        <f t="shared" si="121"/>
        <v>238</v>
      </c>
      <c r="IH17" s="53">
        <f t="shared" si="121"/>
        <v>239</v>
      </c>
      <c r="II17" s="53">
        <f t="shared" si="121"/>
        <v>240</v>
      </c>
      <c r="IJ17" s="53">
        <f t="shared" si="121"/>
        <v>241</v>
      </c>
      <c r="IK17" s="53">
        <f t="shared" si="121"/>
        <v>242</v>
      </c>
      <c r="IL17" s="53">
        <f t="shared" si="121"/>
        <v>243</v>
      </c>
      <c r="IM17" s="53">
        <f t="shared" si="121"/>
        <v>244</v>
      </c>
      <c r="IN17" s="53">
        <f t="shared" si="121"/>
        <v>245</v>
      </c>
      <c r="IO17" s="53">
        <f t="shared" si="121"/>
        <v>246</v>
      </c>
      <c r="IP17" s="53">
        <f t="shared" si="121"/>
        <v>247</v>
      </c>
      <c r="IQ17" s="53">
        <f t="shared" si="121"/>
        <v>248</v>
      </c>
      <c r="IR17" s="53">
        <f t="shared" si="121"/>
        <v>249</v>
      </c>
      <c r="IS17" s="53">
        <f t="shared" si="121"/>
        <v>250</v>
      </c>
      <c r="IT17" s="53">
        <f t="shared" si="121"/>
        <v>251</v>
      </c>
      <c r="IU17" s="53">
        <f t="shared" si="121"/>
        <v>252</v>
      </c>
      <c r="IV17" s="53">
        <f t="shared" si="121"/>
        <v>253</v>
      </c>
      <c r="IW17" s="53">
        <f t="shared" si="121"/>
        <v>254</v>
      </c>
      <c r="IX17" s="53">
        <f t="shared" si="121"/>
        <v>255</v>
      </c>
      <c r="IY17" s="53">
        <f t="shared" si="121"/>
        <v>256</v>
      </c>
      <c r="IZ17" s="53">
        <f t="shared" si="121"/>
        <v>257</v>
      </c>
      <c r="JA17" s="53">
        <f t="shared" si="121"/>
        <v>258</v>
      </c>
      <c r="JB17" s="53">
        <f t="shared" si="121"/>
        <v>259</v>
      </c>
      <c r="JC17" s="53">
        <f t="shared" si="121"/>
        <v>260</v>
      </c>
      <c r="JD17" s="53">
        <f t="shared" si="121"/>
        <v>261</v>
      </c>
      <c r="JE17" s="53">
        <f t="shared" si="121"/>
        <v>262</v>
      </c>
      <c r="JF17" s="53">
        <f t="shared" si="121"/>
        <v>263</v>
      </c>
      <c r="JG17" s="53">
        <f t="shared" si="121"/>
        <v>264</v>
      </c>
      <c r="JH17" s="53">
        <f t="shared" si="121"/>
        <v>265</v>
      </c>
      <c r="JI17" s="53">
        <f t="shared" si="121"/>
        <v>266</v>
      </c>
      <c r="JJ17" s="53">
        <f t="shared" si="121"/>
        <v>267</v>
      </c>
      <c r="JK17" s="53">
        <f t="shared" si="121"/>
        <v>268</v>
      </c>
      <c r="JL17" s="53">
        <f t="shared" ref="JL17:LW17" si="122">JK17+1</f>
        <v>269</v>
      </c>
      <c r="JM17" s="53">
        <f t="shared" si="122"/>
        <v>270</v>
      </c>
      <c r="JN17" s="53">
        <f t="shared" si="122"/>
        <v>271</v>
      </c>
      <c r="JO17" s="53">
        <f t="shared" si="122"/>
        <v>272</v>
      </c>
      <c r="JP17" s="53">
        <f t="shared" si="122"/>
        <v>273</v>
      </c>
      <c r="JQ17" s="53">
        <f t="shared" si="122"/>
        <v>274</v>
      </c>
      <c r="JR17" s="53">
        <f t="shared" si="122"/>
        <v>275</v>
      </c>
      <c r="JS17" s="53">
        <f t="shared" si="122"/>
        <v>276</v>
      </c>
      <c r="JT17" s="53">
        <f t="shared" si="122"/>
        <v>277</v>
      </c>
      <c r="JU17" s="53">
        <f t="shared" si="122"/>
        <v>278</v>
      </c>
      <c r="JV17" s="53">
        <f t="shared" si="122"/>
        <v>279</v>
      </c>
      <c r="JW17" s="53">
        <f t="shared" si="122"/>
        <v>280</v>
      </c>
      <c r="JX17" s="53">
        <f t="shared" si="122"/>
        <v>281</v>
      </c>
      <c r="JY17" s="53">
        <f t="shared" si="122"/>
        <v>282</v>
      </c>
      <c r="JZ17" s="53">
        <f t="shared" si="122"/>
        <v>283</v>
      </c>
      <c r="KA17" s="53">
        <f t="shared" si="122"/>
        <v>284</v>
      </c>
      <c r="KB17" s="53">
        <f t="shared" si="122"/>
        <v>285</v>
      </c>
      <c r="KC17" s="53">
        <f t="shared" si="122"/>
        <v>286</v>
      </c>
      <c r="KD17" s="53">
        <f t="shared" si="122"/>
        <v>287</v>
      </c>
      <c r="KE17" s="53">
        <f t="shared" si="122"/>
        <v>288</v>
      </c>
      <c r="KF17" s="53">
        <f t="shared" si="122"/>
        <v>289</v>
      </c>
      <c r="KG17" s="53">
        <f t="shared" si="122"/>
        <v>290</v>
      </c>
      <c r="KH17" s="53">
        <f t="shared" si="122"/>
        <v>291</v>
      </c>
      <c r="KI17" s="53">
        <f t="shared" si="122"/>
        <v>292</v>
      </c>
      <c r="KJ17" s="53">
        <f t="shared" si="122"/>
        <v>293</v>
      </c>
      <c r="KK17" s="53">
        <f t="shared" si="122"/>
        <v>294</v>
      </c>
      <c r="KL17" s="53">
        <f t="shared" si="122"/>
        <v>295</v>
      </c>
      <c r="KM17" s="53">
        <f t="shared" si="122"/>
        <v>296</v>
      </c>
      <c r="KN17" s="53">
        <f t="shared" si="122"/>
        <v>297</v>
      </c>
      <c r="KO17" s="53">
        <f t="shared" si="122"/>
        <v>298</v>
      </c>
      <c r="KP17" s="53">
        <f t="shared" si="122"/>
        <v>299</v>
      </c>
      <c r="KQ17" s="53">
        <f t="shared" si="122"/>
        <v>300</v>
      </c>
      <c r="KR17" s="53">
        <f t="shared" si="122"/>
        <v>301</v>
      </c>
      <c r="KS17" s="53">
        <f t="shared" si="122"/>
        <v>302</v>
      </c>
      <c r="KT17" s="53">
        <f t="shared" si="122"/>
        <v>303</v>
      </c>
      <c r="KU17" s="53">
        <f t="shared" si="122"/>
        <v>304</v>
      </c>
      <c r="KV17" s="53">
        <f t="shared" si="122"/>
        <v>305</v>
      </c>
      <c r="KW17" s="53">
        <f t="shared" si="122"/>
        <v>306</v>
      </c>
      <c r="KX17" s="53">
        <f t="shared" si="122"/>
        <v>307</v>
      </c>
      <c r="KY17" s="53">
        <f t="shared" si="122"/>
        <v>308</v>
      </c>
      <c r="KZ17" s="53">
        <f t="shared" si="122"/>
        <v>309</v>
      </c>
      <c r="LA17" s="53">
        <f t="shared" si="122"/>
        <v>310</v>
      </c>
      <c r="LB17" s="53">
        <f t="shared" si="122"/>
        <v>311</v>
      </c>
      <c r="LC17" s="53">
        <f t="shared" si="122"/>
        <v>312</v>
      </c>
      <c r="LD17" s="53">
        <f t="shared" si="122"/>
        <v>313</v>
      </c>
      <c r="LE17" s="53">
        <f t="shared" si="122"/>
        <v>314</v>
      </c>
      <c r="LF17" s="53">
        <f t="shared" si="122"/>
        <v>315</v>
      </c>
      <c r="LG17" s="53">
        <f t="shared" si="122"/>
        <v>316</v>
      </c>
      <c r="LH17" s="53">
        <f t="shared" si="122"/>
        <v>317</v>
      </c>
      <c r="LI17" s="53">
        <f t="shared" si="122"/>
        <v>318</v>
      </c>
      <c r="LJ17" s="53">
        <f t="shared" si="122"/>
        <v>319</v>
      </c>
      <c r="LK17" s="53">
        <f t="shared" si="122"/>
        <v>320</v>
      </c>
      <c r="LL17" s="53">
        <f t="shared" si="122"/>
        <v>321</v>
      </c>
      <c r="LM17" s="53">
        <f t="shared" si="122"/>
        <v>322</v>
      </c>
      <c r="LN17" s="53">
        <f t="shared" si="122"/>
        <v>323</v>
      </c>
      <c r="LO17" s="53">
        <f t="shared" si="122"/>
        <v>324</v>
      </c>
      <c r="LP17" s="53">
        <f t="shared" si="122"/>
        <v>325</v>
      </c>
      <c r="LQ17" s="53">
        <f t="shared" si="122"/>
        <v>326</v>
      </c>
      <c r="LR17" s="53">
        <f t="shared" si="122"/>
        <v>327</v>
      </c>
      <c r="LS17" s="53">
        <f t="shared" si="122"/>
        <v>328</v>
      </c>
      <c r="LT17" s="53">
        <f t="shared" si="122"/>
        <v>329</v>
      </c>
      <c r="LU17" s="53">
        <f t="shared" si="122"/>
        <v>330</v>
      </c>
      <c r="LV17" s="53">
        <f t="shared" si="122"/>
        <v>331</v>
      </c>
      <c r="LW17" s="53">
        <f t="shared" si="122"/>
        <v>332</v>
      </c>
      <c r="LX17" s="53">
        <f t="shared" ref="LX17:OI17" si="123">LW17+1</f>
        <v>333</v>
      </c>
      <c r="LY17" s="53">
        <f t="shared" si="123"/>
        <v>334</v>
      </c>
      <c r="LZ17" s="53">
        <f t="shared" si="123"/>
        <v>335</v>
      </c>
      <c r="MA17" s="53">
        <f t="shared" si="123"/>
        <v>336</v>
      </c>
      <c r="MB17" s="53">
        <f t="shared" si="123"/>
        <v>337</v>
      </c>
      <c r="MC17" s="53">
        <f t="shared" si="123"/>
        <v>338</v>
      </c>
      <c r="MD17" s="53">
        <f t="shared" si="123"/>
        <v>339</v>
      </c>
      <c r="ME17" s="53">
        <f t="shared" si="123"/>
        <v>340</v>
      </c>
      <c r="MF17" s="53">
        <f t="shared" si="123"/>
        <v>341</v>
      </c>
      <c r="MG17" s="53">
        <f t="shared" si="123"/>
        <v>342</v>
      </c>
      <c r="MH17" s="53">
        <f t="shared" si="123"/>
        <v>343</v>
      </c>
      <c r="MI17" s="53">
        <f t="shared" si="123"/>
        <v>344</v>
      </c>
      <c r="MJ17" s="53">
        <f t="shared" si="123"/>
        <v>345</v>
      </c>
      <c r="MK17" s="53">
        <f t="shared" si="123"/>
        <v>346</v>
      </c>
      <c r="ML17" s="53">
        <f t="shared" si="123"/>
        <v>347</v>
      </c>
      <c r="MM17" s="53">
        <f t="shared" si="123"/>
        <v>348</v>
      </c>
      <c r="MN17" s="53">
        <f t="shared" si="123"/>
        <v>349</v>
      </c>
      <c r="MO17" s="53">
        <f t="shared" si="123"/>
        <v>350</v>
      </c>
      <c r="MP17" s="53">
        <f t="shared" si="123"/>
        <v>351</v>
      </c>
      <c r="MQ17" s="53">
        <f t="shared" si="123"/>
        <v>352</v>
      </c>
      <c r="MR17" s="53">
        <f t="shared" si="123"/>
        <v>353</v>
      </c>
      <c r="MS17" s="53">
        <f t="shared" si="123"/>
        <v>354</v>
      </c>
      <c r="MT17" s="53">
        <f t="shared" si="123"/>
        <v>355</v>
      </c>
      <c r="MU17" s="53">
        <f t="shared" si="123"/>
        <v>356</v>
      </c>
      <c r="MV17" s="53">
        <f t="shared" si="123"/>
        <v>357</v>
      </c>
      <c r="MW17" s="53">
        <f t="shared" si="123"/>
        <v>358</v>
      </c>
      <c r="MX17" s="53">
        <f t="shared" si="123"/>
        <v>359</v>
      </c>
      <c r="MY17" s="53">
        <f t="shared" si="123"/>
        <v>360</v>
      </c>
      <c r="MZ17" s="53">
        <f t="shared" si="123"/>
        <v>361</v>
      </c>
      <c r="NA17" s="53">
        <f t="shared" si="123"/>
        <v>362</v>
      </c>
      <c r="NB17" s="53">
        <f t="shared" si="123"/>
        <v>363</v>
      </c>
      <c r="NC17" s="53">
        <f t="shared" si="123"/>
        <v>364</v>
      </c>
      <c r="ND17" s="53">
        <f t="shared" si="123"/>
        <v>365</v>
      </c>
      <c r="NE17" s="53">
        <f t="shared" si="123"/>
        <v>366</v>
      </c>
      <c r="NF17" s="53">
        <f t="shared" si="123"/>
        <v>367</v>
      </c>
      <c r="NG17" s="53">
        <f t="shared" si="123"/>
        <v>368</v>
      </c>
      <c r="NH17" s="53">
        <f t="shared" si="123"/>
        <v>369</v>
      </c>
      <c r="NI17" s="53">
        <f t="shared" si="123"/>
        <v>370</v>
      </c>
      <c r="NJ17" s="53">
        <f t="shared" si="123"/>
        <v>371</v>
      </c>
      <c r="NK17" s="53">
        <f t="shared" si="123"/>
        <v>372</v>
      </c>
      <c r="NL17" s="53">
        <f t="shared" si="123"/>
        <v>373</v>
      </c>
      <c r="NM17" s="53">
        <f t="shared" si="123"/>
        <v>374</v>
      </c>
      <c r="NN17" s="53">
        <f t="shared" si="123"/>
        <v>375</v>
      </c>
      <c r="NO17" s="53">
        <f t="shared" si="123"/>
        <v>376</v>
      </c>
      <c r="NP17" s="53">
        <f t="shared" si="123"/>
        <v>377</v>
      </c>
      <c r="NQ17" s="53">
        <f t="shared" si="123"/>
        <v>378</v>
      </c>
      <c r="NR17" s="53">
        <f t="shared" si="123"/>
        <v>379</v>
      </c>
      <c r="NS17" s="53">
        <f t="shared" si="123"/>
        <v>380</v>
      </c>
      <c r="NT17" s="53">
        <f t="shared" si="123"/>
        <v>381</v>
      </c>
      <c r="NU17" s="53">
        <f t="shared" si="123"/>
        <v>382</v>
      </c>
      <c r="NV17" s="53">
        <f t="shared" si="123"/>
        <v>383</v>
      </c>
      <c r="NW17" s="53">
        <f t="shared" si="123"/>
        <v>384</v>
      </c>
      <c r="NX17" s="53">
        <f t="shared" si="123"/>
        <v>385</v>
      </c>
      <c r="NY17" s="53">
        <f t="shared" si="123"/>
        <v>386</v>
      </c>
      <c r="NZ17" s="53">
        <f t="shared" si="123"/>
        <v>387</v>
      </c>
      <c r="OA17" s="53">
        <f t="shared" si="123"/>
        <v>388</v>
      </c>
      <c r="OB17" s="53">
        <f t="shared" si="123"/>
        <v>389</v>
      </c>
      <c r="OC17" s="53">
        <f t="shared" si="123"/>
        <v>390</v>
      </c>
      <c r="OD17" s="53">
        <f t="shared" si="123"/>
        <v>391</v>
      </c>
      <c r="OE17" s="53">
        <f t="shared" si="123"/>
        <v>392</v>
      </c>
      <c r="OF17" s="53">
        <f t="shared" si="123"/>
        <v>393</v>
      </c>
      <c r="OG17" s="53">
        <f t="shared" si="123"/>
        <v>394</v>
      </c>
      <c r="OH17" s="53">
        <f t="shared" si="123"/>
        <v>395</v>
      </c>
      <c r="OI17" s="53">
        <f t="shared" si="123"/>
        <v>396</v>
      </c>
      <c r="OJ17" s="53">
        <f t="shared" ref="OJ17:QU17" si="124">OI17+1</f>
        <v>397</v>
      </c>
      <c r="OK17" s="53">
        <f t="shared" si="124"/>
        <v>398</v>
      </c>
      <c r="OL17" s="53">
        <f t="shared" si="124"/>
        <v>399</v>
      </c>
      <c r="OM17" s="53">
        <f t="shared" si="124"/>
        <v>400</v>
      </c>
      <c r="ON17" s="53">
        <f t="shared" si="124"/>
        <v>401</v>
      </c>
      <c r="OO17" s="53">
        <f t="shared" si="124"/>
        <v>402</v>
      </c>
      <c r="OP17" s="53">
        <f t="shared" si="124"/>
        <v>403</v>
      </c>
      <c r="OQ17" s="53">
        <f t="shared" si="124"/>
        <v>404</v>
      </c>
      <c r="OR17" s="53">
        <f t="shared" si="124"/>
        <v>405</v>
      </c>
      <c r="OS17" s="53">
        <f t="shared" si="124"/>
        <v>406</v>
      </c>
      <c r="OT17" s="53">
        <f t="shared" si="124"/>
        <v>407</v>
      </c>
      <c r="OU17" s="53">
        <f t="shared" si="124"/>
        <v>408</v>
      </c>
      <c r="OV17" s="53">
        <f t="shared" si="124"/>
        <v>409</v>
      </c>
      <c r="OW17" s="53">
        <f t="shared" si="124"/>
        <v>410</v>
      </c>
      <c r="OX17" s="53">
        <f t="shared" si="124"/>
        <v>411</v>
      </c>
      <c r="OY17" s="53">
        <f t="shared" si="124"/>
        <v>412</v>
      </c>
      <c r="OZ17" s="53">
        <f t="shared" si="124"/>
        <v>413</v>
      </c>
      <c r="PA17" s="53">
        <f t="shared" si="124"/>
        <v>414</v>
      </c>
      <c r="PB17" s="53">
        <f t="shared" si="124"/>
        <v>415</v>
      </c>
      <c r="PC17" s="53">
        <f t="shared" si="124"/>
        <v>416</v>
      </c>
      <c r="PD17" s="53">
        <f t="shared" si="124"/>
        <v>417</v>
      </c>
      <c r="PE17" s="53">
        <f t="shared" si="124"/>
        <v>418</v>
      </c>
      <c r="PF17" s="53">
        <f t="shared" si="124"/>
        <v>419</v>
      </c>
      <c r="PG17" s="53">
        <f t="shared" si="124"/>
        <v>420</v>
      </c>
      <c r="PH17" s="53">
        <f t="shared" si="124"/>
        <v>421</v>
      </c>
      <c r="PI17" s="53">
        <f t="shared" si="124"/>
        <v>422</v>
      </c>
      <c r="PJ17" s="53">
        <f t="shared" si="124"/>
        <v>423</v>
      </c>
      <c r="PK17" s="53">
        <f t="shared" si="124"/>
        <v>424</v>
      </c>
      <c r="PL17" s="53">
        <f t="shared" si="124"/>
        <v>425</v>
      </c>
      <c r="PM17" s="53">
        <f t="shared" si="124"/>
        <v>426</v>
      </c>
      <c r="PN17" s="53">
        <f t="shared" si="124"/>
        <v>427</v>
      </c>
      <c r="PO17" s="53">
        <f t="shared" si="124"/>
        <v>428</v>
      </c>
      <c r="PP17" s="53">
        <f t="shared" si="124"/>
        <v>429</v>
      </c>
      <c r="PQ17" s="53">
        <f t="shared" si="124"/>
        <v>430</v>
      </c>
      <c r="PR17" s="53">
        <f t="shared" si="124"/>
        <v>431</v>
      </c>
      <c r="PS17" s="53">
        <f t="shared" si="124"/>
        <v>432</v>
      </c>
      <c r="PT17" s="53">
        <f t="shared" si="124"/>
        <v>433</v>
      </c>
      <c r="PU17" s="53">
        <f t="shared" si="124"/>
        <v>434</v>
      </c>
      <c r="PV17" s="53">
        <f t="shared" si="124"/>
        <v>435</v>
      </c>
      <c r="PW17" s="53">
        <f t="shared" si="124"/>
        <v>436</v>
      </c>
      <c r="PX17" s="53">
        <f t="shared" si="124"/>
        <v>437</v>
      </c>
      <c r="PY17" s="53">
        <f t="shared" si="124"/>
        <v>438</v>
      </c>
      <c r="PZ17" s="53">
        <f t="shared" si="124"/>
        <v>439</v>
      </c>
      <c r="QA17" s="53">
        <f t="shared" si="124"/>
        <v>440</v>
      </c>
      <c r="QB17" s="53">
        <f t="shared" si="124"/>
        <v>441</v>
      </c>
      <c r="QC17" s="53">
        <f t="shared" si="124"/>
        <v>442</v>
      </c>
      <c r="QD17" s="53">
        <f t="shared" si="124"/>
        <v>443</v>
      </c>
      <c r="QE17" s="53">
        <f t="shared" si="124"/>
        <v>444</v>
      </c>
      <c r="QF17" s="53">
        <f t="shared" si="124"/>
        <v>445</v>
      </c>
      <c r="QG17" s="53">
        <f t="shared" si="124"/>
        <v>446</v>
      </c>
      <c r="QH17" s="53">
        <f t="shared" si="124"/>
        <v>447</v>
      </c>
      <c r="QI17" s="53">
        <f t="shared" si="124"/>
        <v>448</v>
      </c>
      <c r="QJ17" s="53">
        <f t="shared" si="124"/>
        <v>449</v>
      </c>
      <c r="QK17" s="53">
        <f t="shared" si="124"/>
        <v>450</v>
      </c>
      <c r="QL17" s="53">
        <f t="shared" si="124"/>
        <v>451</v>
      </c>
      <c r="QM17" s="53">
        <f t="shared" si="124"/>
        <v>452</v>
      </c>
      <c r="QN17" s="53">
        <f t="shared" si="124"/>
        <v>453</v>
      </c>
      <c r="QO17" s="53">
        <f t="shared" si="124"/>
        <v>454</v>
      </c>
      <c r="QP17" s="53">
        <f t="shared" si="124"/>
        <v>455</v>
      </c>
      <c r="QQ17" s="53">
        <f t="shared" si="124"/>
        <v>456</v>
      </c>
      <c r="QR17" s="53">
        <f t="shared" si="124"/>
        <v>457</v>
      </c>
      <c r="QS17" s="53">
        <f t="shared" si="124"/>
        <v>458</v>
      </c>
      <c r="QT17" s="53">
        <f t="shared" si="124"/>
        <v>459</v>
      </c>
      <c r="QU17" s="53">
        <f t="shared" si="124"/>
        <v>460</v>
      </c>
      <c r="QV17" s="53">
        <f t="shared" ref="QV17:TG17" si="125">QU17+1</f>
        <v>461</v>
      </c>
      <c r="QW17" s="53">
        <f t="shared" si="125"/>
        <v>462</v>
      </c>
      <c r="QX17" s="53">
        <f t="shared" si="125"/>
        <v>463</v>
      </c>
      <c r="QY17" s="53">
        <f t="shared" si="125"/>
        <v>464</v>
      </c>
      <c r="QZ17" s="53">
        <f t="shared" si="125"/>
        <v>465</v>
      </c>
      <c r="RA17" s="53">
        <f t="shared" si="125"/>
        <v>466</v>
      </c>
      <c r="RB17" s="53">
        <f t="shared" si="125"/>
        <v>467</v>
      </c>
      <c r="RC17" s="53">
        <f t="shared" si="125"/>
        <v>468</v>
      </c>
      <c r="RD17" s="53">
        <f t="shared" si="125"/>
        <v>469</v>
      </c>
      <c r="RE17" s="53">
        <f t="shared" si="125"/>
        <v>470</v>
      </c>
      <c r="RF17" s="53">
        <f t="shared" si="125"/>
        <v>471</v>
      </c>
      <c r="RG17" s="53">
        <f t="shared" si="125"/>
        <v>472</v>
      </c>
      <c r="RH17" s="53">
        <f t="shared" si="125"/>
        <v>473</v>
      </c>
      <c r="RI17" s="53">
        <f t="shared" si="125"/>
        <v>474</v>
      </c>
      <c r="RJ17" s="53">
        <f t="shared" si="125"/>
        <v>475</v>
      </c>
      <c r="RK17" s="53">
        <f t="shared" si="125"/>
        <v>476</v>
      </c>
      <c r="RL17" s="53">
        <f t="shared" si="125"/>
        <v>477</v>
      </c>
      <c r="RM17" s="53">
        <f t="shared" si="125"/>
        <v>478</v>
      </c>
      <c r="RN17" s="53">
        <f t="shared" si="125"/>
        <v>479</v>
      </c>
      <c r="RO17" s="53">
        <f t="shared" si="125"/>
        <v>480</v>
      </c>
      <c r="RP17" s="53">
        <f t="shared" si="125"/>
        <v>481</v>
      </c>
      <c r="RQ17" s="53">
        <f t="shared" si="125"/>
        <v>482</v>
      </c>
      <c r="RR17" s="53">
        <f t="shared" si="125"/>
        <v>483</v>
      </c>
      <c r="RS17" s="53">
        <f t="shared" si="125"/>
        <v>484</v>
      </c>
      <c r="RT17" s="53">
        <f t="shared" si="125"/>
        <v>485</v>
      </c>
      <c r="RU17" s="53">
        <f t="shared" si="125"/>
        <v>486</v>
      </c>
      <c r="RV17" s="53">
        <f t="shared" si="125"/>
        <v>487</v>
      </c>
      <c r="RW17" s="53">
        <f t="shared" si="125"/>
        <v>488</v>
      </c>
      <c r="RX17" s="53">
        <f t="shared" si="125"/>
        <v>489</v>
      </c>
      <c r="RY17" s="53">
        <f t="shared" si="125"/>
        <v>490</v>
      </c>
      <c r="RZ17" s="53">
        <f t="shared" si="125"/>
        <v>491</v>
      </c>
      <c r="SA17" s="53">
        <f t="shared" si="125"/>
        <v>492</v>
      </c>
      <c r="SB17" s="53">
        <f t="shared" si="125"/>
        <v>493</v>
      </c>
      <c r="SC17" s="53">
        <f t="shared" si="125"/>
        <v>494</v>
      </c>
      <c r="SD17" s="53">
        <f t="shared" si="125"/>
        <v>495</v>
      </c>
      <c r="SE17" s="53">
        <f t="shared" si="125"/>
        <v>496</v>
      </c>
      <c r="SF17" s="53">
        <f t="shared" si="125"/>
        <v>497</v>
      </c>
      <c r="SG17" s="53">
        <f t="shared" si="125"/>
        <v>498</v>
      </c>
      <c r="SH17" s="53">
        <f t="shared" si="125"/>
        <v>499</v>
      </c>
      <c r="SI17" s="53">
        <f t="shared" si="125"/>
        <v>500</v>
      </c>
      <c r="SJ17" s="53">
        <f t="shared" si="125"/>
        <v>501</v>
      </c>
      <c r="SK17" s="53">
        <f t="shared" si="125"/>
        <v>502</v>
      </c>
      <c r="SL17" s="53">
        <f t="shared" si="125"/>
        <v>503</v>
      </c>
      <c r="SM17" s="53">
        <f t="shared" si="125"/>
        <v>504</v>
      </c>
      <c r="SN17" s="53">
        <f t="shared" si="125"/>
        <v>505</v>
      </c>
      <c r="SO17" s="53">
        <f t="shared" si="125"/>
        <v>506</v>
      </c>
      <c r="SP17" s="53">
        <f t="shared" si="125"/>
        <v>507</v>
      </c>
      <c r="SQ17" s="53">
        <f t="shared" si="125"/>
        <v>508</v>
      </c>
      <c r="SR17" s="53">
        <f t="shared" si="125"/>
        <v>509</v>
      </c>
      <c r="SS17" s="53">
        <f t="shared" si="125"/>
        <v>510</v>
      </c>
      <c r="ST17" s="53">
        <f t="shared" si="125"/>
        <v>511</v>
      </c>
      <c r="SU17" s="53">
        <f t="shared" si="125"/>
        <v>512</v>
      </c>
      <c r="SV17" s="53">
        <f t="shared" si="125"/>
        <v>513</v>
      </c>
      <c r="SW17" s="53">
        <f t="shared" si="125"/>
        <v>514</v>
      </c>
      <c r="SX17" s="53">
        <f t="shared" si="125"/>
        <v>515</v>
      </c>
      <c r="SY17" s="53">
        <f t="shared" si="125"/>
        <v>516</v>
      </c>
      <c r="SZ17" s="53">
        <f t="shared" si="125"/>
        <v>517</v>
      </c>
      <c r="TA17" s="53">
        <f t="shared" si="125"/>
        <v>518</v>
      </c>
      <c r="TB17" s="53">
        <f t="shared" si="125"/>
        <v>519</v>
      </c>
      <c r="TC17" s="53">
        <f t="shared" si="125"/>
        <v>520</v>
      </c>
      <c r="TD17" s="53">
        <f t="shared" si="125"/>
        <v>521</v>
      </c>
      <c r="TE17" s="53">
        <f t="shared" si="125"/>
        <v>522</v>
      </c>
      <c r="TF17" s="53">
        <f t="shared" si="125"/>
        <v>523</v>
      </c>
      <c r="TG17" s="53">
        <f t="shared" si="125"/>
        <v>524</v>
      </c>
      <c r="TH17" s="53">
        <f t="shared" ref="TH17:VS17" si="126">TG17+1</f>
        <v>525</v>
      </c>
      <c r="TI17" s="53">
        <f t="shared" si="126"/>
        <v>526</v>
      </c>
      <c r="TJ17" s="53">
        <f t="shared" si="126"/>
        <v>527</v>
      </c>
      <c r="TK17" s="53">
        <f t="shared" si="126"/>
        <v>528</v>
      </c>
      <c r="TL17" s="53">
        <f t="shared" si="126"/>
        <v>529</v>
      </c>
      <c r="TM17" s="53">
        <f t="shared" si="126"/>
        <v>530</v>
      </c>
      <c r="TN17" s="53">
        <f t="shared" si="126"/>
        <v>531</v>
      </c>
      <c r="TO17" s="53">
        <f t="shared" si="126"/>
        <v>532</v>
      </c>
      <c r="TP17" s="53">
        <f t="shared" si="126"/>
        <v>533</v>
      </c>
      <c r="TQ17" s="53">
        <f t="shared" si="126"/>
        <v>534</v>
      </c>
      <c r="TR17" s="53">
        <f t="shared" si="126"/>
        <v>535</v>
      </c>
      <c r="TS17" s="53">
        <f t="shared" si="126"/>
        <v>536</v>
      </c>
      <c r="TT17" s="53">
        <f t="shared" si="126"/>
        <v>537</v>
      </c>
      <c r="TU17" s="53">
        <f t="shared" si="126"/>
        <v>538</v>
      </c>
      <c r="TV17" s="53">
        <f t="shared" si="126"/>
        <v>539</v>
      </c>
      <c r="TW17" s="53">
        <f t="shared" si="126"/>
        <v>540</v>
      </c>
      <c r="TX17" s="53">
        <f t="shared" si="126"/>
        <v>541</v>
      </c>
      <c r="TY17" s="53">
        <f t="shared" si="126"/>
        <v>542</v>
      </c>
      <c r="TZ17" s="53">
        <f t="shared" si="126"/>
        <v>543</v>
      </c>
      <c r="UA17" s="53">
        <f t="shared" si="126"/>
        <v>544</v>
      </c>
      <c r="UB17" s="53">
        <f t="shared" si="126"/>
        <v>545</v>
      </c>
      <c r="UC17" s="53">
        <f t="shared" si="126"/>
        <v>546</v>
      </c>
      <c r="UD17" s="53">
        <f t="shared" si="126"/>
        <v>547</v>
      </c>
      <c r="UE17" s="53">
        <f t="shared" si="126"/>
        <v>548</v>
      </c>
      <c r="UF17" s="53">
        <f t="shared" si="126"/>
        <v>549</v>
      </c>
      <c r="UG17" s="53">
        <f t="shared" si="126"/>
        <v>550</v>
      </c>
      <c r="UH17" s="53">
        <f t="shared" si="126"/>
        <v>551</v>
      </c>
      <c r="UI17" s="53">
        <f t="shared" si="126"/>
        <v>552</v>
      </c>
      <c r="UJ17" s="53">
        <f t="shared" si="126"/>
        <v>553</v>
      </c>
      <c r="UK17" s="53">
        <f t="shared" si="126"/>
        <v>554</v>
      </c>
      <c r="UL17" s="53">
        <f t="shared" si="126"/>
        <v>555</v>
      </c>
      <c r="UM17" s="53">
        <f t="shared" si="126"/>
        <v>556</v>
      </c>
      <c r="UN17" s="53">
        <f t="shared" si="126"/>
        <v>557</v>
      </c>
      <c r="UO17" s="53">
        <f t="shared" si="126"/>
        <v>558</v>
      </c>
      <c r="UP17" s="53">
        <f t="shared" si="126"/>
        <v>559</v>
      </c>
      <c r="UQ17" s="53">
        <f t="shared" si="126"/>
        <v>560</v>
      </c>
      <c r="UR17" s="53">
        <f t="shared" si="126"/>
        <v>561</v>
      </c>
      <c r="US17" s="53">
        <f t="shared" si="126"/>
        <v>562</v>
      </c>
      <c r="UT17" s="53">
        <f t="shared" si="126"/>
        <v>563</v>
      </c>
      <c r="UU17" s="53">
        <f t="shared" si="126"/>
        <v>564</v>
      </c>
      <c r="UV17" s="53">
        <f t="shared" si="126"/>
        <v>565</v>
      </c>
      <c r="UW17" s="53">
        <f t="shared" si="126"/>
        <v>566</v>
      </c>
      <c r="UX17" s="53">
        <f t="shared" si="126"/>
        <v>567</v>
      </c>
      <c r="UY17" s="53">
        <f t="shared" si="126"/>
        <v>568</v>
      </c>
      <c r="UZ17" s="53">
        <f t="shared" si="126"/>
        <v>569</v>
      </c>
      <c r="VA17" s="53">
        <f t="shared" si="126"/>
        <v>570</v>
      </c>
      <c r="VB17" s="53">
        <f t="shared" si="126"/>
        <v>571</v>
      </c>
      <c r="VC17" s="53">
        <f t="shared" si="126"/>
        <v>572</v>
      </c>
      <c r="VD17" s="53">
        <f t="shared" si="126"/>
        <v>573</v>
      </c>
      <c r="VE17" s="53">
        <f t="shared" si="126"/>
        <v>574</v>
      </c>
      <c r="VF17" s="53">
        <f t="shared" si="126"/>
        <v>575</v>
      </c>
      <c r="VG17" s="53">
        <f t="shared" si="126"/>
        <v>576</v>
      </c>
      <c r="VH17" s="53">
        <f t="shared" si="126"/>
        <v>577</v>
      </c>
      <c r="VI17" s="53">
        <f t="shared" si="126"/>
        <v>578</v>
      </c>
      <c r="VJ17" s="53">
        <f t="shared" si="126"/>
        <v>579</v>
      </c>
      <c r="VK17" s="53">
        <f t="shared" si="126"/>
        <v>580</v>
      </c>
      <c r="VL17" s="53">
        <f t="shared" si="126"/>
        <v>581</v>
      </c>
      <c r="VM17" s="53">
        <f t="shared" si="126"/>
        <v>582</v>
      </c>
      <c r="VN17" s="53">
        <f t="shared" si="126"/>
        <v>583</v>
      </c>
      <c r="VO17" s="53">
        <f t="shared" si="126"/>
        <v>584</v>
      </c>
      <c r="VP17" s="53">
        <f t="shared" si="126"/>
        <v>585</v>
      </c>
      <c r="VQ17" s="53">
        <f t="shared" si="126"/>
        <v>586</v>
      </c>
      <c r="VR17" s="53">
        <f t="shared" si="126"/>
        <v>587</v>
      </c>
      <c r="VS17" s="53">
        <f t="shared" si="126"/>
        <v>588</v>
      </c>
      <c r="VT17" s="53">
        <f t="shared" ref="VT17:YE17" si="127">VS17+1</f>
        <v>589</v>
      </c>
      <c r="VU17" s="53">
        <f t="shared" si="127"/>
        <v>590</v>
      </c>
      <c r="VV17" s="53">
        <f t="shared" si="127"/>
        <v>591</v>
      </c>
      <c r="VW17" s="53">
        <f t="shared" si="127"/>
        <v>592</v>
      </c>
      <c r="VX17" s="53">
        <f t="shared" si="127"/>
        <v>593</v>
      </c>
      <c r="VY17" s="53">
        <f t="shared" si="127"/>
        <v>594</v>
      </c>
      <c r="VZ17" s="53">
        <f t="shared" si="127"/>
        <v>595</v>
      </c>
      <c r="WA17" s="53">
        <f t="shared" si="127"/>
        <v>596</v>
      </c>
      <c r="WB17" s="53">
        <f t="shared" si="127"/>
        <v>597</v>
      </c>
      <c r="WC17" s="53">
        <f t="shared" si="127"/>
        <v>598</v>
      </c>
      <c r="WD17" s="53">
        <f t="shared" si="127"/>
        <v>599</v>
      </c>
      <c r="WE17" s="53">
        <f t="shared" si="127"/>
        <v>600</v>
      </c>
      <c r="WF17" s="53">
        <f t="shared" si="127"/>
        <v>601</v>
      </c>
      <c r="WG17" s="53">
        <f t="shared" si="127"/>
        <v>602</v>
      </c>
      <c r="WH17" s="53">
        <f t="shared" si="127"/>
        <v>603</v>
      </c>
      <c r="WI17" s="53">
        <f t="shared" si="127"/>
        <v>604</v>
      </c>
      <c r="WJ17" s="53">
        <f t="shared" si="127"/>
        <v>605</v>
      </c>
      <c r="WK17" s="53">
        <f t="shared" si="127"/>
        <v>606</v>
      </c>
      <c r="WL17" s="53">
        <f t="shared" si="127"/>
        <v>607</v>
      </c>
      <c r="WM17" s="53">
        <f t="shared" si="127"/>
        <v>608</v>
      </c>
      <c r="WN17" s="53">
        <f t="shared" si="127"/>
        <v>609</v>
      </c>
      <c r="WO17" s="53">
        <f t="shared" si="127"/>
        <v>610</v>
      </c>
      <c r="WP17" s="53">
        <f t="shared" si="127"/>
        <v>611</v>
      </c>
      <c r="WQ17" s="53">
        <f t="shared" si="127"/>
        <v>612</v>
      </c>
      <c r="WR17" s="53">
        <f t="shared" si="127"/>
        <v>613</v>
      </c>
      <c r="WS17" s="53">
        <f t="shared" si="127"/>
        <v>614</v>
      </c>
      <c r="WT17" s="53">
        <f t="shared" si="127"/>
        <v>615</v>
      </c>
      <c r="WU17" s="53">
        <f t="shared" si="127"/>
        <v>616</v>
      </c>
      <c r="WV17" s="53">
        <f t="shared" si="127"/>
        <v>617</v>
      </c>
      <c r="WW17" s="53">
        <f t="shared" si="127"/>
        <v>618</v>
      </c>
      <c r="WX17" s="53">
        <f t="shared" si="127"/>
        <v>619</v>
      </c>
      <c r="WY17" s="53">
        <f t="shared" si="127"/>
        <v>620</v>
      </c>
      <c r="WZ17" s="53">
        <f t="shared" si="127"/>
        <v>621</v>
      </c>
      <c r="XA17" s="53">
        <f t="shared" si="127"/>
        <v>622</v>
      </c>
      <c r="XB17" s="53">
        <f t="shared" si="127"/>
        <v>623</v>
      </c>
      <c r="XC17" s="53">
        <f t="shared" si="127"/>
        <v>624</v>
      </c>
      <c r="XD17" s="53">
        <f t="shared" si="127"/>
        <v>625</v>
      </c>
      <c r="XE17" s="53">
        <f t="shared" si="127"/>
        <v>626</v>
      </c>
      <c r="XF17" s="53">
        <f t="shared" si="127"/>
        <v>627</v>
      </c>
      <c r="XG17" s="53">
        <f t="shared" si="127"/>
        <v>628</v>
      </c>
      <c r="XH17" s="53">
        <f t="shared" si="127"/>
        <v>629</v>
      </c>
      <c r="XI17" s="53">
        <f t="shared" si="127"/>
        <v>630</v>
      </c>
      <c r="XJ17" s="53">
        <f t="shared" si="127"/>
        <v>631</v>
      </c>
      <c r="XK17" s="53">
        <f t="shared" si="127"/>
        <v>632</v>
      </c>
      <c r="XL17" s="53">
        <f t="shared" si="127"/>
        <v>633</v>
      </c>
      <c r="XM17" s="53">
        <f t="shared" si="127"/>
        <v>634</v>
      </c>
      <c r="XN17" s="53">
        <f t="shared" si="127"/>
        <v>635</v>
      </c>
      <c r="XO17" s="53">
        <f t="shared" si="127"/>
        <v>636</v>
      </c>
      <c r="XP17" s="53">
        <f t="shared" si="127"/>
        <v>637</v>
      </c>
      <c r="XQ17" s="53">
        <f t="shared" si="127"/>
        <v>638</v>
      </c>
      <c r="XR17" s="53">
        <f t="shared" si="127"/>
        <v>639</v>
      </c>
      <c r="XS17" s="53">
        <f t="shared" si="127"/>
        <v>640</v>
      </c>
      <c r="XT17" s="53">
        <f t="shared" si="127"/>
        <v>641</v>
      </c>
      <c r="XU17" s="53">
        <f t="shared" si="127"/>
        <v>642</v>
      </c>
      <c r="XV17" s="53">
        <f t="shared" si="127"/>
        <v>643</v>
      </c>
      <c r="XW17" s="53">
        <f t="shared" si="127"/>
        <v>644</v>
      </c>
      <c r="XX17" s="53">
        <f t="shared" si="127"/>
        <v>645</v>
      </c>
      <c r="XY17" s="53">
        <f t="shared" si="127"/>
        <v>646</v>
      </c>
      <c r="XZ17" s="53">
        <f t="shared" si="127"/>
        <v>647</v>
      </c>
      <c r="YA17" s="53">
        <f t="shared" si="127"/>
        <v>648</v>
      </c>
      <c r="YB17" s="53">
        <f t="shared" si="127"/>
        <v>649</v>
      </c>
      <c r="YC17" s="53">
        <f t="shared" si="127"/>
        <v>650</v>
      </c>
      <c r="YD17" s="53">
        <f t="shared" si="127"/>
        <v>651</v>
      </c>
      <c r="YE17" s="53">
        <f t="shared" si="127"/>
        <v>652</v>
      </c>
      <c r="YF17" s="53">
        <f t="shared" ref="YF17:AAQ17" si="128">YE17+1</f>
        <v>653</v>
      </c>
      <c r="YG17" s="53">
        <f t="shared" si="128"/>
        <v>654</v>
      </c>
      <c r="YH17" s="53">
        <f t="shared" si="128"/>
        <v>655</v>
      </c>
      <c r="YI17" s="53">
        <f t="shared" si="128"/>
        <v>656</v>
      </c>
      <c r="YJ17" s="53">
        <f t="shared" si="128"/>
        <v>657</v>
      </c>
      <c r="YK17" s="53">
        <f t="shared" si="128"/>
        <v>658</v>
      </c>
      <c r="YL17" s="53">
        <f t="shared" si="128"/>
        <v>659</v>
      </c>
      <c r="YM17" s="53">
        <f t="shared" si="128"/>
        <v>660</v>
      </c>
      <c r="YN17" s="53">
        <f t="shared" si="128"/>
        <v>661</v>
      </c>
      <c r="YO17" s="53">
        <f t="shared" si="128"/>
        <v>662</v>
      </c>
      <c r="YP17" s="53">
        <f t="shared" si="128"/>
        <v>663</v>
      </c>
      <c r="YQ17" s="53">
        <f t="shared" si="128"/>
        <v>664</v>
      </c>
      <c r="YR17" s="53">
        <f t="shared" si="128"/>
        <v>665</v>
      </c>
      <c r="YS17" s="53">
        <f t="shared" si="128"/>
        <v>666</v>
      </c>
      <c r="YT17" s="53">
        <f t="shared" si="128"/>
        <v>667</v>
      </c>
      <c r="YU17" s="53">
        <f t="shared" si="128"/>
        <v>668</v>
      </c>
      <c r="YV17" s="53">
        <f t="shared" si="128"/>
        <v>669</v>
      </c>
      <c r="YW17" s="53">
        <f t="shared" si="128"/>
        <v>670</v>
      </c>
      <c r="YX17" s="53">
        <f t="shared" si="128"/>
        <v>671</v>
      </c>
      <c r="YY17" s="53">
        <f t="shared" si="128"/>
        <v>672</v>
      </c>
      <c r="YZ17" s="53">
        <f t="shared" si="128"/>
        <v>673</v>
      </c>
      <c r="ZA17" s="53">
        <f t="shared" si="128"/>
        <v>674</v>
      </c>
      <c r="ZB17" s="53">
        <f t="shared" si="128"/>
        <v>675</v>
      </c>
      <c r="ZC17" s="53">
        <f t="shared" si="128"/>
        <v>676</v>
      </c>
      <c r="ZD17" s="53">
        <f t="shared" si="128"/>
        <v>677</v>
      </c>
      <c r="ZE17" s="53">
        <f t="shared" si="128"/>
        <v>678</v>
      </c>
      <c r="ZF17" s="53">
        <f t="shared" si="128"/>
        <v>679</v>
      </c>
      <c r="ZG17" s="53">
        <f t="shared" si="128"/>
        <v>680</v>
      </c>
      <c r="ZH17" s="53">
        <f t="shared" si="128"/>
        <v>681</v>
      </c>
      <c r="ZI17" s="53">
        <f t="shared" si="128"/>
        <v>682</v>
      </c>
      <c r="ZJ17" s="53">
        <f t="shared" si="128"/>
        <v>683</v>
      </c>
      <c r="ZK17" s="53">
        <f t="shared" si="128"/>
        <v>684</v>
      </c>
      <c r="ZL17" s="53">
        <f t="shared" si="128"/>
        <v>685</v>
      </c>
      <c r="ZM17" s="53">
        <f t="shared" si="128"/>
        <v>686</v>
      </c>
      <c r="ZN17" s="53">
        <f t="shared" si="128"/>
        <v>687</v>
      </c>
      <c r="ZO17" s="53">
        <f t="shared" si="128"/>
        <v>688</v>
      </c>
      <c r="ZP17" s="53">
        <f t="shared" si="128"/>
        <v>689</v>
      </c>
      <c r="ZQ17" s="53">
        <f t="shared" si="128"/>
        <v>690</v>
      </c>
      <c r="ZR17" s="53">
        <f t="shared" si="128"/>
        <v>691</v>
      </c>
      <c r="ZS17" s="53">
        <f t="shared" si="128"/>
        <v>692</v>
      </c>
      <c r="ZT17" s="53">
        <f t="shared" si="128"/>
        <v>693</v>
      </c>
      <c r="ZU17" s="53">
        <f t="shared" si="128"/>
        <v>694</v>
      </c>
      <c r="ZV17" s="53">
        <f t="shared" si="128"/>
        <v>695</v>
      </c>
      <c r="ZW17" s="53">
        <f t="shared" si="128"/>
        <v>696</v>
      </c>
      <c r="ZX17" s="53">
        <f t="shared" si="128"/>
        <v>697</v>
      </c>
      <c r="ZY17" s="53">
        <f t="shared" si="128"/>
        <v>698</v>
      </c>
      <c r="ZZ17" s="53">
        <f t="shared" si="128"/>
        <v>699</v>
      </c>
      <c r="AAA17" s="53">
        <f t="shared" si="128"/>
        <v>700</v>
      </c>
      <c r="AAB17" s="53">
        <f t="shared" si="128"/>
        <v>701</v>
      </c>
      <c r="AAC17" s="53">
        <f t="shared" si="128"/>
        <v>702</v>
      </c>
      <c r="AAD17" s="53">
        <f t="shared" si="128"/>
        <v>703</v>
      </c>
      <c r="AAE17" s="53">
        <f t="shared" si="128"/>
        <v>704</v>
      </c>
      <c r="AAF17" s="53">
        <f t="shared" si="128"/>
        <v>705</v>
      </c>
      <c r="AAG17" s="53">
        <f t="shared" si="128"/>
        <v>706</v>
      </c>
      <c r="AAH17" s="53">
        <f t="shared" si="128"/>
        <v>707</v>
      </c>
      <c r="AAI17" s="53">
        <f t="shared" si="128"/>
        <v>708</v>
      </c>
      <c r="AAJ17" s="53">
        <f t="shared" si="128"/>
        <v>709</v>
      </c>
      <c r="AAK17" s="53">
        <f t="shared" si="128"/>
        <v>710</v>
      </c>
      <c r="AAL17" s="53">
        <f t="shared" si="128"/>
        <v>711</v>
      </c>
      <c r="AAM17" s="53">
        <f t="shared" si="128"/>
        <v>712</v>
      </c>
      <c r="AAN17" s="53">
        <f t="shared" si="128"/>
        <v>713</v>
      </c>
      <c r="AAO17" s="53">
        <f t="shared" si="128"/>
        <v>714</v>
      </c>
      <c r="AAP17" s="53">
        <f t="shared" si="128"/>
        <v>715</v>
      </c>
      <c r="AAQ17" s="53">
        <f t="shared" si="128"/>
        <v>716</v>
      </c>
      <c r="AAR17" s="53">
        <f t="shared" ref="AAR17:ADC17" si="129">AAQ17+1</f>
        <v>717</v>
      </c>
      <c r="AAS17" s="53">
        <f t="shared" si="129"/>
        <v>718</v>
      </c>
      <c r="AAT17" s="53">
        <f t="shared" si="129"/>
        <v>719</v>
      </c>
      <c r="AAU17" s="53">
        <f t="shared" si="129"/>
        <v>720</v>
      </c>
      <c r="AAV17" s="53">
        <f t="shared" si="129"/>
        <v>721</v>
      </c>
      <c r="AAW17" s="53">
        <f t="shared" si="129"/>
        <v>722</v>
      </c>
      <c r="AAX17" s="53">
        <f t="shared" si="129"/>
        <v>723</v>
      </c>
      <c r="AAY17" s="53">
        <f t="shared" si="129"/>
        <v>724</v>
      </c>
      <c r="AAZ17" s="53">
        <f t="shared" si="129"/>
        <v>725</v>
      </c>
      <c r="ABA17" s="53">
        <f t="shared" si="129"/>
        <v>726</v>
      </c>
      <c r="ABB17" s="53">
        <f t="shared" si="129"/>
        <v>727</v>
      </c>
      <c r="ABC17" s="53">
        <f t="shared" si="129"/>
        <v>728</v>
      </c>
      <c r="ABD17" s="53">
        <f t="shared" si="129"/>
        <v>729</v>
      </c>
      <c r="ABE17" s="53">
        <f t="shared" si="129"/>
        <v>730</v>
      </c>
      <c r="ABF17" s="53">
        <f t="shared" si="129"/>
        <v>731</v>
      </c>
      <c r="ABG17" s="53">
        <f t="shared" si="129"/>
        <v>732</v>
      </c>
      <c r="ABH17" s="53">
        <f t="shared" si="129"/>
        <v>733</v>
      </c>
      <c r="ABI17" s="53">
        <f t="shared" si="129"/>
        <v>734</v>
      </c>
      <c r="ABJ17" s="53">
        <f t="shared" si="129"/>
        <v>735</v>
      </c>
      <c r="ABK17" s="53">
        <f t="shared" si="129"/>
        <v>736</v>
      </c>
      <c r="ABL17" s="53">
        <f t="shared" si="129"/>
        <v>737</v>
      </c>
      <c r="ABM17" s="53">
        <f t="shared" si="129"/>
        <v>738</v>
      </c>
      <c r="ABN17" s="53">
        <f t="shared" si="129"/>
        <v>739</v>
      </c>
      <c r="ABO17" s="53">
        <f t="shared" si="129"/>
        <v>740</v>
      </c>
      <c r="ABP17" s="53">
        <f t="shared" si="129"/>
        <v>741</v>
      </c>
      <c r="ABQ17" s="53">
        <f t="shared" si="129"/>
        <v>742</v>
      </c>
      <c r="ABR17" s="53">
        <f t="shared" si="129"/>
        <v>743</v>
      </c>
      <c r="ABS17" s="53">
        <f t="shared" si="129"/>
        <v>744</v>
      </c>
      <c r="ABT17" s="53">
        <f t="shared" si="129"/>
        <v>745</v>
      </c>
      <c r="ABU17" s="53">
        <f t="shared" si="129"/>
        <v>746</v>
      </c>
      <c r="ABV17" s="53">
        <f t="shared" si="129"/>
        <v>747</v>
      </c>
      <c r="ABW17" s="53">
        <f t="shared" si="129"/>
        <v>748</v>
      </c>
      <c r="ABX17" s="53">
        <f t="shared" si="129"/>
        <v>749</v>
      </c>
      <c r="ABY17" s="53">
        <f t="shared" si="129"/>
        <v>750</v>
      </c>
      <c r="ABZ17" s="53">
        <f t="shared" si="129"/>
        <v>751</v>
      </c>
      <c r="ACA17" s="53">
        <f t="shared" si="129"/>
        <v>752</v>
      </c>
      <c r="ACB17" s="53">
        <f t="shared" si="129"/>
        <v>753</v>
      </c>
      <c r="ACC17" s="53">
        <f t="shared" si="129"/>
        <v>754</v>
      </c>
      <c r="ACD17" s="53">
        <f t="shared" si="129"/>
        <v>755</v>
      </c>
      <c r="ACE17" s="53">
        <f t="shared" si="129"/>
        <v>756</v>
      </c>
      <c r="ACF17" s="53">
        <f t="shared" si="129"/>
        <v>757</v>
      </c>
      <c r="ACG17" s="53">
        <f t="shared" si="129"/>
        <v>758</v>
      </c>
      <c r="ACH17" s="53">
        <f t="shared" si="129"/>
        <v>759</v>
      </c>
      <c r="ACI17" s="53">
        <f t="shared" si="129"/>
        <v>760</v>
      </c>
      <c r="ACJ17" s="53">
        <f t="shared" si="129"/>
        <v>761</v>
      </c>
      <c r="ACK17" s="53">
        <f t="shared" si="129"/>
        <v>762</v>
      </c>
      <c r="ACL17" s="53">
        <f t="shared" si="129"/>
        <v>763</v>
      </c>
      <c r="ACM17" s="53">
        <f t="shared" si="129"/>
        <v>764</v>
      </c>
      <c r="ACN17" s="53">
        <f t="shared" si="129"/>
        <v>765</v>
      </c>
      <c r="ACO17" s="53">
        <f t="shared" si="129"/>
        <v>766</v>
      </c>
      <c r="ACP17" s="53">
        <f t="shared" si="129"/>
        <v>767</v>
      </c>
      <c r="ACQ17" s="53">
        <f t="shared" si="129"/>
        <v>768</v>
      </c>
      <c r="ACR17" s="53">
        <f t="shared" si="129"/>
        <v>769</v>
      </c>
      <c r="ACS17" s="53">
        <f t="shared" si="129"/>
        <v>770</v>
      </c>
      <c r="ACT17" s="53">
        <f t="shared" si="129"/>
        <v>771</v>
      </c>
      <c r="ACU17" s="53">
        <f t="shared" si="129"/>
        <v>772</v>
      </c>
      <c r="ACV17" s="53">
        <f t="shared" si="129"/>
        <v>773</v>
      </c>
      <c r="ACW17" s="53">
        <f t="shared" si="129"/>
        <v>774</v>
      </c>
      <c r="ACX17" s="53">
        <f t="shared" si="129"/>
        <v>775</v>
      </c>
      <c r="ACY17" s="53">
        <f t="shared" si="129"/>
        <v>776</v>
      </c>
      <c r="ACZ17" s="53">
        <f t="shared" si="129"/>
        <v>777</v>
      </c>
      <c r="ADA17" s="53">
        <f t="shared" si="129"/>
        <v>778</v>
      </c>
      <c r="ADB17" s="53">
        <f t="shared" si="129"/>
        <v>779</v>
      </c>
      <c r="ADC17" s="53">
        <f t="shared" si="129"/>
        <v>780</v>
      </c>
      <c r="ADD17" s="53">
        <f t="shared" ref="ADD17:AFO17" si="130">ADC17+1</f>
        <v>781</v>
      </c>
      <c r="ADE17" s="53">
        <f t="shared" si="130"/>
        <v>782</v>
      </c>
      <c r="ADF17" s="53">
        <f t="shared" si="130"/>
        <v>783</v>
      </c>
      <c r="ADG17" s="53">
        <f t="shared" si="130"/>
        <v>784</v>
      </c>
      <c r="ADH17" s="53">
        <f t="shared" si="130"/>
        <v>785</v>
      </c>
      <c r="ADI17" s="53">
        <f t="shared" si="130"/>
        <v>786</v>
      </c>
      <c r="ADJ17" s="53">
        <f t="shared" si="130"/>
        <v>787</v>
      </c>
      <c r="ADK17" s="53">
        <f t="shared" si="130"/>
        <v>788</v>
      </c>
      <c r="ADL17" s="53">
        <f t="shared" si="130"/>
        <v>789</v>
      </c>
      <c r="ADM17" s="53">
        <f t="shared" si="130"/>
        <v>790</v>
      </c>
      <c r="ADN17" s="53">
        <f t="shared" si="130"/>
        <v>791</v>
      </c>
      <c r="ADO17" s="53">
        <f t="shared" si="130"/>
        <v>792</v>
      </c>
      <c r="ADP17" s="53">
        <f t="shared" si="130"/>
        <v>793</v>
      </c>
      <c r="ADQ17" s="53">
        <f t="shared" si="130"/>
        <v>794</v>
      </c>
      <c r="ADR17" s="53">
        <f t="shared" si="130"/>
        <v>795</v>
      </c>
      <c r="ADS17" s="53">
        <f t="shared" si="130"/>
        <v>796</v>
      </c>
      <c r="ADT17" s="53">
        <f t="shared" si="130"/>
        <v>797</v>
      </c>
      <c r="ADU17" s="53">
        <f t="shared" si="130"/>
        <v>798</v>
      </c>
      <c r="ADV17" s="53">
        <f t="shared" si="130"/>
        <v>799</v>
      </c>
      <c r="ADW17" s="53">
        <f t="shared" si="130"/>
        <v>800</v>
      </c>
      <c r="ADX17" s="53">
        <f t="shared" si="130"/>
        <v>801</v>
      </c>
      <c r="ADY17" s="53">
        <f t="shared" si="130"/>
        <v>802</v>
      </c>
      <c r="ADZ17" s="53">
        <f t="shared" si="130"/>
        <v>803</v>
      </c>
      <c r="AEA17" s="53">
        <f t="shared" si="130"/>
        <v>804</v>
      </c>
      <c r="AEB17" s="53">
        <f t="shared" si="130"/>
        <v>805</v>
      </c>
      <c r="AEC17" s="53">
        <f t="shared" si="130"/>
        <v>806</v>
      </c>
      <c r="AED17" s="53">
        <f t="shared" si="130"/>
        <v>807</v>
      </c>
      <c r="AEE17" s="53">
        <f t="shared" si="130"/>
        <v>808</v>
      </c>
      <c r="AEF17" s="53">
        <f t="shared" si="130"/>
        <v>809</v>
      </c>
      <c r="AEG17" s="53">
        <f t="shared" si="130"/>
        <v>810</v>
      </c>
      <c r="AEH17" s="53">
        <f t="shared" si="130"/>
        <v>811</v>
      </c>
      <c r="AEI17" s="53">
        <f t="shared" si="130"/>
        <v>812</v>
      </c>
      <c r="AEJ17" s="53">
        <f t="shared" si="130"/>
        <v>813</v>
      </c>
      <c r="AEK17" s="53">
        <f t="shared" si="130"/>
        <v>814</v>
      </c>
      <c r="AEL17" s="53">
        <f t="shared" si="130"/>
        <v>815</v>
      </c>
      <c r="AEM17" s="53">
        <f t="shared" si="130"/>
        <v>816</v>
      </c>
      <c r="AEN17" s="53">
        <f t="shared" si="130"/>
        <v>817</v>
      </c>
      <c r="AEO17" s="53">
        <f t="shared" si="130"/>
        <v>818</v>
      </c>
      <c r="AEP17" s="53">
        <f t="shared" si="130"/>
        <v>819</v>
      </c>
      <c r="AEQ17" s="53">
        <f t="shared" si="130"/>
        <v>820</v>
      </c>
      <c r="AER17" s="53">
        <f t="shared" si="130"/>
        <v>821</v>
      </c>
      <c r="AES17" s="53">
        <f t="shared" si="130"/>
        <v>822</v>
      </c>
      <c r="AET17" s="53">
        <f t="shared" si="130"/>
        <v>823</v>
      </c>
      <c r="AEU17" s="53">
        <f t="shared" si="130"/>
        <v>824</v>
      </c>
      <c r="AEV17" s="53">
        <f t="shared" si="130"/>
        <v>825</v>
      </c>
      <c r="AEW17" s="53">
        <f t="shared" si="130"/>
        <v>826</v>
      </c>
      <c r="AEX17" s="53">
        <f t="shared" si="130"/>
        <v>827</v>
      </c>
      <c r="AEY17" s="53">
        <f t="shared" si="130"/>
        <v>828</v>
      </c>
      <c r="AEZ17" s="53">
        <f t="shared" si="130"/>
        <v>829</v>
      </c>
      <c r="AFA17" s="53">
        <f t="shared" si="130"/>
        <v>830</v>
      </c>
      <c r="AFB17" s="53">
        <f t="shared" si="130"/>
        <v>831</v>
      </c>
      <c r="AFC17" s="53">
        <f t="shared" si="130"/>
        <v>832</v>
      </c>
      <c r="AFD17" s="53">
        <f t="shared" si="130"/>
        <v>833</v>
      </c>
      <c r="AFE17" s="53">
        <f t="shared" si="130"/>
        <v>834</v>
      </c>
      <c r="AFF17" s="53">
        <f t="shared" si="130"/>
        <v>835</v>
      </c>
      <c r="AFG17" s="53">
        <f t="shared" si="130"/>
        <v>836</v>
      </c>
      <c r="AFH17" s="53">
        <f t="shared" si="130"/>
        <v>837</v>
      </c>
      <c r="AFI17" s="53">
        <f t="shared" si="130"/>
        <v>838</v>
      </c>
      <c r="AFJ17" s="53">
        <f t="shared" si="130"/>
        <v>839</v>
      </c>
      <c r="AFK17" s="53">
        <f t="shared" si="130"/>
        <v>840</v>
      </c>
      <c r="AFL17" s="53">
        <f t="shared" si="130"/>
        <v>841</v>
      </c>
      <c r="AFM17" s="53">
        <f t="shared" si="130"/>
        <v>842</v>
      </c>
      <c r="AFN17" s="53">
        <f t="shared" si="130"/>
        <v>843</v>
      </c>
      <c r="AFO17" s="53">
        <f t="shared" si="130"/>
        <v>844</v>
      </c>
      <c r="AFP17" s="53">
        <f t="shared" ref="AFP17:AIA17" si="131">AFO17+1</f>
        <v>845</v>
      </c>
      <c r="AFQ17" s="53">
        <f t="shared" si="131"/>
        <v>846</v>
      </c>
      <c r="AFR17" s="53">
        <f t="shared" si="131"/>
        <v>847</v>
      </c>
      <c r="AFS17" s="53">
        <f t="shared" si="131"/>
        <v>848</v>
      </c>
      <c r="AFT17" s="53">
        <f t="shared" si="131"/>
        <v>849</v>
      </c>
      <c r="AFU17" s="53">
        <f t="shared" si="131"/>
        <v>850</v>
      </c>
      <c r="AFV17" s="53">
        <f t="shared" si="131"/>
        <v>851</v>
      </c>
      <c r="AFW17" s="53">
        <f t="shared" si="131"/>
        <v>852</v>
      </c>
      <c r="AFX17" s="53">
        <f t="shared" si="131"/>
        <v>853</v>
      </c>
      <c r="AFY17" s="53">
        <f t="shared" si="131"/>
        <v>854</v>
      </c>
      <c r="AFZ17" s="53">
        <f t="shared" si="131"/>
        <v>855</v>
      </c>
      <c r="AGA17" s="53">
        <f t="shared" si="131"/>
        <v>856</v>
      </c>
      <c r="AGB17" s="53">
        <f t="shared" si="131"/>
        <v>857</v>
      </c>
      <c r="AGC17" s="53">
        <f t="shared" si="131"/>
        <v>858</v>
      </c>
      <c r="AGD17" s="53">
        <f t="shared" si="131"/>
        <v>859</v>
      </c>
      <c r="AGE17" s="53">
        <f t="shared" si="131"/>
        <v>860</v>
      </c>
      <c r="AGF17" s="53">
        <f t="shared" si="131"/>
        <v>861</v>
      </c>
      <c r="AGG17" s="53">
        <f t="shared" si="131"/>
        <v>862</v>
      </c>
      <c r="AGH17" s="53">
        <f t="shared" si="131"/>
        <v>863</v>
      </c>
      <c r="AGI17" s="53">
        <f t="shared" si="131"/>
        <v>864</v>
      </c>
      <c r="AGJ17" s="53">
        <f t="shared" si="131"/>
        <v>865</v>
      </c>
      <c r="AGK17" s="53">
        <f t="shared" si="131"/>
        <v>866</v>
      </c>
      <c r="AGL17" s="53">
        <f t="shared" si="131"/>
        <v>867</v>
      </c>
      <c r="AGM17" s="53">
        <f t="shared" si="131"/>
        <v>868</v>
      </c>
      <c r="AGN17" s="53">
        <f t="shared" si="131"/>
        <v>869</v>
      </c>
      <c r="AGO17" s="53">
        <f t="shared" si="131"/>
        <v>870</v>
      </c>
      <c r="AGP17" s="53">
        <f t="shared" si="131"/>
        <v>871</v>
      </c>
      <c r="AGQ17" s="53">
        <f t="shared" si="131"/>
        <v>872</v>
      </c>
      <c r="AGR17" s="53">
        <f t="shared" si="131"/>
        <v>873</v>
      </c>
      <c r="AGS17" s="53">
        <f t="shared" si="131"/>
        <v>874</v>
      </c>
      <c r="AGT17" s="53">
        <f t="shared" si="131"/>
        <v>875</v>
      </c>
      <c r="AGU17" s="53">
        <f t="shared" si="131"/>
        <v>876</v>
      </c>
      <c r="AGV17" s="53">
        <f t="shared" si="131"/>
        <v>877</v>
      </c>
      <c r="AGW17" s="53">
        <f t="shared" si="131"/>
        <v>878</v>
      </c>
      <c r="AGX17" s="53">
        <f t="shared" si="131"/>
        <v>879</v>
      </c>
      <c r="AGY17" s="53">
        <f t="shared" si="131"/>
        <v>880</v>
      </c>
      <c r="AGZ17" s="53">
        <f t="shared" si="131"/>
        <v>881</v>
      </c>
      <c r="AHA17" s="53">
        <f t="shared" si="131"/>
        <v>882</v>
      </c>
      <c r="AHB17" s="53">
        <f t="shared" si="131"/>
        <v>883</v>
      </c>
      <c r="AHC17" s="53">
        <f t="shared" si="131"/>
        <v>884</v>
      </c>
      <c r="AHD17" s="53">
        <f t="shared" si="131"/>
        <v>885</v>
      </c>
      <c r="AHE17" s="53">
        <f t="shared" si="131"/>
        <v>886</v>
      </c>
      <c r="AHF17" s="53">
        <f t="shared" si="131"/>
        <v>887</v>
      </c>
      <c r="AHG17" s="53">
        <f t="shared" si="131"/>
        <v>888</v>
      </c>
      <c r="AHH17" s="53">
        <f t="shared" si="131"/>
        <v>889</v>
      </c>
      <c r="AHI17" s="53">
        <f t="shared" si="131"/>
        <v>890</v>
      </c>
      <c r="AHJ17" s="53">
        <f t="shared" si="131"/>
        <v>891</v>
      </c>
      <c r="AHK17" s="53">
        <f t="shared" si="131"/>
        <v>892</v>
      </c>
      <c r="AHL17" s="53">
        <f t="shared" si="131"/>
        <v>893</v>
      </c>
      <c r="AHM17" s="53">
        <f t="shared" si="131"/>
        <v>894</v>
      </c>
      <c r="AHN17" s="53">
        <f t="shared" si="131"/>
        <v>895</v>
      </c>
      <c r="AHO17" s="53">
        <f t="shared" si="131"/>
        <v>896</v>
      </c>
      <c r="AHP17" s="53">
        <f t="shared" si="131"/>
        <v>897</v>
      </c>
      <c r="AHQ17" s="53">
        <f t="shared" si="131"/>
        <v>898</v>
      </c>
      <c r="AHR17" s="53">
        <f t="shared" si="131"/>
        <v>899</v>
      </c>
      <c r="AHS17" s="53">
        <f t="shared" si="131"/>
        <v>900</v>
      </c>
      <c r="AHT17" s="53">
        <f t="shared" si="131"/>
        <v>901</v>
      </c>
      <c r="AHU17" s="53">
        <f t="shared" si="131"/>
        <v>902</v>
      </c>
      <c r="AHV17" s="53">
        <f t="shared" si="131"/>
        <v>903</v>
      </c>
      <c r="AHW17" s="53">
        <f t="shared" si="131"/>
        <v>904</v>
      </c>
      <c r="AHX17" s="53">
        <f t="shared" si="131"/>
        <v>905</v>
      </c>
      <c r="AHY17" s="53">
        <f t="shared" si="131"/>
        <v>906</v>
      </c>
      <c r="AHZ17" s="53">
        <f t="shared" si="131"/>
        <v>907</v>
      </c>
      <c r="AIA17" s="53">
        <f t="shared" si="131"/>
        <v>908</v>
      </c>
      <c r="AIB17" s="53">
        <f t="shared" ref="AIB17:AKM17" si="132">AIA17+1</f>
        <v>909</v>
      </c>
      <c r="AIC17" s="53">
        <f t="shared" si="132"/>
        <v>910</v>
      </c>
      <c r="AID17" s="53">
        <f t="shared" si="132"/>
        <v>911</v>
      </c>
      <c r="AIE17" s="53">
        <f t="shared" si="132"/>
        <v>912</v>
      </c>
      <c r="AIF17" s="53">
        <f t="shared" si="132"/>
        <v>913</v>
      </c>
      <c r="AIG17" s="53">
        <f t="shared" si="132"/>
        <v>914</v>
      </c>
      <c r="AIH17" s="53">
        <f t="shared" si="132"/>
        <v>915</v>
      </c>
      <c r="AII17" s="53">
        <f t="shared" si="132"/>
        <v>916</v>
      </c>
      <c r="AIJ17" s="53">
        <f t="shared" si="132"/>
        <v>917</v>
      </c>
      <c r="AIK17" s="53">
        <f t="shared" si="132"/>
        <v>918</v>
      </c>
      <c r="AIL17" s="53">
        <f t="shared" si="132"/>
        <v>919</v>
      </c>
      <c r="AIM17" s="53">
        <f t="shared" si="132"/>
        <v>920</v>
      </c>
      <c r="AIN17" s="53">
        <f t="shared" si="132"/>
        <v>921</v>
      </c>
      <c r="AIO17" s="53">
        <f t="shared" si="132"/>
        <v>922</v>
      </c>
      <c r="AIP17" s="53">
        <f t="shared" si="132"/>
        <v>923</v>
      </c>
      <c r="AIQ17" s="53">
        <f t="shared" si="132"/>
        <v>924</v>
      </c>
      <c r="AIR17" s="53">
        <f t="shared" si="132"/>
        <v>925</v>
      </c>
      <c r="AIS17" s="53">
        <f t="shared" si="132"/>
        <v>926</v>
      </c>
      <c r="AIT17" s="53">
        <f t="shared" si="132"/>
        <v>927</v>
      </c>
      <c r="AIU17" s="53">
        <f t="shared" si="132"/>
        <v>928</v>
      </c>
      <c r="AIV17" s="53">
        <f t="shared" si="132"/>
        <v>929</v>
      </c>
      <c r="AIW17" s="53">
        <f t="shared" si="132"/>
        <v>930</v>
      </c>
      <c r="AIX17" s="53">
        <f t="shared" si="132"/>
        <v>931</v>
      </c>
      <c r="AIY17" s="53">
        <f t="shared" si="132"/>
        <v>932</v>
      </c>
      <c r="AIZ17" s="53">
        <f t="shared" si="132"/>
        <v>933</v>
      </c>
      <c r="AJA17" s="53">
        <f t="shared" si="132"/>
        <v>934</v>
      </c>
      <c r="AJB17" s="53">
        <f t="shared" si="132"/>
        <v>935</v>
      </c>
      <c r="AJC17" s="53">
        <f t="shared" si="132"/>
        <v>936</v>
      </c>
      <c r="AJD17" s="53">
        <f t="shared" si="132"/>
        <v>937</v>
      </c>
      <c r="AJE17" s="53">
        <f t="shared" si="132"/>
        <v>938</v>
      </c>
      <c r="AJF17" s="53">
        <f t="shared" si="132"/>
        <v>939</v>
      </c>
      <c r="AJG17" s="53">
        <f t="shared" si="132"/>
        <v>940</v>
      </c>
      <c r="AJH17" s="53">
        <f t="shared" si="132"/>
        <v>941</v>
      </c>
      <c r="AJI17" s="53">
        <f t="shared" si="132"/>
        <v>942</v>
      </c>
      <c r="AJJ17" s="53">
        <f t="shared" si="132"/>
        <v>943</v>
      </c>
      <c r="AJK17" s="53">
        <f t="shared" si="132"/>
        <v>944</v>
      </c>
      <c r="AJL17" s="53">
        <f t="shared" si="132"/>
        <v>945</v>
      </c>
      <c r="AJM17" s="53">
        <f t="shared" si="132"/>
        <v>946</v>
      </c>
      <c r="AJN17" s="53">
        <f t="shared" si="132"/>
        <v>947</v>
      </c>
      <c r="AJO17" s="53">
        <f t="shared" si="132"/>
        <v>948</v>
      </c>
      <c r="AJP17" s="53">
        <f t="shared" si="132"/>
        <v>949</v>
      </c>
      <c r="AJQ17" s="53">
        <f t="shared" si="132"/>
        <v>950</v>
      </c>
      <c r="AJR17" s="53">
        <f t="shared" si="132"/>
        <v>951</v>
      </c>
      <c r="AJS17" s="53">
        <f t="shared" si="132"/>
        <v>952</v>
      </c>
      <c r="AJT17" s="53">
        <f t="shared" si="132"/>
        <v>953</v>
      </c>
      <c r="AJU17" s="53">
        <f t="shared" si="132"/>
        <v>954</v>
      </c>
      <c r="AJV17" s="53">
        <f t="shared" si="132"/>
        <v>955</v>
      </c>
      <c r="AJW17" s="53">
        <f t="shared" si="132"/>
        <v>956</v>
      </c>
      <c r="AJX17" s="53">
        <f t="shared" si="132"/>
        <v>957</v>
      </c>
      <c r="AJY17" s="53">
        <f t="shared" si="132"/>
        <v>958</v>
      </c>
      <c r="AJZ17" s="53">
        <f t="shared" si="132"/>
        <v>959</v>
      </c>
      <c r="AKA17" s="53">
        <f t="shared" si="132"/>
        <v>960</v>
      </c>
      <c r="AKB17" s="53">
        <f t="shared" si="132"/>
        <v>961</v>
      </c>
      <c r="AKC17" s="53">
        <f t="shared" si="132"/>
        <v>962</v>
      </c>
      <c r="AKD17" s="53">
        <f t="shared" si="132"/>
        <v>963</v>
      </c>
      <c r="AKE17" s="53">
        <f t="shared" si="132"/>
        <v>964</v>
      </c>
      <c r="AKF17" s="53">
        <f t="shared" si="132"/>
        <v>965</v>
      </c>
      <c r="AKG17" s="53">
        <f t="shared" si="132"/>
        <v>966</v>
      </c>
      <c r="AKH17" s="53">
        <f t="shared" si="132"/>
        <v>967</v>
      </c>
      <c r="AKI17" s="53">
        <f t="shared" si="132"/>
        <v>968</v>
      </c>
      <c r="AKJ17" s="53">
        <f t="shared" si="132"/>
        <v>969</v>
      </c>
      <c r="AKK17" s="53">
        <f t="shared" si="132"/>
        <v>970</v>
      </c>
      <c r="AKL17" s="53">
        <f t="shared" si="132"/>
        <v>971</v>
      </c>
      <c r="AKM17" s="53">
        <f t="shared" si="132"/>
        <v>972</v>
      </c>
      <c r="AKN17" s="53">
        <f t="shared" ref="AKN17:AMY17" si="133">AKM17+1</f>
        <v>973</v>
      </c>
      <c r="AKO17" s="53">
        <f t="shared" si="133"/>
        <v>974</v>
      </c>
      <c r="AKP17" s="53">
        <f t="shared" si="133"/>
        <v>975</v>
      </c>
      <c r="AKQ17" s="53">
        <f t="shared" si="133"/>
        <v>976</v>
      </c>
      <c r="AKR17" s="53">
        <f t="shared" si="133"/>
        <v>977</v>
      </c>
      <c r="AKS17" s="53">
        <f t="shared" si="133"/>
        <v>978</v>
      </c>
      <c r="AKT17" s="53">
        <f t="shared" si="133"/>
        <v>979</v>
      </c>
      <c r="AKU17" s="53">
        <f t="shared" si="133"/>
        <v>980</v>
      </c>
      <c r="AKV17" s="53">
        <f t="shared" si="133"/>
        <v>981</v>
      </c>
      <c r="AKW17" s="53">
        <f t="shared" si="133"/>
        <v>982</v>
      </c>
      <c r="AKX17" s="53">
        <f t="shared" si="133"/>
        <v>983</v>
      </c>
      <c r="AKY17" s="53">
        <f t="shared" si="133"/>
        <v>984</v>
      </c>
      <c r="AKZ17" s="53">
        <f t="shared" si="133"/>
        <v>985</v>
      </c>
      <c r="ALA17" s="53">
        <f t="shared" si="133"/>
        <v>986</v>
      </c>
      <c r="ALB17" s="53">
        <f t="shared" si="133"/>
        <v>987</v>
      </c>
      <c r="ALC17" s="53">
        <f t="shared" si="133"/>
        <v>988</v>
      </c>
      <c r="ALD17" s="53">
        <f t="shared" si="133"/>
        <v>989</v>
      </c>
      <c r="ALE17" s="53">
        <f t="shared" si="133"/>
        <v>990</v>
      </c>
      <c r="ALF17" s="53">
        <f t="shared" si="133"/>
        <v>991</v>
      </c>
      <c r="ALG17" s="53">
        <f t="shared" si="133"/>
        <v>992</v>
      </c>
      <c r="ALH17" s="53">
        <f t="shared" si="133"/>
        <v>993</v>
      </c>
      <c r="ALI17" s="53">
        <f t="shared" si="133"/>
        <v>994</v>
      </c>
      <c r="ALJ17" s="53">
        <f t="shared" si="133"/>
        <v>995</v>
      </c>
      <c r="ALK17" s="53">
        <f t="shared" si="133"/>
        <v>996</v>
      </c>
      <c r="ALL17" s="53">
        <f t="shared" si="133"/>
        <v>997</v>
      </c>
      <c r="ALM17" s="53">
        <f t="shared" si="133"/>
        <v>998</v>
      </c>
      <c r="ALN17" s="53">
        <f t="shared" si="133"/>
        <v>999</v>
      </c>
      <c r="ALO17" s="53">
        <f t="shared" si="133"/>
        <v>1000</v>
      </c>
      <c r="ALP17" s="53">
        <f t="shared" si="133"/>
        <v>1001</v>
      </c>
      <c r="ALQ17" s="53">
        <f t="shared" si="133"/>
        <v>1002</v>
      </c>
      <c r="ALR17" s="53">
        <f t="shared" si="133"/>
        <v>1003</v>
      </c>
      <c r="ALS17" s="53">
        <f t="shared" si="133"/>
        <v>1004</v>
      </c>
      <c r="ALT17" s="53">
        <f t="shared" si="133"/>
        <v>1005</v>
      </c>
      <c r="ALU17" s="53">
        <f t="shared" si="133"/>
        <v>1006</v>
      </c>
      <c r="ALV17" s="53">
        <f t="shared" si="133"/>
        <v>1007</v>
      </c>
      <c r="ALW17" s="53">
        <f t="shared" si="133"/>
        <v>1008</v>
      </c>
      <c r="ALX17" s="53">
        <f t="shared" si="133"/>
        <v>1009</v>
      </c>
      <c r="ALY17" s="53">
        <f t="shared" si="133"/>
        <v>1010</v>
      </c>
      <c r="ALZ17" s="53">
        <f t="shared" si="133"/>
        <v>1011</v>
      </c>
      <c r="AMA17" s="53">
        <f t="shared" si="133"/>
        <v>1012</v>
      </c>
      <c r="AMB17" s="53">
        <f t="shared" si="133"/>
        <v>1013</v>
      </c>
      <c r="AMC17" s="53">
        <f t="shared" si="133"/>
        <v>1014</v>
      </c>
      <c r="AMD17" s="53">
        <f t="shared" si="133"/>
        <v>1015</v>
      </c>
      <c r="AME17" s="53">
        <f t="shared" si="133"/>
        <v>1016</v>
      </c>
      <c r="AMF17" s="53">
        <f t="shared" si="133"/>
        <v>1017</v>
      </c>
      <c r="AMG17" s="53">
        <f t="shared" si="133"/>
        <v>1018</v>
      </c>
      <c r="AMH17" s="53">
        <f t="shared" si="133"/>
        <v>1019</v>
      </c>
      <c r="AMI17" s="53">
        <f t="shared" si="133"/>
        <v>1020</v>
      </c>
      <c r="AMJ17" s="53">
        <f t="shared" si="133"/>
        <v>1021</v>
      </c>
      <c r="AMK17" s="53">
        <f t="shared" si="133"/>
        <v>1022</v>
      </c>
      <c r="AML17" s="53">
        <f t="shared" si="133"/>
        <v>1023</v>
      </c>
      <c r="AMM17" s="53">
        <f t="shared" si="133"/>
        <v>1024</v>
      </c>
      <c r="AMN17" s="53">
        <f t="shared" si="133"/>
        <v>1025</v>
      </c>
      <c r="AMO17" s="53">
        <f t="shared" si="133"/>
        <v>1026</v>
      </c>
      <c r="AMP17" s="53">
        <f t="shared" si="133"/>
        <v>1027</v>
      </c>
      <c r="AMQ17" s="53">
        <f t="shared" si="133"/>
        <v>1028</v>
      </c>
      <c r="AMR17" s="53">
        <f t="shared" si="133"/>
        <v>1029</v>
      </c>
      <c r="AMS17" s="53">
        <f t="shared" si="133"/>
        <v>1030</v>
      </c>
      <c r="AMT17" s="53">
        <f t="shared" si="133"/>
        <v>1031</v>
      </c>
      <c r="AMU17" s="53">
        <f t="shared" si="133"/>
        <v>1032</v>
      </c>
      <c r="AMV17" s="53">
        <f t="shared" si="133"/>
        <v>1033</v>
      </c>
      <c r="AMW17" s="53">
        <f t="shared" si="133"/>
        <v>1034</v>
      </c>
      <c r="AMX17" s="53">
        <f t="shared" si="133"/>
        <v>1035</v>
      </c>
      <c r="AMY17" s="53">
        <f t="shared" si="133"/>
        <v>1036</v>
      </c>
      <c r="AMZ17" s="53">
        <f t="shared" ref="AMZ17:AOQ17" si="134">AMY17+1</f>
        <v>1037</v>
      </c>
      <c r="ANA17" s="53">
        <f t="shared" si="134"/>
        <v>1038</v>
      </c>
      <c r="ANB17" s="53">
        <f t="shared" si="134"/>
        <v>1039</v>
      </c>
      <c r="ANC17" s="53">
        <f t="shared" si="134"/>
        <v>1040</v>
      </c>
      <c r="AND17" s="53">
        <f t="shared" si="134"/>
        <v>1041</v>
      </c>
      <c r="ANE17" s="53">
        <f t="shared" si="134"/>
        <v>1042</v>
      </c>
      <c r="ANF17" s="53">
        <f t="shared" si="134"/>
        <v>1043</v>
      </c>
      <c r="ANG17" s="53">
        <f t="shared" si="134"/>
        <v>1044</v>
      </c>
      <c r="ANH17" s="53">
        <f t="shared" si="134"/>
        <v>1045</v>
      </c>
      <c r="ANI17" s="53">
        <f t="shared" si="134"/>
        <v>1046</v>
      </c>
      <c r="ANJ17" s="53">
        <f t="shared" si="134"/>
        <v>1047</v>
      </c>
      <c r="ANK17" s="53">
        <f t="shared" si="134"/>
        <v>1048</v>
      </c>
      <c r="ANL17" s="53">
        <f t="shared" si="134"/>
        <v>1049</v>
      </c>
      <c r="ANM17" s="53">
        <f t="shared" si="134"/>
        <v>1050</v>
      </c>
      <c r="ANN17" s="53">
        <f t="shared" si="134"/>
        <v>1051</v>
      </c>
      <c r="ANO17" s="53">
        <f t="shared" si="134"/>
        <v>1052</v>
      </c>
      <c r="ANP17" s="53">
        <f t="shared" si="134"/>
        <v>1053</v>
      </c>
      <c r="ANQ17" s="53">
        <f t="shared" si="134"/>
        <v>1054</v>
      </c>
      <c r="ANR17" s="53">
        <f t="shared" si="134"/>
        <v>1055</v>
      </c>
      <c r="ANS17" s="53">
        <f t="shared" si="134"/>
        <v>1056</v>
      </c>
      <c r="ANT17" s="53">
        <f t="shared" si="134"/>
        <v>1057</v>
      </c>
      <c r="ANU17" s="53">
        <f t="shared" si="134"/>
        <v>1058</v>
      </c>
      <c r="ANV17" s="53">
        <f t="shared" si="134"/>
        <v>1059</v>
      </c>
      <c r="ANW17" s="53">
        <f t="shared" si="134"/>
        <v>1060</v>
      </c>
      <c r="ANX17" s="53">
        <f t="shared" si="134"/>
        <v>1061</v>
      </c>
      <c r="ANY17" s="53">
        <f t="shared" si="134"/>
        <v>1062</v>
      </c>
      <c r="ANZ17" s="53">
        <f t="shared" si="134"/>
        <v>1063</v>
      </c>
      <c r="AOA17" s="53">
        <f t="shared" si="134"/>
        <v>1064</v>
      </c>
      <c r="AOB17" s="53">
        <f t="shared" si="134"/>
        <v>1065</v>
      </c>
      <c r="AOC17" s="53">
        <f t="shared" si="134"/>
        <v>1066</v>
      </c>
      <c r="AOD17" s="53">
        <f t="shared" si="134"/>
        <v>1067</v>
      </c>
      <c r="AOE17" s="53">
        <f t="shared" si="134"/>
        <v>1068</v>
      </c>
      <c r="AOF17" s="53">
        <f t="shared" si="134"/>
        <v>1069</v>
      </c>
      <c r="AOG17" s="53">
        <f t="shared" si="134"/>
        <v>1070</v>
      </c>
      <c r="AOH17" s="53">
        <f t="shared" si="134"/>
        <v>1071</v>
      </c>
      <c r="AOI17" s="53">
        <f t="shared" si="134"/>
        <v>1072</v>
      </c>
      <c r="AOJ17" s="53">
        <f t="shared" si="134"/>
        <v>1073</v>
      </c>
      <c r="AOK17" s="53">
        <f t="shared" si="134"/>
        <v>1074</v>
      </c>
      <c r="AOL17" s="53">
        <f t="shared" si="134"/>
        <v>1075</v>
      </c>
      <c r="AOM17" s="53">
        <f t="shared" si="134"/>
        <v>1076</v>
      </c>
      <c r="AON17" s="53">
        <f t="shared" si="134"/>
        <v>1077</v>
      </c>
      <c r="AOO17" s="53">
        <f t="shared" si="134"/>
        <v>1078</v>
      </c>
      <c r="AOP17" s="53">
        <f t="shared" si="134"/>
        <v>1079</v>
      </c>
      <c r="AOQ17" s="53">
        <f t="shared" si="134"/>
        <v>1080</v>
      </c>
    </row>
    <row r="18" spans="2:1083" x14ac:dyDescent="0.25">
      <c r="B18" s="53" t="s">
        <v>229</v>
      </c>
      <c r="C18" s="53"/>
      <c r="D18" s="53">
        <f>IF(D15&gt;=$C$5,1,0)</f>
        <v>0</v>
      </c>
      <c r="E18" s="53">
        <f t="shared" ref="E18:BP18" si="135">IF(E15&gt;=$C$5,1,0)</f>
        <v>0</v>
      </c>
      <c r="F18" s="53">
        <f t="shared" si="135"/>
        <v>0</v>
      </c>
      <c r="G18" s="53">
        <f t="shared" si="135"/>
        <v>0</v>
      </c>
      <c r="H18" s="53">
        <f t="shared" si="135"/>
        <v>0</v>
      </c>
      <c r="I18" s="53">
        <f t="shared" si="135"/>
        <v>0</v>
      </c>
      <c r="J18" s="53">
        <f t="shared" si="135"/>
        <v>0</v>
      </c>
      <c r="K18" s="53">
        <f t="shared" si="135"/>
        <v>0</v>
      </c>
      <c r="L18" s="53">
        <f t="shared" si="135"/>
        <v>0</v>
      </c>
      <c r="M18" s="53">
        <f t="shared" si="135"/>
        <v>0</v>
      </c>
      <c r="N18" s="53">
        <f t="shared" si="135"/>
        <v>0</v>
      </c>
      <c r="O18" s="53">
        <f t="shared" si="135"/>
        <v>0</v>
      </c>
      <c r="P18" s="53">
        <f t="shared" si="135"/>
        <v>0</v>
      </c>
      <c r="Q18" s="53">
        <f t="shared" si="135"/>
        <v>0</v>
      </c>
      <c r="R18" s="53">
        <f t="shared" si="135"/>
        <v>0</v>
      </c>
      <c r="S18" s="53">
        <f t="shared" si="135"/>
        <v>0</v>
      </c>
      <c r="T18" s="53">
        <f t="shared" si="135"/>
        <v>0</v>
      </c>
      <c r="U18" s="53">
        <f t="shared" si="135"/>
        <v>0</v>
      </c>
      <c r="V18" s="53">
        <f t="shared" si="135"/>
        <v>0</v>
      </c>
      <c r="W18" s="53">
        <f t="shared" si="135"/>
        <v>0</v>
      </c>
      <c r="X18" s="53">
        <f t="shared" si="135"/>
        <v>0</v>
      </c>
      <c r="Y18" s="53">
        <f t="shared" si="135"/>
        <v>0</v>
      </c>
      <c r="Z18" s="53">
        <f t="shared" si="135"/>
        <v>0</v>
      </c>
      <c r="AA18" s="53">
        <f t="shared" si="135"/>
        <v>0</v>
      </c>
      <c r="AB18" s="53">
        <f t="shared" si="135"/>
        <v>0</v>
      </c>
      <c r="AC18" s="53">
        <f t="shared" si="135"/>
        <v>0</v>
      </c>
      <c r="AD18" s="53">
        <f t="shared" si="135"/>
        <v>0</v>
      </c>
      <c r="AE18" s="53">
        <f t="shared" si="135"/>
        <v>0</v>
      </c>
      <c r="AF18" s="53">
        <f t="shared" si="135"/>
        <v>0</v>
      </c>
      <c r="AG18" s="53">
        <f t="shared" si="135"/>
        <v>0</v>
      </c>
      <c r="AH18" s="53">
        <f t="shared" si="135"/>
        <v>0</v>
      </c>
      <c r="AI18" s="53">
        <f t="shared" si="135"/>
        <v>0</v>
      </c>
      <c r="AJ18" s="53">
        <f t="shared" si="135"/>
        <v>0</v>
      </c>
      <c r="AK18" s="53">
        <f t="shared" si="135"/>
        <v>0</v>
      </c>
      <c r="AL18" s="53">
        <f t="shared" si="135"/>
        <v>0</v>
      </c>
      <c r="AM18" s="53">
        <f t="shared" si="135"/>
        <v>0</v>
      </c>
      <c r="AN18" s="53">
        <f t="shared" si="135"/>
        <v>0</v>
      </c>
      <c r="AO18" s="53">
        <f t="shared" si="135"/>
        <v>0</v>
      </c>
      <c r="AP18" s="53">
        <f t="shared" si="135"/>
        <v>0</v>
      </c>
      <c r="AQ18" s="53">
        <f t="shared" si="135"/>
        <v>0</v>
      </c>
      <c r="AR18" s="53">
        <f t="shared" si="135"/>
        <v>0</v>
      </c>
      <c r="AS18" s="53">
        <f t="shared" si="135"/>
        <v>0</v>
      </c>
      <c r="AT18" s="53">
        <f t="shared" si="135"/>
        <v>0</v>
      </c>
      <c r="AU18" s="53">
        <f t="shared" si="135"/>
        <v>0</v>
      </c>
      <c r="AV18" s="53">
        <f t="shared" si="135"/>
        <v>0</v>
      </c>
      <c r="AW18" s="53">
        <f t="shared" si="135"/>
        <v>0</v>
      </c>
      <c r="AX18" s="53">
        <f t="shared" si="135"/>
        <v>0</v>
      </c>
      <c r="AY18" s="53">
        <f t="shared" si="135"/>
        <v>0</v>
      </c>
      <c r="AZ18" s="53">
        <f t="shared" si="135"/>
        <v>0</v>
      </c>
      <c r="BA18" s="53">
        <f t="shared" si="135"/>
        <v>0</v>
      </c>
      <c r="BB18" s="53">
        <f t="shared" si="135"/>
        <v>0</v>
      </c>
      <c r="BC18" s="53">
        <f t="shared" si="135"/>
        <v>0</v>
      </c>
      <c r="BD18" s="53">
        <f t="shared" si="135"/>
        <v>0</v>
      </c>
      <c r="BE18" s="53">
        <f t="shared" si="135"/>
        <v>0</v>
      </c>
      <c r="BF18" s="53">
        <f t="shared" si="135"/>
        <v>0</v>
      </c>
      <c r="BG18" s="53">
        <f t="shared" si="135"/>
        <v>0</v>
      </c>
      <c r="BH18" s="53">
        <f t="shared" si="135"/>
        <v>0</v>
      </c>
      <c r="BI18" s="53">
        <f t="shared" si="135"/>
        <v>0</v>
      </c>
      <c r="BJ18" s="53">
        <f t="shared" si="135"/>
        <v>0</v>
      </c>
      <c r="BK18" s="53">
        <f t="shared" si="135"/>
        <v>0</v>
      </c>
      <c r="BL18" s="53">
        <f t="shared" si="135"/>
        <v>0</v>
      </c>
      <c r="BM18" s="53">
        <f t="shared" si="135"/>
        <v>0</v>
      </c>
      <c r="BN18" s="53">
        <f t="shared" si="135"/>
        <v>0</v>
      </c>
      <c r="BO18" s="53">
        <f t="shared" si="135"/>
        <v>0</v>
      </c>
      <c r="BP18" s="53">
        <f t="shared" si="135"/>
        <v>0</v>
      </c>
      <c r="BQ18" s="53">
        <f t="shared" ref="BQ18:EB18" si="136">IF(BQ15&gt;=$C$5,1,0)</f>
        <v>0</v>
      </c>
      <c r="BR18" s="53">
        <f t="shared" si="136"/>
        <v>0</v>
      </c>
      <c r="BS18" s="53">
        <f t="shared" si="136"/>
        <v>0</v>
      </c>
      <c r="BT18" s="53">
        <f t="shared" si="136"/>
        <v>0</v>
      </c>
      <c r="BU18" s="53">
        <f t="shared" si="136"/>
        <v>0</v>
      </c>
      <c r="BV18" s="53">
        <f t="shared" si="136"/>
        <v>0</v>
      </c>
      <c r="BW18" s="53">
        <f t="shared" si="136"/>
        <v>0</v>
      </c>
      <c r="BX18" s="53">
        <f t="shared" si="136"/>
        <v>0</v>
      </c>
      <c r="BY18" s="53">
        <f t="shared" si="136"/>
        <v>0</v>
      </c>
      <c r="BZ18" s="53">
        <f t="shared" si="136"/>
        <v>0</v>
      </c>
      <c r="CA18" s="53">
        <f t="shared" si="136"/>
        <v>0</v>
      </c>
      <c r="CB18" s="53">
        <f t="shared" si="136"/>
        <v>0</v>
      </c>
      <c r="CC18" s="53">
        <f t="shared" si="136"/>
        <v>0</v>
      </c>
      <c r="CD18" s="53">
        <f t="shared" si="136"/>
        <v>0</v>
      </c>
      <c r="CE18" s="53">
        <f t="shared" si="136"/>
        <v>0</v>
      </c>
      <c r="CF18" s="53">
        <f t="shared" si="136"/>
        <v>0</v>
      </c>
      <c r="CG18" s="53">
        <f t="shared" si="136"/>
        <v>0</v>
      </c>
      <c r="CH18" s="53">
        <f t="shared" si="136"/>
        <v>0</v>
      </c>
      <c r="CI18" s="53">
        <f t="shared" si="136"/>
        <v>0</v>
      </c>
      <c r="CJ18" s="53">
        <f t="shared" si="136"/>
        <v>0</v>
      </c>
      <c r="CK18" s="53">
        <f t="shared" si="136"/>
        <v>0</v>
      </c>
      <c r="CL18" s="53">
        <f t="shared" si="136"/>
        <v>0</v>
      </c>
      <c r="CM18" s="53">
        <f t="shared" si="136"/>
        <v>0</v>
      </c>
      <c r="CN18" s="53">
        <f t="shared" si="136"/>
        <v>0</v>
      </c>
      <c r="CO18" s="53">
        <f t="shared" si="136"/>
        <v>0</v>
      </c>
      <c r="CP18" s="53">
        <f t="shared" si="136"/>
        <v>0</v>
      </c>
      <c r="CQ18" s="53">
        <f t="shared" si="136"/>
        <v>0</v>
      </c>
      <c r="CR18" s="53">
        <f t="shared" si="136"/>
        <v>0</v>
      </c>
      <c r="CS18" s="53">
        <f t="shared" si="136"/>
        <v>0</v>
      </c>
      <c r="CT18" s="53">
        <f t="shared" si="136"/>
        <v>0</v>
      </c>
      <c r="CU18" s="53">
        <f t="shared" si="136"/>
        <v>0</v>
      </c>
      <c r="CV18" s="53">
        <f t="shared" si="136"/>
        <v>0</v>
      </c>
      <c r="CW18" s="53">
        <f t="shared" si="136"/>
        <v>0</v>
      </c>
      <c r="CX18" s="53">
        <f t="shared" si="136"/>
        <v>0</v>
      </c>
      <c r="CY18" s="53">
        <f t="shared" si="136"/>
        <v>0</v>
      </c>
      <c r="CZ18" s="53">
        <f t="shared" si="136"/>
        <v>0</v>
      </c>
      <c r="DA18" s="53">
        <f t="shared" si="136"/>
        <v>0</v>
      </c>
      <c r="DB18" s="53">
        <f t="shared" si="136"/>
        <v>0</v>
      </c>
      <c r="DC18" s="53">
        <f t="shared" si="136"/>
        <v>0</v>
      </c>
      <c r="DD18" s="53">
        <f t="shared" si="136"/>
        <v>0</v>
      </c>
      <c r="DE18" s="53">
        <f t="shared" si="136"/>
        <v>0</v>
      </c>
      <c r="DF18" s="53">
        <f t="shared" si="136"/>
        <v>0</v>
      </c>
      <c r="DG18" s="53">
        <f t="shared" si="136"/>
        <v>0</v>
      </c>
      <c r="DH18" s="53">
        <f t="shared" si="136"/>
        <v>0</v>
      </c>
      <c r="DI18" s="53">
        <f t="shared" si="136"/>
        <v>0</v>
      </c>
      <c r="DJ18" s="53">
        <f t="shared" si="136"/>
        <v>0</v>
      </c>
      <c r="DK18" s="53">
        <f t="shared" si="136"/>
        <v>0</v>
      </c>
      <c r="DL18" s="53">
        <f t="shared" si="136"/>
        <v>0</v>
      </c>
      <c r="DM18" s="53">
        <f t="shared" si="136"/>
        <v>0</v>
      </c>
      <c r="DN18" s="53">
        <f t="shared" si="136"/>
        <v>0</v>
      </c>
      <c r="DO18" s="53">
        <f t="shared" si="136"/>
        <v>0</v>
      </c>
      <c r="DP18" s="53">
        <f t="shared" si="136"/>
        <v>0</v>
      </c>
      <c r="DQ18" s="53">
        <f t="shared" si="136"/>
        <v>0</v>
      </c>
      <c r="DR18" s="53">
        <f t="shared" si="136"/>
        <v>0</v>
      </c>
      <c r="DS18" s="53">
        <f t="shared" si="136"/>
        <v>0</v>
      </c>
      <c r="DT18" s="53">
        <f t="shared" si="136"/>
        <v>0</v>
      </c>
      <c r="DU18" s="53">
        <f t="shared" si="136"/>
        <v>0</v>
      </c>
      <c r="DV18" s="53">
        <f t="shared" si="136"/>
        <v>0</v>
      </c>
      <c r="DW18" s="53">
        <f t="shared" si="136"/>
        <v>0</v>
      </c>
      <c r="DX18" s="53">
        <f t="shared" si="136"/>
        <v>0</v>
      </c>
      <c r="DY18" s="53">
        <f t="shared" si="136"/>
        <v>0</v>
      </c>
      <c r="DZ18" s="53">
        <f t="shared" si="136"/>
        <v>0</v>
      </c>
      <c r="EA18" s="53">
        <f t="shared" si="136"/>
        <v>0</v>
      </c>
      <c r="EB18" s="53">
        <f t="shared" si="136"/>
        <v>0</v>
      </c>
      <c r="EC18" s="53">
        <f t="shared" ref="EC18:GN18" si="137">IF(EC15&gt;=$C$5,1,0)</f>
        <v>0</v>
      </c>
      <c r="ED18" s="53">
        <f t="shared" si="137"/>
        <v>0</v>
      </c>
      <c r="EE18" s="53">
        <f t="shared" si="137"/>
        <v>0</v>
      </c>
      <c r="EF18" s="53">
        <f t="shared" si="137"/>
        <v>0</v>
      </c>
      <c r="EG18" s="53">
        <f t="shared" si="137"/>
        <v>0</v>
      </c>
      <c r="EH18" s="53">
        <f t="shared" si="137"/>
        <v>0</v>
      </c>
      <c r="EI18" s="53">
        <f t="shared" si="137"/>
        <v>0</v>
      </c>
      <c r="EJ18" s="53">
        <f t="shared" si="137"/>
        <v>0</v>
      </c>
      <c r="EK18" s="53">
        <f t="shared" si="137"/>
        <v>0</v>
      </c>
      <c r="EL18" s="53">
        <f t="shared" si="137"/>
        <v>0</v>
      </c>
      <c r="EM18" s="53">
        <f t="shared" si="137"/>
        <v>0</v>
      </c>
      <c r="EN18" s="53">
        <f t="shared" si="137"/>
        <v>0</v>
      </c>
      <c r="EO18" s="53">
        <f t="shared" si="137"/>
        <v>0</v>
      </c>
      <c r="EP18" s="53">
        <f t="shared" si="137"/>
        <v>0</v>
      </c>
      <c r="EQ18" s="53">
        <f t="shared" si="137"/>
        <v>0</v>
      </c>
      <c r="ER18" s="53">
        <f t="shared" si="137"/>
        <v>0</v>
      </c>
      <c r="ES18" s="53">
        <f t="shared" si="137"/>
        <v>0</v>
      </c>
      <c r="ET18" s="53">
        <f t="shared" si="137"/>
        <v>0</v>
      </c>
      <c r="EU18" s="53">
        <f t="shared" si="137"/>
        <v>0</v>
      </c>
      <c r="EV18" s="53">
        <f t="shared" si="137"/>
        <v>0</v>
      </c>
      <c r="EW18" s="53">
        <f t="shared" si="137"/>
        <v>0</v>
      </c>
      <c r="EX18" s="53">
        <f t="shared" si="137"/>
        <v>0</v>
      </c>
      <c r="EY18" s="53">
        <f t="shared" si="137"/>
        <v>0</v>
      </c>
      <c r="EZ18" s="53">
        <f t="shared" si="137"/>
        <v>0</v>
      </c>
      <c r="FA18" s="53">
        <f t="shared" si="137"/>
        <v>0</v>
      </c>
      <c r="FB18" s="53">
        <f t="shared" si="137"/>
        <v>0</v>
      </c>
      <c r="FC18" s="53">
        <f t="shared" si="137"/>
        <v>0</v>
      </c>
      <c r="FD18" s="53">
        <f t="shared" si="137"/>
        <v>0</v>
      </c>
      <c r="FE18" s="53">
        <f t="shared" si="137"/>
        <v>0</v>
      </c>
      <c r="FF18" s="53">
        <f t="shared" si="137"/>
        <v>0</v>
      </c>
      <c r="FG18" s="53">
        <f t="shared" si="137"/>
        <v>0</v>
      </c>
      <c r="FH18" s="53">
        <f t="shared" si="137"/>
        <v>0</v>
      </c>
      <c r="FI18" s="53">
        <f t="shared" si="137"/>
        <v>0</v>
      </c>
      <c r="FJ18" s="53">
        <f t="shared" si="137"/>
        <v>0</v>
      </c>
      <c r="FK18" s="53">
        <f t="shared" si="137"/>
        <v>0</v>
      </c>
      <c r="FL18" s="53">
        <f t="shared" si="137"/>
        <v>0</v>
      </c>
      <c r="FM18" s="53">
        <f t="shared" si="137"/>
        <v>0</v>
      </c>
      <c r="FN18" s="53">
        <f t="shared" si="137"/>
        <v>0</v>
      </c>
      <c r="FO18" s="53">
        <f t="shared" si="137"/>
        <v>0</v>
      </c>
      <c r="FP18" s="53">
        <f t="shared" si="137"/>
        <v>0</v>
      </c>
      <c r="FQ18" s="53">
        <f t="shared" si="137"/>
        <v>0</v>
      </c>
      <c r="FR18" s="53">
        <f t="shared" si="137"/>
        <v>0</v>
      </c>
      <c r="FS18" s="53">
        <f t="shared" si="137"/>
        <v>0</v>
      </c>
      <c r="FT18" s="53">
        <f t="shared" si="137"/>
        <v>0</v>
      </c>
      <c r="FU18" s="53">
        <f t="shared" si="137"/>
        <v>0</v>
      </c>
      <c r="FV18" s="53">
        <f t="shared" si="137"/>
        <v>0</v>
      </c>
      <c r="FW18" s="53">
        <f t="shared" si="137"/>
        <v>0</v>
      </c>
      <c r="FX18" s="53">
        <f t="shared" si="137"/>
        <v>0</v>
      </c>
      <c r="FY18" s="53">
        <f t="shared" si="137"/>
        <v>0</v>
      </c>
      <c r="FZ18" s="53">
        <f t="shared" si="137"/>
        <v>0</v>
      </c>
      <c r="GA18" s="53">
        <f t="shared" si="137"/>
        <v>0</v>
      </c>
      <c r="GB18" s="53">
        <f t="shared" si="137"/>
        <v>0</v>
      </c>
      <c r="GC18" s="53">
        <f t="shared" si="137"/>
        <v>0</v>
      </c>
      <c r="GD18" s="53">
        <f t="shared" si="137"/>
        <v>0</v>
      </c>
      <c r="GE18" s="53">
        <f t="shared" si="137"/>
        <v>0</v>
      </c>
      <c r="GF18" s="53">
        <f t="shared" si="137"/>
        <v>0</v>
      </c>
      <c r="GG18" s="53">
        <f t="shared" si="137"/>
        <v>0</v>
      </c>
      <c r="GH18" s="53">
        <f t="shared" si="137"/>
        <v>0</v>
      </c>
      <c r="GI18" s="53">
        <f t="shared" si="137"/>
        <v>0</v>
      </c>
      <c r="GJ18" s="53">
        <f t="shared" si="137"/>
        <v>0</v>
      </c>
      <c r="GK18" s="53">
        <f t="shared" si="137"/>
        <v>0</v>
      </c>
      <c r="GL18" s="53">
        <f t="shared" si="137"/>
        <v>0</v>
      </c>
      <c r="GM18" s="53">
        <f t="shared" si="137"/>
        <v>0</v>
      </c>
      <c r="GN18" s="53">
        <f t="shared" si="137"/>
        <v>0</v>
      </c>
      <c r="GO18" s="53">
        <f t="shared" ref="GO18:IZ18" si="138">IF(GO15&gt;=$C$5,1,0)</f>
        <v>0</v>
      </c>
      <c r="GP18" s="53">
        <f t="shared" si="138"/>
        <v>0</v>
      </c>
      <c r="GQ18" s="53">
        <f t="shared" si="138"/>
        <v>0</v>
      </c>
      <c r="GR18" s="53">
        <f t="shared" si="138"/>
        <v>0</v>
      </c>
      <c r="GS18" s="53">
        <f t="shared" si="138"/>
        <v>0</v>
      </c>
      <c r="GT18" s="53">
        <f t="shared" si="138"/>
        <v>0</v>
      </c>
      <c r="GU18" s="53">
        <f t="shared" si="138"/>
        <v>0</v>
      </c>
      <c r="GV18" s="53">
        <f t="shared" si="138"/>
        <v>0</v>
      </c>
      <c r="GW18" s="53">
        <f t="shared" si="138"/>
        <v>0</v>
      </c>
      <c r="GX18" s="53">
        <f t="shared" si="138"/>
        <v>0</v>
      </c>
      <c r="GY18" s="53">
        <f t="shared" si="138"/>
        <v>0</v>
      </c>
      <c r="GZ18" s="53">
        <f t="shared" si="138"/>
        <v>0</v>
      </c>
      <c r="HA18" s="53">
        <f t="shared" si="138"/>
        <v>0</v>
      </c>
      <c r="HB18" s="53">
        <f t="shared" si="138"/>
        <v>0</v>
      </c>
      <c r="HC18" s="53">
        <f t="shared" si="138"/>
        <v>0</v>
      </c>
      <c r="HD18" s="53">
        <f t="shared" si="138"/>
        <v>0</v>
      </c>
      <c r="HE18" s="53">
        <f t="shared" si="138"/>
        <v>0</v>
      </c>
      <c r="HF18" s="53">
        <f t="shared" si="138"/>
        <v>0</v>
      </c>
      <c r="HG18" s="53">
        <f t="shared" si="138"/>
        <v>0</v>
      </c>
      <c r="HH18" s="53">
        <f t="shared" si="138"/>
        <v>0</v>
      </c>
      <c r="HI18" s="53">
        <f t="shared" si="138"/>
        <v>0</v>
      </c>
      <c r="HJ18" s="53">
        <f t="shared" si="138"/>
        <v>0</v>
      </c>
      <c r="HK18" s="53">
        <f t="shared" si="138"/>
        <v>0</v>
      </c>
      <c r="HL18" s="53">
        <f t="shared" si="138"/>
        <v>0</v>
      </c>
      <c r="HM18" s="53">
        <f t="shared" si="138"/>
        <v>0</v>
      </c>
      <c r="HN18" s="53">
        <f t="shared" si="138"/>
        <v>0</v>
      </c>
      <c r="HO18" s="53">
        <f t="shared" si="138"/>
        <v>0</v>
      </c>
      <c r="HP18" s="53">
        <f t="shared" si="138"/>
        <v>0</v>
      </c>
      <c r="HQ18" s="53">
        <f t="shared" si="138"/>
        <v>0</v>
      </c>
      <c r="HR18" s="53">
        <f t="shared" si="138"/>
        <v>0</v>
      </c>
      <c r="HS18" s="53">
        <f t="shared" si="138"/>
        <v>0</v>
      </c>
      <c r="HT18" s="53">
        <f t="shared" si="138"/>
        <v>0</v>
      </c>
      <c r="HU18" s="53">
        <f t="shared" si="138"/>
        <v>0</v>
      </c>
      <c r="HV18" s="53">
        <f t="shared" si="138"/>
        <v>0</v>
      </c>
      <c r="HW18" s="53">
        <f t="shared" si="138"/>
        <v>0</v>
      </c>
      <c r="HX18" s="53">
        <f t="shared" si="138"/>
        <v>0</v>
      </c>
      <c r="HY18" s="53">
        <f t="shared" si="138"/>
        <v>0</v>
      </c>
      <c r="HZ18" s="53">
        <f t="shared" si="138"/>
        <v>0</v>
      </c>
      <c r="IA18" s="53">
        <f t="shared" si="138"/>
        <v>0</v>
      </c>
      <c r="IB18" s="53">
        <f t="shared" si="138"/>
        <v>0</v>
      </c>
      <c r="IC18" s="53">
        <f t="shared" si="138"/>
        <v>0</v>
      </c>
      <c r="ID18" s="53">
        <f t="shared" si="138"/>
        <v>0</v>
      </c>
      <c r="IE18" s="53">
        <f t="shared" si="138"/>
        <v>0</v>
      </c>
      <c r="IF18" s="53">
        <f t="shared" si="138"/>
        <v>0</v>
      </c>
      <c r="IG18" s="53">
        <f t="shared" si="138"/>
        <v>0</v>
      </c>
      <c r="IH18" s="53">
        <f t="shared" si="138"/>
        <v>0</v>
      </c>
      <c r="II18" s="53">
        <f t="shared" si="138"/>
        <v>0</v>
      </c>
      <c r="IJ18" s="53">
        <f t="shared" si="138"/>
        <v>0</v>
      </c>
      <c r="IK18" s="53">
        <f t="shared" si="138"/>
        <v>0</v>
      </c>
      <c r="IL18" s="53">
        <f t="shared" si="138"/>
        <v>0</v>
      </c>
      <c r="IM18" s="53">
        <f t="shared" si="138"/>
        <v>0</v>
      </c>
      <c r="IN18" s="53">
        <f t="shared" si="138"/>
        <v>0</v>
      </c>
      <c r="IO18" s="53">
        <f t="shared" si="138"/>
        <v>0</v>
      </c>
      <c r="IP18" s="53">
        <f t="shared" si="138"/>
        <v>0</v>
      </c>
      <c r="IQ18" s="53">
        <f t="shared" si="138"/>
        <v>0</v>
      </c>
      <c r="IR18" s="53">
        <f t="shared" si="138"/>
        <v>0</v>
      </c>
      <c r="IS18" s="53">
        <f t="shared" si="138"/>
        <v>0</v>
      </c>
      <c r="IT18" s="53">
        <f t="shared" si="138"/>
        <v>0</v>
      </c>
      <c r="IU18" s="53">
        <f t="shared" si="138"/>
        <v>0</v>
      </c>
      <c r="IV18" s="53">
        <f t="shared" si="138"/>
        <v>0</v>
      </c>
      <c r="IW18" s="53">
        <f t="shared" si="138"/>
        <v>0</v>
      </c>
      <c r="IX18" s="53">
        <f t="shared" si="138"/>
        <v>0</v>
      </c>
      <c r="IY18" s="53">
        <f t="shared" si="138"/>
        <v>0</v>
      </c>
      <c r="IZ18" s="53">
        <f t="shared" si="138"/>
        <v>0</v>
      </c>
      <c r="JA18" s="53">
        <f t="shared" ref="JA18:LL18" si="139">IF(JA15&gt;=$C$5,1,0)</f>
        <v>0</v>
      </c>
      <c r="JB18" s="53">
        <f t="shared" si="139"/>
        <v>0</v>
      </c>
      <c r="JC18" s="53">
        <f t="shared" si="139"/>
        <v>0</v>
      </c>
      <c r="JD18" s="53">
        <f t="shared" si="139"/>
        <v>0</v>
      </c>
      <c r="JE18" s="53">
        <f t="shared" si="139"/>
        <v>0</v>
      </c>
      <c r="JF18" s="53">
        <f t="shared" si="139"/>
        <v>0</v>
      </c>
      <c r="JG18" s="53">
        <f t="shared" si="139"/>
        <v>0</v>
      </c>
      <c r="JH18" s="53">
        <f t="shared" si="139"/>
        <v>0</v>
      </c>
      <c r="JI18" s="53">
        <f t="shared" si="139"/>
        <v>0</v>
      </c>
      <c r="JJ18" s="53">
        <f t="shared" si="139"/>
        <v>0</v>
      </c>
      <c r="JK18" s="53">
        <f t="shared" si="139"/>
        <v>0</v>
      </c>
      <c r="JL18" s="53">
        <f t="shared" si="139"/>
        <v>0</v>
      </c>
      <c r="JM18" s="53">
        <f t="shared" si="139"/>
        <v>0</v>
      </c>
      <c r="JN18" s="53">
        <f t="shared" si="139"/>
        <v>0</v>
      </c>
      <c r="JO18" s="53">
        <f t="shared" si="139"/>
        <v>0</v>
      </c>
      <c r="JP18" s="53">
        <f t="shared" si="139"/>
        <v>0</v>
      </c>
      <c r="JQ18" s="53">
        <f t="shared" si="139"/>
        <v>0</v>
      </c>
      <c r="JR18" s="53">
        <f t="shared" si="139"/>
        <v>0</v>
      </c>
      <c r="JS18" s="53">
        <f t="shared" si="139"/>
        <v>0</v>
      </c>
      <c r="JT18" s="53">
        <f t="shared" si="139"/>
        <v>0</v>
      </c>
      <c r="JU18" s="53">
        <f t="shared" si="139"/>
        <v>0</v>
      </c>
      <c r="JV18" s="53">
        <f t="shared" si="139"/>
        <v>0</v>
      </c>
      <c r="JW18" s="53">
        <f t="shared" si="139"/>
        <v>0</v>
      </c>
      <c r="JX18" s="53">
        <f t="shared" si="139"/>
        <v>0</v>
      </c>
      <c r="JY18" s="53">
        <f t="shared" si="139"/>
        <v>0</v>
      </c>
      <c r="JZ18" s="53">
        <f t="shared" si="139"/>
        <v>0</v>
      </c>
      <c r="KA18" s="53">
        <f t="shared" si="139"/>
        <v>0</v>
      </c>
      <c r="KB18" s="53">
        <f t="shared" si="139"/>
        <v>0</v>
      </c>
      <c r="KC18" s="53">
        <f t="shared" si="139"/>
        <v>0</v>
      </c>
      <c r="KD18" s="53">
        <f t="shared" si="139"/>
        <v>0</v>
      </c>
      <c r="KE18" s="53">
        <f t="shared" si="139"/>
        <v>0</v>
      </c>
      <c r="KF18" s="53">
        <f t="shared" si="139"/>
        <v>0</v>
      </c>
      <c r="KG18" s="53">
        <f t="shared" si="139"/>
        <v>0</v>
      </c>
      <c r="KH18" s="53">
        <f t="shared" si="139"/>
        <v>0</v>
      </c>
      <c r="KI18" s="53">
        <f t="shared" si="139"/>
        <v>0</v>
      </c>
      <c r="KJ18" s="53">
        <f t="shared" si="139"/>
        <v>0</v>
      </c>
      <c r="KK18" s="53">
        <f t="shared" si="139"/>
        <v>0</v>
      </c>
      <c r="KL18" s="53">
        <f t="shared" si="139"/>
        <v>0</v>
      </c>
      <c r="KM18" s="53">
        <f t="shared" si="139"/>
        <v>0</v>
      </c>
      <c r="KN18" s="53">
        <f t="shared" si="139"/>
        <v>0</v>
      </c>
      <c r="KO18" s="53">
        <f t="shared" si="139"/>
        <v>0</v>
      </c>
      <c r="KP18" s="53">
        <f t="shared" si="139"/>
        <v>0</v>
      </c>
      <c r="KQ18" s="53">
        <f t="shared" si="139"/>
        <v>0</v>
      </c>
      <c r="KR18" s="53">
        <f t="shared" si="139"/>
        <v>0</v>
      </c>
      <c r="KS18" s="53">
        <f t="shared" si="139"/>
        <v>0</v>
      </c>
      <c r="KT18" s="53">
        <f t="shared" si="139"/>
        <v>0</v>
      </c>
      <c r="KU18" s="53">
        <f t="shared" si="139"/>
        <v>0</v>
      </c>
      <c r="KV18" s="53">
        <f t="shared" si="139"/>
        <v>0</v>
      </c>
      <c r="KW18" s="53">
        <f t="shared" si="139"/>
        <v>0</v>
      </c>
      <c r="KX18" s="53">
        <f t="shared" si="139"/>
        <v>0</v>
      </c>
      <c r="KY18" s="53">
        <f t="shared" si="139"/>
        <v>0</v>
      </c>
      <c r="KZ18" s="53">
        <f t="shared" si="139"/>
        <v>0</v>
      </c>
      <c r="LA18" s="53">
        <f t="shared" si="139"/>
        <v>0</v>
      </c>
      <c r="LB18" s="53">
        <f t="shared" si="139"/>
        <v>0</v>
      </c>
      <c r="LC18" s="53">
        <f t="shared" si="139"/>
        <v>0</v>
      </c>
      <c r="LD18" s="53">
        <f t="shared" si="139"/>
        <v>0</v>
      </c>
      <c r="LE18" s="53">
        <f t="shared" si="139"/>
        <v>0</v>
      </c>
      <c r="LF18" s="53">
        <f t="shared" si="139"/>
        <v>0</v>
      </c>
      <c r="LG18" s="53">
        <f t="shared" si="139"/>
        <v>0</v>
      </c>
      <c r="LH18" s="53">
        <f t="shared" si="139"/>
        <v>0</v>
      </c>
      <c r="LI18" s="53">
        <f t="shared" si="139"/>
        <v>0</v>
      </c>
      <c r="LJ18" s="53">
        <f t="shared" si="139"/>
        <v>0</v>
      </c>
      <c r="LK18" s="53">
        <f t="shared" si="139"/>
        <v>0</v>
      </c>
      <c r="LL18" s="53">
        <f t="shared" si="139"/>
        <v>0</v>
      </c>
      <c r="LM18" s="53">
        <f t="shared" ref="LM18:NX18" si="140">IF(LM15&gt;=$C$5,1,0)</f>
        <v>0</v>
      </c>
      <c r="LN18" s="53">
        <f t="shared" si="140"/>
        <v>0</v>
      </c>
      <c r="LO18" s="53">
        <f t="shared" si="140"/>
        <v>0</v>
      </c>
      <c r="LP18" s="53">
        <f t="shared" si="140"/>
        <v>0</v>
      </c>
      <c r="LQ18" s="53">
        <f t="shared" si="140"/>
        <v>0</v>
      </c>
      <c r="LR18" s="53">
        <f t="shared" si="140"/>
        <v>0</v>
      </c>
      <c r="LS18" s="53">
        <f t="shared" si="140"/>
        <v>0</v>
      </c>
      <c r="LT18" s="53">
        <f t="shared" si="140"/>
        <v>0</v>
      </c>
      <c r="LU18" s="53">
        <f t="shared" si="140"/>
        <v>0</v>
      </c>
      <c r="LV18" s="53">
        <f t="shared" si="140"/>
        <v>0</v>
      </c>
      <c r="LW18" s="53">
        <f t="shared" si="140"/>
        <v>0</v>
      </c>
      <c r="LX18" s="53">
        <f t="shared" si="140"/>
        <v>0</v>
      </c>
      <c r="LY18" s="53">
        <f t="shared" si="140"/>
        <v>0</v>
      </c>
      <c r="LZ18" s="53">
        <f t="shared" si="140"/>
        <v>0</v>
      </c>
      <c r="MA18" s="53">
        <f t="shared" si="140"/>
        <v>0</v>
      </c>
      <c r="MB18" s="53">
        <f t="shared" si="140"/>
        <v>0</v>
      </c>
      <c r="MC18" s="53">
        <f t="shared" si="140"/>
        <v>0</v>
      </c>
      <c r="MD18" s="53">
        <f t="shared" si="140"/>
        <v>0</v>
      </c>
      <c r="ME18" s="53">
        <f t="shared" si="140"/>
        <v>0</v>
      </c>
      <c r="MF18" s="53">
        <f t="shared" si="140"/>
        <v>0</v>
      </c>
      <c r="MG18" s="53">
        <f t="shared" si="140"/>
        <v>0</v>
      </c>
      <c r="MH18" s="53">
        <f t="shared" si="140"/>
        <v>0</v>
      </c>
      <c r="MI18" s="53">
        <f t="shared" si="140"/>
        <v>0</v>
      </c>
      <c r="MJ18" s="53">
        <f t="shared" si="140"/>
        <v>0</v>
      </c>
      <c r="MK18" s="53">
        <f t="shared" si="140"/>
        <v>0</v>
      </c>
      <c r="ML18" s="53">
        <f t="shared" si="140"/>
        <v>0</v>
      </c>
      <c r="MM18" s="53">
        <f t="shared" si="140"/>
        <v>0</v>
      </c>
      <c r="MN18" s="53">
        <f t="shared" si="140"/>
        <v>0</v>
      </c>
      <c r="MO18" s="53">
        <f t="shared" si="140"/>
        <v>0</v>
      </c>
      <c r="MP18" s="53">
        <f t="shared" si="140"/>
        <v>0</v>
      </c>
      <c r="MQ18" s="53">
        <f t="shared" si="140"/>
        <v>0</v>
      </c>
      <c r="MR18" s="53">
        <f t="shared" si="140"/>
        <v>0</v>
      </c>
      <c r="MS18" s="53">
        <f t="shared" si="140"/>
        <v>0</v>
      </c>
      <c r="MT18" s="53">
        <f t="shared" si="140"/>
        <v>0</v>
      </c>
      <c r="MU18" s="53">
        <f t="shared" si="140"/>
        <v>0</v>
      </c>
      <c r="MV18" s="53">
        <f t="shared" si="140"/>
        <v>0</v>
      </c>
      <c r="MW18" s="53">
        <f t="shared" si="140"/>
        <v>0</v>
      </c>
      <c r="MX18" s="53">
        <f t="shared" si="140"/>
        <v>0</v>
      </c>
      <c r="MY18" s="53">
        <f t="shared" si="140"/>
        <v>0</v>
      </c>
      <c r="MZ18" s="53">
        <f t="shared" si="140"/>
        <v>0</v>
      </c>
      <c r="NA18" s="53">
        <f t="shared" si="140"/>
        <v>0</v>
      </c>
      <c r="NB18" s="53">
        <f t="shared" si="140"/>
        <v>0</v>
      </c>
      <c r="NC18" s="53">
        <f t="shared" si="140"/>
        <v>0</v>
      </c>
      <c r="ND18" s="53">
        <f t="shared" si="140"/>
        <v>0</v>
      </c>
      <c r="NE18" s="53">
        <f t="shared" si="140"/>
        <v>0</v>
      </c>
      <c r="NF18" s="53">
        <f t="shared" si="140"/>
        <v>0</v>
      </c>
      <c r="NG18" s="53">
        <f t="shared" si="140"/>
        <v>0</v>
      </c>
      <c r="NH18" s="53">
        <f t="shared" si="140"/>
        <v>0</v>
      </c>
      <c r="NI18" s="53">
        <f t="shared" si="140"/>
        <v>0</v>
      </c>
      <c r="NJ18" s="53">
        <f t="shared" si="140"/>
        <v>0</v>
      </c>
      <c r="NK18" s="53">
        <f t="shared" si="140"/>
        <v>0</v>
      </c>
      <c r="NL18" s="53">
        <f t="shared" si="140"/>
        <v>0</v>
      </c>
      <c r="NM18" s="53">
        <f t="shared" si="140"/>
        <v>0</v>
      </c>
      <c r="NN18" s="53">
        <f t="shared" si="140"/>
        <v>0</v>
      </c>
      <c r="NO18" s="53">
        <f t="shared" si="140"/>
        <v>0</v>
      </c>
      <c r="NP18" s="53">
        <f t="shared" si="140"/>
        <v>0</v>
      </c>
      <c r="NQ18" s="53">
        <f t="shared" si="140"/>
        <v>0</v>
      </c>
      <c r="NR18" s="53">
        <f t="shared" si="140"/>
        <v>0</v>
      </c>
      <c r="NS18" s="53">
        <f t="shared" si="140"/>
        <v>0</v>
      </c>
      <c r="NT18" s="53">
        <f t="shared" si="140"/>
        <v>0</v>
      </c>
      <c r="NU18" s="53">
        <f t="shared" si="140"/>
        <v>0</v>
      </c>
      <c r="NV18" s="53">
        <f t="shared" si="140"/>
        <v>0</v>
      </c>
      <c r="NW18" s="53">
        <f t="shared" si="140"/>
        <v>0</v>
      </c>
      <c r="NX18" s="53">
        <f t="shared" si="140"/>
        <v>0</v>
      </c>
      <c r="NY18" s="53">
        <f t="shared" ref="NY18:QJ18" si="141">IF(NY15&gt;=$C$5,1,0)</f>
        <v>0</v>
      </c>
      <c r="NZ18" s="53">
        <f t="shared" si="141"/>
        <v>0</v>
      </c>
      <c r="OA18" s="53">
        <f t="shared" si="141"/>
        <v>0</v>
      </c>
      <c r="OB18" s="53">
        <f t="shared" si="141"/>
        <v>0</v>
      </c>
      <c r="OC18" s="53">
        <f t="shared" si="141"/>
        <v>0</v>
      </c>
      <c r="OD18" s="53">
        <f t="shared" si="141"/>
        <v>0</v>
      </c>
      <c r="OE18" s="53">
        <f t="shared" si="141"/>
        <v>0</v>
      </c>
      <c r="OF18" s="53">
        <f t="shared" si="141"/>
        <v>0</v>
      </c>
      <c r="OG18" s="53">
        <f t="shared" si="141"/>
        <v>0</v>
      </c>
      <c r="OH18" s="53">
        <f t="shared" si="141"/>
        <v>0</v>
      </c>
      <c r="OI18" s="53">
        <f t="shared" si="141"/>
        <v>0</v>
      </c>
      <c r="OJ18" s="53">
        <f t="shared" si="141"/>
        <v>0</v>
      </c>
      <c r="OK18" s="53">
        <f t="shared" si="141"/>
        <v>0</v>
      </c>
      <c r="OL18" s="53">
        <f t="shared" si="141"/>
        <v>0</v>
      </c>
      <c r="OM18" s="53">
        <f t="shared" si="141"/>
        <v>0</v>
      </c>
      <c r="ON18" s="53">
        <f t="shared" si="141"/>
        <v>0</v>
      </c>
      <c r="OO18" s="53">
        <f t="shared" si="141"/>
        <v>0</v>
      </c>
      <c r="OP18" s="53">
        <f t="shared" si="141"/>
        <v>0</v>
      </c>
      <c r="OQ18" s="53">
        <f t="shared" si="141"/>
        <v>0</v>
      </c>
      <c r="OR18" s="53">
        <f t="shared" si="141"/>
        <v>0</v>
      </c>
      <c r="OS18" s="53">
        <f t="shared" si="141"/>
        <v>0</v>
      </c>
      <c r="OT18" s="53">
        <f t="shared" si="141"/>
        <v>0</v>
      </c>
      <c r="OU18" s="53">
        <f t="shared" si="141"/>
        <v>0</v>
      </c>
      <c r="OV18" s="53">
        <f t="shared" si="141"/>
        <v>0</v>
      </c>
      <c r="OW18" s="53">
        <f t="shared" si="141"/>
        <v>0</v>
      </c>
      <c r="OX18" s="53">
        <f t="shared" si="141"/>
        <v>0</v>
      </c>
      <c r="OY18" s="53">
        <f t="shared" si="141"/>
        <v>0</v>
      </c>
      <c r="OZ18" s="53">
        <f t="shared" si="141"/>
        <v>0</v>
      </c>
      <c r="PA18" s="53">
        <f t="shared" si="141"/>
        <v>0</v>
      </c>
      <c r="PB18" s="53">
        <f t="shared" si="141"/>
        <v>0</v>
      </c>
      <c r="PC18" s="53">
        <f t="shared" si="141"/>
        <v>0</v>
      </c>
      <c r="PD18" s="53">
        <f t="shared" si="141"/>
        <v>0</v>
      </c>
      <c r="PE18" s="53">
        <f t="shared" si="141"/>
        <v>0</v>
      </c>
      <c r="PF18" s="53">
        <f t="shared" si="141"/>
        <v>0</v>
      </c>
      <c r="PG18" s="53">
        <f t="shared" si="141"/>
        <v>0</v>
      </c>
      <c r="PH18" s="53">
        <f t="shared" si="141"/>
        <v>0</v>
      </c>
      <c r="PI18" s="53">
        <f t="shared" si="141"/>
        <v>0</v>
      </c>
      <c r="PJ18" s="53">
        <f t="shared" si="141"/>
        <v>0</v>
      </c>
      <c r="PK18" s="53">
        <f t="shared" si="141"/>
        <v>0</v>
      </c>
      <c r="PL18" s="53">
        <f t="shared" si="141"/>
        <v>0</v>
      </c>
      <c r="PM18" s="53">
        <f t="shared" si="141"/>
        <v>0</v>
      </c>
      <c r="PN18" s="53">
        <f t="shared" si="141"/>
        <v>0</v>
      </c>
      <c r="PO18" s="53">
        <f t="shared" si="141"/>
        <v>0</v>
      </c>
      <c r="PP18" s="53">
        <f t="shared" si="141"/>
        <v>0</v>
      </c>
      <c r="PQ18" s="53">
        <f t="shared" si="141"/>
        <v>0</v>
      </c>
      <c r="PR18" s="53">
        <f t="shared" si="141"/>
        <v>0</v>
      </c>
      <c r="PS18" s="53">
        <f t="shared" si="141"/>
        <v>0</v>
      </c>
      <c r="PT18" s="53">
        <f t="shared" si="141"/>
        <v>0</v>
      </c>
      <c r="PU18" s="53">
        <f t="shared" si="141"/>
        <v>0</v>
      </c>
      <c r="PV18" s="53">
        <f t="shared" si="141"/>
        <v>0</v>
      </c>
      <c r="PW18" s="53">
        <f t="shared" si="141"/>
        <v>0</v>
      </c>
      <c r="PX18" s="53">
        <f t="shared" si="141"/>
        <v>0</v>
      </c>
      <c r="PY18" s="53">
        <f t="shared" si="141"/>
        <v>0</v>
      </c>
      <c r="PZ18" s="53">
        <f t="shared" si="141"/>
        <v>0</v>
      </c>
      <c r="QA18" s="53">
        <f t="shared" si="141"/>
        <v>0</v>
      </c>
      <c r="QB18" s="53">
        <f t="shared" si="141"/>
        <v>0</v>
      </c>
      <c r="QC18" s="53">
        <f t="shared" si="141"/>
        <v>0</v>
      </c>
      <c r="QD18" s="53">
        <f t="shared" si="141"/>
        <v>0</v>
      </c>
      <c r="QE18" s="53">
        <f t="shared" si="141"/>
        <v>0</v>
      </c>
      <c r="QF18" s="53">
        <f t="shared" si="141"/>
        <v>0</v>
      </c>
      <c r="QG18" s="53">
        <f t="shared" si="141"/>
        <v>0</v>
      </c>
      <c r="QH18" s="53">
        <f t="shared" si="141"/>
        <v>0</v>
      </c>
      <c r="QI18" s="53">
        <f t="shared" si="141"/>
        <v>0</v>
      </c>
      <c r="QJ18" s="53">
        <f t="shared" si="141"/>
        <v>0</v>
      </c>
      <c r="QK18" s="53">
        <f t="shared" ref="QK18:SV18" si="142">IF(QK15&gt;=$C$5,1,0)</f>
        <v>0</v>
      </c>
      <c r="QL18" s="53">
        <f t="shared" si="142"/>
        <v>0</v>
      </c>
      <c r="QM18" s="53">
        <f t="shared" si="142"/>
        <v>0</v>
      </c>
      <c r="QN18" s="53">
        <f t="shared" si="142"/>
        <v>0</v>
      </c>
      <c r="QO18" s="53">
        <f t="shared" si="142"/>
        <v>0</v>
      </c>
      <c r="QP18" s="53">
        <f t="shared" si="142"/>
        <v>0</v>
      </c>
      <c r="QQ18" s="53">
        <f t="shared" si="142"/>
        <v>0</v>
      </c>
      <c r="QR18" s="53">
        <f t="shared" si="142"/>
        <v>0</v>
      </c>
      <c r="QS18" s="53">
        <f t="shared" si="142"/>
        <v>0</v>
      </c>
      <c r="QT18" s="53">
        <f t="shared" si="142"/>
        <v>0</v>
      </c>
      <c r="QU18" s="53">
        <f t="shared" si="142"/>
        <v>0</v>
      </c>
      <c r="QV18" s="53">
        <f t="shared" si="142"/>
        <v>0</v>
      </c>
      <c r="QW18" s="53">
        <f t="shared" si="142"/>
        <v>0</v>
      </c>
      <c r="QX18" s="53">
        <f t="shared" si="142"/>
        <v>0</v>
      </c>
      <c r="QY18" s="53">
        <f t="shared" si="142"/>
        <v>0</v>
      </c>
      <c r="QZ18" s="53">
        <f t="shared" si="142"/>
        <v>0</v>
      </c>
      <c r="RA18" s="53">
        <f t="shared" si="142"/>
        <v>0</v>
      </c>
      <c r="RB18" s="53">
        <f t="shared" si="142"/>
        <v>0</v>
      </c>
      <c r="RC18" s="53">
        <f t="shared" si="142"/>
        <v>0</v>
      </c>
      <c r="RD18" s="53">
        <f t="shared" si="142"/>
        <v>0</v>
      </c>
      <c r="RE18" s="53">
        <f t="shared" si="142"/>
        <v>0</v>
      </c>
      <c r="RF18" s="53">
        <f t="shared" si="142"/>
        <v>0</v>
      </c>
      <c r="RG18" s="53">
        <f t="shared" si="142"/>
        <v>0</v>
      </c>
      <c r="RH18" s="53">
        <f t="shared" si="142"/>
        <v>0</v>
      </c>
      <c r="RI18" s="53">
        <f t="shared" si="142"/>
        <v>0</v>
      </c>
      <c r="RJ18" s="53">
        <f t="shared" si="142"/>
        <v>0</v>
      </c>
      <c r="RK18" s="53">
        <f t="shared" si="142"/>
        <v>0</v>
      </c>
      <c r="RL18" s="53">
        <f t="shared" si="142"/>
        <v>0</v>
      </c>
      <c r="RM18" s="53">
        <f t="shared" si="142"/>
        <v>0</v>
      </c>
      <c r="RN18" s="53">
        <f t="shared" si="142"/>
        <v>0</v>
      </c>
      <c r="RO18" s="53">
        <f t="shared" si="142"/>
        <v>0</v>
      </c>
      <c r="RP18" s="53">
        <f t="shared" si="142"/>
        <v>0</v>
      </c>
      <c r="RQ18" s="53">
        <f t="shared" si="142"/>
        <v>0</v>
      </c>
      <c r="RR18" s="53">
        <f t="shared" si="142"/>
        <v>0</v>
      </c>
      <c r="RS18" s="53">
        <f t="shared" si="142"/>
        <v>0</v>
      </c>
      <c r="RT18" s="53">
        <f t="shared" si="142"/>
        <v>0</v>
      </c>
      <c r="RU18" s="53">
        <f t="shared" si="142"/>
        <v>0</v>
      </c>
      <c r="RV18" s="53">
        <f t="shared" si="142"/>
        <v>0</v>
      </c>
      <c r="RW18" s="53">
        <f t="shared" si="142"/>
        <v>0</v>
      </c>
      <c r="RX18" s="53">
        <f t="shared" si="142"/>
        <v>0</v>
      </c>
      <c r="RY18" s="53">
        <f t="shared" si="142"/>
        <v>0</v>
      </c>
      <c r="RZ18" s="53">
        <f t="shared" si="142"/>
        <v>0</v>
      </c>
      <c r="SA18" s="53">
        <f t="shared" si="142"/>
        <v>0</v>
      </c>
      <c r="SB18" s="53">
        <f t="shared" si="142"/>
        <v>0</v>
      </c>
      <c r="SC18" s="53">
        <f t="shared" si="142"/>
        <v>0</v>
      </c>
      <c r="SD18" s="53">
        <f t="shared" si="142"/>
        <v>0</v>
      </c>
      <c r="SE18" s="53">
        <f t="shared" si="142"/>
        <v>0</v>
      </c>
      <c r="SF18" s="53">
        <f t="shared" si="142"/>
        <v>0</v>
      </c>
      <c r="SG18" s="53">
        <f t="shared" si="142"/>
        <v>0</v>
      </c>
      <c r="SH18" s="53">
        <f t="shared" si="142"/>
        <v>0</v>
      </c>
      <c r="SI18" s="53">
        <f t="shared" si="142"/>
        <v>0</v>
      </c>
      <c r="SJ18" s="53">
        <f t="shared" si="142"/>
        <v>0</v>
      </c>
      <c r="SK18" s="53">
        <f t="shared" si="142"/>
        <v>0</v>
      </c>
      <c r="SL18" s="53">
        <f t="shared" si="142"/>
        <v>0</v>
      </c>
      <c r="SM18" s="53">
        <f t="shared" si="142"/>
        <v>0</v>
      </c>
      <c r="SN18" s="53">
        <f t="shared" si="142"/>
        <v>0</v>
      </c>
      <c r="SO18" s="53">
        <f t="shared" si="142"/>
        <v>0</v>
      </c>
      <c r="SP18" s="53">
        <f t="shared" si="142"/>
        <v>0</v>
      </c>
      <c r="SQ18" s="53">
        <f t="shared" si="142"/>
        <v>0</v>
      </c>
      <c r="SR18" s="53">
        <f t="shared" si="142"/>
        <v>0</v>
      </c>
      <c r="SS18" s="53">
        <f t="shared" si="142"/>
        <v>0</v>
      </c>
      <c r="ST18" s="53">
        <f t="shared" si="142"/>
        <v>0</v>
      </c>
      <c r="SU18" s="53">
        <f t="shared" si="142"/>
        <v>0</v>
      </c>
      <c r="SV18" s="53">
        <f t="shared" si="142"/>
        <v>0</v>
      </c>
      <c r="SW18" s="53">
        <f t="shared" ref="SW18:VH18" si="143">IF(SW15&gt;=$C$5,1,0)</f>
        <v>0</v>
      </c>
      <c r="SX18" s="53">
        <f t="shared" si="143"/>
        <v>0</v>
      </c>
      <c r="SY18" s="53">
        <f t="shared" si="143"/>
        <v>0</v>
      </c>
      <c r="SZ18" s="53">
        <f t="shared" si="143"/>
        <v>0</v>
      </c>
      <c r="TA18" s="53">
        <f t="shared" si="143"/>
        <v>0</v>
      </c>
      <c r="TB18" s="53">
        <f t="shared" si="143"/>
        <v>0</v>
      </c>
      <c r="TC18" s="53">
        <f t="shared" si="143"/>
        <v>0</v>
      </c>
      <c r="TD18" s="53">
        <f t="shared" si="143"/>
        <v>0</v>
      </c>
      <c r="TE18" s="53">
        <f t="shared" si="143"/>
        <v>0</v>
      </c>
      <c r="TF18" s="53">
        <f t="shared" si="143"/>
        <v>0</v>
      </c>
      <c r="TG18" s="53">
        <f t="shared" si="143"/>
        <v>0</v>
      </c>
      <c r="TH18" s="53">
        <f t="shared" si="143"/>
        <v>0</v>
      </c>
      <c r="TI18" s="53">
        <f t="shared" si="143"/>
        <v>0</v>
      </c>
      <c r="TJ18" s="53">
        <f t="shared" si="143"/>
        <v>0</v>
      </c>
      <c r="TK18" s="53">
        <f t="shared" si="143"/>
        <v>0</v>
      </c>
      <c r="TL18" s="53">
        <f t="shared" si="143"/>
        <v>0</v>
      </c>
      <c r="TM18" s="53">
        <f t="shared" si="143"/>
        <v>0</v>
      </c>
      <c r="TN18" s="53">
        <f t="shared" si="143"/>
        <v>0</v>
      </c>
      <c r="TO18" s="53">
        <f t="shared" si="143"/>
        <v>0</v>
      </c>
      <c r="TP18" s="53">
        <f t="shared" si="143"/>
        <v>0</v>
      </c>
      <c r="TQ18" s="53">
        <f t="shared" si="143"/>
        <v>0</v>
      </c>
      <c r="TR18" s="53">
        <f t="shared" si="143"/>
        <v>0</v>
      </c>
      <c r="TS18" s="53">
        <f t="shared" si="143"/>
        <v>0</v>
      </c>
      <c r="TT18" s="53">
        <f t="shared" si="143"/>
        <v>0</v>
      </c>
      <c r="TU18" s="53">
        <f t="shared" si="143"/>
        <v>0</v>
      </c>
      <c r="TV18" s="53">
        <f t="shared" si="143"/>
        <v>0</v>
      </c>
      <c r="TW18" s="53">
        <f t="shared" si="143"/>
        <v>0</v>
      </c>
      <c r="TX18" s="53">
        <f t="shared" si="143"/>
        <v>0</v>
      </c>
      <c r="TY18" s="53">
        <f t="shared" si="143"/>
        <v>0</v>
      </c>
      <c r="TZ18" s="53">
        <f t="shared" si="143"/>
        <v>0</v>
      </c>
      <c r="UA18" s="53">
        <f t="shared" si="143"/>
        <v>0</v>
      </c>
      <c r="UB18" s="53">
        <f t="shared" si="143"/>
        <v>0</v>
      </c>
      <c r="UC18" s="53">
        <f t="shared" si="143"/>
        <v>0</v>
      </c>
      <c r="UD18" s="53">
        <f t="shared" si="143"/>
        <v>0</v>
      </c>
      <c r="UE18" s="53">
        <f t="shared" si="143"/>
        <v>0</v>
      </c>
      <c r="UF18" s="53">
        <f t="shared" si="143"/>
        <v>0</v>
      </c>
      <c r="UG18" s="53">
        <f t="shared" si="143"/>
        <v>0</v>
      </c>
      <c r="UH18" s="53">
        <f t="shared" si="143"/>
        <v>0</v>
      </c>
      <c r="UI18" s="53">
        <f t="shared" si="143"/>
        <v>0</v>
      </c>
      <c r="UJ18" s="53">
        <f t="shared" si="143"/>
        <v>0</v>
      </c>
      <c r="UK18" s="53">
        <f t="shared" si="143"/>
        <v>0</v>
      </c>
      <c r="UL18" s="53">
        <f t="shared" si="143"/>
        <v>0</v>
      </c>
      <c r="UM18" s="53">
        <f t="shared" si="143"/>
        <v>0</v>
      </c>
      <c r="UN18" s="53">
        <f t="shared" si="143"/>
        <v>0</v>
      </c>
      <c r="UO18" s="53">
        <f t="shared" si="143"/>
        <v>0</v>
      </c>
      <c r="UP18" s="53">
        <f t="shared" si="143"/>
        <v>0</v>
      </c>
      <c r="UQ18" s="53">
        <f t="shared" si="143"/>
        <v>0</v>
      </c>
      <c r="UR18" s="53">
        <f t="shared" si="143"/>
        <v>0</v>
      </c>
      <c r="US18" s="53">
        <f t="shared" si="143"/>
        <v>0</v>
      </c>
      <c r="UT18" s="53">
        <f t="shared" si="143"/>
        <v>0</v>
      </c>
      <c r="UU18" s="53">
        <f t="shared" si="143"/>
        <v>0</v>
      </c>
      <c r="UV18" s="53">
        <f t="shared" si="143"/>
        <v>0</v>
      </c>
      <c r="UW18" s="53">
        <f t="shared" si="143"/>
        <v>0</v>
      </c>
      <c r="UX18" s="53">
        <f t="shared" si="143"/>
        <v>0</v>
      </c>
      <c r="UY18" s="53">
        <f t="shared" si="143"/>
        <v>0</v>
      </c>
      <c r="UZ18" s="53">
        <f t="shared" si="143"/>
        <v>0</v>
      </c>
      <c r="VA18" s="53">
        <f t="shared" si="143"/>
        <v>0</v>
      </c>
      <c r="VB18" s="53">
        <f t="shared" si="143"/>
        <v>0</v>
      </c>
      <c r="VC18" s="53">
        <f t="shared" si="143"/>
        <v>0</v>
      </c>
      <c r="VD18" s="53">
        <f t="shared" si="143"/>
        <v>0</v>
      </c>
      <c r="VE18" s="53">
        <f t="shared" si="143"/>
        <v>0</v>
      </c>
      <c r="VF18" s="53">
        <f t="shared" si="143"/>
        <v>0</v>
      </c>
      <c r="VG18" s="53">
        <f t="shared" si="143"/>
        <v>0</v>
      </c>
      <c r="VH18" s="53">
        <f t="shared" si="143"/>
        <v>0</v>
      </c>
      <c r="VI18" s="53">
        <f t="shared" ref="VI18:XT18" si="144">IF(VI15&gt;=$C$5,1,0)</f>
        <v>0</v>
      </c>
      <c r="VJ18" s="53">
        <f t="shared" si="144"/>
        <v>0</v>
      </c>
      <c r="VK18" s="53">
        <f t="shared" si="144"/>
        <v>0</v>
      </c>
      <c r="VL18" s="53">
        <f t="shared" si="144"/>
        <v>0</v>
      </c>
      <c r="VM18" s="53">
        <f t="shared" si="144"/>
        <v>0</v>
      </c>
      <c r="VN18" s="53">
        <f t="shared" si="144"/>
        <v>0</v>
      </c>
      <c r="VO18" s="53">
        <f t="shared" si="144"/>
        <v>0</v>
      </c>
      <c r="VP18" s="53">
        <f t="shared" si="144"/>
        <v>0</v>
      </c>
      <c r="VQ18" s="53">
        <f t="shared" si="144"/>
        <v>0</v>
      </c>
      <c r="VR18" s="53">
        <f t="shared" si="144"/>
        <v>0</v>
      </c>
      <c r="VS18" s="53">
        <f t="shared" si="144"/>
        <v>0</v>
      </c>
      <c r="VT18" s="53">
        <f t="shared" si="144"/>
        <v>1</v>
      </c>
      <c r="VU18" s="53">
        <f t="shared" si="144"/>
        <v>1</v>
      </c>
      <c r="VV18" s="53">
        <f t="shared" si="144"/>
        <v>1</v>
      </c>
      <c r="VW18" s="53">
        <f t="shared" si="144"/>
        <v>1</v>
      </c>
      <c r="VX18" s="53">
        <f t="shared" si="144"/>
        <v>1</v>
      </c>
      <c r="VY18" s="53">
        <f t="shared" si="144"/>
        <v>1</v>
      </c>
      <c r="VZ18" s="53">
        <f t="shared" si="144"/>
        <v>1</v>
      </c>
      <c r="WA18" s="53">
        <f t="shared" si="144"/>
        <v>1</v>
      </c>
      <c r="WB18" s="53">
        <f t="shared" si="144"/>
        <v>1</v>
      </c>
      <c r="WC18" s="53">
        <f t="shared" si="144"/>
        <v>1</v>
      </c>
      <c r="WD18" s="53">
        <f t="shared" si="144"/>
        <v>1</v>
      </c>
      <c r="WE18" s="53">
        <f t="shared" si="144"/>
        <v>1</v>
      </c>
      <c r="WF18" s="53">
        <f t="shared" si="144"/>
        <v>1</v>
      </c>
      <c r="WG18" s="53">
        <f t="shared" si="144"/>
        <v>1</v>
      </c>
      <c r="WH18" s="53">
        <f t="shared" si="144"/>
        <v>1</v>
      </c>
      <c r="WI18" s="53">
        <f t="shared" si="144"/>
        <v>1</v>
      </c>
      <c r="WJ18" s="53">
        <f t="shared" si="144"/>
        <v>1</v>
      </c>
      <c r="WK18" s="53">
        <f t="shared" si="144"/>
        <v>1</v>
      </c>
      <c r="WL18" s="53">
        <f t="shared" si="144"/>
        <v>1</v>
      </c>
      <c r="WM18" s="53">
        <f t="shared" si="144"/>
        <v>1</v>
      </c>
      <c r="WN18" s="53">
        <f t="shared" si="144"/>
        <v>1</v>
      </c>
      <c r="WO18" s="53">
        <f t="shared" si="144"/>
        <v>1</v>
      </c>
      <c r="WP18" s="53">
        <f t="shared" si="144"/>
        <v>1</v>
      </c>
      <c r="WQ18" s="53">
        <f t="shared" si="144"/>
        <v>1</v>
      </c>
      <c r="WR18" s="53">
        <f t="shared" si="144"/>
        <v>1</v>
      </c>
      <c r="WS18" s="53">
        <f t="shared" si="144"/>
        <v>1</v>
      </c>
      <c r="WT18" s="53">
        <f t="shared" si="144"/>
        <v>1</v>
      </c>
      <c r="WU18" s="53">
        <f t="shared" si="144"/>
        <v>1</v>
      </c>
      <c r="WV18" s="53">
        <f t="shared" si="144"/>
        <v>1</v>
      </c>
      <c r="WW18" s="53">
        <f t="shared" si="144"/>
        <v>1</v>
      </c>
      <c r="WX18" s="53">
        <f t="shared" si="144"/>
        <v>1</v>
      </c>
      <c r="WY18" s="53">
        <f t="shared" si="144"/>
        <v>1</v>
      </c>
      <c r="WZ18" s="53">
        <f t="shared" si="144"/>
        <v>1</v>
      </c>
      <c r="XA18" s="53">
        <f t="shared" si="144"/>
        <v>1</v>
      </c>
      <c r="XB18" s="53">
        <f t="shared" si="144"/>
        <v>1</v>
      </c>
      <c r="XC18" s="53">
        <f t="shared" si="144"/>
        <v>1</v>
      </c>
      <c r="XD18" s="53">
        <f t="shared" si="144"/>
        <v>1</v>
      </c>
      <c r="XE18" s="53">
        <f t="shared" si="144"/>
        <v>1</v>
      </c>
      <c r="XF18" s="53">
        <f t="shared" si="144"/>
        <v>1</v>
      </c>
      <c r="XG18" s="53">
        <f t="shared" si="144"/>
        <v>1</v>
      </c>
      <c r="XH18" s="53">
        <f t="shared" si="144"/>
        <v>1</v>
      </c>
      <c r="XI18" s="53">
        <f t="shared" si="144"/>
        <v>1</v>
      </c>
      <c r="XJ18" s="53">
        <f t="shared" si="144"/>
        <v>1</v>
      </c>
      <c r="XK18" s="53">
        <f t="shared" si="144"/>
        <v>1</v>
      </c>
      <c r="XL18" s="53">
        <f t="shared" si="144"/>
        <v>1</v>
      </c>
      <c r="XM18" s="53">
        <f t="shared" si="144"/>
        <v>1</v>
      </c>
      <c r="XN18" s="53">
        <f t="shared" si="144"/>
        <v>1</v>
      </c>
      <c r="XO18" s="53">
        <f t="shared" si="144"/>
        <v>1</v>
      </c>
      <c r="XP18" s="53">
        <f t="shared" si="144"/>
        <v>1</v>
      </c>
      <c r="XQ18" s="53">
        <f t="shared" si="144"/>
        <v>1</v>
      </c>
      <c r="XR18" s="53">
        <f t="shared" si="144"/>
        <v>1</v>
      </c>
      <c r="XS18" s="53">
        <f t="shared" si="144"/>
        <v>1</v>
      </c>
      <c r="XT18" s="53">
        <f t="shared" si="144"/>
        <v>1</v>
      </c>
      <c r="XU18" s="53">
        <f t="shared" ref="XU18:AAF18" si="145">IF(XU15&gt;=$C$5,1,0)</f>
        <v>1</v>
      </c>
      <c r="XV18" s="53">
        <f t="shared" si="145"/>
        <v>1</v>
      </c>
      <c r="XW18" s="53">
        <f t="shared" si="145"/>
        <v>1</v>
      </c>
      <c r="XX18" s="53">
        <f t="shared" si="145"/>
        <v>1</v>
      </c>
      <c r="XY18" s="53">
        <f t="shared" si="145"/>
        <v>1</v>
      </c>
      <c r="XZ18" s="53">
        <f t="shared" si="145"/>
        <v>1</v>
      </c>
      <c r="YA18" s="53">
        <f t="shared" si="145"/>
        <v>1</v>
      </c>
      <c r="YB18" s="53">
        <f t="shared" si="145"/>
        <v>1</v>
      </c>
      <c r="YC18" s="53">
        <f t="shared" si="145"/>
        <v>1</v>
      </c>
      <c r="YD18" s="53">
        <f t="shared" si="145"/>
        <v>1</v>
      </c>
      <c r="YE18" s="53">
        <f t="shared" si="145"/>
        <v>1</v>
      </c>
      <c r="YF18" s="53">
        <f t="shared" si="145"/>
        <v>1</v>
      </c>
      <c r="YG18" s="53">
        <f t="shared" si="145"/>
        <v>1</v>
      </c>
      <c r="YH18" s="53">
        <f t="shared" si="145"/>
        <v>1</v>
      </c>
      <c r="YI18" s="53">
        <f t="shared" si="145"/>
        <v>1</v>
      </c>
      <c r="YJ18" s="53">
        <f t="shared" si="145"/>
        <v>1</v>
      </c>
      <c r="YK18" s="53">
        <f t="shared" si="145"/>
        <v>1</v>
      </c>
      <c r="YL18" s="53">
        <f t="shared" si="145"/>
        <v>1</v>
      </c>
      <c r="YM18" s="53">
        <f t="shared" si="145"/>
        <v>1</v>
      </c>
      <c r="YN18" s="53">
        <f t="shared" si="145"/>
        <v>1</v>
      </c>
      <c r="YO18" s="53">
        <f t="shared" si="145"/>
        <v>1</v>
      </c>
      <c r="YP18" s="53">
        <f t="shared" si="145"/>
        <v>1</v>
      </c>
      <c r="YQ18" s="53">
        <f t="shared" si="145"/>
        <v>1</v>
      </c>
      <c r="YR18" s="53">
        <f t="shared" si="145"/>
        <v>1</v>
      </c>
      <c r="YS18" s="53">
        <f t="shared" si="145"/>
        <v>1</v>
      </c>
      <c r="YT18" s="53">
        <f t="shared" si="145"/>
        <v>1</v>
      </c>
      <c r="YU18" s="53">
        <f t="shared" si="145"/>
        <v>1</v>
      </c>
      <c r="YV18" s="53">
        <f t="shared" si="145"/>
        <v>1</v>
      </c>
      <c r="YW18" s="53">
        <f t="shared" si="145"/>
        <v>1</v>
      </c>
      <c r="YX18" s="53">
        <f t="shared" si="145"/>
        <v>1</v>
      </c>
      <c r="YY18" s="53">
        <f t="shared" si="145"/>
        <v>1</v>
      </c>
      <c r="YZ18" s="53">
        <f t="shared" si="145"/>
        <v>1</v>
      </c>
      <c r="ZA18" s="53">
        <f t="shared" si="145"/>
        <v>1</v>
      </c>
      <c r="ZB18" s="53">
        <f t="shared" si="145"/>
        <v>1</v>
      </c>
      <c r="ZC18" s="53">
        <f t="shared" si="145"/>
        <v>1</v>
      </c>
      <c r="ZD18" s="53">
        <f t="shared" si="145"/>
        <v>1</v>
      </c>
      <c r="ZE18" s="53">
        <f t="shared" si="145"/>
        <v>1</v>
      </c>
      <c r="ZF18" s="53">
        <f t="shared" si="145"/>
        <v>1</v>
      </c>
      <c r="ZG18" s="53">
        <f t="shared" si="145"/>
        <v>1</v>
      </c>
      <c r="ZH18" s="53">
        <f t="shared" si="145"/>
        <v>1</v>
      </c>
      <c r="ZI18" s="53">
        <f t="shared" si="145"/>
        <v>1</v>
      </c>
      <c r="ZJ18" s="53">
        <f t="shared" si="145"/>
        <v>1</v>
      </c>
      <c r="ZK18" s="53">
        <f t="shared" si="145"/>
        <v>1</v>
      </c>
      <c r="ZL18" s="53">
        <f t="shared" si="145"/>
        <v>1</v>
      </c>
      <c r="ZM18" s="53">
        <f t="shared" si="145"/>
        <v>1</v>
      </c>
      <c r="ZN18" s="53">
        <f t="shared" si="145"/>
        <v>1</v>
      </c>
      <c r="ZO18" s="53">
        <f t="shared" si="145"/>
        <v>1</v>
      </c>
      <c r="ZP18" s="53">
        <f t="shared" si="145"/>
        <v>1</v>
      </c>
      <c r="ZQ18" s="53">
        <f t="shared" si="145"/>
        <v>1</v>
      </c>
      <c r="ZR18" s="53">
        <f t="shared" si="145"/>
        <v>1</v>
      </c>
      <c r="ZS18" s="53">
        <f t="shared" si="145"/>
        <v>1</v>
      </c>
      <c r="ZT18" s="53">
        <f t="shared" si="145"/>
        <v>1</v>
      </c>
      <c r="ZU18" s="53">
        <f t="shared" si="145"/>
        <v>1</v>
      </c>
      <c r="ZV18" s="53">
        <f t="shared" si="145"/>
        <v>1</v>
      </c>
      <c r="ZW18" s="53">
        <f t="shared" si="145"/>
        <v>1</v>
      </c>
      <c r="ZX18" s="53">
        <f t="shared" si="145"/>
        <v>1</v>
      </c>
      <c r="ZY18" s="53">
        <f t="shared" si="145"/>
        <v>1</v>
      </c>
      <c r="ZZ18" s="53">
        <f t="shared" si="145"/>
        <v>1</v>
      </c>
      <c r="AAA18" s="53">
        <f t="shared" si="145"/>
        <v>1</v>
      </c>
      <c r="AAB18" s="53">
        <f t="shared" si="145"/>
        <v>1</v>
      </c>
      <c r="AAC18" s="53">
        <f t="shared" si="145"/>
        <v>1</v>
      </c>
      <c r="AAD18" s="53">
        <f t="shared" si="145"/>
        <v>1</v>
      </c>
      <c r="AAE18" s="53">
        <f t="shared" si="145"/>
        <v>1</v>
      </c>
      <c r="AAF18" s="53">
        <f t="shared" si="145"/>
        <v>1</v>
      </c>
      <c r="AAG18" s="53">
        <f t="shared" ref="AAG18:ACR18" si="146">IF(AAG15&gt;=$C$5,1,0)</f>
        <v>1</v>
      </c>
      <c r="AAH18" s="53">
        <f t="shared" si="146"/>
        <v>1</v>
      </c>
      <c r="AAI18" s="53">
        <f t="shared" si="146"/>
        <v>1</v>
      </c>
      <c r="AAJ18" s="53">
        <f t="shared" si="146"/>
        <v>1</v>
      </c>
      <c r="AAK18" s="53">
        <f t="shared" si="146"/>
        <v>1</v>
      </c>
      <c r="AAL18" s="53">
        <f t="shared" si="146"/>
        <v>1</v>
      </c>
      <c r="AAM18" s="53">
        <f t="shared" si="146"/>
        <v>1</v>
      </c>
      <c r="AAN18" s="53">
        <f t="shared" si="146"/>
        <v>1</v>
      </c>
      <c r="AAO18" s="53">
        <f t="shared" si="146"/>
        <v>1</v>
      </c>
      <c r="AAP18" s="53">
        <f t="shared" si="146"/>
        <v>1</v>
      </c>
      <c r="AAQ18" s="53">
        <f t="shared" si="146"/>
        <v>1</v>
      </c>
      <c r="AAR18" s="53">
        <f t="shared" si="146"/>
        <v>1</v>
      </c>
      <c r="AAS18" s="53">
        <f t="shared" si="146"/>
        <v>1</v>
      </c>
      <c r="AAT18" s="53">
        <f t="shared" si="146"/>
        <v>1</v>
      </c>
      <c r="AAU18" s="53">
        <f t="shared" si="146"/>
        <v>1</v>
      </c>
      <c r="AAV18" s="53">
        <f t="shared" si="146"/>
        <v>1</v>
      </c>
      <c r="AAW18" s="53">
        <f t="shared" si="146"/>
        <v>1</v>
      </c>
      <c r="AAX18" s="53">
        <f t="shared" si="146"/>
        <v>1</v>
      </c>
      <c r="AAY18" s="53">
        <f t="shared" si="146"/>
        <v>1</v>
      </c>
      <c r="AAZ18" s="53">
        <f t="shared" si="146"/>
        <v>1</v>
      </c>
      <c r="ABA18" s="53">
        <f t="shared" si="146"/>
        <v>1</v>
      </c>
      <c r="ABB18" s="53">
        <f t="shared" si="146"/>
        <v>1</v>
      </c>
      <c r="ABC18" s="53">
        <f t="shared" si="146"/>
        <v>1</v>
      </c>
      <c r="ABD18" s="53">
        <f t="shared" si="146"/>
        <v>1</v>
      </c>
      <c r="ABE18" s="53">
        <f t="shared" si="146"/>
        <v>1</v>
      </c>
      <c r="ABF18" s="53">
        <f t="shared" si="146"/>
        <v>1</v>
      </c>
      <c r="ABG18" s="53">
        <f t="shared" si="146"/>
        <v>1</v>
      </c>
      <c r="ABH18" s="53">
        <f t="shared" si="146"/>
        <v>1</v>
      </c>
      <c r="ABI18" s="53">
        <f t="shared" si="146"/>
        <v>1</v>
      </c>
      <c r="ABJ18" s="53">
        <f t="shared" si="146"/>
        <v>1</v>
      </c>
      <c r="ABK18" s="53">
        <f t="shared" si="146"/>
        <v>1</v>
      </c>
      <c r="ABL18" s="53">
        <f t="shared" si="146"/>
        <v>1</v>
      </c>
      <c r="ABM18" s="53">
        <f t="shared" si="146"/>
        <v>1</v>
      </c>
      <c r="ABN18" s="53">
        <f t="shared" si="146"/>
        <v>1</v>
      </c>
      <c r="ABO18" s="53">
        <f t="shared" si="146"/>
        <v>1</v>
      </c>
      <c r="ABP18" s="53">
        <f t="shared" si="146"/>
        <v>1</v>
      </c>
      <c r="ABQ18" s="53">
        <f t="shared" si="146"/>
        <v>1</v>
      </c>
      <c r="ABR18" s="53">
        <f t="shared" si="146"/>
        <v>1</v>
      </c>
      <c r="ABS18" s="53">
        <f t="shared" si="146"/>
        <v>1</v>
      </c>
      <c r="ABT18" s="53">
        <f t="shared" si="146"/>
        <v>1</v>
      </c>
      <c r="ABU18" s="53">
        <f t="shared" si="146"/>
        <v>1</v>
      </c>
      <c r="ABV18" s="53">
        <f t="shared" si="146"/>
        <v>1</v>
      </c>
      <c r="ABW18" s="53">
        <f t="shared" si="146"/>
        <v>1</v>
      </c>
      <c r="ABX18" s="53">
        <f t="shared" si="146"/>
        <v>1</v>
      </c>
      <c r="ABY18" s="53">
        <f t="shared" si="146"/>
        <v>1</v>
      </c>
      <c r="ABZ18" s="53">
        <f t="shared" si="146"/>
        <v>1</v>
      </c>
      <c r="ACA18" s="53">
        <f t="shared" si="146"/>
        <v>1</v>
      </c>
      <c r="ACB18" s="53">
        <f t="shared" si="146"/>
        <v>1</v>
      </c>
      <c r="ACC18" s="53">
        <f t="shared" si="146"/>
        <v>1</v>
      </c>
      <c r="ACD18" s="53">
        <f t="shared" si="146"/>
        <v>1</v>
      </c>
      <c r="ACE18" s="53">
        <f t="shared" si="146"/>
        <v>1</v>
      </c>
      <c r="ACF18" s="53">
        <f t="shared" si="146"/>
        <v>1</v>
      </c>
      <c r="ACG18" s="53">
        <f t="shared" si="146"/>
        <v>1</v>
      </c>
      <c r="ACH18" s="53">
        <f t="shared" si="146"/>
        <v>1</v>
      </c>
      <c r="ACI18" s="53">
        <f t="shared" si="146"/>
        <v>1</v>
      </c>
      <c r="ACJ18" s="53">
        <f t="shared" si="146"/>
        <v>1</v>
      </c>
      <c r="ACK18" s="53">
        <f t="shared" si="146"/>
        <v>1</v>
      </c>
      <c r="ACL18" s="53">
        <f t="shared" si="146"/>
        <v>1</v>
      </c>
      <c r="ACM18" s="53">
        <f t="shared" si="146"/>
        <v>1</v>
      </c>
      <c r="ACN18" s="53">
        <f t="shared" si="146"/>
        <v>1</v>
      </c>
      <c r="ACO18" s="53">
        <f t="shared" si="146"/>
        <v>1</v>
      </c>
      <c r="ACP18" s="53">
        <f t="shared" si="146"/>
        <v>1</v>
      </c>
      <c r="ACQ18" s="53">
        <f t="shared" si="146"/>
        <v>1</v>
      </c>
      <c r="ACR18" s="53">
        <f t="shared" si="146"/>
        <v>1</v>
      </c>
      <c r="ACS18" s="53">
        <f t="shared" ref="ACS18:AFD18" si="147">IF(ACS15&gt;=$C$5,1,0)</f>
        <v>1</v>
      </c>
      <c r="ACT18" s="53">
        <f t="shared" si="147"/>
        <v>1</v>
      </c>
      <c r="ACU18" s="53">
        <f t="shared" si="147"/>
        <v>1</v>
      </c>
      <c r="ACV18" s="53">
        <f t="shared" si="147"/>
        <v>1</v>
      </c>
      <c r="ACW18" s="53">
        <f t="shared" si="147"/>
        <v>1</v>
      </c>
      <c r="ACX18" s="53">
        <f t="shared" si="147"/>
        <v>1</v>
      </c>
      <c r="ACY18" s="53">
        <f t="shared" si="147"/>
        <v>1</v>
      </c>
      <c r="ACZ18" s="53">
        <f t="shared" si="147"/>
        <v>1</v>
      </c>
      <c r="ADA18" s="53">
        <f t="shared" si="147"/>
        <v>1</v>
      </c>
      <c r="ADB18" s="53">
        <f t="shared" si="147"/>
        <v>1</v>
      </c>
      <c r="ADC18" s="53">
        <f t="shared" si="147"/>
        <v>1</v>
      </c>
      <c r="ADD18" s="53">
        <f t="shared" si="147"/>
        <v>1</v>
      </c>
      <c r="ADE18" s="53">
        <f t="shared" si="147"/>
        <v>1</v>
      </c>
      <c r="ADF18" s="53">
        <f t="shared" si="147"/>
        <v>1</v>
      </c>
      <c r="ADG18" s="53">
        <f t="shared" si="147"/>
        <v>1</v>
      </c>
      <c r="ADH18" s="53">
        <f t="shared" si="147"/>
        <v>1</v>
      </c>
      <c r="ADI18" s="53">
        <f t="shared" si="147"/>
        <v>1</v>
      </c>
      <c r="ADJ18" s="53">
        <f t="shared" si="147"/>
        <v>1</v>
      </c>
      <c r="ADK18" s="53">
        <f t="shared" si="147"/>
        <v>1</v>
      </c>
      <c r="ADL18" s="53">
        <f t="shared" si="147"/>
        <v>1</v>
      </c>
      <c r="ADM18" s="53">
        <f t="shared" si="147"/>
        <v>1</v>
      </c>
      <c r="ADN18" s="53">
        <f t="shared" si="147"/>
        <v>1</v>
      </c>
      <c r="ADO18" s="53">
        <f t="shared" si="147"/>
        <v>1</v>
      </c>
      <c r="ADP18" s="53">
        <f t="shared" si="147"/>
        <v>1</v>
      </c>
      <c r="ADQ18" s="53">
        <f t="shared" si="147"/>
        <v>1</v>
      </c>
      <c r="ADR18" s="53">
        <f t="shared" si="147"/>
        <v>1</v>
      </c>
      <c r="ADS18" s="53">
        <f t="shared" si="147"/>
        <v>1</v>
      </c>
      <c r="ADT18" s="53">
        <f t="shared" si="147"/>
        <v>1</v>
      </c>
      <c r="ADU18" s="53">
        <f t="shared" si="147"/>
        <v>1</v>
      </c>
      <c r="ADV18" s="53">
        <f t="shared" si="147"/>
        <v>1</v>
      </c>
      <c r="ADW18" s="53">
        <f t="shared" si="147"/>
        <v>1</v>
      </c>
      <c r="ADX18" s="53">
        <f t="shared" si="147"/>
        <v>1</v>
      </c>
      <c r="ADY18" s="53">
        <f t="shared" si="147"/>
        <v>1</v>
      </c>
      <c r="ADZ18" s="53">
        <f t="shared" si="147"/>
        <v>1</v>
      </c>
      <c r="AEA18" s="53">
        <f t="shared" si="147"/>
        <v>1</v>
      </c>
      <c r="AEB18" s="53">
        <f t="shared" si="147"/>
        <v>1</v>
      </c>
      <c r="AEC18" s="53">
        <f t="shared" si="147"/>
        <v>1</v>
      </c>
      <c r="AED18" s="53">
        <f t="shared" si="147"/>
        <v>1</v>
      </c>
      <c r="AEE18" s="53">
        <f t="shared" si="147"/>
        <v>1</v>
      </c>
      <c r="AEF18" s="53">
        <f t="shared" si="147"/>
        <v>1</v>
      </c>
      <c r="AEG18" s="53">
        <f t="shared" si="147"/>
        <v>1</v>
      </c>
      <c r="AEH18" s="53">
        <f t="shared" si="147"/>
        <v>1</v>
      </c>
      <c r="AEI18" s="53">
        <f t="shared" si="147"/>
        <v>1</v>
      </c>
      <c r="AEJ18" s="53">
        <f t="shared" si="147"/>
        <v>1</v>
      </c>
      <c r="AEK18" s="53">
        <f t="shared" si="147"/>
        <v>1</v>
      </c>
      <c r="AEL18" s="53">
        <f t="shared" si="147"/>
        <v>1</v>
      </c>
      <c r="AEM18" s="53">
        <f t="shared" si="147"/>
        <v>1</v>
      </c>
      <c r="AEN18" s="53">
        <f t="shared" si="147"/>
        <v>1</v>
      </c>
      <c r="AEO18" s="53">
        <f t="shared" si="147"/>
        <v>1</v>
      </c>
      <c r="AEP18" s="53">
        <f t="shared" si="147"/>
        <v>1</v>
      </c>
      <c r="AEQ18" s="53">
        <f t="shared" si="147"/>
        <v>1</v>
      </c>
      <c r="AER18" s="53">
        <f t="shared" si="147"/>
        <v>1</v>
      </c>
      <c r="AES18" s="53">
        <f t="shared" si="147"/>
        <v>1</v>
      </c>
      <c r="AET18" s="53">
        <f t="shared" si="147"/>
        <v>1</v>
      </c>
      <c r="AEU18" s="53">
        <f t="shared" si="147"/>
        <v>1</v>
      </c>
      <c r="AEV18" s="53">
        <f t="shared" si="147"/>
        <v>1</v>
      </c>
      <c r="AEW18" s="53">
        <f t="shared" si="147"/>
        <v>1</v>
      </c>
      <c r="AEX18" s="53">
        <f t="shared" si="147"/>
        <v>1</v>
      </c>
      <c r="AEY18" s="53">
        <f t="shared" si="147"/>
        <v>1</v>
      </c>
      <c r="AEZ18" s="53">
        <f t="shared" si="147"/>
        <v>1</v>
      </c>
      <c r="AFA18" s="53">
        <f t="shared" si="147"/>
        <v>1</v>
      </c>
      <c r="AFB18" s="53">
        <f t="shared" si="147"/>
        <v>1</v>
      </c>
      <c r="AFC18" s="53">
        <f t="shared" si="147"/>
        <v>1</v>
      </c>
      <c r="AFD18" s="53">
        <f t="shared" si="147"/>
        <v>1</v>
      </c>
      <c r="AFE18" s="53">
        <f t="shared" ref="AFE18:AHP18" si="148">IF(AFE15&gt;=$C$5,1,0)</f>
        <v>1</v>
      </c>
      <c r="AFF18" s="53">
        <f t="shared" si="148"/>
        <v>1</v>
      </c>
      <c r="AFG18" s="53">
        <f t="shared" si="148"/>
        <v>1</v>
      </c>
      <c r="AFH18" s="53">
        <f t="shared" si="148"/>
        <v>1</v>
      </c>
      <c r="AFI18" s="53">
        <f t="shared" si="148"/>
        <v>1</v>
      </c>
      <c r="AFJ18" s="53">
        <f t="shared" si="148"/>
        <v>1</v>
      </c>
      <c r="AFK18" s="53">
        <f t="shared" si="148"/>
        <v>1</v>
      </c>
      <c r="AFL18" s="53">
        <f t="shared" si="148"/>
        <v>1</v>
      </c>
      <c r="AFM18" s="53">
        <f t="shared" si="148"/>
        <v>1</v>
      </c>
      <c r="AFN18" s="53">
        <f t="shared" si="148"/>
        <v>1</v>
      </c>
      <c r="AFO18" s="53">
        <f t="shared" si="148"/>
        <v>1</v>
      </c>
      <c r="AFP18" s="53">
        <f t="shared" si="148"/>
        <v>1</v>
      </c>
      <c r="AFQ18" s="53">
        <f t="shared" si="148"/>
        <v>1</v>
      </c>
      <c r="AFR18" s="53">
        <f t="shared" si="148"/>
        <v>1</v>
      </c>
      <c r="AFS18" s="53">
        <f t="shared" si="148"/>
        <v>1</v>
      </c>
      <c r="AFT18" s="53">
        <f t="shared" si="148"/>
        <v>1</v>
      </c>
      <c r="AFU18" s="53">
        <f t="shared" si="148"/>
        <v>1</v>
      </c>
      <c r="AFV18" s="53">
        <f t="shared" si="148"/>
        <v>1</v>
      </c>
      <c r="AFW18" s="53">
        <f t="shared" si="148"/>
        <v>1</v>
      </c>
      <c r="AFX18" s="53">
        <f t="shared" si="148"/>
        <v>1</v>
      </c>
      <c r="AFY18" s="53">
        <f t="shared" si="148"/>
        <v>1</v>
      </c>
      <c r="AFZ18" s="53">
        <f t="shared" si="148"/>
        <v>1</v>
      </c>
      <c r="AGA18" s="53">
        <f t="shared" si="148"/>
        <v>1</v>
      </c>
      <c r="AGB18" s="53">
        <f t="shared" si="148"/>
        <v>1</v>
      </c>
      <c r="AGC18" s="53">
        <f t="shared" si="148"/>
        <v>1</v>
      </c>
      <c r="AGD18" s="53">
        <f t="shared" si="148"/>
        <v>1</v>
      </c>
      <c r="AGE18" s="53">
        <f t="shared" si="148"/>
        <v>1</v>
      </c>
      <c r="AGF18" s="53">
        <f t="shared" si="148"/>
        <v>1</v>
      </c>
      <c r="AGG18" s="53">
        <f t="shared" si="148"/>
        <v>1</v>
      </c>
      <c r="AGH18" s="53">
        <f t="shared" si="148"/>
        <v>1</v>
      </c>
      <c r="AGI18" s="53">
        <f t="shared" si="148"/>
        <v>1</v>
      </c>
      <c r="AGJ18" s="53">
        <f t="shared" si="148"/>
        <v>1</v>
      </c>
      <c r="AGK18" s="53">
        <f t="shared" si="148"/>
        <v>1</v>
      </c>
      <c r="AGL18" s="53">
        <f t="shared" si="148"/>
        <v>1</v>
      </c>
      <c r="AGM18" s="53">
        <f t="shared" si="148"/>
        <v>1</v>
      </c>
      <c r="AGN18" s="53">
        <f t="shared" si="148"/>
        <v>1</v>
      </c>
      <c r="AGO18" s="53">
        <f t="shared" si="148"/>
        <v>1</v>
      </c>
      <c r="AGP18" s="53">
        <f t="shared" si="148"/>
        <v>1</v>
      </c>
      <c r="AGQ18" s="53">
        <f t="shared" si="148"/>
        <v>1</v>
      </c>
      <c r="AGR18" s="53">
        <f t="shared" si="148"/>
        <v>1</v>
      </c>
      <c r="AGS18" s="53">
        <f t="shared" si="148"/>
        <v>1</v>
      </c>
      <c r="AGT18" s="53">
        <f t="shared" si="148"/>
        <v>1</v>
      </c>
      <c r="AGU18" s="53">
        <f t="shared" si="148"/>
        <v>1</v>
      </c>
      <c r="AGV18" s="53">
        <f t="shared" si="148"/>
        <v>1</v>
      </c>
      <c r="AGW18" s="53">
        <f t="shared" si="148"/>
        <v>1</v>
      </c>
      <c r="AGX18" s="53">
        <f t="shared" si="148"/>
        <v>1</v>
      </c>
      <c r="AGY18" s="53">
        <f t="shared" si="148"/>
        <v>1</v>
      </c>
      <c r="AGZ18" s="53">
        <f t="shared" si="148"/>
        <v>1</v>
      </c>
      <c r="AHA18" s="53">
        <f t="shared" si="148"/>
        <v>1</v>
      </c>
      <c r="AHB18" s="53">
        <f t="shared" si="148"/>
        <v>1</v>
      </c>
      <c r="AHC18" s="53">
        <f t="shared" si="148"/>
        <v>1</v>
      </c>
      <c r="AHD18" s="53">
        <f t="shared" si="148"/>
        <v>1</v>
      </c>
      <c r="AHE18" s="53">
        <f t="shared" si="148"/>
        <v>1</v>
      </c>
      <c r="AHF18" s="53">
        <f t="shared" si="148"/>
        <v>1</v>
      </c>
      <c r="AHG18" s="53">
        <f t="shared" si="148"/>
        <v>1</v>
      </c>
      <c r="AHH18" s="53">
        <f t="shared" si="148"/>
        <v>1</v>
      </c>
      <c r="AHI18" s="53">
        <f t="shared" si="148"/>
        <v>1</v>
      </c>
      <c r="AHJ18" s="53">
        <f t="shared" si="148"/>
        <v>1</v>
      </c>
      <c r="AHK18" s="53">
        <f t="shared" si="148"/>
        <v>1</v>
      </c>
      <c r="AHL18" s="53">
        <f t="shared" si="148"/>
        <v>1</v>
      </c>
      <c r="AHM18" s="53">
        <f t="shared" si="148"/>
        <v>1</v>
      </c>
      <c r="AHN18" s="53">
        <f t="shared" si="148"/>
        <v>1</v>
      </c>
      <c r="AHO18" s="53">
        <f t="shared" si="148"/>
        <v>1</v>
      </c>
      <c r="AHP18" s="53">
        <f t="shared" si="148"/>
        <v>1</v>
      </c>
      <c r="AHQ18" s="53">
        <f t="shared" ref="AHQ18:AKB18" si="149">IF(AHQ15&gt;=$C$5,1,0)</f>
        <v>1</v>
      </c>
      <c r="AHR18" s="53">
        <f t="shared" si="149"/>
        <v>1</v>
      </c>
      <c r="AHS18" s="53">
        <f t="shared" si="149"/>
        <v>1</v>
      </c>
      <c r="AHT18" s="53">
        <f t="shared" si="149"/>
        <v>1</v>
      </c>
      <c r="AHU18" s="53">
        <f t="shared" si="149"/>
        <v>1</v>
      </c>
      <c r="AHV18" s="53">
        <f t="shared" si="149"/>
        <v>1</v>
      </c>
      <c r="AHW18" s="53">
        <f t="shared" si="149"/>
        <v>1</v>
      </c>
      <c r="AHX18" s="53">
        <f t="shared" si="149"/>
        <v>1</v>
      </c>
      <c r="AHY18" s="53">
        <f t="shared" si="149"/>
        <v>1</v>
      </c>
      <c r="AHZ18" s="53">
        <f t="shared" si="149"/>
        <v>1</v>
      </c>
      <c r="AIA18" s="53">
        <f t="shared" si="149"/>
        <v>1</v>
      </c>
      <c r="AIB18" s="53">
        <f t="shared" si="149"/>
        <v>1</v>
      </c>
      <c r="AIC18" s="53">
        <f t="shared" si="149"/>
        <v>1</v>
      </c>
      <c r="AID18" s="53">
        <f t="shared" si="149"/>
        <v>1</v>
      </c>
      <c r="AIE18" s="53">
        <f t="shared" si="149"/>
        <v>1</v>
      </c>
      <c r="AIF18" s="53">
        <f t="shared" si="149"/>
        <v>1</v>
      </c>
      <c r="AIG18" s="53">
        <f t="shared" si="149"/>
        <v>1</v>
      </c>
      <c r="AIH18" s="53">
        <f t="shared" si="149"/>
        <v>1</v>
      </c>
      <c r="AII18" s="53">
        <f t="shared" si="149"/>
        <v>1</v>
      </c>
      <c r="AIJ18" s="53">
        <f t="shared" si="149"/>
        <v>1</v>
      </c>
      <c r="AIK18" s="53">
        <f t="shared" si="149"/>
        <v>1</v>
      </c>
      <c r="AIL18" s="53">
        <f t="shared" si="149"/>
        <v>1</v>
      </c>
      <c r="AIM18" s="53">
        <f t="shared" si="149"/>
        <v>1</v>
      </c>
      <c r="AIN18" s="53">
        <f t="shared" si="149"/>
        <v>1</v>
      </c>
      <c r="AIO18" s="53">
        <f t="shared" si="149"/>
        <v>1</v>
      </c>
      <c r="AIP18" s="53">
        <f t="shared" si="149"/>
        <v>1</v>
      </c>
      <c r="AIQ18" s="53">
        <f t="shared" si="149"/>
        <v>1</v>
      </c>
      <c r="AIR18" s="53">
        <f t="shared" si="149"/>
        <v>1</v>
      </c>
      <c r="AIS18" s="53">
        <f t="shared" si="149"/>
        <v>1</v>
      </c>
      <c r="AIT18" s="53">
        <f t="shared" si="149"/>
        <v>1</v>
      </c>
      <c r="AIU18" s="53">
        <f t="shared" si="149"/>
        <v>1</v>
      </c>
      <c r="AIV18" s="53">
        <f t="shared" si="149"/>
        <v>1</v>
      </c>
      <c r="AIW18" s="53">
        <f t="shared" si="149"/>
        <v>1</v>
      </c>
      <c r="AIX18" s="53">
        <f t="shared" si="149"/>
        <v>1</v>
      </c>
      <c r="AIY18" s="53">
        <f t="shared" si="149"/>
        <v>1</v>
      </c>
      <c r="AIZ18" s="53">
        <f t="shared" si="149"/>
        <v>1</v>
      </c>
      <c r="AJA18" s="53">
        <f t="shared" si="149"/>
        <v>1</v>
      </c>
      <c r="AJB18" s="53">
        <f t="shared" si="149"/>
        <v>1</v>
      </c>
      <c r="AJC18" s="53">
        <f t="shared" si="149"/>
        <v>1</v>
      </c>
      <c r="AJD18" s="53">
        <f t="shared" si="149"/>
        <v>1</v>
      </c>
      <c r="AJE18" s="53">
        <f t="shared" si="149"/>
        <v>1</v>
      </c>
      <c r="AJF18" s="53">
        <f t="shared" si="149"/>
        <v>1</v>
      </c>
      <c r="AJG18" s="53">
        <f t="shared" si="149"/>
        <v>1</v>
      </c>
      <c r="AJH18" s="53">
        <f t="shared" si="149"/>
        <v>1</v>
      </c>
      <c r="AJI18" s="53">
        <f t="shared" si="149"/>
        <v>1</v>
      </c>
      <c r="AJJ18" s="53">
        <f t="shared" si="149"/>
        <v>1</v>
      </c>
      <c r="AJK18" s="53">
        <f t="shared" si="149"/>
        <v>1</v>
      </c>
      <c r="AJL18" s="53">
        <f t="shared" si="149"/>
        <v>1</v>
      </c>
      <c r="AJM18" s="53">
        <f t="shared" si="149"/>
        <v>1</v>
      </c>
      <c r="AJN18" s="53">
        <f t="shared" si="149"/>
        <v>1</v>
      </c>
      <c r="AJO18" s="53">
        <f t="shared" si="149"/>
        <v>1</v>
      </c>
      <c r="AJP18" s="53">
        <f t="shared" si="149"/>
        <v>1</v>
      </c>
      <c r="AJQ18" s="53">
        <f t="shared" si="149"/>
        <v>1</v>
      </c>
      <c r="AJR18" s="53">
        <f t="shared" si="149"/>
        <v>1</v>
      </c>
      <c r="AJS18" s="53">
        <f t="shared" si="149"/>
        <v>1</v>
      </c>
      <c r="AJT18" s="53">
        <f t="shared" si="149"/>
        <v>1</v>
      </c>
      <c r="AJU18" s="53">
        <f t="shared" si="149"/>
        <v>1</v>
      </c>
      <c r="AJV18" s="53">
        <f t="shared" si="149"/>
        <v>1</v>
      </c>
      <c r="AJW18" s="53">
        <f t="shared" si="149"/>
        <v>1</v>
      </c>
      <c r="AJX18" s="53">
        <f t="shared" si="149"/>
        <v>1</v>
      </c>
      <c r="AJY18" s="53">
        <f t="shared" si="149"/>
        <v>1</v>
      </c>
      <c r="AJZ18" s="53">
        <f t="shared" si="149"/>
        <v>1</v>
      </c>
      <c r="AKA18" s="53">
        <f t="shared" si="149"/>
        <v>1</v>
      </c>
      <c r="AKB18" s="53">
        <f t="shared" si="149"/>
        <v>1</v>
      </c>
      <c r="AKC18" s="53">
        <f t="shared" ref="AKC18:AMN18" si="150">IF(AKC15&gt;=$C$5,1,0)</f>
        <v>1</v>
      </c>
      <c r="AKD18" s="53">
        <f t="shared" si="150"/>
        <v>1</v>
      </c>
      <c r="AKE18" s="53">
        <f t="shared" si="150"/>
        <v>1</v>
      </c>
      <c r="AKF18" s="53">
        <f t="shared" si="150"/>
        <v>1</v>
      </c>
      <c r="AKG18" s="53">
        <f t="shared" si="150"/>
        <v>1</v>
      </c>
      <c r="AKH18" s="53">
        <f t="shared" si="150"/>
        <v>1</v>
      </c>
      <c r="AKI18" s="53">
        <f t="shared" si="150"/>
        <v>1</v>
      </c>
      <c r="AKJ18" s="53">
        <f t="shared" si="150"/>
        <v>1</v>
      </c>
      <c r="AKK18" s="53">
        <f t="shared" si="150"/>
        <v>1</v>
      </c>
      <c r="AKL18" s="53">
        <f t="shared" si="150"/>
        <v>1</v>
      </c>
      <c r="AKM18" s="53">
        <f t="shared" si="150"/>
        <v>1</v>
      </c>
      <c r="AKN18" s="53">
        <f t="shared" si="150"/>
        <v>1</v>
      </c>
      <c r="AKO18" s="53">
        <f t="shared" si="150"/>
        <v>1</v>
      </c>
      <c r="AKP18" s="53">
        <f t="shared" si="150"/>
        <v>1</v>
      </c>
      <c r="AKQ18" s="53">
        <f t="shared" si="150"/>
        <v>1</v>
      </c>
      <c r="AKR18" s="53">
        <f t="shared" si="150"/>
        <v>1</v>
      </c>
      <c r="AKS18" s="53">
        <f t="shared" si="150"/>
        <v>1</v>
      </c>
      <c r="AKT18" s="53">
        <f t="shared" si="150"/>
        <v>1</v>
      </c>
      <c r="AKU18" s="53">
        <f t="shared" si="150"/>
        <v>1</v>
      </c>
      <c r="AKV18" s="53">
        <f t="shared" si="150"/>
        <v>1</v>
      </c>
      <c r="AKW18" s="53">
        <f t="shared" si="150"/>
        <v>1</v>
      </c>
      <c r="AKX18" s="53">
        <f t="shared" si="150"/>
        <v>1</v>
      </c>
      <c r="AKY18" s="53">
        <f t="shared" si="150"/>
        <v>1</v>
      </c>
      <c r="AKZ18" s="53">
        <f t="shared" si="150"/>
        <v>1</v>
      </c>
      <c r="ALA18" s="53">
        <f t="shared" si="150"/>
        <v>1</v>
      </c>
      <c r="ALB18" s="53">
        <f t="shared" si="150"/>
        <v>1</v>
      </c>
      <c r="ALC18" s="53">
        <f t="shared" si="150"/>
        <v>1</v>
      </c>
      <c r="ALD18" s="53">
        <f t="shared" si="150"/>
        <v>1</v>
      </c>
      <c r="ALE18" s="53">
        <f t="shared" si="150"/>
        <v>1</v>
      </c>
      <c r="ALF18" s="53">
        <f t="shared" si="150"/>
        <v>1</v>
      </c>
      <c r="ALG18" s="53">
        <f t="shared" si="150"/>
        <v>1</v>
      </c>
      <c r="ALH18" s="53">
        <f t="shared" si="150"/>
        <v>1</v>
      </c>
      <c r="ALI18" s="53">
        <f t="shared" si="150"/>
        <v>1</v>
      </c>
      <c r="ALJ18" s="53">
        <f t="shared" si="150"/>
        <v>1</v>
      </c>
      <c r="ALK18" s="53">
        <f t="shared" si="150"/>
        <v>1</v>
      </c>
      <c r="ALL18" s="53">
        <f t="shared" si="150"/>
        <v>1</v>
      </c>
      <c r="ALM18" s="53">
        <f t="shared" si="150"/>
        <v>1</v>
      </c>
      <c r="ALN18" s="53">
        <f t="shared" si="150"/>
        <v>1</v>
      </c>
      <c r="ALO18" s="53">
        <f t="shared" si="150"/>
        <v>1</v>
      </c>
      <c r="ALP18" s="53">
        <f t="shared" si="150"/>
        <v>1</v>
      </c>
      <c r="ALQ18" s="53">
        <f t="shared" si="150"/>
        <v>1</v>
      </c>
      <c r="ALR18" s="53">
        <f t="shared" si="150"/>
        <v>1</v>
      </c>
      <c r="ALS18" s="53">
        <f t="shared" si="150"/>
        <v>1</v>
      </c>
      <c r="ALT18" s="53">
        <f t="shared" si="150"/>
        <v>1</v>
      </c>
      <c r="ALU18" s="53">
        <f t="shared" si="150"/>
        <v>1</v>
      </c>
      <c r="ALV18" s="53">
        <f t="shared" si="150"/>
        <v>1</v>
      </c>
      <c r="ALW18" s="53">
        <f t="shared" si="150"/>
        <v>1</v>
      </c>
      <c r="ALX18" s="53">
        <f t="shared" si="150"/>
        <v>1</v>
      </c>
      <c r="ALY18" s="53">
        <f t="shared" si="150"/>
        <v>1</v>
      </c>
      <c r="ALZ18" s="53">
        <f t="shared" si="150"/>
        <v>1</v>
      </c>
      <c r="AMA18" s="53">
        <f t="shared" si="150"/>
        <v>1</v>
      </c>
      <c r="AMB18" s="53">
        <f t="shared" si="150"/>
        <v>1</v>
      </c>
      <c r="AMC18" s="53">
        <f t="shared" si="150"/>
        <v>1</v>
      </c>
      <c r="AMD18" s="53">
        <f t="shared" si="150"/>
        <v>1</v>
      </c>
      <c r="AME18" s="53">
        <f t="shared" si="150"/>
        <v>1</v>
      </c>
      <c r="AMF18" s="53">
        <f t="shared" si="150"/>
        <v>1</v>
      </c>
      <c r="AMG18" s="53">
        <f t="shared" si="150"/>
        <v>1</v>
      </c>
      <c r="AMH18" s="53">
        <f t="shared" si="150"/>
        <v>1</v>
      </c>
      <c r="AMI18" s="53">
        <f t="shared" si="150"/>
        <v>1</v>
      </c>
      <c r="AMJ18" s="53">
        <f t="shared" si="150"/>
        <v>1</v>
      </c>
      <c r="AMK18" s="53">
        <f t="shared" si="150"/>
        <v>1</v>
      </c>
      <c r="AML18" s="53">
        <f t="shared" si="150"/>
        <v>1</v>
      </c>
      <c r="AMM18" s="53">
        <f t="shared" si="150"/>
        <v>1</v>
      </c>
      <c r="AMN18" s="53">
        <f t="shared" si="150"/>
        <v>1</v>
      </c>
      <c r="AMO18" s="53">
        <f t="shared" ref="AMO18:AOQ18" si="151">IF(AMO15&gt;=$C$5,1,0)</f>
        <v>1</v>
      </c>
      <c r="AMP18" s="53">
        <f t="shared" si="151"/>
        <v>1</v>
      </c>
      <c r="AMQ18" s="53">
        <f t="shared" si="151"/>
        <v>1</v>
      </c>
      <c r="AMR18" s="53">
        <f t="shared" si="151"/>
        <v>1</v>
      </c>
      <c r="AMS18" s="53">
        <f t="shared" si="151"/>
        <v>1</v>
      </c>
      <c r="AMT18" s="53">
        <f t="shared" si="151"/>
        <v>1</v>
      </c>
      <c r="AMU18" s="53">
        <f t="shared" si="151"/>
        <v>1</v>
      </c>
      <c r="AMV18" s="53">
        <f t="shared" si="151"/>
        <v>1</v>
      </c>
      <c r="AMW18" s="53">
        <f t="shared" si="151"/>
        <v>1</v>
      </c>
      <c r="AMX18" s="53">
        <f t="shared" si="151"/>
        <v>1</v>
      </c>
      <c r="AMY18" s="53">
        <f t="shared" si="151"/>
        <v>1</v>
      </c>
      <c r="AMZ18" s="53">
        <f t="shared" si="151"/>
        <v>1</v>
      </c>
      <c r="ANA18" s="53">
        <f t="shared" si="151"/>
        <v>1</v>
      </c>
      <c r="ANB18" s="53">
        <f t="shared" si="151"/>
        <v>1</v>
      </c>
      <c r="ANC18" s="53">
        <f t="shared" si="151"/>
        <v>1</v>
      </c>
      <c r="AND18" s="53">
        <f t="shared" si="151"/>
        <v>1</v>
      </c>
      <c r="ANE18" s="53">
        <f t="shared" si="151"/>
        <v>1</v>
      </c>
      <c r="ANF18" s="53">
        <f t="shared" si="151"/>
        <v>1</v>
      </c>
      <c r="ANG18" s="53">
        <f t="shared" si="151"/>
        <v>1</v>
      </c>
      <c r="ANH18" s="53">
        <f t="shared" si="151"/>
        <v>1</v>
      </c>
      <c r="ANI18" s="53">
        <f t="shared" si="151"/>
        <v>1</v>
      </c>
      <c r="ANJ18" s="53">
        <f t="shared" si="151"/>
        <v>1</v>
      </c>
      <c r="ANK18" s="53">
        <f t="shared" si="151"/>
        <v>1</v>
      </c>
      <c r="ANL18" s="53">
        <f t="shared" si="151"/>
        <v>1</v>
      </c>
      <c r="ANM18" s="53">
        <f t="shared" si="151"/>
        <v>1</v>
      </c>
      <c r="ANN18" s="53">
        <f t="shared" si="151"/>
        <v>1</v>
      </c>
      <c r="ANO18" s="53">
        <f t="shared" si="151"/>
        <v>1</v>
      </c>
      <c r="ANP18" s="53">
        <f t="shared" si="151"/>
        <v>1</v>
      </c>
      <c r="ANQ18" s="53">
        <f t="shared" si="151"/>
        <v>1</v>
      </c>
      <c r="ANR18" s="53">
        <f t="shared" si="151"/>
        <v>1</v>
      </c>
      <c r="ANS18" s="53">
        <f t="shared" si="151"/>
        <v>1</v>
      </c>
      <c r="ANT18" s="53">
        <f t="shared" si="151"/>
        <v>1</v>
      </c>
      <c r="ANU18" s="53">
        <f t="shared" si="151"/>
        <v>1</v>
      </c>
      <c r="ANV18" s="53">
        <f t="shared" si="151"/>
        <v>1</v>
      </c>
      <c r="ANW18" s="53">
        <f t="shared" si="151"/>
        <v>1</v>
      </c>
      <c r="ANX18" s="53">
        <f t="shared" si="151"/>
        <v>1</v>
      </c>
      <c r="ANY18" s="53">
        <f t="shared" si="151"/>
        <v>1</v>
      </c>
      <c r="ANZ18" s="53">
        <f t="shared" si="151"/>
        <v>1</v>
      </c>
      <c r="AOA18" s="53">
        <f t="shared" si="151"/>
        <v>1</v>
      </c>
      <c r="AOB18" s="53">
        <f t="shared" si="151"/>
        <v>1</v>
      </c>
      <c r="AOC18" s="53">
        <f t="shared" si="151"/>
        <v>1</v>
      </c>
      <c r="AOD18" s="53">
        <f t="shared" si="151"/>
        <v>1</v>
      </c>
      <c r="AOE18" s="53">
        <f t="shared" si="151"/>
        <v>1</v>
      </c>
      <c r="AOF18" s="53">
        <f t="shared" si="151"/>
        <v>1</v>
      </c>
      <c r="AOG18" s="53">
        <f t="shared" si="151"/>
        <v>1</v>
      </c>
      <c r="AOH18" s="53">
        <f t="shared" si="151"/>
        <v>1</v>
      </c>
      <c r="AOI18" s="53">
        <f t="shared" si="151"/>
        <v>1</v>
      </c>
      <c r="AOJ18" s="53">
        <f t="shared" si="151"/>
        <v>1</v>
      </c>
      <c r="AOK18" s="53">
        <f t="shared" si="151"/>
        <v>1</v>
      </c>
      <c r="AOL18" s="53">
        <f t="shared" si="151"/>
        <v>1</v>
      </c>
      <c r="AOM18" s="53">
        <f t="shared" si="151"/>
        <v>1</v>
      </c>
      <c r="AON18" s="53">
        <f t="shared" si="151"/>
        <v>1</v>
      </c>
      <c r="AOO18" s="53">
        <f t="shared" si="151"/>
        <v>1</v>
      </c>
      <c r="AOP18" s="53">
        <f t="shared" si="151"/>
        <v>1</v>
      </c>
      <c r="AOQ18" s="53">
        <f t="shared" si="151"/>
        <v>1</v>
      </c>
    </row>
    <row r="20" spans="2:1083" x14ac:dyDescent="0.25">
      <c r="B20" s="55" t="s">
        <v>175</v>
      </c>
      <c r="C20" s="55"/>
      <c r="D20" s="56">
        <v>0</v>
      </c>
      <c r="E20" s="56">
        <f>D25</f>
        <v>0</v>
      </c>
      <c r="F20" s="56">
        <f t="shared" ref="F20:BQ20" si="152">E25</f>
        <v>0</v>
      </c>
      <c r="G20" s="56">
        <f t="shared" si="152"/>
        <v>0</v>
      </c>
      <c r="H20" s="56">
        <f t="shared" si="152"/>
        <v>0</v>
      </c>
      <c r="I20" s="56">
        <f t="shared" si="152"/>
        <v>0</v>
      </c>
      <c r="J20" s="56">
        <f t="shared" si="152"/>
        <v>0</v>
      </c>
      <c r="K20" s="56">
        <f t="shared" si="152"/>
        <v>0</v>
      </c>
      <c r="L20" s="56">
        <f t="shared" si="152"/>
        <v>0</v>
      </c>
      <c r="M20" s="56">
        <f t="shared" si="152"/>
        <v>0</v>
      </c>
      <c r="N20" s="56">
        <f t="shared" si="152"/>
        <v>0</v>
      </c>
      <c r="O20" s="56">
        <f t="shared" si="152"/>
        <v>0</v>
      </c>
      <c r="P20" s="56">
        <f t="shared" si="152"/>
        <v>0</v>
      </c>
      <c r="Q20" s="56">
        <f t="shared" si="152"/>
        <v>0</v>
      </c>
      <c r="R20" s="56">
        <f t="shared" si="152"/>
        <v>0</v>
      </c>
      <c r="S20" s="56">
        <f t="shared" si="152"/>
        <v>0</v>
      </c>
      <c r="T20" s="56">
        <f t="shared" si="152"/>
        <v>0</v>
      </c>
      <c r="U20" s="56">
        <f t="shared" si="152"/>
        <v>0</v>
      </c>
      <c r="V20" s="56">
        <f t="shared" si="152"/>
        <v>0</v>
      </c>
      <c r="W20" s="56">
        <f t="shared" si="152"/>
        <v>0</v>
      </c>
      <c r="X20" s="56">
        <f t="shared" si="152"/>
        <v>0</v>
      </c>
      <c r="Y20" s="56">
        <f t="shared" si="152"/>
        <v>0</v>
      </c>
      <c r="Z20" s="56">
        <f t="shared" si="152"/>
        <v>0</v>
      </c>
      <c r="AA20" s="56">
        <f t="shared" si="152"/>
        <v>0</v>
      </c>
      <c r="AB20" s="56">
        <f t="shared" si="152"/>
        <v>0</v>
      </c>
      <c r="AC20" s="56">
        <f t="shared" si="152"/>
        <v>0</v>
      </c>
      <c r="AD20" s="56">
        <f t="shared" si="152"/>
        <v>0</v>
      </c>
      <c r="AE20" s="56">
        <f t="shared" si="152"/>
        <v>0</v>
      </c>
      <c r="AF20" s="56">
        <f t="shared" si="152"/>
        <v>0</v>
      </c>
      <c r="AG20" s="56">
        <f t="shared" si="152"/>
        <v>0</v>
      </c>
      <c r="AH20" s="56">
        <f t="shared" si="152"/>
        <v>0</v>
      </c>
      <c r="AI20" s="56">
        <f t="shared" si="152"/>
        <v>0</v>
      </c>
      <c r="AJ20" s="56">
        <f t="shared" si="152"/>
        <v>0</v>
      </c>
      <c r="AK20" s="56">
        <f t="shared" si="152"/>
        <v>0</v>
      </c>
      <c r="AL20" s="56">
        <f t="shared" si="152"/>
        <v>0</v>
      </c>
      <c r="AM20" s="56">
        <f t="shared" si="152"/>
        <v>0</v>
      </c>
      <c r="AN20" s="56">
        <f t="shared" si="152"/>
        <v>0</v>
      </c>
      <c r="AO20" s="56">
        <f t="shared" si="152"/>
        <v>0</v>
      </c>
      <c r="AP20" s="56">
        <f t="shared" si="152"/>
        <v>0</v>
      </c>
      <c r="AQ20" s="56">
        <f t="shared" si="152"/>
        <v>0</v>
      </c>
      <c r="AR20" s="56">
        <f t="shared" si="152"/>
        <v>0</v>
      </c>
      <c r="AS20" s="56">
        <f t="shared" si="152"/>
        <v>0</v>
      </c>
      <c r="AT20" s="56">
        <f t="shared" si="152"/>
        <v>0</v>
      </c>
      <c r="AU20" s="56">
        <f t="shared" si="152"/>
        <v>0</v>
      </c>
      <c r="AV20" s="56">
        <f t="shared" si="152"/>
        <v>0</v>
      </c>
      <c r="AW20" s="56">
        <f t="shared" si="152"/>
        <v>0</v>
      </c>
      <c r="AX20" s="56">
        <f t="shared" si="152"/>
        <v>0</v>
      </c>
      <c r="AY20" s="56">
        <f t="shared" si="152"/>
        <v>0</v>
      </c>
      <c r="AZ20" s="56">
        <f t="shared" si="152"/>
        <v>0</v>
      </c>
      <c r="BA20" s="56">
        <f t="shared" si="152"/>
        <v>0</v>
      </c>
      <c r="BB20" s="56">
        <f t="shared" si="152"/>
        <v>0</v>
      </c>
      <c r="BC20" s="56">
        <f t="shared" si="152"/>
        <v>0</v>
      </c>
      <c r="BD20" s="56">
        <f t="shared" si="152"/>
        <v>0</v>
      </c>
      <c r="BE20" s="56">
        <f t="shared" si="152"/>
        <v>0</v>
      </c>
      <c r="BF20" s="56">
        <f t="shared" si="152"/>
        <v>0</v>
      </c>
      <c r="BG20" s="56">
        <f t="shared" si="152"/>
        <v>0</v>
      </c>
      <c r="BH20" s="56">
        <f t="shared" si="152"/>
        <v>0</v>
      </c>
      <c r="BI20" s="56">
        <f t="shared" si="152"/>
        <v>0</v>
      </c>
      <c r="BJ20" s="56">
        <f t="shared" si="152"/>
        <v>0</v>
      </c>
      <c r="BK20" s="56">
        <f t="shared" si="152"/>
        <v>0</v>
      </c>
      <c r="BL20" s="56">
        <f t="shared" si="152"/>
        <v>0</v>
      </c>
      <c r="BM20" s="56">
        <f t="shared" si="152"/>
        <v>0</v>
      </c>
      <c r="BN20" s="56">
        <f t="shared" si="152"/>
        <v>0</v>
      </c>
      <c r="BO20" s="56">
        <f t="shared" si="152"/>
        <v>0</v>
      </c>
      <c r="BP20" s="56">
        <f t="shared" si="152"/>
        <v>0</v>
      </c>
      <c r="BQ20" s="56">
        <f t="shared" si="152"/>
        <v>0</v>
      </c>
      <c r="BR20" s="56">
        <f t="shared" ref="BR20:EC20" si="153">BQ25</f>
        <v>0</v>
      </c>
      <c r="BS20" s="56">
        <f t="shared" si="153"/>
        <v>0</v>
      </c>
      <c r="BT20" s="56">
        <f t="shared" si="153"/>
        <v>0</v>
      </c>
      <c r="BU20" s="56">
        <f t="shared" si="153"/>
        <v>0</v>
      </c>
      <c r="BV20" s="56">
        <f t="shared" si="153"/>
        <v>0</v>
      </c>
      <c r="BW20" s="56">
        <f t="shared" si="153"/>
        <v>0</v>
      </c>
      <c r="BX20" s="56">
        <f t="shared" si="153"/>
        <v>0</v>
      </c>
      <c r="BY20" s="56">
        <f t="shared" si="153"/>
        <v>0</v>
      </c>
      <c r="BZ20" s="56">
        <f t="shared" si="153"/>
        <v>0</v>
      </c>
      <c r="CA20" s="56">
        <f t="shared" si="153"/>
        <v>0</v>
      </c>
      <c r="CB20" s="56">
        <f t="shared" si="153"/>
        <v>0</v>
      </c>
      <c r="CC20" s="56">
        <f t="shared" si="153"/>
        <v>0</v>
      </c>
      <c r="CD20" s="56">
        <f t="shared" si="153"/>
        <v>0</v>
      </c>
      <c r="CE20" s="56">
        <f t="shared" si="153"/>
        <v>0</v>
      </c>
      <c r="CF20" s="56">
        <f t="shared" si="153"/>
        <v>0</v>
      </c>
      <c r="CG20" s="56">
        <f t="shared" si="153"/>
        <v>0</v>
      </c>
      <c r="CH20" s="56">
        <f t="shared" si="153"/>
        <v>0</v>
      </c>
      <c r="CI20" s="56">
        <f t="shared" si="153"/>
        <v>0</v>
      </c>
      <c r="CJ20" s="56">
        <f t="shared" si="153"/>
        <v>0</v>
      </c>
      <c r="CK20" s="56">
        <f t="shared" si="153"/>
        <v>0</v>
      </c>
      <c r="CL20" s="56">
        <f t="shared" si="153"/>
        <v>0</v>
      </c>
      <c r="CM20" s="56">
        <f t="shared" si="153"/>
        <v>0</v>
      </c>
      <c r="CN20" s="56">
        <f t="shared" si="153"/>
        <v>0</v>
      </c>
      <c r="CO20" s="56">
        <f t="shared" si="153"/>
        <v>0</v>
      </c>
      <c r="CP20" s="56">
        <f t="shared" si="153"/>
        <v>0</v>
      </c>
      <c r="CQ20" s="56">
        <f t="shared" si="153"/>
        <v>0</v>
      </c>
      <c r="CR20" s="56">
        <f t="shared" si="153"/>
        <v>0</v>
      </c>
      <c r="CS20" s="56">
        <f t="shared" si="153"/>
        <v>0</v>
      </c>
      <c r="CT20" s="56">
        <f t="shared" si="153"/>
        <v>0</v>
      </c>
      <c r="CU20" s="56">
        <f t="shared" si="153"/>
        <v>0</v>
      </c>
      <c r="CV20" s="56">
        <f t="shared" si="153"/>
        <v>0</v>
      </c>
      <c r="CW20" s="56">
        <f t="shared" si="153"/>
        <v>0</v>
      </c>
      <c r="CX20" s="56">
        <f t="shared" si="153"/>
        <v>0</v>
      </c>
      <c r="CY20" s="56">
        <f t="shared" si="153"/>
        <v>0</v>
      </c>
      <c r="CZ20" s="56">
        <f t="shared" si="153"/>
        <v>0</v>
      </c>
      <c r="DA20" s="56">
        <f t="shared" si="153"/>
        <v>0</v>
      </c>
      <c r="DB20" s="56">
        <f t="shared" si="153"/>
        <v>0</v>
      </c>
      <c r="DC20" s="56">
        <f t="shared" si="153"/>
        <v>0</v>
      </c>
      <c r="DD20" s="56">
        <f t="shared" si="153"/>
        <v>0</v>
      </c>
      <c r="DE20" s="56">
        <f t="shared" si="153"/>
        <v>0</v>
      </c>
      <c r="DF20" s="56">
        <f t="shared" si="153"/>
        <v>0</v>
      </c>
      <c r="DG20" s="56">
        <f t="shared" si="153"/>
        <v>0</v>
      </c>
      <c r="DH20" s="56">
        <f t="shared" si="153"/>
        <v>0</v>
      </c>
      <c r="DI20" s="56">
        <f t="shared" si="153"/>
        <v>0</v>
      </c>
      <c r="DJ20" s="56">
        <f t="shared" si="153"/>
        <v>0</v>
      </c>
      <c r="DK20" s="56">
        <f t="shared" si="153"/>
        <v>0</v>
      </c>
      <c r="DL20" s="56">
        <f t="shared" si="153"/>
        <v>0</v>
      </c>
      <c r="DM20" s="56">
        <f t="shared" si="153"/>
        <v>0</v>
      </c>
      <c r="DN20" s="56">
        <f t="shared" si="153"/>
        <v>0</v>
      </c>
      <c r="DO20" s="56">
        <f t="shared" si="153"/>
        <v>0</v>
      </c>
      <c r="DP20" s="56">
        <f t="shared" si="153"/>
        <v>0</v>
      </c>
      <c r="DQ20" s="56">
        <f t="shared" si="153"/>
        <v>0</v>
      </c>
      <c r="DR20" s="56">
        <f t="shared" si="153"/>
        <v>0</v>
      </c>
      <c r="DS20" s="56">
        <f t="shared" si="153"/>
        <v>0</v>
      </c>
      <c r="DT20" s="56">
        <f t="shared" si="153"/>
        <v>0</v>
      </c>
      <c r="DU20" s="56">
        <f t="shared" si="153"/>
        <v>0</v>
      </c>
      <c r="DV20" s="56">
        <f t="shared" si="153"/>
        <v>0</v>
      </c>
      <c r="DW20" s="56">
        <f t="shared" si="153"/>
        <v>0</v>
      </c>
      <c r="DX20" s="56">
        <f t="shared" si="153"/>
        <v>0</v>
      </c>
      <c r="DY20" s="56">
        <f t="shared" si="153"/>
        <v>0</v>
      </c>
      <c r="DZ20" s="56">
        <f t="shared" si="153"/>
        <v>0</v>
      </c>
      <c r="EA20" s="56">
        <f t="shared" si="153"/>
        <v>0</v>
      </c>
      <c r="EB20" s="56">
        <f t="shared" si="153"/>
        <v>0</v>
      </c>
      <c r="EC20" s="56">
        <f t="shared" si="153"/>
        <v>0</v>
      </c>
      <c r="ED20" s="56">
        <f t="shared" ref="ED20:GO20" si="154">EC25</f>
        <v>0</v>
      </c>
      <c r="EE20" s="56">
        <f t="shared" si="154"/>
        <v>0</v>
      </c>
      <c r="EF20" s="56">
        <f t="shared" si="154"/>
        <v>0</v>
      </c>
      <c r="EG20" s="56">
        <f t="shared" si="154"/>
        <v>0</v>
      </c>
      <c r="EH20" s="56">
        <f t="shared" si="154"/>
        <v>0</v>
      </c>
      <c r="EI20" s="56">
        <f t="shared" si="154"/>
        <v>0</v>
      </c>
      <c r="EJ20" s="56">
        <f t="shared" si="154"/>
        <v>0</v>
      </c>
      <c r="EK20" s="56">
        <f t="shared" si="154"/>
        <v>0</v>
      </c>
      <c r="EL20" s="56">
        <f t="shared" si="154"/>
        <v>0</v>
      </c>
      <c r="EM20" s="56">
        <f t="shared" si="154"/>
        <v>0</v>
      </c>
      <c r="EN20" s="56">
        <f t="shared" si="154"/>
        <v>0</v>
      </c>
      <c r="EO20" s="56">
        <f t="shared" si="154"/>
        <v>0</v>
      </c>
      <c r="EP20" s="56">
        <f t="shared" si="154"/>
        <v>0</v>
      </c>
      <c r="EQ20" s="56">
        <f t="shared" si="154"/>
        <v>0</v>
      </c>
      <c r="ER20" s="56">
        <f t="shared" si="154"/>
        <v>0</v>
      </c>
      <c r="ES20" s="56">
        <f t="shared" si="154"/>
        <v>0</v>
      </c>
      <c r="ET20" s="56">
        <f t="shared" si="154"/>
        <v>0</v>
      </c>
      <c r="EU20" s="56">
        <f t="shared" si="154"/>
        <v>0</v>
      </c>
      <c r="EV20" s="56">
        <f t="shared" si="154"/>
        <v>0</v>
      </c>
      <c r="EW20" s="56">
        <f t="shared" si="154"/>
        <v>0</v>
      </c>
      <c r="EX20" s="56">
        <f t="shared" si="154"/>
        <v>0</v>
      </c>
      <c r="EY20" s="56">
        <f t="shared" si="154"/>
        <v>0</v>
      </c>
      <c r="EZ20" s="56">
        <f t="shared" si="154"/>
        <v>0</v>
      </c>
      <c r="FA20" s="56">
        <f t="shared" si="154"/>
        <v>0</v>
      </c>
      <c r="FB20" s="56">
        <f t="shared" si="154"/>
        <v>0</v>
      </c>
      <c r="FC20" s="56">
        <f t="shared" si="154"/>
        <v>0</v>
      </c>
      <c r="FD20" s="56">
        <f t="shared" si="154"/>
        <v>0</v>
      </c>
      <c r="FE20" s="56">
        <f t="shared" si="154"/>
        <v>0</v>
      </c>
      <c r="FF20" s="56">
        <f t="shared" si="154"/>
        <v>0</v>
      </c>
      <c r="FG20" s="56">
        <f t="shared" si="154"/>
        <v>0</v>
      </c>
      <c r="FH20" s="56">
        <f t="shared" si="154"/>
        <v>0</v>
      </c>
      <c r="FI20" s="56">
        <f t="shared" si="154"/>
        <v>0</v>
      </c>
      <c r="FJ20" s="56">
        <f t="shared" si="154"/>
        <v>0</v>
      </c>
      <c r="FK20" s="56">
        <f t="shared" si="154"/>
        <v>0</v>
      </c>
      <c r="FL20" s="56">
        <f t="shared" si="154"/>
        <v>0</v>
      </c>
      <c r="FM20" s="56">
        <f t="shared" si="154"/>
        <v>0</v>
      </c>
      <c r="FN20" s="56">
        <f t="shared" si="154"/>
        <v>0</v>
      </c>
      <c r="FO20" s="56">
        <f t="shared" si="154"/>
        <v>0</v>
      </c>
      <c r="FP20" s="56">
        <f t="shared" si="154"/>
        <v>0</v>
      </c>
      <c r="FQ20" s="56">
        <f t="shared" si="154"/>
        <v>0</v>
      </c>
      <c r="FR20" s="56">
        <f t="shared" si="154"/>
        <v>0</v>
      </c>
      <c r="FS20" s="56">
        <f t="shared" si="154"/>
        <v>0</v>
      </c>
      <c r="FT20" s="56">
        <f t="shared" si="154"/>
        <v>0</v>
      </c>
      <c r="FU20" s="56">
        <f t="shared" si="154"/>
        <v>0</v>
      </c>
      <c r="FV20" s="56">
        <f t="shared" si="154"/>
        <v>0</v>
      </c>
      <c r="FW20" s="56">
        <f t="shared" si="154"/>
        <v>0</v>
      </c>
      <c r="FX20" s="56">
        <f t="shared" si="154"/>
        <v>0</v>
      </c>
      <c r="FY20" s="56">
        <f t="shared" si="154"/>
        <v>0</v>
      </c>
      <c r="FZ20" s="56">
        <f t="shared" si="154"/>
        <v>0</v>
      </c>
      <c r="GA20" s="56">
        <f t="shared" si="154"/>
        <v>0</v>
      </c>
      <c r="GB20" s="56">
        <f t="shared" si="154"/>
        <v>0</v>
      </c>
      <c r="GC20" s="56">
        <f t="shared" si="154"/>
        <v>0</v>
      </c>
      <c r="GD20" s="56">
        <f t="shared" si="154"/>
        <v>0</v>
      </c>
      <c r="GE20" s="56">
        <f t="shared" si="154"/>
        <v>0</v>
      </c>
      <c r="GF20" s="56">
        <f t="shared" si="154"/>
        <v>0</v>
      </c>
      <c r="GG20" s="56">
        <f t="shared" si="154"/>
        <v>0</v>
      </c>
      <c r="GH20" s="56">
        <f t="shared" si="154"/>
        <v>0</v>
      </c>
      <c r="GI20" s="56">
        <f t="shared" si="154"/>
        <v>0</v>
      </c>
      <c r="GJ20" s="56">
        <f t="shared" si="154"/>
        <v>0</v>
      </c>
      <c r="GK20" s="56">
        <f t="shared" si="154"/>
        <v>0</v>
      </c>
      <c r="GL20" s="56">
        <f t="shared" si="154"/>
        <v>0</v>
      </c>
      <c r="GM20" s="56">
        <f t="shared" si="154"/>
        <v>0</v>
      </c>
      <c r="GN20" s="56">
        <f t="shared" si="154"/>
        <v>0</v>
      </c>
      <c r="GO20" s="56">
        <f t="shared" si="154"/>
        <v>0</v>
      </c>
      <c r="GP20" s="56">
        <f t="shared" ref="GP20:JA20" si="155">GO25</f>
        <v>0</v>
      </c>
      <c r="GQ20" s="56">
        <f t="shared" si="155"/>
        <v>0</v>
      </c>
      <c r="GR20" s="56">
        <f t="shared" si="155"/>
        <v>0</v>
      </c>
      <c r="GS20" s="56">
        <f t="shared" si="155"/>
        <v>0</v>
      </c>
      <c r="GT20" s="56">
        <f t="shared" si="155"/>
        <v>0</v>
      </c>
      <c r="GU20" s="56">
        <f t="shared" si="155"/>
        <v>0</v>
      </c>
      <c r="GV20" s="56">
        <f t="shared" si="155"/>
        <v>0</v>
      </c>
      <c r="GW20" s="56">
        <f t="shared" si="155"/>
        <v>0</v>
      </c>
      <c r="GX20" s="56">
        <f t="shared" si="155"/>
        <v>0</v>
      </c>
      <c r="GY20" s="56">
        <f t="shared" si="155"/>
        <v>0</v>
      </c>
      <c r="GZ20" s="56">
        <f t="shared" si="155"/>
        <v>0</v>
      </c>
      <c r="HA20" s="56">
        <f t="shared" si="155"/>
        <v>0</v>
      </c>
      <c r="HB20" s="56">
        <f t="shared" si="155"/>
        <v>0</v>
      </c>
      <c r="HC20" s="56">
        <f t="shared" si="155"/>
        <v>0</v>
      </c>
      <c r="HD20" s="56">
        <f t="shared" si="155"/>
        <v>0</v>
      </c>
      <c r="HE20" s="56">
        <f t="shared" si="155"/>
        <v>0</v>
      </c>
      <c r="HF20" s="56">
        <f t="shared" si="155"/>
        <v>0</v>
      </c>
      <c r="HG20" s="56">
        <f t="shared" si="155"/>
        <v>0</v>
      </c>
      <c r="HH20" s="56">
        <f t="shared" si="155"/>
        <v>0</v>
      </c>
      <c r="HI20" s="56">
        <f t="shared" si="155"/>
        <v>0</v>
      </c>
      <c r="HJ20" s="56">
        <f t="shared" si="155"/>
        <v>0</v>
      </c>
      <c r="HK20" s="56">
        <f t="shared" si="155"/>
        <v>0</v>
      </c>
      <c r="HL20" s="56">
        <f t="shared" si="155"/>
        <v>0</v>
      </c>
      <c r="HM20" s="56">
        <f t="shared" si="155"/>
        <v>0</v>
      </c>
      <c r="HN20" s="56">
        <f t="shared" si="155"/>
        <v>0</v>
      </c>
      <c r="HO20" s="56">
        <f t="shared" si="155"/>
        <v>0</v>
      </c>
      <c r="HP20" s="56">
        <f t="shared" si="155"/>
        <v>0</v>
      </c>
      <c r="HQ20" s="56">
        <f t="shared" si="155"/>
        <v>0</v>
      </c>
      <c r="HR20" s="56">
        <f t="shared" si="155"/>
        <v>0</v>
      </c>
      <c r="HS20" s="56">
        <f t="shared" si="155"/>
        <v>0</v>
      </c>
      <c r="HT20" s="56">
        <f t="shared" si="155"/>
        <v>0</v>
      </c>
      <c r="HU20" s="56">
        <f t="shared" si="155"/>
        <v>0</v>
      </c>
      <c r="HV20" s="56">
        <f t="shared" si="155"/>
        <v>0</v>
      </c>
      <c r="HW20" s="56">
        <f t="shared" si="155"/>
        <v>0</v>
      </c>
      <c r="HX20" s="56">
        <f t="shared" si="155"/>
        <v>0</v>
      </c>
      <c r="HY20" s="56">
        <f t="shared" si="155"/>
        <v>0</v>
      </c>
      <c r="HZ20" s="56">
        <f t="shared" si="155"/>
        <v>0</v>
      </c>
      <c r="IA20" s="56">
        <f t="shared" si="155"/>
        <v>0</v>
      </c>
      <c r="IB20" s="56">
        <f t="shared" si="155"/>
        <v>0</v>
      </c>
      <c r="IC20" s="56">
        <f t="shared" si="155"/>
        <v>0</v>
      </c>
      <c r="ID20" s="56">
        <f t="shared" si="155"/>
        <v>0</v>
      </c>
      <c r="IE20" s="56">
        <f t="shared" si="155"/>
        <v>0</v>
      </c>
      <c r="IF20" s="56">
        <f t="shared" si="155"/>
        <v>0</v>
      </c>
      <c r="IG20" s="56">
        <f t="shared" si="155"/>
        <v>0</v>
      </c>
      <c r="IH20" s="56">
        <f t="shared" si="155"/>
        <v>0</v>
      </c>
      <c r="II20" s="56">
        <f t="shared" si="155"/>
        <v>0</v>
      </c>
      <c r="IJ20" s="56">
        <f t="shared" si="155"/>
        <v>0</v>
      </c>
      <c r="IK20" s="56">
        <f t="shared" si="155"/>
        <v>0</v>
      </c>
      <c r="IL20" s="56">
        <f t="shared" si="155"/>
        <v>0</v>
      </c>
      <c r="IM20" s="56">
        <f t="shared" si="155"/>
        <v>0</v>
      </c>
      <c r="IN20" s="56">
        <f t="shared" si="155"/>
        <v>0</v>
      </c>
      <c r="IO20" s="56">
        <f t="shared" si="155"/>
        <v>0</v>
      </c>
      <c r="IP20" s="56">
        <f t="shared" si="155"/>
        <v>0</v>
      </c>
      <c r="IQ20" s="56">
        <f t="shared" si="155"/>
        <v>0</v>
      </c>
      <c r="IR20" s="56">
        <f t="shared" si="155"/>
        <v>0</v>
      </c>
      <c r="IS20" s="56">
        <f t="shared" si="155"/>
        <v>0</v>
      </c>
      <c r="IT20" s="56">
        <f t="shared" si="155"/>
        <v>0</v>
      </c>
      <c r="IU20" s="56">
        <f t="shared" si="155"/>
        <v>0</v>
      </c>
      <c r="IV20" s="56">
        <f t="shared" si="155"/>
        <v>0</v>
      </c>
      <c r="IW20" s="56">
        <f t="shared" si="155"/>
        <v>0</v>
      </c>
      <c r="IX20" s="56">
        <f t="shared" si="155"/>
        <v>0</v>
      </c>
      <c r="IY20" s="56">
        <f t="shared" si="155"/>
        <v>0</v>
      </c>
      <c r="IZ20" s="56">
        <f t="shared" si="155"/>
        <v>0</v>
      </c>
      <c r="JA20" s="56">
        <f t="shared" si="155"/>
        <v>0</v>
      </c>
      <c r="JB20" s="56">
        <f t="shared" ref="JB20:LM20" si="156">JA25</f>
        <v>0</v>
      </c>
      <c r="JC20" s="56">
        <f t="shared" si="156"/>
        <v>0</v>
      </c>
      <c r="JD20" s="56">
        <f t="shared" si="156"/>
        <v>0</v>
      </c>
      <c r="JE20" s="56">
        <f t="shared" si="156"/>
        <v>0</v>
      </c>
      <c r="JF20" s="56">
        <f t="shared" si="156"/>
        <v>0</v>
      </c>
      <c r="JG20" s="56">
        <f t="shared" si="156"/>
        <v>0</v>
      </c>
      <c r="JH20" s="56">
        <f t="shared" si="156"/>
        <v>0</v>
      </c>
      <c r="JI20" s="56">
        <f t="shared" si="156"/>
        <v>0</v>
      </c>
      <c r="JJ20" s="56">
        <f t="shared" si="156"/>
        <v>0</v>
      </c>
      <c r="JK20" s="56">
        <f t="shared" si="156"/>
        <v>0</v>
      </c>
      <c r="JL20" s="56">
        <f t="shared" si="156"/>
        <v>0</v>
      </c>
      <c r="JM20" s="56">
        <f t="shared" si="156"/>
        <v>0</v>
      </c>
      <c r="JN20" s="56">
        <f t="shared" si="156"/>
        <v>0</v>
      </c>
      <c r="JO20" s="56">
        <f t="shared" si="156"/>
        <v>0</v>
      </c>
      <c r="JP20" s="56">
        <f t="shared" si="156"/>
        <v>0</v>
      </c>
      <c r="JQ20" s="56">
        <f t="shared" si="156"/>
        <v>0</v>
      </c>
      <c r="JR20" s="56">
        <f t="shared" si="156"/>
        <v>0</v>
      </c>
      <c r="JS20" s="56">
        <f t="shared" si="156"/>
        <v>0</v>
      </c>
      <c r="JT20" s="56">
        <f t="shared" si="156"/>
        <v>0</v>
      </c>
      <c r="JU20" s="56">
        <f t="shared" si="156"/>
        <v>0</v>
      </c>
      <c r="JV20" s="56">
        <f t="shared" si="156"/>
        <v>0</v>
      </c>
      <c r="JW20" s="56">
        <f t="shared" si="156"/>
        <v>0</v>
      </c>
      <c r="JX20" s="56">
        <f t="shared" si="156"/>
        <v>0</v>
      </c>
      <c r="JY20" s="56">
        <f t="shared" si="156"/>
        <v>0</v>
      </c>
      <c r="JZ20" s="56">
        <f t="shared" si="156"/>
        <v>0</v>
      </c>
      <c r="KA20" s="56">
        <f t="shared" si="156"/>
        <v>0</v>
      </c>
      <c r="KB20" s="56">
        <f t="shared" si="156"/>
        <v>0</v>
      </c>
      <c r="KC20" s="56">
        <f t="shared" si="156"/>
        <v>0</v>
      </c>
      <c r="KD20" s="56">
        <f t="shared" si="156"/>
        <v>0</v>
      </c>
      <c r="KE20" s="56">
        <f t="shared" si="156"/>
        <v>0</v>
      </c>
      <c r="KF20" s="56">
        <f t="shared" si="156"/>
        <v>0</v>
      </c>
      <c r="KG20" s="56">
        <f t="shared" si="156"/>
        <v>0</v>
      </c>
      <c r="KH20" s="56">
        <f t="shared" si="156"/>
        <v>0</v>
      </c>
      <c r="KI20" s="56">
        <f t="shared" si="156"/>
        <v>0</v>
      </c>
      <c r="KJ20" s="56">
        <f t="shared" si="156"/>
        <v>0</v>
      </c>
      <c r="KK20" s="56">
        <f t="shared" si="156"/>
        <v>0</v>
      </c>
      <c r="KL20" s="56">
        <f t="shared" si="156"/>
        <v>0</v>
      </c>
      <c r="KM20" s="56">
        <f t="shared" si="156"/>
        <v>0</v>
      </c>
      <c r="KN20" s="56">
        <f t="shared" si="156"/>
        <v>0</v>
      </c>
      <c r="KO20" s="56">
        <f t="shared" si="156"/>
        <v>0</v>
      </c>
      <c r="KP20" s="56">
        <f t="shared" si="156"/>
        <v>0</v>
      </c>
      <c r="KQ20" s="56">
        <f t="shared" si="156"/>
        <v>0</v>
      </c>
      <c r="KR20" s="56">
        <f t="shared" si="156"/>
        <v>0</v>
      </c>
      <c r="KS20" s="56">
        <f t="shared" si="156"/>
        <v>0</v>
      </c>
      <c r="KT20" s="56">
        <f t="shared" si="156"/>
        <v>0</v>
      </c>
      <c r="KU20" s="56">
        <f t="shared" si="156"/>
        <v>0</v>
      </c>
      <c r="KV20" s="56">
        <f t="shared" si="156"/>
        <v>0</v>
      </c>
      <c r="KW20" s="56">
        <f t="shared" si="156"/>
        <v>0</v>
      </c>
      <c r="KX20" s="56">
        <f t="shared" si="156"/>
        <v>0</v>
      </c>
      <c r="KY20" s="56">
        <f t="shared" si="156"/>
        <v>0</v>
      </c>
      <c r="KZ20" s="56">
        <f t="shared" si="156"/>
        <v>0</v>
      </c>
      <c r="LA20" s="56">
        <f t="shared" si="156"/>
        <v>0</v>
      </c>
      <c r="LB20" s="56">
        <f t="shared" si="156"/>
        <v>0</v>
      </c>
      <c r="LC20" s="56">
        <f t="shared" si="156"/>
        <v>0</v>
      </c>
      <c r="LD20" s="56">
        <f t="shared" si="156"/>
        <v>0</v>
      </c>
      <c r="LE20" s="56">
        <f t="shared" si="156"/>
        <v>0</v>
      </c>
      <c r="LF20" s="56">
        <f t="shared" si="156"/>
        <v>0</v>
      </c>
      <c r="LG20" s="56">
        <f t="shared" si="156"/>
        <v>0</v>
      </c>
      <c r="LH20" s="56">
        <f t="shared" si="156"/>
        <v>0</v>
      </c>
      <c r="LI20" s="56">
        <f t="shared" si="156"/>
        <v>0</v>
      </c>
      <c r="LJ20" s="56">
        <f t="shared" si="156"/>
        <v>0</v>
      </c>
      <c r="LK20" s="56">
        <f t="shared" si="156"/>
        <v>0</v>
      </c>
      <c r="LL20" s="56">
        <f t="shared" si="156"/>
        <v>0</v>
      </c>
      <c r="LM20" s="56">
        <f t="shared" si="156"/>
        <v>0</v>
      </c>
      <c r="LN20" s="56">
        <f t="shared" ref="LN20:NY20" si="157">LM25</f>
        <v>0</v>
      </c>
      <c r="LO20" s="56">
        <f t="shared" si="157"/>
        <v>0</v>
      </c>
      <c r="LP20" s="56">
        <f t="shared" si="157"/>
        <v>0</v>
      </c>
      <c r="LQ20" s="56">
        <f t="shared" si="157"/>
        <v>0</v>
      </c>
      <c r="LR20" s="56">
        <f t="shared" si="157"/>
        <v>0</v>
      </c>
      <c r="LS20" s="56">
        <f t="shared" si="157"/>
        <v>0</v>
      </c>
      <c r="LT20" s="56">
        <f t="shared" si="157"/>
        <v>0</v>
      </c>
      <c r="LU20" s="56">
        <f t="shared" si="157"/>
        <v>0</v>
      </c>
      <c r="LV20" s="56">
        <f t="shared" si="157"/>
        <v>0</v>
      </c>
      <c r="LW20" s="56">
        <f t="shared" si="157"/>
        <v>0</v>
      </c>
      <c r="LX20" s="56">
        <f t="shared" si="157"/>
        <v>0</v>
      </c>
      <c r="LY20" s="56">
        <f t="shared" si="157"/>
        <v>0</v>
      </c>
      <c r="LZ20" s="56">
        <f t="shared" si="157"/>
        <v>0</v>
      </c>
      <c r="MA20" s="56">
        <f t="shared" si="157"/>
        <v>0</v>
      </c>
      <c r="MB20" s="56">
        <f t="shared" si="157"/>
        <v>0</v>
      </c>
      <c r="MC20" s="56">
        <f t="shared" si="157"/>
        <v>0</v>
      </c>
      <c r="MD20" s="56">
        <f t="shared" si="157"/>
        <v>0</v>
      </c>
      <c r="ME20" s="56">
        <f t="shared" si="157"/>
        <v>0</v>
      </c>
      <c r="MF20" s="56">
        <f t="shared" si="157"/>
        <v>0</v>
      </c>
      <c r="MG20" s="56">
        <f t="shared" si="157"/>
        <v>0</v>
      </c>
      <c r="MH20" s="56">
        <f t="shared" si="157"/>
        <v>0</v>
      </c>
      <c r="MI20" s="56">
        <f t="shared" si="157"/>
        <v>0</v>
      </c>
      <c r="MJ20" s="56">
        <f t="shared" si="157"/>
        <v>0</v>
      </c>
      <c r="MK20" s="56">
        <f t="shared" si="157"/>
        <v>0</v>
      </c>
      <c r="ML20" s="56">
        <f t="shared" si="157"/>
        <v>0</v>
      </c>
      <c r="MM20" s="56">
        <f t="shared" si="157"/>
        <v>0</v>
      </c>
      <c r="MN20" s="56">
        <f t="shared" si="157"/>
        <v>0</v>
      </c>
      <c r="MO20" s="56">
        <f t="shared" si="157"/>
        <v>0</v>
      </c>
      <c r="MP20" s="56">
        <f t="shared" si="157"/>
        <v>0</v>
      </c>
      <c r="MQ20" s="56">
        <f t="shared" si="157"/>
        <v>0</v>
      </c>
      <c r="MR20" s="56">
        <f t="shared" si="157"/>
        <v>0</v>
      </c>
      <c r="MS20" s="56">
        <f t="shared" si="157"/>
        <v>0</v>
      </c>
      <c r="MT20" s="56">
        <f t="shared" si="157"/>
        <v>0</v>
      </c>
      <c r="MU20" s="56">
        <f t="shared" si="157"/>
        <v>0</v>
      </c>
      <c r="MV20" s="56">
        <f t="shared" si="157"/>
        <v>0</v>
      </c>
      <c r="MW20" s="56">
        <f t="shared" si="157"/>
        <v>0</v>
      </c>
      <c r="MX20" s="56">
        <f t="shared" si="157"/>
        <v>0</v>
      </c>
      <c r="MY20" s="56">
        <f t="shared" si="157"/>
        <v>0</v>
      </c>
      <c r="MZ20" s="56">
        <f t="shared" si="157"/>
        <v>0</v>
      </c>
      <c r="NA20" s="56">
        <f t="shared" si="157"/>
        <v>0</v>
      </c>
      <c r="NB20" s="56">
        <f t="shared" si="157"/>
        <v>0</v>
      </c>
      <c r="NC20" s="56">
        <f t="shared" si="157"/>
        <v>0</v>
      </c>
      <c r="ND20" s="56">
        <f t="shared" si="157"/>
        <v>0</v>
      </c>
      <c r="NE20" s="56">
        <f t="shared" si="157"/>
        <v>0</v>
      </c>
      <c r="NF20" s="56">
        <f t="shared" si="157"/>
        <v>0</v>
      </c>
      <c r="NG20" s="56">
        <f t="shared" si="157"/>
        <v>0</v>
      </c>
      <c r="NH20" s="56">
        <f t="shared" si="157"/>
        <v>0</v>
      </c>
      <c r="NI20" s="56">
        <f t="shared" si="157"/>
        <v>0</v>
      </c>
      <c r="NJ20" s="56">
        <f t="shared" si="157"/>
        <v>0</v>
      </c>
      <c r="NK20" s="56">
        <f t="shared" si="157"/>
        <v>0</v>
      </c>
      <c r="NL20" s="56">
        <f t="shared" si="157"/>
        <v>0</v>
      </c>
      <c r="NM20" s="56">
        <f t="shared" si="157"/>
        <v>0</v>
      </c>
      <c r="NN20" s="56">
        <f t="shared" si="157"/>
        <v>0</v>
      </c>
      <c r="NO20" s="56">
        <f t="shared" si="157"/>
        <v>0</v>
      </c>
      <c r="NP20" s="56">
        <f t="shared" si="157"/>
        <v>0</v>
      </c>
      <c r="NQ20" s="56">
        <f t="shared" si="157"/>
        <v>0</v>
      </c>
      <c r="NR20" s="56">
        <f t="shared" si="157"/>
        <v>0</v>
      </c>
      <c r="NS20" s="56">
        <f t="shared" si="157"/>
        <v>0</v>
      </c>
      <c r="NT20" s="56">
        <f t="shared" si="157"/>
        <v>0</v>
      </c>
      <c r="NU20" s="56">
        <f t="shared" si="157"/>
        <v>0</v>
      </c>
      <c r="NV20" s="56">
        <f t="shared" si="157"/>
        <v>0</v>
      </c>
      <c r="NW20" s="56">
        <f t="shared" si="157"/>
        <v>0</v>
      </c>
      <c r="NX20" s="56">
        <f t="shared" si="157"/>
        <v>0</v>
      </c>
      <c r="NY20" s="56">
        <f t="shared" si="157"/>
        <v>0</v>
      </c>
      <c r="NZ20" s="56">
        <f t="shared" ref="NZ20:QK20" si="158">NY25</f>
        <v>0</v>
      </c>
      <c r="OA20" s="56">
        <f t="shared" si="158"/>
        <v>0</v>
      </c>
      <c r="OB20" s="56">
        <f t="shared" si="158"/>
        <v>0</v>
      </c>
      <c r="OC20" s="56">
        <f t="shared" si="158"/>
        <v>0</v>
      </c>
      <c r="OD20" s="56">
        <f t="shared" si="158"/>
        <v>0</v>
      </c>
      <c r="OE20" s="56">
        <f t="shared" si="158"/>
        <v>0</v>
      </c>
      <c r="OF20" s="56">
        <f t="shared" si="158"/>
        <v>0</v>
      </c>
      <c r="OG20" s="56">
        <f t="shared" si="158"/>
        <v>0</v>
      </c>
      <c r="OH20" s="56">
        <f t="shared" si="158"/>
        <v>0</v>
      </c>
      <c r="OI20" s="56">
        <f t="shared" si="158"/>
        <v>0</v>
      </c>
      <c r="OJ20" s="56">
        <f t="shared" si="158"/>
        <v>0</v>
      </c>
      <c r="OK20" s="56">
        <f t="shared" si="158"/>
        <v>0</v>
      </c>
      <c r="OL20" s="56">
        <f t="shared" si="158"/>
        <v>0</v>
      </c>
      <c r="OM20" s="56">
        <f t="shared" si="158"/>
        <v>0</v>
      </c>
      <c r="ON20" s="56">
        <f t="shared" si="158"/>
        <v>0</v>
      </c>
      <c r="OO20" s="56">
        <f t="shared" si="158"/>
        <v>0</v>
      </c>
      <c r="OP20" s="56">
        <f t="shared" si="158"/>
        <v>0</v>
      </c>
      <c r="OQ20" s="56">
        <f t="shared" si="158"/>
        <v>0</v>
      </c>
      <c r="OR20" s="56">
        <f t="shared" si="158"/>
        <v>0</v>
      </c>
      <c r="OS20" s="56">
        <f t="shared" si="158"/>
        <v>0</v>
      </c>
      <c r="OT20" s="56">
        <f t="shared" si="158"/>
        <v>0</v>
      </c>
      <c r="OU20" s="56">
        <f t="shared" si="158"/>
        <v>0</v>
      </c>
      <c r="OV20" s="56">
        <f t="shared" si="158"/>
        <v>0</v>
      </c>
      <c r="OW20" s="56">
        <f t="shared" si="158"/>
        <v>0</v>
      </c>
      <c r="OX20" s="56">
        <f t="shared" si="158"/>
        <v>0</v>
      </c>
      <c r="OY20" s="56">
        <f t="shared" si="158"/>
        <v>0</v>
      </c>
      <c r="OZ20" s="56">
        <f t="shared" si="158"/>
        <v>0</v>
      </c>
      <c r="PA20" s="56">
        <f t="shared" si="158"/>
        <v>0</v>
      </c>
      <c r="PB20" s="56">
        <f t="shared" si="158"/>
        <v>0</v>
      </c>
      <c r="PC20" s="56">
        <f t="shared" si="158"/>
        <v>0</v>
      </c>
      <c r="PD20" s="56">
        <f t="shared" si="158"/>
        <v>0</v>
      </c>
      <c r="PE20" s="56">
        <f t="shared" si="158"/>
        <v>0</v>
      </c>
      <c r="PF20" s="56">
        <f t="shared" si="158"/>
        <v>0</v>
      </c>
      <c r="PG20" s="56">
        <f t="shared" si="158"/>
        <v>0</v>
      </c>
      <c r="PH20" s="56">
        <f t="shared" si="158"/>
        <v>0</v>
      </c>
      <c r="PI20" s="56">
        <f t="shared" si="158"/>
        <v>0</v>
      </c>
      <c r="PJ20" s="56">
        <f t="shared" si="158"/>
        <v>0</v>
      </c>
      <c r="PK20" s="56">
        <f t="shared" si="158"/>
        <v>0</v>
      </c>
      <c r="PL20" s="56">
        <f t="shared" si="158"/>
        <v>0</v>
      </c>
      <c r="PM20" s="56">
        <f t="shared" si="158"/>
        <v>0</v>
      </c>
      <c r="PN20" s="56">
        <f t="shared" si="158"/>
        <v>0</v>
      </c>
      <c r="PO20" s="56">
        <f t="shared" si="158"/>
        <v>0</v>
      </c>
      <c r="PP20" s="56">
        <f t="shared" si="158"/>
        <v>0</v>
      </c>
      <c r="PQ20" s="56">
        <f t="shared" si="158"/>
        <v>0</v>
      </c>
      <c r="PR20" s="56">
        <f t="shared" si="158"/>
        <v>0</v>
      </c>
      <c r="PS20" s="56">
        <f t="shared" si="158"/>
        <v>0</v>
      </c>
      <c r="PT20" s="56">
        <f t="shared" si="158"/>
        <v>0</v>
      </c>
      <c r="PU20" s="56">
        <f t="shared" si="158"/>
        <v>0</v>
      </c>
      <c r="PV20" s="56">
        <f t="shared" si="158"/>
        <v>0</v>
      </c>
      <c r="PW20" s="56">
        <f t="shared" si="158"/>
        <v>0</v>
      </c>
      <c r="PX20" s="56">
        <f t="shared" si="158"/>
        <v>0</v>
      </c>
      <c r="PY20" s="56">
        <f t="shared" si="158"/>
        <v>0</v>
      </c>
      <c r="PZ20" s="56">
        <f t="shared" si="158"/>
        <v>0</v>
      </c>
      <c r="QA20" s="56">
        <f t="shared" si="158"/>
        <v>0</v>
      </c>
      <c r="QB20" s="56">
        <f t="shared" si="158"/>
        <v>0</v>
      </c>
      <c r="QC20" s="56">
        <f t="shared" si="158"/>
        <v>0</v>
      </c>
      <c r="QD20" s="56">
        <f t="shared" si="158"/>
        <v>0</v>
      </c>
      <c r="QE20" s="56">
        <f t="shared" si="158"/>
        <v>0</v>
      </c>
      <c r="QF20" s="56">
        <f t="shared" si="158"/>
        <v>0</v>
      </c>
      <c r="QG20" s="56">
        <f t="shared" si="158"/>
        <v>0</v>
      </c>
      <c r="QH20" s="56">
        <f t="shared" si="158"/>
        <v>0</v>
      </c>
      <c r="QI20" s="56">
        <f t="shared" si="158"/>
        <v>0</v>
      </c>
      <c r="QJ20" s="56">
        <f t="shared" si="158"/>
        <v>0</v>
      </c>
      <c r="QK20" s="56">
        <f t="shared" si="158"/>
        <v>0</v>
      </c>
      <c r="QL20" s="56">
        <f t="shared" ref="QL20:SW20" si="159">QK25</f>
        <v>0</v>
      </c>
      <c r="QM20" s="56">
        <f t="shared" si="159"/>
        <v>0</v>
      </c>
      <c r="QN20" s="56">
        <f t="shared" si="159"/>
        <v>0</v>
      </c>
      <c r="QO20" s="56">
        <f t="shared" si="159"/>
        <v>0</v>
      </c>
      <c r="QP20" s="56">
        <f t="shared" si="159"/>
        <v>0</v>
      </c>
      <c r="QQ20" s="56">
        <f t="shared" si="159"/>
        <v>0</v>
      </c>
      <c r="QR20" s="56">
        <f t="shared" si="159"/>
        <v>0</v>
      </c>
      <c r="QS20" s="56">
        <f t="shared" si="159"/>
        <v>0</v>
      </c>
      <c r="QT20" s="56">
        <f t="shared" si="159"/>
        <v>0</v>
      </c>
      <c r="QU20" s="56">
        <f t="shared" si="159"/>
        <v>0</v>
      </c>
      <c r="QV20" s="56">
        <f t="shared" si="159"/>
        <v>0</v>
      </c>
      <c r="QW20" s="56">
        <f t="shared" si="159"/>
        <v>0</v>
      </c>
      <c r="QX20" s="56">
        <f t="shared" si="159"/>
        <v>0</v>
      </c>
      <c r="QY20" s="56">
        <f t="shared" si="159"/>
        <v>0</v>
      </c>
      <c r="QZ20" s="56">
        <f t="shared" si="159"/>
        <v>0</v>
      </c>
      <c r="RA20" s="56">
        <f t="shared" si="159"/>
        <v>0</v>
      </c>
      <c r="RB20" s="56">
        <f t="shared" si="159"/>
        <v>0</v>
      </c>
      <c r="RC20" s="56">
        <f t="shared" si="159"/>
        <v>0</v>
      </c>
      <c r="RD20" s="56">
        <f t="shared" si="159"/>
        <v>0</v>
      </c>
      <c r="RE20" s="56">
        <f t="shared" si="159"/>
        <v>0</v>
      </c>
      <c r="RF20" s="56">
        <f t="shared" si="159"/>
        <v>0</v>
      </c>
      <c r="RG20" s="56">
        <f t="shared" si="159"/>
        <v>0</v>
      </c>
      <c r="RH20" s="56">
        <f t="shared" si="159"/>
        <v>0</v>
      </c>
      <c r="RI20" s="56">
        <f t="shared" si="159"/>
        <v>0</v>
      </c>
      <c r="RJ20" s="56">
        <f t="shared" si="159"/>
        <v>0</v>
      </c>
      <c r="RK20" s="56">
        <f t="shared" si="159"/>
        <v>0</v>
      </c>
      <c r="RL20" s="56">
        <f t="shared" si="159"/>
        <v>0</v>
      </c>
      <c r="RM20" s="56">
        <f t="shared" si="159"/>
        <v>0</v>
      </c>
      <c r="RN20" s="56">
        <f t="shared" si="159"/>
        <v>0</v>
      </c>
      <c r="RO20" s="56">
        <f t="shared" si="159"/>
        <v>0</v>
      </c>
      <c r="RP20" s="56">
        <f t="shared" si="159"/>
        <v>0</v>
      </c>
      <c r="RQ20" s="56">
        <f t="shared" si="159"/>
        <v>0</v>
      </c>
      <c r="RR20" s="56">
        <f t="shared" si="159"/>
        <v>0</v>
      </c>
      <c r="RS20" s="56">
        <f t="shared" si="159"/>
        <v>0</v>
      </c>
      <c r="RT20" s="56">
        <f t="shared" si="159"/>
        <v>0</v>
      </c>
      <c r="RU20" s="56">
        <f t="shared" si="159"/>
        <v>0</v>
      </c>
      <c r="RV20" s="56">
        <f t="shared" si="159"/>
        <v>0</v>
      </c>
      <c r="RW20" s="56">
        <f t="shared" si="159"/>
        <v>0</v>
      </c>
      <c r="RX20" s="56">
        <f t="shared" si="159"/>
        <v>0</v>
      </c>
      <c r="RY20" s="56">
        <f t="shared" si="159"/>
        <v>0</v>
      </c>
      <c r="RZ20" s="56">
        <f t="shared" si="159"/>
        <v>0</v>
      </c>
      <c r="SA20" s="56">
        <f t="shared" si="159"/>
        <v>0</v>
      </c>
      <c r="SB20" s="56">
        <f t="shared" si="159"/>
        <v>0</v>
      </c>
      <c r="SC20" s="56">
        <f t="shared" si="159"/>
        <v>0</v>
      </c>
      <c r="SD20" s="56">
        <f t="shared" si="159"/>
        <v>0</v>
      </c>
      <c r="SE20" s="56">
        <f t="shared" si="159"/>
        <v>0</v>
      </c>
      <c r="SF20" s="56">
        <f t="shared" si="159"/>
        <v>0</v>
      </c>
      <c r="SG20" s="56">
        <f t="shared" si="159"/>
        <v>0</v>
      </c>
      <c r="SH20" s="56">
        <f t="shared" si="159"/>
        <v>0</v>
      </c>
      <c r="SI20" s="56">
        <f t="shared" si="159"/>
        <v>0</v>
      </c>
      <c r="SJ20" s="56">
        <f t="shared" si="159"/>
        <v>0</v>
      </c>
      <c r="SK20" s="56">
        <f t="shared" si="159"/>
        <v>0</v>
      </c>
      <c r="SL20" s="56">
        <f t="shared" si="159"/>
        <v>0</v>
      </c>
      <c r="SM20" s="56">
        <f t="shared" si="159"/>
        <v>0</v>
      </c>
      <c r="SN20" s="56">
        <f t="shared" si="159"/>
        <v>0</v>
      </c>
      <c r="SO20" s="56">
        <f t="shared" si="159"/>
        <v>0</v>
      </c>
      <c r="SP20" s="56">
        <f t="shared" si="159"/>
        <v>0</v>
      </c>
      <c r="SQ20" s="56">
        <f t="shared" si="159"/>
        <v>0</v>
      </c>
      <c r="SR20" s="56">
        <f t="shared" si="159"/>
        <v>0</v>
      </c>
      <c r="SS20" s="56">
        <f t="shared" si="159"/>
        <v>0</v>
      </c>
      <c r="ST20" s="56">
        <f t="shared" si="159"/>
        <v>0</v>
      </c>
      <c r="SU20" s="56">
        <f t="shared" si="159"/>
        <v>0</v>
      </c>
      <c r="SV20" s="56">
        <f t="shared" si="159"/>
        <v>0</v>
      </c>
      <c r="SW20" s="56">
        <f t="shared" si="159"/>
        <v>0</v>
      </c>
      <c r="SX20" s="56">
        <f t="shared" ref="SX20:VI20" si="160">SW25</f>
        <v>0</v>
      </c>
      <c r="SY20" s="56">
        <f t="shared" si="160"/>
        <v>0</v>
      </c>
      <c r="SZ20" s="56">
        <f t="shared" si="160"/>
        <v>0</v>
      </c>
      <c r="TA20" s="56">
        <f t="shared" si="160"/>
        <v>0</v>
      </c>
      <c r="TB20" s="56">
        <f t="shared" si="160"/>
        <v>0</v>
      </c>
      <c r="TC20" s="56">
        <f t="shared" si="160"/>
        <v>0</v>
      </c>
      <c r="TD20" s="56">
        <f t="shared" si="160"/>
        <v>0</v>
      </c>
      <c r="TE20" s="56">
        <f t="shared" si="160"/>
        <v>0</v>
      </c>
      <c r="TF20" s="56">
        <f t="shared" si="160"/>
        <v>0</v>
      </c>
      <c r="TG20" s="56">
        <f t="shared" si="160"/>
        <v>0</v>
      </c>
      <c r="TH20" s="56">
        <f t="shared" si="160"/>
        <v>0</v>
      </c>
      <c r="TI20" s="56">
        <f t="shared" si="160"/>
        <v>0</v>
      </c>
      <c r="TJ20" s="56">
        <f t="shared" si="160"/>
        <v>0</v>
      </c>
      <c r="TK20" s="56">
        <f t="shared" si="160"/>
        <v>0</v>
      </c>
      <c r="TL20" s="56">
        <f t="shared" si="160"/>
        <v>0</v>
      </c>
      <c r="TM20" s="56">
        <f t="shared" si="160"/>
        <v>0</v>
      </c>
      <c r="TN20" s="56">
        <f t="shared" si="160"/>
        <v>0</v>
      </c>
      <c r="TO20" s="56">
        <f t="shared" si="160"/>
        <v>0</v>
      </c>
      <c r="TP20" s="56">
        <f t="shared" si="160"/>
        <v>0</v>
      </c>
      <c r="TQ20" s="56">
        <f t="shared" si="160"/>
        <v>0</v>
      </c>
      <c r="TR20" s="56">
        <f t="shared" si="160"/>
        <v>0</v>
      </c>
      <c r="TS20" s="56">
        <f t="shared" si="160"/>
        <v>0</v>
      </c>
      <c r="TT20" s="56">
        <f t="shared" si="160"/>
        <v>0</v>
      </c>
      <c r="TU20" s="56">
        <f t="shared" si="160"/>
        <v>0</v>
      </c>
      <c r="TV20" s="56">
        <f t="shared" si="160"/>
        <v>0</v>
      </c>
      <c r="TW20" s="56">
        <f t="shared" si="160"/>
        <v>0</v>
      </c>
      <c r="TX20" s="56">
        <f t="shared" si="160"/>
        <v>0</v>
      </c>
      <c r="TY20" s="56">
        <f t="shared" si="160"/>
        <v>0</v>
      </c>
      <c r="TZ20" s="56">
        <f t="shared" si="160"/>
        <v>0</v>
      </c>
      <c r="UA20" s="56">
        <f t="shared" si="160"/>
        <v>0</v>
      </c>
      <c r="UB20" s="56">
        <f t="shared" si="160"/>
        <v>0</v>
      </c>
      <c r="UC20" s="56">
        <f t="shared" si="160"/>
        <v>0</v>
      </c>
      <c r="UD20" s="56">
        <f t="shared" si="160"/>
        <v>0</v>
      </c>
      <c r="UE20" s="56">
        <f t="shared" si="160"/>
        <v>0</v>
      </c>
      <c r="UF20" s="56">
        <f t="shared" si="160"/>
        <v>0</v>
      </c>
      <c r="UG20" s="56">
        <f t="shared" si="160"/>
        <v>0</v>
      </c>
      <c r="UH20" s="56">
        <f t="shared" si="160"/>
        <v>0</v>
      </c>
      <c r="UI20" s="56">
        <f t="shared" si="160"/>
        <v>0</v>
      </c>
      <c r="UJ20" s="56">
        <f t="shared" si="160"/>
        <v>0</v>
      </c>
      <c r="UK20" s="56">
        <f t="shared" si="160"/>
        <v>0</v>
      </c>
      <c r="UL20" s="56">
        <f t="shared" si="160"/>
        <v>0</v>
      </c>
      <c r="UM20" s="56">
        <f t="shared" si="160"/>
        <v>0</v>
      </c>
      <c r="UN20" s="56">
        <f t="shared" si="160"/>
        <v>0</v>
      </c>
      <c r="UO20" s="56">
        <f t="shared" si="160"/>
        <v>0</v>
      </c>
      <c r="UP20" s="56">
        <f t="shared" si="160"/>
        <v>0</v>
      </c>
      <c r="UQ20" s="56">
        <f t="shared" si="160"/>
        <v>0</v>
      </c>
      <c r="UR20" s="56">
        <f t="shared" si="160"/>
        <v>0</v>
      </c>
      <c r="US20" s="56">
        <f t="shared" si="160"/>
        <v>0</v>
      </c>
      <c r="UT20" s="56">
        <f t="shared" si="160"/>
        <v>0</v>
      </c>
      <c r="UU20" s="56">
        <f t="shared" si="160"/>
        <v>0</v>
      </c>
      <c r="UV20" s="56">
        <f t="shared" si="160"/>
        <v>0</v>
      </c>
      <c r="UW20" s="56">
        <f t="shared" si="160"/>
        <v>0</v>
      </c>
      <c r="UX20" s="56">
        <f t="shared" si="160"/>
        <v>0</v>
      </c>
      <c r="UY20" s="56">
        <f t="shared" si="160"/>
        <v>0</v>
      </c>
      <c r="UZ20" s="56">
        <f t="shared" si="160"/>
        <v>0</v>
      </c>
      <c r="VA20" s="56">
        <f t="shared" si="160"/>
        <v>0</v>
      </c>
      <c r="VB20" s="56">
        <f t="shared" si="160"/>
        <v>0</v>
      </c>
      <c r="VC20" s="56">
        <f t="shared" si="160"/>
        <v>0</v>
      </c>
      <c r="VD20" s="56">
        <f t="shared" si="160"/>
        <v>0</v>
      </c>
      <c r="VE20" s="56">
        <f t="shared" si="160"/>
        <v>0</v>
      </c>
      <c r="VF20" s="56">
        <f t="shared" si="160"/>
        <v>0</v>
      </c>
      <c r="VG20" s="56">
        <f t="shared" si="160"/>
        <v>0</v>
      </c>
      <c r="VH20" s="56">
        <f t="shared" si="160"/>
        <v>0</v>
      </c>
      <c r="VI20" s="56">
        <f t="shared" si="160"/>
        <v>0</v>
      </c>
      <c r="VJ20" s="56">
        <f t="shared" ref="VJ20:XU20" si="161">VI25</f>
        <v>0</v>
      </c>
      <c r="VK20" s="56">
        <f t="shared" si="161"/>
        <v>0</v>
      </c>
      <c r="VL20" s="56">
        <f t="shared" si="161"/>
        <v>0</v>
      </c>
      <c r="VM20" s="56">
        <f t="shared" si="161"/>
        <v>0</v>
      </c>
      <c r="VN20" s="56">
        <f t="shared" si="161"/>
        <v>0</v>
      </c>
      <c r="VO20" s="56">
        <f t="shared" si="161"/>
        <v>0</v>
      </c>
      <c r="VP20" s="56">
        <f t="shared" si="161"/>
        <v>0</v>
      </c>
      <c r="VQ20" s="56">
        <f t="shared" si="161"/>
        <v>0</v>
      </c>
      <c r="VR20" s="56">
        <f t="shared" si="161"/>
        <v>0</v>
      </c>
      <c r="VS20" s="56">
        <f t="shared" si="161"/>
        <v>0</v>
      </c>
      <c r="VT20" s="56">
        <f t="shared" si="161"/>
        <v>0</v>
      </c>
      <c r="VU20" s="56">
        <f t="shared" si="161"/>
        <v>565470.83333333337</v>
      </c>
      <c r="VV20" s="56">
        <f t="shared" si="161"/>
        <v>580954.55902777787</v>
      </c>
      <c r="VW20" s="56">
        <f t="shared" si="161"/>
        <v>596451.18782696768</v>
      </c>
      <c r="VX20" s="56">
        <f t="shared" si="161"/>
        <v>611960.73048349016</v>
      </c>
      <c r="VY20" s="56">
        <f t="shared" si="161"/>
        <v>627483.19775889302</v>
      </c>
      <c r="VZ20" s="56">
        <f t="shared" si="161"/>
        <v>643018.60042369214</v>
      </c>
      <c r="WA20" s="56">
        <f t="shared" si="161"/>
        <v>658566.94925737858</v>
      </c>
      <c r="WB20" s="56">
        <f t="shared" si="161"/>
        <v>674128.25504842645</v>
      </c>
      <c r="WC20" s="56">
        <f t="shared" si="161"/>
        <v>689702.52859430015</v>
      </c>
      <c r="WD20" s="56">
        <f t="shared" si="161"/>
        <v>705289.78070146206</v>
      </c>
      <c r="WE20" s="56">
        <f t="shared" si="161"/>
        <v>720890.02218537999</v>
      </c>
      <c r="WF20" s="56">
        <f t="shared" si="161"/>
        <v>736503.26387053449</v>
      </c>
      <c r="WG20" s="56">
        <f t="shared" si="161"/>
        <v>902254.51659042656</v>
      </c>
      <c r="WH20" s="56">
        <f t="shared" si="161"/>
        <v>918018.89535425196</v>
      </c>
      <c r="WI20" s="56">
        <f t="shared" si="161"/>
        <v>933796.41110038047</v>
      </c>
      <c r="WJ20" s="56">
        <f t="shared" si="161"/>
        <v>949587.07477629744</v>
      </c>
      <c r="WK20" s="56">
        <f t="shared" si="161"/>
        <v>965390.89733861107</v>
      </c>
      <c r="WL20" s="56">
        <f t="shared" si="161"/>
        <v>981207.88975305995</v>
      </c>
      <c r="WM20" s="56">
        <f t="shared" si="161"/>
        <v>997038.06299452088</v>
      </c>
      <c r="WN20" s="56">
        <f t="shared" si="161"/>
        <v>1012881.4280470163</v>
      </c>
      <c r="WO20" s="56">
        <f t="shared" si="161"/>
        <v>27904.662570388777</v>
      </c>
      <c r="WP20" s="56">
        <f t="shared" si="161"/>
        <v>42940.416455864099</v>
      </c>
      <c r="WQ20" s="56">
        <f t="shared" si="161"/>
        <v>57988.700136243984</v>
      </c>
      <c r="WR20" s="56">
        <f t="shared" si="161"/>
        <v>73049.524053024186</v>
      </c>
      <c r="WS20" s="56">
        <f t="shared" si="161"/>
        <v>238247.8986564017</v>
      </c>
      <c r="WT20" s="56">
        <f t="shared" si="161"/>
        <v>253458.9385719487</v>
      </c>
      <c r="WU20" s="56">
        <f t="shared" si="161"/>
        <v>268682.65435409197</v>
      </c>
      <c r="WV20" s="56">
        <f t="shared" si="161"/>
        <v>283919.05656605371</v>
      </c>
      <c r="WW20" s="56">
        <f t="shared" si="161"/>
        <v>299168.15577985876</v>
      </c>
      <c r="WX20" s="56">
        <f t="shared" si="161"/>
        <v>314429.96257634199</v>
      </c>
      <c r="WY20" s="56">
        <f t="shared" si="161"/>
        <v>329704.48754515563</v>
      </c>
      <c r="WZ20" s="56">
        <f t="shared" si="161"/>
        <v>344991.7412847766</v>
      </c>
      <c r="XA20" s="56">
        <f t="shared" si="161"/>
        <v>360291.73440251389</v>
      </c>
      <c r="XB20" s="56">
        <f t="shared" si="161"/>
        <v>375604.47751451598</v>
      </c>
      <c r="XC20" s="56">
        <f t="shared" si="161"/>
        <v>390929.98124577809</v>
      </c>
      <c r="XD20" s="56">
        <f t="shared" si="161"/>
        <v>406268.25623014959</v>
      </c>
      <c r="XE20" s="56">
        <f t="shared" si="161"/>
        <v>571744.31311034143</v>
      </c>
      <c r="XF20" s="56">
        <f t="shared" si="161"/>
        <v>587233.26670460007</v>
      </c>
      <c r="XG20" s="56">
        <f t="shared" si="161"/>
        <v>602735.12776018726</v>
      </c>
      <c r="XH20" s="56">
        <f t="shared" si="161"/>
        <v>618249.90703332075</v>
      </c>
      <c r="XI20" s="56">
        <f t="shared" si="161"/>
        <v>633777.61528918182</v>
      </c>
      <c r="XJ20" s="56">
        <f t="shared" si="161"/>
        <v>649318.26330192282</v>
      </c>
      <c r="XK20" s="56">
        <f t="shared" si="161"/>
        <v>664871.86185467441</v>
      </c>
      <c r="XL20" s="56">
        <f t="shared" si="161"/>
        <v>680438.42173955333</v>
      </c>
      <c r="XM20" s="56">
        <f t="shared" si="161"/>
        <v>696017.95375766966</v>
      </c>
      <c r="XN20" s="56">
        <f t="shared" si="161"/>
        <v>711610.46871913434</v>
      </c>
      <c r="XO20" s="56">
        <f t="shared" si="161"/>
        <v>727215.97744306701</v>
      </c>
      <c r="XP20" s="56">
        <f t="shared" si="161"/>
        <v>742834.49075760285</v>
      </c>
      <c r="XQ20" s="56">
        <f t="shared" si="161"/>
        <v>908591.01949990087</v>
      </c>
      <c r="XR20" s="56">
        <f t="shared" si="161"/>
        <v>23610.678682817452</v>
      </c>
      <c r="XS20" s="56">
        <f t="shared" si="161"/>
        <v>38642.854248386466</v>
      </c>
      <c r="XT20" s="56">
        <f t="shared" si="161"/>
        <v>53687.556626926787</v>
      </c>
      <c r="XU20" s="56">
        <f t="shared" si="161"/>
        <v>68744.796257449227</v>
      </c>
      <c r="XV20" s="56">
        <f t="shared" ref="XV20:AAG20" si="162">XU25</f>
        <v>83814.583587663772</v>
      </c>
      <c r="XW20" s="56">
        <f t="shared" si="162"/>
        <v>98896.92907398683</v>
      </c>
      <c r="XX20" s="56">
        <f t="shared" si="162"/>
        <v>113991.84318154848</v>
      </c>
      <c r="XY20" s="56">
        <f t="shared" si="162"/>
        <v>29016.003050866439</v>
      </c>
      <c r="XZ20" s="56">
        <f t="shared" si="162"/>
        <v>44052.683053408822</v>
      </c>
      <c r="YA20" s="56">
        <f t="shared" si="162"/>
        <v>59101.893622619995</v>
      </c>
      <c r="YB20" s="56">
        <f t="shared" si="162"/>
        <v>74163.645200638857</v>
      </c>
      <c r="YC20" s="56">
        <f t="shared" si="162"/>
        <v>239362.94823830607</v>
      </c>
      <c r="YD20" s="56">
        <f t="shared" si="162"/>
        <v>254574.91736183799</v>
      </c>
      <c r="YE20" s="56">
        <f t="shared" si="162"/>
        <v>269799.56312630617</v>
      </c>
      <c r="YF20" s="56">
        <f t="shared" si="162"/>
        <v>285036.89609557809</v>
      </c>
      <c r="YG20" s="56">
        <f t="shared" si="162"/>
        <v>300286.92684232444</v>
      </c>
      <c r="YH20" s="56">
        <f t="shared" si="162"/>
        <v>315549.66594802635</v>
      </c>
      <c r="YI20" s="56">
        <f t="shared" si="162"/>
        <v>330825.12400298304</v>
      </c>
      <c r="YJ20" s="56">
        <f t="shared" si="162"/>
        <v>346113.31160631886</v>
      </c>
      <c r="YK20" s="56">
        <f t="shared" si="162"/>
        <v>361414.2393659908</v>
      </c>
      <c r="YL20" s="56">
        <f t="shared" si="162"/>
        <v>376727.9178987958</v>
      </c>
      <c r="YM20" s="56">
        <f t="shared" si="162"/>
        <v>392054.35783037811</v>
      </c>
      <c r="YN20" s="56">
        <f t="shared" si="162"/>
        <v>407393.56979523675</v>
      </c>
      <c r="YO20" s="56">
        <f t="shared" si="162"/>
        <v>572870.56443673267</v>
      </c>
      <c r="YP20" s="56">
        <f t="shared" si="162"/>
        <v>588360.45657376328</v>
      </c>
      <c r="YQ20" s="56">
        <f t="shared" si="162"/>
        <v>603863.25695424143</v>
      </c>
      <c r="YR20" s="56">
        <f t="shared" si="162"/>
        <v>619378.97633503668</v>
      </c>
      <c r="YS20" s="56">
        <f t="shared" si="162"/>
        <v>634907.6254819826</v>
      </c>
      <c r="YT20" s="56">
        <f t="shared" si="162"/>
        <v>650449.21516988426</v>
      </c>
      <c r="YU20" s="56">
        <f t="shared" si="162"/>
        <v>666003.75618252589</v>
      </c>
      <c r="YV20" s="56">
        <f t="shared" si="162"/>
        <v>681571.25931267801</v>
      </c>
      <c r="YW20" s="56">
        <f t="shared" si="162"/>
        <v>697151.73536210519</v>
      </c>
      <c r="YX20" s="56">
        <f t="shared" si="162"/>
        <v>712745.19514157355</v>
      </c>
      <c r="YY20" s="56">
        <f t="shared" si="162"/>
        <v>728351.64947085816</v>
      </c>
      <c r="YZ20" s="56">
        <f t="shared" si="162"/>
        <v>743971.10917875054</v>
      </c>
      <c r="ZA20" s="56">
        <f t="shared" si="162"/>
        <v>909728.58510306617</v>
      </c>
      <c r="ZB20" s="56">
        <f t="shared" si="162"/>
        <v>925499.19225731876</v>
      </c>
      <c r="ZC20" s="56">
        <f t="shared" si="162"/>
        <v>941282.9415841999</v>
      </c>
      <c r="ZD20" s="56">
        <f t="shared" si="162"/>
        <v>957079.8440355201</v>
      </c>
      <c r="ZE20" s="56">
        <f t="shared" si="162"/>
        <v>972889.91057221638</v>
      </c>
      <c r="ZF20" s="56">
        <f t="shared" si="162"/>
        <v>988713.15216435993</v>
      </c>
      <c r="ZG20" s="56">
        <f t="shared" si="162"/>
        <v>1004549.5797911636</v>
      </c>
      <c r="ZH20" s="56">
        <f t="shared" si="162"/>
        <v>1020399.2044409895</v>
      </c>
      <c r="ZI20" s="56">
        <f t="shared" si="162"/>
        <v>1036262.037111357</v>
      </c>
      <c r="ZJ20" s="56">
        <f t="shared" si="162"/>
        <v>1052138.0888089496</v>
      </c>
      <c r="ZK20" s="56">
        <f t="shared" si="162"/>
        <v>1068027.3705496236</v>
      </c>
      <c r="ZL20" s="56">
        <f t="shared" si="162"/>
        <v>1083929.893358415</v>
      </c>
      <c r="ZM20" s="56">
        <f t="shared" si="162"/>
        <v>1249970.6682695469</v>
      </c>
      <c r="ZN20" s="56">
        <f t="shared" si="162"/>
        <v>1266024.8104931049</v>
      </c>
      <c r="ZO20" s="56">
        <f t="shared" si="162"/>
        <v>1282092.3311685158</v>
      </c>
      <c r="ZP20" s="56">
        <f t="shared" si="162"/>
        <v>1298173.2414444897</v>
      </c>
      <c r="ZQ20" s="56">
        <f t="shared" si="162"/>
        <v>1314267.5524790268</v>
      </c>
      <c r="ZR20" s="56">
        <f t="shared" si="162"/>
        <v>1330375.2754394261</v>
      </c>
      <c r="ZS20" s="56">
        <f t="shared" si="162"/>
        <v>1346496.4215022922</v>
      </c>
      <c r="ZT20" s="56">
        <f t="shared" si="162"/>
        <v>1362631.001853544</v>
      </c>
      <c r="ZU20" s="56">
        <f t="shared" si="162"/>
        <v>1378779.027688422</v>
      </c>
      <c r="ZV20" s="56">
        <f t="shared" si="162"/>
        <v>1394940.5102114957</v>
      </c>
      <c r="ZW20" s="56">
        <f t="shared" si="162"/>
        <v>1411115.4606366719</v>
      </c>
      <c r="ZX20" s="56">
        <f t="shared" si="162"/>
        <v>1427303.8901872025</v>
      </c>
      <c r="ZY20" s="56">
        <f t="shared" si="162"/>
        <v>1593630.8100956918</v>
      </c>
      <c r="ZZ20" s="56">
        <f t="shared" si="162"/>
        <v>1609971.3357707716</v>
      </c>
      <c r="AAA20" s="56">
        <f t="shared" si="162"/>
        <v>1626325.4785505806</v>
      </c>
      <c r="AAB20" s="56">
        <f t="shared" si="162"/>
        <v>1642693.2497827061</v>
      </c>
      <c r="AAC20" s="56">
        <f t="shared" si="162"/>
        <v>1659074.6608241918</v>
      </c>
      <c r="AAD20" s="56">
        <f t="shared" si="162"/>
        <v>1675469.7230415451</v>
      </c>
      <c r="AAE20" s="56">
        <f t="shared" si="162"/>
        <v>1691878.4478107465</v>
      </c>
      <c r="AAF20" s="56">
        <f t="shared" si="162"/>
        <v>1708300.8465172555</v>
      </c>
      <c r="AAG20" s="56">
        <f t="shared" si="162"/>
        <v>1724736.93055602</v>
      </c>
      <c r="AAH20" s="56">
        <f t="shared" ref="AAH20:ACS20" si="163">AAG25</f>
        <v>1741186.7113314834</v>
      </c>
      <c r="AAI20" s="56">
        <f t="shared" si="163"/>
        <v>1757650.2002575931</v>
      </c>
      <c r="AAJ20" s="56">
        <f t="shared" si="163"/>
        <v>1774127.4087578077</v>
      </c>
      <c r="AAK20" s="56">
        <f t="shared" si="163"/>
        <v>1775605.8482651059</v>
      </c>
      <c r="AAL20" s="56">
        <f t="shared" si="163"/>
        <v>1777085.5198053268</v>
      </c>
      <c r="AAM20" s="56">
        <f t="shared" si="163"/>
        <v>1778566.4244051646</v>
      </c>
      <c r="AAN20" s="56">
        <f t="shared" si="163"/>
        <v>1780048.5630921689</v>
      </c>
      <c r="AAO20" s="56">
        <f t="shared" si="163"/>
        <v>1781531.9368947458</v>
      </c>
      <c r="AAP20" s="56">
        <f t="shared" si="163"/>
        <v>1783016.5468421581</v>
      </c>
      <c r="AAQ20" s="56">
        <f t="shared" si="163"/>
        <v>1784502.3939645265</v>
      </c>
      <c r="AAR20" s="56">
        <f t="shared" si="163"/>
        <v>1785989.4792928302</v>
      </c>
      <c r="AAS20" s="56">
        <f t="shared" si="163"/>
        <v>1787477.8038589077</v>
      </c>
      <c r="AAT20" s="56">
        <f t="shared" si="163"/>
        <v>1788967.3686954568</v>
      </c>
      <c r="AAU20" s="56">
        <f t="shared" si="163"/>
        <v>1790458.1748360363</v>
      </c>
      <c r="AAV20" s="56">
        <f t="shared" si="163"/>
        <v>1791950.2233150664</v>
      </c>
      <c r="AAW20" s="56">
        <f t="shared" si="163"/>
        <v>1793443.5151678289</v>
      </c>
      <c r="AAX20" s="56">
        <f t="shared" si="163"/>
        <v>1794938.0514304687</v>
      </c>
      <c r="AAY20" s="56">
        <f t="shared" si="163"/>
        <v>1796433.8331399942</v>
      </c>
      <c r="AAZ20" s="56">
        <f t="shared" si="163"/>
        <v>1797930.8613342775</v>
      </c>
      <c r="ABA20" s="56">
        <f t="shared" si="163"/>
        <v>1799429.1370520561</v>
      </c>
      <c r="ABB20" s="56">
        <f t="shared" si="163"/>
        <v>1800928.6613329328</v>
      </c>
      <c r="ABC20" s="56">
        <f t="shared" si="163"/>
        <v>1802429.4352173768</v>
      </c>
      <c r="ABD20" s="56">
        <f t="shared" si="163"/>
        <v>1803931.4597467247</v>
      </c>
      <c r="ABE20" s="56">
        <f t="shared" si="163"/>
        <v>1805434.7359631802</v>
      </c>
      <c r="ABF20" s="56">
        <f t="shared" si="163"/>
        <v>1806939.2649098162</v>
      </c>
      <c r="ABG20" s="56">
        <f t="shared" si="163"/>
        <v>1808445.0476305743</v>
      </c>
      <c r="ABH20" s="56">
        <f t="shared" si="163"/>
        <v>1809952.0851702665</v>
      </c>
      <c r="ABI20" s="56">
        <f t="shared" si="163"/>
        <v>1811460.3785745751</v>
      </c>
      <c r="ABJ20" s="56">
        <f t="shared" si="163"/>
        <v>1812969.9288900539</v>
      </c>
      <c r="ABK20" s="56">
        <f t="shared" si="163"/>
        <v>1814480.737164129</v>
      </c>
      <c r="ABL20" s="56">
        <f t="shared" si="163"/>
        <v>1815992.8044450991</v>
      </c>
      <c r="ABM20" s="56">
        <f t="shared" si="163"/>
        <v>1817506.1317821366</v>
      </c>
      <c r="ABN20" s="56">
        <f t="shared" si="163"/>
        <v>1819020.7202252883</v>
      </c>
      <c r="ABO20" s="56">
        <f t="shared" si="163"/>
        <v>1820536.570825476</v>
      </c>
      <c r="ABP20" s="56">
        <f t="shared" si="163"/>
        <v>1822053.6846344972</v>
      </c>
      <c r="ABQ20" s="56">
        <f t="shared" si="163"/>
        <v>1823572.062705026</v>
      </c>
      <c r="ABR20" s="56">
        <f t="shared" si="163"/>
        <v>1825091.7060906135</v>
      </c>
      <c r="ABS20" s="56">
        <f t="shared" si="163"/>
        <v>1826612.6158456891</v>
      </c>
      <c r="ABT20" s="56">
        <f t="shared" si="163"/>
        <v>1828134.7930255604</v>
      </c>
      <c r="ABU20" s="56">
        <f t="shared" si="163"/>
        <v>1829658.2386864151</v>
      </c>
      <c r="ABV20" s="56">
        <f t="shared" si="163"/>
        <v>1831182.9538853206</v>
      </c>
      <c r="ABW20" s="56">
        <f t="shared" si="163"/>
        <v>1832708.939680225</v>
      </c>
      <c r="ABX20" s="56">
        <f t="shared" si="163"/>
        <v>1834236.1971299585</v>
      </c>
      <c r="ABY20" s="56">
        <f t="shared" si="163"/>
        <v>1835764.7272942334</v>
      </c>
      <c r="ABZ20" s="56">
        <f t="shared" si="163"/>
        <v>1837294.5312336453</v>
      </c>
      <c r="ACA20" s="56">
        <f t="shared" si="163"/>
        <v>1838825.6100096733</v>
      </c>
      <c r="ACB20" s="56">
        <f t="shared" si="163"/>
        <v>1840357.9646846813</v>
      </c>
      <c r="ACC20" s="56">
        <f t="shared" si="163"/>
        <v>1841891.5963219185</v>
      </c>
      <c r="ACD20" s="56">
        <f t="shared" si="163"/>
        <v>1843426.5059855201</v>
      </c>
      <c r="ACE20" s="56">
        <f t="shared" si="163"/>
        <v>1844962.694740508</v>
      </c>
      <c r="ACF20" s="56">
        <f t="shared" si="163"/>
        <v>1846500.1636527916</v>
      </c>
      <c r="ACG20" s="56">
        <f t="shared" si="163"/>
        <v>1848038.9137891689</v>
      </c>
      <c r="ACH20" s="56">
        <f t="shared" si="163"/>
        <v>1849578.9462173267</v>
      </c>
      <c r="ACI20" s="56">
        <f t="shared" si="163"/>
        <v>1851120.2620058411</v>
      </c>
      <c r="ACJ20" s="56">
        <f t="shared" si="163"/>
        <v>1852662.8622241793</v>
      </c>
      <c r="ACK20" s="56">
        <f t="shared" si="163"/>
        <v>1854206.7479426996</v>
      </c>
      <c r="ACL20" s="56">
        <f t="shared" si="163"/>
        <v>1855751.9202326518</v>
      </c>
      <c r="ACM20" s="56">
        <f t="shared" si="163"/>
        <v>1857298.380166179</v>
      </c>
      <c r="ACN20" s="56">
        <f t="shared" si="163"/>
        <v>1858846.1288163175</v>
      </c>
      <c r="ACO20" s="56">
        <f t="shared" si="163"/>
        <v>1860395.1672569979</v>
      </c>
      <c r="ACP20" s="56">
        <f t="shared" si="163"/>
        <v>1861945.4965630453</v>
      </c>
      <c r="ACQ20" s="56">
        <f t="shared" si="163"/>
        <v>1863497.1178101811</v>
      </c>
      <c r="ACR20" s="56">
        <f t="shared" si="163"/>
        <v>1865050.0320750228</v>
      </c>
      <c r="ACS20" s="56">
        <f t="shared" si="163"/>
        <v>1866604.2404350853</v>
      </c>
      <c r="ACT20" s="56">
        <f t="shared" ref="ACT20:AFE20" si="164">ACS25</f>
        <v>1868159.7439687811</v>
      </c>
      <c r="ACU20" s="56">
        <f t="shared" si="164"/>
        <v>1869716.5437554216</v>
      </c>
      <c r="ACV20" s="56">
        <f t="shared" si="164"/>
        <v>1871274.6408752177</v>
      </c>
      <c r="ACW20" s="56">
        <f t="shared" si="164"/>
        <v>1872834.0364092805</v>
      </c>
      <c r="ACX20" s="56">
        <f t="shared" si="164"/>
        <v>1874394.7314396217</v>
      </c>
      <c r="ACY20" s="56">
        <f t="shared" si="164"/>
        <v>1875956.7270491547</v>
      </c>
      <c r="ACZ20" s="56">
        <f t="shared" si="164"/>
        <v>1877520.0243216956</v>
      </c>
      <c r="ADA20" s="56">
        <f t="shared" si="164"/>
        <v>1879084.6243419636</v>
      </c>
      <c r="ADB20" s="56">
        <f t="shared" si="164"/>
        <v>1880650.5281955819</v>
      </c>
      <c r="ADC20" s="56">
        <f t="shared" si="164"/>
        <v>1882217.7369690782</v>
      </c>
      <c r="ADD20" s="56">
        <f t="shared" si="164"/>
        <v>1883786.2517498857</v>
      </c>
      <c r="ADE20" s="56">
        <f t="shared" si="164"/>
        <v>1885356.0736263439</v>
      </c>
      <c r="ADF20" s="56">
        <f t="shared" si="164"/>
        <v>1886927.203687699</v>
      </c>
      <c r="ADG20" s="56">
        <f t="shared" si="164"/>
        <v>1888499.6430241053</v>
      </c>
      <c r="ADH20" s="56">
        <f t="shared" si="164"/>
        <v>1890073.3927266255</v>
      </c>
      <c r="ADI20" s="56">
        <f t="shared" si="164"/>
        <v>1891648.4538872312</v>
      </c>
      <c r="ADJ20" s="56">
        <f t="shared" si="164"/>
        <v>1893224.8275988039</v>
      </c>
      <c r="ADK20" s="56">
        <f t="shared" si="164"/>
        <v>1894802.5149551362</v>
      </c>
      <c r="ADL20" s="56">
        <f t="shared" si="164"/>
        <v>1896381.5170509322</v>
      </c>
      <c r="ADM20" s="56">
        <f t="shared" si="164"/>
        <v>1897961.834981808</v>
      </c>
      <c r="ADN20" s="56">
        <f t="shared" si="164"/>
        <v>1899543.4698442928</v>
      </c>
      <c r="ADO20" s="56">
        <f t="shared" si="164"/>
        <v>1901126.4227358298</v>
      </c>
      <c r="ADP20" s="56">
        <f t="shared" si="164"/>
        <v>1902710.6947547763</v>
      </c>
      <c r="ADQ20" s="56">
        <f t="shared" si="164"/>
        <v>1904296.2870004054</v>
      </c>
      <c r="ADR20" s="56">
        <f t="shared" si="164"/>
        <v>1905883.2005729056</v>
      </c>
      <c r="ADS20" s="56">
        <f t="shared" si="164"/>
        <v>1907471.4365733829</v>
      </c>
      <c r="ADT20" s="56">
        <f t="shared" si="164"/>
        <v>1909060.9961038607</v>
      </c>
      <c r="ADU20" s="56">
        <f t="shared" si="164"/>
        <v>1910651.8802672806</v>
      </c>
      <c r="ADV20" s="56">
        <f t="shared" si="164"/>
        <v>1912244.0901675033</v>
      </c>
      <c r="ADW20" s="56">
        <f t="shared" si="164"/>
        <v>1913837.6269093095</v>
      </c>
      <c r="ADX20" s="56">
        <f t="shared" si="164"/>
        <v>1915432.4915984005</v>
      </c>
      <c r="ADY20" s="56">
        <f t="shared" si="164"/>
        <v>1917028.6853413992</v>
      </c>
      <c r="ADZ20" s="56">
        <f t="shared" si="164"/>
        <v>1918626.2092458503</v>
      </c>
      <c r="AEA20" s="56">
        <f t="shared" si="164"/>
        <v>1920225.0644202218</v>
      </c>
      <c r="AEB20" s="56">
        <f t="shared" si="164"/>
        <v>1921825.2519739054</v>
      </c>
      <c r="AEC20" s="56">
        <f t="shared" si="164"/>
        <v>1923426.7730172169</v>
      </c>
      <c r="AED20" s="56">
        <f t="shared" si="164"/>
        <v>1925029.6286613978</v>
      </c>
      <c r="AEE20" s="56">
        <f t="shared" si="164"/>
        <v>1926633.8200186156</v>
      </c>
      <c r="AEF20" s="56">
        <f t="shared" si="164"/>
        <v>1928239.3482019645</v>
      </c>
      <c r="AEG20" s="56">
        <f t="shared" si="164"/>
        <v>1929846.2143254662</v>
      </c>
      <c r="AEH20" s="56">
        <f t="shared" si="164"/>
        <v>1931454.4195040707</v>
      </c>
      <c r="AEI20" s="56">
        <f t="shared" si="164"/>
        <v>1933063.9648536574</v>
      </c>
      <c r="AEJ20" s="56">
        <f t="shared" si="164"/>
        <v>1934674.8514910354</v>
      </c>
      <c r="AEK20" s="56">
        <f t="shared" si="164"/>
        <v>1936287.0805339445</v>
      </c>
      <c r="AEL20" s="56">
        <f t="shared" si="164"/>
        <v>1937900.6531010561</v>
      </c>
      <c r="AEM20" s="56">
        <f t="shared" si="164"/>
        <v>1939515.5703119736</v>
      </c>
      <c r="AEN20" s="56">
        <f t="shared" si="164"/>
        <v>1941131.8332872335</v>
      </c>
      <c r="AEO20" s="56">
        <f t="shared" si="164"/>
        <v>1942749.4431483061</v>
      </c>
      <c r="AEP20" s="56">
        <f t="shared" si="164"/>
        <v>1944368.4010175962</v>
      </c>
      <c r="AEQ20" s="56">
        <f t="shared" si="164"/>
        <v>1945988.7080184442</v>
      </c>
      <c r="AER20" s="56">
        <f t="shared" si="164"/>
        <v>1947610.3652751262</v>
      </c>
      <c r="AES20" s="56">
        <f t="shared" si="164"/>
        <v>1949233.3739128555</v>
      </c>
      <c r="AET20" s="56">
        <f t="shared" si="164"/>
        <v>1950857.7350577828</v>
      </c>
      <c r="AEU20" s="56">
        <f t="shared" si="164"/>
        <v>1952483.4498369978</v>
      </c>
      <c r="AEV20" s="56">
        <f t="shared" si="164"/>
        <v>1954110.5193785287</v>
      </c>
      <c r="AEW20" s="56">
        <f t="shared" si="164"/>
        <v>1955738.9448113441</v>
      </c>
      <c r="AEX20" s="56">
        <f t="shared" si="164"/>
        <v>1957368.7272653535</v>
      </c>
      <c r="AEY20" s="56">
        <f t="shared" si="164"/>
        <v>1958999.8678714081</v>
      </c>
      <c r="AEZ20" s="56">
        <f t="shared" si="164"/>
        <v>1960632.3677613009</v>
      </c>
      <c r="AFA20" s="56">
        <f t="shared" si="164"/>
        <v>1962266.2280677687</v>
      </c>
      <c r="AFB20" s="56">
        <f t="shared" si="164"/>
        <v>1963901.4499244918</v>
      </c>
      <c r="AFC20" s="56">
        <f t="shared" si="164"/>
        <v>1965538.0344660955</v>
      </c>
      <c r="AFD20" s="56">
        <f t="shared" si="164"/>
        <v>1967175.9828281505</v>
      </c>
      <c r="AFE20" s="56">
        <f t="shared" si="164"/>
        <v>1968815.296147174</v>
      </c>
      <c r="AFF20" s="56">
        <f t="shared" ref="AFF20:AHQ20" si="165">AFE25</f>
        <v>1970455.97556063</v>
      </c>
      <c r="AFG20" s="56">
        <f t="shared" si="165"/>
        <v>1972098.0222069304</v>
      </c>
      <c r="AFH20" s="56">
        <f t="shared" si="165"/>
        <v>1973741.4372254363</v>
      </c>
      <c r="AFI20" s="56">
        <f t="shared" si="165"/>
        <v>1975386.2217564576</v>
      </c>
      <c r="AFJ20" s="56">
        <f t="shared" si="165"/>
        <v>1977032.3769412546</v>
      </c>
      <c r="AFK20" s="56">
        <f t="shared" si="165"/>
        <v>1978679.9039220391</v>
      </c>
      <c r="AFL20" s="56">
        <f t="shared" si="165"/>
        <v>1980328.8038419741</v>
      </c>
      <c r="AFM20" s="56">
        <f t="shared" si="165"/>
        <v>1981979.0778451758</v>
      </c>
      <c r="AFN20" s="56">
        <f t="shared" si="165"/>
        <v>1983630.7270767135</v>
      </c>
      <c r="AFO20" s="56">
        <f t="shared" si="165"/>
        <v>1985283.7526826106</v>
      </c>
      <c r="AFP20" s="56">
        <f t="shared" si="165"/>
        <v>1986938.1558098462</v>
      </c>
      <c r="AFQ20" s="56">
        <f t="shared" si="165"/>
        <v>1988593.9376063545</v>
      </c>
      <c r="AFR20" s="56">
        <f t="shared" si="165"/>
        <v>1990251.0992210265</v>
      </c>
      <c r="AFS20" s="56">
        <f t="shared" si="165"/>
        <v>1991909.6418037107</v>
      </c>
      <c r="AFT20" s="56">
        <f t="shared" si="165"/>
        <v>1993569.5665052137</v>
      </c>
      <c r="AFU20" s="56">
        <f t="shared" si="165"/>
        <v>1995230.8744773015</v>
      </c>
      <c r="AFV20" s="56">
        <f t="shared" si="165"/>
        <v>1996893.5668726992</v>
      </c>
      <c r="AFW20" s="56">
        <f t="shared" si="165"/>
        <v>1998557.6448450931</v>
      </c>
      <c r="AFX20" s="56">
        <f t="shared" si="165"/>
        <v>2000223.1095491308</v>
      </c>
      <c r="AFY20" s="56">
        <f t="shared" si="165"/>
        <v>2001889.9621404216</v>
      </c>
      <c r="AFZ20" s="56">
        <f t="shared" si="165"/>
        <v>2003558.2037755386</v>
      </c>
      <c r="AGA20" s="56">
        <f t="shared" si="165"/>
        <v>2005227.8356120181</v>
      </c>
      <c r="AGB20" s="56">
        <f t="shared" si="165"/>
        <v>2006898.8588083615</v>
      </c>
      <c r="AGC20" s="56">
        <f t="shared" si="165"/>
        <v>2008571.2745240352</v>
      </c>
      <c r="AGD20" s="56">
        <f t="shared" si="165"/>
        <v>2010245.0839194718</v>
      </c>
      <c r="AGE20" s="56">
        <f t="shared" si="165"/>
        <v>2011920.2881560714</v>
      </c>
      <c r="AGF20" s="56">
        <f t="shared" si="165"/>
        <v>2013596.8883962014</v>
      </c>
      <c r="AGG20" s="56">
        <f t="shared" si="165"/>
        <v>2015274.8858031982</v>
      </c>
      <c r="AGH20" s="56">
        <f t="shared" si="165"/>
        <v>2016954.2815413675</v>
      </c>
      <c r="AGI20" s="56">
        <f t="shared" si="165"/>
        <v>2018635.0767759853</v>
      </c>
      <c r="AGJ20" s="56">
        <f t="shared" si="165"/>
        <v>2020317.2726732986</v>
      </c>
      <c r="AGK20" s="56">
        <f t="shared" si="165"/>
        <v>2022000.8704005263</v>
      </c>
      <c r="AGL20" s="56">
        <f t="shared" si="165"/>
        <v>2023685.8711258601</v>
      </c>
      <c r="AGM20" s="56">
        <f t="shared" si="165"/>
        <v>2025372.2760184649</v>
      </c>
      <c r="AGN20" s="56">
        <f t="shared" si="165"/>
        <v>2027060.0862484802</v>
      </c>
      <c r="AGO20" s="56">
        <f t="shared" si="165"/>
        <v>2028749.3029870207</v>
      </c>
      <c r="AGP20" s="56">
        <f t="shared" si="165"/>
        <v>2030439.9274061765</v>
      </c>
      <c r="AGQ20" s="56">
        <f t="shared" si="165"/>
        <v>2032131.9606790149</v>
      </c>
      <c r="AGR20" s="56">
        <f t="shared" si="165"/>
        <v>2033825.4039795808</v>
      </c>
      <c r="AGS20" s="56">
        <f t="shared" si="165"/>
        <v>2035520.2584828972</v>
      </c>
      <c r="AGT20" s="56">
        <f t="shared" si="165"/>
        <v>2037216.5253649664</v>
      </c>
      <c r="AGU20" s="56">
        <f t="shared" si="165"/>
        <v>2038914.2058027706</v>
      </c>
      <c r="AGV20" s="56">
        <f t="shared" si="165"/>
        <v>2040613.3009742729</v>
      </c>
      <c r="AGW20" s="56">
        <f t="shared" si="165"/>
        <v>2042313.8120584181</v>
      </c>
      <c r="AGX20" s="56">
        <f t="shared" si="165"/>
        <v>2044015.7402351333</v>
      </c>
      <c r="AGY20" s="56">
        <f t="shared" si="165"/>
        <v>2045719.0866853292</v>
      </c>
      <c r="AGZ20" s="56">
        <f t="shared" si="165"/>
        <v>2047423.8525909004</v>
      </c>
      <c r="AHA20" s="56">
        <f t="shared" si="165"/>
        <v>2049130.0391347262</v>
      </c>
      <c r="AHB20" s="56">
        <f t="shared" si="165"/>
        <v>2050837.6475006717</v>
      </c>
      <c r="AHC20" s="56">
        <f t="shared" si="165"/>
        <v>2052546.6788735888</v>
      </c>
      <c r="AHD20" s="56">
        <f t="shared" si="165"/>
        <v>2054257.1344393168</v>
      </c>
      <c r="AHE20" s="56">
        <f t="shared" si="165"/>
        <v>2055969.0153846829</v>
      </c>
      <c r="AHF20" s="56">
        <f t="shared" si="165"/>
        <v>2057682.3228975034</v>
      </c>
      <c r="AHG20" s="56">
        <f t="shared" si="165"/>
        <v>2059397.0581665847</v>
      </c>
      <c r="AHH20" s="56">
        <f t="shared" si="165"/>
        <v>2061113.2223817236</v>
      </c>
      <c r="AHI20" s="56">
        <f t="shared" si="165"/>
        <v>2062830.8167337084</v>
      </c>
      <c r="AHJ20" s="56">
        <f t="shared" si="165"/>
        <v>2064549.8424143197</v>
      </c>
      <c r="AHK20" s="56">
        <f t="shared" si="165"/>
        <v>2066270.3006163316</v>
      </c>
      <c r="AHL20" s="56">
        <f t="shared" si="165"/>
        <v>2067992.1925335119</v>
      </c>
      <c r="AHM20" s="56">
        <f t="shared" si="165"/>
        <v>2069715.5193606231</v>
      </c>
      <c r="AHN20" s="56">
        <f t="shared" si="165"/>
        <v>2071440.2822934235</v>
      </c>
      <c r="AHO20" s="56">
        <f t="shared" si="165"/>
        <v>2073166.4825286681</v>
      </c>
      <c r="AHP20" s="56">
        <f t="shared" si="165"/>
        <v>2074894.1212641087</v>
      </c>
      <c r="AHQ20" s="56">
        <f t="shared" si="165"/>
        <v>2076623.1996984954</v>
      </c>
      <c r="AHR20" s="56">
        <f t="shared" ref="AHR20:AKC20" si="166">AHQ25</f>
        <v>2078353.7190315775</v>
      </c>
      <c r="AHS20" s="56">
        <f t="shared" si="166"/>
        <v>2080085.6804641038</v>
      </c>
      <c r="AHT20" s="56">
        <f t="shared" si="166"/>
        <v>2081819.0851978238</v>
      </c>
      <c r="AHU20" s="56">
        <f t="shared" si="166"/>
        <v>2083553.9344354887</v>
      </c>
      <c r="AHV20" s="56">
        <f t="shared" si="166"/>
        <v>2085290.2293808516</v>
      </c>
      <c r="AHW20" s="56">
        <f t="shared" si="166"/>
        <v>2087027.971238669</v>
      </c>
      <c r="AHX20" s="56">
        <f t="shared" si="166"/>
        <v>2088767.1612147011</v>
      </c>
      <c r="AHY20" s="56">
        <f t="shared" si="166"/>
        <v>2090507.8005157134</v>
      </c>
      <c r="AHZ20" s="56">
        <f t="shared" si="166"/>
        <v>2092249.8903494766</v>
      </c>
      <c r="AIA20" s="56">
        <f t="shared" si="166"/>
        <v>2093993.4319247678</v>
      </c>
      <c r="AIB20" s="56">
        <f t="shared" si="166"/>
        <v>2095738.4264513717</v>
      </c>
      <c r="AIC20" s="56">
        <f t="shared" si="166"/>
        <v>2097484.8751400812</v>
      </c>
      <c r="AID20" s="56">
        <f t="shared" si="166"/>
        <v>2099232.7792026978</v>
      </c>
      <c r="AIE20" s="56">
        <f t="shared" si="166"/>
        <v>2100982.1398520335</v>
      </c>
      <c r="AIF20" s="56">
        <f t="shared" si="166"/>
        <v>2102732.9583019102</v>
      </c>
      <c r="AIG20" s="56">
        <f t="shared" si="166"/>
        <v>2104485.2357671619</v>
      </c>
      <c r="AIH20" s="56">
        <f t="shared" si="166"/>
        <v>2106238.9734636345</v>
      </c>
      <c r="AII20" s="56">
        <f t="shared" si="166"/>
        <v>2107994.1726081874</v>
      </c>
      <c r="AIJ20" s="56">
        <f t="shared" si="166"/>
        <v>2109750.834418694</v>
      </c>
      <c r="AIK20" s="56">
        <f t="shared" si="166"/>
        <v>2111508.9601140427</v>
      </c>
      <c r="AIL20" s="56">
        <f t="shared" si="166"/>
        <v>2113268.5509141376</v>
      </c>
      <c r="AIM20" s="56">
        <f t="shared" si="166"/>
        <v>2115029.6080398993</v>
      </c>
      <c r="AIN20" s="56">
        <f t="shared" si="166"/>
        <v>2116792.1327132657</v>
      </c>
      <c r="AIO20" s="56">
        <f t="shared" si="166"/>
        <v>2118556.1261571934</v>
      </c>
      <c r="AIP20" s="56">
        <f t="shared" si="166"/>
        <v>2120321.5895956578</v>
      </c>
      <c r="AIQ20" s="56">
        <f t="shared" si="166"/>
        <v>2122088.5242536543</v>
      </c>
      <c r="AIR20" s="56">
        <f t="shared" si="166"/>
        <v>2123856.9313571989</v>
      </c>
      <c r="AIS20" s="56">
        <f t="shared" si="166"/>
        <v>2125626.8121333299</v>
      </c>
      <c r="AIT20" s="56">
        <f t="shared" si="166"/>
        <v>2127398.1678101076</v>
      </c>
      <c r="AIU20" s="56">
        <f t="shared" si="166"/>
        <v>2129170.9996166159</v>
      </c>
      <c r="AIV20" s="56">
        <f t="shared" si="166"/>
        <v>2130945.3087829631</v>
      </c>
      <c r="AIW20" s="56">
        <f t="shared" si="166"/>
        <v>2132721.096540282</v>
      </c>
      <c r="AIX20" s="56">
        <f t="shared" si="166"/>
        <v>2134498.3641207321</v>
      </c>
      <c r="AIY20" s="56">
        <f t="shared" si="166"/>
        <v>2136277.1127574993</v>
      </c>
      <c r="AIZ20" s="56">
        <f t="shared" si="166"/>
        <v>2138057.3436847972</v>
      </c>
      <c r="AJA20" s="56">
        <f t="shared" si="166"/>
        <v>2139839.0581378681</v>
      </c>
      <c r="AJB20" s="56">
        <f t="shared" si="166"/>
        <v>2141622.2573529831</v>
      </c>
      <c r="AJC20" s="56">
        <f t="shared" si="166"/>
        <v>2143406.9425674439</v>
      </c>
      <c r="AJD20" s="56">
        <f t="shared" si="166"/>
        <v>2145193.1150195836</v>
      </c>
      <c r="AJE20" s="56">
        <f t="shared" si="166"/>
        <v>2146980.7759487666</v>
      </c>
      <c r="AJF20" s="56">
        <f t="shared" si="166"/>
        <v>2148769.9265953908</v>
      </c>
      <c r="AJG20" s="56">
        <f t="shared" si="166"/>
        <v>2150560.5682008867</v>
      </c>
      <c r="AJH20" s="56">
        <f t="shared" si="166"/>
        <v>2152352.7020077207</v>
      </c>
      <c r="AJI20" s="56">
        <f t="shared" si="166"/>
        <v>2154146.3292593937</v>
      </c>
      <c r="AJJ20" s="56">
        <f t="shared" si="166"/>
        <v>2155941.4512004433</v>
      </c>
      <c r="AJK20" s="56">
        <f t="shared" si="166"/>
        <v>2157738.0690764436</v>
      </c>
      <c r="AJL20" s="56">
        <f t="shared" si="166"/>
        <v>2159536.1841340074</v>
      </c>
      <c r="AJM20" s="56">
        <f t="shared" si="166"/>
        <v>2161335.7976207859</v>
      </c>
      <c r="AJN20" s="56">
        <f t="shared" si="166"/>
        <v>2163136.9107854697</v>
      </c>
      <c r="AJO20" s="56">
        <f t="shared" si="166"/>
        <v>2164939.5248777908</v>
      </c>
      <c r="AJP20" s="56">
        <f t="shared" si="166"/>
        <v>2166743.6411485225</v>
      </c>
      <c r="AJQ20" s="56">
        <f t="shared" si="166"/>
        <v>2168549.2608494796</v>
      </c>
      <c r="AJR20" s="56">
        <f t="shared" si="166"/>
        <v>2170356.385233521</v>
      </c>
      <c r="AJS20" s="56">
        <f t="shared" si="166"/>
        <v>2172165.0155545487</v>
      </c>
      <c r="AJT20" s="56">
        <f t="shared" si="166"/>
        <v>2173975.153067511</v>
      </c>
      <c r="AJU20" s="56">
        <f t="shared" si="166"/>
        <v>2175786.7990284008</v>
      </c>
      <c r="AJV20" s="56">
        <f t="shared" si="166"/>
        <v>2177599.9546942576</v>
      </c>
      <c r="AJW20" s="56">
        <f t="shared" si="166"/>
        <v>2179414.6213231697</v>
      </c>
      <c r="AJX20" s="56">
        <f t="shared" si="166"/>
        <v>2181230.8001742722</v>
      </c>
      <c r="AJY20" s="56">
        <f t="shared" si="166"/>
        <v>2183048.4925077506</v>
      </c>
      <c r="AJZ20" s="56">
        <f t="shared" si="166"/>
        <v>2184867.6995848403</v>
      </c>
      <c r="AKA20" s="56">
        <f t="shared" si="166"/>
        <v>2186688.4226678279</v>
      </c>
      <c r="AKB20" s="56">
        <f t="shared" si="166"/>
        <v>2188510.6630200511</v>
      </c>
      <c r="AKC20" s="56">
        <f t="shared" si="166"/>
        <v>2190334.4219059013</v>
      </c>
      <c r="AKD20" s="56">
        <f t="shared" ref="AKD20:AMO20" si="167">AKC25</f>
        <v>2192159.7005908228</v>
      </c>
      <c r="AKE20" s="56">
        <f t="shared" si="167"/>
        <v>2193986.5003413153</v>
      </c>
      <c r="AKF20" s="56">
        <f t="shared" si="167"/>
        <v>2195814.8224249328</v>
      </c>
      <c r="AKG20" s="56">
        <f t="shared" si="167"/>
        <v>2197644.6681102868</v>
      </c>
      <c r="AKH20" s="56">
        <f t="shared" si="167"/>
        <v>2199476.0386670455</v>
      </c>
      <c r="AKI20" s="56">
        <f t="shared" si="167"/>
        <v>2201308.9353659349</v>
      </c>
      <c r="AKJ20" s="56">
        <f t="shared" si="167"/>
        <v>2203143.35947874</v>
      </c>
      <c r="AKK20" s="56">
        <f t="shared" si="167"/>
        <v>2204979.3122783056</v>
      </c>
      <c r="AKL20" s="56">
        <f t="shared" si="167"/>
        <v>2206816.7950385376</v>
      </c>
      <c r="AKM20" s="56">
        <f t="shared" si="167"/>
        <v>2208655.8090344029</v>
      </c>
      <c r="AKN20" s="56">
        <f t="shared" si="167"/>
        <v>2210496.3555419315</v>
      </c>
      <c r="AKO20" s="56">
        <f t="shared" si="167"/>
        <v>2212338.4358382165</v>
      </c>
      <c r="AKP20" s="56">
        <f t="shared" si="167"/>
        <v>2214182.0512014148</v>
      </c>
      <c r="AKQ20" s="56">
        <f t="shared" si="167"/>
        <v>2216027.2029107492</v>
      </c>
      <c r="AKR20" s="56">
        <f t="shared" si="167"/>
        <v>2217873.892246508</v>
      </c>
      <c r="AKS20" s="56">
        <f t="shared" si="167"/>
        <v>2219722.1204900467</v>
      </c>
      <c r="AKT20" s="56">
        <f t="shared" si="167"/>
        <v>2221571.8889237884</v>
      </c>
      <c r="AKU20" s="56">
        <f t="shared" si="167"/>
        <v>2223423.1988312248</v>
      </c>
      <c r="AKV20" s="56">
        <f t="shared" si="167"/>
        <v>2225276.0514969174</v>
      </c>
      <c r="AKW20" s="56">
        <f t="shared" si="167"/>
        <v>2227130.4482064983</v>
      </c>
      <c r="AKX20" s="56">
        <f t="shared" si="167"/>
        <v>2228986.3902466702</v>
      </c>
      <c r="AKY20" s="56">
        <f t="shared" si="167"/>
        <v>2230843.8789052092</v>
      </c>
      <c r="AKZ20" s="56">
        <f t="shared" si="167"/>
        <v>2232702.9154709638</v>
      </c>
      <c r="ALA20" s="56">
        <f t="shared" si="167"/>
        <v>2234563.5012338562</v>
      </c>
      <c r="ALB20" s="56">
        <f t="shared" si="167"/>
        <v>2236425.6374848844</v>
      </c>
      <c r="ALC20" s="56">
        <f t="shared" si="167"/>
        <v>2238289.3255161219</v>
      </c>
      <c r="ALD20" s="56">
        <f t="shared" si="167"/>
        <v>2240154.5666207187</v>
      </c>
      <c r="ALE20" s="56">
        <f t="shared" si="167"/>
        <v>2242021.3620929024</v>
      </c>
      <c r="ALF20" s="56">
        <f t="shared" si="167"/>
        <v>2243889.7132279798</v>
      </c>
      <c r="ALG20" s="56">
        <f t="shared" si="167"/>
        <v>2245759.6213223366</v>
      </c>
      <c r="ALH20" s="56">
        <f t="shared" si="167"/>
        <v>2247631.0876734387</v>
      </c>
      <c r="ALI20" s="56">
        <f t="shared" si="167"/>
        <v>2249504.1135798334</v>
      </c>
      <c r="ALJ20" s="56">
        <f t="shared" si="167"/>
        <v>2251378.7003411502</v>
      </c>
      <c r="ALK20" s="56">
        <f t="shared" si="167"/>
        <v>2253254.8492581011</v>
      </c>
      <c r="ALL20" s="56">
        <f t="shared" si="167"/>
        <v>2255132.5616324828</v>
      </c>
      <c r="ALM20" s="56">
        <f t="shared" si="167"/>
        <v>2257011.8387671765</v>
      </c>
      <c r="ALN20" s="56">
        <f t="shared" si="167"/>
        <v>2258892.6819661492</v>
      </c>
      <c r="ALO20" s="56">
        <f t="shared" si="167"/>
        <v>2260775.0925344545</v>
      </c>
      <c r="ALP20" s="56">
        <f t="shared" si="167"/>
        <v>2262659.0717782332</v>
      </c>
      <c r="ALQ20" s="56">
        <f t="shared" si="167"/>
        <v>2264544.6210047151</v>
      </c>
      <c r="ALR20" s="56">
        <f t="shared" si="167"/>
        <v>2266431.741522219</v>
      </c>
      <c r="ALS20" s="56">
        <f t="shared" si="167"/>
        <v>2268320.4346401542</v>
      </c>
      <c r="ALT20" s="56">
        <f t="shared" si="167"/>
        <v>2270210.701669021</v>
      </c>
      <c r="ALU20" s="56">
        <f t="shared" si="167"/>
        <v>2272102.5439204117</v>
      </c>
      <c r="ALV20" s="56">
        <f t="shared" si="167"/>
        <v>2273995.962707012</v>
      </c>
      <c r="ALW20" s="56">
        <f t="shared" si="167"/>
        <v>2275890.9593426012</v>
      </c>
      <c r="ALX20" s="56">
        <f t="shared" si="167"/>
        <v>2277787.5351420534</v>
      </c>
      <c r="ALY20" s="56">
        <f t="shared" si="167"/>
        <v>2279685.6914213384</v>
      </c>
      <c r="ALZ20" s="56">
        <f t="shared" si="167"/>
        <v>2281585.4294975228</v>
      </c>
      <c r="AMA20" s="56">
        <f t="shared" si="167"/>
        <v>2283486.7506887708</v>
      </c>
      <c r="AMB20" s="56">
        <f t="shared" si="167"/>
        <v>2285389.6563143446</v>
      </c>
      <c r="AMC20" s="56">
        <f t="shared" si="167"/>
        <v>2287294.1476946063</v>
      </c>
      <c r="AMD20" s="56">
        <f t="shared" si="167"/>
        <v>2289200.2261510184</v>
      </c>
      <c r="AME20" s="56">
        <f t="shared" si="167"/>
        <v>2291107.8930061441</v>
      </c>
      <c r="AMF20" s="56">
        <f t="shared" si="167"/>
        <v>2293017.1495836494</v>
      </c>
      <c r="AMG20" s="56">
        <f t="shared" si="167"/>
        <v>2294927.9972083024</v>
      </c>
      <c r="AMH20" s="56">
        <f t="shared" si="167"/>
        <v>2296840.4372059759</v>
      </c>
      <c r="AMI20" s="56">
        <f t="shared" si="167"/>
        <v>2298754.4709036476</v>
      </c>
      <c r="AMJ20" s="56">
        <f t="shared" si="167"/>
        <v>2300670.0996294008</v>
      </c>
      <c r="AMK20" s="56">
        <f t="shared" si="167"/>
        <v>2302587.3247124255</v>
      </c>
      <c r="AML20" s="56">
        <f t="shared" si="167"/>
        <v>2304506.1474830192</v>
      </c>
      <c r="AMM20" s="56">
        <f t="shared" si="167"/>
        <v>2306426.5692725885</v>
      </c>
      <c r="AMN20" s="56">
        <f t="shared" si="167"/>
        <v>2308348.5914136488</v>
      </c>
      <c r="AMO20" s="56">
        <f t="shared" si="167"/>
        <v>2310272.2152398271</v>
      </c>
      <c r="AMP20" s="56">
        <f t="shared" ref="AMP20:AOQ20" si="168">AMO25</f>
        <v>2312197.4420858603</v>
      </c>
      <c r="AMQ20" s="56">
        <f t="shared" si="168"/>
        <v>2314124.2732875985</v>
      </c>
      <c r="AMR20" s="56">
        <f t="shared" si="168"/>
        <v>2316052.7101820051</v>
      </c>
      <c r="AMS20" s="56">
        <f t="shared" si="168"/>
        <v>2317982.7541071568</v>
      </c>
      <c r="AMT20" s="56">
        <f t="shared" si="168"/>
        <v>2319914.4064022461</v>
      </c>
      <c r="AMU20" s="56">
        <f t="shared" si="168"/>
        <v>2321847.6684075813</v>
      </c>
      <c r="AMV20" s="56">
        <f t="shared" si="168"/>
        <v>2323782.5414645877</v>
      </c>
      <c r="AMW20" s="56">
        <f t="shared" si="168"/>
        <v>2325719.0269158082</v>
      </c>
      <c r="AMX20" s="56">
        <f t="shared" si="168"/>
        <v>2327657.1261049048</v>
      </c>
      <c r="AMY20" s="56">
        <f t="shared" si="168"/>
        <v>2329596.8403766588</v>
      </c>
      <c r="AMZ20" s="56">
        <f t="shared" si="168"/>
        <v>2331538.1710769725</v>
      </c>
      <c r="ANA20" s="56">
        <f t="shared" si="168"/>
        <v>2333481.1195528698</v>
      </c>
      <c r="ANB20" s="56">
        <f t="shared" si="168"/>
        <v>2335425.687152497</v>
      </c>
      <c r="ANC20" s="56">
        <f t="shared" si="168"/>
        <v>2337371.8752251239</v>
      </c>
      <c r="AND20" s="56">
        <f t="shared" si="168"/>
        <v>2339319.6851211451</v>
      </c>
      <c r="ANE20" s="56">
        <f t="shared" si="168"/>
        <v>2341269.1181920795</v>
      </c>
      <c r="ANF20" s="56">
        <f t="shared" si="168"/>
        <v>2343220.175790573</v>
      </c>
      <c r="ANG20" s="56">
        <f t="shared" si="168"/>
        <v>2345172.8592703985</v>
      </c>
      <c r="ANH20" s="56">
        <f t="shared" si="168"/>
        <v>2347127.1699864571</v>
      </c>
      <c r="ANI20" s="56">
        <f t="shared" si="168"/>
        <v>2349083.1092947791</v>
      </c>
      <c r="ANJ20" s="56">
        <f t="shared" si="168"/>
        <v>2351040.6785525247</v>
      </c>
      <c r="ANK20" s="56">
        <f t="shared" si="168"/>
        <v>2352999.8791179853</v>
      </c>
      <c r="ANL20" s="56">
        <f t="shared" si="168"/>
        <v>2354960.7123505836</v>
      </c>
      <c r="ANM20" s="56">
        <f t="shared" si="168"/>
        <v>2356923.1796108759</v>
      </c>
      <c r="ANN20" s="56">
        <f t="shared" si="168"/>
        <v>2358887.2822605516</v>
      </c>
      <c r="ANO20" s="56">
        <f t="shared" si="168"/>
        <v>2360853.0216624355</v>
      </c>
      <c r="ANP20" s="56">
        <f t="shared" si="168"/>
        <v>2362820.3991804877</v>
      </c>
      <c r="ANQ20" s="56">
        <f t="shared" si="168"/>
        <v>2364789.4161798046</v>
      </c>
      <c r="ANR20" s="56">
        <f t="shared" si="168"/>
        <v>2366760.0740266209</v>
      </c>
      <c r="ANS20" s="56">
        <f t="shared" si="168"/>
        <v>2368732.3740883097</v>
      </c>
      <c r="ANT20" s="56">
        <f t="shared" si="168"/>
        <v>2370706.3177333833</v>
      </c>
      <c r="ANU20" s="56">
        <f t="shared" si="168"/>
        <v>2372681.9063314945</v>
      </c>
      <c r="ANV20" s="56">
        <f t="shared" si="168"/>
        <v>2374659.1412534374</v>
      </c>
      <c r="ANW20" s="56">
        <f t="shared" si="168"/>
        <v>2376638.0238711485</v>
      </c>
      <c r="ANX20" s="56">
        <f t="shared" si="168"/>
        <v>2378618.5555577078</v>
      </c>
      <c r="ANY20" s="56">
        <f t="shared" si="168"/>
        <v>2380600.7376873391</v>
      </c>
      <c r="ANZ20" s="56">
        <f t="shared" si="168"/>
        <v>2382584.5716354121</v>
      </c>
      <c r="AOA20" s="56">
        <f t="shared" si="168"/>
        <v>2384570.0587784415</v>
      </c>
      <c r="AOB20" s="56">
        <f t="shared" si="168"/>
        <v>2386557.2004940901</v>
      </c>
      <c r="AOC20" s="56">
        <f t="shared" si="168"/>
        <v>2388545.9981611683</v>
      </c>
      <c r="AOD20" s="56">
        <f t="shared" si="168"/>
        <v>2390536.4531596359</v>
      </c>
      <c r="AOE20" s="56">
        <f>AOD25</f>
        <v>2392528.5668706023</v>
      </c>
      <c r="AOF20" s="56">
        <f t="shared" si="168"/>
        <v>2394522.34</v>
      </c>
      <c r="AOG20" s="56">
        <f t="shared" si="168"/>
        <v>2396517.7752833334</v>
      </c>
      <c r="AOH20" s="56">
        <f t="shared" si="168"/>
        <v>2398514.8734294027</v>
      </c>
      <c r="AOI20" s="56">
        <f t="shared" si="168"/>
        <v>2400513.6358239274</v>
      </c>
      <c r="AOJ20" s="56">
        <f t="shared" si="168"/>
        <v>2402514.0638537807</v>
      </c>
      <c r="AOK20" s="56">
        <f t="shared" si="168"/>
        <v>2404516.1589069921</v>
      </c>
      <c r="AOL20" s="56">
        <f t="shared" si="168"/>
        <v>2406519.9223727477</v>
      </c>
      <c r="AOM20" s="56">
        <f t="shared" si="168"/>
        <v>2408525.3556413916</v>
      </c>
      <c r="AON20" s="56">
        <f t="shared" si="168"/>
        <v>2410532.4601044259</v>
      </c>
      <c r="AOO20" s="56">
        <f t="shared" si="168"/>
        <v>2412541.2371545131</v>
      </c>
      <c r="AOP20" s="56">
        <f t="shared" si="168"/>
        <v>2414551.6881854753</v>
      </c>
      <c r="AOQ20" s="56">
        <f t="shared" si="168"/>
        <v>2416563.8145922967</v>
      </c>
    </row>
    <row r="21" spans="2:1083" x14ac:dyDescent="0.25">
      <c r="B21" s="42" t="s">
        <v>157</v>
      </c>
      <c r="C21" s="42"/>
      <c r="D21" s="57">
        <f t="shared" ref="D21:BO21" si="169">IF(D12="Aportación Inicial",$C$4,0)</f>
        <v>0</v>
      </c>
      <c r="E21" s="57">
        <f t="shared" si="169"/>
        <v>0</v>
      </c>
      <c r="F21" s="57">
        <f t="shared" si="169"/>
        <v>0</v>
      </c>
      <c r="G21" s="57">
        <f t="shared" si="169"/>
        <v>0</v>
      </c>
      <c r="H21" s="57">
        <f t="shared" si="169"/>
        <v>0</v>
      </c>
      <c r="I21" s="57">
        <f t="shared" si="169"/>
        <v>0</v>
      </c>
      <c r="J21" s="57">
        <f t="shared" si="169"/>
        <v>0</v>
      </c>
      <c r="K21" s="57">
        <f t="shared" si="169"/>
        <v>0</v>
      </c>
      <c r="L21" s="57">
        <f t="shared" si="169"/>
        <v>0</v>
      </c>
      <c r="M21" s="57">
        <f t="shared" si="169"/>
        <v>0</v>
      </c>
      <c r="N21" s="57">
        <f t="shared" si="169"/>
        <v>0</v>
      </c>
      <c r="O21" s="57">
        <f t="shared" si="169"/>
        <v>0</v>
      </c>
      <c r="P21" s="57">
        <f t="shared" si="169"/>
        <v>0</v>
      </c>
      <c r="Q21" s="57">
        <f t="shared" si="169"/>
        <v>0</v>
      </c>
      <c r="R21" s="57">
        <f t="shared" si="169"/>
        <v>0</v>
      </c>
      <c r="S21" s="57">
        <f t="shared" si="169"/>
        <v>0</v>
      </c>
      <c r="T21" s="57">
        <f t="shared" si="169"/>
        <v>0</v>
      </c>
      <c r="U21" s="57">
        <f t="shared" si="169"/>
        <v>0</v>
      </c>
      <c r="V21" s="57">
        <f t="shared" si="169"/>
        <v>0</v>
      </c>
      <c r="W21" s="57">
        <f t="shared" si="169"/>
        <v>0</v>
      </c>
      <c r="X21" s="57">
        <f t="shared" si="169"/>
        <v>0</v>
      </c>
      <c r="Y21" s="57">
        <f t="shared" si="169"/>
        <v>0</v>
      </c>
      <c r="Z21" s="57">
        <f t="shared" si="169"/>
        <v>0</v>
      </c>
      <c r="AA21" s="57">
        <f t="shared" si="169"/>
        <v>0</v>
      </c>
      <c r="AB21" s="57">
        <f t="shared" si="169"/>
        <v>0</v>
      </c>
      <c r="AC21" s="57">
        <f t="shared" si="169"/>
        <v>0</v>
      </c>
      <c r="AD21" s="57">
        <f t="shared" si="169"/>
        <v>0</v>
      </c>
      <c r="AE21" s="57">
        <f t="shared" si="169"/>
        <v>0</v>
      </c>
      <c r="AF21" s="57">
        <f t="shared" si="169"/>
        <v>0</v>
      </c>
      <c r="AG21" s="57">
        <f t="shared" si="169"/>
        <v>0</v>
      </c>
      <c r="AH21" s="57">
        <f t="shared" si="169"/>
        <v>0</v>
      </c>
      <c r="AI21" s="57">
        <f t="shared" si="169"/>
        <v>0</v>
      </c>
      <c r="AJ21" s="57">
        <f t="shared" si="169"/>
        <v>0</v>
      </c>
      <c r="AK21" s="57">
        <f t="shared" si="169"/>
        <v>0</v>
      </c>
      <c r="AL21" s="57">
        <f t="shared" si="169"/>
        <v>0</v>
      </c>
      <c r="AM21" s="57">
        <f t="shared" si="169"/>
        <v>0</v>
      </c>
      <c r="AN21" s="57">
        <f t="shared" si="169"/>
        <v>0</v>
      </c>
      <c r="AO21" s="57">
        <f t="shared" si="169"/>
        <v>0</v>
      </c>
      <c r="AP21" s="57">
        <f t="shared" si="169"/>
        <v>0</v>
      </c>
      <c r="AQ21" s="57">
        <f t="shared" si="169"/>
        <v>0</v>
      </c>
      <c r="AR21" s="57">
        <f t="shared" si="169"/>
        <v>0</v>
      </c>
      <c r="AS21" s="57">
        <f t="shared" si="169"/>
        <v>0</v>
      </c>
      <c r="AT21" s="57">
        <f t="shared" si="169"/>
        <v>0</v>
      </c>
      <c r="AU21" s="57">
        <f t="shared" si="169"/>
        <v>0</v>
      </c>
      <c r="AV21" s="57">
        <f t="shared" si="169"/>
        <v>0</v>
      </c>
      <c r="AW21" s="57">
        <f t="shared" si="169"/>
        <v>0</v>
      </c>
      <c r="AX21" s="57">
        <f t="shared" si="169"/>
        <v>0</v>
      </c>
      <c r="AY21" s="57">
        <f t="shared" si="169"/>
        <v>0</v>
      </c>
      <c r="AZ21" s="57">
        <f t="shared" si="169"/>
        <v>0</v>
      </c>
      <c r="BA21" s="57">
        <f t="shared" si="169"/>
        <v>0</v>
      </c>
      <c r="BB21" s="57">
        <f t="shared" si="169"/>
        <v>0</v>
      </c>
      <c r="BC21" s="57">
        <f t="shared" si="169"/>
        <v>0</v>
      </c>
      <c r="BD21" s="57">
        <f t="shared" si="169"/>
        <v>0</v>
      </c>
      <c r="BE21" s="57">
        <f t="shared" si="169"/>
        <v>0</v>
      </c>
      <c r="BF21" s="57">
        <f t="shared" si="169"/>
        <v>0</v>
      </c>
      <c r="BG21" s="57">
        <f t="shared" si="169"/>
        <v>0</v>
      </c>
      <c r="BH21" s="57">
        <f t="shared" si="169"/>
        <v>0</v>
      </c>
      <c r="BI21" s="57">
        <f t="shared" si="169"/>
        <v>0</v>
      </c>
      <c r="BJ21" s="57">
        <f t="shared" si="169"/>
        <v>0</v>
      </c>
      <c r="BK21" s="57">
        <f t="shared" si="169"/>
        <v>0</v>
      </c>
      <c r="BL21" s="57">
        <f t="shared" si="169"/>
        <v>0</v>
      </c>
      <c r="BM21" s="57">
        <f t="shared" si="169"/>
        <v>0</v>
      </c>
      <c r="BN21" s="57">
        <f t="shared" si="169"/>
        <v>0</v>
      </c>
      <c r="BO21" s="57">
        <f t="shared" si="169"/>
        <v>0</v>
      </c>
      <c r="BP21" s="57">
        <f t="shared" ref="BP21:EA21" si="170">IF(BP12="Aportación Inicial",$C$4,0)</f>
        <v>0</v>
      </c>
      <c r="BQ21" s="57">
        <f t="shared" si="170"/>
        <v>0</v>
      </c>
      <c r="BR21" s="57">
        <f t="shared" si="170"/>
        <v>0</v>
      </c>
      <c r="BS21" s="57">
        <f t="shared" si="170"/>
        <v>0</v>
      </c>
      <c r="BT21" s="57">
        <f t="shared" si="170"/>
        <v>0</v>
      </c>
      <c r="BU21" s="57">
        <f t="shared" si="170"/>
        <v>0</v>
      </c>
      <c r="BV21" s="57">
        <f t="shared" si="170"/>
        <v>0</v>
      </c>
      <c r="BW21" s="57">
        <f t="shared" si="170"/>
        <v>0</v>
      </c>
      <c r="BX21" s="57">
        <f t="shared" si="170"/>
        <v>0</v>
      </c>
      <c r="BY21" s="57">
        <f t="shared" si="170"/>
        <v>0</v>
      </c>
      <c r="BZ21" s="57">
        <f t="shared" si="170"/>
        <v>0</v>
      </c>
      <c r="CA21" s="57">
        <f t="shared" si="170"/>
        <v>0</v>
      </c>
      <c r="CB21" s="57">
        <f t="shared" si="170"/>
        <v>0</v>
      </c>
      <c r="CC21" s="57">
        <f t="shared" si="170"/>
        <v>0</v>
      </c>
      <c r="CD21" s="57">
        <f t="shared" si="170"/>
        <v>0</v>
      </c>
      <c r="CE21" s="57">
        <f t="shared" si="170"/>
        <v>0</v>
      </c>
      <c r="CF21" s="57">
        <f t="shared" si="170"/>
        <v>0</v>
      </c>
      <c r="CG21" s="57">
        <f t="shared" si="170"/>
        <v>0</v>
      </c>
      <c r="CH21" s="57">
        <f t="shared" si="170"/>
        <v>0</v>
      </c>
      <c r="CI21" s="57">
        <f t="shared" si="170"/>
        <v>0</v>
      </c>
      <c r="CJ21" s="57">
        <f t="shared" si="170"/>
        <v>0</v>
      </c>
      <c r="CK21" s="57">
        <f t="shared" si="170"/>
        <v>0</v>
      </c>
      <c r="CL21" s="57">
        <f t="shared" si="170"/>
        <v>0</v>
      </c>
      <c r="CM21" s="57">
        <f t="shared" si="170"/>
        <v>0</v>
      </c>
      <c r="CN21" s="57">
        <f t="shared" si="170"/>
        <v>0</v>
      </c>
      <c r="CO21" s="57">
        <f t="shared" si="170"/>
        <v>0</v>
      </c>
      <c r="CP21" s="57">
        <f t="shared" si="170"/>
        <v>0</v>
      </c>
      <c r="CQ21" s="57">
        <f t="shared" si="170"/>
        <v>0</v>
      </c>
      <c r="CR21" s="57">
        <f t="shared" si="170"/>
        <v>0</v>
      </c>
      <c r="CS21" s="57">
        <f t="shared" si="170"/>
        <v>0</v>
      </c>
      <c r="CT21" s="57">
        <f t="shared" si="170"/>
        <v>0</v>
      </c>
      <c r="CU21" s="57">
        <f t="shared" si="170"/>
        <v>0</v>
      </c>
      <c r="CV21" s="57">
        <f t="shared" si="170"/>
        <v>0</v>
      </c>
      <c r="CW21" s="57">
        <f t="shared" si="170"/>
        <v>0</v>
      </c>
      <c r="CX21" s="57">
        <f t="shared" si="170"/>
        <v>0</v>
      </c>
      <c r="CY21" s="57">
        <f t="shared" si="170"/>
        <v>0</v>
      </c>
      <c r="CZ21" s="57">
        <f t="shared" si="170"/>
        <v>0</v>
      </c>
      <c r="DA21" s="57">
        <f t="shared" si="170"/>
        <v>0</v>
      </c>
      <c r="DB21" s="57">
        <f t="shared" si="170"/>
        <v>0</v>
      </c>
      <c r="DC21" s="57">
        <f t="shared" si="170"/>
        <v>0</v>
      </c>
      <c r="DD21" s="57">
        <f t="shared" si="170"/>
        <v>0</v>
      </c>
      <c r="DE21" s="57">
        <f t="shared" si="170"/>
        <v>0</v>
      </c>
      <c r="DF21" s="57">
        <f t="shared" si="170"/>
        <v>0</v>
      </c>
      <c r="DG21" s="57">
        <f t="shared" si="170"/>
        <v>0</v>
      </c>
      <c r="DH21" s="57">
        <f t="shared" si="170"/>
        <v>0</v>
      </c>
      <c r="DI21" s="57">
        <f t="shared" si="170"/>
        <v>0</v>
      </c>
      <c r="DJ21" s="57">
        <f t="shared" si="170"/>
        <v>0</v>
      </c>
      <c r="DK21" s="57">
        <f t="shared" si="170"/>
        <v>0</v>
      </c>
      <c r="DL21" s="57">
        <f t="shared" si="170"/>
        <v>0</v>
      </c>
      <c r="DM21" s="57">
        <f t="shared" si="170"/>
        <v>0</v>
      </c>
      <c r="DN21" s="57">
        <f t="shared" si="170"/>
        <v>0</v>
      </c>
      <c r="DO21" s="57">
        <f t="shared" si="170"/>
        <v>0</v>
      </c>
      <c r="DP21" s="57">
        <f t="shared" si="170"/>
        <v>0</v>
      </c>
      <c r="DQ21" s="57">
        <f t="shared" si="170"/>
        <v>0</v>
      </c>
      <c r="DR21" s="57">
        <f t="shared" si="170"/>
        <v>0</v>
      </c>
      <c r="DS21" s="57">
        <f t="shared" si="170"/>
        <v>0</v>
      </c>
      <c r="DT21" s="57">
        <f t="shared" si="170"/>
        <v>0</v>
      </c>
      <c r="DU21" s="57">
        <f t="shared" si="170"/>
        <v>0</v>
      </c>
      <c r="DV21" s="57">
        <f t="shared" si="170"/>
        <v>0</v>
      </c>
      <c r="DW21" s="57">
        <f t="shared" si="170"/>
        <v>0</v>
      </c>
      <c r="DX21" s="57">
        <f t="shared" si="170"/>
        <v>0</v>
      </c>
      <c r="DY21" s="57">
        <f t="shared" si="170"/>
        <v>0</v>
      </c>
      <c r="DZ21" s="57">
        <f t="shared" si="170"/>
        <v>0</v>
      </c>
      <c r="EA21" s="57">
        <f t="shared" si="170"/>
        <v>0</v>
      </c>
      <c r="EB21" s="57">
        <f t="shared" ref="EB21:GM21" si="171">IF(EB12="Aportación Inicial",$C$4,0)</f>
        <v>0</v>
      </c>
      <c r="EC21" s="57">
        <f t="shared" si="171"/>
        <v>0</v>
      </c>
      <c r="ED21" s="57">
        <f t="shared" si="171"/>
        <v>0</v>
      </c>
      <c r="EE21" s="57">
        <f t="shared" si="171"/>
        <v>0</v>
      </c>
      <c r="EF21" s="57">
        <f t="shared" si="171"/>
        <v>0</v>
      </c>
      <c r="EG21" s="57">
        <f t="shared" si="171"/>
        <v>0</v>
      </c>
      <c r="EH21" s="57">
        <f t="shared" si="171"/>
        <v>0</v>
      </c>
      <c r="EI21" s="57">
        <f t="shared" si="171"/>
        <v>0</v>
      </c>
      <c r="EJ21" s="57">
        <f t="shared" si="171"/>
        <v>0</v>
      </c>
      <c r="EK21" s="57">
        <f t="shared" si="171"/>
        <v>0</v>
      </c>
      <c r="EL21" s="57">
        <f t="shared" si="171"/>
        <v>0</v>
      </c>
      <c r="EM21" s="57">
        <f t="shared" si="171"/>
        <v>0</v>
      </c>
      <c r="EN21" s="57">
        <f t="shared" si="171"/>
        <v>0</v>
      </c>
      <c r="EO21" s="57">
        <f t="shared" si="171"/>
        <v>0</v>
      </c>
      <c r="EP21" s="57">
        <f t="shared" si="171"/>
        <v>0</v>
      </c>
      <c r="EQ21" s="57">
        <f t="shared" si="171"/>
        <v>0</v>
      </c>
      <c r="ER21" s="57">
        <f t="shared" si="171"/>
        <v>0</v>
      </c>
      <c r="ES21" s="57">
        <f t="shared" si="171"/>
        <v>0</v>
      </c>
      <c r="ET21" s="57">
        <f t="shared" si="171"/>
        <v>0</v>
      </c>
      <c r="EU21" s="57">
        <f t="shared" si="171"/>
        <v>0</v>
      </c>
      <c r="EV21" s="57">
        <f t="shared" si="171"/>
        <v>0</v>
      </c>
      <c r="EW21" s="57">
        <f t="shared" si="171"/>
        <v>0</v>
      </c>
      <c r="EX21" s="57">
        <f t="shared" si="171"/>
        <v>0</v>
      </c>
      <c r="EY21" s="57">
        <f t="shared" si="171"/>
        <v>0</v>
      </c>
      <c r="EZ21" s="57">
        <f t="shared" si="171"/>
        <v>0</v>
      </c>
      <c r="FA21" s="57">
        <f t="shared" si="171"/>
        <v>0</v>
      </c>
      <c r="FB21" s="57">
        <f t="shared" si="171"/>
        <v>0</v>
      </c>
      <c r="FC21" s="57">
        <f t="shared" si="171"/>
        <v>0</v>
      </c>
      <c r="FD21" s="57">
        <f t="shared" si="171"/>
        <v>0</v>
      </c>
      <c r="FE21" s="57">
        <f t="shared" si="171"/>
        <v>0</v>
      </c>
      <c r="FF21" s="57">
        <f t="shared" si="171"/>
        <v>0</v>
      </c>
      <c r="FG21" s="57">
        <f t="shared" si="171"/>
        <v>0</v>
      </c>
      <c r="FH21" s="57">
        <f t="shared" si="171"/>
        <v>0</v>
      </c>
      <c r="FI21" s="57">
        <f t="shared" si="171"/>
        <v>0</v>
      </c>
      <c r="FJ21" s="57">
        <f t="shared" si="171"/>
        <v>0</v>
      </c>
      <c r="FK21" s="57">
        <f t="shared" si="171"/>
        <v>0</v>
      </c>
      <c r="FL21" s="57">
        <f t="shared" si="171"/>
        <v>0</v>
      </c>
      <c r="FM21" s="57">
        <f t="shared" si="171"/>
        <v>0</v>
      </c>
      <c r="FN21" s="57">
        <f t="shared" si="171"/>
        <v>0</v>
      </c>
      <c r="FO21" s="57">
        <f t="shared" si="171"/>
        <v>0</v>
      </c>
      <c r="FP21" s="57">
        <f t="shared" si="171"/>
        <v>0</v>
      </c>
      <c r="FQ21" s="57">
        <f t="shared" si="171"/>
        <v>0</v>
      </c>
      <c r="FR21" s="57">
        <f t="shared" si="171"/>
        <v>0</v>
      </c>
      <c r="FS21" s="57">
        <f t="shared" si="171"/>
        <v>0</v>
      </c>
      <c r="FT21" s="57">
        <f t="shared" si="171"/>
        <v>0</v>
      </c>
      <c r="FU21" s="57">
        <f t="shared" si="171"/>
        <v>0</v>
      </c>
      <c r="FV21" s="57">
        <f t="shared" si="171"/>
        <v>0</v>
      </c>
      <c r="FW21" s="57">
        <f t="shared" si="171"/>
        <v>0</v>
      </c>
      <c r="FX21" s="57">
        <f t="shared" si="171"/>
        <v>0</v>
      </c>
      <c r="FY21" s="57">
        <f t="shared" si="171"/>
        <v>0</v>
      </c>
      <c r="FZ21" s="57">
        <f t="shared" si="171"/>
        <v>0</v>
      </c>
      <c r="GA21" s="57">
        <f t="shared" si="171"/>
        <v>0</v>
      </c>
      <c r="GB21" s="57">
        <f t="shared" si="171"/>
        <v>0</v>
      </c>
      <c r="GC21" s="57">
        <f t="shared" si="171"/>
        <v>0</v>
      </c>
      <c r="GD21" s="57">
        <f t="shared" si="171"/>
        <v>0</v>
      </c>
      <c r="GE21" s="57">
        <f t="shared" si="171"/>
        <v>0</v>
      </c>
      <c r="GF21" s="57">
        <f t="shared" si="171"/>
        <v>0</v>
      </c>
      <c r="GG21" s="57">
        <f t="shared" si="171"/>
        <v>0</v>
      </c>
      <c r="GH21" s="57">
        <f t="shared" si="171"/>
        <v>0</v>
      </c>
      <c r="GI21" s="57">
        <f t="shared" si="171"/>
        <v>0</v>
      </c>
      <c r="GJ21" s="57">
        <f t="shared" si="171"/>
        <v>0</v>
      </c>
      <c r="GK21" s="57">
        <f t="shared" si="171"/>
        <v>0</v>
      </c>
      <c r="GL21" s="57">
        <f t="shared" si="171"/>
        <v>0</v>
      </c>
      <c r="GM21" s="57">
        <f t="shared" si="171"/>
        <v>0</v>
      </c>
      <c r="GN21" s="57">
        <f t="shared" ref="GN21:IY21" si="172">IF(GN12="Aportación Inicial",$C$4,0)</f>
        <v>0</v>
      </c>
      <c r="GO21" s="57">
        <f t="shared" si="172"/>
        <v>0</v>
      </c>
      <c r="GP21" s="57">
        <f t="shared" si="172"/>
        <v>0</v>
      </c>
      <c r="GQ21" s="57">
        <f t="shared" si="172"/>
        <v>0</v>
      </c>
      <c r="GR21" s="57">
        <f t="shared" si="172"/>
        <v>0</v>
      </c>
      <c r="GS21" s="57">
        <f t="shared" si="172"/>
        <v>0</v>
      </c>
      <c r="GT21" s="57">
        <f t="shared" si="172"/>
        <v>0</v>
      </c>
      <c r="GU21" s="57">
        <f t="shared" si="172"/>
        <v>0</v>
      </c>
      <c r="GV21" s="57">
        <f t="shared" si="172"/>
        <v>0</v>
      </c>
      <c r="GW21" s="57">
        <f t="shared" si="172"/>
        <v>0</v>
      </c>
      <c r="GX21" s="57">
        <f t="shared" si="172"/>
        <v>0</v>
      </c>
      <c r="GY21" s="57">
        <f t="shared" si="172"/>
        <v>0</v>
      </c>
      <c r="GZ21" s="57">
        <f t="shared" si="172"/>
        <v>0</v>
      </c>
      <c r="HA21" s="57">
        <f t="shared" si="172"/>
        <v>0</v>
      </c>
      <c r="HB21" s="57">
        <f t="shared" si="172"/>
        <v>0</v>
      </c>
      <c r="HC21" s="57">
        <f t="shared" si="172"/>
        <v>0</v>
      </c>
      <c r="HD21" s="57">
        <f t="shared" si="172"/>
        <v>0</v>
      </c>
      <c r="HE21" s="57">
        <f t="shared" si="172"/>
        <v>0</v>
      </c>
      <c r="HF21" s="57">
        <f t="shared" si="172"/>
        <v>0</v>
      </c>
      <c r="HG21" s="57">
        <f t="shared" si="172"/>
        <v>0</v>
      </c>
      <c r="HH21" s="57">
        <f t="shared" si="172"/>
        <v>0</v>
      </c>
      <c r="HI21" s="57">
        <f t="shared" si="172"/>
        <v>0</v>
      </c>
      <c r="HJ21" s="57">
        <f t="shared" si="172"/>
        <v>0</v>
      </c>
      <c r="HK21" s="57">
        <f t="shared" si="172"/>
        <v>0</v>
      </c>
      <c r="HL21" s="57">
        <f t="shared" si="172"/>
        <v>0</v>
      </c>
      <c r="HM21" s="57">
        <f t="shared" si="172"/>
        <v>0</v>
      </c>
      <c r="HN21" s="57">
        <f t="shared" si="172"/>
        <v>0</v>
      </c>
      <c r="HO21" s="57">
        <f t="shared" si="172"/>
        <v>0</v>
      </c>
      <c r="HP21" s="57">
        <f t="shared" si="172"/>
        <v>0</v>
      </c>
      <c r="HQ21" s="57">
        <f t="shared" si="172"/>
        <v>0</v>
      </c>
      <c r="HR21" s="57">
        <f t="shared" si="172"/>
        <v>0</v>
      </c>
      <c r="HS21" s="57">
        <f t="shared" si="172"/>
        <v>0</v>
      </c>
      <c r="HT21" s="57">
        <f t="shared" si="172"/>
        <v>0</v>
      </c>
      <c r="HU21" s="57">
        <f t="shared" si="172"/>
        <v>0</v>
      </c>
      <c r="HV21" s="57">
        <f t="shared" si="172"/>
        <v>0</v>
      </c>
      <c r="HW21" s="57">
        <f t="shared" si="172"/>
        <v>0</v>
      </c>
      <c r="HX21" s="57">
        <f t="shared" si="172"/>
        <v>0</v>
      </c>
      <c r="HY21" s="57">
        <f t="shared" si="172"/>
        <v>0</v>
      </c>
      <c r="HZ21" s="57">
        <f t="shared" si="172"/>
        <v>0</v>
      </c>
      <c r="IA21" s="57">
        <f t="shared" si="172"/>
        <v>0</v>
      </c>
      <c r="IB21" s="57">
        <f t="shared" si="172"/>
        <v>0</v>
      </c>
      <c r="IC21" s="57">
        <f t="shared" si="172"/>
        <v>0</v>
      </c>
      <c r="ID21" s="57">
        <f t="shared" si="172"/>
        <v>0</v>
      </c>
      <c r="IE21" s="57">
        <f t="shared" si="172"/>
        <v>0</v>
      </c>
      <c r="IF21" s="57">
        <f t="shared" si="172"/>
        <v>0</v>
      </c>
      <c r="IG21" s="57">
        <f t="shared" si="172"/>
        <v>0</v>
      </c>
      <c r="IH21" s="57">
        <f t="shared" si="172"/>
        <v>0</v>
      </c>
      <c r="II21" s="57">
        <f t="shared" si="172"/>
        <v>0</v>
      </c>
      <c r="IJ21" s="57">
        <f t="shared" si="172"/>
        <v>0</v>
      </c>
      <c r="IK21" s="57">
        <f t="shared" si="172"/>
        <v>0</v>
      </c>
      <c r="IL21" s="57">
        <f t="shared" si="172"/>
        <v>0</v>
      </c>
      <c r="IM21" s="57">
        <f t="shared" si="172"/>
        <v>0</v>
      </c>
      <c r="IN21" s="57">
        <f t="shared" si="172"/>
        <v>0</v>
      </c>
      <c r="IO21" s="57">
        <f t="shared" si="172"/>
        <v>0</v>
      </c>
      <c r="IP21" s="57">
        <f t="shared" si="172"/>
        <v>0</v>
      </c>
      <c r="IQ21" s="57">
        <f t="shared" si="172"/>
        <v>0</v>
      </c>
      <c r="IR21" s="57">
        <f t="shared" si="172"/>
        <v>0</v>
      </c>
      <c r="IS21" s="57">
        <f t="shared" si="172"/>
        <v>0</v>
      </c>
      <c r="IT21" s="57">
        <f t="shared" si="172"/>
        <v>0</v>
      </c>
      <c r="IU21" s="57">
        <f t="shared" si="172"/>
        <v>0</v>
      </c>
      <c r="IV21" s="57">
        <f t="shared" si="172"/>
        <v>0</v>
      </c>
      <c r="IW21" s="57">
        <f t="shared" si="172"/>
        <v>0</v>
      </c>
      <c r="IX21" s="57">
        <f t="shared" si="172"/>
        <v>0</v>
      </c>
      <c r="IY21" s="57">
        <f t="shared" si="172"/>
        <v>0</v>
      </c>
      <c r="IZ21" s="57">
        <f t="shared" ref="IZ21:LK21" si="173">IF(IZ12="Aportación Inicial",$C$4,0)</f>
        <v>0</v>
      </c>
      <c r="JA21" s="57">
        <f t="shared" si="173"/>
        <v>0</v>
      </c>
      <c r="JB21" s="57">
        <f t="shared" si="173"/>
        <v>0</v>
      </c>
      <c r="JC21" s="57">
        <f t="shared" si="173"/>
        <v>0</v>
      </c>
      <c r="JD21" s="57">
        <f t="shared" si="173"/>
        <v>0</v>
      </c>
      <c r="JE21" s="57">
        <f t="shared" si="173"/>
        <v>0</v>
      </c>
      <c r="JF21" s="57">
        <f t="shared" si="173"/>
        <v>0</v>
      </c>
      <c r="JG21" s="57">
        <f t="shared" si="173"/>
        <v>0</v>
      </c>
      <c r="JH21" s="57">
        <f t="shared" si="173"/>
        <v>0</v>
      </c>
      <c r="JI21" s="57">
        <f t="shared" si="173"/>
        <v>0</v>
      </c>
      <c r="JJ21" s="57">
        <f t="shared" si="173"/>
        <v>0</v>
      </c>
      <c r="JK21" s="57">
        <f t="shared" si="173"/>
        <v>0</v>
      </c>
      <c r="JL21" s="57">
        <f t="shared" si="173"/>
        <v>0</v>
      </c>
      <c r="JM21" s="57">
        <f t="shared" si="173"/>
        <v>0</v>
      </c>
      <c r="JN21" s="57">
        <f t="shared" si="173"/>
        <v>0</v>
      </c>
      <c r="JO21" s="57">
        <f t="shared" si="173"/>
        <v>0</v>
      </c>
      <c r="JP21" s="57">
        <f t="shared" si="173"/>
        <v>0</v>
      </c>
      <c r="JQ21" s="57">
        <f t="shared" si="173"/>
        <v>0</v>
      </c>
      <c r="JR21" s="57">
        <f t="shared" si="173"/>
        <v>0</v>
      </c>
      <c r="JS21" s="57">
        <f t="shared" si="173"/>
        <v>0</v>
      </c>
      <c r="JT21" s="57">
        <f t="shared" si="173"/>
        <v>0</v>
      </c>
      <c r="JU21" s="57">
        <f t="shared" si="173"/>
        <v>0</v>
      </c>
      <c r="JV21" s="57">
        <f t="shared" si="173"/>
        <v>0</v>
      </c>
      <c r="JW21" s="57">
        <f t="shared" si="173"/>
        <v>0</v>
      </c>
      <c r="JX21" s="57">
        <f t="shared" si="173"/>
        <v>0</v>
      </c>
      <c r="JY21" s="57">
        <f t="shared" si="173"/>
        <v>0</v>
      </c>
      <c r="JZ21" s="57">
        <f t="shared" si="173"/>
        <v>0</v>
      </c>
      <c r="KA21" s="57">
        <f t="shared" si="173"/>
        <v>0</v>
      </c>
      <c r="KB21" s="57">
        <f t="shared" si="173"/>
        <v>0</v>
      </c>
      <c r="KC21" s="57">
        <f t="shared" si="173"/>
        <v>0</v>
      </c>
      <c r="KD21" s="57">
        <f t="shared" si="173"/>
        <v>0</v>
      </c>
      <c r="KE21" s="57">
        <f t="shared" si="173"/>
        <v>0</v>
      </c>
      <c r="KF21" s="57">
        <f t="shared" si="173"/>
        <v>0</v>
      </c>
      <c r="KG21" s="57">
        <f t="shared" si="173"/>
        <v>0</v>
      </c>
      <c r="KH21" s="57">
        <f t="shared" si="173"/>
        <v>0</v>
      </c>
      <c r="KI21" s="57">
        <f t="shared" si="173"/>
        <v>0</v>
      </c>
      <c r="KJ21" s="57">
        <f t="shared" si="173"/>
        <v>0</v>
      </c>
      <c r="KK21" s="57">
        <f t="shared" si="173"/>
        <v>0</v>
      </c>
      <c r="KL21" s="57">
        <f t="shared" si="173"/>
        <v>0</v>
      </c>
      <c r="KM21" s="57">
        <f t="shared" si="173"/>
        <v>0</v>
      </c>
      <c r="KN21" s="57">
        <f t="shared" si="173"/>
        <v>0</v>
      </c>
      <c r="KO21" s="57">
        <f t="shared" si="173"/>
        <v>0</v>
      </c>
      <c r="KP21" s="57">
        <f t="shared" si="173"/>
        <v>0</v>
      </c>
      <c r="KQ21" s="57">
        <f t="shared" si="173"/>
        <v>0</v>
      </c>
      <c r="KR21" s="57">
        <f t="shared" si="173"/>
        <v>0</v>
      </c>
      <c r="KS21" s="57">
        <f t="shared" si="173"/>
        <v>0</v>
      </c>
      <c r="KT21" s="57">
        <f t="shared" si="173"/>
        <v>0</v>
      </c>
      <c r="KU21" s="57">
        <f t="shared" si="173"/>
        <v>0</v>
      </c>
      <c r="KV21" s="57">
        <f t="shared" si="173"/>
        <v>0</v>
      </c>
      <c r="KW21" s="57">
        <f t="shared" si="173"/>
        <v>0</v>
      </c>
      <c r="KX21" s="57">
        <f t="shared" si="173"/>
        <v>0</v>
      </c>
      <c r="KY21" s="57">
        <f t="shared" si="173"/>
        <v>0</v>
      </c>
      <c r="KZ21" s="57">
        <f t="shared" si="173"/>
        <v>0</v>
      </c>
      <c r="LA21" s="57">
        <f t="shared" si="173"/>
        <v>0</v>
      </c>
      <c r="LB21" s="57">
        <f t="shared" si="173"/>
        <v>0</v>
      </c>
      <c r="LC21" s="57">
        <f t="shared" si="173"/>
        <v>0</v>
      </c>
      <c r="LD21" s="57">
        <f t="shared" si="173"/>
        <v>0</v>
      </c>
      <c r="LE21" s="57">
        <f t="shared" si="173"/>
        <v>0</v>
      </c>
      <c r="LF21" s="57">
        <f t="shared" si="173"/>
        <v>0</v>
      </c>
      <c r="LG21" s="57">
        <f t="shared" si="173"/>
        <v>0</v>
      </c>
      <c r="LH21" s="57">
        <f t="shared" si="173"/>
        <v>0</v>
      </c>
      <c r="LI21" s="57">
        <f t="shared" si="173"/>
        <v>0</v>
      </c>
      <c r="LJ21" s="57">
        <f t="shared" si="173"/>
        <v>0</v>
      </c>
      <c r="LK21" s="57">
        <f t="shared" si="173"/>
        <v>0</v>
      </c>
      <c r="LL21" s="57">
        <f t="shared" ref="LL21:NW21" si="174">IF(LL12="Aportación Inicial",$C$4,0)</f>
        <v>0</v>
      </c>
      <c r="LM21" s="57">
        <f t="shared" si="174"/>
        <v>0</v>
      </c>
      <c r="LN21" s="57">
        <f t="shared" si="174"/>
        <v>0</v>
      </c>
      <c r="LO21" s="57">
        <f t="shared" si="174"/>
        <v>0</v>
      </c>
      <c r="LP21" s="57">
        <f t="shared" si="174"/>
        <v>0</v>
      </c>
      <c r="LQ21" s="57">
        <f t="shared" si="174"/>
        <v>0</v>
      </c>
      <c r="LR21" s="57">
        <f t="shared" si="174"/>
        <v>0</v>
      </c>
      <c r="LS21" s="57">
        <f t="shared" si="174"/>
        <v>0</v>
      </c>
      <c r="LT21" s="57">
        <f t="shared" si="174"/>
        <v>0</v>
      </c>
      <c r="LU21" s="57">
        <f t="shared" si="174"/>
        <v>0</v>
      </c>
      <c r="LV21" s="57">
        <f t="shared" si="174"/>
        <v>0</v>
      </c>
      <c r="LW21" s="57">
        <f t="shared" si="174"/>
        <v>0</v>
      </c>
      <c r="LX21" s="57">
        <f t="shared" si="174"/>
        <v>0</v>
      </c>
      <c r="LY21" s="57">
        <f t="shared" si="174"/>
        <v>0</v>
      </c>
      <c r="LZ21" s="57">
        <f t="shared" si="174"/>
        <v>0</v>
      </c>
      <c r="MA21" s="57">
        <f t="shared" si="174"/>
        <v>0</v>
      </c>
      <c r="MB21" s="57">
        <f t="shared" si="174"/>
        <v>0</v>
      </c>
      <c r="MC21" s="57">
        <f t="shared" si="174"/>
        <v>0</v>
      </c>
      <c r="MD21" s="57">
        <f t="shared" si="174"/>
        <v>0</v>
      </c>
      <c r="ME21" s="57">
        <f t="shared" si="174"/>
        <v>0</v>
      </c>
      <c r="MF21" s="57">
        <f t="shared" si="174"/>
        <v>0</v>
      </c>
      <c r="MG21" s="57">
        <f t="shared" si="174"/>
        <v>0</v>
      </c>
      <c r="MH21" s="57">
        <f t="shared" si="174"/>
        <v>0</v>
      </c>
      <c r="MI21" s="57">
        <f t="shared" si="174"/>
        <v>0</v>
      </c>
      <c r="MJ21" s="57">
        <f t="shared" si="174"/>
        <v>0</v>
      </c>
      <c r="MK21" s="57">
        <f t="shared" si="174"/>
        <v>0</v>
      </c>
      <c r="ML21" s="57">
        <f t="shared" si="174"/>
        <v>0</v>
      </c>
      <c r="MM21" s="57">
        <f t="shared" si="174"/>
        <v>0</v>
      </c>
      <c r="MN21" s="57">
        <f t="shared" si="174"/>
        <v>0</v>
      </c>
      <c r="MO21" s="57">
        <f t="shared" si="174"/>
        <v>0</v>
      </c>
      <c r="MP21" s="57">
        <f t="shared" si="174"/>
        <v>0</v>
      </c>
      <c r="MQ21" s="57">
        <f t="shared" si="174"/>
        <v>0</v>
      </c>
      <c r="MR21" s="57">
        <f t="shared" si="174"/>
        <v>0</v>
      </c>
      <c r="MS21" s="57">
        <f t="shared" si="174"/>
        <v>0</v>
      </c>
      <c r="MT21" s="57">
        <f t="shared" si="174"/>
        <v>0</v>
      </c>
      <c r="MU21" s="57">
        <f t="shared" si="174"/>
        <v>0</v>
      </c>
      <c r="MV21" s="57">
        <f t="shared" si="174"/>
        <v>0</v>
      </c>
      <c r="MW21" s="57">
        <f t="shared" si="174"/>
        <v>0</v>
      </c>
      <c r="MX21" s="57">
        <f t="shared" si="174"/>
        <v>0</v>
      </c>
      <c r="MY21" s="57">
        <f t="shared" si="174"/>
        <v>0</v>
      </c>
      <c r="MZ21" s="57">
        <f t="shared" si="174"/>
        <v>0</v>
      </c>
      <c r="NA21" s="57">
        <f t="shared" si="174"/>
        <v>0</v>
      </c>
      <c r="NB21" s="57">
        <f t="shared" si="174"/>
        <v>0</v>
      </c>
      <c r="NC21" s="57">
        <f t="shared" si="174"/>
        <v>0</v>
      </c>
      <c r="ND21" s="57">
        <f t="shared" si="174"/>
        <v>0</v>
      </c>
      <c r="NE21" s="57">
        <f t="shared" si="174"/>
        <v>0</v>
      </c>
      <c r="NF21" s="57">
        <f t="shared" si="174"/>
        <v>0</v>
      </c>
      <c r="NG21" s="57">
        <f t="shared" si="174"/>
        <v>0</v>
      </c>
      <c r="NH21" s="57">
        <f t="shared" si="174"/>
        <v>0</v>
      </c>
      <c r="NI21" s="57">
        <f t="shared" si="174"/>
        <v>0</v>
      </c>
      <c r="NJ21" s="57">
        <f t="shared" si="174"/>
        <v>0</v>
      </c>
      <c r="NK21" s="57">
        <f t="shared" si="174"/>
        <v>0</v>
      </c>
      <c r="NL21" s="57">
        <f t="shared" si="174"/>
        <v>0</v>
      </c>
      <c r="NM21" s="57">
        <f t="shared" si="174"/>
        <v>0</v>
      </c>
      <c r="NN21" s="57">
        <f t="shared" si="174"/>
        <v>0</v>
      </c>
      <c r="NO21" s="57">
        <f t="shared" si="174"/>
        <v>0</v>
      </c>
      <c r="NP21" s="57">
        <f t="shared" si="174"/>
        <v>0</v>
      </c>
      <c r="NQ21" s="57">
        <f t="shared" si="174"/>
        <v>0</v>
      </c>
      <c r="NR21" s="57">
        <f t="shared" si="174"/>
        <v>0</v>
      </c>
      <c r="NS21" s="57">
        <f t="shared" si="174"/>
        <v>0</v>
      </c>
      <c r="NT21" s="57">
        <f t="shared" si="174"/>
        <v>0</v>
      </c>
      <c r="NU21" s="57">
        <f t="shared" si="174"/>
        <v>0</v>
      </c>
      <c r="NV21" s="57">
        <f t="shared" si="174"/>
        <v>0</v>
      </c>
      <c r="NW21" s="57">
        <f t="shared" si="174"/>
        <v>0</v>
      </c>
      <c r="NX21" s="57">
        <f t="shared" ref="NX21:QI21" si="175">IF(NX12="Aportación Inicial",$C$4,0)</f>
        <v>0</v>
      </c>
      <c r="NY21" s="57">
        <f t="shared" si="175"/>
        <v>0</v>
      </c>
      <c r="NZ21" s="57">
        <f t="shared" si="175"/>
        <v>0</v>
      </c>
      <c r="OA21" s="57">
        <f t="shared" si="175"/>
        <v>0</v>
      </c>
      <c r="OB21" s="57">
        <f t="shared" si="175"/>
        <v>0</v>
      </c>
      <c r="OC21" s="57">
        <f t="shared" si="175"/>
        <v>0</v>
      </c>
      <c r="OD21" s="57">
        <f t="shared" si="175"/>
        <v>0</v>
      </c>
      <c r="OE21" s="57">
        <f t="shared" si="175"/>
        <v>0</v>
      </c>
      <c r="OF21" s="57">
        <f t="shared" si="175"/>
        <v>0</v>
      </c>
      <c r="OG21" s="57">
        <f t="shared" si="175"/>
        <v>0</v>
      </c>
      <c r="OH21" s="57">
        <f t="shared" si="175"/>
        <v>0</v>
      </c>
      <c r="OI21" s="57">
        <f t="shared" si="175"/>
        <v>0</v>
      </c>
      <c r="OJ21" s="57">
        <f t="shared" si="175"/>
        <v>0</v>
      </c>
      <c r="OK21" s="57">
        <f t="shared" si="175"/>
        <v>0</v>
      </c>
      <c r="OL21" s="57">
        <f t="shared" si="175"/>
        <v>0</v>
      </c>
      <c r="OM21" s="57">
        <f t="shared" si="175"/>
        <v>0</v>
      </c>
      <c r="ON21" s="57">
        <f t="shared" si="175"/>
        <v>0</v>
      </c>
      <c r="OO21" s="57">
        <f t="shared" si="175"/>
        <v>0</v>
      </c>
      <c r="OP21" s="57">
        <f t="shared" si="175"/>
        <v>0</v>
      </c>
      <c r="OQ21" s="57">
        <f t="shared" si="175"/>
        <v>0</v>
      </c>
      <c r="OR21" s="57">
        <f t="shared" si="175"/>
        <v>0</v>
      </c>
      <c r="OS21" s="57">
        <f t="shared" si="175"/>
        <v>0</v>
      </c>
      <c r="OT21" s="57">
        <f t="shared" si="175"/>
        <v>0</v>
      </c>
      <c r="OU21" s="57">
        <f t="shared" si="175"/>
        <v>0</v>
      </c>
      <c r="OV21" s="57">
        <f t="shared" si="175"/>
        <v>0</v>
      </c>
      <c r="OW21" s="57">
        <f t="shared" si="175"/>
        <v>0</v>
      </c>
      <c r="OX21" s="57">
        <f t="shared" si="175"/>
        <v>0</v>
      </c>
      <c r="OY21" s="57">
        <f t="shared" si="175"/>
        <v>0</v>
      </c>
      <c r="OZ21" s="57">
        <f t="shared" si="175"/>
        <v>0</v>
      </c>
      <c r="PA21" s="57">
        <f t="shared" si="175"/>
        <v>0</v>
      </c>
      <c r="PB21" s="57">
        <f t="shared" si="175"/>
        <v>0</v>
      </c>
      <c r="PC21" s="57">
        <f t="shared" si="175"/>
        <v>0</v>
      </c>
      <c r="PD21" s="57">
        <f t="shared" si="175"/>
        <v>0</v>
      </c>
      <c r="PE21" s="57">
        <f t="shared" si="175"/>
        <v>0</v>
      </c>
      <c r="PF21" s="57">
        <f t="shared" si="175"/>
        <v>0</v>
      </c>
      <c r="PG21" s="57">
        <f t="shared" si="175"/>
        <v>0</v>
      </c>
      <c r="PH21" s="57">
        <f t="shared" si="175"/>
        <v>0</v>
      </c>
      <c r="PI21" s="57">
        <f t="shared" si="175"/>
        <v>0</v>
      </c>
      <c r="PJ21" s="57">
        <f t="shared" si="175"/>
        <v>0</v>
      </c>
      <c r="PK21" s="57">
        <f t="shared" si="175"/>
        <v>0</v>
      </c>
      <c r="PL21" s="57">
        <f t="shared" si="175"/>
        <v>0</v>
      </c>
      <c r="PM21" s="57">
        <f t="shared" si="175"/>
        <v>0</v>
      </c>
      <c r="PN21" s="57">
        <f t="shared" si="175"/>
        <v>0</v>
      </c>
      <c r="PO21" s="57">
        <f t="shared" si="175"/>
        <v>0</v>
      </c>
      <c r="PP21" s="57">
        <f t="shared" si="175"/>
        <v>0</v>
      </c>
      <c r="PQ21" s="57">
        <f t="shared" si="175"/>
        <v>0</v>
      </c>
      <c r="PR21" s="57">
        <f t="shared" si="175"/>
        <v>0</v>
      </c>
      <c r="PS21" s="57">
        <f t="shared" si="175"/>
        <v>0</v>
      </c>
      <c r="PT21" s="57">
        <f t="shared" si="175"/>
        <v>0</v>
      </c>
      <c r="PU21" s="57">
        <f t="shared" si="175"/>
        <v>0</v>
      </c>
      <c r="PV21" s="57">
        <f t="shared" si="175"/>
        <v>0</v>
      </c>
      <c r="PW21" s="57">
        <f t="shared" si="175"/>
        <v>0</v>
      </c>
      <c r="PX21" s="57">
        <f t="shared" si="175"/>
        <v>0</v>
      </c>
      <c r="PY21" s="57">
        <f t="shared" si="175"/>
        <v>0</v>
      </c>
      <c r="PZ21" s="57">
        <f t="shared" si="175"/>
        <v>0</v>
      </c>
      <c r="QA21" s="57">
        <f t="shared" si="175"/>
        <v>0</v>
      </c>
      <c r="QB21" s="57">
        <f t="shared" si="175"/>
        <v>0</v>
      </c>
      <c r="QC21" s="57">
        <f t="shared" si="175"/>
        <v>0</v>
      </c>
      <c r="QD21" s="57">
        <f t="shared" si="175"/>
        <v>0</v>
      </c>
      <c r="QE21" s="57">
        <f t="shared" si="175"/>
        <v>0</v>
      </c>
      <c r="QF21" s="57">
        <f t="shared" si="175"/>
        <v>0</v>
      </c>
      <c r="QG21" s="57">
        <f t="shared" si="175"/>
        <v>0</v>
      </c>
      <c r="QH21" s="57">
        <f t="shared" si="175"/>
        <v>0</v>
      </c>
      <c r="QI21" s="57">
        <f t="shared" si="175"/>
        <v>0</v>
      </c>
      <c r="QJ21" s="57">
        <f t="shared" ref="QJ21:SU21" si="176">IF(QJ12="Aportación Inicial",$C$4,0)</f>
        <v>0</v>
      </c>
      <c r="QK21" s="57">
        <f t="shared" si="176"/>
        <v>0</v>
      </c>
      <c r="QL21" s="57">
        <f t="shared" si="176"/>
        <v>0</v>
      </c>
      <c r="QM21" s="57">
        <f t="shared" si="176"/>
        <v>0</v>
      </c>
      <c r="QN21" s="57">
        <f t="shared" si="176"/>
        <v>0</v>
      </c>
      <c r="QO21" s="57">
        <f t="shared" si="176"/>
        <v>0</v>
      </c>
      <c r="QP21" s="57">
        <f t="shared" si="176"/>
        <v>0</v>
      </c>
      <c r="QQ21" s="57">
        <f t="shared" si="176"/>
        <v>0</v>
      </c>
      <c r="QR21" s="57">
        <f t="shared" si="176"/>
        <v>0</v>
      </c>
      <c r="QS21" s="57">
        <f t="shared" si="176"/>
        <v>0</v>
      </c>
      <c r="QT21" s="57">
        <f t="shared" si="176"/>
        <v>0</v>
      </c>
      <c r="QU21" s="57">
        <f t="shared" si="176"/>
        <v>0</v>
      </c>
      <c r="QV21" s="57">
        <f t="shared" si="176"/>
        <v>0</v>
      </c>
      <c r="QW21" s="57">
        <f t="shared" si="176"/>
        <v>0</v>
      </c>
      <c r="QX21" s="57">
        <f t="shared" si="176"/>
        <v>0</v>
      </c>
      <c r="QY21" s="57">
        <f t="shared" si="176"/>
        <v>0</v>
      </c>
      <c r="QZ21" s="57">
        <f t="shared" si="176"/>
        <v>0</v>
      </c>
      <c r="RA21" s="57">
        <f t="shared" si="176"/>
        <v>0</v>
      </c>
      <c r="RB21" s="57">
        <f t="shared" si="176"/>
        <v>0</v>
      </c>
      <c r="RC21" s="57">
        <f t="shared" si="176"/>
        <v>0</v>
      </c>
      <c r="RD21" s="57">
        <f t="shared" si="176"/>
        <v>0</v>
      </c>
      <c r="RE21" s="57">
        <f t="shared" si="176"/>
        <v>0</v>
      </c>
      <c r="RF21" s="57">
        <f t="shared" si="176"/>
        <v>0</v>
      </c>
      <c r="RG21" s="57">
        <f t="shared" si="176"/>
        <v>0</v>
      </c>
      <c r="RH21" s="57">
        <f t="shared" si="176"/>
        <v>0</v>
      </c>
      <c r="RI21" s="57">
        <f t="shared" si="176"/>
        <v>0</v>
      </c>
      <c r="RJ21" s="57">
        <f t="shared" si="176"/>
        <v>0</v>
      </c>
      <c r="RK21" s="57">
        <f t="shared" si="176"/>
        <v>0</v>
      </c>
      <c r="RL21" s="57">
        <f t="shared" si="176"/>
        <v>0</v>
      </c>
      <c r="RM21" s="57">
        <f t="shared" si="176"/>
        <v>0</v>
      </c>
      <c r="RN21" s="57">
        <f t="shared" si="176"/>
        <v>0</v>
      </c>
      <c r="RO21" s="57">
        <f t="shared" si="176"/>
        <v>0</v>
      </c>
      <c r="RP21" s="57">
        <f t="shared" si="176"/>
        <v>0</v>
      </c>
      <c r="RQ21" s="57">
        <f t="shared" si="176"/>
        <v>0</v>
      </c>
      <c r="RR21" s="57">
        <f t="shared" si="176"/>
        <v>0</v>
      </c>
      <c r="RS21" s="57">
        <f t="shared" si="176"/>
        <v>0</v>
      </c>
      <c r="RT21" s="57">
        <f t="shared" si="176"/>
        <v>0</v>
      </c>
      <c r="RU21" s="57">
        <f t="shared" si="176"/>
        <v>0</v>
      </c>
      <c r="RV21" s="57">
        <f t="shared" si="176"/>
        <v>0</v>
      </c>
      <c r="RW21" s="57">
        <f t="shared" si="176"/>
        <v>0</v>
      </c>
      <c r="RX21" s="57">
        <f t="shared" si="176"/>
        <v>0</v>
      </c>
      <c r="RY21" s="57">
        <f t="shared" si="176"/>
        <v>0</v>
      </c>
      <c r="RZ21" s="57">
        <f t="shared" si="176"/>
        <v>0</v>
      </c>
      <c r="SA21" s="57">
        <f t="shared" si="176"/>
        <v>0</v>
      </c>
      <c r="SB21" s="57">
        <f t="shared" si="176"/>
        <v>0</v>
      </c>
      <c r="SC21" s="57">
        <f t="shared" si="176"/>
        <v>0</v>
      </c>
      <c r="SD21" s="57">
        <f t="shared" si="176"/>
        <v>0</v>
      </c>
      <c r="SE21" s="57">
        <f t="shared" si="176"/>
        <v>0</v>
      </c>
      <c r="SF21" s="57">
        <f t="shared" si="176"/>
        <v>0</v>
      </c>
      <c r="SG21" s="57">
        <f t="shared" si="176"/>
        <v>0</v>
      </c>
      <c r="SH21" s="57">
        <f t="shared" si="176"/>
        <v>0</v>
      </c>
      <c r="SI21" s="57">
        <f t="shared" si="176"/>
        <v>0</v>
      </c>
      <c r="SJ21" s="57">
        <f t="shared" si="176"/>
        <v>0</v>
      </c>
      <c r="SK21" s="57">
        <f t="shared" si="176"/>
        <v>0</v>
      </c>
      <c r="SL21" s="57">
        <f t="shared" si="176"/>
        <v>0</v>
      </c>
      <c r="SM21" s="57">
        <f t="shared" si="176"/>
        <v>0</v>
      </c>
      <c r="SN21" s="57">
        <f t="shared" si="176"/>
        <v>0</v>
      </c>
      <c r="SO21" s="57">
        <f t="shared" si="176"/>
        <v>0</v>
      </c>
      <c r="SP21" s="57">
        <f t="shared" si="176"/>
        <v>0</v>
      </c>
      <c r="SQ21" s="57">
        <f t="shared" si="176"/>
        <v>0</v>
      </c>
      <c r="SR21" s="57">
        <f t="shared" si="176"/>
        <v>0</v>
      </c>
      <c r="SS21" s="57">
        <f t="shared" si="176"/>
        <v>0</v>
      </c>
      <c r="ST21" s="57">
        <f t="shared" si="176"/>
        <v>0</v>
      </c>
      <c r="SU21" s="57">
        <f t="shared" si="176"/>
        <v>0</v>
      </c>
      <c r="SV21" s="57">
        <f t="shared" ref="SV21:VG21" si="177">IF(SV12="Aportación Inicial",$C$4,0)</f>
        <v>0</v>
      </c>
      <c r="SW21" s="57">
        <f t="shared" si="177"/>
        <v>0</v>
      </c>
      <c r="SX21" s="57">
        <f t="shared" si="177"/>
        <v>0</v>
      </c>
      <c r="SY21" s="57">
        <f t="shared" si="177"/>
        <v>0</v>
      </c>
      <c r="SZ21" s="57">
        <f t="shared" si="177"/>
        <v>0</v>
      </c>
      <c r="TA21" s="57">
        <f t="shared" si="177"/>
        <v>0</v>
      </c>
      <c r="TB21" s="57">
        <f t="shared" si="177"/>
        <v>0</v>
      </c>
      <c r="TC21" s="57">
        <f t="shared" si="177"/>
        <v>0</v>
      </c>
      <c r="TD21" s="57">
        <f t="shared" si="177"/>
        <v>0</v>
      </c>
      <c r="TE21" s="57">
        <f t="shared" si="177"/>
        <v>0</v>
      </c>
      <c r="TF21" s="57">
        <f t="shared" si="177"/>
        <v>0</v>
      </c>
      <c r="TG21" s="57">
        <f t="shared" si="177"/>
        <v>0</v>
      </c>
      <c r="TH21" s="57">
        <f t="shared" si="177"/>
        <v>0</v>
      </c>
      <c r="TI21" s="57">
        <f t="shared" si="177"/>
        <v>0</v>
      </c>
      <c r="TJ21" s="57">
        <f t="shared" si="177"/>
        <v>0</v>
      </c>
      <c r="TK21" s="57">
        <f t="shared" si="177"/>
        <v>0</v>
      </c>
      <c r="TL21" s="57">
        <f t="shared" si="177"/>
        <v>0</v>
      </c>
      <c r="TM21" s="57">
        <f t="shared" si="177"/>
        <v>0</v>
      </c>
      <c r="TN21" s="57">
        <f t="shared" si="177"/>
        <v>0</v>
      </c>
      <c r="TO21" s="57">
        <f t="shared" si="177"/>
        <v>0</v>
      </c>
      <c r="TP21" s="57">
        <f t="shared" si="177"/>
        <v>0</v>
      </c>
      <c r="TQ21" s="57">
        <f t="shared" si="177"/>
        <v>0</v>
      </c>
      <c r="TR21" s="57">
        <f t="shared" si="177"/>
        <v>0</v>
      </c>
      <c r="TS21" s="57">
        <f t="shared" si="177"/>
        <v>0</v>
      </c>
      <c r="TT21" s="57">
        <f t="shared" si="177"/>
        <v>0</v>
      </c>
      <c r="TU21" s="57">
        <f t="shared" si="177"/>
        <v>0</v>
      </c>
      <c r="TV21" s="57">
        <f t="shared" si="177"/>
        <v>0</v>
      </c>
      <c r="TW21" s="57">
        <f t="shared" si="177"/>
        <v>0</v>
      </c>
      <c r="TX21" s="57">
        <f t="shared" si="177"/>
        <v>0</v>
      </c>
      <c r="TY21" s="57">
        <f t="shared" si="177"/>
        <v>0</v>
      </c>
      <c r="TZ21" s="57">
        <f t="shared" si="177"/>
        <v>0</v>
      </c>
      <c r="UA21" s="57">
        <f t="shared" si="177"/>
        <v>0</v>
      </c>
      <c r="UB21" s="57">
        <f t="shared" si="177"/>
        <v>0</v>
      </c>
      <c r="UC21" s="57">
        <f t="shared" si="177"/>
        <v>0</v>
      </c>
      <c r="UD21" s="57">
        <f t="shared" si="177"/>
        <v>0</v>
      </c>
      <c r="UE21" s="57">
        <f t="shared" si="177"/>
        <v>0</v>
      </c>
      <c r="UF21" s="57">
        <f t="shared" si="177"/>
        <v>0</v>
      </c>
      <c r="UG21" s="57">
        <f t="shared" si="177"/>
        <v>0</v>
      </c>
      <c r="UH21" s="57">
        <f t="shared" si="177"/>
        <v>0</v>
      </c>
      <c r="UI21" s="57">
        <f t="shared" si="177"/>
        <v>0</v>
      </c>
      <c r="UJ21" s="57">
        <f t="shared" si="177"/>
        <v>0</v>
      </c>
      <c r="UK21" s="57">
        <f t="shared" si="177"/>
        <v>0</v>
      </c>
      <c r="UL21" s="57">
        <f t="shared" si="177"/>
        <v>0</v>
      </c>
      <c r="UM21" s="57">
        <f t="shared" si="177"/>
        <v>0</v>
      </c>
      <c r="UN21" s="57">
        <f t="shared" si="177"/>
        <v>0</v>
      </c>
      <c r="UO21" s="57">
        <f t="shared" si="177"/>
        <v>0</v>
      </c>
      <c r="UP21" s="57">
        <f t="shared" si="177"/>
        <v>0</v>
      </c>
      <c r="UQ21" s="57">
        <f t="shared" si="177"/>
        <v>0</v>
      </c>
      <c r="UR21" s="57">
        <f t="shared" si="177"/>
        <v>0</v>
      </c>
      <c r="US21" s="57">
        <f t="shared" si="177"/>
        <v>0</v>
      </c>
      <c r="UT21" s="57">
        <f t="shared" si="177"/>
        <v>0</v>
      </c>
      <c r="UU21" s="57">
        <f t="shared" si="177"/>
        <v>0</v>
      </c>
      <c r="UV21" s="57">
        <f t="shared" si="177"/>
        <v>0</v>
      </c>
      <c r="UW21" s="57">
        <f t="shared" si="177"/>
        <v>0</v>
      </c>
      <c r="UX21" s="57">
        <f t="shared" si="177"/>
        <v>0</v>
      </c>
      <c r="UY21" s="57">
        <f t="shared" si="177"/>
        <v>0</v>
      </c>
      <c r="UZ21" s="57">
        <f t="shared" si="177"/>
        <v>0</v>
      </c>
      <c r="VA21" s="57">
        <f t="shared" si="177"/>
        <v>0</v>
      </c>
      <c r="VB21" s="57">
        <f t="shared" si="177"/>
        <v>0</v>
      </c>
      <c r="VC21" s="57">
        <f t="shared" si="177"/>
        <v>0</v>
      </c>
      <c r="VD21" s="57">
        <f t="shared" si="177"/>
        <v>0</v>
      </c>
      <c r="VE21" s="57">
        <f t="shared" si="177"/>
        <v>0</v>
      </c>
      <c r="VF21" s="57">
        <f t="shared" si="177"/>
        <v>0</v>
      </c>
      <c r="VG21" s="57">
        <f t="shared" si="177"/>
        <v>0</v>
      </c>
      <c r="VH21" s="57">
        <f t="shared" ref="VH21:XS21" si="178">IF(VH12="Aportación Inicial",$C$4,0)</f>
        <v>0</v>
      </c>
      <c r="VI21" s="57">
        <f t="shared" si="178"/>
        <v>0</v>
      </c>
      <c r="VJ21" s="57">
        <f t="shared" si="178"/>
        <v>0</v>
      </c>
      <c r="VK21" s="57">
        <f t="shared" si="178"/>
        <v>0</v>
      </c>
      <c r="VL21" s="57">
        <f t="shared" si="178"/>
        <v>0</v>
      </c>
      <c r="VM21" s="57">
        <f t="shared" si="178"/>
        <v>0</v>
      </c>
      <c r="VN21" s="57">
        <f t="shared" si="178"/>
        <v>0</v>
      </c>
      <c r="VO21" s="57">
        <f t="shared" si="178"/>
        <v>0</v>
      </c>
      <c r="VP21" s="57">
        <f t="shared" si="178"/>
        <v>0</v>
      </c>
      <c r="VQ21" s="57">
        <f t="shared" si="178"/>
        <v>0</v>
      </c>
      <c r="VR21" s="57">
        <f t="shared" si="178"/>
        <v>0</v>
      </c>
      <c r="VS21" s="57">
        <f t="shared" si="178"/>
        <v>0</v>
      </c>
      <c r="VT21" s="57">
        <f t="shared" si="178"/>
        <v>400000</v>
      </c>
      <c r="VU21" s="57">
        <f t="shared" si="178"/>
        <v>0</v>
      </c>
      <c r="VV21" s="57">
        <f t="shared" si="178"/>
        <v>0</v>
      </c>
      <c r="VW21" s="57">
        <f t="shared" si="178"/>
        <v>0</v>
      </c>
      <c r="VX21" s="57">
        <f t="shared" si="178"/>
        <v>0</v>
      </c>
      <c r="VY21" s="57">
        <f t="shared" si="178"/>
        <v>0</v>
      </c>
      <c r="VZ21" s="57">
        <f t="shared" si="178"/>
        <v>0</v>
      </c>
      <c r="WA21" s="57">
        <f t="shared" si="178"/>
        <v>0</v>
      </c>
      <c r="WB21" s="57">
        <f t="shared" si="178"/>
        <v>0</v>
      </c>
      <c r="WC21" s="57">
        <f t="shared" si="178"/>
        <v>0</v>
      </c>
      <c r="WD21" s="57">
        <f t="shared" si="178"/>
        <v>0</v>
      </c>
      <c r="WE21" s="57">
        <f t="shared" si="178"/>
        <v>0</v>
      </c>
      <c r="WF21" s="57">
        <f t="shared" si="178"/>
        <v>0</v>
      </c>
      <c r="WG21" s="57">
        <f t="shared" si="178"/>
        <v>0</v>
      </c>
      <c r="WH21" s="57">
        <f t="shared" si="178"/>
        <v>0</v>
      </c>
      <c r="WI21" s="57">
        <f t="shared" si="178"/>
        <v>0</v>
      </c>
      <c r="WJ21" s="57">
        <f t="shared" si="178"/>
        <v>0</v>
      </c>
      <c r="WK21" s="57">
        <f t="shared" si="178"/>
        <v>0</v>
      </c>
      <c r="WL21" s="57">
        <f t="shared" si="178"/>
        <v>0</v>
      </c>
      <c r="WM21" s="57">
        <f t="shared" si="178"/>
        <v>0</v>
      </c>
      <c r="WN21" s="57">
        <f t="shared" si="178"/>
        <v>0</v>
      </c>
      <c r="WO21" s="57">
        <f t="shared" si="178"/>
        <v>0</v>
      </c>
      <c r="WP21" s="57">
        <f t="shared" si="178"/>
        <v>0</v>
      </c>
      <c r="WQ21" s="57">
        <f t="shared" si="178"/>
        <v>0</v>
      </c>
      <c r="WR21" s="57">
        <f t="shared" si="178"/>
        <v>0</v>
      </c>
      <c r="WS21" s="57">
        <f t="shared" si="178"/>
        <v>0</v>
      </c>
      <c r="WT21" s="57">
        <f t="shared" si="178"/>
        <v>0</v>
      </c>
      <c r="WU21" s="57">
        <f t="shared" si="178"/>
        <v>0</v>
      </c>
      <c r="WV21" s="57">
        <f t="shared" si="178"/>
        <v>0</v>
      </c>
      <c r="WW21" s="57">
        <f t="shared" si="178"/>
        <v>0</v>
      </c>
      <c r="WX21" s="57">
        <f t="shared" si="178"/>
        <v>0</v>
      </c>
      <c r="WY21" s="57">
        <f t="shared" si="178"/>
        <v>0</v>
      </c>
      <c r="WZ21" s="57">
        <f t="shared" si="178"/>
        <v>0</v>
      </c>
      <c r="XA21" s="57">
        <f t="shared" si="178"/>
        <v>0</v>
      </c>
      <c r="XB21" s="57">
        <f t="shared" si="178"/>
        <v>0</v>
      </c>
      <c r="XC21" s="57">
        <f t="shared" si="178"/>
        <v>0</v>
      </c>
      <c r="XD21" s="57">
        <f t="shared" si="178"/>
        <v>0</v>
      </c>
      <c r="XE21" s="57">
        <f t="shared" si="178"/>
        <v>0</v>
      </c>
      <c r="XF21" s="57">
        <f t="shared" si="178"/>
        <v>0</v>
      </c>
      <c r="XG21" s="57">
        <f t="shared" si="178"/>
        <v>0</v>
      </c>
      <c r="XH21" s="57">
        <f t="shared" si="178"/>
        <v>0</v>
      </c>
      <c r="XI21" s="57">
        <f t="shared" si="178"/>
        <v>0</v>
      </c>
      <c r="XJ21" s="57">
        <f t="shared" si="178"/>
        <v>0</v>
      </c>
      <c r="XK21" s="57">
        <f t="shared" si="178"/>
        <v>0</v>
      </c>
      <c r="XL21" s="57">
        <f t="shared" si="178"/>
        <v>0</v>
      </c>
      <c r="XM21" s="57">
        <f t="shared" si="178"/>
        <v>0</v>
      </c>
      <c r="XN21" s="57">
        <f t="shared" si="178"/>
        <v>0</v>
      </c>
      <c r="XO21" s="57">
        <f t="shared" si="178"/>
        <v>0</v>
      </c>
      <c r="XP21" s="57">
        <f t="shared" si="178"/>
        <v>0</v>
      </c>
      <c r="XQ21" s="57">
        <f t="shared" si="178"/>
        <v>0</v>
      </c>
      <c r="XR21" s="57">
        <f t="shared" si="178"/>
        <v>0</v>
      </c>
      <c r="XS21" s="57">
        <f t="shared" si="178"/>
        <v>0</v>
      </c>
      <c r="XT21" s="57">
        <f t="shared" ref="XT21:AAE21" si="179">IF(XT12="Aportación Inicial",$C$4,0)</f>
        <v>0</v>
      </c>
      <c r="XU21" s="57">
        <f t="shared" si="179"/>
        <v>0</v>
      </c>
      <c r="XV21" s="57">
        <f t="shared" si="179"/>
        <v>0</v>
      </c>
      <c r="XW21" s="57">
        <f t="shared" si="179"/>
        <v>0</v>
      </c>
      <c r="XX21" s="57">
        <f t="shared" si="179"/>
        <v>0</v>
      </c>
      <c r="XY21" s="57">
        <f t="shared" si="179"/>
        <v>0</v>
      </c>
      <c r="XZ21" s="57">
        <f t="shared" si="179"/>
        <v>0</v>
      </c>
      <c r="YA21" s="57">
        <f t="shared" si="179"/>
        <v>0</v>
      </c>
      <c r="YB21" s="57">
        <f t="shared" si="179"/>
        <v>0</v>
      </c>
      <c r="YC21" s="57">
        <f t="shared" si="179"/>
        <v>0</v>
      </c>
      <c r="YD21" s="57">
        <f t="shared" si="179"/>
        <v>0</v>
      </c>
      <c r="YE21" s="57">
        <f t="shared" si="179"/>
        <v>0</v>
      </c>
      <c r="YF21" s="57">
        <f t="shared" si="179"/>
        <v>0</v>
      </c>
      <c r="YG21" s="57">
        <f t="shared" si="179"/>
        <v>0</v>
      </c>
      <c r="YH21" s="57">
        <f t="shared" si="179"/>
        <v>0</v>
      </c>
      <c r="YI21" s="57">
        <f t="shared" si="179"/>
        <v>0</v>
      </c>
      <c r="YJ21" s="57">
        <f t="shared" si="179"/>
        <v>0</v>
      </c>
      <c r="YK21" s="57">
        <f t="shared" si="179"/>
        <v>0</v>
      </c>
      <c r="YL21" s="57">
        <f t="shared" si="179"/>
        <v>0</v>
      </c>
      <c r="YM21" s="57">
        <f t="shared" si="179"/>
        <v>0</v>
      </c>
      <c r="YN21" s="57">
        <f t="shared" si="179"/>
        <v>0</v>
      </c>
      <c r="YO21" s="57">
        <f t="shared" si="179"/>
        <v>0</v>
      </c>
      <c r="YP21" s="57">
        <f t="shared" si="179"/>
        <v>0</v>
      </c>
      <c r="YQ21" s="57">
        <f t="shared" si="179"/>
        <v>0</v>
      </c>
      <c r="YR21" s="57">
        <f t="shared" si="179"/>
        <v>0</v>
      </c>
      <c r="YS21" s="57">
        <f t="shared" si="179"/>
        <v>0</v>
      </c>
      <c r="YT21" s="57">
        <f t="shared" si="179"/>
        <v>0</v>
      </c>
      <c r="YU21" s="57">
        <f t="shared" si="179"/>
        <v>0</v>
      </c>
      <c r="YV21" s="57">
        <f t="shared" si="179"/>
        <v>0</v>
      </c>
      <c r="YW21" s="57">
        <f t="shared" si="179"/>
        <v>0</v>
      </c>
      <c r="YX21" s="57">
        <f t="shared" si="179"/>
        <v>0</v>
      </c>
      <c r="YY21" s="57">
        <f t="shared" si="179"/>
        <v>0</v>
      </c>
      <c r="YZ21" s="57">
        <f t="shared" si="179"/>
        <v>0</v>
      </c>
      <c r="ZA21" s="57">
        <f t="shared" si="179"/>
        <v>0</v>
      </c>
      <c r="ZB21" s="57">
        <f t="shared" si="179"/>
        <v>0</v>
      </c>
      <c r="ZC21" s="57">
        <f t="shared" si="179"/>
        <v>0</v>
      </c>
      <c r="ZD21" s="57">
        <f t="shared" si="179"/>
        <v>0</v>
      </c>
      <c r="ZE21" s="57">
        <f t="shared" si="179"/>
        <v>0</v>
      </c>
      <c r="ZF21" s="57">
        <f t="shared" si="179"/>
        <v>0</v>
      </c>
      <c r="ZG21" s="57">
        <f t="shared" si="179"/>
        <v>0</v>
      </c>
      <c r="ZH21" s="57">
        <f t="shared" si="179"/>
        <v>0</v>
      </c>
      <c r="ZI21" s="57">
        <f t="shared" si="179"/>
        <v>0</v>
      </c>
      <c r="ZJ21" s="57">
        <f t="shared" si="179"/>
        <v>0</v>
      </c>
      <c r="ZK21" s="57">
        <f t="shared" si="179"/>
        <v>0</v>
      </c>
      <c r="ZL21" s="57">
        <f t="shared" si="179"/>
        <v>0</v>
      </c>
      <c r="ZM21" s="57">
        <f t="shared" si="179"/>
        <v>0</v>
      </c>
      <c r="ZN21" s="57">
        <f t="shared" si="179"/>
        <v>0</v>
      </c>
      <c r="ZO21" s="57">
        <f t="shared" si="179"/>
        <v>0</v>
      </c>
      <c r="ZP21" s="57">
        <f t="shared" si="179"/>
        <v>0</v>
      </c>
      <c r="ZQ21" s="57">
        <f t="shared" si="179"/>
        <v>0</v>
      </c>
      <c r="ZR21" s="57">
        <f t="shared" si="179"/>
        <v>0</v>
      </c>
      <c r="ZS21" s="57">
        <f t="shared" si="179"/>
        <v>0</v>
      </c>
      <c r="ZT21" s="57">
        <f t="shared" si="179"/>
        <v>0</v>
      </c>
      <c r="ZU21" s="57">
        <f t="shared" si="179"/>
        <v>0</v>
      </c>
      <c r="ZV21" s="57">
        <f t="shared" si="179"/>
        <v>0</v>
      </c>
      <c r="ZW21" s="57">
        <f t="shared" si="179"/>
        <v>0</v>
      </c>
      <c r="ZX21" s="57">
        <f t="shared" si="179"/>
        <v>0</v>
      </c>
      <c r="ZY21" s="57">
        <f t="shared" si="179"/>
        <v>0</v>
      </c>
      <c r="ZZ21" s="57">
        <f t="shared" si="179"/>
        <v>0</v>
      </c>
      <c r="AAA21" s="57">
        <f t="shared" si="179"/>
        <v>0</v>
      </c>
      <c r="AAB21" s="57">
        <f t="shared" si="179"/>
        <v>0</v>
      </c>
      <c r="AAC21" s="57">
        <f t="shared" si="179"/>
        <v>0</v>
      </c>
      <c r="AAD21" s="57">
        <f t="shared" si="179"/>
        <v>0</v>
      </c>
      <c r="AAE21" s="57">
        <f t="shared" si="179"/>
        <v>0</v>
      </c>
      <c r="AAF21" s="57">
        <f t="shared" ref="AAF21:ACQ21" si="180">IF(AAF12="Aportación Inicial",$C$4,0)</f>
        <v>0</v>
      </c>
      <c r="AAG21" s="57">
        <f t="shared" si="180"/>
        <v>0</v>
      </c>
      <c r="AAH21" s="57">
        <f t="shared" si="180"/>
        <v>0</v>
      </c>
      <c r="AAI21" s="57">
        <f t="shared" si="180"/>
        <v>0</v>
      </c>
      <c r="AAJ21" s="57">
        <f t="shared" si="180"/>
        <v>0</v>
      </c>
      <c r="AAK21" s="57">
        <f t="shared" si="180"/>
        <v>0</v>
      </c>
      <c r="AAL21" s="57">
        <f t="shared" si="180"/>
        <v>0</v>
      </c>
      <c r="AAM21" s="57">
        <f t="shared" si="180"/>
        <v>0</v>
      </c>
      <c r="AAN21" s="57">
        <f t="shared" si="180"/>
        <v>0</v>
      </c>
      <c r="AAO21" s="57">
        <f t="shared" si="180"/>
        <v>0</v>
      </c>
      <c r="AAP21" s="57">
        <f t="shared" si="180"/>
        <v>0</v>
      </c>
      <c r="AAQ21" s="57">
        <f t="shared" si="180"/>
        <v>0</v>
      </c>
      <c r="AAR21" s="57">
        <f t="shared" si="180"/>
        <v>0</v>
      </c>
      <c r="AAS21" s="57">
        <f t="shared" si="180"/>
        <v>0</v>
      </c>
      <c r="AAT21" s="57">
        <f t="shared" si="180"/>
        <v>0</v>
      </c>
      <c r="AAU21" s="57">
        <f t="shared" si="180"/>
        <v>0</v>
      </c>
      <c r="AAV21" s="57">
        <f t="shared" si="180"/>
        <v>0</v>
      </c>
      <c r="AAW21" s="57">
        <f t="shared" si="180"/>
        <v>0</v>
      </c>
      <c r="AAX21" s="57">
        <f t="shared" si="180"/>
        <v>0</v>
      </c>
      <c r="AAY21" s="57">
        <f t="shared" si="180"/>
        <v>0</v>
      </c>
      <c r="AAZ21" s="57">
        <f t="shared" si="180"/>
        <v>0</v>
      </c>
      <c r="ABA21" s="57">
        <f t="shared" si="180"/>
        <v>0</v>
      </c>
      <c r="ABB21" s="57">
        <f t="shared" si="180"/>
        <v>0</v>
      </c>
      <c r="ABC21" s="57">
        <f t="shared" si="180"/>
        <v>0</v>
      </c>
      <c r="ABD21" s="57">
        <f t="shared" si="180"/>
        <v>0</v>
      </c>
      <c r="ABE21" s="57">
        <f t="shared" si="180"/>
        <v>0</v>
      </c>
      <c r="ABF21" s="57">
        <f t="shared" si="180"/>
        <v>0</v>
      </c>
      <c r="ABG21" s="57">
        <f t="shared" si="180"/>
        <v>0</v>
      </c>
      <c r="ABH21" s="57">
        <f t="shared" si="180"/>
        <v>0</v>
      </c>
      <c r="ABI21" s="57">
        <f t="shared" si="180"/>
        <v>0</v>
      </c>
      <c r="ABJ21" s="57">
        <f t="shared" si="180"/>
        <v>0</v>
      </c>
      <c r="ABK21" s="57">
        <f t="shared" si="180"/>
        <v>0</v>
      </c>
      <c r="ABL21" s="57">
        <f t="shared" si="180"/>
        <v>0</v>
      </c>
      <c r="ABM21" s="57">
        <f t="shared" si="180"/>
        <v>0</v>
      </c>
      <c r="ABN21" s="57">
        <f t="shared" si="180"/>
        <v>0</v>
      </c>
      <c r="ABO21" s="57">
        <f t="shared" si="180"/>
        <v>0</v>
      </c>
      <c r="ABP21" s="57">
        <f t="shared" si="180"/>
        <v>0</v>
      </c>
      <c r="ABQ21" s="57">
        <f t="shared" si="180"/>
        <v>0</v>
      </c>
      <c r="ABR21" s="57">
        <f t="shared" si="180"/>
        <v>0</v>
      </c>
      <c r="ABS21" s="57">
        <f t="shared" si="180"/>
        <v>0</v>
      </c>
      <c r="ABT21" s="57">
        <f t="shared" si="180"/>
        <v>0</v>
      </c>
      <c r="ABU21" s="57">
        <f t="shared" si="180"/>
        <v>0</v>
      </c>
      <c r="ABV21" s="57">
        <f t="shared" si="180"/>
        <v>0</v>
      </c>
      <c r="ABW21" s="57">
        <f t="shared" si="180"/>
        <v>0</v>
      </c>
      <c r="ABX21" s="57">
        <f t="shared" si="180"/>
        <v>0</v>
      </c>
      <c r="ABY21" s="57">
        <f t="shared" si="180"/>
        <v>0</v>
      </c>
      <c r="ABZ21" s="57">
        <f t="shared" si="180"/>
        <v>0</v>
      </c>
      <c r="ACA21" s="57">
        <f t="shared" si="180"/>
        <v>0</v>
      </c>
      <c r="ACB21" s="57">
        <f t="shared" si="180"/>
        <v>0</v>
      </c>
      <c r="ACC21" s="57">
        <f t="shared" si="180"/>
        <v>0</v>
      </c>
      <c r="ACD21" s="57">
        <f t="shared" si="180"/>
        <v>0</v>
      </c>
      <c r="ACE21" s="57">
        <f t="shared" si="180"/>
        <v>0</v>
      </c>
      <c r="ACF21" s="57">
        <f t="shared" si="180"/>
        <v>0</v>
      </c>
      <c r="ACG21" s="57">
        <f t="shared" si="180"/>
        <v>0</v>
      </c>
      <c r="ACH21" s="57">
        <f t="shared" si="180"/>
        <v>0</v>
      </c>
      <c r="ACI21" s="57">
        <f t="shared" si="180"/>
        <v>0</v>
      </c>
      <c r="ACJ21" s="57">
        <f t="shared" si="180"/>
        <v>0</v>
      </c>
      <c r="ACK21" s="57">
        <f t="shared" si="180"/>
        <v>0</v>
      </c>
      <c r="ACL21" s="57">
        <f t="shared" si="180"/>
        <v>0</v>
      </c>
      <c r="ACM21" s="57">
        <f t="shared" si="180"/>
        <v>0</v>
      </c>
      <c r="ACN21" s="57">
        <f t="shared" si="180"/>
        <v>0</v>
      </c>
      <c r="ACO21" s="57">
        <f t="shared" si="180"/>
        <v>0</v>
      </c>
      <c r="ACP21" s="57">
        <f t="shared" si="180"/>
        <v>0</v>
      </c>
      <c r="ACQ21" s="57">
        <f t="shared" si="180"/>
        <v>0</v>
      </c>
      <c r="ACR21" s="57">
        <f t="shared" ref="ACR21:AFC21" si="181">IF(ACR12="Aportación Inicial",$C$4,0)</f>
        <v>0</v>
      </c>
      <c r="ACS21" s="57">
        <f t="shared" si="181"/>
        <v>0</v>
      </c>
      <c r="ACT21" s="57">
        <f t="shared" si="181"/>
        <v>0</v>
      </c>
      <c r="ACU21" s="57">
        <f t="shared" si="181"/>
        <v>0</v>
      </c>
      <c r="ACV21" s="57">
        <f t="shared" si="181"/>
        <v>0</v>
      </c>
      <c r="ACW21" s="57">
        <f t="shared" si="181"/>
        <v>0</v>
      </c>
      <c r="ACX21" s="57">
        <f t="shared" si="181"/>
        <v>0</v>
      </c>
      <c r="ACY21" s="57">
        <f t="shared" si="181"/>
        <v>0</v>
      </c>
      <c r="ACZ21" s="57">
        <f t="shared" si="181"/>
        <v>0</v>
      </c>
      <c r="ADA21" s="57">
        <f t="shared" si="181"/>
        <v>0</v>
      </c>
      <c r="ADB21" s="57">
        <f t="shared" si="181"/>
        <v>0</v>
      </c>
      <c r="ADC21" s="57">
        <f t="shared" si="181"/>
        <v>0</v>
      </c>
      <c r="ADD21" s="57">
        <f t="shared" si="181"/>
        <v>0</v>
      </c>
      <c r="ADE21" s="57">
        <f t="shared" si="181"/>
        <v>0</v>
      </c>
      <c r="ADF21" s="57">
        <f t="shared" si="181"/>
        <v>0</v>
      </c>
      <c r="ADG21" s="57">
        <f t="shared" si="181"/>
        <v>0</v>
      </c>
      <c r="ADH21" s="57">
        <f t="shared" si="181"/>
        <v>0</v>
      </c>
      <c r="ADI21" s="57">
        <f t="shared" si="181"/>
        <v>0</v>
      </c>
      <c r="ADJ21" s="57">
        <f t="shared" si="181"/>
        <v>0</v>
      </c>
      <c r="ADK21" s="57">
        <f t="shared" si="181"/>
        <v>0</v>
      </c>
      <c r="ADL21" s="57">
        <f t="shared" si="181"/>
        <v>0</v>
      </c>
      <c r="ADM21" s="57">
        <f t="shared" si="181"/>
        <v>0</v>
      </c>
      <c r="ADN21" s="57">
        <f t="shared" si="181"/>
        <v>0</v>
      </c>
      <c r="ADO21" s="57">
        <f t="shared" si="181"/>
        <v>0</v>
      </c>
      <c r="ADP21" s="57">
        <f t="shared" si="181"/>
        <v>0</v>
      </c>
      <c r="ADQ21" s="57">
        <f t="shared" si="181"/>
        <v>0</v>
      </c>
      <c r="ADR21" s="57">
        <f t="shared" si="181"/>
        <v>0</v>
      </c>
      <c r="ADS21" s="57">
        <f t="shared" si="181"/>
        <v>0</v>
      </c>
      <c r="ADT21" s="57">
        <f t="shared" si="181"/>
        <v>0</v>
      </c>
      <c r="ADU21" s="57">
        <f t="shared" si="181"/>
        <v>0</v>
      </c>
      <c r="ADV21" s="57">
        <f t="shared" si="181"/>
        <v>0</v>
      </c>
      <c r="ADW21" s="57">
        <f t="shared" si="181"/>
        <v>0</v>
      </c>
      <c r="ADX21" s="57">
        <f t="shared" si="181"/>
        <v>0</v>
      </c>
      <c r="ADY21" s="57">
        <f t="shared" si="181"/>
        <v>0</v>
      </c>
      <c r="ADZ21" s="57">
        <f t="shared" si="181"/>
        <v>0</v>
      </c>
      <c r="AEA21" s="57">
        <f t="shared" si="181"/>
        <v>0</v>
      </c>
      <c r="AEB21" s="57">
        <f t="shared" si="181"/>
        <v>0</v>
      </c>
      <c r="AEC21" s="57">
        <f t="shared" si="181"/>
        <v>0</v>
      </c>
      <c r="AED21" s="57">
        <f t="shared" si="181"/>
        <v>0</v>
      </c>
      <c r="AEE21" s="57">
        <f t="shared" si="181"/>
        <v>0</v>
      </c>
      <c r="AEF21" s="57">
        <f t="shared" si="181"/>
        <v>0</v>
      </c>
      <c r="AEG21" s="57">
        <f t="shared" si="181"/>
        <v>0</v>
      </c>
      <c r="AEH21" s="57">
        <f t="shared" si="181"/>
        <v>0</v>
      </c>
      <c r="AEI21" s="57">
        <f t="shared" si="181"/>
        <v>0</v>
      </c>
      <c r="AEJ21" s="57">
        <f t="shared" si="181"/>
        <v>0</v>
      </c>
      <c r="AEK21" s="57">
        <f t="shared" si="181"/>
        <v>0</v>
      </c>
      <c r="AEL21" s="57">
        <f t="shared" si="181"/>
        <v>0</v>
      </c>
      <c r="AEM21" s="57">
        <f t="shared" si="181"/>
        <v>0</v>
      </c>
      <c r="AEN21" s="57">
        <f t="shared" si="181"/>
        <v>0</v>
      </c>
      <c r="AEO21" s="57">
        <f t="shared" si="181"/>
        <v>0</v>
      </c>
      <c r="AEP21" s="57">
        <f t="shared" si="181"/>
        <v>0</v>
      </c>
      <c r="AEQ21" s="57">
        <f t="shared" si="181"/>
        <v>0</v>
      </c>
      <c r="AER21" s="57">
        <f t="shared" si="181"/>
        <v>0</v>
      </c>
      <c r="AES21" s="57">
        <f t="shared" si="181"/>
        <v>0</v>
      </c>
      <c r="AET21" s="57">
        <f t="shared" si="181"/>
        <v>0</v>
      </c>
      <c r="AEU21" s="57">
        <f t="shared" si="181"/>
        <v>0</v>
      </c>
      <c r="AEV21" s="57">
        <f t="shared" si="181"/>
        <v>0</v>
      </c>
      <c r="AEW21" s="57">
        <f t="shared" si="181"/>
        <v>0</v>
      </c>
      <c r="AEX21" s="57">
        <f t="shared" si="181"/>
        <v>0</v>
      </c>
      <c r="AEY21" s="57">
        <f t="shared" si="181"/>
        <v>0</v>
      </c>
      <c r="AEZ21" s="57">
        <f t="shared" si="181"/>
        <v>0</v>
      </c>
      <c r="AFA21" s="57">
        <f t="shared" si="181"/>
        <v>0</v>
      </c>
      <c r="AFB21" s="57">
        <f t="shared" si="181"/>
        <v>0</v>
      </c>
      <c r="AFC21" s="57">
        <f t="shared" si="181"/>
        <v>0</v>
      </c>
      <c r="AFD21" s="57">
        <f t="shared" ref="AFD21:AHO21" si="182">IF(AFD12="Aportación Inicial",$C$4,0)</f>
        <v>0</v>
      </c>
      <c r="AFE21" s="57">
        <f t="shared" si="182"/>
        <v>0</v>
      </c>
      <c r="AFF21" s="57">
        <f t="shared" si="182"/>
        <v>0</v>
      </c>
      <c r="AFG21" s="57">
        <f t="shared" si="182"/>
        <v>0</v>
      </c>
      <c r="AFH21" s="57">
        <f t="shared" si="182"/>
        <v>0</v>
      </c>
      <c r="AFI21" s="57">
        <f t="shared" si="182"/>
        <v>0</v>
      </c>
      <c r="AFJ21" s="57">
        <f t="shared" si="182"/>
        <v>0</v>
      </c>
      <c r="AFK21" s="57">
        <f t="shared" si="182"/>
        <v>0</v>
      </c>
      <c r="AFL21" s="57">
        <f t="shared" si="182"/>
        <v>0</v>
      </c>
      <c r="AFM21" s="57">
        <f t="shared" si="182"/>
        <v>0</v>
      </c>
      <c r="AFN21" s="57">
        <f t="shared" si="182"/>
        <v>0</v>
      </c>
      <c r="AFO21" s="57">
        <f t="shared" si="182"/>
        <v>0</v>
      </c>
      <c r="AFP21" s="57">
        <f t="shared" si="182"/>
        <v>0</v>
      </c>
      <c r="AFQ21" s="57">
        <f t="shared" si="182"/>
        <v>0</v>
      </c>
      <c r="AFR21" s="57">
        <f t="shared" si="182"/>
        <v>0</v>
      </c>
      <c r="AFS21" s="57">
        <f t="shared" si="182"/>
        <v>0</v>
      </c>
      <c r="AFT21" s="57">
        <f t="shared" si="182"/>
        <v>0</v>
      </c>
      <c r="AFU21" s="57">
        <f t="shared" si="182"/>
        <v>0</v>
      </c>
      <c r="AFV21" s="57">
        <f t="shared" si="182"/>
        <v>0</v>
      </c>
      <c r="AFW21" s="57">
        <f t="shared" si="182"/>
        <v>0</v>
      </c>
      <c r="AFX21" s="57">
        <f t="shared" si="182"/>
        <v>0</v>
      </c>
      <c r="AFY21" s="57">
        <f t="shared" si="182"/>
        <v>0</v>
      </c>
      <c r="AFZ21" s="57">
        <f t="shared" si="182"/>
        <v>0</v>
      </c>
      <c r="AGA21" s="57">
        <f t="shared" si="182"/>
        <v>0</v>
      </c>
      <c r="AGB21" s="57">
        <f t="shared" si="182"/>
        <v>0</v>
      </c>
      <c r="AGC21" s="57">
        <f t="shared" si="182"/>
        <v>0</v>
      </c>
      <c r="AGD21" s="57">
        <f t="shared" si="182"/>
        <v>0</v>
      </c>
      <c r="AGE21" s="57">
        <f t="shared" si="182"/>
        <v>0</v>
      </c>
      <c r="AGF21" s="57">
        <f t="shared" si="182"/>
        <v>0</v>
      </c>
      <c r="AGG21" s="57">
        <f t="shared" si="182"/>
        <v>0</v>
      </c>
      <c r="AGH21" s="57">
        <f t="shared" si="182"/>
        <v>0</v>
      </c>
      <c r="AGI21" s="57">
        <f t="shared" si="182"/>
        <v>0</v>
      </c>
      <c r="AGJ21" s="57">
        <f t="shared" si="182"/>
        <v>0</v>
      </c>
      <c r="AGK21" s="57">
        <f t="shared" si="182"/>
        <v>0</v>
      </c>
      <c r="AGL21" s="57">
        <f t="shared" si="182"/>
        <v>0</v>
      </c>
      <c r="AGM21" s="57">
        <f t="shared" si="182"/>
        <v>0</v>
      </c>
      <c r="AGN21" s="57">
        <f t="shared" si="182"/>
        <v>0</v>
      </c>
      <c r="AGO21" s="57">
        <f t="shared" si="182"/>
        <v>0</v>
      </c>
      <c r="AGP21" s="57">
        <f t="shared" si="182"/>
        <v>0</v>
      </c>
      <c r="AGQ21" s="57">
        <f t="shared" si="182"/>
        <v>0</v>
      </c>
      <c r="AGR21" s="57">
        <f t="shared" si="182"/>
        <v>0</v>
      </c>
      <c r="AGS21" s="57">
        <f t="shared" si="182"/>
        <v>0</v>
      </c>
      <c r="AGT21" s="57">
        <f t="shared" si="182"/>
        <v>0</v>
      </c>
      <c r="AGU21" s="57">
        <f t="shared" si="182"/>
        <v>0</v>
      </c>
      <c r="AGV21" s="57">
        <f t="shared" si="182"/>
        <v>0</v>
      </c>
      <c r="AGW21" s="57">
        <f t="shared" si="182"/>
        <v>0</v>
      </c>
      <c r="AGX21" s="57">
        <f t="shared" si="182"/>
        <v>0</v>
      </c>
      <c r="AGY21" s="57">
        <f t="shared" si="182"/>
        <v>0</v>
      </c>
      <c r="AGZ21" s="57">
        <f t="shared" si="182"/>
        <v>0</v>
      </c>
      <c r="AHA21" s="57">
        <f t="shared" si="182"/>
        <v>0</v>
      </c>
      <c r="AHB21" s="57">
        <f t="shared" si="182"/>
        <v>0</v>
      </c>
      <c r="AHC21" s="57">
        <f t="shared" si="182"/>
        <v>0</v>
      </c>
      <c r="AHD21" s="57">
        <f t="shared" si="182"/>
        <v>0</v>
      </c>
      <c r="AHE21" s="57">
        <f t="shared" si="182"/>
        <v>0</v>
      </c>
      <c r="AHF21" s="57">
        <f t="shared" si="182"/>
        <v>0</v>
      </c>
      <c r="AHG21" s="57">
        <f t="shared" si="182"/>
        <v>0</v>
      </c>
      <c r="AHH21" s="57">
        <f t="shared" si="182"/>
        <v>0</v>
      </c>
      <c r="AHI21" s="57">
        <f t="shared" si="182"/>
        <v>0</v>
      </c>
      <c r="AHJ21" s="57">
        <f t="shared" si="182"/>
        <v>0</v>
      </c>
      <c r="AHK21" s="57">
        <f t="shared" si="182"/>
        <v>0</v>
      </c>
      <c r="AHL21" s="57">
        <f t="shared" si="182"/>
        <v>0</v>
      </c>
      <c r="AHM21" s="57">
        <f t="shared" si="182"/>
        <v>0</v>
      </c>
      <c r="AHN21" s="57">
        <f t="shared" si="182"/>
        <v>0</v>
      </c>
      <c r="AHO21" s="57">
        <f t="shared" si="182"/>
        <v>0</v>
      </c>
      <c r="AHP21" s="57">
        <f t="shared" ref="AHP21:AKA21" si="183">IF(AHP12="Aportación Inicial",$C$4,0)</f>
        <v>0</v>
      </c>
      <c r="AHQ21" s="57">
        <f t="shared" si="183"/>
        <v>0</v>
      </c>
      <c r="AHR21" s="57">
        <f t="shared" si="183"/>
        <v>0</v>
      </c>
      <c r="AHS21" s="57">
        <f t="shared" si="183"/>
        <v>0</v>
      </c>
      <c r="AHT21" s="57">
        <f t="shared" si="183"/>
        <v>0</v>
      </c>
      <c r="AHU21" s="57">
        <f t="shared" si="183"/>
        <v>0</v>
      </c>
      <c r="AHV21" s="57">
        <f t="shared" si="183"/>
        <v>0</v>
      </c>
      <c r="AHW21" s="57">
        <f t="shared" si="183"/>
        <v>0</v>
      </c>
      <c r="AHX21" s="57">
        <f t="shared" si="183"/>
        <v>0</v>
      </c>
      <c r="AHY21" s="57">
        <f t="shared" si="183"/>
        <v>0</v>
      </c>
      <c r="AHZ21" s="57">
        <f t="shared" si="183"/>
        <v>0</v>
      </c>
      <c r="AIA21" s="57">
        <f t="shared" si="183"/>
        <v>0</v>
      </c>
      <c r="AIB21" s="57">
        <f t="shared" si="183"/>
        <v>0</v>
      </c>
      <c r="AIC21" s="57">
        <f t="shared" si="183"/>
        <v>0</v>
      </c>
      <c r="AID21" s="57">
        <f t="shared" si="183"/>
        <v>0</v>
      </c>
      <c r="AIE21" s="57">
        <f t="shared" si="183"/>
        <v>0</v>
      </c>
      <c r="AIF21" s="57">
        <f t="shared" si="183"/>
        <v>0</v>
      </c>
      <c r="AIG21" s="57">
        <f t="shared" si="183"/>
        <v>0</v>
      </c>
      <c r="AIH21" s="57">
        <f t="shared" si="183"/>
        <v>0</v>
      </c>
      <c r="AII21" s="57">
        <f t="shared" si="183"/>
        <v>0</v>
      </c>
      <c r="AIJ21" s="57">
        <f t="shared" si="183"/>
        <v>0</v>
      </c>
      <c r="AIK21" s="57">
        <f t="shared" si="183"/>
        <v>0</v>
      </c>
      <c r="AIL21" s="57">
        <f t="shared" si="183"/>
        <v>0</v>
      </c>
      <c r="AIM21" s="57">
        <f t="shared" si="183"/>
        <v>0</v>
      </c>
      <c r="AIN21" s="57">
        <f t="shared" si="183"/>
        <v>0</v>
      </c>
      <c r="AIO21" s="57">
        <f t="shared" si="183"/>
        <v>0</v>
      </c>
      <c r="AIP21" s="57">
        <f t="shared" si="183"/>
        <v>0</v>
      </c>
      <c r="AIQ21" s="57">
        <f t="shared" si="183"/>
        <v>0</v>
      </c>
      <c r="AIR21" s="57">
        <f t="shared" si="183"/>
        <v>0</v>
      </c>
      <c r="AIS21" s="57">
        <f t="shared" si="183"/>
        <v>0</v>
      </c>
      <c r="AIT21" s="57">
        <f t="shared" si="183"/>
        <v>0</v>
      </c>
      <c r="AIU21" s="57">
        <f t="shared" si="183"/>
        <v>0</v>
      </c>
      <c r="AIV21" s="57">
        <f t="shared" si="183"/>
        <v>0</v>
      </c>
      <c r="AIW21" s="57">
        <f t="shared" si="183"/>
        <v>0</v>
      </c>
      <c r="AIX21" s="57">
        <f t="shared" si="183"/>
        <v>0</v>
      </c>
      <c r="AIY21" s="57">
        <f t="shared" si="183"/>
        <v>0</v>
      </c>
      <c r="AIZ21" s="57">
        <f t="shared" si="183"/>
        <v>0</v>
      </c>
      <c r="AJA21" s="57">
        <f t="shared" si="183"/>
        <v>0</v>
      </c>
      <c r="AJB21" s="57">
        <f t="shared" si="183"/>
        <v>0</v>
      </c>
      <c r="AJC21" s="57">
        <f t="shared" si="183"/>
        <v>0</v>
      </c>
      <c r="AJD21" s="57">
        <f t="shared" si="183"/>
        <v>0</v>
      </c>
      <c r="AJE21" s="57">
        <f t="shared" si="183"/>
        <v>0</v>
      </c>
      <c r="AJF21" s="57">
        <f t="shared" si="183"/>
        <v>0</v>
      </c>
      <c r="AJG21" s="57">
        <f t="shared" si="183"/>
        <v>0</v>
      </c>
      <c r="AJH21" s="57">
        <f t="shared" si="183"/>
        <v>0</v>
      </c>
      <c r="AJI21" s="57">
        <f t="shared" si="183"/>
        <v>0</v>
      </c>
      <c r="AJJ21" s="57">
        <f t="shared" si="183"/>
        <v>0</v>
      </c>
      <c r="AJK21" s="57">
        <f t="shared" si="183"/>
        <v>0</v>
      </c>
      <c r="AJL21" s="57">
        <f t="shared" si="183"/>
        <v>0</v>
      </c>
      <c r="AJM21" s="57">
        <f t="shared" si="183"/>
        <v>0</v>
      </c>
      <c r="AJN21" s="57">
        <f t="shared" si="183"/>
        <v>0</v>
      </c>
      <c r="AJO21" s="57">
        <f t="shared" si="183"/>
        <v>0</v>
      </c>
      <c r="AJP21" s="57">
        <f t="shared" si="183"/>
        <v>0</v>
      </c>
      <c r="AJQ21" s="57">
        <f t="shared" si="183"/>
        <v>0</v>
      </c>
      <c r="AJR21" s="57">
        <f t="shared" si="183"/>
        <v>0</v>
      </c>
      <c r="AJS21" s="57">
        <f t="shared" si="183"/>
        <v>0</v>
      </c>
      <c r="AJT21" s="57">
        <f t="shared" si="183"/>
        <v>0</v>
      </c>
      <c r="AJU21" s="57">
        <f t="shared" si="183"/>
        <v>0</v>
      </c>
      <c r="AJV21" s="57">
        <f t="shared" si="183"/>
        <v>0</v>
      </c>
      <c r="AJW21" s="57">
        <f t="shared" si="183"/>
        <v>0</v>
      </c>
      <c r="AJX21" s="57">
        <f t="shared" si="183"/>
        <v>0</v>
      </c>
      <c r="AJY21" s="57">
        <f t="shared" si="183"/>
        <v>0</v>
      </c>
      <c r="AJZ21" s="57">
        <f t="shared" si="183"/>
        <v>0</v>
      </c>
      <c r="AKA21" s="57">
        <f t="shared" si="183"/>
        <v>0</v>
      </c>
      <c r="AKB21" s="57">
        <f t="shared" ref="AKB21:AMM21" si="184">IF(AKB12="Aportación Inicial",$C$4,0)</f>
        <v>0</v>
      </c>
      <c r="AKC21" s="57">
        <f t="shared" si="184"/>
        <v>0</v>
      </c>
      <c r="AKD21" s="57">
        <f t="shared" si="184"/>
        <v>0</v>
      </c>
      <c r="AKE21" s="57">
        <f t="shared" si="184"/>
        <v>0</v>
      </c>
      <c r="AKF21" s="57">
        <f t="shared" si="184"/>
        <v>0</v>
      </c>
      <c r="AKG21" s="57">
        <f t="shared" si="184"/>
        <v>0</v>
      </c>
      <c r="AKH21" s="57">
        <f t="shared" si="184"/>
        <v>0</v>
      </c>
      <c r="AKI21" s="57">
        <f t="shared" si="184"/>
        <v>0</v>
      </c>
      <c r="AKJ21" s="57">
        <f t="shared" si="184"/>
        <v>0</v>
      </c>
      <c r="AKK21" s="57">
        <f t="shared" si="184"/>
        <v>0</v>
      </c>
      <c r="AKL21" s="57">
        <f t="shared" si="184"/>
        <v>0</v>
      </c>
      <c r="AKM21" s="57">
        <f t="shared" si="184"/>
        <v>0</v>
      </c>
      <c r="AKN21" s="57">
        <f t="shared" si="184"/>
        <v>0</v>
      </c>
      <c r="AKO21" s="57">
        <f t="shared" si="184"/>
        <v>0</v>
      </c>
      <c r="AKP21" s="57">
        <f t="shared" si="184"/>
        <v>0</v>
      </c>
      <c r="AKQ21" s="57">
        <f t="shared" si="184"/>
        <v>0</v>
      </c>
      <c r="AKR21" s="57">
        <f t="shared" si="184"/>
        <v>0</v>
      </c>
      <c r="AKS21" s="57">
        <f t="shared" si="184"/>
        <v>0</v>
      </c>
      <c r="AKT21" s="57">
        <f t="shared" si="184"/>
        <v>0</v>
      </c>
      <c r="AKU21" s="57">
        <f t="shared" si="184"/>
        <v>0</v>
      </c>
      <c r="AKV21" s="57">
        <f t="shared" si="184"/>
        <v>0</v>
      </c>
      <c r="AKW21" s="57">
        <f t="shared" si="184"/>
        <v>0</v>
      </c>
      <c r="AKX21" s="57">
        <f t="shared" si="184"/>
        <v>0</v>
      </c>
      <c r="AKY21" s="57">
        <f t="shared" si="184"/>
        <v>0</v>
      </c>
      <c r="AKZ21" s="57">
        <f t="shared" si="184"/>
        <v>0</v>
      </c>
      <c r="ALA21" s="57">
        <f t="shared" si="184"/>
        <v>0</v>
      </c>
      <c r="ALB21" s="57">
        <f t="shared" si="184"/>
        <v>0</v>
      </c>
      <c r="ALC21" s="57">
        <f t="shared" si="184"/>
        <v>0</v>
      </c>
      <c r="ALD21" s="57">
        <f t="shared" si="184"/>
        <v>0</v>
      </c>
      <c r="ALE21" s="57">
        <f t="shared" si="184"/>
        <v>0</v>
      </c>
      <c r="ALF21" s="57">
        <f t="shared" si="184"/>
        <v>0</v>
      </c>
      <c r="ALG21" s="57">
        <f t="shared" si="184"/>
        <v>0</v>
      </c>
      <c r="ALH21" s="57">
        <f t="shared" si="184"/>
        <v>0</v>
      </c>
      <c r="ALI21" s="57">
        <f t="shared" si="184"/>
        <v>0</v>
      </c>
      <c r="ALJ21" s="57">
        <f t="shared" si="184"/>
        <v>0</v>
      </c>
      <c r="ALK21" s="57">
        <f t="shared" si="184"/>
        <v>0</v>
      </c>
      <c r="ALL21" s="57">
        <f t="shared" si="184"/>
        <v>0</v>
      </c>
      <c r="ALM21" s="57">
        <f t="shared" si="184"/>
        <v>0</v>
      </c>
      <c r="ALN21" s="57">
        <f t="shared" si="184"/>
        <v>0</v>
      </c>
      <c r="ALO21" s="57">
        <f t="shared" si="184"/>
        <v>0</v>
      </c>
      <c r="ALP21" s="57">
        <f t="shared" si="184"/>
        <v>0</v>
      </c>
      <c r="ALQ21" s="57">
        <f t="shared" si="184"/>
        <v>0</v>
      </c>
      <c r="ALR21" s="57">
        <f t="shared" si="184"/>
        <v>0</v>
      </c>
      <c r="ALS21" s="57">
        <f t="shared" si="184"/>
        <v>0</v>
      </c>
      <c r="ALT21" s="57">
        <f t="shared" si="184"/>
        <v>0</v>
      </c>
      <c r="ALU21" s="57">
        <f t="shared" si="184"/>
        <v>0</v>
      </c>
      <c r="ALV21" s="57">
        <f t="shared" si="184"/>
        <v>0</v>
      </c>
      <c r="ALW21" s="57">
        <f t="shared" si="184"/>
        <v>0</v>
      </c>
      <c r="ALX21" s="57">
        <f t="shared" si="184"/>
        <v>0</v>
      </c>
      <c r="ALY21" s="57">
        <f t="shared" si="184"/>
        <v>0</v>
      </c>
      <c r="ALZ21" s="57">
        <f t="shared" si="184"/>
        <v>0</v>
      </c>
      <c r="AMA21" s="57">
        <f t="shared" si="184"/>
        <v>0</v>
      </c>
      <c r="AMB21" s="57">
        <f t="shared" si="184"/>
        <v>0</v>
      </c>
      <c r="AMC21" s="57">
        <f t="shared" si="184"/>
        <v>0</v>
      </c>
      <c r="AMD21" s="57">
        <f t="shared" si="184"/>
        <v>0</v>
      </c>
      <c r="AME21" s="57">
        <f t="shared" si="184"/>
        <v>0</v>
      </c>
      <c r="AMF21" s="57">
        <f t="shared" si="184"/>
        <v>0</v>
      </c>
      <c r="AMG21" s="57">
        <f t="shared" si="184"/>
        <v>0</v>
      </c>
      <c r="AMH21" s="57">
        <f t="shared" si="184"/>
        <v>0</v>
      </c>
      <c r="AMI21" s="57">
        <f t="shared" si="184"/>
        <v>0</v>
      </c>
      <c r="AMJ21" s="57">
        <f t="shared" si="184"/>
        <v>0</v>
      </c>
      <c r="AMK21" s="57">
        <f t="shared" si="184"/>
        <v>0</v>
      </c>
      <c r="AML21" s="57">
        <f t="shared" si="184"/>
        <v>0</v>
      </c>
      <c r="AMM21" s="57">
        <f t="shared" si="184"/>
        <v>0</v>
      </c>
      <c r="AMN21" s="57">
        <f t="shared" ref="AMN21:AOQ21" si="185">IF(AMN12="Aportación Inicial",$C$4,0)</f>
        <v>0</v>
      </c>
      <c r="AMO21" s="57">
        <f t="shared" si="185"/>
        <v>0</v>
      </c>
      <c r="AMP21" s="57">
        <f t="shared" si="185"/>
        <v>0</v>
      </c>
      <c r="AMQ21" s="57">
        <f t="shared" si="185"/>
        <v>0</v>
      </c>
      <c r="AMR21" s="57">
        <f t="shared" si="185"/>
        <v>0</v>
      </c>
      <c r="AMS21" s="57">
        <f t="shared" si="185"/>
        <v>0</v>
      </c>
      <c r="AMT21" s="57">
        <f t="shared" si="185"/>
        <v>0</v>
      </c>
      <c r="AMU21" s="57">
        <f t="shared" si="185"/>
        <v>0</v>
      </c>
      <c r="AMV21" s="57">
        <f t="shared" si="185"/>
        <v>0</v>
      </c>
      <c r="AMW21" s="57">
        <f t="shared" si="185"/>
        <v>0</v>
      </c>
      <c r="AMX21" s="57">
        <f t="shared" si="185"/>
        <v>0</v>
      </c>
      <c r="AMY21" s="57">
        <f t="shared" si="185"/>
        <v>0</v>
      </c>
      <c r="AMZ21" s="57">
        <f t="shared" si="185"/>
        <v>0</v>
      </c>
      <c r="ANA21" s="57">
        <f t="shared" si="185"/>
        <v>0</v>
      </c>
      <c r="ANB21" s="57">
        <f t="shared" si="185"/>
        <v>0</v>
      </c>
      <c r="ANC21" s="57">
        <f t="shared" si="185"/>
        <v>0</v>
      </c>
      <c r="AND21" s="57">
        <f t="shared" si="185"/>
        <v>0</v>
      </c>
      <c r="ANE21" s="57">
        <f t="shared" si="185"/>
        <v>0</v>
      </c>
      <c r="ANF21" s="57">
        <f t="shared" si="185"/>
        <v>0</v>
      </c>
      <c r="ANG21" s="57">
        <f t="shared" si="185"/>
        <v>0</v>
      </c>
      <c r="ANH21" s="57">
        <f t="shared" si="185"/>
        <v>0</v>
      </c>
      <c r="ANI21" s="57">
        <f t="shared" si="185"/>
        <v>0</v>
      </c>
      <c r="ANJ21" s="57">
        <f t="shared" si="185"/>
        <v>0</v>
      </c>
      <c r="ANK21" s="57">
        <f t="shared" si="185"/>
        <v>0</v>
      </c>
      <c r="ANL21" s="57">
        <f t="shared" si="185"/>
        <v>0</v>
      </c>
      <c r="ANM21" s="57">
        <f t="shared" si="185"/>
        <v>0</v>
      </c>
      <c r="ANN21" s="57">
        <f t="shared" si="185"/>
        <v>0</v>
      </c>
      <c r="ANO21" s="57">
        <f t="shared" si="185"/>
        <v>0</v>
      </c>
      <c r="ANP21" s="57">
        <f t="shared" si="185"/>
        <v>0</v>
      </c>
      <c r="ANQ21" s="57">
        <f t="shared" si="185"/>
        <v>0</v>
      </c>
      <c r="ANR21" s="57">
        <f t="shared" si="185"/>
        <v>0</v>
      </c>
      <c r="ANS21" s="57">
        <f t="shared" si="185"/>
        <v>0</v>
      </c>
      <c r="ANT21" s="57">
        <f t="shared" si="185"/>
        <v>0</v>
      </c>
      <c r="ANU21" s="57">
        <f t="shared" si="185"/>
        <v>0</v>
      </c>
      <c r="ANV21" s="57">
        <f t="shared" si="185"/>
        <v>0</v>
      </c>
      <c r="ANW21" s="57">
        <f t="shared" si="185"/>
        <v>0</v>
      </c>
      <c r="ANX21" s="57">
        <f t="shared" si="185"/>
        <v>0</v>
      </c>
      <c r="ANY21" s="57">
        <f t="shared" si="185"/>
        <v>0</v>
      </c>
      <c r="ANZ21" s="57">
        <f t="shared" si="185"/>
        <v>0</v>
      </c>
      <c r="AOA21" s="57">
        <f t="shared" si="185"/>
        <v>0</v>
      </c>
      <c r="AOB21" s="57">
        <f t="shared" si="185"/>
        <v>0</v>
      </c>
      <c r="AOC21" s="57">
        <f t="shared" si="185"/>
        <v>0</v>
      </c>
      <c r="AOD21" s="57">
        <f t="shared" si="185"/>
        <v>0</v>
      </c>
      <c r="AOE21" s="57">
        <f t="shared" si="185"/>
        <v>0</v>
      </c>
      <c r="AOF21" s="57">
        <f t="shared" si="185"/>
        <v>0</v>
      </c>
      <c r="AOG21" s="57">
        <f t="shared" si="185"/>
        <v>0</v>
      </c>
      <c r="AOH21" s="57">
        <f t="shared" si="185"/>
        <v>0</v>
      </c>
      <c r="AOI21" s="57">
        <f t="shared" si="185"/>
        <v>0</v>
      </c>
      <c r="AOJ21" s="57">
        <f t="shared" si="185"/>
        <v>0</v>
      </c>
      <c r="AOK21" s="57">
        <f t="shared" si="185"/>
        <v>0</v>
      </c>
      <c r="AOL21" s="57">
        <f t="shared" si="185"/>
        <v>0</v>
      </c>
      <c r="AOM21" s="57">
        <f t="shared" si="185"/>
        <v>0</v>
      </c>
      <c r="AON21" s="57">
        <f t="shared" si="185"/>
        <v>0</v>
      </c>
      <c r="AOO21" s="57">
        <f t="shared" si="185"/>
        <v>0</v>
      </c>
      <c r="AOP21" s="57">
        <f t="shared" si="185"/>
        <v>0</v>
      </c>
      <c r="AOQ21" s="57">
        <f t="shared" si="185"/>
        <v>0</v>
      </c>
    </row>
    <row r="22" spans="2:1083" x14ac:dyDescent="0.25">
      <c r="B22" s="42" t="s">
        <v>176</v>
      </c>
      <c r="C22" s="42"/>
      <c r="D22" s="57">
        <f>IF(D13="Acumulación",$C$7,0)++IF(AND(D13="Acumulación",D16=1),$C$6,0)</f>
        <v>0</v>
      </c>
      <c r="E22" s="57">
        <f t="shared" ref="E22:BP22" si="186">IF(E13="Acumulación",$C$7,0)++IF(AND(E13="Acumulación",E16=1),$C$6,0)</f>
        <v>0</v>
      </c>
      <c r="F22" s="57">
        <f t="shared" si="186"/>
        <v>0</v>
      </c>
      <c r="G22" s="57">
        <f t="shared" si="186"/>
        <v>0</v>
      </c>
      <c r="H22" s="57">
        <f t="shared" si="186"/>
        <v>0</v>
      </c>
      <c r="I22" s="57">
        <f t="shared" si="186"/>
        <v>0</v>
      </c>
      <c r="J22" s="57">
        <f t="shared" si="186"/>
        <v>0</v>
      </c>
      <c r="K22" s="57">
        <f t="shared" si="186"/>
        <v>0</v>
      </c>
      <c r="L22" s="57">
        <f t="shared" si="186"/>
        <v>0</v>
      </c>
      <c r="M22" s="57">
        <f t="shared" si="186"/>
        <v>0</v>
      </c>
      <c r="N22" s="57">
        <f t="shared" si="186"/>
        <v>0</v>
      </c>
      <c r="O22" s="57">
        <f t="shared" si="186"/>
        <v>0</v>
      </c>
      <c r="P22" s="57">
        <f t="shared" si="186"/>
        <v>0</v>
      </c>
      <c r="Q22" s="57">
        <f t="shared" si="186"/>
        <v>0</v>
      </c>
      <c r="R22" s="57">
        <f t="shared" si="186"/>
        <v>0</v>
      </c>
      <c r="S22" s="57">
        <f t="shared" si="186"/>
        <v>0</v>
      </c>
      <c r="T22" s="57">
        <f t="shared" si="186"/>
        <v>0</v>
      </c>
      <c r="U22" s="57">
        <f t="shared" si="186"/>
        <v>0</v>
      </c>
      <c r="V22" s="57">
        <f t="shared" si="186"/>
        <v>0</v>
      </c>
      <c r="W22" s="57">
        <f t="shared" si="186"/>
        <v>0</v>
      </c>
      <c r="X22" s="57">
        <f t="shared" si="186"/>
        <v>0</v>
      </c>
      <c r="Y22" s="57">
        <f t="shared" si="186"/>
        <v>0</v>
      </c>
      <c r="Z22" s="57">
        <f t="shared" si="186"/>
        <v>0</v>
      </c>
      <c r="AA22" s="57">
        <f t="shared" si="186"/>
        <v>0</v>
      </c>
      <c r="AB22" s="57">
        <f t="shared" si="186"/>
        <v>0</v>
      </c>
      <c r="AC22" s="57">
        <f t="shared" si="186"/>
        <v>0</v>
      </c>
      <c r="AD22" s="57">
        <f t="shared" si="186"/>
        <v>0</v>
      </c>
      <c r="AE22" s="57">
        <f t="shared" si="186"/>
        <v>0</v>
      </c>
      <c r="AF22" s="57">
        <f t="shared" si="186"/>
        <v>0</v>
      </c>
      <c r="AG22" s="57">
        <f t="shared" si="186"/>
        <v>0</v>
      </c>
      <c r="AH22" s="57">
        <f t="shared" si="186"/>
        <v>0</v>
      </c>
      <c r="AI22" s="57">
        <f t="shared" si="186"/>
        <v>0</v>
      </c>
      <c r="AJ22" s="57">
        <f t="shared" si="186"/>
        <v>0</v>
      </c>
      <c r="AK22" s="57">
        <f t="shared" si="186"/>
        <v>0</v>
      </c>
      <c r="AL22" s="57">
        <f t="shared" si="186"/>
        <v>0</v>
      </c>
      <c r="AM22" s="57">
        <f t="shared" si="186"/>
        <v>0</v>
      </c>
      <c r="AN22" s="57">
        <f t="shared" si="186"/>
        <v>0</v>
      </c>
      <c r="AO22" s="57">
        <f t="shared" si="186"/>
        <v>0</v>
      </c>
      <c r="AP22" s="57">
        <f t="shared" si="186"/>
        <v>0</v>
      </c>
      <c r="AQ22" s="57">
        <f t="shared" si="186"/>
        <v>0</v>
      </c>
      <c r="AR22" s="57">
        <f t="shared" si="186"/>
        <v>0</v>
      </c>
      <c r="AS22" s="57">
        <f t="shared" si="186"/>
        <v>0</v>
      </c>
      <c r="AT22" s="57">
        <f t="shared" si="186"/>
        <v>0</v>
      </c>
      <c r="AU22" s="57">
        <f t="shared" si="186"/>
        <v>0</v>
      </c>
      <c r="AV22" s="57">
        <f t="shared" si="186"/>
        <v>0</v>
      </c>
      <c r="AW22" s="57">
        <f t="shared" si="186"/>
        <v>0</v>
      </c>
      <c r="AX22" s="57">
        <f t="shared" si="186"/>
        <v>0</v>
      </c>
      <c r="AY22" s="57">
        <f t="shared" si="186"/>
        <v>0</v>
      </c>
      <c r="AZ22" s="57">
        <f t="shared" si="186"/>
        <v>0</v>
      </c>
      <c r="BA22" s="57">
        <f t="shared" si="186"/>
        <v>0</v>
      </c>
      <c r="BB22" s="57">
        <f t="shared" si="186"/>
        <v>0</v>
      </c>
      <c r="BC22" s="57">
        <f t="shared" si="186"/>
        <v>0</v>
      </c>
      <c r="BD22" s="57">
        <f t="shared" si="186"/>
        <v>0</v>
      </c>
      <c r="BE22" s="57">
        <f t="shared" si="186"/>
        <v>0</v>
      </c>
      <c r="BF22" s="57">
        <f t="shared" si="186"/>
        <v>0</v>
      </c>
      <c r="BG22" s="57">
        <f t="shared" si="186"/>
        <v>0</v>
      </c>
      <c r="BH22" s="57">
        <f t="shared" si="186"/>
        <v>0</v>
      </c>
      <c r="BI22" s="57">
        <f t="shared" si="186"/>
        <v>0</v>
      </c>
      <c r="BJ22" s="57">
        <f t="shared" si="186"/>
        <v>0</v>
      </c>
      <c r="BK22" s="57">
        <f t="shared" si="186"/>
        <v>0</v>
      </c>
      <c r="BL22" s="57">
        <f t="shared" si="186"/>
        <v>0</v>
      </c>
      <c r="BM22" s="57">
        <f t="shared" si="186"/>
        <v>0</v>
      </c>
      <c r="BN22" s="57">
        <f t="shared" si="186"/>
        <v>0</v>
      </c>
      <c r="BO22" s="57">
        <f t="shared" si="186"/>
        <v>0</v>
      </c>
      <c r="BP22" s="57">
        <f t="shared" si="186"/>
        <v>0</v>
      </c>
      <c r="BQ22" s="57">
        <f t="shared" ref="BQ22:EB22" si="187">IF(BQ13="Acumulación",$C$7,0)++IF(AND(BQ13="Acumulación",BQ16=1),$C$6,0)</f>
        <v>0</v>
      </c>
      <c r="BR22" s="57">
        <f t="shared" si="187"/>
        <v>0</v>
      </c>
      <c r="BS22" s="57">
        <f t="shared" si="187"/>
        <v>0</v>
      </c>
      <c r="BT22" s="57">
        <f t="shared" si="187"/>
        <v>0</v>
      </c>
      <c r="BU22" s="57">
        <f t="shared" si="187"/>
        <v>0</v>
      </c>
      <c r="BV22" s="57">
        <f t="shared" si="187"/>
        <v>0</v>
      </c>
      <c r="BW22" s="57">
        <f t="shared" si="187"/>
        <v>0</v>
      </c>
      <c r="BX22" s="57">
        <f t="shared" si="187"/>
        <v>0</v>
      </c>
      <c r="BY22" s="57">
        <f t="shared" si="187"/>
        <v>0</v>
      </c>
      <c r="BZ22" s="57">
        <f t="shared" si="187"/>
        <v>0</v>
      </c>
      <c r="CA22" s="57">
        <f t="shared" si="187"/>
        <v>0</v>
      </c>
      <c r="CB22" s="57">
        <f t="shared" si="187"/>
        <v>0</v>
      </c>
      <c r="CC22" s="57">
        <f t="shared" si="187"/>
        <v>0</v>
      </c>
      <c r="CD22" s="57">
        <f t="shared" si="187"/>
        <v>0</v>
      </c>
      <c r="CE22" s="57">
        <f t="shared" si="187"/>
        <v>0</v>
      </c>
      <c r="CF22" s="57">
        <f t="shared" si="187"/>
        <v>0</v>
      </c>
      <c r="CG22" s="57">
        <f t="shared" si="187"/>
        <v>0</v>
      </c>
      <c r="CH22" s="57">
        <f t="shared" si="187"/>
        <v>0</v>
      </c>
      <c r="CI22" s="57">
        <f t="shared" si="187"/>
        <v>0</v>
      </c>
      <c r="CJ22" s="57">
        <f t="shared" si="187"/>
        <v>0</v>
      </c>
      <c r="CK22" s="57">
        <f t="shared" si="187"/>
        <v>0</v>
      </c>
      <c r="CL22" s="57">
        <f t="shared" si="187"/>
        <v>0</v>
      </c>
      <c r="CM22" s="57">
        <f t="shared" si="187"/>
        <v>0</v>
      </c>
      <c r="CN22" s="57">
        <f t="shared" si="187"/>
        <v>0</v>
      </c>
      <c r="CO22" s="57">
        <f t="shared" si="187"/>
        <v>0</v>
      </c>
      <c r="CP22" s="57">
        <f t="shared" si="187"/>
        <v>0</v>
      </c>
      <c r="CQ22" s="57">
        <f t="shared" si="187"/>
        <v>0</v>
      </c>
      <c r="CR22" s="57">
        <f t="shared" si="187"/>
        <v>0</v>
      </c>
      <c r="CS22" s="57">
        <f t="shared" si="187"/>
        <v>0</v>
      </c>
      <c r="CT22" s="57">
        <f t="shared" si="187"/>
        <v>0</v>
      </c>
      <c r="CU22" s="57">
        <f t="shared" si="187"/>
        <v>0</v>
      </c>
      <c r="CV22" s="57">
        <f t="shared" si="187"/>
        <v>0</v>
      </c>
      <c r="CW22" s="57">
        <f t="shared" si="187"/>
        <v>0</v>
      </c>
      <c r="CX22" s="57">
        <f t="shared" si="187"/>
        <v>0</v>
      </c>
      <c r="CY22" s="57">
        <f t="shared" si="187"/>
        <v>0</v>
      </c>
      <c r="CZ22" s="57">
        <f t="shared" si="187"/>
        <v>0</v>
      </c>
      <c r="DA22" s="57">
        <f t="shared" si="187"/>
        <v>0</v>
      </c>
      <c r="DB22" s="57">
        <f t="shared" si="187"/>
        <v>0</v>
      </c>
      <c r="DC22" s="57">
        <f t="shared" si="187"/>
        <v>0</v>
      </c>
      <c r="DD22" s="57">
        <f t="shared" si="187"/>
        <v>0</v>
      </c>
      <c r="DE22" s="57">
        <f t="shared" si="187"/>
        <v>0</v>
      </c>
      <c r="DF22" s="57">
        <f t="shared" si="187"/>
        <v>0</v>
      </c>
      <c r="DG22" s="57">
        <f t="shared" si="187"/>
        <v>0</v>
      </c>
      <c r="DH22" s="57">
        <f t="shared" si="187"/>
        <v>0</v>
      </c>
      <c r="DI22" s="57">
        <f t="shared" si="187"/>
        <v>0</v>
      </c>
      <c r="DJ22" s="57">
        <f t="shared" si="187"/>
        <v>0</v>
      </c>
      <c r="DK22" s="57">
        <f t="shared" si="187"/>
        <v>0</v>
      </c>
      <c r="DL22" s="57">
        <f t="shared" si="187"/>
        <v>0</v>
      </c>
      <c r="DM22" s="57">
        <f t="shared" si="187"/>
        <v>0</v>
      </c>
      <c r="DN22" s="57">
        <f t="shared" si="187"/>
        <v>0</v>
      </c>
      <c r="DO22" s="57">
        <f t="shared" si="187"/>
        <v>0</v>
      </c>
      <c r="DP22" s="57">
        <f t="shared" si="187"/>
        <v>0</v>
      </c>
      <c r="DQ22" s="57">
        <f t="shared" si="187"/>
        <v>0</v>
      </c>
      <c r="DR22" s="57">
        <f t="shared" si="187"/>
        <v>0</v>
      </c>
      <c r="DS22" s="57">
        <f t="shared" si="187"/>
        <v>0</v>
      </c>
      <c r="DT22" s="57">
        <f t="shared" si="187"/>
        <v>0</v>
      </c>
      <c r="DU22" s="57">
        <f t="shared" si="187"/>
        <v>0</v>
      </c>
      <c r="DV22" s="57">
        <f t="shared" si="187"/>
        <v>0</v>
      </c>
      <c r="DW22" s="57">
        <f t="shared" si="187"/>
        <v>0</v>
      </c>
      <c r="DX22" s="57">
        <f t="shared" si="187"/>
        <v>0</v>
      </c>
      <c r="DY22" s="57">
        <f t="shared" si="187"/>
        <v>0</v>
      </c>
      <c r="DZ22" s="57">
        <f t="shared" si="187"/>
        <v>0</v>
      </c>
      <c r="EA22" s="57">
        <f t="shared" si="187"/>
        <v>0</v>
      </c>
      <c r="EB22" s="57">
        <f t="shared" si="187"/>
        <v>0</v>
      </c>
      <c r="EC22" s="57">
        <f t="shared" ref="EC22:GN22" si="188">IF(EC13="Acumulación",$C$7,0)++IF(AND(EC13="Acumulación",EC16=1),$C$6,0)</f>
        <v>0</v>
      </c>
      <c r="ED22" s="57">
        <f t="shared" si="188"/>
        <v>0</v>
      </c>
      <c r="EE22" s="57">
        <f t="shared" si="188"/>
        <v>0</v>
      </c>
      <c r="EF22" s="57">
        <f t="shared" si="188"/>
        <v>0</v>
      </c>
      <c r="EG22" s="57">
        <f t="shared" si="188"/>
        <v>0</v>
      </c>
      <c r="EH22" s="57">
        <f t="shared" si="188"/>
        <v>0</v>
      </c>
      <c r="EI22" s="57">
        <f t="shared" si="188"/>
        <v>0</v>
      </c>
      <c r="EJ22" s="57">
        <f t="shared" si="188"/>
        <v>0</v>
      </c>
      <c r="EK22" s="57">
        <f t="shared" si="188"/>
        <v>0</v>
      </c>
      <c r="EL22" s="57">
        <f t="shared" si="188"/>
        <v>0</v>
      </c>
      <c r="EM22" s="57">
        <f t="shared" si="188"/>
        <v>0</v>
      </c>
      <c r="EN22" s="57">
        <f t="shared" si="188"/>
        <v>0</v>
      </c>
      <c r="EO22" s="57">
        <f t="shared" si="188"/>
        <v>0</v>
      </c>
      <c r="EP22" s="57">
        <f t="shared" si="188"/>
        <v>0</v>
      </c>
      <c r="EQ22" s="57">
        <f t="shared" si="188"/>
        <v>0</v>
      </c>
      <c r="ER22" s="57">
        <f t="shared" si="188"/>
        <v>0</v>
      </c>
      <c r="ES22" s="57">
        <f t="shared" si="188"/>
        <v>0</v>
      </c>
      <c r="ET22" s="57">
        <f t="shared" si="188"/>
        <v>0</v>
      </c>
      <c r="EU22" s="57">
        <f t="shared" si="188"/>
        <v>0</v>
      </c>
      <c r="EV22" s="57">
        <f t="shared" si="188"/>
        <v>0</v>
      </c>
      <c r="EW22" s="57">
        <f t="shared" si="188"/>
        <v>0</v>
      </c>
      <c r="EX22" s="57">
        <f t="shared" si="188"/>
        <v>0</v>
      </c>
      <c r="EY22" s="57">
        <f t="shared" si="188"/>
        <v>0</v>
      </c>
      <c r="EZ22" s="57">
        <f t="shared" si="188"/>
        <v>0</v>
      </c>
      <c r="FA22" s="57">
        <f t="shared" si="188"/>
        <v>0</v>
      </c>
      <c r="FB22" s="57">
        <f t="shared" si="188"/>
        <v>0</v>
      </c>
      <c r="FC22" s="57">
        <f t="shared" si="188"/>
        <v>0</v>
      </c>
      <c r="FD22" s="57">
        <f t="shared" si="188"/>
        <v>0</v>
      </c>
      <c r="FE22" s="57">
        <f t="shared" si="188"/>
        <v>0</v>
      </c>
      <c r="FF22" s="57">
        <f t="shared" si="188"/>
        <v>0</v>
      </c>
      <c r="FG22" s="57">
        <f t="shared" si="188"/>
        <v>0</v>
      </c>
      <c r="FH22" s="57">
        <f t="shared" si="188"/>
        <v>0</v>
      </c>
      <c r="FI22" s="57">
        <f t="shared" si="188"/>
        <v>0</v>
      </c>
      <c r="FJ22" s="57">
        <f t="shared" si="188"/>
        <v>0</v>
      </c>
      <c r="FK22" s="57">
        <f t="shared" si="188"/>
        <v>0</v>
      </c>
      <c r="FL22" s="57">
        <f t="shared" si="188"/>
        <v>0</v>
      </c>
      <c r="FM22" s="57">
        <f t="shared" si="188"/>
        <v>0</v>
      </c>
      <c r="FN22" s="57">
        <f t="shared" si="188"/>
        <v>0</v>
      </c>
      <c r="FO22" s="57">
        <f t="shared" si="188"/>
        <v>0</v>
      </c>
      <c r="FP22" s="57">
        <f t="shared" si="188"/>
        <v>0</v>
      </c>
      <c r="FQ22" s="57">
        <f t="shared" si="188"/>
        <v>0</v>
      </c>
      <c r="FR22" s="57">
        <f t="shared" si="188"/>
        <v>0</v>
      </c>
      <c r="FS22" s="57">
        <f t="shared" si="188"/>
        <v>0</v>
      </c>
      <c r="FT22" s="57">
        <f t="shared" si="188"/>
        <v>0</v>
      </c>
      <c r="FU22" s="57">
        <f t="shared" si="188"/>
        <v>0</v>
      </c>
      <c r="FV22" s="57">
        <f t="shared" si="188"/>
        <v>0</v>
      </c>
      <c r="FW22" s="57">
        <f t="shared" si="188"/>
        <v>0</v>
      </c>
      <c r="FX22" s="57">
        <f t="shared" si="188"/>
        <v>0</v>
      </c>
      <c r="FY22" s="57">
        <f t="shared" si="188"/>
        <v>0</v>
      </c>
      <c r="FZ22" s="57">
        <f t="shared" si="188"/>
        <v>0</v>
      </c>
      <c r="GA22" s="57">
        <f t="shared" si="188"/>
        <v>0</v>
      </c>
      <c r="GB22" s="57">
        <f t="shared" si="188"/>
        <v>0</v>
      </c>
      <c r="GC22" s="57">
        <f t="shared" si="188"/>
        <v>0</v>
      </c>
      <c r="GD22" s="57">
        <f t="shared" si="188"/>
        <v>0</v>
      </c>
      <c r="GE22" s="57">
        <f t="shared" si="188"/>
        <v>0</v>
      </c>
      <c r="GF22" s="57">
        <f t="shared" si="188"/>
        <v>0</v>
      </c>
      <c r="GG22" s="57">
        <f t="shared" si="188"/>
        <v>0</v>
      </c>
      <c r="GH22" s="57">
        <f t="shared" si="188"/>
        <v>0</v>
      </c>
      <c r="GI22" s="57">
        <f t="shared" si="188"/>
        <v>0</v>
      </c>
      <c r="GJ22" s="57">
        <f t="shared" si="188"/>
        <v>0</v>
      </c>
      <c r="GK22" s="57">
        <f t="shared" si="188"/>
        <v>0</v>
      </c>
      <c r="GL22" s="57">
        <f t="shared" si="188"/>
        <v>0</v>
      </c>
      <c r="GM22" s="57">
        <f t="shared" si="188"/>
        <v>0</v>
      </c>
      <c r="GN22" s="57">
        <f t="shared" si="188"/>
        <v>0</v>
      </c>
      <c r="GO22" s="57">
        <f t="shared" ref="GO22:IZ22" si="189">IF(GO13="Acumulación",$C$7,0)++IF(AND(GO13="Acumulación",GO16=1),$C$6,0)</f>
        <v>0</v>
      </c>
      <c r="GP22" s="57">
        <f t="shared" si="189"/>
        <v>0</v>
      </c>
      <c r="GQ22" s="57">
        <f t="shared" si="189"/>
        <v>0</v>
      </c>
      <c r="GR22" s="57">
        <f t="shared" si="189"/>
        <v>0</v>
      </c>
      <c r="GS22" s="57">
        <f t="shared" si="189"/>
        <v>0</v>
      </c>
      <c r="GT22" s="57">
        <f t="shared" si="189"/>
        <v>0</v>
      </c>
      <c r="GU22" s="57">
        <f t="shared" si="189"/>
        <v>0</v>
      </c>
      <c r="GV22" s="57">
        <f t="shared" si="189"/>
        <v>0</v>
      </c>
      <c r="GW22" s="57">
        <f t="shared" si="189"/>
        <v>0</v>
      </c>
      <c r="GX22" s="57">
        <f t="shared" si="189"/>
        <v>0</v>
      </c>
      <c r="GY22" s="57">
        <f t="shared" si="189"/>
        <v>0</v>
      </c>
      <c r="GZ22" s="57">
        <f t="shared" si="189"/>
        <v>0</v>
      </c>
      <c r="HA22" s="57">
        <f t="shared" si="189"/>
        <v>0</v>
      </c>
      <c r="HB22" s="57">
        <f t="shared" si="189"/>
        <v>0</v>
      </c>
      <c r="HC22" s="57">
        <f t="shared" si="189"/>
        <v>0</v>
      </c>
      <c r="HD22" s="57">
        <f t="shared" si="189"/>
        <v>0</v>
      </c>
      <c r="HE22" s="57">
        <f t="shared" si="189"/>
        <v>0</v>
      </c>
      <c r="HF22" s="57">
        <f t="shared" si="189"/>
        <v>0</v>
      </c>
      <c r="HG22" s="57">
        <f t="shared" si="189"/>
        <v>0</v>
      </c>
      <c r="HH22" s="57">
        <f t="shared" si="189"/>
        <v>0</v>
      </c>
      <c r="HI22" s="57">
        <f t="shared" si="189"/>
        <v>0</v>
      </c>
      <c r="HJ22" s="57">
        <f t="shared" si="189"/>
        <v>0</v>
      </c>
      <c r="HK22" s="57">
        <f t="shared" si="189"/>
        <v>0</v>
      </c>
      <c r="HL22" s="57">
        <f t="shared" si="189"/>
        <v>0</v>
      </c>
      <c r="HM22" s="57">
        <f t="shared" si="189"/>
        <v>0</v>
      </c>
      <c r="HN22" s="57">
        <f t="shared" si="189"/>
        <v>0</v>
      </c>
      <c r="HO22" s="57">
        <f t="shared" si="189"/>
        <v>0</v>
      </c>
      <c r="HP22" s="57">
        <f t="shared" si="189"/>
        <v>0</v>
      </c>
      <c r="HQ22" s="57">
        <f t="shared" si="189"/>
        <v>0</v>
      </c>
      <c r="HR22" s="57">
        <f t="shared" si="189"/>
        <v>0</v>
      </c>
      <c r="HS22" s="57">
        <f t="shared" si="189"/>
        <v>0</v>
      </c>
      <c r="HT22" s="57">
        <f t="shared" si="189"/>
        <v>0</v>
      </c>
      <c r="HU22" s="57">
        <f t="shared" si="189"/>
        <v>0</v>
      </c>
      <c r="HV22" s="57">
        <f t="shared" si="189"/>
        <v>0</v>
      </c>
      <c r="HW22" s="57">
        <f t="shared" si="189"/>
        <v>0</v>
      </c>
      <c r="HX22" s="57">
        <f t="shared" si="189"/>
        <v>0</v>
      </c>
      <c r="HY22" s="57">
        <f t="shared" si="189"/>
        <v>0</v>
      </c>
      <c r="HZ22" s="57">
        <f t="shared" si="189"/>
        <v>0</v>
      </c>
      <c r="IA22" s="57">
        <f t="shared" si="189"/>
        <v>0</v>
      </c>
      <c r="IB22" s="57">
        <f t="shared" si="189"/>
        <v>0</v>
      </c>
      <c r="IC22" s="57">
        <f t="shared" si="189"/>
        <v>0</v>
      </c>
      <c r="ID22" s="57">
        <f t="shared" si="189"/>
        <v>0</v>
      </c>
      <c r="IE22" s="57">
        <f t="shared" si="189"/>
        <v>0</v>
      </c>
      <c r="IF22" s="57">
        <f t="shared" si="189"/>
        <v>0</v>
      </c>
      <c r="IG22" s="57">
        <f t="shared" si="189"/>
        <v>0</v>
      </c>
      <c r="IH22" s="57">
        <f t="shared" si="189"/>
        <v>0</v>
      </c>
      <c r="II22" s="57">
        <f t="shared" si="189"/>
        <v>0</v>
      </c>
      <c r="IJ22" s="57">
        <f t="shared" si="189"/>
        <v>0</v>
      </c>
      <c r="IK22" s="57">
        <f t="shared" si="189"/>
        <v>0</v>
      </c>
      <c r="IL22" s="57">
        <f t="shared" si="189"/>
        <v>0</v>
      </c>
      <c r="IM22" s="57">
        <f t="shared" si="189"/>
        <v>0</v>
      </c>
      <c r="IN22" s="57">
        <f t="shared" si="189"/>
        <v>0</v>
      </c>
      <c r="IO22" s="57">
        <f t="shared" si="189"/>
        <v>0</v>
      </c>
      <c r="IP22" s="57">
        <f t="shared" si="189"/>
        <v>0</v>
      </c>
      <c r="IQ22" s="57">
        <f t="shared" si="189"/>
        <v>0</v>
      </c>
      <c r="IR22" s="57">
        <f t="shared" si="189"/>
        <v>0</v>
      </c>
      <c r="IS22" s="57">
        <f t="shared" si="189"/>
        <v>0</v>
      </c>
      <c r="IT22" s="57">
        <f t="shared" si="189"/>
        <v>0</v>
      </c>
      <c r="IU22" s="57">
        <f t="shared" si="189"/>
        <v>0</v>
      </c>
      <c r="IV22" s="57">
        <f t="shared" si="189"/>
        <v>0</v>
      </c>
      <c r="IW22" s="57">
        <f t="shared" si="189"/>
        <v>0</v>
      </c>
      <c r="IX22" s="57">
        <f t="shared" si="189"/>
        <v>0</v>
      </c>
      <c r="IY22" s="57">
        <f t="shared" si="189"/>
        <v>0</v>
      </c>
      <c r="IZ22" s="57">
        <f t="shared" si="189"/>
        <v>0</v>
      </c>
      <c r="JA22" s="57">
        <f t="shared" ref="JA22:LL22" si="190">IF(JA13="Acumulación",$C$7,0)++IF(AND(JA13="Acumulación",JA16=1),$C$6,0)</f>
        <v>0</v>
      </c>
      <c r="JB22" s="57">
        <f t="shared" si="190"/>
        <v>0</v>
      </c>
      <c r="JC22" s="57">
        <f t="shared" si="190"/>
        <v>0</v>
      </c>
      <c r="JD22" s="57">
        <f t="shared" si="190"/>
        <v>0</v>
      </c>
      <c r="JE22" s="57">
        <f t="shared" si="190"/>
        <v>0</v>
      </c>
      <c r="JF22" s="57">
        <f t="shared" si="190"/>
        <v>0</v>
      </c>
      <c r="JG22" s="57">
        <f t="shared" si="190"/>
        <v>0</v>
      </c>
      <c r="JH22" s="57">
        <f t="shared" si="190"/>
        <v>0</v>
      </c>
      <c r="JI22" s="57">
        <f t="shared" si="190"/>
        <v>0</v>
      </c>
      <c r="JJ22" s="57">
        <f t="shared" si="190"/>
        <v>0</v>
      </c>
      <c r="JK22" s="57">
        <f t="shared" si="190"/>
        <v>0</v>
      </c>
      <c r="JL22" s="57">
        <f t="shared" si="190"/>
        <v>0</v>
      </c>
      <c r="JM22" s="57">
        <f t="shared" si="190"/>
        <v>0</v>
      </c>
      <c r="JN22" s="57">
        <f t="shared" si="190"/>
        <v>0</v>
      </c>
      <c r="JO22" s="57">
        <f t="shared" si="190"/>
        <v>0</v>
      </c>
      <c r="JP22" s="57">
        <f t="shared" si="190"/>
        <v>0</v>
      </c>
      <c r="JQ22" s="57">
        <f t="shared" si="190"/>
        <v>0</v>
      </c>
      <c r="JR22" s="57">
        <f t="shared" si="190"/>
        <v>0</v>
      </c>
      <c r="JS22" s="57">
        <f t="shared" si="190"/>
        <v>0</v>
      </c>
      <c r="JT22" s="57">
        <f t="shared" si="190"/>
        <v>0</v>
      </c>
      <c r="JU22" s="57">
        <f t="shared" si="190"/>
        <v>0</v>
      </c>
      <c r="JV22" s="57">
        <f t="shared" si="190"/>
        <v>0</v>
      </c>
      <c r="JW22" s="57">
        <f t="shared" si="190"/>
        <v>0</v>
      </c>
      <c r="JX22" s="57">
        <f t="shared" si="190"/>
        <v>0</v>
      </c>
      <c r="JY22" s="57">
        <f t="shared" si="190"/>
        <v>0</v>
      </c>
      <c r="JZ22" s="57">
        <f t="shared" si="190"/>
        <v>0</v>
      </c>
      <c r="KA22" s="57">
        <f t="shared" si="190"/>
        <v>0</v>
      </c>
      <c r="KB22" s="57">
        <f t="shared" si="190"/>
        <v>0</v>
      </c>
      <c r="KC22" s="57">
        <f t="shared" si="190"/>
        <v>0</v>
      </c>
      <c r="KD22" s="57">
        <f t="shared" si="190"/>
        <v>0</v>
      </c>
      <c r="KE22" s="57">
        <f t="shared" si="190"/>
        <v>0</v>
      </c>
      <c r="KF22" s="57">
        <f t="shared" si="190"/>
        <v>0</v>
      </c>
      <c r="KG22" s="57">
        <f t="shared" si="190"/>
        <v>0</v>
      </c>
      <c r="KH22" s="57">
        <f t="shared" si="190"/>
        <v>0</v>
      </c>
      <c r="KI22" s="57">
        <f t="shared" si="190"/>
        <v>0</v>
      </c>
      <c r="KJ22" s="57">
        <f t="shared" si="190"/>
        <v>0</v>
      </c>
      <c r="KK22" s="57">
        <f t="shared" si="190"/>
        <v>0</v>
      </c>
      <c r="KL22" s="57">
        <f t="shared" si="190"/>
        <v>0</v>
      </c>
      <c r="KM22" s="57">
        <f t="shared" si="190"/>
        <v>0</v>
      </c>
      <c r="KN22" s="57">
        <f t="shared" si="190"/>
        <v>0</v>
      </c>
      <c r="KO22" s="57">
        <f t="shared" si="190"/>
        <v>0</v>
      </c>
      <c r="KP22" s="57">
        <f t="shared" si="190"/>
        <v>0</v>
      </c>
      <c r="KQ22" s="57">
        <f t="shared" si="190"/>
        <v>0</v>
      </c>
      <c r="KR22" s="57">
        <f t="shared" si="190"/>
        <v>0</v>
      </c>
      <c r="KS22" s="57">
        <f t="shared" si="190"/>
        <v>0</v>
      </c>
      <c r="KT22" s="57">
        <f t="shared" si="190"/>
        <v>0</v>
      </c>
      <c r="KU22" s="57">
        <f t="shared" si="190"/>
        <v>0</v>
      </c>
      <c r="KV22" s="57">
        <f t="shared" si="190"/>
        <v>0</v>
      </c>
      <c r="KW22" s="57">
        <f t="shared" si="190"/>
        <v>0</v>
      </c>
      <c r="KX22" s="57">
        <f t="shared" si="190"/>
        <v>0</v>
      </c>
      <c r="KY22" s="57">
        <f t="shared" si="190"/>
        <v>0</v>
      </c>
      <c r="KZ22" s="57">
        <f t="shared" si="190"/>
        <v>0</v>
      </c>
      <c r="LA22" s="57">
        <f t="shared" si="190"/>
        <v>0</v>
      </c>
      <c r="LB22" s="57">
        <f t="shared" si="190"/>
        <v>0</v>
      </c>
      <c r="LC22" s="57">
        <f t="shared" si="190"/>
        <v>0</v>
      </c>
      <c r="LD22" s="57">
        <f t="shared" si="190"/>
        <v>0</v>
      </c>
      <c r="LE22" s="57">
        <f t="shared" si="190"/>
        <v>0</v>
      </c>
      <c r="LF22" s="57">
        <f t="shared" si="190"/>
        <v>0</v>
      </c>
      <c r="LG22" s="57">
        <f t="shared" si="190"/>
        <v>0</v>
      </c>
      <c r="LH22" s="57">
        <f t="shared" si="190"/>
        <v>0</v>
      </c>
      <c r="LI22" s="57">
        <f t="shared" si="190"/>
        <v>0</v>
      </c>
      <c r="LJ22" s="57">
        <f t="shared" si="190"/>
        <v>0</v>
      </c>
      <c r="LK22" s="57">
        <f t="shared" si="190"/>
        <v>0</v>
      </c>
      <c r="LL22" s="57">
        <f t="shared" si="190"/>
        <v>0</v>
      </c>
      <c r="LM22" s="57">
        <f t="shared" ref="LM22:NX22" si="191">IF(LM13="Acumulación",$C$7,0)++IF(AND(LM13="Acumulación",LM16=1),$C$6,0)</f>
        <v>0</v>
      </c>
      <c r="LN22" s="57">
        <f t="shared" si="191"/>
        <v>0</v>
      </c>
      <c r="LO22" s="57">
        <f t="shared" si="191"/>
        <v>0</v>
      </c>
      <c r="LP22" s="57">
        <f t="shared" si="191"/>
        <v>0</v>
      </c>
      <c r="LQ22" s="57">
        <f t="shared" si="191"/>
        <v>0</v>
      </c>
      <c r="LR22" s="57">
        <f t="shared" si="191"/>
        <v>0</v>
      </c>
      <c r="LS22" s="57">
        <f t="shared" si="191"/>
        <v>0</v>
      </c>
      <c r="LT22" s="57">
        <f t="shared" si="191"/>
        <v>0</v>
      </c>
      <c r="LU22" s="57">
        <f t="shared" si="191"/>
        <v>0</v>
      </c>
      <c r="LV22" s="57">
        <f t="shared" si="191"/>
        <v>0</v>
      </c>
      <c r="LW22" s="57">
        <f t="shared" si="191"/>
        <v>0</v>
      </c>
      <c r="LX22" s="57">
        <f t="shared" si="191"/>
        <v>0</v>
      </c>
      <c r="LY22" s="57">
        <f t="shared" si="191"/>
        <v>0</v>
      </c>
      <c r="LZ22" s="57">
        <f t="shared" si="191"/>
        <v>0</v>
      </c>
      <c r="MA22" s="57">
        <f t="shared" si="191"/>
        <v>0</v>
      </c>
      <c r="MB22" s="57">
        <f t="shared" si="191"/>
        <v>0</v>
      </c>
      <c r="MC22" s="57">
        <f t="shared" si="191"/>
        <v>0</v>
      </c>
      <c r="MD22" s="57">
        <f t="shared" si="191"/>
        <v>0</v>
      </c>
      <c r="ME22" s="57">
        <f t="shared" si="191"/>
        <v>0</v>
      </c>
      <c r="MF22" s="57">
        <f t="shared" si="191"/>
        <v>0</v>
      </c>
      <c r="MG22" s="57">
        <f t="shared" si="191"/>
        <v>0</v>
      </c>
      <c r="MH22" s="57">
        <f t="shared" si="191"/>
        <v>0</v>
      </c>
      <c r="MI22" s="57">
        <f t="shared" si="191"/>
        <v>0</v>
      </c>
      <c r="MJ22" s="57">
        <f t="shared" si="191"/>
        <v>0</v>
      </c>
      <c r="MK22" s="57">
        <f t="shared" si="191"/>
        <v>0</v>
      </c>
      <c r="ML22" s="57">
        <f t="shared" si="191"/>
        <v>0</v>
      </c>
      <c r="MM22" s="57">
        <f t="shared" si="191"/>
        <v>0</v>
      </c>
      <c r="MN22" s="57">
        <f t="shared" si="191"/>
        <v>0</v>
      </c>
      <c r="MO22" s="57">
        <f t="shared" si="191"/>
        <v>0</v>
      </c>
      <c r="MP22" s="57">
        <f t="shared" si="191"/>
        <v>0</v>
      </c>
      <c r="MQ22" s="57">
        <f t="shared" si="191"/>
        <v>0</v>
      </c>
      <c r="MR22" s="57">
        <f t="shared" si="191"/>
        <v>0</v>
      </c>
      <c r="MS22" s="57">
        <f t="shared" si="191"/>
        <v>0</v>
      </c>
      <c r="MT22" s="57">
        <f t="shared" si="191"/>
        <v>0</v>
      </c>
      <c r="MU22" s="57">
        <f t="shared" si="191"/>
        <v>0</v>
      </c>
      <c r="MV22" s="57">
        <f t="shared" si="191"/>
        <v>0</v>
      </c>
      <c r="MW22" s="57">
        <f t="shared" si="191"/>
        <v>0</v>
      </c>
      <c r="MX22" s="57">
        <f t="shared" si="191"/>
        <v>0</v>
      </c>
      <c r="MY22" s="57">
        <f t="shared" si="191"/>
        <v>0</v>
      </c>
      <c r="MZ22" s="57">
        <f t="shared" si="191"/>
        <v>0</v>
      </c>
      <c r="NA22" s="57">
        <f t="shared" si="191"/>
        <v>0</v>
      </c>
      <c r="NB22" s="57">
        <f t="shared" si="191"/>
        <v>0</v>
      </c>
      <c r="NC22" s="57">
        <f t="shared" si="191"/>
        <v>0</v>
      </c>
      <c r="ND22" s="57">
        <f t="shared" si="191"/>
        <v>0</v>
      </c>
      <c r="NE22" s="57">
        <f t="shared" si="191"/>
        <v>0</v>
      </c>
      <c r="NF22" s="57">
        <f t="shared" si="191"/>
        <v>0</v>
      </c>
      <c r="NG22" s="57">
        <f t="shared" si="191"/>
        <v>0</v>
      </c>
      <c r="NH22" s="57">
        <f t="shared" si="191"/>
        <v>0</v>
      </c>
      <c r="NI22" s="57">
        <f t="shared" si="191"/>
        <v>0</v>
      </c>
      <c r="NJ22" s="57">
        <f t="shared" si="191"/>
        <v>0</v>
      </c>
      <c r="NK22" s="57">
        <f t="shared" si="191"/>
        <v>0</v>
      </c>
      <c r="NL22" s="57">
        <f t="shared" si="191"/>
        <v>0</v>
      </c>
      <c r="NM22" s="57">
        <f t="shared" si="191"/>
        <v>0</v>
      </c>
      <c r="NN22" s="57">
        <f t="shared" si="191"/>
        <v>0</v>
      </c>
      <c r="NO22" s="57">
        <f t="shared" si="191"/>
        <v>0</v>
      </c>
      <c r="NP22" s="57">
        <f t="shared" si="191"/>
        <v>0</v>
      </c>
      <c r="NQ22" s="57">
        <f t="shared" si="191"/>
        <v>0</v>
      </c>
      <c r="NR22" s="57">
        <f t="shared" si="191"/>
        <v>0</v>
      </c>
      <c r="NS22" s="57">
        <f t="shared" si="191"/>
        <v>0</v>
      </c>
      <c r="NT22" s="57">
        <f t="shared" si="191"/>
        <v>0</v>
      </c>
      <c r="NU22" s="57">
        <f t="shared" si="191"/>
        <v>0</v>
      </c>
      <c r="NV22" s="57">
        <f t="shared" si="191"/>
        <v>0</v>
      </c>
      <c r="NW22" s="57">
        <f t="shared" si="191"/>
        <v>0</v>
      </c>
      <c r="NX22" s="57">
        <f t="shared" si="191"/>
        <v>0</v>
      </c>
      <c r="NY22" s="57">
        <f t="shared" ref="NY22:QJ22" si="192">IF(NY13="Acumulación",$C$7,0)++IF(AND(NY13="Acumulación",NY16=1),$C$6,0)</f>
        <v>0</v>
      </c>
      <c r="NZ22" s="57">
        <f t="shared" si="192"/>
        <v>0</v>
      </c>
      <c r="OA22" s="57">
        <f t="shared" si="192"/>
        <v>0</v>
      </c>
      <c r="OB22" s="57">
        <f t="shared" si="192"/>
        <v>0</v>
      </c>
      <c r="OC22" s="57">
        <f t="shared" si="192"/>
        <v>0</v>
      </c>
      <c r="OD22" s="57">
        <f t="shared" si="192"/>
        <v>0</v>
      </c>
      <c r="OE22" s="57">
        <f t="shared" si="192"/>
        <v>0</v>
      </c>
      <c r="OF22" s="57">
        <f t="shared" si="192"/>
        <v>0</v>
      </c>
      <c r="OG22" s="57">
        <f t="shared" si="192"/>
        <v>0</v>
      </c>
      <c r="OH22" s="57">
        <f t="shared" si="192"/>
        <v>0</v>
      </c>
      <c r="OI22" s="57">
        <f t="shared" si="192"/>
        <v>0</v>
      </c>
      <c r="OJ22" s="57">
        <f t="shared" si="192"/>
        <v>0</v>
      </c>
      <c r="OK22" s="57">
        <f t="shared" si="192"/>
        <v>0</v>
      </c>
      <c r="OL22" s="57">
        <f t="shared" si="192"/>
        <v>0</v>
      </c>
      <c r="OM22" s="57">
        <f t="shared" si="192"/>
        <v>0</v>
      </c>
      <c r="ON22" s="57">
        <f t="shared" si="192"/>
        <v>0</v>
      </c>
      <c r="OO22" s="57">
        <f t="shared" si="192"/>
        <v>0</v>
      </c>
      <c r="OP22" s="57">
        <f t="shared" si="192"/>
        <v>0</v>
      </c>
      <c r="OQ22" s="57">
        <f t="shared" si="192"/>
        <v>0</v>
      </c>
      <c r="OR22" s="57">
        <f t="shared" si="192"/>
        <v>0</v>
      </c>
      <c r="OS22" s="57">
        <f t="shared" si="192"/>
        <v>0</v>
      </c>
      <c r="OT22" s="57">
        <f t="shared" si="192"/>
        <v>0</v>
      </c>
      <c r="OU22" s="57">
        <f t="shared" si="192"/>
        <v>0</v>
      </c>
      <c r="OV22" s="57">
        <f t="shared" si="192"/>
        <v>0</v>
      </c>
      <c r="OW22" s="57">
        <f t="shared" si="192"/>
        <v>0</v>
      </c>
      <c r="OX22" s="57">
        <f t="shared" si="192"/>
        <v>0</v>
      </c>
      <c r="OY22" s="57">
        <f t="shared" si="192"/>
        <v>0</v>
      </c>
      <c r="OZ22" s="57">
        <f t="shared" si="192"/>
        <v>0</v>
      </c>
      <c r="PA22" s="57">
        <f t="shared" si="192"/>
        <v>0</v>
      </c>
      <c r="PB22" s="57">
        <f t="shared" si="192"/>
        <v>0</v>
      </c>
      <c r="PC22" s="57">
        <f t="shared" si="192"/>
        <v>0</v>
      </c>
      <c r="PD22" s="57">
        <f t="shared" si="192"/>
        <v>0</v>
      </c>
      <c r="PE22" s="57">
        <f t="shared" si="192"/>
        <v>0</v>
      </c>
      <c r="PF22" s="57">
        <f t="shared" si="192"/>
        <v>0</v>
      </c>
      <c r="PG22" s="57">
        <f t="shared" si="192"/>
        <v>0</v>
      </c>
      <c r="PH22" s="57">
        <f t="shared" si="192"/>
        <v>0</v>
      </c>
      <c r="PI22" s="57">
        <f t="shared" si="192"/>
        <v>0</v>
      </c>
      <c r="PJ22" s="57">
        <f t="shared" si="192"/>
        <v>0</v>
      </c>
      <c r="PK22" s="57">
        <f t="shared" si="192"/>
        <v>0</v>
      </c>
      <c r="PL22" s="57">
        <f t="shared" si="192"/>
        <v>0</v>
      </c>
      <c r="PM22" s="57">
        <f t="shared" si="192"/>
        <v>0</v>
      </c>
      <c r="PN22" s="57">
        <f t="shared" si="192"/>
        <v>0</v>
      </c>
      <c r="PO22" s="57">
        <f t="shared" si="192"/>
        <v>0</v>
      </c>
      <c r="PP22" s="57">
        <f t="shared" si="192"/>
        <v>0</v>
      </c>
      <c r="PQ22" s="57">
        <f t="shared" si="192"/>
        <v>0</v>
      </c>
      <c r="PR22" s="57">
        <f t="shared" si="192"/>
        <v>0</v>
      </c>
      <c r="PS22" s="57">
        <f t="shared" si="192"/>
        <v>0</v>
      </c>
      <c r="PT22" s="57">
        <f t="shared" si="192"/>
        <v>0</v>
      </c>
      <c r="PU22" s="57">
        <f t="shared" si="192"/>
        <v>0</v>
      </c>
      <c r="PV22" s="57">
        <f t="shared" si="192"/>
        <v>0</v>
      </c>
      <c r="PW22" s="57">
        <f t="shared" si="192"/>
        <v>0</v>
      </c>
      <c r="PX22" s="57">
        <f t="shared" si="192"/>
        <v>0</v>
      </c>
      <c r="PY22" s="57">
        <f t="shared" si="192"/>
        <v>0</v>
      </c>
      <c r="PZ22" s="57">
        <f t="shared" si="192"/>
        <v>0</v>
      </c>
      <c r="QA22" s="57">
        <f t="shared" si="192"/>
        <v>0</v>
      </c>
      <c r="QB22" s="57">
        <f t="shared" si="192"/>
        <v>0</v>
      </c>
      <c r="QC22" s="57">
        <f t="shared" si="192"/>
        <v>0</v>
      </c>
      <c r="QD22" s="57">
        <f t="shared" si="192"/>
        <v>0</v>
      </c>
      <c r="QE22" s="57">
        <f t="shared" si="192"/>
        <v>0</v>
      </c>
      <c r="QF22" s="57">
        <f t="shared" si="192"/>
        <v>0</v>
      </c>
      <c r="QG22" s="57">
        <f t="shared" si="192"/>
        <v>0</v>
      </c>
      <c r="QH22" s="57">
        <f t="shared" si="192"/>
        <v>0</v>
      </c>
      <c r="QI22" s="57">
        <f t="shared" si="192"/>
        <v>0</v>
      </c>
      <c r="QJ22" s="57">
        <f t="shared" si="192"/>
        <v>0</v>
      </c>
      <c r="QK22" s="57">
        <f t="shared" ref="QK22:SV22" si="193">IF(QK13="Acumulación",$C$7,0)++IF(AND(QK13="Acumulación",QK16=1),$C$6,0)</f>
        <v>0</v>
      </c>
      <c r="QL22" s="57">
        <f t="shared" si="193"/>
        <v>0</v>
      </c>
      <c r="QM22" s="57">
        <f t="shared" si="193"/>
        <v>0</v>
      </c>
      <c r="QN22" s="57">
        <f t="shared" si="193"/>
        <v>0</v>
      </c>
      <c r="QO22" s="57">
        <f t="shared" si="193"/>
        <v>0</v>
      </c>
      <c r="QP22" s="57">
        <f t="shared" si="193"/>
        <v>0</v>
      </c>
      <c r="QQ22" s="57">
        <f t="shared" si="193"/>
        <v>0</v>
      </c>
      <c r="QR22" s="57">
        <f t="shared" si="193"/>
        <v>0</v>
      </c>
      <c r="QS22" s="57">
        <f t="shared" si="193"/>
        <v>0</v>
      </c>
      <c r="QT22" s="57">
        <f t="shared" si="193"/>
        <v>0</v>
      </c>
      <c r="QU22" s="57">
        <f t="shared" si="193"/>
        <v>0</v>
      </c>
      <c r="QV22" s="57">
        <f t="shared" si="193"/>
        <v>0</v>
      </c>
      <c r="QW22" s="57">
        <f t="shared" si="193"/>
        <v>0</v>
      </c>
      <c r="QX22" s="57">
        <f t="shared" si="193"/>
        <v>0</v>
      </c>
      <c r="QY22" s="57">
        <f t="shared" si="193"/>
        <v>0</v>
      </c>
      <c r="QZ22" s="57">
        <f t="shared" si="193"/>
        <v>0</v>
      </c>
      <c r="RA22" s="57">
        <f t="shared" si="193"/>
        <v>0</v>
      </c>
      <c r="RB22" s="57">
        <f t="shared" si="193"/>
        <v>0</v>
      </c>
      <c r="RC22" s="57">
        <f t="shared" si="193"/>
        <v>0</v>
      </c>
      <c r="RD22" s="57">
        <f t="shared" si="193"/>
        <v>0</v>
      </c>
      <c r="RE22" s="57">
        <f t="shared" si="193"/>
        <v>0</v>
      </c>
      <c r="RF22" s="57">
        <f t="shared" si="193"/>
        <v>0</v>
      </c>
      <c r="RG22" s="57">
        <f t="shared" si="193"/>
        <v>0</v>
      </c>
      <c r="RH22" s="57">
        <f t="shared" si="193"/>
        <v>0</v>
      </c>
      <c r="RI22" s="57">
        <f t="shared" si="193"/>
        <v>0</v>
      </c>
      <c r="RJ22" s="57">
        <f t="shared" si="193"/>
        <v>0</v>
      </c>
      <c r="RK22" s="57">
        <f t="shared" si="193"/>
        <v>0</v>
      </c>
      <c r="RL22" s="57">
        <f t="shared" si="193"/>
        <v>0</v>
      </c>
      <c r="RM22" s="57">
        <f t="shared" si="193"/>
        <v>0</v>
      </c>
      <c r="RN22" s="57">
        <f t="shared" si="193"/>
        <v>0</v>
      </c>
      <c r="RO22" s="57">
        <f t="shared" si="193"/>
        <v>0</v>
      </c>
      <c r="RP22" s="57">
        <f t="shared" si="193"/>
        <v>0</v>
      </c>
      <c r="RQ22" s="57">
        <f t="shared" si="193"/>
        <v>0</v>
      </c>
      <c r="RR22" s="57">
        <f t="shared" si="193"/>
        <v>0</v>
      </c>
      <c r="RS22" s="57">
        <f t="shared" si="193"/>
        <v>0</v>
      </c>
      <c r="RT22" s="57">
        <f t="shared" si="193"/>
        <v>0</v>
      </c>
      <c r="RU22" s="57">
        <f t="shared" si="193"/>
        <v>0</v>
      </c>
      <c r="RV22" s="57">
        <f t="shared" si="193"/>
        <v>0</v>
      </c>
      <c r="RW22" s="57">
        <f t="shared" si="193"/>
        <v>0</v>
      </c>
      <c r="RX22" s="57">
        <f t="shared" si="193"/>
        <v>0</v>
      </c>
      <c r="RY22" s="57">
        <f t="shared" si="193"/>
        <v>0</v>
      </c>
      <c r="RZ22" s="57">
        <f t="shared" si="193"/>
        <v>0</v>
      </c>
      <c r="SA22" s="57">
        <f t="shared" si="193"/>
        <v>0</v>
      </c>
      <c r="SB22" s="57">
        <f t="shared" si="193"/>
        <v>0</v>
      </c>
      <c r="SC22" s="57">
        <f t="shared" si="193"/>
        <v>0</v>
      </c>
      <c r="SD22" s="57">
        <f t="shared" si="193"/>
        <v>0</v>
      </c>
      <c r="SE22" s="57">
        <f t="shared" si="193"/>
        <v>0</v>
      </c>
      <c r="SF22" s="57">
        <f t="shared" si="193"/>
        <v>0</v>
      </c>
      <c r="SG22" s="57">
        <f t="shared" si="193"/>
        <v>0</v>
      </c>
      <c r="SH22" s="57">
        <f t="shared" si="193"/>
        <v>0</v>
      </c>
      <c r="SI22" s="57">
        <f t="shared" si="193"/>
        <v>0</v>
      </c>
      <c r="SJ22" s="57">
        <f t="shared" si="193"/>
        <v>0</v>
      </c>
      <c r="SK22" s="57">
        <f t="shared" si="193"/>
        <v>0</v>
      </c>
      <c r="SL22" s="57">
        <f t="shared" si="193"/>
        <v>0</v>
      </c>
      <c r="SM22" s="57">
        <f t="shared" si="193"/>
        <v>0</v>
      </c>
      <c r="SN22" s="57">
        <f t="shared" si="193"/>
        <v>0</v>
      </c>
      <c r="SO22" s="57">
        <f t="shared" si="193"/>
        <v>0</v>
      </c>
      <c r="SP22" s="57">
        <f t="shared" si="193"/>
        <v>0</v>
      </c>
      <c r="SQ22" s="57">
        <f t="shared" si="193"/>
        <v>0</v>
      </c>
      <c r="SR22" s="57">
        <f t="shared" si="193"/>
        <v>0</v>
      </c>
      <c r="SS22" s="57">
        <f t="shared" si="193"/>
        <v>0</v>
      </c>
      <c r="ST22" s="57">
        <f t="shared" si="193"/>
        <v>0</v>
      </c>
      <c r="SU22" s="57">
        <f t="shared" si="193"/>
        <v>0</v>
      </c>
      <c r="SV22" s="57">
        <f t="shared" si="193"/>
        <v>0</v>
      </c>
      <c r="SW22" s="57">
        <f t="shared" ref="SW22:VH22" si="194">IF(SW13="Acumulación",$C$7,0)++IF(AND(SW13="Acumulación",SW16=1),$C$6,0)</f>
        <v>0</v>
      </c>
      <c r="SX22" s="57">
        <f t="shared" si="194"/>
        <v>0</v>
      </c>
      <c r="SY22" s="57">
        <f t="shared" si="194"/>
        <v>0</v>
      </c>
      <c r="SZ22" s="57">
        <f t="shared" si="194"/>
        <v>0</v>
      </c>
      <c r="TA22" s="57">
        <f t="shared" si="194"/>
        <v>0</v>
      </c>
      <c r="TB22" s="57">
        <f t="shared" si="194"/>
        <v>0</v>
      </c>
      <c r="TC22" s="57">
        <f t="shared" si="194"/>
        <v>0</v>
      </c>
      <c r="TD22" s="57">
        <f t="shared" si="194"/>
        <v>0</v>
      </c>
      <c r="TE22" s="57">
        <f t="shared" si="194"/>
        <v>0</v>
      </c>
      <c r="TF22" s="57">
        <f t="shared" si="194"/>
        <v>0</v>
      </c>
      <c r="TG22" s="57">
        <f t="shared" si="194"/>
        <v>0</v>
      </c>
      <c r="TH22" s="57">
        <f t="shared" si="194"/>
        <v>0</v>
      </c>
      <c r="TI22" s="57">
        <f t="shared" si="194"/>
        <v>0</v>
      </c>
      <c r="TJ22" s="57">
        <f t="shared" si="194"/>
        <v>0</v>
      </c>
      <c r="TK22" s="57">
        <f t="shared" si="194"/>
        <v>0</v>
      </c>
      <c r="TL22" s="57">
        <f t="shared" si="194"/>
        <v>0</v>
      </c>
      <c r="TM22" s="57">
        <f t="shared" si="194"/>
        <v>0</v>
      </c>
      <c r="TN22" s="57">
        <f t="shared" si="194"/>
        <v>0</v>
      </c>
      <c r="TO22" s="57">
        <f t="shared" si="194"/>
        <v>0</v>
      </c>
      <c r="TP22" s="57">
        <f t="shared" si="194"/>
        <v>0</v>
      </c>
      <c r="TQ22" s="57">
        <f t="shared" si="194"/>
        <v>0</v>
      </c>
      <c r="TR22" s="57">
        <f t="shared" si="194"/>
        <v>0</v>
      </c>
      <c r="TS22" s="57">
        <f t="shared" si="194"/>
        <v>0</v>
      </c>
      <c r="TT22" s="57">
        <f t="shared" si="194"/>
        <v>0</v>
      </c>
      <c r="TU22" s="57">
        <f t="shared" si="194"/>
        <v>0</v>
      </c>
      <c r="TV22" s="57">
        <f t="shared" si="194"/>
        <v>0</v>
      </c>
      <c r="TW22" s="57">
        <f t="shared" si="194"/>
        <v>0</v>
      </c>
      <c r="TX22" s="57">
        <f t="shared" si="194"/>
        <v>0</v>
      </c>
      <c r="TY22" s="57">
        <f t="shared" si="194"/>
        <v>0</v>
      </c>
      <c r="TZ22" s="57">
        <f t="shared" si="194"/>
        <v>0</v>
      </c>
      <c r="UA22" s="57">
        <f t="shared" si="194"/>
        <v>0</v>
      </c>
      <c r="UB22" s="57">
        <f t="shared" si="194"/>
        <v>0</v>
      </c>
      <c r="UC22" s="57">
        <f t="shared" si="194"/>
        <v>0</v>
      </c>
      <c r="UD22" s="57">
        <f t="shared" si="194"/>
        <v>0</v>
      </c>
      <c r="UE22" s="57">
        <f t="shared" si="194"/>
        <v>0</v>
      </c>
      <c r="UF22" s="57">
        <f t="shared" si="194"/>
        <v>0</v>
      </c>
      <c r="UG22" s="57">
        <f t="shared" si="194"/>
        <v>0</v>
      </c>
      <c r="UH22" s="57">
        <f t="shared" si="194"/>
        <v>0</v>
      </c>
      <c r="UI22" s="57">
        <f t="shared" si="194"/>
        <v>0</v>
      </c>
      <c r="UJ22" s="57">
        <f t="shared" si="194"/>
        <v>0</v>
      </c>
      <c r="UK22" s="57">
        <f t="shared" si="194"/>
        <v>0</v>
      </c>
      <c r="UL22" s="57">
        <f t="shared" si="194"/>
        <v>0</v>
      </c>
      <c r="UM22" s="57">
        <f t="shared" si="194"/>
        <v>0</v>
      </c>
      <c r="UN22" s="57">
        <f t="shared" si="194"/>
        <v>0</v>
      </c>
      <c r="UO22" s="57">
        <f t="shared" si="194"/>
        <v>0</v>
      </c>
      <c r="UP22" s="57">
        <f t="shared" si="194"/>
        <v>0</v>
      </c>
      <c r="UQ22" s="57">
        <f t="shared" si="194"/>
        <v>0</v>
      </c>
      <c r="UR22" s="57">
        <f t="shared" si="194"/>
        <v>0</v>
      </c>
      <c r="US22" s="57">
        <f t="shared" si="194"/>
        <v>0</v>
      </c>
      <c r="UT22" s="57">
        <f t="shared" si="194"/>
        <v>0</v>
      </c>
      <c r="UU22" s="57">
        <f t="shared" si="194"/>
        <v>0</v>
      </c>
      <c r="UV22" s="57">
        <f t="shared" si="194"/>
        <v>0</v>
      </c>
      <c r="UW22" s="57">
        <f t="shared" si="194"/>
        <v>0</v>
      </c>
      <c r="UX22" s="57">
        <f t="shared" si="194"/>
        <v>0</v>
      </c>
      <c r="UY22" s="57">
        <f t="shared" si="194"/>
        <v>0</v>
      </c>
      <c r="UZ22" s="57">
        <f t="shared" si="194"/>
        <v>0</v>
      </c>
      <c r="VA22" s="57">
        <f t="shared" si="194"/>
        <v>0</v>
      </c>
      <c r="VB22" s="57">
        <f t="shared" si="194"/>
        <v>0</v>
      </c>
      <c r="VC22" s="57">
        <f t="shared" si="194"/>
        <v>0</v>
      </c>
      <c r="VD22" s="57">
        <f t="shared" si="194"/>
        <v>0</v>
      </c>
      <c r="VE22" s="57">
        <f t="shared" si="194"/>
        <v>0</v>
      </c>
      <c r="VF22" s="57">
        <f t="shared" si="194"/>
        <v>0</v>
      </c>
      <c r="VG22" s="57">
        <f t="shared" si="194"/>
        <v>0</v>
      </c>
      <c r="VH22" s="57">
        <f t="shared" si="194"/>
        <v>0</v>
      </c>
      <c r="VI22" s="57">
        <f t="shared" ref="VI22:XT22" si="195">IF(VI13="Acumulación",$C$7,0)++IF(AND(VI13="Acumulación",VI16=1),$C$6,0)</f>
        <v>0</v>
      </c>
      <c r="VJ22" s="57">
        <f t="shared" si="195"/>
        <v>0</v>
      </c>
      <c r="VK22" s="57">
        <f t="shared" si="195"/>
        <v>0</v>
      </c>
      <c r="VL22" s="57">
        <f t="shared" si="195"/>
        <v>0</v>
      </c>
      <c r="VM22" s="57">
        <f t="shared" si="195"/>
        <v>0</v>
      </c>
      <c r="VN22" s="57">
        <f t="shared" si="195"/>
        <v>0</v>
      </c>
      <c r="VO22" s="57">
        <f t="shared" si="195"/>
        <v>0</v>
      </c>
      <c r="VP22" s="57">
        <f t="shared" si="195"/>
        <v>0</v>
      </c>
      <c r="VQ22" s="57">
        <f t="shared" si="195"/>
        <v>0</v>
      </c>
      <c r="VR22" s="57">
        <f t="shared" si="195"/>
        <v>0</v>
      </c>
      <c r="VS22" s="57">
        <f t="shared" si="195"/>
        <v>0</v>
      </c>
      <c r="VT22" s="57">
        <f t="shared" si="195"/>
        <v>165000</v>
      </c>
      <c r="VU22" s="57">
        <f t="shared" si="195"/>
        <v>15000</v>
      </c>
      <c r="VV22" s="57">
        <f t="shared" si="195"/>
        <v>15000</v>
      </c>
      <c r="VW22" s="57">
        <f t="shared" si="195"/>
        <v>15000</v>
      </c>
      <c r="VX22" s="57">
        <f t="shared" si="195"/>
        <v>15000</v>
      </c>
      <c r="VY22" s="57">
        <f t="shared" si="195"/>
        <v>15000</v>
      </c>
      <c r="VZ22" s="57">
        <f t="shared" si="195"/>
        <v>15000</v>
      </c>
      <c r="WA22" s="57">
        <f t="shared" si="195"/>
        <v>15000</v>
      </c>
      <c r="WB22" s="57">
        <f t="shared" si="195"/>
        <v>15000</v>
      </c>
      <c r="WC22" s="57">
        <f t="shared" si="195"/>
        <v>15000</v>
      </c>
      <c r="WD22" s="57">
        <f t="shared" si="195"/>
        <v>15000</v>
      </c>
      <c r="WE22" s="57">
        <f t="shared" si="195"/>
        <v>15000</v>
      </c>
      <c r="WF22" s="57">
        <f t="shared" si="195"/>
        <v>165000</v>
      </c>
      <c r="WG22" s="57">
        <f t="shared" si="195"/>
        <v>15000</v>
      </c>
      <c r="WH22" s="57">
        <f t="shared" si="195"/>
        <v>15000</v>
      </c>
      <c r="WI22" s="57">
        <f t="shared" si="195"/>
        <v>15000</v>
      </c>
      <c r="WJ22" s="57">
        <f t="shared" si="195"/>
        <v>15000</v>
      </c>
      <c r="WK22" s="57">
        <f t="shared" si="195"/>
        <v>15000</v>
      </c>
      <c r="WL22" s="57">
        <f t="shared" si="195"/>
        <v>15000</v>
      </c>
      <c r="WM22" s="57">
        <f t="shared" si="195"/>
        <v>15000</v>
      </c>
      <c r="WN22" s="57">
        <f t="shared" si="195"/>
        <v>15000</v>
      </c>
      <c r="WO22" s="57">
        <f t="shared" si="195"/>
        <v>15000</v>
      </c>
      <c r="WP22" s="57">
        <f t="shared" si="195"/>
        <v>15000</v>
      </c>
      <c r="WQ22" s="57">
        <f t="shared" si="195"/>
        <v>15000</v>
      </c>
      <c r="WR22" s="57">
        <f t="shared" si="195"/>
        <v>165000</v>
      </c>
      <c r="WS22" s="57">
        <f t="shared" si="195"/>
        <v>15000</v>
      </c>
      <c r="WT22" s="57">
        <f t="shared" si="195"/>
        <v>15000</v>
      </c>
      <c r="WU22" s="57">
        <f t="shared" si="195"/>
        <v>15000</v>
      </c>
      <c r="WV22" s="57">
        <f t="shared" si="195"/>
        <v>15000</v>
      </c>
      <c r="WW22" s="57">
        <f t="shared" si="195"/>
        <v>15000</v>
      </c>
      <c r="WX22" s="57">
        <f t="shared" si="195"/>
        <v>15000</v>
      </c>
      <c r="WY22" s="57">
        <f t="shared" si="195"/>
        <v>15000</v>
      </c>
      <c r="WZ22" s="57">
        <f t="shared" si="195"/>
        <v>15000</v>
      </c>
      <c r="XA22" s="57">
        <f t="shared" si="195"/>
        <v>15000</v>
      </c>
      <c r="XB22" s="57">
        <f t="shared" si="195"/>
        <v>15000</v>
      </c>
      <c r="XC22" s="57">
        <f t="shared" si="195"/>
        <v>15000</v>
      </c>
      <c r="XD22" s="57">
        <f t="shared" si="195"/>
        <v>165000</v>
      </c>
      <c r="XE22" s="57">
        <f t="shared" si="195"/>
        <v>15000</v>
      </c>
      <c r="XF22" s="57">
        <f t="shared" si="195"/>
        <v>15000</v>
      </c>
      <c r="XG22" s="57">
        <f t="shared" si="195"/>
        <v>15000</v>
      </c>
      <c r="XH22" s="57">
        <f t="shared" si="195"/>
        <v>15000</v>
      </c>
      <c r="XI22" s="57">
        <f t="shared" si="195"/>
        <v>15000</v>
      </c>
      <c r="XJ22" s="57">
        <f t="shared" si="195"/>
        <v>15000</v>
      </c>
      <c r="XK22" s="57">
        <f t="shared" si="195"/>
        <v>15000</v>
      </c>
      <c r="XL22" s="57">
        <f t="shared" si="195"/>
        <v>15000</v>
      </c>
      <c r="XM22" s="57">
        <f t="shared" si="195"/>
        <v>15000</v>
      </c>
      <c r="XN22" s="57">
        <f t="shared" si="195"/>
        <v>15000</v>
      </c>
      <c r="XO22" s="57">
        <f t="shared" si="195"/>
        <v>15000</v>
      </c>
      <c r="XP22" s="57">
        <f t="shared" si="195"/>
        <v>165000</v>
      </c>
      <c r="XQ22" s="57">
        <f t="shared" si="195"/>
        <v>15000</v>
      </c>
      <c r="XR22" s="57">
        <f t="shared" si="195"/>
        <v>15000</v>
      </c>
      <c r="XS22" s="57">
        <f t="shared" si="195"/>
        <v>15000</v>
      </c>
      <c r="XT22" s="57">
        <f t="shared" si="195"/>
        <v>15000</v>
      </c>
      <c r="XU22" s="57">
        <f t="shared" ref="XU22:AAF22" si="196">IF(XU13="Acumulación",$C$7,0)++IF(AND(XU13="Acumulación",XU16=1),$C$6,0)</f>
        <v>15000</v>
      </c>
      <c r="XV22" s="57">
        <f t="shared" si="196"/>
        <v>15000</v>
      </c>
      <c r="XW22" s="57">
        <f t="shared" si="196"/>
        <v>15000</v>
      </c>
      <c r="XX22" s="57">
        <f t="shared" si="196"/>
        <v>15000</v>
      </c>
      <c r="XY22" s="57">
        <f t="shared" si="196"/>
        <v>15000</v>
      </c>
      <c r="XZ22" s="57">
        <f t="shared" si="196"/>
        <v>15000</v>
      </c>
      <c r="YA22" s="57">
        <f t="shared" si="196"/>
        <v>15000</v>
      </c>
      <c r="YB22" s="57">
        <f t="shared" si="196"/>
        <v>165000</v>
      </c>
      <c r="YC22" s="57">
        <f t="shared" si="196"/>
        <v>15000</v>
      </c>
      <c r="YD22" s="57">
        <f t="shared" si="196"/>
        <v>15000</v>
      </c>
      <c r="YE22" s="57">
        <f t="shared" si="196"/>
        <v>15000</v>
      </c>
      <c r="YF22" s="57">
        <f t="shared" si="196"/>
        <v>15000</v>
      </c>
      <c r="YG22" s="57">
        <f t="shared" si="196"/>
        <v>15000</v>
      </c>
      <c r="YH22" s="57">
        <f t="shared" si="196"/>
        <v>15000</v>
      </c>
      <c r="YI22" s="57">
        <f t="shared" si="196"/>
        <v>15000</v>
      </c>
      <c r="YJ22" s="57">
        <f t="shared" si="196"/>
        <v>15000</v>
      </c>
      <c r="YK22" s="57">
        <f t="shared" si="196"/>
        <v>15000</v>
      </c>
      <c r="YL22" s="57">
        <f t="shared" si="196"/>
        <v>15000</v>
      </c>
      <c r="YM22" s="57">
        <f t="shared" si="196"/>
        <v>15000</v>
      </c>
      <c r="YN22" s="57">
        <f t="shared" si="196"/>
        <v>165000</v>
      </c>
      <c r="YO22" s="57">
        <f t="shared" si="196"/>
        <v>15000</v>
      </c>
      <c r="YP22" s="57">
        <f t="shared" si="196"/>
        <v>15000</v>
      </c>
      <c r="YQ22" s="57">
        <f t="shared" si="196"/>
        <v>15000</v>
      </c>
      <c r="YR22" s="57">
        <f t="shared" si="196"/>
        <v>15000</v>
      </c>
      <c r="YS22" s="57">
        <f t="shared" si="196"/>
        <v>15000</v>
      </c>
      <c r="YT22" s="57">
        <f t="shared" si="196"/>
        <v>15000</v>
      </c>
      <c r="YU22" s="57">
        <f t="shared" si="196"/>
        <v>15000</v>
      </c>
      <c r="YV22" s="57">
        <f t="shared" si="196"/>
        <v>15000</v>
      </c>
      <c r="YW22" s="57">
        <f t="shared" si="196"/>
        <v>15000</v>
      </c>
      <c r="YX22" s="57">
        <f t="shared" si="196"/>
        <v>15000</v>
      </c>
      <c r="YY22" s="57">
        <f t="shared" si="196"/>
        <v>15000</v>
      </c>
      <c r="YZ22" s="57">
        <f t="shared" si="196"/>
        <v>165000</v>
      </c>
      <c r="ZA22" s="57">
        <f t="shared" si="196"/>
        <v>15000</v>
      </c>
      <c r="ZB22" s="57">
        <f t="shared" si="196"/>
        <v>15000</v>
      </c>
      <c r="ZC22" s="57">
        <f t="shared" si="196"/>
        <v>15000</v>
      </c>
      <c r="ZD22" s="57">
        <f t="shared" si="196"/>
        <v>15000</v>
      </c>
      <c r="ZE22" s="57">
        <f t="shared" si="196"/>
        <v>15000</v>
      </c>
      <c r="ZF22" s="57">
        <f t="shared" si="196"/>
        <v>15000</v>
      </c>
      <c r="ZG22" s="57">
        <f t="shared" si="196"/>
        <v>15000</v>
      </c>
      <c r="ZH22" s="57">
        <f t="shared" si="196"/>
        <v>15000</v>
      </c>
      <c r="ZI22" s="57">
        <f t="shared" si="196"/>
        <v>15000</v>
      </c>
      <c r="ZJ22" s="57">
        <f t="shared" si="196"/>
        <v>15000</v>
      </c>
      <c r="ZK22" s="57">
        <f t="shared" si="196"/>
        <v>15000</v>
      </c>
      <c r="ZL22" s="57">
        <f t="shared" si="196"/>
        <v>165000</v>
      </c>
      <c r="ZM22" s="57">
        <f t="shared" si="196"/>
        <v>15000</v>
      </c>
      <c r="ZN22" s="57">
        <f t="shared" si="196"/>
        <v>15000</v>
      </c>
      <c r="ZO22" s="57">
        <f t="shared" si="196"/>
        <v>15000</v>
      </c>
      <c r="ZP22" s="57">
        <f t="shared" si="196"/>
        <v>15000</v>
      </c>
      <c r="ZQ22" s="57">
        <f t="shared" si="196"/>
        <v>15000</v>
      </c>
      <c r="ZR22" s="57">
        <f t="shared" si="196"/>
        <v>15000</v>
      </c>
      <c r="ZS22" s="57">
        <f t="shared" si="196"/>
        <v>15000</v>
      </c>
      <c r="ZT22" s="57">
        <f t="shared" si="196"/>
        <v>15000</v>
      </c>
      <c r="ZU22" s="57">
        <f t="shared" si="196"/>
        <v>15000</v>
      </c>
      <c r="ZV22" s="57">
        <f t="shared" si="196"/>
        <v>15000</v>
      </c>
      <c r="ZW22" s="57">
        <f t="shared" si="196"/>
        <v>15000</v>
      </c>
      <c r="ZX22" s="57">
        <f t="shared" si="196"/>
        <v>165000</v>
      </c>
      <c r="ZY22" s="57">
        <f t="shared" si="196"/>
        <v>15000</v>
      </c>
      <c r="ZZ22" s="57">
        <f t="shared" si="196"/>
        <v>15000</v>
      </c>
      <c r="AAA22" s="57">
        <f t="shared" si="196"/>
        <v>15000</v>
      </c>
      <c r="AAB22" s="57">
        <f t="shared" si="196"/>
        <v>15000</v>
      </c>
      <c r="AAC22" s="57">
        <f t="shared" si="196"/>
        <v>15000</v>
      </c>
      <c r="AAD22" s="57">
        <f t="shared" si="196"/>
        <v>15000</v>
      </c>
      <c r="AAE22" s="57">
        <f t="shared" si="196"/>
        <v>15000</v>
      </c>
      <c r="AAF22" s="57">
        <f t="shared" si="196"/>
        <v>15000</v>
      </c>
      <c r="AAG22" s="57">
        <f t="shared" ref="AAG22:ACR22" si="197">IF(AAG13="Acumulación",$C$7,0)++IF(AND(AAG13="Acumulación",AAG16=1),$C$6,0)</f>
        <v>15000</v>
      </c>
      <c r="AAH22" s="57">
        <f t="shared" si="197"/>
        <v>15000</v>
      </c>
      <c r="AAI22" s="57">
        <f t="shared" si="197"/>
        <v>15000</v>
      </c>
      <c r="AAJ22" s="57">
        <f t="shared" si="197"/>
        <v>0</v>
      </c>
      <c r="AAK22" s="57">
        <f t="shared" si="197"/>
        <v>0</v>
      </c>
      <c r="AAL22" s="57">
        <f t="shared" si="197"/>
        <v>0</v>
      </c>
      <c r="AAM22" s="57">
        <f t="shared" si="197"/>
        <v>0</v>
      </c>
      <c r="AAN22" s="57">
        <f t="shared" si="197"/>
        <v>0</v>
      </c>
      <c r="AAO22" s="57">
        <f t="shared" si="197"/>
        <v>0</v>
      </c>
      <c r="AAP22" s="57">
        <f t="shared" si="197"/>
        <v>0</v>
      </c>
      <c r="AAQ22" s="57">
        <f t="shared" si="197"/>
        <v>0</v>
      </c>
      <c r="AAR22" s="57">
        <f t="shared" si="197"/>
        <v>0</v>
      </c>
      <c r="AAS22" s="57">
        <f t="shared" si="197"/>
        <v>0</v>
      </c>
      <c r="AAT22" s="57">
        <f t="shared" si="197"/>
        <v>0</v>
      </c>
      <c r="AAU22" s="57">
        <f t="shared" si="197"/>
        <v>0</v>
      </c>
      <c r="AAV22" s="57">
        <f t="shared" si="197"/>
        <v>0</v>
      </c>
      <c r="AAW22" s="57">
        <f t="shared" si="197"/>
        <v>0</v>
      </c>
      <c r="AAX22" s="57">
        <f t="shared" si="197"/>
        <v>0</v>
      </c>
      <c r="AAY22" s="57">
        <f t="shared" si="197"/>
        <v>0</v>
      </c>
      <c r="AAZ22" s="57">
        <f t="shared" si="197"/>
        <v>0</v>
      </c>
      <c r="ABA22" s="57">
        <f t="shared" si="197"/>
        <v>0</v>
      </c>
      <c r="ABB22" s="57">
        <f t="shared" si="197"/>
        <v>0</v>
      </c>
      <c r="ABC22" s="57">
        <f t="shared" si="197"/>
        <v>0</v>
      </c>
      <c r="ABD22" s="57">
        <f t="shared" si="197"/>
        <v>0</v>
      </c>
      <c r="ABE22" s="57">
        <f t="shared" si="197"/>
        <v>0</v>
      </c>
      <c r="ABF22" s="57">
        <f t="shared" si="197"/>
        <v>0</v>
      </c>
      <c r="ABG22" s="57">
        <f t="shared" si="197"/>
        <v>0</v>
      </c>
      <c r="ABH22" s="57">
        <f t="shared" si="197"/>
        <v>0</v>
      </c>
      <c r="ABI22" s="57">
        <f t="shared" si="197"/>
        <v>0</v>
      </c>
      <c r="ABJ22" s="57">
        <f t="shared" si="197"/>
        <v>0</v>
      </c>
      <c r="ABK22" s="57">
        <f t="shared" si="197"/>
        <v>0</v>
      </c>
      <c r="ABL22" s="57">
        <f t="shared" si="197"/>
        <v>0</v>
      </c>
      <c r="ABM22" s="57">
        <f t="shared" si="197"/>
        <v>0</v>
      </c>
      <c r="ABN22" s="57">
        <f t="shared" si="197"/>
        <v>0</v>
      </c>
      <c r="ABO22" s="57">
        <f t="shared" si="197"/>
        <v>0</v>
      </c>
      <c r="ABP22" s="57">
        <f t="shared" si="197"/>
        <v>0</v>
      </c>
      <c r="ABQ22" s="57">
        <f t="shared" si="197"/>
        <v>0</v>
      </c>
      <c r="ABR22" s="57">
        <f t="shared" si="197"/>
        <v>0</v>
      </c>
      <c r="ABS22" s="57">
        <f t="shared" si="197"/>
        <v>0</v>
      </c>
      <c r="ABT22" s="57">
        <f t="shared" si="197"/>
        <v>0</v>
      </c>
      <c r="ABU22" s="57">
        <f t="shared" si="197"/>
        <v>0</v>
      </c>
      <c r="ABV22" s="57">
        <f t="shared" si="197"/>
        <v>0</v>
      </c>
      <c r="ABW22" s="57">
        <f t="shared" si="197"/>
        <v>0</v>
      </c>
      <c r="ABX22" s="57">
        <f t="shared" si="197"/>
        <v>0</v>
      </c>
      <c r="ABY22" s="57">
        <f t="shared" si="197"/>
        <v>0</v>
      </c>
      <c r="ABZ22" s="57">
        <f t="shared" si="197"/>
        <v>0</v>
      </c>
      <c r="ACA22" s="57">
        <f t="shared" si="197"/>
        <v>0</v>
      </c>
      <c r="ACB22" s="57">
        <f t="shared" si="197"/>
        <v>0</v>
      </c>
      <c r="ACC22" s="57">
        <f t="shared" si="197"/>
        <v>0</v>
      </c>
      <c r="ACD22" s="57">
        <f t="shared" si="197"/>
        <v>0</v>
      </c>
      <c r="ACE22" s="57">
        <f t="shared" si="197"/>
        <v>0</v>
      </c>
      <c r="ACF22" s="57">
        <f t="shared" si="197"/>
        <v>0</v>
      </c>
      <c r="ACG22" s="57">
        <f t="shared" si="197"/>
        <v>0</v>
      </c>
      <c r="ACH22" s="57">
        <f t="shared" si="197"/>
        <v>0</v>
      </c>
      <c r="ACI22" s="57">
        <f t="shared" si="197"/>
        <v>0</v>
      </c>
      <c r="ACJ22" s="57">
        <f t="shared" si="197"/>
        <v>0</v>
      </c>
      <c r="ACK22" s="57">
        <f t="shared" si="197"/>
        <v>0</v>
      </c>
      <c r="ACL22" s="57">
        <f t="shared" si="197"/>
        <v>0</v>
      </c>
      <c r="ACM22" s="57">
        <f t="shared" si="197"/>
        <v>0</v>
      </c>
      <c r="ACN22" s="57">
        <f t="shared" si="197"/>
        <v>0</v>
      </c>
      <c r="ACO22" s="57">
        <f t="shared" si="197"/>
        <v>0</v>
      </c>
      <c r="ACP22" s="57">
        <f t="shared" si="197"/>
        <v>0</v>
      </c>
      <c r="ACQ22" s="57">
        <f t="shared" si="197"/>
        <v>0</v>
      </c>
      <c r="ACR22" s="57">
        <f t="shared" si="197"/>
        <v>0</v>
      </c>
      <c r="ACS22" s="57">
        <f t="shared" ref="ACS22:AFD22" si="198">IF(ACS13="Acumulación",$C$7,0)++IF(AND(ACS13="Acumulación",ACS16=1),$C$6,0)</f>
        <v>0</v>
      </c>
      <c r="ACT22" s="57">
        <f t="shared" si="198"/>
        <v>0</v>
      </c>
      <c r="ACU22" s="57">
        <f t="shared" si="198"/>
        <v>0</v>
      </c>
      <c r="ACV22" s="57">
        <f t="shared" si="198"/>
        <v>0</v>
      </c>
      <c r="ACW22" s="57">
        <f t="shared" si="198"/>
        <v>0</v>
      </c>
      <c r="ACX22" s="57">
        <f t="shared" si="198"/>
        <v>0</v>
      </c>
      <c r="ACY22" s="57">
        <f t="shared" si="198"/>
        <v>0</v>
      </c>
      <c r="ACZ22" s="57">
        <f t="shared" si="198"/>
        <v>0</v>
      </c>
      <c r="ADA22" s="57">
        <f t="shared" si="198"/>
        <v>0</v>
      </c>
      <c r="ADB22" s="57">
        <f t="shared" si="198"/>
        <v>0</v>
      </c>
      <c r="ADC22" s="57">
        <f t="shared" si="198"/>
        <v>0</v>
      </c>
      <c r="ADD22" s="57">
        <f t="shared" si="198"/>
        <v>0</v>
      </c>
      <c r="ADE22" s="57">
        <f t="shared" si="198"/>
        <v>0</v>
      </c>
      <c r="ADF22" s="57">
        <f t="shared" si="198"/>
        <v>0</v>
      </c>
      <c r="ADG22" s="57">
        <f t="shared" si="198"/>
        <v>0</v>
      </c>
      <c r="ADH22" s="57">
        <f t="shared" si="198"/>
        <v>0</v>
      </c>
      <c r="ADI22" s="57">
        <f t="shared" si="198"/>
        <v>0</v>
      </c>
      <c r="ADJ22" s="57">
        <f t="shared" si="198"/>
        <v>0</v>
      </c>
      <c r="ADK22" s="57">
        <f t="shared" si="198"/>
        <v>0</v>
      </c>
      <c r="ADL22" s="57">
        <f t="shared" si="198"/>
        <v>0</v>
      </c>
      <c r="ADM22" s="57">
        <f t="shared" si="198"/>
        <v>0</v>
      </c>
      <c r="ADN22" s="57">
        <f t="shared" si="198"/>
        <v>0</v>
      </c>
      <c r="ADO22" s="57">
        <f t="shared" si="198"/>
        <v>0</v>
      </c>
      <c r="ADP22" s="57">
        <f t="shared" si="198"/>
        <v>0</v>
      </c>
      <c r="ADQ22" s="57">
        <f t="shared" si="198"/>
        <v>0</v>
      </c>
      <c r="ADR22" s="57">
        <f t="shared" si="198"/>
        <v>0</v>
      </c>
      <c r="ADS22" s="57">
        <f t="shared" si="198"/>
        <v>0</v>
      </c>
      <c r="ADT22" s="57">
        <f t="shared" si="198"/>
        <v>0</v>
      </c>
      <c r="ADU22" s="57">
        <f t="shared" si="198"/>
        <v>0</v>
      </c>
      <c r="ADV22" s="57">
        <f t="shared" si="198"/>
        <v>0</v>
      </c>
      <c r="ADW22" s="57">
        <f t="shared" si="198"/>
        <v>0</v>
      </c>
      <c r="ADX22" s="57">
        <f t="shared" si="198"/>
        <v>0</v>
      </c>
      <c r="ADY22" s="57">
        <f t="shared" si="198"/>
        <v>0</v>
      </c>
      <c r="ADZ22" s="57">
        <f t="shared" si="198"/>
        <v>0</v>
      </c>
      <c r="AEA22" s="57">
        <f t="shared" si="198"/>
        <v>0</v>
      </c>
      <c r="AEB22" s="57">
        <f t="shared" si="198"/>
        <v>0</v>
      </c>
      <c r="AEC22" s="57">
        <f t="shared" si="198"/>
        <v>0</v>
      </c>
      <c r="AED22" s="57">
        <f t="shared" si="198"/>
        <v>0</v>
      </c>
      <c r="AEE22" s="57">
        <f t="shared" si="198"/>
        <v>0</v>
      </c>
      <c r="AEF22" s="57">
        <f t="shared" si="198"/>
        <v>0</v>
      </c>
      <c r="AEG22" s="57">
        <f t="shared" si="198"/>
        <v>0</v>
      </c>
      <c r="AEH22" s="57">
        <f t="shared" si="198"/>
        <v>0</v>
      </c>
      <c r="AEI22" s="57">
        <f t="shared" si="198"/>
        <v>0</v>
      </c>
      <c r="AEJ22" s="57">
        <f t="shared" si="198"/>
        <v>0</v>
      </c>
      <c r="AEK22" s="57">
        <f t="shared" si="198"/>
        <v>0</v>
      </c>
      <c r="AEL22" s="57">
        <f t="shared" si="198"/>
        <v>0</v>
      </c>
      <c r="AEM22" s="57">
        <f t="shared" si="198"/>
        <v>0</v>
      </c>
      <c r="AEN22" s="57">
        <f t="shared" si="198"/>
        <v>0</v>
      </c>
      <c r="AEO22" s="57">
        <f t="shared" si="198"/>
        <v>0</v>
      </c>
      <c r="AEP22" s="57">
        <f t="shared" si="198"/>
        <v>0</v>
      </c>
      <c r="AEQ22" s="57">
        <f t="shared" si="198"/>
        <v>0</v>
      </c>
      <c r="AER22" s="57">
        <f t="shared" si="198"/>
        <v>0</v>
      </c>
      <c r="AES22" s="57">
        <f t="shared" si="198"/>
        <v>0</v>
      </c>
      <c r="AET22" s="57">
        <f t="shared" si="198"/>
        <v>0</v>
      </c>
      <c r="AEU22" s="57">
        <f t="shared" si="198"/>
        <v>0</v>
      </c>
      <c r="AEV22" s="57">
        <f t="shared" si="198"/>
        <v>0</v>
      </c>
      <c r="AEW22" s="57">
        <f t="shared" si="198"/>
        <v>0</v>
      </c>
      <c r="AEX22" s="57">
        <f t="shared" si="198"/>
        <v>0</v>
      </c>
      <c r="AEY22" s="57">
        <f t="shared" si="198"/>
        <v>0</v>
      </c>
      <c r="AEZ22" s="57">
        <f t="shared" si="198"/>
        <v>0</v>
      </c>
      <c r="AFA22" s="57">
        <f t="shared" si="198"/>
        <v>0</v>
      </c>
      <c r="AFB22" s="57">
        <f t="shared" si="198"/>
        <v>0</v>
      </c>
      <c r="AFC22" s="57">
        <f t="shared" si="198"/>
        <v>0</v>
      </c>
      <c r="AFD22" s="57">
        <f t="shared" si="198"/>
        <v>0</v>
      </c>
      <c r="AFE22" s="57">
        <f t="shared" ref="AFE22:AHP22" si="199">IF(AFE13="Acumulación",$C$7,0)++IF(AND(AFE13="Acumulación",AFE16=1),$C$6,0)</f>
        <v>0</v>
      </c>
      <c r="AFF22" s="57">
        <f t="shared" si="199"/>
        <v>0</v>
      </c>
      <c r="AFG22" s="57">
        <f t="shared" si="199"/>
        <v>0</v>
      </c>
      <c r="AFH22" s="57">
        <f t="shared" si="199"/>
        <v>0</v>
      </c>
      <c r="AFI22" s="57">
        <f t="shared" si="199"/>
        <v>0</v>
      </c>
      <c r="AFJ22" s="57">
        <f t="shared" si="199"/>
        <v>0</v>
      </c>
      <c r="AFK22" s="57">
        <f t="shared" si="199"/>
        <v>0</v>
      </c>
      <c r="AFL22" s="57">
        <f t="shared" si="199"/>
        <v>0</v>
      </c>
      <c r="AFM22" s="57">
        <f t="shared" si="199"/>
        <v>0</v>
      </c>
      <c r="AFN22" s="57">
        <f t="shared" si="199"/>
        <v>0</v>
      </c>
      <c r="AFO22" s="57">
        <f t="shared" si="199"/>
        <v>0</v>
      </c>
      <c r="AFP22" s="57">
        <f t="shared" si="199"/>
        <v>0</v>
      </c>
      <c r="AFQ22" s="57">
        <f t="shared" si="199"/>
        <v>0</v>
      </c>
      <c r="AFR22" s="57">
        <f t="shared" si="199"/>
        <v>0</v>
      </c>
      <c r="AFS22" s="57">
        <f t="shared" si="199"/>
        <v>0</v>
      </c>
      <c r="AFT22" s="57">
        <f t="shared" si="199"/>
        <v>0</v>
      </c>
      <c r="AFU22" s="57">
        <f t="shared" si="199"/>
        <v>0</v>
      </c>
      <c r="AFV22" s="57">
        <f t="shared" si="199"/>
        <v>0</v>
      </c>
      <c r="AFW22" s="57">
        <f t="shared" si="199"/>
        <v>0</v>
      </c>
      <c r="AFX22" s="57">
        <f t="shared" si="199"/>
        <v>0</v>
      </c>
      <c r="AFY22" s="57">
        <f t="shared" si="199"/>
        <v>0</v>
      </c>
      <c r="AFZ22" s="57">
        <f t="shared" si="199"/>
        <v>0</v>
      </c>
      <c r="AGA22" s="57">
        <f t="shared" si="199"/>
        <v>0</v>
      </c>
      <c r="AGB22" s="57">
        <f t="shared" si="199"/>
        <v>0</v>
      </c>
      <c r="AGC22" s="57">
        <f t="shared" si="199"/>
        <v>0</v>
      </c>
      <c r="AGD22" s="57">
        <f t="shared" si="199"/>
        <v>0</v>
      </c>
      <c r="AGE22" s="57">
        <f t="shared" si="199"/>
        <v>0</v>
      </c>
      <c r="AGF22" s="57">
        <f t="shared" si="199"/>
        <v>0</v>
      </c>
      <c r="AGG22" s="57">
        <f t="shared" si="199"/>
        <v>0</v>
      </c>
      <c r="AGH22" s="57">
        <f t="shared" si="199"/>
        <v>0</v>
      </c>
      <c r="AGI22" s="57">
        <f t="shared" si="199"/>
        <v>0</v>
      </c>
      <c r="AGJ22" s="57">
        <f t="shared" si="199"/>
        <v>0</v>
      </c>
      <c r="AGK22" s="57">
        <f t="shared" si="199"/>
        <v>0</v>
      </c>
      <c r="AGL22" s="57">
        <f t="shared" si="199"/>
        <v>0</v>
      </c>
      <c r="AGM22" s="57">
        <f t="shared" si="199"/>
        <v>0</v>
      </c>
      <c r="AGN22" s="57">
        <f t="shared" si="199"/>
        <v>0</v>
      </c>
      <c r="AGO22" s="57">
        <f t="shared" si="199"/>
        <v>0</v>
      </c>
      <c r="AGP22" s="57">
        <f t="shared" si="199"/>
        <v>0</v>
      </c>
      <c r="AGQ22" s="57">
        <f t="shared" si="199"/>
        <v>0</v>
      </c>
      <c r="AGR22" s="57">
        <f t="shared" si="199"/>
        <v>0</v>
      </c>
      <c r="AGS22" s="57">
        <f t="shared" si="199"/>
        <v>0</v>
      </c>
      <c r="AGT22" s="57">
        <f t="shared" si="199"/>
        <v>0</v>
      </c>
      <c r="AGU22" s="57">
        <f t="shared" si="199"/>
        <v>0</v>
      </c>
      <c r="AGV22" s="57">
        <f t="shared" si="199"/>
        <v>0</v>
      </c>
      <c r="AGW22" s="57">
        <f t="shared" si="199"/>
        <v>0</v>
      </c>
      <c r="AGX22" s="57">
        <f t="shared" si="199"/>
        <v>0</v>
      </c>
      <c r="AGY22" s="57">
        <f t="shared" si="199"/>
        <v>0</v>
      </c>
      <c r="AGZ22" s="57">
        <f t="shared" si="199"/>
        <v>0</v>
      </c>
      <c r="AHA22" s="57">
        <f t="shared" si="199"/>
        <v>0</v>
      </c>
      <c r="AHB22" s="57">
        <f t="shared" si="199"/>
        <v>0</v>
      </c>
      <c r="AHC22" s="57">
        <f t="shared" si="199"/>
        <v>0</v>
      </c>
      <c r="AHD22" s="57">
        <f t="shared" si="199"/>
        <v>0</v>
      </c>
      <c r="AHE22" s="57">
        <f t="shared" si="199"/>
        <v>0</v>
      </c>
      <c r="AHF22" s="57">
        <f t="shared" si="199"/>
        <v>0</v>
      </c>
      <c r="AHG22" s="57">
        <f t="shared" si="199"/>
        <v>0</v>
      </c>
      <c r="AHH22" s="57">
        <f t="shared" si="199"/>
        <v>0</v>
      </c>
      <c r="AHI22" s="57">
        <f t="shared" si="199"/>
        <v>0</v>
      </c>
      <c r="AHJ22" s="57">
        <f t="shared" si="199"/>
        <v>0</v>
      </c>
      <c r="AHK22" s="57">
        <f t="shared" si="199"/>
        <v>0</v>
      </c>
      <c r="AHL22" s="57">
        <f t="shared" si="199"/>
        <v>0</v>
      </c>
      <c r="AHM22" s="57">
        <f t="shared" si="199"/>
        <v>0</v>
      </c>
      <c r="AHN22" s="57">
        <f t="shared" si="199"/>
        <v>0</v>
      </c>
      <c r="AHO22" s="57">
        <f t="shared" si="199"/>
        <v>0</v>
      </c>
      <c r="AHP22" s="57">
        <f t="shared" si="199"/>
        <v>0</v>
      </c>
      <c r="AHQ22" s="57">
        <f t="shared" ref="AHQ22:AKB22" si="200">IF(AHQ13="Acumulación",$C$7,0)++IF(AND(AHQ13="Acumulación",AHQ16=1),$C$6,0)</f>
        <v>0</v>
      </c>
      <c r="AHR22" s="57">
        <f t="shared" si="200"/>
        <v>0</v>
      </c>
      <c r="AHS22" s="57">
        <f t="shared" si="200"/>
        <v>0</v>
      </c>
      <c r="AHT22" s="57">
        <f t="shared" si="200"/>
        <v>0</v>
      </c>
      <c r="AHU22" s="57">
        <f t="shared" si="200"/>
        <v>0</v>
      </c>
      <c r="AHV22" s="57">
        <f t="shared" si="200"/>
        <v>0</v>
      </c>
      <c r="AHW22" s="57">
        <f t="shared" si="200"/>
        <v>0</v>
      </c>
      <c r="AHX22" s="57">
        <f t="shared" si="200"/>
        <v>0</v>
      </c>
      <c r="AHY22" s="57">
        <f t="shared" si="200"/>
        <v>0</v>
      </c>
      <c r="AHZ22" s="57">
        <f t="shared" si="200"/>
        <v>0</v>
      </c>
      <c r="AIA22" s="57">
        <f t="shared" si="200"/>
        <v>0</v>
      </c>
      <c r="AIB22" s="57">
        <f t="shared" si="200"/>
        <v>0</v>
      </c>
      <c r="AIC22" s="57">
        <f t="shared" si="200"/>
        <v>0</v>
      </c>
      <c r="AID22" s="57">
        <f t="shared" si="200"/>
        <v>0</v>
      </c>
      <c r="AIE22" s="57">
        <f t="shared" si="200"/>
        <v>0</v>
      </c>
      <c r="AIF22" s="57">
        <f t="shared" si="200"/>
        <v>0</v>
      </c>
      <c r="AIG22" s="57">
        <f t="shared" si="200"/>
        <v>0</v>
      </c>
      <c r="AIH22" s="57">
        <f t="shared" si="200"/>
        <v>0</v>
      </c>
      <c r="AII22" s="57">
        <f t="shared" si="200"/>
        <v>0</v>
      </c>
      <c r="AIJ22" s="57">
        <f t="shared" si="200"/>
        <v>0</v>
      </c>
      <c r="AIK22" s="57">
        <f t="shared" si="200"/>
        <v>0</v>
      </c>
      <c r="AIL22" s="57">
        <f t="shared" si="200"/>
        <v>0</v>
      </c>
      <c r="AIM22" s="57">
        <f t="shared" si="200"/>
        <v>0</v>
      </c>
      <c r="AIN22" s="57">
        <f t="shared" si="200"/>
        <v>0</v>
      </c>
      <c r="AIO22" s="57">
        <f t="shared" si="200"/>
        <v>0</v>
      </c>
      <c r="AIP22" s="57">
        <f t="shared" si="200"/>
        <v>0</v>
      </c>
      <c r="AIQ22" s="57">
        <f t="shared" si="200"/>
        <v>0</v>
      </c>
      <c r="AIR22" s="57">
        <f t="shared" si="200"/>
        <v>0</v>
      </c>
      <c r="AIS22" s="57">
        <f t="shared" si="200"/>
        <v>0</v>
      </c>
      <c r="AIT22" s="57">
        <f t="shared" si="200"/>
        <v>0</v>
      </c>
      <c r="AIU22" s="57">
        <f t="shared" si="200"/>
        <v>0</v>
      </c>
      <c r="AIV22" s="57">
        <f t="shared" si="200"/>
        <v>0</v>
      </c>
      <c r="AIW22" s="57">
        <f t="shared" si="200"/>
        <v>0</v>
      </c>
      <c r="AIX22" s="57">
        <f t="shared" si="200"/>
        <v>0</v>
      </c>
      <c r="AIY22" s="57">
        <f t="shared" si="200"/>
        <v>0</v>
      </c>
      <c r="AIZ22" s="57">
        <f t="shared" si="200"/>
        <v>0</v>
      </c>
      <c r="AJA22" s="57">
        <f t="shared" si="200"/>
        <v>0</v>
      </c>
      <c r="AJB22" s="57">
        <f t="shared" si="200"/>
        <v>0</v>
      </c>
      <c r="AJC22" s="57">
        <f t="shared" si="200"/>
        <v>0</v>
      </c>
      <c r="AJD22" s="57">
        <f t="shared" si="200"/>
        <v>0</v>
      </c>
      <c r="AJE22" s="57">
        <f t="shared" si="200"/>
        <v>0</v>
      </c>
      <c r="AJF22" s="57">
        <f t="shared" si="200"/>
        <v>0</v>
      </c>
      <c r="AJG22" s="57">
        <f t="shared" si="200"/>
        <v>0</v>
      </c>
      <c r="AJH22" s="57">
        <f t="shared" si="200"/>
        <v>0</v>
      </c>
      <c r="AJI22" s="57">
        <f t="shared" si="200"/>
        <v>0</v>
      </c>
      <c r="AJJ22" s="57">
        <f t="shared" si="200"/>
        <v>0</v>
      </c>
      <c r="AJK22" s="57">
        <f t="shared" si="200"/>
        <v>0</v>
      </c>
      <c r="AJL22" s="57">
        <f t="shared" si="200"/>
        <v>0</v>
      </c>
      <c r="AJM22" s="57">
        <f t="shared" si="200"/>
        <v>0</v>
      </c>
      <c r="AJN22" s="57">
        <f t="shared" si="200"/>
        <v>0</v>
      </c>
      <c r="AJO22" s="57">
        <f t="shared" si="200"/>
        <v>0</v>
      </c>
      <c r="AJP22" s="57">
        <f t="shared" si="200"/>
        <v>0</v>
      </c>
      <c r="AJQ22" s="57">
        <f t="shared" si="200"/>
        <v>0</v>
      </c>
      <c r="AJR22" s="57">
        <f t="shared" si="200"/>
        <v>0</v>
      </c>
      <c r="AJS22" s="57">
        <f t="shared" si="200"/>
        <v>0</v>
      </c>
      <c r="AJT22" s="57">
        <f t="shared" si="200"/>
        <v>0</v>
      </c>
      <c r="AJU22" s="57">
        <f t="shared" si="200"/>
        <v>0</v>
      </c>
      <c r="AJV22" s="57">
        <f t="shared" si="200"/>
        <v>0</v>
      </c>
      <c r="AJW22" s="57">
        <f t="shared" si="200"/>
        <v>0</v>
      </c>
      <c r="AJX22" s="57">
        <f t="shared" si="200"/>
        <v>0</v>
      </c>
      <c r="AJY22" s="57">
        <f t="shared" si="200"/>
        <v>0</v>
      </c>
      <c r="AJZ22" s="57">
        <f t="shared" si="200"/>
        <v>0</v>
      </c>
      <c r="AKA22" s="57">
        <f t="shared" si="200"/>
        <v>0</v>
      </c>
      <c r="AKB22" s="57">
        <f t="shared" si="200"/>
        <v>0</v>
      </c>
      <c r="AKC22" s="57">
        <f t="shared" ref="AKC22:AMN22" si="201">IF(AKC13="Acumulación",$C$7,0)++IF(AND(AKC13="Acumulación",AKC16=1),$C$6,0)</f>
        <v>0</v>
      </c>
      <c r="AKD22" s="57">
        <f t="shared" si="201"/>
        <v>0</v>
      </c>
      <c r="AKE22" s="57">
        <f t="shared" si="201"/>
        <v>0</v>
      </c>
      <c r="AKF22" s="57">
        <f t="shared" si="201"/>
        <v>0</v>
      </c>
      <c r="AKG22" s="57">
        <f t="shared" si="201"/>
        <v>0</v>
      </c>
      <c r="AKH22" s="57">
        <f t="shared" si="201"/>
        <v>0</v>
      </c>
      <c r="AKI22" s="57">
        <f t="shared" si="201"/>
        <v>0</v>
      </c>
      <c r="AKJ22" s="57">
        <f t="shared" si="201"/>
        <v>0</v>
      </c>
      <c r="AKK22" s="57">
        <f t="shared" si="201"/>
        <v>0</v>
      </c>
      <c r="AKL22" s="57">
        <f t="shared" si="201"/>
        <v>0</v>
      </c>
      <c r="AKM22" s="57">
        <f t="shared" si="201"/>
        <v>0</v>
      </c>
      <c r="AKN22" s="57">
        <f t="shared" si="201"/>
        <v>0</v>
      </c>
      <c r="AKO22" s="57">
        <f t="shared" si="201"/>
        <v>0</v>
      </c>
      <c r="AKP22" s="57">
        <f t="shared" si="201"/>
        <v>0</v>
      </c>
      <c r="AKQ22" s="57">
        <f t="shared" si="201"/>
        <v>0</v>
      </c>
      <c r="AKR22" s="57">
        <f t="shared" si="201"/>
        <v>0</v>
      </c>
      <c r="AKS22" s="57">
        <f t="shared" si="201"/>
        <v>0</v>
      </c>
      <c r="AKT22" s="57">
        <f t="shared" si="201"/>
        <v>0</v>
      </c>
      <c r="AKU22" s="57">
        <f t="shared" si="201"/>
        <v>0</v>
      </c>
      <c r="AKV22" s="57">
        <f t="shared" si="201"/>
        <v>0</v>
      </c>
      <c r="AKW22" s="57">
        <f t="shared" si="201"/>
        <v>0</v>
      </c>
      <c r="AKX22" s="57">
        <f t="shared" si="201"/>
        <v>0</v>
      </c>
      <c r="AKY22" s="57">
        <f t="shared" si="201"/>
        <v>0</v>
      </c>
      <c r="AKZ22" s="57">
        <f t="shared" si="201"/>
        <v>0</v>
      </c>
      <c r="ALA22" s="57">
        <f t="shared" si="201"/>
        <v>0</v>
      </c>
      <c r="ALB22" s="57">
        <f t="shared" si="201"/>
        <v>0</v>
      </c>
      <c r="ALC22" s="57">
        <f t="shared" si="201"/>
        <v>0</v>
      </c>
      <c r="ALD22" s="57">
        <f t="shared" si="201"/>
        <v>0</v>
      </c>
      <c r="ALE22" s="57">
        <f t="shared" si="201"/>
        <v>0</v>
      </c>
      <c r="ALF22" s="57">
        <f t="shared" si="201"/>
        <v>0</v>
      </c>
      <c r="ALG22" s="57">
        <f t="shared" si="201"/>
        <v>0</v>
      </c>
      <c r="ALH22" s="57">
        <f t="shared" si="201"/>
        <v>0</v>
      </c>
      <c r="ALI22" s="57">
        <f t="shared" si="201"/>
        <v>0</v>
      </c>
      <c r="ALJ22" s="57">
        <f t="shared" si="201"/>
        <v>0</v>
      </c>
      <c r="ALK22" s="57">
        <f t="shared" si="201"/>
        <v>0</v>
      </c>
      <c r="ALL22" s="57">
        <f t="shared" si="201"/>
        <v>0</v>
      </c>
      <c r="ALM22" s="57">
        <f t="shared" si="201"/>
        <v>0</v>
      </c>
      <c r="ALN22" s="57">
        <f t="shared" si="201"/>
        <v>0</v>
      </c>
      <c r="ALO22" s="57">
        <f t="shared" si="201"/>
        <v>0</v>
      </c>
      <c r="ALP22" s="57">
        <f t="shared" si="201"/>
        <v>0</v>
      </c>
      <c r="ALQ22" s="57">
        <f t="shared" si="201"/>
        <v>0</v>
      </c>
      <c r="ALR22" s="57">
        <f t="shared" si="201"/>
        <v>0</v>
      </c>
      <c r="ALS22" s="57">
        <f t="shared" si="201"/>
        <v>0</v>
      </c>
      <c r="ALT22" s="57">
        <f t="shared" si="201"/>
        <v>0</v>
      </c>
      <c r="ALU22" s="57">
        <f t="shared" si="201"/>
        <v>0</v>
      </c>
      <c r="ALV22" s="57">
        <f t="shared" si="201"/>
        <v>0</v>
      </c>
      <c r="ALW22" s="57">
        <f t="shared" si="201"/>
        <v>0</v>
      </c>
      <c r="ALX22" s="57">
        <f t="shared" si="201"/>
        <v>0</v>
      </c>
      <c r="ALY22" s="57">
        <f t="shared" si="201"/>
        <v>0</v>
      </c>
      <c r="ALZ22" s="57">
        <f t="shared" si="201"/>
        <v>0</v>
      </c>
      <c r="AMA22" s="57">
        <f t="shared" si="201"/>
        <v>0</v>
      </c>
      <c r="AMB22" s="57">
        <f t="shared" si="201"/>
        <v>0</v>
      </c>
      <c r="AMC22" s="57">
        <f t="shared" si="201"/>
        <v>0</v>
      </c>
      <c r="AMD22" s="57">
        <f t="shared" si="201"/>
        <v>0</v>
      </c>
      <c r="AME22" s="57">
        <f t="shared" si="201"/>
        <v>0</v>
      </c>
      <c r="AMF22" s="57">
        <f t="shared" si="201"/>
        <v>0</v>
      </c>
      <c r="AMG22" s="57">
        <f t="shared" si="201"/>
        <v>0</v>
      </c>
      <c r="AMH22" s="57">
        <f t="shared" si="201"/>
        <v>0</v>
      </c>
      <c r="AMI22" s="57">
        <f t="shared" si="201"/>
        <v>0</v>
      </c>
      <c r="AMJ22" s="57">
        <f t="shared" si="201"/>
        <v>0</v>
      </c>
      <c r="AMK22" s="57">
        <f t="shared" si="201"/>
        <v>0</v>
      </c>
      <c r="AML22" s="57">
        <f t="shared" si="201"/>
        <v>0</v>
      </c>
      <c r="AMM22" s="57">
        <f t="shared" si="201"/>
        <v>0</v>
      </c>
      <c r="AMN22" s="57">
        <f t="shared" si="201"/>
        <v>0</v>
      </c>
      <c r="AMO22" s="57">
        <f t="shared" ref="AMO22:AOQ22" si="202">IF(AMO13="Acumulación",$C$7,0)++IF(AND(AMO13="Acumulación",AMO16=1),$C$6,0)</f>
        <v>0</v>
      </c>
      <c r="AMP22" s="57">
        <f t="shared" si="202"/>
        <v>0</v>
      </c>
      <c r="AMQ22" s="57">
        <f t="shared" si="202"/>
        <v>0</v>
      </c>
      <c r="AMR22" s="57">
        <f t="shared" si="202"/>
        <v>0</v>
      </c>
      <c r="AMS22" s="57">
        <f t="shared" si="202"/>
        <v>0</v>
      </c>
      <c r="AMT22" s="57">
        <f t="shared" si="202"/>
        <v>0</v>
      </c>
      <c r="AMU22" s="57">
        <f t="shared" si="202"/>
        <v>0</v>
      </c>
      <c r="AMV22" s="57">
        <f t="shared" si="202"/>
        <v>0</v>
      </c>
      <c r="AMW22" s="57">
        <f t="shared" si="202"/>
        <v>0</v>
      </c>
      <c r="AMX22" s="57">
        <f t="shared" si="202"/>
        <v>0</v>
      </c>
      <c r="AMY22" s="57">
        <f t="shared" si="202"/>
        <v>0</v>
      </c>
      <c r="AMZ22" s="57">
        <f t="shared" si="202"/>
        <v>0</v>
      </c>
      <c r="ANA22" s="57">
        <f t="shared" si="202"/>
        <v>0</v>
      </c>
      <c r="ANB22" s="57">
        <f t="shared" si="202"/>
        <v>0</v>
      </c>
      <c r="ANC22" s="57">
        <f t="shared" si="202"/>
        <v>0</v>
      </c>
      <c r="AND22" s="57">
        <f t="shared" si="202"/>
        <v>0</v>
      </c>
      <c r="ANE22" s="57">
        <f t="shared" si="202"/>
        <v>0</v>
      </c>
      <c r="ANF22" s="57">
        <f t="shared" si="202"/>
        <v>0</v>
      </c>
      <c r="ANG22" s="57">
        <f t="shared" si="202"/>
        <v>0</v>
      </c>
      <c r="ANH22" s="57">
        <f t="shared" si="202"/>
        <v>0</v>
      </c>
      <c r="ANI22" s="57">
        <f t="shared" si="202"/>
        <v>0</v>
      </c>
      <c r="ANJ22" s="57">
        <f t="shared" si="202"/>
        <v>0</v>
      </c>
      <c r="ANK22" s="57">
        <f t="shared" si="202"/>
        <v>0</v>
      </c>
      <c r="ANL22" s="57">
        <f t="shared" si="202"/>
        <v>0</v>
      </c>
      <c r="ANM22" s="57">
        <f t="shared" si="202"/>
        <v>0</v>
      </c>
      <c r="ANN22" s="57">
        <f t="shared" si="202"/>
        <v>0</v>
      </c>
      <c r="ANO22" s="57">
        <f t="shared" si="202"/>
        <v>0</v>
      </c>
      <c r="ANP22" s="57">
        <f t="shared" si="202"/>
        <v>0</v>
      </c>
      <c r="ANQ22" s="57">
        <f t="shared" si="202"/>
        <v>0</v>
      </c>
      <c r="ANR22" s="57">
        <f t="shared" si="202"/>
        <v>0</v>
      </c>
      <c r="ANS22" s="57">
        <f t="shared" si="202"/>
        <v>0</v>
      </c>
      <c r="ANT22" s="57">
        <f t="shared" si="202"/>
        <v>0</v>
      </c>
      <c r="ANU22" s="57">
        <f t="shared" si="202"/>
        <v>0</v>
      </c>
      <c r="ANV22" s="57">
        <f t="shared" si="202"/>
        <v>0</v>
      </c>
      <c r="ANW22" s="57">
        <f t="shared" si="202"/>
        <v>0</v>
      </c>
      <c r="ANX22" s="57">
        <f t="shared" si="202"/>
        <v>0</v>
      </c>
      <c r="ANY22" s="57">
        <f t="shared" si="202"/>
        <v>0</v>
      </c>
      <c r="ANZ22" s="57">
        <f t="shared" si="202"/>
        <v>0</v>
      </c>
      <c r="AOA22" s="57">
        <f t="shared" si="202"/>
        <v>0</v>
      </c>
      <c r="AOB22" s="57">
        <f t="shared" si="202"/>
        <v>0</v>
      </c>
      <c r="AOC22" s="57">
        <f t="shared" si="202"/>
        <v>0</v>
      </c>
      <c r="AOD22" s="57">
        <f t="shared" si="202"/>
        <v>0</v>
      </c>
      <c r="AOE22" s="57">
        <f t="shared" si="202"/>
        <v>0</v>
      </c>
      <c r="AOF22" s="57">
        <f t="shared" si="202"/>
        <v>0</v>
      </c>
      <c r="AOG22" s="57">
        <f t="shared" si="202"/>
        <v>0</v>
      </c>
      <c r="AOH22" s="57">
        <f t="shared" si="202"/>
        <v>0</v>
      </c>
      <c r="AOI22" s="57">
        <f t="shared" si="202"/>
        <v>0</v>
      </c>
      <c r="AOJ22" s="57">
        <f t="shared" si="202"/>
        <v>0</v>
      </c>
      <c r="AOK22" s="57">
        <f t="shared" si="202"/>
        <v>0</v>
      </c>
      <c r="AOL22" s="57">
        <f t="shared" si="202"/>
        <v>0</v>
      </c>
      <c r="AOM22" s="57">
        <f t="shared" si="202"/>
        <v>0</v>
      </c>
      <c r="AON22" s="57">
        <f t="shared" si="202"/>
        <v>0</v>
      </c>
      <c r="AOO22" s="57">
        <f t="shared" si="202"/>
        <v>0</v>
      </c>
      <c r="AOP22" s="57">
        <f t="shared" si="202"/>
        <v>0</v>
      </c>
      <c r="AOQ22" s="57">
        <f t="shared" si="202"/>
        <v>0</v>
      </c>
    </row>
    <row r="23" spans="2:1083" x14ac:dyDescent="0.25">
      <c r="B23" s="42" t="s">
        <v>228</v>
      </c>
      <c r="C23" s="42"/>
      <c r="D23" s="57">
        <f t="shared" ref="D23:BO23" si="203">D28+D35+D42+D49+D56</f>
        <v>0</v>
      </c>
      <c r="E23" s="57">
        <f t="shared" si="203"/>
        <v>0</v>
      </c>
      <c r="F23" s="57">
        <f t="shared" si="203"/>
        <v>0</v>
      </c>
      <c r="G23" s="57">
        <f t="shared" si="203"/>
        <v>0</v>
      </c>
      <c r="H23" s="57">
        <f t="shared" si="203"/>
        <v>0</v>
      </c>
      <c r="I23" s="57">
        <f t="shared" si="203"/>
        <v>0</v>
      </c>
      <c r="J23" s="57">
        <f t="shared" si="203"/>
        <v>0</v>
      </c>
      <c r="K23" s="57">
        <f t="shared" si="203"/>
        <v>0</v>
      </c>
      <c r="L23" s="57">
        <f t="shared" si="203"/>
        <v>0</v>
      </c>
      <c r="M23" s="57">
        <f t="shared" si="203"/>
        <v>0</v>
      </c>
      <c r="N23" s="57">
        <f t="shared" si="203"/>
        <v>0</v>
      </c>
      <c r="O23" s="57">
        <f t="shared" si="203"/>
        <v>0</v>
      </c>
      <c r="P23" s="57">
        <f t="shared" si="203"/>
        <v>0</v>
      </c>
      <c r="Q23" s="57">
        <f t="shared" si="203"/>
        <v>0</v>
      </c>
      <c r="R23" s="57">
        <f t="shared" si="203"/>
        <v>0</v>
      </c>
      <c r="S23" s="57">
        <f t="shared" si="203"/>
        <v>0</v>
      </c>
      <c r="T23" s="57">
        <f t="shared" si="203"/>
        <v>0</v>
      </c>
      <c r="U23" s="57">
        <f t="shared" si="203"/>
        <v>0</v>
      </c>
      <c r="V23" s="57">
        <f t="shared" si="203"/>
        <v>0</v>
      </c>
      <c r="W23" s="57">
        <f t="shared" si="203"/>
        <v>0</v>
      </c>
      <c r="X23" s="57">
        <f t="shared" si="203"/>
        <v>0</v>
      </c>
      <c r="Y23" s="57">
        <f t="shared" si="203"/>
        <v>0</v>
      </c>
      <c r="Z23" s="57">
        <f t="shared" si="203"/>
        <v>0</v>
      </c>
      <c r="AA23" s="57">
        <f t="shared" si="203"/>
        <v>0</v>
      </c>
      <c r="AB23" s="57">
        <f t="shared" si="203"/>
        <v>0</v>
      </c>
      <c r="AC23" s="57">
        <f t="shared" si="203"/>
        <v>0</v>
      </c>
      <c r="AD23" s="57">
        <f t="shared" si="203"/>
        <v>0</v>
      </c>
      <c r="AE23" s="57">
        <f t="shared" si="203"/>
        <v>0</v>
      </c>
      <c r="AF23" s="57">
        <f t="shared" si="203"/>
        <v>0</v>
      </c>
      <c r="AG23" s="57">
        <f t="shared" si="203"/>
        <v>0</v>
      </c>
      <c r="AH23" s="57">
        <f t="shared" si="203"/>
        <v>0</v>
      </c>
      <c r="AI23" s="57">
        <f t="shared" si="203"/>
        <v>0</v>
      </c>
      <c r="AJ23" s="57">
        <f t="shared" si="203"/>
        <v>0</v>
      </c>
      <c r="AK23" s="57">
        <f t="shared" si="203"/>
        <v>0</v>
      </c>
      <c r="AL23" s="57">
        <f t="shared" si="203"/>
        <v>0</v>
      </c>
      <c r="AM23" s="57">
        <f t="shared" si="203"/>
        <v>0</v>
      </c>
      <c r="AN23" s="57">
        <f t="shared" si="203"/>
        <v>0</v>
      </c>
      <c r="AO23" s="57">
        <f t="shared" si="203"/>
        <v>0</v>
      </c>
      <c r="AP23" s="57">
        <f t="shared" si="203"/>
        <v>0</v>
      </c>
      <c r="AQ23" s="57">
        <f t="shared" si="203"/>
        <v>0</v>
      </c>
      <c r="AR23" s="57">
        <f t="shared" si="203"/>
        <v>0</v>
      </c>
      <c r="AS23" s="57">
        <f t="shared" si="203"/>
        <v>0</v>
      </c>
      <c r="AT23" s="57">
        <f t="shared" si="203"/>
        <v>0</v>
      </c>
      <c r="AU23" s="57">
        <f t="shared" si="203"/>
        <v>0</v>
      </c>
      <c r="AV23" s="57">
        <f t="shared" si="203"/>
        <v>0</v>
      </c>
      <c r="AW23" s="57">
        <f t="shared" si="203"/>
        <v>0</v>
      </c>
      <c r="AX23" s="57">
        <f t="shared" si="203"/>
        <v>0</v>
      </c>
      <c r="AY23" s="57">
        <f t="shared" si="203"/>
        <v>0</v>
      </c>
      <c r="AZ23" s="57">
        <f t="shared" si="203"/>
        <v>0</v>
      </c>
      <c r="BA23" s="57">
        <f t="shared" si="203"/>
        <v>0</v>
      </c>
      <c r="BB23" s="57">
        <f t="shared" si="203"/>
        <v>0</v>
      </c>
      <c r="BC23" s="57">
        <f t="shared" si="203"/>
        <v>0</v>
      </c>
      <c r="BD23" s="57">
        <f t="shared" si="203"/>
        <v>0</v>
      </c>
      <c r="BE23" s="57">
        <f t="shared" si="203"/>
        <v>0</v>
      </c>
      <c r="BF23" s="57">
        <f t="shared" si="203"/>
        <v>0</v>
      </c>
      <c r="BG23" s="57">
        <f t="shared" si="203"/>
        <v>0</v>
      </c>
      <c r="BH23" s="57">
        <f t="shared" si="203"/>
        <v>0</v>
      </c>
      <c r="BI23" s="57">
        <f t="shared" si="203"/>
        <v>0</v>
      </c>
      <c r="BJ23" s="57">
        <f t="shared" si="203"/>
        <v>0</v>
      </c>
      <c r="BK23" s="57">
        <f t="shared" si="203"/>
        <v>0</v>
      </c>
      <c r="BL23" s="57">
        <f t="shared" si="203"/>
        <v>0</v>
      </c>
      <c r="BM23" s="57">
        <f t="shared" si="203"/>
        <v>0</v>
      </c>
      <c r="BN23" s="57">
        <f t="shared" si="203"/>
        <v>0</v>
      </c>
      <c r="BO23" s="57">
        <f t="shared" si="203"/>
        <v>0</v>
      </c>
      <c r="BP23" s="57">
        <f t="shared" ref="BP23:EA23" si="204">BP28+BP35+BP42+BP49+BP56</f>
        <v>0</v>
      </c>
      <c r="BQ23" s="57">
        <f t="shared" si="204"/>
        <v>0</v>
      </c>
      <c r="BR23" s="57">
        <f t="shared" si="204"/>
        <v>0</v>
      </c>
      <c r="BS23" s="57">
        <f t="shared" si="204"/>
        <v>0</v>
      </c>
      <c r="BT23" s="57">
        <f t="shared" si="204"/>
        <v>0</v>
      </c>
      <c r="BU23" s="57">
        <f t="shared" si="204"/>
        <v>0</v>
      </c>
      <c r="BV23" s="57">
        <f t="shared" si="204"/>
        <v>0</v>
      </c>
      <c r="BW23" s="57">
        <f t="shared" si="204"/>
        <v>0</v>
      </c>
      <c r="BX23" s="57">
        <f t="shared" si="204"/>
        <v>0</v>
      </c>
      <c r="BY23" s="57">
        <f t="shared" si="204"/>
        <v>0</v>
      </c>
      <c r="BZ23" s="57">
        <f t="shared" si="204"/>
        <v>0</v>
      </c>
      <c r="CA23" s="57">
        <f t="shared" si="204"/>
        <v>0</v>
      </c>
      <c r="CB23" s="57">
        <f t="shared" si="204"/>
        <v>0</v>
      </c>
      <c r="CC23" s="57">
        <f t="shared" si="204"/>
        <v>0</v>
      </c>
      <c r="CD23" s="57">
        <f t="shared" si="204"/>
        <v>0</v>
      </c>
      <c r="CE23" s="57">
        <f t="shared" si="204"/>
        <v>0</v>
      </c>
      <c r="CF23" s="57">
        <f t="shared" si="204"/>
        <v>0</v>
      </c>
      <c r="CG23" s="57">
        <f t="shared" si="204"/>
        <v>0</v>
      </c>
      <c r="CH23" s="57">
        <f t="shared" si="204"/>
        <v>0</v>
      </c>
      <c r="CI23" s="57">
        <f t="shared" si="204"/>
        <v>0</v>
      </c>
      <c r="CJ23" s="57">
        <f t="shared" si="204"/>
        <v>0</v>
      </c>
      <c r="CK23" s="57">
        <f t="shared" si="204"/>
        <v>0</v>
      </c>
      <c r="CL23" s="57">
        <f t="shared" si="204"/>
        <v>0</v>
      </c>
      <c r="CM23" s="57">
        <f t="shared" si="204"/>
        <v>0</v>
      </c>
      <c r="CN23" s="57">
        <f t="shared" si="204"/>
        <v>0</v>
      </c>
      <c r="CO23" s="57">
        <f t="shared" si="204"/>
        <v>0</v>
      </c>
      <c r="CP23" s="57">
        <f t="shared" si="204"/>
        <v>0</v>
      </c>
      <c r="CQ23" s="57">
        <f t="shared" si="204"/>
        <v>0</v>
      </c>
      <c r="CR23" s="57">
        <f t="shared" si="204"/>
        <v>0</v>
      </c>
      <c r="CS23" s="57">
        <f t="shared" si="204"/>
        <v>0</v>
      </c>
      <c r="CT23" s="57">
        <f t="shared" si="204"/>
        <v>0</v>
      </c>
      <c r="CU23" s="57">
        <f t="shared" si="204"/>
        <v>0</v>
      </c>
      <c r="CV23" s="57">
        <f t="shared" si="204"/>
        <v>0</v>
      </c>
      <c r="CW23" s="57">
        <f t="shared" si="204"/>
        <v>0</v>
      </c>
      <c r="CX23" s="57">
        <f t="shared" si="204"/>
        <v>0</v>
      </c>
      <c r="CY23" s="57">
        <f t="shared" si="204"/>
        <v>0</v>
      </c>
      <c r="CZ23" s="57">
        <f t="shared" si="204"/>
        <v>0</v>
      </c>
      <c r="DA23" s="57">
        <f t="shared" si="204"/>
        <v>0</v>
      </c>
      <c r="DB23" s="57">
        <f t="shared" si="204"/>
        <v>0</v>
      </c>
      <c r="DC23" s="57">
        <f t="shared" si="204"/>
        <v>0</v>
      </c>
      <c r="DD23" s="57">
        <f t="shared" si="204"/>
        <v>0</v>
      </c>
      <c r="DE23" s="57">
        <f t="shared" si="204"/>
        <v>0</v>
      </c>
      <c r="DF23" s="57">
        <f t="shared" si="204"/>
        <v>0</v>
      </c>
      <c r="DG23" s="57">
        <f t="shared" si="204"/>
        <v>0</v>
      </c>
      <c r="DH23" s="57">
        <f t="shared" si="204"/>
        <v>0</v>
      </c>
      <c r="DI23" s="57">
        <f t="shared" si="204"/>
        <v>0</v>
      </c>
      <c r="DJ23" s="57">
        <f t="shared" si="204"/>
        <v>0</v>
      </c>
      <c r="DK23" s="57">
        <f t="shared" si="204"/>
        <v>0</v>
      </c>
      <c r="DL23" s="57">
        <f t="shared" si="204"/>
        <v>0</v>
      </c>
      <c r="DM23" s="57">
        <f t="shared" si="204"/>
        <v>0</v>
      </c>
      <c r="DN23" s="57">
        <f t="shared" si="204"/>
        <v>0</v>
      </c>
      <c r="DO23" s="57">
        <f t="shared" si="204"/>
        <v>0</v>
      </c>
      <c r="DP23" s="57">
        <f t="shared" si="204"/>
        <v>0</v>
      </c>
      <c r="DQ23" s="57">
        <f t="shared" si="204"/>
        <v>0</v>
      </c>
      <c r="DR23" s="57">
        <f t="shared" si="204"/>
        <v>0</v>
      </c>
      <c r="DS23" s="57">
        <f t="shared" si="204"/>
        <v>0</v>
      </c>
      <c r="DT23" s="57">
        <f t="shared" si="204"/>
        <v>0</v>
      </c>
      <c r="DU23" s="57">
        <f t="shared" si="204"/>
        <v>0</v>
      </c>
      <c r="DV23" s="57">
        <f t="shared" si="204"/>
        <v>0</v>
      </c>
      <c r="DW23" s="57">
        <f t="shared" si="204"/>
        <v>0</v>
      </c>
      <c r="DX23" s="57">
        <f t="shared" si="204"/>
        <v>0</v>
      </c>
      <c r="DY23" s="57">
        <f t="shared" si="204"/>
        <v>0</v>
      </c>
      <c r="DZ23" s="57">
        <f t="shared" si="204"/>
        <v>0</v>
      </c>
      <c r="EA23" s="57">
        <f t="shared" si="204"/>
        <v>0</v>
      </c>
      <c r="EB23" s="57">
        <f t="shared" ref="EB23:GM23" si="205">EB28+EB35+EB42+EB49+EB56</f>
        <v>0</v>
      </c>
      <c r="EC23" s="57">
        <f t="shared" si="205"/>
        <v>0</v>
      </c>
      <c r="ED23" s="57">
        <f t="shared" si="205"/>
        <v>0</v>
      </c>
      <c r="EE23" s="57">
        <f t="shared" si="205"/>
        <v>0</v>
      </c>
      <c r="EF23" s="57">
        <f t="shared" si="205"/>
        <v>0</v>
      </c>
      <c r="EG23" s="57">
        <f t="shared" si="205"/>
        <v>0</v>
      </c>
      <c r="EH23" s="57">
        <f t="shared" si="205"/>
        <v>0</v>
      </c>
      <c r="EI23" s="57">
        <f t="shared" si="205"/>
        <v>0</v>
      </c>
      <c r="EJ23" s="57">
        <f t="shared" si="205"/>
        <v>0</v>
      </c>
      <c r="EK23" s="57">
        <f t="shared" si="205"/>
        <v>0</v>
      </c>
      <c r="EL23" s="57">
        <f t="shared" si="205"/>
        <v>0</v>
      </c>
      <c r="EM23" s="57">
        <f t="shared" si="205"/>
        <v>0</v>
      </c>
      <c r="EN23" s="57">
        <f t="shared" si="205"/>
        <v>0</v>
      </c>
      <c r="EO23" s="57">
        <f t="shared" si="205"/>
        <v>0</v>
      </c>
      <c r="EP23" s="57">
        <f t="shared" si="205"/>
        <v>0</v>
      </c>
      <c r="EQ23" s="57">
        <f t="shared" si="205"/>
        <v>0</v>
      </c>
      <c r="ER23" s="57">
        <f t="shared" si="205"/>
        <v>0</v>
      </c>
      <c r="ES23" s="57">
        <f t="shared" si="205"/>
        <v>0</v>
      </c>
      <c r="ET23" s="57">
        <f t="shared" si="205"/>
        <v>0</v>
      </c>
      <c r="EU23" s="57">
        <f t="shared" si="205"/>
        <v>0</v>
      </c>
      <c r="EV23" s="57">
        <f t="shared" si="205"/>
        <v>0</v>
      </c>
      <c r="EW23" s="57">
        <f t="shared" si="205"/>
        <v>0</v>
      </c>
      <c r="EX23" s="57">
        <f t="shared" si="205"/>
        <v>0</v>
      </c>
      <c r="EY23" s="57">
        <f t="shared" si="205"/>
        <v>0</v>
      </c>
      <c r="EZ23" s="57">
        <f t="shared" si="205"/>
        <v>0</v>
      </c>
      <c r="FA23" s="57">
        <f t="shared" si="205"/>
        <v>0</v>
      </c>
      <c r="FB23" s="57">
        <f t="shared" si="205"/>
        <v>0</v>
      </c>
      <c r="FC23" s="57">
        <f t="shared" si="205"/>
        <v>0</v>
      </c>
      <c r="FD23" s="57">
        <f t="shared" si="205"/>
        <v>0</v>
      </c>
      <c r="FE23" s="57">
        <f t="shared" si="205"/>
        <v>0</v>
      </c>
      <c r="FF23" s="57">
        <f t="shared" si="205"/>
        <v>0</v>
      </c>
      <c r="FG23" s="57">
        <f t="shared" si="205"/>
        <v>0</v>
      </c>
      <c r="FH23" s="57">
        <f t="shared" si="205"/>
        <v>0</v>
      </c>
      <c r="FI23" s="57">
        <f t="shared" si="205"/>
        <v>0</v>
      </c>
      <c r="FJ23" s="57">
        <f t="shared" si="205"/>
        <v>0</v>
      </c>
      <c r="FK23" s="57">
        <f t="shared" si="205"/>
        <v>0</v>
      </c>
      <c r="FL23" s="57">
        <f t="shared" si="205"/>
        <v>0</v>
      </c>
      <c r="FM23" s="57">
        <f t="shared" si="205"/>
        <v>0</v>
      </c>
      <c r="FN23" s="57">
        <f t="shared" si="205"/>
        <v>0</v>
      </c>
      <c r="FO23" s="57">
        <f t="shared" si="205"/>
        <v>0</v>
      </c>
      <c r="FP23" s="57">
        <f t="shared" si="205"/>
        <v>0</v>
      </c>
      <c r="FQ23" s="57">
        <f t="shared" si="205"/>
        <v>0</v>
      </c>
      <c r="FR23" s="57">
        <f t="shared" si="205"/>
        <v>0</v>
      </c>
      <c r="FS23" s="57">
        <f t="shared" si="205"/>
        <v>0</v>
      </c>
      <c r="FT23" s="57">
        <f t="shared" si="205"/>
        <v>0</v>
      </c>
      <c r="FU23" s="57">
        <f t="shared" si="205"/>
        <v>0</v>
      </c>
      <c r="FV23" s="57">
        <f t="shared" si="205"/>
        <v>0</v>
      </c>
      <c r="FW23" s="57">
        <f t="shared" si="205"/>
        <v>0</v>
      </c>
      <c r="FX23" s="57">
        <f t="shared" si="205"/>
        <v>0</v>
      </c>
      <c r="FY23" s="57">
        <f t="shared" si="205"/>
        <v>0</v>
      </c>
      <c r="FZ23" s="57">
        <f t="shared" si="205"/>
        <v>0</v>
      </c>
      <c r="GA23" s="57">
        <f t="shared" si="205"/>
        <v>0</v>
      </c>
      <c r="GB23" s="57">
        <f t="shared" si="205"/>
        <v>0</v>
      </c>
      <c r="GC23" s="57">
        <f t="shared" si="205"/>
        <v>0</v>
      </c>
      <c r="GD23" s="57">
        <f t="shared" si="205"/>
        <v>0</v>
      </c>
      <c r="GE23" s="57">
        <f t="shared" si="205"/>
        <v>0</v>
      </c>
      <c r="GF23" s="57">
        <f t="shared" si="205"/>
        <v>0</v>
      </c>
      <c r="GG23" s="57">
        <f t="shared" si="205"/>
        <v>0</v>
      </c>
      <c r="GH23" s="57">
        <f t="shared" si="205"/>
        <v>0</v>
      </c>
      <c r="GI23" s="57">
        <f t="shared" si="205"/>
        <v>0</v>
      </c>
      <c r="GJ23" s="57">
        <f t="shared" si="205"/>
        <v>0</v>
      </c>
      <c r="GK23" s="57">
        <f t="shared" si="205"/>
        <v>0</v>
      </c>
      <c r="GL23" s="57">
        <f t="shared" si="205"/>
        <v>0</v>
      </c>
      <c r="GM23" s="57">
        <f t="shared" si="205"/>
        <v>0</v>
      </c>
      <c r="GN23" s="57">
        <f t="shared" ref="GN23:IY23" si="206">GN28+GN35+GN42+GN49+GN56</f>
        <v>0</v>
      </c>
      <c r="GO23" s="57">
        <f t="shared" si="206"/>
        <v>0</v>
      </c>
      <c r="GP23" s="57">
        <f t="shared" si="206"/>
        <v>0</v>
      </c>
      <c r="GQ23" s="57">
        <f t="shared" si="206"/>
        <v>0</v>
      </c>
      <c r="GR23" s="57">
        <f t="shared" si="206"/>
        <v>0</v>
      </c>
      <c r="GS23" s="57">
        <f t="shared" si="206"/>
        <v>0</v>
      </c>
      <c r="GT23" s="57">
        <f t="shared" si="206"/>
        <v>0</v>
      </c>
      <c r="GU23" s="57">
        <f t="shared" si="206"/>
        <v>0</v>
      </c>
      <c r="GV23" s="57">
        <f t="shared" si="206"/>
        <v>0</v>
      </c>
      <c r="GW23" s="57">
        <f t="shared" si="206"/>
        <v>0</v>
      </c>
      <c r="GX23" s="57">
        <f t="shared" si="206"/>
        <v>0</v>
      </c>
      <c r="GY23" s="57">
        <f t="shared" si="206"/>
        <v>0</v>
      </c>
      <c r="GZ23" s="57">
        <f t="shared" si="206"/>
        <v>0</v>
      </c>
      <c r="HA23" s="57">
        <f t="shared" si="206"/>
        <v>0</v>
      </c>
      <c r="HB23" s="57">
        <f t="shared" si="206"/>
        <v>0</v>
      </c>
      <c r="HC23" s="57">
        <f t="shared" si="206"/>
        <v>0</v>
      </c>
      <c r="HD23" s="57">
        <f t="shared" si="206"/>
        <v>0</v>
      </c>
      <c r="HE23" s="57">
        <f t="shared" si="206"/>
        <v>0</v>
      </c>
      <c r="HF23" s="57">
        <f t="shared" si="206"/>
        <v>0</v>
      </c>
      <c r="HG23" s="57">
        <f t="shared" si="206"/>
        <v>0</v>
      </c>
      <c r="HH23" s="57">
        <f t="shared" si="206"/>
        <v>0</v>
      </c>
      <c r="HI23" s="57">
        <f t="shared" si="206"/>
        <v>0</v>
      </c>
      <c r="HJ23" s="57">
        <f t="shared" si="206"/>
        <v>0</v>
      </c>
      <c r="HK23" s="57">
        <f t="shared" si="206"/>
        <v>0</v>
      </c>
      <c r="HL23" s="57">
        <f t="shared" si="206"/>
        <v>0</v>
      </c>
      <c r="HM23" s="57">
        <f t="shared" si="206"/>
        <v>0</v>
      </c>
      <c r="HN23" s="57">
        <f t="shared" si="206"/>
        <v>0</v>
      </c>
      <c r="HO23" s="57">
        <f t="shared" si="206"/>
        <v>0</v>
      </c>
      <c r="HP23" s="57">
        <f t="shared" si="206"/>
        <v>0</v>
      </c>
      <c r="HQ23" s="57">
        <f t="shared" si="206"/>
        <v>0</v>
      </c>
      <c r="HR23" s="57">
        <f t="shared" si="206"/>
        <v>0</v>
      </c>
      <c r="HS23" s="57">
        <f t="shared" si="206"/>
        <v>0</v>
      </c>
      <c r="HT23" s="57">
        <f t="shared" si="206"/>
        <v>0</v>
      </c>
      <c r="HU23" s="57">
        <f t="shared" si="206"/>
        <v>0</v>
      </c>
      <c r="HV23" s="57">
        <f t="shared" si="206"/>
        <v>0</v>
      </c>
      <c r="HW23" s="57">
        <f t="shared" si="206"/>
        <v>0</v>
      </c>
      <c r="HX23" s="57">
        <f t="shared" si="206"/>
        <v>0</v>
      </c>
      <c r="HY23" s="57">
        <f t="shared" si="206"/>
        <v>0</v>
      </c>
      <c r="HZ23" s="57">
        <f t="shared" si="206"/>
        <v>0</v>
      </c>
      <c r="IA23" s="57">
        <f t="shared" si="206"/>
        <v>0</v>
      </c>
      <c r="IB23" s="57">
        <f t="shared" si="206"/>
        <v>0</v>
      </c>
      <c r="IC23" s="57">
        <f t="shared" si="206"/>
        <v>0</v>
      </c>
      <c r="ID23" s="57">
        <f t="shared" si="206"/>
        <v>0</v>
      </c>
      <c r="IE23" s="57">
        <f t="shared" si="206"/>
        <v>0</v>
      </c>
      <c r="IF23" s="57">
        <f t="shared" si="206"/>
        <v>0</v>
      </c>
      <c r="IG23" s="57">
        <f t="shared" si="206"/>
        <v>0</v>
      </c>
      <c r="IH23" s="57">
        <f t="shared" si="206"/>
        <v>0</v>
      </c>
      <c r="II23" s="57">
        <f t="shared" si="206"/>
        <v>0</v>
      </c>
      <c r="IJ23" s="57">
        <f t="shared" si="206"/>
        <v>0</v>
      </c>
      <c r="IK23" s="57">
        <f t="shared" si="206"/>
        <v>0</v>
      </c>
      <c r="IL23" s="57">
        <f t="shared" si="206"/>
        <v>0</v>
      </c>
      <c r="IM23" s="57">
        <f t="shared" si="206"/>
        <v>0</v>
      </c>
      <c r="IN23" s="57">
        <f t="shared" si="206"/>
        <v>0</v>
      </c>
      <c r="IO23" s="57">
        <f t="shared" si="206"/>
        <v>0</v>
      </c>
      <c r="IP23" s="57">
        <f t="shared" si="206"/>
        <v>0</v>
      </c>
      <c r="IQ23" s="57">
        <f t="shared" si="206"/>
        <v>0</v>
      </c>
      <c r="IR23" s="57">
        <f t="shared" si="206"/>
        <v>0</v>
      </c>
      <c r="IS23" s="57">
        <f t="shared" si="206"/>
        <v>0</v>
      </c>
      <c r="IT23" s="57">
        <f t="shared" si="206"/>
        <v>0</v>
      </c>
      <c r="IU23" s="57">
        <f t="shared" si="206"/>
        <v>0</v>
      </c>
      <c r="IV23" s="57">
        <f t="shared" si="206"/>
        <v>0</v>
      </c>
      <c r="IW23" s="57">
        <f t="shared" si="206"/>
        <v>0</v>
      </c>
      <c r="IX23" s="57">
        <f t="shared" si="206"/>
        <v>0</v>
      </c>
      <c r="IY23" s="57">
        <f t="shared" si="206"/>
        <v>0</v>
      </c>
      <c r="IZ23" s="57">
        <f t="shared" ref="IZ23:LK23" si="207">IZ28+IZ35+IZ42+IZ49+IZ56</f>
        <v>0</v>
      </c>
      <c r="JA23" s="57">
        <f t="shared" si="207"/>
        <v>0</v>
      </c>
      <c r="JB23" s="57">
        <f t="shared" si="207"/>
        <v>0</v>
      </c>
      <c r="JC23" s="57">
        <f t="shared" si="207"/>
        <v>0</v>
      </c>
      <c r="JD23" s="57">
        <f t="shared" si="207"/>
        <v>0</v>
      </c>
      <c r="JE23" s="57">
        <f t="shared" si="207"/>
        <v>0</v>
      </c>
      <c r="JF23" s="57">
        <f t="shared" si="207"/>
        <v>0</v>
      </c>
      <c r="JG23" s="57">
        <f t="shared" si="207"/>
        <v>0</v>
      </c>
      <c r="JH23" s="57">
        <f t="shared" si="207"/>
        <v>0</v>
      </c>
      <c r="JI23" s="57">
        <f t="shared" si="207"/>
        <v>0</v>
      </c>
      <c r="JJ23" s="57">
        <f t="shared" si="207"/>
        <v>0</v>
      </c>
      <c r="JK23" s="57">
        <f t="shared" si="207"/>
        <v>0</v>
      </c>
      <c r="JL23" s="57">
        <f t="shared" si="207"/>
        <v>0</v>
      </c>
      <c r="JM23" s="57">
        <f t="shared" si="207"/>
        <v>0</v>
      </c>
      <c r="JN23" s="57">
        <f t="shared" si="207"/>
        <v>0</v>
      </c>
      <c r="JO23" s="57">
        <f t="shared" si="207"/>
        <v>0</v>
      </c>
      <c r="JP23" s="57">
        <f t="shared" si="207"/>
        <v>0</v>
      </c>
      <c r="JQ23" s="57">
        <f t="shared" si="207"/>
        <v>0</v>
      </c>
      <c r="JR23" s="57">
        <f t="shared" si="207"/>
        <v>0</v>
      </c>
      <c r="JS23" s="57">
        <f t="shared" si="207"/>
        <v>0</v>
      </c>
      <c r="JT23" s="57">
        <f t="shared" si="207"/>
        <v>0</v>
      </c>
      <c r="JU23" s="57">
        <f t="shared" si="207"/>
        <v>0</v>
      </c>
      <c r="JV23" s="57">
        <f t="shared" si="207"/>
        <v>0</v>
      </c>
      <c r="JW23" s="57">
        <f t="shared" si="207"/>
        <v>0</v>
      </c>
      <c r="JX23" s="57">
        <f t="shared" si="207"/>
        <v>0</v>
      </c>
      <c r="JY23" s="57">
        <f t="shared" si="207"/>
        <v>0</v>
      </c>
      <c r="JZ23" s="57">
        <f t="shared" si="207"/>
        <v>0</v>
      </c>
      <c r="KA23" s="57">
        <f t="shared" si="207"/>
        <v>0</v>
      </c>
      <c r="KB23" s="57">
        <f t="shared" si="207"/>
        <v>0</v>
      </c>
      <c r="KC23" s="57">
        <f t="shared" si="207"/>
        <v>0</v>
      </c>
      <c r="KD23" s="57">
        <f t="shared" si="207"/>
        <v>0</v>
      </c>
      <c r="KE23" s="57">
        <f t="shared" si="207"/>
        <v>0</v>
      </c>
      <c r="KF23" s="57">
        <f t="shared" si="207"/>
        <v>0</v>
      </c>
      <c r="KG23" s="57">
        <f t="shared" si="207"/>
        <v>0</v>
      </c>
      <c r="KH23" s="57">
        <f t="shared" si="207"/>
        <v>0</v>
      </c>
      <c r="KI23" s="57">
        <f t="shared" si="207"/>
        <v>0</v>
      </c>
      <c r="KJ23" s="57">
        <f t="shared" si="207"/>
        <v>0</v>
      </c>
      <c r="KK23" s="57">
        <f t="shared" si="207"/>
        <v>0</v>
      </c>
      <c r="KL23" s="57">
        <f t="shared" si="207"/>
        <v>0</v>
      </c>
      <c r="KM23" s="57">
        <f t="shared" si="207"/>
        <v>0</v>
      </c>
      <c r="KN23" s="57">
        <f t="shared" si="207"/>
        <v>0</v>
      </c>
      <c r="KO23" s="57">
        <f t="shared" si="207"/>
        <v>0</v>
      </c>
      <c r="KP23" s="57">
        <f t="shared" si="207"/>
        <v>0</v>
      </c>
      <c r="KQ23" s="57">
        <f t="shared" si="207"/>
        <v>0</v>
      </c>
      <c r="KR23" s="57">
        <f t="shared" si="207"/>
        <v>0</v>
      </c>
      <c r="KS23" s="57">
        <f t="shared" si="207"/>
        <v>0</v>
      </c>
      <c r="KT23" s="57">
        <f t="shared" si="207"/>
        <v>0</v>
      </c>
      <c r="KU23" s="57">
        <f t="shared" si="207"/>
        <v>0</v>
      </c>
      <c r="KV23" s="57">
        <f t="shared" si="207"/>
        <v>0</v>
      </c>
      <c r="KW23" s="57">
        <f t="shared" si="207"/>
        <v>0</v>
      </c>
      <c r="KX23" s="57">
        <f t="shared" si="207"/>
        <v>0</v>
      </c>
      <c r="KY23" s="57">
        <f t="shared" si="207"/>
        <v>0</v>
      </c>
      <c r="KZ23" s="57">
        <f t="shared" si="207"/>
        <v>0</v>
      </c>
      <c r="LA23" s="57">
        <f t="shared" si="207"/>
        <v>0</v>
      </c>
      <c r="LB23" s="57">
        <f t="shared" si="207"/>
        <v>0</v>
      </c>
      <c r="LC23" s="57">
        <f t="shared" si="207"/>
        <v>0</v>
      </c>
      <c r="LD23" s="57">
        <f t="shared" si="207"/>
        <v>0</v>
      </c>
      <c r="LE23" s="57">
        <f t="shared" si="207"/>
        <v>0</v>
      </c>
      <c r="LF23" s="57">
        <f t="shared" si="207"/>
        <v>0</v>
      </c>
      <c r="LG23" s="57">
        <f t="shared" si="207"/>
        <v>0</v>
      </c>
      <c r="LH23" s="57">
        <f t="shared" si="207"/>
        <v>0</v>
      </c>
      <c r="LI23" s="57">
        <f t="shared" si="207"/>
        <v>0</v>
      </c>
      <c r="LJ23" s="57">
        <f t="shared" si="207"/>
        <v>0</v>
      </c>
      <c r="LK23" s="57">
        <f t="shared" si="207"/>
        <v>0</v>
      </c>
      <c r="LL23" s="57">
        <f t="shared" ref="LL23:NW23" si="208">LL28+LL35+LL42+LL49+LL56</f>
        <v>0</v>
      </c>
      <c r="LM23" s="57">
        <f t="shared" si="208"/>
        <v>0</v>
      </c>
      <c r="LN23" s="57">
        <f t="shared" si="208"/>
        <v>0</v>
      </c>
      <c r="LO23" s="57">
        <f t="shared" si="208"/>
        <v>0</v>
      </c>
      <c r="LP23" s="57">
        <f t="shared" si="208"/>
        <v>0</v>
      </c>
      <c r="LQ23" s="57">
        <f t="shared" si="208"/>
        <v>0</v>
      </c>
      <c r="LR23" s="57">
        <f t="shared" si="208"/>
        <v>0</v>
      </c>
      <c r="LS23" s="57">
        <f t="shared" si="208"/>
        <v>0</v>
      </c>
      <c r="LT23" s="57">
        <f t="shared" si="208"/>
        <v>0</v>
      </c>
      <c r="LU23" s="57">
        <f t="shared" si="208"/>
        <v>0</v>
      </c>
      <c r="LV23" s="57">
        <f t="shared" si="208"/>
        <v>0</v>
      </c>
      <c r="LW23" s="57">
        <f t="shared" si="208"/>
        <v>0</v>
      </c>
      <c r="LX23" s="57">
        <f t="shared" si="208"/>
        <v>0</v>
      </c>
      <c r="LY23" s="57">
        <f t="shared" si="208"/>
        <v>0</v>
      </c>
      <c r="LZ23" s="57">
        <f t="shared" si="208"/>
        <v>0</v>
      </c>
      <c r="MA23" s="57">
        <f t="shared" si="208"/>
        <v>0</v>
      </c>
      <c r="MB23" s="57">
        <f t="shared" si="208"/>
        <v>0</v>
      </c>
      <c r="MC23" s="57">
        <f t="shared" si="208"/>
        <v>0</v>
      </c>
      <c r="MD23" s="57">
        <f t="shared" si="208"/>
        <v>0</v>
      </c>
      <c r="ME23" s="57">
        <f t="shared" si="208"/>
        <v>0</v>
      </c>
      <c r="MF23" s="57">
        <f t="shared" si="208"/>
        <v>0</v>
      </c>
      <c r="MG23" s="57">
        <f t="shared" si="208"/>
        <v>0</v>
      </c>
      <c r="MH23" s="57">
        <f t="shared" si="208"/>
        <v>0</v>
      </c>
      <c r="MI23" s="57">
        <f t="shared" si="208"/>
        <v>0</v>
      </c>
      <c r="MJ23" s="57">
        <f t="shared" si="208"/>
        <v>0</v>
      </c>
      <c r="MK23" s="57">
        <f t="shared" si="208"/>
        <v>0</v>
      </c>
      <c r="ML23" s="57">
        <f t="shared" si="208"/>
        <v>0</v>
      </c>
      <c r="MM23" s="57">
        <f t="shared" si="208"/>
        <v>0</v>
      </c>
      <c r="MN23" s="57">
        <f t="shared" si="208"/>
        <v>0</v>
      </c>
      <c r="MO23" s="57">
        <f t="shared" si="208"/>
        <v>0</v>
      </c>
      <c r="MP23" s="57">
        <f t="shared" si="208"/>
        <v>0</v>
      </c>
      <c r="MQ23" s="57">
        <f t="shared" si="208"/>
        <v>0</v>
      </c>
      <c r="MR23" s="57">
        <f t="shared" si="208"/>
        <v>0</v>
      </c>
      <c r="MS23" s="57">
        <f t="shared" si="208"/>
        <v>0</v>
      </c>
      <c r="MT23" s="57">
        <f t="shared" si="208"/>
        <v>0</v>
      </c>
      <c r="MU23" s="57">
        <f t="shared" si="208"/>
        <v>0</v>
      </c>
      <c r="MV23" s="57">
        <f t="shared" si="208"/>
        <v>0</v>
      </c>
      <c r="MW23" s="57">
        <f t="shared" si="208"/>
        <v>0</v>
      </c>
      <c r="MX23" s="57">
        <f t="shared" si="208"/>
        <v>0</v>
      </c>
      <c r="MY23" s="57">
        <f t="shared" si="208"/>
        <v>0</v>
      </c>
      <c r="MZ23" s="57">
        <f t="shared" si="208"/>
        <v>0</v>
      </c>
      <c r="NA23" s="57">
        <f t="shared" si="208"/>
        <v>0</v>
      </c>
      <c r="NB23" s="57">
        <f t="shared" si="208"/>
        <v>0</v>
      </c>
      <c r="NC23" s="57">
        <f t="shared" si="208"/>
        <v>0</v>
      </c>
      <c r="ND23" s="57">
        <f t="shared" si="208"/>
        <v>0</v>
      </c>
      <c r="NE23" s="57">
        <f t="shared" si="208"/>
        <v>0</v>
      </c>
      <c r="NF23" s="57">
        <f t="shared" si="208"/>
        <v>0</v>
      </c>
      <c r="NG23" s="57">
        <f t="shared" si="208"/>
        <v>0</v>
      </c>
      <c r="NH23" s="57">
        <f t="shared" si="208"/>
        <v>0</v>
      </c>
      <c r="NI23" s="57">
        <f t="shared" si="208"/>
        <v>0</v>
      </c>
      <c r="NJ23" s="57">
        <f t="shared" si="208"/>
        <v>0</v>
      </c>
      <c r="NK23" s="57">
        <f t="shared" si="208"/>
        <v>0</v>
      </c>
      <c r="NL23" s="57">
        <f t="shared" si="208"/>
        <v>0</v>
      </c>
      <c r="NM23" s="57">
        <f t="shared" si="208"/>
        <v>0</v>
      </c>
      <c r="NN23" s="57">
        <f t="shared" si="208"/>
        <v>0</v>
      </c>
      <c r="NO23" s="57">
        <f t="shared" si="208"/>
        <v>0</v>
      </c>
      <c r="NP23" s="57">
        <f t="shared" si="208"/>
        <v>0</v>
      </c>
      <c r="NQ23" s="57">
        <f t="shared" si="208"/>
        <v>0</v>
      </c>
      <c r="NR23" s="57">
        <f t="shared" si="208"/>
        <v>0</v>
      </c>
      <c r="NS23" s="57">
        <f t="shared" si="208"/>
        <v>0</v>
      </c>
      <c r="NT23" s="57">
        <f t="shared" si="208"/>
        <v>0</v>
      </c>
      <c r="NU23" s="57">
        <f t="shared" si="208"/>
        <v>0</v>
      </c>
      <c r="NV23" s="57">
        <f t="shared" si="208"/>
        <v>0</v>
      </c>
      <c r="NW23" s="57">
        <f t="shared" si="208"/>
        <v>0</v>
      </c>
      <c r="NX23" s="57">
        <f t="shared" ref="NX23:QI23" si="209">NX28+NX35+NX42+NX49+NX56</f>
        <v>0</v>
      </c>
      <c r="NY23" s="57">
        <f t="shared" si="209"/>
        <v>0</v>
      </c>
      <c r="NZ23" s="57">
        <f t="shared" si="209"/>
        <v>0</v>
      </c>
      <c r="OA23" s="57">
        <f t="shared" si="209"/>
        <v>0</v>
      </c>
      <c r="OB23" s="57">
        <f t="shared" si="209"/>
        <v>0</v>
      </c>
      <c r="OC23" s="57">
        <f t="shared" si="209"/>
        <v>0</v>
      </c>
      <c r="OD23" s="57">
        <f t="shared" si="209"/>
        <v>0</v>
      </c>
      <c r="OE23" s="57">
        <f t="shared" si="209"/>
        <v>0</v>
      </c>
      <c r="OF23" s="57">
        <f t="shared" si="209"/>
        <v>0</v>
      </c>
      <c r="OG23" s="57">
        <f t="shared" si="209"/>
        <v>0</v>
      </c>
      <c r="OH23" s="57">
        <f t="shared" si="209"/>
        <v>0</v>
      </c>
      <c r="OI23" s="57">
        <f t="shared" si="209"/>
        <v>0</v>
      </c>
      <c r="OJ23" s="57">
        <f t="shared" si="209"/>
        <v>0</v>
      </c>
      <c r="OK23" s="57">
        <f t="shared" si="209"/>
        <v>0</v>
      </c>
      <c r="OL23" s="57">
        <f t="shared" si="209"/>
        <v>0</v>
      </c>
      <c r="OM23" s="57">
        <f t="shared" si="209"/>
        <v>0</v>
      </c>
      <c r="ON23" s="57">
        <f t="shared" si="209"/>
        <v>0</v>
      </c>
      <c r="OO23" s="57">
        <f t="shared" si="209"/>
        <v>0</v>
      </c>
      <c r="OP23" s="57">
        <f t="shared" si="209"/>
        <v>0</v>
      </c>
      <c r="OQ23" s="57">
        <f t="shared" si="209"/>
        <v>0</v>
      </c>
      <c r="OR23" s="57">
        <f t="shared" si="209"/>
        <v>0</v>
      </c>
      <c r="OS23" s="57">
        <f t="shared" si="209"/>
        <v>0</v>
      </c>
      <c r="OT23" s="57">
        <f t="shared" si="209"/>
        <v>0</v>
      </c>
      <c r="OU23" s="57">
        <f t="shared" si="209"/>
        <v>0</v>
      </c>
      <c r="OV23" s="57">
        <f t="shared" si="209"/>
        <v>0</v>
      </c>
      <c r="OW23" s="57">
        <f t="shared" si="209"/>
        <v>0</v>
      </c>
      <c r="OX23" s="57">
        <f t="shared" si="209"/>
        <v>0</v>
      </c>
      <c r="OY23" s="57">
        <f t="shared" si="209"/>
        <v>0</v>
      </c>
      <c r="OZ23" s="57">
        <f t="shared" si="209"/>
        <v>0</v>
      </c>
      <c r="PA23" s="57">
        <f t="shared" si="209"/>
        <v>0</v>
      </c>
      <c r="PB23" s="57">
        <f t="shared" si="209"/>
        <v>0</v>
      </c>
      <c r="PC23" s="57">
        <f t="shared" si="209"/>
        <v>0</v>
      </c>
      <c r="PD23" s="57">
        <f t="shared" si="209"/>
        <v>0</v>
      </c>
      <c r="PE23" s="57">
        <f t="shared" si="209"/>
        <v>0</v>
      </c>
      <c r="PF23" s="57">
        <f t="shared" si="209"/>
        <v>0</v>
      </c>
      <c r="PG23" s="57">
        <f t="shared" si="209"/>
        <v>0</v>
      </c>
      <c r="PH23" s="57">
        <f t="shared" si="209"/>
        <v>0</v>
      </c>
      <c r="PI23" s="57">
        <f t="shared" si="209"/>
        <v>0</v>
      </c>
      <c r="PJ23" s="57">
        <f t="shared" si="209"/>
        <v>0</v>
      </c>
      <c r="PK23" s="57">
        <f t="shared" si="209"/>
        <v>0</v>
      </c>
      <c r="PL23" s="57">
        <f t="shared" si="209"/>
        <v>0</v>
      </c>
      <c r="PM23" s="57">
        <f t="shared" si="209"/>
        <v>0</v>
      </c>
      <c r="PN23" s="57">
        <f t="shared" si="209"/>
        <v>0</v>
      </c>
      <c r="PO23" s="57">
        <f t="shared" si="209"/>
        <v>0</v>
      </c>
      <c r="PP23" s="57">
        <f t="shared" si="209"/>
        <v>0</v>
      </c>
      <c r="PQ23" s="57">
        <f t="shared" si="209"/>
        <v>0</v>
      </c>
      <c r="PR23" s="57">
        <f t="shared" si="209"/>
        <v>0</v>
      </c>
      <c r="PS23" s="57">
        <f t="shared" si="209"/>
        <v>0</v>
      </c>
      <c r="PT23" s="57">
        <f t="shared" si="209"/>
        <v>0</v>
      </c>
      <c r="PU23" s="57">
        <f t="shared" si="209"/>
        <v>0</v>
      </c>
      <c r="PV23" s="57">
        <f t="shared" si="209"/>
        <v>0</v>
      </c>
      <c r="PW23" s="57">
        <f t="shared" si="209"/>
        <v>0</v>
      </c>
      <c r="PX23" s="57">
        <f t="shared" si="209"/>
        <v>0</v>
      </c>
      <c r="PY23" s="57">
        <f t="shared" si="209"/>
        <v>0</v>
      </c>
      <c r="PZ23" s="57">
        <f t="shared" si="209"/>
        <v>0</v>
      </c>
      <c r="QA23" s="57">
        <f t="shared" si="209"/>
        <v>0</v>
      </c>
      <c r="QB23" s="57">
        <f t="shared" si="209"/>
        <v>0</v>
      </c>
      <c r="QC23" s="57">
        <f t="shared" si="209"/>
        <v>0</v>
      </c>
      <c r="QD23" s="57">
        <f t="shared" si="209"/>
        <v>0</v>
      </c>
      <c r="QE23" s="57">
        <f t="shared" si="209"/>
        <v>0</v>
      </c>
      <c r="QF23" s="57">
        <f t="shared" si="209"/>
        <v>0</v>
      </c>
      <c r="QG23" s="57">
        <f t="shared" si="209"/>
        <v>0</v>
      </c>
      <c r="QH23" s="57">
        <f t="shared" si="209"/>
        <v>0</v>
      </c>
      <c r="QI23" s="57">
        <f t="shared" si="209"/>
        <v>0</v>
      </c>
      <c r="QJ23" s="57">
        <f t="shared" ref="QJ23:SU23" si="210">QJ28+QJ35+QJ42+QJ49+QJ56</f>
        <v>0</v>
      </c>
      <c r="QK23" s="57">
        <f t="shared" si="210"/>
        <v>0</v>
      </c>
      <c r="QL23" s="57">
        <f t="shared" si="210"/>
        <v>0</v>
      </c>
      <c r="QM23" s="57">
        <f t="shared" si="210"/>
        <v>0</v>
      </c>
      <c r="QN23" s="57">
        <f t="shared" si="210"/>
        <v>0</v>
      </c>
      <c r="QO23" s="57">
        <f t="shared" si="210"/>
        <v>0</v>
      </c>
      <c r="QP23" s="57">
        <f t="shared" si="210"/>
        <v>0</v>
      </c>
      <c r="QQ23" s="57">
        <f t="shared" si="210"/>
        <v>0</v>
      </c>
      <c r="QR23" s="57">
        <f t="shared" si="210"/>
        <v>0</v>
      </c>
      <c r="QS23" s="57">
        <f t="shared" si="210"/>
        <v>0</v>
      </c>
      <c r="QT23" s="57">
        <f t="shared" si="210"/>
        <v>0</v>
      </c>
      <c r="QU23" s="57">
        <f t="shared" si="210"/>
        <v>0</v>
      </c>
      <c r="QV23" s="57">
        <f t="shared" si="210"/>
        <v>0</v>
      </c>
      <c r="QW23" s="57">
        <f t="shared" si="210"/>
        <v>0</v>
      </c>
      <c r="QX23" s="57">
        <f t="shared" si="210"/>
        <v>0</v>
      </c>
      <c r="QY23" s="57">
        <f t="shared" si="210"/>
        <v>0</v>
      </c>
      <c r="QZ23" s="57">
        <f t="shared" si="210"/>
        <v>0</v>
      </c>
      <c r="RA23" s="57">
        <f t="shared" si="210"/>
        <v>0</v>
      </c>
      <c r="RB23" s="57">
        <f t="shared" si="210"/>
        <v>0</v>
      </c>
      <c r="RC23" s="57">
        <f t="shared" si="210"/>
        <v>0</v>
      </c>
      <c r="RD23" s="57">
        <f t="shared" si="210"/>
        <v>0</v>
      </c>
      <c r="RE23" s="57">
        <f t="shared" si="210"/>
        <v>0</v>
      </c>
      <c r="RF23" s="57">
        <f t="shared" si="210"/>
        <v>0</v>
      </c>
      <c r="RG23" s="57">
        <f t="shared" si="210"/>
        <v>0</v>
      </c>
      <c r="RH23" s="57">
        <f t="shared" si="210"/>
        <v>0</v>
      </c>
      <c r="RI23" s="57">
        <f t="shared" si="210"/>
        <v>0</v>
      </c>
      <c r="RJ23" s="57">
        <f t="shared" si="210"/>
        <v>0</v>
      </c>
      <c r="RK23" s="57">
        <f t="shared" si="210"/>
        <v>0</v>
      </c>
      <c r="RL23" s="57">
        <f t="shared" si="210"/>
        <v>0</v>
      </c>
      <c r="RM23" s="57">
        <f t="shared" si="210"/>
        <v>0</v>
      </c>
      <c r="RN23" s="57">
        <f t="shared" si="210"/>
        <v>0</v>
      </c>
      <c r="RO23" s="57">
        <f t="shared" si="210"/>
        <v>0</v>
      </c>
      <c r="RP23" s="57">
        <f t="shared" si="210"/>
        <v>0</v>
      </c>
      <c r="RQ23" s="57">
        <f t="shared" si="210"/>
        <v>0</v>
      </c>
      <c r="RR23" s="57">
        <f t="shared" si="210"/>
        <v>0</v>
      </c>
      <c r="RS23" s="57">
        <f t="shared" si="210"/>
        <v>0</v>
      </c>
      <c r="RT23" s="57">
        <f t="shared" si="210"/>
        <v>0</v>
      </c>
      <c r="RU23" s="57">
        <f t="shared" si="210"/>
        <v>0</v>
      </c>
      <c r="RV23" s="57">
        <f t="shared" si="210"/>
        <v>0</v>
      </c>
      <c r="RW23" s="57">
        <f t="shared" si="210"/>
        <v>0</v>
      </c>
      <c r="RX23" s="57">
        <f t="shared" si="210"/>
        <v>0</v>
      </c>
      <c r="RY23" s="57">
        <f t="shared" si="210"/>
        <v>0</v>
      </c>
      <c r="RZ23" s="57">
        <f t="shared" si="210"/>
        <v>0</v>
      </c>
      <c r="SA23" s="57">
        <f t="shared" si="210"/>
        <v>0</v>
      </c>
      <c r="SB23" s="57">
        <f t="shared" si="210"/>
        <v>0</v>
      </c>
      <c r="SC23" s="57">
        <f t="shared" si="210"/>
        <v>0</v>
      </c>
      <c r="SD23" s="57">
        <f t="shared" si="210"/>
        <v>0</v>
      </c>
      <c r="SE23" s="57">
        <f t="shared" si="210"/>
        <v>0</v>
      </c>
      <c r="SF23" s="57">
        <f t="shared" si="210"/>
        <v>0</v>
      </c>
      <c r="SG23" s="57">
        <f t="shared" si="210"/>
        <v>0</v>
      </c>
      <c r="SH23" s="57">
        <f t="shared" si="210"/>
        <v>0</v>
      </c>
      <c r="SI23" s="57">
        <f t="shared" si="210"/>
        <v>0</v>
      </c>
      <c r="SJ23" s="57">
        <f t="shared" si="210"/>
        <v>0</v>
      </c>
      <c r="SK23" s="57">
        <f t="shared" si="210"/>
        <v>0</v>
      </c>
      <c r="SL23" s="57">
        <f t="shared" si="210"/>
        <v>0</v>
      </c>
      <c r="SM23" s="57">
        <f t="shared" si="210"/>
        <v>0</v>
      </c>
      <c r="SN23" s="57">
        <f t="shared" si="210"/>
        <v>0</v>
      </c>
      <c r="SO23" s="57">
        <f t="shared" si="210"/>
        <v>0</v>
      </c>
      <c r="SP23" s="57">
        <f t="shared" si="210"/>
        <v>0</v>
      </c>
      <c r="SQ23" s="57">
        <f t="shared" si="210"/>
        <v>0</v>
      </c>
      <c r="SR23" s="57">
        <f t="shared" si="210"/>
        <v>0</v>
      </c>
      <c r="SS23" s="57">
        <f t="shared" si="210"/>
        <v>0</v>
      </c>
      <c r="ST23" s="57">
        <f t="shared" si="210"/>
        <v>0</v>
      </c>
      <c r="SU23" s="57">
        <f t="shared" si="210"/>
        <v>0</v>
      </c>
      <c r="SV23" s="57">
        <f t="shared" ref="SV23:VG23" si="211">SV28+SV35+SV42+SV49+SV56</f>
        <v>0</v>
      </c>
      <c r="SW23" s="57">
        <f t="shared" si="211"/>
        <v>0</v>
      </c>
      <c r="SX23" s="57">
        <f t="shared" si="211"/>
        <v>0</v>
      </c>
      <c r="SY23" s="57">
        <f t="shared" si="211"/>
        <v>0</v>
      </c>
      <c r="SZ23" s="57">
        <f t="shared" si="211"/>
        <v>0</v>
      </c>
      <c r="TA23" s="57">
        <f t="shared" si="211"/>
        <v>0</v>
      </c>
      <c r="TB23" s="57">
        <f t="shared" si="211"/>
        <v>0</v>
      </c>
      <c r="TC23" s="57">
        <f t="shared" si="211"/>
        <v>0</v>
      </c>
      <c r="TD23" s="57">
        <f t="shared" si="211"/>
        <v>0</v>
      </c>
      <c r="TE23" s="57">
        <f t="shared" si="211"/>
        <v>0</v>
      </c>
      <c r="TF23" s="57">
        <f t="shared" si="211"/>
        <v>0</v>
      </c>
      <c r="TG23" s="57">
        <f t="shared" si="211"/>
        <v>0</v>
      </c>
      <c r="TH23" s="57">
        <f t="shared" si="211"/>
        <v>0</v>
      </c>
      <c r="TI23" s="57">
        <f t="shared" si="211"/>
        <v>0</v>
      </c>
      <c r="TJ23" s="57">
        <f t="shared" si="211"/>
        <v>0</v>
      </c>
      <c r="TK23" s="57">
        <f t="shared" si="211"/>
        <v>0</v>
      </c>
      <c r="TL23" s="57">
        <f t="shared" si="211"/>
        <v>0</v>
      </c>
      <c r="TM23" s="57">
        <f t="shared" si="211"/>
        <v>0</v>
      </c>
      <c r="TN23" s="57">
        <f t="shared" si="211"/>
        <v>0</v>
      </c>
      <c r="TO23" s="57">
        <f t="shared" si="211"/>
        <v>0</v>
      </c>
      <c r="TP23" s="57">
        <f t="shared" si="211"/>
        <v>0</v>
      </c>
      <c r="TQ23" s="57">
        <f t="shared" si="211"/>
        <v>0</v>
      </c>
      <c r="TR23" s="57">
        <f t="shared" si="211"/>
        <v>0</v>
      </c>
      <c r="TS23" s="57">
        <f t="shared" si="211"/>
        <v>0</v>
      </c>
      <c r="TT23" s="57">
        <f t="shared" si="211"/>
        <v>0</v>
      </c>
      <c r="TU23" s="57">
        <f t="shared" si="211"/>
        <v>0</v>
      </c>
      <c r="TV23" s="57">
        <f t="shared" si="211"/>
        <v>0</v>
      </c>
      <c r="TW23" s="57">
        <f t="shared" si="211"/>
        <v>0</v>
      </c>
      <c r="TX23" s="57">
        <f t="shared" si="211"/>
        <v>0</v>
      </c>
      <c r="TY23" s="57">
        <f t="shared" si="211"/>
        <v>0</v>
      </c>
      <c r="TZ23" s="57">
        <f t="shared" si="211"/>
        <v>0</v>
      </c>
      <c r="UA23" s="57">
        <f t="shared" si="211"/>
        <v>0</v>
      </c>
      <c r="UB23" s="57">
        <f t="shared" si="211"/>
        <v>0</v>
      </c>
      <c r="UC23" s="57">
        <f t="shared" si="211"/>
        <v>0</v>
      </c>
      <c r="UD23" s="57">
        <f t="shared" si="211"/>
        <v>0</v>
      </c>
      <c r="UE23" s="57">
        <f t="shared" si="211"/>
        <v>0</v>
      </c>
      <c r="UF23" s="57">
        <f t="shared" si="211"/>
        <v>0</v>
      </c>
      <c r="UG23" s="57">
        <f t="shared" si="211"/>
        <v>0</v>
      </c>
      <c r="UH23" s="57">
        <f t="shared" si="211"/>
        <v>0</v>
      </c>
      <c r="UI23" s="57">
        <f t="shared" si="211"/>
        <v>0</v>
      </c>
      <c r="UJ23" s="57">
        <f t="shared" si="211"/>
        <v>0</v>
      </c>
      <c r="UK23" s="57">
        <f t="shared" si="211"/>
        <v>0</v>
      </c>
      <c r="UL23" s="57">
        <f t="shared" si="211"/>
        <v>0</v>
      </c>
      <c r="UM23" s="57">
        <f t="shared" si="211"/>
        <v>0</v>
      </c>
      <c r="UN23" s="57">
        <f t="shared" si="211"/>
        <v>0</v>
      </c>
      <c r="UO23" s="57">
        <f t="shared" si="211"/>
        <v>0</v>
      </c>
      <c r="UP23" s="57">
        <f t="shared" si="211"/>
        <v>0</v>
      </c>
      <c r="UQ23" s="57">
        <f t="shared" si="211"/>
        <v>0</v>
      </c>
      <c r="UR23" s="57">
        <f t="shared" si="211"/>
        <v>0</v>
      </c>
      <c r="US23" s="57">
        <f t="shared" si="211"/>
        <v>0</v>
      </c>
      <c r="UT23" s="57">
        <f t="shared" si="211"/>
        <v>0</v>
      </c>
      <c r="UU23" s="57">
        <f t="shared" si="211"/>
        <v>0</v>
      </c>
      <c r="UV23" s="57">
        <f t="shared" si="211"/>
        <v>0</v>
      </c>
      <c r="UW23" s="57">
        <f t="shared" si="211"/>
        <v>0</v>
      </c>
      <c r="UX23" s="57">
        <f t="shared" si="211"/>
        <v>0</v>
      </c>
      <c r="UY23" s="57">
        <f t="shared" si="211"/>
        <v>0</v>
      </c>
      <c r="UZ23" s="57">
        <f t="shared" si="211"/>
        <v>0</v>
      </c>
      <c r="VA23" s="57">
        <f t="shared" si="211"/>
        <v>0</v>
      </c>
      <c r="VB23" s="57">
        <f t="shared" si="211"/>
        <v>0</v>
      </c>
      <c r="VC23" s="57">
        <f t="shared" si="211"/>
        <v>0</v>
      </c>
      <c r="VD23" s="57">
        <f t="shared" si="211"/>
        <v>0</v>
      </c>
      <c r="VE23" s="57">
        <f t="shared" si="211"/>
        <v>0</v>
      </c>
      <c r="VF23" s="57">
        <f t="shared" si="211"/>
        <v>0</v>
      </c>
      <c r="VG23" s="57">
        <f t="shared" si="211"/>
        <v>0</v>
      </c>
      <c r="VH23" s="57">
        <f t="shared" ref="VH23:XS23" si="212">VH28+VH35+VH42+VH49+VH56</f>
        <v>0</v>
      </c>
      <c r="VI23" s="57">
        <f t="shared" si="212"/>
        <v>0</v>
      </c>
      <c r="VJ23" s="57">
        <f t="shared" si="212"/>
        <v>0</v>
      </c>
      <c r="VK23" s="57">
        <f t="shared" si="212"/>
        <v>0</v>
      </c>
      <c r="VL23" s="57">
        <f t="shared" si="212"/>
        <v>0</v>
      </c>
      <c r="VM23" s="57">
        <f t="shared" si="212"/>
        <v>0</v>
      </c>
      <c r="VN23" s="57">
        <f t="shared" si="212"/>
        <v>0</v>
      </c>
      <c r="VO23" s="57">
        <f t="shared" si="212"/>
        <v>0</v>
      </c>
      <c r="VP23" s="57">
        <f t="shared" si="212"/>
        <v>0</v>
      </c>
      <c r="VQ23" s="57">
        <f t="shared" si="212"/>
        <v>0</v>
      </c>
      <c r="VR23" s="57">
        <f t="shared" si="212"/>
        <v>0</v>
      </c>
      <c r="VS23" s="57">
        <f t="shared" si="212"/>
        <v>0</v>
      </c>
      <c r="VT23" s="57">
        <f t="shared" si="212"/>
        <v>0</v>
      </c>
      <c r="VU23" s="57">
        <f t="shared" si="212"/>
        <v>0</v>
      </c>
      <c r="VV23" s="57">
        <f t="shared" si="212"/>
        <v>0</v>
      </c>
      <c r="VW23" s="57">
        <f t="shared" si="212"/>
        <v>0</v>
      </c>
      <c r="VX23" s="57">
        <f t="shared" si="212"/>
        <v>0</v>
      </c>
      <c r="VY23" s="57">
        <f t="shared" si="212"/>
        <v>0</v>
      </c>
      <c r="VZ23" s="57">
        <f t="shared" si="212"/>
        <v>0</v>
      </c>
      <c r="WA23" s="57">
        <f t="shared" si="212"/>
        <v>0</v>
      </c>
      <c r="WB23" s="57">
        <f t="shared" si="212"/>
        <v>0</v>
      </c>
      <c r="WC23" s="57">
        <f t="shared" si="212"/>
        <v>0</v>
      </c>
      <c r="WD23" s="57">
        <f t="shared" si="212"/>
        <v>0</v>
      </c>
      <c r="WE23" s="57">
        <f t="shared" si="212"/>
        <v>0</v>
      </c>
      <c r="WF23" s="57">
        <f t="shared" si="212"/>
        <v>0</v>
      </c>
      <c r="WG23" s="57">
        <f t="shared" si="212"/>
        <v>0</v>
      </c>
      <c r="WH23" s="57">
        <f t="shared" si="212"/>
        <v>0</v>
      </c>
      <c r="WI23" s="57">
        <f t="shared" si="212"/>
        <v>0</v>
      </c>
      <c r="WJ23" s="57">
        <f t="shared" si="212"/>
        <v>0</v>
      </c>
      <c r="WK23" s="57">
        <f t="shared" si="212"/>
        <v>0</v>
      </c>
      <c r="WL23" s="57">
        <f t="shared" si="212"/>
        <v>0</v>
      </c>
      <c r="WM23" s="57">
        <f t="shared" si="212"/>
        <v>0</v>
      </c>
      <c r="WN23" s="57">
        <f t="shared" si="212"/>
        <v>1000000</v>
      </c>
      <c r="WO23" s="57">
        <f t="shared" si="212"/>
        <v>0</v>
      </c>
      <c r="WP23" s="57">
        <f t="shared" si="212"/>
        <v>0</v>
      </c>
      <c r="WQ23" s="57">
        <f t="shared" si="212"/>
        <v>0</v>
      </c>
      <c r="WR23" s="57">
        <f t="shared" si="212"/>
        <v>0</v>
      </c>
      <c r="WS23" s="57">
        <f t="shared" si="212"/>
        <v>0</v>
      </c>
      <c r="WT23" s="57">
        <f t="shared" si="212"/>
        <v>0</v>
      </c>
      <c r="WU23" s="57">
        <f t="shared" si="212"/>
        <v>0</v>
      </c>
      <c r="WV23" s="57">
        <f t="shared" si="212"/>
        <v>0</v>
      </c>
      <c r="WW23" s="57">
        <f t="shared" si="212"/>
        <v>0</v>
      </c>
      <c r="WX23" s="57">
        <f t="shared" si="212"/>
        <v>0</v>
      </c>
      <c r="WY23" s="57">
        <f t="shared" si="212"/>
        <v>0</v>
      </c>
      <c r="WZ23" s="57">
        <f t="shared" si="212"/>
        <v>0</v>
      </c>
      <c r="XA23" s="57">
        <f t="shared" si="212"/>
        <v>0</v>
      </c>
      <c r="XB23" s="57">
        <f t="shared" si="212"/>
        <v>0</v>
      </c>
      <c r="XC23" s="57">
        <f t="shared" si="212"/>
        <v>0</v>
      </c>
      <c r="XD23" s="57">
        <f t="shared" si="212"/>
        <v>0</v>
      </c>
      <c r="XE23" s="57">
        <f t="shared" si="212"/>
        <v>0</v>
      </c>
      <c r="XF23" s="57">
        <f t="shared" si="212"/>
        <v>0</v>
      </c>
      <c r="XG23" s="57">
        <f t="shared" si="212"/>
        <v>0</v>
      </c>
      <c r="XH23" s="57">
        <f t="shared" si="212"/>
        <v>0</v>
      </c>
      <c r="XI23" s="57">
        <f t="shared" si="212"/>
        <v>0</v>
      </c>
      <c r="XJ23" s="57">
        <f t="shared" si="212"/>
        <v>0</v>
      </c>
      <c r="XK23" s="57">
        <f t="shared" si="212"/>
        <v>0</v>
      </c>
      <c r="XL23" s="57">
        <f t="shared" si="212"/>
        <v>0</v>
      </c>
      <c r="XM23" s="57">
        <f t="shared" si="212"/>
        <v>0</v>
      </c>
      <c r="XN23" s="57">
        <f t="shared" si="212"/>
        <v>0</v>
      </c>
      <c r="XO23" s="57">
        <f t="shared" si="212"/>
        <v>0</v>
      </c>
      <c r="XP23" s="57">
        <f t="shared" si="212"/>
        <v>0</v>
      </c>
      <c r="XQ23" s="57">
        <f t="shared" si="212"/>
        <v>900000</v>
      </c>
      <c r="XR23" s="57">
        <f t="shared" si="212"/>
        <v>0</v>
      </c>
      <c r="XS23" s="57">
        <f t="shared" si="212"/>
        <v>0</v>
      </c>
      <c r="XT23" s="57">
        <f t="shared" ref="XT23:AAE23" si="213">XT28+XT35+XT42+XT49+XT56</f>
        <v>0</v>
      </c>
      <c r="XU23" s="57">
        <f t="shared" si="213"/>
        <v>0</v>
      </c>
      <c r="XV23" s="57">
        <f t="shared" si="213"/>
        <v>0</v>
      </c>
      <c r="XW23" s="57">
        <f t="shared" si="213"/>
        <v>0</v>
      </c>
      <c r="XX23" s="57">
        <f t="shared" si="213"/>
        <v>100000</v>
      </c>
      <c r="XY23" s="57">
        <f t="shared" si="213"/>
        <v>0</v>
      </c>
      <c r="XZ23" s="57">
        <f t="shared" si="213"/>
        <v>0</v>
      </c>
      <c r="YA23" s="57">
        <f t="shared" si="213"/>
        <v>0</v>
      </c>
      <c r="YB23" s="57">
        <f t="shared" si="213"/>
        <v>0</v>
      </c>
      <c r="YC23" s="57">
        <f t="shared" si="213"/>
        <v>0</v>
      </c>
      <c r="YD23" s="57">
        <f t="shared" si="213"/>
        <v>0</v>
      </c>
      <c r="YE23" s="57">
        <f t="shared" si="213"/>
        <v>0</v>
      </c>
      <c r="YF23" s="57">
        <f t="shared" si="213"/>
        <v>0</v>
      </c>
      <c r="YG23" s="57">
        <f t="shared" si="213"/>
        <v>0</v>
      </c>
      <c r="YH23" s="57">
        <f t="shared" si="213"/>
        <v>0</v>
      </c>
      <c r="YI23" s="57">
        <f t="shared" si="213"/>
        <v>0</v>
      </c>
      <c r="YJ23" s="57">
        <f t="shared" si="213"/>
        <v>0</v>
      </c>
      <c r="YK23" s="57">
        <f t="shared" si="213"/>
        <v>0</v>
      </c>
      <c r="YL23" s="57">
        <f t="shared" si="213"/>
        <v>0</v>
      </c>
      <c r="YM23" s="57">
        <f t="shared" si="213"/>
        <v>0</v>
      </c>
      <c r="YN23" s="57">
        <f t="shared" si="213"/>
        <v>0</v>
      </c>
      <c r="YO23" s="57">
        <f t="shared" si="213"/>
        <v>0</v>
      </c>
      <c r="YP23" s="57">
        <f t="shared" si="213"/>
        <v>0</v>
      </c>
      <c r="YQ23" s="57">
        <f t="shared" si="213"/>
        <v>0</v>
      </c>
      <c r="YR23" s="57">
        <f t="shared" si="213"/>
        <v>0</v>
      </c>
      <c r="YS23" s="57">
        <f t="shared" si="213"/>
        <v>0</v>
      </c>
      <c r="YT23" s="57">
        <f t="shared" si="213"/>
        <v>0</v>
      </c>
      <c r="YU23" s="57">
        <f t="shared" si="213"/>
        <v>0</v>
      </c>
      <c r="YV23" s="57">
        <f t="shared" si="213"/>
        <v>0</v>
      </c>
      <c r="YW23" s="57">
        <f t="shared" si="213"/>
        <v>0</v>
      </c>
      <c r="YX23" s="57">
        <f t="shared" si="213"/>
        <v>0</v>
      </c>
      <c r="YY23" s="57">
        <f t="shared" si="213"/>
        <v>0</v>
      </c>
      <c r="YZ23" s="57">
        <f t="shared" si="213"/>
        <v>0</v>
      </c>
      <c r="ZA23" s="57">
        <f t="shared" si="213"/>
        <v>0</v>
      </c>
      <c r="ZB23" s="57">
        <f t="shared" si="213"/>
        <v>0</v>
      </c>
      <c r="ZC23" s="57">
        <f t="shared" si="213"/>
        <v>0</v>
      </c>
      <c r="ZD23" s="57">
        <f t="shared" si="213"/>
        <v>0</v>
      </c>
      <c r="ZE23" s="57">
        <f t="shared" si="213"/>
        <v>0</v>
      </c>
      <c r="ZF23" s="57">
        <f t="shared" si="213"/>
        <v>0</v>
      </c>
      <c r="ZG23" s="57">
        <f t="shared" si="213"/>
        <v>0</v>
      </c>
      <c r="ZH23" s="57">
        <f t="shared" si="213"/>
        <v>0</v>
      </c>
      <c r="ZI23" s="57">
        <f t="shared" si="213"/>
        <v>0</v>
      </c>
      <c r="ZJ23" s="57">
        <f t="shared" si="213"/>
        <v>0</v>
      </c>
      <c r="ZK23" s="57">
        <f t="shared" si="213"/>
        <v>0</v>
      </c>
      <c r="ZL23" s="57">
        <f t="shared" si="213"/>
        <v>0</v>
      </c>
      <c r="ZM23" s="57">
        <f t="shared" si="213"/>
        <v>0</v>
      </c>
      <c r="ZN23" s="57">
        <f t="shared" si="213"/>
        <v>0</v>
      </c>
      <c r="ZO23" s="57">
        <f t="shared" si="213"/>
        <v>0</v>
      </c>
      <c r="ZP23" s="57">
        <f t="shared" si="213"/>
        <v>0</v>
      </c>
      <c r="ZQ23" s="57">
        <f t="shared" si="213"/>
        <v>0</v>
      </c>
      <c r="ZR23" s="57">
        <f t="shared" si="213"/>
        <v>0</v>
      </c>
      <c r="ZS23" s="57">
        <f t="shared" si="213"/>
        <v>0</v>
      </c>
      <c r="ZT23" s="57">
        <f t="shared" si="213"/>
        <v>0</v>
      </c>
      <c r="ZU23" s="57">
        <f t="shared" si="213"/>
        <v>0</v>
      </c>
      <c r="ZV23" s="57">
        <f t="shared" si="213"/>
        <v>0</v>
      </c>
      <c r="ZW23" s="57">
        <f t="shared" si="213"/>
        <v>0</v>
      </c>
      <c r="ZX23" s="57">
        <f t="shared" si="213"/>
        <v>0</v>
      </c>
      <c r="ZY23" s="57">
        <f t="shared" si="213"/>
        <v>0</v>
      </c>
      <c r="ZZ23" s="57">
        <f t="shared" si="213"/>
        <v>0</v>
      </c>
      <c r="AAA23" s="57">
        <f t="shared" si="213"/>
        <v>0</v>
      </c>
      <c r="AAB23" s="57">
        <f t="shared" si="213"/>
        <v>0</v>
      </c>
      <c r="AAC23" s="57">
        <f t="shared" si="213"/>
        <v>0</v>
      </c>
      <c r="AAD23" s="57">
        <f t="shared" si="213"/>
        <v>0</v>
      </c>
      <c r="AAE23" s="57">
        <f t="shared" si="213"/>
        <v>0</v>
      </c>
      <c r="AAF23" s="57">
        <f t="shared" ref="AAF23:ACQ23" si="214">AAF28+AAF35+AAF42+AAF49+AAF56</f>
        <v>0</v>
      </c>
      <c r="AAG23" s="57">
        <f t="shared" si="214"/>
        <v>0</v>
      </c>
      <c r="AAH23" s="57">
        <f t="shared" si="214"/>
        <v>0</v>
      </c>
      <c r="AAI23" s="57">
        <f t="shared" si="214"/>
        <v>0</v>
      </c>
      <c r="AAJ23" s="57">
        <f t="shared" si="214"/>
        <v>0</v>
      </c>
      <c r="AAK23" s="57">
        <f t="shared" si="214"/>
        <v>0</v>
      </c>
      <c r="AAL23" s="57">
        <f t="shared" si="214"/>
        <v>0</v>
      </c>
      <c r="AAM23" s="57">
        <f t="shared" si="214"/>
        <v>0</v>
      </c>
      <c r="AAN23" s="57">
        <f t="shared" si="214"/>
        <v>0</v>
      </c>
      <c r="AAO23" s="57">
        <f t="shared" si="214"/>
        <v>0</v>
      </c>
      <c r="AAP23" s="57">
        <f t="shared" si="214"/>
        <v>0</v>
      </c>
      <c r="AAQ23" s="57">
        <f t="shared" si="214"/>
        <v>0</v>
      </c>
      <c r="AAR23" s="57">
        <f t="shared" si="214"/>
        <v>0</v>
      </c>
      <c r="AAS23" s="57">
        <f t="shared" si="214"/>
        <v>0</v>
      </c>
      <c r="AAT23" s="57">
        <f t="shared" si="214"/>
        <v>0</v>
      </c>
      <c r="AAU23" s="57">
        <f t="shared" si="214"/>
        <v>0</v>
      </c>
      <c r="AAV23" s="57">
        <f t="shared" si="214"/>
        <v>0</v>
      </c>
      <c r="AAW23" s="57">
        <f t="shared" si="214"/>
        <v>0</v>
      </c>
      <c r="AAX23" s="57">
        <f t="shared" si="214"/>
        <v>0</v>
      </c>
      <c r="AAY23" s="57">
        <f t="shared" si="214"/>
        <v>0</v>
      </c>
      <c r="AAZ23" s="57">
        <f t="shared" si="214"/>
        <v>0</v>
      </c>
      <c r="ABA23" s="57">
        <f t="shared" si="214"/>
        <v>0</v>
      </c>
      <c r="ABB23" s="57">
        <f t="shared" si="214"/>
        <v>0</v>
      </c>
      <c r="ABC23" s="57">
        <f t="shared" si="214"/>
        <v>0</v>
      </c>
      <c r="ABD23" s="57">
        <f t="shared" si="214"/>
        <v>0</v>
      </c>
      <c r="ABE23" s="57">
        <f t="shared" si="214"/>
        <v>0</v>
      </c>
      <c r="ABF23" s="57">
        <f t="shared" si="214"/>
        <v>0</v>
      </c>
      <c r="ABG23" s="57">
        <f t="shared" si="214"/>
        <v>0</v>
      </c>
      <c r="ABH23" s="57">
        <f t="shared" si="214"/>
        <v>0</v>
      </c>
      <c r="ABI23" s="57">
        <f t="shared" si="214"/>
        <v>0</v>
      </c>
      <c r="ABJ23" s="57">
        <f t="shared" si="214"/>
        <v>0</v>
      </c>
      <c r="ABK23" s="57">
        <f t="shared" si="214"/>
        <v>0</v>
      </c>
      <c r="ABL23" s="57">
        <f t="shared" si="214"/>
        <v>0</v>
      </c>
      <c r="ABM23" s="57">
        <f t="shared" si="214"/>
        <v>0</v>
      </c>
      <c r="ABN23" s="57">
        <f t="shared" si="214"/>
        <v>0</v>
      </c>
      <c r="ABO23" s="57">
        <f t="shared" si="214"/>
        <v>0</v>
      </c>
      <c r="ABP23" s="57">
        <f t="shared" si="214"/>
        <v>0</v>
      </c>
      <c r="ABQ23" s="57">
        <f t="shared" si="214"/>
        <v>0</v>
      </c>
      <c r="ABR23" s="57">
        <f t="shared" si="214"/>
        <v>0</v>
      </c>
      <c r="ABS23" s="57">
        <f t="shared" si="214"/>
        <v>0</v>
      </c>
      <c r="ABT23" s="57">
        <f t="shared" si="214"/>
        <v>0</v>
      </c>
      <c r="ABU23" s="57">
        <f t="shared" si="214"/>
        <v>0</v>
      </c>
      <c r="ABV23" s="57">
        <f t="shared" si="214"/>
        <v>0</v>
      </c>
      <c r="ABW23" s="57">
        <f t="shared" si="214"/>
        <v>0</v>
      </c>
      <c r="ABX23" s="57">
        <f t="shared" si="214"/>
        <v>0</v>
      </c>
      <c r="ABY23" s="57">
        <f t="shared" si="214"/>
        <v>0</v>
      </c>
      <c r="ABZ23" s="57">
        <f t="shared" si="214"/>
        <v>0</v>
      </c>
      <c r="ACA23" s="57">
        <f t="shared" si="214"/>
        <v>0</v>
      </c>
      <c r="ACB23" s="57">
        <f t="shared" si="214"/>
        <v>0</v>
      </c>
      <c r="ACC23" s="57">
        <f t="shared" si="214"/>
        <v>0</v>
      </c>
      <c r="ACD23" s="57">
        <f t="shared" si="214"/>
        <v>0</v>
      </c>
      <c r="ACE23" s="57">
        <f t="shared" si="214"/>
        <v>0</v>
      </c>
      <c r="ACF23" s="57">
        <f t="shared" si="214"/>
        <v>0</v>
      </c>
      <c r="ACG23" s="57">
        <f t="shared" si="214"/>
        <v>0</v>
      </c>
      <c r="ACH23" s="57">
        <f t="shared" si="214"/>
        <v>0</v>
      </c>
      <c r="ACI23" s="57">
        <f t="shared" si="214"/>
        <v>0</v>
      </c>
      <c r="ACJ23" s="57">
        <f t="shared" si="214"/>
        <v>0</v>
      </c>
      <c r="ACK23" s="57">
        <f t="shared" si="214"/>
        <v>0</v>
      </c>
      <c r="ACL23" s="57">
        <f t="shared" si="214"/>
        <v>0</v>
      </c>
      <c r="ACM23" s="57">
        <f t="shared" si="214"/>
        <v>0</v>
      </c>
      <c r="ACN23" s="57">
        <f t="shared" si="214"/>
        <v>0</v>
      </c>
      <c r="ACO23" s="57">
        <f t="shared" si="214"/>
        <v>0</v>
      </c>
      <c r="ACP23" s="57">
        <f t="shared" si="214"/>
        <v>0</v>
      </c>
      <c r="ACQ23" s="57">
        <f t="shared" si="214"/>
        <v>0</v>
      </c>
      <c r="ACR23" s="57">
        <f t="shared" ref="ACR23:AFC23" si="215">ACR28+ACR35+ACR42+ACR49+ACR56</f>
        <v>0</v>
      </c>
      <c r="ACS23" s="57">
        <f t="shared" si="215"/>
        <v>0</v>
      </c>
      <c r="ACT23" s="57">
        <f t="shared" si="215"/>
        <v>0</v>
      </c>
      <c r="ACU23" s="57">
        <f t="shared" si="215"/>
        <v>0</v>
      </c>
      <c r="ACV23" s="57">
        <f t="shared" si="215"/>
        <v>0</v>
      </c>
      <c r="ACW23" s="57">
        <f t="shared" si="215"/>
        <v>0</v>
      </c>
      <c r="ACX23" s="57">
        <f t="shared" si="215"/>
        <v>0</v>
      </c>
      <c r="ACY23" s="57">
        <f t="shared" si="215"/>
        <v>0</v>
      </c>
      <c r="ACZ23" s="57">
        <f t="shared" si="215"/>
        <v>0</v>
      </c>
      <c r="ADA23" s="57">
        <f t="shared" si="215"/>
        <v>0</v>
      </c>
      <c r="ADB23" s="57">
        <f t="shared" si="215"/>
        <v>0</v>
      </c>
      <c r="ADC23" s="57">
        <f t="shared" si="215"/>
        <v>0</v>
      </c>
      <c r="ADD23" s="57">
        <f t="shared" si="215"/>
        <v>0</v>
      </c>
      <c r="ADE23" s="57">
        <f t="shared" si="215"/>
        <v>0</v>
      </c>
      <c r="ADF23" s="57">
        <f t="shared" si="215"/>
        <v>0</v>
      </c>
      <c r="ADG23" s="57">
        <f t="shared" si="215"/>
        <v>0</v>
      </c>
      <c r="ADH23" s="57">
        <f t="shared" si="215"/>
        <v>0</v>
      </c>
      <c r="ADI23" s="57">
        <f t="shared" si="215"/>
        <v>0</v>
      </c>
      <c r="ADJ23" s="57">
        <f t="shared" si="215"/>
        <v>0</v>
      </c>
      <c r="ADK23" s="57">
        <f t="shared" si="215"/>
        <v>0</v>
      </c>
      <c r="ADL23" s="57">
        <f t="shared" si="215"/>
        <v>0</v>
      </c>
      <c r="ADM23" s="57">
        <f t="shared" si="215"/>
        <v>0</v>
      </c>
      <c r="ADN23" s="57">
        <f t="shared" si="215"/>
        <v>0</v>
      </c>
      <c r="ADO23" s="57">
        <f t="shared" si="215"/>
        <v>0</v>
      </c>
      <c r="ADP23" s="57">
        <f t="shared" si="215"/>
        <v>0</v>
      </c>
      <c r="ADQ23" s="57">
        <f t="shared" si="215"/>
        <v>0</v>
      </c>
      <c r="ADR23" s="57">
        <f t="shared" si="215"/>
        <v>0</v>
      </c>
      <c r="ADS23" s="57">
        <f t="shared" si="215"/>
        <v>0</v>
      </c>
      <c r="ADT23" s="57">
        <f t="shared" si="215"/>
        <v>0</v>
      </c>
      <c r="ADU23" s="57">
        <f t="shared" si="215"/>
        <v>0</v>
      </c>
      <c r="ADV23" s="57">
        <f t="shared" si="215"/>
        <v>0</v>
      </c>
      <c r="ADW23" s="57">
        <f t="shared" si="215"/>
        <v>0</v>
      </c>
      <c r="ADX23" s="57">
        <f t="shared" si="215"/>
        <v>0</v>
      </c>
      <c r="ADY23" s="57">
        <f t="shared" si="215"/>
        <v>0</v>
      </c>
      <c r="ADZ23" s="57">
        <f t="shared" si="215"/>
        <v>0</v>
      </c>
      <c r="AEA23" s="57">
        <f t="shared" si="215"/>
        <v>0</v>
      </c>
      <c r="AEB23" s="57">
        <f t="shared" si="215"/>
        <v>0</v>
      </c>
      <c r="AEC23" s="57">
        <f t="shared" si="215"/>
        <v>0</v>
      </c>
      <c r="AED23" s="57">
        <f t="shared" si="215"/>
        <v>0</v>
      </c>
      <c r="AEE23" s="57">
        <f t="shared" si="215"/>
        <v>0</v>
      </c>
      <c r="AEF23" s="57">
        <f t="shared" si="215"/>
        <v>0</v>
      </c>
      <c r="AEG23" s="57">
        <f t="shared" si="215"/>
        <v>0</v>
      </c>
      <c r="AEH23" s="57">
        <f t="shared" si="215"/>
        <v>0</v>
      </c>
      <c r="AEI23" s="57">
        <f t="shared" si="215"/>
        <v>0</v>
      </c>
      <c r="AEJ23" s="57">
        <f t="shared" si="215"/>
        <v>0</v>
      </c>
      <c r="AEK23" s="57">
        <f t="shared" si="215"/>
        <v>0</v>
      </c>
      <c r="AEL23" s="57">
        <f t="shared" si="215"/>
        <v>0</v>
      </c>
      <c r="AEM23" s="57">
        <f t="shared" si="215"/>
        <v>0</v>
      </c>
      <c r="AEN23" s="57">
        <f t="shared" si="215"/>
        <v>0</v>
      </c>
      <c r="AEO23" s="57">
        <f t="shared" si="215"/>
        <v>0</v>
      </c>
      <c r="AEP23" s="57">
        <f t="shared" si="215"/>
        <v>0</v>
      </c>
      <c r="AEQ23" s="57">
        <f t="shared" si="215"/>
        <v>0</v>
      </c>
      <c r="AER23" s="57">
        <f t="shared" si="215"/>
        <v>0</v>
      </c>
      <c r="AES23" s="57">
        <f t="shared" si="215"/>
        <v>0</v>
      </c>
      <c r="AET23" s="57">
        <f t="shared" si="215"/>
        <v>0</v>
      </c>
      <c r="AEU23" s="57">
        <f t="shared" si="215"/>
        <v>0</v>
      </c>
      <c r="AEV23" s="57">
        <f t="shared" si="215"/>
        <v>0</v>
      </c>
      <c r="AEW23" s="57">
        <f t="shared" si="215"/>
        <v>0</v>
      </c>
      <c r="AEX23" s="57">
        <f t="shared" si="215"/>
        <v>0</v>
      </c>
      <c r="AEY23" s="57">
        <f t="shared" si="215"/>
        <v>0</v>
      </c>
      <c r="AEZ23" s="57">
        <f t="shared" si="215"/>
        <v>0</v>
      </c>
      <c r="AFA23" s="57">
        <f t="shared" si="215"/>
        <v>0</v>
      </c>
      <c r="AFB23" s="57">
        <f t="shared" si="215"/>
        <v>0</v>
      </c>
      <c r="AFC23" s="57">
        <f t="shared" si="215"/>
        <v>0</v>
      </c>
      <c r="AFD23" s="57">
        <f t="shared" ref="AFD23:AHO23" si="216">AFD28+AFD35+AFD42+AFD49+AFD56</f>
        <v>0</v>
      </c>
      <c r="AFE23" s="57">
        <f t="shared" si="216"/>
        <v>0</v>
      </c>
      <c r="AFF23" s="57">
        <f t="shared" si="216"/>
        <v>0</v>
      </c>
      <c r="AFG23" s="57">
        <f t="shared" si="216"/>
        <v>0</v>
      </c>
      <c r="AFH23" s="57">
        <f t="shared" si="216"/>
        <v>0</v>
      </c>
      <c r="AFI23" s="57">
        <f t="shared" si="216"/>
        <v>0</v>
      </c>
      <c r="AFJ23" s="57">
        <f t="shared" si="216"/>
        <v>0</v>
      </c>
      <c r="AFK23" s="57">
        <f t="shared" si="216"/>
        <v>0</v>
      </c>
      <c r="AFL23" s="57">
        <f t="shared" si="216"/>
        <v>0</v>
      </c>
      <c r="AFM23" s="57">
        <f t="shared" si="216"/>
        <v>0</v>
      </c>
      <c r="AFN23" s="57">
        <f t="shared" si="216"/>
        <v>0</v>
      </c>
      <c r="AFO23" s="57">
        <f t="shared" si="216"/>
        <v>0</v>
      </c>
      <c r="AFP23" s="57">
        <f t="shared" si="216"/>
        <v>0</v>
      </c>
      <c r="AFQ23" s="57">
        <f t="shared" si="216"/>
        <v>0</v>
      </c>
      <c r="AFR23" s="57">
        <f t="shared" si="216"/>
        <v>0</v>
      </c>
      <c r="AFS23" s="57">
        <f t="shared" si="216"/>
        <v>0</v>
      </c>
      <c r="AFT23" s="57">
        <f t="shared" si="216"/>
        <v>0</v>
      </c>
      <c r="AFU23" s="57">
        <f t="shared" si="216"/>
        <v>0</v>
      </c>
      <c r="AFV23" s="57">
        <f t="shared" si="216"/>
        <v>0</v>
      </c>
      <c r="AFW23" s="57">
        <f t="shared" si="216"/>
        <v>0</v>
      </c>
      <c r="AFX23" s="57">
        <f t="shared" si="216"/>
        <v>0</v>
      </c>
      <c r="AFY23" s="57">
        <f t="shared" si="216"/>
        <v>0</v>
      </c>
      <c r="AFZ23" s="57">
        <f t="shared" si="216"/>
        <v>0</v>
      </c>
      <c r="AGA23" s="57">
        <f t="shared" si="216"/>
        <v>0</v>
      </c>
      <c r="AGB23" s="57">
        <f t="shared" si="216"/>
        <v>0</v>
      </c>
      <c r="AGC23" s="57">
        <f t="shared" si="216"/>
        <v>0</v>
      </c>
      <c r="AGD23" s="57">
        <f t="shared" si="216"/>
        <v>0</v>
      </c>
      <c r="AGE23" s="57">
        <f t="shared" si="216"/>
        <v>0</v>
      </c>
      <c r="AGF23" s="57">
        <f t="shared" si="216"/>
        <v>0</v>
      </c>
      <c r="AGG23" s="57">
        <f t="shared" si="216"/>
        <v>0</v>
      </c>
      <c r="AGH23" s="57">
        <f t="shared" si="216"/>
        <v>0</v>
      </c>
      <c r="AGI23" s="57">
        <f t="shared" si="216"/>
        <v>0</v>
      </c>
      <c r="AGJ23" s="57">
        <f t="shared" si="216"/>
        <v>0</v>
      </c>
      <c r="AGK23" s="57">
        <f t="shared" si="216"/>
        <v>0</v>
      </c>
      <c r="AGL23" s="57">
        <f t="shared" si="216"/>
        <v>0</v>
      </c>
      <c r="AGM23" s="57">
        <f t="shared" si="216"/>
        <v>0</v>
      </c>
      <c r="AGN23" s="57">
        <f t="shared" si="216"/>
        <v>0</v>
      </c>
      <c r="AGO23" s="57">
        <f t="shared" si="216"/>
        <v>0</v>
      </c>
      <c r="AGP23" s="57">
        <f t="shared" si="216"/>
        <v>0</v>
      </c>
      <c r="AGQ23" s="57">
        <f t="shared" si="216"/>
        <v>0</v>
      </c>
      <c r="AGR23" s="57">
        <f t="shared" si="216"/>
        <v>0</v>
      </c>
      <c r="AGS23" s="57">
        <f t="shared" si="216"/>
        <v>0</v>
      </c>
      <c r="AGT23" s="57">
        <f t="shared" si="216"/>
        <v>0</v>
      </c>
      <c r="AGU23" s="57">
        <f t="shared" si="216"/>
        <v>0</v>
      </c>
      <c r="AGV23" s="57">
        <f t="shared" si="216"/>
        <v>0</v>
      </c>
      <c r="AGW23" s="57">
        <f t="shared" si="216"/>
        <v>0</v>
      </c>
      <c r="AGX23" s="57">
        <f t="shared" si="216"/>
        <v>0</v>
      </c>
      <c r="AGY23" s="57">
        <f t="shared" si="216"/>
        <v>0</v>
      </c>
      <c r="AGZ23" s="57">
        <f t="shared" si="216"/>
        <v>0</v>
      </c>
      <c r="AHA23" s="57">
        <f t="shared" si="216"/>
        <v>0</v>
      </c>
      <c r="AHB23" s="57">
        <f t="shared" si="216"/>
        <v>0</v>
      </c>
      <c r="AHC23" s="57">
        <f t="shared" si="216"/>
        <v>0</v>
      </c>
      <c r="AHD23" s="57">
        <f t="shared" si="216"/>
        <v>0</v>
      </c>
      <c r="AHE23" s="57">
        <f t="shared" si="216"/>
        <v>0</v>
      </c>
      <c r="AHF23" s="57">
        <f t="shared" si="216"/>
        <v>0</v>
      </c>
      <c r="AHG23" s="57">
        <f t="shared" si="216"/>
        <v>0</v>
      </c>
      <c r="AHH23" s="57">
        <f t="shared" si="216"/>
        <v>0</v>
      </c>
      <c r="AHI23" s="57">
        <f t="shared" si="216"/>
        <v>0</v>
      </c>
      <c r="AHJ23" s="57">
        <f t="shared" si="216"/>
        <v>0</v>
      </c>
      <c r="AHK23" s="57">
        <f t="shared" si="216"/>
        <v>0</v>
      </c>
      <c r="AHL23" s="57">
        <f t="shared" si="216"/>
        <v>0</v>
      </c>
      <c r="AHM23" s="57">
        <f t="shared" si="216"/>
        <v>0</v>
      </c>
      <c r="AHN23" s="57">
        <f t="shared" si="216"/>
        <v>0</v>
      </c>
      <c r="AHO23" s="57">
        <f t="shared" si="216"/>
        <v>0</v>
      </c>
      <c r="AHP23" s="57">
        <f t="shared" ref="AHP23:AKA23" si="217">AHP28+AHP35+AHP42+AHP49+AHP56</f>
        <v>0</v>
      </c>
      <c r="AHQ23" s="57">
        <f t="shared" si="217"/>
        <v>0</v>
      </c>
      <c r="AHR23" s="57">
        <f t="shared" si="217"/>
        <v>0</v>
      </c>
      <c r="AHS23" s="57">
        <f t="shared" si="217"/>
        <v>0</v>
      </c>
      <c r="AHT23" s="57">
        <f t="shared" si="217"/>
        <v>0</v>
      </c>
      <c r="AHU23" s="57">
        <f t="shared" si="217"/>
        <v>0</v>
      </c>
      <c r="AHV23" s="57">
        <f t="shared" si="217"/>
        <v>0</v>
      </c>
      <c r="AHW23" s="57">
        <f t="shared" si="217"/>
        <v>0</v>
      </c>
      <c r="AHX23" s="57">
        <f t="shared" si="217"/>
        <v>0</v>
      </c>
      <c r="AHY23" s="57">
        <f t="shared" si="217"/>
        <v>0</v>
      </c>
      <c r="AHZ23" s="57">
        <f t="shared" si="217"/>
        <v>0</v>
      </c>
      <c r="AIA23" s="57">
        <f t="shared" si="217"/>
        <v>0</v>
      </c>
      <c r="AIB23" s="57">
        <f t="shared" si="217"/>
        <v>0</v>
      </c>
      <c r="AIC23" s="57">
        <f t="shared" si="217"/>
        <v>0</v>
      </c>
      <c r="AID23" s="57">
        <f t="shared" si="217"/>
        <v>0</v>
      </c>
      <c r="AIE23" s="57">
        <f t="shared" si="217"/>
        <v>0</v>
      </c>
      <c r="AIF23" s="57">
        <f t="shared" si="217"/>
        <v>0</v>
      </c>
      <c r="AIG23" s="57">
        <f t="shared" si="217"/>
        <v>0</v>
      </c>
      <c r="AIH23" s="57">
        <f t="shared" si="217"/>
        <v>0</v>
      </c>
      <c r="AII23" s="57">
        <f t="shared" si="217"/>
        <v>0</v>
      </c>
      <c r="AIJ23" s="57">
        <f t="shared" si="217"/>
        <v>0</v>
      </c>
      <c r="AIK23" s="57">
        <f t="shared" si="217"/>
        <v>0</v>
      </c>
      <c r="AIL23" s="57">
        <f t="shared" si="217"/>
        <v>0</v>
      </c>
      <c r="AIM23" s="57">
        <f t="shared" si="217"/>
        <v>0</v>
      </c>
      <c r="AIN23" s="57">
        <f t="shared" si="217"/>
        <v>0</v>
      </c>
      <c r="AIO23" s="57">
        <f t="shared" si="217"/>
        <v>0</v>
      </c>
      <c r="AIP23" s="57">
        <f t="shared" si="217"/>
        <v>0</v>
      </c>
      <c r="AIQ23" s="57">
        <f t="shared" si="217"/>
        <v>0</v>
      </c>
      <c r="AIR23" s="57">
        <f t="shared" si="217"/>
        <v>0</v>
      </c>
      <c r="AIS23" s="57">
        <f t="shared" si="217"/>
        <v>0</v>
      </c>
      <c r="AIT23" s="57">
        <f t="shared" si="217"/>
        <v>0</v>
      </c>
      <c r="AIU23" s="57">
        <f t="shared" si="217"/>
        <v>0</v>
      </c>
      <c r="AIV23" s="57">
        <f t="shared" si="217"/>
        <v>0</v>
      </c>
      <c r="AIW23" s="57">
        <f t="shared" si="217"/>
        <v>0</v>
      </c>
      <c r="AIX23" s="57">
        <f t="shared" si="217"/>
        <v>0</v>
      </c>
      <c r="AIY23" s="57">
        <f t="shared" si="217"/>
        <v>0</v>
      </c>
      <c r="AIZ23" s="57">
        <f t="shared" si="217"/>
        <v>0</v>
      </c>
      <c r="AJA23" s="57">
        <f t="shared" si="217"/>
        <v>0</v>
      </c>
      <c r="AJB23" s="57">
        <f t="shared" si="217"/>
        <v>0</v>
      </c>
      <c r="AJC23" s="57">
        <f t="shared" si="217"/>
        <v>0</v>
      </c>
      <c r="AJD23" s="57">
        <f t="shared" si="217"/>
        <v>0</v>
      </c>
      <c r="AJE23" s="57">
        <f t="shared" si="217"/>
        <v>0</v>
      </c>
      <c r="AJF23" s="57">
        <f t="shared" si="217"/>
        <v>0</v>
      </c>
      <c r="AJG23" s="57">
        <f t="shared" si="217"/>
        <v>0</v>
      </c>
      <c r="AJH23" s="57">
        <f t="shared" si="217"/>
        <v>0</v>
      </c>
      <c r="AJI23" s="57">
        <f t="shared" si="217"/>
        <v>0</v>
      </c>
      <c r="AJJ23" s="57">
        <f t="shared" si="217"/>
        <v>0</v>
      </c>
      <c r="AJK23" s="57">
        <f t="shared" si="217"/>
        <v>0</v>
      </c>
      <c r="AJL23" s="57">
        <f t="shared" si="217"/>
        <v>0</v>
      </c>
      <c r="AJM23" s="57">
        <f t="shared" si="217"/>
        <v>0</v>
      </c>
      <c r="AJN23" s="57">
        <f t="shared" si="217"/>
        <v>0</v>
      </c>
      <c r="AJO23" s="57">
        <f t="shared" si="217"/>
        <v>0</v>
      </c>
      <c r="AJP23" s="57">
        <f t="shared" si="217"/>
        <v>0</v>
      </c>
      <c r="AJQ23" s="57">
        <f t="shared" si="217"/>
        <v>0</v>
      </c>
      <c r="AJR23" s="57">
        <f t="shared" si="217"/>
        <v>0</v>
      </c>
      <c r="AJS23" s="57">
        <f t="shared" si="217"/>
        <v>0</v>
      </c>
      <c r="AJT23" s="57">
        <f t="shared" si="217"/>
        <v>0</v>
      </c>
      <c r="AJU23" s="57">
        <f t="shared" si="217"/>
        <v>0</v>
      </c>
      <c r="AJV23" s="57">
        <f t="shared" si="217"/>
        <v>0</v>
      </c>
      <c r="AJW23" s="57">
        <f t="shared" si="217"/>
        <v>0</v>
      </c>
      <c r="AJX23" s="57">
        <f t="shared" si="217"/>
        <v>0</v>
      </c>
      <c r="AJY23" s="57">
        <f t="shared" si="217"/>
        <v>0</v>
      </c>
      <c r="AJZ23" s="57">
        <f t="shared" si="217"/>
        <v>0</v>
      </c>
      <c r="AKA23" s="57">
        <f t="shared" si="217"/>
        <v>0</v>
      </c>
      <c r="AKB23" s="57">
        <f t="shared" ref="AKB23:AMM23" si="218">AKB28+AKB35+AKB42+AKB49+AKB56</f>
        <v>0</v>
      </c>
      <c r="AKC23" s="57">
        <f t="shared" si="218"/>
        <v>0</v>
      </c>
      <c r="AKD23" s="57">
        <f t="shared" si="218"/>
        <v>0</v>
      </c>
      <c r="AKE23" s="57">
        <f t="shared" si="218"/>
        <v>0</v>
      </c>
      <c r="AKF23" s="57">
        <f t="shared" si="218"/>
        <v>0</v>
      </c>
      <c r="AKG23" s="57">
        <f t="shared" si="218"/>
        <v>0</v>
      </c>
      <c r="AKH23" s="57">
        <f t="shared" si="218"/>
        <v>0</v>
      </c>
      <c r="AKI23" s="57">
        <f t="shared" si="218"/>
        <v>0</v>
      </c>
      <c r="AKJ23" s="57">
        <f t="shared" si="218"/>
        <v>0</v>
      </c>
      <c r="AKK23" s="57">
        <f t="shared" si="218"/>
        <v>0</v>
      </c>
      <c r="AKL23" s="57">
        <f t="shared" si="218"/>
        <v>0</v>
      </c>
      <c r="AKM23" s="57">
        <f t="shared" si="218"/>
        <v>0</v>
      </c>
      <c r="AKN23" s="57">
        <f t="shared" si="218"/>
        <v>0</v>
      </c>
      <c r="AKO23" s="57">
        <f t="shared" si="218"/>
        <v>0</v>
      </c>
      <c r="AKP23" s="57">
        <f t="shared" si="218"/>
        <v>0</v>
      </c>
      <c r="AKQ23" s="57">
        <f t="shared" si="218"/>
        <v>0</v>
      </c>
      <c r="AKR23" s="57">
        <f t="shared" si="218"/>
        <v>0</v>
      </c>
      <c r="AKS23" s="57">
        <f t="shared" si="218"/>
        <v>0</v>
      </c>
      <c r="AKT23" s="57">
        <f t="shared" si="218"/>
        <v>0</v>
      </c>
      <c r="AKU23" s="57">
        <f t="shared" si="218"/>
        <v>0</v>
      </c>
      <c r="AKV23" s="57">
        <f t="shared" si="218"/>
        <v>0</v>
      </c>
      <c r="AKW23" s="57">
        <f t="shared" si="218"/>
        <v>0</v>
      </c>
      <c r="AKX23" s="57">
        <f t="shared" si="218"/>
        <v>0</v>
      </c>
      <c r="AKY23" s="57">
        <f t="shared" si="218"/>
        <v>0</v>
      </c>
      <c r="AKZ23" s="57">
        <f t="shared" si="218"/>
        <v>0</v>
      </c>
      <c r="ALA23" s="57">
        <f t="shared" si="218"/>
        <v>0</v>
      </c>
      <c r="ALB23" s="57">
        <f t="shared" si="218"/>
        <v>0</v>
      </c>
      <c r="ALC23" s="57">
        <f t="shared" si="218"/>
        <v>0</v>
      </c>
      <c r="ALD23" s="57">
        <f t="shared" si="218"/>
        <v>0</v>
      </c>
      <c r="ALE23" s="57">
        <f t="shared" si="218"/>
        <v>0</v>
      </c>
      <c r="ALF23" s="57">
        <f t="shared" si="218"/>
        <v>0</v>
      </c>
      <c r="ALG23" s="57">
        <f t="shared" si="218"/>
        <v>0</v>
      </c>
      <c r="ALH23" s="57">
        <f t="shared" si="218"/>
        <v>0</v>
      </c>
      <c r="ALI23" s="57">
        <f t="shared" si="218"/>
        <v>0</v>
      </c>
      <c r="ALJ23" s="57">
        <f t="shared" si="218"/>
        <v>0</v>
      </c>
      <c r="ALK23" s="57">
        <f t="shared" si="218"/>
        <v>0</v>
      </c>
      <c r="ALL23" s="57">
        <f t="shared" si="218"/>
        <v>0</v>
      </c>
      <c r="ALM23" s="57">
        <f t="shared" si="218"/>
        <v>0</v>
      </c>
      <c r="ALN23" s="57">
        <f t="shared" si="218"/>
        <v>0</v>
      </c>
      <c r="ALO23" s="57">
        <f t="shared" si="218"/>
        <v>0</v>
      </c>
      <c r="ALP23" s="57">
        <f t="shared" si="218"/>
        <v>0</v>
      </c>
      <c r="ALQ23" s="57">
        <f t="shared" si="218"/>
        <v>0</v>
      </c>
      <c r="ALR23" s="57">
        <f t="shared" si="218"/>
        <v>0</v>
      </c>
      <c r="ALS23" s="57">
        <f t="shared" si="218"/>
        <v>0</v>
      </c>
      <c r="ALT23" s="57">
        <f t="shared" si="218"/>
        <v>0</v>
      </c>
      <c r="ALU23" s="57">
        <f t="shared" si="218"/>
        <v>0</v>
      </c>
      <c r="ALV23" s="57">
        <f t="shared" si="218"/>
        <v>0</v>
      </c>
      <c r="ALW23" s="57">
        <f t="shared" si="218"/>
        <v>0</v>
      </c>
      <c r="ALX23" s="57">
        <f t="shared" si="218"/>
        <v>0</v>
      </c>
      <c r="ALY23" s="57">
        <f t="shared" si="218"/>
        <v>0</v>
      </c>
      <c r="ALZ23" s="57">
        <f t="shared" si="218"/>
        <v>0</v>
      </c>
      <c r="AMA23" s="57">
        <f t="shared" si="218"/>
        <v>0</v>
      </c>
      <c r="AMB23" s="57">
        <f t="shared" si="218"/>
        <v>0</v>
      </c>
      <c r="AMC23" s="57">
        <f t="shared" si="218"/>
        <v>0</v>
      </c>
      <c r="AMD23" s="57">
        <f t="shared" si="218"/>
        <v>0</v>
      </c>
      <c r="AME23" s="57">
        <f t="shared" si="218"/>
        <v>0</v>
      </c>
      <c r="AMF23" s="57">
        <f t="shared" si="218"/>
        <v>0</v>
      </c>
      <c r="AMG23" s="57">
        <f t="shared" si="218"/>
        <v>0</v>
      </c>
      <c r="AMH23" s="57">
        <f t="shared" si="218"/>
        <v>0</v>
      </c>
      <c r="AMI23" s="57">
        <f t="shared" si="218"/>
        <v>0</v>
      </c>
      <c r="AMJ23" s="57">
        <f t="shared" si="218"/>
        <v>0</v>
      </c>
      <c r="AMK23" s="57">
        <f t="shared" si="218"/>
        <v>0</v>
      </c>
      <c r="AML23" s="57">
        <f t="shared" si="218"/>
        <v>0</v>
      </c>
      <c r="AMM23" s="57">
        <f t="shared" si="218"/>
        <v>0</v>
      </c>
      <c r="AMN23" s="57">
        <f t="shared" ref="AMN23:AOQ23" si="219">AMN28+AMN35+AMN42+AMN49+AMN56</f>
        <v>0</v>
      </c>
      <c r="AMO23" s="57">
        <f t="shared" si="219"/>
        <v>0</v>
      </c>
      <c r="AMP23" s="57">
        <f t="shared" si="219"/>
        <v>0</v>
      </c>
      <c r="AMQ23" s="57">
        <f t="shared" si="219"/>
        <v>0</v>
      </c>
      <c r="AMR23" s="57">
        <f t="shared" si="219"/>
        <v>0</v>
      </c>
      <c r="AMS23" s="57">
        <f t="shared" si="219"/>
        <v>0</v>
      </c>
      <c r="AMT23" s="57">
        <f t="shared" si="219"/>
        <v>0</v>
      </c>
      <c r="AMU23" s="57">
        <f t="shared" si="219"/>
        <v>0</v>
      </c>
      <c r="AMV23" s="57">
        <f t="shared" si="219"/>
        <v>0</v>
      </c>
      <c r="AMW23" s="57">
        <f t="shared" si="219"/>
        <v>0</v>
      </c>
      <c r="AMX23" s="57">
        <f t="shared" si="219"/>
        <v>0</v>
      </c>
      <c r="AMY23" s="57">
        <f t="shared" si="219"/>
        <v>0</v>
      </c>
      <c r="AMZ23" s="57">
        <f t="shared" si="219"/>
        <v>0</v>
      </c>
      <c r="ANA23" s="57">
        <f t="shared" si="219"/>
        <v>0</v>
      </c>
      <c r="ANB23" s="57">
        <f t="shared" si="219"/>
        <v>0</v>
      </c>
      <c r="ANC23" s="57">
        <f t="shared" si="219"/>
        <v>0</v>
      </c>
      <c r="AND23" s="57">
        <f t="shared" si="219"/>
        <v>0</v>
      </c>
      <c r="ANE23" s="57">
        <f t="shared" si="219"/>
        <v>0</v>
      </c>
      <c r="ANF23" s="57">
        <f t="shared" si="219"/>
        <v>0</v>
      </c>
      <c r="ANG23" s="57">
        <f t="shared" si="219"/>
        <v>0</v>
      </c>
      <c r="ANH23" s="57">
        <f t="shared" si="219"/>
        <v>0</v>
      </c>
      <c r="ANI23" s="57">
        <f t="shared" si="219"/>
        <v>0</v>
      </c>
      <c r="ANJ23" s="57">
        <f t="shared" si="219"/>
        <v>0</v>
      </c>
      <c r="ANK23" s="57">
        <f t="shared" si="219"/>
        <v>0</v>
      </c>
      <c r="ANL23" s="57">
        <f t="shared" si="219"/>
        <v>0</v>
      </c>
      <c r="ANM23" s="57">
        <f t="shared" si="219"/>
        <v>0</v>
      </c>
      <c r="ANN23" s="57">
        <f t="shared" si="219"/>
        <v>0</v>
      </c>
      <c r="ANO23" s="57">
        <f t="shared" si="219"/>
        <v>0</v>
      </c>
      <c r="ANP23" s="57">
        <f t="shared" si="219"/>
        <v>0</v>
      </c>
      <c r="ANQ23" s="57">
        <f t="shared" si="219"/>
        <v>0</v>
      </c>
      <c r="ANR23" s="57">
        <f t="shared" si="219"/>
        <v>0</v>
      </c>
      <c r="ANS23" s="57">
        <f t="shared" si="219"/>
        <v>0</v>
      </c>
      <c r="ANT23" s="57">
        <f t="shared" si="219"/>
        <v>0</v>
      </c>
      <c r="ANU23" s="57">
        <f t="shared" si="219"/>
        <v>0</v>
      </c>
      <c r="ANV23" s="57">
        <f t="shared" si="219"/>
        <v>0</v>
      </c>
      <c r="ANW23" s="57">
        <f t="shared" si="219"/>
        <v>0</v>
      </c>
      <c r="ANX23" s="57">
        <f t="shared" si="219"/>
        <v>0</v>
      </c>
      <c r="ANY23" s="57">
        <f t="shared" si="219"/>
        <v>0</v>
      </c>
      <c r="ANZ23" s="57">
        <f t="shared" si="219"/>
        <v>0</v>
      </c>
      <c r="AOA23" s="57">
        <f t="shared" si="219"/>
        <v>0</v>
      </c>
      <c r="AOB23" s="57">
        <f t="shared" si="219"/>
        <v>0</v>
      </c>
      <c r="AOC23" s="57">
        <f t="shared" si="219"/>
        <v>0</v>
      </c>
      <c r="AOD23" s="57">
        <f t="shared" si="219"/>
        <v>0</v>
      </c>
      <c r="AOE23" s="57">
        <f t="shared" si="219"/>
        <v>0</v>
      </c>
      <c r="AOF23" s="57">
        <f t="shared" si="219"/>
        <v>0</v>
      </c>
      <c r="AOG23" s="57">
        <f t="shared" si="219"/>
        <v>0</v>
      </c>
      <c r="AOH23" s="57">
        <f t="shared" si="219"/>
        <v>0</v>
      </c>
      <c r="AOI23" s="57">
        <f t="shared" si="219"/>
        <v>0</v>
      </c>
      <c r="AOJ23" s="57">
        <f t="shared" si="219"/>
        <v>0</v>
      </c>
      <c r="AOK23" s="57">
        <f t="shared" si="219"/>
        <v>0</v>
      </c>
      <c r="AOL23" s="57">
        <f t="shared" si="219"/>
        <v>0</v>
      </c>
      <c r="AOM23" s="57">
        <f t="shared" si="219"/>
        <v>0</v>
      </c>
      <c r="AON23" s="57">
        <f t="shared" si="219"/>
        <v>0</v>
      </c>
      <c r="AOO23" s="57">
        <f t="shared" si="219"/>
        <v>0</v>
      </c>
      <c r="AOP23" s="57">
        <f t="shared" si="219"/>
        <v>0</v>
      </c>
      <c r="AOQ23" s="57">
        <f t="shared" si="219"/>
        <v>0</v>
      </c>
    </row>
    <row r="24" spans="2:1083" x14ac:dyDescent="0.25">
      <c r="B24" s="42" t="s">
        <v>178</v>
      </c>
      <c r="C24" s="42"/>
      <c r="D24" s="57">
        <f t="shared" ref="D24:BO24" si="220">(D20+D21+D22-D23)*($C$3/12)</f>
        <v>0</v>
      </c>
      <c r="E24" s="57">
        <f t="shared" si="220"/>
        <v>0</v>
      </c>
      <c r="F24" s="57">
        <f t="shared" si="220"/>
        <v>0</v>
      </c>
      <c r="G24" s="57">
        <f t="shared" si="220"/>
        <v>0</v>
      </c>
      <c r="H24" s="57">
        <f t="shared" si="220"/>
        <v>0</v>
      </c>
      <c r="I24" s="57">
        <f t="shared" si="220"/>
        <v>0</v>
      </c>
      <c r="J24" s="57">
        <f t="shared" si="220"/>
        <v>0</v>
      </c>
      <c r="K24" s="57">
        <f t="shared" si="220"/>
        <v>0</v>
      </c>
      <c r="L24" s="57">
        <f t="shared" si="220"/>
        <v>0</v>
      </c>
      <c r="M24" s="57">
        <f t="shared" si="220"/>
        <v>0</v>
      </c>
      <c r="N24" s="57">
        <f t="shared" si="220"/>
        <v>0</v>
      </c>
      <c r="O24" s="57">
        <f t="shared" si="220"/>
        <v>0</v>
      </c>
      <c r="P24" s="57">
        <f t="shared" si="220"/>
        <v>0</v>
      </c>
      <c r="Q24" s="57">
        <f t="shared" si="220"/>
        <v>0</v>
      </c>
      <c r="R24" s="57">
        <f t="shared" si="220"/>
        <v>0</v>
      </c>
      <c r="S24" s="57">
        <f t="shared" si="220"/>
        <v>0</v>
      </c>
      <c r="T24" s="57">
        <f t="shared" si="220"/>
        <v>0</v>
      </c>
      <c r="U24" s="57">
        <f t="shared" si="220"/>
        <v>0</v>
      </c>
      <c r="V24" s="57">
        <f t="shared" si="220"/>
        <v>0</v>
      </c>
      <c r="W24" s="57">
        <f t="shared" si="220"/>
        <v>0</v>
      </c>
      <c r="X24" s="57">
        <f t="shared" si="220"/>
        <v>0</v>
      </c>
      <c r="Y24" s="57">
        <f t="shared" si="220"/>
        <v>0</v>
      </c>
      <c r="Z24" s="57">
        <f t="shared" si="220"/>
        <v>0</v>
      </c>
      <c r="AA24" s="57">
        <f t="shared" si="220"/>
        <v>0</v>
      </c>
      <c r="AB24" s="57">
        <f t="shared" si="220"/>
        <v>0</v>
      </c>
      <c r="AC24" s="57">
        <f t="shared" si="220"/>
        <v>0</v>
      </c>
      <c r="AD24" s="57">
        <f t="shared" si="220"/>
        <v>0</v>
      </c>
      <c r="AE24" s="57">
        <f t="shared" si="220"/>
        <v>0</v>
      </c>
      <c r="AF24" s="57">
        <f t="shared" si="220"/>
        <v>0</v>
      </c>
      <c r="AG24" s="57">
        <f t="shared" si="220"/>
        <v>0</v>
      </c>
      <c r="AH24" s="57">
        <f t="shared" si="220"/>
        <v>0</v>
      </c>
      <c r="AI24" s="57">
        <f t="shared" si="220"/>
        <v>0</v>
      </c>
      <c r="AJ24" s="57">
        <f t="shared" si="220"/>
        <v>0</v>
      </c>
      <c r="AK24" s="57">
        <f t="shared" si="220"/>
        <v>0</v>
      </c>
      <c r="AL24" s="57">
        <f t="shared" si="220"/>
        <v>0</v>
      </c>
      <c r="AM24" s="57">
        <f t="shared" si="220"/>
        <v>0</v>
      </c>
      <c r="AN24" s="57">
        <f t="shared" si="220"/>
        <v>0</v>
      </c>
      <c r="AO24" s="57">
        <f t="shared" si="220"/>
        <v>0</v>
      </c>
      <c r="AP24" s="57">
        <f t="shared" si="220"/>
        <v>0</v>
      </c>
      <c r="AQ24" s="57">
        <f t="shared" si="220"/>
        <v>0</v>
      </c>
      <c r="AR24" s="57">
        <f t="shared" si="220"/>
        <v>0</v>
      </c>
      <c r="AS24" s="57">
        <f t="shared" si="220"/>
        <v>0</v>
      </c>
      <c r="AT24" s="57">
        <f t="shared" si="220"/>
        <v>0</v>
      </c>
      <c r="AU24" s="57">
        <f t="shared" si="220"/>
        <v>0</v>
      </c>
      <c r="AV24" s="57">
        <f t="shared" si="220"/>
        <v>0</v>
      </c>
      <c r="AW24" s="57">
        <f t="shared" si="220"/>
        <v>0</v>
      </c>
      <c r="AX24" s="57">
        <f t="shared" si="220"/>
        <v>0</v>
      </c>
      <c r="AY24" s="57">
        <f t="shared" si="220"/>
        <v>0</v>
      </c>
      <c r="AZ24" s="57">
        <f t="shared" si="220"/>
        <v>0</v>
      </c>
      <c r="BA24" s="57">
        <f t="shared" si="220"/>
        <v>0</v>
      </c>
      <c r="BB24" s="57">
        <f t="shared" si="220"/>
        <v>0</v>
      </c>
      <c r="BC24" s="57">
        <f t="shared" si="220"/>
        <v>0</v>
      </c>
      <c r="BD24" s="57">
        <f t="shared" si="220"/>
        <v>0</v>
      </c>
      <c r="BE24" s="57">
        <f t="shared" si="220"/>
        <v>0</v>
      </c>
      <c r="BF24" s="57">
        <f t="shared" si="220"/>
        <v>0</v>
      </c>
      <c r="BG24" s="57">
        <f t="shared" si="220"/>
        <v>0</v>
      </c>
      <c r="BH24" s="57">
        <f t="shared" si="220"/>
        <v>0</v>
      </c>
      <c r="BI24" s="57">
        <f t="shared" si="220"/>
        <v>0</v>
      </c>
      <c r="BJ24" s="57">
        <f t="shared" si="220"/>
        <v>0</v>
      </c>
      <c r="BK24" s="57">
        <f t="shared" si="220"/>
        <v>0</v>
      </c>
      <c r="BL24" s="57">
        <f t="shared" si="220"/>
        <v>0</v>
      </c>
      <c r="BM24" s="57">
        <f t="shared" si="220"/>
        <v>0</v>
      </c>
      <c r="BN24" s="57">
        <f t="shared" si="220"/>
        <v>0</v>
      </c>
      <c r="BO24" s="57">
        <f t="shared" si="220"/>
        <v>0</v>
      </c>
      <c r="BP24" s="57">
        <f t="shared" ref="BP24:EA24" si="221">(BP20+BP21+BP22-BP23)*($C$3/12)</f>
        <v>0</v>
      </c>
      <c r="BQ24" s="57">
        <f t="shared" si="221"/>
        <v>0</v>
      </c>
      <c r="BR24" s="57">
        <f t="shared" si="221"/>
        <v>0</v>
      </c>
      <c r="BS24" s="57">
        <f t="shared" si="221"/>
        <v>0</v>
      </c>
      <c r="BT24" s="57">
        <f t="shared" si="221"/>
        <v>0</v>
      </c>
      <c r="BU24" s="57">
        <f t="shared" si="221"/>
        <v>0</v>
      </c>
      <c r="BV24" s="57">
        <f t="shared" si="221"/>
        <v>0</v>
      </c>
      <c r="BW24" s="57">
        <f t="shared" si="221"/>
        <v>0</v>
      </c>
      <c r="BX24" s="57">
        <f t="shared" si="221"/>
        <v>0</v>
      </c>
      <c r="BY24" s="57">
        <f t="shared" si="221"/>
        <v>0</v>
      </c>
      <c r="BZ24" s="57">
        <f t="shared" si="221"/>
        <v>0</v>
      </c>
      <c r="CA24" s="57">
        <f t="shared" si="221"/>
        <v>0</v>
      </c>
      <c r="CB24" s="57">
        <f t="shared" si="221"/>
        <v>0</v>
      </c>
      <c r="CC24" s="57">
        <f t="shared" si="221"/>
        <v>0</v>
      </c>
      <c r="CD24" s="57">
        <f t="shared" si="221"/>
        <v>0</v>
      </c>
      <c r="CE24" s="57">
        <f t="shared" si="221"/>
        <v>0</v>
      </c>
      <c r="CF24" s="57">
        <f t="shared" si="221"/>
        <v>0</v>
      </c>
      <c r="CG24" s="57">
        <f t="shared" si="221"/>
        <v>0</v>
      </c>
      <c r="CH24" s="57">
        <f t="shared" si="221"/>
        <v>0</v>
      </c>
      <c r="CI24" s="57">
        <f t="shared" si="221"/>
        <v>0</v>
      </c>
      <c r="CJ24" s="57">
        <f t="shared" si="221"/>
        <v>0</v>
      </c>
      <c r="CK24" s="57">
        <f t="shared" si="221"/>
        <v>0</v>
      </c>
      <c r="CL24" s="57">
        <f t="shared" si="221"/>
        <v>0</v>
      </c>
      <c r="CM24" s="57">
        <f t="shared" si="221"/>
        <v>0</v>
      </c>
      <c r="CN24" s="57">
        <f t="shared" si="221"/>
        <v>0</v>
      </c>
      <c r="CO24" s="57">
        <f t="shared" si="221"/>
        <v>0</v>
      </c>
      <c r="CP24" s="57">
        <f t="shared" si="221"/>
        <v>0</v>
      </c>
      <c r="CQ24" s="57">
        <f t="shared" si="221"/>
        <v>0</v>
      </c>
      <c r="CR24" s="57">
        <f t="shared" si="221"/>
        <v>0</v>
      </c>
      <c r="CS24" s="57">
        <f t="shared" si="221"/>
        <v>0</v>
      </c>
      <c r="CT24" s="57">
        <f t="shared" si="221"/>
        <v>0</v>
      </c>
      <c r="CU24" s="57">
        <f t="shared" si="221"/>
        <v>0</v>
      </c>
      <c r="CV24" s="57">
        <f t="shared" si="221"/>
        <v>0</v>
      </c>
      <c r="CW24" s="57">
        <f t="shared" si="221"/>
        <v>0</v>
      </c>
      <c r="CX24" s="57">
        <f t="shared" si="221"/>
        <v>0</v>
      </c>
      <c r="CY24" s="57">
        <f t="shared" si="221"/>
        <v>0</v>
      </c>
      <c r="CZ24" s="57">
        <f t="shared" si="221"/>
        <v>0</v>
      </c>
      <c r="DA24" s="57">
        <f t="shared" si="221"/>
        <v>0</v>
      </c>
      <c r="DB24" s="57">
        <f t="shared" si="221"/>
        <v>0</v>
      </c>
      <c r="DC24" s="57">
        <f t="shared" si="221"/>
        <v>0</v>
      </c>
      <c r="DD24" s="57">
        <f t="shared" si="221"/>
        <v>0</v>
      </c>
      <c r="DE24" s="57">
        <f t="shared" si="221"/>
        <v>0</v>
      </c>
      <c r="DF24" s="57">
        <f t="shared" si="221"/>
        <v>0</v>
      </c>
      <c r="DG24" s="57">
        <f t="shared" si="221"/>
        <v>0</v>
      </c>
      <c r="DH24" s="57">
        <f t="shared" si="221"/>
        <v>0</v>
      </c>
      <c r="DI24" s="57">
        <f t="shared" si="221"/>
        <v>0</v>
      </c>
      <c r="DJ24" s="57">
        <f t="shared" si="221"/>
        <v>0</v>
      </c>
      <c r="DK24" s="57">
        <f t="shared" si="221"/>
        <v>0</v>
      </c>
      <c r="DL24" s="57">
        <f t="shared" si="221"/>
        <v>0</v>
      </c>
      <c r="DM24" s="57">
        <f t="shared" si="221"/>
        <v>0</v>
      </c>
      <c r="DN24" s="57">
        <f t="shared" si="221"/>
        <v>0</v>
      </c>
      <c r="DO24" s="57">
        <f t="shared" si="221"/>
        <v>0</v>
      </c>
      <c r="DP24" s="57">
        <f t="shared" si="221"/>
        <v>0</v>
      </c>
      <c r="DQ24" s="57">
        <f t="shared" si="221"/>
        <v>0</v>
      </c>
      <c r="DR24" s="57">
        <f t="shared" si="221"/>
        <v>0</v>
      </c>
      <c r="DS24" s="57">
        <f t="shared" si="221"/>
        <v>0</v>
      </c>
      <c r="DT24" s="57">
        <f t="shared" si="221"/>
        <v>0</v>
      </c>
      <c r="DU24" s="57">
        <f t="shared" si="221"/>
        <v>0</v>
      </c>
      <c r="DV24" s="57">
        <f t="shared" si="221"/>
        <v>0</v>
      </c>
      <c r="DW24" s="57">
        <f t="shared" si="221"/>
        <v>0</v>
      </c>
      <c r="DX24" s="57">
        <f t="shared" si="221"/>
        <v>0</v>
      </c>
      <c r="DY24" s="57">
        <f t="shared" si="221"/>
        <v>0</v>
      </c>
      <c r="DZ24" s="57">
        <f t="shared" si="221"/>
        <v>0</v>
      </c>
      <c r="EA24" s="57">
        <f t="shared" si="221"/>
        <v>0</v>
      </c>
      <c r="EB24" s="57">
        <f t="shared" ref="EB24:GM24" si="222">(EB20+EB21+EB22-EB23)*($C$3/12)</f>
        <v>0</v>
      </c>
      <c r="EC24" s="57">
        <f t="shared" si="222"/>
        <v>0</v>
      </c>
      <c r="ED24" s="57">
        <f t="shared" si="222"/>
        <v>0</v>
      </c>
      <c r="EE24" s="57">
        <f t="shared" si="222"/>
        <v>0</v>
      </c>
      <c r="EF24" s="57">
        <f t="shared" si="222"/>
        <v>0</v>
      </c>
      <c r="EG24" s="57">
        <f t="shared" si="222"/>
        <v>0</v>
      </c>
      <c r="EH24" s="57">
        <f t="shared" si="222"/>
        <v>0</v>
      </c>
      <c r="EI24" s="57">
        <f t="shared" si="222"/>
        <v>0</v>
      </c>
      <c r="EJ24" s="57">
        <f t="shared" si="222"/>
        <v>0</v>
      </c>
      <c r="EK24" s="57">
        <f t="shared" si="222"/>
        <v>0</v>
      </c>
      <c r="EL24" s="57">
        <f t="shared" si="222"/>
        <v>0</v>
      </c>
      <c r="EM24" s="57">
        <f t="shared" si="222"/>
        <v>0</v>
      </c>
      <c r="EN24" s="57">
        <f t="shared" si="222"/>
        <v>0</v>
      </c>
      <c r="EO24" s="57">
        <f t="shared" si="222"/>
        <v>0</v>
      </c>
      <c r="EP24" s="57">
        <f t="shared" si="222"/>
        <v>0</v>
      </c>
      <c r="EQ24" s="57">
        <f t="shared" si="222"/>
        <v>0</v>
      </c>
      <c r="ER24" s="57">
        <f t="shared" si="222"/>
        <v>0</v>
      </c>
      <c r="ES24" s="57">
        <f t="shared" si="222"/>
        <v>0</v>
      </c>
      <c r="ET24" s="57">
        <f t="shared" si="222"/>
        <v>0</v>
      </c>
      <c r="EU24" s="57">
        <f t="shared" si="222"/>
        <v>0</v>
      </c>
      <c r="EV24" s="57">
        <f t="shared" si="222"/>
        <v>0</v>
      </c>
      <c r="EW24" s="57">
        <f t="shared" si="222"/>
        <v>0</v>
      </c>
      <c r="EX24" s="57">
        <f t="shared" si="222"/>
        <v>0</v>
      </c>
      <c r="EY24" s="57">
        <f t="shared" si="222"/>
        <v>0</v>
      </c>
      <c r="EZ24" s="57">
        <f t="shared" si="222"/>
        <v>0</v>
      </c>
      <c r="FA24" s="57">
        <f t="shared" si="222"/>
        <v>0</v>
      </c>
      <c r="FB24" s="57">
        <f t="shared" si="222"/>
        <v>0</v>
      </c>
      <c r="FC24" s="57">
        <f t="shared" si="222"/>
        <v>0</v>
      </c>
      <c r="FD24" s="57">
        <f t="shared" si="222"/>
        <v>0</v>
      </c>
      <c r="FE24" s="57">
        <f t="shared" si="222"/>
        <v>0</v>
      </c>
      <c r="FF24" s="57">
        <f t="shared" si="222"/>
        <v>0</v>
      </c>
      <c r="FG24" s="57">
        <f t="shared" si="222"/>
        <v>0</v>
      </c>
      <c r="FH24" s="57">
        <f t="shared" si="222"/>
        <v>0</v>
      </c>
      <c r="FI24" s="57">
        <f t="shared" si="222"/>
        <v>0</v>
      </c>
      <c r="FJ24" s="57">
        <f t="shared" si="222"/>
        <v>0</v>
      </c>
      <c r="FK24" s="57">
        <f t="shared" si="222"/>
        <v>0</v>
      </c>
      <c r="FL24" s="57">
        <f t="shared" si="222"/>
        <v>0</v>
      </c>
      <c r="FM24" s="57">
        <f t="shared" si="222"/>
        <v>0</v>
      </c>
      <c r="FN24" s="57">
        <f t="shared" si="222"/>
        <v>0</v>
      </c>
      <c r="FO24" s="57">
        <f t="shared" si="222"/>
        <v>0</v>
      </c>
      <c r="FP24" s="57">
        <f t="shared" si="222"/>
        <v>0</v>
      </c>
      <c r="FQ24" s="57">
        <f t="shared" si="222"/>
        <v>0</v>
      </c>
      <c r="FR24" s="57">
        <f t="shared" si="222"/>
        <v>0</v>
      </c>
      <c r="FS24" s="57">
        <f t="shared" si="222"/>
        <v>0</v>
      </c>
      <c r="FT24" s="57">
        <f t="shared" si="222"/>
        <v>0</v>
      </c>
      <c r="FU24" s="57">
        <f t="shared" si="222"/>
        <v>0</v>
      </c>
      <c r="FV24" s="57">
        <f t="shared" si="222"/>
        <v>0</v>
      </c>
      <c r="FW24" s="57">
        <f t="shared" si="222"/>
        <v>0</v>
      </c>
      <c r="FX24" s="57">
        <f t="shared" si="222"/>
        <v>0</v>
      </c>
      <c r="FY24" s="57">
        <f t="shared" si="222"/>
        <v>0</v>
      </c>
      <c r="FZ24" s="57">
        <f t="shared" si="222"/>
        <v>0</v>
      </c>
      <c r="GA24" s="57">
        <f t="shared" si="222"/>
        <v>0</v>
      </c>
      <c r="GB24" s="57">
        <f t="shared" si="222"/>
        <v>0</v>
      </c>
      <c r="GC24" s="57">
        <f t="shared" si="222"/>
        <v>0</v>
      </c>
      <c r="GD24" s="57">
        <f t="shared" si="222"/>
        <v>0</v>
      </c>
      <c r="GE24" s="57">
        <f t="shared" si="222"/>
        <v>0</v>
      </c>
      <c r="GF24" s="57">
        <f t="shared" si="222"/>
        <v>0</v>
      </c>
      <c r="GG24" s="57">
        <f t="shared" si="222"/>
        <v>0</v>
      </c>
      <c r="GH24" s="57">
        <f t="shared" si="222"/>
        <v>0</v>
      </c>
      <c r="GI24" s="57">
        <f t="shared" si="222"/>
        <v>0</v>
      </c>
      <c r="GJ24" s="57">
        <f t="shared" si="222"/>
        <v>0</v>
      </c>
      <c r="GK24" s="57">
        <f t="shared" si="222"/>
        <v>0</v>
      </c>
      <c r="GL24" s="57">
        <f t="shared" si="222"/>
        <v>0</v>
      </c>
      <c r="GM24" s="57">
        <f t="shared" si="222"/>
        <v>0</v>
      </c>
      <c r="GN24" s="57">
        <f t="shared" ref="GN24:IY24" si="223">(GN20+GN21+GN22-GN23)*($C$3/12)</f>
        <v>0</v>
      </c>
      <c r="GO24" s="57">
        <f t="shared" si="223"/>
        <v>0</v>
      </c>
      <c r="GP24" s="57">
        <f t="shared" si="223"/>
        <v>0</v>
      </c>
      <c r="GQ24" s="57">
        <f t="shared" si="223"/>
        <v>0</v>
      </c>
      <c r="GR24" s="57">
        <f t="shared" si="223"/>
        <v>0</v>
      </c>
      <c r="GS24" s="57">
        <f t="shared" si="223"/>
        <v>0</v>
      </c>
      <c r="GT24" s="57">
        <f t="shared" si="223"/>
        <v>0</v>
      </c>
      <c r="GU24" s="57">
        <f t="shared" si="223"/>
        <v>0</v>
      </c>
      <c r="GV24" s="57">
        <f t="shared" si="223"/>
        <v>0</v>
      </c>
      <c r="GW24" s="57">
        <f t="shared" si="223"/>
        <v>0</v>
      </c>
      <c r="GX24" s="57">
        <f t="shared" si="223"/>
        <v>0</v>
      </c>
      <c r="GY24" s="57">
        <f t="shared" si="223"/>
        <v>0</v>
      </c>
      <c r="GZ24" s="57">
        <f t="shared" si="223"/>
        <v>0</v>
      </c>
      <c r="HA24" s="57">
        <f t="shared" si="223"/>
        <v>0</v>
      </c>
      <c r="HB24" s="57">
        <f t="shared" si="223"/>
        <v>0</v>
      </c>
      <c r="HC24" s="57">
        <f t="shared" si="223"/>
        <v>0</v>
      </c>
      <c r="HD24" s="57">
        <f t="shared" si="223"/>
        <v>0</v>
      </c>
      <c r="HE24" s="57">
        <f t="shared" si="223"/>
        <v>0</v>
      </c>
      <c r="HF24" s="57">
        <f t="shared" si="223"/>
        <v>0</v>
      </c>
      <c r="HG24" s="57">
        <f t="shared" si="223"/>
        <v>0</v>
      </c>
      <c r="HH24" s="57">
        <f t="shared" si="223"/>
        <v>0</v>
      </c>
      <c r="HI24" s="57">
        <f t="shared" si="223"/>
        <v>0</v>
      </c>
      <c r="HJ24" s="57">
        <f t="shared" si="223"/>
        <v>0</v>
      </c>
      <c r="HK24" s="57">
        <f t="shared" si="223"/>
        <v>0</v>
      </c>
      <c r="HL24" s="57">
        <f t="shared" si="223"/>
        <v>0</v>
      </c>
      <c r="HM24" s="57">
        <f t="shared" si="223"/>
        <v>0</v>
      </c>
      <c r="HN24" s="57">
        <f t="shared" si="223"/>
        <v>0</v>
      </c>
      <c r="HO24" s="57">
        <f t="shared" si="223"/>
        <v>0</v>
      </c>
      <c r="HP24" s="57">
        <f t="shared" si="223"/>
        <v>0</v>
      </c>
      <c r="HQ24" s="57">
        <f t="shared" si="223"/>
        <v>0</v>
      </c>
      <c r="HR24" s="57">
        <f t="shared" si="223"/>
        <v>0</v>
      </c>
      <c r="HS24" s="57">
        <f t="shared" si="223"/>
        <v>0</v>
      </c>
      <c r="HT24" s="57">
        <f t="shared" si="223"/>
        <v>0</v>
      </c>
      <c r="HU24" s="57">
        <f t="shared" si="223"/>
        <v>0</v>
      </c>
      <c r="HV24" s="57">
        <f t="shared" si="223"/>
        <v>0</v>
      </c>
      <c r="HW24" s="57">
        <f t="shared" si="223"/>
        <v>0</v>
      </c>
      <c r="HX24" s="57">
        <f t="shared" si="223"/>
        <v>0</v>
      </c>
      <c r="HY24" s="57">
        <f t="shared" si="223"/>
        <v>0</v>
      </c>
      <c r="HZ24" s="57">
        <f t="shared" si="223"/>
        <v>0</v>
      </c>
      <c r="IA24" s="57">
        <f t="shared" si="223"/>
        <v>0</v>
      </c>
      <c r="IB24" s="57">
        <f t="shared" si="223"/>
        <v>0</v>
      </c>
      <c r="IC24" s="57">
        <f t="shared" si="223"/>
        <v>0</v>
      </c>
      <c r="ID24" s="57">
        <f t="shared" si="223"/>
        <v>0</v>
      </c>
      <c r="IE24" s="57">
        <f t="shared" si="223"/>
        <v>0</v>
      </c>
      <c r="IF24" s="57">
        <f t="shared" si="223"/>
        <v>0</v>
      </c>
      <c r="IG24" s="57">
        <f t="shared" si="223"/>
        <v>0</v>
      </c>
      <c r="IH24" s="57">
        <f t="shared" si="223"/>
        <v>0</v>
      </c>
      <c r="II24" s="57">
        <f t="shared" si="223"/>
        <v>0</v>
      </c>
      <c r="IJ24" s="57">
        <f t="shared" si="223"/>
        <v>0</v>
      </c>
      <c r="IK24" s="57">
        <f t="shared" si="223"/>
        <v>0</v>
      </c>
      <c r="IL24" s="57">
        <f t="shared" si="223"/>
        <v>0</v>
      </c>
      <c r="IM24" s="57">
        <f t="shared" si="223"/>
        <v>0</v>
      </c>
      <c r="IN24" s="57">
        <f t="shared" si="223"/>
        <v>0</v>
      </c>
      <c r="IO24" s="57">
        <f t="shared" si="223"/>
        <v>0</v>
      </c>
      <c r="IP24" s="57">
        <f t="shared" si="223"/>
        <v>0</v>
      </c>
      <c r="IQ24" s="57">
        <f t="shared" si="223"/>
        <v>0</v>
      </c>
      <c r="IR24" s="57">
        <f t="shared" si="223"/>
        <v>0</v>
      </c>
      <c r="IS24" s="57">
        <f t="shared" si="223"/>
        <v>0</v>
      </c>
      <c r="IT24" s="57">
        <f t="shared" si="223"/>
        <v>0</v>
      </c>
      <c r="IU24" s="57">
        <f t="shared" si="223"/>
        <v>0</v>
      </c>
      <c r="IV24" s="57">
        <f t="shared" si="223"/>
        <v>0</v>
      </c>
      <c r="IW24" s="57">
        <f t="shared" si="223"/>
        <v>0</v>
      </c>
      <c r="IX24" s="57">
        <f t="shared" si="223"/>
        <v>0</v>
      </c>
      <c r="IY24" s="57">
        <f t="shared" si="223"/>
        <v>0</v>
      </c>
      <c r="IZ24" s="57">
        <f t="shared" ref="IZ24:LK24" si="224">(IZ20+IZ21+IZ22-IZ23)*($C$3/12)</f>
        <v>0</v>
      </c>
      <c r="JA24" s="57">
        <f t="shared" si="224"/>
        <v>0</v>
      </c>
      <c r="JB24" s="57">
        <f t="shared" si="224"/>
        <v>0</v>
      </c>
      <c r="JC24" s="57">
        <f t="shared" si="224"/>
        <v>0</v>
      </c>
      <c r="JD24" s="57">
        <f t="shared" si="224"/>
        <v>0</v>
      </c>
      <c r="JE24" s="57">
        <f t="shared" si="224"/>
        <v>0</v>
      </c>
      <c r="JF24" s="57">
        <f t="shared" si="224"/>
        <v>0</v>
      </c>
      <c r="JG24" s="57">
        <f t="shared" si="224"/>
        <v>0</v>
      </c>
      <c r="JH24" s="57">
        <f t="shared" si="224"/>
        <v>0</v>
      </c>
      <c r="JI24" s="57">
        <f t="shared" si="224"/>
        <v>0</v>
      </c>
      <c r="JJ24" s="57">
        <f t="shared" si="224"/>
        <v>0</v>
      </c>
      <c r="JK24" s="57">
        <f t="shared" si="224"/>
        <v>0</v>
      </c>
      <c r="JL24" s="57">
        <f t="shared" si="224"/>
        <v>0</v>
      </c>
      <c r="JM24" s="57">
        <f t="shared" si="224"/>
        <v>0</v>
      </c>
      <c r="JN24" s="57">
        <f t="shared" si="224"/>
        <v>0</v>
      </c>
      <c r="JO24" s="57">
        <f t="shared" si="224"/>
        <v>0</v>
      </c>
      <c r="JP24" s="57">
        <f t="shared" si="224"/>
        <v>0</v>
      </c>
      <c r="JQ24" s="57">
        <f t="shared" si="224"/>
        <v>0</v>
      </c>
      <c r="JR24" s="57">
        <f t="shared" si="224"/>
        <v>0</v>
      </c>
      <c r="JS24" s="57">
        <f t="shared" si="224"/>
        <v>0</v>
      </c>
      <c r="JT24" s="57">
        <f t="shared" si="224"/>
        <v>0</v>
      </c>
      <c r="JU24" s="57">
        <f t="shared" si="224"/>
        <v>0</v>
      </c>
      <c r="JV24" s="57">
        <f t="shared" si="224"/>
        <v>0</v>
      </c>
      <c r="JW24" s="57">
        <f t="shared" si="224"/>
        <v>0</v>
      </c>
      <c r="JX24" s="57">
        <f t="shared" si="224"/>
        <v>0</v>
      </c>
      <c r="JY24" s="57">
        <f t="shared" si="224"/>
        <v>0</v>
      </c>
      <c r="JZ24" s="57">
        <f t="shared" si="224"/>
        <v>0</v>
      </c>
      <c r="KA24" s="57">
        <f t="shared" si="224"/>
        <v>0</v>
      </c>
      <c r="KB24" s="57">
        <f t="shared" si="224"/>
        <v>0</v>
      </c>
      <c r="KC24" s="57">
        <f t="shared" si="224"/>
        <v>0</v>
      </c>
      <c r="KD24" s="57">
        <f t="shared" si="224"/>
        <v>0</v>
      </c>
      <c r="KE24" s="57">
        <f t="shared" si="224"/>
        <v>0</v>
      </c>
      <c r="KF24" s="57">
        <f t="shared" si="224"/>
        <v>0</v>
      </c>
      <c r="KG24" s="57">
        <f t="shared" si="224"/>
        <v>0</v>
      </c>
      <c r="KH24" s="57">
        <f t="shared" si="224"/>
        <v>0</v>
      </c>
      <c r="KI24" s="57">
        <f t="shared" si="224"/>
        <v>0</v>
      </c>
      <c r="KJ24" s="57">
        <f t="shared" si="224"/>
        <v>0</v>
      </c>
      <c r="KK24" s="57">
        <f t="shared" si="224"/>
        <v>0</v>
      </c>
      <c r="KL24" s="57">
        <f t="shared" si="224"/>
        <v>0</v>
      </c>
      <c r="KM24" s="57">
        <f t="shared" si="224"/>
        <v>0</v>
      </c>
      <c r="KN24" s="57">
        <f t="shared" si="224"/>
        <v>0</v>
      </c>
      <c r="KO24" s="57">
        <f t="shared" si="224"/>
        <v>0</v>
      </c>
      <c r="KP24" s="57">
        <f t="shared" si="224"/>
        <v>0</v>
      </c>
      <c r="KQ24" s="57">
        <f t="shared" si="224"/>
        <v>0</v>
      </c>
      <c r="KR24" s="57">
        <f t="shared" si="224"/>
        <v>0</v>
      </c>
      <c r="KS24" s="57">
        <f t="shared" si="224"/>
        <v>0</v>
      </c>
      <c r="KT24" s="57">
        <f t="shared" si="224"/>
        <v>0</v>
      </c>
      <c r="KU24" s="57">
        <f t="shared" si="224"/>
        <v>0</v>
      </c>
      <c r="KV24" s="57">
        <f t="shared" si="224"/>
        <v>0</v>
      </c>
      <c r="KW24" s="57">
        <f t="shared" si="224"/>
        <v>0</v>
      </c>
      <c r="KX24" s="57">
        <f t="shared" si="224"/>
        <v>0</v>
      </c>
      <c r="KY24" s="57">
        <f t="shared" si="224"/>
        <v>0</v>
      </c>
      <c r="KZ24" s="57">
        <f t="shared" si="224"/>
        <v>0</v>
      </c>
      <c r="LA24" s="57">
        <f t="shared" si="224"/>
        <v>0</v>
      </c>
      <c r="LB24" s="57">
        <f t="shared" si="224"/>
        <v>0</v>
      </c>
      <c r="LC24" s="57">
        <f t="shared" si="224"/>
        <v>0</v>
      </c>
      <c r="LD24" s="57">
        <f t="shared" si="224"/>
        <v>0</v>
      </c>
      <c r="LE24" s="57">
        <f t="shared" si="224"/>
        <v>0</v>
      </c>
      <c r="LF24" s="57">
        <f t="shared" si="224"/>
        <v>0</v>
      </c>
      <c r="LG24" s="57">
        <f t="shared" si="224"/>
        <v>0</v>
      </c>
      <c r="LH24" s="57">
        <f t="shared" si="224"/>
        <v>0</v>
      </c>
      <c r="LI24" s="57">
        <f t="shared" si="224"/>
        <v>0</v>
      </c>
      <c r="LJ24" s="57">
        <f t="shared" si="224"/>
        <v>0</v>
      </c>
      <c r="LK24" s="57">
        <f t="shared" si="224"/>
        <v>0</v>
      </c>
      <c r="LL24" s="57">
        <f t="shared" ref="LL24:NW24" si="225">(LL20+LL21+LL22-LL23)*($C$3/12)</f>
        <v>0</v>
      </c>
      <c r="LM24" s="57">
        <f t="shared" si="225"/>
        <v>0</v>
      </c>
      <c r="LN24" s="57">
        <f t="shared" si="225"/>
        <v>0</v>
      </c>
      <c r="LO24" s="57">
        <f t="shared" si="225"/>
        <v>0</v>
      </c>
      <c r="LP24" s="57">
        <f t="shared" si="225"/>
        <v>0</v>
      </c>
      <c r="LQ24" s="57">
        <f t="shared" si="225"/>
        <v>0</v>
      </c>
      <c r="LR24" s="57">
        <f t="shared" si="225"/>
        <v>0</v>
      </c>
      <c r="LS24" s="57">
        <f t="shared" si="225"/>
        <v>0</v>
      </c>
      <c r="LT24" s="57">
        <f t="shared" si="225"/>
        <v>0</v>
      </c>
      <c r="LU24" s="57">
        <f t="shared" si="225"/>
        <v>0</v>
      </c>
      <c r="LV24" s="57">
        <f t="shared" si="225"/>
        <v>0</v>
      </c>
      <c r="LW24" s="57">
        <f t="shared" si="225"/>
        <v>0</v>
      </c>
      <c r="LX24" s="57">
        <f t="shared" si="225"/>
        <v>0</v>
      </c>
      <c r="LY24" s="57">
        <f t="shared" si="225"/>
        <v>0</v>
      </c>
      <c r="LZ24" s="57">
        <f t="shared" si="225"/>
        <v>0</v>
      </c>
      <c r="MA24" s="57">
        <f t="shared" si="225"/>
        <v>0</v>
      </c>
      <c r="MB24" s="57">
        <f t="shared" si="225"/>
        <v>0</v>
      </c>
      <c r="MC24" s="57">
        <f t="shared" si="225"/>
        <v>0</v>
      </c>
      <c r="MD24" s="57">
        <f t="shared" si="225"/>
        <v>0</v>
      </c>
      <c r="ME24" s="57">
        <f t="shared" si="225"/>
        <v>0</v>
      </c>
      <c r="MF24" s="57">
        <f t="shared" si="225"/>
        <v>0</v>
      </c>
      <c r="MG24" s="57">
        <f t="shared" si="225"/>
        <v>0</v>
      </c>
      <c r="MH24" s="57">
        <f t="shared" si="225"/>
        <v>0</v>
      </c>
      <c r="MI24" s="57">
        <f t="shared" si="225"/>
        <v>0</v>
      </c>
      <c r="MJ24" s="57">
        <f t="shared" si="225"/>
        <v>0</v>
      </c>
      <c r="MK24" s="57">
        <f t="shared" si="225"/>
        <v>0</v>
      </c>
      <c r="ML24" s="57">
        <f t="shared" si="225"/>
        <v>0</v>
      </c>
      <c r="MM24" s="57">
        <f t="shared" si="225"/>
        <v>0</v>
      </c>
      <c r="MN24" s="57">
        <f t="shared" si="225"/>
        <v>0</v>
      </c>
      <c r="MO24" s="57">
        <f t="shared" si="225"/>
        <v>0</v>
      </c>
      <c r="MP24" s="57">
        <f t="shared" si="225"/>
        <v>0</v>
      </c>
      <c r="MQ24" s="57">
        <f t="shared" si="225"/>
        <v>0</v>
      </c>
      <c r="MR24" s="57">
        <f t="shared" si="225"/>
        <v>0</v>
      </c>
      <c r="MS24" s="57">
        <f t="shared" si="225"/>
        <v>0</v>
      </c>
      <c r="MT24" s="57">
        <f t="shared" si="225"/>
        <v>0</v>
      </c>
      <c r="MU24" s="57">
        <f t="shared" si="225"/>
        <v>0</v>
      </c>
      <c r="MV24" s="57">
        <f t="shared" si="225"/>
        <v>0</v>
      </c>
      <c r="MW24" s="57">
        <f t="shared" si="225"/>
        <v>0</v>
      </c>
      <c r="MX24" s="57">
        <f t="shared" si="225"/>
        <v>0</v>
      </c>
      <c r="MY24" s="57">
        <f t="shared" si="225"/>
        <v>0</v>
      </c>
      <c r="MZ24" s="57">
        <f t="shared" si="225"/>
        <v>0</v>
      </c>
      <c r="NA24" s="57">
        <f t="shared" si="225"/>
        <v>0</v>
      </c>
      <c r="NB24" s="57">
        <f t="shared" si="225"/>
        <v>0</v>
      </c>
      <c r="NC24" s="57">
        <f t="shared" si="225"/>
        <v>0</v>
      </c>
      <c r="ND24" s="57">
        <f t="shared" si="225"/>
        <v>0</v>
      </c>
      <c r="NE24" s="57">
        <f t="shared" si="225"/>
        <v>0</v>
      </c>
      <c r="NF24" s="57">
        <f t="shared" si="225"/>
        <v>0</v>
      </c>
      <c r="NG24" s="57">
        <f t="shared" si="225"/>
        <v>0</v>
      </c>
      <c r="NH24" s="57">
        <f t="shared" si="225"/>
        <v>0</v>
      </c>
      <c r="NI24" s="57">
        <f t="shared" si="225"/>
        <v>0</v>
      </c>
      <c r="NJ24" s="57">
        <f t="shared" si="225"/>
        <v>0</v>
      </c>
      <c r="NK24" s="57">
        <f t="shared" si="225"/>
        <v>0</v>
      </c>
      <c r="NL24" s="57">
        <f t="shared" si="225"/>
        <v>0</v>
      </c>
      <c r="NM24" s="57">
        <f t="shared" si="225"/>
        <v>0</v>
      </c>
      <c r="NN24" s="57">
        <f t="shared" si="225"/>
        <v>0</v>
      </c>
      <c r="NO24" s="57">
        <f t="shared" si="225"/>
        <v>0</v>
      </c>
      <c r="NP24" s="57">
        <f t="shared" si="225"/>
        <v>0</v>
      </c>
      <c r="NQ24" s="57">
        <f t="shared" si="225"/>
        <v>0</v>
      </c>
      <c r="NR24" s="57">
        <f t="shared" si="225"/>
        <v>0</v>
      </c>
      <c r="NS24" s="57">
        <f t="shared" si="225"/>
        <v>0</v>
      </c>
      <c r="NT24" s="57">
        <f t="shared" si="225"/>
        <v>0</v>
      </c>
      <c r="NU24" s="57">
        <f t="shared" si="225"/>
        <v>0</v>
      </c>
      <c r="NV24" s="57">
        <f t="shared" si="225"/>
        <v>0</v>
      </c>
      <c r="NW24" s="57">
        <f t="shared" si="225"/>
        <v>0</v>
      </c>
      <c r="NX24" s="57">
        <f t="shared" ref="NX24:QI24" si="226">(NX20+NX21+NX22-NX23)*($C$3/12)</f>
        <v>0</v>
      </c>
      <c r="NY24" s="57">
        <f t="shared" si="226"/>
        <v>0</v>
      </c>
      <c r="NZ24" s="57">
        <f t="shared" si="226"/>
        <v>0</v>
      </c>
      <c r="OA24" s="57">
        <f t="shared" si="226"/>
        <v>0</v>
      </c>
      <c r="OB24" s="57">
        <f t="shared" si="226"/>
        <v>0</v>
      </c>
      <c r="OC24" s="57">
        <f t="shared" si="226"/>
        <v>0</v>
      </c>
      <c r="OD24" s="57">
        <f t="shared" si="226"/>
        <v>0</v>
      </c>
      <c r="OE24" s="57">
        <f t="shared" si="226"/>
        <v>0</v>
      </c>
      <c r="OF24" s="57">
        <f t="shared" si="226"/>
        <v>0</v>
      </c>
      <c r="OG24" s="57">
        <f t="shared" si="226"/>
        <v>0</v>
      </c>
      <c r="OH24" s="57">
        <f t="shared" si="226"/>
        <v>0</v>
      </c>
      <c r="OI24" s="57">
        <f t="shared" si="226"/>
        <v>0</v>
      </c>
      <c r="OJ24" s="57">
        <f t="shared" si="226"/>
        <v>0</v>
      </c>
      <c r="OK24" s="57">
        <f t="shared" si="226"/>
        <v>0</v>
      </c>
      <c r="OL24" s="57">
        <f t="shared" si="226"/>
        <v>0</v>
      </c>
      <c r="OM24" s="57">
        <f t="shared" si="226"/>
        <v>0</v>
      </c>
      <c r="ON24" s="57">
        <f t="shared" si="226"/>
        <v>0</v>
      </c>
      <c r="OO24" s="57">
        <f t="shared" si="226"/>
        <v>0</v>
      </c>
      <c r="OP24" s="57">
        <f t="shared" si="226"/>
        <v>0</v>
      </c>
      <c r="OQ24" s="57">
        <f t="shared" si="226"/>
        <v>0</v>
      </c>
      <c r="OR24" s="57">
        <f t="shared" si="226"/>
        <v>0</v>
      </c>
      <c r="OS24" s="57">
        <f t="shared" si="226"/>
        <v>0</v>
      </c>
      <c r="OT24" s="57">
        <f t="shared" si="226"/>
        <v>0</v>
      </c>
      <c r="OU24" s="57">
        <f t="shared" si="226"/>
        <v>0</v>
      </c>
      <c r="OV24" s="57">
        <f t="shared" si="226"/>
        <v>0</v>
      </c>
      <c r="OW24" s="57">
        <f t="shared" si="226"/>
        <v>0</v>
      </c>
      <c r="OX24" s="57">
        <f t="shared" si="226"/>
        <v>0</v>
      </c>
      <c r="OY24" s="57">
        <f t="shared" si="226"/>
        <v>0</v>
      </c>
      <c r="OZ24" s="57">
        <f t="shared" si="226"/>
        <v>0</v>
      </c>
      <c r="PA24" s="57">
        <f t="shared" si="226"/>
        <v>0</v>
      </c>
      <c r="PB24" s="57">
        <f t="shared" si="226"/>
        <v>0</v>
      </c>
      <c r="PC24" s="57">
        <f t="shared" si="226"/>
        <v>0</v>
      </c>
      <c r="PD24" s="57">
        <f t="shared" si="226"/>
        <v>0</v>
      </c>
      <c r="PE24" s="57">
        <f t="shared" si="226"/>
        <v>0</v>
      </c>
      <c r="PF24" s="57">
        <f t="shared" si="226"/>
        <v>0</v>
      </c>
      <c r="PG24" s="57">
        <f t="shared" si="226"/>
        <v>0</v>
      </c>
      <c r="PH24" s="57">
        <f t="shared" si="226"/>
        <v>0</v>
      </c>
      <c r="PI24" s="57">
        <f t="shared" si="226"/>
        <v>0</v>
      </c>
      <c r="PJ24" s="57">
        <f t="shared" si="226"/>
        <v>0</v>
      </c>
      <c r="PK24" s="57">
        <f t="shared" si="226"/>
        <v>0</v>
      </c>
      <c r="PL24" s="57">
        <f t="shared" si="226"/>
        <v>0</v>
      </c>
      <c r="PM24" s="57">
        <f t="shared" si="226"/>
        <v>0</v>
      </c>
      <c r="PN24" s="57">
        <f t="shared" si="226"/>
        <v>0</v>
      </c>
      <c r="PO24" s="57">
        <f t="shared" si="226"/>
        <v>0</v>
      </c>
      <c r="PP24" s="57">
        <f t="shared" si="226"/>
        <v>0</v>
      </c>
      <c r="PQ24" s="57">
        <f t="shared" si="226"/>
        <v>0</v>
      </c>
      <c r="PR24" s="57">
        <f t="shared" si="226"/>
        <v>0</v>
      </c>
      <c r="PS24" s="57">
        <f t="shared" si="226"/>
        <v>0</v>
      </c>
      <c r="PT24" s="57">
        <f t="shared" si="226"/>
        <v>0</v>
      </c>
      <c r="PU24" s="57">
        <f t="shared" si="226"/>
        <v>0</v>
      </c>
      <c r="PV24" s="57">
        <f t="shared" si="226"/>
        <v>0</v>
      </c>
      <c r="PW24" s="57">
        <f t="shared" si="226"/>
        <v>0</v>
      </c>
      <c r="PX24" s="57">
        <f t="shared" si="226"/>
        <v>0</v>
      </c>
      <c r="PY24" s="57">
        <f t="shared" si="226"/>
        <v>0</v>
      </c>
      <c r="PZ24" s="57">
        <f t="shared" si="226"/>
        <v>0</v>
      </c>
      <c r="QA24" s="57">
        <f t="shared" si="226"/>
        <v>0</v>
      </c>
      <c r="QB24" s="57">
        <f t="shared" si="226"/>
        <v>0</v>
      </c>
      <c r="QC24" s="57">
        <f t="shared" si="226"/>
        <v>0</v>
      </c>
      <c r="QD24" s="57">
        <f t="shared" si="226"/>
        <v>0</v>
      </c>
      <c r="QE24" s="57">
        <f t="shared" si="226"/>
        <v>0</v>
      </c>
      <c r="QF24" s="57">
        <f t="shared" si="226"/>
        <v>0</v>
      </c>
      <c r="QG24" s="57">
        <f t="shared" si="226"/>
        <v>0</v>
      </c>
      <c r="QH24" s="57">
        <f t="shared" si="226"/>
        <v>0</v>
      </c>
      <c r="QI24" s="57">
        <f t="shared" si="226"/>
        <v>0</v>
      </c>
      <c r="QJ24" s="57">
        <f t="shared" ref="QJ24:SU24" si="227">(QJ20+QJ21+QJ22-QJ23)*($C$3/12)</f>
        <v>0</v>
      </c>
      <c r="QK24" s="57">
        <f t="shared" si="227"/>
        <v>0</v>
      </c>
      <c r="QL24" s="57">
        <f t="shared" si="227"/>
        <v>0</v>
      </c>
      <c r="QM24" s="57">
        <f t="shared" si="227"/>
        <v>0</v>
      </c>
      <c r="QN24" s="57">
        <f t="shared" si="227"/>
        <v>0</v>
      </c>
      <c r="QO24" s="57">
        <f t="shared" si="227"/>
        <v>0</v>
      </c>
      <c r="QP24" s="57">
        <f t="shared" si="227"/>
        <v>0</v>
      </c>
      <c r="QQ24" s="57">
        <f t="shared" si="227"/>
        <v>0</v>
      </c>
      <c r="QR24" s="57">
        <f t="shared" si="227"/>
        <v>0</v>
      </c>
      <c r="QS24" s="57">
        <f t="shared" si="227"/>
        <v>0</v>
      </c>
      <c r="QT24" s="57">
        <f t="shared" si="227"/>
        <v>0</v>
      </c>
      <c r="QU24" s="57">
        <f t="shared" si="227"/>
        <v>0</v>
      </c>
      <c r="QV24" s="57">
        <f t="shared" si="227"/>
        <v>0</v>
      </c>
      <c r="QW24" s="57">
        <f t="shared" si="227"/>
        <v>0</v>
      </c>
      <c r="QX24" s="57">
        <f t="shared" si="227"/>
        <v>0</v>
      </c>
      <c r="QY24" s="57">
        <f t="shared" si="227"/>
        <v>0</v>
      </c>
      <c r="QZ24" s="57">
        <f t="shared" si="227"/>
        <v>0</v>
      </c>
      <c r="RA24" s="57">
        <f t="shared" si="227"/>
        <v>0</v>
      </c>
      <c r="RB24" s="57">
        <f t="shared" si="227"/>
        <v>0</v>
      </c>
      <c r="RC24" s="57">
        <f t="shared" si="227"/>
        <v>0</v>
      </c>
      <c r="RD24" s="57">
        <f t="shared" si="227"/>
        <v>0</v>
      </c>
      <c r="RE24" s="57">
        <f t="shared" si="227"/>
        <v>0</v>
      </c>
      <c r="RF24" s="57">
        <f t="shared" si="227"/>
        <v>0</v>
      </c>
      <c r="RG24" s="57">
        <f t="shared" si="227"/>
        <v>0</v>
      </c>
      <c r="RH24" s="57">
        <f t="shared" si="227"/>
        <v>0</v>
      </c>
      <c r="RI24" s="57">
        <f t="shared" si="227"/>
        <v>0</v>
      </c>
      <c r="RJ24" s="57">
        <f t="shared" si="227"/>
        <v>0</v>
      </c>
      <c r="RK24" s="57">
        <f t="shared" si="227"/>
        <v>0</v>
      </c>
      <c r="RL24" s="57">
        <f t="shared" si="227"/>
        <v>0</v>
      </c>
      <c r="RM24" s="57">
        <f t="shared" si="227"/>
        <v>0</v>
      </c>
      <c r="RN24" s="57">
        <f t="shared" si="227"/>
        <v>0</v>
      </c>
      <c r="RO24" s="57">
        <f t="shared" si="227"/>
        <v>0</v>
      </c>
      <c r="RP24" s="57">
        <f t="shared" si="227"/>
        <v>0</v>
      </c>
      <c r="RQ24" s="57">
        <f t="shared" si="227"/>
        <v>0</v>
      </c>
      <c r="RR24" s="57">
        <f t="shared" si="227"/>
        <v>0</v>
      </c>
      <c r="RS24" s="57">
        <f t="shared" si="227"/>
        <v>0</v>
      </c>
      <c r="RT24" s="57">
        <f t="shared" si="227"/>
        <v>0</v>
      </c>
      <c r="RU24" s="57">
        <f t="shared" si="227"/>
        <v>0</v>
      </c>
      <c r="RV24" s="57">
        <f t="shared" si="227"/>
        <v>0</v>
      </c>
      <c r="RW24" s="57">
        <f t="shared" si="227"/>
        <v>0</v>
      </c>
      <c r="RX24" s="57">
        <f t="shared" si="227"/>
        <v>0</v>
      </c>
      <c r="RY24" s="57">
        <f t="shared" si="227"/>
        <v>0</v>
      </c>
      <c r="RZ24" s="57">
        <f t="shared" si="227"/>
        <v>0</v>
      </c>
      <c r="SA24" s="57">
        <f t="shared" si="227"/>
        <v>0</v>
      </c>
      <c r="SB24" s="57">
        <f t="shared" si="227"/>
        <v>0</v>
      </c>
      <c r="SC24" s="57">
        <f t="shared" si="227"/>
        <v>0</v>
      </c>
      <c r="SD24" s="57">
        <f t="shared" si="227"/>
        <v>0</v>
      </c>
      <c r="SE24" s="57">
        <f t="shared" si="227"/>
        <v>0</v>
      </c>
      <c r="SF24" s="57">
        <f t="shared" si="227"/>
        <v>0</v>
      </c>
      <c r="SG24" s="57">
        <f t="shared" si="227"/>
        <v>0</v>
      </c>
      <c r="SH24" s="57">
        <f t="shared" si="227"/>
        <v>0</v>
      </c>
      <c r="SI24" s="57">
        <f t="shared" si="227"/>
        <v>0</v>
      </c>
      <c r="SJ24" s="57">
        <f t="shared" si="227"/>
        <v>0</v>
      </c>
      <c r="SK24" s="57">
        <f t="shared" si="227"/>
        <v>0</v>
      </c>
      <c r="SL24" s="57">
        <f t="shared" si="227"/>
        <v>0</v>
      </c>
      <c r="SM24" s="57">
        <f t="shared" si="227"/>
        <v>0</v>
      </c>
      <c r="SN24" s="57">
        <f t="shared" si="227"/>
        <v>0</v>
      </c>
      <c r="SO24" s="57">
        <f t="shared" si="227"/>
        <v>0</v>
      </c>
      <c r="SP24" s="57">
        <f t="shared" si="227"/>
        <v>0</v>
      </c>
      <c r="SQ24" s="57">
        <f t="shared" si="227"/>
        <v>0</v>
      </c>
      <c r="SR24" s="57">
        <f t="shared" si="227"/>
        <v>0</v>
      </c>
      <c r="SS24" s="57">
        <f t="shared" si="227"/>
        <v>0</v>
      </c>
      <c r="ST24" s="57">
        <f t="shared" si="227"/>
        <v>0</v>
      </c>
      <c r="SU24" s="57">
        <f t="shared" si="227"/>
        <v>0</v>
      </c>
      <c r="SV24" s="57">
        <f t="shared" ref="SV24:VG24" si="228">(SV20+SV21+SV22-SV23)*($C$3/12)</f>
        <v>0</v>
      </c>
      <c r="SW24" s="57">
        <f t="shared" si="228"/>
        <v>0</v>
      </c>
      <c r="SX24" s="57">
        <f t="shared" si="228"/>
        <v>0</v>
      </c>
      <c r="SY24" s="57">
        <f t="shared" si="228"/>
        <v>0</v>
      </c>
      <c r="SZ24" s="57">
        <f t="shared" si="228"/>
        <v>0</v>
      </c>
      <c r="TA24" s="57">
        <f t="shared" si="228"/>
        <v>0</v>
      </c>
      <c r="TB24" s="57">
        <f t="shared" si="228"/>
        <v>0</v>
      </c>
      <c r="TC24" s="57">
        <f t="shared" si="228"/>
        <v>0</v>
      </c>
      <c r="TD24" s="57">
        <f t="shared" si="228"/>
        <v>0</v>
      </c>
      <c r="TE24" s="57">
        <f t="shared" si="228"/>
        <v>0</v>
      </c>
      <c r="TF24" s="57">
        <f t="shared" si="228"/>
        <v>0</v>
      </c>
      <c r="TG24" s="57">
        <f t="shared" si="228"/>
        <v>0</v>
      </c>
      <c r="TH24" s="57">
        <f t="shared" si="228"/>
        <v>0</v>
      </c>
      <c r="TI24" s="57">
        <f t="shared" si="228"/>
        <v>0</v>
      </c>
      <c r="TJ24" s="57">
        <f t="shared" si="228"/>
        <v>0</v>
      </c>
      <c r="TK24" s="57">
        <f t="shared" si="228"/>
        <v>0</v>
      </c>
      <c r="TL24" s="57">
        <f t="shared" si="228"/>
        <v>0</v>
      </c>
      <c r="TM24" s="57">
        <f t="shared" si="228"/>
        <v>0</v>
      </c>
      <c r="TN24" s="57">
        <f t="shared" si="228"/>
        <v>0</v>
      </c>
      <c r="TO24" s="57">
        <f t="shared" si="228"/>
        <v>0</v>
      </c>
      <c r="TP24" s="57">
        <f t="shared" si="228"/>
        <v>0</v>
      </c>
      <c r="TQ24" s="57">
        <f t="shared" si="228"/>
        <v>0</v>
      </c>
      <c r="TR24" s="57">
        <f t="shared" si="228"/>
        <v>0</v>
      </c>
      <c r="TS24" s="57">
        <f t="shared" si="228"/>
        <v>0</v>
      </c>
      <c r="TT24" s="57">
        <f t="shared" si="228"/>
        <v>0</v>
      </c>
      <c r="TU24" s="57">
        <f t="shared" si="228"/>
        <v>0</v>
      </c>
      <c r="TV24" s="57">
        <f t="shared" si="228"/>
        <v>0</v>
      </c>
      <c r="TW24" s="57">
        <f t="shared" si="228"/>
        <v>0</v>
      </c>
      <c r="TX24" s="57">
        <f t="shared" si="228"/>
        <v>0</v>
      </c>
      <c r="TY24" s="57">
        <f t="shared" si="228"/>
        <v>0</v>
      </c>
      <c r="TZ24" s="57">
        <f t="shared" si="228"/>
        <v>0</v>
      </c>
      <c r="UA24" s="57">
        <f t="shared" si="228"/>
        <v>0</v>
      </c>
      <c r="UB24" s="57">
        <f t="shared" si="228"/>
        <v>0</v>
      </c>
      <c r="UC24" s="57">
        <f t="shared" si="228"/>
        <v>0</v>
      </c>
      <c r="UD24" s="57">
        <f t="shared" si="228"/>
        <v>0</v>
      </c>
      <c r="UE24" s="57">
        <f t="shared" si="228"/>
        <v>0</v>
      </c>
      <c r="UF24" s="57">
        <f t="shared" si="228"/>
        <v>0</v>
      </c>
      <c r="UG24" s="57">
        <f t="shared" si="228"/>
        <v>0</v>
      </c>
      <c r="UH24" s="57">
        <f t="shared" si="228"/>
        <v>0</v>
      </c>
      <c r="UI24" s="57">
        <f t="shared" si="228"/>
        <v>0</v>
      </c>
      <c r="UJ24" s="57">
        <f t="shared" si="228"/>
        <v>0</v>
      </c>
      <c r="UK24" s="57">
        <f t="shared" si="228"/>
        <v>0</v>
      </c>
      <c r="UL24" s="57">
        <f t="shared" si="228"/>
        <v>0</v>
      </c>
      <c r="UM24" s="57">
        <f t="shared" si="228"/>
        <v>0</v>
      </c>
      <c r="UN24" s="57">
        <f t="shared" si="228"/>
        <v>0</v>
      </c>
      <c r="UO24" s="57">
        <f t="shared" si="228"/>
        <v>0</v>
      </c>
      <c r="UP24" s="57">
        <f t="shared" si="228"/>
        <v>0</v>
      </c>
      <c r="UQ24" s="57">
        <f t="shared" si="228"/>
        <v>0</v>
      </c>
      <c r="UR24" s="57">
        <f t="shared" si="228"/>
        <v>0</v>
      </c>
      <c r="US24" s="57">
        <f t="shared" si="228"/>
        <v>0</v>
      </c>
      <c r="UT24" s="57">
        <f t="shared" si="228"/>
        <v>0</v>
      </c>
      <c r="UU24" s="57">
        <f t="shared" si="228"/>
        <v>0</v>
      </c>
      <c r="UV24" s="57">
        <f t="shared" si="228"/>
        <v>0</v>
      </c>
      <c r="UW24" s="57">
        <f t="shared" si="228"/>
        <v>0</v>
      </c>
      <c r="UX24" s="57">
        <f t="shared" si="228"/>
        <v>0</v>
      </c>
      <c r="UY24" s="57">
        <f t="shared" si="228"/>
        <v>0</v>
      </c>
      <c r="UZ24" s="57">
        <f t="shared" si="228"/>
        <v>0</v>
      </c>
      <c r="VA24" s="57">
        <f t="shared" si="228"/>
        <v>0</v>
      </c>
      <c r="VB24" s="57">
        <f t="shared" si="228"/>
        <v>0</v>
      </c>
      <c r="VC24" s="57">
        <f t="shared" si="228"/>
        <v>0</v>
      </c>
      <c r="VD24" s="57">
        <f t="shared" si="228"/>
        <v>0</v>
      </c>
      <c r="VE24" s="57">
        <f t="shared" si="228"/>
        <v>0</v>
      </c>
      <c r="VF24" s="57">
        <f t="shared" si="228"/>
        <v>0</v>
      </c>
      <c r="VG24" s="57">
        <f t="shared" si="228"/>
        <v>0</v>
      </c>
      <c r="VH24" s="57">
        <f t="shared" ref="VH24:XS24" si="229">(VH20+VH21+VH22-VH23)*($C$3/12)</f>
        <v>0</v>
      </c>
      <c r="VI24" s="57">
        <f t="shared" si="229"/>
        <v>0</v>
      </c>
      <c r="VJ24" s="57">
        <f t="shared" si="229"/>
        <v>0</v>
      </c>
      <c r="VK24" s="57">
        <f t="shared" si="229"/>
        <v>0</v>
      </c>
      <c r="VL24" s="57">
        <f t="shared" si="229"/>
        <v>0</v>
      </c>
      <c r="VM24" s="57">
        <f t="shared" si="229"/>
        <v>0</v>
      </c>
      <c r="VN24" s="57">
        <f t="shared" si="229"/>
        <v>0</v>
      </c>
      <c r="VO24" s="57">
        <f t="shared" si="229"/>
        <v>0</v>
      </c>
      <c r="VP24" s="57">
        <f t="shared" si="229"/>
        <v>0</v>
      </c>
      <c r="VQ24" s="57">
        <f t="shared" si="229"/>
        <v>0</v>
      </c>
      <c r="VR24" s="57">
        <f t="shared" si="229"/>
        <v>0</v>
      </c>
      <c r="VS24" s="57">
        <f t="shared" si="229"/>
        <v>0</v>
      </c>
      <c r="VT24" s="57">
        <f t="shared" si="229"/>
        <v>470.83333333333337</v>
      </c>
      <c r="VU24" s="57">
        <f t="shared" si="229"/>
        <v>483.72569444444451</v>
      </c>
      <c r="VV24" s="57">
        <f t="shared" si="229"/>
        <v>496.62879918981491</v>
      </c>
      <c r="VW24" s="57">
        <f t="shared" si="229"/>
        <v>509.54265652247312</v>
      </c>
      <c r="VX24" s="57">
        <f t="shared" si="229"/>
        <v>522.46727540290851</v>
      </c>
      <c r="VY24" s="57">
        <f t="shared" si="229"/>
        <v>535.40266479907757</v>
      </c>
      <c r="VZ24" s="57">
        <f t="shared" si="229"/>
        <v>548.3488336864101</v>
      </c>
      <c r="WA24" s="57">
        <f t="shared" si="229"/>
        <v>561.30579104781555</v>
      </c>
      <c r="WB24" s="57">
        <f t="shared" si="229"/>
        <v>574.2735458736887</v>
      </c>
      <c r="WC24" s="57">
        <f t="shared" si="229"/>
        <v>587.2521071619168</v>
      </c>
      <c r="WD24" s="57">
        <f t="shared" si="229"/>
        <v>600.24148391788503</v>
      </c>
      <c r="WE24" s="57">
        <f t="shared" si="229"/>
        <v>613.24168515448332</v>
      </c>
      <c r="WF24" s="57">
        <f t="shared" si="229"/>
        <v>751.25271989211217</v>
      </c>
      <c r="WG24" s="57">
        <f t="shared" si="229"/>
        <v>764.37876382535546</v>
      </c>
      <c r="WH24" s="57">
        <f t="shared" si="229"/>
        <v>777.51574612854336</v>
      </c>
      <c r="WI24" s="57">
        <f t="shared" si="229"/>
        <v>790.66367591698372</v>
      </c>
      <c r="WJ24" s="57">
        <f t="shared" si="229"/>
        <v>803.82256231358122</v>
      </c>
      <c r="WK24" s="57">
        <f t="shared" si="229"/>
        <v>816.99241444884262</v>
      </c>
      <c r="WL24" s="57">
        <f t="shared" si="229"/>
        <v>830.17324146088333</v>
      </c>
      <c r="WM24" s="57">
        <f t="shared" si="229"/>
        <v>843.36505249543416</v>
      </c>
      <c r="WN24" s="57">
        <f t="shared" si="229"/>
        <v>23.234523372513554</v>
      </c>
      <c r="WO24" s="57">
        <f t="shared" si="229"/>
        <v>35.753885475323983</v>
      </c>
      <c r="WP24" s="57">
        <f t="shared" si="229"/>
        <v>48.283680379886754</v>
      </c>
      <c r="WQ24" s="57">
        <f t="shared" si="229"/>
        <v>60.823916780203319</v>
      </c>
      <c r="WR24" s="57">
        <f t="shared" si="229"/>
        <v>198.37460337752017</v>
      </c>
      <c r="WS24" s="57">
        <f t="shared" si="229"/>
        <v>211.03991554700141</v>
      </c>
      <c r="WT24" s="57">
        <f t="shared" si="229"/>
        <v>223.71578214329057</v>
      </c>
      <c r="WU24" s="57">
        <f t="shared" si="229"/>
        <v>236.40221196174332</v>
      </c>
      <c r="WV24" s="57">
        <f t="shared" si="229"/>
        <v>249.09921380504477</v>
      </c>
      <c r="WW24" s="57">
        <f t="shared" si="229"/>
        <v>261.80679648321563</v>
      </c>
      <c r="WX24" s="57">
        <f t="shared" si="229"/>
        <v>274.52496881361833</v>
      </c>
      <c r="WY24" s="57">
        <f t="shared" si="229"/>
        <v>287.25373962096302</v>
      </c>
      <c r="WZ24" s="57">
        <f t="shared" si="229"/>
        <v>299.99311773731387</v>
      </c>
      <c r="XA24" s="57">
        <f t="shared" si="229"/>
        <v>312.7431120020949</v>
      </c>
      <c r="XB24" s="57">
        <f t="shared" si="229"/>
        <v>325.50373126209666</v>
      </c>
      <c r="XC24" s="57">
        <f t="shared" si="229"/>
        <v>338.27498437148176</v>
      </c>
      <c r="XD24" s="57">
        <f t="shared" si="229"/>
        <v>476.05688019179138</v>
      </c>
      <c r="XE24" s="57">
        <f t="shared" si="229"/>
        <v>488.9535942586179</v>
      </c>
      <c r="XF24" s="57">
        <f t="shared" si="229"/>
        <v>501.86105558716673</v>
      </c>
      <c r="XG24" s="57">
        <f t="shared" si="229"/>
        <v>514.77927313348937</v>
      </c>
      <c r="XH24" s="57">
        <f t="shared" si="229"/>
        <v>527.70825586110061</v>
      </c>
      <c r="XI24" s="57">
        <f t="shared" si="229"/>
        <v>540.64801274098488</v>
      </c>
      <c r="XJ24" s="57">
        <f t="shared" si="229"/>
        <v>553.59855275160237</v>
      </c>
      <c r="XK24" s="57">
        <f t="shared" si="229"/>
        <v>566.55988487889533</v>
      </c>
      <c r="XL24" s="57">
        <f t="shared" si="229"/>
        <v>579.53201811629447</v>
      </c>
      <c r="XM24" s="57">
        <f t="shared" si="229"/>
        <v>592.51496146472471</v>
      </c>
      <c r="XN24" s="57">
        <f t="shared" si="229"/>
        <v>605.50872393261204</v>
      </c>
      <c r="XO24" s="57">
        <f t="shared" si="229"/>
        <v>618.51331453588921</v>
      </c>
      <c r="XP24" s="57">
        <f t="shared" si="229"/>
        <v>756.52874229800238</v>
      </c>
      <c r="XQ24" s="57">
        <f t="shared" si="229"/>
        <v>19.659182916584058</v>
      </c>
      <c r="XR24" s="57">
        <f t="shared" si="229"/>
        <v>32.175565569014545</v>
      </c>
      <c r="XS24" s="57">
        <f t="shared" si="229"/>
        <v>44.702378540322059</v>
      </c>
      <c r="XT24" s="57">
        <f t="shared" ref="XT24:AAE24" si="230">(XT20+XT21+XT22-XT23)*($C$3/12)</f>
        <v>57.239630522438993</v>
      </c>
      <c r="XU24" s="57">
        <f t="shared" si="230"/>
        <v>69.787330214541029</v>
      </c>
      <c r="XV24" s="57">
        <f t="shared" si="230"/>
        <v>82.345486323053152</v>
      </c>
      <c r="XW24" s="57">
        <f t="shared" si="230"/>
        <v>94.914107561655698</v>
      </c>
      <c r="XX24" s="57">
        <f t="shared" si="230"/>
        <v>24.159869317957067</v>
      </c>
      <c r="XY24" s="57">
        <f t="shared" si="230"/>
        <v>36.680002542388699</v>
      </c>
      <c r="XZ24" s="57">
        <f t="shared" si="230"/>
        <v>49.210569211174018</v>
      </c>
      <c r="YA24" s="57">
        <f t="shared" si="230"/>
        <v>61.751578018850005</v>
      </c>
      <c r="YB24" s="57">
        <f t="shared" si="230"/>
        <v>199.30303766719905</v>
      </c>
      <c r="YC24" s="57">
        <f t="shared" si="230"/>
        <v>211.96912353192172</v>
      </c>
      <c r="YD24" s="57">
        <f t="shared" si="230"/>
        <v>224.64576446819834</v>
      </c>
      <c r="YE24" s="57">
        <f t="shared" si="230"/>
        <v>237.33296927192183</v>
      </c>
      <c r="YF24" s="57">
        <f t="shared" si="230"/>
        <v>250.03074674631509</v>
      </c>
      <c r="YG24" s="57">
        <f t="shared" si="230"/>
        <v>262.73910570193704</v>
      </c>
      <c r="YH24" s="57">
        <f t="shared" si="230"/>
        <v>275.45805495668861</v>
      </c>
      <c r="YI24" s="57">
        <f t="shared" si="230"/>
        <v>288.18760333581923</v>
      </c>
      <c r="YJ24" s="57">
        <f t="shared" si="230"/>
        <v>300.92775967193239</v>
      </c>
      <c r="YK24" s="57">
        <f t="shared" si="230"/>
        <v>313.67853280499236</v>
      </c>
      <c r="YL24" s="57">
        <f t="shared" si="230"/>
        <v>326.43993158232985</v>
      </c>
      <c r="YM24" s="57">
        <f t="shared" si="230"/>
        <v>339.21196485864846</v>
      </c>
      <c r="YN24" s="57">
        <f t="shared" si="230"/>
        <v>476.99464149603062</v>
      </c>
      <c r="YO24" s="57">
        <f t="shared" si="230"/>
        <v>489.89213703061057</v>
      </c>
      <c r="YP24" s="57">
        <f t="shared" si="230"/>
        <v>502.80038047813611</v>
      </c>
      <c r="YQ24" s="57">
        <f t="shared" si="230"/>
        <v>515.71938079520123</v>
      </c>
      <c r="YR24" s="57">
        <f t="shared" si="230"/>
        <v>528.64914694586389</v>
      </c>
      <c r="YS24" s="57">
        <f t="shared" si="230"/>
        <v>541.58968790165216</v>
      </c>
      <c r="YT24" s="57">
        <f t="shared" si="230"/>
        <v>554.54101264157021</v>
      </c>
      <c r="YU24" s="57">
        <f t="shared" si="230"/>
        <v>567.50313015210497</v>
      </c>
      <c r="YV24" s="57">
        <f t="shared" si="230"/>
        <v>580.47604942723171</v>
      </c>
      <c r="YW24" s="57">
        <f t="shared" si="230"/>
        <v>593.45977946842106</v>
      </c>
      <c r="YX24" s="57">
        <f t="shared" si="230"/>
        <v>606.4543292846447</v>
      </c>
      <c r="YY24" s="57">
        <f t="shared" si="230"/>
        <v>619.45970789238186</v>
      </c>
      <c r="YZ24" s="57">
        <f t="shared" si="230"/>
        <v>757.47592431562555</v>
      </c>
      <c r="ZA24" s="57">
        <f t="shared" si="230"/>
        <v>770.60715425255523</v>
      </c>
      <c r="ZB24" s="57">
        <f t="shared" si="230"/>
        <v>783.74932688109902</v>
      </c>
      <c r="ZC24" s="57">
        <f t="shared" si="230"/>
        <v>796.90245132016662</v>
      </c>
      <c r="ZD24" s="57">
        <f t="shared" si="230"/>
        <v>810.06653669626678</v>
      </c>
      <c r="ZE24" s="57">
        <f t="shared" si="230"/>
        <v>823.24159214351369</v>
      </c>
      <c r="ZF24" s="57">
        <f t="shared" si="230"/>
        <v>836.4276268036333</v>
      </c>
      <c r="ZG24" s="57">
        <f t="shared" si="230"/>
        <v>849.62464982596964</v>
      </c>
      <c r="ZH24" s="57">
        <f t="shared" si="230"/>
        <v>862.83267036749135</v>
      </c>
      <c r="ZI24" s="57">
        <f t="shared" si="230"/>
        <v>876.05169759279738</v>
      </c>
      <c r="ZJ24" s="57">
        <f t="shared" si="230"/>
        <v>889.28174067412465</v>
      </c>
      <c r="ZK24" s="57">
        <f t="shared" si="230"/>
        <v>902.5228087913531</v>
      </c>
      <c r="ZL24" s="57">
        <f t="shared" si="230"/>
        <v>1040.7749111320124</v>
      </c>
      <c r="ZM24" s="57">
        <f t="shared" si="230"/>
        <v>1054.142223557956</v>
      </c>
      <c r="ZN24" s="57">
        <f t="shared" si="230"/>
        <v>1067.5206754109208</v>
      </c>
      <c r="ZO24" s="57">
        <f t="shared" si="230"/>
        <v>1080.9102759737632</v>
      </c>
      <c r="ZP24" s="57">
        <f t="shared" si="230"/>
        <v>1094.3110345370749</v>
      </c>
      <c r="ZQ24" s="57">
        <f t="shared" si="230"/>
        <v>1107.7229603991891</v>
      </c>
      <c r="ZR24" s="57">
        <f t="shared" si="230"/>
        <v>1121.1460628661885</v>
      </c>
      <c r="ZS24" s="57">
        <f t="shared" si="230"/>
        <v>1134.5803512519103</v>
      </c>
      <c r="ZT24" s="57">
        <f t="shared" si="230"/>
        <v>1148.0258348779535</v>
      </c>
      <c r="ZU24" s="57">
        <f t="shared" si="230"/>
        <v>1161.4825230736851</v>
      </c>
      <c r="ZV24" s="57">
        <f t="shared" si="230"/>
        <v>1174.9504251762464</v>
      </c>
      <c r="ZW24" s="57">
        <f t="shared" si="230"/>
        <v>1188.4295505305599</v>
      </c>
      <c r="ZX24" s="57">
        <f t="shared" si="230"/>
        <v>1326.9199084893355</v>
      </c>
      <c r="ZY24" s="57">
        <f t="shared" si="230"/>
        <v>1340.5256750797432</v>
      </c>
      <c r="ZZ24" s="57">
        <f t="shared" si="230"/>
        <v>1354.1427798089765</v>
      </c>
      <c r="AAA24" s="57">
        <f t="shared" si="230"/>
        <v>1367.7712321254839</v>
      </c>
      <c r="AAB24" s="57">
        <f t="shared" si="230"/>
        <v>1381.4110414855886</v>
      </c>
      <c r="AAC24" s="57">
        <f t="shared" si="230"/>
        <v>1395.0622173534932</v>
      </c>
      <c r="AAD24" s="57">
        <f t="shared" si="230"/>
        <v>1408.7247692012877</v>
      </c>
      <c r="AAE24" s="57">
        <f t="shared" si="230"/>
        <v>1422.3987065089555</v>
      </c>
      <c r="AAF24" s="57">
        <f t="shared" ref="AAF24:ACQ24" si="231">(AAF20+AAF21+AAF22-AAF23)*($C$3/12)</f>
        <v>1436.0840387643798</v>
      </c>
      <c r="AAG24" s="57">
        <f t="shared" si="231"/>
        <v>1449.78077546335</v>
      </c>
      <c r="AAH24" s="57">
        <f t="shared" si="231"/>
        <v>1463.4889261095695</v>
      </c>
      <c r="AAI24" s="57">
        <f t="shared" si="231"/>
        <v>1477.2085002146609</v>
      </c>
      <c r="AAJ24" s="57">
        <f t="shared" si="231"/>
        <v>1478.4395072981731</v>
      </c>
      <c r="AAK24" s="57">
        <f t="shared" si="231"/>
        <v>1479.6715402209215</v>
      </c>
      <c r="AAL24" s="57">
        <f t="shared" si="231"/>
        <v>1480.9045998377724</v>
      </c>
      <c r="AAM24" s="57">
        <f t="shared" si="231"/>
        <v>1482.1386870043038</v>
      </c>
      <c r="AAN24" s="57">
        <f t="shared" si="231"/>
        <v>1483.3738025768075</v>
      </c>
      <c r="AAO24" s="57">
        <f t="shared" si="231"/>
        <v>1484.6099474122882</v>
      </c>
      <c r="AAP24" s="57">
        <f t="shared" si="231"/>
        <v>1485.8471223684651</v>
      </c>
      <c r="AAQ24" s="57">
        <f t="shared" si="231"/>
        <v>1487.0853283037723</v>
      </c>
      <c r="AAR24" s="57">
        <f t="shared" si="231"/>
        <v>1488.3245660773587</v>
      </c>
      <c r="AAS24" s="57">
        <f t="shared" si="231"/>
        <v>1489.5648365490897</v>
      </c>
      <c r="AAT24" s="57">
        <f t="shared" si="231"/>
        <v>1490.8061405795474</v>
      </c>
      <c r="AAU24" s="57">
        <f t="shared" si="231"/>
        <v>1492.0484790300304</v>
      </c>
      <c r="AAV24" s="57">
        <f t="shared" si="231"/>
        <v>1493.2918527625554</v>
      </c>
      <c r="AAW24" s="57">
        <f t="shared" si="231"/>
        <v>1494.5362626398576</v>
      </c>
      <c r="AAX24" s="57">
        <f t="shared" si="231"/>
        <v>1495.7817095253906</v>
      </c>
      <c r="AAY24" s="57">
        <f t="shared" si="231"/>
        <v>1497.0281942833285</v>
      </c>
      <c r="AAZ24" s="57">
        <f t="shared" si="231"/>
        <v>1498.2757177785647</v>
      </c>
      <c r="ABA24" s="57">
        <f t="shared" si="231"/>
        <v>1499.5242808767136</v>
      </c>
      <c r="ABB24" s="57">
        <f t="shared" si="231"/>
        <v>1500.7738844441108</v>
      </c>
      <c r="ABC24" s="57">
        <f t="shared" si="231"/>
        <v>1502.024529347814</v>
      </c>
      <c r="ABD24" s="57">
        <f t="shared" si="231"/>
        <v>1503.2762164556041</v>
      </c>
      <c r="ABE24" s="57">
        <f t="shared" si="231"/>
        <v>1504.5289466359836</v>
      </c>
      <c r="ABF24" s="57">
        <f t="shared" si="231"/>
        <v>1505.7827207581802</v>
      </c>
      <c r="ABG24" s="57">
        <f t="shared" si="231"/>
        <v>1507.0375396921454</v>
      </c>
      <c r="ABH24" s="57">
        <f t="shared" si="231"/>
        <v>1508.2934043085554</v>
      </c>
      <c r="ABI24" s="57">
        <f t="shared" si="231"/>
        <v>1509.5503154788128</v>
      </c>
      <c r="ABJ24" s="57">
        <f t="shared" si="231"/>
        <v>1510.8082740750449</v>
      </c>
      <c r="ABK24" s="57">
        <f t="shared" si="231"/>
        <v>1512.0672809701077</v>
      </c>
      <c r="ABL24" s="57">
        <f t="shared" si="231"/>
        <v>1513.3273370375828</v>
      </c>
      <c r="ABM24" s="57">
        <f t="shared" si="231"/>
        <v>1514.5884431517807</v>
      </c>
      <c r="ABN24" s="57">
        <f t="shared" si="231"/>
        <v>1515.8506001877404</v>
      </c>
      <c r="ABO24" s="57">
        <f t="shared" si="231"/>
        <v>1517.1138090212301</v>
      </c>
      <c r="ABP24" s="57">
        <f t="shared" si="231"/>
        <v>1518.3780705287477</v>
      </c>
      <c r="ABQ24" s="57">
        <f t="shared" si="231"/>
        <v>1519.6433855875218</v>
      </c>
      <c r="ABR24" s="57">
        <f t="shared" si="231"/>
        <v>1520.9097550755114</v>
      </c>
      <c r="ABS24" s="57">
        <f t="shared" si="231"/>
        <v>1522.1771798714076</v>
      </c>
      <c r="ABT24" s="57">
        <f t="shared" si="231"/>
        <v>1523.4456608546338</v>
      </c>
      <c r="ABU24" s="57">
        <f t="shared" si="231"/>
        <v>1524.7151989053461</v>
      </c>
      <c r="ABV24" s="57">
        <f t="shared" si="231"/>
        <v>1525.985794904434</v>
      </c>
      <c r="ABW24" s="57">
        <f t="shared" si="231"/>
        <v>1527.2574497335208</v>
      </c>
      <c r="ABX24" s="57">
        <f t="shared" si="231"/>
        <v>1528.5301642749655</v>
      </c>
      <c r="ABY24" s="57">
        <f t="shared" si="231"/>
        <v>1529.8039394118612</v>
      </c>
      <c r="ABZ24" s="57">
        <f t="shared" si="231"/>
        <v>1531.0787760280377</v>
      </c>
      <c r="ACA24" s="57">
        <f t="shared" si="231"/>
        <v>1532.3546750080611</v>
      </c>
      <c r="ACB24" s="57">
        <f t="shared" si="231"/>
        <v>1533.6316372372346</v>
      </c>
      <c r="ACC24" s="57">
        <f t="shared" si="231"/>
        <v>1534.9096636015988</v>
      </c>
      <c r="ACD24" s="57">
        <f t="shared" si="231"/>
        <v>1536.1887549879334</v>
      </c>
      <c r="ACE24" s="57">
        <f t="shared" si="231"/>
        <v>1537.4689122837567</v>
      </c>
      <c r="ACF24" s="57">
        <f t="shared" si="231"/>
        <v>1538.7501363773265</v>
      </c>
      <c r="ACG24" s="57">
        <f t="shared" si="231"/>
        <v>1540.0324281576409</v>
      </c>
      <c r="ACH24" s="57">
        <f t="shared" si="231"/>
        <v>1541.315788514439</v>
      </c>
      <c r="ACI24" s="57">
        <f t="shared" si="231"/>
        <v>1542.6002183382011</v>
      </c>
      <c r="ACJ24" s="57">
        <f t="shared" si="231"/>
        <v>1543.8857185201496</v>
      </c>
      <c r="ACK24" s="57">
        <f t="shared" si="231"/>
        <v>1545.1722899522497</v>
      </c>
      <c r="ACL24" s="57">
        <f t="shared" si="231"/>
        <v>1546.4599335272098</v>
      </c>
      <c r="ACM24" s="57">
        <f t="shared" si="231"/>
        <v>1547.7486501384826</v>
      </c>
      <c r="ACN24" s="57">
        <f t="shared" si="231"/>
        <v>1549.0384406802648</v>
      </c>
      <c r="ACO24" s="57">
        <f t="shared" si="231"/>
        <v>1550.3293060474984</v>
      </c>
      <c r="ACP24" s="57">
        <f t="shared" si="231"/>
        <v>1551.6212471358713</v>
      </c>
      <c r="ACQ24" s="57">
        <f t="shared" si="231"/>
        <v>1552.9142648418176</v>
      </c>
      <c r="ACR24" s="57">
        <f t="shared" ref="ACR24:AFC24" si="232">(ACR20+ACR21+ACR22-ACR23)*($C$3/12)</f>
        <v>1554.2083600625192</v>
      </c>
      <c r="ACS24" s="57">
        <f t="shared" si="232"/>
        <v>1555.5035336959045</v>
      </c>
      <c r="ACT24" s="57">
        <f t="shared" si="232"/>
        <v>1556.7997866406511</v>
      </c>
      <c r="ACU24" s="57">
        <f t="shared" si="232"/>
        <v>1558.0971197961849</v>
      </c>
      <c r="ACV24" s="57">
        <f t="shared" si="232"/>
        <v>1559.3955340626815</v>
      </c>
      <c r="ACW24" s="57">
        <f t="shared" si="232"/>
        <v>1560.6950303410672</v>
      </c>
      <c r="ACX24" s="57">
        <f t="shared" si="232"/>
        <v>1561.9956095330181</v>
      </c>
      <c r="ACY24" s="57">
        <f t="shared" si="232"/>
        <v>1563.2972725409622</v>
      </c>
      <c r="ACZ24" s="57">
        <f t="shared" si="232"/>
        <v>1564.6000202680798</v>
      </c>
      <c r="ADA24" s="57">
        <f t="shared" si="232"/>
        <v>1565.9038536183032</v>
      </c>
      <c r="ADB24" s="57">
        <f t="shared" si="232"/>
        <v>1567.2087734963184</v>
      </c>
      <c r="ADC24" s="57">
        <f t="shared" si="232"/>
        <v>1568.5147808075653</v>
      </c>
      <c r="ADD24" s="57">
        <f t="shared" si="232"/>
        <v>1569.8218764582382</v>
      </c>
      <c r="ADE24" s="57">
        <f t="shared" si="232"/>
        <v>1571.1300613552867</v>
      </c>
      <c r="ADF24" s="57">
        <f t="shared" si="232"/>
        <v>1572.439336406416</v>
      </c>
      <c r="ADG24" s="57">
        <f t="shared" si="232"/>
        <v>1573.7497025200878</v>
      </c>
      <c r="ADH24" s="57">
        <f t="shared" si="232"/>
        <v>1575.0611606055213</v>
      </c>
      <c r="ADI24" s="57">
        <f t="shared" si="232"/>
        <v>1576.3737115726929</v>
      </c>
      <c r="ADJ24" s="57">
        <f t="shared" si="232"/>
        <v>1577.6873563323368</v>
      </c>
      <c r="ADK24" s="57">
        <f t="shared" si="232"/>
        <v>1579.0020957959468</v>
      </c>
      <c r="ADL24" s="57">
        <f t="shared" si="232"/>
        <v>1580.3179308757769</v>
      </c>
      <c r="ADM24" s="57">
        <f t="shared" si="232"/>
        <v>1581.6348624848401</v>
      </c>
      <c r="ADN24" s="57">
        <f t="shared" si="232"/>
        <v>1582.9528915369108</v>
      </c>
      <c r="ADO24" s="57">
        <f t="shared" si="232"/>
        <v>1584.2720189465249</v>
      </c>
      <c r="ADP24" s="57">
        <f t="shared" si="232"/>
        <v>1585.5922456289804</v>
      </c>
      <c r="ADQ24" s="57">
        <f t="shared" si="232"/>
        <v>1586.913572500338</v>
      </c>
      <c r="ADR24" s="57">
        <f t="shared" si="232"/>
        <v>1588.2360004774214</v>
      </c>
      <c r="ADS24" s="57">
        <f t="shared" si="232"/>
        <v>1589.5595304778192</v>
      </c>
      <c r="ADT24" s="57">
        <f t="shared" si="232"/>
        <v>1590.8841634198841</v>
      </c>
      <c r="ADU24" s="57">
        <f t="shared" si="232"/>
        <v>1592.2099002227339</v>
      </c>
      <c r="ADV24" s="57">
        <f t="shared" si="232"/>
        <v>1593.5367418062528</v>
      </c>
      <c r="ADW24" s="57">
        <f t="shared" si="232"/>
        <v>1594.8646890910913</v>
      </c>
      <c r="ADX24" s="57">
        <f t="shared" si="232"/>
        <v>1596.1937429986672</v>
      </c>
      <c r="ADY24" s="57">
        <f t="shared" si="232"/>
        <v>1597.5239044511661</v>
      </c>
      <c r="ADZ24" s="57">
        <f t="shared" si="232"/>
        <v>1598.855174371542</v>
      </c>
      <c r="AEA24" s="57">
        <f t="shared" si="232"/>
        <v>1600.1875536835182</v>
      </c>
      <c r="AEB24" s="57">
        <f t="shared" si="232"/>
        <v>1601.5210433115878</v>
      </c>
      <c r="AEC24" s="57">
        <f t="shared" si="232"/>
        <v>1602.8556441810142</v>
      </c>
      <c r="AED24" s="57">
        <f t="shared" si="232"/>
        <v>1604.1913572178316</v>
      </c>
      <c r="AEE24" s="57">
        <f t="shared" si="232"/>
        <v>1605.5281833488464</v>
      </c>
      <c r="AEF24" s="57">
        <f t="shared" si="232"/>
        <v>1606.8661235016373</v>
      </c>
      <c r="AEG24" s="57">
        <f t="shared" si="232"/>
        <v>1608.2051786045552</v>
      </c>
      <c r="AEH24" s="57">
        <f t="shared" si="232"/>
        <v>1609.5453495867257</v>
      </c>
      <c r="AEI24" s="57">
        <f t="shared" si="232"/>
        <v>1610.8866373780479</v>
      </c>
      <c r="AEJ24" s="57">
        <f t="shared" si="232"/>
        <v>1612.2290429091963</v>
      </c>
      <c r="AEK24" s="57">
        <f t="shared" si="232"/>
        <v>1613.5725671116206</v>
      </c>
      <c r="AEL24" s="57">
        <f t="shared" si="232"/>
        <v>1614.9172109175468</v>
      </c>
      <c r="AEM24" s="57">
        <f t="shared" si="232"/>
        <v>1616.262975259978</v>
      </c>
      <c r="AEN24" s="57">
        <f t="shared" si="232"/>
        <v>1617.6098610726947</v>
      </c>
      <c r="AEO24" s="57">
        <f t="shared" si="232"/>
        <v>1618.9578692902553</v>
      </c>
      <c r="AEP24" s="57">
        <f t="shared" si="232"/>
        <v>1620.307000847997</v>
      </c>
      <c r="AEQ24" s="57">
        <f t="shared" si="232"/>
        <v>1621.6572566820371</v>
      </c>
      <c r="AER24" s="57">
        <f t="shared" si="232"/>
        <v>1623.0086377292719</v>
      </c>
      <c r="AES24" s="57">
        <f t="shared" si="232"/>
        <v>1624.3611449273797</v>
      </c>
      <c r="AET24" s="57">
        <f t="shared" si="232"/>
        <v>1625.7147792148191</v>
      </c>
      <c r="AEU24" s="57">
        <f t="shared" si="232"/>
        <v>1627.0695415308317</v>
      </c>
      <c r="AEV24" s="57">
        <f t="shared" si="232"/>
        <v>1628.4254328154407</v>
      </c>
      <c r="AEW24" s="57">
        <f t="shared" si="232"/>
        <v>1629.7824540094537</v>
      </c>
      <c r="AEX24" s="57">
        <f t="shared" si="232"/>
        <v>1631.1406060544614</v>
      </c>
      <c r="AEY24" s="57">
        <f t="shared" si="232"/>
        <v>1632.4998898928402</v>
      </c>
      <c r="AEZ24" s="57">
        <f t="shared" si="232"/>
        <v>1633.8603064677509</v>
      </c>
      <c r="AFA24" s="57">
        <f t="shared" si="232"/>
        <v>1635.2218567231407</v>
      </c>
      <c r="AFB24" s="57">
        <f t="shared" si="232"/>
        <v>1636.5845416037432</v>
      </c>
      <c r="AFC24" s="57">
        <f t="shared" si="232"/>
        <v>1637.9483620550798</v>
      </c>
      <c r="AFD24" s="57">
        <f t="shared" ref="AFD24:AHO24" si="233">(AFD20+AFD21+AFD22-AFD23)*($C$3/12)</f>
        <v>1639.3133190234589</v>
      </c>
      <c r="AFE24" s="57">
        <f t="shared" si="233"/>
        <v>1640.6794134559784</v>
      </c>
      <c r="AFF24" s="57">
        <f t="shared" si="233"/>
        <v>1642.046646300525</v>
      </c>
      <c r="AFG24" s="57">
        <f t="shared" si="233"/>
        <v>1643.4150185057754</v>
      </c>
      <c r="AFH24" s="57">
        <f t="shared" si="233"/>
        <v>1644.7845310211972</v>
      </c>
      <c r="AFI24" s="57">
        <f t="shared" si="233"/>
        <v>1646.1551847970482</v>
      </c>
      <c r="AFJ24" s="57">
        <f t="shared" si="233"/>
        <v>1647.526980784379</v>
      </c>
      <c r="AFK24" s="57">
        <f t="shared" si="233"/>
        <v>1648.8999199350326</v>
      </c>
      <c r="AFL24" s="57">
        <f t="shared" si="233"/>
        <v>1650.2740032016452</v>
      </c>
      <c r="AFM24" s="57">
        <f t="shared" si="233"/>
        <v>1651.6492315376465</v>
      </c>
      <c r="AFN24" s="57">
        <f t="shared" si="233"/>
        <v>1653.0256058972614</v>
      </c>
      <c r="AFO24" s="57">
        <f t="shared" si="233"/>
        <v>1654.4031272355089</v>
      </c>
      <c r="AFP24" s="57">
        <f t="shared" si="233"/>
        <v>1655.7817965082054</v>
      </c>
      <c r="AFQ24" s="57">
        <f t="shared" si="233"/>
        <v>1657.1616146719621</v>
      </c>
      <c r="AFR24" s="57">
        <f t="shared" si="233"/>
        <v>1658.5425826841888</v>
      </c>
      <c r="AFS24" s="57">
        <f t="shared" si="233"/>
        <v>1659.9247015030924</v>
      </c>
      <c r="AFT24" s="57">
        <f t="shared" si="233"/>
        <v>1661.3079720876783</v>
      </c>
      <c r="AFU24" s="57">
        <f t="shared" si="233"/>
        <v>1662.6923953977514</v>
      </c>
      <c r="AFV24" s="57">
        <f t="shared" si="233"/>
        <v>1664.0779723939161</v>
      </c>
      <c r="AFW24" s="57">
        <f t="shared" si="233"/>
        <v>1665.4647040375778</v>
      </c>
      <c r="AFX24" s="57">
        <f t="shared" si="233"/>
        <v>1666.8525912909424</v>
      </c>
      <c r="AFY24" s="57">
        <f t="shared" si="233"/>
        <v>1668.2416351170182</v>
      </c>
      <c r="AFZ24" s="57">
        <f t="shared" si="233"/>
        <v>1669.6318364796157</v>
      </c>
      <c r="AGA24" s="57">
        <f t="shared" si="233"/>
        <v>1671.0231963433484</v>
      </c>
      <c r="AGB24" s="57">
        <f t="shared" si="233"/>
        <v>1672.4157156736346</v>
      </c>
      <c r="AGC24" s="57">
        <f t="shared" si="233"/>
        <v>1673.8093954366961</v>
      </c>
      <c r="AGD24" s="57">
        <f t="shared" si="233"/>
        <v>1675.2042365995599</v>
      </c>
      <c r="AGE24" s="57">
        <f t="shared" si="233"/>
        <v>1676.6002401300595</v>
      </c>
      <c r="AGF24" s="57">
        <f t="shared" si="233"/>
        <v>1677.9974069968346</v>
      </c>
      <c r="AGG24" s="57">
        <f t="shared" si="233"/>
        <v>1679.3957381693319</v>
      </c>
      <c r="AGH24" s="57">
        <f t="shared" si="233"/>
        <v>1680.7952346178063</v>
      </c>
      <c r="AGI24" s="57">
        <f t="shared" si="233"/>
        <v>1682.1958973133212</v>
      </c>
      <c r="AGJ24" s="57">
        <f t="shared" si="233"/>
        <v>1683.5977272277489</v>
      </c>
      <c r="AGK24" s="57">
        <f t="shared" si="233"/>
        <v>1685.0007253337722</v>
      </c>
      <c r="AGL24" s="57">
        <f t="shared" si="233"/>
        <v>1686.4048926048836</v>
      </c>
      <c r="AGM24" s="57">
        <f t="shared" si="233"/>
        <v>1687.8102300153876</v>
      </c>
      <c r="AGN24" s="57">
        <f t="shared" si="233"/>
        <v>1689.2167385404002</v>
      </c>
      <c r="AGO24" s="57">
        <f t="shared" si="233"/>
        <v>1690.6244191558508</v>
      </c>
      <c r="AGP24" s="57">
        <f t="shared" si="233"/>
        <v>1692.0332728384806</v>
      </c>
      <c r="AGQ24" s="57">
        <f t="shared" si="233"/>
        <v>1693.4433005658459</v>
      </c>
      <c r="AGR24" s="57">
        <f t="shared" si="233"/>
        <v>1694.8545033163175</v>
      </c>
      <c r="AGS24" s="57">
        <f t="shared" si="233"/>
        <v>1696.266882069081</v>
      </c>
      <c r="AGT24" s="57">
        <f t="shared" si="233"/>
        <v>1697.6804378041388</v>
      </c>
      <c r="AGU24" s="57">
        <f t="shared" si="233"/>
        <v>1699.0951715023089</v>
      </c>
      <c r="AGV24" s="57">
        <f t="shared" si="233"/>
        <v>1700.5110841452274</v>
      </c>
      <c r="AGW24" s="57">
        <f t="shared" si="233"/>
        <v>1701.9281767153484</v>
      </c>
      <c r="AGX24" s="57">
        <f t="shared" si="233"/>
        <v>1703.3464501959445</v>
      </c>
      <c r="AGY24" s="57">
        <f t="shared" si="233"/>
        <v>1704.7659055711079</v>
      </c>
      <c r="AGZ24" s="57">
        <f t="shared" si="233"/>
        <v>1706.1865438257505</v>
      </c>
      <c r="AHA24" s="57">
        <f t="shared" si="233"/>
        <v>1707.6083659456053</v>
      </c>
      <c r="AHB24" s="57">
        <f t="shared" si="233"/>
        <v>1709.0313729172265</v>
      </c>
      <c r="AHC24" s="57">
        <f t="shared" si="233"/>
        <v>1710.4555657279907</v>
      </c>
      <c r="AHD24" s="57">
        <f t="shared" si="233"/>
        <v>1711.8809453660974</v>
      </c>
      <c r="AHE24" s="57">
        <f t="shared" si="233"/>
        <v>1713.3075128205692</v>
      </c>
      <c r="AHF24" s="57">
        <f t="shared" si="233"/>
        <v>1714.7352690812529</v>
      </c>
      <c r="AHG24" s="57">
        <f t="shared" si="233"/>
        <v>1716.1642151388207</v>
      </c>
      <c r="AHH24" s="57">
        <f t="shared" si="233"/>
        <v>1717.5943519847697</v>
      </c>
      <c r="AHI24" s="57">
        <f t="shared" si="233"/>
        <v>1719.0256806114237</v>
      </c>
      <c r="AHJ24" s="57">
        <f t="shared" si="233"/>
        <v>1720.4582020119333</v>
      </c>
      <c r="AHK24" s="57">
        <f t="shared" si="233"/>
        <v>1721.8919171802766</v>
      </c>
      <c r="AHL24" s="57">
        <f t="shared" si="233"/>
        <v>1723.3268271112599</v>
      </c>
      <c r="AHM24" s="57">
        <f t="shared" si="233"/>
        <v>1724.7629328005194</v>
      </c>
      <c r="AHN24" s="57">
        <f t="shared" si="233"/>
        <v>1726.2002352445197</v>
      </c>
      <c r="AHO24" s="57">
        <f t="shared" si="233"/>
        <v>1727.638735440557</v>
      </c>
      <c r="AHP24" s="57">
        <f t="shared" ref="AHP24:AKA24" si="234">(AHP20+AHP21+AHP22-AHP23)*($C$3/12)</f>
        <v>1729.0784343867574</v>
      </c>
      <c r="AHQ24" s="57">
        <f t="shared" si="234"/>
        <v>1730.5193330820796</v>
      </c>
      <c r="AHR24" s="57">
        <f t="shared" si="234"/>
        <v>1731.9614325263146</v>
      </c>
      <c r="AHS24" s="57">
        <f t="shared" si="234"/>
        <v>1733.4047337200866</v>
      </c>
      <c r="AHT24" s="57">
        <f t="shared" si="234"/>
        <v>1734.8492376648533</v>
      </c>
      <c r="AHU24" s="57">
        <f t="shared" si="234"/>
        <v>1736.2949453629074</v>
      </c>
      <c r="AHV24" s="57">
        <f t="shared" si="234"/>
        <v>1737.7418578173765</v>
      </c>
      <c r="AHW24" s="57">
        <f t="shared" si="234"/>
        <v>1739.1899760322242</v>
      </c>
      <c r="AHX24" s="57">
        <f t="shared" si="234"/>
        <v>1740.6393010122511</v>
      </c>
      <c r="AHY24" s="57">
        <f t="shared" si="234"/>
        <v>1742.0898337630947</v>
      </c>
      <c r="AHZ24" s="57">
        <f t="shared" si="234"/>
        <v>1743.5415752912306</v>
      </c>
      <c r="AIA24" s="57">
        <f t="shared" si="234"/>
        <v>1744.9945266039733</v>
      </c>
      <c r="AIB24" s="57">
        <f t="shared" si="234"/>
        <v>1746.4486887094765</v>
      </c>
      <c r="AIC24" s="57">
        <f t="shared" si="234"/>
        <v>1747.9040626167343</v>
      </c>
      <c r="AID24" s="57">
        <f t="shared" si="234"/>
        <v>1749.3606493355817</v>
      </c>
      <c r="AIE24" s="57">
        <f t="shared" si="234"/>
        <v>1750.8184498766946</v>
      </c>
      <c r="AIF24" s="57">
        <f t="shared" si="234"/>
        <v>1752.277465251592</v>
      </c>
      <c r="AIG24" s="57">
        <f t="shared" si="234"/>
        <v>1753.737696472635</v>
      </c>
      <c r="AIH24" s="57">
        <f t="shared" si="234"/>
        <v>1755.1991445530289</v>
      </c>
      <c r="AII24" s="57">
        <f t="shared" si="234"/>
        <v>1756.661810506823</v>
      </c>
      <c r="AIJ24" s="57">
        <f t="shared" si="234"/>
        <v>1758.1256953489119</v>
      </c>
      <c r="AIK24" s="57">
        <f t="shared" si="234"/>
        <v>1759.5908000950358</v>
      </c>
      <c r="AIL24" s="57">
        <f t="shared" si="234"/>
        <v>1761.0571257617814</v>
      </c>
      <c r="AIM24" s="57">
        <f t="shared" si="234"/>
        <v>1762.5246733665829</v>
      </c>
      <c r="AIN24" s="57">
        <f t="shared" si="234"/>
        <v>1763.9934439277215</v>
      </c>
      <c r="AIO24" s="57">
        <f t="shared" si="234"/>
        <v>1765.463438464328</v>
      </c>
      <c r="AIP24" s="57">
        <f t="shared" si="234"/>
        <v>1766.9346579963817</v>
      </c>
      <c r="AIQ24" s="57">
        <f t="shared" si="234"/>
        <v>1768.4071035447121</v>
      </c>
      <c r="AIR24" s="57">
        <f t="shared" si="234"/>
        <v>1769.8807761309993</v>
      </c>
      <c r="AIS24" s="57">
        <f t="shared" si="234"/>
        <v>1771.355676777775</v>
      </c>
      <c r="AIT24" s="57">
        <f t="shared" si="234"/>
        <v>1772.8318065084231</v>
      </c>
      <c r="AIU24" s="57">
        <f t="shared" si="234"/>
        <v>1774.3091663471801</v>
      </c>
      <c r="AIV24" s="57">
        <f t="shared" si="234"/>
        <v>1775.7877573191361</v>
      </c>
      <c r="AIW24" s="57">
        <f t="shared" si="234"/>
        <v>1777.2675804502351</v>
      </c>
      <c r="AIX24" s="57">
        <f t="shared" si="234"/>
        <v>1778.7486367672768</v>
      </c>
      <c r="AIY24" s="57">
        <f t="shared" si="234"/>
        <v>1780.2309272979162</v>
      </c>
      <c r="AIZ24" s="57">
        <f t="shared" si="234"/>
        <v>1781.7144530706644</v>
      </c>
      <c r="AJA24" s="57">
        <f t="shared" si="234"/>
        <v>1783.1992151148902</v>
      </c>
      <c r="AJB24" s="57">
        <f t="shared" si="234"/>
        <v>1784.6852144608195</v>
      </c>
      <c r="AJC24" s="57">
        <f t="shared" si="234"/>
        <v>1786.1724521395367</v>
      </c>
      <c r="AJD24" s="57">
        <f t="shared" si="234"/>
        <v>1787.6609291829864</v>
      </c>
      <c r="AJE24" s="57">
        <f t="shared" si="234"/>
        <v>1789.1506466239723</v>
      </c>
      <c r="AJF24" s="57">
        <f t="shared" si="234"/>
        <v>1790.6416054961592</v>
      </c>
      <c r="AJG24" s="57">
        <f t="shared" si="234"/>
        <v>1792.1338068340724</v>
      </c>
      <c r="AJH24" s="57">
        <f t="shared" si="234"/>
        <v>1793.6272516731008</v>
      </c>
      <c r="AJI24" s="57">
        <f t="shared" si="234"/>
        <v>1795.1219410494948</v>
      </c>
      <c r="AJJ24" s="57">
        <f t="shared" si="234"/>
        <v>1796.6178760003695</v>
      </c>
      <c r="AJK24" s="57">
        <f t="shared" si="234"/>
        <v>1798.115057563703</v>
      </c>
      <c r="AJL24" s="57">
        <f t="shared" si="234"/>
        <v>1799.6134867783396</v>
      </c>
      <c r="AJM24" s="57">
        <f t="shared" si="234"/>
        <v>1801.1131646839883</v>
      </c>
      <c r="AJN24" s="57">
        <f t="shared" si="234"/>
        <v>1802.6140923212249</v>
      </c>
      <c r="AJO24" s="57">
        <f t="shared" si="234"/>
        <v>1804.1162707314925</v>
      </c>
      <c r="AJP24" s="57">
        <f t="shared" si="234"/>
        <v>1805.6197009571022</v>
      </c>
      <c r="AJQ24" s="57">
        <f t="shared" si="234"/>
        <v>1807.124384041233</v>
      </c>
      <c r="AJR24" s="57">
        <f t="shared" si="234"/>
        <v>1808.6303210279343</v>
      </c>
      <c r="AJS24" s="57">
        <f t="shared" si="234"/>
        <v>1810.137512962124</v>
      </c>
      <c r="AJT24" s="57">
        <f t="shared" si="234"/>
        <v>1811.6459608895927</v>
      </c>
      <c r="AJU24" s="57">
        <f t="shared" si="234"/>
        <v>1813.1556658570007</v>
      </c>
      <c r="AJV24" s="57">
        <f t="shared" si="234"/>
        <v>1814.6666289118814</v>
      </c>
      <c r="AJW24" s="57">
        <f t="shared" si="234"/>
        <v>1816.1788511026416</v>
      </c>
      <c r="AJX24" s="57">
        <f t="shared" si="234"/>
        <v>1817.6923334785602</v>
      </c>
      <c r="AJY24" s="57">
        <f t="shared" si="234"/>
        <v>1819.2070770897924</v>
      </c>
      <c r="AJZ24" s="57">
        <f t="shared" si="234"/>
        <v>1820.723082987367</v>
      </c>
      <c r="AKA24" s="57">
        <f t="shared" si="234"/>
        <v>1822.24035222319</v>
      </c>
      <c r="AKB24" s="57">
        <f t="shared" ref="AKB24:AMM24" si="235">(AKB20+AKB21+AKB22-AKB23)*($C$3/12)</f>
        <v>1823.7588858500426</v>
      </c>
      <c r="AKC24" s="57">
        <f t="shared" si="235"/>
        <v>1825.2786849215845</v>
      </c>
      <c r="AKD24" s="57">
        <f t="shared" si="235"/>
        <v>1826.7997504923526</v>
      </c>
      <c r="AKE24" s="57">
        <f t="shared" si="235"/>
        <v>1828.3220836177629</v>
      </c>
      <c r="AKF24" s="57">
        <f t="shared" si="235"/>
        <v>1829.8456853541109</v>
      </c>
      <c r="AKG24" s="57">
        <f t="shared" si="235"/>
        <v>1831.3705567585725</v>
      </c>
      <c r="AKH24" s="57">
        <f t="shared" si="235"/>
        <v>1832.8966988892048</v>
      </c>
      <c r="AKI24" s="57">
        <f t="shared" si="235"/>
        <v>1834.4241128049459</v>
      </c>
      <c r="AKJ24" s="57">
        <f t="shared" si="235"/>
        <v>1835.9527995656167</v>
      </c>
      <c r="AKK24" s="57">
        <f t="shared" si="235"/>
        <v>1837.4827602319215</v>
      </c>
      <c r="AKL24" s="57">
        <f t="shared" si="235"/>
        <v>1839.0139958654481</v>
      </c>
      <c r="AKM24" s="57">
        <f t="shared" si="235"/>
        <v>1840.5465075286693</v>
      </c>
      <c r="AKN24" s="57">
        <f t="shared" si="235"/>
        <v>1842.080296284943</v>
      </c>
      <c r="AKO24" s="57">
        <f t="shared" si="235"/>
        <v>1843.6153631985139</v>
      </c>
      <c r="AKP24" s="57">
        <f t="shared" si="235"/>
        <v>1845.1517093345124</v>
      </c>
      <c r="AKQ24" s="57">
        <f t="shared" si="235"/>
        <v>1846.6893357589579</v>
      </c>
      <c r="AKR24" s="57">
        <f t="shared" si="235"/>
        <v>1848.2282435387567</v>
      </c>
      <c r="AKS24" s="57">
        <f t="shared" si="235"/>
        <v>1849.7684337417056</v>
      </c>
      <c r="AKT24" s="57">
        <f t="shared" si="235"/>
        <v>1851.3099074364904</v>
      </c>
      <c r="AKU24" s="57">
        <f t="shared" si="235"/>
        <v>1852.8526656926874</v>
      </c>
      <c r="AKV24" s="57">
        <f t="shared" si="235"/>
        <v>1854.3967095807645</v>
      </c>
      <c r="AKW24" s="57">
        <f t="shared" si="235"/>
        <v>1855.942040172082</v>
      </c>
      <c r="AKX24" s="57">
        <f t="shared" si="235"/>
        <v>1857.488658538892</v>
      </c>
      <c r="AKY24" s="57">
        <f t="shared" si="235"/>
        <v>1859.0365657543412</v>
      </c>
      <c r="AKZ24" s="57">
        <f t="shared" si="235"/>
        <v>1860.58576289247</v>
      </c>
      <c r="ALA24" s="57">
        <f t="shared" si="235"/>
        <v>1862.1362510282136</v>
      </c>
      <c r="ALB24" s="57">
        <f t="shared" si="235"/>
        <v>1863.6880312374037</v>
      </c>
      <c r="ALC24" s="57">
        <f t="shared" si="235"/>
        <v>1865.2411045967683</v>
      </c>
      <c r="ALD24" s="57">
        <f t="shared" si="235"/>
        <v>1866.7954721839324</v>
      </c>
      <c r="ALE24" s="57">
        <f t="shared" si="235"/>
        <v>1868.3511350774188</v>
      </c>
      <c r="ALF24" s="57">
        <f t="shared" si="235"/>
        <v>1869.9080943566501</v>
      </c>
      <c r="ALG24" s="57">
        <f t="shared" si="235"/>
        <v>1871.4663511019473</v>
      </c>
      <c r="ALH24" s="57">
        <f t="shared" si="235"/>
        <v>1873.0259063945323</v>
      </c>
      <c r="ALI24" s="57">
        <f t="shared" si="235"/>
        <v>1874.5867613165281</v>
      </c>
      <c r="ALJ24" s="57">
        <f t="shared" si="235"/>
        <v>1876.1489169509587</v>
      </c>
      <c r="ALK24" s="57">
        <f t="shared" si="235"/>
        <v>1877.712374381751</v>
      </c>
      <c r="ALL24" s="57">
        <f t="shared" si="235"/>
        <v>1879.2771346937359</v>
      </c>
      <c r="ALM24" s="57">
        <f t="shared" si="235"/>
        <v>1880.8431989726471</v>
      </c>
      <c r="ALN24" s="57">
        <f t="shared" si="235"/>
        <v>1882.4105683051246</v>
      </c>
      <c r="ALO24" s="57">
        <f t="shared" si="235"/>
        <v>1883.9792437787123</v>
      </c>
      <c r="ALP24" s="57">
        <f t="shared" si="235"/>
        <v>1885.5492264818611</v>
      </c>
      <c r="ALQ24" s="57">
        <f t="shared" si="235"/>
        <v>1887.1205175039295</v>
      </c>
      <c r="ALR24" s="57">
        <f t="shared" si="235"/>
        <v>1888.6931179351827</v>
      </c>
      <c r="ALS24" s="57">
        <f t="shared" si="235"/>
        <v>1890.2670288667953</v>
      </c>
      <c r="ALT24" s="57">
        <f t="shared" si="235"/>
        <v>1891.8422513908511</v>
      </c>
      <c r="ALU24" s="57">
        <f t="shared" si="235"/>
        <v>1893.4187866003433</v>
      </c>
      <c r="ALV24" s="57">
        <f t="shared" si="235"/>
        <v>1894.9966355891768</v>
      </c>
      <c r="ALW24" s="57">
        <f t="shared" si="235"/>
        <v>1896.5757994521678</v>
      </c>
      <c r="ALX24" s="57">
        <f t="shared" si="235"/>
        <v>1898.1562792850445</v>
      </c>
      <c r="ALY24" s="57">
        <f t="shared" si="235"/>
        <v>1899.7380761844488</v>
      </c>
      <c r="ALZ24" s="57">
        <f t="shared" si="235"/>
        <v>1901.3211912479358</v>
      </c>
      <c r="AMA24" s="57">
        <f t="shared" si="235"/>
        <v>1902.9056255739758</v>
      </c>
      <c r="AMB24" s="57">
        <f t="shared" si="235"/>
        <v>1904.491380261954</v>
      </c>
      <c r="AMC24" s="57">
        <f t="shared" si="235"/>
        <v>1906.078456412172</v>
      </c>
      <c r="AMD24" s="57">
        <f t="shared" si="235"/>
        <v>1907.6668551258488</v>
      </c>
      <c r="AME24" s="57">
        <f t="shared" si="235"/>
        <v>1909.2565775051203</v>
      </c>
      <c r="AMF24" s="57">
        <f t="shared" si="235"/>
        <v>1910.8476246530413</v>
      </c>
      <c r="AMG24" s="57">
        <f t="shared" si="235"/>
        <v>1912.4399976735854</v>
      </c>
      <c r="AMH24" s="57">
        <f t="shared" si="235"/>
        <v>1914.0336976716467</v>
      </c>
      <c r="AMI24" s="57">
        <f t="shared" si="235"/>
        <v>1915.6287257530398</v>
      </c>
      <c r="AMJ24" s="57">
        <f t="shared" si="235"/>
        <v>1917.2250830245007</v>
      </c>
      <c r="AMK24" s="57">
        <f t="shared" si="235"/>
        <v>1918.8227705936881</v>
      </c>
      <c r="AML24" s="57">
        <f t="shared" si="235"/>
        <v>1920.4217895691827</v>
      </c>
      <c r="AMM24" s="57">
        <f t="shared" si="235"/>
        <v>1922.0221410604904</v>
      </c>
      <c r="AMN24" s="57">
        <f t="shared" ref="AMN24:AOQ24" si="236">(AMN20+AMN21+AMN22-AMN23)*($C$3/12)</f>
        <v>1923.6238261780409</v>
      </c>
      <c r="AMO24" s="57">
        <f t="shared" si="236"/>
        <v>1925.2268460331893</v>
      </c>
      <c r="AMP24" s="57">
        <f t="shared" si="236"/>
        <v>1926.831201738217</v>
      </c>
      <c r="AMQ24" s="57">
        <f t="shared" si="236"/>
        <v>1928.4368944063322</v>
      </c>
      <c r="AMR24" s="57">
        <f t="shared" si="236"/>
        <v>1930.0439251516709</v>
      </c>
      <c r="AMS24" s="57">
        <f t="shared" si="236"/>
        <v>1931.6522950892975</v>
      </c>
      <c r="AMT24" s="57">
        <f t="shared" si="236"/>
        <v>1933.2620053352052</v>
      </c>
      <c r="AMU24" s="57">
        <f t="shared" si="236"/>
        <v>1934.8730570063178</v>
      </c>
      <c r="AMV24" s="57">
        <f t="shared" si="236"/>
        <v>1936.4854512204899</v>
      </c>
      <c r="AMW24" s="57">
        <f t="shared" si="236"/>
        <v>1938.099189096507</v>
      </c>
      <c r="AMX24" s="57">
        <f t="shared" si="236"/>
        <v>1939.7142717540873</v>
      </c>
      <c r="AMY24" s="57">
        <f t="shared" si="236"/>
        <v>1941.3307003138825</v>
      </c>
      <c r="AMZ24" s="57">
        <f t="shared" si="236"/>
        <v>1942.9484758974772</v>
      </c>
      <c r="ANA24" s="57">
        <f t="shared" si="236"/>
        <v>1944.5675996273917</v>
      </c>
      <c r="ANB24" s="57">
        <f t="shared" si="236"/>
        <v>1946.1880726270811</v>
      </c>
      <c r="ANC24" s="57">
        <f t="shared" si="236"/>
        <v>1947.8098960209368</v>
      </c>
      <c r="AND24" s="57">
        <f t="shared" si="236"/>
        <v>1949.4330709342878</v>
      </c>
      <c r="ANE24" s="57">
        <f t="shared" si="236"/>
        <v>1951.0575984933996</v>
      </c>
      <c r="ANF24" s="57">
        <f t="shared" si="236"/>
        <v>1952.6834798254777</v>
      </c>
      <c r="ANG24" s="57">
        <f t="shared" si="236"/>
        <v>1954.3107160586655</v>
      </c>
      <c r="ANH24" s="57">
        <f t="shared" si="236"/>
        <v>1955.9393083220477</v>
      </c>
      <c r="ANI24" s="57">
        <f t="shared" si="236"/>
        <v>1957.5692577456493</v>
      </c>
      <c r="ANJ24" s="57">
        <f t="shared" si="236"/>
        <v>1959.2005654604372</v>
      </c>
      <c r="ANK24" s="57">
        <f t="shared" si="236"/>
        <v>1960.8332325983213</v>
      </c>
      <c r="ANL24" s="57">
        <f t="shared" si="236"/>
        <v>1962.4672602921532</v>
      </c>
      <c r="ANM24" s="57">
        <f t="shared" si="236"/>
        <v>1964.1026496757299</v>
      </c>
      <c r="ANN24" s="57">
        <f t="shared" si="236"/>
        <v>1965.7394018837931</v>
      </c>
      <c r="ANO24" s="57">
        <f t="shared" si="236"/>
        <v>1967.3775180520297</v>
      </c>
      <c r="ANP24" s="57">
        <f t="shared" si="236"/>
        <v>1969.0169993170732</v>
      </c>
      <c r="ANQ24" s="57">
        <f t="shared" si="236"/>
        <v>1970.6578468165039</v>
      </c>
      <c r="ANR24" s="57">
        <f t="shared" si="236"/>
        <v>1972.300061688851</v>
      </c>
      <c r="ANS24" s="57">
        <f t="shared" si="236"/>
        <v>1973.9436450735916</v>
      </c>
      <c r="ANT24" s="57">
        <f t="shared" si="236"/>
        <v>1975.5885981111528</v>
      </c>
      <c r="ANU24" s="57">
        <f t="shared" si="236"/>
        <v>1977.2349219429123</v>
      </c>
      <c r="ANV24" s="57">
        <f t="shared" si="236"/>
        <v>1978.882617711198</v>
      </c>
      <c r="ANW24" s="57">
        <f t="shared" si="236"/>
        <v>1980.5316865592906</v>
      </c>
      <c r="ANX24" s="57">
        <f t="shared" si="236"/>
        <v>1982.1821296314233</v>
      </c>
      <c r="ANY24" s="57">
        <f t="shared" si="236"/>
        <v>1983.8339480727827</v>
      </c>
      <c r="ANZ24" s="57">
        <f t="shared" si="236"/>
        <v>1985.4871430295102</v>
      </c>
      <c r="AOA24" s="57">
        <f t="shared" si="236"/>
        <v>1987.1417156487014</v>
      </c>
      <c r="AOB24" s="57">
        <f t="shared" si="236"/>
        <v>1988.7976670784085</v>
      </c>
      <c r="AOC24" s="57">
        <f t="shared" si="236"/>
        <v>1990.4549984676403</v>
      </c>
      <c r="AOD24" s="57">
        <f t="shared" si="236"/>
        <v>1992.1137109663634</v>
      </c>
      <c r="AOE24" s="57">
        <f t="shared" si="236"/>
        <v>1993.7738057255021</v>
      </c>
      <c r="AOF24" s="57">
        <f t="shared" si="236"/>
        <v>1995.4352833333332</v>
      </c>
      <c r="AOG24" s="57">
        <f t="shared" si="236"/>
        <v>1997.0981460694445</v>
      </c>
      <c r="AOH24" s="57">
        <f t="shared" si="236"/>
        <v>1998.7623945245025</v>
      </c>
      <c r="AOI24" s="57">
        <f t="shared" si="236"/>
        <v>2000.4280298532728</v>
      </c>
      <c r="AOJ24" s="57">
        <f t="shared" si="236"/>
        <v>2002.0950532114841</v>
      </c>
      <c r="AOK24" s="57">
        <f t="shared" si="236"/>
        <v>2003.7634657558269</v>
      </c>
      <c r="AOL24" s="57">
        <f t="shared" si="236"/>
        <v>2005.4332686439566</v>
      </c>
      <c r="AOM24" s="57">
        <f t="shared" si="236"/>
        <v>2007.1044630344932</v>
      </c>
      <c r="AON24" s="57">
        <f t="shared" si="236"/>
        <v>2008.7770500870217</v>
      </c>
      <c r="AOO24" s="57">
        <f t="shared" si="236"/>
        <v>2010.4510309620944</v>
      </c>
      <c r="AOP24" s="57">
        <f t="shared" si="236"/>
        <v>2012.1264068212295</v>
      </c>
      <c r="AOQ24" s="57">
        <f t="shared" si="236"/>
        <v>2013.8031788269141</v>
      </c>
    </row>
    <row r="25" spans="2:1083" x14ac:dyDescent="0.25">
      <c r="B25" s="58" t="s">
        <v>179</v>
      </c>
      <c r="C25" s="58"/>
      <c r="D25" s="59">
        <f t="shared" ref="D25:BO25" si="237">IF(AND(D14="Desacumulación",E14="-"),ROUND(D20+D21+D22-D23+D24,2),D20+D21+D22-D23+D24)</f>
        <v>0</v>
      </c>
      <c r="E25" s="59">
        <f t="shared" si="237"/>
        <v>0</v>
      </c>
      <c r="F25" s="59">
        <f t="shared" si="237"/>
        <v>0</v>
      </c>
      <c r="G25" s="59">
        <f t="shared" si="237"/>
        <v>0</v>
      </c>
      <c r="H25" s="59">
        <f t="shared" si="237"/>
        <v>0</v>
      </c>
      <c r="I25" s="59">
        <f t="shared" si="237"/>
        <v>0</v>
      </c>
      <c r="J25" s="59">
        <f t="shared" si="237"/>
        <v>0</v>
      </c>
      <c r="K25" s="59">
        <f t="shared" si="237"/>
        <v>0</v>
      </c>
      <c r="L25" s="59">
        <f t="shared" si="237"/>
        <v>0</v>
      </c>
      <c r="M25" s="59">
        <f t="shared" si="237"/>
        <v>0</v>
      </c>
      <c r="N25" s="59">
        <f t="shared" si="237"/>
        <v>0</v>
      </c>
      <c r="O25" s="59">
        <f t="shared" si="237"/>
        <v>0</v>
      </c>
      <c r="P25" s="59">
        <f t="shared" si="237"/>
        <v>0</v>
      </c>
      <c r="Q25" s="59">
        <f t="shared" si="237"/>
        <v>0</v>
      </c>
      <c r="R25" s="59">
        <f t="shared" si="237"/>
        <v>0</v>
      </c>
      <c r="S25" s="59">
        <f t="shared" si="237"/>
        <v>0</v>
      </c>
      <c r="T25" s="59">
        <f t="shared" si="237"/>
        <v>0</v>
      </c>
      <c r="U25" s="59">
        <f t="shared" si="237"/>
        <v>0</v>
      </c>
      <c r="V25" s="59">
        <f t="shared" si="237"/>
        <v>0</v>
      </c>
      <c r="W25" s="59">
        <f t="shared" si="237"/>
        <v>0</v>
      </c>
      <c r="X25" s="59">
        <f t="shared" si="237"/>
        <v>0</v>
      </c>
      <c r="Y25" s="59">
        <f t="shared" si="237"/>
        <v>0</v>
      </c>
      <c r="Z25" s="59">
        <f t="shared" si="237"/>
        <v>0</v>
      </c>
      <c r="AA25" s="59">
        <f t="shared" si="237"/>
        <v>0</v>
      </c>
      <c r="AB25" s="59">
        <f t="shared" si="237"/>
        <v>0</v>
      </c>
      <c r="AC25" s="59">
        <f t="shared" si="237"/>
        <v>0</v>
      </c>
      <c r="AD25" s="59">
        <f t="shared" si="237"/>
        <v>0</v>
      </c>
      <c r="AE25" s="59">
        <f t="shared" si="237"/>
        <v>0</v>
      </c>
      <c r="AF25" s="59">
        <f t="shared" si="237"/>
        <v>0</v>
      </c>
      <c r="AG25" s="59">
        <f t="shared" si="237"/>
        <v>0</v>
      </c>
      <c r="AH25" s="59">
        <f t="shared" si="237"/>
        <v>0</v>
      </c>
      <c r="AI25" s="59">
        <f t="shared" si="237"/>
        <v>0</v>
      </c>
      <c r="AJ25" s="59">
        <f t="shared" si="237"/>
        <v>0</v>
      </c>
      <c r="AK25" s="59">
        <f t="shared" si="237"/>
        <v>0</v>
      </c>
      <c r="AL25" s="59">
        <f t="shared" si="237"/>
        <v>0</v>
      </c>
      <c r="AM25" s="59">
        <f t="shared" si="237"/>
        <v>0</v>
      </c>
      <c r="AN25" s="59">
        <f t="shared" si="237"/>
        <v>0</v>
      </c>
      <c r="AO25" s="59">
        <f t="shared" si="237"/>
        <v>0</v>
      </c>
      <c r="AP25" s="59">
        <f t="shared" si="237"/>
        <v>0</v>
      </c>
      <c r="AQ25" s="59">
        <f t="shared" si="237"/>
        <v>0</v>
      </c>
      <c r="AR25" s="59">
        <f t="shared" si="237"/>
        <v>0</v>
      </c>
      <c r="AS25" s="59">
        <f t="shared" si="237"/>
        <v>0</v>
      </c>
      <c r="AT25" s="59">
        <f t="shared" si="237"/>
        <v>0</v>
      </c>
      <c r="AU25" s="59">
        <f t="shared" si="237"/>
        <v>0</v>
      </c>
      <c r="AV25" s="59">
        <f t="shared" si="237"/>
        <v>0</v>
      </c>
      <c r="AW25" s="59">
        <f t="shared" si="237"/>
        <v>0</v>
      </c>
      <c r="AX25" s="59">
        <f t="shared" si="237"/>
        <v>0</v>
      </c>
      <c r="AY25" s="59">
        <f t="shared" si="237"/>
        <v>0</v>
      </c>
      <c r="AZ25" s="59">
        <f t="shared" si="237"/>
        <v>0</v>
      </c>
      <c r="BA25" s="59">
        <f t="shared" si="237"/>
        <v>0</v>
      </c>
      <c r="BB25" s="59">
        <f t="shared" si="237"/>
        <v>0</v>
      </c>
      <c r="BC25" s="59">
        <f t="shared" si="237"/>
        <v>0</v>
      </c>
      <c r="BD25" s="59">
        <f t="shared" si="237"/>
        <v>0</v>
      </c>
      <c r="BE25" s="59">
        <f t="shared" si="237"/>
        <v>0</v>
      </c>
      <c r="BF25" s="59">
        <f t="shared" si="237"/>
        <v>0</v>
      </c>
      <c r="BG25" s="59">
        <f t="shared" si="237"/>
        <v>0</v>
      </c>
      <c r="BH25" s="59">
        <f t="shared" si="237"/>
        <v>0</v>
      </c>
      <c r="BI25" s="59">
        <f t="shared" si="237"/>
        <v>0</v>
      </c>
      <c r="BJ25" s="59">
        <f t="shared" si="237"/>
        <v>0</v>
      </c>
      <c r="BK25" s="59">
        <f t="shared" si="237"/>
        <v>0</v>
      </c>
      <c r="BL25" s="59">
        <f t="shared" si="237"/>
        <v>0</v>
      </c>
      <c r="BM25" s="59">
        <f t="shared" si="237"/>
        <v>0</v>
      </c>
      <c r="BN25" s="59">
        <f t="shared" si="237"/>
        <v>0</v>
      </c>
      <c r="BO25" s="59">
        <f t="shared" si="237"/>
        <v>0</v>
      </c>
      <c r="BP25" s="59">
        <f t="shared" ref="BP25:EA25" si="238">IF(AND(BP14="Desacumulación",BQ14="-"),ROUND(BP20+BP21+BP22-BP23+BP24,2),BP20+BP21+BP22-BP23+BP24)</f>
        <v>0</v>
      </c>
      <c r="BQ25" s="59">
        <f t="shared" si="238"/>
        <v>0</v>
      </c>
      <c r="BR25" s="59">
        <f t="shared" si="238"/>
        <v>0</v>
      </c>
      <c r="BS25" s="59">
        <f t="shared" si="238"/>
        <v>0</v>
      </c>
      <c r="BT25" s="59">
        <f t="shared" si="238"/>
        <v>0</v>
      </c>
      <c r="BU25" s="59">
        <f t="shared" si="238"/>
        <v>0</v>
      </c>
      <c r="BV25" s="59">
        <f t="shared" si="238"/>
        <v>0</v>
      </c>
      <c r="BW25" s="59">
        <f t="shared" si="238"/>
        <v>0</v>
      </c>
      <c r="BX25" s="59">
        <f t="shared" si="238"/>
        <v>0</v>
      </c>
      <c r="BY25" s="59">
        <f t="shared" si="238"/>
        <v>0</v>
      </c>
      <c r="BZ25" s="59">
        <f t="shared" si="238"/>
        <v>0</v>
      </c>
      <c r="CA25" s="59">
        <f t="shared" si="238"/>
        <v>0</v>
      </c>
      <c r="CB25" s="59">
        <f t="shared" si="238"/>
        <v>0</v>
      </c>
      <c r="CC25" s="59">
        <f t="shared" si="238"/>
        <v>0</v>
      </c>
      <c r="CD25" s="59">
        <f t="shared" si="238"/>
        <v>0</v>
      </c>
      <c r="CE25" s="59">
        <f t="shared" si="238"/>
        <v>0</v>
      </c>
      <c r="CF25" s="59">
        <f t="shared" si="238"/>
        <v>0</v>
      </c>
      <c r="CG25" s="59">
        <f t="shared" si="238"/>
        <v>0</v>
      </c>
      <c r="CH25" s="59">
        <f t="shared" si="238"/>
        <v>0</v>
      </c>
      <c r="CI25" s="59">
        <f t="shared" si="238"/>
        <v>0</v>
      </c>
      <c r="CJ25" s="59">
        <f t="shared" si="238"/>
        <v>0</v>
      </c>
      <c r="CK25" s="59">
        <f t="shared" si="238"/>
        <v>0</v>
      </c>
      <c r="CL25" s="59">
        <f t="shared" si="238"/>
        <v>0</v>
      </c>
      <c r="CM25" s="59">
        <f t="shared" si="238"/>
        <v>0</v>
      </c>
      <c r="CN25" s="59">
        <f t="shared" si="238"/>
        <v>0</v>
      </c>
      <c r="CO25" s="59">
        <f t="shared" si="238"/>
        <v>0</v>
      </c>
      <c r="CP25" s="59">
        <f t="shared" si="238"/>
        <v>0</v>
      </c>
      <c r="CQ25" s="59">
        <f t="shared" si="238"/>
        <v>0</v>
      </c>
      <c r="CR25" s="59">
        <f t="shared" si="238"/>
        <v>0</v>
      </c>
      <c r="CS25" s="59">
        <f t="shared" si="238"/>
        <v>0</v>
      </c>
      <c r="CT25" s="59">
        <f t="shared" si="238"/>
        <v>0</v>
      </c>
      <c r="CU25" s="59">
        <f t="shared" si="238"/>
        <v>0</v>
      </c>
      <c r="CV25" s="59">
        <f t="shared" si="238"/>
        <v>0</v>
      </c>
      <c r="CW25" s="59">
        <f t="shared" si="238"/>
        <v>0</v>
      </c>
      <c r="CX25" s="59">
        <f t="shared" si="238"/>
        <v>0</v>
      </c>
      <c r="CY25" s="59">
        <f t="shared" si="238"/>
        <v>0</v>
      </c>
      <c r="CZ25" s="59">
        <f t="shared" si="238"/>
        <v>0</v>
      </c>
      <c r="DA25" s="59">
        <f t="shared" si="238"/>
        <v>0</v>
      </c>
      <c r="DB25" s="59">
        <f t="shared" si="238"/>
        <v>0</v>
      </c>
      <c r="DC25" s="59">
        <f t="shared" si="238"/>
        <v>0</v>
      </c>
      <c r="DD25" s="59">
        <f t="shared" si="238"/>
        <v>0</v>
      </c>
      <c r="DE25" s="59">
        <f t="shared" si="238"/>
        <v>0</v>
      </c>
      <c r="DF25" s="59">
        <f t="shared" si="238"/>
        <v>0</v>
      </c>
      <c r="DG25" s="59">
        <f t="shared" si="238"/>
        <v>0</v>
      </c>
      <c r="DH25" s="59">
        <f t="shared" si="238"/>
        <v>0</v>
      </c>
      <c r="DI25" s="59">
        <f t="shared" si="238"/>
        <v>0</v>
      </c>
      <c r="DJ25" s="59">
        <f t="shared" si="238"/>
        <v>0</v>
      </c>
      <c r="DK25" s="59">
        <f t="shared" si="238"/>
        <v>0</v>
      </c>
      <c r="DL25" s="59">
        <f t="shared" si="238"/>
        <v>0</v>
      </c>
      <c r="DM25" s="59">
        <f t="shared" si="238"/>
        <v>0</v>
      </c>
      <c r="DN25" s="59">
        <f t="shared" si="238"/>
        <v>0</v>
      </c>
      <c r="DO25" s="59">
        <f t="shared" si="238"/>
        <v>0</v>
      </c>
      <c r="DP25" s="59">
        <f t="shared" si="238"/>
        <v>0</v>
      </c>
      <c r="DQ25" s="59">
        <f t="shared" si="238"/>
        <v>0</v>
      </c>
      <c r="DR25" s="59">
        <f t="shared" si="238"/>
        <v>0</v>
      </c>
      <c r="DS25" s="59">
        <f t="shared" si="238"/>
        <v>0</v>
      </c>
      <c r="DT25" s="59">
        <f t="shared" si="238"/>
        <v>0</v>
      </c>
      <c r="DU25" s="59">
        <f t="shared" si="238"/>
        <v>0</v>
      </c>
      <c r="DV25" s="59">
        <f t="shared" si="238"/>
        <v>0</v>
      </c>
      <c r="DW25" s="59">
        <f t="shared" si="238"/>
        <v>0</v>
      </c>
      <c r="DX25" s="59">
        <f t="shared" si="238"/>
        <v>0</v>
      </c>
      <c r="DY25" s="59">
        <f t="shared" si="238"/>
        <v>0</v>
      </c>
      <c r="DZ25" s="59">
        <f t="shared" si="238"/>
        <v>0</v>
      </c>
      <c r="EA25" s="59">
        <f t="shared" si="238"/>
        <v>0</v>
      </c>
      <c r="EB25" s="59">
        <f t="shared" ref="EB25:GM25" si="239">IF(AND(EB14="Desacumulación",EC14="-"),ROUND(EB20+EB21+EB22-EB23+EB24,2),EB20+EB21+EB22-EB23+EB24)</f>
        <v>0</v>
      </c>
      <c r="EC25" s="59">
        <f t="shared" si="239"/>
        <v>0</v>
      </c>
      <c r="ED25" s="59">
        <f t="shared" si="239"/>
        <v>0</v>
      </c>
      <c r="EE25" s="59">
        <f t="shared" si="239"/>
        <v>0</v>
      </c>
      <c r="EF25" s="59">
        <f t="shared" si="239"/>
        <v>0</v>
      </c>
      <c r="EG25" s="59">
        <f t="shared" si="239"/>
        <v>0</v>
      </c>
      <c r="EH25" s="59">
        <f t="shared" si="239"/>
        <v>0</v>
      </c>
      <c r="EI25" s="59">
        <f t="shared" si="239"/>
        <v>0</v>
      </c>
      <c r="EJ25" s="59">
        <f t="shared" si="239"/>
        <v>0</v>
      </c>
      <c r="EK25" s="59">
        <f t="shared" si="239"/>
        <v>0</v>
      </c>
      <c r="EL25" s="59">
        <f t="shared" si="239"/>
        <v>0</v>
      </c>
      <c r="EM25" s="59">
        <f t="shared" si="239"/>
        <v>0</v>
      </c>
      <c r="EN25" s="59">
        <f t="shared" si="239"/>
        <v>0</v>
      </c>
      <c r="EO25" s="59">
        <f t="shared" si="239"/>
        <v>0</v>
      </c>
      <c r="EP25" s="59">
        <f t="shared" si="239"/>
        <v>0</v>
      </c>
      <c r="EQ25" s="59">
        <f t="shared" si="239"/>
        <v>0</v>
      </c>
      <c r="ER25" s="59">
        <f t="shared" si="239"/>
        <v>0</v>
      </c>
      <c r="ES25" s="59">
        <f t="shared" si="239"/>
        <v>0</v>
      </c>
      <c r="ET25" s="59">
        <f t="shared" si="239"/>
        <v>0</v>
      </c>
      <c r="EU25" s="59">
        <f t="shared" si="239"/>
        <v>0</v>
      </c>
      <c r="EV25" s="59">
        <f t="shared" si="239"/>
        <v>0</v>
      </c>
      <c r="EW25" s="59">
        <f t="shared" si="239"/>
        <v>0</v>
      </c>
      <c r="EX25" s="59">
        <f t="shared" si="239"/>
        <v>0</v>
      </c>
      <c r="EY25" s="59">
        <f t="shared" si="239"/>
        <v>0</v>
      </c>
      <c r="EZ25" s="59">
        <f t="shared" si="239"/>
        <v>0</v>
      </c>
      <c r="FA25" s="59">
        <f t="shared" si="239"/>
        <v>0</v>
      </c>
      <c r="FB25" s="59">
        <f t="shared" si="239"/>
        <v>0</v>
      </c>
      <c r="FC25" s="59">
        <f t="shared" si="239"/>
        <v>0</v>
      </c>
      <c r="FD25" s="59">
        <f t="shared" si="239"/>
        <v>0</v>
      </c>
      <c r="FE25" s="59">
        <f t="shared" si="239"/>
        <v>0</v>
      </c>
      <c r="FF25" s="59">
        <f t="shared" si="239"/>
        <v>0</v>
      </c>
      <c r="FG25" s="59">
        <f t="shared" si="239"/>
        <v>0</v>
      </c>
      <c r="FH25" s="59">
        <f t="shared" si="239"/>
        <v>0</v>
      </c>
      <c r="FI25" s="59">
        <f t="shared" si="239"/>
        <v>0</v>
      </c>
      <c r="FJ25" s="59">
        <f t="shared" si="239"/>
        <v>0</v>
      </c>
      <c r="FK25" s="59">
        <f t="shared" si="239"/>
        <v>0</v>
      </c>
      <c r="FL25" s="59">
        <f t="shared" si="239"/>
        <v>0</v>
      </c>
      <c r="FM25" s="59">
        <f t="shared" si="239"/>
        <v>0</v>
      </c>
      <c r="FN25" s="59">
        <f t="shared" si="239"/>
        <v>0</v>
      </c>
      <c r="FO25" s="59">
        <f t="shared" si="239"/>
        <v>0</v>
      </c>
      <c r="FP25" s="59">
        <f t="shared" si="239"/>
        <v>0</v>
      </c>
      <c r="FQ25" s="59">
        <f t="shared" si="239"/>
        <v>0</v>
      </c>
      <c r="FR25" s="59">
        <f t="shared" si="239"/>
        <v>0</v>
      </c>
      <c r="FS25" s="59">
        <f t="shared" si="239"/>
        <v>0</v>
      </c>
      <c r="FT25" s="59">
        <f t="shared" si="239"/>
        <v>0</v>
      </c>
      <c r="FU25" s="59">
        <f t="shared" si="239"/>
        <v>0</v>
      </c>
      <c r="FV25" s="59">
        <f t="shared" si="239"/>
        <v>0</v>
      </c>
      <c r="FW25" s="59">
        <f t="shared" si="239"/>
        <v>0</v>
      </c>
      <c r="FX25" s="59">
        <f t="shared" si="239"/>
        <v>0</v>
      </c>
      <c r="FY25" s="59">
        <f t="shared" si="239"/>
        <v>0</v>
      </c>
      <c r="FZ25" s="59">
        <f t="shared" si="239"/>
        <v>0</v>
      </c>
      <c r="GA25" s="59">
        <f t="shared" si="239"/>
        <v>0</v>
      </c>
      <c r="GB25" s="59">
        <f t="shared" si="239"/>
        <v>0</v>
      </c>
      <c r="GC25" s="59">
        <f t="shared" si="239"/>
        <v>0</v>
      </c>
      <c r="GD25" s="59">
        <f t="shared" si="239"/>
        <v>0</v>
      </c>
      <c r="GE25" s="59">
        <f t="shared" si="239"/>
        <v>0</v>
      </c>
      <c r="GF25" s="59">
        <f t="shared" si="239"/>
        <v>0</v>
      </c>
      <c r="GG25" s="59">
        <f t="shared" si="239"/>
        <v>0</v>
      </c>
      <c r="GH25" s="59">
        <f t="shared" si="239"/>
        <v>0</v>
      </c>
      <c r="GI25" s="59">
        <f t="shared" si="239"/>
        <v>0</v>
      </c>
      <c r="GJ25" s="59">
        <f t="shared" si="239"/>
        <v>0</v>
      </c>
      <c r="GK25" s="59">
        <f t="shared" si="239"/>
        <v>0</v>
      </c>
      <c r="GL25" s="59">
        <f t="shared" si="239"/>
        <v>0</v>
      </c>
      <c r="GM25" s="59">
        <f t="shared" si="239"/>
        <v>0</v>
      </c>
      <c r="GN25" s="59">
        <f t="shared" ref="GN25:IY25" si="240">IF(AND(GN14="Desacumulación",GO14="-"),ROUND(GN20+GN21+GN22-GN23+GN24,2),GN20+GN21+GN22-GN23+GN24)</f>
        <v>0</v>
      </c>
      <c r="GO25" s="59">
        <f t="shared" si="240"/>
        <v>0</v>
      </c>
      <c r="GP25" s="59">
        <f t="shared" si="240"/>
        <v>0</v>
      </c>
      <c r="GQ25" s="59">
        <f t="shared" si="240"/>
        <v>0</v>
      </c>
      <c r="GR25" s="59">
        <f t="shared" si="240"/>
        <v>0</v>
      </c>
      <c r="GS25" s="59">
        <f t="shared" si="240"/>
        <v>0</v>
      </c>
      <c r="GT25" s="59">
        <f t="shared" si="240"/>
        <v>0</v>
      </c>
      <c r="GU25" s="59">
        <f t="shared" si="240"/>
        <v>0</v>
      </c>
      <c r="GV25" s="59">
        <f t="shared" si="240"/>
        <v>0</v>
      </c>
      <c r="GW25" s="59">
        <f t="shared" si="240"/>
        <v>0</v>
      </c>
      <c r="GX25" s="59">
        <f t="shared" si="240"/>
        <v>0</v>
      </c>
      <c r="GY25" s="59">
        <f t="shared" si="240"/>
        <v>0</v>
      </c>
      <c r="GZ25" s="59">
        <f t="shared" si="240"/>
        <v>0</v>
      </c>
      <c r="HA25" s="59">
        <f t="shared" si="240"/>
        <v>0</v>
      </c>
      <c r="HB25" s="59">
        <f t="shared" si="240"/>
        <v>0</v>
      </c>
      <c r="HC25" s="59">
        <f t="shared" si="240"/>
        <v>0</v>
      </c>
      <c r="HD25" s="59">
        <f t="shared" si="240"/>
        <v>0</v>
      </c>
      <c r="HE25" s="59">
        <f t="shared" si="240"/>
        <v>0</v>
      </c>
      <c r="HF25" s="59">
        <f t="shared" si="240"/>
        <v>0</v>
      </c>
      <c r="HG25" s="59">
        <f t="shared" si="240"/>
        <v>0</v>
      </c>
      <c r="HH25" s="59">
        <f t="shared" si="240"/>
        <v>0</v>
      </c>
      <c r="HI25" s="59">
        <f t="shared" si="240"/>
        <v>0</v>
      </c>
      <c r="HJ25" s="59">
        <f t="shared" si="240"/>
        <v>0</v>
      </c>
      <c r="HK25" s="59">
        <f t="shared" si="240"/>
        <v>0</v>
      </c>
      <c r="HL25" s="59">
        <f t="shared" si="240"/>
        <v>0</v>
      </c>
      <c r="HM25" s="59">
        <f t="shared" si="240"/>
        <v>0</v>
      </c>
      <c r="HN25" s="59">
        <f t="shared" si="240"/>
        <v>0</v>
      </c>
      <c r="HO25" s="59">
        <f t="shared" si="240"/>
        <v>0</v>
      </c>
      <c r="HP25" s="59">
        <f t="shared" si="240"/>
        <v>0</v>
      </c>
      <c r="HQ25" s="59">
        <f t="shared" si="240"/>
        <v>0</v>
      </c>
      <c r="HR25" s="59">
        <f t="shared" si="240"/>
        <v>0</v>
      </c>
      <c r="HS25" s="59">
        <f t="shared" si="240"/>
        <v>0</v>
      </c>
      <c r="HT25" s="59">
        <f t="shared" si="240"/>
        <v>0</v>
      </c>
      <c r="HU25" s="59">
        <f t="shared" si="240"/>
        <v>0</v>
      </c>
      <c r="HV25" s="59">
        <f t="shared" si="240"/>
        <v>0</v>
      </c>
      <c r="HW25" s="59">
        <f t="shared" si="240"/>
        <v>0</v>
      </c>
      <c r="HX25" s="59">
        <f t="shared" si="240"/>
        <v>0</v>
      </c>
      <c r="HY25" s="59">
        <f t="shared" si="240"/>
        <v>0</v>
      </c>
      <c r="HZ25" s="59">
        <f t="shared" si="240"/>
        <v>0</v>
      </c>
      <c r="IA25" s="59">
        <f t="shared" si="240"/>
        <v>0</v>
      </c>
      <c r="IB25" s="59">
        <f t="shared" si="240"/>
        <v>0</v>
      </c>
      <c r="IC25" s="59">
        <f t="shared" si="240"/>
        <v>0</v>
      </c>
      <c r="ID25" s="59">
        <f t="shared" si="240"/>
        <v>0</v>
      </c>
      <c r="IE25" s="59">
        <f t="shared" si="240"/>
        <v>0</v>
      </c>
      <c r="IF25" s="59">
        <f t="shared" si="240"/>
        <v>0</v>
      </c>
      <c r="IG25" s="59">
        <f t="shared" si="240"/>
        <v>0</v>
      </c>
      <c r="IH25" s="59">
        <f t="shared" si="240"/>
        <v>0</v>
      </c>
      <c r="II25" s="59">
        <f t="shared" si="240"/>
        <v>0</v>
      </c>
      <c r="IJ25" s="59">
        <f t="shared" si="240"/>
        <v>0</v>
      </c>
      <c r="IK25" s="59">
        <f t="shared" si="240"/>
        <v>0</v>
      </c>
      <c r="IL25" s="59">
        <f t="shared" si="240"/>
        <v>0</v>
      </c>
      <c r="IM25" s="59">
        <f t="shared" si="240"/>
        <v>0</v>
      </c>
      <c r="IN25" s="59">
        <f t="shared" si="240"/>
        <v>0</v>
      </c>
      <c r="IO25" s="59">
        <f t="shared" si="240"/>
        <v>0</v>
      </c>
      <c r="IP25" s="59">
        <f t="shared" si="240"/>
        <v>0</v>
      </c>
      <c r="IQ25" s="59">
        <f t="shared" si="240"/>
        <v>0</v>
      </c>
      <c r="IR25" s="59">
        <f t="shared" si="240"/>
        <v>0</v>
      </c>
      <c r="IS25" s="59">
        <f t="shared" si="240"/>
        <v>0</v>
      </c>
      <c r="IT25" s="59">
        <f t="shared" si="240"/>
        <v>0</v>
      </c>
      <c r="IU25" s="59">
        <f t="shared" si="240"/>
        <v>0</v>
      </c>
      <c r="IV25" s="59">
        <f t="shared" si="240"/>
        <v>0</v>
      </c>
      <c r="IW25" s="59">
        <f t="shared" si="240"/>
        <v>0</v>
      </c>
      <c r="IX25" s="59">
        <f t="shared" si="240"/>
        <v>0</v>
      </c>
      <c r="IY25" s="59">
        <f t="shared" si="240"/>
        <v>0</v>
      </c>
      <c r="IZ25" s="59">
        <f t="shared" ref="IZ25:LK25" si="241">IF(AND(IZ14="Desacumulación",JA14="-"),ROUND(IZ20+IZ21+IZ22-IZ23+IZ24,2),IZ20+IZ21+IZ22-IZ23+IZ24)</f>
        <v>0</v>
      </c>
      <c r="JA25" s="59">
        <f t="shared" si="241"/>
        <v>0</v>
      </c>
      <c r="JB25" s="59">
        <f t="shared" si="241"/>
        <v>0</v>
      </c>
      <c r="JC25" s="59">
        <f t="shared" si="241"/>
        <v>0</v>
      </c>
      <c r="JD25" s="59">
        <f t="shared" si="241"/>
        <v>0</v>
      </c>
      <c r="JE25" s="59">
        <f t="shared" si="241"/>
        <v>0</v>
      </c>
      <c r="JF25" s="59">
        <f t="shared" si="241"/>
        <v>0</v>
      </c>
      <c r="JG25" s="59">
        <f t="shared" si="241"/>
        <v>0</v>
      </c>
      <c r="JH25" s="59">
        <f t="shared" si="241"/>
        <v>0</v>
      </c>
      <c r="JI25" s="59">
        <f t="shared" si="241"/>
        <v>0</v>
      </c>
      <c r="JJ25" s="59">
        <f t="shared" si="241"/>
        <v>0</v>
      </c>
      <c r="JK25" s="59">
        <f t="shared" si="241"/>
        <v>0</v>
      </c>
      <c r="JL25" s="59">
        <f t="shared" si="241"/>
        <v>0</v>
      </c>
      <c r="JM25" s="59">
        <f t="shared" si="241"/>
        <v>0</v>
      </c>
      <c r="JN25" s="59">
        <f t="shared" si="241"/>
        <v>0</v>
      </c>
      <c r="JO25" s="59">
        <f t="shared" si="241"/>
        <v>0</v>
      </c>
      <c r="JP25" s="59">
        <f t="shared" si="241"/>
        <v>0</v>
      </c>
      <c r="JQ25" s="59">
        <f t="shared" si="241"/>
        <v>0</v>
      </c>
      <c r="JR25" s="59">
        <f t="shared" si="241"/>
        <v>0</v>
      </c>
      <c r="JS25" s="59">
        <f t="shared" si="241"/>
        <v>0</v>
      </c>
      <c r="JT25" s="59">
        <f t="shared" si="241"/>
        <v>0</v>
      </c>
      <c r="JU25" s="59">
        <f t="shared" si="241"/>
        <v>0</v>
      </c>
      <c r="JV25" s="59">
        <f t="shared" si="241"/>
        <v>0</v>
      </c>
      <c r="JW25" s="59">
        <f t="shared" si="241"/>
        <v>0</v>
      </c>
      <c r="JX25" s="59">
        <f t="shared" si="241"/>
        <v>0</v>
      </c>
      <c r="JY25" s="59">
        <f t="shared" si="241"/>
        <v>0</v>
      </c>
      <c r="JZ25" s="59">
        <f t="shared" si="241"/>
        <v>0</v>
      </c>
      <c r="KA25" s="59">
        <f t="shared" si="241"/>
        <v>0</v>
      </c>
      <c r="KB25" s="59">
        <f t="shared" si="241"/>
        <v>0</v>
      </c>
      <c r="KC25" s="59">
        <f t="shared" si="241"/>
        <v>0</v>
      </c>
      <c r="KD25" s="59">
        <f t="shared" si="241"/>
        <v>0</v>
      </c>
      <c r="KE25" s="59">
        <f t="shared" si="241"/>
        <v>0</v>
      </c>
      <c r="KF25" s="59">
        <f t="shared" si="241"/>
        <v>0</v>
      </c>
      <c r="KG25" s="59">
        <f t="shared" si="241"/>
        <v>0</v>
      </c>
      <c r="KH25" s="59">
        <f t="shared" si="241"/>
        <v>0</v>
      </c>
      <c r="KI25" s="59">
        <f t="shared" si="241"/>
        <v>0</v>
      </c>
      <c r="KJ25" s="59">
        <f t="shared" si="241"/>
        <v>0</v>
      </c>
      <c r="KK25" s="59">
        <f t="shared" si="241"/>
        <v>0</v>
      </c>
      <c r="KL25" s="59">
        <f t="shared" si="241"/>
        <v>0</v>
      </c>
      <c r="KM25" s="59">
        <f t="shared" si="241"/>
        <v>0</v>
      </c>
      <c r="KN25" s="59">
        <f t="shared" si="241"/>
        <v>0</v>
      </c>
      <c r="KO25" s="59">
        <f t="shared" si="241"/>
        <v>0</v>
      </c>
      <c r="KP25" s="59">
        <f t="shared" si="241"/>
        <v>0</v>
      </c>
      <c r="KQ25" s="59">
        <f t="shared" si="241"/>
        <v>0</v>
      </c>
      <c r="KR25" s="59">
        <f t="shared" si="241"/>
        <v>0</v>
      </c>
      <c r="KS25" s="59">
        <f t="shared" si="241"/>
        <v>0</v>
      </c>
      <c r="KT25" s="59">
        <f t="shared" si="241"/>
        <v>0</v>
      </c>
      <c r="KU25" s="59">
        <f t="shared" si="241"/>
        <v>0</v>
      </c>
      <c r="KV25" s="59">
        <f t="shared" si="241"/>
        <v>0</v>
      </c>
      <c r="KW25" s="59">
        <f t="shared" si="241"/>
        <v>0</v>
      </c>
      <c r="KX25" s="59">
        <f t="shared" si="241"/>
        <v>0</v>
      </c>
      <c r="KY25" s="59">
        <f t="shared" si="241"/>
        <v>0</v>
      </c>
      <c r="KZ25" s="59">
        <f t="shared" si="241"/>
        <v>0</v>
      </c>
      <c r="LA25" s="59">
        <f t="shared" si="241"/>
        <v>0</v>
      </c>
      <c r="LB25" s="59">
        <f t="shared" si="241"/>
        <v>0</v>
      </c>
      <c r="LC25" s="59">
        <f t="shared" si="241"/>
        <v>0</v>
      </c>
      <c r="LD25" s="59">
        <f t="shared" si="241"/>
        <v>0</v>
      </c>
      <c r="LE25" s="59">
        <f t="shared" si="241"/>
        <v>0</v>
      </c>
      <c r="LF25" s="59">
        <f t="shared" si="241"/>
        <v>0</v>
      </c>
      <c r="LG25" s="59">
        <f t="shared" si="241"/>
        <v>0</v>
      </c>
      <c r="LH25" s="59">
        <f t="shared" si="241"/>
        <v>0</v>
      </c>
      <c r="LI25" s="59">
        <f t="shared" si="241"/>
        <v>0</v>
      </c>
      <c r="LJ25" s="59">
        <f t="shared" si="241"/>
        <v>0</v>
      </c>
      <c r="LK25" s="59">
        <f t="shared" si="241"/>
        <v>0</v>
      </c>
      <c r="LL25" s="59">
        <f t="shared" ref="LL25:NW25" si="242">IF(AND(LL14="Desacumulación",LM14="-"),ROUND(LL20+LL21+LL22-LL23+LL24,2),LL20+LL21+LL22-LL23+LL24)</f>
        <v>0</v>
      </c>
      <c r="LM25" s="59">
        <f t="shared" si="242"/>
        <v>0</v>
      </c>
      <c r="LN25" s="59">
        <f t="shared" si="242"/>
        <v>0</v>
      </c>
      <c r="LO25" s="59">
        <f t="shared" si="242"/>
        <v>0</v>
      </c>
      <c r="LP25" s="59">
        <f t="shared" si="242"/>
        <v>0</v>
      </c>
      <c r="LQ25" s="59">
        <f t="shared" si="242"/>
        <v>0</v>
      </c>
      <c r="LR25" s="59">
        <f t="shared" si="242"/>
        <v>0</v>
      </c>
      <c r="LS25" s="59">
        <f t="shared" si="242"/>
        <v>0</v>
      </c>
      <c r="LT25" s="59">
        <f t="shared" si="242"/>
        <v>0</v>
      </c>
      <c r="LU25" s="59">
        <f t="shared" si="242"/>
        <v>0</v>
      </c>
      <c r="LV25" s="59">
        <f t="shared" si="242"/>
        <v>0</v>
      </c>
      <c r="LW25" s="59">
        <f t="shared" si="242"/>
        <v>0</v>
      </c>
      <c r="LX25" s="59">
        <f t="shared" si="242"/>
        <v>0</v>
      </c>
      <c r="LY25" s="59">
        <f t="shared" si="242"/>
        <v>0</v>
      </c>
      <c r="LZ25" s="59">
        <f t="shared" si="242"/>
        <v>0</v>
      </c>
      <c r="MA25" s="59">
        <f t="shared" si="242"/>
        <v>0</v>
      </c>
      <c r="MB25" s="59">
        <f t="shared" si="242"/>
        <v>0</v>
      </c>
      <c r="MC25" s="59">
        <f t="shared" si="242"/>
        <v>0</v>
      </c>
      <c r="MD25" s="59">
        <f t="shared" si="242"/>
        <v>0</v>
      </c>
      <c r="ME25" s="59">
        <f t="shared" si="242"/>
        <v>0</v>
      </c>
      <c r="MF25" s="59">
        <f t="shared" si="242"/>
        <v>0</v>
      </c>
      <c r="MG25" s="59">
        <f t="shared" si="242"/>
        <v>0</v>
      </c>
      <c r="MH25" s="59">
        <f t="shared" si="242"/>
        <v>0</v>
      </c>
      <c r="MI25" s="59">
        <f t="shared" si="242"/>
        <v>0</v>
      </c>
      <c r="MJ25" s="59">
        <f t="shared" si="242"/>
        <v>0</v>
      </c>
      <c r="MK25" s="59">
        <f t="shared" si="242"/>
        <v>0</v>
      </c>
      <c r="ML25" s="59">
        <f t="shared" si="242"/>
        <v>0</v>
      </c>
      <c r="MM25" s="59">
        <f t="shared" si="242"/>
        <v>0</v>
      </c>
      <c r="MN25" s="59">
        <f t="shared" si="242"/>
        <v>0</v>
      </c>
      <c r="MO25" s="59">
        <f t="shared" si="242"/>
        <v>0</v>
      </c>
      <c r="MP25" s="59">
        <f t="shared" si="242"/>
        <v>0</v>
      </c>
      <c r="MQ25" s="59">
        <f t="shared" si="242"/>
        <v>0</v>
      </c>
      <c r="MR25" s="59">
        <f t="shared" si="242"/>
        <v>0</v>
      </c>
      <c r="MS25" s="59">
        <f t="shared" si="242"/>
        <v>0</v>
      </c>
      <c r="MT25" s="59">
        <f t="shared" si="242"/>
        <v>0</v>
      </c>
      <c r="MU25" s="59">
        <f t="shared" si="242"/>
        <v>0</v>
      </c>
      <c r="MV25" s="59">
        <f t="shared" si="242"/>
        <v>0</v>
      </c>
      <c r="MW25" s="59">
        <f t="shared" si="242"/>
        <v>0</v>
      </c>
      <c r="MX25" s="59">
        <f t="shared" si="242"/>
        <v>0</v>
      </c>
      <c r="MY25" s="59">
        <f t="shared" si="242"/>
        <v>0</v>
      </c>
      <c r="MZ25" s="59">
        <f t="shared" si="242"/>
        <v>0</v>
      </c>
      <c r="NA25" s="59">
        <f t="shared" si="242"/>
        <v>0</v>
      </c>
      <c r="NB25" s="59">
        <f t="shared" si="242"/>
        <v>0</v>
      </c>
      <c r="NC25" s="59">
        <f t="shared" si="242"/>
        <v>0</v>
      </c>
      <c r="ND25" s="59">
        <f t="shared" si="242"/>
        <v>0</v>
      </c>
      <c r="NE25" s="59">
        <f t="shared" si="242"/>
        <v>0</v>
      </c>
      <c r="NF25" s="59">
        <f t="shared" si="242"/>
        <v>0</v>
      </c>
      <c r="NG25" s="59">
        <f t="shared" si="242"/>
        <v>0</v>
      </c>
      <c r="NH25" s="59">
        <f t="shared" si="242"/>
        <v>0</v>
      </c>
      <c r="NI25" s="59">
        <f t="shared" si="242"/>
        <v>0</v>
      </c>
      <c r="NJ25" s="59">
        <f t="shared" si="242"/>
        <v>0</v>
      </c>
      <c r="NK25" s="59">
        <f t="shared" si="242"/>
        <v>0</v>
      </c>
      <c r="NL25" s="59">
        <f t="shared" si="242"/>
        <v>0</v>
      </c>
      <c r="NM25" s="59">
        <f t="shared" si="242"/>
        <v>0</v>
      </c>
      <c r="NN25" s="59">
        <f t="shared" si="242"/>
        <v>0</v>
      </c>
      <c r="NO25" s="59">
        <f t="shared" si="242"/>
        <v>0</v>
      </c>
      <c r="NP25" s="59">
        <f t="shared" si="242"/>
        <v>0</v>
      </c>
      <c r="NQ25" s="59">
        <f t="shared" si="242"/>
        <v>0</v>
      </c>
      <c r="NR25" s="59">
        <f t="shared" si="242"/>
        <v>0</v>
      </c>
      <c r="NS25" s="59">
        <f t="shared" si="242"/>
        <v>0</v>
      </c>
      <c r="NT25" s="59">
        <f t="shared" si="242"/>
        <v>0</v>
      </c>
      <c r="NU25" s="59">
        <f t="shared" si="242"/>
        <v>0</v>
      </c>
      <c r="NV25" s="59">
        <f t="shared" si="242"/>
        <v>0</v>
      </c>
      <c r="NW25" s="59">
        <f t="shared" si="242"/>
        <v>0</v>
      </c>
      <c r="NX25" s="59">
        <f t="shared" ref="NX25:QI25" si="243">IF(AND(NX14="Desacumulación",NY14="-"),ROUND(NX20+NX21+NX22-NX23+NX24,2),NX20+NX21+NX22-NX23+NX24)</f>
        <v>0</v>
      </c>
      <c r="NY25" s="59">
        <f t="shared" si="243"/>
        <v>0</v>
      </c>
      <c r="NZ25" s="59">
        <f t="shared" si="243"/>
        <v>0</v>
      </c>
      <c r="OA25" s="59">
        <f t="shared" si="243"/>
        <v>0</v>
      </c>
      <c r="OB25" s="59">
        <f t="shared" si="243"/>
        <v>0</v>
      </c>
      <c r="OC25" s="59">
        <f t="shared" si="243"/>
        <v>0</v>
      </c>
      <c r="OD25" s="59">
        <f t="shared" si="243"/>
        <v>0</v>
      </c>
      <c r="OE25" s="59">
        <f t="shared" si="243"/>
        <v>0</v>
      </c>
      <c r="OF25" s="59">
        <f t="shared" si="243"/>
        <v>0</v>
      </c>
      <c r="OG25" s="59">
        <f t="shared" si="243"/>
        <v>0</v>
      </c>
      <c r="OH25" s="59">
        <f t="shared" si="243"/>
        <v>0</v>
      </c>
      <c r="OI25" s="59">
        <f t="shared" si="243"/>
        <v>0</v>
      </c>
      <c r="OJ25" s="59">
        <f t="shared" si="243"/>
        <v>0</v>
      </c>
      <c r="OK25" s="59">
        <f t="shared" si="243"/>
        <v>0</v>
      </c>
      <c r="OL25" s="59">
        <f t="shared" si="243"/>
        <v>0</v>
      </c>
      <c r="OM25" s="59">
        <f t="shared" si="243"/>
        <v>0</v>
      </c>
      <c r="ON25" s="59">
        <f t="shared" si="243"/>
        <v>0</v>
      </c>
      <c r="OO25" s="59">
        <f t="shared" si="243"/>
        <v>0</v>
      </c>
      <c r="OP25" s="59">
        <f t="shared" si="243"/>
        <v>0</v>
      </c>
      <c r="OQ25" s="59">
        <f t="shared" si="243"/>
        <v>0</v>
      </c>
      <c r="OR25" s="59">
        <f t="shared" si="243"/>
        <v>0</v>
      </c>
      <c r="OS25" s="59">
        <f t="shared" si="243"/>
        <v>0</v>
      </c>
      <c r="OT25" s="59">
        <f t="shared" si="243"/>
        <v>0</v>
      </c>
      <c r="OU25" s="59">
        <f t="shared" si="243"/>
        <v>0</v>
      </c>
      <c r="OV25" s="59">
        <f t="shared" si="243"/>
        <v>0</v>
      </c>
      <c r="OW25" s="59">
        <f t="shared" si="243"/>
        <v>0</v>
      </c>
      <c r="OX25" s="59">
        <f t="shared" si="243"/>
        <v>0</v>
      </c>
      <c r="OY25" s="59">
        <f t="shared" si="243"/>
        <v>0</v>
      </c>
      <c r="OZ25" s="59">
        <f t="shared" si="243"/>
        <v>0</v>
      </c>
      <c r="PA25" s="59">
        <f t="shared" si="243"/>
        <v>0</v>
      </c>
      <c r="PB25" s="59">
        <f t="shared" si="243"/>
        <v>0</v>
      </c>
      <c r="PC25" s="59">
        <f t="shared" si="243"/>
        <v>0</v>
      </c>
      <c r="PD25" s="59">
        <f t="shared" si="243"/>
        <v>0</v>
      </c>
      <c r="PE25" s="59">
        <f t="shared" si="243"/>
        <v>0</v>
      </c>
      <c r="PF25" s="59">
        <f t="shared" si="243"/>
        <v>0</v>
      </c>
      <c r="PG25" s="59">
        <f t="shared" si="243"/>
        <v>0</v>
      </c>
      <c r="PH25" s="59">
        <f t="shared" si="243"/>
        <v>0</v>
      </c>
      <c r="PI25" s="59">
        <f t="shared" si="243"/>
        <v>0</v>
      </c>
      <c r="PJ25" s="59">
        <f t="shared" si="243"/>
        <v>0</v>
      </c>
      <c r="PK25" s="59">
        <f t="shared" si="243"/>
        <v>0</v>
      </c>
      <c r="PL25" s="59">
        <f t="shared" si="243"/>
        <v>0</v>
      </c>
      <c r="PM25" s="59">
        <f t="shared" si="243"/>
        <v>0</v>
      </c>
      <c r="PN25" s="59">
        <f t="shared" si="243"/>
        <v>0</v>
      </c>
      <c r="PO25" s="59">
        <f t="shared" si="243"/>
        <v>0</v>
      </c>
      <c r="PP25" s="59">
        <f t="shared" si="243"/>
        <v>0</v>
      </c>
      <c r="PQ25" s="59">
        <f t="shared" si="243"/>
        <v>0</v>
      </c>
      <c r="PR25" s="59">
        <f t="shared" si="243"/>
        <v>0</v>
      </c>
      <c r="PS25" s="59">
        <f t="shared" si="243"/>
        <v>0</v>
      </c>
      <c r="PT25" s="59">
        <f t="shared" si="243"/>
        <v>0</v>
      </c>
      <c r="PU25" s="59">
        <f t="shared" si="243"/>
        <v>0</v>
      </c>
      <c r="PV25" s="59">
        <f t="shared" si="243"/>
        <v>0</v>
      </c>
      <c r="PW25" s="59">
        <f t="shared" si="243"/>
        <v>0</v>
      </c>
      <c r="PX25" s="59">
        <f t="shared" si="243"/>
        <v>0</v>
      </c>
      <c r="PY25" s="59">
        <f t="shared" si="243"/>
        <v>0</v>
      </c>
      <c r="PZ25" s="59">
        <f t="shared" si="243"/>
        <v>0</v>
      </c>
      <c r="QA25" s="59">
        <f t="shared" si="243"/>
        <v>0</v>
      </c>
      <c r="QB25" s="59">
        <f t="shared" si="243"/>
        <v>0</v>
      </c>
      <c r="QC25" s="59">
        <f t="shared" si="243"/>
        <v>0</v>
      </c>
      <c r="QD25" s="59">
        <f t="shared" si="243"/>
        <v>0</v>
      </c>
      <c r="QE25" s="59">
        <f t="shared" si="243"/>
        <v>0</v>
      </c>
      <c r="QF25" s="59">
        <f t="shared" si="243"/>
        <v>0</v>
      </c>
      <c r="QG25" s="59">
        <f t="shared" si="243"/>
        <v>0</v>
      </c>
      <c r="QH25" s="59">
        <f t="shared" si="243"/>
        <v>0</v>
      </c>
      <c r="QI25" s="59">
        <f t="shared" si="243"/>
        <v>0</v>
      </c>
      <c r="QJ25" s="59">
        <f t="shared" ref="QJ25:SU25" si="244">IF(AND(QJ14="Desacumulación",QK14="-"),ROUND(QJ20+QJ21+QJ22-QJ23+QJ24,2),QJ20+QJ21+QJ22-QJ23+QJ24)</f>
        <v>0</v>
      </c>
      <c r="QK25" s="59">
        <f t="shared" si="244"/>
        <v>0</v>
      </c>
      <c r="QL25" s="59">
        <f t="shared" si="244"/>
        <v>0</v>
      </c>
      <c r="QM25" s="59">
        <f t="shared" si="244"/>
        <v>0</v>
      </c>
      <c r="QN25" s="59">
        <f t="shared" si="244"/>
        <v>0</v>
      </c>
      <c r="QO25" s="59">
        <f t="shared" si="244"/>
        <v>0</v>
      </c>
      <c r="QP25" s="59">
        <f t="shared" si="244"/>
        <v>0</v>
      </c>
      <c r="QQ25" s="59">
        <f t="shared" si="244"/>
        <v>0</v>
      </c>
      <c r="QR25" s="59">
        <f t="shared" si="244"/>
        <v>0</v>
      </c>
      <c r="QS25" s="59">
        <f t="shared" si="244"/>
        <v>0</v>
      </c>
      <c r="QT25" s="59">
        <f t="shared" si="244"/>
        <v>0</v>
      </c>
      <c r="QU25" s="59">
        <f t="shared" si="244"/>
        <v>0</v>
      </c>
      <c r="QV25" s="59">
        <f t="shared" si="244"/>
        <v>0</v>
      </c>
      <c r="QW25" s="59">
        <f t="shared" si="244"/>
        <v>0</v>
      </c>
      <c r="QX25" s="59">
        <f t="shared" si="244"/>
        <v>0</v>
      </c>
      <c r="QY25" s="59">
        <f t="shared" si="244"/>
        <v>0</v>
      </c>
      <c r="QZ25" s="59">
        <f t="shared" si="244"/>
        <v>0</v>
      </c>
      <c r="RA25" s="59">
        <f t="shared" si="244"/>
        <v>0</v>
      </c>
      <c r="RB25" s="59">
        <f t="shared" si="244"/>
        <v>0</v>
      </c>
      <c r="RC25" s="59">
        <f t="shared" si="244"/>
        <v>0</v>
      </c>
      <c r="RD25" s="59">
        <f t="shared" si="244"/>
        <v>0</v>
      </c>
      <c r="RE25" s="59">
        <f t="shared" si="244"/>
        <v>0</v>
      </c>
      <c r="RF25" s="59">
        <f t="shared" si="244"/>
        <v>0</v>
      </c>
      <c r="RG25" s="59">
        <f t="shared" si="244"/>
        <v>0</v>
      </c>
      <c r="RH25" s="59">
        <f t="shared" si="244"/>
        <v>0</v>
      </c>
      <c r="RI25" s="59">
        <f t="shared" si="244"/>
        <v>0</v>
      </c>
      <c r="RJ25" s="59">
        <f t="shared" si="244"/>
        <v>0</v>
      </c>
      <c r="RK25" s="59">
        <f t="shared" si="244"/>
        <v>0</v>
      </c>
      <c r="RL25" s="59">
        <f t="shared" si="244"/>
        <v>0</v>
      </c>
      <c r="RM25" s="59">
        <f t="shared" si="244"/>
        <v>0</v>
      </c>
      <c r="RN25" s="59">
        <f t="shared" si="244"/>
        <v>0</v>
      </c>
      <c r="RO25" s="59">
        <f t="shared" si="244"/>
        <v>0</v>
      </c>
      <c r="RP25" s="59">
        <f t="shared" si="244"/>
        <v>0</v>
      </c>
      <c r="RQ25" s="59">
        <f t="shared" si="244"/>
        <v>0</v>
      </c>
      <c r="RR25" s="59">
        <f t="shared" si="244"/>
        <v>0</v>
      </c>
      <c r="RS25" s="59">
        <f t="shared" si="244"/>
        <v>0</v>
      </c>
      <c r="RT25" s="59">
        <f t="shared" si="244"/>
        <v>0</v>
      </c>
      <c r="RU25" s="59">
        <f t="shared" si="244"/>
        <v>0</v>
      </c>
      <c r="RV25" s="59">
        <f t="shared" si="244"/>
        <v>0</v>
      </c>
      <c r="RW25" s="59">
        <f t="shared" si="244"/>
        <v>0</v>
      </c>
      <c r="RX25" s="59">
        <f t="shared" si="244"/>
        <v>0</v>
      </c>
      <c r="RY25" s="59">
        <f t="shared" si="244"/>
        <v>0</v>
      </c>
      <c r="RZ25" s="59">
        <f t="shared" si="244"/>
        <v>0</v>
      </c>
      <c r="SA25" s="59">
        <f t="shared" si="244"/>
        <v>0</v>
      </c>
      <c r="SB25" s="59">
        <f t="shared" si="244"/>
        <v>0</v>
      </c>
      <c r="SC25" s="59">
        <f t="shared" si="244"/>
        <v>0</v>
      </c>
      <c r="SD25" s="59">
        <f t="shared" si="244"/>
        <v>0</v>
      </c>
      <c r="SE25" s="59">
        <f t="shared" si="244"/>
        <v>0</v>
      </c>
      <c r="SF25" s="59">
        <f t="shared" si="244"/>
        <v>0</v>
      </c>
      <c r="SG25" s="59">
        <f t="shared" si="244"/>
        <v>0</v>
      </c>
      <c r="SH25" s="59">
        <f t="shared" si="244"/>
        <v>0</v>
      </c>
      <c r="SI25" s="59">
        <f t="shared" si="244"/>
        <v>0</v>
      </c>
      <c r="SJ25" s="59">
        <f t="shared" si="244"/>
        <v>0</v>
      </c>
      <c r="SK25" s="59">
        <f t="shared" si="244"/>
        <v>0</v>
      </c>
      <c r="SL25" s="59">
        <f t="shared" si="244"/>
        <v>0</v>
      </c>
      <c r="SM25" s="59">
        <f t="shared" si="244"/>
        <v>0</v>
      </c>
      <c r="SN25" s="59">
        <f t="shared" si="244"/>
        <v>0</v>
      </c>
      <c r="SO25" s="59">
        <f t="shared" si="244"/>
        <v>0</v>
      </c>
      <c r="SP25" s="59">
        <f t="shared" si="244"/>
        <v>0</v>
      </c>
      <c r="SQ25" s="59">
        <f t="shared" si="244"/>
        <v>0</v>
      </c>
      <c r="SR25" s="59">
        <f t="shared" si="244"/>
        <v>0</v>
      </c>
      <c r="SS25" s="59">
        <f t="shared" si="244"/>
        <v>0</v>
      </c>
      <c r="ST25" s="59">
        <f t="shared" si="244"/>
        <v>0</v>
      </c>
      <c r="SU25" s="59">
        <f t="shared" si="244"/>
        <v>0</v>
      </c>
      <c r="SV25" s="59">
        <f t="shared" ref="SV25:VG25" si="245">IF(AND(SV14="Desacumulación",SW14="-"),ROUND(SV20+SV21+SV22-SV23+SV24,2),SV20+SV21+SV22-SV23+SV24)</f>
        <v>0</v>
      </c>
      <c r="SW25" s="59">
        <f t="shared" si="245"/>
        <v>0</v>
      </c>
      <c r="SX25" s="59">
        <f t="shared" si="245"/>
        <v>0</v>
      </c>
      <c r="SY25" s="59">
        <f t="shared" si="245"/>
        <v>0</v>
      </c>
      <c r="SZ25" s="59">
        <f t="shared" si="245"/>
        <v>0</v>
      </c>
      <c r="TA25" s="59">
        <f t="shared" si="245"/>
        <v>0</v>
      </c>
      <c r="TB25" s="59">
        <f t="shared" si="245"/>
        <v>0</v>
      </c>
      <c r="TC25" s="59">
        <f t="shared" si="245"/>
        <v>0</v>
      </c>
      <c r="TD25" s="59">
        <f t="shared" si="245"/>
        <v>0</v>
      </c>
      <c r="TE25" s="59">
        <f t="shared" si="245"/>
        <v>0</v>
      </c>
      <c r="TF25" s="59">
        <f t="shared" si="245"/>
        <v>0</v>
      </c>
      <c r="TG25" s="59">
        <f t="shared" si="245"/>
        <v>0</v>
      </c>
      <c r="TH25" s="59">
        <f t="shared" si="245"/>
        <v>0</v>
      </c>
      <c r="TI25" s="59">
        <f t="shared" si="245"/>
        <v>0</v>
      </c>
      <c r="TJ25" s="59">
        <f t="shared" si="245"/>
        <v>0</v>
      </c>
      <c r="TK25" s="59">
        <f t="shared" si="245"/>
        <v>0</v>
      </c>
      <c r="TL25" s="59">
        <f t="shared" si="245"/>
        <v>0</v>
      </c>
      <c r="TM25" s="59">
        <f t="shared" si="245"/>
        <v>0</v>
      </c>
      <c r="TN25" s="59">
        <f t="shared" si="245"/>
        <v>0</v>
      </c>
      <c r="TO25" s="59">
        <f t="shared" si="245"/>
        <v>0</v>
      </c>
      <c r="TP25" s="59">
        <f t="shared" si="245"/>
        <v>0</v>
      </c>
      <c r="TQ25" s="59">
        <f t="shared" si="245"/>
        <v>0</v>
      </c>
      <c r="TR25" s="59">
        <f t="shared" si="245"/>
        <v>0</v>
      </c>
      <c r="TS25" s="59">
        <f t="shared" si="245"/>
        <v>0</v>
      </c>
      <c r="TT25" s="59">
        <f t="shared" si="245"/>
        <v>0</v>
      </c>
      <c r="TU25" s="59">
        <f t="shared" si="245"/>
        <v>0</v>
      </c>
      <c r="TV25" s="59">
        <f t="shared" si="245"/>
        <v>0</v>
      </c>
      <c r="TW25" s="59">
        <f t="shared" si="245"/>
        <v>0</v>
      </c>
      <c r="TX25" s="59">
        <f t="shared" si="245"/>
        <v>0</v>
      </c>
      <c r="TY25" s="59">
        <f t="shared" si="245"/>
        <v>0</v>
      </c>
      <c r="TZ25" s="59">
        <f t="shared" si="245"/>
        <v>0</v>
      </c>
      <c r="UA25" s="59">
        <f t="shared" si="245"/>
        <v>0</v>
      </c>
      <c r="UB25" s="59">
        <f t="shared" si="245"/>
        <v>0</v>
      </c>
      <c r="UC25" s="59">
        <f t="shared" si="245"/>
        <v>0</v>
      </c>
      <c r="UD25" s="59">
        <f t="shared" si="245"/>
        <v>0</v>
      </c>
      <c r="UE25" s="59">
        <f t="shared" si="245"/>
        <v>0</v>
      </c>
      <c r="UF25" s="59">
        <f t="shared" si="245"/>
        <v>0</v>
      </c>
      <c r="UG25" s="59">
        <f t="shared" si="245"/>
        <v>0</v>
      </c>
      <c r="UH25" s="59">
        <f t="shared" si="245"/>
        <v>0</v>
      </c>
      <c r="UI25" s="59">
        <f t="shared" si="245"/>
        <v>0</v>
      </c>
      <c r="UJ25" s="59">
        <f t="shared" si="245"/>
        <v>0</v>
      </c>
      <c r="UK25" s="59">
        <f t="shared" si="245"/>
        <v>0</v>
      </c>
      <c r="UL25" s="59">
        <f t="shared" si="245"/>
        <v>0</v>
      </c>
      <c r="UM25" s="59">
        <f t="shared" si="245"/>
        <v>0</v>
      </c>
      <c r="UN25" s="59">
        <f t="shared" si="245"/>
        <v>0</v>
      </c>
      <c r="UO25" s="59">
        <f t="shared" si="245"/>
        <v>0</v>
      </c>
      <c r="UP25" s="59">
        <f t="shared" si="245"/>
        <v>0</v>
      </c>
      <c r="UQ25" s="59">
        <f t="shared" si="245"/>
        <v>0</v>
      </c>
      <c r="UR25" s="59">
        <f t="shared" si="245"/>
        <v>0</v>
      </c>
      <c r="US25" s="59">
        <f t="shared" si="245"/>
        <v>0</v>
      </c>
      <c r="UT25" s="59">
        <f t="shared" si="245"/>
        <v>0</v>
      </c>
      <c r="UU25" s="59">
        <f t="shared" si="245"/>
        <v>0</v>
      </c>
      <c r="UV25" s="59">
        <f t="shared" si="245"/>
        <v>0</v>
      </c>
      <c r="UW25" s="59">
        <f t="shared" si="245"/>
        <v>0</v>
      </c>
      <c r="UX25" s="59">
        <f t="shared" si="245"/>
        <v>0</v>
      </c>
      <c r="UY25" s="59">
        <f t="shared" si="245"/>
        <v>0</v>
      </c>
      <c r="UZ25" s="59">
        <f t="shared" si="245"/>
        <v>0</v>
      </c>
      <c r="VA25" s="59">
        <f t="shared" si="245"/>
        <v>0</v>
      </c>
      <c r="VB25" s="59">
        <f t="shared" si="245"/>
        <v>0</v>
      </c>
      <c r="VC25" s="59">
        <f t="shared" si="245"/>
        <v>0</v>
      </c>
      <c r="VD25" s="59">
        <f t="shared" si="245"/>
        <v>0</v>
      </c>
      <c r="VE25" s="59">
        <f t="shared" si="245"/>
        <v>0</v>
      </c>
      <c r="VF25" s="59">
        <f t="shared" si="245"/>
        <v>0</v>
      </c>
      <c r="VG25" s="59">
        <f t="shared" si="245"/>
        <v>0</v>
      </c>
      <c r="VH25" s="59">
        <f t="shared" ref="VH25:XS25" si="246">IF(AND(VH14="Desacumulación",VI14="-"),ROUND(VH20+VH21+VH22-VH23+VH24,2),VH20+VH21+VH22-VH23+VH24)</f>
        <v>0</v>
      </c>
      <c r="VI25" s="59">
        <f t="shared" si="246"/>
        <v>0</v>
      </c>
      <c r="VJ25" s="59">
        <f t="shared" si="246"/>
        <v>0</v>
      </c>
      <c r="VK25" s="59">
        <f t="shared" si="246"/>
        <v>0</v>
      </c>
      <c r="VL25" s="59">
        <f t="shared" si="246"/>
        <v>0</v>
      </c>
      <c r="VM25" s="59">
        <f t="shared" si="246"/>
        <v>0</v>
      </c>
      <c r="VN25" s="59">
        <f t="shared" si="246"/>
        <v>0</v>
      </c>
      <c r="VO25" s="59">
        <f t="shared" si="246"/>
        <v>0</v>
      </c>
      <c r="VP25" s="59">
        <f t="shared" si="246"/>
        <v>0</v>
      </c>
      <c r="VQ25" s="59">
        <f t="shared" si="246"/>
        <v>0</v>
      </c>
      <c r="VR25" s="59">
        <f t="shared" si="246"/>
        <v>0</v>
      </c>
      <c r="VS25" s="59">
        <f t="shared" si="246"/>
        <v>0</v>
      </c>
      <c r="VT25" s="59">
        <f t="shared" si="246"/>
        <v>565470.83333333337</v>
      </c>
      <c r="VU25" s="59">
        <f t="shared" si="246"/>
        <v>580954.55902777787</v>
      </c>
      <c r="VV25" s="59">
        <f t="shared" si="246"/>
        <v>596451.18782696768</v>
      </c>
      <c r="VW25" s="59">
        <f t="shared" si="246"/>
        <v>611960.73048349016</v>
      </c>
      <c r="VX25" s="59">
        <f t="shared" si="246"/>
        <v>627483.19775889302</v>
      </c>
      <c r="VY25" s="59">
        <f t="shared" si="246"/>
        <v>643018.60042369214</v>
      </c>
      <c r="VZ25" s="59">
        <f t="shared" si="246"/>
        <v>658566.94925737858</v>
      </c>
      <c r="WA25" s="59">
        <f t="shared" si="246"/>
        <v>674128.25504842645</v>
      </c>
      <c r="WB25" s="59">
        <f t="shared" si="246"/>
        <v>689702.52859430015</v>
      </c>
      <c r="WC25" s="59">
        <f t="shared" si="246"/>
        <v>705289.78070146206</v>
      </c>
      <c r="WD25" s="59">
        <f t="shared" si="246"/>
        <v>720890.02218537999</v>
      </c>
      <c r="WE25" s="59">
        <f t="shared" si="246"/>
        <v>736503.26387053449</v>
      </c>
      <c r="WF25" s="59">
        <f t="shared" si="246"/>
        <v>902254.51659042656</v>
      </c>
      <c r="WG25" s="59">
        <f t="shared" si="246"/>
        <v>918018.89535425196</v>
      </c>
      <c r="WH25" s="59">
        <f t="shared" si="246"/>
        <v>933796.41110038047</v>
      </c>
      <c r="WI25" s="59">
        <f t="shared" si="246"/>
        <v>949587.07477629744</v>
      </c>
      <c r="WJ25" s="59">
        <f t="shared" si="246"/>
        <v>965390.89733861107</v>
      </c>
      <c r="WK25" s="59">
        <f t="shared" si="246"/>
        <v>981207.88975305995</v>
      </c>
      <c r="WL25" s="59">
        <f t="shared" si="246"/>
        <v>997038.06299452088</v>
      </c>
      <c r="WM25" s="59">
        <f t="shared" si="246"/>
        <v>1012881.4280470163</v>
      </c>
      <c r="WN25" s="59">
        <f t="shared" si="246"/>
        <v>27904.662570388777</v>
      </c>
      <c r="WO25" s="59">
        <f t="shared" si="246"/>
        <v>42940.416455864099</v>
      </c>
      <c r="WP25" s="59">
        <f t="shared" si="246"/>
        <v>57988.700136243984</v>
      </c>
      <c r="WQ25" s="59">
        <f t="shared" si="246"/>
        <v>73049.524053024186</v>
      </c>
      <c r="WR25" s="59">
        <f t="shared" si="246"/>
        <v>238247.8986564017</v>
      </c>
      <c r="WS25" s="59">
        <f t="shared" si="246"/>
        <v>253458.9385719487</v>
      </c>
      <c r="WT25" s="59">
        <f t="shared" si="246"/>
        <v>268682.65435409197</v>
      </c>
      <c r="WU25" s="59">
        <f t="shared" si="246"/>
        <v>283919.05656605371</v>
      </c>
      <c r="WV25" s="59">
        <f t="shared" si="246"/>
        <v>299168.15577985876</v>
      </c>
      <c r="WW25" s="59">
        <f t="shared" si="246"/>
        <v>314429.96257634199</v>
      </c>
      <c r="WX25" s="59">
        <f t="shared" si="246"/>
        <v>329704.48754515563</v>
      </c>
      <c r="WY25" s="59">
        <f t="shared" si="246"/>
        <v>344991.7412847766</v>
      </c>
      <c r="WZ25" s="59">
        <f t="shared" si="246"/>
        <v>360291.73440251389</v>
      </c>
      <c r="XA25" s="59">
        <f t="shared" si="246"/>
        <v>375604.47751451598</v>
      </c>
      <c r="XB25" s="59">
        <f t="shared" si="246"/>
        <v>390929.98124577809</v>
      </c>
      <c r="XC25" s="59">
        <f t="shared" si="246"/>
        <v>406268.25623014959</v>
      </c>
      <c r="XD25" s="59">
        <f t="shared" si="246"/>
        <v>571744.31311034143</v>
      </c>
      <c r="XE25" s="59">
        <f>IF(AND(XE14="Desacumulación",XF14="-"),ROUND(XE20+XE21+XE22-XE23+XE24,2),XE20+XE21+XE22-XE23+XE24)</f>
        <v>587233.26670460007</v>
      </c>
      <c r="XF25" s="59">
        <f t="shared" si="246"/>
        <v>602735.12776018726</v>
      </c>
      <c r="XG25" s="59">
        <f t="shared" si="246"/>
        <v>618249.90703332075</v>
      </c>
      <c r="XH25" s="59">
        <f t="shared" si="246"/>
        <v>633777.61528918182</v>
      </c>
      <c r="XI25" s="59">
        <f t="shared" si="246"/>
        <v>649318.26330192282</v>
      </c>
      <c r="XJ25" s="59">
        <f t="shared" si="246"/>
        <v>664871.86185467441</v>
      </c>
      <c r="XK25" s="59">
        <f t="shared" si="246"/>
        <v>680438.42173955333</v>
      </c>
      <c r="XL25" s="59">
        <f t="shared" si="246"/>
        <v>696017.95375766966</v>
      </c>
      <c r="XM25" s="59">
        <f t="shared" si="246"/>
        <v>711610.46871913434</v>
      </c>
      <c r="XN25" s="59">
        <f t="shared" si="246"/>
        <v>727215.97744306701</v>
      </c>
      <c r="XO25" s="59">
        <f t="shared" si="246"/>
        <v>742834.49075760285</v>
      </c>
      <c r="XP25" s="59">
        <f t="shared" si="246"/>
        <v>908591.01949990087</v>
      </c>
      <c r="XQ25" s="59">
        <f t="shared" si="246"/>
        <v>23610.678682817452</v>
      </c>
      <c r="XR25" s="59">
        <f t="shared" si="246"/>
        <v>38642.854248386466</v>
      </c>
      <c r="XS25" s="59">
        <f t="shared" si="246"/>
        <v>53687.556626926787</v>
      </c>
      <c r="XT25" s="59">
        <f t="shared" ref="XT25:AAE25" si="247">IF(AND(XT14="Desacumulación",XU14="-"),ROUND(XT20+XT21+XT22-XT23+XT24,2),XT20+XT21+XT22-XT23+XT24)</f>
        <v>68744.796257449227</v>
      </c>
      <c r="XU25" s="59">
        <f t="shared" si="247"/>
        <v>83814.583587663772</v>
      </c>
      <c r="XV25" s="59">
        <f t="shared" si="247"/>
        <v>98896.92907398683</v>
      </c>
      <c r="XW25" s="59">
        <f t="shared" si="247"/>
        <v>113991.84318154848</v>
      </c>
      <c r="XX25" s="59">
        <f t="shared" si="247"/>
        <v>29016.003050866439</v>
      </c>
      <c r="XY25" s="59">
        <f t="shared" si="247"/>
        <v>44052.683053408822</v>
      </c>
      <c r="XZ25" s="59">
        <f t="shared" si="247"/>
        <v>59101.893622619995</v>
      </c>
      <c r="YA25" s="59">
        <f t="shared" si="247"/>
        <v>74163.645200638857</v>
      </c>
      <c r="YB25" s="59">
        <f t="shared" si="247"/>
        <v>239362.94823830607</v>
      </c>
      <c r="YC25" s="59">
        <f t="shared" si="247"/>
        <v>254574.91736183799</v>
      </c>
      <c r="YD25" s="59">
        <f t="shared" si="247"/>
        <v>269799.56312630617</v>
      </c>
      <c r="YE25" s="59">
        <f t="shared" si="247"/>
        <v>285036.89609557809</v>
      </c>
      <c r="YF25" s="59">
        <f t="shared" si="247"/>
        <v>300286.92684232444</v>
      </c>
      <c r="YG25" s="59">
        <f t="shared" si="247"/>
        <v>315549.66594802635</v>
      </c>
      <c r="YH25" s="59">
        <f t="shared" si="247"/>
        <v>330825.12400298304</v>
      </c>
      <c r="YI25" s="59">
        <f t="shared" si="247"/>
        <v>346113.31160631886</v>
      </c>
      <c r="YJ25" s="59">
        <f t="shared" si="247"/>
        <v>361414.2393659908</v>
      </c>
      <c r="YK25" s="59">
        <f t="shared" si="247"/>
        <v>376727.9178987958</v>
      </c>
      <c r="YL25" s="59">
        <f t="shared" si="247"/>
        <v>392054.35783037811</v>
      </c>
      <c r="YM25" s="59">
        <f t="shared" si="247"/>
        <v>407393.56979523675</v>
      </c>
      <c r="YN25" s="59">
        <f t="shared" si="247"/>
        <v>572870.56443673267</v>
      </c>
      <c r="YO25" s="59">
        <f t="shared" si="247"/>
        <v>588360.45657376328</v>
      </c>
      <c r="YP25" s="59">
        <f t="shared" si="247"/>
        <v>603863.25695424143</v>
      </c>
      <c r="YQ25" s="59">
        <f t="shared" si="247"/>
        <v>619378.97633503668</v>
      </c>
      <c r="YR25" s="59">
        <f t="shared" si="247"/>
        <v>634907.6254819826</v>
      </c>
      <c r="YS25" s="59">
        <f t="shared" si="247"/>
        <v>650449.21516988426</v>
      </c>
      <c r="YT25" s="59">
        <f t="shared" si="247"/>
        <v>666003.75618252589</v>
      </c>
      <c r="YU25" s="59">
        <f t="shared" si="247"/>
        <v>681571.25931267801</v>
      </c>
      <c r="YV25" s="59">
        <f t="shared" si="247"/>
        <v>697151.73536210519</v>
      </c>
      <c r="YW25" s="59">
        <f t="shared" si="247"/>
        <v>712745.19514157355</v>
      </c>
      <c r="YX25" s="59">
        <f t="shared" si="247"/>
        <v>728351.64947085816</v>
      </c>
      <c r="YY25" s="59">
        <f t="shared" si="247"/>
        <v>743971.10917875054</v>
      </c>
      <c r="YZ25" s="59">
        <f t="shared" si="247"/>
        <v>909728.58510306617</v>
      </c>
      <c r="ZA25" s="59">
        <f t="shared" si="247"/>
        <v>925499.19225731876</v>
      </c>
      <c r="ZB25" s="59">
        <f t="shared" si="247"/>
        <v>941282.9415841999</v>
      </c>
      <c r="ZC25" s="59">
        <f t="shared" si="247"/>
        <v>957079.8440355201</v>
      </c>
      <c r="ZD25" s="59">
        <f t="shared" si="247"/>
        <v>972889.91057221638</v>
      </c>
      <c r="ZE25" s="59">
        <f t="shared" si="247"/>
        <v>988713.15216435993</v>
      </c>
      <c r="ZF25" s="59">
        <f t="shared" si="247"/>
        <v>1004549.5797911636</v>
      </c>
      <c r="ZG25" s="59">
        <f t="shared" si="247"/>
        <v>1020399.2044409895</v>
      </c>
      <c r="ZH25" s="59">
        <f t="shared" si="247"/>
        <v>1036262.037111357</v>
      </c>
      <c r="ZI25" s="59">
        <f t="shared" si="247"/>
        <v>1052138.0888089496</v>
      </c>
      <c r="ZJ25" s="59">
        <f t="shared" si="247"/>
        <v>1068027.3705496236</v>
      </c>
      <c r="ZK25" s="59">
        <f t="shared" si="247"/>
        <v>1083929.893358415</v>
      </c>
      <c r="ZL25" s="59">
        <f t="shared" si="247"/>
        <v>1249970.6682695469</v>
      </c>
      <c r="ZM25" s="59">
        <f t="shared" si="247"/>
        <v>1266024.8104931049</v>
      </c>
      <c r="ZN25" s="59">
        <f t="shared" si="247"/>
        <v>1282092.3311685158</v>
      </c>
      <c r="ZO25" s="59">
        <f t="shared" si="247"/>
        <v>1298173.2414444897</v>
      </c>
      <c r="ZP25" s="59">
        <f t="shared" si="247"/>
        <v>1314267.5524790268</v>
      </c>
      <c r="ZQ25" s="59">
        <f t="shared" si="247"/>
        <v>1330375.2754394261</v>
      </c>
      <c r="ZR25" s="59">
        <f t="shared" si="247"/>
        <v>1346496.4215022922</v>
      </c>
      <c r="ZS25" s="59">
        <f t="shared" si="247"/>
        <v>1362631.001853544</v>
      </c>
      <c r="ZT25" s="59">
        <f t="shared" si="247"/>
        <v>1378779.027688422</v>
      </c>
      <c r="ZU25" s="59">
        <f t="shared" si="247"/>
        <v>1394940.5102114957</v>
      </c>
      <c r="ZV25" s="59">
        <f t="shared" si="247"/>
        <v>1411115.4606366719</v>
      </c>
      <c r="ZW25" s="59">
        <f t="shared" si="247"/>
        <v>1427303.8901872025</v>
      </c>
      <c r="ZX25" s="59">
        <f t="shared" si="247"/>
        <v>1593630.8100956918</v>
      </c>
      <c r="ZY25" s="59">
        <f t="shared" si="247"/>
        <v>1609971.3357707716</v>
      </c>
      <c r="ZZ25" s="59">
        <f t="shared" si="247"/>
        <v>1626325.4785505806</v>
      </c>
      <c r="AAA25" s="59">
        <f t="shared" si="247"/>
        <v>1642693.2497827061</v>
      </c>
      <c r="AAB25" s="59">
        <f t="shared" si="247"/>
        <v>1659074.6608241918</v>
      </c>
      <c r="AAC25" s="59">
        <f t="shared" si="247"/>
        <v>1675469.7230415451</v>
      </c>
      <c r="AAD25" s="59">
        <f t="shared" si="247"/>
        <v>1691878.4478107465</v>
      </c>
      <c r="AAE25" s="59">
        <f t="shared" si="247"/>
        <v>1708300.8465172555</v>
      </c>
      <c r="AAF25" s="59">
        <f t="shared" ref="AAF25:ACQ25" si="248">IF(AND(AAF14="Desacumulación",AAG14="-"),ROUND(AAF20+AAF21+AAF22-AAF23+AAF24,2),AAF20+AAF21+AAF22-AAF23+AAF24)</f>
        <v>1724736.93055602</v>
      </c>
      <c r="AAG25" s="59">
        <f t="shared" si="248"/>
        <v>1741186.7113314834</v>
      </c>
      <c r="AAH25" s="59">
        <f t="shared" si="248"/>
        <v>1757650.2002575931</v>
      </c>
      <c r="AAI25" s="59">
        <f t="shared" si="248"/>
        <v>1774127.4087578077</v>
      </c>
      <c r="AAJ25" s="59">
        <f t="shared" si="248"/>
        <v>1775605.8482651059</v>
      </c>
      <c r="AAK25" s="59">
        <f t="shared" si="248"/>
        <v>1777085.5198053268</v>
      </c>
      <c r="AAL25" s="59">
        <f t="shared" si="248"/>
        <v>1778566.4244051646</v>
      </c>
      <c r="AAM25" s="59">
        <f t="shared" si="248"/>
        <v>1780048.5630921689</v>
      </c>
      <c r="AAN25" s="59">
        <f t="shared" si="248"/>
        <v>1781531.9368947458</v>
      </c>
      <c r="AAO25" s="59">
        <f t="shared" si="248"/>
        <v>1783016.5468421581</v>
      </c>
      <c r="AAP25" s="59">
        <f t="shared" si="248"/>
        <v>1784502.3939645265</v>
      </c>
      <c r="AAQ25" s="59">
        <f t="shared" si="248"/>
        <v>1785989.4792928302</v>
      </c>
      <c r="AAR25" s="59">
        <f t="shared" si="248"/>
        <v>1787477.8038589077</v>
      </c>
      <c r="AAS25" s="59">
        <f t="shared" si="248"/>
        <v>1788967.3686954568</v>
      </c>
      <c r="AAT25" s="59">
        <f t="shared" si="248"/>
        <v>1790458.1748360363</v>
      </c>
      <c r="AAU25" s="59">
        <f t="shared" si="248"/>
        <v>1791950.2233150664</v>
      </c>
      <c r="AAV25" s="59">
        <f t="shared" si="248"/>
        <v>1793443.5151678289</v>
      </c>
      <c r="AAW25" s="59">
        <f t="shared" si="248"/>
        <v>1794938.0514304687</v>
      </c>
      <c r="AAX25" s="59">
        <f t="shared" si="248"/>
        <v>1796433.8331399942</v>
      </c>
      <c r="AAY25" s="59">
        <f t="shared" si="248"/>
        <v>1797930.8613342775</v>
      </c>
      <c r="AAZ25" s="59">
        <f t="shared" si="248"/>
        <v>1799429.1370520561</v>
      </c>
      <c r="ABA25" s="59">
        <f t="shared" si="248"/>
        <v>1800928.6613329328</v>
      </c>
      <c r="ABB25" s="59">
        <f t="shared" si="248"/>
        <v>1802429.4352173768</v>
      </c>
      <c r="ABC25" s="59">
        <f t="shared" si="248"/>
        <v>1803931.4597467247</v>
      </c>
      <c r="ABD25" s="59">
        <f t="shared" si="248"/>
        <v>1805434.7359631802</v>
      </c>
      <c r="ABE25" s="59">
        <f t="shared" si="248"/>
        <v>1806939.2649098162</v>
      </c>
      <c r="ABF25" s="59">
        <f t="shared" si="248"/>
        <v>1808445.0476305743</v>
      </c>
      <c r="ABG25" s="59">
        <f t="shared" si="248"/>
        <v>1809952.0851702665</v>
      </c>
      <c r="ABH25" s="59">
        <f t="shared" si="248"/>
        <v>1811460.3785745751</v>
      </c>
      <c r="ABI25" s="59">
        <f t="shared" si="248"/>
        <v>1812969.9288900539</v>
      </c>
      <c r="ABJ25" s="59">
        <f t="shared" si="248"/>
        <v>1814480.737164129</v>
      </c>
      <c r="ABK25" s="59">
        <f t="shared" si="248"/>
        <v>1815992.8044450991</v>
      </c>
      <c r="ABL25" s="59">
        <f t="shared" si="248"/>
        <v>1817506.1317821366</v>
      </c>
      <c r="ABM25" s="59">
        <f t="shared" si="248"/>
        <v>1819020.7202252883</v>
      </c>
      <c r="ABN25" s="59">
        <f t="shared" si="248"/>
        <v>1820536.570825476</v>
      </c>
      <c r="ABO25" s="59">
        <f t="shared" si="248"/>
        <v>1822053.6846344972</v>
      </c>
      <c r="ABP25" s="59">
        <f t="shared" si="248"/>
        <v>1823572.062705026</v>
      </c>
      <c r="ABQ25" s="59">
        <f t="shared" si="248"/>
        <v>1825091.7060906135</v>
      </c>
      <c r="ABR25" s="59">
        <f t="shared" si="248"/>
        <v>1826612.6158456891</v>
      </c>
      <c r="ABS25" s="59">
        <f t="shared" si="248"/>
        <v>1828134.7930255604</v>
      </c>
      <c r="ABT25" s="59">
        <f t="shared" si="248"/>
        <v>1829658.2386864151</v>
      </c>
      <c r="ABU25" s="59">
        <f t="shared" si="248"/>
        <v>1831182.9538853206</v>
      </c>
      <c r="ABV25" s="59">
        <f t="shared" si="248"/>
        <v>1832708.939680225</v>
      </c>
      <c r="ABW25" s="59">
        <f t="shared" si="248"/>
        <v>1834236.1971299585</v>
      </c>
      <c r="ABX25" s="59">
        <f t="shared" si="248"/>
        <v>1835764.7272942334</v>
      </c>
      <c r="ABY25" s="59">
        <f t="shared" si="248"/>
        <v>1837294.5312336453</v>
      </c>
      <c r="ABZ25" s="59">
        <f t="shared" si="248"/>
        <v>1838825.6100096733</v>
      </c>
      <c r="ACA25" s="59">
        <f t="shared" si="248"/>
        <v>1840357.9646846813</v>
      </c>
      <c r="ACB25" s="59">
        <f t="shared" si="248"/>
        <v>1841891.5963219185</v>
      </c>
      <c r="ACC25" s="59">
        <f t="shared" si="248"/>
        <v>1843426.5059855201</v>
      </c>
      <c r="ACD25" s="59">
        <f t="shared" si="248"/>
        <v>1844962.694740508</v>
      </c>
      <c r="ACE25" s="59">
        <f t="shared" si="248"/>
        <v>1846500.1636527916</v>
      </c>
      <c r="ACF25" s="59">
        <f t="shared" si="248"/>
        <v>1848038.9137891689</v>
      </c>
      <c r="ACG25" s="59">
        <f t="shared" si="248"/>
        <v>1849578.9462173267</v>
      </c>
      <c r="ACH25" s="59">
        <f t="shared" si="248"/>
        <v>1851120.2620058411</v>
      </c>
      <c r="ACI25" s="59">
        <f t="shared" si="248"/>
        <v>1852662.8622241793</v>
      </c>
      <c r="ACJ25" s="59">
        <f t="shared" si="248"/>
        <v>1854206.7479426996</v>
      </c>
      <c r="ACK25" s="59">
        <f t="shared" si="248"/>
        <v>1855751.9202326518</v>
      </c>
      <c r="ACL25" s="59">
        <f t="shared" si="248"/>
        <v>1857298.380166179</v>
      </c>
      <c r="ACM25" s="59">
        <f t="shared" si="248"/>
        <v>1858846.1288163175</v>
      </c>
      <c r="ACN25" s="59">
        <f t="shared" si="248"/>
        <v>1860395.1672569979</v>
      </c>
      <c r="ACO25" s="59">
        <f t="shared" si="248"/>
        <v>1861945.4965630453</v>
      </c>
      <c r="ACP25" s="59">
        <f t="shared" si="248"/>
        <v>1863497.1178101811</v>
      </c>
      <c r="ACQ25" s="59">
        <f t="shared" si="248"/>
        <v>1865050.0320750228</v>
      </c>
      <c r="ACR25" s="59">
        <f t="shared" ref="ACR25:AFC25" si="249">IF(AND(ACR14="Desacumulación",ACS14="-"),ROUND(ACR20+ACR21+ACR22-ACR23+ACR24,2),ACR20+ACR21+ACR22-ACR23+ACR24)</f>
        <v>1866604.2404350853</v>
      </c>
      <c r="ACS25" s="59">
        <f t="shared" si="249"/>
        <v>1868159.7439687811</v>
      </c>
      <c r="ACT25" s="59">
        <f t="shared" si="249"/>
        <v>1869716.5437554216</v>
      </c>
      <c r="ACU25" s="59">
        <f t="shared" si="249"/>
        <v>1871274.6408752177</v>
      </c>
      <c r="ACV25" s="59">
        <f t="shared" si="249"/>
        <v>1872834.0364092805</v>
      </c>
      <c r="ACW25" s="59">
        <f t="shared" si="249"/>
        <v>1874394.7314396217</v>
      </c>
      <c r="ACX25" s="59">
        <f t="shared" si="249"/>
        <v>1875956.7270491547</v>
      </c>
      <c r="ACY25" s="59">
        <f t="shared" si="249"/>
        <v>1877520.0243216956</v>
      </c>
      <c r="ACZ25" s="59">
        <f t="shared" si="249"/>
        <v>1879084.6243419636</v>
      </c>
      <c r="ADA25" s="59">
        <f t="shared" si="249"/>
        <v>1880650.5281955819</v>
      </c>
      <c r="ADB25" s="59">
        <f t="shared" si="249"/>
        <v>1882217.7369690782</v>
      </c>
      <c r="ADC25" s="59">
        <f t="shared" si="249"/>
        <v>1883786.2517498857</v>
      </c>
      <c r="ADD25" s="59">
        <f t="shared" si="249"/>
        <v>1885356.0736263439</v>
      </c>
      <c r="ADE25" s="59">
        <f t="shared" si="249"/>
        <v>1886927.203687699</v>
      </c>
      <c r="ADF25" s="59">
        <f t="shared" si="249"/>
        <v>1888499.6430241053</v>
      </c>
      <c r="ADG25" s="59">
        <f t="shared" si="249"/>
        <v>1890073.3927266255</v>
      </c>
      <c r="ADH25" s="59">
        <f t="shared" si="249"/>
        <v>1891648.4538872312</v>
      </c>
      <c r="ADI25" s="59">
        <f t="shared" si="249"/>
        <v>1893224.8275988039</v>
      </c>
      <c r="ADJ25" s="59">
        <f t="shared" si="249"/>
        <v>1894802.5149551362</v>
      </c>
      <c r="ADK25" s="59">
        <f t="shared" si="249"/>
        <v>1896381.5170509322</v>
      </c>
      <c r="ADL25" s="59">
        <f t="shared" si="249"/>
        <v>1897961.834981808</v>
      </c>
      <c r="ADM25" s="59">
        <f t="shared" si="249"/>
        <v>1899543.4698442928</v>
      </c>
      <c r="ADN25" s="59">
        <f t="shared" si="249"/>
        <v>1901126.4227358298</v>
      </c>
      <c r="ADO25" s="59">
        <f t="shared" si="249"/>
        <v>1902710.6947547763</v>
      </c>
      <c r="ADP25" s="59">
        <f t="shared" si="249"/>
        <v>1904296.2870004054</v>
      </c>
      <c r="ADQ25" s="59">
        <f t="shared" si="249"/>
        <v>1905883.2005729056</v>
      </c>
      <c r="ADR25" s="59">
        <f t="shared" si="249"/>
        <v>1907471.4365733829</v>
      </c>
      <c r="ADS25" s="59">
        <f t="shared" si="249"/>
        <v>1909060.9961038607</v>
      </c>
      <c r="ADT25" s="59">
        <f t="shared" si="249"/>
        <v>1910651.8802672806</v>
      </c>
      <c r="ADU25" s="59">
        <f t="shared" si="249"/>
        <v>1912244.0901675033</v>
      </c>
      <c r="ADV25" s="59">
        <f t="shared" si="249"/>
        <v>1913837.6269093095</v>
      </c>
      <c r="ADW25" s="59">
        <f t="shared" si="249"/>
        <v>1915432.4915984005</v>
      </c>
      <c r="ADX25" s="59">
        <f t="shared" si="249"/>
        <v>1917028.6853413992</v>
      </c>
      <c r="ADY25" s="59">
        <f t="shared" si="249"/>
        <v>1918626.2092458503</v>
      </c>
      <c r="ADZ25" s="59">
        <f t="shared" si="249"/>
        <v>1920225.0644202218</v>
      </c>
      <c r="AEA25" s="59">
        <f t="shared" si="249"/>
        <v>1921825.2519739054</v>
      </c>
      <c r="AEB25" s="59">
        <f t="shared" si="249"/>
        <v>1923426.7730172169</v>
      </c>
      <c r="AEC25" s="59">
        <f t="shared" si="249"/>
        <v>1925029.6286613978</v>
      </c>
      <c r="AED25" s="59">
        <f t="shared" si="249"/>
        <v>1926633.8200186156</v>
      </c>
      <c r="AEE25" s="59">
        <f t="shared" si="249"/>
        <v>1928239.3482019645</v>
      </c>
      <c r="AEF25" s="59">
        <f t="shared" si="249"/>
        <v>1929846.2143254662</v>
      </c>
      <c r="AEG25" s="59">
        <f t="shared" si="249"/>
        <v>1931454.4195040707</v>
      </c>
      <c r="AEH25" s="59">
        <f t="shared" si="249"/>
        <v>1933063.9648536574</v>
      </c>
      <c r="AEI25" s="59">
        <f t="shared" si="249"/>
        <v>1934674.8514910354</v>
      </c>
      <c r="AEJ25" s="59">
        <f t="shared" si="249"/>
        <v>1936287.0805339445</v>
      </c>
      <c r="AEK25" s="59">
        <f t="shared" si="249"/>
        <v>1937900.6531010561</v>
      </c>
      <c r="AEL25" s="59">
        <f t="shared" si="249"/>
        <v>1939515.5703119736</v>
      </c>
      <c r="AEM25" s="59">
        <f t="shared" si="249"/>
        <v>1941131.8332872335</v>
      </c>
      <c r="AEN25" s="59">
        <f t="shared" si="249"/>
        <v>1942749.4431483061</v>
      </c>
      <c r="AEO25" s="59">
        <f t="shared" si="249"/>
        <v>1944368.4010175962</v>
      </c>
      <c r="AEP25" s="59">
        <f t="shared" si="249"/>
        <v>1945988.7080184442</v>
      </c>
      <c r="AEQ25" s="59">
        <f t="shared" si="249"/>
        <v>1947610.3652751262</v>
      </c>
      <c r="AER25" s="59">
        <f t="shared" si="249"/>
        <v>1949233.3739128555</v>
      </c>
      <c r="AES25" s="59">
        <f t="shared" si="249"/>
        <v>1950857.7350577828</v>
      </c>
      <c r="AET25" s="59">
        <f t="shared" si="249"/>
        <v>1952483.4498369978</v>
      </c>
      <c r="AEU25" s="59">
        <f t="shared" si="249"/>
        <v>1954110.5193785287</v>
      </c>
      <c r="AEV25" s="59">
        <f t="shared" si="249"/>
        <v>1955738.9448113441</v>
      </c>
      <c r="AEW25" s="59">
        <f t="shared" si="249"/>
        <v>1957368.7272653535</v>
      </c>
      <c r="AEX25" s="59">
        <f t="shared" si="249"/>
        <v>1958999.8678714081</v>
      </c>
      <c r="AEY25" s="59">
        <f t="shared" si="249"/>
        <v>1960632.3677613009</v>
      </c>
      <c r="AEZ25" s="59">
        <f t="shared" si="249"/>
        <v>1962266.2280677687</v>
      </c>
      <c r="AFA25" s="59">
        <f t="shared" si="249"/>
        <v>1963901.4499244918</v>
      </c>
      <c r="AFB25" s="59">
        <f t="shared" si="249"/>
        <v>1965538.0344660955</v>
      </c>
      <c r="AFC25" s="59">
        <f t="shared" si="249"/>
        <v>1967175.9828281505</v>
      </c>
      <c r="AFD25" s="59">
        <f t="shared" ref="AFD25:AHO25" si="250">IF(AND(AFD14="Desacumulación",AFE14="-"),ROUND(AFD20+AFD21+AFD22-AFD23+AFD24,2),AFD20+AFD21+AFD22-AFD23+AFD24)</f>
        <v>1968815.296147174</v>
      </c>
      <c r="AFE25" s="59">
        <f t="shared" si="250"/>
        <v>1970455.97556063</v>
      </c>
      <c r="AFF25" s="59">
        <f t="shared" si="250"/>
        <v>1972098.0222069304</v>
      </c>
      <c r="AFG25" s="59">
        <f t="shared" si="250"/>
        <v>1973741.4372254363</v>
      </c>
      <c r="AFH25" s="59">
        <f t="shared" si="250"/>
        <v>1975386.2217564576</v>
      </c>
      <c r="AFI25" s="59">
        <f t="shared" si="250"/>
        <v>1977032.3769412546</v>
      </c>
      <c r="AFJ25" s="59">
        <f t="shared" si="250"/>
        <v>1978679.9039220391</v>
      </c>
      <c r="AFK25" s="59">
        <f t="shared" si="250"/>
        <v>1980328.8038419741</v>
      </c>
      <c r="AFL25" s="59">
        <f t="shared" si="250"/>
        <v>1981979.0778451758</v>
      </c>
      <c r="AFM25" s="59">
        <f t="shared" si="250"/>
        <v>1983630.7270767135</v>
      </c>
      <c r="AFN25" s="59">
        <f t="shared" si="250"/>
        <v>1985283.7526826106</v>
      </c>
      <c r="AFO25" s="59">
        <f t="shared" si="250"/>
        <v>1986938.1558098462</v>
      </c>
      <c r="AFP25" s="59">
        <f t="shared" si="250"/>
        <v>1988593.9376063545</v>
      </c>
      <c r="AFQ25" s="59">
        <f t="shared" si="250"/>
        <v>1990251.0992210265</v>
      </c>
      <c r="AFR25" s="59">
        <f t="shared" si="250"/>
        <v>1991909.6418037107</v>
      </c>
      <c r="AFS25" s="59">
        <f t="shared" si="250"/>
        <v>1993569.5665052137</v>
      </c>
      <c r="AFT25" s="59">
        <f t="shared" si="250"/>
        <v>1995230.8744773015</v>
      </c>
      <c r="AFU25" s="59">
        <f t="shared" si="250"/>
        <v>1996893.5668726992</v>
      </c>
      <c r="AFV25" s="59">
        <f t="shared" si="250"/>
        <v>1998557.6448450931</v>
      </c>
      <c r="AFW25" s="59">
        <f t="shared" si="250"/>
        <v>2000223.1095491308</v>
      </c>
      <c r="AFX25" s="59">
        <f t="shared" si="250"/>
        <v>2001889.9621404216</v>
      </c>
      <c r="AFY25" s="59">
        <f t="shared" si="250"/>
        <v>2003558.2037755386</v>
      </c>
      <c r="AFZ25" s="59">
        <f t="shared" si="250"/>
        <v>2005227.8356120181</v>
      </c>
      <c r="AGA25" s="59">
        <f t="shared" si="250"/>
        <v>2006898.8588083615</v>
      </c>
      <c r="AGB25" s="59">
        <f t="shared" si="250"/>
        <v>2008571.2745240352</v>
      </c>
      <c r="AGC25" s="59">
        <f t="shared" si="250"/>
        <v>2010245.0839194718</v>
      </c>
      <c r="AGD25" s="59">
        <f t="shared" si="250"/>
        <v>2011920.2881560714</v>
      </c>
      <c r="AGE25" s="59">
        <f t="shared" si="250"/>
        <v>2013596.8883962014</v>
      </c>
      <c r="AGF25" s="59">
        <f t="shared" si="250"/>
        <v>2015274.8858031982</v>
      </c>
      <c r="AGG25" s="59">
        <f t="shared" si="250"/>
        <v>2016954.2815413675</v>
      </c>
      <c r="AGH25" s="59">
        <f t="shared" si="250"/>
        <v>2018635.0767759853</v>
      </c>
      <c r="AGI25" s="59">
        <f t="shared" si="250"/>
        <v>2020317.2726732986</v>
      </c>
      <c r="AGJ25" s="59">
        <f t="shared" si="250"/>
        <v>2022000.8704005263</v>
      </c>
      <c r="AGK25" s="59">
        <f t="shared" si="250"/>
        <v>2023685.8711258601</v>
      </c>
      <c r="AGL25" s="59">
        <f t="shared" si="250"/>
        <v>2025372.2760184649</v>
      </c>
      <c r="AGM25" s="59">
        <f t="shared" si="250"/>
        <v>2027060.0862484802</v>
      </c>
      <c r="AGN25" s="59">
        <f t="shared" si="250"/>
        <v>2028749.3029870207</v>
      </c>
      <c r="AGO25" s="59">
        <f t="shared" si="250"/>
        <v>2030439.9274061765</v>
      </c>
      <c r="AGP25" s="59">
        <f t="shared" si="250"/>
        <v>2032131.9606790149</v>
      </c>
      <c r="AGQ25" s="59">
        <f t="shared" si="250"/>
        <v>2033825.4039795808</v>
      </c>
      <c r="AGR25" s="59">
        <f t="shared" si="250"/>
        <v>2035520.2584828972</v>
      </c>
      <c r="AGS25" s="59">
        <f t="shared" si="250"/>
        <v>2037216.5253649664</v>
      </c>
      <c r="AGT25" s="59">
        <f t="shared" si="250"/>
        <v>2038914.2058027706</v>
      </c>
      <c r="AGU25" s="59">
        <f t="shared" si="250"/>
        <v>2040613.3009742729</v>
      </c>
      <c r="AGV25" s="59">
        <f t="shared" si="250"/>
        <v>2042313.8120584181</v>
      </c>
      <c r="AGW25" s="59">
        <f t="shared" si="250"/>
        <v>2044015.7402351333</v>
      </c>
      <c r="AGX25" s="59">
        <f t="shared" si="250"/>
        <v>2045719.0866853292</v>
      </c>
      <c r="AGY25" s="59">
        <f t="shared" si="250"/>
        <v>2047423.8525909004</v>
      </c>
      <c r="AGZ25" s="59">
        <f t="shared" si="250"/>
        <v>2049130.0391347262</v>
      </c>
      <c r="AHA25" s="59">
        <f t="shared" si="250"/>
        <v>2050837.6475006717</v>
      </c>
      <c r="AHB25" s="59">
        <f t="shared" si="250"/>
        <v>2052546.6788735888</v>
      </c>
      <c r="AHC25" s="59">
        <f t="shared" si="250"/>
        <v>2054257.1344393168</v>
      </c>
      <c r="AHD25" s="59">
        <f t="shared" si="250"/>
        <v>2055969.0153846829</v>
      </c>
      <c r="AHE25" s="59">
        <f t="shared" si="250"/>
        <v>2057682.3228975034</v>
      </c>
      <c r="AHF25" s="59">
        <f t="shared" si="250"/>
        <v>2059397.0581665847</v>
      </c>
      <c r="AHG25" s="59">
        <f t="shared" si="250"/>
        <v>2061113.2223817236</v>
      </c>
      <c r="AHH25" s="59">
        <f t="shared" si="250"/>
        <v>2062830.8167337084</v>
      </c>
      <c r="AHI25" s="59">
        <f t="shared" si="250"/>
        <v>2064549.8424143197</v>
      </c>
      <c r="AHJ25" s="59">
        <f t="shared" si="250"/>
        <v>2066270.3006163316</v>
      </c>
      <c r="AHK25" s="59">
        <f t="shared" si="250"/>
        <v>2067992.1925335119</v>
      </c>
      <c r="AHL25" s="59">
        <f t="shared" si="250"/>
        <v>2069715.5193606231</v>
      </c>
      <c r="AHM25" s="59">
        <f t="shared" si="250"/>
        <v>2071440.2822934235</v>
      </c>
      <c r="AHN25" s="59">
        <f t="shared" si="250"/>
        <v>2073166.4825286681</v>
      </c>
      <c r="AHO25" s="59">
        <f t="shared" si="250"/>
        <v>2074894.1212641087</v>
      </c>
      <c r="AHP25" s="59">
        <f t="shared" ref="AHP25:AKA25" si="251">IF(AND(AHP14="Desacumulación",AHQ14="-"),ROUND(AHP20+AHP21+AHP22-AHP23+AHP24,2),AHP20+AHP21+AHP22-AHP23+AHP24)</f>
        <v>2076623.1996984954</v>
      </c>
      <c r="AHQ25" s="59">
        <f t="shared" si="251"/>
        <v>2078353.7190315775</v>
      </c>
      <c r="AHR25" s="59">
        <f t="shared" si="251"/>
        <v>2080085.6804641038</v>
      </c>
      <c r="AHS25" s="59">
        <f t="shared" si="251"/>
        <v>2081819.0851978238</v>
      </c>
      <c r="AHT25" s="59">
        <f t="shared" si="251"/>
        <v>2083553.9344354887</v>
      </c>
      <c r="AHU25" s="59">
        <f t="shared" si="251"/>
        <v>2085290.2293808516</v>
      </c>
      <c r="AHV25" s="59">
        <f t="shared" si="251"/>
        <v>2087027.971238669</v>
      </c>
      <c r="AHW25" s="59">
        <f t="shared" si="251"/>
        <v>2088767.1612147011</v>
      </c>
      <c r="AHX25" s="59">
        <f t="shared" si="251"/>
        <v>2090507.8005157134</v>
      </c>
      <c r="AHY25" s="59">
        <f t="shared" si="251"/>
        <v>2092249.8903494766</v>
      </c>
      <c r="AHZ25" s="59">
        <f t="shared" si="251"/>
        <v>2093993.4319247678</v>
      </c>
      <c r="AIA25" s="59">
        <f t="shared" si="251"/>
        <v>2095738.4264513717</v>
      </c>
      <c r="AIB25" s="59">
        <f t="shared" si="251"/>
        <v>2097484.8751400812</v>
      </c>
      <c r="AIC25" s="59">
        <f t="shared" si="251"/>
        <v>2099232.7792026978</v>
      </c>
      <c r="AID25" s="59">
        <f t="shared" si="251"/>
        <v>2100982.1398520335</v>
      </c>
      <c r="AIE25" s="59">
        <f t="shared" si="251"/>
        <v>2102732.9583019102</v>
      </c>
      <c r="AIF25" s="59">
        <f t="shared" si="251"/>
        <v>2104485.2357671619</v>
      </c>
      <c r="AIG25" s="59">
        <f t="shared" si="251"/>
        <v>2106238.9734636345</v>
      </c>
      <c r="AIH25" s="59">
        <f t="shared" si="251"/>
        <v>2107994.1726081874</v>
      </c>
      <c r="AII25" s="59">
        <f t="shared" si="251"/>
        <v>2109750.834418694</v>
      </c>
      <c r="AIJ25" s="59">
        <f t="shared" si="251"/>
        <v>2111508.9601140427</v>
      </c>
      <c r="AIK25" s="59">
        <f t="shared" si="251"/>
        <v>2113268.5509141376</v>
      </c>
      <c r="AIL25" s="59">
        <f t="shared" si="251"/>
        <v>2115029.6080398993</v>
      </c>
      <c r="AIM25" s="59">
        <f t="shared" si="251"/>
        <v>2116792.1327132657</v>
      </c>
      <c r="AIN25" s="59">
        <f t="shared" si="251"/>
        <v>2118556.1261571934</v>
      </c>
      <c r="AIO25" s="59">
        <f t="shared" si="251"/>
        <v>2120321.5895956578</v>
      </c>
      <c r="AIP25" s="59">
        <f t="shared" si="251"/>
        <v>2122088.5242536543</v>
      </c>
      <c r="AIQ25" s="59">
        <f t="shared" si="251"/>
        <v>2123856.9313571989</v>
      </c>
      <c r="AIR25" s="59">
        <f t="shared" si="251"/>
        <v>2125626.8121333299</v>
      </c>
      <c r="AIS25" s="59">
        <f t="shared" si="251"/>
        <v>2127398.1678101076</v>
      </c>
      <c r="AIT25" s="59">
        <f t="shared" si="251"/>
        <v>2129170.9996166159</v>
      </c>
      <c r="AIU25" s="59">
        <f t="shared" si="251"/>
        <v>2130945.3087829631</v>
      </c>
      <c r="AIV25" s="59">
        <f t="shared" si="251"/>
        <v>2132721.096540282</v>
      </c>
      <c r="AIW25" s="59">
        <f t="shared" si="251"/>
        <v>2134498.3641207321</v>
      </c>
      <c r="AIX25" s="59">
        <f t="shared" si="251"/>
        <v>2136277.1127574993</v>
      </c>
      <c r="AIY25" s="59">
        <f t="shared" si="251"/>
        <v>2138057.3436847972</v>
      </c>
      <c r="AIZ25" s="59">
        <f t="shared" si="251"/>
        <v>2139839.0581378681</v>
      </c>
      <c r="AJA25" s="59">
        <f t="shared" si="251"/>
        <v>2141622.2573529831</v>
      </c>
      <c r="AJB25" s="59">
        <f t="shared" si="251"/>
        <v>2143406.9425674439</v>
      </c>
      <c r="AJC25" s="59">
        <f t="shared" si="251"/>
        <v>2145193.1150195836</v>
      </c>
      <c r="AJD25" s="59">
        <f t="shared" si="251"/>
        <v>2146980.7759487666</v>
      </c>
      <c r="AJE25" s="59">
        <f t="shared" si="251"/>
        <v>2148769.9265953908</v>
      </c>
      <c r="AJF25" s="59">
        <f t="shared" si="251"/>
        <v>2150560.5682008867</v>
      </c>
      <c r="AJG25" s="59">
        <f t="shared" si="251"/>
        <v>2152352.7020077207</v>
      </c>
      <c r="AJH25" s="59">
        <f t="shared" si="251"/>
        <v>2154146.3292593937</v>
      </c>
      <c r="AJI25" s="59">
        <f t="shared" si="251"/>
        <v>2155941.4512004433</v>
      </c>
      <c r="AJJ25" s="59">
        <f t="shared" si="251"/>
        <v>2157738.0690764436</v>
      </c>
      <c r="AJK25" s="59">
        <f t="shared" si="251"/>
        <v>2159536.1841340074</v>
      </c>
      <c r="AJL25" s="59">
        <f t="shared" si="251"/>
        <v>2161335.7976207859</v>
      </c>
      <c r="AJM25" s="59">
        <f t="shared" si="251"/>
        <v>2163136.9107854697</v>
      </c>
      <c r="AJN25" s="59">
        <f t="shared" si="251"/>
        <v>2164939.5248777908</v>
      </c>
      <c r="AJO25" s="59">
        <f t="shared" si="251"/>
        <v>2166743.6411485225</v>
      </c>
      <c r="AJP25" s="59">
        <f t="shared" si="251"/>
        <v>2168549.2608494796</v>
      </c>
      <c r="AJQ25" s="59">
        <f t="shared" si="251"/>
        <v>2170356.385233521</v>
      </c>
      <c r="AJR25" s="59">
        <f t="shared" si="251"/>
        <v>2172165.0155545487</v>
      </c>
      <c r="AJS25" s="59">
        <f t="shared" si="251"/>
        <v>2173975.153067511</v>
      </c>
      <c r="AJT25" s="59">
        <f t="shared" si="251"/>
        <v>2175786.7990284008</v>
      </c>
      <c r="AJU25" s="59">
        <f t="shared" si="251"/>
        <v>2177599.9546942576</v>
      </c>
      <c r="AJV25" s="59">
        <f t="shared" si="251"/>
        <v>2179414.6213231697</v>
      </c>
      <c r="AJW25" s="59">
        <f t="shared" si="251"/>
        <v>2181230.8001742722</v>
      </c>
      <c r="AJX25" s="59">
        <f t="shared" si="251"/>
        <v>2183048.4925077506</v>
      </c>
      <c r="AJY25" s="59">
        <f t="shared" si="251"/>
        <v>2184867.6995848403</v>
      </c>
      <c r="AJZ25" s="59">
        <f t="shared" si="251"/>
        <v>2186688.4226678279</v>
      </c>
      <c r="AKA25" s="59">
        <f t="shared" si="251"/>
        <v>2188510.6630200511</v>
      </c>
      <c r="AKB25" s="59">
        <f t="shared" ref="AKB25:AMM25" si="252">IF(AND(AKB14="Desacumulación",AKC14="-"),ROUND(AKB20+AKB21+AKB22-AKB23+AKB24,2),AKB20+AKB21+AKB22-AKB23+AKB24)</f>
        <v>2190334.4219059013</v>
      </c>
      <c r="AKC25" s="59">
        <f t="shared" si="252"/>
        <v>2192159.7005908228</v>
      </c>
      <c r="AKD25" s="59">
        <f t="shared" si="252"/>
        <v>2193986.5003413153</v>
      </c>
      <c r="AKE25" s="59">
        <f t="shared" si="252"/>
        <v>2195814.8224249328</v>
      </c>
      <c r="AKF25" s="59">
        <f t="shared" si="252"/>
        <v>2197644.6681102868</v>
      </c>
      <c r="AKG25" s="59">
        <f t="shared" si="252"/>
        <v>2199476.0386670455</v>
      </c>
      <c r="AKH25" s="59">
        <f t="shared" si="252"/>
        <v>2201308.9353659349</v>
      </c>
      <c r="AKI25" s="59">
        <f t="shared" si="252"/>
        <v>2203143.35947874</v>
      </c>
      <c r="AKJ25" s="59">
        <f t="shared" si="252"/>
        <v>2204979.3122783056</v>
      </c>
      <c r="AKK25" s="59">
        <f t="shared" si="252"/>
        <v>2206816.7950385376</v>
      </c>
      <c r="AKL25" s="59">
        <f t="shared" si="252"/>
        <v>2208655.8090344029</v>
      </c>
      <c r="AKM25" s="59">
        <f t="shared" si="252"/>
        <v>2210496.3555419315</v>
      </c>
      <c r="AKN25" s="59">
        <f t="shared" si="252"/>
        <v>2212338.4358382165</v>
      </c>
      <c r="AKO25" s="59">
        <f t="shared" si="252"/>
        <v>2214182.0512014148</v>
      </c>
      <c r="AKP25" s="59">
        <f t="shared" si="252"/>
        <v>2216027.2029107492</v>
      </c>
      <c r="AKQ25" s="59">
        <f t="shared" si="252"/>
        <v>2217873.892246508</v>
      </c>
      <c r="AKR25" s="59">
        <f t="shared" si="252"/>
        <v>2219722.1204900467</v>
      </c>
      <c r="AKS25" s="59">
        <f t="shared" si="252"/>
        <v>2221571.8889237884</v>
      </c>
      <c r="AKT25" s="59">
        <f t="shared" si="252"/>
        <v>2223423.1988312248</v>
      </c>
      <c r="AKU25" s="59">
        <f t="shared" si="252"/>
        <v>2225276.0514969174</v>
      </c>
      <c r="AKV25" s="59">
        <f t="shared" si="252"/>
        <v>2227130.4482064983</v>
      </c>
      <c r="AKW25" s="59">
        <f t="shared" si="252"/>
        <v>2228986.3902466702</v>
      </c>
      <c r="AKX25" s="59">
        <f t="shared" si="252"/>
        <v>2230843.8789052092</v>
      </c>
      <c r="AKY25" s="59">
        <f t="shared" si="252"/>
        <v>2232702.9154709638</v>
      </c>
      <c r="AKZ25" s="59">
        <f t="shared" si="252"/>
        <v>2234563.5012338562</v>
      </c>
      <c r="ALA25" s="59">
        <f t="shared" si="252"/>
        <v>2236425.6374848844</v>
      </c>
      <c r="ALB25" s="59">
        <f t="shared" si="252"/>
        <v>2238289.3255161219</v>
      </c>
      <c r="ALC25" s="59">
        <f t="shared" si="252"/>
        <v>2240154.5666207187</v>
      </c>
      <c r="ALD25" s="59">
        <f t="shared" si="252"/>
        <v>2242021.3620929024</v>
      </c>
      <c r="ALE25" s="59">
        <f t="shared" si="252"/>
        <v>2243889.7132279798</v>
      </c>
      <c r="ALF25" s="59">
        <f t="shared" si="252"/>
        <v>2245759.6213223366</v>
      </c>
      <c r="ALG25" s="59">
        <f t="shared" si="252"/>
        <v>2247631.0876734387</v>
      </c>
      <c r="ALH25" s="59">
        <f t="shared" si="252"/>
        <v>2249504.1135798334</v>
      </c>
      <c r="ALI25" s="59">
        <f t="shared" si="252"/>
        <v>2251378.7003411502</v>
      </c>
      <c r="ALJ25" s="59">
        <f t="shared" si="252"/>
        <v>2253254.8492581011</v>
      </c>
      <c r="ALK25" s="59">
        <f t="shared" si="252"/>
        <v>2255132.5616324828</v>
      </c>
      <c r="ALL25" s="59">
        <f t="shared" si="252"/>
        <v>2257011.8387671765</v>
      </c>
      <c r="ALM25" s="59">
        <f t="shared" si="252"/>
        <v>2258892.6819661492</v>
      </c>
      <c r="ALN25" s="59">
        <f t="shared" si="252"/>
        <v>2260775.0925344545</v>
      </c>
      <c r="ALO25" s="59">
        <f t="shared" si="252"/>
        <v>2262659.0717782332</v>
      </c>
      <c r="ALP25" s="59">
        <f t="shared" si="252"/>
        <v>2264544.6210047151</v>
      </c>
      <c r="ALQ25" s="59">
        <f t="shared" si="252"/>
        <v>2266431.741522219</v>
      </c>
      <c r="ALR25" s="59">
        <f t="shared" si="252"/>
        <v>2268320.4346401542</v>
      </c>
      <c r="ALS25" s="59">
        <f t="shared" si="252"/>
        <v>2270210.701669021</v>
      </c>
      <c r="ALT25" s="59">
        <f t="shared" si="252"/>
        <v>2272102.5439204117</v>
      </c>
      <c r="ALU25" s="59">
        <f t="shared" si="252"/>
        <v>2273995.962707012</v>
      </c>
      <c r="ALV25" s="59">
        <f t="shared" si="252"/>
        <v>2275890.9593426012</v>
      </c>
      <c r="ALW25" s="59">
        <f t="shared" si="252"/>
        <v>2277787.5351420534</v>
      </c>
      <c r="ALX25" s="59">
        <f t="shared" si="252"/>
        <v>2279685.6914213384</v>
      </c>
      <c r="ALY25" s="59">
        <f t="shared" si="252"/>
        <v>2281585.4294975228</v>
      </c>
      <c r="ALZ25" s="59">
        <f t="shared" si="252"/>
        <v>2283486.7506887708</v>
      </c>
      <c r="AMA25" s="59">
        <f t="shared" si="252"/>
        <v>2285389.6563143446</v>
      </c>
      <c r="AMB25" s="59">
        <f t="shared" si="252"/>
        <v>2287294.1476946063</v>
      </c>
      <c r="AMC25" s="59">
        <f t="shared" si="252"/>
        <v>2289200.2261510184</v>
      </c>
      <c r="AMD25" s="59">
        <f t="shared" si="252"/>
        <v>2291107.8930061441</v>
      </c>
      <c r="AME25" s="59">
        <f t="shared" si="252"/>
        <v>2293017.1495836494</v>
      </c>
      <c r="AMF25" s="59">
        <f t="shared" si="252"/>
        <v>2294927.9972083024</v>
      </c>
      <c r="AMG25" s="59">
        <f t="shared" si="252"/>
        <v>2296840.4372059759</v>
      </c>
      <c r="AMH25" s="59">
        <f t="shared" si="252"/>
        <v>2298754.4709036476</v>
      </c>
      <c r="AMI25" s="59">
        <f t="shared" si="252"/>
        <v>2300670.0996294008</v>
      </c>
      <c r="AMJ25" s="59">
        <f t="shared" si="252"/>
        <v>2302587.3247124255</v>
      </c>
      <c r="AMK25" s="59">
        <f t="shared" si="252"/>
        <v>2304506.1474830192</v>
      </c>
      <c r="AML25" s="59">
        <f t="shared" si="252"/>
        <v>2306426.5692725885</v>
      </c>
      <c r="AMM25" s="59">
        <f t="shared" si="252"/>
        <v>2308348.5914136488</v>
      </c>
      <c r="AMN25" s="59">
        <f t="shared" ref="AMN25:ANR25" si="253">IF(AND(AMN14="Desacumulación",AMO14="-"),ROUND(AMN20+AMN21+AMN22-AMN23+AMN24,2),AMN20+AMN21+AMN22-AMN23+AMN24)</f>
        <v>2310272.2152398271</v>
      </c>
      <c r="AMO25" s="59">
        <f t="shared" si="253"/>
        <v>2312197.4420858603</v>
      </c>
      <c r="AMP25" s="59">
        <f t="shared" si="253"/>
        <v>2314124.2732875985</v>
      </c>
      <c r="AMQ25" s="59">
        <f t="shared" si="253"/>
        <v>2316052.7101820051</v>
      </c>
      <c r="AMR25" s="59">
        <f t="shared" si="253"/>
        <v>2317982.7541071568</v>
      </c>
      <c r="AMS25" s="59">
        <f t="shared" si="253"/>
        <v>2319914.4064022461</v>
      </c>
      <c r="AMT25" s="59">
        <f t="shared" si="253"/>
        <v>2321847.6684075813</v>
      </c>
      <c r="AMU25" s="59">
        <f t="shared" si="253"/>
        <v>2323782.5414645877</v>
      </c>
      <c r="AMV25" s="59">
        <f t="shared" si="253"/>
        <v>2325719.0269158082</v>
      </c>
      <c r="AMW25" s="59">
        <f t="shared" si="253"/>
        <v>2327657.1261049048</v>
      </c>
      <c r="AMX25" s="59">
        <f t="shared" si="253"/>
        <v>2329596.8403766588</v>
      </c>
      <c r="AMY25" s="59">
        <f t="shared" si="253"/>
        <v>2331538.1710769725</v>
      </c>
      <c r="AMZ25" s="59">
        <f t="shared" si="253"/>
        <v>2333481.1195528698</v>
      </c>
      <c r="ANA25" s="59">
        <f t="shared" si="253"/>
        <v>2335425.687152497</v>
      </c>
      <c r="ANB25" s="59">
        <f t="shared" si="253"/>
        <v>2337371.8752251239</v>
      </c>
      <c r="ANC25" s="59">
        <f t="shared" si="253"/>
        <v>2339319.6851211451</v>
      </c>
      <c r="AND25" s="59">
        <f t="shared" si="253"/>
        <v>2341269.1181920795</v>
      </c>
      <c r="ANE25" s="59">
        <f t="shared" si="253"/>
        <v>2343220.175790573</v>
      </c>
      <c r="ANF25" s="59">
        <f t="shared" si="253"/>
        <v>2345172.8592703985</v>
      </c>
      <c r="ANG25" s="59">
        <f t="shared" si="253"/>
        <v>2347127.1699864571</v>
      </c>
      <c r="ANH25" s="59">
        <f t="shared" si="253"/>
        <v>2349083.1092947791</v>
      </c>
      <c r="ANI25" s="59">
        <f t="shared" si="253"/>
        <v>2351040.6785525247</v>
      </c>
      <c r="ANJ25" s="59">
        <f t="shared" si="253"/>
        <v>2352999.8791179853</v>
      </c>
      <c r="ANK25" s="59">
        <f t="shared" si="253"/>
        <v>2354960.7123505836</v>
      </c>
      <c r="ANL25" s="59">
        <f t="shared" si="253"/>
        <v>2356923.1796108759</v>
      </c>
      <c r="ANM25" s="59">
        <f t="shared" si="253"/>
        <v>2358887.2822605516</v>
      </c>
      <c r="ANN25" s="59">
        <f t="shared" si="253"/>
        <v>2360853.0216624355</v>
      </c>
      <c r="ANO25" s="59">
        <f t="shared" si="253"/>
        <v>2362820.3991804877</v>
      </c>
      <c r="ANP25" s="59">
        <f t="shared" si="253"/>
        <v>2364789.4161798046</v>
      </c>
      <c r="ANQ25" s="59">
        <f t="shared" si="253"/>
        <v>2366760.0740266209</v>
      </c>
      <c r="ANR25" s="59">
        <f t="shared" si="253"/>
        <v>2368732.3740883097</v>
      </c>
      <c r="ANS25" s="59">
        <f>IF(AND(ANS14="Desacumulación",ANT14="-"),ROUND(ANS20+ANS21+ANS22-ANS23+ANS24,2),ANS20+ANS21+ANS22-ANS23+ANS24)</f>
        <v>2370706.3177333833</v>
      </c>
      <c r="ANT25" s="59">
        <f t="shared" ref="ANT25:AOP25" si="254">IF(AND(ANT14="Desacumulación",ANU14="-"),ROUND(ANT20+ANT21+ANT22-ANT23+ANT24,2),ANT20+ANT21+ANT22-ANT23+ANT24)</f>
        <v>2372681.9063314945</v>
      </c>
      <c r="ANU25" s="59">
        <f t="shared" si="254"/>
        <v>2374659.1412534374</v>
      </c>
      <c r="ANV25" s="59">
        <f t="shared" si="254"/>
        <v>2376638.0238711485</v>
      </c>
      <c r="ANW25" s="59">
        <f t="shared" si="254"/>
        <v>2378618.5555577078</v>
      </c>
      <c r="ANX25" s="59">
        <f t="shared" si="254"/>
        <v>2380600.7376873391</v>
      </c>
      <c r="ANY25" s="59">
        <f t="shared" si="254"/>
        <v>2382584.5716354121</v>
      </c>
      <c r="ANZ25" s="59">
        <f t="shared" si="254"/>
        <v>2384570.0587784415</v>
      </c>
      <c r="AOA25" s="59">
        <f t="shared" si="254"/>
        <v>2386557.2004940901</v>
      </c>
      <c r="AOB25" s="59">
        <f t="shared" si="254"/>
        <v>2388545.9981611683</v>
      </c>
      <c r="AOC25" s="59">
        <f t="shared" si="254"/>
        <v>2390536.4531596359</v>
      </c>
      <c r="AOD25" s="59">
        <f t="shared" si="254"/>
        <v>2392528.5668706023</v>
      </c>
      <c r="AOE25" s="59">
        <f t="shared" si="254"/>
        <v>2394522.34</v>
      </c>
      <c r="AOF25" s="59">
        <f t="shared" si="254"/>
        <v>2396517.7752833334</v>
      </c>
      <c r="AOG25" s="59">
        <f t="shared" si="254"/>
        <v>2398514.8734294027</v>
      </c>
      <c r="AOH25" s="59">
        <f t="shared" si="254"/>
        <v>2400513.6358239274</v>
      </c>
      <c r="AOI25" s="59">
        <f t="shared" si="254"/>
        <v>2402514.0638537807</v>
      </c>
      <c r="AOJ25" s="59">
        <f t="shared" si="254"/>
        <v>2404516.1589069921</v>
      </c>
      <c r="AOK25" s="59">
        <f t="shared" si="254"/>
        <v>2406519.9223727477</v>
      </c>
      <c r="AOL25" s="59">
        <f t="shared" si="254"/>
        <v>2408525.3556413916</v>
      </c>
      <c r="AOM25" s="59">
        <f t="shared" si="254"/>
        <v>2410532.4601044259</v>
      </c>
      <c r="AON25" s="59">
        <f t="shared" si="254"/>
        <v>2412541.2371545131</v>
      </c>
      <c r="AOO25" s="59">
        <f t="shared" si="254"/>
        <v>2414551.6881854753</v>
      </c>
      <c r="AOP25" s="59">
        <f t="shared" si="254"/>
        <v>2416563.8145922967</v>
      </c>
      <c r="AOQ25" s="59">
        <f>IF(AND(AOQ14="Desacumulación",AOR14="-"),ROUND(AOQ20+AOQ21+AOQ22-AOQ23+AOQ24,2),AOQ20+AOQ21+AOQ22-AOQ23+AOQ24)</f>
        <v>2418577.6177711235</v>
      </c>
    </row>
    <row r="26" spans="2:1083" x14ac:dyDescent="0.25">
      <c r="RD26" t="s">
        <v>227</v>
      </c>
      <c r="RE26" t="s">
        <v>227</v>
      </c>
      <c r="RF26" t="s">
        <v>227</v>
      </c>
      <c r="RG26" t="s">
        <v>227</v>
      </c>
      <c r="RH26" t="s">
        <v>227</v>
      </c>
      <c r="RI26" t="s">
        <v>227</v>
      </c>
      <c r="RJ26" t="s">
        <v>227</v>
      </c>
      <c r="RK26" t="s">
        <v>227</v>
      </c>
      <c r="RL26" t="s">
        <v>227</v>
      </c>
      <c r="RM26" t="s">
        <v>227</v>
      </c>
      <c r="RN26" t="s">
        <v>227</v>
      </c>
      <c r="RO26" t="s">
        <v>227</v>
      </c>
      <c r="RP26" t="s">
        <v>227</v>
      </c>
      <c r="RQ26" t="s">
        <v>227</v>
      </c>
      <c r="RR26" t="s">
        <v>227</v>
      </c>
      <c r="RS26" t="s">
        <v>227</v>
      </c>
      <c r="RT26" t="s">
        <v>227</v>
      </c>
      <c r="RU26" t="s">
        <v>227</v>
      </c>
      <c r="RV26" t="s">
        <v>227</v>
      </c>
      <c r="RW26" t="s">
        <v>227</v>
      </c>
      <c r="RX26" t="s">
        <v>227</v>
      </c>
      <c r="RY26" t="s">
        <v>227</v>
      </c>
      <c r="RZ26" t="s">
        <v>227</v>
      </c>
      <c r="SA26" t="s">
        <v>227</v>
      </c>
      <c r="SB26" t="s">
        <v>227</v>
      </c>
      <c r="SC26" t="s">
        <v>227</v>
      </c>
      <c r="SD26" t="s">
        <v>227</v>
      </c>
      <c r="SE26" t="s">
        <v>227</v>
      </c>
      <c r="SF26" t="s">
        <v>227</v>
      </c>
      <c r="SG26" t="s">
        <v>227</v>
      </c>
      <c r="SH26" t="s">
        <v>227</v>
      </c>
      <c r="SI26" t="s">
        <v>227</v>
      </c>
      <c r="SJ26" t="s">
        <v>227</v>
      </c>
      <c r="SK26" t="s">
        <v>227</v>
      </c>
      <c r="SL26" t="s">
        <v>227</v>
      </c>
      <c r="SM26" t="s">
        <v>227</v>
      </c>
      <c r="SN26" t="s">
        <v>227</v>
      </c>
      <c r="SO26" t="s">
        <v>227</v>
      </c>
      <c r="SP26" t="s">
        <v>227</v>
      </c>
      <c r="SQ26" t="s">
        <v>227</v>
      </c>
      <c r="SR26" t="s">
        <v>227</v>
      </c>
      <c r="SS26" t="s">
        <v>227</v>
      </c>
      <c r="ST26" t="s">
        <v>227</v>
      </c>
      <c r="SU26" t="s">
        <v>227</v>
      </c>
      <c r="SV26" t="s">
        <v>227</v>
      </c>
      <c r="SW26" t="s">
        <v>227</v>
      </c>
      <c r="SX26" t="s">
        <v>227</v>
      </c>
      <c r="SY26" t="s">
        <v>227</v>
      </c>
      <c r="SZ26" t="s">
        <v>227</v>
      </c>
      <c r="TA26" t="s">
        <v>227</v>
      </c>
      <c r="TB26" t="s">
        <v>227</v>
      </c>
      <c r="TC26" t="s">
        <v>227</v>
      </c>
      <c r="TD26" t="s">
        <v>227</v>
      </c>
      <c r="TE26" t="s">
        <v>227</v>
      </c>
      <c r="TF26" t="s">
        <v>227</v>
      </c>
      <c r="TG26" t="s">
        <v>227</v>
      </c>
      <c r="TH26" t="s">
        <v>227</v>
      </c>
      <c r="TI26" t="s">
        <v>227</v>
      </c>
      <c r="TJ26" t="s">
        <v>227</v>
      </c>
      <c r="TK26" t="s">
        <v>227</v>
      </c>
      <c r="TL26" t="s">
        <v>227</v>
      </c>
      <c r="TM26" t="s">
        <v>227</v>
      </c>
      <c r="TN26" t="s">
        <v>227</v>
      </c>
      <c r="TO26" t="s">
        <v>227</v>
      </c>
      <c r="TP26" t="s">
        <v>227</v>
      </c>
      <c r="TQ26" t="s">
        <v>227</v>
      </c>
      <c r="TR26" t="s">
        <v>227</v>
      </c>
      <c r="TS26" t="s">
        <v>227</v>
      </c>
      <c r="TT26" t="s">
        <v>227</v>
      </c>
      <c r="TU26" t="s">
        <v>227</v>
      </c>
      <c r="TV26" t="s">
        <v>227</v>
      </c>
      <c r="TW26" t="s">
        <v>227</v>
      </c>
      <c r="TX26" t="s">
        <v>227</v>
      </c>
      <c r="TY26" t="s">
        <v>227</v>
      </c>
      <c r="TZ26" t="s">
        <v>227</v>
      </c>
      <c r="UA26" t="s">
        <v>227</v>
      </c>
      <c r="UB26" t="s">
        <v>227</v>
      </c>
      <c r="UC26" t="s">
        <v>227</v>
      </c>
      <c r="UD26" t="s">
        <v>227</v>
      </c>
      <c r="UE26" t="s">
        <v>227</v>
      </c>
      <c r="UF26" t="s">
        <v>227</v>
      </c>
      <c r="UG26" t="s">
        <v>227</v>
      </c>
      <c r="UH26" t="s">
        <v>227</v>
      </c>
      <c r="UI26" t="s">
        <v>227</v>
      </c>
      <c r="UJ26" t="s">
        <v>227</v>
      </c>
      <c r="UK26" t="s">
        <v>227</v>
      </c>
      <c r="UL26" t="s">
        <v>227</v>
      </c>
      <c r="UM26" t="s">
        <v>227</v>
      </c>
      <c r="UN26" t="s">
        <v>227</v>
      </c>
      <c r="UO26" t="s">
        <v>227</v>
      </c>
      <c r="UP26" t="s">
        <v>227</v>
      </c>
      <c r="UQ26" t="s">
        <v>227</v>
      </c>
      <c r="UR26" t="s">
        <v>227</v>
      </c>
      <c r="US26" t="s">
        <v>227</v>
      </c>
      <c r="UT26" t="s">
        <v>227</v>
      </c>
      <c r="UU26" t="s">
        <v>227</v>
      </c>
      <c r="UV26" t="s">
        <v>227</v>
      </c>
      <c r="UW26" t="s">
        <v>227</v>
      </c>
      <c r="UX26" t="s">
        <v>227</v>
      </c>
      <c r="UY26" t="s">
        <v>227</v>
      </c>
      <c r="UZ26" t="s">
        <v>227</v>
      </c>
      <c r="VA26" t="s">
        <v>227</v>
      </c>
      <c r="VB26" t="s">
        <v>227</v>
      </c>
      <c r="VC26" t="s">
        <v>227</v>
      </c>
      <c r="VD26" t="s">
        <v>227</v>
      </c>
      <c r="VE26" t="s">
        <v>227</v>
      </c>
      <c r="VF26" t="s">
        <v>227</v>
      </c>
      <c r="VG26" t="s">
        <v>227</v>
      </c>
      <c r="VH26" t="s">
        <v>227</v>
      </c>
      <c r="VI26" t="s">
        <v>227</v>
      </c>
      <c r="VJ26" t="s">
        <v>227</v>
      </c>
      <c r="VK26" t="s">
        <v>227</v>
      </c>
      <c r="VL26" t="s">
        <v>227</v>
      </c>
      <c r="VM26" t="s">
        <v>227</v>
      </c>
      <c r="VN26" t="s">
        <v>227</v>
      </c>
      <c r="VO26" t="s">
        <v>227</v>
      </c>
      <c r="VP26" t="s">
        <v>227</v>
      </c>
      <c r="VQ26" t="s">
        <v>227</v>
      </c>
      <c r="VR26" t="s">
        <v>227</v>
      </c>
      <c r="VS26" t="s">
        <v>227</v>
      </c>
      <c r="VT26" t="s">
        <v>227</v>
      </c>
      <c r="VU26" t="s">
        <v>227</v>
      </c>
      <c r="VV26" t="s">
        <v>227</v>
      </c>
      <c r="VW26" t="s">
        <v>227</v>
      </c>
      <c r="VX26" t="s">
        <v>227</v>
      </c>
      <c r="VY26" t="s">
        <v>227</v>
      </c>
      <c r="VZ26" t="s">
        <v>227</v>
      </c>
      <c r="WA26" t="s">
        <v>227</v>
      </c>
      <c r="WB26" t="s">
        <v>227</v>
      </c>
      <c r="WC26" t="s">
        <v>227</v>
      </c>
      <c r="WD26" t="s">
        <v>227</v>
      </c>
      <c r="WE26" t="s">
        <v>227</v>
      </c>
      <c r="WF26" t="s">
        <v>227</v>
      </c>
      <c r="WG26" t="s">
        <v>227</v>
      </c>
      <c r="WH26" t="s">
        <v>227</v>
      </c>
      <c r="WI26" t="s">
        <v>227</v>
      </c>
      <c r="WJ26" t="s">
        <v>227</v>
      </c>
      <c r="WK26" t="s">
        <v>227</v>
      </c>
      <c r="WL26" t="s">
        <v>227</v>
      </c>
      <c r="WM26" t="s">
        <v>227</v>
      </c>
      <c r="WN26" t="s">
        <v>227</v>
      </c>
      <c r="WO26" t="s">
        <v>227</v>
      </c>
      <c r="WP26" t="s">
        <v>227</v>
      </c>
      <c r="WQ26" t="s">
        <v>227</v>
      </c>
      <c r="WR26" t="s">
        <v>227</v>
      </c>
      <c r="WS26" t="s">
        <v>227</v>
      </c>
      <c r="WT26" t="s">
        <v>227</v>
      </c>
      <c r="WU26" t="s">
        <v>227</v>
      </c>
      <c r="WV26" t="s">
        <v>227</v>
      </c>
      <c r="WW26" t="s">
        <v>227</v>
      </c>
      <c r="WX26" t="s">
        <v>227</v>
      </c>
      <c r="WY26" t="s">
        <v>227</v>
      </c>
      <c r="WZ26" t="s">
        <v>227</v>
      </c>
      <c r="XA26" t="s">
        <v>227</v>
      </c>
      <c r="XB26" t="s">
        <v>227</v>
      </c>
      <c r="XC26" t="s">
        <v>227</v>
      </c>
      <c r="XD26" t="s">
        <v>227</v>
      </c>
      <c r="XE26" t="s">
        <v>227</v>
      </c>
      <c r="XF26" t="s">
        <v>227</v>
      </c>
      <c r="XG26" t="s">
        <v>227</v>
      </c>
      <c r="XH26" t="s">
        <v>227</v>
      </c>
      <c r="XI26" t="s">
        <v>227</v>
      </c>
      <c r="XJ26" t="s">
        <v>227</v>
      </c>
      <c r="XK26" t="s">
        <v>227</v>
      </c>
      <c r="XL26" t="s">
        <v>227</v>
      </c>
      <c r="XM26" t="s">
        <v>227</v>
      </c>
      <c r="XN26" t="s">
        <v>227</v>
      </c>
      <c r="XO26" t="s">
        <v>227</v>
      </c>
      <c r="XP26" t="s">
        <v>227</v>
      </c>
      <c r="XQ26" t="s">
        <v>227</v>
      </c>
      <c r="XR26" t="s">
        <v>227</v>
      </c>
      <c r="XS26" t="s">
        <v>227</v>
      </c>
      <c r="XT26" t="s">
        <v>227</v>
      </c>
      <c r="XU26" t="s">
        <v>227</v>
      </c>
      <c r="XV26" t="s">
        <v>227</v>
      </c>
      <c r="XW26" t="s">
        <v>227</v>
      </c>
      <c r="XX26" t="s">
        <v>227</v>
      </c>
      <c r="XY26" t="s">
        <v>227</v>
      </c>
      <c r="XZ26" t="s">
        <v>227</v>
      </c>
      <c r="YA26" t="s">
        <v>227</v>
      </c>
      <c r="YB26" t="s">
        <v>227</v>
      </c>
      <c r="YC26" t="s">
        <v>227</v>
      </c>
      <c r="YD26" t="s">
        <v>227</v>
      </c>
      <c r="YE26" t="s">
        <v>227</v>
      </c>
      <c r="YF26" t="s">
        <v>227</v>
      </c>
      <c r="YG26" t="s">
        <v>227</v>
      </c>
      <c r="YH26" t="s">
        <v>227</v>
      </c>
      <c r="YI26" t="s">
        <v>227</v>
      </c>
      <c r="YJ26" t="s">
        <v>227</v>
      </c>
      <c r="YK26" t="s">
        <v>227</v>
      </c>
      <c r="YL26" t="s">
        <v>227</v>
      </c>
      <c r="YM26" t="s">
        <v>227</v>
      </c>
      <c r="YN26" t="s">
        <v>227</v>
      </c>
      <c r="YO26" t="s">
        <v>227</v>
      </c>
      <c r="YP26" t="s">
        <v>227</v>
      </c>
      <c r="YQ26" t="s">
        <v>227</v>
      </c>
      <c r="YR26" t="s">
        <v>227</v>
      </c>
      <c r="YS26" t="s">
        <v>227</v>
      </c>
      <c r="YT26" t="s">
        <v>227</v>
      </c>
      <c r="YU26" t="s">
        <v>227</v>
      </c>
      <c r="YV26" t="s">
        <v>227</v>
      </c>
      <c r="YW26" t="s">
        <v>227</v>
      </c>
      <c r="YX26" t="s">
        <v>227</v>
      </c>
      <c r="YY26" t="s">
        <v>227</v>
      </c>
      <c r="YZ26" t="s">
        <v>227</v>
      </c>
      <c r="ZA26" t="s">
        <v>227</v>
      </c>
      <c r="ZB26" t="s">
        <v>227</v>
      </c>
      <c r="ZC26" t="s">
        <v>227</v>
      </c>
      <c r="ZD26" t="s">
        <v>227</v>
      </c>
      <c r="ZE26" t="s">
        <v>227</v>
      </c>
      <c r="ZF26" t="s">
        <v>227</v>
      </c>
      <c r="ZG26" t="s">
        <v>227</v>
      </c>
      <c r="ZH26" t="s">
        <v>227</v>
      </c>
      <c r="ZI26" t="s">
        <v>227</v>
      </c>
      <c r="ZJ26" t="s">
        <v>227</v>
      </c>
      <c r="ZK26" t="s">
        <v>227</v>
      </c>
      <c r="ZL26" t="s">
        <v>227</v>
      </c>
      <c r="ZM26" t="s">
        <v>227</v>
      </c>
      <c r="ZN26" t="s">
        <v>227</v>
      </c>
      <c r="ZO26" t="s">
        <v>227</v>
      </c>
      <c r="ZP26" t="s">
        <v>227</v>
      </c>
      <c r="ZQ26" t="s">
        <v>227</v>
      </c>
      <c r="ZR26" t="s">
        <v>227</v>
      </c>
      <c r="ZS26" t="s">
        <v>227</v>
      </c>
      <c r="ZT26" t="s">
        <v>227</v>
      </c>
      <c r="ZU26" t="s">
        <v>227</v>
      </c>
      <c r="ZV26" t="s">
        <v>227</v>
      </c>
      <c r="ZW26" t="s">
        <v>227</v>
      </c>
      <c r="ZX26" t="s">
        <v>227</v>
      </c>
      <c r="ZY26" t="s">
        <v>227</v>
      </c>
      <c r="ZZ26" t="s">
        <v>227</v>
      </c>
      <c r="AAA26" t="s">
        <v>227</v>
      </c>
      <c r="AAB26" t="s">
        <v>227</v>
      </c>
      <c r="AAC26" t="s">
        <v>227</v>
      </c>
      <c r="AAD26" t="s">
        <v>227</v>
      </c>
      <c r="AAE26" t="s">
        <v>227</v>
      </c>
      <c r="AAF26" t="s">
        <v>227</v>
      </c>
      <c r="AAG26" t="s">
        <v>227</v>
      </c>
      <c r="AAH26" t="s">
        <v>227</v>
      </c>
      <c r="AAI26" t="s">
        <v>227</v>
      </c>
      <c r="AAJ26" t="s">
        <v>227</v>
      </c>
      <c r="AAK26" t="s">
        <v>227</v>
      </c>
      <c r="AAL26" t="s">
        <v>227</v>
      </c>
      <c r="AAM26" t="s">
        <v>227</v>
      </c>
      <c r="AAN26" t="s">
        <v>227</v>
      </c>
      <c r="AAO26" t="s">
        <v>227</v>
      </c>
      <c r="AAP26" t="s">
        <v>227</v>
      </c>
      <c r="AAQ26" t="s">
        <v>227</v>
      </c>
      <c r="AAR26" t="s">
        <v>227</v>
      </c>
      <c r="AAS26" t="s">
        <v>227</v>
      </c>
      <c r="AAT26" t="s">
        <v>227</v>
      </c>
      <c r="AAU26" t="s">
        <v>227</v>
      </c>
      <c r="AAV26" t="s">
        <v>227</v>
      </c>
      <c r="AAW26" t="s">
        <v>227</v>
      </c>
      <c r="AAX26" t="s">
        <v>227</v>
      </c>
      <c r="AAY26" t="s">
        <v>227</v>
      </c>
      <c r="AAZ26" t="s">
        <v>227</v>
      </c>
      <c r="ABA26" t="s">
        <v>227</v>
      </c>
      <c r="ABB26" t="s">
        <v>227</v>
      </c>
      <c r="ABC26" t="s">
        <v>227</v>
      </c>
      <c r="ABD26" t="s">
        <v>227</v>
      </c>
      <c r="ABE26" t="s">
        <v>227</v>
      </c>
      <c r="ABF26" t="s">
        <v>227</v>
      </c>
      <c r="ABG26" t="s">
        <v>227</v>
      </c>
      <c r="ABH26" t="s">
        <v>227</v>
      </c>
      <c r="ABI26" t="s">
        <v>227</v>
      </c>
      <c r="ABJ26" t="s">
        <v>227</v>
      </c>
      <c r="ABK26" t="s">
        <v>227</v>
      </c>
      <c r="ABL26" t="s">
        <v>227</v>
      </c>
      <c r="ABM26" t="s">
        <v>227</v>
      </c>
      <c r="ABN26" t="s">
        <v>227</v>
      </c>
      <c r="ABO26" t="s">
        <v>227</v>
      </c>
      <c r="ABP26" t="s">
        <v>227</v>
      </c>
      <c r="ABQ26" t="s">
        <v>227</v>
      </c>
      <c r="ABR26" t="s">
        <v>227</v>
      </c>
      <c r="ABS26" t="s">
        <v>227</v>
      </c>
      <c r="ABT26" t="s">
        <v>227</v>
      </c>
      <c r="ABU26" t="s">
        <v>227</v>
      </c>
      <c r="ABV26" t="s">
        <v>227</v>
      </c>
      <c r="ABW26" t="s">
        <v>227</v>
      </c>
      <c r="ABX26" t="s">
        <v>227</v>
      </c>
      <c r="ABY26" t="s">
        <v>227</v>
      </c>
      <c r="ABZ26" t="s">
        <v>227</v>
      </c>
      <c r="ACA26" t="s">
        <v>227</v>
      </c>
      <c r="ACB26" t="s">
        <v>227</v>
      </c>
      <c r="ACC26" t="s">
        <v>227</v>
      </c>
      <c r="ACD26" t="s">
        <v>227</v>
      </c>
      <c r="ACE26" t="s">
        <v>227</v>
      </c>
      <c r="ACF26" t="s">
        <v>227</v>
      </c>
      <c r="ACG26" t="s">
        <v>227</v>
      </c>
      <c r="ACH26" t="s">
        <v>227</v>
      </c>
      <c r="ACI26" t="s">
        <v>227</v>
      </c>
      <c r="ACJ26" t="s">
        <v>227</v>
      </c>
      <c r="ACK26" t="s">
        <v>227</v>
      </c>
      <c r="ACL26" t="s">
        <v>227</v>
      </c>
      <c r="ACM26" t="s">
        <v>227</v>
      </c>
      <c r="ACN26" t="s">
        <v>227</v>
      </c>
      <c r="ACO26" t="s">
        <v>227</v>
      </c>
      <c r="ACP26" t="s">
        <v>227</v>
      </c>
      <c r="ACQ26" t="s">
        <v>227</v>
      </c>
    </row>
    <row r="27" spans="2:1083" x14ac:dyDescent="0.25">
      <c r="B27" s="42" t="str">
        <f>'Patrimonio Financiero'!BH200</f>
        <v>Objetivo 1</v>
      </c>
      <c r="C27" s="57">
        <f>'Patrimonio Financiero'!CB200</f>
        <v>1000000</v>
      </c>
      <c r="D27" s="57">
        <f t="shared" ref="D27:BO27" si="255">$C27</f>
        <v>1000000</v>
      </c>
      <c r="E27" s="57">
        <f t="shared" si="255"/>
        <v>1000000</v>
      </c>
      <c r="F27" s="57">
        <f t="shared" si="255"/>
        <v>1000000</v>
      </c>
      <c r="G27" s="57">
        <f t="shared" si="255"/>
        <v>1000000</v>
      </c>
      <c r="H27" s="57">
        <f t="shared" si="255"/>
        <v>1000000</v>
      </c>
      <c r="I27" s="57">
        <f t="shared" si="255"/>
        <v>1000000</v>
      </c>
      <c r="J27" s="57">
        <f t="shared" si="255"/>
        <v>1000000</v>
      </c>
      <c r="K27" s="57">
        <f t="shared" si="255"/>
        <v>1000000</v>
      </c>
      <c r="L27" s="57">
        <f t="shared" si="255"/>
        <v>1000000</v>
      </c>
      <c r="M27" s="57">
        <f t="shared" si="255"/>
        <v>1000000</v>
      </c>
      <c r="N27" s="57">
        <f t="shared" si="255"/>
        <v>1000000</v>
      </c>
      <c r="O27" s="57">
        <f t="shared" si="255"/>
        <v>1000000</v>
      </c>
      <c r="P27" s="57">
        <f t="shared" si="255"/>
        <v>1000000</v>
      </c>
      <c r="Q27" s="57">
        <f t="shared" si="255"/>
        <v>1000000</v>
      </c>
      <c r="R27" s="57">
        <f t="shared" si="255"/>
        <v>1000000</v>
      </c>
      <c r="S27" s="57">
        <f t="shared" si="255"/>
        <v>1000000</v>
      </c>
      <c r="T27" s="57">
        <f t="shared" si="255"/>
        <v>1000000</v>
      </c>
      <c r="U27" s="57">
        <f t="shared" si="255"/>
        <v>1000000</v>
      </c>
      <c r="V27" s="57">
        <f t="shared" si="255"/>
        <v>1000000</v>
      </c>
      <c r="W27" s="57">
        <f t="shared" si="255"/>
        <v>1000000</v>
      </c>
      <c r="X27" s="57">
        <f t="shared" si="255"/>
        <v>1000000</v>
      </c>
      <c r="Y27" s="57">
        <f t="shared" si="255"/>
        <v>1000000</v>
      </c>
      <c r="Z27" s="57">
        <f t="shared" si="255"/>
        <v>1000000</v>
      </c>
      <c r="AA27" s="57">
        <f t="shared" si="255"/>
        <v>1000000</v>
      </c>
      <c r="AB27" s="57">
        <f t="shared" si="255"/>
        <v>1000000</v>
      </c>
      <c r="AC27" s="57">
        <f t="shared" si="255"/>
        <v>1000000</v>
      </c>
      <c r="AD27" s="57">
        <f t="shared" si="255"/>
        <v>1000000</v>
      </c>
      <c r="AE27" s="57">
        <f t="shared" si="255"/>
        <v>1000000</v>
      </c>
      <c r="AF27" s="57">
        <f t="shared" si="255"/>
        <v>1000000</v>
      </c>
      <c r="AG27" s="57">
        <f t="shared" si="255"/>
        <v>1000000</v>
      </c>
      <c r="AH27" s="57">
        <f t="shared" si="255"/>
        <v>1000000</v>
      </c>
      <c r="AI27" s="57">
        <f t="shared" si="255"/>
        <v>1000000</v>
      </c>
      <c r="AJ27" s="57">
        <f t="shared" si="255"/>
        <v>1000000</v>
      </c>
      <c r="AK27" s="57">
        <f t="shared" si="255"/>
        <v>1000000</v>
      </c>
      <c r="AL27" s="57">
        <f t="shared" si="255"/>
        <v>1000000</v>
      </c>
      <c r="AM27" s="57">
        <f t="shared" si="255"/>
        <v>1000000</v>
      </c>
      <c r="AN27" s="57">
        <f t="shared" si="255"/>
        <v>1000000</v>
      </c>
      <c r="AO27" s="57">
        <f t="shared" si="255"/>
        <v>1000000</v>
      </c>
      <c r="AP27" s="57">
        <f t="shared" si="255"/>
        <v>1000000</v>
      </c>
      <c r="AQ27" s="57">
        <f t="shared" si="255"/>
        <v>1000000</v>
      </c>
      <c r="AR27" s="57">
        <f t="shared" si="255"/>
        <v>1000000</v>
      </c>
      <c r="AS27" s="57">
        <f t="shared" si="255"/>
        <v>1000000</v>
      </c>
      <c r="AT27" s="57">
        <f t="shared" si="255"/>
        <v>1000000</v>
      </c>
      <c r="AU27" s="57">
        <f t="shared" si="255"/>
        <v>1000000</v>
      </c>
      <c r="AV27" s="57">
        <f t="shared" si="255"/>
        <v>1000000</v>
      </c>
      <c r="AW27" s="57">
        <f t="shared" si="255"/>
        <v>1000000</v>
      </c>
      <c r="AX27" s="57">
        <f t="shared" si="255"/>
        <v>1000000</v>
      </c>
      <c r="AY27" s="57">
        <f t="shared" si="255"/>
        <v>1000000</v>
      </c>
      <c r="AZ27" s="57">
        <f t="shared" si="255"/>
        <v>1000000</v>
      </c>
      <c r="BA27" s="57">
        <f t="shared" si="255"/>
        <v>1000000</v>
      </c>
      <c r="BB27" s="57">
        <f t="shared" si="255"/>
        <v>1000000</v>
      </c>
      <c r="BC27" s="57">
        <f t="shared" si="255"/>
        <v>1000000</v>
      </c>
      <c r="BD27" s="57">
        <f t="shared" si="255"/>
        <v>1000000</v>
      </c>
      <c r="BE27" s="57">
        <f t="shared" si="255"/>
        <v>1000000</v>
      </c>
      <c r="BF27" s="57">
        <f t="shared" si="255"/>
        <v>1000000</v>
      </c>
      <c r="BG27" s="57">
        <f t="shared" si="255"/>
        <v>1000000</v>
      </c>
      <c r="BH27" s="57">
        <f t="shared" si="255"/>
        <v>1000000</v>
      </c>
      <c r="BI27" s="57">
        <f t="shared" si="255"/>
        <v>1000000</v>
      </c>
      <c r="BJ27" s="57">
        <f t="shared" si="255"/>
        <v>1000000</v>
      </c>
      <c r="BK27" s="57">
        <f t="shared" si="255"/>
        <v>1000000</v>
      </c>
      <c r="BL27" s="57">
        <f t="shared" si="255"/>
        <v>1000000</v>
      </c>
      <c r="BM27" s="57">
        <f t="shared" si="255"/>
        <v>1000000</v>
      </c>
      <c r="BN27" s="57">
        <f t="shared" si="255"/>
        <v>1000000</v>
      </c>
      <c r="BO27" s="57">
        <f t="shared" si="255"/>
        <v>1000000</v>
      </c>
      <c r="BP27" s="57">
        <f t="shared" ref="BP27:EA27" si="256">$C27</f>
        <v>1000000</v>
      </c>
      <c r="BQ27" s="57">
        <f t="shared" si="256"/>
        <v>1000000</v>
      </c>
      <c r="BR27" s="57">
        <f t="shared" si="256"/>
        <v>1000000</v>
      </c>
      <c r="BS27" s="57">
        <f t="shared" si="256"/>
        <v>1000000</v>
      </c>
      <c r="BT27" s="57">
        <f t="shared" si="256"/>
        <v>1000000</v>
      </c>
      <c r="BU27" s="57">
        <f t="shared" si="256"/>
        <v>1000000</v>
      </c>
      <c r="BV27" s="57">
        <f t="shared" si="256"/>
        <v>1000000</v>
      </c>
      <c r="BW27" s="57">
        <f t="shared" si="256"/>
        <v>1000000</v>
      </c>
      <c r="BX27" s="57">
        <f t="shared" si="256"/>
        <v>1000000</v>
      </c>
      <c r="BY27" s="57">
        <f t="shared" si="256"/>
        <v>1000000</v>
      </c>
      <c r="BZ27" s="57">
        <f t="shared" si="256"/>
        <v>1000000</v>
      </c>
      <c r="CA27" s="57">
        <f t="shared" si="256"/>
        <v>1000000</v>
      </c>
      <c r="CB27" s="57">
        <f t="shared" si="256"/>
        <v>1000000</v>
      </c>
      <c r="CC27" s="57">
        <f t="shared" si="256"/>
        <v>1000000</v>
      </c>
      <c r="CD27" s="57">
        <f t="shared" si="256"/>
        <v>1000000</v>
      </c>
      <c r="CE27" s="57">
        <f t="shared" si="256"/>
        <v>1000000</v>
      </c>
      <c r="CF27" s="57">
        <f t="shared" si="256"/>
        <v>1000000</v>
      </c>
      <c r="CG27" s="57">
        <f t="shared" si="256"/>
        <v>1000000</v>
      </c>
      <c r="CH27" s="57">
        <f t="shared" si="256"/>
        <v>1000000</v>
      </c>
      <c r="CI27" s="57">
        <f t="shared" si="256"/>
        <v>1000000</v>
      </c>
      <c r="CJ27" s="57">
        <f t="shared" si="256"/>
        <v>1000000</v>
      </c>
      <c r="CK27" s="57">
        <f t="shared" si="256"/>
        <v>1000000</v>
      </c>
      <c r="CL27" s="57">
        <f t="shared" si="256"/>
        <v>1000000</v>
      </c>
      <c r="CM27" s="57">
        <f t="shared" si="256"/>
        <v>1000000</v>
      </c>
      <c r="CN27" s="57">
        <f t="shared" si="256"/>
        <v>1000000</v>
      </c>
      <c r="CO27" s="57">
        <f t="shared" si="256"/>
        <v>1000000</v>
      </c>
      <c r="CP27" s="57">
        <f t="shared" si="256"/>
        <v>1000000</v>
      </c>
      <c r="CQ27" s="57">
        <f t="shared" si="256"/>
        <v>1000000</v>
      </c>
      <c r="CR27" s="57">
        <f t="shared" si="256"/>
        <v>1000000</v>
      </c>
      <c r="CS27" s="57">
        <f t="shared" si="256"/>
        <v>1000000</v>
      </c>
      <c r="CT27" s="57">
        <f t="shared" si="256"/>
        <v>1000000</v>
      </c>
      <c r="CU27" s="57">
        <f t="shared" si="256"/>
        <v>1000000</v>
      </c>
      <c r="CV27" s="57">
        <f t="shared" si="256"/>
        <v>1000000</v>
      </c>
      <c r="CW27" s="57">
        <f t="shared" si="256"/>
        <v>1000000</v>
      </c>
      <c r="CX27" s="57">
        <f t="shared" si="256"/>
        <v>1000000</v>
      </c>
      <c r="CY27" s="57">
        <f t="shared" si="256"/>
        <v>1000000</v>
      </c>
      <c r="CZ27" s="57">
        <f t="shared" si="256"/>
        <v>1000000</v>
      </c>
      <c r="DA27" s="57">
        <f t="shared" si="256"/>
        <v>1000000</v>
      </c>
      <c r="DB27" s="57">
        <f t="shared" si="256"/>
        <v>1000000</v>
      </c>
      <c r="DC27" s="57">
        <f t="shared" si="256"/>
        <v>1000000</v>
      </c>
      <c r="DD27" s="57">
        <f t="shared" si="256"/>
        <v>1000000</v>
      </c>
      <c r="DE27" s="57">
        <f t="shared" si="256"/>
        <v>1000000</v>
      </c>
      <c r="DF27" s="57">
        <f t="shared" si="256"/>
        <v>1000000</v>
      </c>
      <c r="DG27" s="57">
        <f t="shared" si="256"/>
        <v>1000000</v>
      </c>
      <c r="DH27" s="57">
        <f t="shared" si="256"/>
        <v>1000000</v>
      </c>
      <c r="DI27" s="57">
        <f t="shared" si="256"/>
        <v>1000000</v>
      </c>
      <c r="DJ27" s="57">
        <f t="shared" si="256"/>
        <v>1000000</v>
      </c>
      <c r="DK27" s="57">
        <f t="shared" si="256"/>
        <v>1000000</v>
      </c>
      <c r="DL27" s="57">
        <f t="shared" si="256"/>
        <v>1000000</v>
      </c>
      <c r="DM27" s="57">
        <f t="shared" si="256"/>
        <v>1000000</v>
      </c>
      <c r="DN27" s="57">
        <f t="shared" si="256"/>
        <v>1000000</v>
      </c>
      <c r="DO27" s="57">
        <f t="shared" si="256"/>
        <v>1000000</v>
      </c>
      <c r="DP27" s="57">
        <f t="shared" si="256"/>
        <v>1000000</v>
      </c>
      <c r="DQ27" s="57">
        <f t="shared" si="256"/>
        <v>1000000</v>
      </c>
      <c r="DR27" s="57">
        <f t="shared" si="256"/>
        <v>1000000</v>
      </c>
      <c r="DS27" s="57">
        <f t="shared" si="256"/>
        <v>1000000</v>
      </c>
      <c r="DT27" s="57">
        <f t="shared" si="256"/>
        <v>1000000</v>
      </c>
      <c r="DU27" s="57">
        <f t="shared" si="256"/>
        <v>1000000</v>
      </c>
      <c r="DV27" s="57">
        <f t="shared" si="256"/>
        <v>1000000</v>
      </c>
      <c r="DW27" s="57">
        <f t="shared" si="256"/>
        <v>1000000</v>
      </c>
      <c r="DX27" s="57">
        <f t="shared" si="256"/>
        <v>1000000</v>
      </c>
      <c r="DY27" s="57">
        <f t="shared" si="256"/>
        <v>1000000</v>
      </c>
      <c r="DZ27" s="57">
        <f t="shared" si="256"/>
        <v>1000000</v>
      </c>
      <c r="EA27" s="57">
        <f t="shared" si="256"/>
        <v>1000000</v>
      </c>
      <c r="EB27" s="57">
        <f t="shared" ref="EB27:GM27" si="257">$C27</f>
        <v>1000000</v>
      </c>
      <c r="EC27" s="57">
        <f t="shared" si="257"/>
        <v>1000000</v>
      </c>
      <c r="ED27" s="57">
        <f t="shared" si="257"/>
        <v>1000000</v>
      </c>
      <c r="EE27" s="57">
        <f t="shared" si="257"/>
        <v>1000000</v>
      </c>
      <c r="EF27" s="57">
        <f t="shared" si="257"/>
        <v>1000000</v>
      </c>
      <c r="EG27" s="57">
        <f t="shared" si="257"/>
        <v>1000000</v>
      </c>
      <c r="EH27" s="57">
        <f t="shared" si="257"/>
        <v>1000000</v>
      </c>
      <c r="EI27" s="57">
        <f t="shared" si="257"/>
        <v>1000000</v>
      </c>
      <c r="EJ27" s="57">
        <f t="shared" si="257"/>
        <v>1000000</v>
      </c>
      <c r="EK27" s="57">
        <f t="shared" si="257"/>
        <v>1000000</v>
      </c>
      <c r="EL27" s="57">
        <f t="shared" si="257"/>
        <v>1000000</v>
      </c>
      <c r="EM27" s="57">
        <f t="shared" si="257"/>
        <v>1000000</v>
      </c>
      <c r="EN27" s="57">
        <f t="shared" si="257"/>
        <v>1000000</v>
      </c>
      <c r="EO27" s="57">
        <f t="shared" si="257"/>
        <v>1000000</v>
      </c>
      <c r="EP27" s="57">
        <f t="shared" si="257"/>
        <v>1000000</v>
      </c>
      <c r="EQ27" s="57">
        <f t="shared" si="257"/>
        <v>1000000</v>
      </c>
      <c r="ER27" s="57">
        <f t="shared" si="257"/>
        <v>1000000</v>
      </c>
      <c r="ES27" s="57">
        <f t="shared" si="257"/>
        <v>1000000</v>
      </c>
      <c r="ET27" s="57">
        <f t="shared" si="257"/>
        <v>1000000</v>
      </c>
      <c r="EU27" s="57">
        <f t="shared" si="257"/>
        <v>1000000</v>
      </c>
      <c r="EV27" s="57">
        <f t="shared" si="257"/>
        <v>1000000</v>
      </c>
      <c r="EW27" s="57">
        <f t="shared" si="257"/>
        <v>1000000</v>
      </c>
      <c r="EX27" s="57">
        <f t="shared" si="257"/>
        <v>1000000</v>
      </c>
      <c r="EY27" s="57">
        <f t="shared" si="257"/>
        <v>1000000</v>
      </c>
      <c r="EZ27" s="57">
        <f t="shared" si="257"/>
        <v>1000000</v>
      </c>
      <c r="FA27" s="57">
        <f t="shared" si="257"/>
        <v>1000000</v>
      </c>
      <c r="FB27" s="57">
        <f t="shared" si="257"/>
        <v>1000000</v>
      </c>
      <c r="FC27" s="57">
        <f t="shared" si="257"/>
        <v>1000000</v>
      </c>
      <c r="FD27" s="57">
        <f t="shared" si="257"/>
        <v>1000000</v>
      </c>
      <c r="FE27" s="57">
        <f t="shared" si="257"/>
        <v>1000000</v>
      </c>
      <c r="FF27" s="57">
        <f t="shared" si="257"/>
        <v>1000000</v>
      </c>
      <c r="FG27" s="57">
        <f t="shared" si="257"/>
        <v>1000000</v>
      </c>
      <c r="FH27" s="57">
        <f t="shared" si="257"/>
        <v>1000000</v>
      </c>
      <c r="FI27" s="57">
        <f t="shared" si="257"/>
        <v>1000000</v>
      </c>
      <c r="FJ27" s="57">
        <f t="shared" si="257"/>
        <v>1000000</v>
      </c>
      <c r="FK27" s="57">
        <f t="shared" si="257"/>
        <v>1000000</v>
      </c>
      <c r="FL27" s="57">
        <f t="shared" si="257"/>
        <v>1000000</v>
      </c>
      <c r="FM27" s="57">
        <f t="shared" si="257"/>
        <v>1000000</v>
      </c>
      <c r="FN27" s="57">
        <f t="shared" si="257"/>
        <v>1000000</v>
      </c>
      <c r="FO27" s="57">
        <f t="shared" si="257"/>
        <v>1000000</v>
      </c>
      <c r="FP27" s="57">
        <f t="shared" si="257"/>
        <v>1000000</v>
      </c>
      <c r="FQ27" s="57">
        <f t="shared" si="257"/>
        <v>1000000</v>
      </c>
      <c r="FR27" s="57">
        <f t="shared" si="257"/>
        <v>1000000</v>
      </c>
      <c r="FS27" s="57">
        <f t="shared" si="257"/>
        <v>1000000</v>
      </c>
      <c r="FT27" s="57">
        <f t="shared" si="257"/>
        <v>1000000</v>
      </c>
      <c r="FU27" s="57">
        <f t="shared" si="257"/>
        <v>1000000</v>
      </c>
      <c r="FV27" s="57">
        <f t="shared" si="257"/>
        <v>1000000</v>
      </c>
      <c r="FW27" s="57">
        <f t="shared" si="257"/>
        <v>1000000</v>
      </c>
      <c r="FX27" s="57">
        <f t="shared" si="257"/>
        <v>1000000</v>
      </c>
      <c r="FY27" s="57">
        <f t="shared" si="257"/>
        <v>1000000</v>
      </c>
      <c r="FZ27" s="57">
        <f t="shared" si="257"/>
        <v>1000000</v>
      </c>
      <c r="GA27" s="57">
        <f t="shared" si="257"/>
        <v>1000000</v>
      </c>
      <c r="GB27" s="57">
        <f t="shared" si="257"/>
        <v>1000000</v>
      </c>
      <c r="GC27" s="57">
        <f t="shared" si="257"/>
        <v>1000000</v>
      </c>
      <c r="GD27" s="57">
        <f t="shared" si="257"/>
        <v>1000000</v>
      </c>
      <c r="GE27" s="57">
        <f t="shared" si="257"/>
        <v>1000000</v>
      </c>
      <c r="GF27" s="57">
        <f t="shared" si="257"/>
        <v>1000000</v>
      </c>
      <c r="GG27" s="57">
        <f t="shared" si="257"/>
        <v>1000000</v>
      </c>
      <c r="GH27" s="57">
        <f t="shared" si="257"/>
        <v>1000000</v>
      </c>
      <c r="GI27" s="57">
        <f t="shared" si="257"/>
        <v>1000000</v>
      </c>
      <c r="GJ27" s="57">
        <f t="shared" si="257"/>
        <v>1000000</v>
      </c>
      <c r="GK27" s="57">
        <f t="shared" si="257"/>
        <v>1000000</v>
      </c>
      <c r="GL27" s="57">
        <f t="shared" si="257"/>
        <v>1000000</v>
      </c>
      <c r="GM27" s="57">
        <f t="shared" si="257"/>
        <v>1000000</v>
      </c>
      <c r="GN27" s="57">
        <f t="shared" ref="GN27:IY27" si="258">$C27</f>
        <v>1000000</v>
      </c>
      <c r="GO27" s="57">
        <f t="shared" si="258"/>
        <v>1000000</v>
      </c>
      <c r="GP27" s="57">
        <f t="shared" si="258"/>
        <v>1000000</v>
      </c>
      <c r="GQ27" s="57">
        <f t="shared" si="258"/>
        <v>1000000</v>
      </c>
      <c r="GR27" s="57">
        <f t="shared" si="258"/>
        <v>1000000</v>
      </c>
      <c r="GS27" s="57">
        <f t="shared" si="258"/>
        <v>1000000</v>
      </c>
      <c r="GT27" s="57">
        <f t="shared" si="258"/>
        <v>1000000</v>
      </c>
      <c r="GU27" s="57">
        <f t="shared" si="258"/>
        <v>1000000</v>
      </c>
      <c r="GV27" s="57">
        <f t="shared" si="258"/>
        <v>1000000</v>
      </c>
      <c r="GW27" s="57">
        <f t="shared" si="258"/>
        <v>1000000</v>
      </c>
      <c r="GX27" s="57">
        <f t="shared" si="258"/>
        <v>1000000</v>
      </c>
      <c r="GY27" s="57">
        <f t="shared" si="258"/>
        <v>1000000</v>
      </c>
      <c r="GZ27" s="57">
        <f t="shared" si="258"/>
        <v>1000000</v>
      </c>
      <c r="HA27" s="57">
        <f t="shared" si="258"/>
        <v>1000000</v>
      </c>
      <c r="HB27" s="57">
        <f t="shared" si="258"/>
        <v>1000000</v>
      </c>
      <c r="HC27" s="57">
        <f t="shared" si="258"/>
        <v>1000000</v>
      </c>
      <c r="HD27" s="57">
        <f t="shared" si="258"/>
        <v>1000000</v>
      </c>
      <c r="HE27" s="57">
        <f t="shared" si="258"/>
        <v>1000000</v>
      </c>
      <c r="HF27" s="57">
        <f t="shared" si="258"/>
        <v>1000000</v>
      </c>
      <c r="HG27" s="57">
        <f t="shared" si="258"/>
        <v>1000000</v>
      </c>
      <c r="HH27" s="57">
        <f t="shared" si="258"/>
        <v>1000000</v>
      </c>
      <c r="HI27" s="57">
        <f t="shared" si="258"/>
        <v>1000000</v>
      </c>
      <c r="HJ27" s="57">
        <f t="shared" si="258"/>
        <v>1000000</v>
      </c>
      <c r="HK27" s="57">
        <f t="shared" si="258"/>
        <v>1000000</v>
      </c>
      <c r="HL27" s="57">
        <f t="shared" si="258"/>
        <v>1000000</v>
      </c>
      <c r="HM27" s="57">
        <f t="shared" si="258"/>
        <v>1000000</v>
      </c>
      <c r="HN27" s="57">
        <f t="shared" si="258"/>
        <v>1000000</v>
      </c>
      <c r="HO27" s="57">
        <f t="shared" si="258"/>
        <v>1000000</v>
      </c>
      <c r="HP27" s="57">
        <f t="shared" si="258"/>
        <v>1000000</v>
      </c>
      <c r="HQ27" s="57">
        <f t="shared" si="258"/>
        <v>1000000</v>
      </c>
      <c r="HR27" s="57">
        <f t="shared" si="258"/>
        <v>1000000</v>
      </c>
      <c r="HS27" s="57">
        <f t="shared" si="258"/>
        <v>1000000</v>
      </c>
      <c r="HT27" s="57">
        <f t="shared" si="258"/>
        <v>1000000</v>
      </c>
      <c r="HU27" s="57">
        <f t="shared" si="258"/>
        <v>1000000</v>
      </c>
      <c r="HV27" s="57">
        <f t="shared" si="258"/>
        <v>1000000</v>
      </c>
      <c r="HW27" s="57">
        <f t="shared" si="258"/>
        <v>1000000</v>
      </c>
      <c r="HX27" s="57">
        <f t="shared" si="258"/>
        <v>1000000</v>
      </c>
      <c r="HY27" s="57">
        <f t="shared" si="258"/>
        <v>1000000</v>
      </c>
      <c r="HZ27" s="57">
        <f t="shared" si="258"/>
        <v>1000000</v>
      </c>
      <c r="IA27" s="57">
        <f t="shared" si="258"/>
        <v>1000000</v>
      </c>
      <c r="IB27" s="57">
        <f t="shared" si="258"/>
        <v>1000000</v>
      </c>
      <c r="IC27" s="57">
        <f t="shared" si="258"/>
        <v>1000000</v>
      </c>
      <c r="ID27" s="57">
        <f t="shared" si="258"/>
        <v>1000000</v>
      </c>
      <c r="IE27" s="57">
        <f t="shared" si="258"/>
        <v>1000000</v>
      </c>
      <c r="IF27" s="57">
        <f t="shared" si="258"/>
        <v>1000000</v>
      </c>
      <c r="IG27" s="57">
        <f t="shared" si="258"/>
        <v>1000000</v>
      </c>
      <c r="IH27" s="57">
        <f t="shared" si="258"/>
        <v>1000000</v>
      </c>
      <c r="II27" s="57">
        <f t="shared" si="258"/>
        <v>1000000</v>
      </c>
      <c r="IJ27" s="57">
        <f t="shared" si="258"/>
        <v>1000000</v>
      </c>
      <c r="IK27" s="57">
        <f t="shared" si="258"/>
        <v>1000000</v>
      </c>
      <c r="IL27" s="57">
        <f t="shared" si="258"/>
        <v>1000000</v>
      </c>
      <c r="IM27" s="57">
        <f t="shared" si="258"/>
        <v>1000000</v>
      </c>
      <c r="IN27" s="57">
        <f t="shared" si="258"/>
        <v>1000000</v>
      </c>
      <c r="IO27" s="57">
        <f t="shared" si="258"/>
        <v>1000000</v>
      </c>
      <c r="IP27" s="57">
        <f t="shared" si="258"/>
        <v>1000000</v>
      </c>
      <c r="IQ27" s="57">
        <f t="shared" si="258"/>
        <v>1000000</v>
      </c>
      <c r="IR27" s="57">
        <f t="shared" si="258"/>
        <v>1000000</v>
      </c>
      <c r="IS27" s="57">
        <f t="shared" si="258"/>
        <v>1000000</v>
      </c>
      <c r="IT27" s="57">
        <f t="shared" si="258"/>
        <v>1000000</v>
      </c>
      <c r="IU27" s="57">
        <f t="shared" si="258"/>
        <v>1000000</v>
      </c>
      <c r="IV27" s="57">
        <f t="shared" si="258"/>
        <v>1000000</v>
      </c>
      <c r="IW27" s="57">
        <f t="shared" si="258"/>
        <v>1000000</v>
      </c>
      <c r="IX27" s="57">
        <f t="shared" si="258"/>
        <v>1000000</v>
      </c>
      <c r="IY27" s="57">
        <f t="shared" si="258"/>
        <v>1000000</v>
      </c>
      <c r="IZ27" s="57">
        <f t="shared" ref="IZ27:LK27" si="259">$C27</f>
        <v>1000000</v>
      </c>
      <c r="JA27" s="57">
        <f t="shared" si="259"/>
        <v>1000000</v>
      </c>
      <c r="JB27" s="57">
        <f t="shared" si="259"/>
        <v>1000000</v>
      </c>
      <c r="JC27" s="57">
        <f t="shared" si="259"/>
        <v>1000000</v>
      </c>
      <c r="JD27" s="57">
        <f t="shared" si="259"/>
        <v>1000000</v>
      </c>
      <c r="JE27" s="57">
        <f t="shared" si="259"/>
        <v>1000000</v>
      </c>
      <c r="JF27" s="57">
        <f t="shared" si="259"/>
        <v>1000000</v>
      </c>
      <c r="JG27" s="57">
        <f t="shared" si="259"/>
        <v>1000000</v>
      </c>
      <c r="JH27" s="57">
        <f t="shared" si="259"/>
        <v>1000000</v>
      </c>
      <c r="JI27" s="57">
        <f t="shared" si="259"/>
        <v>1000000</v>
      </c>
      <c r="JJ27" s="57">
        <f t="shared" si="259"/>
        <v>1000000</v>
      </c>
      <c r="JK27" s="57">
        <f t="shared" si="259"/>
        <v>1000000</v>
      </c>
      <c r="JL27" s="57">
        <f t="shared" si="259"/>
        <v>1000000</v>
      </c>
      <c r="JM27" s="57">
        <f t="shared" si="259"/>
        <v>1000000</v>
      </c>
      <c r="JN27" s="57">
        <f t="shared" si="259"/>
        <v>1000000</v>
      </c>
      <c r="JO27" s="57">
        <f t="shared" si="259"/>
        <v>1000000</v>
      </c>
      <c r="JP27" s="57">
        <f t="shared" si="259"/>
        <v>1000000</v>
      </c>
      <c r="JQ27" s="57">
        <f t="shared" si="259"/>
        <v>1000000</v>
      </c>
      <c r="JR27" s="57">
        <f t="shared" si="259"/>
        <v>1000000</v>
      </c>
      <c r="JS27" s="57">
        <f t="shared" si="259"/>
        <v>1000000</v>
      </c>
      <c r="JT27" s="57">
        <f t="shared" si="259"/>
        <v>1000000</v>
      </c>
      <c r="JU27" s="57">
        <f t="shared" si="259"/>
        <v>1000000</v>
      </c>
      <c r="JV27" s="57">
        <f t="shared" si="259"/>
        <v>1000000</v>
      </c>
      <c r="JW27" s="57">
        <f t="shared" si="259"/>
        <v>1000000</v>
      </c>
      <c r="JX27" s="57">
        <f t="shared" si="259"/>
        <v>1000000</v>
      </c>
      <c r="JY27" s="57">
        <f t="shared" si="259"/>
        <v>1000000</v>
      </c>
      <c r="JZ27" s="57">
        <f t="shared" si="259"/>
        <v>1000000</v>
      </c>
      <c r="KA27" s="57">
        <f t="shared" si="259"/>
        <v>1000000</v>
      </c>
      <c r="KB27" s="57">
        <f t="shared" si="259"/>
        <v>1000000</v>
      </c>
      <c r="KC27" s="57">
        <f t="shared" si="259"/>
        <v>1000000</v>
      </c>
      <c r="KD27" s="57">
        <f t="shared" si="259"/>
        <v>1000000</v>
      </c>
      <c r="KE27" s="57">
        <f t="shared" si="259"/>
        <v>1000000</v>
      </c>
      <c r="KF27" s="57">
        <f t="shared" si="259"/>
        <v>1000000</v>
      </c>
      <c r="KG27" s="57">
        <f t="shared" si="259"/>
        <v>1000000</v>
      </c>
      <c r="KH27" s="57">
        <f t="shared" si="259"/>
        <v>1000000</v>
      </c>
      <c r="KI27" s="57">
        <f t="shared" si="259"/>
        <v>1000000</v>
      </c>
      <c r="KJ27" s="57">
        <f t="shared" si="259"/>
        <v>1000000</v>
      </c>
      <c r="KK27" s="57">
        <f t="shared" si="259"/>
        <v>1000000</v>
      </c>
      <c r="KL27" s="57">
        <f t="shared" si="259"/>
        <v>1000000</v>
      </c>
      <c r="KM27" s="57">
        <f t="shared" si="259"/>
        <v>1000000</v>
      </c>
      <c r="KN27" s="57">
        <f t="shared" si="259"/>
        <v>1000000</v>
      </c>
      <c r="KO27" s="57">
        <f t="shared" si="259"/>
        <v>1000000</v>
      </c>
      <c r="KP27" s="57">
        <f t="shared" si="259"/>
        <v>1000000</v>
      </c>
      <c r="KQ27" s="57">
        <f t="shared" si="259"/>
        <v>1000000</v>
      </c>
      <c r="KR27" s="57">
        <f t="shared" si="259"/>
        <v>1000000</v>
      </c>
      <c r="KS27" s="57">
        <f t="shared" si="259"/>
        <v>1000000</v>
      </c>
      <c r="KT27" s="57">
        <f t="shared" si="259"/>
        <v>1000000</v>
      </c>
      <c r="KU27" s="57">
        <f t="shared" si="259"/>
        <v>1000000</v>
      </c>
      <c r="KV27" s="57">
        <f t="shared" si="259"/>
        <v>1000000</v>
      </c>
      <c r="KW27" s="57">
        <f t="shared" si="259"/>
        <v>1000000</v>
      </c>
      <c r="KX27" s="57">
        <f t="shared" si="259"/>
        <v>1000000</v>
      </c>
      <c r="KY27" s="57">
        <f t="shared" si="259"/>
        <v>1000000</v>
      </c>
      <c r="KZ27" s="57">
        <f t="shared" si="259"/>
        <v>1000000</v>
      </c>
      <c r="LA27" s="57">
        <f t="shared" si="259"/>
        <v>1000000</v>
      </c>
      <c r="LB27" s="57">
        <f t="shared" si="259"/>
        <v>1000000</v>
      </c>
      <c r="LC27" s="57">
        <f t="shared" si="259"/>
        <v>1000000</v>
      </c>
      <c r="LD27" s="57">
        <f t="shared" si="259"/>
        <v>1000000</v>
      </c>
      <c r="LE27" s="57">
        <f t="shared" si="259"/>
        <v>1000000</v>
      </c>
      <c r="LF27" s="57">
        <f t="shared" si="259"/>
        <v>1000000</v>
      </c>
      <c r="LG27" s="57">
        <f t="shared" si="259"/>
        <v>1000000</v>
      </c>
      <c r="LH27" s="57">
        <f t="shared" si="259"/>
        <v>1000000</v>
      </c>
      <c r="LI27" s="57">
        <f t="shared" si="259"/>
        <v>1000000</v>
      </c>
      <c r="LJ27" s="57">
        <f t="shared" si="259"/>
        <v>1000000</v>
      </c>
      <c r="LK27" s="57">
        <f t="shared" si="259"/>
        <v>1000000</v>
      </c>
      <c r="LL27" s="57">
        <f t="shared" ref="LL27:NW27" si="260">$C27</f>
        <v>1000000</v>
      </c>
      <c r="LM27" s="57">
        <f t="shared" si="260"/>
        <v>1000000</v>
      </c>
      <c r="LN27" s="57">
        <f t="shared" si="260"/>
        <v>1000000</v>
      </c>
      <c r="LO27" s="57">
        <f t="shared" si="260"/>
        <v>1000000</v>
      </c>
      <c r="LP27" s="57">
        <f t="shared" si="260"/>
        <v>1000000</v>
      </c>
      <c r="LQ27" s="57">
        <f t="shared" si="260"/>
        <v>1000000</v>
      </c>
      <c r="LR27" s="57">
        <f t="shared" si="260"/>
        <v>1000000</v>
      </c>
      <c r="LS27" s="57">
        <f t="shared" si="260"/>
        <v>1000000</v>
      </c>
      <c r="LT27" s="57">
        <f t="shared" si="260"/>
        <v>1000000</v>
      </c>
      <c r="LU27" s="57">
        <f t="shared" si="260"/>
        <v>1000000</v>
      </c>
      <c r="LV27" s="57">
        <f t="shared" si="260"/>
        <v>1000000</v>
      </c>
      <c r="LW27" s="57">
        <f t="shared" si="260"/>
        <v>1000000</v>
      </c>
      <c r="LX27" s="57">
        <f t="shared" si="260"/>
        <v>1000000</v>
      </c>
      <c r="LY27" s="57">
        <f t="shared" si="260"/>
        <v>1000000</v>
      </c>
      <c r="LZ27" s="57">
        <f t="shared" si="260"/>
        <v>1000000</v>
      </c>
      <c r="MA27" s="57">
        <f t="shared" si="260"/>
        <v>1000000</v>
      </c>
      <c r="MB27" s="57">
        <f t="shared" si="260"/>
        <v>1000000</v>
      </c>
      <c r="MC27" s="57">
        <f t="shared" si="260"/>
        <v>1000000</v>
      </c>
      <c r="MD27" s="57">
        <f t="shared" si="260"/>
        <v>1000000</v>
      </c>
      <c r="ME27" s="57">
        <f t="shared" si="260"/>
        <v>1000000</v>
      </c>
      <c r="MF27" s="57">
        <f t="shared" si="260"/>
        <v>1000000</v>
      </c>
      <c r="MG27" s="57">
        <f t="shared" si="260"/>
        <v>1000000</v>
      </c>
      <c r="MH27" s="57">
        <f t="shared" si="260"/>
        <v>1000000</v>
      </c>
      <c r="MI27" s="57">
        <f t="shared" si="260"/>
        <v>1000000</v>
      </c>
      <c r="MJ27" s="57">
        <f t="shared" si="260"/>
        <v>1000000</v>
      </c>
      <c r="MK27" s="57">
        <f t="shared" si="260"/>
        <v>1000000</v>
      </c>
      <c r="ML27" s="57">
        <f t="shared" si="260"/>
        <v>1000000</v>
      </c>
      <c r="MM27" s="57">
        <f t="shared" si="260"/>
        <v>1000000</v>
      </c>
      <c r="MN27" s="57">
        <f t="shared" si="260"/>
        <v>1000000</v>
      </c>
      <c r="MO27" s="57">
        <f t="shared" si="260"/>
        <v>1000000</v>
      </c>
      <c r="MP27" s="57">
        <f t="shared" si="260"/>
        <v>1000000</v>
      </c>
      <c r="MQ27" s="57">
        <f t="shared" si="260"/>
        <v>1000000</v>
      </c>
      <c r="MR27" s="57">
        <f t="shared" si="260"/>
        <v>1000000</v>
      </c>
      <c r="MS27" s="57">
        <f t="shared" si="260"/>
        <v>1000000</v>
      </c>
      <c r="MT27" s="57">
        <f t="shared" si="260"/>
        <v>1000000</v>
      </c>
      <c r="MU27" s="57">
        <f t="shared" si="260"/>
        <v>1000000</v>
      </c>
      <c r="MV27" s="57">
        <f t="shared" si="260"/>
        <v>1000000</v>
      </c>
      <c r="MW27" s="57">
        <f t="shared" si="260"/>
        <v>1000000</v>
      </c>
      <c r="MX27" s="57">
        <f t="shared" si="260"/>
        <v>1000000</v>
      </c>
      <c r="MY27" s="57">
        <f t="shared" si="260"/>
        <v>1000000</v>
      </c>
      <c r="MZ27" s="57">
        <f t="shared" si="260"/>
        <v>1000000</v>
      </c>
      <c r="NA27" s="57">
        <f t="shared" si="260"/>
        <v>1000000</v>
      </c>
      <c r="NB27" s="57">
        <f t="shared" si="260"/>
        <v>1000000</v>
      </c>
      <c r="NC27" s="57">
        <f t="shared" si="260"/>
        <v>1000000</v>
      </c>
      <c r="ND27" s="57">
        <f t="shared" si="260"/>
        <v>1000000</v>
      </c>
      <c r="NE27" s="57">
        <f t="shared" si="260"/>
        <v>1000000</v>
      </c>
      <c r="NF27" s="57">
        <f t="shared" si="260"/>
        <v>1000000</v>
      </c>
      <c r="NG27" s="57">
        <f t="shared" si="260"/>
        <v>1000000</v>
      </c>
      <c r="NH27" s="57">
        <f t="shared" si="260"/>
        <v>1000000</v>
      </c>
      <c r="NI27" s="57">
        <f t="shared" si="260"/>
        <v>1000000</v>
      </c>
      <c r="NJ27" s="57">
        <f t="shared" si="260"/>
        <v>1000000</v>
      </c>
      <c r="NK27" s="57">
        <f t="shared" si="260"/>
        <v>1000000</v>
      </c>
      <c r="NL27" s="57">
        <f t="shared" si="260"/>
        <v>1000000</v>
      </c>
      <c r="NM27" s="57">
        <f t="shared" si="260"/>
        <v>1000000</v>
      </c>
      <c r="NN27" s="57">
        <f t="shared" si="260"/>
        <v>1000000</v>
      </c>
      <c r="NO27" s="57">
        <f t="shared" si="260"/>
        <v>1000000</v>
      </c>
      <c r="NP27" s="57">
        <f t="shared" si="260"/>
        <v>1000000</v>
      </c>
      <c r="NQ27" s="57">
        <f t="shared" si="260"/>
        <v>1000000</v>
      </c>
      <c r="NR27" s="57">
        <f t="shared" si="260"/>
        <v>1000000</v>
      </c>
      <c r="NS27" s="57">
        <f t="shared" si="260"/>
        <v>1000000</v>
      </c>
      <c r="NT27" s="57">
        <f t="shared" si="260"/>
        <v>1000000</v>
      </c>
      <c r="NU27" s="57">
        <f t="shared" si="260"/>
        <v>1000000</v>
      </c>
      <c r="NV27" s="57">
        <f t="shared" si="260"/>
        <v>1000000</v>
      </c>
      <c r="NW27" s="57">
        <f t="shared" si="260"/>
        <v>1000000</v>
      </c>
      <c r="NX27" s="57">
        <f t="shared" ref="NX27:QI27" si="261">$C27</f>
        <v>1000000</v>
      </c>
      <c r="NY27" s="57">
        <f t="shared" si="261"/>
        <v>1000000</v>
      </c>
      <c r="NZ27" s="57">
        <f t="shared" si="261"/>
        <v>1000000</v>
      </c>
      <c r="OA27" s="57">
        <f t="shared" si="261"/>
        <v>1000000</v>
      </c>
      <c r="OB27" s="57">
        <f t="shared" si="261"/>
        <v>1000000</v>
      </c>
      <c r="OC27" s="57">
        <f t="shared" si="261"/>
        <v>1000000</v>
      </c>
      <c r="OD27" s="57">
        <f t="shared" si="261"/>
        <v>1000000</v>
      </c>
      <c r="OE27" s="57">
        <f t="shared" si="261"/>
        <v>1000000</v>
      </c>
      <c r="OF27" s="57">
        <f t="shared" si="261"/>
        <v>1000000</v>
      </c>
      <c r="OG27" s="57">
        <f t="shared" si="261"/>
        <v>1000000</v>
      </c>
      <c r="OH27" s="57">
        <f t="shared" si="261"/>
        <v>1000000</v>
      </c>
      <c r="OI27" s="57">
        <f t="shared" si="261"/>
        <v>1000000</v>
      </c>
      <c r="OJ27" s="57">
        <f t="shared" si="261"/>
        <v>1000000</v>
      </c>
      <c r="OK27" s="57">
        <f t="shared" si="261"/>
        <v>1000000</v>
      </c>
      <c r="OL27" s="57">
        <f t="shared" si="261"/>
        <v>1000000</v>
      </c>
      <c r="OM27" s="57">
        <f t="shared" si="261"/>
        <v>1000000</v>
      </c>
      <c r="ON27" s="57">
        <f t="shared" si="261"/>
        <v>1000000</v>
      </c>
      <c r="OO27" s="57">
        <f t="shared" si="261"/>
        <v>1000000</v>
      </c>
      <c r="OP27" s="57">
        <f t="shared" si="261"/>
        <v>1000000</v>
      </c>
      <c r="OQ27" s="57">
        <f t="shared" si="261"/>
        <v>1000000</v>
      </c>
      <c r="OR27" s="57">
        <f t="shared" si="261"/>
        <v>1000000</v>
      </c>
      <c r="OS27" s="57">
        <f t="shared" si="261"/>
        <v>1000000</v>
      </c>
      <c r="OT27" s="57">
        <f t="shared" si="261"/>
        <v>1000000</v>
      </c>
      <c r="OU27" s="57">
        <f t="shared" si="261"/>
        <v>1000000</v>
      </c>
      <c r="OV27" s="57">
        <f t="shared" si="261"/>
        <v>1000000</v>
      </c>
      <c r="OW27" s="57">
        <f t="shared" si="261"/>
        <v>1000000</v>
      </c>
      <c r="OX27" s="57">
        <f t="shared" si="261"/>
        <v>1000000</v>
      </c>
      <c r="OY27" s="57">
        <f t="shared" si="261"/>
        <v>1000000</v>
      </c>
      <c r="OZ27" s="57">
        <f t="shared" si="261"/>
        <v>1000000</v>
      </c>
      <c r="PA27" s="57">
        <f t="shared" si="261"/>
        <v>1000000</v>
      </c>
      <c r="PB27" s="57">
        <f t="shared" si="261"/>
        <v>1000000</v>
      </c>
      <c r="PC27" s="57">
        <f t="shared" si="261"/>
        <v>1000000</v>
      </c>
      <c r="PD27" s="57">
        <f t="shared" si="261"/>
        <v>1000000</v>
      </c>
      <c r="PE27" s="57">
        <f t="shared" si="261"/>
        <v>1000000</v>
      </c>
      <c r="PF27" s="57">
        <f t="shared" si="261"/>
        <v>1000000</v>
      </c>
      <c r="PG27" s="57">
        <f t="shared" si="261"/>
        <v>1000000</v>
      </c>
      <c r="PH27" s="57">
        <f t="shared" si="261"/>
        <v>1000000</v>
      </c>
      <c r="PI27" s="57">
        <f t="shared" si="261"/>
        <v>1000000</v>
      </c>
      <c r="PJ27" s="57">
        <f t="shared" si="261"/>
        <v>1000000</v>
      </c>
      <c r="PK27" s="57">
        <f t="shared" si="261"/>
        <v>1000000</v>
      </c>
      <c r="PL27" s="57">
        <f t="shared" si="261"/>
        <v>1000000</v>
      </c>
      <c r="PM27" s="57">
        <f t="shared" si="261"/>
        <v>1000000</v>
      </c>
      <c r="PN27" s="57">
        <f t="shared" si="261"/>
        <v>1000000</v>
      </c>
      <c r="PO27" s="57">
        <f t="shared" si="261"/>
        <v>1000000</v>
      </c>
      <c r="PP27" s="57">
        <f t="shared" si="261"/>
        <v>1000000</v>
      </c>
      <c r="PQ27" s="57">
        <f t="shared" si="261"/>
        <v>1000000</v>
      </c>
      <c r="PR27" s="57">
        <f t="shared" si="261"/>
        <v>1000000</v>
      </c>
      <c r="PS27" s="57">
        <f t="shared" si="261"/>
        <v>1000000</v>
      </c>
      <c r="PT27" s="57">
        <f t="shared" si="261"/>
        <v>1000000</v>
      </c>
      <c r="PU27" s="57">
        <f t="shared" si="261"/>
        <v>1000000</v>
      </c>
      <c r="PV27" s="57">
        <f t="shared" si="261"/>
        <v>1000000</v>
      </c>
      <c r="PW27" s="57">
        <f t="shared" si="261"/>
        <v>1000000</v>
      </c>
      <c r="PX27" s="57">
        <f t="shared" si="261"/>
        <v>1000000</v>
      </c>
      <c r="PY27" s="57">
        <f t="shared" si="261"/>
        <v>1000000</v>
      </c>
      <c r="PZ27" s="57">
        <f t="shared" si="261"/>
        <v>1000000</v>
      </c>
      <c r="QA27" s="57">
        <f t="shared" si="261"/>
        <v>1000000</v>
      </c>
      <c r="QB27" s="57">
        <f t="shared" si="261"/>
        <v>1000000</v>
      </c>
      <c r="QC27" s="57">
        <f t="shared" si="261"/>
        <v>1000000</v>
      </c>
      <c r="QD27" s="57">
        <f t="shared" si="261"/>
        <v>1000000</v>
      </c>
      <c r="QE27" s="57">
        <f t="shared" si="261"/>
        <v>1000000</v>
      </c>
      <c r="QF27" s="57">
        <f t="shared" si="261"/>
        <v>1000000</v>
      </c>
      <c r="QG27" s="57">
        <f t="shared" si="261"/>
        <v>1000000</v>
      </c>
      <c r="QH27" s="57">
        <f t="shared" si="261"/>
        <v>1000000</v>
      </c>
      <c r="QI27" s="57">
        <f t="shared" si="261"/>
        <v>1000000</v>
      </c>
      <c r="QJ27" s="57">
        <f t="shared" ref="QJ27:SU27" si="262">$C27</f>
        <v>1000000</v>
      </c>
      <c r="QK27" s="57">
        <f t="shared" si="262"/>
        <v>1000000</v>
      </c>
      <c r="QL27" s="57">
        <f t="shared" si="262"/>
        <v>1000000</v>
      </c>
      <c r="QM27" s="57">
        <f t="shared" si="262"/>
        <v>1000000</v>
      </c>
      <c r="QN27" s="57">
        <f t="shared" si="262"/>
        <v>1000000</v>
      </c>
      <c r="QO27" s="57">
        <f t="shared" si="262"/>
        <v>1000000</v>
      </c>
      <c r="QP27" s="57">
        <f t="shared" si="262"/>
        <v>1000000</v>
      </c>
      <c r="QQ27" s="57">
        <f t="shared" si="262"/>
        <v>1000000</v>
      </c>
      <c r="QR27" s="57">
        <f t="shared" si="262"/>
        <v>1000000</v>
      </c>
      <c r="QS27" s="57">
        <f t="shared" si="262"/>
        <v>1000000</v>
      </c>
      <c r="QT27" s="57">
        <f t="shared" si="262"/>
        <v>1000000</v>
      </c>
      <c r="QU27" s="57">
        <f t="shared" si="262"/>
        <v>1000000</v>
      </c>
      <c r="QV27" s="57">
        <f t="shared" si="262"/>
        <v>1000000</v>
      </c>
      <c r="QW27" s="57">
        <f t="shared" si="262"/>
        <v>1000000</v>
      </c>
      <c r="QX27" s="57">
        <f t="shared" si="262"/>
        <v>1000000</v>
      </c>
      <c r="QY27" s="57">
        <f t="shared" si="262"/>
        <v>1000000</v>
      </c>
      <c r="QZ27" s="57">
        <f t="shared" si="262"/>
        <v>1000000</v>
      </c>
      <c r="RA27" s="57">
        <f t="shared" si="262"/>
        <v>1000000</v>
      </c>
      <c r="RB27" s="57">
        <f t="shared" si="262"/>
        <v>1000000</v>
      </c>
      <c r="RC27" s="57">
        <f t="shared" si="262"/>
        <v>1000000</v>
      </c>
      <c r="RD27" s="57">
        <f t="shared" si="262"/>
        <v>1000000</v>
      </c>
      <c r="RE27" s="57">
        <f t="shared" si="262"/>
        <v>1000000</v>
      </c>
      <c r="RF27" s="57">
        <f t="shared" si="262"/>
        <v>1000000</v>
      </c>
      <c r="RG27" s="57">
        <f t="shared" si="262"/>
        <v>1000000</v>
      </c>
      <c r="RH27" s="57">
        <f t="shared" si="262"/>
        <v>1000000</v>
      </c>
      <c r="RI27" s="57">
        <f t="shared" si="262"/>
        <v>1000000</v>
      </c>
      <c r="RJ27" s="57">
        <f t="shared" si="262"/>
        <v>1000000</v>
      </c>
      <c r="RK27" s="57">
        <f t="shared" si="262"/>
        <v>1000000</v>
      </c>
      <c r="RL27" s="57">
        <f t="shared" si="262"/>
        <v>1000000</v>
      </c>
      <c r="RM27" s="57">
        <f t="shared" si="262"/>
        <v>1000000</v>
      </c>
      <c r="RN27" s="57">
        <f t="shared" si="262"/>
        <v>1000000</v>
      </c>
      <c r="RO27" s="57">
        <f t="shared" si="262"/>
        <v>1000000</v>
      </c>
      <c r="RP27" s="57">
        <f t="shared" si="262"/>
        <v>1000000</v>
      </c>
      <c r="RQ27" s="57">
        <f t="shared" si="262"/>
        <v>1000000</v>
      </c>
      <c r="RR27" s="57">
        <f t="shared" si="262"/>
        <v>1000000</v>
      </c>
      <c r="RS27" s="57">
        <f t="shared" si="262"/>
        <v>1000000</v>
      </c>
      <c r="RT27" s="57">
        <f t="shared" si="262"/>
        <v>1000000</v>
      </c>
      <c r="RU27" s="57">
        <f t="shared" si="262"/>
        <v>1000000</v>
      </c>
      <c r="RV27" s="57">
        <f t="shared" si="262"/>
        <v>1000000</v>
      </c>
      <c r="RW27" s="57">
        <f t="shared" si="262"/>
        <v>1000000</v>
      </c>
      <c r="RX27" s="57">
        <f t="shared" si="262"/>
        <v>1000000</v>
      </c>
      <c r="RY27" s="57">
        <f t="shared" si="262"/>
        <v>1000000</v>
      </c>
      <c r="RZ27" s="57">
        <f t="shared" si="262"/>
        <v>1000000</v>
      </c>
      <c r="SA27" s="57">
        <f t="shared" si="262"/>
        <v>1000000</v>
      </c>
      <c r="SB27" s="57">
        <f t="shared" si="262"/>
        <v>1000000</v>
      </c>
      <c r="SC27" s="57">
        <f t="shared" si="262"/>
        <v>1000000</v>
      </c>
      <c r="SD27" s="57">
        <f t="shared" si="262"/>
        <v>1000000</v>
      </c>
      <c r="SE27" s="57">
        <f t="shared" si="262"/>
        <v>1000000</v>
      </c>
      <c r="SF27" s="57">
        <f t="shared" si="262"/>
        <v>1000000</v>
      </c>
      <c r="SG27" s="57">
        <f t="shared" si="262"/>
        <v>1000000</v>
      </c>
      <c r="SH27" s="57">
        <f t="shared" si="262"/>
        <v>1000000</v>
      </c>
      <c r="SI27" s="57">
        <f t="shared" si="262"/>
        <v>1000000</v>
      </c>
      <c r="SJ27" s="57">
        <f t="shared" si="262"/>
        <v>1000000</v>
      </c>
      <c r="SK27" s="57">
        <f t="shared" si="262"/>
        <v>1000000</v>
      </c>
      <c r="SL27" s="57">
        <f t="shared" si="262"/>
        <v>1000000</v>
      </c>
      <c r="SM27" s="57">
        <f t="shared" si="262"/>
        <v>1000000</v>
      </c>
      <c r="SN27" s="57">
        <f t="shared" si="262"/>
        <v>1000000</v>
      </c>
      <c r="SO27" s="57">
        <f t="shared" si="262"/>
        <v>1000000</v>
      </c>
      <c r="SP27" s="57">
        <f t="shared" si="262"/>
        <v>1000000</v>
      </c>
      <c r="SQ27" s="57">
        <f t="shared" si="262"/>
        <v>1000000</v>
      </c>
      <c r="SR27" s="57">
        <f t="shared" si="262"/>
        <v>1000000</v>
      </c>
      <c r="SS27" s="57">
        <f t="shared" si="262"/>
        <v>1000000</v>
      </c>
      <c r="ST27" s="57">
        <f t="shared" si="262"/>
        <v>1000000</v>
      </c>
      <c r="SU27" s="57">
        <f t="shared" si="262"/>
        <v>1000000</v>
      </c>
      <c r="SV27" s="57">
        <f t="shared" ref="SV27:VG27" si="263">$C27</f>
        <v>1000000</v>
      </c>
      <c r="SW27" s="57">
        <f t="shared" si="263"/>
        <v>1000000</v>
      </c>
      <c r="SX27" s="57">
        <f t="shared" si="263"/>
        <v>1000000</v>
      </c>
      <c r="SY27" s="57">
        <f t="shared" si="263"/>
        <v>1000000</v>
      </c>
      <c r="SZ27" s="57">
        <f t="shared" si="263"/>
        <v>1000000</v>
      </c>
      <c r="TA27" s="57">
        <f t="shared" si="263"/>
        <v>1000000</v>
      </c>
      <c r="TB27" s="57">
        <f t="shared" si="263"/>
        <v>1000000</v>
      </c>
      <c r="TC27" s="57">
        <f t="shared" si="263"/>
        <v>1000000</v>
      </c>
      <c r="TD27" s="57">
        <f t="shared" si="263"/>
        <v>1000000</v>
      </c>
      <c r="TE27" s="57">
        <f t="shared" si="263"/>
        <v>1000000</v>
      </c>
      <c r="TF27" s="57">
        <f t="shared" si="263"/>
        <v>1000000</v>
      </c>
      <c r="TG27" s="57">
        <f t="shared" si="263"/>
        <v>1000000</v>
      </c>
      <c r="TH27" s="57">
        <f t="shared" si="263"/>
        <v>1000000</v>
      </c>
      <c r="TI27" s="57">
        <f t="shared" si="263"/>
        <v>1000000</v>
      </c>
      <c r="TJ27" s="57">
        <f t="shared" si="263"/>
        <v>1000000</v>
      </c>
      <c r="TK27" s="57">
        <f t="shared" si="263"/>
        <v>1000000</v>
      </c>
      <c r="TL27" s="57">
        <f t="shared" si="263"/>
        <v>1000000</v>
      </c>
      <c r="TM27" s="57">
        <f t="shared" si="263"/>
        <v>1000000</v>
      </c>
      <c r="TN27" s="57">
        <f t="shared" si="263"/>
        <v>1000000</v>
      </c>
      <c r="TO27" s="57">
        <f t="shared" si="263"/>
        <v>1000000</v>
      </c>
      <c r="TP27" s="57">
        <f t="shared" si="263"/>
        <v>1000000</v>
      </c>
      <c r="TQ27" s="57">
        <f t="shared" si="263"/>
        <v>1000000</v>
      </c>
      <c r="TR27" s="57">
        <f t="shared" si="263"/>
        <v>1000000</v>
      </c>
      <c r="TS27" s="57">
        <f t="shared" si="263"/>
        <v>1000000</v>
      </c>
      <c r="TT27" s="57">
        <f t="shared" si="263"/>
        <v>1000000</v>
      </c>
      <c r="TU27" s="57">
        <f t="shared" si="263"/>
        <v>1000000</v>
      </c>
      <c r="TV27" s="57">
        <f t="shared" si="263"/>
        <v>1000000</v>
      </c>
      <c r="TW27" s="57">
        <f t="shared" si="263"/>
        <v>1000000</v>
      </c>
      <c r="TX27" s="57">
        <f t="shared" si="263"/>
        <v>1000000</v>
      </c>
      <c r="TY27" s="57">
        <f t="shared" si="263"/>
        <v>1000000</v>
      </c>
      <c r="TZ27" s="57">
        <f t="shared" si="263"/>
        <v>1000000</v>
      </c>
      <c r="UA27" s="57">
        <f t="shared" si="263"/>
        <v>1000000</v>
      </c>
      <c r="UB27" s="57">
        <f t="shared" si="263"/>
        <v>1000000</v>
      </c>
      <c r="UC27" s="57">
        <f t="shared" si="263"/>
        <v>1000000</v>
      </c>
      <c r="UD27" s="57">
        <f t="shared" si="263"/>
        <v>1000000</v>
      </c>
      <c r="UE27" s="57">
        <f t="shared" si="263"/>
        <v>1000000</v>
      </c>
      <c r="UF27" s="57">
        <f t="shared" si="263"/>
        <v>1000000</v>
      </c>
      <c r="UG27" s="57">
        <f t="shared" si="263"/>
        <v>1000000</v>
      </c>
      <c r="UH27" s="57">
        <f t="shared" si="263"/>
        <v>1000000</v>
      </c>
      <c r="UI27" s="57">
        <f t="shared" si="263"/>
        <v>1000000</v>
      </c>
      <c r="UJ27" s="57">
        <f t="shared" si="263"/>
        <v>1000000</v>
      </c>
      <c r="UK27" s="57">
        <f t="shared" si="263"/>
        <v>1000000</v>
      </c>
      <c r="UL27" s="57">
        <f t="shared" si="263"/>
        <v>1000000</v>
      </c>
      <c r="UM27" s="57">
        <f t="shared" si="263"/>
        <v>1000000</v>
      </c>
      <c r="UN27" s="57">
        <f t="shared" si="263"/>
        <v>1000000</v>
      </c>
      <c r="UO27" s="57">
        <f t="shared" si="263"/>
        <v>1000000</v>
      </c>
      <c r="UP27" s="57">
        <f t="shared" si="263"/>
        <v>1000000</v>
      </c>
      <c r="UQ27" s="57">
        <f t="shared" si="263"/>
        <v>1000000</v>
      </c>
      <c r="UR27" s="57">
        <f t="shared" si="263"/>
        <v>1000000</v>
      </c>
      <c r="US27" s="57">
        <f t="shared" si="263"/>
        <v>1000000</v>
      </c>
      <c r="UT27" s="57">
        <f t="shared" si="263"/>
        <v>1000000</v>
      </c>
      <c r="UU27" s="57">
        <f t="shared" si="263"/>
        <v>1000000</v>
      </c>
      <c r="UV27" s="57">
        <f t="shared" si="263"/>
        <v>1000000</v>
      </c>
      <c r="UW27" s="57">
        <f t="shared" si="263"/>
        <v>1000000</v>
      </c>
      <c r="UX27" s="57">
        <f t="shared" si="263"/>
        <v>1000000</v>
      </c>
      <c r="UY27" s="57">
        <f t="shared" si="263"/>
        <v>1000000</v>
      </c>
      <c r="UZ27" s="57">
        <f t="shared" si="263"/>
        <v>1000000</v>
      </c>
      <c r="VA27" s="57">
        <f t="shared" si="263"/>
        <v>1000000</v>
      </c>
      <c r="VB27" s="57">
        <f t="shared" si="263"/>
        <v>1000000</v>
      </c>
      <c r="VC27" s="57">
        <f t="shared" si="263"/>
        <v>1000000</v>
      </c>
      <c r="VD27" s="57">
        <f t="shared" si="263"/>
        <v>1000000</v>
      </c>
      <c r="VE27" s="57">
        <f t="shared" si="263"/>
        <v>1000000</v>
      </c>
      <c r="VF27" s="57">
        <f t="shared" si="263"/>
        <v>1000000</v>
      </c>
      <c r="VG27" s="57">
        <f t="shared" si="263"/>
        <v>1000000</v>
      </c>
      <c r="VH27" s="57">
        <f t="shared" ref="VH27:XS27" si="264">$C27</f>
        <v>1000000</v>
      </c>
      <c r="VI27" s="57">
        <f t="shared" si="264"/>
        <v>1000000</v>
      </c>
      <c r="VJ27" s="57">
        <f t="shared" si="264"/>
        <v>1000000</v>
      </c>
      <c r="VK27" s="57">
        <f t="shared" si="264"/>
        <v>1000000</v>
      </c>
      <c r="VL27" s="57">
        <f t="shared" si="264"/>
        <v>1000000</v>
      </c>
      <c r="VM27" s="57">
        <f t="shared" si="264"/>
        <v>1000000</v>
      </c>
      <c r="VN27" s="57">
        <f t="shared" si="264"/>
        <v>1000000</v>
      </c>
      <c r="VO27" s="57">
        <f t="shared" si="264"/>
        <v>1000000</v>
      </c>
      <c r="VP27" s="57">
        <f t="shared" si="264"/>
        <v>1000000</v>
      </c>
      <c r="VQ27" s="57">
        <f t="shared" si="264"/>
        <v>1000000</v>
      </c>
      <c r="VR27" s="57">
        <f t="shared" si="264"/>
        <v>1000000</v>
      </c>
      <c r="VS27" s="57">
        <f t="shared" si="264"/>
        <v>1000000</v>
      </c>
      <c r="VT27" s="57">
        <f t="shared" si="264"/>
        <v>1000000</v>
      </c>
      <c r="VU27" s="57">
        <f t="shared" si="264"/>
        <v>1000000</v>
      </c>
      <c r="VV27" s="57">
        <f t="shared" si="264"/>
        <v>1000000</v>
      </c>
      <c r="VW27" s="57">
        <f t="shared" si="264"/>
        <v>1000000</v>
      </c>
      <c r="VX27" s="57">
        <f t="shared" si="264"/>
        <v>1000000</v>
      </c>
      <c r="VY27" s="57">
        <f t="shared" si="264"/>
        <v>1000000</v>
      </c>
      <c r="VZ27" s="57">
        <f t="shared" si="264"/>
        <v>1000000</v>
      </c>
      <c r="WA27" s="57">
        <f t="shared" si="264"/>
        <v>1000000</v>
      </c>
      <c r="WB27" s="57">
        <f t="shared" si="264"/>
        <v>1000000</v>
      </c>
      <c r="WC27" s="57">
        <f t="shared" si="264"/>
        <v>1000000</v>
      </c>
      <c r="WD27" s="57">
        <f t="shared" si="264"/>
        <v>1000000</v>
      </c>
      <c r="WE27" s="57">
        <f t="shared" si="264"/>
        <v>1000000</v>
      </c>
      <c r="WF27" s="57">
        <f t="shared" si="264"/>
        <v>1000000</v>
      </c>
      <c r="WG27" s="57">
        <f t="shared" si="264"/>
        <v>1000000</v>
      </c>
      <c r="WH27" s="57">
        <f t="shared" si="264"/>
        <v>1000000</v>
      </c>
      <c r="WI27" s="57">
        <f t="shared" si="264"/>
        <v>1000000</v>
      </c>
      <c r="WJ27" s="57">
        <f t="shared" si="264"/>
        <v>1000000</v>
      </c>
      <c r="WK27" s="57">
        <f t="shared" si="264"/>
        <v>1000000</v>
      </c>
      <c r="WL27" s="57">
        <f t="shared" si="264"/>
        <v>1000000</v>
      </c>
      <c r="WM27" s="57">
        <f t="shared" si="264"/>
        <v>1000000</v>
      </c>
      <c r="WN27" s="57">
        <f t="shared" si="264"/>
        <v>1000000</v>
      </c>
      <c r="WO27" s="57">
        <f t="shared" si="264"/>
        <v>1000000</v>
      </c>
      <c r="WP27" s="57">
        <f t="shared" si="264"/>
        <v>1000000</v>
      </c>
      <c r="WQ27" s="57">
        <f t="shared" si="264"/>
        <v>1000000</v>
      </c>
      <c r="WR27" s="57">
        <f t="shared" si="264"/>
        <v>1000000</v>
      </c>
      <c r="WS27" s="57">
        <f t="shared" si="264"/>
        <v>1000000</v>
      </c>
      <c r="WT27" s="57">
        <f t="shared" si="264"/>
        <v>1000000</v>
      </c>
      <c r="WU27" s="57">
        <f t="shared" si="264"/>
        <v>1000000</v>
      </c>
      <c r="WV27" s="57">
        <f t="shared" si="264"/>
        <v>1000000</v>
      </c>
      <c r="WW27" s="57">
        <f t="shared" si="264"/>
        <v>1000000</v>
      </c>
      <c r="WX27" s="57">
        <f t="shared" si="264"/>
        <v>1000000</v>
      </c>
      <c r="WY27" s="57">
        <f t="shared" si="264"/>
        <v>1000000</v>
      </c>
      <c r="WZ27" s="57">
        <f t="shared" si="264"/>
        <v>1000000</v>
      </c>
      <c r="XA27" s="57">
        <f t="shared" si="264"/>
        <v>1000000</v>
      </c>
      <c r="XB27" s="57">
        <f t="shared" si="264"/>
        <v>1000000</v>
      </c>
      <c r="XC27" s="57">
        <f t="shared" si="264"/>
        <v>1000000</v>
      </c>
      <c r="XD27" s="57">
        <f t="shared" si="264"/>
        <v>1000000</v>
      </c>
      <c r="XE27" s="57">
        <f t="shared" si="264"/>
        <v>1000000</v>
      </c>
      <c r="XF27" s="57">
        <f t="shared" si="264"/>
        <v>1000000</v>
      </c>
      <c r="XG27" s="57">
        <f t="shared" si="264"/>
        <v>1000000</v>
      </c>
      <c r="XH27" s="57">
        <f t="shared" si="264"/>
        <v>1000000</v>
      </c>
      <c r="XI27" s="57">
        <f t="shared" si="264"/>
        <v>1000000</v>
      </c>
      <c r="XJ27" s="57">
        <f t="shared" si="264"/>
        <v>1000000</v>
      </c>
      <c r="XK27" s="57">
        <f t="shared" si="264"/>
        <v>1000000</v>
      </c>
      <c r="XL27" s="57">
        <f t="shared" si="264"/>
        <v>1000000</v>
      </c>
      <c r="XM27" s="57">
        <f t="shared" si="264"/>
        <v>1000000</v>
      </c>
      <c r="XN27" s="57">
        <f t="shared" si="264"/>
        <v>1000000</v>
      </c>
      <c r="XO27" s="57">
        <f t="shared" si="264"/>
        <v>1000000</v>
      </c>
      <c r="XP27" s="57">
        <f t="shared" si="264"/>
        <v>1000000</v>
      </c>
      <c r="XQ27" s="57">
        <f t="shared" si="264"/>
        <v>1000000</v>
      </c>
      <c r="XR27" s="57">
        <f t="shared" si="264"/>
        <v>1000000</v>
      </c>
      <c r="XS27" s="57">
        <f t="shared" si="264"/>
        <v>1000000</v>
      </c>
      <c r="XT27" s="57">
        <f t="shared" ref="XT27:AAE27" si="265">$C27</f>
        <v>1000000</v>
      </c>
      <c r="XU27" s="57">
        <f t="shared" si="265"/>
        <v>1000000</v>
      </c>
      <c r="XV27" s="57">
        <f t="shared" si="265"/>
        <v>1000000</v>
      </c>
      <c r="XW27" s="57">
        <f t="shared" si="265"/>
        <v>1000000</v>
      </c>
      <c r="XX27" s="57">
        <f t="shared" si="265"/>
        <v>1000000</v>
      </c>
      <c r="XY27" s="57">
        <f t="shared" si="265"/>
        <v>1000000</v>
      </c>
      <c r="XZ27" s="57">
        <f t="shared" si="265"/>
        <v>1000000</v>
      </c>
      <c r="YA27" s="57">
        <f t="shared" si="265"/>
        <v>1000000</v>
      </c>
      <c r="YB27" s="57">
        <f t="shared" si="265"/>
        <v>1000000</v>
      </c>
      <c r="YC27" s="57">
        <f t="shared" si="265"/>
        <v>1000000</v>
      </c>
      <c r="YD27" s="57">
        <f t="shared" si="265"/>
        <v>1000000</v>
      </c>
      <c r="YE27" s="57">
        <f t="shared" si="265"/>
        <v>1000000</v>
      </c>
      <c r="YF27" s="57">
        <f t="shared" si="265"/>
        <v>1000000</v>
      </c>
      <c r="YG27" s="57">
        <f t="shared" si="265"/>
        <v>1000000</v>
      </c>
      <c r="YH27" s="57">
        <f t="shared" si="265"/>
        <v>1000000</v>
      </c>
      <c r="YI27" s="57">
        <f t="shared" si="265"/>
        <v>1000000</v>
      </c>
      <c r="YJ27" s="57">
        <f t="shared" si="265"/>
        <v>1000000</v>
      </c>
      <c r="YK27" s="57">
        <f t="shared" si="265"/>
        <v>1000000</v>
      </c>
      <c r="YL27" s="57">
        <f t="shared" si="265"/>
        <v>1000000</v>
      </c>
      <c r="YM27" s="57">
        <f t="shared" si="265"/>
        <v>1000000</v>
      </c>
      <c r="YN27" s="57">
        <f t="shared" si="265"/>
        <v>1000000</v>
      </c>
      <c r="YO27" s="57">
        <f t="shared" si="265"/>
        <v>1000000</v>
      </c>
      <c r="YP27" s="57">
        <f t="shared" si="265"/>
        <v>1000000</v>
      </c>
      <c r="YQ27" s="57">
        <f t="shared" si="265"/>
        <v>1000000</v>
      </c>
      <c r="YR27" s="57">
        <f t="shared" si="265"/>
        <v>1000000</v>
      </c>
      <c r="YS27" s="57">
        <f t="shared" si="265"/>
        <v>1000000</v>
      </c>
      <c r="YT27" s="57">
        <f t="shared" si="265"/>
        <v>1000000</v>
      </c>
      <c r="YU27" s="57">
        <f t="shared" si="265"/>
        <v>1000000</v>
      </c>
      <c r="YV27" s="57">
        <f t="shared" si="265"/>
        <v>1000000</v>
      </c>
      <c r="YW27" s="57">
        <f t="shared" si="265"/>
        <v>1000000</v>
      </c>
      <c r="YX27" s="57">
        <f t="shared" si="265"/>
        <v>1000000</v>
      </c>
      <c r="YY27" s="57">
        <f t="shared" si="265"/>
        <v>1000000</v>
      </c>
      <c r="YZ27" s="57">
        <f t="shared" si="265"/>
        <v>1000000</v>
      </c>
      <c r="ZA27" s="57">
        <f t="shared" si="265"/>
        <v>1000000</v>
      </c>
      <c r="ZB27" s="57">
        <f t="shared" si="265"/>
        <v>1000000</v>
      </c>
      <c r="ZC27" s="57">
        <f t="shared" si="265"/>
        <v>1000000</v>
      </c>
      <c r="ZD27" s="57">
        <f t="shared" si="265"/>
        <v>1000000</v>
      </c>
      <c r="ZE27" s="57">
        <f t="shared" si="265"/>
        <v>1000000</v>
      </c>
      <c r="ZF27" s="57">
        <f t="shared" si="265"/>
        <v>1000000</v>
      </c>
      <c r="ZG27" s="57">
        <f t="shared" si="265"/>
        <v>1000000</v>
      </c>
      <c r="ZH27" s="57">
        <f t="shared" si="265"/>
        <v>1000000</v>
      </c>
      <c r="ZI27" s="57">
        <f t="shared" si="265"/>
        <v>1000000</v>
      </c>
      <c r="ZJ27" s="57">
        <f t="shared" si="265"/>
        <v>1000000</v>
      </c>
      <c r="ZK27" s="57">
        <f t="shared" si="265"/>
        <v>1000000</v>
      </c>
      <c r="ZL27" s="57">
        <f t="shared" si="265"/>
        <v>1000000</v>
      </c>
      <c r="ZM27" s="57">
        <f t="shared" si="265"/>
        <v>1000000</v>
      </c>
      <c r="ZN27" s="57">
        <f t="shared" si="265"/>
        <v>1000000</v>
      </c>
      <c r="ZO27" s="57">
        <f t="shared" si="265"/>
        <v>1000000</v>
      </c>
      <c r="ZP27" s="57">
        <f t="shared" si="265"/>
        <v>1000000</v>
      </c>
      <c r="ZQ27" s="57">
        <f t="shared" si="265"/>
        <v>1000000</v>
      </c>
      <c r="ZR27" s="57">
        <f t="shared" si="265"/>
        <v>1000000</v>
      </c>
      <c r="ZS27" s="57">
        <f t="shared" si="265"/>
        <v>1000000</v>
      </c>
      <c r="ZT27" s="57">
        <f t="shared" si="265"/>
        <v>1000000</v>
      </c>
      <c r="ZU27" s="57">
        <f t="shared" si="265"/>
        <v>1000000</v>
      </c>
      <c r="ZV27" s="57">
        <f t="shared" si="265"/>
        <v>1000000</v>
      </c>
      <c r="ZW27" s="57">
        <f t="shared" si="265"/>
        <v>1000000</v>
      </c>
      <c r="ZX27" s="57">
        <f t="shared" si="265"/>
        <v>1000000</v>
      </c>
      <c r="ZY27" s="57">
        <f t="shared" si="265"/>
        <v>1000000</v>
      </c>
      <c r="ZZ27" s="57">
        <f t="shared" si="265"/>
        <v>1000000</v>
      </c>
      <c r="AAA27" s="57">
        <f t="shared" si="265"/>
        <v>1000000</v>
      </c>
      <c r="AAB27" s="57">
        <f t="shared" si="265"/>
        <v>1000000</v>
      </c>
      <c r="AAC27" s="57">
        <f t="shared" si="265"/>
        <v>1000000</v>
      </c>
      <c r="AAD27" s="57">
        <f t="shared" si="265"/>
        <v>1000000</v>
      </c>
      <c r="AAE27" s="57">
        <f t="shared" si="265"/>
        <v>1000000</v>
      </c>
      <c r="AAF27" s="57">
        <f t="shared" ref="AAF27:ACQ27" si="266">$C27</f>
        <v>1000000</v>
      </c>
      <c r="AAG27" s="57">
        <f t="shared" si="266"/>
        <v>1000000</v>
      </c>
      <c r="AAH27" s="57">
        <f t="shared" si="266"/>
        <v>1000000</v>
      </c>
      <c r="AAI27" s="57">
        <f t="shared" si="266"/>
        <v>1000000</v>
      </c>
      <c r="AAJ27" s="57">
        <f t="shared" si="266"/>
        <v>1000000</v>
      </c>
      <c r="AAK27" s="57">
        <f t="shared" si="266"/>
        <v>1000000</v>
      </c>
      <c r="AAL27" s="57">
        <f t="shared" si="266"/>
        <v>1000000</v>
      </c>
      <c r="AAM27" s="57">
        <f t="shared" si="266"/>
        <v>1000000</v>
      </c>
      <c r="AAN27" s="57">
        <f t="shared" si="266"/>
        <v>1000000</v>
      </c>
      <c r="AAO27" s="57">
        <f t="shared" si="266"/>
        <v>1000000</v>
      </c>
      <c r="AAP27" s="57">
        <f t="shared" si="266"/>
        <v>1000000</v>
      </c>
      <c r="AAQ27" s="57">
        <f t="shared" si="266"/>
        <v>1000000</v>
      </c>
      <c r="AAR27" s="57">
        <f t="shared" si="266"/>
        <v>1000000</v>
      </c>
      <c r="AAS27" s="57">
        <f t="shared" si="266"/>
        <v>1000000</v>
      </c>
      <c r="AAT27" s="57">
        <f t="shared" si="266"/>
        <v>1000000</v>
      </c>
      <c r="AAU27" s="57">
        <f t="shared" si="266"/>
        <v>1000000</v>
      </c>
      <c r="AAV27" s="57">
        <f t="shared" si="266"/>
        <v>1000000</v>
      </c>
      <c r="AAW27" s="57">
        <f t="shared" si="266"/>
        <v>1000000</v>
      </c>
      <c r="AAX27" s="57">
        <f t="shared" si="266"/>
        <v>1000000</v>
      </c>
      <c r="AAY27" s="57">
        <f t="shared" si="266"/>
        <v>1000000</v>
      </c>
      <c r="AAZ27" s="57">
        <f t="shared" si="266"/>
        <v>1000000</v>
      </c>
      <c r="ABA27" s="57">
        <f t="shared" si="266"/>
        <v>1000000</v>
      </c>
      <c r="ABB27" s="57">
        <f t="shared" si="266"/>
        <v>1000000</v>
      </c>
      <c r="ABC27" s="57">
        <f t="shared" si="266"/>
        <v>1000000</v>
      </c>
      <c r="ABD27" s="57">
        <f t="shared" si="266"/>
        <v>1000000</v>
      </c>
      <c r="ABE27" s="57">
        <f t="shared" si="266"/>
        <v>1000000</v>
      </c>
      <c r="ABF27" s="57">
        <f t="shared" si="266"/>
        <v>1000000</v>
      </c>
      <c r="ABG27" s="57">
        <f t="shared" si="266"/>
        <v>1000000</v>
      </c>
      <c r="ABH27" s="57">
        <f t="shared" si="266"/>
        <v>1000000</v>
      </c>
      <c r="ABI27" s="57">
        <f t="shared" si="266"/>
        <v>1000000</v>
      </c>
      <c r="ABJ27" s="57">
        <f t="shared" si="266"/>
        <v>1000000</v>
      </c>
      <c r="ABK27" s="57">
        <f t="shared" si="266"/>
        <v>1000000</v>
      </c>
      <c r="ABL27" s="57">
        <f t="shared" si="266"/>
        <v>1000000</v>
      </c>
      <c r="ABM27" s="57">
        <f t="shared" si="266"/>
        <v>1000000</v>
      </c>
      <c r="ABN27" s="57">
        <f t="shared" si="266"/>
        <v>1000000</v>
      </c>
      <c r="ABO27" s="57">
        <f t="shared" si="266"/>
        <v>1000000</v>
      </c>
      <c r="ABP27" s="57">
        <f t="shared" si="266"/>
        <v>1000000</v>
      </c>
      <c r="ABQ27" s="57">
        <f t="shared" si="266"/>
        <v>1000000</v>
      </c>
      <c r="ABR27" s="57">
        <f t="shared" si="266"/>
        <v>1000000</v>
      </c>
      <c r="ABS27" s="57">
        <f t="shared" si="266"/>
        <v>1000000</v>
      </c>
      <c r="ABT27" s="57">
        <f t="shared" si="266"/>
        <v>1000000</v>
      </c>
      <c r="ABU27" s="57">
        <f t="shared" si="266"/>
        <v>1000000</v>
      </c>
      <c r="ABV27" s="57">
        <f t="shared" si="266"/>
        <v>1000000</v>
      </c>
      <c r="ABW27" s="57">
        <f t="shared" si="266"/>
        <v>1000000</v>
      </c>
      <c r="ABX27" s="57">
        <f t="shared" si="266"/>
        <v>1000000</v>
      </c>
      <c r="ABY27" s="57">
        <f t="shared" si="266"/>
        <v>1000000</v>
      </c>
      <c r="ABZ27" s="57">
        <f t="shared" si="266"/>
        <v>1000000</v>
      </c>
      <c r="ACA27" s="57">
        <f t="shared" si="266"/>
        <v>1000000</v>
      </c>
      <c r="ACB27" s="57">
        <f t="shared" si="266"/>
        <v>1000000</v>
      </c>
      <c r="ACC27" s="57">
        <f t="shared" si="266"/>
        <v>1000000</v>
      </c>
      <c r="ACD27" s="57">
        <f t="shared" si="266"/>
        <v>1000000</v>
      </c>
      <c r="ACE27" s="57">
        <f t="shared" si="266"/>
        <v>1000000</v>
      </c>
      <c r="ACF27" s="57">
        <f t="shared" si="266"/>
        <v>1000000</v>
      </c>
      <c r="ACG27" s="57">
        <f t="shared" si="266"/>
        <v>1000000</v>
      </c>
      <c r="ACH27" s="57">
        <f t="shared" si="266"/>
        <v>1000000</v>
      </c>
      <c r="ACI27" s="57">
        <f t="shared" si="266"/>
        <v>1000000</v>
      </c>
      <c r="ACJ27" s="57">
        <f t="shared" si="266"/>
        <v>1000000</v>
      </c>
      <c r="ACK27" s="57">
        <f t="shared" si="266"/>
        <v>1000000</v>
      </c>
      <c r="ACL27" s="57">
        <f t="shared" si="266"/>
        <v>1000000</v>
      </c>
      <c r="ACM27" s="57">
        <f t="shared" si="266"/>
        <v>1000000</v>
      </c>
      <c r="ACN27" s="57">
        <f t="shared" si="266"/>
        <v>1000000</v>
      </c>
      <c r="ACO27" s="57">
        <f t="shared" si="266"/>
        <v>1000000</v>
      </c>
      <c r="ACP27" s="57">
        <f t="shared" si="266"/>
        <v>1000000</v>
      </c>
      <c r="ACQ27" s="57">
        <f t="shared" si="266"/>
        <v>1000000</v>
      </c>
      <c r="ACR27" s="57">
        <f t="shared" ref="ACR27:AFC27" si="267">$C27</f>
        <v>1000000</v>
      </c>
      <c r="ACS27" s="57">
        <f t="shared" si="267"/>
        <v>1000000</v>
      </c>
      <c r="ACT27" s="57">
        <f t="shared" si="267"/>
        <v>1000000</v>
      </c>
      <c r="ACU27" s="57">
        <f t="shared" si="267"/>
        <v>1000000</v>
      </c>
      <c r="ACV27" s="57">
        <f t="shared" si="267"/>
        <v>1000000</v>
      </c>
      <c r="ACW27" s="57">
        <f t="shared" si="267"/>
        <v>1000000</v>
      </c>
      <c r="ACX27" s="57">
        <f t="shared" si="267"/>
        <v>1000000</v>
      </c>
      <c r="ACY27" s="57">
        <f t="shared" si="267"/>
        <v>1000000</v>
      </c>
      <c r="ACZ27" s="57">
        <f t="shared" si="267"/>
        <v>1000000</v>
      </c>
      <c r="ADA27" s="57">
        <f t="shared" si="267"/>
        <v>1000000</v>
      </c>
      <c r="ADB27" s="57">
        <f t="shared" si="267"/>
        <v>1000000</v>
      </c>
      <c r="ADC27" s="57">
        <f t="shared" si="267"/>
        <v>1000000</v>
      </c>
      <c r="ADD27" s="57">
        <f t="shared" si="267"/>
        <v>1000000</v>
      </c>
      <c r="ADE27" s="57">
        <f t="shared" si="267"/>
        <v>1000000</v>
      </c>
      <c r="ADF27" s="57">
        <f t="shared" si="267"/>
        <v>1000000</v>
      </c>
      <c r="ADG27" s="57">
        <f t="shared" si="267"/>
        <v>1000000</v>
      </c>
      <c r="ADH27" s="57">
        <f t="shared" si="267"/>
        <v>1000000</v>
      </c>
      <c r="ADI27" s="57">
        <f t="shared" si="267"/>
        <v>1000000</v>
      </c>
      <c r="ADJ27" s="57">
        <f t="shared" si="267"/>
        <v>1000000</v>
      </c>
      <c r="ADK27" s="57">
        <f t="shared" si="267"/>
        <v>1000000</v>
      </c>
      <c r="ADL27" s="57">
        <f t="shared" si="267"/>
        <v>1000000</v>
      </c>
      <c r="ADM27" s="57">
        <f t="shared" si="267"/>
        <v>1000000</v>
      </c>
      <c r="ADN27" s="57">
        <f t="shared" si="267"/>
        <v>1000000</v>
      </c>
      <c r="ADO27" s="57">
        <f t="shared" si="267"/>
        <v>1000000</v>
      </c>
      <c r="ADP27" s="57">
        <f t="shared" si="267"/>
        <v>1000000</v>
      </c>
      <c r="ADQ27" s="57">
        <f t="shared" si="267"/>
        <v>1000000</v>
      </c>
      <c r="ADR27" s="57">
        <f t="shared" si="267"/>
        <v>1000000</v>
      </c>
      <c r="ADS27" s="57">
        <f t="shared" si="267"/>
        <v>1000000</v>
      </c>
      <c r="ADT27" s="57">
        <f t="shared" si="267"/>
        <v>1000000</v>
      </c>
      <c r="ADU27" s="57">
        <f t="shared" si="267"/>
        <v>1000000</v>
      </c>
      <c r="ADV27" s="57">
        <f t="shared" si="267"/>
        <v>1000000</v>
      </c>
      <c r="ADW27" s="57">
        <f t="shared" si="267"/>
        <v>1000000</v>
      </c>
      <c r="ADX27" s="57">
        <f t="shared" si="267"/>
        <v>1000000</v>
      </c>
      <c r="ADY27" s="57">
        <f t="shared" si="267"/>
        <v>1000000</v>
      </c>
      <c r="ADZ27" s="57">
        <f t="shared" si="267"/>
        <v>1000000</v>
      </c>
      <c r="AEA27" s="57">
        <f t="shared" si="267"/>
        <v>1000000</v>
      </c>
      <c r="AEB27" s="57">
        <f t="shared" si="267"/>
        <v>1000000</v>
      </c>
      <c r="AEC27" s="57">
        <f t="shared" si="267"/>
        <v>1000000</v>
      </c>
      <c r="AED27" s="57">
        <f t="shared" si="267"/>
        <v>1000000</v>
      </c>
      <c r="AEE27" s="57">
        <f t="shared" si="267"/>
        <v>1000000</v>
      </c>
      <c r="AEF27" s="57">
        <f t="shared" si="267"/>
        <v>1000000</v>
      </c>
      <c r="AEG27" s="57">
        <f t="shared" si="267"/>
        <v>1000000</v>
      </c>
      <c r="AEH27" s="57">
        <f t="shared" si="267"/>
        <v>1000000</v>
      </c>
      <c r="AEI27" s="57">
        <f t="shared" si="267"/>
        <v>1000000</v>
      </c>
      <c r="AEJ27" s="57">
        <f t="shared" si="267"/>
        <v>1000000</v>
      </c>
      <c r="AEK27" s="57">
        <f t="shared" si="267"/>
        <v>1000000</v>
      </c>
      <c r="AEL27" s="57">
        <f t="shared" si="267"/>
        <v>1000000</v>
      </c>
      <c r="AEM27" s="57">
        <f t="shared" si="267"/>
        <v>1000000</v>
      </c>
      <c r="AEN27" s="57">
        <f t="shared" si="267"/>
        <v>1000000</v>
      </c>
      <c r="AEO27" s="57">
        <f t="shared" si="267"/>
        <v>1000000</v>
      </c>
      <c r="AEP27" s="57">
        <f t="shared" si="267"/>
        <v>1000000</v>
      </c>
      <c r="AEQ27" s="57">
        <f t="shared" si="267"/>
        <v>1000000</v>
      </c>
      <c r="AER27" s="57">
        <f t="shared" si="267"/>
        <v>1000000</v>
      </c>
      <c r="AES27" s="57">
        <f t="shared" si="267"/>
        <v>1000000</v>
      </c>
      <c r="AET27" s="57">
        <f t="shared" si="267"/>
        <v>1000000</v>
      </c>
      <c r="AEU27" s="57">
        <f t="shared" si="267"/>
        <v>1000000</v>
      </c>
      <c r="AEV27" s="57">
        <f t="shared" si="267"/>
        <v>1000000</v>
      </c>
      <c r="AEW27" s="57">
        <f t="shared" si="267"/>
        <v>1000000</v>
      </c>
      <c r="AEX27" s="57">
        <f t="shared" si="267"/>
        <v>1000000</v>
      </c>
      <c r="AEY27" s="57">
        <f t="shared" si="267"/>
        <v>1000000</v>
      </c>
      <c r="AEZ27" s="57">
        <f t="shared" si="267"/>
        <v>1000000</v>
      </c>
      <c r="AFA27" s="57">
        <f t="shared" si="267"/>
        <v>1000000</v>
      </c>
      <c r="AFB27" s="57">
        <f t="shared" si="267"/>
        <v>1000000</v>
      </c>
      <c r="AFC27" s="57">
        <f t="shared" si="267"/>
        <v>1000000</v>
      </c>
      <c r="AFD27" s="57">
        <f t="shared" ref="AFD27:AHO27" si="268">$C27</f>
        <v>1000000</v>
      </c>
      <c r="AFE27" s="57">
        <f t="shared" si="268"/>
        <v>1000000</v>
      </c>
      <c r="AFF27" s="57">
        <f t="shared" si="268"/>
        <v>1000000</v>
      </c>
      <c r="AFG27" s="57">
        <f t="shared" si="268"/>
        <v>1000000</v>
      </c>
      <c r="AFH27" s="57">
        <f t="shared" si="268"/>
        <v>1000000</v>
      </c>
      <c r="AFI27" s="57">
        <f t="shared" si="268"/>
        <v>1000000</v>
      </c>
      <c r="AFJ27" s="57">
        <f t="shared" si="268"/>
        <v>1000000</v>
      </c>
      <c r="AFK27" s="57">
        <f t="shared" si="268"/>
        <v>1000000</v>
      </c>
      <c r="AFL27" s="57">
        <f t="shared" si="268"/>
        <v>1000000</v>
      </c>
      <c r="AFM27" s="57">
        <f t="shared" si="268"/>
        <v>1000000</v>
      </c>
      <c r="AFN27" s="57">
        <f t="shared" si="268"/>
        <v>1000000</v>
      </c>
      <c r="AFO27" s="57">
        <f t="shared" si="268"/>
        <v>1000000</v>
      </c>
      <c r="AFP27" s="57">
        <f t="shared" si="268"/>
        <v>1000000</v>
      </c>
      <c r="AFQ27" s="57">
        <f t="shared" si="268"/>
        <v>1000000</v>
      </c>
      <c r="AFR27" s="57">
        <f t="shared" si="268"/>
        <v>1000000</v>
      </c>
      <c r="AFS27" s="57">
        <f t="shared" si="268"/>
        <v>1000000</v>
      </c>
      <c r="AFT27" s="57">
        <f t="shared" si="268"/>
        <v>1000000</v>
      </c>
      <c r="AFU27" s="57">
        <f t="shared" si="268"/>
        <v>1000000</v>
      </c>
      <c r="AFV27" s="57">
        <f t="shared" si="268"/>
        <v>1000000</v>
      </c>
      <c r="AFW27" s="57">
        <f t="shared" si="268"/>
        <v>1000000</v>
      </c>
      <c r="AFX27" s="57">
        <f t="shared" si="268"/>
        <v>1000000</v>
      </c>
      <c r="AFY27" s="57">
        <f t="shared" si="268"/>
        <v>1000000</v>
      </c>
      <c r="AFZ27" s="57">
        <f t="shared" si="268"/>
        <v>1000000</v>
      </c>
      <c r="AGA27" s="57">
        <f t="shared" si="268"/>
        <v>1000000</v>
      </c>
      <c r="AGB27" s="57">
        <f t="shared" si="268"/>
        <v>1000000</v>
      </c>
      <c r="AGC27" s="57">
        <f t="shared" si="268"/>
        <v>1000000</v>
      </c>
      <c r="AGD27" s="57">
        <f t="shared" si="268"/>
        <v>1000000</v>
      </c>
      <c r="AGE27" s="57">
        <f t="shared" si="268"/>
        <v>1000000</v>
      </c>
      <c r="AGF27" s="57">
        <f t="shared" si="268"/>
        <v>1000000</v>
      </c>
      <c r="AGG27" s="57">
        <f t="shared" si="268"/>
        <v>1000000</v>
      </c>
      <c r="AGH27" s="57">
        <f t="shared" si="268"/>
        <v>1000000</v>
      </c>
      <c r="AGI27" s="57">
        <f t="shared" si="268"/>
        <v>1000000</v>
      </c>
      <c r="AGJ27" s="57">
        <f t="shared" si="268"/>
        <v>1000000</v>
      </c>
      <c r="AGK27" s="57">
        <f t="shared" si="268"/>
        <v>1000000</v>
      </c>
      <c r="AGL27" s="57">
        <f t="shared" si="268"/>
        <v>1000000</v>
      </c>
      <c r="AGM27" s="57">
        <f t="shared" si="268"/>
        <v>1000000</v>
      </c>
      <c r="AGN27" s="57">
        <f t="shared" si="268"/>
        <v>1000000</v>
      </c>
      <c r="AGO27" s="57">
        <f t="shared" si="268"/>
        <v>1000000</v>
      </c>
      <c r="AGP27" s="57">
        <f t="shared" si="268"/>
        <v>1000000</v>
      </c>
      <c r="AGQ27" s="57">
        <f t="shared" si="268"/>
        <v>1000000</v>
      </c>
      <c r="AGR27" s="57">
        <f t="shared" si="268"/>
        <v>1000000</v>
      </c>
      <c r="AGS27" s="57">
        <f t="shared" si="268"/>
        <v>1000000</v>
      </c>
      <c r="AGT27" s="57">
        <f t="shared" si="268"/>
        <v>1000000</v>
      </c>
      <c r="AGU27" s="57">
        <f t="shared" si="268"/>
        <v>1000000</v>
      </c>
      <c r="AGV27" s="57">
        <f t="shared" si="268"/>
        <v>1000000</v>
      </c>
      <c r="AGW27" s="57">
        <f t="shared" si="268"/>
        <v>1000000</v>
      </c>
      <c r="AGX27" s="57">
        <f t="shared" si="268"/>
        <v>1000000</v>
      </c>
      <c r="AGY27" s="57">
        <f t="shared" si="268"/>
        <v>1000000</v>
      </c>
      <c r="AGZ27" s="57">
        <f t="shared" si="268"/>
        <v>1000000</v>
      </c>
      <c r="AHA27" s="57">
        <f t="shared" si="268"/>
        <v>1000000</v>
      </c>
      <c r="AHB27" s="57">
        <f t="shared" si="268"/>
        <v>1000000</v>
      </c>
      <c r="AHC27" s="57">
        <f t="shared" si="268"/>
        <v>1000000</v>
      </c>
      <c r="AHD27" s="57">
        <f t="shared" si="268"/>
        <v>1000000</v>
      </c>
      <c r="AHE27" s="57">
        <f t="shared" si="268"/>
        <v>1000000</v>
      </c>
      <c r="AHF27" s="57">
        <f t="shared" si="268"/>
        <v>1000000</v>
      </c>
      <c r="AHG27" s="57">
        <f t="shared" si="268"/>
        <v>1000000</v>
      </c>
      <c r="AHH27" s="57">
        <f t="shared" si="268"/>
        <v>1000000</v>
      </c>
      <c r="AHI27" s="57">
        <f t="shared" si="268"/>
        <v>1000000</v>
      </c>
      <c r="AHJ27" s="57">
        <f t="shared" si="268"/>
        <v>1000000</v>
      </c>
      <c r="AHK27" s="57">
        <f t="shared" si="268"/>
        <v>1000000</v>
      </c>
      <c r="AHL27" s="57">
        <f t="shared" si="268"/>
        <v>1000000</v>
      </c>
      <c r="AHM27" s="57">
        <f t="shared" si="268"/>
        <v>1000000</v>
      </c>
      <c r="AHN27" s="57">
        <f t="shared" si="268"/>
        <v>1000000</v>
      </c>
      <c r="AHO27" s="57">
        <f t="shared" si="268"/>
        <v>1000000</v>
      </c>
      <c r="AHP27" s="57">
        <f t="shared" ref="AHP27:AKA27" si="269">$C27</f>
        <v>1000000</v>
      </c>
      <c r="AHQ27" s="57">
        <f t="shared" si="269"/>
        <v>1000000</v>
      </c>
      <c r="AHR27" s="57">
        <f t="shared" si="269"/>
        <v>1000000</v>
      </c>
      <c r="AHS27" s="57">
        <f t="shared" si="269"/>
        <v>1000000</v>
      </c>
      <c r="AHT27" s="57">
        <f t="shared" si="269"/>
        <v>1000000</v>
      </c>
      <c r="AHU27" s="57">
        <f t="shared" si="269"/>
        <v>1000000</v>
      </c>
      <c r="AHV27" s="57">
        <f t="shared" si="269"/>
        <v>1000000</v>
      </c>
      <c r="AHW27" s="57">
        <f t="shared" si="269"/>
        <v>1000000</v>
      </c>
      <c r="AHX27" s="57">
        <f t="shared" si="269"/>
        <v>1000000</v>
      </c>
      <c r="AHY27" s="57">
        <f t="shared" si="269"/>
        <v>1000000</v>
      </c>
      <c r="AHZ27" s="57">
        <f t="shared" si="269"/>
        <v>1000000</v>
      </c>
      <c r="AIA27" s="57">
        <f t="shared" si="269"/>
        <v>1000000</v>
      </c>
      <c r="AIB27" s="57">
        <f t="shared" si="269"/>
        <v>1000000</v>
      </c>
      <c r="AIC27" s="57">
        <f t="shared" si="269"/>
        <v>1000000</v>
      </c>
      <c r="AID27" s="57">
        <f t="shared" si="269"/>
        <v>1000000</v>
      </c>
      <c r="AIE27" s="57">
        <f t="shared" si="269"/>
        <v>1000000</v>
      </c>
      <c r="AIF27" s="57">
        <f t="shared" si="269"/>
        <v>1000000</v>
      </c>
      <c r="AIG27" s="57">
        <f t="shared" si="269"/>
        <v>1000000</v>
      </c>
      <c r="AIH27" s="57">
        <f t="shared" si="269"/>
        <v>1000000</v>
      </c>
      <c r="AII27" s="57">
        <f t="shared" si="269"/>
        <v>1000000</v>
      </c>
      <c r="AIJ27" s="57">
        <f t="shared" si="269"/>
        <v>1000000</v>
      </c>
      <c r="AIK27" s="57">
        <f t="shared" si="269"/>
        <v>1000000</v>
      </c>
      <c r="AIL27" s="57">
        <f t="shared" si="269"/>
        <v>1000000</v>
      </c>
      <c r="AIM27" s="57">
        <f t="shared" si="269"/>
        <v>1000000</v>
      </c>
      <c r="AIN27" s="57">
        <f t="shared" si="269"/>
        <v>1000000</v>
      </c>
      <c r="AIO27" s="57">
        <f t="shared" si="269"/>
        <v>1000000</v>
      </c>
      <c r="AIP27" s="57">
        <f t="shared" si="269"/>
        <v>1000000</v>
      </c>
      <c r="AIQ27" s="57">
        <f t="shared" si="269"/>
        <v>1000000</v>
      </c>
      <c r="AIR27" s="57">
        <f t="shared" si="269"/>
        <v>1000000</v>
      </c>
      <c r="AIS27" s="57">
        <f t="shared" si="269"/>
        <v>1000000</v>
      </c>
      <c r="AIT27" s="57">
        <f t="shared" si="269"/>
        <v>1000000</v>
      </c>
      <c r="AIU27" s="57">
        <f t="shared" si="269"/>
        <v>1000000</v>
      </c>
      <c r="AIV27" s="57">
        <f t="shared" si="269"/>
        <v>1000000</v>
      </c>
      <c r="AIW27" s="57">
        <f t="shared" si="269"/>
        <v>1000000</v>
      </c>
      <c r="AIX27" s="57">
        <f t="shared" si="269"/>
        <v>1000000</v>
      </c>
      <c r="AIY27" s="57">
        <f t="shared" si="269"/>
        <v>1000000</v>
      </c>
      <c r="AIZ27" s="57">
        <f t="shared" si="269"/>
        <v>1000000</v>
      </c>
      <c r="AJA27" s="57">
        <f t="shared" si="269"/>
        <v>1000000</v>
      </c>
      <c r="AJB27" s="57">
        <f t="shared" si="269"/>
        <v>1000000</v>
      </c>
      <c r="AJC27" s="57">
        <f t="shared" si="269"/>
        <v>1000000</v>
      </c>
      <c r="AJD27" s="57">
        <f t="shared" si="269"/>
        <v>1000000</v>
      </c>
      <c r="AJE27" s="57">
        <f t="shared" si="269"/>
        <v>1000000</v>
      </c>
      <c r="AJF27" s="57">
        <f t="shared" si="269"/>
        <v>1000000</v>
      </c>
      <c r="AJG27" s="57">
        <f t="shared" si="269"/>
        <v>1000000</v>
      </c>
      <c r="AJH27" s="57">
        <f t="shared" si="269"/>
        <v>1000000</v>
      </c>
      <c r="AJI27" s="57">
        <f t="shared" si="269"/>
        <v>1000000</v>
      </c>
      <c r="AJJ27" s="57">
        <f t="shared" si="269"/>
        <v>1000000</v>
      </c>
      <c r="AJK27" s="57">
        <f t="shared" si="269"/>
        <v>1000000</v>
      </c>
      <c r="AJL27" s="57">
        <f t="shared" si="269"/>
        <v>1000000</v>
      </c>
      <c r="AJM27" s="57">
        <f t="shared" si="269"/>
        <v>1000000</v>
      </c>
      <c r="AJN27" s="57">
        <f t="shared" si="269"/>
        <v>1000000</v>
      </c>
      <c r="AJO27" s="57">
        <f t="shared" si="269"/>
        <v>1000000</v>
      </c>
      <c r="AJP27" s="57">
        <f t="shared" si="269"/>
        <v>1000000</v>
      </c>
      <c r="AJQ27" s="57">
        <f t="shared" si="269"/>
        <v>1000000</v>
      </c>
      <c r="AJR27" s="57">
        <f t="shared" si="269"/>
        <v>1000000</v>
      </c>
      <c r="AJS27" s="57">
        <f t="shared" si="269"/>
        <v>1000000</v>
      </c>
      <c r="AJT27" s="57">
        <f t="shared" si="269"/>
        <v>1000000</v>
      </c>
      <c r="AJU27" s="57">
        <f t="shared" si="269"/>
        <v>1000000</v>
      </c>
      <c r="AJV27" s="57">
        <f t="shared" si="269"/>
        <v>1000000</v>
      </c>
      <c r="AJW27" s="57">
        <f t="shared" si="269"/>
        <v>1000000</v>
      </c>
      <c r="AJX27" s="57">
        <f t="shared" si="269"/>
        <v>1000000</v>
      </c>
      <c r="AJY27" s="57">
        <f t="shared" si="269"/>
        <v>1000000</v>
      </c>
      <c r="AJZ27" s="57">
        <f t="shared" si="269"/>
        <v>1000000</v>
      </c>
      <c r="AKA27" s="57">
        <f t="shared" si="269"/>
        <v>1000000</v>
      </c>
      <c r="AKB27" s="57">
        <f t="shared" ref="AKB27:AMM27" si="270">$C27</f>
        <v>1000000</v>
      </c>
      <c r="AKC27" s="57">
        <f t="shared" si="270"/>
        <v>1000000</v>
      </c>
      <c r="AKD27" s="57">
        <f t="shared" si="270"/>
        <v>1000000</v>
      </c>
      <c r="AKE27" s="57">
        <f t="shared" si="270"/>
        <v>1000000</v>
      </c>
      <c r="AKF27" s="57">
        <f t="shared" si="270"/>
        <v>1000000</v>
      </c>
      <c r="AKG27" s="57">
        <f t="shared" si="270"/>
        <v>1000000</v>
      </c>
      <c r="AKH27" s="57">
        <f t="shared" si="270"/>
        <v>1000000</v>
      </c>
      <c r="AKI27" s="57">
        <f t="shared" si="270"/>
        <v>1000000</v>
      </c>
      <c r="AKJ27" s="57">
        <f t="shared" si="270"/>
        <v>1000000</v>
      </c>
      <c r="AKK27" s="57">
        <f t="shared" si="270"/>
        <v>1000000</v>
      </c>
      <c r="AKL27" s="57">
        <f t="shared" si="270"/>
        <v>1000000</v>
      </c>
      <c r="AKM27" s="57">
        <f t="shared" si="270"/>
        <v>1000000</v>
      </c>
      <c r="AKN27" s="57">
        <f t="shared" si="270"/>
        <v>1000000</v>
      </c>
      <c r="AKO27" s="57">
        <f t="shared" si="270"/>
        <v>1000000</v>
      </c>
      <c r="AKP27" s="57">
        <f t="shared" si="270"/>
        <v>1000000</v>
      </c>
      <c r="AKQ27" s="57">
        <f t="shared" si="270"/>
        <v>1000000</v>
      </c>
      <c r="AKR27" s="57">
        <f t="shared" si="270"/>
        <v>1000000</v>
      </c>
      <c r="AKS27" s="57">
        <f t="shared" si="270"/>
        <v>1000000</v>
      </c>
      <c r="AKT27" s="57">
        <f t="shared" si="270"/>
        <v>1000000</v>
      </c>
      <c r="AKU27" s="57">
        <f t="shared" si="270"/>
        <v>1000000</v>
      </c>
      <c r="AKV27" s="57">
        <f t="shared" si="270"/>
        <v>1000000</v>
      </c>
      <c r="AKW27" s="57">
        <f t="shared" si="270"/>
        <v>1000000</v>
      </c>
      <c r="AKX27" s="57">
        <f t="shared" si="270"/>
        <v>1000000</v>
      </c>
      <c r="AKY27" s="57">
        <f t="shared" si="270"/>
        <v>1000000</v>
      </c>
      <c r="AKZ27" s="57">
        <f t="shared" si="270"/>
        <v>1000000</v>
      </c>
      <c r="ALA27" s="57">
        <f t="shared" si="270"/>
        <v>1000000</v>
      </c>
      <c r="ALB27" s="57">
        <f t="shared" si="270"/>
        <v>1000000</v>
      </c>
      <c r="ALC27" s="57">
        <f t="shared" si="270"/>
        <v>1000000</v>
      </c>
      <c r="ALD27" s="57">
        <f t="shared" si="270"/>
        <v>1000000</v>
      </c>
      <c r="ALE27" s="57">
        <f t="shared" si="270"/>
        <v>1000000</v>
      </c>
      <c r="ALF27" s="57">
        <f t="shared" si="270"/>
        <v>1000000</v>
      </c>
      <c r="ALG27" s="57">
        <f t="shared" si="270"/>
        <v>1000000</v>
      </c>
      <c r="ALH27" s="57">
        <f t="shared" si="270"/>
        <v>1000000</v>
      </c>
      <c r="ALI27" s="57">
        <f t="shared" si="270"/>
        <v>1000000</v>
      </c>
      <c r="ALJ27" s="57">
        <f t="shared" si="270"/>
        <v>1000000</v>
      </c>
      <c r="ALK27" s="57">
        <f t="shared" si="270"/>
        <v>1000000</v>
      </c>
      <c r="ALL27" s="57">
        <f t="shared" si="270"/>
        <v>1000000</v>
      </c>
      <c r="ALM27" s="57">
        <f t="shared" si="270"/>
        <v>1000000</v>
      </c>
      <c r="ALN27" s="57">
        <f t="shared" si="270"/>
        <v>1000000</v>
      </c>
      <c r="ALO27" s="57">
        <f t="shared" si="270"/>
        <v>1000000</v>
      </c>
      <c r="ALP27" s="57">
        <f t="shared" si="270"/>
        <v>1000000</v>
      </c>
      <c r="ALQ27" s="57">
        <f t="shared" si="270"/>
        <v>1000000</v>
      </c>
      <c r="ALR27" s="57">
        <f t="shared" si="270"/>
        <v>1000000</v>
      </c>
      <c r="ALS27" s="57">
        <f t="shared" si="270"/>
        <v>1000000</v>
      </c>
      <c r="ALT27" s="57">
        <f t="shared" si="270"/>
        <v>1000000</v>
      </c>
      <c r="ALU27" s="57">
        <f t="shared" si="270"/>
        <v>1000000</v>
      </c>
      <c r="ALV27" s="57">
        <f t="shared" si="270"/>
        <v>1000000</v>
      </c>
      <c r="ALW27" s="57">
        <f t="shared" si="270"/>
        <v>1000000</v>
      </c>
      <c r="ALX27" s="57">
        <f t="shared" si="270"/>
        <v>1000000</v>
      </c>
      <c r="ALY27" s="57">
        <f t="shared" si="270"/>
        <v>1000000</v>
      </c>
      <c r="ALZ27" s="57">
        <f t="shared" si="270"/>
        <v>1000000</v>
      </c>
      <c r="AMA27" s="57">
        <f t="shared" si="270"/>
        <v>1000000</v>
      </c>
      <c r="AMB27" s="57">
        <f t="shared" si="270"/>
        <v>1000000</v>
      </c>
      <c r="AMC27" s="57">
        <f t="shared" si="270"/>
        <v>1000000</v>
      </c>
      <c r="AMD27" s="57">
        <f t="shared" si="270"/>
        <v>1000000</v>
      </c>
      <c r="AME27" s="57">
        <f t="shared" si="270"/>
        <v>1000000</v>
      </c>
      <c r="AMF27" s="57">
        <f t="shared" si="270"/>
        <v>1000000</v>
      </c>
      <c r="AMG27" s="57">
        <f t="shared" si="270"/>
        <v>1000000</v>
      </c>
      <c r="AMH27" s="57">
        <f t="shared" si="270"/>
        <v>1000000</v>
      </c>
      <c r="AMI27" s="57">
        <f t="shared" si="270"/>
        <v>1000000</v>
      </c>
      <c r="AMJ27" s="57">
        <f t="shared" si="270"/>
        <v>1000000</v>
      </c>
      <c r="AMK27" s="57">
        <f t="shared" si="270"/>
        <v>1000000</v>
      </c>
      <c r="AML27" s="57">
        <f t="shared" si="270"/>
        <v>1000000</v>
      </c>
      <c r="AMM27" s="57">
        <f t="shared" si="270"/>
        <v>1000000</v>
      </c>
      <c r="AMN27" s="57">
        <f t="shared" ref="AMN27:AOQ27" si="271">$C27</f>
        <v>1000000</v>
      </c>
      <c r="AMO27" s="57">
        <f t="shared" si="271"/>
        <v>1000000</v>
      </c>
      <c r="AMP27" s="57">
        <f t="shared" si="271"/>
        <v>1000000</v>
      </c>
      <c r="AMQ27" s="57">
        <f t="shared" si="271"/>
        <v>1000000</v>
      </c>
      <c r="AMR27" s="57">
        <f t="shared" si="271"/>
        <v>1000000</v>
      </c>
      <c r="AMS27" s="57">
        <f t="shared" si="271"/>
        <v>1000000</v>
      </c>
      <c r="AMT27" s="57">
        <f t="shared" si="271"/>
        <v>1000000</v>
      </c>
      <c r="AMU27" s="57">
        <f t="shared" si="271"/>
        <v>1000000</v>
      </c>
      <c r="AMV27" s="57">
        <f t="shared" si="271"/>
        <v>1000000</v>
      </c>
      <c r="AMW27" s="57">
        <f t="shared" si="271"/>
        <v>1000000</v>
      </c>
      <c r="AMX27" s="57">
        <f t="shared" si="271"/>
        <v>1000000</v>
      </c>
      <c r="AMY27" s="57">
        <f t="shared" si="271"/>
        <v>1000000</v>
      </c>
      <c r="AMZ27" s="57">
        <f t="shared" si="271"/>
        <v>1000000</v>
      </c>
      <c r="ANA27" s="57">
        <f t="shared" si="271"/>
        <v>1000000</v>
      </c>
      <c r="ANB27" s="57">
        <f t="shared" si="271"/>
        <v>1000000</v>
      </c>
      <c r="ANC27" s="57">
        <f t="shared" si="271"/>
        <v>1000000</v>
      </c>
      <c r="AND27" s="57">
        <f t="shared" si="271"/>
        <v>1000000</v>
      </c>
      <c r="ANE27" s="57">
        <f t="shared" si="271"/>
        <v>1000000</v>
      </c>
      <c r="ANF27" s="57">
        <f t="shared" si="271"/>
        <v>1000000</v>
      </c>
      <c r="ANG27" s="57">
        <f t="shared" si="271"/>
        <v>1000000</v>
      </c>
      <c r="ANH27" s="57">
        <f t="shared" si="271"/>
        <v>1000000</v>
      </c>
      <c r="ANI27" s="57">
        <f t="shared" si="271"/>
        <v>1000000</v>
      </c>
      <c r="ANJ27" s="57">
        <f t="shared" si="271"/>
        <v>1000000</v>
      </c>
      <c r="ANK27" s="57">
        <f t="shared" si="271"/>
        <v>1000000</v>
      </c>
      <c r="ANL27" s="57">
        <f t="shared" si="271"/>
        <v>1000000</v>
      </c>
      <c r="ANM27" s="57">
        <f t="shared" si="271"/>
        <v>1000000</v>
      </c>
      <c r="ANN27" s="57">
        <f t="shared" si="271"/>
        <v>1000000</v>
      </c>
      <c r="ANO27" s="57">
        <f t="shared" si="271"/>
        <v>1000000</v>
      </c>
      <c r="ANP27" s="57">
        <f t="shared" si="271"/>
        <v>1000000</v>
      </c>
      <c r="ANQ27" s="57">
        <f t="shared" si="271"/>
        <v>1000000</v>
      </c>
      <c r="ANR27" s="57">
        <f t="shared" si="271"/>
        <v>1000000</v>
      </c>
      <c r="ANS27" s="57">
        <f t="shared" si="271"/>
        <v>1000000</v>
      </c>
      <c r="ANT27" s="57">
        <f t="shared" si="271"/>
        <v>1000000</v>
      </c>
      <c r="ANU27" s="57">
        <f t="shared" si="271"/>
        <v>1000000</v>
      </c>
      <c r="ANV27" s="57">
        <f t="shared" si="271"/>
        <v>1000000</v>
      </c>
      <c r="ANW27" s="57">
        <f t="shared" si="271"/>
        <v>1000000</v>
      </c>
      <c r="ANX27" s="57">
        <f t="shared" si="271"/>
        <v>1000000</v>
      </c>
      <c r="ANY27" s="57">
        <f t="shared" si="271"/>
        <v>1000000</v>
      </c>
      <c r="ANZ27" s="57">
        <f t="shared" si="271"/>
        <v>1000000</v>
      </c>
      <c r="AOA27" s="57">
        <f t="shared" si="271"/>
        <v>1000000</v>
      </c>
      <c r="AOB27" s="57">
        <f t="shared" si="271"/>
        <v>1000000</v>
      </c>
      <c r="AOC27" s="57">
        <f t="shared" si="271"/>
        <v>1000000</v>
      </c>
      <c r="AOD27" s="57">
        <f t="shared" si="271"/>
        <v>1000000</v>
      </c>
      <c r="AOE27" s="57">
        <f t="shared" si="271"/>
        <v>1000000</v>
      </c>
      <c r="AOF27" s="57">
        <f t="shared" si="271"/>
        <v>1000000</v>
      </c>
      <c r="AOG27" s="57">
        <f t="shared" si="271"/>
        <v>1000000</v>
      </c>
      <c r="AOH27" s="57">
        <f t="shared" si="271"/>
        <v>1000000</v>
      </c>
      <c r="AOI27" s="57">
        <f t="shared" si="271"/>
        <v>1000000</v>
      </c>
      <c r="AOJ27" s="57">
        <f t="shared" si="271"/>
        <v>1000000</v>
      </c>
      <c r="AOK27" s="57">
        <f t="shared" si="271"/>
        <v>1000000</v>
      </c>
      <c r="AOL27" s="57">
        <f t="shared" si="271"/>
        <v>1000000</v>
      </c>
      <c r="AOM27" s="57">
        <f t="shared" si="271"/>
        <v>1000000</v>
      </c>
      <c r="AON27" s="57">
        <f t="shared" si="271"/>
        <v>1000000</v>
      </c>
      <c r="AOO27" s="57">
        <f t="shared" si="271"/>
        <v>1000000</v>
      </c>
      <c r="AOP27" s="57">
        <f t="shared" si="271"/>
        <v>1000000</v>
      </c>
      <c r="AOQ27" s="57">
        <f t="shared" si="271"/>
        <v>1000000</v>
      </c>
    </row>
    <row r="28" spans="2:1083" x14ac:dyDescent="0.25">
      <c r="B28" s="116" t="s">
        <v>269</v>
      </c>
      <c r="C28" s="115">
        <f>SUM(D28:AOQ28)</f>
        <v>1000000</v>
      </c>
      <c r="D28" s="115">
        <v>0</v>
      </c>
      <c r="E28" s="115">
        <f>IF(SUM($D28:D28)&gt;0,0,IF(D$25&gt;D27,D27,0))</f>
        <v>0</v>
      </c>
      <c r="F28" s="115">
        <f>IF(SUM($D28:E28)&gt;0,0,IF(E$25&gt;E27,E27,0))</f>
        <v>0</v>
      </c>
      <c r="G28" s="115">
        <f>IF(SUM($D28:F28)&gt;0,0,IF(F$25&gt;F27,F27,0))</f>
        <v>0</v>
      </c>
      <c r="H28" s="115">
        <f>IF(SUM($D28:G28)&gt;0,0,IF(G$25&gt;G27,G27,0))</f>
        <v>0</v>
      </c>
      <c r="I28" s="115">
        <f>IF(SUM($D28:H28)&gt;0,0,IF(H$25&gt;H27,H27,0))</f>
        <v>0</v>
      </c>
      <c r="J28" s="115">
        <f>IF(SUM($D28:I28)&gt;0,0,IF(I$25&gt;I27,I27,0))</f>
        <v>0</v>
      </c>
      <c r="K28" s="115">
        <f>IF(SUM($D28:J28)&gt;0,0,IF(J$25&gt;J27,J27,0))</f>
        <v>0</v>
      </c>
      <c r="L28" s="115">
        <f>IF(SUM($D28:K28)&gt;0,0,IF(K$25&gt;K27,K27,0))</f>
        <v>0</v>
      </c>
      <c r="M28" s="115">
        <f>IF(SUM($D28:L28)&gt;0,0,IF(L$25&gt;L27,L27,0))</f>
        <v>0</v>
      </c>
      <c r="N28" s="115">
        <f>IF(SUM($D28:M28)&gt;0,0,IF(M$25&gt;M27,M27,0))</f>
        <v>0</v>
      </c>
      <c r="O28" s="115">
        <f>IF(SUM($D28:N28)&gt;0,0,IF(N$25&gt;N27,N27,0))</f>
        <v>0</v>
      </c>
      <c r="P28" s="115">
        <f>IF(SUM($D28:O28)&gt;0,0,IF(O$25&gt;O27,O27,0))</f>
        <v>0</v>
      </c>
      <c r="Q28" s="115">
        <f>IF(SUM($D28:P28)&gt;0,0,IF(P$25&gt;P27,P27,0))</f>
        <v>0</v>
      </c>
      <c r="R28" s="115">
        <f>IF(SUM($D28:Q28)&gt;0,0,IF(Q$25&gt;Q27,Q27,0))</f>
        <v>0</v>
      </c>
      <c r="S28" s="115">
        <f>IF(SUM($D28:R28)&gt;0,0,IF(R$25&gt;R27,R27,0))</f>
        <v>0</v>
      </c>
      <c r="T28" s="115">
        <f>IF(SUM($D28:S28)&gt;0,0,IF(S$25&gt;S27,S27,0))</f>
        <v>0</v>
      </c>
      <c r="U28" s="115">
        <f>IF(SUM($D28:T28)&gt;0,0,IF(T$25&gt;T27,T27,0))</f>
        <v>0</v>
      </c>
      <c r="V28" s="115">
        <f>IF(SUM($D28:U28)&gt;0,0,IF(U$25&gt;U27,U27,0))</f>
        <v>0</v>
      </c>
      <c r="W28" s="115">
        <f>IF(SUM($D28:V28)&gt;0,0,IF(V$25&gt;V27,V27,0))</f>
        <v>0</v>
      </c>
      <c r="X28" s="115">
        <f>IF(SUM($D28:W28)&gt;0,0,IF(W$25&gt;W27,W27,0))</f>
        <v>0</v>
      </c>
      <c r="Y28" s="115">
        <f>IF(SUM($D28:X28)&gt;0,0,IF(X$25&gt;X27,X27,0))</f>
        <v>0</v>
      </c>
      <c r="Z28" s="115">
        <f>IF(SUM($D28:Y28)&gt;0,0,IF(Y$25&gt;Y27,Y27,0))</f>
        <v>0</v>
      </c>
      <c r="AA28" s="115">
        <f>IF(SUM($D28:Z28)&gt;0,0,IF(Z$25&gt;Z27,Z27,0))</f>
        <v>0</v>
      </c>
      <c r="AB28" s="115">
        <f>IF(SUM($D28:AA28)&gt;0,0,IF(AA$25&gt;AA27,AA27,0))</f>
        <v>0</v>
      </c>
      <c r="AC28" s="115">
        <f>IF(SUM($D28:AB28)&gt;0,0,IF(AB$25&gt;AB27,AB27,0))</f>
        <v>0</v>
      </c>
      <c r="AD28" s="115">
        <f>IF(SUM($D28:AC28)&gt;0,0,IF(AC$25&gt;AC27,AC27,0))</f>
        <v>0</v>
      </c>
      <c r="AE28" s="115">
        <f>IF(SUM($D28:AD28)&gt;0,0,IF(AD$25&gt;AD27,AD27,0))</f>
        <v>0</v>
      </c>
      <c r="AF28" s="115">
        <f>IF(SUM($D28:AE28)&gt;0,0,IF(AE$25&gt;AE27,AE27,0))</f>
        <v>0</v>
      </c>
      <c r="AG28" s="115">
        <f>IF(SUM($D28:AF28)&gt;0,0,IF(AF$25&gt;AF27,AF27,0))</f>
        <v>0</v>
      </c>
      <c r="AH28" s="115">
        <f>IF(SUM($D28:AG28)&gt;0,0,IF(AG$25&gt;AG27,AG27,0))</f>
        <v>0</v>
      </c>
      <c r="AI28" s="115">
        <f>IF(SUM($D28:AH28)&gt;0,0,IF(AH$25&gt;AH27,AH27,0))</f>
        <v>0</v>
      </c>
      <c r="AJ28" s="115">
        <f>IF(SUM($D28:AI28)&gt;0,0,IF(AI$25&gt;AI27,AI27,0))</f>
        <v>0</v>
      </c>
      <c r="AK28" s="115">
        <f>IF(SUM($D28:AJ28)&gt;0,0,IF(AJ$25&gt;AJ27,AJ27,0))</f>
        <v>0</v>
      </c>
      <c r="AL28" s="115">
        <f>IF(SUM($D28:AK28)&gt;0,0,IF(AK$25&gt;AK27,AK27,0))</f>
        <v>0</v>
      </c>
      <c r="AM28" s="115">
        <f>IF(SUM($D28:AL28)&gt;0,0,IF(AL$25&gt;AL27,AL27,0))</f>
        <v>0</v>
      </c>
      <c r="AN28" s="115">
        <f>IF(SUM($D28:AM28)&gt;0,0,IF(AM$25&gt;AM27,AM27,0))</f>
        <v>0</v>
      </c>
      <c r="AO28" s="115">
        <f>IF(SUM($D28:AN28)&gt;0,0,IF(AN$25&gt;AN27,AN27,0))</f>
        <v>0</v>
      </c>
      <c r="AP28" s="115">
        <f>IF(SUM($D28:AO28)&gt;0,0,IF(AO$25&gt;AO27,AO27,0))</f>
        <v>0</v>
      </c>
      <c r="AQ28" s="115">
        <f>IF(SUM($D28:AP28)&gt;0,0,IF(AP$25&gt;AP27,AP27,0))</f>
        <v>0</v>
      </c>
      <c r="AR28" s="115">
        <f>IF(SUM($D28:AQ28)&gt;0,0,IF(AQ$25&gt;AQ27,AQ27,0))</f>
        <v>0</v>
      </c>
      <c r="AS28" s="115">
        <f>IF(SUM($D28:AR28)&gt;0,0,IF(AR$25&gt;AR27,AR27,0))</f>
        <v>0</v>
      </c>
      <c r="AT28" s="115">
        <f>IF(SUM($D28:AS28)&gt;0,0,IF(AS$25&gt;AS27,AS27,0))</f>
        <v>0</v>
      </c>
      <c r="AU28" s="115">
        <f>IF(SUM($D28:AT28)&gt;0,0,IF(AT$25&gt;AT27,AT27,0))</f>
        <v>0</v>
      </c>
      <c r="AV28" s="115">
        <f>IF(SUM($D28:AU28)&gt;0,0,IF(AU$25&gt;AU27,AU27,0))</f>
        <v>0</v>
      </c>
      <c r="AW28" s="115">
        <f>IF(SUM($D28:AV28)&gt;0,0,IF(AV$25&gt;AV27,AV27,0))</f>
        <v>0</v>
      </c>
      <c r="AX28" s="115">
        <f>IF(SUM($D28:AW28)&gt;0,0,IF(AW$25&gt;AW27,AW27,0))</f>
        <v>0</v>
      </c>
      <c r="AY28" s="115">
        <f>IF(SUM($D28:AX28)&gt;0,0,IF(AX$25&gt;AX27,AX27,0))</f>
        <v>0</v>
      </c>
      <c r="AZ28" s="115">
        <f>IF(SUM($D28:AY28)&gt;0,0,IF(AY$25&gt;AY27,AY27,0))</f>
        <v>0</v>
      </c>
      <c r="BA28" s="115">
        <f>IF(SUM($D28:AZ28)&gt;0,0,IF(AZ$25&gt;AZ27,AZ27,0))</f>
        <v>0</v>
      </c>
      <c r="BB28" s="115">
        <f>IF(SUM($D28:BA28)&gt;0,0,IF(BA$25&gt;BA27,BA27,0))</f>
        <v>0</v>
      </c>
      <c r="BC28" s="115">
        <f>IF(SUM($D28:BB28)&gt;0,0,IF(BB$25&gt;BB27,BB27,0))</f>
        <v>0</v>
      </c>
      <c r="BD28" s="115">
        <f>IF(SUM($D28:BC28)&gt;0,0,IF(BC$25&gt;BC27,BC27,0))</f>
        <v>0</v>
      </c>
      <c r="BE28" s="115">
        <f>IF(SUM($D28:BD28)&gt;0,0,IF(BD$25&gt;BD27,BD27,0))</f>
        <v>0</v>
      </c>
      <c r="BF28" s="115">
        <f>IF(SUM($D28:BE28)&gt;0,0,IF(BE$25&gt;BE27,BE27,0))</f>
        <v>0</v>
      </c>
      <c r="BG28" s="115">
        <f>IF(SUM($D28:BF28)&gt;0,0,IF(BF$25&gt;BF27,BF27,0))</f>
        <v>0</v>
      </c>
      <c r="BH28" s="115">
        <f>IF(SUM($D28:BG28)&gt;0,0,IF(BG$25&gt;BG27,BG27,0))</f>
        <v>0</v>
      </c>
      <c r="BI28" s="115">
        <f>IF(SUM($D28:BH28)&gt;0,0,IF(BH$25&gt;BH27,BH27,0))</f>
        <v>0</v>
      </c>
      <c r="BJ28" s="115">
        <f>IF(SUM($D28:BI28)&gt;0,0,IF(BI$25&gt;BI27,BI27,0))</f>
        <v>0</v>
      </c>
      <c r="BK28" s="115">
        <f>IF(SUM($D28:BJ28)&gt;0,0,IF(BJ$25&gt;BJ27,BJ27,0))</f>
        <v>0</v>
      </c>
      <c r="BL28" s="115">
        <f>IF(SUM($D28:BK28)&gt;0,0,IF(BK$25&gt;BK27,BK27,0))</f>
        <v>0</v>
      </c>
      <c r="BM28" s="115">
        <f>IF(SUM($D28:BL28)&gt;0,0,IF(BL$25&gt;BL27,BL27,0))</f>
        <v>0</v>
      </c>
      <c r="BN28" s="115">
        <f>IF(SUM($D28:BM28)&gt;0,0,IF(BM$25&gt;BM27,BM27,0))</f>
        <v>0</v>
      </c>
      <c r="BO28" s="115">
        <f>IF(SUM($D28:BN28)&gt;0,0,IF(BN$25&gt;BN27,BN27,0))</f>
        <v>0</v>
      </c>
      <c r="BP28" s="115">
        <f>IF(SUM($D28:BO28)&gt;0,0,IF(BO$25&gt;BO27,BO27,0))</f>
        <v>0</v>
      </c>
      <c r="BQ28" s="115">
        <f>IF(SUM($D28:BP28)&gt;0,0,IF(BP$25&gt;BP27,BP27,0))</f>
        <v>0</v>
      </c>
      <c r="BR28" s="115">
        <f>IF(SUM($D28:BQ28)&gt;0,0,IF(BQ$25&gt;BQ27,BQ27,0))</f>
        <v>0</v>
      </c>
      <c r="BS28" s="115">
        <f>IF(SUM($D28:BR28)&gt;0,0,IF(BR$25&gt;BR27,BR27,0))</f>
        <v>0</v>
      </c>
      <c r="BT28" s="115">
        <f>IF(SUM($D28:BS28)&gt;0,0,IF(BS$25&gt;BS27,BS27,0))</f>
        <v>0</v>
      </c>
      <c r="BU28" s="115">
        <f>IF(SUM($D28:BT28)&gt;0,0,IF(BT$25&gt;BT27,BT27,0))</f>
        <v>0</v>
      </c>
      <c r="BV28" s="115">
        <f>IF(SUM($D28:BU28)&gt;0,0,IF(BU$25&gt;BU27,BU27,0))</f>
        <v>0</v>
      </c>
      <c r="BW28" s="115">
        <f>IF(SUM($D28:BV28)&gt;0,0,IF(BV$25&gt;BV27,BV27,0))</f>
        <v>0</v>
      </c>
      <c r="BX28" s="115">
        <f>IF(SUM($D28:BW28)&gt;0,0,IF(BW$25&gt;BW27,BW27,0))</f>
        <v>0</v>
      </c>
      <c r="BY28" s="115">
        <f>IF(SUM($D28:BX28)&gt;0,0,IF(BX$25&gt;BX27,BX27,0))</f>
        <v>0</v>
      </c>
      <c r="BZ28" s="115">
        <f>IF(SUM($D28:BY28)&gt;0,0,IF(BY$25&gt;BY27,BY27,0))</f>
        <v>0</v>
      </c>
      <c r="CA28" s="115">
        <f>IF(SUM($D28:BZ28)&gt;0,0,IF(BZ$25&gt;BZ27,BZ27,0))</f>
        <v>0</v>
      </c>
      <c r="CB28" s="115">
        <f>IF(SUM($D28:CA28)&gt;0,0,IF(CA$25&gt;CA27,CA27,0))</f>
        <v>0</v>
      </c>
      <c r="CC28" s="115">
        <f>IF(SUM($D28:CB28)&gt;0,0,IF(CB$25&gt;CB27,CB27,0))</f>
        <v>0</v>
      </c>
      <c r="CD28" s="115">
        <f>IF(SUM($D28:CC28)&gt;0,0,IF(CC$25&gt;CC27,CC27,0))</f>
        <v>0</v>
      </c>
      <c r="CE28" s="115">
        <f>IF(SUM($D28:CD28)&gt;0,0,IF(CD$25&gt;CD27,CD27,0))</f>
        <v>0</v>
      </c>
      <c r="CF28" s="115">
        <f>IF(SUM($D28:CE28)&gt;0,0,IF(CE$25&gt;CE27,CE27,0))</f>
        <v>0</v>
      </c>
      <c r="CG28" s="115">
        <f>IF(SUM($D28:CF28)&gt;0,0,IF(CF$25&gt;CF27,CF27,0))</f>
        <v>0</v>
      </c>
      <c r="CH28" s="115">
        <f>IF(SUM($D28:CG28)&gt;0,0,IF(CG$25&gt;CG27,CG27,0))</f>
        <v>0</v>
      </c>
      <c r="CI28" s="115">
        <f>IF(SUM($D28:CH28)&gt;0,0,IF(CH$25&gt;CH27,CH27,0))</f>
        <v>0</v>
      </c>
      <c r="CJ28" s="115">
        <f>IF(SUM($D28:CI28)&gt;0,0,IF(CI$25&gt;CI27,CI27,0))</f>
        <v>0</v>
      </c>
      <c r="CK28" s="115">
        <f>IF(SUM($D28:CJ28)&gt;0,0,IF(CJ$25&gt;CJ27,CJ27,0))</f>
        <v>0</v>
      </c>
      <c r="CL28" s="115">
        <f>IF(SUM($D28:CK28)&gt;0,0,IF(CK$25&gt;CK27,CK27,0))</f>
        <v>0</v>
      </c>
      <c r="CM28" s="115">
        <f>IF(SUM($D28:CL28)&gt;0,0,IF(CL$25&gt;CL27,CL27,0))</f>
        <v>0</v>
      </c>
      <c r="CN28" s="115">
        <f>IF(SUM($D28:CM28)&gt;0,0,IF(CM$25&gt;CM27,CM27,0))</f>
        <v>0</v>
      </c>
      <c r="CO28" s="115">
        <f>IF(SUM($D28:CN28)&gt;0,0,IF(CN$25&gt;CN27,CN27,0))</f>
        <v>0</v>
      </c>
      <c r="CP28" s="115">
        <f>IF(SUM($D28:CO28)&gt;0,0,IF(CO$25&gt;CO27,CO27,0))</f>
        <v>0</v>
      </c>
      <c r="CQ28" s="115">
        <f>IF(SUM($D28:CP28)&gt;0,0,IF(CP$25&gt;CP27,CP27,0))</f>
        <v>0</v>
      </c>
      <c r="CR28" s="115">
        <f>IF(SUM($D28:CQ28)&gt;0,0,IF(CQ$25&gt;CQ27,CQ27,0))</f>
        <v>0</v>
      </c>
      <c r="CS28" s="115">
        <f>IF(SUM($D28:CR28)&gt;0,0,IF(CR$25&gt;CR27,CR27,0))</f>
        <v>0</v>
      </c>
      <c r="CT28" s="115">
        <f>IF(SUM($D28:CS28)&gt;0,0,IF(CS$25&gt;CS27,CS27,0))</f>
        <v>0</v>
      </c>
      <c r="CU28" s="115">
        <f>IF(SUM($D28:CT28)&gt;0,0,IF(CT$25&gt;CT27,CT27,0))</f>
        <v>0</v>
      </c>
      <c r="CV28" s="115">
        <f>IF(SUM($D28:CU28)&gt;0,0,IF(CU$25&gt;CU27,CU27,0))</f>
        <v>0</v>
      </c>
      <c r="CW28" s="115">
        <f>IF(SUM($D28:CV28)&gt;0,0,IF(CV$25&gt;CV27,CV27,0))</f>
        <v>0</v>
      </c>
      <c r="CX28" s="115">
        <f>IF(SUM($D28:CW28)&gt;0,0,IF(CW$25&gt;CW27,CW27,0))</f>
        <v>0</v>
      </c>
      <c r="CY28" s="115">
        <f>IF(SUM($D28:CX28)&gt;0,0,IF(CX$25&gt;CX27,CX27,0))</f>
        <v>0</v>
      </c>
      <c r="CZ28" s="115">
        <f>IF(SUM($D28:CY28)&gt;0,0,IF(CY$25&gt;CY27,CY27,0))</f>
        <v>0</v>
      </c>
      <c r="DA28" s="115">
        <f>IF(SUM($D28:CZ28)&gt;0,0,IF(CZ$25&gt;CZ27,CZ27,0))</f>
        <v>0</v>
      </c>
      <c r="DB28" s="115">
        <f>IF(SUM($D28:DA28)&gt;0,0,IF(DA$25&gt;DA27,DA27,0))</f>
        <v>0</v>
      </c>
      <c r="DC28" s="115">
        <f>IF(SUM($D28:DB28)&gt;0,0,IF(DB$25&gt;DB27,DB27,0))</f>
        <v>0</v>
      </c>
      <c r="DD28" s="115">
        <f>IF(SUM($D28:DC28)&gt;0,0,IF(DC$25&gt;DC27,DC27,0))</f>
        <v>0</v>
      </c>
      <c r="DE28" s="115">
        <f>IF(SUM($D28:DD28)&gt;0,0,IF(DD$25&gt;DD27,DD27,0))</f>
        <v>0</v>
      </c>
      <c r="DF28" s="115">
        <f>IF(SUM($D28:DE28)&gt;0,0,IF(DE$25&gt;DE27,DE27,0))</f>
        <v>0</v>
      </c>
      <c r="DG28" s="115">
        <f>IF(SUM($D28:DF28)&gt;0,0,IF(DF$25&gt;DF27,DF27,0))</f>
        <v>0</v>
      </c>
      <c r="DH28" s="115">
        <f>IF(SUM($D28:DG28)&gt;0,0,IF(DG$25&gt;DG27,DG27,0))</f>
        <v>0</v>
      </c>
      <c r="DI28" s="115">
        <f>IF(SUM($D28:DH28)&gt;0,0,IF(DH$25&gt;DH27,DH27,0))</f>
        <v>0</v>
      </c>
      <c r="DJ28" s="115">
        <f>IF(SUM($D28:DI28)&gt;0,0,IF(DI$25&gt;DI27,DI27,0))</f>
        <v>0</v>
      </c>
      <c r="DK28" s="115">
        <f>IF(SUM($D28:DJ28)&gt;0,0,IF(DJ$25&gt;DJ27,DJ27,0))</f>
        <v>0</v>
      </c>
      <c r="DL28" s="115">
        <f>IF(SUM($D28:DK28)&gt;0,0,IF(DK$25&gt;DK27,DK27,0))</f>
        <v>0</v>
      </c>
      <c r="DM28" s="115">
        <f>IF(SUM($D28:DL28)&gt;0,0,IF(DL$25&gt;DL27,DL27,0))</f>
        <v>0</v>
      </c>
      <c r="DN28" s="115">
        <f>IF(SUM($D28:DM28)&gt;0,0,IF(DM$25&gt;DM27,DM27,0))</f>
        <v>0</v>
      </c>
      <c r="DO28" s="115">
        <f>IF(SUM($D28:DN28)&gt;0,0,IF(DN$25&gt;DN27,DN27,0))</f>
        <v>0</v>
      </c>
      <c r="DP28" s="115">
        <f>IF(SUM($D28:DO28)&gt;0,0,IF(DO$25&gt;DO27,DO27,0))</f>
        <v>0</v>
      </c>
      <c r="DQ28" s="115">
        <f>IF(SUM($D28:DP28)&gt;0,0,IF(DP$25&gt;DP27,DP27,0))</f>
        <v>0</v>
      </c>
      <c r="DR28" s="115">
        <f>IF(SUM($D28:DQ28)&gt;0,0,IF(DQ$25&gt;DQ27,DQ27,0))</f>
        <v>0</v>
      </c>
      <c r="DS28" s="115">
        <f>IF(SUM($D28:DR28)&gt;0,0,IF(DR$25&gt;DR27,DR27,0))</f>
        <v>0</v>
      </c>
      <c r="DT28" s="115">
        <f>IF(SUM($D28:DS28)&gt;0,0,IF(DS$25&gt;DS27,DS27,0))</f>
        <v>0</v>
      </c>
      <c r="DU28" s="115">
        <f>IF(SUM($D28:DT28)&gt;0,0,IF(DT$25&gt;DT27,DT27,0))</f>
        <v>0</v>
      </c>
      <c r="DV28" s="115">
        <f>IF(SUM($D28:DU28)&gt;0,0,IF(DU$25&gt;DU27,DU27,0))</f>
        <v>0</v>
      </c>
      <c r="DW28" s="115">
        <f>IF(SUM($D28:DV28)&gt;0,0,IF(DV$25&gt;DV27,DV27,0))</f>
        <v>0</v>
      </c>
      <c r="DX28" s="115">
        <f>IF(SUM($D28:DW28)&gt;0,0,IF(DW$25&gt;DW27,DW27,0))</f>
        <v>0</v>
      </c>
      <c r="DY28" s="115">
        <f>IF(SUM($D28:DX28)&gt;0,0,IF(DX$25&gt;DX27,DX27,0))</f>
        <v>0</v>
      </c>
      <c r="DZ28" s="115">
        <f>IF(SUM($D28:DY28)&gt;0,0,IF(DY$25&gt;DY27,DY27,0))</f>
        <v>0</v>
      </c>
      <c r="EA28" s="115">
        <f>IF(SUM($D28:DZ28)&gt;0,0,IF(DZ$25&gt;DZ27,DZ27,0))</f>
        <v>0</v>
      </c>
      <c r="EB28" s="115">
        <f>IF(SUM($D28:EA28)&gt;0,0,IF(EA$25&gt;EA27,EA27,0))</f>
        <v>0</v>
      </c>
      <c r="EC28" s="115">
        <f>IF(SUM($D28:EB28)&gt;0,0,IF(EB$25&gt;EB27,EB27,0))</f>
        <v>0</v>
      </c>
      <c r="ED28" s="115">
        <f>IF(SUM($D28:EC28)&gt;0,0,IF(EC$25&gt;EC27,EC27,0))</f>
        <v>0</v>
      </c>
      <c r="EE28" s="115">
        <f>IF(SUM($D28:ED28)&gt;0,0,IF(ED$25&gt;ED27,ED27,0))</f>
        <v>0</v>
      </c>
      <c r="EF28" s="115">
        <f>IF(SUM($D28:EE28)&gt;0,0,IF(EE$25&gt;EE27,EE27,0))</f>
        <v>0</v>
      </c>
      <c r="EG28" s="115">
        <f>IF(SUM($D28:EF28)&gt;0,0,IF(EF$25&gt;EF27,EF27,0))</f>
        <v>0</v>
      </c>
      <c r="EH28" s="115">
        <f>IF(SUM($D28:EG28)&gt;0,0,IF(EG$25&gt;EG27,EG27,0))</f>
        <v>0</v>
      </c>
      <c r="EI28" s="115">
        <f>IF(SUM($D28:EH28)&gt;0,0,IF(EH$25&gt;EH27,EH27,0))</f>
        <v>0</v>
      </c>
      <c r="EJ28" s="115">
        <f>IF(SUM($D28:EI28)&gt;0,0,IF(EI$25&gt;EI27,EI27,0))</f>
        <v>0</v>
      </c>
      <c r="EK28" s="115">
        <f>IF(SUM($D28:EJ28)&gt;0,0,IF(EJ$25&gt;EJ27,EJ27,0))</f>
        <v>0</v>
      </c>
      <c r="EL28" s="115">
        <f>IF(SUM($D28:EK28)&gt;0,0,IF(EK$25&gt;EK27,EK27,0))</f>
        <v>0</v>
      </c>
      <c r="EM28" s="115">
        <f>IF(SUM($D28:EL28)&gt;0,0,IF(EL$25&gt;EL27,EL27,0))</f>
        <v>0</v>
      </c>
      <c r="EN28" s="115">
        <f>IF(SUM($D28:EM28)&gt;0,0,IF(EM$25&gt;EM27,EM27,0))</f>
        <v>0</v>
      </c>
      <c r="EO28" s="115">
        <f>IF(SUM($D28:EN28)&gt;0,0,IF(EN$25&gt;EN27,EN27,0))</f>
        <v>0</v>
      </c>
      <c r="EP28" s="115">
        <f>IF(SUM($D28:EO28)&gt;0,0,IF(EO$25&gt;EO27,EO27,0))</f>
        <v>0</v>
      </c>
      <c r="EQ28" s="115">
        <f>IF(SUM($D28:EP28)&gt;0,0,IF(EP$25&gt;EP27,EP27,0))</f>
        <v>0</v>
      </c>
      <c r="ER28" s="115">
        <f>IF(SUM($D28:EQ28)&gt;0,0,IF(EQ$25&gt;EQ27,EQ27,0))</f>
        <v>0</v>
      </c>
      <c r="ES28" s="115">
        <f>IF(SUM($D28:ER28)&gt;0,0,IF(ER$25&gt;ER27,ER27,0))</f>
        <v>0</v>
      </c>
      <c r="ET28" s="115">
        <f>IF(SUM($D28:ES28)&gt;0,0,IF(ES$25&gt;ES27,ES27,0))</f>
        <v>0</v>
      </c>
      <c r="EU28" s="115">
        <f>IF(SUM($D28:ET28)&gt;0,0,IF(ET$25&gt;ET27,ET27,0))</f>
        <v>0</v>
      </c>
      <c r="EV28" s="115">
        <f>IF(SUM($D28:EU28)&gt;0,0,IF(EU$25&gt;EU27,EU27,0))</f>
        <v>0</v>
      </c>
      <c r="EW28" s="115">
        <f>IF(SUM($D28:EV28)&gt;0,0,IF(EV$25&gt;EV27,EV27,0))</f>
        <v>0</v>
      </c>
      <c r="EX28" s="115">
        <f>IF(SUM($D28:EW28)&gt;0,0,IF(EW$25&gt;EW27,EW27,0))</f>
        <v>0</v>
      </c>
      <c r="EY28" s="115">
        <f>IF(SUM($D28:EX28)&gt;0,0,IF(EX$25&gt;EX27,EX27,0))</f>
        <v>0</v>
      </c>
      <c r="EZ28" s="115">
        <f>IF(SUM($D28:EY28)&gt;0,0,IF(EY$25&gt;EY27,EY27,0))</f>
        <v>0</v>
      </c>
      <c r="FA28" s="115">
        <f>IF(SUM($D28:EZ28)&gt;0,0,IF(EZ$25&gt;EZ27,EZ27,0))</f>
        <v>0</v>
      </c>
      <c r="FB28" s="115">
        <f>IF(SUM($D28:FA28)&gt;0,0,IF(FA$25&gt;FA27,FA27,0))</f>
        <v>0</v>
      </c>
      <c r="FC28" s="115">
        <f>IF(SUM($D28:FB28)&gt;0,0,IF(FB$25&gt;FB27,FB27,0))</f>
        <v>0</v>
      </c>
      <c r="FD28" s="115">
        <f>IF(SUM($D28:FC28)&gt;0,0,IF(FC$25&gt;FC27,FC27,0))</f>
        <v>0</v>
      </c>
      <c r="FE28" s="115">
        <f>IF(SUM($D28:FD28)&gt;0,0,IF(FD$25&gt;FD27,FD27,0))</f>
        <v>0</v>
      </c>
      <c r="FF28" s="115">
        <f>IF(SUM($D28:FE28)&gt;0,0,IF(FE$25&gt;FE27,FE27,0))</f>
        <v>0</v>
      </c>
      <c r="FG28" s="115">
        <f>IF(SUM($D28:FF28)&gt;0,0,IF(FF$25&gt;FF27,FF27,0))</f>
        <v>0</v>
      </c>
      <c r="FH28" s="115">
        <f>IF(SUM($D28:FG28)&gt;0,0,IF(FG$25&gt;FG27,FG27,0))</f>
        <v>0</v>
      </c>
      <c r="FI28" s="115">
        <f>IF(SUM($D28:FH28)&gt;0,0,IF(FH$25&gt;FH27,FH27,0))</f>
        <v>0</v>
      </c>
      <c r="FJ28" s="115">
        <f>IF(SUM($D28:FI28)&gt;0,0,IF(FI$25&gt;FI27,FI27,0))</f>
        <v>0</v>
      </c>
      <c r="FK28" s="115">
        <f>IF(SUM($D28:FJ28)&gt;0,0,IF(FJ$25&gt;FJ27,FJ27,0))</f>
        <v>0</v>
      </c>
      <c r="FL28" s="115">
        <f>IF(SUM($D28:FK28)&gt;0,0,IF(FK$25&gt;FK27,FK27,0))</f>
        <v>0</v>
      </c>
      <c r="FM28" s="115">
        <f>IF(SUM($D28:FL28)&gt;0,0,IF(FL$25&gt;FL27,FL27,0))</f>
        <v>0</v>
      </c>
      <c r="FN28" s="115">
        <f>IF(SUM($D28:FM28)&gt;0,0,IF(FM$25&gt;FM27,FM27,0))</f>
        <v>0</v>
      </c>
      <c r="FO28" s="115">
        <f>IF(SUM($D28:FN28)&gt;0,0,IF(FN$25&gt;FN27,FN27,0))</f>
        <v>0</v>
      </c>
      <c r="FP28" s="115">
        <f>IF(SUM($D28:FO28)&gt;0,0,IF(FO$25&gt;FO27,FO27,0))</f>
        <v>0</v>
      </c>
      <c r="FQ28" s="115">
        <f>IF(SUM($D28:FP28)&gt;0,0,IF(FP$25&gt;FP27,FP27,0))</f>
        <v>0</v>
      </c>
      <c r="FR28" s="115">
        <f>IF(SUM($D28:FQ28)&gt;0,0,IF(FQ$25&gt;FQ27,FQ27,0))</f>
        <v>0</v>
      </c>
      <c r="FS28" s="115">
        <f>IF(SUM($D28:FR28)&gt;0,0,IF(FR$25&gt;FR27,FR27,0))</f>
        <v>0</v>
      </c>
      <c r="FT28" s="115">
        <f>IF(SUM($D28:FS28)&gt;0,0,IF(FS$25&gt;FS27,FS27,0))</f>
        <v>0</v>
      </c>
      <c r="FU28" s="115">
        <f>IF(SUM($D28:FT28)&gt;0,0,IF(FT$25&gt;FT27,FT27,0))</f>
        <v>0</v>
      </c>
      <c r="FV28" s="115">
        <f>IF(SUM($D28:FU28)&gt;0,0,IF(FU$25&gt;FU27,FU27,0))</f>
        <v>0</v>
      </c>
      <c r="FW28" s="115">
        <f>IF(SUM($D28:FV28)&gt;0,0,IF(FV$25&gt;FV27,FV27,0))</f>
        <v>0</v>
      </c>
      <c r="FX28" s="115">
        <f>IF(SUM($D28:FW28)&gt;0,0,IF(FW$25&gt;FW27,FW27,0))</f>
        <v>0</v>
      </c>
      <c r="FY28" s="115">
        <f>IF(SUM($D28:FX28)&gt;0,0,IF(FX$25&gt;FX27,FX27,0))</f>
        <v>0</v>
      </c>
      <c r="FZ28" s="115">
        <f>IF(SUM($D28:FY28)&gt;0,0,IF(FY$25&gt;FY27,FY27,0))</f>
        <v>0</v>
      </c>
      <c r="GA28" s="115">
        <f>IF(SUM($D28:FZ28)&gt;0,0,IF(FZ$25&gt;FZ27,FZ27,0))</f>
        <v>0</v>
      </c>
      <c r="GB28" s="115">
        <f>IF(SUM($D28:GA28)&gt;0,0,IF(GA$25&gt;GA27,GA27,0))</f>
        <v>0</v>
      </c>
      <c r="GC28" s="115">
        <f>IF(SUM($D28:GB28)&gt;0,0,IF(GB$25&gt;GB27,GB27,0))</f>
        <v>0</v>
      </c>
      <c r="GD28" s="115">
        <f>IF(SUM($D28:GC28)&gt;0,0,IF(GC$25&gt;GC27,GC27,0))</f>
        <v>0</v>
      </c>
      <c r="GE28" s="115">
        <f>IF(SUM($D28:GD28)&gt;0,0,IF(GD$25&gt;GD27,GD27,0))</f>
        <v>0</v>
      </c>
      <c r="GF28" s="115">
        <f>IF(SUM($D28:GE28)&gt;0,0,IF(GE$25&gt;GE27,GE27,0))</f>
        <v>0</v>
      </c>
      <c r="GG28" s="115">
        <f>IF(SUM($D28:GF28)&gt;0,0,IF(GF$25&gt;GF27,GF27,0))</f>
        <v>0</v>
      </c>
      <c r="GH28" s="115">
        <f>IF(SUM($D28:GG28)&gt;0,0,IF(GG$25&gt;GG27,GG27,0))</f>
        <v>0</v>
      </c>
      <c r="GI28" s="115">
        <f>IF(SUM($D28:GH28)&gt;0,0,IF(GH$25&gt;GH27,GH27,0))</f>
        <v>0</v>
      </c>
      <c r="GJ28" s="115">
        <f>IF(SUM($D28:GI28)&gt;0,0,IF(GI$25&gt;GI27,GI27,0))</f>
        <v>0</v>
      </c>
      <c r="GK28" s="115">
        <f>IF(SUM($D28:GJ28)&gt;0,0,IF(GJ$25&gt;GJ27,GJ27,0))</f>
        <v>0</v>
      </c>
      <c r="GL28" s="115">
        <f>IF(SUM($D28:GK28)&gt;0,0,IF(GK$25&gt;GK27,GK27,0))</f>
        <v>0</v>
      </c>
      <c r="GM28" s="115">
        <f>IF(SUM($D28:GL28)&gt;0,0,IF(GL$25&gt;GL27,GL27,0))</f>
        <v>0</v>
      </c>
      <c r="GN28" s="115">
        <f>IF(SUM($D28:GM28)&gt;0,0,IF(GM$25&gt;GM27,GM27,0))</f>
        <v>0</v>
      </c>
      <c r="GO28" s="115">
        <f>IF(SUM($D28:GN28)&gt;0,0,IF(GN$25&gt;GN27,GN27,0))</f>
        <v>0</v>
      </c>
      <c r="GP28" s="115">
        <f>IF(SUM($D28:GO28)&gt;0,0,IF(GO$25&gt;GO27,GO27,0))</f>
        <v>0</v>
      </c>
      <c r="GQ28" s="115">
        <f>IF(SUM($D28:GP28)&gt;0,0,IF(GP$25&gt;GP27,GP27,0))</f>
        <v>0</v>
      </c>
      <c r="GR28" s="115">
        <f>IF(SUM($D28:GQ28)&gt;0,0,IF(GQ$25&gt;GQ27,GQ27,0))</f>
        <v>0</v>
      </c>
      <c r="GS28" s="115">
        <f>IF(SUM($D28:GR28)&gt;0,0,IF(GR$25&gt;GR27,GR27,0))</f>
        <v>0</v>
      </c>
      <c r="GT28" s="115">
        <f>IF(SUM($D28:GS28)&gt;0,0,IF(GS$25&gt;GS27,GS27,0))</f>
        <v>0</v>
      </c>
      <c r="GU28" s="115">
        <f>IF(SUM($D28:GT28)&gt;0,0,IF(GT$25&gt;GT27,GT27,0))</f>
        <v>0</v>
      </c>
      <c r="GV28" s="115">
        <f>IF(SUM($D28:GU28)&gt;0,0,IF(GU$25&gt;GU27,GU27,0))</f>
        <v>0</v>
      </c>
      <c r="GW28" s="115">
        <f>IF(SUM($D28:GV28)&gt;0,0,IF(GV$25&gt;GV27,GV27,0))</f>
        <v>0</v>
      </c>
      <c r="GX28" s="115">
        <f>IF(SUM($D28:GW28)&gt;0,0,IF(GW$25&gt;GW27,GW27,0))</f>
        <v>0</v>
      </c>
      <c r="GY28" s="115">
        <f>IF(SUM($D28:GX28)&gt;0,0,IF(GX$25&gt;GX27,GX27,0))</f>
        <v>0</v>
      </c>
      <c r="GZ28" s="115">
        <f>IF(SUM($D28:GY28)&gt;0,0,IF(GY$25&gt;GY27,GY27,0))</f>
        <v>0</v>
      </c>
      <c r="HA28" s="115">
        <f>IF(SUM($D28:GZ28)&gt;0,0,IF(GZ$25&gt;GZ27,GZ27,0))</f>
        <v>0</v>
      </c>
      <c r="HB28" s="115">
        <f>IF(SUM($D28:HA28)&gt;0,0,IF(HA$25&gt;HA27,HA27,0))</f>
        <v>0</v>
      </c>
      <c r="HC28" s="115">
        <f>IF(SUM($D28:HB28)&gt;0,0,IF(HB$25&gt;HB27,HB27,0))</f>
        <v>0</v>
      </c>
      <c r="HD28" s="115">
        <f>IF(SUM($D28:HC28)&gt;0,0,IF(HC$25&gt;HC27,HC27,0))</f>
        <v>0</v>
      </c>
      <c r="HE28" s="115">
        <f>IF(SUM($D28:HD28)&gt;0,0,IF(HD$25&gt;HD27,HD27,0))</f>
        <v>0</v>
      </c>
      <c r="HF28" s="115">
        <f>IF(SUM($D28:HE28)&gt;0,0,IF(HE$25&gt;HE27,HE27,0))</f>
        <v>0</v>
      </c>
      <c r="HG28" s="115">
        <f>IF(SUM($D28:HF28)&gt;0,0,IF(HF$25&gt;HF27,HF27,0))</f>
        <v>0</v>
      </c>
      <c r="HH28" s="115">
        <f>IF(SUM($D28:HG28)&gt;0,0,IF(HG$25&gt;HG27,HG27,0))</f>
        <v>0</v>
      </c>
      <c r="HI28" s="115">
        <f>IF(SUM($D28:HH28)&gt;0,0,IF(HH$25&gt;HH27,HH27,0))</f>
        <v>0</v>
      </c>
      <c r="HJ28" s="115">
        <f>IF(SUM($D28:HI28)&gt;0,0,IF(HI$25&gt;HI27,HI27,0))</f>
        <v>0</v>
      </c>
      <c r="HK28" s="115">
        <f>IF(SUM($D28:HJ28)&gt;0,0,IF(HJ$25&gt;HJ27,HJ27,0))</f>
        <v>0</v>
      </c>
      <c r="HL28" s="115">
        <f>IF(SUM($D28:HK28)&gt;0,0,IF(HK$25&gt;HK27,HK27,0))</f>
        <v>0</v>
      </c>
      <c r="HM28" s="115">
        <f>IF(SUM($D28:HL28)&gt;0,0,IF(HL$25&gt;HL27,HL27,0))</f>
        <v>0</v>
      </c>
      <c r="HN28" s="115">
        <f>IF(SUM($D28:HM28)&gt;0,0,IF(HM$25&gt;HM27,HM27,0))</f>
        <v>0</v>
      </c>
      <c r="HO28" s="115">
        <f>IF(SUM($D28:HN28)&gt;0,0,IF(HN$25&gt;HN27,HN27,0))</f>
        <v>0</v>
      </c>
      <c r="HP28" s="115">
        <f>IF(SUM($D28:HO28)&gt;0,0,IF(HO$25&gt;HO27,HO27,0))</f>
        <v>0</v>
      </c>
      <c r="HQ28" s="115">
        <f>IF(SUM($D28:HP28)&gt;0,0,IF(HP$25&gt;HP27,HP27,0))</f>
        <v>0</v>
      </c>
      <c r="HR28" s="115">
        <f>IF(SUM($D28:HQ28)&gt;0,0,IF(HQ$25&gt;HQ27,HQ27,0))</f>
        <v>0</v>
      </c>
      <c r="HS28" s="115">
        <f>IF(SUM($D28:HR28)&gt;0,0,IF(HR$25&gt;HR27,HR27,0))</f>
        <v>0</v>
      </c>
      <c r="HT28" s="115">
        <f>IF(SUM($D28:HS28)&gt;0,0,IF(HS$25&gt;HS27,HS27,0))</f>
        <v>0</v>
      </c>
      <c r="HU28" s="115">
        <f>IF(SUM($D28:HT28)&gt;0,0,IF(HT$25&gt;HT27,HT27,0))</f>
        <v>0</v>
      </c>
      <c r="HV28" s="115">
        <f>IF(SUM($D28:HU28)&gt;0,0,IF(HU$25&gt;HU27,HU27,0))</f>
        <v>0</v>
      </c>
      <c r="HW28" s="115">
        <f>IF(SUM($D28:HV28)&gt;0,0,IF(HV$25&gt;HV27,HV27,0))</f>
        <v>0</v>
      </c>
      <c r="HX28" s="115">
        <f>IF(SUM($D28:HW28)&gt;0,0,IF(HW$25&gt;HW27,HW27,0))</f>
        <v>0</v>
      </c>
      <c r="HY28" s="115">
        <f>IF(SUM($D28:HX28)&gt;0,0,IF(HX$25&gt;HX27,HX27,0))</f>
        <v>0</v>
      </c>
      <c r="HZ28" s="115">
        <f>IF(SUM($D28:HY28)&gt;0,0,IF(HY$25&gt;HY27,HY27,0))</f>
        <v>0</v>
      </c>
      <c r="IA28" s="115">
        <f>IF(SUM($D28:HZ28)&gt;0,0,IF(HZ$25&gt;HZ27,HZ27,0))</f>
        <v>0</v>
      </c>
      <c r="IB28" s="115">
        <f>IF(SUM($D28:IA28)&gt;0,0,IF(IA$25&gt;IA27,IA27,0))</f>
        <v>0</v>
      </c>
      <c r="IC28" s="115">
        <f>IF(SUM($D28:IB28)&gt;0,0,IF(IB$25&gt;IB27,IB27,0))</f>
        <v>0</v>
      </c>
      <c r="ID28" s="115">
        <f>IF(SUM($D28:IC28)&gt;0,0,IF(IC$25&gt;IC27,IC27,0))</f>
        <v>0</v>
      </c>
      <c r="IE28" s="115">
        <f>IF(SUM($D28:ID28)&gt;0,0,IF(ID$25&gt;ID27,ID27,0))</f>
        <v>0</v>
      </c>
      <c r="IF28" s="115">
        <f>IF(SUM($D28:IE28)&gt;0,0,IF(IE$25&gt;IE27,IE27,0))</f>
        <v>0</v>
      </c>
      <c r="IG28" s="115">
        <f>IF(SUM($D28:IF28)&gt;0,0,IF(IF$25&gt;IF27,IF27,0))</f>
        <v>0</v>
      </c>
      <c r="IH28" s="115">
        <f>IF(SUM($D28:IG28)&gt;0,0,IF(IG$25&gt;IG27,IG27,0))</f>
        <v>0</v>
      </c>
      <c r="II28" s="115">
        <f>IF(SUM($D28:IH28)&gt;0,0,IF(IH$25&gt;IH27,IH27,0))</f>
        <v>0</v>
      </c>
      <c r="IJ28" s="115">
        <f>IF(SUM($D28:II28)&gt;0,0,IF(II$25&gt;II27,II27,0))</f>
        <v>0</v>
      </c>
      <c r="IK28" s="115">
        <f>IF(SUM($D28:IJ28)&gt;0,0,IF(IJ$25&gt;IJ27,IJ27,0))</f>
        <v>0</v>
      </c>
      <c r="IL28" s="115">
        <f>IF(SUM($D28:IK28)&gt;0,0,IF(IK$25&gt;IK27,IK27,0))</f>
        <v>0</v>
      </c>
      <c r="IM28" s="115">
        <f>IF(SUM($D28:IL28)&gt;0,0,IF(IL$25&gt;IL27,IL27,0))</f>
        <v>0</v>
      </c>
      <c r="IN28" s="115">
        <f>IF(SUM($D28:IM28)&gt;0,0,IF(IM$25&gt;IM27,IM27,0))</f>
        <v>0</v>
      </c>
      <c r="IO28" s="115">
        <f>IF(SUM($D28:IN28)&gt;0,0,IF(IN$25&gt;IN27,IN27,0))</f>
        <v>0</v>
      </c>
      <c r="IP28" s="115">
        <f>IF(SUM($D28:IO28)&gt;0,0,IF(IO$25&gt;IO27,IO27,0))</f>
        <v>0</v>
      </c>
      <c r="IQ28" s="115">
        <f>IF(SUM($D28:IP28)&gt;0,0,IF(IP$25&gt;IP27,IP27,0))</f>
        <v>0</v>
      </c>
      <c r="IR28" s="115">
        <f>IF(SUM($D28:IQ28)&gt;0,0,IF(IQ$25&gt;IQ27,IQ27,0))</f>
        <v>0</v>
      </c>
      <c r="IS28" s="115">
        <f>IF(SUM($D28:IR28)&gt;0,0,IF(IR$25&gt;IR27,IR27,0))</f>
        <v>0</v>
      </c>
      <c r="IT28" s="115">
        <f>IF(SUM($D28:IS28)&gt;0,0,IF(IS$25&gt;IS27,IS27,0))</f>
        <v>0</v>
      </c>
      <c r="IU28" s="115">
        <f>IF(SUM($D28:IT28)&gt;0,0,IF(IT$25&gt;IT27,IT27,0))</f>
        <v>0</v>
      </c>
      <c r="IV28" s="115">
        <f>IF(SUM($D28:IU28)&gt;0,0,IF(IU$25&gt;IU27,IU27,0))</f>
        <v>0</v>
      </c>
      <c r="IW28" s="115">
        <f>IF(SUM($D28:IV28)&gt;0,0,IF(IV$25&gt;IV27,IV27,0))</f>
        <v>0</v>
      </c>
      <c r="IX28" s="115">
        <f>IF(SUM($D28:IW28)&gt;0,0,IF(IW$25&gt;IW27,IW27,0))</f>
        <v>0</v>
      </c>
      <c r="IY28" s="115">
        <f>IF(SUM($D28:IX28)&gt;0,0,IF(IX$25&gt;IX27,IX27,0))</f>
        <v>0</v>
      </c>
      <c r="IZ28" s="115">
        <f>IF(SUM($D28:IY28)&gt;0,0,IF(IY$25&gt;IY27,IY27,0))</f>
        <v>0</v>
      </c>
      <c r="JA28" s="115">
        <f>IF(SUM($D28:IZ28)&gt;0,0,IF(IZ$25&gt;IZ27,IZ27,0))</f>
        <v>0</v>
      </c>
      <c r="JB28" s="115">
        <f>IF(SUM($D28:JA28)&gt;0,0,IF(JA$25&gt;JA27,JA27,0))</f>
        <v>0</v>
      </c>
      <c r="JC28" s="115">
        <f>IF(SUM($D28:JB28)&gt;0,0,IF(JB$25&gt;JB27,JB27,0))</f>
        <v>0</v>
      </c>
      <c r="JD28" s="115">
        <f>IF(SUM($D28:JC28)&gt;0,0,IF(JC$25&gt;JC27,JC27,0))</f>
        <v>0</v>
      </c>
      <c r="JE28" s="115">
        <f>IF(SUM($D28:JD28)&gt;0,0,IF(JD$25&gt;JD27,JD27,0))</f>
        <v>0</v>
      </c>
      <c r="JF28" s="115">
        <f>IF(SUM($D28:JE28)&gt;0,0,IF(JE$25&gt;JE27,JE27,0))</f>
        <v>0</v>
      </c>
      <c r="JG28" s="115">
        <f>IF(SUM($D28:JF28)&gt;0,0,IF(JF$25&gt;JF27,JF27,0))</f>
        <v>0</v>
      </c>
      <c r="JH28" s="115">
        <f>IF(SUM($D28:JG28)&gt;0,0,IF(JG$25&gt;JG27,JG27,0))</f>
        <v>0</v>
      </c>
      <c r="JI28" s="115">
        <f>IF(SUM($D28:JH28)&gt;0,0,IF(JH$25&gt;JH27,JH27,0))</f>
        <v>0</v>
      </c>
      <c r="JJ28" s="115">
        <f>IF(SUM($D28:JI28)&gt;0,0,IF(JI$25&gt;JI27,JI27,0))</f>
        <v>0</v>
      </c>
      <c r="JK28" s="115">
        <f>IF(SUM($D28:JJ28)&gt;0,0,IF(JJ$25&gt;JJ27,JJ27,0))</f>
        <v>0</v>
      </c>
      <c r="JL28" s="115">
        <f>IF(SUM($D28:JK28)&gt;0,0,IF(JK$25&gt;JK27,JK27,0))</f>
        <v>0</v>
      </c>
      <c r="JM28" s="115">
        <f>IF(SUM($D28:JL28)&gt;0,0,IF(JL$25&gt;JL27,JL27,0))</f>
        <v>0</v>
      </c>
      <c r="JN28" s="115">
        <f>IF(SUM($D28:JM28)&gt;0,0,IF(JM$25&gt;JM27,JM27,0))</f>
        <v>0</v>
      </c>
      <c r="JO28" s="115">
        <f>IF(SUM($D28:JN28)&gt;0,0,IF(JN$25&gt;JN27,JN27,0))</f>
        <v>0</v>
      </c>
      <c r="JP28" s="115">
        <f>IF(SUM($D28:JO28)&gt;0,0,IF(JO$25&gt;JO27,JO27,0))</f>
        <v>0</v>
      </c>
      <c r="JQ28" s="115">
        <f>IF(SUM($D28:JP28)&gt;0,0,IF(JP$25&gt;JP27,JP27,0))</f>
        <v>0</v>
      </c>
      <c r="JR28" s="115">
        <f>IF(SUM($D28:JQ28)&gt;0,0,IF(JQ$25&gt;JQ27,JQ27,0))</f>
        <v>0</v>
      </c>
      <c r="JS28" s="115">
        <f>IF(SUM($D28:JR28)&gt;0,0,IF(JR$25&gt;JR27,JR27,0))</f>
        <v>0</v>
      </c>
      <c r="JT28" s="115">
        <f>IF(SUM($D28:JS28)&gt;0,0,IF(JS$25&gt;JS27,JS27,0))</f>
        <v>0</v>
      </c>
      <c r="JU28" s="115">
        <f>IF(SUM($D28:JT28)&gt;0,0,IF(JT$25&gt;JT27,JT27,0))</f>
        <v>0</v>
      </c>
      <c r="JV28" s="115">
        <f>IF(SUM($D28:JU28)&gt;0,0,IF(JU$25&gt;JU27,JU27,0))</f>
        <v>0</v>
      </c>
      <c r="JW28" s="115">
        <f>IF(SUM($D28:JV28)&gt;0,0,IF(JV$25&gt;JV27,JV27,0))</f>
        <v>0</v>
      </c>
      <c r="JX28" s="115">
        <f>IF(SUM($D28:JW28)&gt;0,0,IF(JW$25&gt;JW27,JW27,0))</f>
        <v>0</v>
      </c>
      <c r="JY28" s="115">
        <f>IF(SUM($D28:JX28)&gt;0,0,IF(JX$25&gt;JX27,JX27,0))</f>
        <v>0</v>
      </c>
      <c r="JZ28" s="115">
        <f>IF(SUM($D28:JY28)&gt;0,0,IF(JY$25&gt;JY27,JY27,0))</f>
        <v>0</v>
      </c>
      <c r="KA28" s="115">
        <f>IF(SUM($D28:JZ28)&gt;0,0,IF(JZ$25&gt;JZ27,JZ27,0))</f>
        <v>0</v>
      </c>
      <c r="KB28" s="115">
        <f>IF(SUM($D28:KA28)&gt;0,0,IF(KA$25&gt;KA27,KA27,0))</f>
        <v>0</v>
      </c>
      <c r="KC28" s="115">
        <f>IF(SUM($D28:KB28)&gt;0,0,IF(KB$25&gt;KB27,KB27,0))</f>
        <v>0</v>
      </c>
      <c r="KD28" s="115">
        <f>IF(SUM($D28:KC28)&gt;0,0,IF(KC$25&gt;KC27,KC27,0))</f>
        <v>0</v>
      </c>
      <c r="KE28" s="115">
        <f>IF(SUM($D28:KD28)&gt;0,0,IF(KD$25&gt;KD27,KD27,0))</f>
        <v>0</v>
      </c>
      <c r="KF28" s="115">
        <f>IF(SUM($D28:KE28)&gt;0,0,IF(KE$25&gt;KE27,KE27,0))</f>
        <v>0</v>
      </c>
      <c r="KG28" s="115">
        <f>IF(SUM($D28:KF28)&gt;0,0,IF(KF$25&gt;KF27,KF27,0))</f>
        <v>0</v>
      </c>
      <c r="KH28" s="115">
        <f>IF(SUM($D28:KG28)&gt;0,0,IF(KG$25&gt;KG27,KG27,0))</f>
        <v>0</v>
      </c>
      <c r="KI28" s="115">
        <f>IF(SUM($D28:KH28)&gt;0,0,IF(KH$25&gt;KH27,KH27,0))</f>
        <v>0</v>
      </c>
      <c r="KJ28" s="115">
        <f>IF(SUM($D28:KI28)&gt;0,0,IF(KI$25&gt;KI27,KI27,0))</f>
        <v>0</v>
      </c>
      <c r="KK28" s="115">
        <f>IF(SUM($D28:KJ28)&gt;0,0,IF(KJ$25&gt;KJ27,KJ27,0))</f>
        <v>0</v>
      </c>
      <c r="KL28" s="115">
        <f>IF(SUM($D28:KK28)&gt;0,0,IF(KK$25&gt;KK27,KK27,0))</f>
        <v>0</v>
      </c>
      <c r="KM28" s="115">
        <f>IF(SUM($D28:KL28)&gt;0,0,IF(KL$25&gt;KL27,KL27,0))</f>
        <v>0</v>
      </c>
      <c r="KN28" s="115">
        <f>IF(SUM($D28:KM28)&gt;0,0,IF(KM$25&gt;KM27,KM27,0))</f>
        <v>0</v>
      </c>
      <c r="KO28" s="115">
        <f>IF(SUM($D28:KN28)&gt;0,0,IF(KN$25&gt;KN27,KN27,0))</f>
        <v>0</v>
      </c>
      <c r="KP28" s="115">
        <f>IF(SUM($D28:KO28)&gt;0,0,IF(KO$25&gt;KO27,KO27,0))</f>
        <v>0</v>
      </c>
      <c r="KQ28" s="115">
        <f>IF(SUM($D28:KP28)&gt;0,0,IF(KP$25&gt;KP27,KP27,0))</f>
        <v>0</v>
      </c>
      <c r="KR28" s="115">
        <f>IF(SUM($D28:KQ28)&gt;0,0,IF(KQ$25&gt;KQ27,KQ27,0))</f>
        <v>0</v>
      </c>
      <c r="KS28" s="115">
        <f>IF(SUM($D28:KR28)&gt;0,0,IF(KR$25&gt;KR27,KR27,0))</f>
        <v>0</v>
      </c>
      <c r="KT28" s="115">
        <f>IF(SUM($D28:KS28)&gt;0,0,IF(KS$25&gt;KS27,KS27,0))</f>
        <v>0</v>
      </c>
      <c r="KU28" s="115">
        <f>IF(SUM($D28:KT28)&gt;0,0,IF(KT$25&gt;KT27,KT27,0))</f>
        <v>0</v>
      </c>
      <c r="KV28" s="115">
        <f>IF(SUM($D28:KU28)&gt;0,0,IF(KU$25&gt;KU27,KU27,0))</f>
        <v>0</v>
      </c>
      <c r="KW28" s="115">
        <f>IF(SUM($D28:KV28)&gt;0,0,IF(KV$25&gt;KV27,KV27,0))</f>
        <v>0</v>
      </c>
      <c r="KX28" s="115">
        <f>IF(SUM($D28:KW28)&gt;0,0,IF(KW$25&gt;KW27,KW27,0))</f>
        <v>0</v>
      </c>
      <c r="KY28" s="115">
        <f>IF(SUM($D28:KX28)&gt;0,0,IF(KX$25&gt;KX27,KX27,0))</f>
        <v>0</v>
      </c>
      <c r="KZ28" s="115">
        <f>IF(SUM($D28:KY28)&gt;0,0,IF(KY$25&gt;KY27,KY27,0))</f>
        <v>0</v>
      </c>
      <c r="LA28" s="115">
        <f>IF(SUM($D28:KZ28)&gt;0,0,IF(KZ$25&gt;KZ27,KZ27,0))</f>
        <v>0</v>
      </c>
      <c r="LB28" s="115">
        <f>IF(SUM($D28:LA28)&gt;0,0,IF(LA$25&gt;LA27,LA27,0))</f>
        <v>0</v>
      </c>
      <c r="LC28" s="115">
        <f>IF(SUM($D28:LB28)&gt;0,0,IF(LB$25&gt;LB27,LB27,0))</f>
        <v>0</v>
      </c>
      <c r="LD28" s="115">
        <f>IF(SUM($D28:LC28)&gt;0,0,IF(LC$25&gt;LC27,LC27,0))</f>
        <v>0</v>
      </c>
      <c r="LE28" s="115">
        <f>IF(SUM($D28:LD28)&gt;0,0,IF(LD$25&gt;LD27,LD27,0))</f>
        <v>0</v>
      </c>
      <c r="LF28" s="115">
        <f>IF(SUM($D28:LE28)&gt;0,0,IF(LE$25&gt;LE27,LE27,0))</f>
        <v>0</v>
      </c>
      <c r="LG28" s="115">
        <f>IF(SUM($D28:LF28)&gt;0,0,IF(LF$25&gt;LF27,LF27,0))</f>
        <v>0</v>
      </c>
      <c r="LH28" s="115">
        <f>IF(SUM($D28:LG28)&gt;0,0,IF(LG$25&gt;LG27,LG27,0))</f>
        <v>0</v>
      </c>
      <c r="LI28" s="115">
        <f>IF(SUM($D28:LH28)&gt;0,0,IF(LH$25&gt;LH27,LH27,0))</f>
        <v>0</v>
      </c>
      <c r="LJ28" s="115">
        <f>IF(SUM($D28:LI28)&gt;0,0,IF(LI$25&gt;LI27,LI27,0))</f>
        <v>0</v>
      </c>
      <c r="LK28" s="115">
        <f>IF(SUM($D28:LJ28)&gt;0,0,IF(LJ$25&gt;LJ27,LJ27,0))</f>
        <v>0</v>
      </c>
      <c r="LL28" s="115">
        <f>IF(SUM($D28:LK28)&gt;0,0,IF(LK$25&gt;LK27,LK27,0))</f>
        <v>0</v>
      </c>
      <c r="LM28" s="115">
        <f>IF(SUM($D28:LL28)&gt;0,0,IF(LL$25&gt;LL27,LL27,0))</f>
        <v>0</v>
      </c>
      <c r="LN28" s="115">
        <f>IF(SUM($D28:LM28)&gt;0,0,IF(LM$25&gt;LM27,LM27,0))</f>
        <v>0</v>
      </c>
      <c r="LO28" s="115">
        <f>IF(SUM($D28:LN28)&gt;0,0,IF(LN$25&gt;LN27,LN27,0))</f>
        <v>0</v>
      </c>
      <c r="LP28" s="115">
        <f>IF(SUM($D28:LO28)&gt;0,0,IF(LO$25&gt;LO27,LO27,0))</f>
        <v>0</v>
      </c>
      <c r="LQ28" s="115">
        <f>IF(SUM($D28:LP28)&gt;0,0,IF(LP$25&gt;LP27,LP27,0))</f>
        <v>0</v>
      </c>
      <c r="LR28" s="115">
        <f>IF(SUM($D28:LQ28)&gt;0,0,IF(LQ$25&gt;LQ27,LQ27,0))</f>
        <v>0</v>
      </c>
      <c r="LS28" s="115">
        <f>IF(SUM($D28:LR28)&gt;0,0,IF(LR$25&gt;LR27,LR27,0))</f>
        <v>0</v>
      </c>
      <c r="LT28" s="115">
        <f>IF(SUM($D28:LS28)&gt;0,0,IF(LS$25&gt;LS27,LS27,0))</f>
        <v>0</v>
      </c>
      <c r="LU28" s="115">
        <f>IF(SUM($D28:LT28)&gt;0,0,IF(LT$25&gt;LT27,LT27,0))</f>
        <v>0</v>
      </c>
      <c r="LV28" s="115">
        <f>IF(SUM($D28:LU28)&gt;0,0,IF(LU$25&gt;LU27,LU27,0))</f>
        <v>0</v>
      </c>
      <c r="LW28" s="115">
        <f>IF(SUM($D28:LV28)&gt;0,0,IF(LV$25&gt;LV27,LV27,0))</f>
        <v>0</v>
      </c>
      <c r="LX28" s="115">
        <f>IF(SUM($D28:LW28)&gt;0,0,IF(LW$25&gt;LW27,LW27,0))</f>
        <v>0</v>
      </c>
      <c r="LY28" s="115">
        <f>IF(SUM($D28:LX28)&gt;0,0,IF(LX$25&gt;LX27,LX27,0))</f>
        <v>0</v>
      </c>
      <c r="LZ28" s="115">
        <f>IF(SUM($D28:LY28)&gt;0,0,IF(LY$25&gt;LY27,LY27,0))</f>
        <v>0</v>
      </c>
      <c r="MA28" s="115">
        <f>IF(SUM($D28:LZ28)&gt;0,0,IF(LZ$25&gt;LZ27,LZ27,0))</f>
        <v>0</v>
      </c>
      <c r="MB28" s="115">
        <f>IF(SUM($D28:MA28)&gt;0,0,IF(MA$25&gt;MA27,MA27,0))</f>
        <v>0</v>
      </c>
      <c r="MC28" s="115">
        <f>IF(SUM($D28:MB28)&gt;0,0,IF(MB$25&gt;MB27,MB27,0))</f>
        <v>0</v>
      </c>
      <c r="MD28" s="115">
        <f>IF(SUM($D28:MC28)&gt;0,0,IF(MC$25&gt;MC27,MC27,0))</f>
        <v>0</v>
      </c>
      <c r="ME28" s="115">
        <f>IF(SUM($D28:MD28)&gt;0,0,IF(MD$25&gt;MD27,MD27,0))</f>
        <v>0</v>
      </c>
      <c r="MF28" s="115">
        <f>IF(SUM($D28:ME28)&gt;0,0,IF(ME$25&gt;ME27,ME27,0))</f>
        <v>0</v>
      </c>
      <c r="MG28" s="115">
        <f>IF(SUM($D28:MF28)&gt;0,0,IF(MF$25&gt;MF27,MF27,0))</f>
        <v>0</v>
      </c>
      <c r="MH28" s="115">
        <f>IF(SUM($D28:MG28)&gt;0,0,IF(MG$25&gt;MG27,MG27,0))</f>
        <v>0</v>
      </c>
      <c r="MI28" s="115">
        <f>IF(SUM($D28:MH28)&gt;0,0,IF(MH$25&gt;MH27,MH27,0))</f>
        <v>0</v>
      </c>
      <c r="MJ28" s="115">
        <f>IF(SUM($D28:MI28)&gt;0,0,IF(MI$25&gt;MI27,MI27,0))</f>
        <v>0</v>
      </c>
      <c r="MK28" s="115">
        <f>IF(SUM($D28:MJ28)&gt;0,0,IF(MJ$25&gt;MJ27,MJ27,0))</f>
        <v>0</v>
      </c>
      <c r="ML28" s="115">
        <f>IF(SUM($D28:MK28)&gt;0,0,IF(MK$25&gt;MK27,MK27,0))</f>
        <v>0</v>
      </c>
      <c r="MM28" s="115">
        <f>IF(SUM($D28:ML28)&gt;0,0,IF(ML$25&gt;ML27,ML27,0))</f>
        <v>0</v>
      </c>
      <c r="MN28" s="115">
        <f>IF(SUM($D28:MM28)&gt;0,0,IF(MM$25&gt;MM27,MM27,0))</f>
        <v>0</v>
      </c>
      <c r="MO28" s="115">
        <f>IF(SUM($D28:MN28)&gt;0,0,IF(MN$25&gt;MN27,MN27,0))</f>
        <v>0</v>
      </c>
      <c r="MP28" s="115">
        <f>IF(SUM($D28:MO28)&gt;0,0,IF(MO$25&gt;MO27,MO27,0))</f>
        <v>0</v>
      </c>
      <c r="MQ28" s="115">
        <f>IF(SUM($D28:MP28)&gt;0,0,IF(MP$25&gt;MP27,MP27,0))</f>
        <v>0</v>
      </c>
      <c r="MR28" s="115">
        <f>IF(SUM($D28:MQ28)&gt;0,0,IF(MQ$25&gt;MQ27,MQ27,0))</f>
        <v>0</v>
      </c>
      <c r="MS28" s="115">
        <f>IF(SUM($D28:MR28)&gt;0,0,IF(MR$25&gt;MR27,MR27,0))</f>
        <v>0</v>
      </c>
      <c r="MT28" s="115">
        <f>IF(SUM($D28:MS28)&gt;0,0,IF(MS$25&gt;MS27,MS27,0))</f>
        <v>0</v>
      </c>
      <c r="MU28" s="115">
        <f>IF(SUM($D28:MT28)&gt;0,0,IF(MT$25&gt;MT27,MT27,0))</f>
        <v>0</v>
      </c>
      <c r="MV28" s="115">
        <f>IF(SUM($D28:MU28)&gt;0,0,IF(MU$25&gt;MU27,MU27,0))</f>
        <v>0</v>
      </c>
      <c r="MW28" s="115">
        <f>IF(SUM($D28:MV28)&gt;0,0,IF(MV$25&gt;MV27,MV27,0))</f>
        <v>0</v>
      </c>
      <c r="MX28" s="115">
        <f>IF(SUM($D28:MW28)&gt;0,0,IF(MW$25&gt;MW27,MW27,0))</f>
        <v>0</v>
      </c>
      <c r="MY28" s="115">
        <f>IF(SUM($D28:MX28)&gt;0,0,IF(MX$25&gt;MX27,MX27,0))</f>
        <v>0</v>
      </c>
      <c r="MZ28" s="115">
        <f>IF(SUM($D28:MY28)&gt;0,0,IF(MY$25&gt;MY27,MY27,0))</f>
        <v>0</v>
      </c>
      <c r="NA28" s="115">
        <f>IF(SUM($D28:MZ28)&gt;0,0,IF(MZ$25&gt;MZ27,MZ27,0))</f>
        <v>0</v>
      </c>
      <c r="NB28" s="115">
        <f>IF(SUM($D28:NA28)&gt;0,0,IF(NA$25&gt;NA27,NA27,0))</f>
        <v>0</v>
      </c>
      <c r="NC28" s="115">
        <f>IF(SUM($D28:NB28)&gt;0,0,IF(NB$25&gt;NB27,NB27,0))</f>
        <v>0</v>
      </c>
      <c r="ND28" s="115">
        <f>IF(SUM($D28:NC28)&gt;0,0,IF(NC$25&gt;NC27,NC27,0))</f>
        <v>0</v>
      </c>
      <c r="NE28" s="115">
        <f>IF(SUM($D28:ND28)&gt;0,0,IF(ND$25&gt;ND27,ND27,0))</f>
        <v>0</v>
      </c>
      <c r="NF28" s="115">
        <f>IF(SUM($D28:NE28)&gt;0,0,IF(NE$25&gt;NE27,NE27,0))</f>
        <v>0</v>
      </c>
      <c r="NG28" s="115">
        <f>IF(SUM($D28:NF28)&gt;0,0,IF(NF$25&gt;NF27,NF27,0))</f>
        <v>0</v>
      </c>
      <c r="NH28" s="115">
        <f>IF(SUM($D28:NG28)&gt;0,0,IF(NG$25&gt;NG27,NG27,0))</f>
        <v>0</v>
      </c>
      <c r="NI28" s="115">
        <f>IF(SUM($D28:NH28)&gt;0,0,IF(NH$25&gt;NH27,NH27,0))</f>
        <v>0</v>
      </c>
      <c r="NJ28" s="115">
        <f>IF(SUM($D28:NI28)&gt;0,0,IF(NI$25&gt;NI27,NI27,0))</f>
        <v>0</v>
      </c>
      <c r="NK28" s="115">
        <f>IF(SUM($D28:NJ28)&gt;0,0,IF(NJ$25&gt;NJ27,NJ27,0))</f>
        <v>0</v>
      </c>
      <c r="NL28" s="115">
        <f>IF(SUM($D28:NK28)&gt;0,0,IF(NK$25&gt;NK27,NK27,0))</f>
        <v>0</v>
      </c>
      <c r="NM28" s="115">
        <f>IF(SUM($D28:NL28)&gt;0,0,IF(NL$25&gt;NL27,NL27,0))</f>
        <v>0</v>
      </c>
      <c r="NN28" s="115">
        <f>IF(SUM($D28:NM28)&gt;0,0,IF(NM$25&gt;NM27,NM27,0))</f>
        <v>0</v>
      </c>
      <c r="NO28" s="115">
        <f>IF(SUM($D28:NN28)&gt;0,0,IF(NN$25&gt;NN27,NN27,0))</f>
        <v>0</v>
      </c>
      <c r="NP28" s="115">
        <f>IF(SUM($D28:NO28)&gt;0,0,IF(NO$25&gt;NO27,NO27,0))</f>
        <v>0</v>
      </c>
      <c r="NQ28" s="115">
        <f>IF(SUM($D28:NP28)&gt;0,0,IF(NP$25&gt;NP27,NP27,0))</f>
        <v>0</v>
      </c>
      <c r="NR28" s="115">
        <f>IF(SUM($D28:NQ28)&gt;0,0,IF(NQ$25&gt;NQ27,NQ27,0))</f>
        <v>0</v>
      </c>
      <c r="NS28" s="115">
        <f>IF(SUM($D28:NR28)&gt;0,0,IF(NR$25&gt;NR27,NR27,0))</f>
        <v>0</v>
      </c>
      <c r="NT28" s="115">
        <f>IF(SUM($D28:NS28)&gt;0,0,IF(NS$25&gt;NS27,NS27,0))</f>
        <v>0</v>
      </c>
      <c r="NU28" s="115">
        <f>IF(SUM($D28:NT28)&gt;0,0,IF(NT$25&gt;NT27,NT27,0))</f>
        <v>0</v>
      </c>
      <c r="NV28" s="115">
        <f>IF(SUM($D28:NU28)&gt;0,0,IF(NU$25&gt;NU27,NU27,0))</f>
        <v>0</v>
      </c>
      <c r="NW28" s="115">
        <f>IF(SUM($D28:NV28)&gt;0,0,IF(NV$25&gt;NV27,NV27,0))</f>
        <v>0</v>
      </c>
      <c r="NX28" s="115">
        <f>IF(SUM($D28:NW28)&gt;0,0,IF(NW$25&gt;NW27,NW27,0))</f>
        <v>0</v>
      </c>
      <c r="NY28" s="115">
        <f>IF(SUM($D28:NX28)&gt;0,0,IF(NX$25&gt;NX27,NX27,0))</f>
        <v>0</v>
      </c>
      <c r="NZ28" s="115">
        <f>IF(SUM($D28:NY28)&gt;0,0,IF(NY$25&gt;NY27,NY27,0))</f>
        <v>0</v>
      </c>
      <c r="OA28" s="115">
        <f>IF(SUM($D28:NZ28)&gt;0,0,IF(NZ$25&gt;NZ27,NZ27,0))</f>
        <v>0</v>
      </c>
      <c r="OB28" s="115">
        <f>IF(SUM($D28:OA28)&gt;0,0,IF(OA$25&gt;OA27,OA27,0))</f>
        <v>0</v>
      </c>
      <c r="OC28" s="115">
        <f>IF(SUM($D28:OB28)&gt;0,0,IF(OB$25&gt;OB27,OB27,0))</f>
        <v>0</v>
      </c>
      <c r="OD28" s="115">
        <f>IF(SUM($D28:OC28)&gt;0,0,IF(OC$25&gt;OC27,OC27,0))</f>
        <v>0</v>
      </c>
      <c r="OE28" s="115">
        <f>IF(SUM($D28:OD28)&gt;0,0,IF(OD$25&gt;OD27,OD27,0))</f>
        <v>0</v>
      </c>
      <c r="OF28" s="115">
        <f>IF(SUM($D28:OE28)&gt;0,0,IF(OE$25&gt;OE27,OE27,0))</f>
        <v>0</v>
      </c>
      <c r="OG28" s="115">
        <f>IF(SUM($D28:OF28)&gt;0,0,IF(OF$25&gt;OF27,OF27,0))</f>
        <v>0</v>
      </c>
      <c r="OH28" s="115">
        <f>IF(SUM($D28:OG28)&gt;0,0,IF(OG$25&gt;OG27,OG27,0))</f>
        <v>0</v>
      </c>
      <c r="OI28" s="115">
        <f>IF(SUM($D28:OH28)&gt;0,0,IF(OH$25&gt;OH27,OH27,0))</f>
        <v>0</v>
      </c>
      <c r="OJ28" s="115">
        <f>IF(SUM($D28:OI28)&gt;0,0,IF(OI$25&gt;OI27,OI27,0))</f>
        <v>0</v>
      </c>
      <c r="OK28" s="115">
        <f>IF(SUM($D28:OJ28)&gt;0,0,IF(OJ$25&gt;OJ27,OJ27,0))</f>
        <v>0</v>
      </c>
      <c r="OL28" s="115">
        <f>IF(SUM($D28:OK28)&gt;0,0,IF(OK$25&gt;OK27,OK27,0))</f>
        <v>0</v>
      </c>
      <c r="OM28" s="115">
        <f>IF(SUM($D28:OL28)&gt;0,0,IF(OL$25&gt;OL27,OL27,0))</f>
        <v>0</v>
      </c>
      <c r="ON28" s="115">
        <f>IF(SUM($D28:OM28)&gt;0,0,IF(OM$25&gt;OM27,OM27,0))</f>
        <v>0</v>
      </c>
      <c r="OO28" s="115">
        <f>IF(SUM($D28:ON28)&gt;0,0,IF(ON$25&gt;ON27,ON27,0))</f>
        <v>0</v>
      </c>
      <c r="OP28" s="115">
        <f>IF(SUM($D28:OO28)&gt;0,0,IF(OO$25&gt;OO27,OO27,0))</f>
        <v>0</v>
      </c>
      <c r="OQ28" s="115">
        <f>IF(SUM($D28:OP28)&gt;0,0,IF(OP$25&gt;OP27,OP27,0))</f>
        <v>0</v>
      </c>
      <c r="OR28" s="115">
        <f>IF(SUM($D28:OQ28)&gt;0,0,IF(OQ$25&gt;OQ27,OQ27,0))</f>
        <v>0</v>
      </c>
      <c r="OS28" s="115">
        <f>IF(SUM($D28:OR28)&gt;0,0,IF(OR$25&gt;OR27,OR27,0))</f>
        <v>0</v>
      </c>
      <c r="OT28" s="115">
        <f>IF(SUM($D28:OS28)&gt;0,0,IF(OS$25&gt;OS27,OS27,0))</f>
        <v>0</v>
      </c>
      <c r="OU28" s="115">
        <f>IF(SUM($D28:OT28)&gt;0,0,IF(OT$25&gt;OT27,OT27,0))</f>
        <v>0</v>
      </c>
      <c r="OV28" s="115">
        <f>IF(SUM($D28:OU28)&gt;0,0,IF(OU$25&gt;OU27,OU27,0))</f>
        <v>0</v>
      </c>
      <c r="OW28" s="115">
        <f>IF(SUM($D28:OV28)&gt;0,0,IF(OV$25&gt;OV27,OV27,0))</f>
        <v>0</v>
      </c>
      <c r="OX28" s="115">
        <f>IF(SUM($D28:OW28)&gt;0,0,IF(OW$25&gt;OW27,OW27,0))</f>
        <v>0</v>
      </c>
      <c r="OY28" s="115">
        <f>IF(SUM($D28:OX28)&gt;0,0,IF(OX$25&gt;OX27,OX27,0))</f>
        <v>0</v>
      </c>
      <c r="OZ28" s="115">
        <f>IF(SUM($D28:OY28)&gt;0,0,IF(OY$25&gt;OY27,OY27,0))</f>
        <v>0</v>
      </c>
      <c r="PA28" s="115">
        <f>IF(SUM($D28:OZ28)&gt;0,0,IF(OZ$25&gt;OZ27,OZ27,0))</f>
        <v>0</v>
      </c>
      <c r="PB28" s="115">
        <f>IF(SUM($D28:PA28)&gt;0,0,IF(PA$25&gt;PA27,PA27,0))</f>
        <v>0</v>
      </c>
      <c r="PC28" s="115">
        <f>IF(SUM($D28:PB28)&gt;0,0,IF(PB$25&gt;PB27,PB27,0))</f>
        <v>0</v>
      </c>
      <c r="PD28" s="115">
        <f>IF(SUM($D28:PC28)&gt;0,0,IF(PC$25&gt;PC27,PC27,0))</f>
        <v>0</v>
      </c>
      <c r="PE28" s="115">
        <f>IF(SUM($D28:PD28)&gt;0,0,IF(PD$25&gt;PD27,PD27,0))</f>
        <v>0</v>
      </c>
      <c r="PF28" s="115">
        <f>IF(SUM($D28:PE28)&gt;0,0,IF(PE$25&gt;PE27,PE27,0))</f>
        <v>0</v>
      </c>
      <c r="PG28" s="115">
        <f>IF(SUM($D28:PF28)&gt;0,0,IF(PF$25&gt;PF27,PF27,0))</f>
        <v>0</v>
      </c>
      <c r="PH28" s="115">
        <f>IF(SUM($D28:PG28)&gt;0,0,IF(PG$25&gt;PG27,PG27,0))</f>
        <v>0</v>
      </c>
      <c r="PI28" s="115">
        <f>IF(SUM($D28:PH28)&gt;0,0,IF(PH$25&gt;PH27,PH27,0))</f>
        <v>0</v>
      </c>
      <c r="PJ28" s="115">
        <f>IF(SUM($D28:PI28)&gt;0,0,IF(PI$25&gt;PI27,PI27,0))</f>
        <v>0</v>
      </c>
      <c r="PK28" s="115">
        <f>IF(SUM($D28:PJ28)&gt;0,0,IF(PJ$25&gt;PJ27,PJ27,0))</f>
        <v>0</v>
      </c>
      <c r="PL28" s="115">
        <f>IF(SUM($D28:PK28)&gt;0,0,IF(PK$25&gt;PK27,PK27,0))</f>
        <v>0</v>
      </c>
      <c r="PM28" s="115">
        <f>IF(SUM($D28:PL28)&gt;0,0,IF(PL$25&gt;PL27,PL27,0))</f>
        <v>0</v>
      </c>
      <c r="PN28" s="115">
        <f>IF(SUM($D28:PM28)&gt;0,0,IF(PM$25&gt;PM27,PM27,0))</f>
        <v>0</v>
      </c>
      <c r="PO28" s="115">
        <f>IF(SUM($D28:PN28)&gt;0,0,IF(PN$25&gt;PN27,PN27,0))</f>
        <v>0</v>
      </c>
      <c r="PP28" s="115">
        <f>IF(SUM($D28:PO28)&gt;0,0,IF(PO$25&gt;PO27,PO27,0))</f>
        <v>0</v>
      </c>
      <c r="PQ28" s="115">
        <f>IF(SUM($D28:PP28)&gt;0,0,IF(PP$25&gt;PP27,PP27,0))</f>
        <v>0</v>
      </c>
      <c r="PR28" s="115">
        <f>IF(SUM($D28:PQ28)&gt;0,0,IF(PQ$25&gt;PQ27,PQ27,0))</f>
        <v>0</v>
      </c>
      <c r="PS28" s="115">
        <f>IF(SUM($D28:PR28)&gt;0,0,IF(PR$25&gt;PR27,PR27,0))</f>
        <v>0</v>
      </c>
      <c r="PT28" s="115">
        <f>IF(SUM($D28:PS28)&gt;0,0,IF(PS$25&gt;PS27,PS27,0))</f>
        <v>0</v>
      </c>
      <c r="PU28" s="115">
        <f>IF(SUM($D28:PT28)&gt;0,0,IF(PT$25&gt;PT27,PT27,0))</f>
        <v>0</v>
      </c>
      <c r="PV28" s="115">
        <f>IF(SUM($D28:PU28)&gt;0,0,IF(PU$25&gt;PU27,PU27,0))</f>
        <v>0</v>
      </c>
      <c r="PW28" s="115">
        <f>IF(SUM($D28:PV28)&gt;0,0,IF(PV$25&gt;PV27,PV27,0))</f>
        <v>0</v>
      </c>
      <c r="PX28" s="115">
        <f>IF(SUM($D28:PW28)&gt;0,0,IF(PW$25&gt;PW27,PW27,0))</f>
        <v>0</v>
      </c>
      <c r="PY28" s="115">
        <f>IF(SUM($D28:PX28)&gt;0,0,IF(PX$25&gt;PX27,PX27,0))</f>
        <v>0</v>
      </c>
      <c r="PZ28" s="115">
        <f>IF(SUM($D28:PY28)&gt;0,0,IF(PY$25&gt;PY27,PY27,0))</f>
        <v>0</v>
      </c>
      <c r="QA28" s="115">
        <f>IF(SUM($D28:PZ28)&gt;0,0,IF(PZ$25&gt;PZ27,PZ27,0))</f>
        <v>0</v>
      </c>
      <c r="QB28" s="115">
        <f>IF(SUM($D28:QA28)&gt;0,0,IF(QA$25&gt;QA27,QA27,0))</f>
        <v>0</v>
      </c>
      <c r="QC28" s="115">
        <f>IF(SUM($D28:QB28)&gt;0,0,IF(QB$25&gt;QB27,QB27,0))</f>
        <v>0</v>
      </c>
      <c r="QD28" s="115">
        <f>IF(SUM($D28:QC28)&gt;0,0,IF(QC$25&gt;QC27,QC27,0))</f>
        <v>0</v>
      </c>
      <c r="QE28" s="115">
        <f>IF(SUM($D28:QD28)&gt;0,0,IF(QD$25&gt;QD27,QD27,0))</f>
        <v>0</v>
      </c>
      <c r="QF28" s="115">
        <f>IF(SUM($D28:QE28)&gt;0,0,IF(QE$25&gt;QE27,QE27,0))</f>
        <v>0</v>
      </c>
      <c r="QG28" s="115">
        <f>IF(SUM($D28:QF28)&gt;0,0,IF(QF$25&gt;QF27,QF27,0))</f>
        <v>0</v>
      </c>
      <c r="QH28" s="115">
        <f>IF(SUM($D28:QG28)&gt;0,0,IF(QG$25&gt;QG27,QG27,0))</f>
        <v>0</v>
      </c>
      <c r="QI28" s="115">
        <f>IF(SUM($D28:QH28)&gt;0,0,IF(QH$25&gt;QH27,QH27,0))</f>
        <v>0</v>
      </c>
      <c r="QJ28" s="115">
        <f>IF(SUM($D28:QI28)&gt;0,0,IF(QI$25&gt;QI27,QI27,0))</f>
        <v>0</v>
      </c>
      <c r="QK28" s="115">
        <f>IF(SUM($D28:QJ28)&gt;0,0,IF(QJ$25&gt;QJ27,QJ27,0))</f>
        <v>0</v>
      </c>
      <c r="QL28" s="115">
        <f>IF(SUM($D28:QK28)&gt;0,0,IF(QK$25&gt;QK27,QK27,0))</f>
        <v>0</v>
      </c>
      <c r="QM28" s="115">
        <f>IF(SUM($D28:QL28)&gt;0,0,IF(QL$25&gt;QL27,QL27,0))</f>
        <v>0</v>
      </c>
      <c r="QN28" s="115">
        <f>IF(SUM($D28:QM28)&gt;0,0,IF(QM$25&gt;QM27,QM27,0))</f>
        <v>0</v>
      </c>
      <c r="QO28" s="115">
        <f>IF(SUM($D28:QN28)&gt;0,0,IF(QN$25&gt;QN27,QN27,0))</f>
        <v>0</v>
      </c>
      <c r="QP28" s="115">
        <f>IF(SUM($D28:QO28)&gt;0,0,IF(QO$25&gt;QO27,QO27,0))</f>
        <v>0</v>
      </c>
      <c r="QQ28" s="115">
        <f>IF(SUM($D28:QP28)&gt;0,0,IF(QP$25&gt;QP27,QP27,0))</f>
        <v>0</v>
      </c>
      <c r="QR28" s="115">
        <f>IF(SUM($D28:QQ28)&gt;0,0,IF(QQ$25&gt;QQ27,QQ27,0))</f>
        <v>0</v>
      </c>
      <c r="QS28" s="115">
        <f>IF(SUM($D28:QR28)&gt;0,0,IF(QR$25&gt;QR27,QR27,0))</f>
        <v>0</v>
      </c>
      <c r="QT28" s="115">
        <f>IF(SUM($D28:QS28)&gt;0,0,IF(QS$25&gt;QS27,QS27,0))</f>
        <v>0</v>
      </c>
      <c r="QU28" s="115">
        <f>IF(SUM($D28:QT28)&gt;0,0,IF(QT$25&gt;QT27,QT27,0))</f>
        <v>0</v>
      </c>
      <c r="QV28" s="115">
        <f>IF(SUM($D28:QU28)&gt;0,0,IF(QU$25&gt;QU27,QU27,0))</f>
        <v>0</v>
      </c>
      <c r="QW28" s="115">
        <f>IF(SUM($D28:QV28)&gt;0,0,IF(QV$25&gt;QV27,QV27,0))</f>
        <v>0</v>
      </c>
      <c r="QX28" s="115">
        <f>IF(SUM($D28:QW28)&gt;0,0,IF(QW$25&gt;QW27,QW27,0))</f>
        <v>0</v>
      </c>
      <c r="QY28" s="115">
        <f>IF(SUM($D28:QX28)&gt;0,0,IF(QX$25&gt;QX27,QX27,0))</f>
        <v>0</v>
      </c>
      <c r="QZ28" s="115">
        <f>IF(SUM($D28:QY28)&gt;0,0,IF(QY$25&gt;QY27,QY27,0))</f>
        <v>0</v>
      </c>
      <c r="RA28" s="115">
        <f>IF(SUM($D28:QZ28)&gt;0,0,IF(QZ$25&gt;QZ27,QZ27,0))</f>
        <v>0</v>
      </c>
      <c r="RB28" s="115">
        <f>IF(SUM($D28:RA28)&gt;0,0,IF(RA$25&gt;RA27,RA27,0))</f>
        <v>0</v>
      </c>
      <c r="RC28" s="115">
        <f>IF(SUM($D28:RB28)&gt;0,0,IF(RB$25&gt;RB27,RB27,0))</f>
        <v>0</v>
      </c>
      <c r="RD28" s="115">
        <f>IF(SUM($D28:RC28)&gt;0,0,IF(RC$25&gt;RC27,RC27,0))</f>
        <v>0</v>
      </c>
      <c r="RE28" s="115">
        <f>IF(SUM($D28:RD28)&gt;0,0,IF(RD$25&gt;RD27,RD27,0))</f>
        <v>0</v>
      </c>
      <c r="RF28" s="115">
        <f>IF(SUM($D28:RE28)&gt;0,0,IF(RE$25&gt;RE27,RE27,0))</f>
        <v>0</v>
      </c>
      <c r="RG28" s="115">
        <f>IF(SUM($D28:RF28)&gt;0,0,IF(RF$25&gt;RF27,RF27,0))</f>
        <v>0</v>
      </c>
      <c r="RH28" s="115">
        <f>IF(SUM($D28:RG28)&gt;0,0,IF(RG$25&gt;RG27,RG27,0))</f>
        <v>0</v>
      </c>
      <c r="RI28" s="115">
        <f>IF(SUM($D28:RH28)&gt;0,0,IF(RH$25&gt;RH27,RH27,0))</f>
        <v>0</v>
      </c>
      <c r="RJ28" s="115">
        <f>IF(SUM($D28:RI28)&gt;0,0,IF(RI$25&gt;RI27,RI27,0))</f>
        <v>0</v>
      </c>
      <c r="RK28" s="115">
        <f>IF(SUM($D28:RJ28)&gt;0,0,IF(RJ$25&gt;RJ27,RJ27,0))</f>
        <v>0</v>
      </c>
      <c r="RL28" s="115">
        <f>IF(SUM($D28:RK28)&gt;0,0,IF(RK$25&gt;RK27,RK27,0))</f>
        <v>0</v>
      </c>
      <c r="RM28" s="115">
        <f>IF(SUM($D28:RL28)&gt;0,0,IF(RL$25&gt;RL27,RL27,0))</f>
        <v>0</v>
      </c>
      <c r="RN28" s="115">
        <f>IF(SUM($D28:RM28)&gt;0,0,IF(RM$25&gt;RM27,RM27,0))</f>
        <v>0</v>
      </c>
      <c r="RO28" s="115">
        <f>IF(SUM($D28:RN28)&gt;0,0,IF(RN$25&gt;RN27,RN27,0))</f>
        <v>0</v>
      </c>
      <c r="RP28" s="115">
        <f>IF(SUM($D28:RO28)&gt;0,0,IF(RO$25&gt;RO27,RO27,0))</f>
        <v>0</v>
      </c>
      <c r="RQ28" s="115">
        <f>IF(SUM($D28:RP28)&gt;0,0,IF(RP$25&gt;RP27,RP27,0))</f>
        <v>0</v>
      </c>
      <c r="RR28" s="115">
        <f>IF(SUM($D28:RQ28)&gt;0,0,IF(RQ$25&gt;RQ27,RQ27,0))</f>
        <v>0</v>
      </c>
      <c r="RS28" s="115">
        <f>IF(SUM($D28:RR28)&gt;0,0,IF(RR$25&gt;RR27,RR27,0))</f>
        <v>0</v>
      </c>
      <c r="RT28" s="115">
        <f>IF(SUM($D28:RS28)&gt;0,0,IF(RS$25&gt;RS27,RS27,0))</f>
        <v>0</v>
      </c>
      <c r="RU28" s="115">
        <f>IF(SUM($D28:RT28)&gt;0,0,IF(RT$25&gt;RT27,RT27,0))</f>
        <v>0</v>
      </c>
      <c r="RV28" s="115">
        <f>IF(SUM($D28:RU28)&gt;0,0,IF(RU$25&gt;RU27,RU27,0))</f>
        <v>0</v>
      </c>
      <c r="RW28" s="115">
        <f>IF(SUM($D28:RV28)&gt;0,0,IF(RV$25&gt;RV27,RV27,0))</f>
        <v>0</v>
      </c>
      <c r="RX28" s="115">
        <f>IF(SUM($D28:RW28)&gt;0,0,IF(RW$25&gt;RW27,RW27,0))</f>
        <v>0</v>
      </c>
      <c r="RY28" s="115">
        <f>IF(SUM($D28:RX28)&gt;0,0,IF(RX$25&gt;RX27,RX27,0))</f>
        <v>0</v>
      </c>
      <c r="RZ28" s="115">
        <f>IF(SUM($D28:RY28)&gt;0,0,IF(RY$25&gt;RY27,RY27,0))</f>
        <v>0</v>
      </c>
      <c r="SA28" s="115">
        <f>IF(SUM($D28:RZ28)&gt;0,0,IF(RZ$25&gt;RZ27,RZ27,0))</f>
        <v>0</v>
      </c>
      <c r="SB28" s="115">
        <f>IF(SUM($D28:SA28)&gt;0,0,IF(SA$25&gt;SA27,SA27,0))</f>
        <v>0</v>
      </c>
      <c r="SC28" s="115">
        <f>IF(SUM($D28:SB28)&gt;0,0,IF(SB$25&gt;SB27,SB27,0))</f>
        <v>0</v>
      </c>
      <c r="SD28" s="115">
        <f>IF(SUM($D28:SC28)&gt;0,0,IF(SC$25&gt;SC27,SC27,0))</f>
        <v>0</v>
      </c>
      <c r="SE28" s="115">
        <f>IF(SUM($D28:SD28)&gt;0,0,IF(SD$25&gt;SD27,SD27,0))</f>
        <v>0</v>
      </c>
      <c r="SF28" s="115">
        <f>IF(SUM($D28:SE28)&gt;0,0,IF(SE$25&gt;SE27,SE27,0))</f>
        <v>0</v>
      </c>
      <c r="SG28" s="115">
        <f>IF(SUM($D28:SF28)&gt;0,0,IF(SF$25&gt;SF27,SF27,0))</f>
        <v>0</v>
      </c>
      <c r="SH28" s="115">
        <f>IF(SUM($D28:SG28)&gt;0,0,IF(SG$25&gt;SG27,SG27,0))</f>
        <v>0</v>
      </c>
      <c r="SI28" s="115">
        <f>IF(SUM($D28:SH28)&gt;0,0,IF(SH$25&gt;SH27,SH27,0))</f>
        <v>0</v>
      </c>
      <c r="SJ28" s="115">
        <f>IF(SUM($D28:SI28)&gt;0,0,IF(SI$25&gt;SI27,SI27,0))</f>
        <v>0</v>
      </c>
      <c r="SK28" s="115">
        <f>IF(SUM($D28:SJ28)&gt;0,0,IF(SJ$25&gt;SJ27,SJ27,0))</f>
        <v>0</v>
      </c>
      <c r="SL28" s="115">
        <f>IF(SUM($D28:SK28)&gt;0,0,IF(SK$25&gt;SK27,SK27,0))</f>
        <v>0</v>
      </c>
      <c r="SM28" s="115">
        <f>IF(SUM($D28:SL28)&gt;0,0,IF(SL$25&gt;SL27,SL27,0))</f>
        <v>0</v>
      </c>
      <c r="SN28" s="115">
        <f>IF(SUM($D28:SM28)&gt;0,0,IF(SM$25&gt;SM27,SM27,0))</f>
        <v>0</v>
      </c>
      <c r="SO28" s="115">
        <f>IF(SUM($D28:SN28)&gt;0,0,IF(SN$25&gt;SN27,SN27,0))</f>
        <v>0</v>
      </c>
      <c r="SP28" s="115">
        <f>IF(SUM($D28:SO28)&gt;0,0,IF(SO$25&gt;SO27,SO27,0))</f>
        <v>0</v>
      </c>
      <c r="SQ28" s="115">
        <f>IF(SUM($D28:SP28)&gt;0,0,IF(SP$25&gt;SP27,SP27,0))</f>
        <v>0</v>
      </c>
      <c r="SR28" s="115">
        <f>IF(SUM($D28:SQ28)&gt;0,0,IF(SQ$25&gt;SQ27,SQ27,0))</f>
        <v>0</v>
      </c>
      <c r="SS28" s="115">
        <f>IF(SUM($D28:SR28)&gt;0,0,IF(SR$25&gt;SR27,SR27,0))</f>
        <v>0</v>
      </c>
      <c r="ST28" s="115">
        <f>IF(SUM($D28:SS28)&gt;0,0,IF(SS$25&gt;SS27,SS27,0))</f>
        <v>0</v>
      </c>
      <c r="SU28" s="115">
        <f>IF(SUM($D28:ST28)&gt;0,0,IF(ST$25&gt;ST27,ST27,0))</f>
        <v>0</v>
      </c>
      <c r="SV28" s="115">
        <f>IF(SUM($D28:SU28)&gt;0,0,IF(SU$25&gt;SU27,SU27,0))</f>
        <v>0</v>
      </c>
      <c r="SW28" s="115">
        <f>IF(SUM($D28:SV28)&gt;0,0,IF(SV$25&gt;SV27,SV27,0))</f>
        <v>0</v>
      </c>
      <c r="SX28" s="115">
        <f>IF(SUM($D28:SW28)&gt;0,0,IF(SW$25&gt;SW27,SW27,0))</f>
        <v>0</v>
      </c>
      <c r="SY28" s="115">
        <f>IF(SUM($D28:SX28)&gt;0,0,IF(SX$25&gt;SX27,SX27,0))</f>
        <v>0</v>
      </c>
      <c r="SZ28" s="115">
        <f>IF(SUM($D28:SY28)&gt;0,0,IF(SY$25&gt;SY27,SY27,0))</f>
        <v>0</v>
      </c>
      <c r="TA28" s="115">
        <f>IF(SUM($D28:SZ28)&gt;0,0,IF(SZ$25&gt;SZ27,SZ27,0))</f>
        <v>0</v>
      </c>
      <c r="TB28" s="115">
        <f>IF(SUM($D28:TA28)&gt;0,0,IF(TA$25&gt;TA27,TA27,0))</f>
        <v>0</v>
      </c>
      <c r="TC28" s="115">
        <f>IF(SUM($D28:TB28)&gt;0,0,IF(TB$25&gt;TB27,TB27,0))</f>
        <v>0</v>
      </c>
      <c r="TD28" s="115">
        <f>IF(SUM($D28:TC28)&gt;0,0,IF(TC$25&gt;TC27,TC27,0))</f>
        <v>0</v>
      </c>
      <c r="TE28" s="115">
        <f>IF(SUM($D28:TD28)&gt;0,0,IF(TD$25&gt;TD27,TD27,0))</f>
        <v>0</v>
      </c>
      <c r="TF28" s="115">
        <f>IF(SUM($D28:TE28)&gt;0,0,IF(TE$25&gt;TE27,TE27,0))</f>
        <v>0</v>
      </c>
      <c r="TG28" s="115">
        <f>IF(SUM($D28:TF28)&gt;0,0,IF(TF$25&gt;TF27,TF27,0))</f>
        <v>0</v>
      </c>
      <c r="TH28" s="115">
        <f>IF(SUM($D28:TG28)&gt;0,0,IF(TG$25&gt;TG27,TG27,0))</f>
        <v>0</v>
      </c>
      <c r="TI28" s="115">
        <f>IF(SUM($D28:TH28)&gt;0,0,IF(TH$25&gt;TH27,TH27,0))</f>
        <v>0</v>
      </c>
      <c r="TJ28" s="115">
        <f>IF(SUM($D28:TI28)&gt;0,0,IF(TI$25&gt;TI27,TI27,0))</f>
        <v>0</v>
      </c>
      <c r="TK28" s="115">
        <f>IF(SUM($D28:TJ28)&gt;0,0,IF(TJ$25&gt;TJ27,TJ27,0))</f>
        <v>0</v>
      </c>
      <c r="TL28" s="115">
        <f>IF(SUM($D28:TK28)&gt;0,0,IF(TK$25&gt;TK27,TK27,0))</f>
        <v>0</v>
      </c>
      <c r="TM28" s="115">
        <f>IF(SUM($D28:TL28)&gt;0,0,IF(TL$25&gt;TL27,TL27,0))</f>
        <v>0</v>
      </c>
      <c r="TN28" s="115">
        <f>IF(SUM($D28:TM28)&gt;0,0,IF(TM$25&gt;TM27,TM27,0))</f>
        <v>0</v>
      </c>
      <c r="TO28" s="115">
        <f>IF(SUM($D28:TN28)&gt;0,0,IF(TN$25&gt;TN27,TN27,0))</f>
        <v>0</v>
      </c>
      <c r="TP28" s="115">
        <f>IF(SUM($D28:TO28)&gt;0,0,IF(TO$25&gt;TO27,TO27,0))</f>
        <v>0</v>
      </c>
      <c r="TQ28" s="115">
        <f>IF(SUM($D28:TP28)&gt;0,0,IF(TP$25&gt;TP27,TP27,0))</f>
        <v>0</v>
      </c>
      <c r="TR28" s="115">
        <f>IF(SUM($D28:TQ28)&gt;0,0,IF(TQ$25&gt;TQ27,TQ27,0))</f>
        <v>0</v>
      </c>
      <c r="TS28" s="115">
        <f>IF(SUM($D28:TR28)&gt;0,0,IF(TR$25&gt;TR27,TR27,0))</f>
        <v>0</v>
      </c>
      <c r="TT28" s="115">
        <f>IF(SUM($D28:TS28)&gt;0,0,IF(TS$25&gt;TS27,TS27,0))</f>
        <v>0</v>
      </c>
      <c r="TU28" s="115">
        <f>IF(SUM($D28:TT28)&gt;0,0,IF(TT$25&gt;TT27,TT27,0))</f>
        <v>0</v>
      </c>
      <c r="TV28" s="115">
        <f>IF(SUM($D28:TU28)&gt;0,0,IF(TU$25&gt;TU27,TU27,0))</f>
        <v>0</v>
      </c>
      <c r="TW28" s="115">
        <f>IF(SUM($D28:TV28)&gt;0,0,IF(TV$25&gt;TV27,TV27,0))</f>
        <v>0</v>
      </c>
      <c r="TX28" s="115">
        <f>IF(SUM($D28:TW28)&gt;0,0,IF(TW$25&gt;TW27,TW27,0))</f>
        <v>0</v>
      </c>
      <c r="TY28" s="115">
        <f>IF(SUM($D28:TX28)&gt;0,0,IF(TX$25&gt;TX27,TX27,0))</f>
        <v>0</v>
      </c>
      <c r="TZ28" s="115">
        <f>IF(SUM($D28:TY28)&gt;0,0,IF(TY$25&gt;TY27,TY27,0))</f>
        <v>0</v>
      </c>
      <c r="UA28" s="115">
        <f>IF(SUM($D28:TZ28)&gt;0,0,IF(TZ$25&gt;TZ27,TZ27,0))</f>
        <v>0</v>
      </c>
      <c r="UB28" s="115">
        <f>IF(SUM($D28:UA28)&gt;0,0,IF(UA$25&gt;UA27,UA27,0))</f>
        <v>0</v>
      </c>
      <c r="UC28" s="115">
        <f>IF(SUM($D28:UB28)&gt;0,0,IF(UB$25&gt;UB27,UB27,0))</f>
        <v>0</v>
      </c>
      <c r="UD28" s="115">
        <f>IF(SUM($D28:UC28)&gt;0,0,IF(UC$25&gt;UC27,UC27,0))</f>
        <v>0</v>
      </c>
      <c r="UE28" s="115">
        <f>IF(SUM($D28:UD28)&gt;0,0,IF(UD$25&gt;UD27,UD27,0))</f>
        <v>0</v>
      </c>
      <c r="UF28" s="115">
        <f>IF(SUM($D28:UE28)&gt;0,0,IF(UE$25&gt;UE27,UE27,0))</f>
        <v>0</v>
      </c>
      <c r="UG28" s="115">
        <f>IF(SUM($D28:UF28)&gt;0,0,IF(UF$25&gt;UF27,UF27,0))</f>
        <v>0</v>
      </c>
      <c r="UH28" s="115">
        <f>IF(SUM($D28:UG28)&gt;0,0,IF(UG$25&gt;UG27,UG27,0))</f>
        <v>0</v>
      </c>
      <c r="UI28" s="115">
        <f>IF(SUM($D28:UH28)&gt;0,0,IF(UH$25&gt;UH27,UH27,0))</f>
        <v>0</v>
      </c>
      <c r="UJ28" s="115">
        <f>IF(SUM($D28:UI28)&gt;0,0,IF(UI$25&gt;UI27,UI27,0))</f>
        <v>0</v>
      </c>
      <c r="UK28" s="115">
        <f>IF(SUM($D28:UJ28)&gt;0,0,IF(UJ$25&gt;UJ27,UJ27,0))</f>
        <v>0</v>
      </c>
      <c r="UL28" s="115">
        <f>IF(SUM($D28:UK28)&gt;0,0,IF(UK$25&gt;UK27,UK27,0))</f>
        <v>0</v>
      </c>
      <c r="UM28" s="115">
        <f>IF(SUM($D28:UL28)&gt;0,0,IF(UL$25&gt;UL27,UL27,0))</f>
        <v>0</v>
      </c>
      <c r="UN28" s="115">
        <f>IF(SUM($D28:UM28)&gt;0,0,IF(UM$25&gt;UM27,UM27,0))</f>
        <v>0</v>
      </c>
      <c r="UO28" s="115">
        <f>IF(SUM($D28:UN28)&gt;0,0,IF(UN$25&gt;UN27,UN27,0))</f>
        <v>0</v>
      </c>
      <c r="UP28" s="115">
        <f>IF(SUM($D28:UO28)&gt;0,0,IF(UO$25&gt;UO27,UO27,0))</f>
        <v>0</v>
      </c>
      <c r="UQ28" s="115">
        <f>IF(SUM($D28:UP28)&gt;0,0,IF(UP$25&gt;UP27,UP27,0))</f>
        <v>0</v>
      </c>
      <c r="UR28" s="115">
        <f>IF(SUM($D28:UQ28)&gt;0,0,IF(UQ$25&gt;UQ27,UQ27,0))</f>
        <v>0</v>
      </c>
      <c r="US28" s="115">
        <f>IF(SUM($D28:UR28)&gt;0,0,IF(UR$25&gt;UR27,UR27,0))</f>
        <v>0</v>
      </c>
      <c r="UT28" s="115">
        <f>IF(SUM($D28:US28)&gt;0,0,IF(US$25&gt;US27,US27,0))</f>
        <v>0</v>
      </c>
      <c r="UU28" s="115">
        <f>IF(SUM($D28:UT28)&gt;0,0,IF(UT$25&gt;UT27,UT27,0))</f>
        <v>0</v>
      </c>
      <c r="UV28" s="115">
        <f>IF(SUM($D28:UU28)&gt;0,0,IF(UU$25&gt;UU27,UU27,0))</f>
        <v>0</v>
      </c>
      <c r="UW28" s="115">
        <f>IF(SUM($D28:UV28)&gt;0,0,IF(UV$25&gt;UV27,UV27,0))</f>
        <v>0</v>
      </c>
      <c r="UX28" s="115">
        <f>IF(SUM($D28:UW28)&gt;0,0,IF(UW$25&gt;UW27,UW27,0))</f>
        <v>0</v>
      </c>
      <c r="UY28" s="115">
        <f>IF(SUM($D28:UX28)&gt;0,0,IF(UX$25&gt;UX27,UX27,0))</f>
        <v>0</v>
      </c>
      <c r="UZ28" s="115">
        <f>IF(SUM($D28:UY28)&gt;0,0,IF(UY$25&gt;UY27,UY27,0))</f>
        <v>0</v>
      </c>
      <c r="VA28" s="115">
        <f>IF(SUM($D28:UZ28)&gt;0,0,IF(UZ$25&gt;UZ27,UZ27,0))</f>
        <v>0</v>
      </c>
      <c r="VB28" s="115">
        <f>IF(SUM($D28:VA28)&gt;0,0,IF(VA$25&gt;VA27,VA27,0))</f>
        <v>0</v>
      </c>
      <c r="VC28" s="115">
        <f>IF(SUM($D28:VB28)&gt;0,0,IF(VB$25&gt;VB27,VB27,0))</f>
        <v>0</v>
      </c>
      <c r="VD28" s="115">
        <f>IF(SUM($D28:VC28)&gt;0,0,IF(VC$25&gt;VC27,VC27,0))</f>
        <v>0</v>
      </c>
      <c r="VE28" s="115">
        <f>IF(SUM($D28:VD28)&gt;0,0,IF(VD$25&gt;VD27,VD27,0))</f>
        <v>0</v>
      </c>
      <c r="VF28" s="115">
        <f>IF(SUM($D28:VE28)&gt;0,0,IF(VE$25&gt;VE27,VE27,0))</f>
        <v>0</v>
      </c>
      <c r="VG28" s="115">
        <f>IF(SUM($D28:VF28)&gt;0,0,IF(VF$25&gt;VF27,VF27,0))</f>
        <v>0</v>
      </c>
      <c r="VH28" s="115">
        <f>IF(SUM($D28:VG28)&gt;0,0,IF(VG$25&gt;VG27,VG27,0))</f>
        <v>0</v>
      </c>
      <c r="VI28" s="115">
        <f>IF(SUM($D28:VH28)&gt;0,0,IF(VH$25&gt;VH27,VH27,0))</f>
        <v>0</v>
      </c>
      <c r="VJ28" s="115">
        <f>IF(SUM($D28:VI28)&gt;0,0,IF(VI$25&gt;VI27,VI27,0))</f>
        <v>0</v>
      </c>
      <c r="VK28" s="115">
        <f>IF(SUM($D28:VJ28)&gt;0,0,IF(VJ$25&gt;VJ27,VJ27,0))</f>
        <v>0</v>
      </c>
      <c r="VL28" s="115">
        <f>IF(SUM($D28:VK28)&gt;0,0,IF(VK$25&gt;VK27,VK27,0))</f>
        <v>0</v>
      </c>
      <c r="VM28" s="115">
        <f>IF(SUM($D28:VL28)&gt;0,0,IF(VL$25&gt;VL27,VL27,0))</f>
        <v>0</v>
      </c>
      <c r="VN28" s="115">
        <f>IF(SUM($D28:VM28)&gt;0,0,IF(VM$25&gt;VM27,VM27,0))</f>
        <v>0</v>
      </c>
      <c r="VO28" s="115">
        <f>IF(SUM($D28:VN28)&gt;0,0,IF(VN$25&gt;VN27,VN27,0))</f>
        <v>0</v>
      </c>
      <c r="VP28" s="115">
        <f>IF(SUM($D28:VO28)&gt;0,0,IF(VO$25&gt;VO27,VO27,0))</f>
        <v>0</v>
      </c>
      <c r="VQ28" s="115">
        <f>IF(SUM($D28:VP28)&gt;0,0,IF(VP$25&gt;VP27,VP27,0))</f>
        <v>0</v>
      </c>
      <c r="VR28" s="115">
        <f>IF(SUM($D28:VQ28)&gt;0,0,IF(VQ$25&gt;VQ27,VQ27,0))</f>
        <v>0</v>
      </c>
      <c r="VS28" s="115">
        <f>IF(SUM($D28:VR28)&gt;0,0,IF(VR$25&gt;VR27,VR27,0))</f>
        <v>0</v>
      </c>
      <c r="VT28" s="115">
        <f>IF(SUM($D28:VS28)&gt;0,0,IF(VS$25&gt;VS27,VS27,0))</f>
        <v>0</v>
      </c>
      <c r="VU28" s="115">
        <f>IF(SUM($D28:VT28)&gt;0,0,IF(VT$25&gt;VT27,VT27,0))</f>
        <v>0</v>
      </c>
      <c r="VV28" s="115">
        <f>IF(SUM($D28:VU28)&gt;0,0,IF(VU$25&gt;VU27,VU27,0))</f>
        <v>0</v>
      </c>
      <c r="VW28" s="115">
        <f>IF(SUM($D28:VV28)&gt;0,0,IF(VV$25&gt;VV27,VV27,0))</f>
        <v>0</v>
      </c>
      <c r="VX28" s="115">
        <f>IF(SUM($D28:VW28)&gt;0,0,IF(VW$25&gt;VW27,VW27,0))</f>
        <v>0</v>
      </c>
      <c r="VY28" s="115">
        <f>IF(SUM($D28:VX28)&gt;0,0,IF(VX$25&gt;VX27,VX27,0))</f>
        <v>0</v>
      </c>
      <c r="VZ28" s="115">
        <f>IF(SUM($D28:VY28)&gt;0,0,IF(VY$25&gt;VY27,VY27,0))</f>
        <v>0</v>
      </c>
      <c r="WA28" s="115">
        <f>IF(SUM($D28:VZ28)&gt;0,0,IF(VZ$25&gt;VZ27,VZ27,0))</f>
        <v>0</v>
      </c>
      <c r="WB28" s="115">
        <f>IF(SUM($D28:WA28)&gt;0,0,IF(WA$25&gt;WA27,WA27,0))</f>
        <v>0</v>
      </c>
      <c r="WC28" s="115">
        <f>IF(SUM($D28:WB28)&gt;0,0,IF(WB$25&gt;WB27,WB27,0))</f>
        <v>0</v>
      </c>
      <c r="WD28" s="115">
        <f>IF(SUM($D28:WC28)&gt;0,0,IF(WC$25&gt;WC27,WC27,0))</f>
        <v>0</v>
      </c>
      <c r="WE28" s="115">
        <f>IF(SUM($D28:WD28)&gt;0,0,IF(WD$25&gt;WD27,WD27,0))</f>
        <v>0</v>
      </c>
      <c r="WF28" s="115">
        <f>IF(SUM($D28:WE28)&gt;0,0,IF(WE$25&gt;WE27,WE27,0))</f>
        <v>0</v>
      </c>
      <c r="WG28" s="115">
        <f>IF(SUM($D28:WF28)&gt;0,0,IF(WF$25&gt;WF27,WF27,0))</f>
        <v>0</v>
      </c>
      <c r="WH28" s="115">
        <f>IF(SUM($D28:WG28)&gt;0,0,IF(WG$25&gt;WG27,WG27,0))</f>
        <v>0</v>
      </c>
      <c r="WI28" s="115">
        <f>IF(SUM($D28:WH28)&gt;0,0,IF(WH$25&gt;WH27,WH27,0))</f>
        <v>0</v>
      </c>
      <c r="WJ28" s="115">
        <f>IF(SUM($D28:WI28)&gt;0,0,IF(WI$25&gt;WI27,WI27,0))</f>
        <v>0</v>
      </c>
      <c r="WK28" s="115">
        <f>IF(SUM($D28:WJ28)&gt;0,0,IF(WJ$25&gt;WJ27,WJ27,0))</f>
        <v>0</v>
      </c>
      <c r="WL28" s="115">
        <f>IF(SUM($D28:WK28)&gt;0,0,IF(WK$25&gt;WK27,WK27,0))</f>
        <v>0</v>
      </c>
      <c r="WM28" s="115">
        <f>IF(SUM($D28:WL28)&gt;0,0,IF(WL$25&gt;WL27,WL27,0))</f>
        <v>0</v>
      </c>
      <c r="WN28" s="115">
        <f>IF(SUM($D28:WM28)&gt;0,0,IF(WM$25&gt;WM27,WM27,0))</f>
        <v>1000000</v>
      </c>
      <c r="WO28" s="115">
        <f>IF(SUM($D28:WN28)&gt;0,0,IF(WN$25&gt;WN27,WN27,0))</f>
        <v>0</v>
      </c>
      <c r="WP28" s="115">
        <f>IF(SUM($D28:WO28)&gt;0,0,IF(WO$25&gt;WO27,WO27,0))</f>
        <v>0</v>
      </c>
      <c r="WQ28" s="115">
        <f>IF(SUM($D28:WP28)&gt;0,0,IF(WP$25&gt;WP27,WP27,0))</f>
        <v>0</v>
      </c>
      <c r="WR28" s="115">
        <f>IF(SUM($D28:WQ28)&gt;0,0,IF(WQ$25&gt;WQ27,WQ27,0))</f>
        <v>0</v>
      </c>
      <c r="WS28" s="115">
        <f>IF(SUM($D28:WR28)&gt;0,0,IF(WR$25&gt;WR27,WR27,0))</f>
        <v>0</v>
      </c>
      <c r="WT28" s="115">
        <f>IF(SUM($D28:WS28)&gt;0,0,IF(WS$25&gt;WS27,WS27,0))</f>
        <v>0</v>
      </c>
      <c r="WU28" s="115">
        <f>IF(SUM($D28:WT28)&gt;0,0,IF(WT$25&gt;WT27,WT27,0))</f>
        <v>0</v>
      </c>
      <c r="WV28" s="115">
        <f>IF(SUM($D28:WU28)&gt;0,0,IF(WU$25&gt;WU27,WU27,0))</f>
        <v>0</v>
      </c>
      <c r="WW28" s="115">
        <f>IF(SUM($D28:WV28)&gt;0,0,IF(WV$25&gt;WV27,WV27,0))</f>
        <v>0</v>
      </c>
      <c r="WX28" s="115">
        <f>IF(SUM($D28:WW28)&gt;0,0,IF(WW$25&gt;WW27,WW27,0))</f>
        <v>0</v>
      </c>
      <c r="WY28" s="115">
        <f>IF(SUM($D28:WX28)&gt;0,0,IF(WX$25&gt;WX27,WX27,0))</f>
        <v>0</v>
      </c>
      <c r="WZ28" s="115">
        <f>IF(SUM($D28:WY28)&gt;0,0,IF(WY$25&gt;WY27,WY27,0))</f>
        <v>0</v>
      </c>
      <c r="XA28" s="115">
        <f>IF(SUM($D28:WZ28)&gt;0,0,IF(WZ$25&gt;WZ27,WZ27,0))</f>
        <v>0</v>
      </c>
      <c r="XB28" s="115">
        <f>IF(SUM($D28:XA28)&gt;0,0,IF(XA$25&gt;XA27,XA27,0))</f>
        <v>0</v>
      </c>
      <c r="XC28" s="115">
        <f>IF(SUM($D28:XB28)&gt;0,0,IF(XB$25&gt;XB27,XB27,0))</f>
        <v>0</v>
      </c>
      <c r="XD28" s="115">
        <f>IF(SUM($D28:XC28)&gt;0,0,IF(XC$25&gt;XC27,XC27,0))</f>
        <v>0</v>
      </c>
      <c r="XE28" s="115">
        <f>IF(SUM($D28:XD28)&gt;0,0,IF(XD$25&gt;XD27,XD27,0))</f>
        <v>0</v>
      </c>
      <c r="XF28" s="115">
        <f>IF(SUM($D28:XE28)&gt;0,0,IF(XE$25&gt;XE27,XE27,0))</f>
        <v>0</v>
      </c>
      <c r="XG28" s="115">
        <f>IF(SUM($D28:XF28)&gt;0,0,IF(XF$25&gt;XF27,XF27,0))</f>
        <v>0</v>
      </c>
      <c r="XH28" s="115">
        <f>IF(SUM($D28:XG28)&gt;0,0,IF(XG$25&gt;XG27,XG27,0))</f>
        <v>0</v>
      </c>
      <c r="XI28" s="115">
        <f>IF(SUM($D28:XH28)&gt;0,0,IF(XH$25&gt;XH27,XH27,0))</f>
        <v>0</v>
      </c>
      <c r="XJ28" s="115">
        <f>IF(SUM($D28:XI28)&gt;0,0,IF(XI$25&gt;XI27,XI27,0))</f>
        <v>0</v>
      </c>
      <c r="XK28" s="115">
        <f>IF(SUM($D28:XJ28)&gt;0,0,IF(XJ$25&gt;XJ27,XJ27,0))</f>
        <v>0</v>
      </c>
      <c r="XL28" s="115">
        <f>IF(SUM($D28:XK28)&gt;0,0,IF(XK$25&gt;XK27,XK27,0))</f>
        <v>0</v>
      </c>
      <c r="XM28" s="115">
        <f>IF(SUM($D28:XL28)&gt;0,0,IF(XL$25&gt;XL27,XL27,0))</f>
        <v>0</v>
      </c>
      <c r="XN28" s="115">
        <f>IF(SUM($D28:XM28)&gt;0,0,IF(XM$25&gt;XM27,XM27,0))</f>
        <v>0</v>
      </c>
      <c r="XO28" s="115">
        <f>IF(SUM($D28:XN28)&gt;0,0,IF(XN$25&gt;XN27,XN27,0))</f>
        <v>0</v>
      </c>
      <c r="XP28" s="115">
        <f>IF(SUM($D28:XO28)&gt;0,0,IF(XO$25&gt;XO27,XO27,0))</f>
        <v>0</v>
      </c>
      <c r="XQ28" s="115">
        <f>IF(SUM($D28:XP28)&gt;0,0,IF(XP$25&gt;XP27,XP27,0))</f>
        <v>0</v>
      </c>
      <c r="XR28" s="115">
        <f>IF(SUM($D28:XQ28)&gt;0,0,IF(XQ$25&gt;XQ27,XQ27,0))</f>
        <v>0</v>
      </c>
      <c r="XS28" s="115">
        <f>IF(SUM($D28:XR28)&gt;0,0,IF(XR$25&gt;XR27,XR27,0))</f>
        <v>0</v>
      </c>
      <c r="XT28" s="115">
        <f>IF(SUM($D28:XS28)&gt;0,0,IF(XS$25&gt;XS27,XS27,0))</f>
        <v>0</v>
      </c>
      <c r="XU28" s="115">
        <f>IF(SUM($D28:XT28)&gt;0,0,IF(XT$25&gt;XT27,XT27,0))</f>
        <v>0</v>
      </c>
      <c r="XV28" s="115">
        <f>IF(SUM($D28:XU28)&gt;0,0,IF(XU$25&gt;XU27,XU27,0))</f>
        <v>0</v>
      </c>
      <c r="XW28" s="115">
        <f>IF(SUM($D28:XV28)&gt;0,0,IF(XV$25&gt;XV27,XV27,0))</f>
        <v>0</v>
      </c>
      <c r="XX28" s="115">
        <f>IF(SUM($D28:XW28)&gt;0,0,IF(XW$25&gt;XW27,XW27,0))</f>
        <v>0</v>
      </c>
      <c r="XY28" s="115">
        <f>IF(SUM($D28:XX28)&gt;0,0,IF(XX$25&gt;XX27,XX27,0))</f>
        <v>0</v>
      </c>
      <c r="XZ28" s="115">
        <f>IF(SUM($D28:XY28)&gt;0,0,IF(XY$25&gt;XY27,XY27,0))</f>
        <v>0</v>
      </c>
      <c r="YA28" s="115">
        <f>IF(SUM($D28:XZ28)&gt;0,0,IF(XZ$25&gt;XZ27,XZ27,0))</f>
        <v>0</v>
      </c>
      <c r="YB28" s="115">
        <f>IF(SUM($D28:YA28)&gt;0,0,IF(YA$25&gt;YA27,YA27,0))</f>
        <v>0</v>
      </c>
      <c r="YC28" s="115">
        <f>IF(SUM($D28:YB28)&gt;0,0,IF(YB$25&gt;YB27,YB27,0))</f>
        <v>0</v>
      </c>
      <c r="YD28" s="115">
        <f>IF(SUM($D28:YC28)&gt;0,0,IF(YC$25&gt;YC27,YC27,0))</f>
        <v>0</v>
      </c>
      <c r="YE28" s="115">
        <f>IF(SUM($D28:YD28)&gt;0,0,IF(YD$25&gt;YD27,YD27,0))</f>
        <v>0</v>
      </c>
      <c r="YF28" s="115">
        <f>IF(SUM($D28:YE28)&gt;0,0,IF(YE$25&gt;YE27,YE27,0))</f>
        <v>0</v>
      </c>
      <c r="YG28" s="115">
        <f>IF(SUM($D28:YF28)&gt;0,0,IF(YF$25&gt;YF27,YF27,0))</f>
        <v>0</v>
      </c>
      <c r="YH28" s="115">
        <f>IF(SUM($D28:YG28)&gt;0,0,IF(YG$25&gt;YG27,YG27,0))</f>
        <v>0</v>
      </c>
      <c r="YI28" s="115">
        <f>IF(SUM($D28:YH28)&gt;0,0,IF(YH$25&gt;YH27,YH27,0))</f>
        <v>0</v>
      </c>
      <c r="YJ28" s="115">
        <f>IF(SUM($D28:YI28)&gt;0,0,IF(YI$25&gt;YI27,YI27,0))</f>
        <v>0</v>
      </c>
      <c r="YK28" s="115">
        <f>IF(SUM($D28:YJ28)&gt;0,0,IF(YJ$25&gt;YJ27,YJ27,0))</f>
        <v>0</v>
      </c>
      <c r="YL28" s="115">
        <f>IF(SUM($D28:YK28)&gt;0,0,IF(YK$25&gt;YK27,YK27,0))</f>
        <v>0</v>
      </c>
      <c r="YM28" s="115">
        <f>IF(SUM($D28:YL28)&gt;0,0,IF(YL$25&gt;YL27,YL27,0))</f>
        <v>0</v>
      </c>
      <c r="YN28" s="115">
        <f>IF(SUM($D28:YM28)&gt;0,0,IF(YM$25&gt;YM27,YM27,0))</f>
        <v>0</v>
      </c>
      <c r="YO28" s="115">
        <f>IF(SUM($D28:YN28)&gt;0,0,IF(YN$25&gt;YN27,YN27,0))</f>
        <v>0</v>
      </c>
      <c r="YP28" s="115">
        <f>IF(SUM($D28:YO28)&gt;0,0,IF(YO$25&gt;YO27,YO27,0))</f>
        <v>0</v>
      </c>
      <c r="YQ28" s="115">
        <f>IF(SUM($D28:YP28)&gt;0,0,IF(YP$25&gt;YP27,YP27,0))</f>
        <v>0</v>
      </c>
      <c r="YR28" s="115">
        <f>IF(SUM($D28:YQ28)&gt;0,0,IF(YQ$25&gt;YQ27,YQ27,0))</f>
        <v>0</v>
      </c>
      <c r="YS28" s="115">
        <f>IF(SUM($D28:YR28)&gt;0,0,IF(YR$25&gt;YR27,YR27,0))</f>
        <v>0</v>
      </c>
      <c r="YT28" s="115">
        <f>IF(SUM($D28:YS28)&gt;0,0,IF(YS$25&gt;YS27,YS27,0))</f>
        <v>0</v>
      </c>
      <c r="YU28" s="115">
        <f>IF(SUM($D28:YT28)&gt;0,0,IF(YT$25&gt;YT27,YT27,0))</f>
        <v>0</v>
      </c>
      <c r="YV28" s="115">
        <f>IF(SUM($D28:YU28)&gt;0,0,IF(YU$25&gt;YU27,YU27,0))</f>
        <v>0</v>
      </c>
      <c r="YW28" s="115">
        <f>IF(SUM($D28:YV28)&gt;0,0,IF(YV$25&gt;YV27,YV27,0))</f>
        <v>0</v>
      </c>
      <c r="YX28" s="115">
        <f>IF(SUM($D28:YW28)&gt;0,0,IF(YW$25&gt;YW27,YW27,0))</f>
        <v>0</v>
      </c>
      <c r="YY28" s="115">
        <f>IF(SUM($D28:YX28)&gt;0,0,IF(YX$25&gt;YX27,YX27,0))</f>
        <v>0</v>
      </c>
      <c r="YZ28" s="115">
        <f>IF(SUM($D28:YY28)&gt;0,0,IF(YY$25&gt;YY27,YY27,0))</f>
        <v>0</v>
      </c>
      <c r="ZA28" s="115">
        <f>IF(SUM($D28:YZ28)&gt;0,0,IF(YZ$25&gt;YZ27,YZ27,0))</f>
        <v>0</v>
      </c>
      <c r="ZB28" s="115">
        <f>IF(SUM($D28:ZA28)&gt;0,0,IF(ZA$25&gt;ZA27,ZA27,0))</f>
        <v>0</v>
      </c>
      <c r="ZC28" s="115">
        <f>IF(SUM($D28:ZB28)&gt;0,0,IF(ZB$25&gt;ZB27,ZB27,0))</f>
        <v>0</v>
      </c>
      <c r="ZD28" s="115">
        <f>IF(SUM($D28:ZC28)&gt;0,0,IF(ZC$25&gt;ZC27,ZC27,0))</f>
        <v>0</v>
      </c>
      <c r="ZE28" s="115">
        <f>IF(SUM($D28:ZD28)&gt;0,0,IF(ZD$25&gt;ZD27,ZD27,0))</f>
        <v>0</v>
      </c>
      <c r="ZF28" s="115">
        <f>IF(SUM($D28:ZE28)&gt;0,0,IF(ZE$25&gt;ZE27,ZE27,0))</f>
        <v>0</v>
      </c>
      <c r="ZG28" s="115">
        <f>IF(SUM($D28:ZF28)&gt;0,0,IF(ZF$25&gt;ZF27,ZF27,0))</f>
        <v>0</v>
      </c>
      <c r="ZH28" s="115">
        <f>IF(SUM($D28:ZG28)&gt;0,0,IF(ZG$25&gt;ZG27,ZG27,0))</f>
        <v>0</v>
      </c>
      <c r="ZI28" s="115">
        <f>IF(SUM($D28:ZH28)&gt;0,0,IF(ZH$25&gt;ZH27,ZH27,0))</f>
        <v>0</v>
      </c>
      <c r="ZJ28" s="115">
        <f>IF(SUM($D28:ZI28)&gt;0,0,IF(ZI$25&gt;ZI27,ZI27,0))</f>
        <v>0</v>
      </c>
      <c r="ZK28" s="115">
        <f>IF(SUM($D28:ZJ28)&gt;0,0,IF(ZJ$25&gt;ZJ27,ZJ27,0))</f>
        <v>0</v>
      </c>
      <c r="ZL28" s="115">
        <f>IF(SUM($D28:ZK28)&gt;0,0,IF(ZK$25&gt;ZK27,ZK27,0))</f>
        <v>0</v>
      </c>
      <c r="ZM28" s="115">
        <f>IF(SUM($D28:ZL28)&gt;0,0,IF(ZL$25&gt;ZL27,ZL27,0))</f>
        <v>0</v>
      </c>
      <c r="ZN28" s="115">
        <f>IF(SUM($D28:ZM28)&gt;0,0,IF(ZM$25&gt;ZM27,ZM27,0))</f>
        <v>0</v>
      </c>
      <c r="ZO28" s="115">
        <f>IF(SUM($D28:ZN28)&gt;0,0,IF(ZN$25&gt;ZN27,ZN27,0))</f>
        <v>0</v>
      </c>
      <c r="ZP28" s="115">
        <f>IF(SUM($D28:ZO28)&gt;0,0,IF(ZO$25&gt;ZO27,ZO27,0))</f>
        <v>0</v>
      </c>
      <c r="ZQ28" s="115">
        <f>IF(SUM($D28:ZP28)&gt;0,0,IF(ZP$25&gt;ZP27,ZP27,0))</f>
        <v>0</v>
      </c>
      <c r="ZR28" s="115">
        <f>IF(SUM($D28:ZQ28)&gt;0,0,IF(ZQ$25&gt;ZQ27,ZQ27,0))</f>
        <v>0</v>
      </c>
      <c r="ZS28" s="115">
        <f>IF(SUM($D28:ZR28)&gt;0,0,IF(ZR$25&gt;ZR27,ZR27,0))</f>
        <v>0</v>
      </c>
      <c r="ZT28" s="115">
        <f>IF(SUM($D28:ZS28)&gt;0,0,IF(ZS$25&gt;ZS27,ZS27,0))</f>
        <v>0</v>
      </c>
      <c r="ZU28" s="115">
        <f>IF(SUM($D28:ZT28)&gt;0,0,IF(ZT$25&gt;ZT27,ZT27,0))</f>
        <v>0</v>
      </c>
      <c r="ZV28" s="115">
        <f>IF(SUM($D28:ZU28)&gt;0,0,IF(ZU$25&gt;ZU27,ZU27,0))</f>
        <v>0</v>
      </c>
      <c r="ZW28" s="115">
        <f>IF(SUM($D28:ZV28)&gt;0,0,IF(ZV$25&gt;ZV27,ZV27,0))</f>
        <v>0</v>
      </c>
      <c r="ZX28" s="115">
        <f>IF(SUM($D28:ZW28)&gt;0,0,IF(ZW$25&gt;ZW27,ZW27,0))</f>
        <v>0</v>
      </c>
      <c r="ZY28" s="115">
        <f>IF(SUM($D28:ZX28)&gt;0,0,IF(ZX$25&gt;ZX27,ZX27,0))</f>
        <v>0</v>
      </c>
      <c r="ZZ28" s="115">
        <f>IF(SUM($D28:ZY28)&gt;0,0,IF(ZY$25&gt;ZY27,ZY27,0))</f>
        <v>0</v>
      </c>
      <c r="AAA28" s="115">
        <f>IF(SUM($D28:ZZ28)&gt;0,0,IF(ZZ$25&gt;ZZ27,ZZ27,0))</f>
        <v>0</v>
      </c>
      <c r="AAB28" s="115">
        <f>IF(SUM($D28:AAA28)&gt;0,0,IF(AAA$25&gt;AAA27,AAA27,0))</f>
        <v>0</v>
      </c>
      <c r="AAC28" s="115">
        <f>IF(SUM($D28:AAB28)&gt;0,0,IF(AAB$25&gt;AAB27,AAB27,0))</f>
        <v>0</v>
      </c>
      <c r="AAD28" s="115">
        <f>IF(SUM($D28:AAC28)&gt;0,0,IF(AAC$25&gt;AAC27,AAC27,0))</f>
        <v>0</v>
      </c>
      <c r="AAE28" s="115">
        <f>IF(SUM($D28:AAD28)&gt;0,0,IF(AAD$25&gt;AAD27,AAD27,0))</f>
        <v>0</v>
      </c>
      <c r="AAF28" s="115">
        <f>IF(SUM($D28:AAE28)&gt;0,0,IF(AAE$25&gt;AAE27,AAE27,0))</f>
        <v>0</v>
      </c>
      <c r="AAG28" s="115">
        <f>IF(SUM($D28:AAF28)&gt;0,0,IF(AAF$25&gt;AAF27,AAF27,0))</f>
        <v>0</v>
      </c>
      <c r="AAH28" s="115">
        <f>IF(SUM($D28:AAG28)&gt;0,0,IF(AAG$25&gt;AAG27,AAG27,0))</f>
        <v>0</v>
      </c>
      <c r="AAI28" s="115">
        <f>IF(SUM($D28:AAH28)&gt;0,0,IF(AAH$25&gt;AAH27,AAH27,0))</f>
        <v>0</v>
      </c>
      <c r="AAJ28" s="115">
        <f>IF(SUM($D28:AAI28)&gt;0,0,IF(AAI$25&gt;AAI27,AAI27,0))</f>
        <v>0</v>
      </c>
      <c r="AAK28" s="115">
        <f>IF(SUM($D28:AAJ28)&gt;0,0,IF(AAJ$25&gt;AAJ27,AAJ27,0))</f>
        <v>0</v>
      </c>
      <c r="AAL28" s="115">
        <f>IF(SUM($D28:AAK28)&gt;0,0,IF(AAK$25&gt;AAK27,AAK27,0))</f>
        <v>0</v>
      </c>
      <c r="AAM28" s="115">
        <f>IF(SUM($D28:AAL28)&gt;0,0,IF(AAL$25&gt;AAL27,AAL27,0))</f>
        <v>0</v>
      </c>
      <c r="AAN28" s="115">
        <f>IF(SUM($D28:AAM28)&gt;0,0,IF(AAM$25&gt;AAM27,AAM27,0))</f>
        <v>0</v>
      </c>
      <c r="AAO28" s="115">
        <f>IF(SUM($D28:AAN28)&gt;0,0,IF(AAN$25&gt;AAN27,AAN27,0))</f>
        <v>0</v>
      </c>
      <c r="AAP28" s="115">
        <f>IF(SUM($D28:AAO28)&gt;0,0,IF(AAO$25&gt;AAO27,AAO27,0))</f>
        <v>0</v>
      </c>
      <c r="AAQ28" s="115">
        <f>IF(SUM($D28:AAP28)&gt;0,0,IF(AAP$25&gt;AAP27,AAP27,0))</f>
        <v>0</v>
      </c>
      <c r="AAR28" s="115">
        <f>IF(SUM($D28:AAQ28)&gt;0,0,IF(AAQ$25&gt;AAQ27,AAQ27,0))</f>
        <v>0</v>
      </c>
      <c r="AAS28" s="115">
        <f>IF(SUM($D28:AAR28)&gt;0,0,IF(AAR$25&gt;AAR27,AAR27,0))</f>
        <v>0</v>
      </c>
      <c r="AAT28" s="115">
        <f>IF(SUM($D28:AAS28)&gt;0,0,IF(AAS$25&gt;AAS27,AAS27,0))</f>
        <v>0</v>
      </c>
      <c r="AAU28" s="115">
        <f>IF(SUM($D28:AAT28)&gt;0,0,IF(AAT$25&gt;AAT27,AAT27,0))</f>
        <v>0</v>
      </c>
      <c r="AAV28" s="115">
        <f>IF(SUM($D28:AAU28)&gt;0,0,IF(AAU$25&gt;AAU27,AAU27,0))</f>
        <v>0</v>
      </c>
      <c r="AAW28" s="115">
        <f>IF(SUM($D28:AAV28)&gt;0,0,IF(AAV$25&gt;AAV27,AAV27,0))</f>
        <v>0</v>
      </c>
      <c r="AAX28" s="115">
        <f>IF(SUM($D28:AAW28)&gt;0,0,IF(AAW$25&gt;AAW27,AAW27,0))</f>
        <v>0</v>
      </c>
      <c r="AAY28" s="115">
        <f>IF(SUM($D28:AAX28)&gt;0,0,IF(AAX$25&gt;AAX27,AAX27,0))</f>
        <v>0</v>
      </c>
      <c r="AAZ28" s="115">
        <f>IF(SUM($D28:AAY28)&gt;0,0,IF(AAY$25&gt;AAY27,AAY27,0))</f>
        <v>0</v>
      </c>
      <c r="ABA28" s="115">
        <f>IF(SUM($D28:AAZ28)&gt;0,0,IF(AAZ$25&gt;AAZ27,AAZ27,0))</f>
        <v>0</v>
      </c>
      <c r="ABB28" s="115">
        <f>IF(SUM($D28:ABA28)&gt;0,0,IF(ABA$25&gt;ABA27,ABA27,0))</f>
        <v>0</v>
      </c>
      <c r="ABC28" s="115">
        <f>IF(SUM($D28:ABB28)&gt;0,0,IF(ABB$25&gt;ABB27,ABB27,0))</f>
        <v>0</v>
      </c>
      <c r="ABD28" s="115">
        <f>IF(SUM($D28:ABC28)&gt;0,0,IF(ABC$25&gt;ABC27,ABC27,0))</f>
        <v>0</v>
      </c>
      <c r="ABE28" s="115">
        <f>IF(SUM($D28:ABD28)&gt;0,0,IF(ABD$25&gt;ABD27,ABD27,0))</f>
        <v>0</v>
      </c>
      <c r="ABF28" s="115">
        <f>IF(SUM($D28:ABE28)&gt;0,0,IF(ABE$25&gt;ABE27,ABE27,0))</f>
        <v>0</v>
      </c>
      <c r="ABG28" s="115">
        <f>IF(SUM($D28:ABF28)&gt;0,0,IF(ABF$25&gt;ABF27,ABF27,0))</f>
        <v>0</v>
      </c>
      <c r="ABH28" s="115">
        <f>IF(SUM($D28:ABG28)&gt;0,0,IF(ABG$25&gt;ABG27,ABG27,0))</f>
        <v>0</v>
      </c>
      <c r="ABI28" s="115">
        <f>IF(SUM($D28:ABH28)&gt;0,0,IF(ABH$25&gt;ABH27,ABH27,0))</f>
        <v>0</v>
      </c>
      <c r="ABJ28" s="115">
        <f>IF(SUM($D28:ABI28)&gt;0,0,IF(ABI$25&gt;ABI27,ABI27,0))</f>
        <v>0</v>
      </c>
      <c r="ABK28" s="115">
        <f>IF(SUM($D28:ABJ28)&gt;0,0,IF(ABJ$25&gt;ABJ27,ABJ27,0))</f>
        <v>0</v>
      </c>
      <c r="ABL28" s="115">
        <f>IF(SUM($D28:ABK28)&gt;0,0,IF(ABK$25&gt;ABK27,ABK27,0))</f>
        <v>0</v>
      </c>
      <c r="ABM28" s="115">
        <f>IF(SUM($D28:ABL28)&gt;0,0,IF(ABL$25&gt;ABL27,ABL27,0))</f>
        <v>0</v>
      </c>
      <c r="ABN28" s="115">
        <f>IF(SUM($D28:ABM28)&gt;0,0,IF(ABM$25&gt;ABM27,ABM27,0))</f>
        <v>0</v>
      </c>
      <c r="ABO28" s="115">
        <f>IF(SUM($D28:ABN28)&gt;0,0,IF(ABN$25&gt;ABN27,ABN27,0))</f>
        <v>0</v>
      </c>
      <c r="ABP28" s="115">
        <f>IF(SUM($D28:ABO28)&gt;0,0,IF(ABO$25&gt;ABO27,ABO27,0))</f>
        <v>0</v>
      </c>
      <c r="ABQ28" s="115">
        <f>IF(SUM($D28:ABP28)&gt;0,0,IF(ABP$25&gt;ABP27,ABP27,0))</f>
        <v>0</v>
      </c>
      <c r="ABR28" s="115">
        <f>IF(SUM($D28:ABQ28)&gt;0,0,IF(ABQ$25&gt;ABQ27,ABQ27,0))</f>
        <v>0</v>
      </c>
      <c r="ABS28" s="115">
        <f>IF(SUM($D28:ABR28)&gt;0,0,IF(ABR$25&gt;ABR27,ABR27,0))</f>
        <v>0</v>
      </c>
      <c r="ABT28" s="115">
        <f>IF(SUM($D28:ABS28)&gt;0,0,IF(ABS$25&gt;ABS27,ABS27,0))</f>
        <v>0</v>
      </c>
      <c r="ABU28" s="115">
        <f>IF(SUM($D28:ABT28)&gt;0,0,IF(ABT$25&gt;ABT27,ABT27,0))</f>
        <v>0</v>
      </c>
      <c r="ABV28" s="115">
        <f>IF(SUM($D28:ABU28)&gt;0,0,IF(ABU$25&gt;ABU27,ABU27,0))</f>
        <v>0</v>
      </c>
      <c r="ABW28" s="115">
        <f>IF(SUM($D28:ABV28)&gt;0,0,IF(ABV$25&gt;ABV27,ABV27,0))</f>
        <v>0</v>
      </c>
      <c r="ABX28" s="115">
        <f>IF(SUM($D28:ABW28)&gt;0,0,IF(ABW$25&gt;ABW27,ABW27,0))</f>
        <v>0</v>
      </c>
      <c r="ABY28" s="115">
        <f>IF(SUM($D28:ABX28)&gt;0,0,IF(ABX$25&gt;ABX27,ABX27,0))</f>
        <v>0</v>
      </c>
      <c r="ABZ28" s="115">
        <f>IF(SUM($D28:ABY28)&gt;0,0,IF(ABY$25&gt;ABY27,ABY27,0))</f>
        <v>0</v>
      </c>
      <c r="ACA28" s="115">
        <f>IF(SUM($D28:ABZ28)&gt;0,0,IF(ABZ$25&gt;ABZ27,ABZ27,0))</f>
        <v>0</v>
      </c>
      <c r="ACB28" s="115">
        <f>IF(SUM($D28:ACA28)&gt;0,0,IF(ACA$25&gt;ACA27,ACA27,0))</f>
        <v>0</v>
      </c>
      <c r="ACC28" s="115">
        <f>IF(SUM($D28:ACB28)&gt;0,0,IF(ACB$25&gt;ACB27,ACB27,0))</f>
        <v>0</v>
      </c>
      <c r="ACD28" s="115">
        <f>IF(SUM($D28:ACC28)&gt;0,0,IF(ACC$25&gt;ACC27,ACC27,0))</f>
        <v>0</v>
      </c>
      <c r="ACE28" s="115">
        <f>IF(SUM($D28:ACD28)&gt;0,0,IF(ACD$25&gt;ACD27,ACD27,0))</f>
        <v>0</v>
      </c>
      <c r="ACF28" s="115">
        <f>IF(SUM($D28:ACE28)&gt;0,0,IF(ACE$25&gt;ACE27,ACE27,0))</f>
        <v>0</v>
      </c>
      <c r="ACG28" s="115">
        <f>IF(SUM($D28:ACF28)&gt;0,0,IF(ACF$25&gt;ACF27,ACF27,0))</f>
        <v>0</v>
      </c>
      <c r="ACH28" s="115">
        <f>IF(SUM($D28:ACG28)&gt;0,0,IF(ACG$25&gt;ACG27,ACG27,0))</f>
        <v>0</v>
      </c>
      <c r="ACI28" s="115">
        <f>IF(SUM($D28:ACH28)&gt;0,0,IF(ACH$25&gt;ACH27,ACH27,0))</f>
        <v>0</v>
      </c>
      <c r="ACJ28" s="115">
        <f>IF(SUM($D28:ACI28)&gt;0,0,IF(ACI$25&gt;ACI27,ACI27,0))</f>
        <v>0</v>
      </c>
      <c r="ACK28" s="115">
        <f>IF(SUM($D28:ACJ28)&gt;0,0,IF(ACJ$25&gt;ACJ27,ACJ27,0))</f>
        <v>0</v>
      </c>
      <c r="ACL28" s="115">
        <f>IF(SUM($D28:ACK28)&gt;0,0,IF(ACK$25&gt;ACK27,ACK27,0))</f>
        <v>0</v>
      </c>
      <c r="ACM28" s="115">
        <f>IF(SUM($D28:ACL28)&gt;0,0,IF(ACL$25&gt;ACL27,ACL27,0))</f>
        <v>0</v>
      </c>
      <c r="ACN28" s="115">
        <f>IF(SUM($D28:ACM28)&gt;0,0,IF(ACM$25&gt;ACM27,ACM27,0))</f>
        <v>0</v>
      </c>
      <c r="ACO28" s="115">
        <f>IF(SUM($D28:ACN28)&gt;0,0,IF(ACN$25&gt;ACN27,ACN27,0))</f>
        <v>0</v>
      </c>
      <c r="ACP28" s="115">
        <f>IF(SUM($D28:ACO28)&gt;0,0,IF(ACO$25&gt;ACO27,ACO27,0))</f>
        <v>0</v>
      </c>
      <c r="ACQ28" s="115">
        <f>IF(SUM($D28:ACP28)&gt;0,0,IF(ACP$25&gt;ACP27,ACP27,0))</f>
        <v>0</v>
      </c>
      <c r="ACR28" s="115">
        <f>IF(SUM($D28:ACQ28)&gt;0,0,IF(ACQ$25&gt;ACQ27,ACQ27,0))</f>
        <v>0</v>
      </c>
      <c r="ACS28" s="115">
        <f>IF(SUM($D28:ACR28)&gt;0,0,IF(ACR$25&gt;ACR27,ACR27,0))</f>
        <v>0</v>
      </c>
      <c r="ACT28" s="115">
        <f>IF(SUM($D28:ACS28)&gt;0,0,IF(ACS$25&gt;ACS27,ACS27,0))</f>
        <v>0</v>
      </c>
      <c r="ACU28" s="115">
        <f>IF(SUM($D28:ACT28)&gt;0,0,IF(ACT$25&gt;ACT27,ACT27,0))</f>
        <v>0</v>
      </c>
      <c r="ACV28" s="115">
        <f>IF(SUM($D28:ACU28)&gt;0,0,IF(ACU$25&gt;ACU27,ACU27,0))</f>
        <v>0</v>
      </c>
      <c r="ACW28" s="115">
        <f>IF(SUM($D28:ACV28)&gt;0,0,IF(ACV$25&gt;ACV27,ACV27,0))</f>
        <v>0</v>
      </c>
      <c r="ACX28" s="115">
        <f>IF(SUM($D28:ACW28)&gt;0,0,IF(ACW$25&gt;ACW27,ACW27,0))</f>
        <v>0</v>
      </c>
      <c r="ACY28" s="115">
        <f>IF(SUM($D28:ACX28)&gt;0,0,IF(ACX$25&gt;ACX27,ACX27,0))</f>
        <v>0</v>
      </c>
      <c r="ACZ28" s="115">
        <f>IF(SUM($D28:ACY28)&gt;0,0,IF(ACY$25&gt;ACY27,ACY27,0))</f>
        <v>0</v>
      </c>
      <c r="ADA28" s="115">
        <f>IF(SUM($D28:ACZ28)&gt;0,0,IF(ACZ$25&gt;ACZ27,ACZ27,0))</f>
        <v>0</v>
      </c>
      <c r="ADB28" s="115">
        <f>IF(SUM($D28:ADA28)&gt;0,0,IF(ADA$25&gt;ADA27,ADA27,0))</f>
        <v>0</v>
      </c>
      <c r="ADC28" s="115">
        <f>IF(SUM($D28:ADB28)&gt;0,0,IF(ADB$25&gt;ADB27,ADB27,0))</f>
        <v>0</v>
      </c>
      <c r="ADD28" s="115">
        <f>IF(SUM($D28:ADC28)&gt;0,0,IF(ADC$25&gt;ADC27,ADC27,0))</f>
        <v>0</v>
      </c>
      <c r="ADE28" s="115">
        <f>IF(SUM($D28:ADD28)&gt;0,0,IF(ADD$25&gt;ADD27,ADD27,0))</f>
        <v>0</v>
      </c>
      <c r="ADF28" s="115">
        <f>IF(SUM($D28:ADE28)&gt;0,0,IF(ADE$25&gt;ADE27,ADE27,0))</f>
        <v>0</v>
      </c>
      <c r="ADG28" s="115">
        <f>IF(SUM($D28:ADF28)&gt;0,0,IF(ADF$25&gt;ADF27,ADF27,0))</f>
        <v>0</v>
      </c>
      <c r="ADH28" s="115">
        <f>IF(SUM($D28:ADG28)&gt;0,0,IF(ADG$25&gt;ADG27,ADG27,0))</f>
        <v>0</v>
      </c>
      <c r="ADI28" s="115">
        <f>IF(SUM($D28:ADH28)&gt;0,0,IF(ADH$25&gt;ADH27,ADH27,0))</f>
        <v>0</v>
      </c>
      <c r="ADJ28" s="115">
        <f>IF(SUM($D28:ADI28)&gt;0,0,IF(ADI$25&gt;ADI27,ADI27,0))</f>
        <v>0</v>
      </c>
      <c r="ADK28" s="115">
        <f>IF(SUM($D28:ADJ28)&gt;0,0,IF(ADJ$25&gt;ADJ27,ADJ27,0))</f>
        <v>0</v>
      </c>
      <c r="ADL28" s="115">
        <f>IF(SUM($D28:ADK28)&gt;0,0,IF(ADK$25&gt;ADK27,ADK27,0))</f>
        <v>0</v>
      </c>
      <c r="ADM28" s="115">
        <f>IF(SUM($D28:ADL28)&gt;0,0,IF(ADL$25&gt;ADL27,ADL27,0))</f>
        <v>0</v>
      </c>
      <c r="ADN28" s="115">
        <f>IF(SUM($D28:ADM28)&gt;0,0,IF(ADM$25&gt;ADM27,ADM27,0))</f>
        <v>0</v>
      </c>
      <c r="ADO28" s="115">
        <f>IF(SUM($D28:ADN28)&gt;0,0,IF(ADN$25&gt;ADN27,ADN27,0))</f>
        <v>0</v>
      </c>
      <c r="ADP28" s="115">
        <f>IF(SUM($D28:ADO28)&gt;0,0,IF(ADO$25&gt;ADO27,ADO27,0))</f>
        <v>0</v>
      </c>
      <c r="ADQ28" s="115">
        <f>IF(SUM($D28:ADP28)&gt;0,0,IF(ADP$25&gt;ADP27,ADP27,0))</f>
        <v>0</v>
      </c>
      <c r="ADR28" s="115">
        <f>IF(SUM($D28:ADQ28)&gt;0,0,IF(ADQ$25&gt;ADQ27,ADQ27,0))</f>
        <v>0</v>
      </c>
      <c r="ADS28" s="115">
        <f>IF(SUM($D28:ADR28)&gt;0,0,IF(ADR$25&gt;ADR27,ADR27,0))</f>
        <v>0</v>
      </c>
      <c r="ADT28" s="115">
        <f>IF(SUM($D28:ADS28)&gt;0,0,IF(ADS$25&gt;ADS27,ADS27,0))</f>
        <v>0</v>
      </c>
      <c r="ADU28" s="115">
        <f>IF(SUM($D28:ADT28)&gt;0,0,IF(ADT$25&gt;ADT27,ADT27,0))</f>
        <v>0</v>
      </c>
      <c r="ADV28" s="115">
        <f>IF(SUM($D28:ADU28)&gt;0,0,IF(ADU$25&gt;ADU27,ADU27,0))</f>
        <v>0</v>
      </c>
      <c r="ADW28" s="115">
        <f>IF(SUM($D28:ADV28)&gt;0,0,IF(ADV$25&gt;ADV27,ADV27,0))</f>
        <v>0</v>
      </c>
      <c r="ADX28" s="115">
        <f>IF(SUM($D28:ADW28)&gt;0,0,IF(ADW$25&gt;ADW27,ADW27,0))</f>
        <v>0</v>
      </c>
      <c r="ADY28" s="115">
        <f>IF(SUM($D28:ADX28)&gt;0,0,IF(ADX$25&gt;ADX27,ADX27,0))</f>
        <v>0</v>
      </c>
      <c r="ADZ28" s="115">
        <f>IF(SUM($D28:ADY28)&gt;0,0,IF(ADY$25&gt;ADY27,ADY27,0))</f>
        <v>0</v>
      </c>
      <c r="AEA28" s="115">
        <f>IF(SUM($D28:ADZ28)&gt;0,0,IF(ADZ$25&gt;ADZ27,ADZ27,0))</f>
        <v>0</v>
      </c>
      <c r="AEB28" s="115">
        <f>IF(SUM($D28:AEA28)&gt;0,0,IF(AEA$25&gt;AEA27,AEA27,0))</f>
        <v>0</v>
      </c>
      <c r="AEC28" s="115">
        <f>IF(SUM($D28:AEB28)&gt;0,0,IF(AEB$25&gt;AEB27,AEB27,0))</f>
        <v>0</v>
      </c>
      <c r="AED28" s="115">
        <f>IF(SUM($D28:AEC28)&gt;0,0,IF(AEC$25&gt;AEC27,AEC27,0))</f>
        <v>0</v>
      </c>
      <c r="AEE28" s="115">
        <f>IF(SUM($D28:AED28)&gt;0,0,IF(AED$25&gt;AED27,AED27,0))</f>
        <v>0</v>
      </c>
      <c r="AEF28" s="115">
        <f>IF(SUM($D28:AEE28)&gt;0,0,IF(AEE$25&gt;AEE27,AEE27,0))</f>
        <v>0</v>
      </c>
      <c r="AEG28" s="115">
        <f>IF(SUM($D28:AEF28)&gt;0,0,IF(AEF$25&gt;AEF27,AEF27,0))</f>
        <v>0</v>
      </c>
      <c r="AEH28" s="115">
        <f>IF(SUM($D28:AEG28)&gt;0,0,IF(AEG$25&gt;AEG27,AEG27,0))</f>
        <v>0</v>
      </c>
      <c r="AEI28" s="115">
        <f>IF(SUM($D28:AEH28)&gt;0,0,IF(AEH$25&gt;AEH27,AEH27,0))</f>
        <v>0</v>
      </c>
      <c r="AEJ28" s="115">
        <f>IF(SUM($D28:AEI28)&gt;0,0,IF(AEI$25&gt;AEI27,AEI27,0))</f>
        <v>0</v>
      </c>
      <c r="AEK28" s="115">
        <f>IF(SUM($D28:AEJ28)&gt;0,0,IF(AEJ$25&gt;AEJ27,AEJ27,0))</f>
        <v>0</v>
      </c>
      <c r="AEL28" s="115">
        <f>IF(SUM($D28:AEK28)&gt;0,0,IF(AEK$25&gt;AEK27,AEK27,0))</f>
        <v>0</v>
      </c>
      <c r="AEM28" s="115">
        <f>IF(SUM($D28:AEL28)&gt;0,0,IF(AEL$25&gt;AEL27,AEL27,0))</f>
        <v>0</v>
      </c>
      <c r="AEN28" s="115">
        <f>IF(SUM($D28:AEM28)&gt;0,0,IF(AEM$25&gt;AEM27,AEM27,0))</f>
        <v>0</v>
      </c>
      <c r="AEO28" s="115">
        <f>IF(SUM($D28:AEN28)&gt;0,0,IF(AEN$25&gt;AEN27,AEN27,0))</f>
        <v>0</v>
      </c>
      <c r="AEP28" s="115">
        <f>IF(SUM($D28:AEO28)&gt;0,0,IF(AEO$25&gt;AEO27,AEO27,0))</f>
        <v>0</v>
      </c>
      <c r="AEQ28" s="115">
        <f>IF(SUM($D28:AEP28)&gt;0,0,IF(AEP$25&gt;AEP27,AEP27,0))</f>
        <v>0</v>
      </c>
      <c r="AER28" s="115">
        <f>IF(SUM($D28:AEQ28)&gt;0,0,IF(AEQ$25&gt;AEQ27,AEQ27,0))</f>
        <v>0</v>
      </c>
      <c r="AES28" s="115">
        <f>IF(SUM($D28:AER28)&gt;0,0,IF(AER$25&gt;AER27,AER27,0))</f>
        <v>0</v>
      </c>
      <c r="AET28" s="115">
        <f>IF(SUM($D28:AES28)&gt;0,0,IF(AES$25&gt;AES27,AES27,0))</f>
        <v>0</v>
      </c>
      <c r="AEU28" s="115">
        <f>IF(SUM($D28:AET28)&gt;0,0,IF(AET$25&gt;AET27,AET27,0))</f>
        <v>0</v>
      </c>
      <c r="AEV28" s="115">
        <f>IF(SUM($D28:AEU28)&gt;0,0,IF(AEU$25&gt;AEU27,AEU27,0))</f>
        <v>0</v>
      </c>
      <c r="AEW28" s="115">
        <f>IF(SUM($D28:AEV28)&gt;0,0,IF(AEV$25&gt;AEV27,AEV27,0))</f>
        <v>0</v>
      </c>
      <c r="AEX28" s="115">
        <f>IF(SUM($D28:AEW28)&gt;0,0,IF(AEW$25&gt;AEW27,AEW27,0))</f>
        <v>0</v>
      </c>
      <c r="AEY28" s="115">
        <f>IF(SUM($D28:AEX28)&gt;0,0,IF(AEX$25&gt;AEX27,AEX27,0))</f>
        <v>0</v>
      </c>
      <c r="AEZ28" s="115">
        <f>IF(SUM($D28:AEY28)&gt;0,0,IF(AEY$25&gt;AEY27,AEY27,0))</f>
        <v>0</v>
      </c>
      <c r="AFA28" s="115">
        <f>IF(SUM($D28:AEZ28)&gt;0,0,IF(AEZ$25&gt;AEZ27,AEZ27,0))</f>
        <v>0</v>
      </c>
      <c r="AFB28" s="115">
        <f>IF(SUM($D28:AFA28)&gt;0,0,IF(AFA$25&gt;AFA27,AFA27,0))</f>
        <v>0</v>
      </c>
      <c r="AFC28" s="115">
        <f>IF(SUM($D28:AFB28)&gt;0,0,IF(AFB$25&gt;AFB27,AFB27,0))</f>
        <v>0</v>
      </c>
      <c r="AFD28" s="115">
        <f>IF(SUM($D28:AFC28)&gt;0,0,IF(AFC$25&gt;AFC27,AFC27,0))</f>
        <v>0</v>
      </c>
      <c r="AFE28" s="115">
        <f>IF(SUM($D28:AFD28)&gt;0,0,IF(AFD$25&gt;AFD27,AFD27,0))</f>
        <v>0</v>
      </c>
      <c r="AFF28" s="115">
        <f>IF(SUM($D28:AFE28)&gt;0,0,IF(AFE$25&gt;AFE27,AFE27,0))</f>
        <v>0</v>
      </c>
      <c r="AFG28" s="115">
        <f>IF(SUM($D28:AFF28)&gt;0,0,IF(AFF$25&gt;AFF27,AFF27,0))</f>
        <v>0</v>
      </c>
      <c r="AFH28" s="115">
        <f>IF(SUM($D28:AFG28)&gt;0,0,IF(AFG$25&gt;AFG27,AFG27,0))</f>
        <v>0</v>
      </c>
      <c r="AFI28" s="115">
        <f>IF(SUM($D28:AFH28)&gt;0,0,IF(AFH$25&gt;AFH27,AFH27,0))</f>
        <v>0</v>
      </c>
      <c r="AFJ28" s="115">
        <f>IF(SUM($D28:AFI28)&gt;0,0,IF(AFI$25&gt;AFI27,AFI27,0))</f>
        <v>0</v>
      </c>
      <c r="AFK28" s="115">
        <f>IF(SUM($D28:AFJ28)&gt;0,0,IF(AFJ$25&gt;AFJ27,AFJ27,0))</f>
        <v>0</v>
      </c>
      <c r="AFL28" s="115">
        <f>IF(SUM($D28:AFK28)&gt;0,0,IF(AFK$25&gt;AFK27,AFK27,0))</f>
        <v>0</v>
      </c>
      <c r="AFM28" s="115">
        <f>IF(SUM($D28:AFL28)&gt;0,0,IF(AFL$25&gt;AFL27,AFL27,0))</f>
        <v>0</v>
      </c>
      <c r="AFN28" s="115">
        <f>IF(SUM($D28:AFM28)&gt;0,0,IF(AFM$25&gt;AFM27,AFM27,0))</f>
        <v>0</v>
      </c>
      <c r="AFO28" s="115">
        <f>IF(SUM($D28:AFN28)&gt;0,0,IF(AFN$25&gt;AFN27,AFN27,0))</f>
        <v>0</v>
      </c>
      <c r="AFP28" s="115">
        <f>IF(SUM($D28:AFO28)&gt;0,0,IF(AFO$25&gt;AFO27,AFO27,0))</f>
        <v>0</v>
      </c>
      <c r="AFQ28" s="115">
        <f>IF(SUM($D28:AFP28)&gt;0,0,IF(AFP$25&gt;AFP27,AFP27,0))</f>
        <v>0</v>
      </c>
      <c r="AFR28" s="115">
        <f>IF(SUM($D28:AFQ28)&gt;0,0,IF(AFQ$25&gt;AFQ27,AFQ27,0))</f>
        <v>0</v>
      </c>
      <c r="AFS28" s="115">
        <f>IF(SUM($D28:AFR28)&gt;0,0,IF(AFR$25&gt;AFR27,AFR27,0))</f>
        <v>0</v>
      </c>
      <c r="AFT28" s="115">
        <f>IF(SUM($D28:AFS28)&gt;0,0,IF(AFS$25&gt;AFS27,AFS27,0))</f>
        <v>0</v>
      </c>
      <c r="AFU28" s="115">
        <f>IF(SUM($D28:AFT28)&gt;0,0,IF(AFT$25&gt;AFT27,AFT27,0))</f>
        <v>0</v>
      </c>
      <c r="AFV28" s="115">
        <f>IF(SUM($D28:AFU28)&gt;0,0,IF(AFU$25&gt;AFU27,AFU27,0))</f>
        <v>0</v>
      </c>
      <c r="AFW28" s="115">
        <f>IF(SUM($D28:AFV28)&gt;0,0,IF(AFV$25&gt;AFV27,AFV27,0))</f>
        <v>0</v>
      </c>
      <c r="AFX28" s="115">
        <f>IF(SUM($D28:AFW28)&gt;0,0,IF(AFW$25&gt;AFW27,AFW27,0))</f>
        <v>0</v>
      </c>
      <c r="AFY28" s="115">
        <f>IF(SUM($D28:AFX28)&gt;0,0,IF(AFX$25&gt;AFX27,AFX27,0))</f>
        <v>0</v>
      </c>
      <c r="AFZ28" s="115">
        <f>IF(SUM($D28:AFY28)&gt;0,0,IF(AFY$25&gt;AFY27,AFY27,0))</f>
        <v>0</v>
      </c>
      <c r="AGA28" s="115">
        <f>IF(SUM($D28:AFZ28)&gt;0,0,IF(AFZ$25&gt;AFZ27,AFZ27,0))</f>
        <v>0</v>
      </c>
      <c r="AGB28" s="115">
        <f>IF(SUM($D28:AGA28)&gt;0,0,IF(AGA$25&gt;AGA27,AGA27,0))</f>
        <v>0</v>
      </c>
      <c r="AGC28" s="115">
        <f>IF(SUM($D28:AGB28)&gt;0,0,IF(AGB$25&gt;AGB27,AGB27,0))</f>
        <v>0</v>
      </c>
      <c r="AGD28" s="115">
        <f>IF(SUM($D28:AGC28)&gt;0,0,IF(AGC$25&gt;AGC27,AGC27,0))</f>
        <v>0</v>
      </c>
      <c r="AGE28" s="115">
        <f>IF(SUM($D28:AGD28)&gt;0,0,IF(AGD$25&gt;AGD27,AGD27,0))</f>
        <v>0</v>
      </c>
      <c r="AGF28" s="115">
        <f>IF(SUM($D28:AGE28)&gt;0,0,IF(AGE$25&gt;AGE27,AGE27,0))</f>
        <v>0</v>
      </c>
      <c r="AGG28" s="115">
        <f>IF(SUM($D28:AGF28)&gt;0,0,IF(AGF$25&gt;AGF27,AGF27,0))</f>
        <v>0</v>
      </c>
      <c r="AGH28" s="115">
        <f>IF(SUM($D28:AGG28)&gt;0,0,IF(AGG$25&gt;AGG27,AGG27,0))</f>
        <v>0</v>
      </c>
      <c r="AGI28" s="115">
        <f>IF(SUM($D28:AGH28)&gt;0,0,IF(AGH$25&gt;AGH27,AGH27,0))</f>
        <v>0</v>
      </c>
      <c r="AGJ28" s="115">
        <f>IF(SUM($D28:AGI28)&gt;0,0,IF(AGI$25&gt;AGI27,AGI27,0))</f>
        <v>0</v>
      </c>
      <c r="AGK28" s="115">
        <f>IF(SUM($D28:AGJ28)&gt;0,0,IF(AGJ$25&gt;AGJ27,AGJ27,0))</f>
        <v>0</v>
      </c>
      <c r="AGL28" s="115">
        <f>IF(SUM($D28:AGK28)&gt;0,0,IF(AGK$25&gt;AGK27,AGK27,0))</f>
        <v>0</v>
      </c>
      <c r="AGM28" s="115">
        <f>IF(SUM($D28:AGL28)&gt;0,0,IF(AGL$25&gt;AGL27,AGL27,0))</f>
        <v>0</v>
      </c>
      <c r="AGN28" s="115">
        <f>IF(SUM($D28:AGM28)&gt;0,0,IF(AGM$25&gt;AGM27,AGM27,0))</f>
        <v>0</v>
      </c>
      <c r="AGO28" s="115">
        <f>IF(SUM($D28:AGN28)&gt;0,0,IF(AGN$25&gt;AGN27,AGN27,0))</f>
        <v>0</v>
      </c>
      <c r="AGP28" s="115">
        <f>IF(SUM($D28:AGO28)&gt;0,0,IF(AGO$25&gt;AGO27,AGO27,0))</f>
        <v>0</v>
      </c>
      <c r="AGQ28" s="115">
        <f>IF(SUM($D28:AGP28)&gt;0,0,IF(AGP$25&gt;AGP27,AGP27,0))</f>
        <v>0</v>
      </c>
      <c r="AGR28" s="115">
        <f>IF(SUM($D28:AGQ28)&gt;0,0,IF(AGQ$25&gt;AGQ27,AGQ27,0))</f>
        <v>0</v>
      </c>
      <c r="AGS28" s="115">
        <f>IF(SUM($D28:AGR28)&gt;0,0,IF(AGR$25&gt;AGR27,AGR27,0))</f>
        <v>0</v>
      </c>
      <c r="AGT28" s="115">
        <f>IF(SUM($D28:AGS28)&gt;0,0,IF(AGS$25&gt;AGS27,AGS27,0))</f>
        <v>0</v>
      </c>
      <c r="AGU28" s="115">
        <f>IF(SUM($D28:AGT28)&gt;0,0,IF(AGT$25&gt;AGT27,AGT27,0))</f>
        <v>0</v>
      </c>
      <c r="AGV28" s="115">
        <f>IF(SUM($D28:AGU28)&gt;0,0,IF(AGU$25&gt;AGU27,AGU27,0))</f>
        <v>0</v>
      </c>
      <c r="AGW28" s="115">
        <f>IF(SUM($D28:AGV28)&gt;0,0,IF(AGV$25&gt;AGV27,AGV27,0))</f>
        <v>0</v>
      </c>
      <c r="AGX28" s="115">
        <f>IF(SUM($D28:AGW28)&gt;0,0,IF(AGW$25&gt;AGW27,AGW27,0))</f>
        <v>0</v>
      </c>
      <c r="AGY28" s="115">
        <f>IF(SUM($D28:AGX28)&gt;0,0,IF(AGX$25&gt;AGX27,AGX27,0))</f>
        <v>0</v>
      </c>
      <c r="AGZ28" s="115">
        <f>IF(SUM($D28:AGY28)&gt;0,0,IF(AGY$25&gt;AGY27,AGY27,0))</f>
        <v>0</v>
      </c>
      <c r="AHA28" s="115">
        <f>IF(SUM($D28:AGZ28)&gt;0,0,IF(AGZ$25&gt;AGZ27,AGZ27,0))</f>
        <v>0</v>
      </c>
      <c r="AHB28" s="115">
        <f>IF(SUM($D28:AHA28)&gt;0,0,IF(AHA$25&gt;AHA27,AHA27,0))</f>
        <v>0</v>
      </c>
      <c r="AHC28" s="115">
        <f>IF(SUM($D28:AHB28)&gt;0,0,IF(AHB$25&gt;AHB27,AHB27,0))</f>
        <v>0</v>
      </c>
      <c r="AHD28" s="115">
        <f>IF(SUM($D28:AHC28)&gt;0,0,IF(AHC$25&gt;AHC27,AHC27,0))</f>
        <v>0</v>
      </c>
      <c r="AHE28" s="115">
        <f>IF(SUM($D28:AHD28)&gt;0,0,IF(AHD$25&gt;AHD27,AHD27,0))</f>
        <v>0</v>
      </c>
      <c r="AHF28" s="115">
        <f>IF(SUM($D28:AHE28)&gt;0,0,IF(AHE$25&gt;AHE27,AHE27,0))</f>
        <v>0</v>
      </c>
      <c r="AHG28" s="115">
        <f>IF(SUM($D28:AHF28)&gt;0,0,IF(AHF$25&gt;AHF27,AHF27,0))</f>
        <v>0</v>
      </c>
      <c r="AHH28" s="115">
        <f>IF(SUM($D28:AHG28)&gt;0,0,IF(AHG$25&gt;AHG27,AHG27,0))</f>
        <v>0</v>
      </c>
      <c r="AHI28" s="115">
        <f>IF(SUM($D28:AHH28)&gt;0,0,IF(AHH$25&gt;AHH27,AHH27,0))</f>
        <v>0</v>
      </c>
      <c r="AHJ28" s="115">
        <f>IF(SUM($D28:AHI28)&gt;0,0,IF(AHI$25&gt;AHI27,AHI27,0))</f>
        <v>0</v>
      </c>
      <c r="AHK28" s="115">
        <f>IF(SUM($D28:AHJ28)&gt;0,0,IF(AHJ$25&gt;AHJ27,AHJ27,0))</f>
        <v>0</v>
      </c>
      <c r="AHL28" s="115">
        <f>IF(SUM($D28:AHK28)&gt;0,0,IF(AHK$25&gt;AHK27,AHK27,0))</f>
        <v>0</v>
      </c>
      <c r="AHM28" s="115">
        <f>IF(SUM($D28:AHL28)&gt;0,0,IF(AHL$25&gt;AHL27,AHL27,0))</f>
        <v>0</v>
      </c>
      <c r="AHN28" s="115">
        <f>IF(SUM($D28:AHM28)&gt;0,0,IF(AHM$25&gt;AHM27,AHM27,0))</f>
        <v>0</v>
      </c>
      <c r="AHO28" s="115">
        <f>IF(SUM($D28:AHN28)&gt;0,0,IF(AHN$25&gt;AHN27,AHN27,0))</f>
        <v>0</v>
      </c>
      <c r="AHP28" s="115">
        <f>IF(SUM($D28:AHO28)&gt;0,0,IF(AHO$25&gt;AHO27,AHO27,0))</f>
        <v>0</v>
      </c>
      <c r="AHQ28" s="115">
        <f>IF(SUM($D28:AHP28)&gt;0,0,IF(AHP$25&gt;AHP27,AHP27,0))</f>
        <v>0</v>
      </c>
      <c r="AHR28" s="115">
        <f>IF(SUM($D28:AHQ28)&gt;0,0,IF(AHQ$25&gt;AHQ27,AHQ27,0))</f>
        <v>0</v>
      </c>
      <c r="AHS28" s="115">
        <f>IF(SUM($D28:AHR28)&gt;0,0,IF(AHR$25&gt;AHR27,AHR27,0))</f>
        <v>0</v>
      </c>
      <c r="AHT28" s="115">
        <f>IF(SUM($D28:AHS28)&gt;0,0,IF(AHS$25&gt;AHS27,AHS27,0))</f>
        <v>0</v>
      </c>
      <c r="AHU28" s="115">
        <f>IF(SUM($D28:AHT28)&gt;0,0,IF(AHT$25&gt;AHT27,AHT27,0))</f>
        <v>0</v>
      </c>
      <c r="AHV28" s="115">
        <f>IF(SUM($D28:AHU28)&gt;0,0,IF(AHU$25&gt;AHU27,AHU27,0))</f>
        <v>0</v>
      </c>
      <c r="AHW28" s="115">
        <f>IF(SUM($D28:AHV28)&gt;0,0,IF(AHV$25&gt;AHV27,AHV27,0))</f>
        <v>0</v>
      </c>
      <c r="AHX28" s="115">
        <f>IF(SUM($D28:AHW28)&gt;0,0,IF(AHW$25&gt;AHW27,AHW27,0))</f>
        <v>0</v>
      </c>
      <c r="AHY28" s="115">
        <f>IF(SUM($D28:AHX28)&gt;0,0,IF(AHX$25&gt;AHX27,AHX27,0))</f>
        <v>0</v>
      </c>
      <c r="AHZ28" s="115">
        <f>IF(SUM($D28:AHY28)&gt;0,0,IF(AHY$25&gt;AHY27,AHY27,0))</f>
        <v>0</v>
      </c>
      <c r="AIA28" s="115">
        <f>IF(SUM($D28:AHZ28)&gt;0,0,IF(AHZ$25&gt;AHZ27,AHZ27,0))</f>
        <v>0</v>
      </c>
      <c r="AIB28" s="115">
        <f>IF(SUM($D28:AIA28)&gt;0,0,IF(AIA$25&gt;AIA27,AIA27,0))</f>
        <v>0</v>
      </c>
      <c r="AIC28" s="115">
        <f>IF(SUM($D28:AIB28)&gt;0,0,IF(AIB$25&gt;AIB27,AIB27,0))</f>
        <v>0</v>
      </c>
      <c r="AID28" s="115">
        <f>IF(SUM($D28:AIC28)&gt;0,0,IF(AIC$25&gt;AIC27,AIC27,0))</f>
        <v>0</v>
      </c>
      <c r="AIE28" s="115">
        <f>IF(SUM($D28:AID28)&gt;0,0,IF(AID$25&gt;AID27,AID27,0))</f>
        <v>0</v>
      </c>
      <c r="AIF28" s="115">
        <f>IF(SUM($D28:AIE28)&gt;0,0,IF(AIE$25&gt;AIE27,AIE27,0))</f>
        <v>0</v>
      </c>
      <c r="AIG28" s="115">
        <f>IF(SUM($D28:AIF28)&gt;0,0,IF(AIF$25&gt;AIF27,AIF27,0))</f>
        <v>0</v>
      </c>
      <c r="AIH28" s="115">
        <f>IF(SUM($D28:AIG28)&gt;0,0,IF(AIG$25&gt;AIG27,AIG27,0))</f>
        <v>0</v>
      </c>
      <c r="AII28" s="115">
        <f>IF(SUM($D28:AIH28)&gt;0,0,IF(AIH$25&gt;AIH27,AIH27,0))</f>
        <v>0</v>
      </c>
      <c r="AIJ28" s="115">
        <f>IF(SUM($D28:AII28)&gt;0,0,IF(AII$25&gt;AII27,AII27,0))</f>
        <v>0</v>
      </c>
      <c r="AIK28" s="115">
        <f>IF(SUM($D28:AIJ28)&gt;0,0,IF(AIJ$25&gt;AIJ27,AIJ27,0))</f>
        <v>0</v>
      </c>
      <c r="AIL28" s="115">
        <f>IF(SUM($D28:AIK28)&gt;0,0,IF(AIK$25&gt;AIK27,AIK27,0))</f>
        <v>0</v>
      </c>
      <c r="AIM28" s="115">
        <f>IF(SUM($D28:AIL28)&gt;0,0,IF(AIL$25&gt;AIL27,AIL27,0))</f>
        <v>0</v>
      </c>
      <c r="AIN28" s="115">
        <f>IF(SUM($D28:AIM28)&gt;0,0,IF(AIM$25&gt;AIM27,AIM27,0))</f>
        <v>0</v>
      </c>
      <c r="AIO28" s="115">
        <f>IF(SUM($D28:AIN28)&gt;0,0,IF(AIN$25&gt;AIN27,AIN27,0))</f>
        <v>0</v>
      </c>
      <c r="AIP28" s="115">
        <f>IF(SUM($D28:AIO28)&gt;0,0,IF(AIO$25&gt;AIO27,AIO27,0))</f>
        <v>0</v>
      </c>
      <c r="AIQ28" s="115">
        <f>IF(SUM($D28:AIP28)&gt;0,0,IF(AIP$25&gt;AIP27,AIP27,0))</f>
        <v>0</v>
      </c>
      <c r="AIR28" s="115">
        <f>IF(SUM($D28:AIQ28)&gt;0,0,IF(AIQ$25&gt;AIQ27,AIQ27,0))</f>
        <v>0</v>
      </c>
      <c r="AIS28" s="115">
        <f>IF(SUM($D28:AIR28)&gt;0,0,IF(AIR$25&gt;AIR27,AIR27,0))</f>
        <v>0</v>
      </c>
      <c r="AIT28" s="115">
        <f>IF(SUM($D28:AIS28)&gt;0,0,IF(AIS$25&gt;AIS27,AIS27,0))</f>
        <v>0</v>
      </c>
      <c r="AIU28" s="115">
        <f>IF(SUM($D28:AIT28)&gt;0,0,IF(AIT$25&gt;AIT27,AIT27,0))</f>
        <v>0</v>
      </c>
      <c r="AIV28" s="115">
        <f>IF(SUM($D28:AIU28)&gt;0,0,IF(AIU$25&gt;AIU27,AIU27,0))</f>
        <v>0</v>
      </c>
      <c r="AIW28" s="115">
        <f>IF(SUM($D28:AIV28)&gt;0,0,IF(AIV$25&gt;AIV27,AIV27,0))</f>
        <v>0</v>
      </c>
      <c r="AIX28" s="115">
        <f>IF(SUM($D28:AIW28)&gt;0,0,IF(AIW$25&gt;AIW27,AIW27,0))</f>
        <v>0</v>
      </c>
      <c r="AIY28" s="115">
        <f>IF(SUM($D28:AIX28)&gt;0,0,IF(AIX$25&gt;AIX27,AIX27,0))</f>
        <v>0</v>
      </c>
      <c r="AIZ28" s="115">
        <f>IF(SUM($D28:AIY28)&gt;0,0,IF(AIY$25&gt;AIY27,AIY27,0))</f>
        <v>0</v>
      </c>
      <c r="AJA28" s="115">
        <f>IF(SUM($D28:AIZ28)&gt;0,0,IF(AIZ$25&gt;AIZ27,AIZ27,0))</f>
        <v>0</v>
      </c>
      <c r="AJB28" s="115">
        <f>IF(SUM($D28:AJA28)&gt;0,0,IF(AJA$25&gt;AJA27,AJA27,0))</f>
        <v>0</v>
      </c>
      <c r="AJC28" s="115">
        <f>IF(SUM($D28:AJB28)&gt;0,0,IF(AJB$25&gt;AJB27,AJB27,0))</f>
        <v>0</v>
      </c>
      <c r="AJD28" s="115">
        <f>IF(SUM($D28:AJC28)&gt;0,0,IF(AJC$25&gt;AJC27,AJC27,0))</f>
        <v>0</v>
      </c>
      <c r="AJE28" s="115">
        <f>IF(SUM($D28:AJD28)&gt;0,0,IF(AJD$25&gt;AJD27,AJD27,0))</f>
        <v>0</v>
      </c>
      <c r="AJF28" s="115">
        <f>IF(SUM($D28:AJE28)&gt;0,0,IF(AJE$25&gt;AJE27,AJE27,0))</f>
        <v>0</v>
      </c>
      <c r="AJG28" s="115">
        <f>IF(SUM($D28:AJF28)&gt;0,0,IF(AJF$25&gt;AJF27,AJF27,0))</f>
        <v>0</v>
      </c>
      <c r="AJH28" s="115">
        <f>IF(SUM($D28:AJG28)&gt;0,0,IF(AJG$25&gt;AJG27,AJG27,0))</f>
        <v>0</v>
      </c>
      <c r="AJI28" s="115">
        <f>IF(SUM($D28:AJH28)&gt;0,0,IF(AJH$25&gt;AJH27,AJH27,0))</f>
        <v>0</v>
      </c>
      <c r="AJJ28" s="115">
        <f>IF(SUM($D28:AJI28)&gt;0,0,IF(AJI$25&gt;AJI27,AJI27,0))</f>
        <v>0</v>
      </c>
      <c r="AJK28" s="115">
        <f>IF(SUM($D28:AJJ28)&gt;0,0,IF(AJJ$25&gt;AJJ27,AJJ27,0))</f>
        <v>0</v>
      </c>
      <c r="AJL28" s="115">
        <f>IF(SUM($D28:AJK28)&gt;0,0,IF(AJK$25&gt;AJK27,AJK27,0))</f>
        <v>0</v>
      </c>
      <c r="AJM28" s="115">
        <f>IF(SUM($D28:AJL28)&gt;0,0,IF(AJL$25&gt;AJL27,AJL27,0))</f>
        <v>0</v>
      </c>
      <c r="AJN28" s="115">
        <f>IF(SUM($D28:AJM28)&gt;0,0,IF(AJM$25&gt;AJM27,AJM27,0))</f>
        <v>0</v>
      </c>
      <c r="AJO28" s="115">
        <f>IF(SUM($D28:AJN28)&gt;0,0,IF(AJN$25&gt;AJN27,AJN27,0))</f>
        <v>0</v>
      </c>
      <c r="AJP28" s="115">
        <f>IF(SUM($D28:AJO28)&gt;0,0,IF(AJO$25&gt;AJO27,AJO27,0))</f>
        <v>0</v>
      </c>
      <c r="AJQ28" s="115">
        <f>IF(SUM($D28:AJP28)&gt;0,0,IF(AJP$25&gt;AJP27,AJP27,0))</f>
        <v>0</v>
      </c>
      <c r="AJR28" s="115">
        <f>IF(SUM($D28:AJQ28)&gt;0,0,IF(AJQ$25&gt;AJQ27,AJQ27,0))</f>
        <v>0</v>
      </c>
      <c r="AJS28" s="115">
        <f>IF(SUM($D28:AJR28)&gt;0,0,IF(AJR$25&gt;AJR27,AJR27,0))</f>
        <v>0</v>
      </c>
      <c r="AJT28" s="115">
        <f>IF(SUM($D28:AJS28)&gt;0,0,IF(AJS$25&gt;AJS27,AJS27,0))</f>
        <v>0</v>
      </c>
      <c r="AJU28" s="115">
        <f>IF(SUM($D28:AJT28)&gt;0,0,IF(AJT$25&gt;AJT27,AJT27,0))</f>
        <v>0</v>
      </c>
      <c r="AJV28" s="115">
        <f>IF(SUM($D28:AJU28)&gt;0,0,IF(AJU$25&gt;AJU27,AJU27,0))</f>
        <v>0</v>
      </c>
      <c r="AJW28" s="115">
        <f>IF(SUM($D28:AJV28)&gt;0,0,IF(AJV$25&gt;AJV27,AJV27,0))</f>
        <v>0</v>
      </c>
      <c r="AJX28" s="115">
        <f>IF(SUM($D28:AJW28)&gt;0,0,IF(AJW$25&gt;AJW27,AJW27,0))</f>
        <v>0</v>
      </c>
      <c r="AJY28" s="115">
        <f>IF(SUM($D28:AJX28)&gt;0,0,IF(AJX$25&gt;AJX27,AJX27,0))</f>
        <v>0</v>
      </c>
      <c r="AJZ28" s="115">
        <f>IF(SUM($D28:AJY28)&gt;0,0,IF(AJY$25&gt;AJY27,AJY27,0))</f>
        <v>0</v>
      </c>
      <c r="AKA28" s="115">
        <f>IF(SUM($D28:AJZ28)&gt;0,0,IF(AJZ$25&gt;AJZ27,AJZ27,0))</f>
        <v>0</v>
      </c>
      <c r="AKB28" s="115">
        <f>IF(SUM($D28:AKA28)&gt;0,0,IF(AKA$25&gt;AKA27,AKA27,0))</f>
        <v>0</v>
      </c>
      <c r="AKC28" s="115">
        <f>IF(SUM($D28:AKB28)&gt;0,0,IF(AKB$25&gt;AKB27,AKB27,0))</f>
        <v>0</v>
      </c>
      <c r="AKD28" s="115">
        <f>IF(SUM($D28:AKC28)&gt;0,0,IF(AKC$25&gt;AKC27,AKC27,0))</f>
        <v>0</v>
      </c>
      <c r="AKE28" s="115">
        <f>IF(SUM($D28:AKD28)&gt;0,0,IF(AKD$25&gt;AKD27,AKD27,0))</f>
        <v>0</v>
      </c>
      <c r="AKF28" s="115">
        <f>IF(SUM($D28:AKE28)&gt;0,0,IF(AKE$25&gt;AKE27,AKE27,0))</f>
        <v>0</v>
      </c>
      <c r="AKG28" s="115">
        <f>IF(SUM($D28:AKF28)&gt;0,0,IF(AKF$25&gt;AKF27,AKF27,0))</f>
        <v>0</v>
      </c>
      <c r="AKH28" s="115">
        <f>IF(SUM($D28:AKG28)&gt;0,0,IF(AKG$25&gt;AKG27,AKG27,0))</f>
        <v>0</v>
      </c>
      <c r="AKI28" s="115">
        <f>IF(SUM($D28:AKH28)&gt;0,0,IF(AKH$25&gt;AKH27,AKH27,0))</f>
        <v>0</v>
      </c>
      <c r="AKJ28" s="115">
        <f>IF(SUM($D28:AKI28)&gt;0,0,IF(AKI$25&gt;AKI27,AKI27,0))</f>
        <v>0</v>
      </c>
      <c r="AKK28" s="115">
        <f>IF(SUM($D28:AKJ28)&gt;0,0,IF(AKJ$25&gt;AKJ27,AKJ27,0))</f>
        <v>0</v>
      </c>
      <c r="AKL28" s="115">
        <f>IF(SUM($D28:AKK28)&gt;0,0,IF(AKK$25&gt;AKK27,AKK27,0))</f>
        <v>0</v>
      </c>
      <c r="AKM28" s="115">
        <f>IF(SUM($D28:AKL28)&gt;0,0,IF(AKL$25&gt;AKL27,AKL27,0))</f>
        <v>0</v>
      </c>
      <c r="AKN28" s="115">
        <f>IF(SUM($D28:AKM28)&gt;0,0,IF(AKM$25&gt;AKM27,AKM27,0))</f>
        <v>0</v>
      </c>
      <c r="AKO28" s="115">
        <f>IF(SUM($D28:AKN28)&gt;0,0,IF(AKN$25&gt;AKN27,AKN27,0))</f>
        <v>0</v>
      </c>
      <c r="AKP28" s="115">
        <f>IF(SUM($D28:AKO28)&gt;0,0,IF(AKO$25&gt;AKO27,AKO27,0))</f>
        <v>0</v>
      </c>
      <c r="AKQ28" s="115">
        <f>IF(SUM($D28:AKP28)&gt;0,0,IF(AKP$25&gt;AKP27,AKP27,0))</f>
        <v>0</v>
      </c>
      <c r="AKR28" s="115">
        <f>IF(SUM($D28:AKQ28)&gt;0,0,IF(AKQ$25&gt;AKQ27,AKQ27,0))</f>
        <v>0</v>
      </c>
      <c r="AKS28" s="115">
        <f>IF(SUM($D28:AKR28)&gt;0,0,IF(AKR$25&gt;AKR27,AKR27,0))</f>
        <v>0</v>
      </c>
      <c r="AKT28" s="115">
        <f>IF(SUM($D28:AKS28)&gt;0,0,IF(AKS$25&gt;AKS27,AKS27,0))</f>
        <v>0</v>
      </c>
      <c r="AKU28" s="115">
        <f>IF(SUM($D28:AKT28)&gt;0,0,IF(AKT$25&gt;AKT27,AKT27,0))</f>
        <v>0</v>
      </c>
      <c r="AKV28" s="115">
        <f>IF(SUM($D28:AKU28)&gt;0,0,IF(AKU$25&gt;AKU27,AKU27,0))</f>
        <v>0</v>
      </c>
      <c r="AKW28" s="115">
        <f>IF(SUM($D28:AKV28)&gt;0,0,IF(AKV$25&gt;AKV27,AKV27,0))</f>
        <v>0</v>
      </c>
      <c r="AKX28" s="115">
        <f>IF(SUM($D28:AKW28)&gt;0,0,IF(AKW$25&gt;AKW27,AKW27,0))</f>
        <v>0</v>
      </c>
      <c r="AKY28" s="115">
        <f>IF(SUM($D28:AKX28)&gt;0,0,IF(AKX$25&gt;AKX27,AKX27,0))</f>
        <v>0</v>
      </c>
      <c r="AKZ28" s="115">
        <f>IF(SUM($D28:AKY28)&gt;0,0,IF(AKY$25&gt;AKY27,AKY27,0))</f>
        <v>0</v>
      </c>
      <c r="ALA28" s="115">
        <f>IF(SUM($D28:AKZ28)&gt;0,0,IF(AKZ$25&gt;AKZ27,AKZ27,0))</f>
        <v>0</v>
      </c>
      <c r="ALB28" s="115">
        <f>IF(SUM($D28:ALA28)&gt;0,0,IF(ALA$25&gt;ALA27,ALA27,0))</f>
        <v>0</v>
      </c>
      <c r="ALC28" s="115">
        <f>IF(SUM($D28:ALB28)&gt;0,0,IF(ALB$25&gt;ALB27,ALB27,0))</f>
        <v>0</v>
      </c>
      <c r="ALD28" s="115">
        <f>IF(SUM($D28:ALC28)&gt;0,0,IF(ALC$25&gt;ALC27,ALC27,0))</f>
        <v>0</v>
      </c>
      <c r="ALE28" s="115">
        <f>IF(SUM($D28:ALD28)&gt;0,0,IF(ALD$25&gt;ALD27,ALD27,0))</f>
        <v>0</v>
      </c>
      <c r="ALF28" s="115">
        <f>IF(SUM($D28:ALE28)&gt;0,0,IF(ALE$25&gt;ALE27,ALE27,0))</f>
        <v>0</v>
      </c>
      <c r="ALG28" s="115">
        <f>IF(SUM($D28:ALF28)&gt;0,0,IF(ALF$25&gt;ALF27,ALF27,0))</f>
        <v>0</v>
      </c>
      <c r="ALH28" s="115">
        <f>IF(SUM($D28:ALG28)&gt;0,0,IF(ALG$25&gt;ALG27,ALG27,0))</f>
        <v>0</v>
      </c>
      <c r="ALI28" s="115">
        <f>IF(SUM($D28:ALH28)&gt;0,0,IF(ALH$25&gt;ALH27,ALH27,0))</f>
        <v>0</v>
      </c>
      <c r="ALJ28" s="115">
        <f>IF(SUM($D28:ALI28)&gt;0,0,IF(ALI$25&gt;ALI27,ALI27,0))</f>
        <v>0</v>
      </c>
      <c r="ALK28" s="115">
        <f>IF(SUM($D28:ALJ28)&gt;0,0,IF(ALJ$25&gt;ALJ27,ALJ27,0))</f>
        <v>0</v>
      </c>
      <c r="ALL28" s="115">
        <f>IF(SUM($D28:ALK28)&gt;0,0,IF(ALK$25&gt;ALK27,ALK27,0))</f>
        <v>0</v>
      </c>
      <c r="ALM28" s="115">
        <f>IF(SUM($D28:ALL28)&gt;0,0,IF(ALL$25&gt;ALL27,ALL27,0))</f>
        <v>0</v>
      </c>
      <c r="ALN28" s="115">
        <f>IF(SUM($D28:ALM28)&gt;0,0,IF(ALM$25&gt;ALM27,ALM27,0))</f>
        <v>0</v>
      </c>
      <c r="ALO28" s="115">
        <f>IF(SUM($D28:ALN28)&gt;0,0,IF(ALN$25&gt;ALN27,ALN27,0))</f>
        <v>0</v>
      </c>
      <c r="ALP28" s="115">
        <f>IF(SUM($D28:ALO28)&gt;0,0,IF(ALO$25&gt;ALO27,ALO27,0))</f>
        <v>0</v>
      </c>
      <c r="ALQ28" s="115">
        <f>IF(SUM($D28:ALP28)&gt;0,0,IF(ALP$25&gt;ALP27,ALP27,0))</f>
        <v>0</v>
      </c>
      <c r="ALR28" s="115">
        <f>IF(SUM($D28:ALQ28)&gt;0,0,IF(ALQ$25&gt;ALQ27,ALQ27,0))</f>
        <v>0</v>
      </c>
      <c r="ALS28" s="115">
        <f>IF(SUM($D28:ALR28)&gt;0,0,IF(ALR$25&gt;ALR27,ALR27,0))</f>
        <v>0</v>
      </c>
      <c r="ALT28" s="115">
        <f>IF(SUM($D28:ALS28)&gt;0,0,IF(ALS$25&gt;ALS27,ALS27,0))</f>
        <v>0</v>
      </c>
      <c r="ALU28" s="115">
        <f>IF(SUM($D28:ALT28)&gt;0,0,IF(ALT$25&gt;ALT27,ALT27,0))</f>
        <v>0</v>
      </c>
      <c r="ALV28" s="115">
        <f>IF(SUM($D28:ALU28)&gt;0,0,IF(ALU$25&gt;ALU27,ALU27,0))</f>
        <v>0</v>
      </c>
      <c r="ALW28" s="115">
        <f>IF(SUM($D28:ALV28)&gt;0,0,IF(ALV$25&gt;ALV27,ALV27,0))</f>
        <v>0</v>
      </c>
      <c r="ALX28" s="115">
        <f>IF(SUM($D28:ALW28)&gt;0,0,IF(ALW$25&gt;ALW27,ALW27,0))</f>
        <v>0</v>
      </c>
      <c r="ALY28" s="115">
        <f>IF(SUM($D28:ALX28)&gt;0,0,IF(ALX$25&gt;ALX27,ALX27,0))</f>
        <v>0</v>
      </c>
      <c r="ALZ28" s="115">
        <f>IF(SUM($D28:ALY28)&gt;0,0,IF(ALY$25&gt;ALY27,ALY27,0))</f>
        <v>0</v>
      </c>
      <c r="AMA28" s="115">
        <f>IF(SUM($D28:ALZ28)&gt;0,0,IF(ALZ$25&gt;ALZ27,ALZ27,0))</f>
        <v>0</v>
      </c>
      <c r="AMB28" s="115">
        <f>IF(SUM($D28:AMA28)&gt;0,0,IF(AMA$25&gt;AMA27,AMA27,0))</f>
        <v>0</v>
      </c>
      <c r="AMC28" s="115">
        <f>IF(SUM($D28:AMB28)&gt;0,0,IF(AMB$25&gt;AMB27,AMB27,0))</f>
        <v>0</v>
      </c>
      <c r="AMD28" s="115">
        <f>IF(SUM($D28:AMC28)&gt;0,0,IF(AMC$25&gt;AMC27,AMC27,0))</f>
        <v>0</v>
      </c>
      <c r="AME28" s="115">
        <f>IF(SUM($D28:AMD28)&gt;0,0,IF(AMD$25&gt;AMD27,AMD27,0))</f>
        <v>0</v>
      </c>
      <c r="AMF28" s="115">
        <f>IF(SUM($D28:AME28)&gt;0,0,IF(AME$25&gt;AME27,AME27,0))</f>
        <v>0</v>
      </c>
      <c r="AMG28" s="115">
        <f>IF(SUM($D28:AMF28)&gt;0,0,IF(AMF$25&gt;AMF27,AMF27,0))</f>
        <v>0</v>
      </c>
      <c r="AMH28" s="115">
        <f>IF(SUM($D28:AMG28)&gt;0,0,IF(AMG$25&gt;AMG27,AMG27,0))</f>
        <v>0</v>
      </c>
      <c r="AMI28" s="115">
        <f>IF(SUM($D28:AMH28)&gt;0,0,IF(AMH$25&gt;AMH27,AMH27,0))</f>
        <v>0</v>
      </c>
      <c r="AMJ28" s="115">
        <f>IF(SUM($D28:AMI28)&gt;0,0,IF(AMI$25&gt;AMI27,AMI27,0))</f>
        <v>0</v>
      </c>
      <c r="AMK28" s="115">
        <f>IF(SUM($D28:AMJ28)&gt;0,0,IF(AMJ$25&gt;AMJ27,AMJ27,0))</f>
        <v>0</v>
      </c>
      <c r="AML28" s="115">
        <f>IF(SUM($D28:AMK28)&gt;0,0,IF(AMK$25&gt;AMK27,AMK27,0))</f>
        <v>0</v>
      </c>
      <c r="AMM28" s="115">
        <f>IF(SUM($D28:AML28)&gt;0,0,IF(AML$25&gt;AML27,AML27,0))</f>
        <v>0</v>
      </c>
      <c r="AMN28" s="115">
        <f>IF(SUM($D28:AMM28)&gt;0,0,IF(AMM$25&gt;AMM27,AMM27,0))</f>
        <v>0</v>
      </c>
      <c r="AMO28" s="115">
        <f>IF(SUM($D28:AMN28)&gt;0,0,IF(AMN$25&gt;AMN27,AMN27,0))</f>
        <v>0</v>
      </c>
      <c r="AMP28" s="115">
        <f>IF(SUM($D28:AMO28)&gt;0,0,IF(AMO$25&gt;AMO27,AMO27,0))</f>
        <v>0</v>
      </c>
      <c r="AMQ28" s="115">
        <f>IF(SUM($D28:AMP28)&gt;0,0,IF(AMP$25&gt;AMP27,AMP27,0))</f>
        <v>0</v>
      </c>
      <c r="AMR28" s="115">
        <f>IF(SUM($D28:AMQ28)&gt;0,0,IF(AMQ$25&gt;AMQ27,AMQ27,0))</f>
        <v>0</v>
      </c>
      <c r="AMS28" s="115">
        <f>IF(SUM($D28:AMR28)&gt;0,0,IF(AMR$25&gt;AMR27,AMR27,0))</f>
        <v>0</v>
      </c>
      <c r="AMT28" s="115">
        <f>IF(SUM($D28:AMS28)&gt;0,0,IF(AMS$25&gt;AMS27,AMS27,0))</f>
        <v>0</v>
      </c>
      <c r="AMU28" s="115">
        <f>IF(SUM($D28:AMT28)&gt;0,0,IF(AMT$25&gt;AMT27,AMT27,0))</f>
        <v>0</v>
      </c>
      <c r="AMV28" s="115">
        <f>IF(SUM($D28:AMU28)&gt;0,0,IF(AMU$25&gt;AMU27,AMU27,0))</f>
        <v>0</v>
      </c>
      <c r="AMW28" s="115">
        <f>IF(SUM($D28:AMV28)&gt;0,0,IF(AMV$25&gt;AMV27,AMV27,0))</f>
        <v>0</v>
      </c>
      <c r="AMX28" s="115">
        <f>IF(SUM($D28:AMW28)&gt;0,0,IF(AMW$25&gt;AMW27,AMW27,0))</f>
        <v>0</v>
      </c>
      <c r="AMY28" s="115">
        <f>IF(SUM($D28:AMX28)&gt;0,0,IF(AMX$25&gt;AMX27,AMX27,0))</f>
        <v>0</v>
      </c>
      <c r="AMZ28" s="115">
        <f>IF(SUM($D28:AMY28)&gt;0,0,IF(AMY$25&gt;AMY27,AMY27,0))</f>
        <v>0</v>
      </c>
      <c r="ANA28" s="115">
        <f>IF(SUM($D28:AMZ28)&gt;0,0,IF(AMZ$25&gt;AMZ27,AMZ27,0))</f>
        <v>0</v>
      </c>
      <c r="ANB28" s="115">
        <f>IF(SUM($D28:ANA28)&gt;0,0,IF(ANA$25&gt;ANA27,ANA27,0))</f>
        <v>0</v>
      </c>
      <c r="ANC28" s="115">
        <f>IF(SUM($D28:ANB28)&gt;0,0,IF(ANB$25&gt;ANB27,ANB27,0))</f>
        <v>0</v>
      </c>
      <c r="AND28" s="115">
        <f>IF(SUM($D28:ANC28)&gt;0,0,IF(ANC$25&gt;ANC27,ANC27,0))</f>
        <v>0</v>
      </c>
      <c r="ANE28" s="115">
        <f>IF(SUM($D28:AND28)&gt;0,0,IF(AND$25&gt;AND27,AND27,0))</f>
        <v>0</v>
      </c>
      <c r="ANF28" s="115">
        <f>IF(SUM($D28:ANE28)&gt;0,0,IF(ANE$25&gt;ANE27,ANE27,0))</f>
        <v>0</v>
      </c>
      <c r="ANG28" s="115">
        <f>IF(SUM($D28:ANF28)&gt;0,0,IF(ANF$25&gt;ANF27,ANF27,0))</f>
        <v>0</v>
      </c>
      <c r="ANH28" s="115">
        <f>IF(SUM($D28:ANG28)&gt;0,0,IF(ANG$25&gt;ANG27,ANG27,0))</f>
        <v>0</v>
      </c>
      <c r="ANI28" s="115">
        <f>IF(SUM($D28:ANH28)&gt;0,0,IF(ANH$25&gt;ANH27,ANH27,0))</f>
        <v>0</v>
      </c>
      <c r="ANJ28" s="115">
        <f>IF(SUM($D28:ANI28)&gt;0,0,IF(ANI$25&gt;ANI27,ANI27,0))</f>
        <v>0</v>
      </c>
      <c r="ANK28" s="115">
        <f>IF(SUM($D28:ANJ28)&gt;0,0,IF(ANJ$25&gt;ANJ27,ANJ27,0))</f>
        <v>0</v>
      </c>
      <c r="ANL28" s="115">
        <f>IF(SUM($D28:ANK28)&gt;0,0,IF(ANK$25&gt;ANK27,ANK27,0))</f>
        <v>0</v>
      </c>
      <c r="ANM28" s="115">
        <f>IF(SUM($D28:ANL28)&gt;0,0,IF(ANL$25&gt;ANL27,ANL27,0))</f>
        <v>0</v>
      </c>
      <c r="ANN28" s="115">
        <f>IF(SUM($D28:ANM28)&gt;0,0,IF(ANM$25&gt;ANM27,ANM27,0))</f>
        <v>0</v>
      </c>
      <c r="ANO28" s="115">
        <f>IF(SUM($D28:ANN28)&gt;0,0,IF(ANN$25&gt;ANN27,ANN27,0))</f>
        <v>0</v>
      </c>
      <c r="ANP28" s="115">
        <f>IF(SUM($D28:ANO28)&gt;0,0,IF(ANO$25&gt;ANO27,ANO27,0))</f>
        <v>0</v>
      </c>
      <c r="ANQ28" s="115">
        <f>IF(SUM($D28:ANP28)&gt;0,0,IF(ANP$25&gt;ANP27,ANP27,0))</f>
        <v>0</v>
      </c>
      <c r="ANR28" s="115">
        <f>IF(SUM($D28:ANQ28)&gt;0,0,IF(ANQ$25&gt;ANQ27,ANQ27,0))</f>
        <v>0</v>
      </c>
      <c r="ANS28" s="115">
        <f>IF(SUM($D28:ANR28)&gt;0,0,IF(ANR$25&gt;ANR27,ANR27,0))</f>
        <v>0</v>
      </c>
      <c r="ANT28" s="115">
        <f>IF(SUM($D28:ANS28)&gt;0,0,IF(ANS$25&gt;ANS27,ANS27,0))</f>
        <v>0</v>
      </c>
      <c r="ANU28" s="115">
        <f>IF(SUM($D28:ANT28)&gt;0,0,IF(ANT$25&gt;ANT27,ANT27,0))</f>
        <v>0</v>
      </c>
      <c r="ANV28" s="115">
        <f>IF(SUM($D28:ANU28)&gt;0,0,IF(ANU$25&gt;ANU27,ANU27,0))</f>
        <v>0</v>
      </c>
      <c r="ANW28" s="115">
        <f>IF(SUM($D28:ANV28)&gt;0,0,IF(ANV$25&gt;ANV27,ANV27,0))</f>
        <v>0</v>
      </c>
      <c r="ANX28" s="115">
        <f>IF(SUM($D28:ANW28)&gt;0,0,IF(ANW$25&gt;ANW27,ANW27,0))</f>
        <v>0</v>
      </c>
      <c r="ANY28" s="115">
        <f>IF(SUM($D28:ANX28)&gt;0,0,IF(ANX$25&gt;ANX27,ANX27,0))</f>
        <v>0</v>
      </c>
      <c r="ANZ28" s="115">
        <f>IF(SUM($D28:ANY28)&gt;0,0,IF(ANY$25&gt;ANY27,ANY27,0))</f>
        <v>0</v>
      </c>
      <c r="AOA28" s="115">
        <f>IF(SUM($D28:ANZ28)&gt;0,0,IF(ANZ$25&gt;ANZ27,ANZ27,0))</f>
        <v>0</v>
      </c>
      <c r="AOB28" s="115">
        <f>IF(SUM($D28:AOA28)&gt;0,0,IF(AOA$25&gt;AOA27,AOA27,0))</f>
        <v>0</v>
      </c>
      <c r="AOC28" s="115">
        <f>IF(SUM($D28:AOB28)&gt;0,0,IF(AOB$25&gt;AOB27,AOB27,0))</f>
        <v>0</v>
      </c>
      <c r="AOD28" s="115">
        <f>IF(SUM($D28:AOC28)&gt;0,0,IF(AOC$25&gt;AOC27,AOC27,0))</f>
        <v>0</v>
      </c>
      <c r="AOE28" s="115">
        <f>IF(SUM($D28:AOD28)&gt;0,0,IF(AOD$25&gt;AOD27,AOD27,0))</f>
        <v>0</v>
      </c>
      <c r="AOF28" s="115">
        <f>IF(SUM($D28:AOE28)&gt;0,0,IF(AOE$25&gt;AOE27,AOE27,0))</f>
        <v>0</v>
      </c>
      <c r="AOG28" s="115">
        <f>IF(SUM($D28:AOF28)&gt;0,0,IF(AOF$25&gt;AOF27,AOF27,0))</f>
        <v>0</v>
      </c>
      <c r="AOH28" s="115">
        <f>IF(SUM($D28:AOG28)&gt;0,0,IF(AOG$25&gt;AOG27,AOG27,0))</f>
        <v>0</v>
      </c>
      <c r="AOI28" s="115">
        <f>IF(SUM($D28:AOH28)&gt;0,0,IF(AOH$25&gt;AOH27,AOH27,0))</f>
        <v>0</v>
      </c>
      <c r="AOJ28" s="115">
        <f>IF(SUM($D28:AOI28)&gt;0,0,IF(AOI$25&gt;AOI27,AOI27,0))</f>
        <v>0</v>
      </c>
      <c r="AOK28" s="115">
        <f>IF(SUM($D28:AOJ28)&gt;0,0,IF(AOJ$25&gt;AOJ27,AOJ27,0))</f>
        <v>0</v>
      </c>
      <c r="AOL28" s="115">
        <f>IF(SUM($D28:AOK28)&gt;0,0,IF(AOK$25&gt;AOK27,AOK27,0))</f>
        <v>0</v>
      </c>
      <c r="AOM28" s="115">
        <f>IF(SUM($D28:AOL28)&gt;0,0,IF(AOL$25&gt;AOL27,AOL27,0))</f>
        <v>0</v>
      </c>
      <c r="AON28" s="115">
        <f>IF(SUM($D28:AOM28)&gt;0,0,IF(AOM$25&gt;AOM27,AOM27,0))</f>
        <v>0</v>
      </c>
      <c r="AOO28" s="115">
        <f>IF(SUM($D28:AON28)&gt;0,0,IF(AON$25&gt;AON27,AON27,0))</f>
        <v>0</v>
      </c>
      <c r="AOP28" s="115">
        <f>IF(SUM($D28:AOO28)&gt;0,0,IF(AOO$25&gt;AOO27,AOO27,0))</f>
        <v>0</v>
      </c>
      <c r="AOQ28" s="115">
        <f>IF(SUM($D28:AOP28)&gt;0,0,IF(AOP$25&gt;AOP27,AOP27,0))</f>
        <v>0</v>
      </c>
    </row>
    <row r="29" spans="2:1083" x14ac:dyDescent="0.25">
      <c r="B29" s="116" t="s">
        <v>299</v>
      </c>
      <c r="C29" s="115">
        <f>SUM(D29:AOQ29)</f>
        <v>609</v>
      </c>
      <c r="D29" s="115">
        <f>IF(D28&gt;0,D$17,0)</f>
        <v>0</v>
      </c>
      <c r="E29" s="115">
        <f t="shared" ref="E29:BP29" si="272">IF(E28&gt;0,E$17,0)</f>
        <v>0</v>
      </c>
      <c r="F29" s="115">
        <f t="shared" si="272"/>
        <v>0</v>
      </c>
      <c r="G29" s="115">
        <f t="shared" si="272"/>
        <v>0</v>
      </c>
      <c r="H29" s="115">
        <f t="shared" si="272"/>
        <v>0</v>
      </c>
      <c r="I29" s="115">
        <f t="shared" si="272"/>
        <v>0</v>
      </c>
      <c r="J29" s="115">
        <f t="shared" si="272"/>
        <v>0</v>
      </c>
      <c r="K29" s="115">
        <f t="shared" si="272"/>
        <v>0</v>
      </c>
      <c r="L29" s="115">
        <f t="shared" si="272"/>
        <v>0</v>
      </c>
      <c r="M29" s="115">
        <f t="shared" si="272"/>
        <v>0</v>
      </c>
      <c r="N29" s="115">
        <f t="shared" si="272"/>
        <v>0</v>
      </c>
      <c r="O29" s="115">
        <f t="shared" si="272"/>
        <v>0</v>
      </c>
      <c r="P29" s="115">
        <f t="shared" si="272"/>
        <v>0</v>
      </c>
      <c r="Q29" s="115">
        <f t="shared" si="272"/>
        <v>0</v>
      </c>
      <c r="R29" s="115">
        <f t="shared" si="272"/>
        <v>0</v>
      </c>
      <c r="S29" s="115">
        <f t="shared" si="272"/>
        <v>0</v>
      </c>
      <c r="T29" s="115">
        <f t="shared" si="272"/>
        <v>0</v>
      </c>
      <c r="U29" s="115">
        <f t="shared" si="272"/>
        <v>0</v>
      </c>
      <c r="V29" s="115">
        <f t="shared" si="272"/>
        <v>0</v>
      </c>
      <c r="W29" s="115">
        <f t="shared" si="272"/>
        <v>0</v>
      </c>
      <c r="X29" s="115">
        <f t="shared" si="272"/>
        <v>0</v>
      </c>
      <c r="Y29" s="115">
        <f t="shared" si="272"/>
        <v>0</v>
      </c>
      <c r="Z29" s="115">
        <f t="shared" si="272"/>
        <v>0</v>
      </c>
      <c r="AA29" s="115">
        <f t="shared" si="272"/>
        <v>0</v>
      </c>
      <c r="AB29" s="115">
        <f t="shared" si="272"/>
        <v>0</v>
      </c>
      <c r="AC29" s="115">
        <f t="shared" si="272"/>
        <v>0</v>
      </c>
      <c r="AD29" s="115">
        <f t="shared" si="272"/>
        <v>0</v>
      </c>
      <c r="AE29" s="115">
        <f t="shared" si="272"/>
        <v>0</v>
      </c>
      <c r="AF29" s="115">
        <f t="shared" si="272"/>
        <v>0</v>
      </c>
      <c r="AG29" s="115">
        <f t="shared" si="272"/>
        <v>0</v>
      </c>
      <c r="AH29" s="115">
        <f t="shared" si="272"/>
        <v>0</v>
      </c>
      <c r="AI29" s="115">
        <f t="shared" si="272"/>
        <v>0</v>
      </c>
      <c r="AJ29" s="115">
        <f t="shared" si="272"/>
        <v>0</v>
      </c>
      <c r="AK29" s="115">
        <f t="shared" si="272"/>
        <v>0</v>
      </c>
      <c r="AL29" s="115">
        <f t="shared" si="272"/>
        <v>0</v>
      </c>
      <c r="AM29" s="115">
        <f t="shared" si="272"/>
        <v>0</v>
      </c>
      <c r="AN29" s="115">
        <f t="shared" si="272"/>
        <v>0</v>
      </c>
      <c r="AO29" s="115">
        <f t="shared" si="272"/>
        <v>0</v>
      </c>
      <c r="AP29" s="115">
        <f t="shared" si="272"/>
        <v>0</v>
      </c>
      <c r="AQ29" s="115">
        <f t="shared" si="272"/>
        <v>0</v>
      </c>
      <c r="AR29" s="115">
        <f t="shared" si="272"/>
        <v>0</v>
      </c>
      <c r="AS29" s="115">
        <f t="shared" si="272"/>
        <v>0</v>
      </c>
      <c r="AT29" s="115">
        <f t="shared" si="272"/>
        <v>0</v>
      </c>
      <c r="AU29" s="115">
        <f t="shared" si="272"/>
        <v>0</v>
      </c>
      <c r="AV29" s="115">
        <f t="shared" si="272"/>
        <v>0</v>
      </c>
      <c r="AW29" s="115">
        <f t="shared" si="272"/>
        <v>0</v>
      </c>
      <c r="AX29" s="115">
        <f t="shared" si="272"/>
        <v>0</v>
      </c>
      <c r="AY29" s="115">
        <f t="shared" si="272"/>
        <v>0</v>
      </c>
      <c r="AZ29" s="115">
        <f t="shared" si="272"/>
        <v>0</v>
      </c>
      <c r="BA29" s="115">
        <f t="shared" si="272"/>
        <v>0</v>
      </c>
      <c r="BB29" s="115">
        <f t="shared" si="272"/>
        <v>0</v>
      </c>
      <c r="BC29" s="115">
        <f t="shared" si="272"/>
        <v>0</v>
      </c>
      <c r="BD29" s="115">
        <f t="shared" si="272"/>
        <v>0</v>
      </c>
      <c r="BE29" s="115">
        <f t="shared" si="272"/>
        <v>0</v>
      </c>
      <c r="BF29" s="115">
        <f t="shared" si="272"/>
        <v>0</v>
      </c>
      <c r="BG29" s="115">
        <f t="shared" si="272"/>
        <v>0</v>
      </c>
      <c r="BH29" s="115">
        <f t="shared" si="272"/>
        <v>0</v>
      </c>
      <c r="BI29" s="115">
        <f t="shared" si="272"/>
        <v>0</v>
      </c>
      <c r="BJ29" s="115">
        <f t="shared" si="272"/>
        <v>0</v>
      </c>
      <c r="BK29" s="115">
        <f t="shared" si="272"/>
        <v>0</v>
      </c>
      <c r="BL29" s="115">
        <f t="shared" si="272"/>
        <v>0</v>
      </c>
      <c r="BM29" s="115">
        <f t="shared" si="272"/>
        <v>0</v>
      </c>
      <c r="BN29" s="115">
        <f t="shared" si="272"/>
        <v>0</v>
      </c>
      <c r="BO29" s="115">
        <f t="shared" si="272"/>
        <v>0</v>
      </c>
      <c r="BP29" s="115">
        <f t="shared" si="272"/>
        <v>0</v>
      </c>
      <c r="BQ29" s="115">
        <f t="shared" ref="BQ29:EB29" si="273">IF(BQ28&gt;0,BQ$17,0)</f>
        <v>0</v>
      </c>
      <c r="BR29" s="115">
        <f t="shared" si="273"/>
        <v>0</v>
      </c>
      <c r="BS29" s="115">
        <f t="shared" si="273"/>
        <v>0</v>
      </c>
      <c r="BT29" s="115">
        <f t="shared" si="273"/>
        <v>0</v>
      </c>
      <c r="BU29" s="115">
        <f t="shared" si="273"/>
        <v>0</v>
      </c>
      <c r="BV29" s="115">
        <f t="shared" si="273"/>
        <v>0</v>
      </c>
      <c r="BW29" s="115">
        <f t="shared" si="273"/>
        <v>0</v>
      </c>
      <c r="BX29" s="115">
        <f t="shared" si="273"/>
        <v>0</v>
      </c>
      <c r="BY29" s="115">
        <f t="shared" si="273"/>
        <v>0</v>
      </c>
      <c r="BZ29" s="115">
        <f t="shared" si="273"/>
        <v>0</v>
      </c>
      <c r="CA29" s="115">
        <f t="shared" si="273"/>
        <v>0</v>
      </c>
      <c r="CB29" s="115">
        <f t="shared" si="273"/>
        <v>0</v>
      </c>
      <c r="CC29" s="115">
        <f t="shared" si="273"/>
        <v>0</v>
      </c>
      <c r="CD29" s="115">
        <f t="shared" si="273"/>
        <v>0</v>
      </c>
      <c r="CE29" s="115">
        <f t="shared" si="273"/>
        <v>0</v>
      </c>
      <c r="CF29" s="115">
        <f t="shared" si="273"/>
        <v>0</v>
      </c>
      <c r="CG29" s="115">
        <f t="shared" si="273"/>
        <v>0</v>
      </c>
      <c r="CH29" s="115">
        <f t="shared" si="273"/>
        <v>0</v>
      </c>
      <c r="CI29" s="115">
        <f t="shared" si="273"/>
        <v>0</v>
      </c>
      <c r="CJ29" s="115">
        <f t="shared" si="273"/>
        <v>0</v>
      </c>
      <c r="CK29" s="115">
        <f t="shared" si="273"/>
        <v>0</v>
      </c>
      <c r="CL29" s="115">
        <f t="shared" si="273"/>
        <v>0</v>
      </c>
      <c r="CM29" s="115">
        <f t="shared" si="273"/>
        <v>0</v>
      </c>
      <c r="CN29" s="115">
        <f t="shared" si="273"/>
        <v>0</v>
      </c>
      <c r="CO29" s="115">
        <f t="shared" si="273"/>
        <v>0</v>
      </c>
      <c r="CP29" s="115">
        <f t="shared" si="273"/>
        <v>0</v>
      </c>
      <c r="CQ29" s="115">
        <f t="shared" si="273"/>
        <v>0</v>
      </c>
      <c r="CR29" s="115">
        <f t="shared" si="273"/>
        <v>0</v>
      </c>
      <c r="CS29" s="115">
        <f t="shared" si="273"/>
        <v>0</v>
      </c>
      <c r="CT29" s="115">
        <f t="shared" si="273"/>
        <v>0</v>
      </c>
      <c r="CU29" s="115">
        <f t="shared" si="273"/>
        <v>0</v>
      </c>
      <c r="CV29" s="115">
        <f t="shared" si="273"/>
        <v>0</v>
      </c>
      <c r="CW29" s="115">
        <f t="shared" si="273"/>
        <v>0</v>
      </c>
      <c r="CX29" s="115">
        <f t="shared" si="273"/>
        <v>0</v>
      </c>
      <c r="CY29" s="115">
        <f t="shared" si="273"/>
        <v>0</v>
      </c>
      <c r="CZ29" s="115">
        <f t="shared" si="273"/>
        <v>0</v>
      </c>
      <c r="DA29" s="115">
        <f t="shared" si="273"/>
        <v>0</v>
      </c>
      <c r="DB29" s="115">
        <f t="shared" si="273"/>
        <v>0</v>
      </c>
      <c r="DC29" s="115">
        <f t="shared" si="273"/>
        <v>0</v>
      </c>
      <c r="DD29" s="115">
        <f t="shared" si="273"/>
        <v>0</v>
      </c>
      <c r="DE29" s="115">
        <f t="shared" si="273"/>
        <v>0</v>
      </c>
      <c r="DF29" s="115">
        <f t="shared" si="273"/>
        <v>0</v>
      </c>
      <c r="DG29" s="115">
        <f t="shared" si="273"/>
        <v>0</v>
      </c>
      <c r="DH29" s="115">
        <f t="shared" si="273"/>
        <v>0</v>
      </c>
      <c r="DI29" s="115">
        <f t="shared" si="273"/>
        <v>0</v>
      </c>
      <c r="DJ29" s="115">
        <f t="shared" si="273"/>
        <v>0</v>
      </c>
      <c r="DK29" s="115">
        <f t="shared" si="273"/>
        <v>0</v>
      </c>
      <c r="DL29" s="115">
        <f t="shared" si="273"/>
        <v>0</v>
      </c>
      <c r="DM29" s="115">
        <f t="shared" si="273"/>
        <v>0</v>
      </c>
      <c r="DN29" s="115">
        <f t="shared" si="273"/>
        <v>0</v>
      </c>
      <c r="DO29" s="115">
        <f t="shared" si="273"/>
        <v>0</v>
      </c>
      <c r="DP29" s="115">
        <f t="shared" si="273"/>
        <v>0</v>
      </c>
      <c r="DQ29" s="115">
        <f t="shared" si="273"/>
        <v>0</v>
      </c>
      <c r="DR29" s="115">
        <f t="shared" si="273"/>
        <v>0</v>
      </c>
      <c r="DS29" s="115">
        <f t="shared" si="273"/>
        <v>0</v>
      </c>
      <c r="DT29" s="115">
        <f t="shared" si="273"/>
        <v>0</v>
      </c>
      <c r="DU29" s="115">
        <f t="shared" si="273"/>
        <v>0</v>
      </c>
      <c r="DV29" s="115">
        <f t="shared" si="273"/>
        <v>0</v>
      </c>
      <c r="DW29" s="115">
        <f t="shared" si="273"/>
        <v>0</v>
      </c>
      <c r="DX29" s="115">
        <f t="shared" si="273"/>
        <v>0</v>
      </c>
      <c r="DY29" s="115">
        <f t="shared" si="273"/>
        <v>0</v>
      </c>
      <c r="DZ29" s="115">
        <f t="shared" si="273"/>
        <v>0</v>
      </c>
      <c r="EA29" s="115">
        <f t="shared" si="273"/>
        <v>0</v>
      </c>
      <c r="EB29" s="115">
        <f t="shared" si="273"/>
        <v>0</v>
      </c>
      <c r="EC29" s="115">
        <f t="shared" ref="EC29:GN29" si="274">IF(EC28&gt;0,EC$17,0)</f>
        <v>0</v>
      </c>
      <c r="ED29" s="115">
        <f t="shared" si="274"/>
        <v>0</v>
      </c>
      <c r="EE29" s="115">
        <f t="shared" si="274"/>
        <v>0</v>
      </c>
      <c r="EF29" s="115">
        <f t="shared" si="274"/>
        <v>0</v>
      </c>
      <c r="EG29" s="115">
        <f t="shared" si="274"/>
        <v>0</v>
      </c>
      <c r="EH29" s="115">
        <f t="shared" si="274"/>
        <v>0</v>
      </c>
      <c r="EI29" s="115">
        <f t="shared" si="274"/>
        <v>0</v>
      </c>
      <c r="EJ29" s="115">
        <f t="shared" si="274"/>
        <v>0</v>
      </c>
      <c r="EK29" s="115">
        <f t="shared" si="274"/>
        <v>0</v>
      </c>
      <c r="EL29" s="115">
        <f t="shared" si="274"/>
        <v>0</v>
      </c>
      <c r="EM29" s="115">
        <f t="shared" si="274"/>
        <v>0</v>
      </c>
      <c r="EN29" s="115">
        <f t="shared" si="274"/>
        <v>0</v>
      </c>
      <c r="EO29" s="115">
        <f t="shared" si="274"/>
        <v>0</v>
      </c>
      <c r="EP29" s="115">
        <f t="shared" si="274"/>
        <v>0</v>
      </c>
      <c r="EQ29" s="115">
        <f t="shared" si="274"/>
        <v>0</v>
      </c>
      <c r="ER29" s="115">
        <f t="shared" si="274"/>
        <v>0</v>
      </c>
      <c r="ES29" s="115">
        <f t="shared" si="274"/>
        <v>0</v>
      </c>
      <c r="ET29" s="115">
        <f t="shared" si="274"/>
        <v>0</v>
      </c>
      <c r="EU29" s="115">
        <f t="shared" si="274"/>
        <v>0</v>
      </c>
      <c r="EV29" s="115">
        <f t="shared" si="274"/>
        <v>0</v>
      </c>
      <c r="EW29" s="115">
        <f t="shared" si="274"/>
        <v>0</v>
      </c>
      <c r="EX29" s="115">
        <f t="shared" si="274"/>
        <v>0</v>
      </c>
      <c r="EY29" s="115">
        <f t="shared" si="274"/>
        <v>0</v>
      </c>
      <c r="EZ29" s="115">
        <f t="shared" si="274"/>
        <v>0</v>
      </c>
      <c r="FA29" s="115">
        <f t="shared" si="274"/>
        <v>0</v>
      </c>
      <c r="FB29" s="115">
        <f t="shared" si="274"/>
        <v>0</v>
      </c>
      <c r="FC29" s="115">
        <f t="shared" si="274"/>
        <v>0</v>
      </c>
      <c r="FD29" s="115">
        <f t="shared" si="274"/>
        <v>0</v>
      </c>
      <c r="FE29" s="115">
        <f t="shared" si="274"/>
        <v>0</v>
      </c>
      <c r="FF29" s="115">
        <f t="shared" si="274"/>
        <v>0</v>
      </c>
      <c r="FG29" s="115">
        <f t="shared" si="274"/>
        <v>0</v>
      </c>
      <c r="FH29" s="115">
        <f t="shared" si="274"/>
        <v>0</v>
      </c>
      <c r="FI29" s="115">
        <f t="shared" si="274"/>
        <v>0</v>
      </c>
      <c r="FJ29" s="115">
        <f t="shared" si="274"/>
        <v>0</v>
      </c>
      <c r="FK29" s="115">
        <f t="shared" si="274"/>
        <v>0</v>
      </c>
      <c r="FL29" s="115">
        <f t="shared" si="274"/>
        <v>0</v>
      </c>
      <c r="FM29" s="115">
        <f t="shared" si="274"/>
        <v>0</v>
      </c>
      <c r="FN29" s="115">
        <f t="shared" si="274"/>
        <v>0</v>
      </c>
      <c r="FO29" s="115">
        <f t="shared" si="274"/>
        <v>0</v>
      </c>
      <c r="FP29" s="115">
        <f t="shared" si="274"/>
        <v>0</v>
      </c>
      <c r="FQ29" s="115">
        <f t="shared" si="274"/>
        <v>0</v>
      </c>
      <c r="FR29" s="115">
        <f t="shared" si="274"/>
        <v>0</v>
      </c>
      <c r="FS29" s="115">
        <f t="shared" si="274"/>
        <v>0</v>
      </c>
      <c r="FT29" s="115">
        <f t="shared" si="274"/>
        <v>0</v>
      </c>
      <c r="FU29" s="115">
        <f t="shared" si="274"/>
        <v>0</v>
      </c>
      <c r="FV29" s="115">
        <f t="shared" si="274"/>
        <v>0</v>
      </c>
      <c r="FW29" s="115">
        <f t="shared" si="274"/>
        <v>0</v>
      </c>
      <c r="FX29" s="115">
        <f t="shared" si="274"/>
        <v>0</v>
      </c>
      <c r="FY29" s="115">
        <f t="shared" si="274"/>
        <v>0</v>
      </c>
      <c r="FZ29" s="115">
        <f t="shared" si="274"/>
        <v>0</v>
      </c>
      <c r="GA29" s="115">
        <f t="shared" si="274"/>
        <v>0</v>
      </c>
      <c r="GB29" s="115">
        <f t="shared" si="274"/>
        <v>0</v>
      </c>
      <c r="GC29" s="115">
        <f t="shared" si="274"/>
        <v>0</v>
      </c>
      <c r="GD29" s="115">
        <f t="shared" si="274"/>
        <v>0</v>
      </c>
      <c r="GE29" s="115">
        <f t="shared" si="274"/>
        <v>0</v>
      </c>
      <c r="GF29" s="115">
        <f t="shared" si="274"/>
        <v>0</v>
      </c>
      <c r="GG29" s="115">
        <f t="shared" si="274"/>
        <v>0</v>
      </c>
      <c r="GH29" s="115">
        <f t="shared" si="274"/>
        <v>0</v>
      </c>
      <c r="GI29" s="115">
        <f t="shared" si="274"/>
        <v>0</v>
      </c>
      <c r="GJ29" s="115">
        <f t="shared" si="274"/>
        <v>0</v>
      </c>
      <c r="GK29" s="115">
        <f t="shared" si="274"/>
        <v>0</v>
      </c>
      <c r="GL29" s="115">
        <f t="shared" si="274"/>
        <v>0</v>
      </c>
      <c r="GM29" s="115">
        <f t="shared" si="274"/>
        <v>0</v>
      </c>
      <c r="GN29" s="115">
        <f t="shared" si="274"/>
        <v>0</v>
      </c>
      <c r="GO29" s="115">
        <f t="shared" ref="GO29:IZ29" si="275">IF(GO28&gt;0,GO$17,0)</f>
        <v>0</v>
      </c>
      <c r="GP29" s="115">
        <f t="shared" si="275"/>
        <v>0</v>
      </c>
      <c r="GQ29" s="115">
        <f t="shared" si="275"/>
        <v>0</v>
      </c>
      <c r="GR29" s="115">
        <f t="shared" si="275"/>
        <v>0</v>
      </c>
      <c r="GS29" s="115">
        <f t="shared" si="275"/>
        <v>0</v>
      </c>
      <c r="GT29" s="115">
        <f t="shared" si="275"/>
        <v>0</v>
      </c>
      <c r="GU29" s="115">
        <f t="shared" si="275"/>
        <v>0</v>
      </c>
      <c r="GV29" s="115">
        <f t="shared" si="275"/>
        <v>0</v>
      </c>
      <c r="GW29" s="115">
        <f t="shared" si="275"/>
        <v>0</v>
      </c>
      <c r="GX29" s="115">
        <f t="shared" si="275"/>
        <v>0</v>
      </c>
      <c r="GY29" s="115">
        <f t="shared" si="275"/>
        <v>0</v>
      </c>
      <c r="GZ29" s="115">
        <f t="shared" si="275"/>
        <v>0</v>
      </c>
      <c r="HA29" s="115">
        <f t="shared" si="275"/>
        <v>0</v>
      </c>
      <c r="HB29" s="115">
        <f t="shared" si="275"/>
        <v>0</v>
      </c>
      <c r="HC29" s="115">
        <f t="shared" si="275"/>
        <v>0</v>
      </c>
      <c r="HD29" s="115">
        <f t="shared" si="275"/>
        <v>0</v>
      </c>
      <c r="HE29" s="115">
        <f t="shared" si="275"/>
        <v>0</v>
      </c>
      <c r="HF29" s="115">
        <f t="shared" si="275"/>
        <v>0</v>
      </c>
      <c r="HG29" s="115">
        <f t="shared" si="275"/>
        <v>0</v>
      </c>
      <c r="HH29" s="115">
        <f t="shared" si="275"/>
        <v>0</v>
      </c>
      <c r="HI29" s="115">
        <f t="shared" si="275"/>
        <v>0</v>
      </c>
      <c r="HJ29" s="115">
        <f t="shared" si="275"/>
        <v>0</v>
      </c>
      <c r="HK29" s="115">
        <f t="shared" si="275"/>
        <v>0</v>
      </c>
      <c r="HL29" s="115">
        <f t="shared" si="275"/>
        <v>0</v>
      </c>
      <c r="HM29" s="115">
        <f t="shared" si="275"/>
        <v>0</v>
      </c>
      <c r="HN29" s="115">
        <f t="shared" si="275"/>
        <v>0</v>
      </c>
      <c r="HO29" s="115">
        <f t="shared" si="275"/>
        <v>0</v>
      </c>
      <c r="HP29" s="115">
        <f t="shared" si="275"/>
        <v>0</v>
      </c>
      <c r="HQ29" s="115">
        <f t="shared" si="275"/>
        <v>0</v>
      </c>
      <c r="HR29" s="115">
        <f t="shared" si="275"/>
        <v>0</v>
      </c>
      <c r="HS29" s="115">
        <f t="shared" si="275"/>
        <v>0</v>
      </c>
      <c r="HT29" s="115">
        <f t="shared" si="275"/>
        <v>0</v>
      </c>
      <c r="HU29" s="115">
        <f t="shared" si="275"/>
        <v>0</v>
      </c>
      <c r="HV29" s="115">
        <f t="shared" si="275"/>
        <v>0</v>
      </c>
      <c r="HW29" s="115">
        <f t="shared" si="275"/>
        <v>0</v>
      </c>
      <c r="HX29" s="115">
        <f t="shared" si="275"/>
        <v>0</v>
      </c>
      <c r="HY29" s="115">
        <f t="shared" si="275"/>
        <v>0</v>
      </c>
      <c r="HZ29" s="115">
        <f t="shared" si="275"/>
        <v>0</v>
      </c>
      <c r="IA29" s="115">
        <f t="shared" si="275"/>
        <v>0</v>
      </c>
      <c r="IB29" s="115">
        <f t="shared" si="275"/>
        <v>0</v>
      </c>
      <c r="IC29" s="115">
        <f t="shared" si="275"/>
        <v>0</v>
      </c>
      <c r="ID29" s="115">
        <f t="shared" si="275"/>
        <v>0</v>
      </c>
      <c r="IE29" s="115">
        <f t="shared" si="275"/>
        <v>0</v>
      </c>
      <c r="IF29" s="115">
        <f t="shared" si="275"/>
        <v>0</v>
      </c>
      <c r="IG29" s="115">
        <f t="shared" si="275"/>
        <v>0</v>
      </c>
      <c r="IH29" s="115">
        <f t="shared" si="275"/>
        <v>0</v>
      </c>
      <c r="II29" s="115">
        <f t="shared" si="275"/>
        <v>0</v>
      </c>
      <c r="IJ29" s="115">
        <f t="shared" si="275"/>
        <v>0</v>
      </c>
      <c r="IK29" s="115">
        <f t="shared" si="275"/>
        <v>0</v>
      </c>
      <c r="IL29" s="115">
        <f t="shared" si="275"/>
        <v>0</v>
      </c>
      <c r="IM29" s="115">
        <f t="shared" si="275"/>
        <v>0</v>
      </c>
      <c r="IN29" s="115">
        <f t="shared" si="275"/>
        <v>0</v>
      </c>
      <c r="IO29" s="115">
        <f t="shared" si="275"/>
        <v>0</v>
      </c>
      <c r="IP29" s="115">
        <f t="shared" si="275"/>
        <v>0</v>
      </c>
      <c r="IQ29" s="115">
        <f t="shared" si="275"/>
        <v>0</v>
      </c>
      <c r="IR29" s="115">
        <f t="shared" si="275"/>
        <v>0</v>
      </c>
      <c r="IS29" s="115">
        <f t="shared" si="275"/>
        <v>0</v>
      </c>
      <c r="IT29" s="115">
        <f t="shared" si="275"/>
        <v>0</v>
      </c>
      <c r="IU29" s="115">
        <f t="shared" si="275"/>
        <v>0</v>
      </c>
      <c r="IV29" s="115">
        <f t="shared" si="275"/>
        <v>0</v>
      </c>
      <c r="IW29" s="115">
        <f t="shared" si="275"/>
        <v>0</v>
      </c>
      <c r="IX29" s="115">
        <f t="shared" si="275"/>
        <v>0</v>
      </c>
      <c r="IY29" s="115">
        <f t="shared" si="275"/>
        <v>0</v>
      </c>
      <c r="IZ29" s="115">
        <f t="shared" si="275"/>
        <v>0</v>
      </c>
      <c r="JA29" s="115">
        <f t="shared" ref="JA29:LL29" si="276">IF(JA28&gt;0,JA$17,0)</f>
        <v>0</v>
      </c>
      <c r="JB29" s="115">
        <f t="shared" si="276"/>
        <v>0</v>
      </c>
      <c r="JC29" s="115">
        <f t="shared" si="276"/>
        <v>0</v>
      </c>
      <c r="JD29" s="115">
        <f t="shared" si="276"/>
        <v>0</v>
      </c>
      <c r="JE29" s="115">
        <f t="shared" si="276"/>
        <v>0</v>
      </c>
      <c r="JF29" s="115">
        <f t="shared" si="276"/>
        <v>0</v>
      </c>
      <c r="JG29" s="115">
        <f t="shared" si="276"/>
        <v>0</v>
      </c>
      <c r="JH29" s="115">
        <f t="shared" si="276"/>
        <v>0</v>
      </c>
      <c r="JI29" s="115">
        <f t="shared" si="276"/>
        <v>0</v>
      </c>
      <c r="JJ29" s="115">
        <f t="shared" si="276"/>
        <v>0</v>
      </c>
      <c r="JK29" s="115">
        <f t="shared" si="276"/>
        <v>0</v>
      </c>
      <c r="JL29" s="115">
        <f t="shared" si="276"/>
        <v>0</v>
      </c>
      <c r="JM29" s="115">
        <f t="shared" si="276"/>
        <v>0</v>
      </c>
      <c r="JN29" s="115">
        <f t="shared" si="276"/>
        <v>0</v>
      </c>
      <c r="JO29" s="115">
        <f t="shared" si="276"/>
        <v>0</v>
      </c>
      <c r="JP29" s="115">
        <f t="shared" si="276"/>
        <v>0</v>
      </c>
      <c r="JQ29" s="115">
        <f t="shared" si="276"/>
        <v>0</v>
      </c>
      <c r="JR29" s="115">
        <f t="shared" si="276"/>
        <v>0</v>
      </c>
      <c r="JS29" s="115">
        <f t="shared" si="276"/>
        <v>0</v>
      </c>
      <c r="JT29" s="115">
        <f t="shared" si="276"/>
        <v>0</v>
      </c>
      <c r="JU29" s="115">
        <f t="shared" si="276"/>
        <v>0</v>
      </c>
      <c r="JV29" s="115">
        <f t="shared" si="276"/>
        <v>0</v>
      </c>
      <c r="JW29" s="115">
        <f t="shared" si="276"/>
        <v>0</v>
      </c>
      <c r="JX29" s="115">
        <f t="shared" si="276"/>
        <v>0</v>
      </c>
      <c r="JY29" s="115">
        <f t="shared" si="276"/>
        <v>0</v>
      </c>
      <c r="JZ29" s="115">
        <f t="shared" si="276"/>
        <v>0</v>
      </c>
      <c r="KA29" s="115">
        <f t="shared" si="276"/>
        <v>0</v>
      </c>
      <c r="KB29" s="115">
        <f t="shared" si="276"/>
        <v>0</v>
      </c>
      <c r="KC29" s="115">
        <f t="shared" si="276"/>
        <v>0</v>
      </c>
      <c r="KD29" s="115">
        <f t="shared" si="276"/>
        <v>0</v>
      </c>
      <c r="KE29" s="115">
        <f t="shared" si="276"/>
        <v>0</v>
      </c>
      <c r="KF29" s="115">
        <f t="shared" si="276"/>
        <v>0</v>
      </c>
      <c r="KG29" s="115">
        <f t="shared" si="276"/>
        <v>0</v>
      </c>
      <c r="KH29" s="115">
        <f t="shared" si="276"/>
        <v>0</v>
      </c>
      <c r="KI29" s="115">
        <f t="shared" si="276"/>
        <v>0</v>
      </c>
      <c r="KJ29" s="115">
        <f t="shared" si="276"/>
        <v>0</v>
      </c>
      <c r="KK29" s="115">
        <f t="shared" si="276"/>
        <v>0</v>
      </c>
      <c r="KL29" s="115">
        <f t="shared" si="276"/>
        <v>0</v>
      </c>
      <c r="KM29" s="115">
        <f t="shared" si="276"/>
        <v>0</v>
      </c>
      <c r="KN29" s="115">
        <f t="shared" si="276"/>
        <v>0</v>
      </c>
      <c r="KO29" s="115">
        <f t="shared" si="276"/>
        <v>0</v>
      </c>
      <c r="KP29" s="115">
        <f t="shared" si="276"/>
        <v>0</v>
      </c>
      <c r="KQ29" s="115">
        <f t="shared" si="276"/>
        <v>0</v>
      </c>
      <c r="KR29" s="115">
        <f t="shared" si="276"/>
        <v>0</v>
      </c>
      <c r="KS29" s="115">
        <f t="shared" si="276"/>
        <v>0</v>
      </c>
      <c r="KT29" s="115">
        <f t="shared" si="276"/>
        <v>0</v>
      </c>
      <c r="KU29" s="115">
        <f t="shared" si="276"/>
        <v>0</v>
      </c>
      <c r="KV29" s="115">
        <f t="shared" si="276"/>
        <v>0</v>
      </c>
      <c r="KW29" s="115">
        <f t="shared" si="276"/>
        <v>0</v>
      </c>
      <c r="KX29" s="115">
        <f t="shared" si="276"/>
        <v>0</v>
      </c>
      <c r="KY29" s="115">
        <f t="shared" si="276"/>
        <v>0</v>
      </c>
      <c r="KZ29" s="115">
        <f t="shared" si="276"/>
        <v>0</v>
      </c>
      <c r="LA29" s="115">
        <f t="shared" si="276"/>
        <v>0</v>
      </c>
      <c r="LB29" s="115">
        <f t="shared" si="276"/>
        <v>0</v>
      </c>
      <c r="LC29" s="115">
        <f t="shared" si="276"/>
        <v>0</v>
      </c>
      <c r="LD29" s="115">
        <f t="shared" si="276"/>
        <v>0</v>
      </c>
      <c r="LE29" s="115">
        <f t="shared" si="276"/>
        <v>0</v>
      </c>
      <c r="LF29" s="115">
        <f t="shared" si="276"/>
        <v>0</v>
      </c>
      <c r="LG29" s="115">
        <f t="shared" si="276"/>
        <v>0</v>
      </c>
      <c r="LH29" s="115">
        <f t="shared" si="276"/>
        <v>0</v>
      </c>
      <c r="LI29" s="115">
        <f t="shared" si="276"/>
        <v>0</v>
      </c>
      <c r="LJ29" s="115">
        <f t="shared" si="276"/>
        <v>0</v>
      </c>
      <c r="LK29" s="115">
        <f t="shared" si="276"/>
        <v>0</v>
      </c>
      <c r="LL29" s="115">
        <f t="shared" si="276"/>
        <v>0</v>
      </c>
      <c r="LM29" s="115">
        <f t="shared" ref="LM29:NX29" si="277">IF(LM28&gt;0,LM$17,0)</f>
        <v>0</v>
      </c>
      <c r="LN29" s="115">
        <f t="shared" si="277"/>
        <v>0</v>
      </c>
      <c r="LO29" s="115">
        <f t="shared" si="277"/>
        <v>0</v>
      </c>
      <c r="LP29" s="115">
        <f t="shared" si="277"/>
        <v>0</v>
      </c>
      <c r="LQ29" s="115">
        <f t="shared" si="277"/>
        <v>0</v>
      </c>
      <c r="LR29" s="115">
        <f t="shared" si="277"/>
        <v>0</v>
      </c>
      <c r="LS29" s="115">
        <f t="shared" si="277"/>
        <v>0</v>
      </c>
      <c r="LT29" s="115">
        <f t="shared" si="277"/>
        <v>0</v>
      </c>
      <c r="LU29" s="115">
        <f t="shared" si="277"/>
        <v>0</v>
      </c>
      <c r="LV29" s="115">
        <f t="shared" si="277"/>
        <v>0</v>
      </c>
      <c r="LW29" s="115">
        <f t="shared" si="277"/>
        <v>0</v>
      </c>
      <c r="LX29" s="115">
        <f t="shared" si="277"/>
        <v>0</v>
      </c>
      <c r="LY29" s="115">
        <f t="shared" si="277"/>
        <v>0</v>
      </c>
      <c r="LZ29" s="115">
        <f t="shared" si="277"/>
        <v>0</v>
      </c>
      <c r="MA29" s="115">
        <f t="shared" si="277"/>
        <v>0</v>
      </c>
      <c r="MB29" s="115">
        <f t="shared" si="277"/>
        <v>0</v>
      </c>
      <c r="MC29" s="115">
        <f t="shared" si="277"/>
        <v>0</v>
      </c>
      <c r="MD29" s="115">
        <f t="shared" si="277"/>
        <v>0</v>
      </c>
      <c r="ME29" s="115">
        <f t="shared" si="277"/>
        <v>0</v>
      </c>
      <c r="MF29" s="115">
        <f t="shared" si="277"/>
        <v>0</v>
      </c>
      <c r="MG29" s="115">
        <f t="shared" si="277"/>
        <v>0</v>
      </c>
      <c r="MH29" s="115">
        <f t="shared" si="277"/>
        <v>0</v>
      </c>
      <c r="MI29" s="115">
        <f t="shared" si="277"/>
        <v>0</v>
      </c>
      <c r="MJ29" s="115">
        <f t="shared" si="277"/>
        <v>0</v>
      </c>
      <c r="MK29" s="115">
        <f t="shared" si="277"/>
        <v>0</v>
      </c>
      <c r="ML29" s="115">
        <f t="shared" si="277"/>
        <v>0</v>
      </c>
      <c r="MM29" s="115">
        <f t="shared" si="277"/>
        <v>0</v>
      </c>
      <c r="MN29" s="115">
        <f t="shared" si="277"/>
        <v>0</v>
      </c>
      <c r="MO29" s="115">
        <f t="shared" si="277"/>
        <v>0</v>
      </c>
      <c r="MP29" s="115">
        <f t="shared" si="277"/>
        <v>0</v>
      </c>
      <c r="MQ29" s="115">
        <f t="shared" si="277"/>
        <v>0</v>
      </c>
      <c r="MR29" s="115">
        <f t="shared" si="277"/>
        <v>0</v>
      </c>
      <c r="MS29" s="115">
        <f t="shared" si="277"/>
        <v>0</v>
      </c>
      <c r="MT29" s="115">
        <f t="shared" si="277"/>
        <v>0</v>
      </c>
      <c r="MU29" s="115">
        <f t="shared" si="277"/>
        <v>0</v>
      </c>
      <c r="MV29" s="115">
        <f t="shared" si="277"/>
        <v>0</v>
      </c>
      <c r="MW29" s="115">
        <f t="shared" si="277"/>
        <v>0</v>
      </c>
      <c r="MX29" s="115">
        <f t="shared" si="277"/>
        <v>0</v>
      </c>
      <c r="MY29" s="115">
        <f t="shared" si="277"/>
        <v>0</v>
      </c>
      <c r="MZ29" s="115">
        <f t="shared" si="277"/>
        <v>0</v>
      </c>
      <c r="NA29" s="115">
        <f t="shared" si="277"/>
        <v>0</v>
      </c>
      <c r="NB29" s="115">
        <f t="shared" si="277"/>
        <v>0</v>
      </c>
      <c r="NC29" s="115">
        <f t="shared" si="277"/>
        <v>0</v>
      </c>
      <c r="ND29" s="115">
        <f t="shared" si="277"/>
        <v>0</v>
      </c>
      <c r="NE29" s="115">
        <f t="shared" si="277"/>
        <v>0</v>
      </c>
      <c r="NF29" s="115">
        <f t="shared" si="277"/>
        <v>0</v>
      </c>
      <c r="NG29" s="115">
        <f t="shared" si="277"/>
        <v>0</v>
      </c>
      <c r="NH29" s="115">
        <f t="shared" si="277"/>
        <v>0</v>
      </c>
      <c r="NI29" s="115">
        <f t="shared" si="277"/>
        <v>0</v>
      </c>
      <c r="NJ29" s="115">
        <f t="shared" si="277"/>
        <v>0</v>
      </c>
      <c r="NK29" s="115">
        <f t="shared" si="277"/>
        <v>0</v>
      </c>
      <c r="NL29" s="115">
        <f t="shared" si="277"/>
        <v>0</v>
      </c>
      <c r="NM29" s="115">
        <f t="shared" si="277"/>
        <v>0</v>
      </c>
      <c r="NN29" s="115">
        <f t="shared" si="277"/>
        <v>0</v>
      </c>
      <c r="NO29" s="115">
        <f t="shared" si="277"/>
        <v>0</v>
      </c>
      <c r="NP29" s="115">
        <f t="shared" si="277"/>
        <v>0</v>
      </c>
      <c r="NQ29" s="115">
        <f t="shared" si="277"/>
        <v>0</v>
      </c>
      <c r="NR29" s="115">
        <f t="shared" si="277"/>
        <v>0</v>
      </c>
      <c r="NS29" s="115">
        <f t="shared" si="277"/>
        <v>0</v>
      </c>
      <c r="NT29" s="115">
        <f t="shared" si="277"/>
        <v>0</v>
      </c>
      <c r="NU29" s="115">
        <f t="shared" si="277"/>
        <v>0</v>
      </c>
      <c r="NV29" s="115">
        <f t="shared" si="277"/>
        <v>0</v>
      </c>
      <c r="NW29" s="115">
        <f t="shared" si="277"/>
        <v>0</v>
      </c>
      <c r="NX29" s="115">
        <f t="shared" si="277"/>
        <v>0</v>
      </c>
      <c r="NY29" s="115">
        <f t="shared" ref="NY29:QJ29" si="278">IF(NY28&gt;0,NY$17,0)</f>
        <v>0</v>
      </c>
      <c r="NZ29" s="115">
        <f t="shared" si="278"/>
        <v>0</v>
      </c>
      <c r="OA29" s="115">
        <f t="shared" si="278"/>
        <v>0</v>
      </c>
      <c r="OB29" s="115">
        <f t="shared" si="278"/>
        <v>0</v>
      </c>
      <c r="OC29" s="115">
        <f t="shared" si="278"/>
        <v>0</v>
      </c>
      <c r="OD29" s="115">
        <f t="shared" si="278"/>
        <v>0</v>
      </c>
      <c r="OE29" s="115">
        <f t="shared" si="278"/>
        <v>0</v>
      </c>
      <c r="OF29" s="115">
        <f t="shared" si="278"/>
        <v>0</v>
      </c>
      <c r="OG29" s="115">
        <f t="shared" si="278"/>
        <v>0</v>
      </c>
      <c r="OH29" s="115">
        <f t="shared" si="278"/>
        <v>0</v>
      </c>
      <c r="OI29" s="115">
        <f t="shared" si="278"/>
        <v>0</v>
      </c>
      <c r="OJ29" s="115">
        <f t="shared" si="278"/>
        <v>0</v>
      </c>
      <c r="OK29" s="115">
        <f t="shared" si="278"/>
        <v>0</v>
      </c>
      <c r="OL29" s="115">
        <f t="shared" si="278"/>
        <v>0</v>
      </c>
      <c r="OM29" s="115">
        <f t="shared" si="278"/>
        <v>0</v>
      </c>
      <c r="ON29" s="115">
        <f t="shared" si="278"/>
        <v>0</v>
      </c>
      <c r="OO29" s="115">
        <f t="shared" si="278"/>
        <v>0</v>
      </c>
      <c r="OP29" s="115">
        <f t="shared" si="278"/>
        <v>0</v>
      </c>
      <c r="OQ29" s="115">
        <f t="shared" si="278"/>
        <v>0</v>
      </c>
      <c r="OR29" s="115">
        <f t="shared" si="278"/>
        <v>0</v>
      </c>
      <c r="OS29" s="115">
        <f t="shared" si="278"/>
        <v>0</v>
      </c>
      <c r="OT29" s="115">
        <f t="shared" si="278"/>
        <v>0</v>
      </c>
      <c r="OU29" s="115">
        <f t="shared" si="278"/>
        <v>0</v>
      </c>
      <c r="OV29" s="115">
        <f t="shared" si="278"/>
        <v>0</v>
      </c>
      <c r="OW29" s="115">
        <f t="shared" si="278"/>
        <v>0</v>
      </c>
      <c r="OX29" s="115">
        <f t="shared" si="278"/>
        <v>0</v>
      </c>
      <c r="OY29" s="115">
        <f t="shared" si="278"/>
        <v>0</v>
      </c>
      <c r="OZ29" s="115">
        <f t="shared" si="278"/>
        <v>0</v>
      </c>
      <c r="PA29" s="115">
        <f t="shared" si="278"/>
        <v>0</v>
      </c>
      <c r="PB29" s="115">
        <f t="shared" si="278"/>
        <v>0</v>
      </c>
      <c r="PC29" s="115">
        <f t="shared" si="278"/>
        <v>0</v>
      </c>
      <c r="PD29" s="115">
        <f t="shared" si="278"/>
        <v>0</v>
      </c>
      <c r="PE29" s="115">
        <f t="shared" si="278"/>
        <v>0</v>
      </c>
      <c r="PF29" s="115">
        <f t="shared" si="278"/>
        <v>0</v>
      </c>
      <c r="PG29" s="115">
        <f t="shared" si="278"/>
        <v>0</v>
      </c>
      <c r="PH29" s="115">
        <f t="shared" si="278"/>
        <v>0</v>
      </c>
      <c r="PI29" s="115">
        <f t="shared" si="278"/>
        <v>0</v>
      </c>
      <c r="PJ29" s="115">
        <f t="shared" si="278"/>
        <v>0</v>
      </c>
      <c r="PK29" s="115">
        <f t="shared" si="278"/>
        <v>0</v>
      </c>
      <c r="PL29" s="115">
        <f t="shared" si="278"/>
        <v>0</v>
      </c>
      <c r="PM29" s="115">
        <f t="shared" si="278"/>
        <v>0</v>
      </c>
      <c r="PN29" s="115">
        <f t="shared" si="278"/>
        <v>0</v>
      </c>
      <c r="PO29" s="115">
        <f t="shared" si="278"/>
        <v>0</v>
      </c>
      <c r="PP29" s="115">
        <f t="shared" si="278"/>
        <v>0</v>
      </c>
      <c r="PQ29" s="115">
        <f t="shared" si="278"/>
        <v>0</v>
      </c>
      <c r="PR29" s="115">
        <f t="shared" si="278"/>
        <v>0</v>
      </c>
      <c r="PS29" s="115">
        <f t="shared" si="278"/>
        <v>0</v>
      </c>
      <c r="PT29" s="115">
        <f t="shared" si="278"/>
        <v>0</v>
      </c>
      <c r="PU29" s="115">
        <f t="shared" si="278"/>
        <v>0</v>
      </c>
      <c r="PV29" s="115">
        <f t="shared" si="278"/>
        <v>0</v>
      </c>
      <c r="PW29" s="115">
        <f t="shared" si="278"/>
        <v>0</v>
      </c>
      <c r="PX29" s="115">
        <f t="shared" si="278"/>
        <v>0</v>
      </c>
      <c r="PY29" s="115">
        <f t="shared" si="278"/>
        <v>0</v>
      </c>
      <c r="PZ29" s="115">
        <f t="shared" si="278"/>
        <v>0</v>
      </c>
      <c r="QA29" s="115">
        <f t="shared" si="278"/>
        <v>0</v>
      </c>
      <c r="QB29" s="115">
        <f t="shared" si="278"/>
        <v>0</v>
      </c>
      <c r="QC29" s="115">
        <f t="shared" si="278"/>
        <v>0</v>
      </c>
      <c r="QD29" s="115">
        <f t="shared" si="278"/>
        <v>0</v>
      </c>
      <c r="QE29" s="115">
        <f t="shared" si="278"/>
        <v>0</v>
      </c>
      <c r="QF29" s="115">
        <f t="shared" si="278"/>
        <v>0</v>
      </c>
      <c r="QG29" s="115">
        <f t="shared" si="278"/>
        <v>0</v>
      </c>
      <c r="QH29" s="115">
        <f t="shared" si="278"/>
        <v>0</v>
      </c>
      <c r="QI29" s="115">
        <f t="shared" si="278"/>
        <v>0</v>
      </c>
      <c r="QJ29" s="115">
        <f t="shared" si="278"/>
        <v>0</v>
      </c>
      <c r="QK29" s="115">
        <f t="shared" ref="QK29:SV29" si="279">IF(QK28&gt;0,QK$17,0)</f>
        <v>0</v>
      </c>
      <c r="QL29" s="115">
        <f t="shared" si="279"/>
        <v>0</v>
      </c>
      <c r="QM29" s="115">
        <f t="shared" si="279"/>
        <v>0</v>
      </c>
      <c r="QN29" s="115">
        <f t="shared" si="279"/>
        <v>0</v>
      </c>
      <c r="QO29" s="115">
        <f t="shared" si="279"/>
        <v>0</v>
      </c>
      <c r="QP29" s="115">
        <f t="shared" si="279"/>
        <v>0</v>
      </c>
      <c r="QQ29" s="115">
        <f t="shared" si="279"/>
        <v>0</v>
      </c>
      <c r="QR29" s="115">
        <f t="shared" si="279"/>
        <v>0</v>
      </c>
      <c r="QS29" s="115">
        <f t="shared" si="279"/>
        <v>0</v>
      </c>
      <c r="QT29" s="115">
        <f t="shared" si="279"/>
        <v>0</v>
      </c>
      <c r="QU29" s="115">
        <f t="shared" si="279"/>
        <v>0</v>
      </c>
      <c r="QV29" s="115">
        <f t="shared" si="279"/>
        <v>0</v>
      </c>
      <c r="QW29" s="115">
        <f t="shared" si="279"/>
        <v>0</v>
      </c>
      <c r="QX29" s="115">
        <f t="shared" si="279"/>
        <v>0</v>
      </c>
      <c r="QY29" s="115">
        <f t="shared" si="279"/>
        <v>0</v>
      </c>
      <c r="QZ29" s="115">
        <f t="shared" si="279"/>
        <v>0</v>
      </c>
      <c r="RA29" s="115">
        <f t="shared" si="279"/>
        <v>0</v>
      </c>
      <c r="RB29" s="115">
        <f t="shared" si="279"/>
        <v>0</v>
      </c>
      <c r="RC29" s="115">
        <f t="shared" si="279"/>
        <v>0</v>
      </c>
      <c r="RD29" s="115">
        <f t="shared" si="279"/>
        <v>0</v>
      </c>
      <c r="RE29" s="115">
        <f t="shared" si="279"/>
        <v>0</v>
      </c>
      <c r="RF29" s="115">
        <f t="shared" si="279"/>
        <v>0</v>
      </c>
      <c r="RG29" s="115">
        <f t="shared" si="279"/>
        <v>0</v>
      </c>
      <c r="RH29" s="115">
        <f t="shared" si="279"/>
        <v>0</v>
      </c>
      <c r="RI29" s="115">
        <f t="shared" si="279"/>
        <v>0</v>
      </c>
      <c r="RJ29" s="115">
        <f t="shared" si="279"/>
        <v>0</v>
      </c>
      <c r="RK29" s="115">
        <f t="shared" si="279"/>
        <v>0</v>
      </c>
      <c r="RL29" s="115">
        <f t="shared" si="279"/>
        <v>0</v>
      </c>
      <c r="RM29" s="115">
        <f t="shared" si="279"/>
        <v>0</v>
      </c>
      <c r="RN29" s="115">
        <f t="shared" si="279"/>
        <v>0</v>
      </c>
      <c r="RO29" s="115">
        <f t="shared" si="279"/>
        <v>0</v>
      </c>
      <c r="RP29" s="115">
        <f t="shared" si="279"/>
        <v>0</v>
      </c>
      <c r="RQ29" s="115">
        <f t="shared" si="279"/>
        <v>0</v>
      </c>
      <c r="RR29" s="115">
        <f t="shared" si="279"/>
        <v>0</v>
      </c>
      <c r="RS29" s="115">
        <f t="shared" si="279"/>
        <v>0</v>
      </c>
      <c r="RT29" s="115">
        <f t="shared" si="279"/>
        <v>0</v>
      </c>
      <c r="RU29" s="115">
        <f t="shared" si="279"/>
        <v>0</v>
      </c>
      <c r="RV29" s="115">
        <f t="shared" si="279"/>
        <v>0</v>
      </c>
      <c r="RW29" s="115">
        <f t="shared" si="279"/>
        <v>0</v>
      </c>
      <c r="RX29" s="115">
        <f t="shared" si="279"/>
        <v>0</v>
      </c>
      <c r="RY29" s="115">
        <f t="shared" si="279"/>
        <v>0</v>
      </c>
      <c r="RZ29" s="115">
        <f t="shared" si="279"/>
        <v>0</v>
      </c>
      <c r="SA29" s="115">
        <f t="shared" si="279"/>
        <v>0</v>
      </c>
      <c r="SB29" s="115">
        <f t="shared" si="279"/>
        <v>0</v>
      </c>
      <c r="SC29" s="115">
        <f t="shared" si="279"/>
        <v>0</v>
      </c>
      <c r="SD29" s="115">
        <f t="shared" si="279"/>
        <v>0</v>
      </c>
      <c r="SE29" s="115">
        <f t="shared" si="279"/>
        <v>0</v>
      </c>
      <c r="SF29" s="115">
        <f t="shared" si="279"/>
        <v>0</v>
      </c>
      <c r="SG29" s="115">
        <f t="shared" si="279"/>
        <v>0</v>
      </c>
      <c r="SH29" s="115">
        <f t="shared" si="279"/>
        <v>0</v>
      </c>
      <c r="SI29" s="115">
        <f t="shared" si="279"/>
        <v>0</v>
      </c>
      <c r="SJ29" s="115">
        <f t="shared" si="279"/>
        <v>0</v>
      </c>
      <c r="SK29" s="115">
        <f t="shared" si="279"/>
        <v>0</v>
      </c>
      <c r="SL29" s="115">
        <f t="shared" si="279"/>
        <v>0</v>
      </c>
      <c r="SM29" s="115">
        <f t="shared" si="279"/>
        <v>0</v>
      </c>
      <c r="SN29" s="115">
        <f t="shared" si="279"/>
        <v>0</v>
      </c>
      <c r="SO29" s="115">
        <f t="shared" si="279"/>
        <v>0</v>
      </c>
      <c r="SP29" s="115">
        <f t="shared" si="279"/>
        <v>0</v>
      </c>
      <c r="SQ29" s="115">
        <f t="shared" si="279"/>
        <v>0</v>
      </c>
      <c r="SR29" s="115">
        <f t="shared" si="279"/>
        <v>0</v>
      </c>
      <c r="SS29" s="115">
        <f t="shared" si="279"/>
        <v>0</v>
      </c>
      <c r="ST29" s="115">
        <f t="shared" si="279"/>
        <v>0</v>
      </c>
      <c r="SU29" s="115">
        <f t="shared" si="279"/>
        <v>0</v>
      </c>
      <c r="SV29" s="115">
        <f t="shared" si="279"/>
        <v>0</v>
      </c>
      <c r="SW29" s="115">
        <f t="shared" ref="SW29:VH29" si="280">IF(SW28&gt;0,SW$17,0)</f>
        <v>0</v>
      </c>
      <c r="SX29" s="115">
        <f t="shared" si="280"/>
        <v>0</v>
      </c>
      <c r="SY29" s="115">
        <f t="shared" si="280"/>
        <v>0</v>
      </c>
      <c r="SZ29" s="115">
        <f t="shared" si="280"/>
        <v>0</v>
      </c>
      <c r="TA29" s="115">
        <f t="shared" si="280"/>
        <v>0</v>
      </c>
      <c r="TB29" s="115">
        <f t="shared" si="280"/>
        <v>0</v>
      </c>
      <c r="TC29" s="115">
        <f t="shared" si="280"/>
        <v>0</v>
      </c>
      <c r="TD29" s="115">
        <f t="shared" si="280"/>
        <v>0</v>
      </c>
      <c r="TE29" s="115">
        <f t="shared" si="280"/>
        <v>0</v>
      </c>
      <c r="TF29" s="115">
        <f t="shared" si="280"/>
        <v>0</v>
      </c>
      <c r="TG29" s="115">
        <f t="shared" si="280"/>
        <v>0</v>
      </c>
      <c r="TH29" s="115">
        <f t="shared" si="280"/>
        <v>0</v>
      </c>
      <c r="TI29" s="115">
        <f t="shared" si="280"/>
        <v>0</v>
      </c>
      <c r="TJ29" s="115">
        <f t="shared" si="280"/>
        <v>0</v>
      </c>
      <c r="TK29" s="115">
        <f t="shared" si="280"/>
        <v>0</v>
      </c>
      <c r="TL29" s="115">
        <f t="shared" si="280"/>
        <v>0</v>
      </c>
      <c r="TM29" s="115">
        <f t="shared" si="280"/>
        <v>0</v>
      </c>
      <c r="TN29" s="115">
        <f t="shared" si="280"/>
        <v>0</v>
      </c>
      <c r="TO29" s="115">
        <f t="shared" si="280"/>
        <v>0</v>
      </c>
      <c r="TP29" s="115">
        <f t="shared" si="280"/>
        <v>0</v>
      </c>
      <c r="TQ29" s="115">
        <f t="shared" si="280"/>
        <v>0</v>
      </c>
      <c r="TR29" s="115">
        <f t="shared" si="280"/>
        <v>0</v>
      </c>
      <c r="TS29" s="115">
        <f t="shared" si="280"/>
        <v>0</v>
      </c>
      <c r="TT29" s="115">
        <f t="shared" si="280"/>
        <v>0</v>
      </c>
      <c r="TU29" s="115">
        <f t="shared" si="280"/>
        <v>0</v>
      </c>
      <c r="TV29" s="115">
        <f t="shared" si="280"/>
        <v>0</v>
      </c>
      <c r="TW29" s="115">
        <f t="shared" si="280"/>
        <v>0</v>
      </c>
      <c r="TX29" s="115">
        <f t="shared" si="280"/>
        <v>0</v>
      </c>
      <c r="TY29" s="115">
        <f t="shared" si="280"/>
        <v>0</v>
      </c>
      <c r="TZ29" s="115">
        <f t="shared" si="280"/>
        <v>0</v>
      </c>
      <c r="UA29" s="115">
        <f t="shared" si="280"/>
        <v>0</v>
      </c>
      <c r="UB29" s="115">
        <f t="shared" si="280"/>
        <v>0</v>
      </c>
      <c r="UC29" s="115">
        <f t="shared" si="280"/>
        <v>0</v>
      </c>
      <c r="UD29" s="115">
        <f t="shared" si="280"/>
        <v>0</v>
      </c>
      <c r="UE29" s="115">
        <f t="shared" si="280"/>
        <v>0</v>
      </c>
      <c r="UF29" s="115">
        <f t="shared" si="280"/>
        <v>0</v>
      </c>
      <c r="UG29" s="115">
        <f t="shared" si="280"/>
        <v>0</v>
      </c>
      <c r="UH29" s="115">
        <f t="shared" si="280"/>
        <v>0</v>
      </c>
      <c r="UI29" s="115">
        <f t="shared" si="280"/>
        <v>0</v>
      </c>
      <c r="UJ29" s="115">
        <f t="shared" si="280"/>
        <v>0</v>
      </c>
      <c r="UK29" s="115">
        <f t="shared" si="280"/>
        <v>0</v>
      </c>
      <c r="UL29" s="115">
        <f t="shared" si="280"/>
        <v>0</v>
      </c>
      <c r="UM29" s="115">
        <f t="shared" si="280"/>
        <v>0</v>
      </c>
      <c r="UN29" s="115">
        <f t="shared" si="280"/>
        <v>0</v>
      </c>
      <c r="UO29" s="115">
        <f t="shared" si="280"/>
        <v>0</v>
      </c>
      <c r="UP29" s="115">
        <f t="shared" si="280"/>
        <v>0</v>
      </c>
      <c r="UQ29" s="115">
        <f t="shared" si="280"/>
        <v>0</v>
      </c>
      <c r="UR29" s="115">
        <f t="shared" si="280"/>
        <v>0</v>
      </c>
      <c r="US29" s="115">
        <f t="shared" si="280"/>
        <v>0</v>
      </c>
      <c r="UT29" s="115">
        <f t="shared" si="280"/>
        <v>0</v>
      </c>
      <c r="UU29" s="115">
        <f t="shared" si="280"/>
        <v>0</v>
      </c>
      <c r="UV29" s="115">
        <f t="shared" si="280"/>
        <v>0</v>
      </c>
      <c r="UW29" s="115">
        <f t="shared" si="280"/>
        <v>0</v>
      </c>
      <c r="UX29" s="115">
        <f t="shared" si="280"/>
        <v>0</v>
      </c>
      <c r="UY29" s="115">
        <f t="shared" si="280"/>
        <v>0</v>
      </c>
      <c r="UZ29" s="115">
        <f t="shared" si="280"/>
        <v>0</v>
      </c>
      <c r="VA29" s="115">
        <f t="shared" si="280"/>
        <v>0</v>
      </c>
      <c r="VB29" s="115">
        <f t="shared" si="280"/>
        <v>0</v>
      </c>
      <c r="VC29" s="115">
        <f t="shared" si="280"/>
        <v>0</v>
      </c>
      <c r="VD29" s="115">
        <f t="shared" si="280"/>
        <v>0</v>
      </c>
      <c r="VE29" s="115">
        <f t="shared" si="280"/>
        <v>0</v>
      </c>
      <c r="VF29" s="115">
        <f t="shared" si="280"/>
        <v>0</v>
      </c>
      <c r="VG29" s="115">
        <f t="shared" si="280"/>
        <v>0</v>
      </c>
      <c r="VH29" s="115">
        <f t="shared" si="280"/>
        <v>0</v>
      </c>
      <c r="VI29" s="115">
        <f t="shared" ref="VI29:XT29" si="281">IF(VI28&gt;0,VI$17,0)</f>
        <v>0</v>
      </c>
      <c r="VJ29" s="115">
        <f t="shared" si="281"/>
        <v>0</v>
      </c>
      <c r="VK29" s="115">
        <f t="shared" si="281"/>
        <v>0</v>
      </c>
      <c r="VL29" s="115">
        <f t="shared" si="281"/>
        <v>0</v>
      </c>
      <c r="VM29" s="115">
        <f t="shared" si="281"/>
        <v>0</v>
      </c>
      <c r="VN29" s="115">
        <f t="shared" si="281"/>
        <v>0</v>
      </c>
      <c r="VO29" s="115">
        <f t="shared" si="281"/>
        <v>0</v>
      </c>
      <c r="VP29" s="115">
        <f t="shared" si="281"/>
        <v>0</v>
      </c>
      <c r="VQ29" s="115">
        <f t="shared" si="281"/>
        <v>0</v>
      </c>
      <c r="VR29" s="115">
        <f t="shared" si="281"/>
        <v>0</v>
      </c>
      <c r="VS29" s="115">
        <f t="shared" si="281"/>
        <v>0</v>
      </c>
      <c r="VT29" s="115">
        <f t="shared" si="281"/>
        <v>0</v>
      </c>
      <c r="VU29" s="115">
        <f t="shared" si="281"/>
        <v>0</v>
      </c>
      <c r="VV29" s="115">
        <f t="shared" si="281"/>
        <v>0</v>
      </c>
      <c r="VW29" s="115">
        <f t="shared" si="281"/>
        <v>0</v>
      </c>
      <c r="VX29" s="115">
        <f t="shared" si="281"/>
        <v>0</v>
      </c>
      <c r="VY29" s="115">
        <f t="shared" si="281"/>
        <v>0</v>
      </c>
      <c r="VZ29" s="115">
        <f t="shared" si="281"/>
        <v>0</v>
      </c>
      <c r="WA29" s="115">
        <f t="shared" si="281"/>
        <v>0</v>
      </c>
      <c r="WB29" s="115">
        <f t="shared" si="281"/>
        <v>0</v>
      </c>
      <c r="WC29" s="115">
        <f t="shared" si="281"/>
        <v>0</v>
      </c>
      <c r="WD29" s="115">
        <f t="shared" si="281"/>
        <v>0</v>
      </c>
      <c r="WE29" s="115">
        <f t="shared" si="281"/>
        <v>0</v>
      </c>
      <c r="WF29" s="115">
        <f t="shared" si="281"/>
        <v>0</v>
      </c>
      <c r="WG29" s="115">
        <f t="shared" si="281"/>
        <v>0</v>
      </c>
      <c r="WH29" s="115">
        <f t="shared" si="281"/>
        <v>0</v>
      </c>
      <c r="WI29" s="115">
        <f t="shared" si="281"/>
        <v>0</v>
      </c>
      <c r="WJ29" s="115">
        <f t="shared" si="281"/>
        <v>0</v>
      </c>
      <c r="WK29" s="115">
        <f t="shared" si="281"/>
        <v>0</v>
      </c>
      <c r="WL29" s="115">
        <f t="shared" si="281"/>
        <v>0</v>
      </c>
      <c r="WM29" s="115">
        <f t="shared" si="281"/>
        <v>0</v>
      </c>
      <c r="WN29" s="115">
        <f t="shared" si="281"/>
        <v>609</v>
      </c>
      <c r="WO29" s="115">
        <f t="shared" si="281"/>
        <v>0</v>
      </c>
      <c r="WP29" s="115">
        <f t="shared" si="281"/>
        <v>0</v>
      </c>
      <c r="WQ29" s="115">
        <f t="shared" si="281"/>
        <v>0</v>
      </c>
      <c r="WR29" s="115">
        <f t="shared" si="281"/>
        <v>0</v>
      </c>
      <c r="WS29" s="115">
        <f t="shared" si="281"/>
        <v>0</v>
      </c>
      <c r="WT29" s="115">
        <f t="shared" si="281"/>
        <v>0</v>
      </c>
      <c r="WU29" s="115">
        <f t="shared" si="281"/>
        <v>0</v>
      </c>
      <c r="WV29" s="115">
        <f t="shared" si="281"/>
        <v>0</v>
      </c>
      <c r="WW29" s="115">
        <f t="shared" si="281"/>
        <v>0</v>
      </c>
      <c r="WX29" s="115">
        <f t="shared" si="281"/>
        <v>0</v>
      </c>
      <c r="WY29" s="115">
        <f t="shared" si="281"/>
        <v>0</v>
      </c>
      <c r="WZ29" s="115">
        <f t="shared" si="281"/>
        <v>0</v>
      </c>
      <c r="XA29" s="115">
        <f t="shared" si="281"/>
        <v>0</v>
      </c>
      <c r="XB29" s="115">
        <f t="shared" si="281"/>
        <v>0</v>
      </c>
      <c r="XC29" s="115">
        <f t="shared" si="281"/>
        <v>0</v>
      </c>
      <c r="XD29" s="115">
        <f t="shared" si="281"/>
        <v>0</v>
      </c>
      <c r="XE29" s="115">
        <f t="shared" si="281"/>
        <v>0</v>
      </c>
      <c r="XF29" s="115">
        <f t="shared" si="281"/>
        <v>0</v>
      </c>
      <c r="XG29" s="115">
        <f t="shared" si="281"/>
        <v>0</v>
      </c>
      <c r="XH29" s="115">
        <f t="shared" si="281"/>
        <v>0</v>
      </c>
      <c r="XI29" s="115">
        <f t="shared" si="281"/>
        <v>0</v>
      </c>
      <c r="XJ29" s="115">
        <f t="shared" si="281"/>
        <v>0</v>
      </c>
      <c r="XK29" s="115">
        <f t="shared" si="281"/>
        <v>0</v>
      </c>
      <c r="XL29" s="115">
        <f t="shared" si="281"/>
        <v>0</v>
      </c>
      <c r="XM29" s="115">
        <f t="shared" si="281"/>
        <v>0</v>
      </c>
      <c r="XN29" s="115">
        <f t="shared" si="281"/>
        <v>0</v>
      </c>
      <c r="XO29" s="115">
        <f t="shared" si="281"/>
        <v>0</v>
      </c>
      <c r="XP29" s="115">
        <f t="shared" si="281"/>
        <v>0</v>
      </c>
      <c r="XQ29" s="115">
        <f t="shared" si="281"/>
        <v>0</v>
      </c>
      <c r="XR29" s="115">
        <f t="shared" si="281"/>
        <v>0</v>
      </c>
      <c r="XS29" s="115">
        <f t="shared" si="281"/>
        <v>0</v>
      </c>
      <c r="XT29" s="115">
        <f t="shared" si="281"/>
        <v>0</v>
      </c>
      <c r="XU29" s="115">
        <f t="shared" ref="XU29:AAF29" si="282">IF(XU28&gt;0,XU$17,0)</f>
        <v>0</v>
      </c>
      <c r="XV29" s="115">
        <f t="shared" si="282"/>
        <v>0</v>
      </c>
      <c r="XW29" s="115">
        <f t="shared" si="282"/>
        <v>0</v>
      </c>
      <c r="XX29" s="115">
        <f t="shared" si="282"/>
        <v>0</v>
      </c>
      <c r="XY29" s="115">
        <f t="shared" si="282"/>
        <v>0</v>
      </c>
      <c r="XZ29" s="115">
        <f t="shared" si="282"/>
        <v>0</v>
      </c>
      <c r="YA29" s="115">
        <f t="shared" si="282"/>
        <v>0</v>
      </c>
      <c r="YB29" s="115">
        <f t="shared" si="282"/>
        <v>0</v>
      </c>
      <c r="YC29" s="115">
        <f t="shared" si="282"/>
        <v>0</v>
      </c>
      <c r="YD29" s="115">
        <f t="shared" si="282"/>
        <v>0</v>
      </c>
      <c r="YE29" s="115">
        <f t="shared" si="282"/>
        <v>0</v>
      </c>
      <c r="YF29" s="115">
        <f t="shared" si="282"/>
        <v>0</v>
      </c>
      <c r="YG29" s="115">
        <f t="shared" si="282"/>
        <v>0</v>
      </c>
      <c r="YH29" s="115">
        <f t="shared" si="282"/>
        <v>0</v>
      </c>
      <c r="YI29" s="115">
        <f t="shared" si="282"/>
        <v>0</v>
      </c>
      <c r="YJ29" s="115">
        <f t="shared" si="282"/>
        <v>0</v>
      </c>
      <c r="YK29" s="115">
        <f t="shared" si="282"/>
        <v>0</v>
      </c>
      <c r="YL29" s="115">
        <f t="shared" si="282"/>
        <v>0</v>
      </c>
      <c r="YM29" s="115">
        <f t="shared" si="282"/>
        <v>0</v>
      </c>
      <c r="YN29" s="115">
        <f t="shared" si="282"/>
        <v>0</v>
      </c>
      <c r="YO29" s="115">
        <f t="shared" si="282"/>
        <v>0</v>
      </c>
      <c r="YP29" s="115">
        <f t="shared" si="282"/>
        <v>0</v>
      </c>
      <c r="YQ29" s="115">
        <f t="shared" si="282"/>
        <v>0</v>
      </c>
      <c r="YR29" s="115">
        <f t="shared" si="282"/>
        <v>0</v>
      </c>
      <c r="YS29" s="115">
        <f t="shared" si="282"/>
        <v>0</v>
      </c>
      <c r="YT29" s="115">
        <f t="shared" si="282"/>
        <v>0</v>
      </c>
      <c r="YU29" s="115">
        <f t="shared" si="282"/>
        <v>0</v>
      </c>
      <c r="YV29" s="115">
        <f t="shared" si="282"/>
        <v>0</v>
      </c>
      <c r="YW29" s="115">
        <f t="shared" si="282"/>
        <v>0</v>
      </c>
      <c r="YX29" s="115">
        <f t="shared" si="282"/>
        <v>0</v>
      </c>
      <c r="YY29" s="115">
        <f t="shared" si="282"/>
        <v>0</v>
      </c>
      <c r="YZ29" s="115">
        <f t="shared" si="282"/>
        <v>0</v>
      </c>
      <c r="ZA29" s="115">
        <f t="shared" si="282"/>
        <v>0</v>
      </c>
      <c r="ZB29" s="115">
        <f t="shared" si="282"/>
        <v>0</v>
      </c>
      <c r="ZC29" s="115">
        <f t="shared" si="282"/>
        <v>0</v>
      </c>
      <c r="ZD29" s="115">
        <f t="shared" si="282"/>
        <v>0</v>
      </c>
      <c r="ZE29" s="115">
        <f t="shared" si="282"/>
        <v>0</v>
      </c>
      <c r="ZF29" s="115">
        <f t="shared" si="282"/>
        <v>0</v>
      </c>
      <c r="ZG29" s="115">
        <f t="shared" si="282"/>
        <v>0</v>
      </c>
      <c r="ZH29" s="115">
        <f t="shared" si="282"/>
        <v>0</v>
      </c>
      <c r="ZI29" s="115">
        <f t="shared" si="282"/>
        <v>0</v>
      </c>
      <c r="ZJ29" s="115">
        <f t="shared" si="282"/>
        <v>0</v>
      </c>
      <c r="ZK29" s="115">
        <f t="shared" si="282"/>
        <v>0</v>
      </c>
      <c r="ZL29" s="115">
        <f t="shared" si="282"/>
        <v>0</v>
      </c>
      <c r="ZM29" s="115">
        <f t="shared" si="282"/>
        <v>0</v>
      </c>
      <c r="ZN29" s="115">
        <f t="shared" si="282"/>
        <v>0</v>
      </c>
      <c r="ZO29" s="115">
        <f t="shared" si="282"/>
        <v>0</v>
      </c>
      <c r="ZP29" s="115">
        <f t="shared" si="282"/>
        <v>0</v>
      </c>
      <c r="ZQ29" s="115">
        <f t="shared" si="282"/>
        <v>0</v>
      </c>
      <c r="ZR29" s="115">
        <f t="shared" si="282"/>
        <v>0</v>
      </c>
      <c r="ZS29" s="115">
        <f t="shared" si="282"/>
        <v>0</v>
      </c>
      <c r="ZT29" s="115">
        <f t="shared" si="282"/>
        <v>0</v>
      </c>
      <c r="ZU29" s="115">
        <f t="shared" si="282"/>
        <v>0</v>
      </c>
      <c r="ZV29" s="115">
        <f t="shared" si="282"/>
        <v>0</v>
      </c>
      <c r="ZW29" s="115">
        <f t="shared" si="282"/>
        <v>0</v>
      </c>
      <c r="ZX29" s="115">
        <f t="shared" si="282"/>
        <v>0</v>
      </c>
      <c r="ZY29" s="115">
        <f t="shared" si="282"/>
        <v>0</v>
      </c>
      <c r="ZZ29" s="115">
        <f t="shared" si="282"/>
        <v>0</v>
      </c>
      <c r="AAA29" s="115">
        <f t="shared" si="282"/>
        <v>0</v>
      </c>
      <c r="AAB29" s="115">
        <f t="shared" si="282"/>
        <v>0</v>
      </c>
      <c r="AAC29" s="115">
        <f t="shared" si="282"/>
        <v>0</v>
      </c>
      <c r="AAD29" s="115">
        <f t="shared" si="282"/>
        <v>0</v>
      </c>
      <c r="AAE29" s="115">
        <f t="shared" si="282"/>
        <v>0</v>
      </c>
      <c r="AAF29" s="115">
        <f t="shared" si="282"/>
        <v>0</v>
      </c>
      <c r="AAG29" s="115">
        <f t="shared" ref="AAG29:ACR29" si="283">IF(AAG28&gt;0,AAG$17,0)</f>
        <v>0</v>
      </c>
      <c r="AAH29" s="115">
        <f t="shared" si="283"/>
        <v>0</v>
      </c>
      <c r="AAI29" s="115">
        <f t="shared" si="283"/>
        <v>0</v>
      </c>
      <c r="AAJ29" s="115">
        <f t="shared" si="283"/>
        <v>0</v>
      </c>
      <c r="AAK29" s="115">
        <f t="shared" si="283"/>
        <v>0</v>
      </c>
      <c r="AAL29" s="115">
        <f t="shared" si="283"/>
        <v>0</v>
      </c>
      <c r="AAM29" s="115">
        <f t="shared" si="283"/>
        <v>0</v>
      </c>
      <c r="AAN29" s="115">
        <f t="shared" si="283"/>
        <v>0</v>
      </c>
      <c r="AAO29" s="115">
        <f t="shared" si="283"/>
        <v>0</v>
      </c>
      <c r="AAP29" s="115">
        <f t="shared" si="283"/>
        <v>0</v>
      </c>
      <c r="AAQ29" s="115">
        <f t="shared" si="283"/>
        <v>0</v>
      </c>
      <c r="AAR29" s="115">
        <f t="shared" si="283"/>
        <v>0</v>
      </c>
      <c r="AAS29" s="115">
        <f t="shared" si="283"/>
        <v>0</v>
      </c>
      <c r="AAT29" s="115">
        <f t="shared" si="283"/>
        <v>0</v>
      </c>
      <c r="AAU29" s="115">
        <f t="shared" si="283"/>
        <v>0</v>
      </c>
      <c r="AAV29" s="115">
        <f t="shared" si="283"/>
        <v>0</v>
      </c>
      <c r="AAW29" s="115">
        <f t="shared" si="283"/>
        <v>0</v>
      </c>
      <c r="AAX29" s="115">
        <f t="shared" si="283"/>
        <v>0</v>
      </c>
      <c r="AAY29" s="115">
        <f t="shared" si="283"/>
        <v>0</v>
      </c>
      <c r="AAZ29" s="115">
        <f t="shared" si="283"/>
        <v>0</v>
      </c>
      <c r="ABA29" s="115">
        <f t="shared" si="283"/>
        <v>0</v>
      </c>
      <c r="ABB29" s="115">
        <f t="shared" si="283"/>
        <v>0</v>
      </c>
      <c r="ABC29" s="115">
        <f t="shared" si="283"/>
        <v>0</v>
      </c>
      <c r="ABD29" s="115">
        <f t="shared" si="283"/>
        <v>0</v>
      </c>
      <c r="ABE29" s="115">
        <f t="shared" si="283"/>
        <v>0</v>
      </c>
      <c r="ABF29" s="115">
        <f t="shared" si="283"/>
        <v>0</v>
      </c>
      <c r="ABG29" s="115">
        <f t="shared" si="283"/>
        <v>0</v>
      </c>
      <c r="ABH29" s="115">
        <f t="shared" si="283"/>
        <v>0</v>
      </c>
      <c r="ABI29" s="115">
        <f t="shared" si="283"/>
        <v>0</v>
      </c>
      <c r="ABJ29" s="115">
        <f t="shared" si="283"/>
        <v>0</v>
      </c>
      <c r="ABK29" s="115">
        <f t="shared" si="283"/>
        <v>0</v>
      </c>
      <c r="ABL29" s="115">
        <f t="shared" si="283"/>
        <v>0</v>
      </c>
      <c r="ABM29" s="115">
        <f t="shared" si="283"/>
        <v>0</v>
      </c>
      <c r="ABN29" s="115">
        <f t="shared" si="283"/>
        <v>0</v>
      </c>
      <c r="ABO29" s="115">
        <f t="shared" si="283"/>
        <v>0</v>
      </c>
      <c r="ABP29" s="115">
        <f t="shared" si="283"/>
        <v>0</v>
      </c>
      <c r="ABQ29" s="115">
        <f t="shared" si="283"/>
        <v>0</v>
      </c>
      <c r="ABR29" s="115">
        <f t="shared" si="283"/>
        <v>0</v>
      </c>
      <c r="ABS29" s="115">
        <f t="shared" si="283"/>
        <v>0</v>
      </c>
      <c r="ABT29" s="115">
        <f t="shared" si="283"/>
        <v>0</v>
      </c>
      <c r="ABU29" s="115">
        <f t="shared" si="283"/>
        <v>0</v>
      </c>
      <c r="ABV29" s="115">
        <f t="shared" si="283"/>
        <v>0</v>
      </c>
      <c r="ABW29" s="115">
        <f t="shared" si="283"/>
        <v>0</v>
      </c>
      <c r="ABX29" s="115">
        <f t="shared" si="283"/>
        <v>0</v>
      </c>
      <c r="ABY29" s="115">
        <f t="shared" si="283"/>
        <v>0</v>
      </c>
      <c r="ABZ29" s="115">
        <f t="shared" si="283"/>
        <v>0</v>
      </c>
      <c r="ACA29" s="115">
        <f t="shared" si="283"/>
        <v>0</v>
      </c>
      <c r="ACB29" s="115">
        <f t="shared" si="283"/>
        <v>0</v>
      </c>
      <c r="ACC29" s="115">
        <f t="shared" si="283"/>
        <v>0</v>
      </c>
      <c r="ACD29" s="115">
        <f t="shared" si="283"/>
        <v>0</v>
      </c>
      <c r="ACE29" s="115">
        <f t="shared" si="283"/>
        <v>0</v>
      </c>
      <c r="ACF29" s="115">
        <f t="shared" si="283"/>
        <v>0</v>
      </c>
      <c r="ACG29" s="115">
        <f t="shared" si="283"/>
        <v>0</v>
      </c>
      <c r="ACH29" s="115">
        <f t="shared" si="283"/>
        <v>0</v>
      </c>
      <c r="ACI29" s="115">
        <f t="shared" si="283"/>
        <v>0</v>
      </c>
      <c r="ACJ29" s="115">
        <f t="shared" si="283"/>
        <v>0</v>
      </c>
      <c r="ACK29" s="115">
        <f t="shared" si="283"/>
        <v>0</v>
      </c>
      <c r="ACL29" s="115">
        <f t="shared" si="283"/>
        <v>0</v>
      </c>
      <c r="ACM29" s="115">
        <f t="shared" si="283"/>
        <v>0</v>
      </c>
      <c r="ACN29" s="115">
        <f t="shared" si="283"/>
        <v>0</v>
      </c>
      <c r="ACO29" s="115">
        <f t="shared" si="283"/>
        <v>0</v>
      </c>
      <c r="ACP29" s="115">
        <f t="shared" si="283"/>
        <v>0</v>
      </c>
      <c r="ACQ29" s="115">
        <f t="shared" si="283"/>
        <v>0</v>
      </c>
      <c r="ACR29" s="115">
        <f t="shared" si="283"/>
        <v>0</v>
      </c>
      <c r="ACS29" s="115">
        <f t="shared" ref="ACS29:AFD29" si="284">IF(ACS28&gt;0,ACS$17,0)</f>
        <v>0</v>
      </c>
      <c r="ACT29" s="115">
        <f t="shared" si="284"/>
        <v>0</v>
      </c>
      <c r="ACU29" s="115">
        <f t="shared" si="284"/>
        <v>0</v>
      </c>
      <c r="ACV29" s="115">
        <f t="shared" si="284"/>
        <v>0</v>
      </c>
      <c r="ACW29" s="115">
        <f t="shared" si="284"/>
        <v>0</v>
      </c>
      <c r="ACX29" s="115">
        <f t="shared" si="284"/>
        <v>0</v>
      </c>
      <c r="ACY29" s="115">
        <f t="shared" si="284"/>
        <v>0</v>
      </c>
      <c r="ACZ29" s="115">
        <f t="shared" si="284"/>
        <v>0</v>
      </c>
      <c r="ADA29" s="115">
        <f t="shared" si="284"/>
        <v>0</v>
      </c>
      <c r="ADB29" s="115">
        <f t="shared" si="284"/>
        <v>0</v>
      </c>
      <c r="ADC29" s="115">
        <f t="shared" si="284"/>
        <v>0</v>
      </c>
      <c r="ADD29" s="115">
        <f t="shared" si="284"/>
        <v>0</v>
      </c>
      <c r="ADE29" s="115">
        <f t="shared" si="284"/>
        <v>0</v>
      </c>
      <c r="ADF29" s="115">
        <f t="shared" si="284"/>
        <v>0</v>
      </c>
      <c r="ADG29" s="115">
        <f t="shared" si="284"/>
        <v>0</v>
      </c>
      <c r="ADH29" s="115">
        <f t="shared" si="284"/>
        <v>0</v>
      </c>
      <c r="ADI29" s="115">
        <f t="shared" si="284"/>
        <v>0</v>
      </c>
      <c r="ADJ29" s="115">
        <f t="shared" si="284"/>
        <v>0</v>
      </c>
      <c r="ADK29" s="115">
        <f t="shared" si="284"/>
        <v>0</v>
      </c>
      <c r="ADL29" s="115">
        <f t="shared" si="284"/>
        <v>0</v>
      </c>
      <c r="ADM29" s="115">
        <f t="shared" si="284"/>
        <v>0</v>
      </c>
      <c r="ADN29" s="115">
        <f t="shared" si="284"/>
        <v>0</v>
      </c>
      <c r="ADO29" s="115">
        <f t="shared" si="284"/>
        <v>0</v>
      </c>
      <c r="ADP29" s="115">
        <f t="shared" si="284"/>
        <v>0</v>
      </c>
      <c r="ADQ29" s="115">
        <f t="shared" si="284"/>
        <v>0</v>
      </c>
      <c r="ADR29" s="115">
        <f t="shared" si="284"/>
        <v>0</v>
      </c>
      <c r="ADS29" s="115">
        <f t="shared" si="284"/>
        <v>0</v>
      </c>
      <c r="ADT29" s="115">
        <f t="shared" si="284"/>
        <v>0</v>
      </c>
      <c r="ADU29" s="115">
        <f t="shared" si="284"/>
        <v>0</v>
      </c>
      <c r="ADV29" s="115">
        <f t="shared" si="284"/>
        <v>0</v>
      </c>
      <c r="ADW29" s="115">
        <f t="shared" si="284"/>
        <v>0</v>
      </c>
      <c r="ADX29" s="115">
        <f t="shared" si="284"/>
        <v>0</v>
      </c>
      <c r="ADY29" s="115">
        <f t="shared" si="284"/>
        <v>0</v>
      </c>
      <c r="ADZ29" s="115">
        <f t="shared" si="284"/>
        <v>0</v>
      </c>
      <c r="AEA29" s="115">
        <f t="shared" si="284"/>
        <v>0</v>
      </c>
      <c r="AEB29" s="115">
        <f t="shared" si="284"/>
        <v>0</v>
      </c>
      <c r="AEC29" s="115">
        <f t="shared" si="284"/>
        <v>0</v>
      </c>
      <c r="AED29" s="115">
        <f t="shared" si="284"/>
        <v>0</v>
      </c>
      <c r="AEE29" s="115">
        <f t="shared" si="284"/>
        <v>0</v>
      </c>
      <c r="AEF29" s="115">
        <f t="shared" si="284"/>
        <v>0</v>
      </c>
      <c r="AEG29" s="115">
        <f t="shared" si="284"/>
        <v>0</v>
      </c>
      <c r="AEH29" s="115">
        <f t="shared" si="284"/>
        <v>0</v>
      </c>
      <c r="AEI29" s="115">
        <f t="shared" si="284"/>
        <v>0</v>
      </c>
      <c r="AEJ29" s="115">
        <f t="shared" si="284"/>
        <v>0</v>
      </c>
      <c r="AEK29" s="115">
        <f t="shared" si="284"/>
        <v>0</v>
      </c>
      <c r="AEL29" s="115">
        <f t="shared" si="284"/>
        <v>0</v>
      </c>
      <c r="AEM29" s="115">
        <f t="shared" si="284"/>
        <v>0</v>
      </c>
      <c r="AEN29" s="115">
        <f t="shared" si="284"/>
        <v>0</v>
      </c>
      <c r="AEO29" s="115">
        <f t="shared" si="284"/>
        <v>0</v>
      </c>
      <c r="AEP29" s="115">
        <f t="shared" si="284"/>
        <v>0</v>
      </c>
      <c r="AEQ29" s="115">
        <f t="shared" si="284"/>
        <v>0</v>
      </c>
      <c r="AER29" s="115">
        <f t="shared" si="284"/>
        <v>0</v>
      </c>
      <c r="AES29" s="115">
        <f t="shared" si="284"/>
        <v>0</v>
      </c>
      <c r="AET29" s="115">
        <f t="shared" si="284"/>
        <v>0</v>
      </c>
      <c r="AEU29" s="115">
        <f t="shared" si="284"/>
        <v>0</v>
      </c>
      <c r="AEV29" s="115">
        <f t="shared" si="284"/>
        <v>0</v>
      </c>
      <c r="AEW29" s="115">
        <f t="shared" si="284"/>
        <v>0</v>
      </c>
      <c r="AEX29" s="115">
        <f t="shared" si="284"/>
        <v>0</v>
      </c>
      <c r="AEY29" s="115">
        <f t="shared" si="284"/>
        <v>0</v>
      </c>
      <c r="AEZ29" s="115">
        <f t="shared" si="284"/>
        <v>0</v>
      </c>
      <c r="AFA29" s="115">
        <f t="shared" si="284"/>
        <v>0</v>
      </c>
      <c r="AFB29" s="115">
        <f t="shared" si="284"/>
        <v>0</v>
      </c>
      <c r="AFC29" s="115">
        <f t="shared" si="284"/>
        <v>0</v>
      </c>
      <c r="AFD29" s="115">
        <f t="shared" si="284"/>
        <v>0</v>
      </c>
      <c r="AFE29" s="115">
        <f t="shared" ref="AFE29:AHP29" si="285">IF(AFE28&gt;0,AFE$17,0)</f>
        <v>0</v>
      </c>
      <c r="AFF29" s="115">
        <f t="shared" si="285"/>
        <v>0</v>
      </c>
      <c r="AFG29" s="115">
        <f t="shared" si="285"/>
        <v>0</v>
      </c>
      <c r="AFH29" s="115">
        <f t="shared" si="285"/>
        <v>0</v>
      </c>
      <c r="AFI29" s="115">
        <f t="shared" si="285"/>
        <v>0</v>
      </c>
      <c r="AFJ29" s="115">
        <f t="shared" si="285"/>
        <v>0</v>
      </c>
      <c r="AFK29" s="115">
        <f t="shared" si="285"/>
        <v>0</v>
      </c>
      <c r="AFL29" s="115">
        <f t="shared" si="285"/>
        <v>0</v>
      </c>
      <c r="AFM29" s="115">
        <f t="shared" si="285"/>
        <v>0</v>
      </c>
      <c r="AFN29" s="115">
        <f t="shared" si="285"/>
        <v>0</v>
      </c>
      <c r="AFO29" s="115">
        <f t="shared" si="285"/>
        <v>0</v>
      </c>
      <c r="AFP29" s="115">
        <f t="shared" si="285"/>
        <v>0</v>
      </c>
      <c r="AFQ29" s="115">
        <f t="shared" si="285"/>
        <v>0</v>
      </c>
      <c r="AFR29" s="115">
        <f t="shared" si="285"/>
        <v>0</v>
      </c>
      <c r="AFS29" s="115">
        <f t="shared" si="285"/>
        <v>0</v>
      </c>
      <c r="AFT29" s="115">
        <f t="shared" si="285"/>
        <v>0</v>
      </c>
      <c r="AFU29" s="115">
        <f t="shared" si="285"/>
        <v>0</v>
      </c>
      <c r="AFV29" s="115">
        <f t="shared" si="285"/>
        <v>0</v>
      </c>
      <c r="AFW29" s="115">
        <f t="shared" si="285"/>
        <v>0</v>
      </c>
      <c r="AFX29" s="115">
        <f t="shared" si="285"/>
        <v>0</v>
      </c>
      <c r="AFY29" s="115">
        <f t="shared" si="285"/>
        <v>0</v>
      </c>
      <c r="AFZ29" s="115">
        <f t="shared" si="285"/>
        <v>0</v>
      </c>
      <c r="AGA29" s="115">
        <f t="shared" si="285"/>
        <v>0</v>
      </c>
      <c r="AGB29" s="115">
        <f t="shared" si="285"/>
        <v>0</v>
      </c>
      <c r="AGC29" s="115">
        <f t="shared" si="285"/>
        <v>0</v>
      </c>
      <c r="AGD29" s="115">
        <f t="shared" si="285"/>
        <v>0</v>
      </c>
      <c r="AGE29" s="115">
        <f t="shared" si="285"/>
        <v>0</v>
      </c>
      <c r="AGF29" s="115">
        <f t="shared" si="285"/>
        <v>0</v>
      </c>
      <c r="AGG29" s="115">
        <f t="shared" si="285"/>
        <v>0</v>
      </c>
      <c r="AGH29" s="115">
        <f t="shared" si="285"/>
        <v>0</v>
      </c>
      <c r="AGI29" s="115">
        <f t="shared" si="285"/>
        <v>0</v>
      </c>
      <c r="AGJ29" s="115">
        <f t="shared" si="285"/>
        <v>0</v>
      </c>
      <c r="AGK29" s="115">
        <f t="shared" si="285"/>
        <v>0</v>
      </c>
      <c r="AGL29" s="115">
        <f t="shared" si="285"/>
        <v>0</v>
      </c>
      <c r="AGM29" s="115">
        <f t="shared" si="285"/>
        <v>0</v>
      </c>
      <c r="AGN29" s="115">
        <f t="shared" si="285"/>
        <v>0</v>
      </c>
      <c r="AGO29" s="115">
        <f t="shared" si="285"/>
        <v>0</v>
      </c>
      <c r="AGP29" s="115">
        <f t="shared" si="285"/>
        <v>0</v>
      </c>
      <c r="AGQ29" s="115">
        <f t="shared" si="285"/>
        <v>0</v>
      </c>
      <c r="AGR29" s="115">
        <f t="shared" si="285"/>
        <v>0</v>
      </c>
      <c r="AGS29" s="115">
        <f t="shared" si="285"/>
        <v>0</v>
      </c>
      <c r="AGT29" s="115">
        <f t="shared" si="285"/>
        <v>0</v>
      </c>
      <c r="AGU29" s="115">
        <f t="shared" si="285"/>
        <v>0</v>
      </c>
      <c r="AGV29" s="115">
        <f t="shared" si="285"/>
        <v>0</v>
      </c>
      <c r="AGW29" s="115">
        <f t="shared" si="285"/>
        <v>0</v>
      </c>
      <c r="AGX29" s="115">
        <f t="shared" si="285"/>
        <v>0</v>
      </c>
      <c r="AGY29" s="115">
        <f t="shared" si="285"/>
        <v>0</v>
      </c>
      <c r="AGZ29" s="115">
        <f t="shared" si="285"/>
        <v>0</v>
      </c>
      <c r="AHA29" s="115">
        <f t="shared" si="285"/>
        <v>0</v>
      </c>
      <c r="AHB29" s="115">
        <f t="shared" si="285"/>
        <v>0</v>
      </c>
      <c r="AHC29" s="115">
        <f t="shared" si="285"/>
        <v>0</v>
      </c>
      <c r="AHD29" s="115">
        <f t="shared" si="285"/>
        <v>0</v>
      </c>
      <c r="AHE29" s="115">
        <f t="shared" si="285"/>
        <v>0</v>
      </c>
      <c r="AHF29" s="115">
        <f t="shared" si="285"/>
        <v>0</v>
      </c>
      <c r="AHG29" s="115">
        <f t="shared" si="285"/>
        <v>0</v>
      </c>
      <c r="AHH29" s="115">
        <f t="shared" si="285"/>
        <v>0</v>
      </c>
      <c r="AHI29" s="115">
        <f t="shared" si="285"/>
        <v>0</v>
      </c>
      <c r="AHJ29" s="115">
        <f t="shared" si="285"/>
        <v>0</v>
      </c>
      <c r="AHK29" s="115">
        <f t="shared" si="285"/>
        <v>0</v>
      </c>
      <c r="AHL29" s="115">
        <f t="shared" si="285"/>
        <v>0</v>
      </c>
      <c r="AHM29" s="115">
        <f t="shared" si="285"/>
        <v>0</v>
      </c>
      <c r="AHN29" s="115">
        <f t="shared" si="285"/>
        <v>0</v>
      </c>
      <c r="AHO29" s="115">
        <f t="shared" si="285"/>
        <v>0</v>
      </c>
      <c r="AHP29" s="115">
        <f t="shared" si="285"/>
        <v>0</v>
      </c>
      <c r="AHQ29" s="115">
        <f t="shared" ref="AHQ29:AKB29" si="286">IF(AHQ28&gt;0,AHQ$17,0)</f>
        <v>0</v>
      </c>
      <c r="AHR29" s="115">
        <f t="shared" si="286"/>
        <v>0</v>
      </c>
      <c r="AHS29" s="115">
        <f t="shared" si="286"/>
        <v>0</v>
      </c>
      <c r="AHT29" s="115">
        <f t="shared" si="286"/>
        <v>0</v>
      </c>
      <c r="AHU29" s="115">
        <f t="shared" si="286"/>
        <v>0</v>
      </c>
      <c r="AHV29" s="115">
        <f t="shared" si="286"/>
        <v>0</v>
      </c>
      <c r="AHW29" s="115">
        <f t="shared" si="286"/>
        <v>0</v>
      </c>
      <c r="AHX29" s="115">
        <f t="shared" si="286"/>
        <v>0</v>
      </c>
      <c r="AHY29" s="115">
        <f t="shared" si="286"/>
        <v>0</v>
      </c>
      <c r="AHZ29" s="115">
        <f t="shared" si="286"/>
        <v>0</v>
      </c>
      <c r="AIA29" s="115">
        <f t="shared" si="286"/>
        <v>0</v>
      </c>
      <c r="AIB29" s="115">
        <f t="shared" si="286"/>
        <v>0</v>
      </c>
      <c r="AIC29" s="115">
        <f t="shared" si="286"/>
        <v>0</v>
      </c>
      <c r="AID29" s="115">
        <f t="shared" si="286"/>
        <v>0</v>
      </c>
      <c r="AIE29" s="115">
        <f t="shared" si="286"/>
        <v>0</v>
      </c>
      <c r="AIF29" s="115">
        <f t="shared" si="286"/>
        <v>0</v>
      </c>
      <c r="AIG29" s="115">
        <f t="shared" si="286"/>
        <v>0</v>
      </c>
      <c r="AIH29" s="115">
        <f t="shared" si="286"/>
        <v>0</v>
      </c>
      <c r="AII29" s="115">
        <f t="shared" si="286"/>
        <v>0</v>
      </c>
      <c r="AIJ29" s="115">
        <f t="shared" si="286"/>
        <v>0</v>
      </c>
      <c r="AIK29" s="115">
        <f t="shared" si="286"/>
        <v>0</v>
      </c>
      <c r="AIL29" s="115">
        <f t="shared" si="286"/>
        <v>0</v>
      </c>
      <c r="AIM29" s="115">
        <f t="shared" si="286"/>
        <v>0</v>
      </c>
      <c r="AIN29" s="115">
        <f t="shared" si="286"/>
        <v>0</v>
      </c>
      <c r="AIO29" s="115">
        <f t="shared" si="286"/>
        <v>0</v>
      </c>
      <c r="AIP29" s="115">
        <f t="shared" si="286"/>
        <v>0</v>
      </c>
      <c r="AIQ29" s="115">
        <f t="shared" si="286"/>
        <v>0</v>
      </c>
      <c r="AIR29" s="115">
        <f t="shared" si="286"/>
        <v>0</v>
      </c>
      <c r="AIS29" s="115">
        <f t="shared" si="286"/>
        <v>0</v>
      </c>
      <c r="AIT29" s="115">
        <f t="shared" si="286"/>
        <v>0</v>
      </c>
      <c r="AIU29" s="115">
        <f t="shared" si="286"/>
        <v>0</v>
      </c>
      <c r="AIV29" s="115">
        <f t="shared" si="286"/>
        <v>0</v>
      </c>
      <c r="AIW29" s="115">
        <f t="shared" si="286"/>
        <v>0</v>
      </c>
      <c r="AIX29" s="115">
        <f t="shared" si="286"/>
        <v>0</v>
      </c>
      <c r="AIY29" s="115">
        <f t="shared" si="286"/>
        <v>0</v>
      </c>
      <c r="AIZ29" s="115">
        <f t="shared" si="286"/>
        <v>0</v>
      </c>
      <c r="AJA29" s="115">
        <f t="shared" si="286"/>
        <v>0</v>
      </c>
      <c r="AJB29" s="115">
        <f t="shared" si="286"/>
        <v>0</v>
      </c>
      <c r="AJC29" s="115">
        <f t="shared" si="286"/>
        <v>0</v>
      </c>
      <c r="AJD29" s="115">
        <f t="shared" si="286"/>
        <v>0</v>
      </c>
      <c r="AJE29" s="115">
        <f t="shared" si="286"/>
        <v>0</v>
      </c>
      <c r="AJF29" s="115">
        <f t="shared" si="286"/>
        <v>0</v>
      </c>
      <c r="AJG29" s="115">
        <f t="shared" si="286"/>
        <v>0</v>
      </c>
      <c r="AJH29" s="115">
        <f t="shared" si="286"/>
        <v>0</v>
      </c>
      <c r="AJI29" s="115">
        <f t="shared" si="286"/>
        <v>0</v>
      </c>
      <c r="AJJ29" s="115">
        <f t="shared" si="286"/>
        <v>0</v>
      </c>
      <c r="AJK29" s="115">
        <f t="shared" si="286"/>
        <v>0</v>
      </c>
      <c r="AJL29" s="115">
        <f t="shared" si="286"/>
        <v>0</v>
      </c>
      <c r="AJM29" s="115">
        <f t="shared" si="286"/>
        <v>0</v>
      </c>
      <c r="AJN29" s="115">
        <f t="shared" si="286"/>
        <v>0</v>
      </c>
      <c r="AJO29" s="115">
        <f t="shared" si="286"/>
        <v>0</v>
      </c>
      <c r="AJP29" s="115">
        <f t="shared" si="286"/>
        <v>0</v>
      </c>
      <c r="AJQ29" s="115">
        <f t="shared" si="286"/>
        <v>0</v>
      </c>
      <c r="AJR29" s="115">
        <f t="shared" si="286"/>
        <v>0</v>
      </c>
      <c r="AJS29" s="115">
        <f t="shared" si="286"/>
        <v>0</v>
      </c>
      <c r="AJT29" s="115">
        <f t="shared" si="286"/>
        <v>0</v>
      </c>
      <c r="AJU29" s="115">
        <f t="shared" si="286"/>
        <v>0</v>
      </c>
      <c r="AJV29" s="115">
        <f t="shared" si="286"/>
        <v>0</v>
      </c>
      <c r="AJW29" s="115">
        <f t="shared" si="286"/>
        <v>0</v>
      </c>
      <c r="AJX29" s="115">
        <f t="shared" si="286"/>
        <v>0</v>
      </c>
      <c r="AJY29" s="115">
        <f t="shared" si="286"/>
        <v>0</v>
      </c>
      <c r="AJZ29" s="115">
        <f t="shared" si="286"/>
        <v>0</v>
      </c>
      <c r="AKA29" s="115">
        <f t="shared" si="286"/>
        <v>0</v>
      </c>
      <c r="AKB29" s="115">
        <f t="shared" si="286"/>
        <v>0</v>
      </c>
      <c r="AKC29" s="115">
        <f t="shared" ref="AKC29:AMN29" si="287">IF(AKC28&gt;0,AKC$17,0)</f>
        <v>0</v>
      </c>
      <c r="AKD29" s="115">
        <f t="shared" si="287"/>
        <v>0</v>
      </c>
      <c r="AKE29" s="115">
        <f t="shared" si="287"/>
        <v>0</v>
      </c>
      <c r="AKF29" s="115">
        <f t="shared" si="287"/>
        <v>0</v>
      </c>
      <c r="AKG29" s="115">
        <f t="shared" si="287"/>
        <v>0</v>
      </c>
      <c r="AKH29" s="115">
        <f t="shared" si="287"/>
        <v>0</v>
      </c>
      <c r="AKI29" s="115">
        <f t="shared" si="287"/>
        <v>0</v>
      </c>
      <c r="AKJ29" s="115">
        <f t="shared" si="287"/>
        <v>0</v>
      </c>
      <c r="AKK29" s="115">
        <f t="shared" si="287"/>
        <v>0</v>
      </c>
      <c r="AKL29" s="115">
        <f t="shared" si="287"/>
        <v>0</v>
      </c>
      <c r="AKM29" s="115">
        <f t="shared" si="287"/>
        <v>0</v>
      </c>
      <c r="AKN29" s="115">
        <f t="shared" si="287"/>
        <v>0</v>
      </c>
      <c r="AKO29" s="115">
        <f t="shared" si="287"/>
        <v>0</v>
      </c>
      <c r="AKP29" s="115">
        <f t="shared" si="287"/>
        <v>0</v>
      </c>
      <c r="AKQ29" s="115">
        <f t="shared" si="287"/>
        <v>0</v>
      </c>
      <c r="AKR29" s="115">
        <f t="shared" si="287"/>
        <v>0</v>
      </c>
      <c r="AKS29" s="115">
        <f t="shared" si="287"/>
        <v>0</v>
      </c>
      <c r="AKT29" s="115">
        <f t="shared" si="287"/>
        <v>0</v>
      </c>
      <c r="AKU29" s="115">
        <f t="shared" si="287"/>
        <v>0</v>
      </c>
      <c r="AKV29" s="115">
        <f t="shared" si="287"/>
        <v>0</v>
      </c>
      <c r="AKW29" s="115">
        <f t="shared" si="287"/>
        <v>0</v>
      </c>
      <c r="AKX29" s="115">
        <f t="shared" si="287"/>
        <v>0</v>
      </c>
      <c r="AKY29" s="115">
        <f t="shared" si="287"/>
        <v>0</v>
      </c>
      <c r="AKZ29" s="115">
        <f t="shared" si="287"/>
        <v>0</v>
      </c>
      <c r="ALA29" s="115">
        <f t="shared" si="287"/>
        <v>0</v>
      </c>
      <c r="ALB29" s="115">
        <f t="shared" si="287"/>
        <v>0</v>
      </c>
      <c r="ALC29" s="115">
        <f t="shared" si="287"/>
        <v>0</v>
      </c>
      <c r="ALD29" s="115">
        <f t="shared" si="287"/>
        <v>0</v>
      </c>
      <c r="ALE29" s="115">
        <f t="shared" si="287"/>
        <v>0</v>
      </c>
      <c r="ALF29" s="115">
        <f t="shared" si="287"/>
        <v>0</v>
      </c>
      <c r="ALG29" s="115">
        <f t="shared" si="287"/>
        <v>0</v>
      </c>
      <c r="ALH29" s="115">
        <f t="shared" si="287"/>
        <v>0</v>
      </c>
      <c r="ALI29" s="115">
        <f t="shared" si="287"/>
        <v>0</v>
      </c>
      <c r="ALJ29" s="115">
        <f t="shared" si="287"/>
        <v>0</v>
      </c>
      <c r="ALK29" s="115">
        <f t="shared" si="287"/>
        <v>0</v>
      </c>
      <c r="ALL29" s="115">
        <f t="shared" si="287"/>
        <v>0</v>
      </c>
      <c r="ALM29" s="115">
        <f t="shared" si="287"/>
        <v>0</v>
      </c>
      <c r="ALN29" s="115">
        <f t="shared" si="287"/>
        <v>0</v>
      </c>
      <c r="ALO29" s="115">
        <f t="shared" si="287"/>
        <v>0</v>
      </c>
      <c r="ALP29" s="115">
        <f t="shared" si="287"/>
        <v>0</v>
      </c>
      <c r="ALQ29" s="115">
        <f t="shared" si="287"/>
        <v>0</v>
      </c>
      <c r="ALR29" s="115">
        <f t="shared" si="287"/>
        <v>0</v>
      </c>
      <c r="ALS29" s="115">
        <f t="shared" si="287"/>
        <v>0</v>
      </c>
      <c r="ALT29" s="115">
        <f t="shared" si="287"/>
        <v>0</v>
      </c>
      <c r="ALU29" s="115">
        <f t="shared" si="287"/>
        <v>0</v>
      </c>
      <c r="ALV29" s="115">
        <f t="shared" si="287"/>
        <v>0</v>
      </c>
      <c r="ALW29" s="115">
        <f t="shared" si="287"/>
        <v>0</v>
      </c>
      <c r="ALX29" s="115">
        <f t="shared" si="287"/>
        <v>0</v>
      </c>
      <c r="ALY29" s="115">
        <f t="shared" si="287"/>
        <v>0</v>
      </c>
      <c r="ALZ29" s="115">
        <f t="shared" si="287"/>
        <v>0</v>
      </c>
      <c r="AMA29" s="115">
        <f t="shared" si="287"/>
        <v>0</v>
      </c>
      <c r="AMB29" s="115">
        <f t="shared" si="287"/>
        <v>0</v>
      </c>
      <c r="AMC29" s="115">
        <f t="shared" si="287"/>
        <v>0</v>
      </c>
      <c r="AMD29" s="115">
        <f t="shared" si="287"/>
        <v>0</v>
      </c>
      <c r="AME29" s="115">
        <f t="shared" si="287"/>
        <v>0</v>
      </c>
      <c r="AMF29" s="115">
        <f t="shared" si="287"/>
        <v>0</v>
      </c>
      <c r="AMG29" s="115">
        <f t="shared" si="287"/>
        <v>0</v>
      </c>
      <c r="AMH29" s="115">
        <f t="shared" si="287"/>
        <v>0</v>
      </c>
      <c r="AMI29" s="115">
        <f t="shared" si="287"/>
        <v>0</v>
      </c>
      <c r="AMJ29" s="115">
        <f t="shared" si="287"/>
        <v>0</v>
      </c>
      <c r="AMK29" s="115">
        <f t="shared" si="287"/>
        <v>0</v>
      </c>
      <c r="AML29" s="115">
        <f t="shared" si="287"/>
        <v>0</v>
      </c>
      <c r="AMM29" s="115">
        <f t="shared" si="287"/>
        <v>0</v>
      </c>
      <c r="AMN29" s="115">
        <f t="shared" si="287"/>
        <v>0</v>
      </c>
      <c r="AMO29" s="115">
        <f t="shared" ref="AMO29:AOQ29" si="288">IF(AMO28&gt;0,AMO$17,0)</f>
        <v>0</v>
      </c>
      <c r="AMP29" s="115">
        <f t="shared" si="288"/>
        <v>0</v>
      </c>
      <c r="AMQ29" s="115">
        <f t="shared" si="288"/>
        <v>0</v>
      </c>
      <c r="AMR29" s="115">
        <f t="shared" si="288"/>
        <v>0</v>
      </c>
      <c r="AMS29" s="115">
        <f t="shared" si="288"/>
        <v>0</v>
      </c>
      <c r="AMT29" s="115">
        <f t="shared" si="288"/>
        <v>0</v>
      </c>
      <c r="AMU29" s="115">
        <f t="shared" si="288"/>
        <v>0</v>
      </c>
      <c r="AMV29" s="115">
        <f t="shared" si="288"/>
        <v>0</v>
      </c>
      <c r="AMW29" s="115">
        <f t="shared" si="288"/>
        <v>0</v>
      </c>
      <c r="AMX29" s="115">
        <f t="shared" si="288"/>
        <v>0</v>
      </c>
      <c r="AMY29" s="115">
        <f t="shared" si="288"/>
        <v>0</v>
      </c>
      <c r="AMZ29" s="115">
        <f t="shared" si="288"/>
        <v>0</v>
      </c>
      <c r="ANA29" s="115">
        <f t="shared" si="288"/>
        <v>0</v>
      </c>
      <c r="ANB29" s="115">
        <f t="shared" si="288"/>
        <v>0</v>
      </c>
      <c r="ANC29" s="115">
        <f t="shared" si="288"/>
        <v>0</v>
      </c>
      <c r="AND29" s="115">
        <f t="shared" si="288"/>
        <v>0</v>
      </c>
      <c r="ANE29" s="115">
        <f t="shared" si="288"/>
        <v>0</v>
      </c>
      <c r="ANF29" s="115">
        <f t="shared" si="288"/>
        <v>0</v>
      </c>
      <c r="ANG29" s="115">
        <f t="shared" si="288"/>
        <v>0</v>
      </c>
      <c r="ANH29" s="115">
        <f t="shared" si="288"/>
        <v>0</v>
      </c>
      <c r="ANI29" s="115">
        <f t="shared" si="288"/>
        <v>0</v>
      </c>
      <c r="ANJ29" s="115">
        <f t="shared" si="288"/>
        <v>0</v>
      </c>
      <c r="ANK29" s="115">
        <f t="shared" si="288"/>
        <v>0</v>
      </c>
      <c r="ANL29" s="115">
        <f t="shared" si="288"/>
        <v>0</v>
      </c>
      <c r="ANM29" s="115">
        <f t="shared" si="288"/>
        <v>0</v>
      </c>
      <c r="ANN29" s="115">
        <f t="shared" si="288"/>
        <v>0</v>
      </c>
      <c r="ANO29" s="115">
        <f t="shared" si="288"/>
        <v>0</v>
      </c>
      <c r="ANP29" s="115">
        <f t="shared" si="288"/>
        <v>0</v>
      </c>
      <c r="ANQ29" s="115">
        <f t="shared" si="288"/>
        <v>0</v>
      </c>
      <c r="ANR29" s="115">
        <f t="shared" si="288"/>
        <v>0</v>
      </c>
      <c r="ANS29" s="115">
        <f t="shared" si="288"/>
        <v>0</v>
      </c>
      <c r="ANT29" s="115">
        <f t="shared" si="288"/>
        <v>0</v>
      </c>
      <c r="ANU29" s="115">
        <f t="shared" si="288"/>
        <v>0</v>
      </c>
      <c r="ANV29" s="115">
        <f t="shared" si="288"/>
        <v>0</v>
      </c>
      <c r="ANW29" s="115">
        <f t="shared" si="288"/>
        <v>0</v>
      </c>
      <c r="ANX29" s="115">
        <f t="shared" si="288"/>
        <v>0</v>
      </c>
      <c r="ANY29" s="115">
        <f t="shared" si="288"/>
        <v>0</v>
      </c>
      <c r="ANZ29" s="115">
        <f t="shared" si="288"/>
        <v>0</v>
      </c>
      <c r="AOA29" s="115">
        <f t="shared" si="288"/>
        <v>0</v>
      </c>
      <c r="AOB29" s="115">
        <f t="shared" si="288"/>
        <v>0</v>
      </c>
      <c r="AOC29" s="115">
        <f t="shared" si="288"/>
        <v>0</v>
      </c>
      <c r="AOD29" s="115">
        <f t="shared" si="288"/>
        <v>0</v>
      </c>
      <c r="AOE29" s="115">
        <f t="shared" si="288"/>
        <v>0</v>
      </c>
      <c r="AOF29" s="115">
        <f t="shared" si="288"/>
        <v>0</v>
      </c>
      <c r="AOG29" s="115">
        <f t="shared" si="288"/>
        <v>0</v>
      </c>
      <c r="AOH29" s="115">
        <f t="shared" si="288"/>
        <v>0</v>
      </c>
      <c r="AOI29" s="115">
        <f t="shared" si="288"/>
        <v>0</v>
      </c>
      <c r="AOJ29" s="115">
        <f t="shared" si="288"/>
        <v>0</v>
      </c>
      <c r="AOK29" s="115">
        <f t="shared" si="288"/>
        <v>0</v>
      </c>
      <c r="AOL29" s="115">
        <f t="shared" si="288"/>
        <v>0</v>
      </c>
      <c r="AOM29" s="115">
        <f t="shared" si="288"/>
        <v>0</v>
      </c>
      <c r="AON29" s="115">
        <f t="shared" si="288"/>
        <v>0</v>
      </c>
      <c r="AOO29" s="115">
        <f t="shared" si="288"/>
        <v>0</v>
      </c>
      <c r="AOP29" s="115">
        <f t="shared" si="288"/>
        <v>0</v>
      </c>
      <c r="AOQ29" s="115">
        <f t="shared" si="288"/>
        <v>0</v>
      </c>
    </row>
    <row r="30" spans="2:1083" x14ac:dyDescent="0.25">
      <c r="B30" s="116" t="s">
        <v>298</v>
      </c>
      <c r="C30" s="115">
        <f>SUM(D30:AOQ30)</f>
        <v>20</v>
      </c>
      <c r="D30" s="115">
        <v>0</v>
      </c>
      <c r="E30" s="115">
        <f>IF(E28&gt;0,SUM($D$18:D18),0)</f>
        <v>0</v>
      </c>
      <c r="F30" s="115">
        <f>IF(F28&gt;0,SUM($D$18:E18),0)</f>
        <v>0</v>
      </c>
      <c r="G30" s="115">
        <f>IF(G28&gt;0,SUM($D$18:F18),0)</f>
        <v>0</v>
      </c>
      <c r="H30" s="115">
        <f>IF(H28&gt;0,SUM($D$18:G18),0)</f>
        <v>0</v>
      </c>
      <c r="I30" s="115">
        <f>IF(I28&gt;0,SUM($D$18:H18),0)</f>
        <v>0</v>
      </c>
      <c r="J30" s="115">
        <f>IF(J28&gt;0,SUM($D$18:I18),0)</f>
        <v>0</v>
      </c>
      <c r="K30" s="115">
        <f>IF(K28&gt;0,SUM($D$18:J18),0)</f>
        <v>0</v>
      </c>
      <c r="L30" s="115">
        <f>IF(L28&gt;0,SUM($D$18:K18),0)</f>
        <v>0</v>
      </c>
      <c r="M30" s="115">
        <f>IF(M28&gt;0,SUM($D$18:L18),0)</f>
        <v>0</v>
      </c>
      <c r="N30" s="115">
        <f>IF(N28&gt;0,SUM($D$18:M18),0)</f>
        <v>0</v>
      </c>
      <c r="O30" s="115">
        <f>IF(O28&gt;0,SUM($D$18:N18),0)</f>
        <v>0</v>
      </c>
      <c r="P30" s="115">
        <f>IF(P28&gt;0,SUM($D$18:O18),0)</f>
        <v>0</v>
      </c>
      <c r="Q30" s="115">
        <f>IF(Q28&gt;0,SUM($D$18:P18),0)</f>
        <v>0</v>
      </c>
      <c r="R30" s="115">
        <f>IF(R28&gt;0,SUM($D$18:Q18),0)</f>
        <v>0</v>
      </c>
      <c r="S30" s="115">
        <f>IF(S28&gt;0,SUM($D$18:R18),0)</f>
        <v>0</v>
      </c>
      <c r="T30" s="115">
        <f>IF(T28&gt;0,SUM($D$18:S18),0)</f>
        <v>0</v>
      </c>
      <c r="U30" s="115">
        <f>IF(U28&gt;0,SUM($D$18:T18),0)</f>
        <v>0</v>
      </c>
      <c r="V30" s="115">
        <f>IF(V28&gt;0,SUM($D$18:U18),0)</f>
        <v>0</v>
      </c>
      <c r="W30" s="115">
        <f>IF(W28&gt;0,SUM($D$18:V18),0)</f>
        <v>0</v>
      </c>
      <c r="X30" s="115">
        <f>IF(X28&gt;0,SUM($D$18:W18),0)</f>
        <v>0</v>
      </c>
      <c r="Y30" s="115">
        <f>IF(Y28&gt;0,SUM($D$18:X18),0)</f>
        <v>0</v>
      </c>
      <c r="Z30" s="115">
        <f>IF(Z28&gt;0,SUM($D$18:Y18),0)</f>
        <v>0</v>
      </c>
      <c r="AA30" s="115">
        <f>IF(AA28&gt;0,SUM($D$18:Z18),0)</f>
        <v>0</v>
      </c>
      <c r="AB30" s="115">
        <f>IF(AB28&gt;0,SUM($D$18:AA18),0)</f>
        <v>0</v>
      </c>
      <c r="AC30" s="115">
        <f>IF(AC28&gt;0,SUM($D$18:AB18),0)</f>
        <v>0</v>
      </c>
      <c r="AD30" s="115">
        <f>IF(AD28&gt;0,SUM($D$18:AC18),0)</f>
        <v>0</v>
      </c>
      <c r="AE30" s="115">
        <f>IF(AE28&gt;0,SUM($D$18:AD18),0)</f>
        <v>0</v>
      </c>
      <c r="AF30" s="115">
        <f>IF(AF28&gt;0,SUM($D$18:AE18),0)</f>
        <v>0</v>
      </c>
      <c r="AG30" s="115">
        <f>IF(AG28&gt;0,SUM($D$18:AF18),0)</f>
        <v>0</v>
      </c>
      <c r="AH30" s="115">
        <f>IF(AH28&gt;0,SUM($D$18:AG18),0)</f>
        <v>0</v>
      </c>
      <c r="AI30" s="115">
        <f>IF(AI28&gt;0,SUM($D$18:AH18),0)</f>
        <v>0</v>
      </c>
      <c r="AJ30" s="115">
        <f>IF(AJ28&gt;0,SUM($D$18:AI18),0)</f>
        <v>0</v>
      </c>
      <c r="AK30" s="115">
        <f>IF(AK28&gt;0,SUM($D$18:AJ18),0)</f>
        <v>0</v>
      </c>
      <c r="AL30" s="115">
        <f>IF(AL28&gt;0,SUM($D$18:AK18),0)</f>
        <v>0</v>
      </c>
      <c r="AM30" s="115">
        <f>IF(AM28&gt;0,SUM($D$18:AL18),0)</f>
        <v>0</v>
      </c>
      <c r="AN30" s="115">
        <f>IF(AN28&gt;0,SUM($D$18:AM18),0)</f>
        <v>0</v>
      </c>
      <c r="AO30" s="115">
        <f>IF(AO28&gt;0,SUM($D$18:AN18),0)</f>
        <v>0</v>
      </c>
      <c r="AP30" s="115">
        <f>IF(AP28&gt;0,SUM($D$18:AO18),0)</f>
        <v>0</v>
      </c>
      <c r="AQ30" s="115">
        <f>IF(AQ28&gt;0,SUM($D$18:AP18),0)</f>
        <v>0</v>
      </c>
      <c r="AR30" s="115">
        <f>IF(AR28&gt;0,SUM($D$18:AQ18),0)</f>
        <v>0</v>
      </c>
      <c r="AS30" s="115">
        <f>IF(AS28&gt;0,SUM($D$18:AR18),0)</f>
        <v>0</v>
      </c>
      <c r="AT30" s="115">
        <f>IF(AT28&gt;0,SUM($D$18:AS18),0)</f>
        <v>0</v>
      </c>
      <c r="AU30" s="115">
        <f>IF(AU28&gt;0,SUM($D$18:AT18),0)</f>
        <v>0</v>
      </c>
      <c r="AV30" s="115">
        <f>IF(AV28&gt;0,SUM($D$18:AU18),0)</f>
        <v>0</v>
      </c>
      <c r="AW30" s="115">
        <f>IF(AW28&gt;0,SUM($D$18:AV18),0)</f>
        <v>0</v>
      </c>
      <c r="AX30" s="115">
        <f>IF(AX28&gt;0,SUM($D$18:AW18),0)</f>
        <v>0</v>
      </c>
      <c r="AY30" s="115">
        <f>IF(AY28&gt;0,SUM($D$18:AX18),0)</f>
        <v>0</v>
      </c>
      <c r="AZ30" s="115">
        <f>IF(AZ28&gt;0,SUM($D$18:AY18),0)</f>
        <v>0</v>
      </c>
      <c r="BA30" s="115">
        <f>IF(BA28&gt;0,SUM($D$18:AZ18),0)</f>
        <v>0</v>
      </c>
      <c r="BB30" s="115">
        <f>IF(BB28&gt;0,SUM($D$18:BA18),0)</f>
        <v>0</v>
      </c>
      <c r="BC30" s="115">
        <f>IF(BC28&gt;0,SUM($D$18:BB18),0)</f>
        <v>0</v>
      </c>
      <c r="BD30" s="115">
        <f>IF(BD28&gt;0,SUM($D$18:BC18),0)</f>
        <v>0</v>
      </c>
      <c r="BE30" s="115">
        <f>IF(BE28&gt;0,SUM($D$18:BD18),0)</f>
        <v>0</v>
      </c>
      <c r="BF30" s="115">
        <f>IF(BF28&gt;0,SUM($D$18:BE18),0)</f>
        <v>0</v>
      </c>
      <c r="BG30" s="115">
        <f>IF(BG28&gt;0,SUM($D$18:BF18),0)</f>
        <v>0</v>
      </c>
      <c r="BH30" s="115">
        <f>IF(BH28&gt;0,SUM($D$18:BG18),0)</f>
        <v>0</v>
      </c>
      <c r="BI30" s="115">
        <f>IF(BI28&gt;0,SUM($D$18:BH18),0)</f>
        <v>0</v>
      </c>
      <c r="BJ30" s="115">
        <f>IF(BJ28&gt;0,SUM($D$18:BI18),0)</f>
        <v>0</v>
      </c>
      <c r="BK30" s="115">
        <f>IF(BK28&gt;0,SUM($D$18:BJ18),0)</f>
        <v>0</v>
      </c>
      <c r="BL30" s="115">
        <f>IF(BL28&gt;0,SUM($D$18:BK18),0)</f>
        <v>0</v>
      </c>
      <c r="BM30" s="115">
        <f>IF(BM28&gt;0,SUM($D$18:BL18),0)</f>
        <v>0</v>
      </c>
      <c r="BN30" s="115">
        <f>IF(BN28&gt;0,SUM($D$18:BM18),0)</f>
        <v>0</v>
      </c>
      <c r="BO30" s="115">
        <f>IF(BO28&gt;0,SUM($D$18:BN18),0)</f>
        <v>0</v>
      </c>
      <c r="BP30" s="115">
        <f>IF(BP28&gt;0,SUM($D$18:BO18),0)</f>
        <v>0</v>
      </c>
      <c r="BQ30" s="115">
        <f>IF(BQ28&gt;0,SUM($D$18:BP18),0)</f>
        <v>0</v>
      </c>
      <c r="BR30" s="115">
        <f>IF(BR28&gt;0,SUM($D$18:BQ18),0)</f>
        <v>0</v>
      </c>
      <c r="BS30" s="115">
        <f>IF(BS28&gt;0,SUM($D$18:BR18),0)</f>
        <v>0</v>
      </c>
      <c r="BT30" s="115">
        <f>IF(BT28&gt;0,SUM($D$18:BS18),0)</f>
        <v>0</v>
      </c>
      <c r="BU30" s="115">
        <f>IF(BU28&gt;0,SUM($D$18:BT18),0)</f>
        <v>0</v>
      </c>
      <c r="BV30" s="115">
        <f>IF(BV28&gt;0,SUM($D$18:BU18),0)</f>
        <v>0</v>
      </c>
      <c r="BW30" s="115">
        <f>IF(BW28&gt;0,SUM($D$18:BV18),0)</f>
        <v>0</v>
      </c>
      <c r="BX30" s="115">
        <f>IF(BX28&gt;0,SUM($D$18:BW18),0)</f>
        <v>0</v>
      </c>
      <c r="BY30" s="115">
        <f>IF(BY28&gt;0,SUM($D$18:BX18),0)</f>
        <v>0</v>
      </c>
      <c r="BZ30" s="115">
        <f>IF(BZ28&gt;0,SUM($D$18:BY18),0)</f>
        <v>0</v>
      </c>
      <c r="CA30" s="115">
        <f>IF(CA28&gt;0,SUM($D$18:BZ18),0)</f>
        <v>0</v>
      </c>
      <c r="CB30" s="115">
        <f>IF(CB28&gt;0,SUM($D$18:CA18),0)</f>
        <v>0</v>
      </c>
      <c r="CC30" s="115">
        <f>IF(CC28&gt;0,SUM($D$18:CB18),0)</f>
        <v>0</v>
      </c>
      <c r="CD30" s="115">
        <f>IF(CD28&gt;0,SUM($D$18:CC18),0)</f>
        <v>0</v>
      </c>
      <c r="CE30" s="115">
        <f>IF(CE28&gt;0,SUM($D$18:CD18),0)</f>
        <v>0</v>
      </c>
      <c r="CF30" s="115">
        <f>IF(CF28&gt;0,SUM($D$18:CE18),0)</f>
        <v>0</v>
      </c>
      <c r="CG30" s="115">
        <f>IF(CG28&gt;0,SUM($D$18:CF18),0)</f>
        <v>0</v>
      </c>
      <c r="CH30" s="115">
        <f>IF(CH28&gt;0,SUM($D$18:CG18),0)</f>
        <v>0</v>
      </c>
      <c r="CI30" s="115">
        <f>IF(CI28&gt;0,SUM($D$18:CH18),0)</f>
        <v>0</v>
      </c>
      <c r="CJ30" s="115">
        <f>IF(CJ28&gt;0,SUM($D$18:CI18),0)</f>
        <v>0</v>
      </c>
      <c r="CK30" s="115">
        <f>IF(CK28&gt;0,SUM($D$18:CJ18),0)</f>
        <v>0</v>
      </c>
      <c r="CL30" s="115">
        <f>IF(CL28&gt;0,SUM($D$18:CK18),0)</f>
        <v>0</v>
      </c>
      <c r="CM30" s="115">
        <f>IF(CM28&gt;0,SUM($D$18:CL18),0)</f>
        <v>0</v>
      </c>
      <c r="CN30" s="115">
        <f>IF(CN28&gt;0,SUM($D$18:CM18),0)</f>
        <v>0</v>
      </c>
      <c r="CO30" s="115">
        <f>IF(CO28&gt;0,SUM($D$18:CN18),0)</f>
        <v>0</v>
      </c>
      <c r="CP30" s="115">
        <f>IF(CP28&gt;0,SUM($D$18:CO18),0)</f>
        <v>0</v>
      </c>
      <c r="CQ30" s="115">
        <f>IF(CQ28&gt;0,SUM($D$18:CP18),0)</f>
        <v>0</v>
      </c>
      <c r="CR30" s="115">
        <f>IF(CR28&gt;0,SUM($D$18:CQ18),0)</f>
        <v>0</v>
      </c>
      <c r="CS30" s="115">
        <f>IF(CS28&gt;0,SUM($D$18:CR18),0)</f>
        <v>0</v>
      </c>
      <c r="CT30" s="115">
        <f>IF(CT28&gt;0,SUM($D$18:CS18),0)</f>
        <v>0</v>
      </c>
      <c r="CU30" s="115">
        <f>IF(CU28&gt;0,SUM($D$18:CT18),0)</f>
        <v>0</v>
      </c>
      <c r="CV30" s="115">
        <f>IF(CV28&gt;0,SUM($D$18:CU18),0)</f>
        <v>0</v>
      </c>
      <c r="CW30" s="115">
        <f>IF(CW28&gt;0,SUM($D$18:CV18),0)</f>
        <v>0</v>
      </c>
      <c r="CX30" s="115">
        <f>IF(CX28&gt;0,SUM($D$18:CW18),0)</f>
        <v>0</v>
      </c>
      <c r="CY30" s="115">
        <f>IF(CY28&gt;0,SUM($D$18:CX18),0)</f>
        <v>0</v>
      </c>
      <c r="CZ30" s="115">
        <f>IF(CZ28&gt;0,SUM($D$18:CY18),0)</f>
        <v>0</v>
      </c>
      <c r="DA30" s="115">
        <f>IF(DA28&gt;0,SUM($D$18:CZ18),0)</f>
        <v>0</v>
      </c>
      <c r="DB30" s="115">
        <f>IF(DB28&gt;0,SUM($D$18:DA18),0)</f>
        <v>0</v>
      </c>
      <c r="DC30" s="115">
        <f>IF(DC28&gt;0,SUM($D$18:DB18),0)</f>
        <v>0</v>
      </c>
      <c r="DD30" s="115">
        <f>IF(DD28&gt;0,SUM($D$18:DC18),0)</f>
        <v>0</v>
      </c>
      <c r="DE30" s="115">
        <f>IF(DE28&gt;0,SUM($D$18:DD18),0)</f>
        <v>0</v>
      </c>
      <c r="DF30" s="115">
        <f>IF(DF28&gt;0,SUM($D$18:DE18),0)</f>
        <v>0</v>
      </c>
      <c r="DG30" s="115">
        <f>IF(DG28&gt;0,SUM($D$18:DF18),0)</f>
        <v>0</v>
      </c>
      <c r="DH30" s="115">
        <f>IF(DH28&gt;0,SUM($D$18:DG18),0)</f>
        <v>0</v>
      </c>
      <c r="DI30" s="115">
        <f>IF(DI28&gt;0,SUM($D$18:DH18),0)</f>
        <v>0</v>
      </c>
      <c r="DJ30" s="115">
        <f>IF(DJ28&gt;0,SUM($D$18:DI18),0)</f>
        <v>0</v>
      </c>
      <c r="DK30" s="115">
        <f>IF(DK28&gt;0,SUM($D$18:DJ18),0)</f>
        <v>0</v>
      </c>
      <c r="DL30" s="115">
        <f>IF(DL28&gt;0,SUM($D$18:DK18),0)</f>
        <v>0</v>
      </c>
      <c r="DM30" s="115">
        <f>IF(DM28&gt;0,SUM($D$18:DL18),0)</f>
        <v>0</v>
      </c>
      <c r="DN30" s="115">
        <f>IF(DN28&gt;0,SUM($D$18:DM18),0)</f>
        <v>0</v>
      </c>
      <c r="DO30" s="115">
        <f>IF(DO28&gt;0,SUM($D$18:DN18),0)</f>
        <v>0</v>
      </c>
      <c r="DP30" s="115">
        <f>IF(DP28&gt;0,SUM($D$18:DO18),0)</f>
        <v>0</v>
      </c>
      <c r="DQ30" s="115">
        <f>IF(DQ28&gt;0,SUM($D$18:DP18),0)</f>
        <v>0</v>
      </c>
      <c r="DR30" s="115">
        <f>IF(DR28&gt;0,SUM($D$18:DQ18),0)</f>
        <v>0</v>
      </c>
      <c r="DS30" s="115">
        <f>IF(DS28&gt;0,SUM($D$18:DR18),0)</f>
        <v>0</v>
      </c>
      <c r="DT30" s="115">
        <f>IF(DT28&gt;0,SUM($D$18:DS18),0)</f>
        <v>0</v>
      </c>
      <c r="DU30" s="115">
        <f>IF(DU28&gt;0,SUM($D$18:DT18),0)</f>
        <v>0</v>
      </c>
      <c r="DV30" s="115">
        <f>IF(DV28&gt;0,SUM($D$18:DU18),0)</f>
        <v>0</v>
      </c>
      <c r="DW30" s="115">
        <f>IF(DW28&gt;0,SUM($D$18:DV18),0)</f>
        <v>0</v>
      </c>
      <c r="DX30" s="115">
        <f>IF(DX28&gt;0,SUM($D$18:DW18),0)</f>
        <v>0</v>
      </c>
      <c r="DY30" s="115">
        <f>IF(DY28&gt;0,SUM($D$18:DX18),0)</f>
        <v>0</v>
      </c>
      <c r="DZ30" s="115">
        <f>IF(DZ28&gt;0,SUM($D$18:DY18),0)</f>
        <v>0</v>
      </c>
      <c r="EA30" s="115">
        <f>IF(EA28&gt;0,SUM($D$18:DZ18),0)</f>
        <v>0</v>
      </c>
      <c r="EB30" s="115">
        <f>IF(EB28&gt;0,SUM($D$18:EA18),0)</f>
        <v>0</v>
      </c>
      <c r="EC30" s="115">
        <f>IF(EC28&gt;0,SUM($D$18:EB18),0)</f>
        <v>0</v>
      </c>
      <c r="ED30" s="115">
        <f>IF(ED28&gt;0,SUM($D$18:EC18),0)</f>
        <v>0</v>
      </c>
      <c r="EE30" s="115">
        <f>IF(EE28&gt;0,SUM($D$18:ED18),0)</f>
        <v>0</v>
      </c>
      <c r="EF30" s="115">
        <f>IF(EF28&gt;0,SUM($D$18:EE18),0)</f>
        <v>0</v>
      </c>
      <c r="EG30" s="115">
        <f>IF(EG28&gt;0,SUM($D$18:EF18),0)</f>
        <v>0</v>
      </c>
      <c r="EH30" s="115">
        <f>IF(EH28&gt;0,SUM($D$18:EG18),0)</f>
        <v>0</v>
      </c>
      <c r="EI30" s="115">
        <f>IF(EI28&gt;0,SUM($D$18:EH18),0)</f>
        <v>0</v>
      </c>
      <c r="EJ30" s="115">
        <f>IF(EJ28&gt;0,SUM($D$18:EI18),0)</f>
        <v>0</v>
      </c>
      <c r="EK30" s="115">
        <f>IF(EK28&gt;0,SUM($D$18:EJ18),0)</f>
        <v>0</v>
      </c>
      <c r="EL30" s="115">
        <f>IF(EL28&gt;0,SUM($D$18:EK18),0)</f>
        <v>0</v>
      </c>
      <c r="EM30" s="115">
        <f>IF(EM28&gt;0,SUM($D$18:EL18),0)</f>
        <v>0</v>
      </c>
      <c r="EN30" s="115">
        <f>IF(EN28&gt;0,SUM($D$18:EM18),0)</f>
        <v>0</v>
      </c>
      <c r="EO30" s="115">
        <f>IF(EO28&gt;0,SUM($D$18:EN18),0)</f>
        <v>0</v>
      </c>
      <c r="EP30" s="115">
        <f>IF(EP28&gt;0,SUM($D$18:EO18),0)</f>
        <v>0</v>
      </c>
      <c r="EQ30" s="115">
        <f>IF(EQ28&gt;0,SUM($D$18:EP18),0)</f>
        <v>0</v>
      </c>
      <c r="ER30" s="115">
        <f>IF(ER28&gt;0,SUM($D$18:EQ18),0)</f>
        <v>0</v>
      </c>
      <c r="ES30" s="115">
        <f>IF(ES28&gt;0,SUM($D$18:ER18),0)</f>
        <v>0</v>
      </c>
      <c r="ET30" s="115">
        <f>IF(ET28&gt;0,SUM($D$18:ES18),0)</f>
        <v>0</v>
      </c>
      <c r="EU30" s="115">
        <f>IF(EU28&gt;0,SUM($D$18:ET18),0)</f>
        <v>0</v>
      </c>
      <c r="EV30" s="115">
        <f>IF(EV28&gt;0,SUM($D$18:EU18),0)</f>
        <v>0</v>
      </c>
      <c r="EW30" s="115">
        <f>IF(EW28&gt;0,SUM($D$18:EV18),0)</f>
        <v>0</v>
      </c>
      <c r="EX30" s="115">
        <f>IF(EX28&gt;0,SUM($D$18:EW18),0)</f>
        <v>0</v>
      </c>
      <c r="EY30" s="115">
        <f>IF(EY28&gt;0,SUM($D$18:EX18),0)</f>
        <v>0</v>
      </c>
      <c r="EZ30" s="115">
        <f>IF(EZ28&gt;0,SUM($D$18:EY18),0)</f>
        <v>0</v>
      </c>
      <c r="FA30" s="115">
        <f>IF(FA28&gt;0,SUM($D$18:EZ18),0)</f>
        <v>0</v>
      </c>
      <c r="FB30" s="115">
        <f>IF(FB28&gt;0,SUM($D$18:FA18),0)</f>
        <v>0</v>
      </c>
      <c r="FC30" s="115">
        <f>IF(FC28&gt;0,SUM($D$18:FB18),0)</f>
        <v>0</v>
      </c>
      <c r="FD30" s="115">
        <f>IF(FD28&gt;0,SUM($D$18:FC18),0)</f>
        <v>0</v>
      </c>
      <c r="FE30" s="115">
        <f>IF(FE28&gt;0,SUM($D$18:FD18),0)</f>
        <v>0</v>
      </c>
      <c r="FF30" s="115">
        <f>IF(FF28&gt;0,SUM($D$18:FE18),0)</f>
        <v>0</v>
      </c>
      <c r="FG30" s="115">
        <f>IF(FG28&gt;0,SUM($D$18:FF18),0)</f>
        <v>0</v>
      </c>
      <c r="FH30" s="115">
        <f>IF(FH28&gt;0,SUM($D$18:FG18),0)</f>
        <v>0</v>
      </c>
      <c r="FI30" s="115">
        <f>IF(FI28&gt;0,SUM($D$18:FH18),0)</f>
        <v>0</v>
      </c>
      <c r="FJ30" s="115">
        <f>IF(FJ28&gt;0,SUM($D$18:FI18),0)</f>
        <v>0</v>
      </c>
      <c r="FK30" s="115">
        <f>IF(FK28&gt;0,SUM($D$18:FJ18),0)</f>
        <v>0</v>
      </c>
      <c r="FL30" s="115">
        <f>IF(FL28&gt;0,SUM($D$18:FK18),0)</f>
        <v>0</v>
      </c>
      <c r="FM30" s="115">
        <f>IF(FM28&gt;0,SUM($D$18:FL18),0)</f>
        <v>0</v>
      </c>
      <c r="FN30" s="115">
        <f>IF(FN28&gt;0,SUM($D$18:FM18),0)</f>
        <v>0</v>
      </c>
      <c r="FO30" s="115">
        <f>IF(FO28&gt;0,SUM($D$18:FN18),0)</f>
        <v>0</v>
      </c>
      <c r="FP30" s="115">
        <f>IF(FP28&gt;0,SUM($D$18:FO18),0)</f>
        <v>0</v>
      </c>
      <c r="FQ30" s="115">
        <f>IF(FQ28&gt;0,SUM($D$18:FP18),0)</f>
        <v>0</v>
      </c>
      <c r="FR30" s="115">
        <f>IF(FR28&gt;0,SUM($D$18:FQ18),0)</f>
        <v>0</v>
      </c>
      <c r="FS30" s="115">
        <f>IF(FS28&gt;0,SUM($D$18:FR18),0)</f>
        <v>0</v>
      </c>
      <c r="FT30" s="115">
        <f>IF(FT28&gt;0,SUM($D$18:FS18),0)</f>
        <v>0</v>
      </c>
      <c r="FU30" s="115">
        <f>IF(FU28&gt;0,SUM($D$18:FT18),0)</f>
        <v>0</v>
      </c>
      <c r="FV30" s="115">
        <f>IF(FV28&gt;0,SUM($D$18:FU18),0)</f>
        <v>0</v>
      </c>
      <c r="FW30" s="115">
        <f>IF(FW28&gt;0,SUM($D$18:FV18),0)</f>
        <v>0</v>
      </c>
      <c r="FX30" s="115">
        <f>IF(FX28&gt;0,SUM($D$18:FW18),0)</f>
        <v>0</v>
      </c>
      <c r="FY30" s="115">
        <f>IF(FY28&gt;0,SUM($D$18:FX18),0)</f>
        <v>0</v>
      </c>
      <c r="FZ30" s="115">
        <f>IF(FZ28&gt;0,SUM($D$18:FY18),0)</f>
        <v>0</v>
      </c>
      <c r="GA30" s="115">
        <f>IF(GA28&gt;0,SUM($D$18:FZ18),0)</f>
        <v>0</v>
      </c>
      <c r="GB30" s="115">
        <f>IF(GB28&gt;0,SUM($D$18:GA18),0)</f>
        <v>0</v>
      </c>
      <c r="GC30" s="115">
        <f>IF(GC28&gt;0,SUM($D$18:GB18),0)</f>
        <v>0</v>
      </c>
      <c r="GD30" s="115">
        <f>IF(GD28&gt;0,SUM($D$18:GC18),0)</f>
        <v>0</v>
      </c>
      <c r="GE30" s="115">
        <f>IF(GE28&gt;0,SUM($D$18:GD18),0)</f>
        <v>0</v>
      </c>
      <c r="GF30" s="115">
        <f>IF(GF28&gt;0,SUM($D$18:GE18),0)</f>
        <v>0</v>
      </c>
      <c r="GG30" s="115">
        <f>IF(GG28&gt;0,SUM($D$18:GF18),0)</f>
        <v>0</v>
      </c>
      <c r="GH30" s="115">
        <f>IF(GH28&gt;0,SUM($D$18:GG18),0)</f>
        <v>0</v>
      </c>
      <c r="GI30" s="115">
        <f>IF(GI28&gt;0,SUM($D$18:GH18),0)</f>
        <v>0</v>
      </c>
      <c r="GJ30" s="115">
        <f>IF(GJ28&gt;0,SUM($D$18:GI18),0)</f>
        <v>0</v>
      </c>
      <c r="GK30" s="115">
        <f>IF(GK28&gt;0,SUM($D$18:GJ18),0)</f>
        <v>0</v>
      </c>
      <c r="GL30" s="115">
        <f>IF(GL28&gt;0,SUM($D$18:GK18),0)</f>
        <v>0</v>
      </c>
      <c r="GM30" s="115">
        <f>IF(GM28&gt;0,SUM($D$18:GL18),0)</f>
        <v>0</v>
      </c>
      <c r="GN30" s="115">
        <f>IF(GN28&gt;0,SUM($D$18:GM18),0)</f>
        <v>0</v>
      </c>
      <c r="GO30" s="115">
        <f>IF(GO28&gt;0,SUM($D$18:GN18),0)</f>
        <v>0</v>
      </c>
      <c r="GP30" s="115">
        <f>IF(GP28&gt;0,SUM($D$18:GO18),0)</f>
        <v>0</v>
      </c>
      <c r="GQ30" s="115">
        <f>IF(GQ28&gt;0,SUM($D$18:GP18),0)</f>
        <v>0</v>
      </c>
      <c r="GR30" s="115">
        <f>IF(GR28&gt;0,SUM($D$18:GQ18),0)</f>
        <v>0</v>
      </c>
      <c r="GS30" s="115">
        <f>IF(GS28&gt;0,SUM($D$18:GR18),0)</f>
        <v>0</v>
      </c>
      <c r="GT30" s="115">
        <f>IF(GT28&gt;0,SUM($D$18:GS18),0)</f>
        <v>0</v>
      </c>
      <c r="GU30" s="115">
        <f>IF(GU28&gt;0,SUM($D$18:GT18),0)</f>
        <v>0</v>
      </c>
      <c r="GV30" s="115">
        <f>IF(GV28&gt;0,SUM($D$18:GU18),0)</f>
        <v>0</v>
      </c>
      <c r="GW30" s="115">
        <f>IF(GW28&gt;0,SUM($D$18:GV18),0)</f>
        <v>0</v>
      </c>
      <c r="GX30" s="115">
        <f>IF(GX28&gt;0,SUM($D$18:GW18),0)</f>
        <v>0</v>
      </c>
      <c r="GY30" s="115">
        <f>IF(GY28&gt;0,SUM($D$18:GX18),0)</f>
        <v>0</v>
      </c>
      <c r="GZ30" s="115">
        <f>IF(GZ28&gt;0,SUM($D$18:GY18),0)</f>
        <v>0</v>
      </c>
      <c r="HA30" s="115">
        <f>IF(HA28&gt;0,SUM($D$18:GZ18),0)</f>
        <v>0</v>
      </c>
      <c r="HB30" s="115">
        <f>IF(HB28&gt;0,SUM($D$18:HA18),0)</f>
        <v>0</v>
      </c>
      <c r="HC30" s="115">
        <f>IF(HC28&gt;0,SUM($D$18:HB18),0)</f>
        <v>0</v>
      </c>
      <c r="HD30" s="115">
        <f>IF(HD28&gt;0,SUM($D$18:HC18),0)</f>
        <v>0</v>
      </c>
      <c r="HE30" s="115">
        <f>IF(HE28&gt;0,SUM($D$18:HD18),0)</f>
        <v>0</v>
      </c>
      <c r="HF30" s="115">
        <f>IF(HF28&gt;0,SUM($D$18:HE18),0)</f>
        <v>0</v>
      </c>
      <c r="HG30" s="115">
        <f>IF(HG28&gt;0,SUM($D$18:HF18),0)</f>
        <v>0</v>
      </c>
      <c r="HH30" s="115">
        <f>IF(HH28&gt;0,SUM($D$18:HG18),0)</f>
        <v>0</v>
      </c>
      <c r="HI30" s="115">
        <f>IF(HI28&gt;0,SUM($D$18:HH18),0)</f>
        <v>0</v>
      </c>
      <c r="HJ30" s="115">
        <f>IF(HJ28&gt;0,SUM($D$18:HI18),0)</f>
        <v>0</v>
      </c>
      <c r="HK30" s="115">
        <f>IF(HK28&gt;0,SUM($D$18:HJ18),0)</f>
        <v>0</v>
      </c>
      <c r="HL30" s="115">
        <f>IF(HL28&gt;0,SUM($D$18:HK18),0)</f>
        <v>0</v>
      </c>
      <c r="HM30" s="115">
        <f>IF(HM28&gt;0,SUM($D$18:HL18),0)</f>
        <v>0</v>
      </c>
      <c r="HN30" s="115">
        <f>IF(HN28&gt;0,SUM($D$18:HM18),0)</f>
        <v>0</v>
      </c>
      <c r="HO30" s="115">
        <f>IF(HO28&gt;0,SUM($D$18:HN18),0)</f>
        <v>0</v>
      </c>
      <c r="HP30" s="115">
        <f>IF(HP28&gt;0,SUM($D$18:HO18),0)</f>
        <v>0</v>
      </c>
      <c r="HQ30" s="115">
        <f>IF(HQ28&gt;0,SUM($D$18:HP18),0)</f>
        <v>0</v>
      </c>
      <c r="HR30" s="115">
        <f>IF(HR28&gt;0,SUM($D$18:HQ18),0)</f>
        <v>0</v>
      </c>
      <c r="HS30" s="115">
        <f>IF(HS28&gt;0,SUM($D$18:HR18),0)</f>
        <v>0</v>
      </c>
      <c r="HT30" s="115">
        <f>IF(HT28&gt;0,SUM($D$18:HS18),0)</f>
        <v>0</v>
      </c>
      <c r="HU30" s="115">
        <f>IF(HU28&gt;0,SUM($D$18:HT18),0)</f>
        <v>0</v>
      </c>
      <c r="HV30" s="115">
        <f>IF(HV28&gt;0,SUM($D$18:HU18),0)</f>
        <v>0</v>
      </c>
      <c r="HW30" s="115">
        <f>IF(HW28&gt;0,SUM($D$18:HV18),0)</f>
        <v>0</v>
      </c>
      <c r="HX30" s="115">
        <f>IF(HX28&gt;0,SUM($D$18:HW18),0)</f>
        <v>0</v>
      </c>
      <c r="HY30" s="115">
        <f>IF(HY28&gt;0,SUM($D$18:HX18),0)</f>
        <v>0</v>
      </c>
      <c r="HZ30" s="115">
        <f>IF(HZ28&gt;0,SUM($D$18:HY18),0)</f>
        <v>0</v>
      </c>
      <c r="IA30" s="115">
        <f>IF(IA28&gt;0,SUM($D$18:HZ18),0)</f>
        <v>0</v>
      </c>
      <c r="IB30" s="115">
        <f>IF(IB28&gt;0,SUM($D$18:IA18),0)</f>
        <v>0</v>
      </c>
      <c r="IC30" s="115">
        <f>IF(IC28&gt;0,SUM($D$18:IB18),0)</f>
        <v>0</v>
      </c>
      <c r="ID30" s="115">
        <f>IF(ID28&gt;0,SUM($D$18:IC18),0)</f>
        <v>0</v>
      </c>
      <c r="IE30" s="115">
        <f>IF(IE28&gt;0,SUM($D$18:ID18),0)</f>
        <v>0</v>
      </c>
      <c r="IF30" s="115">
        <f>IF(IF28&gt;0,SUM($D$18:IE18),0)</f>
        <v>0</v>
      </c>
      <c r="IG30" s="115">
        <f>IF(IG28&gt;0,SUM($D$18:IF18),0)</f>
        <v>0</v>
      </c>
      <c r="IH30" s="115">
        <f>IF(IH28&gt;0,SUM($D$18:IG18),0)</f>
        <v>0</v>
      </c>
      <c r="II30" s="115">
        <f>IF(II28&gt;0,SUM($D$18:IH18),0)</f>
        <v>0</v>
      </c>
      <c r="IJ30" s="115">
        <f>IF(IJ28&gt;0,SUM($D$18:II18),0)</f>
        <v>0</v>
      </c>
      <c r="IK30" s="115">
        <f>IF(IK28&gt;0,SUM($D$18:IJ18),0)</f>
        <v>0</v>
      </c>
      <c r="IL30" s="115">
        <f>IF(IL28&gt;0,SUM($D$18:IK18),0)</f>
        <v>0</v>
      </c>
      <c r="IM30" s="115">
        <f>IF(IM28&gt;0,SUM($D$18:IL18),0)</f>
        <v>0</v>
      </c>
      <c r="IN30" s="115">
        <f>IF(IN28&gt;0,SUM($D$18:IM18),0)</f>
        <v>0</v>
      </c>
      <c r="IO30" s="115">
        <f>IF(IO28&gt;0,SUM($D$18:IN18),0)</f>
        <v>0</v>
      </c>
      <c r="IP30" s="115">
        <f>IF(IP28&gt;0,SUM($D$18:IO18),0)</f>
        <v>0</v>
      </c>
      <c r="IQ30" s="115">
        <f>IF(IQ28&gt;0,SUM($D$18:IP18),0)</f>
        <v>0</v>
      </c>
      <c r="IR30" s="115">
        <f>IF(IR28&gt;0,SUM($D$18:IQ18),0)</f>
        <v>0</v>
      </c>
      <c r="IS30" s="115">
        <f>IF(IS28&gt;0,SUM($D$18:IR18),0)</f>
        <v>0</v>
      </c>
      <c r="IT30" s="115">
        <f>IF(IT28&gt;0,SUM($D$18:IS18),0)</f>
        <v>0</v>
      </c>
      <c r="IU30" s="115">
        <f>IF(IU28&gt;0,SUM($D$18:IT18),0)</f>
        <v>0</v>
      </c>
      <c r="IV30" s="115">
        <f>IF(IV28&gt;0,SUM($D$18:IU18),0)</f>
        <v>0</v>
      </c>
      <c r="IW30" s="115">
        <f>IF(IW28&gt;0,SUM($D$18:IV18),0)</f>
        <v>0</v>
      </c>
      <c r="IX30" s="115">
        <f>IF(IX28&gt;0,SUM($D$18:IW18),0)</f>
        <v>0</v>
      </c>
      <c r="IY30" s="115">
        <f>IF(IY28&gt;0,SUM($D$18:IX18),0)</f>
        <v>0</v>
      </c>
      <c r="IZ30" s="115">
        <f>IF(IZ28&gt;0,SUM($D$18:IY18),0)</f>
        <v>0</v>
      </c>
      <c r="JA30" s="115">
        <f>IF(JA28&gt;0,SUM($D$18:IZ18),0)</f>
        <v>0</v>
      </c>
      <c r="JB30" s="115">
        <f>IF(JB28&gt;0,SUM($D$18:JA18),0)</f>
        <v>0</v>
      </c>
      <c r="JC30" s="115">
        <f>IF(JC28&gt;0,SUM($D$18:JB18),0)</f>
        <v>0</v>
      </c>
      <c r="JD30" s="115">
        <f>IF(JD28&gt;0,SUM($D$18:JC18),0)</f>
        <v>0</v>
      </c>
      <c r="JE30" s="115">
        <f>IF(JE28&gt;0,SUM($D$18:JD18),0)</f>
        <v>0</v>
      </c>
      <c r="JF30" s="115">
        <f>IF(JF28&gt;0,SUM($D$18:JE18),0)</f>
        <v>0</v>
      </c>
      <c r="JG30" s="115">
        <f>IF(JG28&gt;0,SUM($D$18:JF18),0)</f>
        <v>0</v>
      </c>
      <c r="JH30" s="115">
        <f>IF(JH28&gt;0,SUM($D$18:JG18),0)</f>
        <v>0</v>
      </c>
      <c r="JI30" s="115">
        <f>IF(JI28&gt;0,SUM($D$18:JH18),0)</f>
        <v>0</v>
      </c>
      <c r="JJ30" s="115">
        <f>IF(JJ28&gt;0,SUM($D$18:JI18),0)</f>
        <v>0</v>
      </c>
      <c r="JK30" s="115">
        <f>IF(JK28&gt;0,SUM($D$18:JJ18),0)</f>
        <v>0</v>
      </c>
      <c r="JL30" s="115">
        <f>IF(JL28&gt;0,SUM($D$18:JK18),0)</f>
        <v>0</v>
      </c>
      <c r="JM30" s="115">
        <f>IF(JM28&gt;0,SUM($D$18:JL18),0)</f>
        <v>0</v>
      </c>
      <c r="JN30" s="115">
        <f>IF(JN28&gt;0,SUM($D$18:JM18),0)</f>
        <v>0</v>
      </c>
      <c r="JO30" s="115">
        <f>IF(JO28&gt;0,SUM($D$18:JN18),0)</f>
        <v>0</v>
      </c>
      <c r="JP30" s="115">
        <f>IF(JP28&gt;0,SUM($D$18:JO18),0)</f>
        <v>0</v>
      </c>
      <c r="JQ30" s="115">
        <f>IF(JQ28&gt;0,SUM($D$18:JP18),0)</f>
        <v>0</v>
      </c>
      <c r="JR30" s="115">
        <f>IF(JR28&gt;0,SUM($D$18:JQ18),0)</f>
        <v>0</v>
      </c>
      <c r="JS30" s="115">
        <f>IF(JS28&gt;0,SUM($D$18:JR18),0)</f>
        <v>0</v>
      </c>
      <c r="JT30" s="115">
        <f>IF(JT28&gt;0,SUM($D$18:JS18),0)</f>
        <v>0</v>
      </c>
      <c r="JU30" s="115">
        <f>IF(JU28&gt;0,SUM($D$18:JT18),0)</f>
        <v>0</v>
      </c>
      <c r="JV30" s="115">
        <f>IF(JV28&gt;0,SUM($D$18:JU18),0)</f>
        <v>0</v>
      </c>
      <c r="JW30" s="115">
        <f>IF(JW28&gt;0,SUM($D$18:JV18),0)</f>
        <v>0</v>
      </c>
      <c r="JX30" s="115">
        <f>IF(JX28&gt;0,SUM($D$18:JW18),0)</f>
        <v>0</v>
      </c>
      <c r="JY30" s="115">
        <f>IF(JY28&gt;0,SUM($D$18:JX18),0)</f>
        <v>0</v>
      </c>
      <c r="JZ30" s="115">
        <f>IF(JZ28&gt;0,SUM($D$18:JY18),0)</f>
        <v>0</v>
      </c>
      <c r="KA30" s="115">
        <f>IF(KA28&gt;0,SUM($D$18:JZ18),0)</f>
        <v>0</v>
      </c>
      <c r="KB30" s="115">
        <f>IF(KB28&gt;0,SUM($D$18:KA18),0)</f>
        <v>0</v>
      </c>
      <c r="KC30" s="115">
        <f>IF(KC28&gt;0,SUM($D$18:KB18),0)</f>
        <v>0</v>
      </c>
      <c r="KD30" s="115">
        <f>IF(KD28&gt;0,SUM($D$18:KC18),0)</f>
        <v>0</v>
      </c>
      <c r="KE30" s="115">
        <f>IF(KE28&gt;0,SUM($D$18:KD18),0)</f>
        <v>0</v>
      </c>
      <c r="KF30" s="115">
        <f>IF(KF28&gt;0,SUM($D$18:KE18),0)</f>
        <v>0</v>
      </c>
      <c r="KG30" s="115">
        <f>IF(KG28&gt;0,SUM($D$18:KF18),0)</f>
        <v>0</v>
      </c>
      <c r="KH30" s="115">
        <f>IF(KH28&gt;0,SUM($D$18:KG18),0)</f>
        <v>0</v>
      </c>
      <c r="KI30" s="115">
        <f>IF(KI28&gt;0,SUM($D$18:KH18),0)</f>
        <v>0</v>
      </c>
      <c r="KJ30" s="115">
        <f>IF(KJ28&gt;0,SUM($D$18:KI18),0)</f>
        <v>0</v>
      </c>
      <c r="KK30" s="115">
        <f>IF(KK28&gt;0,SUM($D$18:KJ18),0)</f>
        <v>0</v>
      </c>
      <c r="KL30" s="115">
        <f>IF(KL28&gt;0,SUM($D$18:KK18),0)</f>
        <v>0</v>
      </c>
      <c r="KM30" s="115">
        <f>IF(KM28&gt;0,SUM($D$18:KL18),0)</f>
        <v>0</v>
      </c>
      <c r="KN30" s="115">
        <f>IF(KN28&gt;0,SUM($D$18:KM18),0)</f>
        <v>0</v>
      </c>
      <c r="KO30" s="115">
        <f>IF(KO28&gt;0,SUM($D$18:KN18),0)</f>
        <v>0</v>
      </c>
      <c r="KP30" s="115">
        <f>IF(KP28&gt;0,SUM($D$18:KO18),0)</f>
        <v>0</v>
      </c>
      <c r="KQ30" s="115">
        <f>IF(KQ28&gt;0,SUM($D$18:KP18),0)</f>
        <v>0</v>
      </c>
      <c r="KR30" s="115">
        <f>IF(KR28&gt;0,SUM($D$18:KQ18),0)</f>
        <v>0</v>
      </c>
      <c r="KS30" s="115">
        <f>IF(KS28&gt;0,SUM($D$18:KR18),0)</f>
        <v>0</v>
      </c>
      <c r="KT30" s="115">
        <f>IF(KT28&gt;0,SUM($D$18:KS18),0)</f>
        <v>0</v>
      </c>
      <c r="KU30" s="115">
        <f>IF(KU28&gt;0,SUM($D$18:KT18),0)</f>
        <v>0</v>
      </c>
      <c r="KV30" s="115">
        <f>IF(KV28&gt;0,SUM($D$18:KU18),0)</f>
        <v>0</v>
      </c>
      <c r="KW30" s="115">
        <f>IF(KW28&gt;0,SUM($D$18:KV18),0)</f>
        <v>0</v>
      </c>
      <c r="KX30" s="115">
        <f>IF(KX28&gt;0,SUM($D$18:KW18),0)</f>
        <v>0</v>
      </c>
      <c r="KY30" s="115">
        <f>IF(KY28&gt;0,SUM($D$18:KX18),0)</f>
        <v>0</v>
      </c>
      <c r="KZ30" s="115">
        <f>IF(KZ28&gt;0,SUM($D$18:KY18),0)</f>
        <v>0</v>
      </c>
      <c r="LA30" s="115">
        <f>IF(LA28&gt;0,SUM($D$18:KZ18),0)</f>
        <v>0</v>
      </c>
      <c r="LB30" s="115">
        <f>IF(LB28&gt;0,SUM($D$18:LA18),0)</f>
        <v>0</v>
      </c>
      <c r="LC30" s="115">
        <f>IF(LC28&gt;0,SUM($D$18:LB18),0)</f>
        <v>0</v>
      </c>
      <c r="LD30" s="115">
        <f>IF(LD28&gt;0,SUM($D$18:LC18),0)</f>
        <v>0</v>
      </c>
      <c r="LE30" s="115">
        <f>IF(LE28&gt;0,SUM($D$18:LD18),0)</f>
        <v>0</v>
      </c>
      <c r="LF30" s="115">
        <f>IF(LF28&gt;0,SUM($D$18:LE18),0)</f>
        <v>0</v>
      </c>
      <c r="LG30" s="115">
        <f>IF(LG28&gt;0,SUM($D$18:LF18),0)</f>
        <v>0</v>
      </c>
      <c r="LH30" s="115">
        <f>IF(LH28&gt;0,SUM($D$18:LG18),0)</f>
        <v>0</v>
      </c>
      <c r="LI30" s="115">
        <f>IF(LI28&gt;0,SUM($D$18:LH18),0)</f>
        <v>0</v>
      </c>
      <c r="LJ30" s="115">
        <f>IF(LJ28&gt;0,SUM($D$18:LI18),0)</f>
        <v>0</v>
      </c>
      <c r="LK30" s="115">
        <f>IF(LK28&gt;0,SUM($D$18:LJ18),0)</f>
        <v>0</v>
      </c>
      <c r="LL30" s="115">
        <f>IF(LL28&gt;0,SUM($D$18:LK18),0)</f>
        <v>0</v>
      </c>
      <c r="LM30" s="115">
        <f>IF(LM28&gt;0,SUM($D$18:LL18),0)</f>
        <v>0</v>
      </c>
      <c r="LN30" s="115">
        <f>IF(LN28&gt;0,SUM($D$18:LM18),0)</f>
        <v>0</v>
      </c>
      <c r="LO30" s="115">
        <f>IF(LO28&gt;0,SUM($D$18:LN18),0)</f>
        <v>0</v>
      </c>
      <c r="LP30" s="115">
        <f>IF(LP28&gt;0,SUM($D$18:LO18),0)</f>
        <v>0</v>
      </c>
      <c r="LQ30" s="115">
        <f>IF(LQ28&gt;0,SUM($D$18:LP18),0)</f>
        <v>0</v>
      </c>
      <c r="LR30" s="115">
        <f>IF(LR28&gt;0,SUM($D$18:LQ18),0)</f>
        <v>0</v>
      </c>
      <c r="LS30" s="115">
        <f>IF(LS28&gt;0,SUM($D$18:LR18),0)</f>
        <v>0</v>
      </c>
      <c r="LT30" s="115">
        <f>IF(LT28&gt;0,SUM($D$18:LS18),0)</f>
        <v>0</v>
      </c>
      <c r="LU30" s="115">
        <f>IF(LU28&gt;0,SUM($D$18:LT18),0)</f>
        <v>0</v>
      </c>
      <c r="LV30" s="115">
        <f>IF(LV28&gt;0,SUM($D$18:LU18),0)</f>
        <v>0</v>
      </c>
      <c r="LW30" s="115">
        <f>IF(LW28&gt;0,SUM($D$18:LV18),0)</f>
        <v>0</v>
      </c>
      <c r="LX30" s="115">
        <f>IF(LX28&gt;0,SUM($D$18:LW18),0)</f>
        <v>0</v>
      </c>
      <c r="LY30" s="115">
        <f>IF(LY28&gt;0,SUM($D$18:LX18),0)</f>
        <v>0</v>
      </c>
      <c r="LZ30" s="115">
        <f>IF(LZ28&gt;0,SUM($D$18:LY18),0)</f>
        <v>0</v>
      </c>
      <c r="MA30" s="115">
        <f>IF(MA28&gt;0,SUM($D$18:LZ18),0)</f>
        <v>0</v>
      </c>
      <c r="MB30" s="115">
        <f>IF(MB28&gt;0,SUM($D$18:MA18),0)</f>
        <v>0</v>
      </c>
      <c r="MC30" s="115">
        <f>IF(MC28&gt;0,SUM($D$18:MB18),0)</f>
        <v>0</v>
      </c>
      <c r="MD30" s="115">
        <f>IF(MD28&gt;0,SUM($D$18:MC18),0)</f>
        <v>0</v>
      </c>
      <c r="ME30" s="115">
        <f>IF(ME28&gt;0,SUM($D$18:MD18),0)</f>
        <v>0</v>
      </c>
      <c r="MF30" s="115">
        <f>IF(MF28&gt;0,SUM($D$18:ME18),0)</f>
        <v>0</v>
      </c>
      <c r="MG30" s="115">
        <f>IF(MG28&gt;0,SUM($D$18:MF18),0)</f>
        <v>0</v>
      </c>
      <c r="MH30" s="115">
        <f>IF(MH28&gt;0,SUM($D$18:MG18),0)</f>
        <v>0</v>
      </c>
      <c r="MI30" s="115">
        <f>IF(MI28&gt;0,SUM($D$18:MH18),0)</f>
        <v>0</v>
      </c>
      <c r="MJ30" s="115">
        <f>IF(MJ28&gt;0,SUM($D$18:MI18),0)</f>
        <v>0</v>
      </c>
      <c r="MK30" s="115">
        <f>IF(MK28&gt;0,SUM($D$18:MJ18),0)</f>
        <v>0</v>
      </c>
      <c r="ML30" s="115">
        <f>IF(ML28&gt;0,SUM($D$18:MK18),0)</f>
        <v>0</v>
      </c>
      <c r="MM30" s="115">
        <f>IF(MM28&gt;0,SUM($D$18:ML18),0)</f>
        <v>0</v>
      </c>
      <c r="MN30" s="115">
        <f>IF(MN28&gt;0,SUM($D$18:MM18),0)</f>
        <v>0</v>
      </c>
      <c r="MO30" s="115">
        <f>IF(MO28&gt;0,SUM($D$18:MN18),0)</f>
        <v>0</v>
      </c>
      <c r="MP30" s="115">
        <f>IF(MP28&gt;0,SUM($D$18:MO18),0)</f>
        <v>0</v>
      </c>
      <c r="MQ30" s="115">
        <f>IF(MQ28&gt;0,SUM($D$18:MP18),0)</f>
        <v>0</v>
      </c>
      <c r="MR30" s="115">
        <f>IF(MR28&gt;0,SUM($D$18:MQ18),0)</f>
        <v>0</v>
      </c>
      <c r="MS30" s="115">
        <f>IF(MS28&gt;0,SUM($D$18:MR18),0)</f>
        <v>0</v>
      </c>
      <c r="MT30" s="115">
        <f>IF(MT28&gt;0,SUM($D$18:MS18),0)</f>
        <v>0</v>
      </c>
      <c r="MU30" s="115">
        <f>IF(MU28&gt;0,SUM($D$18:MT18),0)</f>
        <v>0</v>
      </c>
      <c r="MV30" s="115">
        <f>IF(MV28&gt;0,SUM($D$18:MU18),0)</f>
        <v>0</v>
      </c>
      <c r="MW30" s="115">
        <f>IF(MW28&gt;0,SUM($D$18:MV18),0)</f>
        <v>0</v>
      </c>
      <c r="MX30" s="115">
        <f>IF(MX28&gt;0,SUM($D$18:MW18),0)</f>
        <v>0</v>
      </c>
      <c r="MY30" s="115">
        <f>IF(MY28&gt;0,SUM($D$18:MX18),0)</f>
        <v>0</v>
      </c>
      <c r="MZ30" s="115">
        <f>IF(MZ28&gt;0,SUM($D$18:MY18),0)</f>
        <v>0</v>
      </c>
      <c r="NA30" s="115">
        <f>IF(NA28&gt;0,SUM($D$18:MZ18),0)</f>
        <v>0</v>
      </c>
      <c r="NB30" s="115">
        <f>IF(NB28&gt;0,SUM($D$18:NA18),0)</f>
        <v>0</v>
      </c>
      <c r="NC30" s="115">
        <f>IF(NC28&gt;0,SUM($D$18:NB18),0)</f>
        <v>0</v>
      </c>
      <c r="ND30" s="115">
        <f>IF(ND28&gt;0,SUM($D$18:NC18),0)</f>
        <v>0</v>
      </c>
      <c r="NE30" s="115">
        <f>IF(NE28&gt;0,SUM($D$18:ND18),0)</f>
        <v>0</v>
      </c>
      <c r="NF30" s="115">
        <f>IF(NF28&gt;0,SUM($D$18:NE18),0)</f>
        <v>0</v>
      </c>
      <c r="NG30" s="115">
        <f>IF(NG28&gt;0,SUM($D$18:NF18),0)</f>
        <v>0</v>
      </c>
      <c r="NH30" s="115">
        <f>IF(NH28&gt;0,SUM($D$18:NG18),0)</f>
        <v>0</v>
      </c>
      <c r="NI30" s="115">
        <f>IF(NI28&gt;0,SUM($D$18:NH18),0)</f>
        <v>0</v>
      </c>
      <c r="NJ30" s="115">
        <f>IF(NJ28&gt;0,SUM($D$18:NI18),0)</f>
        <v>0</v>
      </c>
      <c r="NK30" s="115">
        <f>IF(NK28&gt;0,SUM($D$18:NJ18),0)</f>
        <v>0</v>
      </c>
      <c r="NL30" s="115">
        <f>IF(NL28&gt;0,SUM($D$18:NK18),0)</f>
        <v>0</v>
      </c>
      <c r="NM30" s="115">
        <f>IF(NM28&gt;0,SUM($D$18:NL18),0)</f>
        <v>0</v>
      </c>
      <c r="NN30" s="115">
        <f>IF(NN28&gt;0,SUM($D$18:NM18),0)</f>
        <v>0</v>
      </c>
      <c r="NO30" s="115">
        <f>IF(NO28&gt;0,SUM($D$18:NN18),0)</f>
        <v>0</v>
      </c>
      <c r="NP30" s="115">
        <f>IF(NP28&gt;0,SUM($D$18:NO18),0)</f>
        <v>0</v>
      </c>
      <c r="NQ30" s="115">
        <f>IF(NQ28&gt;0,SUM($D$18:NP18),0)</f>
        <v>0</v>
      </c>
      <c r="NR30" s="115">
        <f>IF(NR28&gt;0,SUM($D$18:NQ18),0)</f>
        <v>0</v>
      </c>
      <c r="NS30" s="115">
        <f>IF(NS28&gt;0,SUM($D$18:NR18),0)</f>
        <v>0</v>
      </c>
      <c r="NT30" s="115">
        <f>IF(NT28&gt;0,SUM($D$18:NS18),0)</f>
        <v>0</v>
      </c>
      <c r="NU30" s="115">
        <f>IF(NU28&gt;0,SUM($D$18:NT18),0)</f>
        <v>0</v>
      </c>
      <c r="NV30" s="115">
        <f>IF(NV28&gt;0,SUM($D$18:NU18),0)</f>
        <v>0</v>
      </c>
      <c r="NW30" s="115">
        <f>IF(NW28&gt;0,SUM($D$18:NV18),0)</f>
        <v>0</v>
      </c>
      <c r="NX30" s="115">
        <f>IF(NX28&gt;0,SUM($D$18:NW18),0)</f>
        <v>0</v>
      </c>
      <c r="NY30" s="115">
        <f>IF(NY28&gt;0,SUM($D$18:NX18),0)</f>
        <v>0</v>
      </c>
      <c r="NZ30" s="115">
        <f>IF(NZ28&gt;0,SUM($D$18:NY18),0)</f>
        <v>0</v>
      </c>
      <c r="OA30" s="115">
        <f>IF(OA28&gt;0,SUM($D$18:NZ18),0)</f>
        <v>0</v>
      </c>
      <c r="OB30" s="115">
        <f>IF(OB28&gt;0,SUM($D$18:OA18),0)</f>
        <v>0</v>
      </c>
      <c r="OC30" s="115">
        <f>IF(OC28&gt;0,SUM($D$18:OB18),0)</f>
        <v>0</v>
      </c>
      <c r="OD30" s="115">
        <f>IF(OD28&gt;0,SUM($D$18:OC18),0)</f>
        <v>0</v>
      </c>
      <c r="OE30" s="115">
        <f>IF(OE28&gt;0,SUM($D$18:OD18),0)</f>
        <v>0</v>
      </c>
      <c r="OF30" s="115">
        <f>IF(OF28&gt;0,SUM($D$18:OE18),0)</f>
        <v>0</v>
      </c>
      <c r="OG30" s="115">
        <f>IF(OG28&gt;0,SUM($D$18:OF18),0)</f>
        <v>0</v>
      </c>
      <c r="OH30" s="115">
        <f>IF(OH28&gt;0,SUM($D$18:OG18),0)</f>
        <v>0</v>
      </c>
      <c r="OI30" s="115">
        <f>IF(OI28&gt;0,SUM($D$18:OH18),0)</f>
        <v>0</v>
      </c>
      <c r="OJ30" s="115">
        <f>IF(OJ28&gt;0,SUM($D$18:OI18),0)</f>
        <v>0</v>
      </c>
      <c r="OK30" s="115">
        <f>IF(OK28&gt;0,SUM($D$18:OJ18),0)</f>
        <v>0</v>
      </c>
      <c r="OL30" s="115">
        <f>IF(OL28&gt;0,SUM($D$18:OK18),0)</f>
        <v>0</v>
      </c>
      <c r="OM30" s="115">
        <f>IF(OM28&gt;0,SUM($D$18:OL18),0)</f>
        <v>0</v>
      </c>
      <c r="ON30" s="115">
        <f>IF(ON28&gt;0,SUM($D$18:OM18),0)</f>
        <v>0</v>
      </c>
      <c r="OO30" s="115">
        <f>IF(OO28&gt;0,SUM($D$18:ON18),0)</f>
        <v>0</v>
      </c>
      <c r="OP30" s="115">
        <f>IF(OP28&gt;0,SUM($D$18:OO18),0)</f>
        <v>0</v>
      </c>
      <c r="OQ30" s="115">
        <f>IF(OQ28&gt;0,SUM($D$18:OP18),0)</f>
        <v>0</v>
      </c>
      <c r="OR30" s="115">
        <f>IF(OR28&gt;0,SUM($D$18:OQ18),0)</f>
        <v>0</v>
      </c>
      <c r="OS30" s="115">
        <f>IF(OS28&gt;0,SUM($D$18:OR18),0)</f>
        <v>0</v>
      </c>
      <c r="OT30" s="115">
        <f>IF(OT28&gt;0,SUM($D$18:OS18),0)</f>
        <v>0</v>
      </c>
      <c r="OU30" s="115">
        <f>IF(OU28&gt;0,SUM($D$18:OT18),0)</f>
        <v>0</v>
      </c>
      <c r="OV30" s="115">
        <f>IF(OV28&gt;0,SUM($D$18:OU18),0)</f>
        <v>0</v>
      </c>
      <c r="OW30" s="115">
        <f>IF(OW28&gt;0,SUM($D$18:OV18),0)</f>
        <v>0</v>
      </c>
      <c r="OX30" s="115">
        <f>IF(OX28&gt;0,SUM($D$18:OW18),0)</f>
        <v>0</v>
      </c>
      <c r="OY30" s="115">
        <f>IF(OY28&gt;0,SUM($D$18:OX18),0)</f>
        <v>0</v>
      </c>
      <c r="OZ30" s="115">
        <f>IF(OZ28&gt;0,SUM($D$18:OY18),0)</f>
        <v>0</v>
      </c>
      <c r="PA30" s="115">
        <f>IF(PA28&gt;0,SUM($D$18:OZ18),0)</f>
        <v>0</v>
      </c>
      <c r="PB30" s="115">
        <f>IF(PB28&gt;0,SUM($D$18:PA18),0)</f>
        <v>0</v>
      </c>
      <c r="PC30" s="115">
        <f>IF(PC28&gt;0,SUM($D$18:PB18),0)</f>
        <v>0</v>
      </c>
      <c r="PD30" s="115">
        <f>IF(PD28&gt;0,SUM($D$18:PC18),0)</f>
        <v>0</v>
      </c>
      <c r="PE30" s="115">
        <f>IF(PE28&gt;0,SUM($D$18:PD18),0)</f>
        <v>0</v>
      </c>
      <c r="PF30" s="115">
        <f>IF(PF28&gt;0,SUM($D$18:PE18),0)</f>
        <v>0</v>
      </c>
      <c r="PG30" s="115">
        <f>IF(PG28&gt;0,SUM($D$18:PF18),0)</f>
        <v>0</v>
      </c>
      <c r="PH30" s="115">
        <f>IF(PH28&gt;0,SUM($D$18:PG18),0)</f>
        <v>0</v>
      </c>
      <c r="PI30" s="115">
        <f>IF(PI28&gt;0,SUM($D$18:PH18),0)</f>
        <v>0</v>
      </c>
      <c r="PJ30" s="115">
        <f>IF(PJ28&gt;0,SUM($D$18:PI18),0)</f>
        <v>0</v>
      </c>
      <c r="PK30" s="115">
        <f>IF(PK28&gt;0,SUM($D$18:PJ18),0)</f>
        <v>0</v>
      </c>
      <c r="PL30" s="115">
        <f>IF(PL28&gt;0,SUM($D$18:PK18),0)</f>
        <v>0</v>
      </c>
      <c r="PM30" s="115">
        <f>IF(PM28&gt;0,SUM($D$18:PL18),0)</f>
        <v>0</v>
      </c>
      <c r="PN30" s="115">
        <f>IF(PN28&gt;0,SUM($D$18:PM18),0)</f>
        <v>0</v>
      </c>
      <c r="PO30" s="115">
        <f>IF(PO28&gt;0,SUM($D$18:PN18),0)</f>
        <v>0</v>
      </c>
      <c r="PP30" s="115">
        <f>IF(PP28&gt;0,SUM($D$18:PO18),0)</f>
        <v>0</v>
      </c>
      <c r="PQ30" s="115">
        <f>IF(PQ28&gt;0,SUM($D$18:PP18),0)</f>
        <v>0</v>
      </c>
      <c r="PR30" s="115">
        <f>IF(PR28&gt;0,SUM($D$18:PQ18),0)</f>
        <v>0</v>
      </c>
      <c r="PS30" s="115">
        <f>IF(PS28&gt;0,SUM($D$18:PR18),0)</f>
        <v>0</v>
      </c>
      <c r="PT30" s="115">
        <f>IF(PT28&gt;0,SUM($D$18:PS18),0)</f>
        <v>0</v>
      </c>
      <c r="PU30" s="115">
        <f>IF(PU28&gt;0,SUM($D$18:PT18),0)</f>
        <v>0</v>
      </c>
      <c r="PV30" s="115">
        <f>IF(PV28&gt;0,SUM($D$18:PU18),0)</f>
        <v>0</v>
      </c>
      <c r="PW30" s="115">
        <f>IF(PW28&gt;0,SUM($D$18:PV18),0)</f>
        <v>0</v>
      </c>
      <c r="PX30" s="115">
        <f>IF(PX28&gt;0,SUM($D$18:PW18),0)</f>
        <v>0</v>
      </c>
      <c r="PY30" s="115">
        <f>IF(PY28&gt;0,SUM($D$18:PX18),0)</f>
        <v>0</v>
      </c>
      <c r="PZ30" s="115">
        <f>IF(PZ28&gt;0,SUM($D$18:PY18),0)</f>
        <v>0</v>
      </c>
      <c r="QA30" s="115">
        <f>IF(QA28&gt;0,SUM($D$18:PZ18),0)</f>
        <v>0</v>
      </c>
      <c r="QB30" s="115">
        <f>IF(QB28&gt;0,SUM($D$18:QA18),0)</f>
        <v>0</v>
      </c>
      <c r="QC30" s="115">
        <f>IF(QC28&gt;0,SUM($D$18:QB18),0)</f>
        <v>0</v>
      </c>
      <c r="QD30" s="115">
        <f>IF(QD28&gt;0,SUM($D$18:QC18),0)</f>
        <v>0</v>
      </c>
      <c r="QE30" s="115">
        <f>IF(QE28&gt;0,SUM($D$18:QD18),0)</f>
        <v>0</v>
      </c>
      <c r="QF30" s="115">
        <f>IF(QF28&gt;0,SUM($D$18:QE18),0)</f>
        <v>0</v>
      </c>
      <c r="QG30" s="115">
        <f>IF(QG28&gt;0,SUM($D$18:QF18),0)</f>
        <v>0</v>
      </c>
      <c r="QH30" s="115">
        <f>IF(QH28&gt;0,SUM($D$18:QG18),0)</f>
        <v>0</v>
      </c>
      <c r="QI30" s="115">
        <f>IF(QI28&gt;0,SUM($D$18:QH18),0)</f>
        <v>0</v>
      </c>
      <c r="QJ30" s="115">
        <f>IF(QJ28&gt;0,SUM($D$18:QI18),0)</f>
        <v>0</v>
      </c>
      <c r="QK30" s="115">
        <f>IF(QK28&gt;0,SUM($D$18:QJ18),0)</f>
        <v>0</v>
      </c>
      <c r="QL30" s="115">
        <f>IF(QL28&gt;0,SUM($D$18:QK18),0)</f>
        <v>0</v>
      </c>
      <c r="QM30" s="115">
        <f>IF(QM28&gt;0,SUM($D$18:QL18),0)</f>
        <v>0</v>
      </c>
      <c r="QN30" s="115">
        <f>IF(QN28&gt;0,SUM($D$18:QM18),0)</f>
        <v>0</v>
      </c>
      <c r="QO30" s="115">
        <f>IF(QO28&gt;0,SUM($D$18:QN18),0)</f>
        <v>0</v>
      </c>
      <c r="QP30" s="115">
        <f>IF(QP28&gt;0,SUM($D$18:QO18),0)</f>
        <v>0</v>
      </c>
      <c r="QQ30" s="115">
        <f>IF(QQ28&gt;0,SUM($D$18:QP18),0)</f>
        <v>0</v>
      </c>
      <c r="QR30" s="115">
        <f>IF(QR28&gt;0,SUM($D$18:QQ18),0)</f>
        <v>0</v>
      </c>
      <c r="QS30" s="115">
        <f>IF(QS28&gt;0,SUM($D$18:QR18),0)</f>
        <v>0</v>
      </c>
      <c r="QT30" s="115">
        <f>IF(QT28&gt;0,SUM($D$18:QS18),0)</f>
        <v>0</v>
      </c>
      <c r="QU30" s="115">
        <f>IF(QU28&gt;0,SUM($D$18:QT18),0)</f>
        <v>0</v>
      </c>
      <c r="QV30" s="115">
        <f>IF(QV28&gt;0,SUM($D$18:QU18),0)</f>
        <v>0</v>
      </c>
      <c r="QW30" s="115">
        <f>IF(QW28&gt;0,SUM($D$18:QV18),0)</f>
        <v>0</v>
      </c>
      <c r="QX30" s="115">
        <f>IF(QX28&gt;0,SUM($D$18:QW18),0)</f>
        <v>0</v>
      </c>
      <c r="QY30" s="115">
        <f>IF(QY28&gt;0,SUM($D$18:QX18),0)</f>
        <v>0</v>
      </c>
      <c r="QZ30" s="115">
        <f>IF(QZ28&gt;0,SUM($D$18:QY18),0)</f>
        <v>0</v>
      </c>
      <c r="RA30" s="115">
        <f>IF(RA28&gt;0,SUM($D$18:QZ18),0)</f>
        <v>0</v>
      </c>
      <c r="RB30" s="115">
        <f>IF(RB28&gt;0,SUM($D$18:RA18),0)</f>
        <v>0</v>
      </c>
      <c r="RC30" s="115">
        <f>IF(RC28&gt;0,SUM($D$18:RB18),0)</f>
        <v>0</v>
      </c>
      <c r="RD30" s="115">
        <f>IF(RD28&gt;0,SUM($D$18:RC18),0)</f>
        <v>0</v>
      </c>
      <c r="RE30" s="115">
        <f>IF(RE28&gt;0,SUM($D$18:RD18),0)</f>
        <v>0</v>
      </c>
      <c r="RF30" s="115">
        <f>IF(RF28&gt;0,SUM($D$18:RE18),0)</f>
        <v>0</v>
      </c>
      <c r="RG30" s="115">
        <f>IF(RG28&gt;0,SUM($D$18:RF18),0)</f>
        <v>0</v>
      </c>
      <c r="RH30" s="115">
        <f>IF(RH28&gt;0,SUM($D$18:RG18),0)</f>
        <v>0</v>
      </c>
      <c r="RI30" s="115">
        <f>IF(RI28&gt;0,SUM($D$18:RH18),0)</f>
        <v>0</v>
      </c>
      <c r="RJ30" s="115">
        <f>IF(RJ28&gt;0,SUM($D$18:RI18),0)</f>
        <v>0</v>
      </c>
      <c r="RK30" s="115">
        <f>IF(RK28&gt;0,SUM($D$18:RJ18),0)</f>
        <v>0</v>
      </c>
      <c r="RL30" s="115">
        <f>IF(RL28&gt;0,SUM($D$18:RK18),0)</f>
        <v>0</v>
      </c>
      <c r="RM30" s="115">
        <f>IF(RM28&gt;0,SUM($D$18:RL18),0)</f>
        <v>0</v>
      </c>
      <c r="RN30" s="115">
        <f>IF(RN28&gt;0,SUM($D$18:RM18),0)</f>
        <v>0</v>
      </c>
      <c r="RO30" s="115">
        <f>IF(RO28&gt;0,SUM($D$18:RN18),0)</f>
        <v>0</v>
      </c>
      <c r="RP30" s="115">
        <f>IF(RP28&gt;0,SUM($D$18:RO18),0)</f>
        <v>0</v>
      </c>
      <c r="RQ30" s="115">
        <f>IF(RQ28&gt;0,SUM($D$18:RP18),0)</f>
        <v>0</v>
      </c>
      <c r="RR30" s="115">
        <f>IF(RR28&gt;0,SUM($D$18:RQ18),0)</f>
        <v>0</v>
      </c>
      <c r="RS30" s="115">
        <f>IF(RS28&gt;0,SUM($D$18:RR18),0)</f>
        <v>0</v>
      </c>
      <c r="RT30" s="115">
        <f>IF(RT28&gt;0,SUM($D$18:RS18),0)</f>
        <v>0</v>
      </c>
      <c r="RU30" s="115">
        <f>IF(RU28&gt;0,SUM($D$18:RT18),0)</f>
        <v>0</v>
      </c>
      <c r="RV30" s="115">
        <f>IF(RV28&gt;0,SUM($D$18:RU18),0)</f>
        <v>0</v>
      </c>
      <c r="RW30" s="115">
        <f>IF(RW28&gt;0,SUM($D$18:RV18),0)</f>
        <v>0</v>
      </c>
      <c r="RX30" s="115">
        <f>IF(RX28&gt;0,SUM($D$18:RW18),0)</f>
        <v>0</v>
      </c>
      <c r="RY30" s="115">
        <f>IF(RY28&gt;0,SUM($D$18:RX18),0)</f>
        <v>0</v>
      </c>
      <c r="RZ30" s="115">
        <f>IF(RZ28&gt;0,SUM($D$18:RY18),0)</f>
        <v>0</v>
      </c>
      <c r="SA30" s="115">
        <f>IF(SA28&gt;0,SUM($D$18:RZ18),0)</f>
        <v>0</v>
      </c>
      <c r="SB30" s="115">
        <f>IF(SB28&gt;0,SUM($D$18:SA18),0)</f>
        <v>0</v>
      </c>
      <c r="SC30" s="115">
        <f>IF(SC28&gt;0,SUM($D$18:SB18),0)</f>
        <v>0</v>
      </c>
      <c r="SD30" s="115">
        <f>IF(SD28&gt;0,SUM($D$18:SC18),0)</f>
        <v>0</v>
      </c>
      <c r="SE30" s="115">
        <f>IF(SE28&gt;0,SUM($D$18:SD18),0)</f>
        <v>0</v>
      </c>
      <c r="SF30" s="115">
        <f>IF(SF28&gt;0,SUM($D$18:SE18),0)</f>
        <v>0</v>
      </c>
      <c r="SG30" s="115">
        <f>IF(SG28&gt;0,SUM($D$18:SF18),0)</f>
        <v>0</v>
      </c>
      <c r="SH30" s="115">
        <f>IF(SH28&gt;0,SUM($D$18:SG18),0)</f>
        <v>0</v>
      </c>
      <c r="SI30" s="115">
        <f>IF(SI28&gt;0,SUM($D$18:SH18),0)</f>
        <v>0</v>
      </c>
      <c r="SJ30" s="115">
        <f>IF(SJ28&gt;0,SUM($D$18:SI18),0)</f>
        <v>0</v>
      </c>
      <c r="SK30" s="115">
        <f>IF(SK28&gt;0,SUM($D$18:SJ18),0)</f>
        <v>0</v>
      </c>
      <c r="SL30" s="115">
        <f>IF(SL28&gt;0,SUM($D$18:SK18),0)</f>
        <v>0</v>
      </c>
      <c r="SM30" s="115">
        <f>IF(SM28&gt;0,SUM($D$18:SL18),0)</f>
        <v>0</v>
      </c>
      <c r="SN30" s="115">
        <f>IF(SN28&gt;0,SUM($D$18:SM18),0)</f>
        <v>0</v>
      </c>
      <c r="SO30" s="115">
        <f>IF(SO28&gt;0,SUM($D$18:SN18),0)</f>
        <v>0</v>
      </c>
      <c r="SP30" s="115">
        <f>IF(SP28&gt;0,SUM($D$18:SO18),0)</f>
        <v>0</v>
      </c>
      <c r="SQ30" s="115">
        <f>IF(SQ28&gt;0,SUM($D$18:SP18),0)</f>
        <v>0</v>
      </c>
      <c r="SR30" s="115">
        <f>IF(SR28&gt;0,SUM($D$18:SQ18),0)</f>
        <v>0</v>
      </c>
      <c r="SS30" s="115">
        <f>IF(SS28&gt;0,SUM($D$18:SR18),0)</f>
        <v>0</v>
      </c>
      <c r="ST30" s="115">
        <f>IF(ST28&gt;0,SUM($D$18:SS18),0)</f>
        <v>0</v>
      </c>
      <c r="SU30" s="115">
        <f>IF(SU28&gt;0,SUM($D$18:ST18),0)</f>
        <v>0</v>
      </c>
      <c r="SV30" s="115">
        <f>IF(SV28&gt;0,SUM($D$18:SU18),0)</f>
        <v>0</v>
      </c>
      <c r="SW30" s="115">
        <f>IF(SW28&gt;0,SUM($D$18:SV18),0)</f>
        <v>0</v>
      </c>
      <c r="SX30" s="115">
        <f>IF(SX28&gt;0,SUM($D$18:SW18),0)</f>
        <v>0</v>
      </c>
      <c r="SY30" s="115">
        <f>IF(SY28&gt;0,SUM($D$18:SX18),0)</f>
        <v>0</v>
      </c>
      <c r="SZ30" s="115">
        <f>IF(SZ28&gt;0,SUM($D$18:SY18),0)</f>
        <v>0</v>
      </c>
      <c r="TA30" s="115">
        <f>IF(TA28&gt;0,SUM($D$18:SZ18),0)</f>
        <v>0</v>
      </c>
      <c r="TB30" s="115">
        <f>IF(TB28&gt;0,SUM($D$18:TA18),0)</f>
        <v>0</v>
      </c>
      <c r="TC30" s="115">
        <f>IF(TC28&gt;0,SUM($D$18:TB18),0)</f>
        <v>0</v>
      </c>
      <c r="TD30" s="115">
        <f>IF(TD28&gt;0,SUM($D$18:TC18),0)</f>
        <v>0</v>
      </c>
      <c r="TE30" s="115">
        <f>IF(TE28&gt;0,SUM($D$18:TD18),0)</f>
        <v>0</v>
      </c>
      <c r="TF30" s="115">
        <f>IF(TF28&gt;0,SUM($D$18:TE18),0)</f>
        <v>0</v>
      </c>
      <c r="TG30" s="115">
        <f>IF(TG28&gt;0,SUM($D$18:TF18),0)</f>
        <v>0</v>
      </c>
      <c r="TH30" s="115">
        <f>IF(TH28&gt;0,SUM($D$18:TG18),0)</f>
        <v>0</v>
      </c>
      <c r="TI30" s="115">
        <f>IF(TI28&gt;0,SUM($D$18:TH18),0)</f>
        <v>0</v>
      </c>
      <c r="TJ30" s="115">
        <f>IF(TJ28&gt;0,SUM($D$18:TI18),0)</f>
        <v>0</v>
      </c>
      <c r="TK30" s="115">
        <f>IF(TK28&gt;0,SUM($D$18:TJ18),0)</f>
        <v>0</v>
      </c>
      <c r="TL30" s="115">
        <f>IF(TL28&gt;0,SUM($D$18:TK18),0)</f>
        <v>0</v>
      </c>
      <c r="TM30" s="115">
        <f>IF(TM28&gt;0,SUM($D$18:TL18),0)</f>
        <v>0</v>
      </c>
      <c r="TN30" s="115">
        <f>IF(TN28&gt;0,SUM($D$18:TM18),0)</f>
        <v>0</v>
      </c>
      <c r="TO30" s="115">
        <f>IF(TO28&gt;0,SUM($D$18:TN18),0)</f>
        <v>0</v>
      </c>
      <c r="TP30" s="115">
        <f>IF(TP28&gt;0,SUM($D$18:TO18),0)</f>
        <v>0</v>
      </c>
      <c r="TQ30" s="115">
        <f>IF(TQ28&gt;0,SUM($D$18:TP18),0)</f>
        <v>0</v>
      </c>
      <c r="TR30" s="115">
        <f>IF(TR28&gt;0,SUM($D$18:TQ18),0)</f>
        <v>0</v>
      </c>
      <c r="TS30" s="115">
        <f>IF(TS28&gt;0,SUM($D$18:TR18),0)</f>
        <v>0</v>
      </c>
      <c r="TT30" s="115">
        <f>IF(TT28&gt;0,SUM($D$18:TS18),0)</f>
        <v>0</v>
      </c>
      <c r="TU30" s="115">
        <f>IF(TU28&gt;0,SUM($D$18:TT18),0)</f>
        <v>0</v>
      </c>
      <c r="TV30" s="115">
        <f>IF(TV28&gt;0,SUM($D$18:TU18),0)</f>
        <v>0</v>
      </c>
      <c r="TW30" s="115">
        <f>IF(TW28&gt;0,SUM($D$18:TV18),0)</f>
        <v>0</v>
      </c>
      <c r="TX30" s="115">
        <f>IF(TX28&gt;0,SUM($D$18:TW18),0)</f>
        <v>0</v>
      </c>
      <c r="TY30" s="115">
        <f>IF(TY28&gt;0,SUM($D$18:TX18),0)</f>
        <v>0</v>
      </c>
      <c r="TZ30" s="115">
        <f>IF(TZ28&gt;0,SUM($D$18:TY18),0)</f>
        <v>0</v>
      </c>
      <c r="UA30" s="115">
        <f>IF(UA28&gt;0,SUM($D$18:TZ18),0)</f>
        <v>0</v>
      </c>
      <c r="UB30" s="115">
        <f>IF(UB28&gt;0,SUM($D$18:UA18),0)</f>
        <v>0</v>
      </c>
      <c r="UC30" s="115">
        <f>IF(UC28&gt;0,SUM($D$18:UB18),0)</f>
        <v>0</v>
      </c>
      <c r="UD30" s="115">
        <f>IF(UD28&gt;0,SUM($D$18:UC18),0)</f>
        <v>0</v>
      </c>
      <c r="UE30" s="115">
        <f>IF(UE28&gt;0,SUM($D$18:UD18),0)</f>
        <v>0</v>
      </c>
      <c r="UF30" s="115">
        <f>IF(UF28&gt;0,SUM($D$18:UE18),0)</f>
        <v>0</v>
      </c>
      <c r="UG30" s="115">
        <f>IF(UG28&gt;0,SUM($D$18:UF18),0)</f>
        <v>0</v>
      </c>
      <c r="UH30" s="115">
        <f>IF(UH28&gt;0,SUM($D$18:UG18),0)</f>
        <v>0</v>
      </c>
      <c r="UI30" s="115">
        <f>IF(UI28&gt;0,SUM($D$18:UH18),0)</f>
        <v>0</v>
      </c>
      <c r="UJ30" s="115">
        <f>IF(UJ28&gt;0,SUM($D$18:UI18),0)</f>
        <v>0</v>
      </c>
      <c r="UK30" s="115">
        <f>IF(UK28&gt;0,SUM($D$18:UJ18),0)</f>
        <v>0</v>
      </c>
      <c r="UL30" s="115">
        <f>IF(UL28&gt;0,SUM($D$18:UK18),0)</f>
        <v>0</v>
      </c>
      <c r="UM30" s="115">
        <f>IF(UM28&gt;0,SUM($D$18:UL18),0)</f>
        <v>0</v>
      </c>
      <c r="UN30" s="115">
        <f>IF(UN28&gt;0,SUM($D$18:UM18),0)</f>
        <v>0</v>
      </c>
      <c r="UO30" s="115">
        <f>IF(UO28&gt;0,SUM($D$18:UN18),0)</f>
        <v>0</v>
      </c>
      <c r="UP30" s="115">
        <f>IF(UP28&gt;0,SUM($D$18:UO18),0)</f>
        <v>0</v>
      </c>
      <c r="UQ30" s="115">
        <f>IF(UQ28&gt;0,SUM($D$18:UP18),0)</f>
        <v>0</v>
      </c>
      <c r="UR30" s="115">
        <f>IF(UR28&gt;0,SUM($D$18:UQ18),0)</f>
        <v>0</v>
      </c>
      <c r="US30" s="115">
        <f>IF(US28&gt;0,SUM($D$18:UR18),0)</f>
        <v>0</v>
      </c>
      <c r="UT30" s="115">
        <f>IF(UT28&gt;0,SUM($D$18:US18),0)</f>
        <v>0</v>
      </c>
      <c r="UU30" s="115">
        <f>IF(UU28&gt;0,SUM($D$18:UT18),0)</f>
        <v>0</v>
      </c>
      <c r="UV30" s="115">
        <f>IF(UV28&gt;0,SUM($D$18:UU18),0)</f>
        <v>0</v>
      </c>
      <c r="UW30" s="115">
        <f>IF(UW28&gt;0,SUM($D$18:UV18),0)</f>
        <v>0</v>
      </c>
      <c r="UX30" s="115">
        <f>IF(UX28&gt;0,SUM($D$18:UW18),0)</f>
        <v>0</v>
      </c>
      <c r="UY30" s="115">
        <f>IF(UY28&gt;0,SUM($D$18:UX18),0)</f>
        <v>0</v>
      </c>
      <c r="UZ30" s="115">
        <f>IF(UZ28&gt;0,SUM($D$18:UY18),0)</f>
        <v>0</v>
      </c>
      <c r="VA30" s="115">
        <f>IF(VA28&gt;0,SUM($D$18:UZ18),0)</f>
        <v>0</v>
      </c>
      <c r="VB30" s="115">
        <f>IF(VB28&gt;0,SUM($D$18:VA18),0)</f>
        <v>0</v>
      </c>
      <c r="VC30" s="115">
        <f>IF(VC28&gt;0,SUM($D$18:VB18),0)</f>
        <v>0</v>
      </c>
      <c r="VD30" s="115">
        <f>IF(VD28&gt;0,SUM($D$18:VC18),0)</f>
        <v>0</v>
      </c>
      <c r="VE30" s="115">
        <f>IF(VE28&gt;0,SUM($D$18:VD18),0)</f>
        <v>0</v>
      </c>
      <c r="VF30" s="115">
        <f>IF(VF28&gt;0,SUM($D$18:VE18),0)</f>
        <v>0</v>
      </c>
      <c r="VG30" s="115">
        <f>IF(VG28&gt;0,SUM($D$18:VF18),0)</f>
        <v>0</v>
      </c>
      <c r="VH30" s="115">
        <f>IF(VH28&gt;0,SUM($D$18:VG18),0)</f>
        <v>0</v>
      </c>
      <c r="VI30" s="115">
        <f>IF(VI28&gt;0,SUM($D$18:VH18),0)</f>
        <v>0</v>
      </c>
      <c r="VJ30" s="115">
        <f>IF(VJ28&gt;0,SUM($D$18:VI18),0)</f>
        <v>0</v>
      </c>
      <c r="VK30" s="115">
        <f>IF(VK28&gt;0,SUM($D$18:VJ18),0)</f>
        <v>0</v>
      </c>
      <c r="VL30" s="115">
        <f>IF(VL28&gt;0,SUM($D$18:VK18),0)</f>
        <v>0</v>
      </c>
      <c r="VM30" s="115">
        <f>IF(VM28&gt;0,SUM($D$18:VL18),0)</f>
        <v>0</v>
      </c>
      <c r="VN30" s="115">
        <f>IF(VN28&gt;0,SUM($D$18:VM18),0)</f>
        <v>0</v>
      </c>
      <c r="VO30" s="115">
        <f>IF(VO28&gt;0,SUM($D$18:VN18),0)</f>
        <v>0</v>
      </c>
      <c r="VP30" s="115">
        <f>IF(VP28&gt;0,SUM($D$18:VO18),0)</f>
        <v>0</v>
      </c>
      <c r="VQ30" s="115">
        <f>IF(VQ28&gt;0,SUM($D$18:VP18),0)</f>
        <v>0</v>
      </c>
      <c r="VR30" s="115">
        <f>IF(VR28&gt;0,SUM($D$18:VQ18),0)</f>
        <v>0</v>
      </c>
      <c r="VS30" s="115">
        <f>IF(VS28&gt;0,SUM($D$18:VR18),0)</f>
        <v>0</v>
      </c>
      <c r="VT30" s="115">
        <f>IF(VT28&gt;0,SUM($D$18:VS18),0)</f>
        <v>0</v>
      </c>
      <c r="VU30" s="115">
        <f>IF(VU28&gt;0,SUM($D$18:VT18),0)</f>
        <v>0</v>
      </c>
      <c r="VV30" s="115">
        <f>IF(VV28&gt;0,SUM($D$18:VU18),0)</f>
        <v>0</v>
      </c>
      <c r="VW30" s="115">
        <f>IF(VW28&gt;0,SUM($D$18:VV18),0)</f>
        <v>0</v>
      </c>
      <c r="VX30" s="115">
        <f>IF(VX28&gt;0,SUM($D$18:VW18),0)</f>
        <v>0</v>
      </c>
      <c r="VY30" s="115">
        <f>IF(VY28&gt;0,SUM($D$18:VX18),0)</f>
        <v>0</v>
      </c>
      <c r="VZ30" s="115">
        <f>IF(VZ28&gt;0,SUM($D$18:VY18),0)</f>
        <v>0</v>
      </c>
      <c r="WA30" s="115">
        <f>IF(WA28&gt;0,SUM($D$18:VZ18),0)</f>
        <v>0</v>
      </c>
      <c r="WB30" s="115">
        <f>IF(WB28&gt;0,SUM($D$18:WA18),0)</f>
        <v>0</v>
      </c>
      <c r="WC30" s="115">
        <f>IF(WC28&gt;0,SUM($D$18:WB18),0)</f>
        <v>0</v>
      </c>
      <c r="WD30" s="115">
        <f>IF(WD28&gt;0,SUM($D$18:WC18),0)</f>
        <v>0</v>
      </c>
      <c r="WE30" s="115">
        <f>IF(WE28&gt;0,SUM($D$18:WD18),0)</f>
        <v>0</v>
      </c>
      <c r="WF30" s="115">
        <f>IF(WF28&gt;0,SUM($D$18:WE18),0)</f>
        <v>0</v>
      </c>
      <c r="WG30" s="115">
        <f>IF(WG28&gt;0,SUM($D$18:WF18),0)</f>
        <v>0</v>
      </c>
      <c r="WH30" s="115">
        <f>IF(WH28&gt;0,SUM($D$18:WG18),0)</f>
        <v>0</v>
      </c>
      <c r="WI30" s="115">
        <f>IF(WI28&gt;0,SUM($D$18:WH18),0)</f>
        <v>0</v>
      </c>
      <c r="WJ30" s="115">
        <f>IF(WJ28&gt;0,SUM($D$18:WI18),0)</f>
        <v>0</v>
      </c>
      <c r="WK30" s="115">
        <f>IF(WK28&gt;0,SUM($D$18:WJ18),0)</f>
        <v>0</v>
      </c>
      <c r="WL30" s="115">
        <f>IF(WL28&gt;0,SUM($D$18:WK18),0)</f>
        <v>0</v>
      </c>
      <c r="WM30" s="115">
        <f>IF(WM28&gt;0,SUM($D$18:WL18),0)</f>
        <v>0</v>
      </c>
      <c r="WN30" s="115">
        <f>IF(WN28&gt;0,SUM($D$18:WM18),0)</f>
        <v>20</v>
      </c>
      <c r="WO30" s="115">
        <f>IF(WO28&gt;0,SUM($D$18:WN18),0)</f>
        <v>0</v>
      </c>
      <c r="WP30" s="115">
        <f>IF(WP28&gt;0,SUM($D$18:WO18),0)</f>
        <v>0</v>
      </c>
      <c r="WQ30" s="115">
        <f>IF(WQ28&gt;0,SUM($D$18:WP18),0)</f>
        <v>0</v>
      </c>
      <c r="WR30" s="115">
        <f>IF(WR28&gt;0,SUM($D$18:WQ18),0)</f>
        <v>0</v>
      </c>
      <c r="WS30" s="115">
        <f>IF(WS28&gt;0,SUM($D$18:WR18),0)</f>
        <v>0</v>
      </c>
      <c r="WT30" s="115">
        <f>IF(WT28&gt;0,SUM($D$18:WS18),0)</f>
        <v>0</v>
      </c>
      <c r="WU30" s="115">
        <f>IF(WU28&gt;0,SUM($D$18:WT18),0)</f>
        <v>0</v>
      </c>
      <c r="WV30" s="115">
        <f>IF(WV28&gt;0,SUM($D$18:WU18),0)</f>
        <v>0</v>
      </c>
      <c r="WW30" s="115">
        <f>IF(WW28&gt;0,SUM($D$18:WV18),0)</f>
        <v>0</v>
      </c>
      <c r="WX30" s="115">
        <f>IF(WX28&gt;0,SUM($D$18:WW18),0)</f>
        <v>0</v>
      </c>
      <c r="WY30" s="115">
        <f>IF(WY28&gt;0,SUM($D$18:WX18),0)</f>
        <v>0</v>
      </c>
      <c r="WZ30" s="115">
        <f>IF(WZ28&gt;0,SUM($D$18:WY18),0)</f>
        <v>0</v>
      </c>
      <c r="XA30" s="115">
        <f>IF(XA28&gt;0,SUM($D$18:WZ18),0)</f>
        <v>0</v>
      </c>
      <c r="XB30" s="115">
        <f>IF(XB28&gt;0,SUM($D$18:XA18),0)</f>
        <v>0</v>
      </c>
      <c r="XC30" s="115">
        <f>IF(XC28&gt;0,SUM($D$18:XB18),0)</f>
        <v>0</v>
      </c>
      <c r="XD30" s="115">
        <f>IF(XD28&gt;0,SUM($D$18:XC18),0)</f>
        <v>0</v>
      </c>
      <c r="XE30" s="115">
        <f>IF(XE28&gt;0,SUM($D$18:XD18),0)</f>
        <v>0</v>
      </c>
      <c r="XF30" s="115">
        <f>IF(XF28&gt;0,SUM($D$18:XE18),0)</f>
        <v>0</v>
      </c>
      <c r="XG30" s="115">
        <f>IF(XG28&gt;0,SUM($D$18:XF18),0)</f>
        <v>0</v>
      </c>
      <c r="XH30" s="115">
        <f>IF(XH28&gt;0,SUM($D$18:XG18),0)</f>
        <v>0</v>
      </c>
      <c r="XI30" s="115">
        <f>IF(XI28&gt;0,SUM($D$18:XH18),0)</f>
        <v>0</v>
      </c>
      <c r="XJ30" s="115">
        <f>IF(XJ28&gt;0,SUM($D$18:XI18),0)</f>
        <v>0</v>
      </c>
      <c r="XK30" s="115">
        <f>IF(XK28&gt;0,SUM($D$18:XJ18),0)</f>
        <v>0</v>
      </c>
      <c r="XL30" s="115">
        <f>IF(XL28&gt;0,SUM($D$18:XK18),0)</f>
        <v>0</v>
      </c>
      <c r="XM30" s="115">
        <f>IF(XM28&gt;0,SUM($D$18:XL18),0)</f>
        <v>0</v>
      </c>
      <c r="XN30" s="115">
        <f>IF(XN28&gt;0,SUM($D$18:XM18),0)</f>
        <v>0</v>
      </c>
      <c r="XO30" s="115">
        <f>IF(XO28&gt;0,SUM($D$18:XN18),0)</f>
        <v>0</v>
      </c>
      <c r="XP30" s="115">
        <f>IF(XP28&gt;0,SUM($D$18:XO18),0)</f>
        <v>0</v>
      </c>
      <c r="XQ30" s="115">
        <f>IF(XQ28&gt;0,SUM($D$18:XP18),0)</f>
        <v>0</v>
      </c>
      <c r="XR30" s="115">
        <f>IF(XR28&gt;0,SUM($D$18:XQ18),0)</f>
        <v>0</v>
      </c>
      <c r="XS30" s="115">
        <f>IF(XS28&gt;0,SUM($D$18:XR18),0)</f>
        <v>0</v>
      </c>
      <c r="XT30" s="115">
        <f>IF(XT28&gt;0,SUM($D$18:XS18),0)</f>
        <v>0</v>
      </c>
      <c r="XU30" s="115">
        <f>IF(XU28&gt;0,SUM($D$18:XT18),0)</f>
        <v>0</v>
      </c>
      <c r="XV30" s="115">
        <f>IF(XV28&gt;0,SUM($D$18:XU18),0)</f>
        <v>0</v>
      </c>
      <c r="XW30" s="115">
        <f>IF(XW28&gt;0,SUM($D$18:XV18),0)</f>
        <v>0</v>
      </c>
      <c r="XX30" s="115">
        <f>IF(XX28&gt;0,SUM($D$18:XW18),0)</f>
        <v>0</v>
      </c>
      <c r="XY30" s="115">
        <f>IF(XY28&gt;0,SUM($D$18:XX18),0)</f>
        <v>0</v>
      </c>
      <c r="XZ30" s="115">
        <f>IF(XZ28&gt;0,SUM($D$18:XY18),0)</f>
        <v>0</v>
      </c>
      <c r="YA30" s="115">
        <f>IF(YA28&gt;0,SUM($D$18:XZ18),0)</f>
        <v>0</v>
      </c>
      <c r="YB30" s="115">
        <f>IF(YB28&gt;0,SUM($D$18:YA18),0)</f>
        <v>0</v>
      </c>
      <c r="YC30" s="115">
        <f>IF(YC28&gt;0,SUM($D$18:YB18),0)</f>
        <v>0</v>
      </c>
      <c r="YD30" s="115">
        <f>IF(YD28&gt;0,SUM($D$18:YC18),0)</f>
        <v>0</v>
      </c>
      <c r="YE30" s="115">
        <f>IF(YE28&gt;0,SUM($D$18:YD18),0)</f>
        <v>0</v>
      </c>
      <c r="YF30" s="115">
        <f>IF(YF28&gt;0,SUM($D$18:YE18),0)</f>
        <v>0</v>
      </c>
      <c r="YG30" s="115">
        <f>IF(YG28&gt;0,SUM($D$18:YF18),0)</f>
        <v>0</v>
      </c>
      <c r="YH30" s="115">
        <f>IF(YH28&gt;0,SUM($D$18:YG18),0)</f>
        <v>0</v>
      </c>
      <c r="YI30" s="115">
        <f>IF(YI28&gt;0,SUM($D$18:YH18),0)</f>
        <v>0</v>
      </c>
      <c r="YJ30" s="115">
        <f>IF(YJ28&gt;0,SUM($D$18:YI18),0)</f>
        <v>0</v>
      </c>
      <c r="YK30" s="115">
        <f>IF(YK28&gt;0,SUM($D$18:YJ18),0)</f>
        <v>0</v>
      </c>
      <c r="YL30" s="115">
        <f>IF(YL28&gt;0,SUM($D$18:YK18),0)</f>
        <v>0</v>
      </c>
      <c r="YM30" s="115">
        <f>IF(YM28&gt;0,SUM($D$18:YL18),0)</f>
        <v>0</v>
      </c>
      <c r="YN30" s="115">
        <f>IF(YN28&gt;0,SUM($D$18:YM18),0)</f>
        <v>0</v>
      </c>
      <c r="YO30" s="115">
        <f>IF(YO28&gt;0,SUM($D$18:YN18),0)</f>
        <v>0</v>
      </c>
      <c r="YP30" s="115">
        <f>IF(YP28&gt;0,SUM($D$18:YO18),0)</f>
        <v>0</v>
      </c>
      <c r="YQ30" s="115">
        <f>IF(YQ28&gt;0,SUM($D$18:YP18),0)</f>
        <v>0</v>
      </c>
      <c r="YR30" s="115">
        <f>IF(YR28&gt;0,SUM($D$18:YQ18),0)</f>
        <v>0</v>
      </c>
      <c r="YS30" s="115">
        <f>IF(YS28&gt;0,SUM($D$18:YR18),0)</f>
        <v>0</v>
      </c>
      <c r="YT30" s="115">
        <f>IF(YT28&gt;0,SUM($D$18:YS18),0)</f>
        <v>0</v>
      </c>
      <c r="YU30" s="115">
        <f>IF(YU28&gt;0,SUM($D$18:YT18),0)</f>
        <v>0</v>
      </c>
      <c r="YV30" s="115">
        <f>IF(YV28&gt;0,SUM($D$18:YU18),0)</f>
        <v>0</v>
      </c>
      <c r="YW30" s="115">
        <f>IF(YW28&gt;0,SUM($D$18:YV18),0)</f>
        <v>0</v>
      </c>
      <c r="YX30" s="115">
        <f>IF(YX28&gt;0,SUM($D$18:YW18),0)</f>
        <v>0</v>
      </c>
      <c r="YY30" s="115">
        <f>IF(YY28&gt;0,SUM($D$18:YX18),0)</f>
        <v>0</v>
      </c>
      <c r="YZ30" s="115">
        <f>IF(YZ28&gt;0,SUM($D$18:YY18),0)</f>
        <v>0</v>
      </c>
      <c r="ZA30" s="115">
        <f>IF(ZA28&gt;0,SUM($D$18:YZ18),0)</f>
        <v>0</v>
      </c>
      <c r="ZB30" s="115">
        <f>IF(ZB28&gt;0,SUM($D$18:ZA18),0)</f>
        <v>0</v>
      </c>
      <c r="ZC30" s="115">
        <f>IF(ZC28&gt;0,SUM($D$18:ZB18),0)</f>
        <v>0</v>
      </c>
      <c r="ZD30" s="115">
        <f>IF(ZD28&gt;0,SUM($D$18:ZC18),0)</f>
        <v>0</v>
      </c>
      <c r="ZE30" s="115">
        <f>IF(ZE28&gt;0,SUM($D$18:ZD18),0)</f>
        <v>0</v>
      </c>
      <c r="ZF30" s="115">
        <f>IF(ZF28&gt;0,SUM($D$18:ZE18),0)</f>
        <v>0</v>
      </c>
      <c r="ZG30" s="115">
        <f>IF(ZG28&gt;0,SUM($D$18:ZF18),0)</f>
        <v>0</v>
      </c>
      <c r="ZH30" s="115">
        <f>IF(ZH28&gt;0,SUM($D$18:ZG18),0)</f>
        <v>0</v>
      </c>
      <c r="ZI30" s="115">
        <f>IF(ZI28&gt;0,SUM($D$18:ZH18),0)</f>
        <v>0</v>
      </c>
      <c r="ZJ30" s="115">
        <f>IF(ZJ28&gt;0,SUM($D$18:ZI18),0)</f>
        <v>0</v>
      </c>
      <c r="ZK30" s="115">
        <f>IF(ZK28&gt;0,SUM($D$18:ZJ18),0)</f>
        <v>0</v>
      </c>
      <c r="ZL30" s="115">
        <f>IF(ZL28&gt;0,SUM($D$18:ZK18),0)</f>
        <v>0</v>
      </c>
      <c r="ZM30" s="115">
        <f>IF(ZM28&gt;0,SUM($D$18:ZL18),0)</f>
        <v>0</v>
      </c>
      <c r="ZN30" s="115">
        <f>IF(ZN28&gt;0,SUM($D$18:ZM18),0)</f>
        <v>0</v>
      </c>
      <c r="ZO30" s="115">
        <f>IF(ZO28&gt;0,SUM($D$18:ZN18),0)</f>
        <v>0</v>
      </c>
      <c r="ZP30" s="115">
        <f>IF(ZP28&gt;0,SUM($D$18:ZO18),0)</f>
        <v>0</v>
      </c>
      <c r="ZQ30" s="115">
        <f>IF(ZQ28&gt;0,SUM($D$18:ZP18),0)</f>
        <v>0</v>
      </c>
      <c r="ZR30" s="115">
        <f>IF(ZR28&gt;0,SUM($D$18:ZQ18),0)</f>
        <v>0</v>
      </c>
      <c r="ZS30" s="115">
        <f>IF(ZS28&gt;0,SUM($D$18:ZR18),0)</f>
        <v>0</v>
      </c>
      <c r="ZT30" s="115">
        <f>IF(ZT28&gt;0,SUM($D$18:ZS18),0)</f>
        <v>0</v>
      </c>
      <c r="ZU30" s="115">
        <f>IF(ZU28&gt;0,SUM($D$18:ZT18),0)</f>
        <v>0</v>
      </c>
      <c r="ZV30" s="115">
        <f>IF(ZV28&gt;0,SUM($D$18:ZU18),0)</f>
        <v>0</v>
      </c>
      <c r="ZW30" s="115">
        <f>IF(ZW28&gt;0,SUM($D$18:ZV18),0)</f>
        <v>0</v>
      </c>
      <c r="ZX30" s="115">
        <f>IF(ZX28&gt;0,SUM($D$18:ZW18),0)</f>
        <v>0</v>
      </c>
      <c r="ZY30" s="115">
        <f>IF(ZY28&gt;0,SUM($D$18:ZX18),0)</f>
        <v>0</v>
      </c>
      <c r="ZZ30" s="115">
        <f>IF(ZZ28&gt;0,SUM($D$18:ZY18),0)</f>
        <v>0</v>
      </c>
      <c r="AAA30" s="115">
        <f>IF(AAA28&gt;0,SUM($D$18:ZZ18),0)</f>
        <v>0</v>
      </c>
      <c r="AAB30" s="115">
        <f>IF(AAB28&gt;0,SUM($D$18:AAA18),0)</f>
        <v>0</v>
      </c>
      <c r="AAC30" s="115">
        <f>IF(AAC28&gt;0,SUM($D$18:AAB18),0)</f>
        <v>0</v>
      </c>
      <c r="AAD30" s="115">
        <f>IF(AAD28&gt;0,SUM($D$18:AAC18),0)</f>
        <v>0</v>
      </c>
      <c r="AAE30" s="115">
        <f>IF(AAE28&gt;0,SUM($D$18:AAD18),0)</f>
        <v>0</v>
      </c>
      <c r="AAF30" s="115">
        <f>IF(AAF28&gt;0,SUM($D$18:AAE18),0)</f>
        <v>0</v>
      </c>
      <c r="AAG30" s="115">
        <f>IF(AAG28&gt;0,SUM($D$18:AAF18),0)</f>
        <v>0</v>
      </c>
      <c r="AAH30" s="115">
        <f>IF(AAH28&gt;0,SUM($D$18:AAG18),0)</f>
        <v>0</v>
      </c>
      <c r="AAI30" s="115">
        <f>IF(AAI28&gt;0,SUM($D$18:AAH18),0)</f>
        <v>0</v>
      </c>
      <c r="AAJ30" s="115">
        <f>IF(AAJ28&gt;0,SUM($D$18:AAI18),0)</f>
        <v>0</v>
      </c>
      <c r="AAK30" s="115">
        <f>IF(AAK28&gt;0,SUM($D$18:AAJ18),0)</f>
        <v>0</v>
      </c>
      <c r="AAL30" s="115">
        <f>IF(AAL28&gt;0,SUM($D$18:AAK18),0)</f>
        <v>0</v>
      </c>
      <c r="AAM30" s="115">
        <f>IF(AAM28&gt;0,SUM($D$18:AAL18),0)</f>
        <v>0</v>
      </c>
      <c r="AAN30" s="115">
        <f>IF(AAN28&gt;0,SUM($D$18:AAM18),0)</f>
        <v>0</v>
      </c>
      <c r="AAO30" s="115">
        <f>IF(AAO28&gt;0,SUM($D$18:AAN18),0)</f>
        <v>0</v>
      </c>
      <c r="AAP30" s="115">
        <f>IF(AAP28&gt;0,SUM($D$18:AAO18),0)</f>
        <v>0</v>
      </c>
      <c r="AAQ30" s="115">
        <f>IF(AAQ28&gt;0,SUM($D$18:AAP18),0)</f>
        <v>0</v>
      </c>
      <c r="AAR30" s="115">
        <f>IF(AAR28&gt;0,SUM($D$18:AAQ18),0)</f>
        <v>0</v>
      </c>
      <c r="AAS30" s="115">
        <f>IF(AAS28&gt;0,SUM($D$18:AAR18),0)</f>
        <v>0</v>
      </c>
      <c r="AAT30" s="115">
        <f>IF(AAT28&gt;0,SUM($D$18:AAS18),0)</f>
        <v>0</v>
      </c>
      <c r="AAU30" s="115">
        <f>IF(AAU28&gt;0,SUM($D$18:AAT18),0)</f>
        <v>0</v>
      </c>
      <c r="AAV30" s="115">
        <f>IF(AAV28&gt;0,SUM($D$18:AAU18),0)</f>
        <v>0</v>
      </c>
      <c r="AAW30" s="115">
        <f>IF(AAW28&gt;0,SUM($D$18:AAV18),0)</f>
        <v>0</v>
      </c>
      <c r="AAX30" s="115">
        <f>IF(AAX28&gt;0,SUM($D$18:AAW18),0)</f>
        <v>0</v>
      </c>
      <c r="AAY30" s="115">
        <f>IF(AAY28&gt;0,SUM($D$18:AAX18),0)</f>
        <v>0</v>
      </c>
      <c r="AAZ30" s="115">
        <f>IF(AAZ28&gt;0,SUM($D$18:AAY18),0)</f>
        <v>0</v>
      </c>
      <c r="ABA30" s="115">
        <f>IF(ABA28&gt;0,SUM($D$18:AAZ18),0)</f>
        <v>0</v>
      </c>
      <c r="ABB30" s="115">
        <f>IF(ABB28&gt;0,SUM($D$18:ABA18),0)</f>
        <v>0</v>
      </c>
      <c r="ABC30" s="115">
        <f>IF(ABC28&gt;0,SUM($D$18:ABB18),0)</f>
        <v>0</v>
      </c>
      <c r="ABD30" s="115">
        <f>IF(ABD28&gt;0,SUM($D$18:ABC18),0)</f>
        <v>0</v>
      </c>
      <c r="ABE30" s="115">
        <f>IF(ABE28&gt;0,SUM($D$18:ABD18),0)</f>
        <v>0</v>
      </c>
      <c r="ABF30" s="115">
        <f>IF(ABF28&gt;0,SUM($D$18:ABE18),0)</f>
        <v>0</v>
      </c>
      <c r="ABG30" s="115">
        <f>IF(ABG28&gt;0,SUM($D$18:ABF18),0)</f>
        <v>0</v>
      </c>
      <c r="ABH30" s="115">
        <f>IF(ABH28&gt;0,SUM($D$18:ABG18),0)</f>
        <v>0</v>
      </c>
      <c r="ABI30" s="115">
        <f>IF(ABI28&gt;0,SUM($D$18:ABH18),0)</f>
        <v>0</v>
      </c>
      <c r="ABJ30" s="115">
        <f>IF(ABJ28&gt;0,SUM($D$18:ABI18),0)</f>
        <v>0</v>
      </c>
      <c r="ABK30" s="115">
        <f>IF(ABK28&gt;0,SUM($D$18:ABJ18),0)</f>
        <v>0</v>
      </c>
      <c r="ABL30" s="115">
        <f>IF(ABL28&gt;0,SUM($D$18:ABK18),0)</f>
        <v>0</v>
      </c>
      <c r="ABM30" s="115">
        <f>IF(ABM28&gt;0,SUM($D$18:ABL18),0)</f>
        <v>0</v>
      </c>
      <c r="ABN30" s="115">
        <f>IF(ABN28&gt;0,SUM($D$18:ABM18),0)</f>
        <v>0</v>
      </c>
      <c r="ABO30" s="115">
        <f>IF(ABO28&gt;0,SUM($D$18:ABN18),0)</f>
        <v>0</v>
      </c>
      <c r="ABP30" s="115">
        <f>IF(ABP28&gt;0,SUM($D$18:ABO18),0)</f>
        <v>0</v>
      </c>
      <c r="ABQ30" s="115">
        <f>IF(ABQ28&gt;0,SUM($D$18:ABP18),0)</f>
        <v>0</v>
      </c>
      <c r="ABR30" s="115">
        <f>IF(ABR28&gt;0,SUM($D$18:ABQ18),0)</f>
        <v>0</v>
      </c>
      <c r="ABS30" s="115">
        <f>IF(ABS28&gt;0,SUM($D$18:ABR18),0)</f>
        <v>0</v>
      </c>
      <c r="ABT30" s="115">
        <f>IF(ABT28&gt;0,SUM($D$18:ABS18),0)</f>
        <v>0</v>
      </c>
      <c r="ABU30" s="115">
        <f>IF(ABU28&gt;0,SUM($D$18:ABT18),0)</f>
        <v>0</v>
      </c>
      <c r="ABV30" s="115">
        <f>IF(ABV28&gt;0,SUM($D$18:ABU18),0)</f>
        <v>0</v>
      </c>
      <c r="ABW30" s="115">
        <f>IF(ABW28&gt;0,SUM($D$18:ABV18),0)</f>
        <v>0</v>
      </c>
      <c r="ABX30" s="115">
        <f>IF(ABX28&gt;0,SUM($D$18:ABW18),0)</f>
        <v>0</v>
      </c>
      <c r="ABY30" s="115">
        <f>IF(ABY28&gt;0,SUM($D$18:ABX18),0)</f>
        <v>0</v>
      </c>
      <c r="ABZ30" s="115">
        <f>IF(ABZ28&gt;0,SUM($D$18:ABY18),0)</f>
        <v>0</v>
      </c>
      <c r="ACA30" s="115">
        <f>IF(ACA28&gt;0,SUM($D$18:ABZ18),0)</f>
        <v>0</v>
      </c>
      <c r="ACB30" s="115">
        <f>IF(ACB28&gt;0,SUM($D$18:ACA18),0)</f>
        <v>0</v>
      </c>
      <c r="ACC30" s="115">
        <f>IF(ACC28&gt;0,SUM($D$18:ACB18),0)</f>
        <v>0</v>
      </c>
      <c r="ACD30" s="115">
        <f>IF(ACD28&gt;0,SUM($D$18:ACC18),0)</f>
        <v>0</v>
      </c>
      <c r="ACE30" s="115">
        <f>IF(ACE28&gt;0,SUM($D$18:ACD18),0)</f>
        <v>0</v>
      </c>
      <c r="ACF30" s="115">
        <f>IF(ACF28&gt;0,SUM($D$18:ACE18),0)</f>
        <v>0</v>
      </c>
      <c r="ACG30" s="115">
        <f>IF(ACG28&gt;0,SUM($D$18:ACF18),0)</f>
        <v>0</v>
      </c>
      <c r="ACH30" s="115">
        <f>IF(ACH28&gt;0,SUM($D$18:ACG18),0)</f>
        <v>0</v>
      </c>
      <c r="ACI30" s="115">
        <f>IF(ACI28&gt;0,SUM($D$18:ACH18),0)</f>
        <v>0</v>
      </c>
      <c r="ACJ30" s="115">
        <f>IF(ACJ28&gt;0,SUM($D$18:ACI18),0)</f>
        <v>0</v>
      </c>
      <c r="ACK30" s="115">
        <f>IF(ACK28&gt;0,SUM($D$18:ACJ18),0)</f>
        <v>0</v>
      </c>
      <c r="ACL30" s="115">
        <f>IF(ACL28&gt;0,SUM($D$18:ACK18),0)</f>
        <v>0</v>
      </c>
      <c r="ACM30" s="115">
        <f>IF(ACM28&gt;0,SUM($D$18:ACL18),0)</f>
        <v>0</v>
      </c>
      <c r="ACN30" s="115">
        <f>IF(ACN28&gt;0,SUM($D$18:ACM18),0)</f>
        <v>0</v>
      </c>
      <c r="ACO30" s="115">
        <f>IF(ACO28&gt;0,SUM($D$18:ACN18),0)</f>
        <v>0</v>
      </c>
      <c r="ACP30" s="115">
        <f>IF(ACP28&gt;0,SUM($D$18:ACO18),0)</f>
        <v>0</v>
      </c>
      <c r="ACQ30" s="115">
        <f>IF(ACQ28&gt;0,SUM($D$18:ACP18),0)</f>
        <v>0</v>
      </c>
      <c r="ACR30" s="115">
        <f>IF(ACR28&gt;0,SUM($D$18:ACQ18),0)</f>
        <v>0</v>
      </c>
      <c r="ACS30" s="115">
        <f>IF(ACS28&gt;0,SUM($D$18:ACR18),0)</f>
        <v>0</v>
      </c>
      <c r="ACT30" s="115">
        <f>IF(ACT28&gt;0,SUM($D$18:ACS18),0)</f>
        <v>0</v>
      </c>
      <c r="ACU30" s="115">
        <f>IF(ACU28&gt;0,SUM($D$18:ACT18),0)</f>
        <v>0</v>
      </c>
      <c r="ACV30" s="115">
        <f>IF(ACV28&gt;0,SUM($D$18:ACU18),0)</f>
        <v>0</v>
      </c>
      <c r="ACW30" s="115">
        <f>IF(ACW28&gt;0,SUM($D$18:ACV18),0)</f>
        <v>0</v>
      </c>
      <c r="ACX30" s="115">
        <f>IF(ACX28&gt;0,SUM($D$18:ACW18),0)</f>
        <v>0</v>
      </c>
      <c r="ACY30" s="115">
        <f>IF(ACY28&gt;0,SUM($D$18:ACX18),0)</f>
        <v>0</v>
      </c>
      <c r="ACZ30" s="115">
        <f>IF(ACZ28&gt;0,SUM($D$18:ACY18),0)</f>
        <v>0</v>
      </c>
      <c r="ADA30" s="115">
        <f>IF(ADA28&gt;0,SUM($D$18:ACZ18),0)</f>
        <v>0</v>
      </c>
      <c r="ADB30" s="115">
        <f>IF(ADB28&gt;0,SUM($D$18:ADA18),0)</f>
        <v>0</v>
      </c>
      <c r="ADC30" s="115">
        <f>IF(ADC28&gt;0,SUM($D$18:ADB18),0)</f>
        <v>0</v>
      </c>
      <c r="ADD30" s="115">
        <f>IF(ADD28&gt;0,SUM($D$18:ADC18),0)</f>
        <v>0</v>
      </c>
      <c r="ADE30" s="115">
        <f>IF(ADE28&gt;0,SUM($D$18:ADD18),0)</f>
        <v>0</v>
      </c>
      <c r="ADF30" s="115">
        <f>IF(ADF28&gt;0,SUM($D$18:ADE18),0)</f>
        <v>0</v>
      </c>
      <c r="ADG30" s="115">
        <f>IF(ADG28&gt;0,SUM($D$18:ADF18),0)</f>
        <v>0</v>
      </c>
      <c r="ADH30" s="115">
        <f>IF(ADH28&gt;0,SUM($D$18:ADG18),0)</f>
        <v>0</v>
      </c>
      <c r="ADI30" s="115">
        <f>IF(ADI28&gt;0,SUM($D$18:ADH18),0)</f>
        <v>0</v>
      </c>
      <c r="ADJ30" s="115">
        <f>IF(ADJ28&gt;0,SUM($D$18:ADI18),0)</f>
        <v>0</v>
      </c>
      <c r="ADK30" s="115">
        <f>IF(ADK28&gt;0,SUM($D$18:ADJ18),0)</f>
        <v>0</v>
      </c>
      <c r="ADL30" s="115">
        <f>IF(ADL28&gt;0,SUM($D$18:ADK18),0)</f>
        <v>0</v>
      </c>
      <c r="ADM30" s="115">
        <f>IF(ADM28&gt;0,SUM($D$18:ADL18),0)</f>
        <v>0</v>
      </c>
      <c r="ADN30" s="115">
        <f>IF(ADN28&gt;0,SUM($D$18:ADM18),0)</f>
        <v>0</v>
      </c>
      <c r="ADO30" s="115">
        <f>IF(ADO28&gt;0,SUM($D$18:ADN18),0)</f>
        <v>0</v>
      </c>
      <c r="ADP30" s="115">
        <f>IF(ADP28&gt;0,SUM($D$18:ADO18),0)</f>
        <v>0</v>
      </c>
      <c r="ADQ30" s="115">
        <f>IF(ADQ28&gt;0,SUM($D$18:ADP18),0)</f>
        <v>0</v>
      </c>
      <c r="ADR30" s="115">
        <f>IF(ADR28&gt;0,SUM($D$18:ADQ18),0)</f>
        <v>0</v>
      </c>
      <c r="ADS30" s="115">
        <f>IF(ADS28&gt;0,SUM($D$18:ADR18),0)</f>
        <v>0</v>
      </c>
      <c r="ADT30" s="115">
        <f>IF(ADT28&gt;0,SUM($D$18:ADS18),0)</f>
        <v>0</v>
      </c>
      <c r="ADU30" s="115">
        <f>IF(ADU28&gt;0,SUM($D$18:ADT18),0)</f>
        <v>0</v>
      </c>
      <c r="ADV30" s="115">
        <f>IF(ADV28&gt;0,SUM($D$18:ADU18),0)</f>
        <v>0</v>
      </c>
      <c r="ADW30" s="115">
        <f>IF(ADW28&gt;0,SUM($D$18:ADV18),0)</f>
        <v>0</v>
      </c>
      <c r="ADX30" s="115">
        <f>IF(ADX28&gt;0,SUM($D$18:ADW18),0)</f>
        <v>0</v>
      </c>
      <c r="ADY30" s="115">
        <f>IF(ADY28&gt;0,SUM($D$18:ADX18),0)</f>
        <v>0</v>
      </c>
      <c r="ADZ30" s="115">
        <f>IF(ADZ28&gt;0,SUM($D$18:ADY18),0)</f>
        <v>0</v>
      </c>
      <c r="AEA30" s="115">
        <f>IF(AEA28&gt;0,SUM($D$18:ADZ18),0)</f>
        <v>0</v>
      </c>
      <c r="AEB30" s="115">
        <f>IF(AEB28&gt;0,SUM($D$18:AEA18),0)</f>
        <v>0</v>
      </c>
      <c r="AEC30" s="115">
        <f>IF(AEC28&gt;0,SUM($D$18:AEB18),0)</f>
        <v>0</v>
      </c>
      <c r="AED30" s="115">
        <f>IF(AED28&gt;0,SUM($D$18:AEC18),0)</f>
        <v>0</v>
      </c>
      <c r="AEE30" s="115">
        <f>IF(AEE28&gt;0,SUM($D$18:AED18),0)</f>
        <v>0</v>
      </c>
      <c r="AEF30" s="115">
        <f>IF(AEF28&gt;0,SUM($D$18:AEE18),0)</f>
        <v>0</v>
      </c>
      <c r="AEG30" s="115">
        <f>IF(AEG28&gt;0,SUM($D$18:AEF18),0)</f>
        <v>0</v>
      </c>
      <c r="AEH30" s="115">
        <f>IF(AEH28&gt;0,SUM($D$18:AEG18),0)</f>
        <v>0</v>
      </c>
      <c r="AEI30" s="115">
        <f>IF(AEI28&gt;0,SUM($D$18:AEH18),0)</f>
        <v>0</v>
      </c>
      <c r="AEJ30" s="115">
        <f>IF(AEJ28&gt;0,SUM($D$18:AEI18),0)</f>
        <v>0</v>
      </c>
      <c r="AEK30" s="115">
        <f>IF(AEK28&gt;0,SUM($D$18:AEJ18),0)</f>
        <v>0</v>
      </c>
      <c r="AEL30" s="115">
        <f>IF(AEL28&gt;0,SUM($D$18:AEK18),0)</f>
        <v>0</v>
      </c>
      <c r="AEM30" s="115">
        <f>IF(AEM28&gt;0,SUM($D$18:AEL18),0)</f>
        <v>0</v>
      </c>
      <c r="AEN30" s="115">
        <f>IF(AEN28&gt;0,SUM($D$18:AEM18),0)</f>
        <v>0</v>
      </c>
      <c r="AEO30" s="115">
        <f>IF(AEO28&gt;0,SUM($D$18:AEN18),0)</f>
        <v>0</v>
      </c>
      <c r="AEP30" s="115">
        <f>IF(AEP28&gt;0,SUM($D$18:AEO18),0)</f>
        <v>0</v>
      </c>
      <c r="AEQ30" s="115">
        <f>IF(AEQ28&gt;0,SUM($D$18:AEP18),0)</f>
        <v>0</v>
      </c>
      <c r="AER30" s="115">
        <f>IF(AER28&gt;0,SUM($D$18:AEQ18),0)</f>
        <v>0</v>
      </c>
      <c r="AES30" s="115">
        <f>IF(AES28&gt;0,SUM($D$18:AER18),0)</f>
        <v>0</v>
      </c>
      <c r="AET30" s="115">
        <f>IF(AET28&gt;0,SUM($D$18:AES18),0)</f>
        <v>0</v>
      </c>
      <c r="AEU30" s="115">
        <f>IF(AEU28&gt;0,SUM($D$18:AET18),0)</f>
        <v>0</v>
      </c>
      <c r="AEV30" s="115">
        <f>IF(AEV28&gt;0,SUM($D$18:AEU18),0)</f>
        <v>0</v>
      </c>
      <c r="AEW30" s="115">
        <f>IF(AEW28&gt;0,SUM($D$18:AEV18),0)</f>
        <v>0</v>
      </c>
      <c r="AEX30" s="115">
        <f>IF(AEX28&gt;0,SUM($D$18:AEW18),0)</f>
        <v>0</v>
      </c>
      <c r="AEY30" s="115">
        <f>IF(AEY28&gt;0,SUM($D$18:AEX18),0)</f>
        <v>0</v>
      </c>
      <c r="AEZ30" s="115">
        <f>IF(AEZ28&gt;0,SUM($D$18:AEY18),0)</f>
        <v>0</v>
      </c>
      <c r="AFA30" s="115">
        <f>IF(AFA28&gt;0,SUM($D$18:AEZ18),0)</f>
        <v>0</v>
      </c>
      <c r="AFB30" s="115">
        <f>IF(AFB28&gt;0,SUM($D$18:AFA18),0)</f>
        <v>0</v>
      </c>
      <c r="AFC30" s="115">
        <f>IF(AFC28&gt;0,SUM($D$18:AFB18),0)</f>
        <v>0</v>
      </c>
      <c r="AFD30" s="115">
        <f>IF(AFD28&gt;0,SUM($D$18:AFC18),0)</f>
        <v>0</v>
      </c>
      <c r="AFE30" s="115">
        <f>IF(AFE28&gt;0,SUM($D$18:AFD18),0)</f>
        <v>0</v>
      </c>
      <c r="AFF30" s="115">
        <f>IF(AFF28&gt;0,SUM($D$18:AFE18),0)</f>
        <v>0</v>
      </c>
      <c r="AFG30" s="115">
        <f>IF(AFG28&gt;0,SUM($D$18:AFF18),0)</f>
        <v>0</v>
      </c>
      <c r="AFH30" s="115">
        <f>IF(AFH28&gt;0,SUM($D$18:AFG18),0)</f>
        <v>0</v>
      </c>
      <c r="AFI30" s="115">
        <f>IF(AFI28&gt;0,SUM($D$18:AFH18),0)</f>
        <v>0</v>
      </c>
      <c r="AFJ30" s="115">
        <f>IF(AFJ28&gt;0,SUM($D$18:AFI18),0)</f>
        <v>0</v>
      </c>
      <c r="AFK30" s="115">
        <f>IF(AFK28&gt;0,SUM($D$18:AFJ18),0)</f>
        <v>0</v>
      </c>
      <c r="AFL30" s="115">
        <f>IF(AFL28&gt;0,SUM($D$18:AFK18),0)</f>
        <v>0</v>
      </c>
      <c r="AFM30" s="115">
        <f>IF(AFM28&gt;0,SUM($D$18:AFL18),0)</f>
        <v>0</v>
      </c>
      <c r="AFN30" s="115">
        <f>IF(AFN28&gt;0,SUM($D$18:AFM18),0)</f>
        <v>0</v>
      </c>
      <c r="AFO30" s="115">
        <f>IF(AFO28&gt;0,SUM($D$18:AFN18),0)</f>
        <v>0</v>
      </c>
      <c r="AFP30" s="115">
        <f>IF(AFP28&gt;0,SUM($D$18:AFO18),0)</f>
        <v>0</v>
      </c>
      <c r="AFQ30" s="115">
        <f>IF(AFQ28&gt;0,SUM($D$18:AFP18),0)</f>
        <v>0</v>
      </c>
      <c r="AFR30" s="115">
        <f>IF(AFR28&gt;0,SUM($D$18:AFQ18),0)</f>
        <v>0</v>
      </c>
      <c r="AFS30" s="115">
        <f>IF(AFS28&gt;0,SUM($D$18:AFR18),0)</f>
        <v>0</v>
      </c>
      <c r="AFT30" s="115">
        <f>IF(AFT28&gt;0,SUM($D$18:AFS18),0)</f>
        <v>0</v>
      </c>
      <c r="AFU30" s="115">
        <f>IF(AFU28&gt;0,SUM($D$18:AFT18),0)</f>
        <v>0</v>
      </c>
      <c r="AFV30" s="115">
        <f>IF(AFV28&gt;0,SUM($D$18:AFU18),0)</f>
        <v>0</v>
      </c>
      <c r="AFW30" s="115">
        <f>IF(AFW28&gt;0,SUM($D$18:AFV18),0)</f>
        <v>0</v>
      </c>
      <c r="AFX30" s="115">
        <f>IF(AFX28&gt;0,SUM($D$18:AFW18),0)</f>
        <v>0</v>
      </c>
      <c r="AFY30" s="115">
        <f>IF(AFY28&gt;0,SUM($D$18:AFX18),0)</f>
        <v>0</v>
      </c>
      <c r="AFZ30" s="115">
        <f>IF(AFZ28&gt;0,SUM($D$18:AFY18),0)</f>
        <v>0</v>
      </c>
      <c r="AGA30" s="115">
        <f>IF(AGA28&gt;0,SUM($D$18:AFZ18),0)</f>
        <v>0</v>
      </c>
      <c r="AGB30" s="115">
        <f>IF(AGB28&gt;0,SUM($D$18:AGA18),0)</f>
        <v>0</v>
      </c>
      <c r="AGC30" s="115">
        <f>IF(AGC28&gt;0,SUM($D$18:AGB18),0)</f>
        <v>0</v>
      </c>
      <c r="AGD30" s="115">
        <f>IF(AGD28&gt;0,SUM($D$18:AGC18),0)</f>
        <v>0</v>
      </c>
      <c r="AGE30" s="115">
        <f>IF(AGE28&gt;0,SUM($D$18:AGD18),0)</f>
        <v>0</v>
      </c>
      <c r="AGF30" s="115">
        <f>IF(AGF28&gt;0,SUM($D$18:AGE18),0)</f>
        <v>0</v>
      </c>
      <c r="AGG30" s="115">
        <f>IF(AGG28&gt;0,SUM($D$18:AGF18),0)</f>
        <v>0</v>
      </c>
      <c r="AGH30" s="115">
        <f>IF(AGH28&gt;0,SUM($D$18:AGG18),0)</f>
        <v>0</v>
      </c>
      <c r="AGI30" s="115">
        <f>IF(AGI28&gt;0,SUM($D$18:AGH18),0)</f>
        <v>0</v>
      </c>
      <c r="AGJ30" s="115">
        <f>IF(AGJ28&gt;0,SUM($D$18:AGI18),0)</f>
        <v>0</v>
      </c>
      <c r="AGK30" s="115">
        <f>IF(AGK28&gt;0,SUM($D$18:AGJ18),0)</f>
        <v>0</v>
      </c>
      <c r="AGL30" s="115">
        <f>IF(AGL28&gt;0,SUM($D$18:AGK18),0)</f>
        <v>0</v>
      </c>
      <c r="AGM30" s="115">
        <f>IF(AGM28&gt;0,SUM($D$18:AGL18),0)</f>
        <v>0</v>
      </c>
      <c r="AGN30" s="115">
        <f>IF(AGN28&gt;0,SUM($D$18:AGM18),0)</f>
        <v>0</v>
      </c>
      <c r="AGO30" s="115">
        <f>IF(AGO28&gt;0,SUM($D$18:AGN18),0)</f>
        <v>0</v>
      </c>
      <c r="AGP30" s="115">
        <f>IF(AGP28&gt;0,SUM($D$18:AGO18),0)</f>
        <v>0</v>
      </c>
      <c r="AGQ30" s="115">
        <f>IF(AGQ28&gt;0,SUM($D$18:AGP18),0)</f>
        <v>0</v>
      </c>
      <c r="AGR30" s="115">
        <f>IF(AGR28&gt;0,SUM($D$18:AGQ18),0)</f>
        <v>0</v>
      </c>
      <c r="AGS30" s="115">
        <f>IF(AGS28&gt;0,SUM($D$18:AGR18),0)</f>
        <v>0</v>
      </c>
      <c r="AGT30" s="115">
        <f>IF(AGT28&gt;0,SUM($D$18:AGS18),0)</f>
        <v>0</v>
      </c>
      <c r="AGU30" s="115">
        <f>IF(AGU28&gt;0,SUM($D$18:AGT18),0)</f>
        <v>0</v>
      </c>
      <c r="AGV30" s="115">
        <f>IF(AGV28&gt;0,SUM($D$18:AGU18),0)</f>
        <v>0</v>
      </c>
      <c r="AGW30" s="115">
        <f>IF(AGW28&gt;0,SUM($D$18:AGV18),0)</f>
        <v>0</v>
      </c>
      <c r="AGX30" s="115">
        <f>IF(AGX28&gt;0,SUM($D$18:AGW18),0)</f>
        <v>0</v>
      </c>
      <c r="AGY30" s="115">
        <f>IF(AGY28&gt;0,SUM($D$18:AGX18),0)</f>
        <v>0</v>
      </c>
      <c r="AGZ30" s="115">
        <f>IF(AGZ28&gt;0,SUM($D$18:AGY18),0)</f>
        <v>0</v>
      </c>
      <c r="AHA30" s="115">
        <f>IF(AHA28&gt;0,SUM($D$18:AGZ18),0)</f>
        <v>0</v>
      </c>
      <c r="AHB30" s="115">
        <f>IF(AHB28&gt;0,SUM($D$18:AHA18),0)</f>
        <v>0</v>
      </c>
      <c r="AHC30" s="115">
        <f>IF(AHC28&gt;0,SUM($D$18:AHB18),0)</f>
        <v>0</v>
      </c>
      <c r="AHD30" s="115">
        <f>IF(AHD28&gt;0,SUM($D$18:AHC18),0)</f>
        <v>0</v>
      </c>
      <c r="AHE30" s="115">
        <f>IF(AHE28&gt;0,SUM($D$18:AHD18),0)</f>
        <v>0</v>
      </c>
      <c r="AHF30" s="115">
        <f>IF(AHF28&gt;0,SUM($D$18:AHE18),0)</f>
        <v>0</v>
      </c>
      <c r="AHG30" s="115">
        <f>IF(AHG28&gt;0,SUM($D$18:AHF18),0)</f>
        <v>0</v>
      </c>
      <c r="AHH30" s="115">
        <f>IF(AHH28&gt;0,SUM($D$18:AHG18),0)</f>
        <v>0</v>
      </c>
      <c r="AHI30" s="115">
        <f>IF(AHI28&gt;0,SUM($D$18:AHH18),0)</f>
        <v>0</v>
      </c>
      <c r="AHJ30" s="115">
        <f>IF(AHJ28&gt;0,SUM($D$18:AHI18),0)</f>
        <v>0</v>
      </c>
      <c r="AHK30" s="115">
        <f>IF(AHK28&gt;0,SUM($D$18:AHJ18),0)</f>
        <v>0</v>
      </c>
      <c r="AHL30" s="115">
        <f>IF(AHL28&gt;0,SUM($D$18:AHK18),0)</f>
        <v>0</v>
      </c>
      <c r="AHM30" s="115">
        <f>IF(AHM28&gt;0,SUM($D$18:AHL18),0)</f>
        <v>0</v>
      </c>
      <c r="AHN30" s="115">
        <f>IF(AHN28&gt;0,SUM($D$18:AHM18),0)</f>
        <v>0</v>
      </c>
      <c r="AHO30" s="115">
        <f>IF(AHO28&gt;0,SUM($D$18:AHN18),0)</f>
        <v>0</v>
      </c>
      <c r="AHP30" s="115">
        <f>IF(AHP28&gt;0,SUM($D$18:AHO18),0)</f>
        <v>0</v>
      </c>
      <c r="AHQ30" s="115">
        <f>IF(AHQ28&gt;0,SUM($D$18:AHP18),0)</f>
        <v>0</v>
      </c>
      <c r="AHR30" s="115">
        <f>IF(AHR28&gt;0,SUM($D$18:AHQ18),0)</f>
        <v>0</v>
      </c>
      <c r="AHS30" s="115">
        <f>IF(AHS28&gt;0,SUM($D$18:AHR18),0)</f>
        <v>0</v>
      </c>
      <c r="AHT30" s="115">
        <f>IF(AHT28&gt;0,SUM($D$18:AHS18),0)</f>
        <v>0</v>
      </c>
      <c r="AHU30" s="115">
        <f>IF(AHU28&gt;0,SUM($D$18:AHT18),0)</f>
        <v>0</v>
      </c>
      <c r="AHV30" s="115">
        <f>IF(AHV28&gt;0,SUM($D$18:AHU18),0)</f>
        <v>0</v>
      </c>
      <c r="AHW30" s="115">
        <f>IF(AHW28&gt;0,SUM($D$18:AHV18),0)</f>
        <v>0</v>
      </c>
      <c r="AHX30" s="115">
        <f>IF(AHX28&gt;0,SUM($D$18:AHW18),0)</f>
        <v>0</v>
      </c>
      <c r="AHY30" s="115">
        <f>IF(AHY28&gt;0,SUM($D$18:AHX18),0)</f>
        <v>0</v>
      </c>
      <c r="AHZ30" s="115">
        <f>IF(AHZ28&gt;0,SUM($D$18:AHY18),0)</f>
        <v>0</v>
      </c>
      <c r="AIA30" s="115">
        <f>IF(AIA28&gt;0,SUM($D$18:AHZ18),0)</f>
        <v>0</v>
      </c>
      <c r="AIB30" s="115">
        <f>IF(AIB28&gt;0,SUM($D$18:AIA18),0)</f>
        <v>0</v>
      </c>
      <c r="AIC30" s="115">
        <f>IF(AIC28&gt;0,SUM($D$18:AIB18),0)</f>
        <v>0</v>
      </c>
      <c r="AID30" s="115">
        <f>IF(AID28&gt;0,SUM($D$18:AIC18),0)</f>
        <v>0</v>
      </c>
      <c r="AIE30" s="115">
        <f>IF(AIE28&gt;0,SUM($D$18:AID18),0)</f>
        <v>0</v>
      </c>
      <c r="AIF30" s="115">
        <f>IF(AIF28&gt;0,SUM($D$18:AIE18),0)</f>
        <v>0</v>
      </c>
      <c r="AIG30" s="115">
        <f>IF(AIG28&gt;0,SUM($D$18:AIF18),0)</f>
        <v>0</v>
      </c>
      <c r="AIH30" s="115">
        <f>IF(AIH28&gt;0,SUM($D$18:AIG18),0)</f>
        <v>0</v>
      </c>
      <c r="AII30" s="115">
        <f>IF(AII28&gt;0,SUM($D$18:AIH18),0)</f>
        <v>0</v>
      </c>
      <c r="AIJ30" s="115">
        <f>IF(AIJ28&gt;0,SUM($D$18:AII18),0)</f>
        <v>0</v>
      </c>
      <c r="AIK30" s="115">
        <f>IF(AIK28&gt;0,SUM($D$18:AIJ18),0)</f>
        <v>0</v>
      </c>
      <c r="AIL30" s="115">
        <f>IF(AIL28&gt;0,SUM($D$18:AIK18),0)</f>
        <v>0</v>
      </c>
      <c r="AIM30" s="115">
        <f>IF(AIM28&gt;0,SUM($D$18:AIL18),0)</f>
        <v>0</v>
      </c>
      <c r="AIN30" s="115">
        <f>IF(AIN28&gt;0,SUM($D$18:AIM18),0)</f>
        <v>0</v>
      </c>
      <c r="AIO30" s="115">
        <f>IF(AIO28&gt;0,SUM($D$18:AIN18),0)</f>
        <v>0</v>
      </c>
      <c r="AIP30" s="115">
        <f>IF(AIP28&gt;0,SUM($D$18:AIO18),0)</f>
        <v>0</v>
      </c>
      <c r="AIQ30" s="115">
        <f>IF(AIQ28&gt;0,SUM($D$18:AIP18),0)</f>
        <v>0</v>
      </c>
      <c r="AIR30" s="115">
        <f>IF(AIR28&gt;0,SUM($D$18:AIQ18),0)</f>
        <v>0</v>
      </c>
      <c r="AIS30" s="115">
        <f>IF(AIS28&gt;0,SUM($D$18:AIR18),0)</f>
        <v>0</v>
      </c>
      <c r="AIT30" s="115">
        <f>IF(AIT28&gt;0,SUM($D$18:AIS18),0)</f>
        <v>0</v>
      </c>
      <c r="AIU30" s="115">
        <f>IF(AIU28&gt;0,SUM($D$18:AIT18),0)</f>
        <v>0</v>
      </c>
      <c r="AIV30" s="115">
        <f>IF(AIV28&gt;0,SUM($D$18:AIU18),0)</f>
        <v>0</v>
      </c>
      <c r="AIW30" s="115">
        <f>IF(AIW28&gt;0,SUM($D$18:AIV18),0)</f>
        <v>0</v>
      </c>
      <c r="AIX30" s="115">
        <f>IF(AIX28&gt;0,SUM($D$18:AIW18),0)</f>
        <v>0</v>
      </c>
      <c r="AIY30" s="115">
        <f>IF(AIY28&gt;0,SUM($D$18:AIX18),0)</f>
        <v>0</v>
      </c>
      <c r="AIZ30" s="115">
        <f>IF(AIZ28&gt;0,SUM($D$18:AIY18),0)</f>
        <v>0</v>
      </c>
      <c r="AJA30" s="115">
        <f>IF(AJA28&gt;0,SUM($D$18:AIZ18),0)</f>
        <v>0</v>
      </c>
      <c r="AJB30" s="115">
        <f>IF(AJB28&gt;0,SUM($D$18:AJA18),0)</f>
        <v>0</v>
      </c>
      <c r="AJC30" s="115">
        <f>IF(AJC28&gt;0,SUM($D$18:AJB18),0)</f>
        <v>0</v>
      </c>
      <c r="AJD30" s="115">
        <f>IF(AJD28&gt;0,SUM($D$18:AJC18),0)</f>
        <v>0</v>
      </c>
      <c r="AJE30" s="115">
        <f>IF(AJE28&gt;0,SUM($D$18:AJD18),0)</f>
        <v>0</v>
      </c>
      <c r="AJF30" s="115">
        <f>IF(AJF28&gt;0,SUM($D$18:AJE18),0)</f>
        <v>0</v>
      </c>
      <c r="AJG30" s="115">
        <f>IF(AJG28&gt;0,SUM($D$18:AJF18),0)</f>
        <v>0</v>
      </c>
      <c r="AJH30" s="115">
        <f>IF(AJH28&gt;0,SUM($D$18:AJG18),0)</f>
        <v>0</v>
      </c>
      <c r="AJI30" s="115">
        <f>IF(AJI28&gt;0,SUM($D$18:AJH18),0)</f>
        <v>0</v>
      </c>
      <c r="AJJ30" s="115">
        <f>IF(AJJ28&gt;0,SUM($D$18:AJI18),0)</f>
        <v>0</v>
      </c>
      <c r="AJK30" s="115">
        <f>IF(AJK28&gt;0,SUM($D$18:AJJ18),0)</f>
        <v>0</v>
      </c>
      <c r="AJL30" s="115">
        <f>IF(AJL28&gt;0,SUM($D$18:AJK18),0)</f>
        <v>0</v>
      </c>
      <c r="AJM30" s="115">
        <f>IF(AJM28&gt;0,SUM($D$18:AJL18),0)</f>
        <v>0</v>
      </c>
      <c r="AJN30" s="115">
        <f>IF(AJN28&gt;0,SUM($D$18:AJM18),0)</f>
        <v>0</v>
      </c>
      <c r="AJO30" s="115">
        <f>IF(AJO28&gt;0,SUM($D$18:AJN18),0)</f>
        <v>0</v>
      </c>
      <c r="AJP30" s="115">
        <f>IF(AJP28&gt;0,SUM($D$18:AJO18),0)</f>
        <v>0</v>
      </c>
      <c r="AJQ30" s="115">
        <f>IF(AJQ28&gt;0,SUM($D$18:AJP18),0)</f>
        <v>0</v>
      </c>
      <c r="AJR30" s="115">
        <f>IF(AJR28&gt;0,SUM($D$18:AJQ18),0)</f>
        <v>0</v>
      </c>
      <c r="AJS30" s="115">
        <f>IF(AJS28&gt;0,SUM($D$18:AJR18),0)</f>
        <v>0</v>
      </c>
      <c r="AJT30" s="115">
        <f>IF(AJT28&gt;0,SUM($D$18:AJS18),0)</f>
        <v>0</v>
      </c>
      <c r="AJU30" s="115">
        <f>IF(AJU28&gt;0,SUM($D$18:AJT18),0)</f>
        <v>0</v>
      </c>
      <c r="AJV30" s="115">
        <f>IF(AJV28&gt;0,SUM($D$18:AJU18),0)</f>
        <v>0</v>
      </c>
      <c r="AJW30" s="115">
        <f>IF(AJW28&gt;0,SUM($D$18:AJV18),0)</f>
        <v>0</v>
      </c>
      <c r="AJX30" s="115">
        <f>IF(AJX28&gt;0,SUM($D$18:AJW18),0)</f>
        <v>0</v>
      </c>
      <c r="AJY30" s="115">
        <f>IF(AJY28&gt;0,SUM($D$18:AJX18),0)</f>
        <v>0</v>
      </c>
      <c r="AJZ30" s="115">
        <f>IF(AJZ28&gt;0,SUM($D$18:AJY18),0)</f>
        <v>0</v>
      </c>
      <c r="AKA30" s="115">
        <f>IF(AKA28&gt;0,SUM($D$18:AJZ18),0)</f>
        <v>0</v>
      </c>
      <c r="AKB30" s="115">
        <f>IF(AKB28&gt;0,SUM($D$18:AKA18),0)</f>
        <v>0</v>
      </c>
      <c r="AKC30" s="115">
        <f>IF(AKC28&gt;0,SUM($D$18:AKB18),0)</f>
        <v>0</v>
      </c>
      <c r="AKD30" s="115">
        <f>IF(AKD28&gt;0,SUM($D$18:AKC18),0)</f>
        <v>0</v>
      </c>
      <c r="AKE30" s="115">
        <f>IF(AKE28&gt;0,SUM($D$18:AKD18),0)</f>
        <v>0</v>
      </c>
      <c r="AKF30" s="115">
        <f>IF(AKF28&gt;0,SUM($D$18:AKE18),0)</f>
        <v>0</v>
      </c>
      <c r="AKG30" s="115">
        <f>IF(AKG28&gt;0,SUM($D$18:AKF18),0)</f>
        <v>0</v>
      </c>
      <c r="AKH30" s="115">
        <f>IF(AKH28&gt;0,SUM($D$18:AKG18),0)</f>
        <v>0</v>
      </c>
      <c r="AKI30" s="115">
        <f>IF(AKI28&gt;0,SUM($D$18:AKH18),0)</f>
        <v>0</v>
      </c>
      <c r="AKJ30" s="115">
        <f>IF(AKJ28&gt;0,SUM($D$18:AKI18),0)</f>
        <v>0</v>
      </c>
      <c r="AKK30" s="115">
        <f>IF(AKK28&gt;0,SUM($D$18:AKJ18),0)</f>
        <v>0</v>
      </c>
      <c r="AKL30" s="115">
        <f>IF(AKL28&gt;0,SUM($D$18:AKK18),0)</f>
        <v>0</v>
      </c>
      <c r="AKM30" s="115">
        <f>IF(AKM28&gt;0,SUM($D$18:AKL18),0)</f>
        <v>0</v>
      </c>
      <c r="AKN30" s="115">
        <f>IF(AKN28&gt;0,SUM($D$18:AKM18),0)</f>
        <v>0</v>
      </c>
      <c r="AKO30" s="115">
        <f>IF(AKO28&gt;0,SUM($D$18:AKN18),0)</f>
        <v>0</v>
      </c>
      <c r="AKP30" s="115">
        <f>IF(AKP28&gt;0,SUM($D$18:AKO18),0)</f>
        <v>0</v>
      </c>
      <c r="AKQ30" s="115">
        <f>IF(AKQ28&gt;0,SUM($D$18:AKP18),0)</f>
        <v>0</v>
      </c>
      <c r="AKR30" s="115">
        <f>IF(AKR28&gt;0,SUM($D$18:AKQ18),0)</f>
        <v>0</v>
      </c>
      <c r="AKS30" s="115">
        <f>IF(AKS28&gt;0,SUM($D$18:AKR18),0)</f>
        <v>0</v>
      </c>
      <c r="AKT30" s="115">
        <f>IF(AKT28&gt;0,SUM($D$18:AKS18),0)</f>
        <v>0</v>
      </c>
      <c r="AKU30" s="115">
        <f>IF(AKU28&gt;0,SUM($D$18:AKT18),0)</f>
        <v>0</v>
      </c>
      <c r="AKV30" s="115">
        <f>IF(AKV28&gt;0,SUM($D$18:AKU18),0)</f>
        <v>0</v>
      </c>
      <c r="AKW30" s="115">
        <f>IF(AKW28&gt;0,SUM($D$18:AKV18),0)</f>
        <v>0</v>
      </c>
      <c r="AKX30" s="115">
        <f>IF(AKX28&gt;0,SUM($D$18:AKW18),0)</f>
        <v>0</v>
      </c>
      <c r="AKY30" s="115">
        <f>IF(AKY28&gt;0,SUM($D$18:AKX18),0)</f>
        <v>0</v>
      </c>
      <c r="AKZ30" s="115">
        <f>IF(AKZ28&gt;0,SUM($D$18:AKY18),0)</f>
        <v>0</v>
      </c>
      <c r="ALA30" s="115">
        <f>IF(ALA28&gt;0,SUM($D$18:AKZ18),0)</f>
        <v>0</v>
      </c>
      <c r="ALB30" s="115">
        <f>IF(ALB28&gt;0,SUM($D$18:ALA18),0)</f>
        <v>0</v>
      </c>
      <c r="ALC30" s="115">
        <f>IF(ALC28&gt;0,SUM($D$18:ALB18),0)</f>
        <v>0</v>
      </c>
      <c r="ALD30" s="115">
        <f>IF(ALD28&gt;0,SUM($D$18:ALC18),0)</f>
        <v>0</v>
      </c>
      <c r="ALE30" s="115">
        <f>IF(ALE28&gt;0,SUM($D$18:ALD18),0)</f>
        <v>0</v>
      </c>
      <c r="ALF30" s="115">
        <f>IF(ALF28&gt;0,SUM($D$18:ALE18),0)</f>
        <v>0</v>
      </c>
      <c r="ALG30" s="115">
        <f>IF(ALG28&gt;0,SUM($D$18:ALF18),0)</f>
        <v>0</v>
      </c>
      <c r="ALH30" s="115">
        <f>IF(ALH28&gt;0,SUM($D$18:ALG18),0)</f>
        <v>0</v>
      </c>
      <c r="ALI30" s="115">
        <f>IF(ALI28&gt;0,SUM($D$18:ALH18),0)</f>
        <v>0</v>
      </c>
      <c r="ALJ30" s="115">
        <f>IF(ALJ28&gt;0,SUM($D$18:ALI18),0)</f>
        <v>0</v>
      </c>
      <c r="ALK30" s="115">
        <f>IF(ALK28&gt;0,SUM($D$18:ALJ18),0)</f>
        <v>0</v>
      </c>
      <c r="ALL30" s="115">
        <f>IF(ALL28&gt;0,SUM($D$18:ALK18),0)</f>
        <v>0</v>
      </c>
      <c r="ALM30" s="115">
        <f>IF(ALM28&gt;0,SUM($D$18:ALL18),0)</f>
        <v>0</v>
      </c>
      <c r="ALN30" s="115">
        <f>IF(ALN28&gt;0,SUM($D$18:ALM18),0)</f>
        <v>0</v>
      </c>
      <c r="ALO30" s="115">
        <f>IF(ALO28&gt;0,SUM($D$18:ALN18),0)</f>
        <v>0</v>
      </c>
      <c r="ALP30" s="115">
        <f>IF(ALP28&gt;0,SUM($D$18:ALO18),0)</f>
        <v>0</v>
      </c>
      <c r="ALQ30" s="115">
        <f>IF(ALQ28&gt;0,SUM($D$18:ALP18),0)</f>
        <v>0</v>
      </c>
      <c r="ALR30" s="115">
        <f>IF(ALR28&gt;0,SUM($D$18:ALQ18),0)</f>
        <v>0</v>
      </c>
      <c r="ALS30" s="115">
        <f>IF(ALS28&gt;0,SUM($D$18:ALR18),0)</f>
        <v>0</v>
      </c>
      <c r="ALT30" s="115">
        <f>IF(ALT28&gt;0,SUM($D$18:ALS18),0)</f>
        <v>0</v>
      </c>
      <c r="ALU30" s="115">
        <f>IF(ALU28&gt;0,SUM($D$18:ALT18),0)</f>
        <v>0</v>
      </c>
      <c r="ALV30" s="115">
        <f>IF(ALV28&gt;0,SUM($D$18:ALU18),0)</f>
        <v>0</v>
      </c>
      <c r="ALW30" s="115">
        <f>IF(ALW28&gt;0,SUM($D$18:ALV18),0)</f>
        <v>0</v>
      </c>
      <c r="ALX30" s="115">
        <f>IF(ALX28&gt;0,SUM($D$18:ALW18),0)</f>
        <v>0</v>
      </c>
      <c r="ALY30" s="115">
        <f>IF(ALY28&gt;0,SUM($D$18:ALX18),0)</f>
        <v>0</v>
      </c>
      <c r="ALZ30" s="115">
        <f>IF(ALZ28&gt;0,SUM($D$18:ALY18),0)</f>
        <v>0</v>
      </c>
      <c r="AMA30" s="115">
        <f>IF(AMA28&gt;0,SUM($D$18:ALZ18),0)</f>
        <v>0</v>
      </c>
      <c r="AMB30" s="115">
        <f>IF(AMB28&gt;0,SUM($D$18:AMA18),0)</f>
        <v>0</v>
      </c>
      <c r="AMC30" s="115">
        <f>IF(AMC28&gt;0,SUM($D$18:AMB18),0)</f>
        <v>0</v>
      </c>
      <c r="AMD30" s="115">
        <f>IF(AMD28&gt;0,SUM($D$18:AMC18),0)</f>
        <v>0</v>
      </c>
      <c r="AME30" s="115">
        <f>IF(AME28&gt;0,SUM($D$18:AMD18),0)</f>
        <v>0</v>
      </c>
      <c r="AMF30" s="115">
        <f>IF(AMF28&gt;0,SUM($D$18:AME18),0)</f>
        <v>0</v>
      </c>
      <c r="AMG30" s="115">
        <f>IF(AMG28&gt;0,SUM($D$18:AMF18),0)</f>
        <v>0</v>
      </c>
      <c r="AMH30" s="115">
        <f>IF(AMH28&gt;0,SUM($D$18:AMG18),0)</f>
        <v>0</v>
      </c>
      <c r="AMI30" s="115">
        <f>IF(AMI28&gt;0,SUM($D$18:AMH18),0)</f>
        <v>0</v>
      </c>
      <c r="AMJ30" s="115">
        <f>IF(AMJ28&gt;0,SUM($D$18:AMI18),0)</f>
        <v>0</v>
      </c>
      <c r="AMK30" s="115">
        <f>IF(AMK28&gt;0,SUM($D$18:AMJ18),0)</f>
        <v>0</v>
      </c>
      <c r="AML30" s="115">
        <f>IF(AML28&gt;0,SUM($D$18:AMK18),0)</f>
        <v>0</v>
      </c>
      <c r="AMM30" s="115">
        <f>IF(AMM28&gt;0,SUM($D$18:AML18),0)</f>
        <v>0</v>
      </c>
      <c r="AMN30" s="115">
        <f>IF(AMN28&gt;0,SUM($D$18:AMM18),0)</f>
        <v>0</v>
      </c>
      <c r="AMO30" s="115">
        <f>IF(AMO28&gt;0,SUM($D$18:AMN18),0)</f>
        <v>0</v>
      </c>
      <c r="AMP30" s="115">
        <f>IF(AMP28&gt;0,SUM($D$18:AMO18),0)</f>
        <v>0</v>
      </c>
      <c r="AMQ30" s="115">
        <f>IF(AMQ28&gt;0,SUM($D$18:AMP18),0)</f>
        <v>0</v>
      </c>
      <c r="AMR30" s="115">
        <f>IF(AMR28&gt;0,SUM($D$18:AMQ18),0)</f>
        <v>0</v>
      </c>
      <c r="AMS30" s="115">
        <f>IF(AMS28&gt;0,SUM($D$18:AMR18),0)</f>
        <v>0</v>
      </c>
      <c r="AMT30" s="115">
        <f>IF(AMT28&gt;0,SUM($D$18:AMS18),0)</f>
        <v>0</v>
      </c>
      <c r="AMU30" s="115">
        <f>IF(AMU28&gt;0,SUM($D$18:AMT18),0)</f>
        <v>0</v>
      </c>
      <c r="AMV30" s="115">
        <f>IF(AMV28&gt;0,SUM($D$18:AMU18),0)</f>
        <v>0</v>
      </c>
      <c r="AMW30" s="115">
        <f>IF(AMW28&gt;0,SUM($D$18:AMV18),0)</f>
        <v>0</v>
      </c>
      <c r="AMX30" s="115">
        <f>IF(AMX28&gt;0,SUM($D$18:AMW18),0)</f>
        <v>0</v>
      </c>
      <c r="AMY30" s="115">
        <f>IF(AMY28&gt;0,SUM($D$18:AMX18),0)</f>
        <v>0</v>
      </c>
      <c r="AMZ30" s="115">
        <f>IF(AMZ28&gt;0,SUM($D$18:AMY18),0)</f>
        <v>0</v>
      </c>
      <c r="ANA30" s="115">
        <f>IF(ANA28&gt;0,SUM($D$18:AMZ18),0)</f>
        <v>0</v>
      </c>
      <c r="ANB30" s="115">
        <f>IF(ANB28&gt;0,SUM($D$18:ANA18),0)</f>
        <v>0</v>
      </c>
      <c r="ANC30" s="115">
        <f>IF(ANC28&gt;0,SUM($D$18:ANB18),0)</f>
        <v>0</v>
      </c>
      <c r="AND30" s="115">
        <f>IF(AND28&gt;0,SUM($D$18:ANC18),0)</f>
        <v>0</v>
      </c>
      <c r="ANE30" s="115">
        <f>IF(ANE28&gt;0,SUM($D$18:AND18),0)</f>
        <v>0</v>
      </c>
      <c r="ANF30" s="115">
        <f>IF(ANF28&gt;0,SUM($D$18:ANE18),0)</f>
        <v>0</v>
      </c>
      <c r="ANG30" s="115">
        <f>IF(ANG28&gt;0,SUM($D$18:ANF18),0)</f>
        <v>0</v>
      </c>
      <c r="ANH30" s="115">
        <f>IF(ANH28&gt;0,SUM($D$18:ANG18),0)</f>
        <v>0</v>
      </c>
      <c r="ANI30" s="115">
        <f>IF(ANI28&gt;0,SUM($D$18:ANH18),0)</f>
        <v>0</v>
      </c>
      <c r="ANJ30" s="115">
        <f>IF(ANJ28&gt;0,SUM($D$18:ANI18),0)</f>
        <v>0</v>
      </c>
      <c r="ANK30" s="115">
        <f>IF(ANK28&gt;0,SUM($D$18:ANJ18),0)</f>
        <v>0</v>
      </c>
      <c r="ANL30" s="115">
        <f>IF(ANL28&gt;0,SUM($D$18:ANK18),0)</f>
        <v>0</v>
      </c>
      <c r="ANM30" s="115">
        <f>IF(ANM28&gt;0,SUM($D$18:ANL18),0)</f>
        <v>0</v>
      </c>
      <c r="ANN30" s="115">
        <f>IF(ANN28&gt;0,SUM($D$18:ANM18),0)</f>
        <v>0</v>
      </c>
      <c r="ANO30" s="115">
        <f>IF(ANO28&gt;0,SUM($D$18:ANN18),0)</f>
        <v>0</v>
      </c>
      <c r="ANP30" s="115">
        <f>IF(ANP28&gt;0,SUM($D$18:ANO18),0)</f>
        <v>0</v>
      </c>
      <c r="ANQ30" s="115">
        <f>IF(ANQ28&gt;0,SUM($D$18:ANP18),0)</f>
        <v>0</v>
      </c>
      <c r="ANR30" s="115">
        <f>IF(ANR28&gt;0,SUM($D$18:ANQ18),0)</f>
        <v>0</v>
      </c>
      <c r="ANS30" s="115">
        <f>IF(ANS28&gt;0,SUM($D$18:ANR18),0)</f>
        <v>0</v>
      </c>
      <c r="ANT30" s="115">
        <f>IF(ANT28&gt;0,SUM($D$18:ANS18),0)</f>
        <v>0</v>
      </c>
      <c r="ANU30" s="115">
        <f>IF(ANU28&gt;0,SUM($D$18:ANT18),0)</f>
        <v>0</v>
      </c>
      <c r="ANV30" s="115">
        <f>IF(ANV28&gt;0,SUM($D$18:ANU18),0)</f>
        <v>0</v>
      </c>
      <c r="ANW30" s="115">
        <f>IF(ANW28&gt;0,SUM($D$18:ANV18),0)</f>
        <v>0</v>
      </c>
      <c r="ANX30" s="115">
        <f>IF(ANX28&gt;0,SUM($D$18:ANW18),0)</f>
        <v>0</v>
      </c>
      <c r="ANY30" s="115">
        <f>IF(ANY28&gt;0,SUM($D$18:ANX18),0)</f>
        <v>0</v>
      </c>
      <c r="ANZ30" s="115">
        <f>IF(ANZ28&gt;0,SUM($D$18:ANY18),0)</f>
        <v>0</v>
      </c>
      <c r="AOA30" s="115">
        <f>IF(AOA28&gt;0,SUM($D$18:ANZ18),0)</f>
        <v>0</v>
      </c>
      <c r="AOB30" s="115">
        <f>IF(AOB28&gt;0,SUM($D$18:AOA18),0)</f>
        <v>0</v>
      </c>
      <c r="AOC30" s="115">
        <f>IF(AOC28&gt;0,SUM($D$18:AOB18),0)</f>
        <v>0</v>
      </c>
      <c r="AOD30" s="115">
        <f>IF(AOD28&gt;0,SUM($D$18:AOC18),0)</f>
        <v>0</v>
      </c>
      <c r="AOE30" s="115">
        <f>IF(AOE28&gt;0,SUM($D$18:AOD18),0)</f>
        <v>0</v>
      </c>
      <c r="AOF30" s="115">
        <f>IF(AOF28&gt;0,SUM($D$18:AOE18),0)</f>
        <v>0</v>
      </c>
      <c r="AOG30" s="115">
        <f>IF(AOG28&gt;0,SUM($D$18:AOF18),0)</f>
        <v>0</v>
      </c>
      <c r="AOH30" s="115">
        <f>IF(AOH28&gt;0,SUM($D$18:AOG18),0)</f>
        <v>0</v>
      </c>
      <c r="AOI30" s="115">
        <f>IF(AOI28&gt;0,SUM($D$18:AOH18),0)</f>
        <v>0</v>
      </c>
      <c r="AOJ30" s="115">
        <f>IF(AOJ28&gt;0,SUM($D$18:AOI18),0)</f>
        <v>0</v>
      </c>
      <c r="AOK30" s="115">
        <f>IF(AOK28&gt;0,SUM($D$18:AOJ18),0)</f>
        <v>0</v>
      </c>
      <c r="AOL30" s="115">
        <f>IF(AOL28&gt;0,SUM($D$18:AOK18),0)</f>
        <v>0</v>
      </c>
      <c r="AOM30" s="115">
        <f>IF(AOM28&gt;0,SUM($D$18:AOL18),0)</f>
        <v>0</v>
      </c>
      <c r="AON30" s="115">
        <f>IF(AON28&gt;0,SUM($D$18:AOM18),0)</f>
        <v>0</v>
      </c>
      <c r="AOO30" s="115">
        <f>IF(AOO28&gt;0,SUM($D$18:AON18),0)</f>
        <v>0</v>
      </c>
      <c r="AOP30" s="115">
        <f>IF(AOP28&gt;0,SUM($D$18:AOO18),0)</f>
        <v>0</v>
      </c>
      <c r="AOQ30" s="115">
        <f>IF(AOQ28&gt;0,SUM($D$18:AOP18),0)</f>
        <v>0</v>
      </c>
    </row>
    <row r="31" spans="2:1083" x14ac:dyDescent="0.25">
      <c r="B31" s="116" t="s">
        <v>300</v>
      </c>
      <c r="C31" s="115">
        <f>IFERROR(MAX(IF(MAX(C30,0)=0,"Saldo Insuficiente",MAX(C30,0)),0),"Saldo Insuficiente")</f>
        <v>20</v>
      </c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  <c r="CA31" s="115"/>
      <c r="CB31" s="115"/>
      <c r="CC31" s="115"/>
      <c r="CD31" s="115"/>
      <c r="CE31" s="115"/>
      <c r="CF31" s="115"/>
      <c r="CG31" s="115"/>
      <c r="CH31" s="115"/>
      <c r="CI31" s="115"/>
      <c r="CJ31" s="115"/>
      <c r="CK31" s="115"/>
      <c r="CL31" s="115"/>
      <c r="CM31" s="115"/>
      <c r="CN31" s="115"/>
      <c r="CO31" s="115"/>
      <c r="CP31" s="115"/>
      <c r="CQ31" s="115"/>
      <c r="CR31" s="115"/>
      <c r="CS31" s="115"/>
      <c r="CT31" s="115"/>
      <c r="CU31" s="115"/>
      <c r="CV31" s="115"/>
      <c r="CW31" s="115"/>
      <c r="CX31" s="115"/>
      <c r="CY31" s="115"/>
      <c r="CZ31" s="115"/>
      <c r="DA31" s="115"/>
      <c r="DB31" s="115"/>
      <c r="DC31" s="115"/>
      <c r="DD31" s="115"/>
      <c r="DE31" s="115"/>
      <c r="DF31" s="115"/>
      <c r="DG31" s="115"/>
      <c r="DH31" s="115"/>
      <c r="DI31" s="115"/>
      <c r="DJ31" s="115"/>
      <c r="DK31" s="115"/>
      <c r="DL31" s="115"/>
      <c r="DM31" s="115"/>
      <c r="DN31" s="115"/>
      <c r="DO31" s="115"/>
      <c r="DP31" s="115"/>
      <c r="DQ31" s="115"/>
      <c r="DR31" s="115"/>
      <c r="DS31" s="115"/>
      <c r="DT31" s="115"/>
      <c r="DU31" s="115"/>
      <c r="DV31" s="115"/>
      <c r="DW31" s="115"/>
      <c r="DX31" s="115"/>
      <c r="DY31" s="115"/>
      <c r="DZ31" s="115"/>
      <c r="EA31" s="115"/>
      <c r="EB31" s="115"/>
      <c r="EC31" s="115"/>
      <c r="ED31" s="115"/>
      <c r="EE31" s="115"/>
      <c r="EF31" s="115"/>
      <c r="EG31" s="115"/>
      <c r="EH31" s="115"/>
      <c r="EI31" s="115"/>
      <c r="EJ31" s="115"/>
      <c r="EK31" s="115"/>
      <c r="EL31" s="115"/>
      <c r="EM31" s="115"/>
      <c r="EN31" s="115"/>
      <c r="EO31" s="115"/>
      <c r="EP31" s="115"/>
      <c r="EQ31" s="115"/>
      <c r="ER31" s="115"/>
      <c r="ES31" s="115"/>
      <c r="ET31" s="115"/>
      <c r="EU31" s="115"/>
      <c r="EV31" s="115"/>
      <c r="EW31" s="115"/>
      <c r="EX31" s="115"/>
      <c r="EY31" s="115"/>
      <c r="EZ31" s="115"/>
      <c r="FA31" s="115"/>
      <c r="FB31" s="115"/>
      <c r="FC31" s="115"/>
      <c r="FD31" s="115"/>
      <c r="FE31" s="115"/>
      <c r="FF31" s="115"/>
      <c r="FG31" s="115"/>
      <c r="FH31" s="115"/>
      <c r="FI31" s="115"/>
      <c r="FJ31" s="115"/>
      <c r="FK31" s="115"/>
      <c r="FL31" s="115"/>
      <c r="FM31" s="115"/>
      <c r="FN31" s="115"/>
      <c r="FO31" s="115"/>
      <c r="FP31" s="115"/>
      <c r="FQ31" s="115"/>
      <c r="FR31" s="115"/>
      <c r="FS31" s="115"/>
      <c r="FT31" s="115"/>
      <c r="FU31" s="115"/>
      <c r="FV31" s="115"/>
      <c r="FW31" s="115"/>
      <c r="FX31" s="115"/>
      <c r="FY31" s="115"/>
      <c r="FZ31" s="115"/>
      <c r="GA31" s="115"/>
      <c r="GB31" s="115"/>
      <c r="GC31" s="115"/>
      <c r="GD31" s="115"/>
      <c r="GE31" s="115"/>
      <c r="GF31" s="115"/>
      <c r="GG31" s="115"/>
      <c r="GH31" s="115"/>
      <c r="GI31" s="115"/>
      <c r="GJ31" s="115"/>
      <c r="GK31" s="115"/>
      <c r="GL31" s="115"/>
      <c r="GM31" s="115"/>
      <c r="GN31" s="115"/>
      <c r="GO31" s="115"/>
      <c r="GP31" s="115"/>
      <c r="GQ31" s="115"/>
      <c r="GR31" s="115"/>
      <c r="GS31" s="115"/>
      <c r="GT31" s="115"/>
      <c r="GU31" s="115"/>
      <c r="GV31" s="115"/>
      <c r="GW31" s="115"/>
      <c r="GX31" s="115"/>
      <c r="GY31" s="115"/>
      <c r="GZ31" s="115"/>
      <c r="HA31" s="115"/>
      <c r="HB31" s="115"/>
      <c r="HC31" s="115"/>
      <c r="HD31" s="115"/>
      <c r="HE31" s="115"/>
      <c r="HF31" s="115"/>
      <c r="HG31" s="115"/>
      <c r="HH31" s="115"/>
      <c r="HI31" s="115"/>
      <c r="HJ31" s="115"/>
      <c r="HK31" s="115"/>
      <c r="HL31" s="115"/>
      <c r="HM31" s="115"/>
      <c r="HN31" s="115"/>
      <c r="HO31" s="115"/>
      <c r="HP31" s="115"/>
      <c r="HQ31" s="115"/>
      <c r="HR31" s="115"/>
      <c r="HS31" s="115"/>
      <c r="HT31" s="115"/>
      <c r="HU31" s="115"/>
      <c r="HV31" s="115"/>
      <c r="HW31" s="115"/>
      <c r="HX31" s="115"/>
      <c r="HY31" s="115"/>
      <c r="HZ31" s="115"/>
      <c r="IA31" s="115"/>
      <c r="IB31" s="115"/>
      <c r="IC31" s="115"/>
      <c r="ID31" s="115"/>
      <c r="IE31" s="115"/>
      <c r="IF31" s="115"/>
      <c r="IG31" s="115"/>
      <c r="IH31" s="115"/>
      <c r="II31" s="115"/>
      <c r="IJ31" s="115"/>
      <c r="IK31" s="115"/>
      <c r="IL31" s="115"/>
      <c r="IM31" s="115"/>
      <c r="IN31" s="115"/>
      <c r="IO31" s="115"/>
      <c r="IP31" s="115"/>
      <c r="IQ31" s="115"/>
      <c r="IR31" s="115"/>
      <c r="IS31" s="115"/>
      <c r="IT31" s="115"/>
      <c r="IU31" s="115"/>
      <c r="IV31" s="115"/>
      <c r="IW31" s="115"/>
      <c r="IX31" s="115"/>
      <c r="IY31" s="115"/>
      <c r="IZ31" s="115"/>
      <c r="JA31" s="115"/>
      <c r="JB31" s="115"/>
      <c r="JC31" s="115"/>
      <c r="JD31" s="115"/>
      <c r="JE31" s="115"/>
      <c r="JF31" s="115"/>
      <c r="JG31" s="115"/>
      <c r="JH31" s="115"/>
      <c r="JI31" s="115"/>
      <c r="JJ31" s="115"/>
      <c r="JK31" s="115"/>
      <c r="JL31" s="115"/>
      <c r="JM31" s="115"/>
      <c r="JN31" s="115"/>
      <c r="JO31" s="115"/>
      <c r="JP31" s="115"/>
      <c r="JQ31" s="115"/>
      <c r="JR31" s="115"/>
      <c r="JS31" s="115"/>
      <c r="JT31" s="115"/>
      <c r="JU31" s="115"/>
      <c r="JV31" s="115"/>
      <c r="JW31" s="115"/>
      <c r="JX31" s="115"/>
      <c r="JY31" s="115"/>
      <c r="JZ31" s="115"/>
      <c r="KA31" s="115"/>
      <c r="KB31" s="115"/>
      <c r="KC31" s="115"/>
      <c r="KD31" s="115"/>
      <c r="KE31" s="115"/>
      <c r="KF31" s="115"/>
      <c r="KG31" s="115"/>
      <c r="KH31" s="115"/>
      <c r="KI31" s="115"/>
      <c r="KJ31" s="115"/>
      <c r="KK31" s="115"/>
      <c r="KL31" s="115"/>
      <c r="KM31" s="115"/>
      <c r="KN31" s="115"/>
      <c r="KO31" s="115"/>
      <c r="KP31" s="115"/>
      <c r="KQ31" s="115"/>
      <c r="KR31" s="115"/>
      <c r="KS31" s="115"/>
      <c r="KT31" s="115"/>
      <c r="KU31" s="115"/>
      <c r="KV31" s="115"/>
      <c r="KW31" s="115"/>
      <c r="KX31" s="115"/>
      <c r="KY31" s="115"/>
      <c r="KZ31" s="115"/>
      <c r="LA31" s="115"/>
      <c r="LB31" s="115"/>
      <c r="LC31" s="115"/>
      <c r="LD31" s="115"/>
      <c r="LE31" s="115"/>
      <c r="LF31" s="115"/>
      <c r="LG31" s="115"/>
      <c r="LH31" s="115"/>
      <c r="LI31" s="115"/>
      <c r="LJ31" s="115"/>
      <c r="LK31" s="115"/>
      <c r="LL31" s="115"/>
      <c r="LM31" s="115"/>
      <c r="LN31" s="115"/>
      <c r="LO31" s="115"/>
      <c r="LP31" s="115"/>
      <c r="LQ31" s="115"/>
      <c r="LR31" s="115"/>
      <c r="LS31" s="115"/>
      <c r="LT31" s="115"/>
      <c r="LU31" s="115"/>
      <c r="LV31" s="115"/>
      <c r="LW31" s="115"/>
      <c r="LX31" s="115"/>
      <c r="LY31" s="115"/>
      <c r="LZ31" s="115"/>
      <c r="MA31" s="115"/>
      <c r="MB31" s="115"/>
      <c r="MC31" s="115"/>
      <c r="MD31" s="115"/>
      <c r="ME31" s="115"/>
      <c r="MF31" s="115"/>
      <c r="MG31" s="115"/>
      <c r="MH31" s="115"/>
      <c r="MI31" s="115"/>
      <c r="MJ31" s="115"/>
      <c r="MK31" s="115"/>
      <c r="ML31" s="115"/>
      <c r="MM31" s="115"/>
      <c r="MN31" s="115"/>
      <c r="MO31" s="115"/>
      <c r="MP31" s="115"/>
      <c r="MQ31" s="115"/>
      <c r="MR31" s="115"/>
      <c r="MS31" s="115"/>
      <c r="MT31" s="115"/>
      <c r="MU31" s="115"/>
      <c r="MV31" s="115"/>
      <c r="MW31" s="115"/>
      <c r="MX31" s="115"/>
      <c r="MY31" s="115"/>
      <c r="MZ31" s="115"/>
      <c r="NA31" s="115"/>
      <c r="NB31" s="115"/>
      <c r="NC31" s="115"/>
      <c r="ND31" s="115"/>
      <c r="NE31" s="115"/>
      <c r="NF31" s="115"/>
      <c r="NG31" s="115"/>
      <c r="NH31" s="115"/>
      <c r="NI31" s="115"/>
      <c r="NJ31" s="115"/>
      <c r="NK31" s="115"/>
      <c r="NL31" s="115"/>
      <c r="NM31" s="115"/>
      <c r="NN31" s="115"/>
      <c r="NO31" s="115"/>
      <c r="NP31" s="115"/>
      <c r="NQ31" s="115"/>
      <c r="NR31" s="115"/>
      <c r="NS31" s="115"/>
      <c r="NT31" s="115"/>
      <c r="NU31" s="115"/>
      <c r="NV31" s="115"/>
      <c r="NW31" s="115"/>
      <c r="NX31" s="115"/>
      <c r="NY31" s="115"/>
      <c r="NZ31" s="115"/>
      <c r="OA31" s="115"/>
      <c r="OB31" s="115"/>
      <c r="OC31" s="115"/>
      <c r="OD31" s="115"/>
      <c r="OE31" s="115"/>
      <c r="OF31" s="115"/>
      <c r="OG31" s="115"/>
      <c r="OH31" s="115"/>
      <c r="OI31" s="115"/>
      <c r="OJ31" s="115"/>
      <c r="OK31" s="115"/>
      <c r="OL31" s="115"/>
      <c r="OM31" s="115"/>
      <c r="ON31" s="115"/>
      <c r="OO31" s="115"/>
      <c r="OP31" s="115"/>
      <c r="OQ31" s="115"/>
      <c r="OR31" s="115"/>
      <c r="OS31" s="115"/>
      <c r="OT31" s="115"/>
      <c r="OU31" s="115"/>
      <c r="OV31" s="115"/>
      <c r="OW31" s="115"/>
      <c r="OX31" s="115"/>
      <c r="OY31" s="115"/>
      <c r="OZ31" s="115"/>
      <c r="PA31" s="115"/>
      <c r="PB31" s="115"/>
      <c r="PC31" s="115"/>
      <c r="PD31" s="115"/>
      <c r="PE31" s="115"/>
      <c r="PF31" s="115"/>
      <c r="PG31" s="115"/>
      <c r="PH31" s="115"/>
      <c r="PI31" s="115"/>
      <c r="PJ31" s="115"/>
      <c r="PK31" s="115"/>
      <c r="PL31" s="115"/>
      <c r="PM31" s="115"/>
      <c r="PN31" s="115"/>
      <c r="PO31" s="115"/>
      <c r="PP31" s="115"/>
      <c r="PQ31" s="115"/>
      <c r="PR31" s="115"/>
      <c r="PS31" s="115"/>
      <c r="PT31" s="115"/>
      <c r="PU31" s="115"/>
      <c r="PV31" s="115"/>
      <c r="PW31" s="115"/>
      <c r="PX31" s="115"/>
      <c r="PY31" s="115"/>
      <c r="PZ31" s="115"/>
      <c r="QA31" s="115"/>
      <c r="QB31" s="115"/>
      <c r="QC31" s="115"/>
      <c r="QD31" s="115"/>
      <c r="QE31" s="115"/>
      <c r="QF31" s="115"/>
      <c r="QG31" s="115"/>
      <c r="QH31" s="115"/>
      <c r="QI31" s="115"/>
      <c r="QJ31" s="115"/>
      <c r="QK31" s="115"/>
      <c r="QL31" s="115"/>
      <c r="QM31" s="115"/>
      <c r="QN31" s="115"/>
      <c r="QO31" s="115"/>
      <c r="QP31" s="115"/>
      <c r="QQ31" s="115"/>
      <c r="QR31" s="115"/>
      <c r="QS31" s="115"/>
      <c r="QT31" s="115"/>
      <c r="QU31" s="115"/>
      <c r="QV31" s="115"/>
      <c r="QW31" s="115"/>
      <c r="QX31" s="115"/>
      <c r="QY31" s="115"/>
      <c r="QZ31" s="115"/>
      <c r="RA31" s="115"/>
      <c r="RB31" s="115"/>
      <c r="RC31" s="115"/>
      <c r="RD31" s="115"/>
      <c r="RE31" s="115"/>
      <c r="RF31" s="115"/>
      <c r="RG31" s="115"/>
      <c r="RH31" s="115"/>
      <c r="RI31" s="115"/>
      <c r="RJ31" s="115"/>
      <c r="RK31" s="115"/>
      <c r="RL31" s="115"/>
      <c r="RM31" s="115"/>
      <c r="RN31" s="115"/>
      <c r="RO31" s="115"/>
      <c r="RP31" s="115"/>
      <c r="RQ31" s="115"/>
      <c r="RR31" s="115"/>
      <c r="RS31" s="115"/>
      <c r="RT31" s="115"/>
      <c r="RU31" s="115"/>
      <c r="RV31" s="115"/>
      <c r="RW31" s="115"/>
      <c r="RX31" s="115"/>
      <c r="RY31" s="115"/>
      <c r="RZ31" s="115"/>
      <c r="SA31" s="115"/>
      <c r="SB31" s="115"/>
      <c r="SC31" s="115"/>
      <c r="SD31" s="115"/>
      <c r="SE31" s="115"/>
      <c r="SF31" s="115"/>
      <c r="SG31" s="115"/>
      <c r="SH31" s="115"/>
      <c r="SI31" s="115"/>
      <c r="SJ31" s="115"/>
      <c r="SK31" s="115"/>
      <c r="SL31" s="115"/>
      <c r="SM31" s="115"/>
      <c r="SN31" s="115"/>
      <c r="SO31" s="115"/>
      <c r="SP31" s="115"/>
      <c r="SQ31" s="115"/>
      <c r="SR31" s="115"/>
      <c r="SS31" s="115"/>
      <c r="ST31" s="115"/>
      <c r="SU31" s="115"/>
      <c r="SV31" s="115"/>
      <c r="SW31" s="115"/>
      <c r="SX31" s="115"/>
      <c r="SY31" s="115"/>
      <c r="SZ31" s="115"/>
      <c r="TA31" s="115"/>
      <c r="TB31" s="115"/>
      <c r="TC31" s="115"/>
      <c r="TD31" s="115"/>
      <c r="TE31" s="115"/>
      <c r="TF31" s="115"/>
      <c r="TG31" s="115"/>
      <c r="TH31" s="115"/>
      <c r="TI31" s="115"/>
      <c r="TJ31" s="115"/>
      <c r="TK31" s="115"/>
      <c r="TL31" s="115"/>
      <c r="TM31" s="115"/>
      <c r="TN31" s="115"/>
      <c r="TO31" s="115"/>
      <c r="TP31" s="115"/>
      <c r="TQ31" s="115"/>
      <c r="TR31" s="115"/>
      <c r="TS31" s="115"/>
      <c r="TT31" s="115"/>
      <c r="TU31" s="115"/>
      <c r="TV31" s="115"/>
      <c r="TW31" s="115"/>
      <c r="TX31" s="115"/>
      <c r="TY31" s="115"/>
      <c r="TZ31" s="115"/>
      <c r="UA31" s="115"/>
      <c r="UB31" s="115"/>
      <c r="UC31" s="115"/>
      <c r="UD31" s="115"/>
      <c r="UE31" s="115"/>
      <c r="UF31" s="115"/>
      <c r="UG31" s="115"/>
      <c r="UH31" s="115"/>
      <c r="UI31" s="115"/>
      <c r="UJ31" s="115"/>
      <c r="UK31" s="115"/>
      <c r="UL31" s="115"/>
      <c r="UM31" s="115"/>
      <c r="UN31" s="115"/>
      <c r="UO31" s="115"/>
      <c r="UP31" s="115"/>
      <c r="UQ31" s="115"/>
      <c r="UR31" s="115"/>
      <c r="US31" s="115"/>
      <c r="UT31" s="115"/>
      <c r="UU31" s="115"/>
      <c r="UV31" s="115"/>
      <c r="UW31" s="115"/>
      <c r="UX31" s="115"/>
      <c r="UY31" s="115"/>
      <c r="UZ31" s="115"/>
      <c r="VA31" s="115"/>
      <c r="VB31" s="115"/>
      <c r="VC31" s="115"/>
      <c r="VD31" s="115"/>
      <c r="VE31" s="115"/>
      <c r="VF31" s="115"/>
      <c r="VG31" s="115"/>
      <c r="VH31" s="115"/>
      <c r="VI31" s="115"/>
      <c r="VJ31" s="115"/>
      <c r="VK31" s="115"/>
      <c r="VL31" s="115"/>
      <c r="VM31" s="115"/>
      <c r="VN31" s="115"/>
      <c r="VO31" s="115"/>
      <c r="VP31" s="115"/>
      <c r="VQ31" s="115"/>
      <c r="VR31" s="115"/>
      <c r="VS31" s="115"/>
      <c r="VT31" s="115"/>
      <c r="VU31" s="115"/>
      <c r="VV31" s="115"/>
      <c r="VW31" s="115"/>
      <c r="VX31" s="115"/>
      <c r="VY31" s="115"/>
      <c r="VZ31" s="115"/>
      <c r="WA31" s="115"/>
      <c r="WB31" s="115"/>
      <c r="WC31" s="115"/>
      <c r="WD31" s="115"/>
      <c r="WE31" s="115"/>
      <c r="WF31" s="115"/>
      <c r="WG31" s="115"/>
      <c r="WH31" s="115"/>
      <c r="WI31" s="115"/>
      <c r="WJ31" s="115"/>
      <c r="WK31" s="115"/>
      <c r="WL31" s="115"/>
      <c r="WM31" s="115"/>
      <c r="WN31" s="115"/>
      <c r="WO31" s="115"/>
      <c r="WP31" s="115"/>
      <c r="WQ31" s="115"/>
      <c r="WR31" s="115"/>
      <c r="WS31" s="115"/>
      <c r="WT31" s="115"/>
      <c r="WU31" s="115"/>
      <c r="WV31" s="115"/>
      <c r="WW31" s="115"/>
      <c r="WX31" s="115"/>
      <c r="WY31" s="115"/>
      <c r="WZ31" s="115"/>
      <c r="XA31" s="115"/>
      <c r="XB31" s="115"/>
      <c r="XC31" s="115"/>
      <c r="XD31" s="115"/>
      <c r="XE31" s="115"/>
      <c r="XF31" s="115"/>
      <c r="XG31" s="115"/>
      <c r="XH31" s="115"/>
      <c r="XI31" s="115"/>
      <c r="XJ31" s="115"/>
      <c r="XK31" s="115"/>
      <c r="XL31" s="115"/>
      <c r="XM31" s="115"/>
      <c r="XN31" s="115"/>
      <c r="XO31" s="115"/>
      <c r="XP31" s="115"/>
      <c r="XQ31" s="115"/>
      <c r="XR31" s="115"/>
      <c r="XS31" s="115"/>
      <c r="XT31" s="115"/>
      <c r="XU31" s="115"/>
      <c r="XV31" s="115"/>
      <c r="XW31" s="115"/>
      <c r="XX31" s="115"/>
      <c r="XY31" s="115"/>
      <c r="XZ31" s="115"/>
      <c r="YA31" s="115"/>
      <c r="YB31" s="115"/>
      <c r="YC31" s="115"/>
      <c r="YD31" s="115"/>
      <c r="YE31" s="115"/>
      <c r="YF31" s="115"/>
      <c r="YG31" s="115"/>
      <c r="YH31" s="115"/>
      <c r="YI31" s="115"/>
      <c r="YJ31" s="115"/>
      <c r="YK31" s="115"/>
      <c r="YL31" s="115"/>
      <c r="YM31" s="115"/>
      <c r="YN31" s="115"/>
      <c r="YO31" s="115"/>
      <c r="YP31" s="115"/>
      <c r="YQ31" s="115"/>
      <c r="YR31" s="115"/>
      <c r="YS31" s="115"/>
      <c r="YT31" s="115"/>
      <c r="YU31" s="115"/>
      <c r="YV31" s="115"/>
      <c r="YW31" s="115"/>
      <c r="YX31" s="115"/>
      <c r="YY31" s="115"/>
      <c r="YZ31" s="115"/>
      <c r="ZA31" s="115"/>
      <c r="ZB31" s="115"/>
      <c r="ZC31" s="115"/>
      <c r="ZD31" s="115"/>
      <c r="ZE31" s="115"/>
      <c r="ZF31" s="115"/>
      <c r="ZG31" s="115"/>
      <c r="ZH31" s="115"/>
      <c r="ZI31" s="115"/>
      <c r="ZJ31" s="115"/>
      <c r="ZK31" s="115"/>
      <c r="ZL31" s="115"/>
      <c r="ZM31" s="115"/>
      <c r="ZN31" s="115"/>
      <c r="ZO31" s="115"/>
      <c r="ZP31" s="115"/>
      <c r="ZQ31" s="115"/>
      <c r="ZR31" s="115"/>
      <c r="ZS31" s="115"/>
      <c r="ZT31" s="115"/>
      <c r="ZU31" s="115"/>
      <c r="ZV31" s="115"/>
      <c r="ZW31" s="115"/>
      <c r="ZX31" s="115"/>
      <c r="ZY31" s="115"/>
      <c r="ZZ31" s="115"/>
      <c r="AAA31" s="115"/>
      <c r="AAB31" s="115"/>
      <c r="AAC31" s="115"/>
      <c r="AAD31" s="115"/>
      <c r="AAE31" s="115"/>
      <c r="AAF31" s="115"/>
      <c r="AAG31" s="115"/>
      <c r="AAH31" s="115"/>
      <c r="AAI31" s="115"/>
      <c r="AAJ31" s="115"/>
      <c r="AAK31" s="115"/>
      <c r="AAL31" s="115"/>
      <c r="AAM31" s="115"/>
      <c r="AAN31" s="115"/>
      <c r="AAO31" s="115"/>
      <c r="AAP31" s="115"/>
      <c r="AAQ31" s="115"/>
      <c r="AAR31" s="115"/>
      <c r="AAS31" s="115"/>
      <c r="AAT31" s="115"/>
      <c r="AAU31" s="115"/>
      <c r="AAV31" s="115"/>
      <c r="AAW31" s="115"/>
      <c r="AAX31" s="115"/>
      <c r="AAY31" s="115"/>
      <c r="AAZ31" s="115"/>
      <c r="ABA31" s="115"/>
      <c r="ABB31" s="115"/>
      <c r="ABC31" s="115"/>
      <c r="ABD31" s="115"/>
      <c r="ABE31" s="115"/>
      <c r="ABF31" s="115"/>
      <c r="ABG31" s="115"/>
      <c r="ABH31" s="115"/>
      <c r="ABI31" s="115"/>
      <c r="ABJ31" s="115"/>
      <c r="ABK31" s="115"/>
      <c r="ABL31" s="115"/>
      <c r="ABM31" s="115"/>
      <c r="ABN31" s="115"/>
      <c r="ABO31" s="115"/>
      <c r="ABP31" s="115"/>
      <c r="ABQ31" s="115"/>
      <c r="ABR31" s="115"/>
      <c r="ABS31" s="115"/>
      <c r="ABT31" s="115"/>
      <c r="ABU31" s="115"/>
      <c r="ABV31" s="115"/>
      <c r="ABW31" s="115"/>
      <c r="ABX31" s="115"/>
      <c r="ABY31" s="115"/>
      <c r="ABZ31" s="115"/>
      <c r="ACA31" s="115"/>
      <c r="ACB31" s="115"/>
      <c r="ACC31" s="115"/>
      <c r="ACD31" s="115"/>
      <c r="ACE31" s="115"/>
      <c r="ACF31" s="115"/>
      <c r="ACG31" s="115"/>
      <c r="ACH31" s="115"/>
      <c r="ACI31" s="115"/>
      <c r="ACJ31" s="115"/>
      <c r="ACK31" s="115"/>
      <c r="ACL31" s="115"/>
      <c r="ACM31" s="115"/>
      <c r="ACN31" s="115"/>
      <c r="ACO31" s="115"/>
      <c r="ACP31" s="115"/>
      <c r="ACQ31" s="115"/>
      <c r="ACR31" s="115"/>
      <c r="ACS31" s="115"/>
      <c r="ACT31" s="115"/>
      <c r="ACU31" s="115"/>
      <c r="ACV31" s="115"/>
      <c r="ACW31" s="115"/>
      <c r="ACX31" s="115"/>
      <c r="ACY31" s="115"/>
      <c r="ACZ31" s="115"/>
      <c r="ADA31" s="115"/>
      <c r="ADB31" s="115"/>
      <c r="ADC31" s="115"/>
      <c r="ADD31" s="115"/>
      <c r="ADE31" s="115"/>
      <c r="ADF31" s="115"/>
      <c r="ADG31" s="115"/>
      <c r="ADH31" s="115"/>
      <c r="ADI31" s="115"/>
      <c r="ADJ31" s="115"/>
      <c r="ADK31" s="115"/>
      <c r="ADL31" s="115"/>
      <c r="ADM31" s="115"/>
      <c r="ADN31" s="115"/>
      <c r="ADO31" s="115"/>
      <c r="ADP31" s="115"/>
      <c r="ADQ31" s="115"/>
      <c r="ADR31" s="115"/>
      <c r="ADS31" s="115"/>
      <c r="ADT31" s="115"/>
      <c r="ADU31" s="115"/>
      <c r="ADV31" s="115"/>
      <c r="ADW31" s="115"/>
      <c r="ADX31" s="115"/>
      <c r="ADY31" s="115"/>
      <c r="ADZ31" s="115"/>
      <c r="AEA31" s="115"/>
      <c r="AEB31" s="115"/>
      <c r="AEC31" s="115"/>
      <c r="AED31" s="115"/>
      <c r="AEE31" s="115"/>
      <c r="AEF31" s="115"/>
      <c r="AEG31" s="115"/>
      <c r="AEH31" s="115"/>
      <c r="AEI31" s="115"/>
      <c r="AEJ31" s="115"/>
      <c r="AEK31" s="115"/>
      <c r="AEL31" s="115"/>
      <c r="AEM31" s="115"/>
      <c r="AEN31" s="115"/>
      <c r="AEO31" s="115"/>
      <c r="AEP31" s="115"/>
      <c r="AEQ31" s="115"/>
      <c r="AER31" s="115"/>
      <c r="AES31" s="115"/>
      <c r="AET31" s="115"/>
      <c r="AEU31" s="115"/>
      <c r="AEV31" s="115"/>
      <c r="AEW31" s="115"/>
      <c r="AEX31" s="115"/>
      <c r="AEY31" s="115"/>
      <c r="AEZ31" s="115"/>
      <c r="AFA31" s="115"/>
      <c r="AFB31" s="115"/>
      <c r="AFC31" s="115"/>
      <c r="AFD31" s="115"/>
      <c r="AFE31" s="115"/>
      <c r="AFF31" s="115"/>
      <c r="AFG31" s="115"/>
      <c r="AFH31" s="115"/>
      <c r="AFI31" s="115"/>
      <c r="AFJ31" s="115"/>
      <c r="AFK31" s="115"/>
      <c r="AFL31" s="115"/>
      <c r="AFM31" s="115"/>
      <c r="AFN31" s="115"/>
      <c r="AFO31" s="115"/>
      <c r="AFP31" s="115"/>
      <c r="AFQ31" s="115"/>
      <c r="AFR31" s="115"/>
      <c r="AFS31" s="115"/>
      <c r="AFT31" s="115"/>
      <c r="AFU31" s="115"/>
      <c r="AFV31" s="115"/>
      <c r="AFW31" s="115"/>
      <c r="AFX31" s="115"/>
      <c r="AFY31" s="115"/>
      <c r="AFZ31" s="115"/>
      <c r="AGA31" s="115"/>
      <c r="AGB31" s="115"/>
      <c r="AGC31" s="115"/>
      <c r="AGD31" s="115"/>
      <c r="AGE31" s="115"/>
      <c r="AGF31" s="115"/>
      <c r="AGG31" s="115"/>
      <c r="AGH31" s="115"/>
      <c r="AGI31" s="115"/>
      <c r="AGJ31" s="115"/>
      <c r="AGK31" s="115"/>
      <c r="AGL31" s="115"/>
      <c r="AGM31" s="115"/>
      <c r="AGN31" s="115"/>
      <c r="AGO31" s="115"/>
      <c r="AGP31" s="115"/>
      <c r="AGQ31" s="115"/>
      <c r="AGR31" s="115"/>
      <c r="AGS31" s="115"/>
      <c r="AGT31" s="115"/>
      <c r="AGU31" s="115"/>
      <c r="AGV31" s="115"/>
      <c r="AGW31" s="115"/>
      <c r="AGX31" s="115"/>
      <c r="AGY31" s="115"/>
      <c r="AGZ31" s="115"/>
      <c r="AHA31" s="115"/>
      <c r="AHB31" s="115"/>
      <c r="AHC31" s="115"/>
      <c r="AHD31" s="115"/>
      <c r="AHE31" s="115"/>
      <c r="AHF31" s="115"/>
      <c r="AHG31" s="115"/>
      <c r="AHH31" s="115"/>
      <c r="AHI31" s="115"/>
      <c r="AHJ31" s="115"/>
      <c r="AHK31" s="115"/>
      <c r="AHL31" s="115"/>
      <c r="AHM31" s="115"/>
      <c r="AHN31" s="115"/>
      <c r="AHO31" s="115"/>
      <c r="AHP31" s="115"/>
      <c r="AHQ31" s="115"/>
      <c r="AHR31" s="115"/>
      <c r="AHS31" s="115"/>
      <c r="AHT31" s="115"/>
      <c r="AHU31" s="115"/>
      <c r="AHV31" s="115"/>
      <c r="AHW31" s="115"/>
      <c r="AHX31" s="115"/>
      <c r="AHY31" s="115"/>
      <c r="AHZ31" s="115"/>
      <c r="AIA31" s="115"/>
      <c r="AIB31" s="115"/>
      <c r="AIC31" s="115"/>
      <c r="AID31" s="115"/>
      <c r="AIE31" s="115"/>
      <c r="AIF31" s="115"/>
      <c r="AIG31" s="115"/>
      <c r="AIH31" s="115"/>
      <c r="AII31" s="115"/>
      <c r="AIJ31" s="115"/>
      <c r="AIK31" s="115"/>
      <c r="AIL31" s="115"/>
      <c r="AIM31" s="115"/>
      <c r="AIN31" s="115"/>
      <c r="AIO31" s="115"/>
      <c r="AIP31" s="115"/>
      <c r="AIQ31" s="115"/>
      <c r="AIR31" s="115"/>
      <c r="AIS31" s="115"/>
      <c r="AIT31" s="115"/>
      <c r="AIU31" s="115"/>
      <c r="AIV31" s="115"/>
      <c r="AIW31" s="115"/>
      <c r="AIX31" s="115"/>
      <c r="AIY31" s="115"/>
      <c r="AIZ31" s="115"/>
      <c r="AJA31" s="115"/>
      <c r="AJB31" s="115"/>
      <c r="AJC31" s="115"/>
      <c r="AJD31" s="115"/>
      <c r="AJE31" s="115"/>
      <c r="AJF31" s="115"/>
      <c r="AJG31" s="115"/>
      <c r="AJH31" s="115"/>
      <c r="AJI31" s="115"/>
      <c r="AJJ31" s="115"/>
      <c r="AJK31" s="115"/>
      <c r="AJL31" s="115"/>
      <c r="AJM31" s="115"/>
      <c r="AJN31" s="115"/>
      <c r="AJO31" s="115"/>
      <c r="AJP31" s="115"/>
      <c r="AJQ31" s="115"/>
      <c r="AJR31" s="115"/>
      <c r="AJS31" s="115"/>
      <c r="AJT31" s="115"/>
      <c r="AJU31" s="115"/>
      <c r="AJV31" s="115"/>
      <c r="AJW31" s="115"/>
      <c r="AJX31" s="115"/>
      <c r="AJY31" s="115"/>
      <c r="AJZ31" s="115"/>
      <c r="AKA31" s="115"/>
      <c r="AKB31" s="115"/>
      <c r="AKC31" s="115"/>
      <c r="AKD31" s="115"/>
      <c r="AKE31" s="115"/>
      <c r="AKF31" s="115"/>
      <c r="AKG31" s="115"/>
      <c r="AKH31" s="115"/>
      <c r="AKI31" s="115"/>
      <c r="AKJ31" s="115"/>
      <c r="AKK31" s="115"/>
      <c r="AKL31" s="115"/>
      <c r="AKM31" s="115"/>
      <c r="AKN31" s="115"/>
      <c r="AKO31" s="115"/>
      <c r="AKP31" s="115"/>
      <c r="AKQ31" s="115"/>
      <c r="AKR31" s="115"/>
      <c r="AKS31" s="115"/>
      <c r="AKT31" s="115"/>
      <c r="AKU31" s="115"/>
      <c r="AKV31" s="115"/>
      <c r="AKW31" s="115"/>
      <c r="AKX31" s="115"/>
      <c r="AKY31" s="115"/>
      <c r="AKZ31" s="115"/>
      <c r="ALA31" s="115"/>
      <c r="ALB31" s="115"/>
      <c r="ALC31" s="115"/>
      <c r="ALD31" s="115"/>
      <c r="ALE31" s="115"/>
      <c r="ALF31" s="115"/>
      <c r="ALG31" s="115"/>
      <c r="ALH31" s="115"/>
      <c r="ALI31" s="115"/>
      <c r="ALJ31" s="115"/>
      <c r="ALK31" s="115"/>
      <c r="ALL31" s="115"/>
      <c r="ALM31" s="115"/>
      <c r="ALN31" s="115"/>
      <c r="ALO31" s="115"/>
      <c r="ALP31" s="115"/>
      <c r="ALQ31" s="115"/>
      <c r="ALR31" s="115"/>
      <c r="ALS31" s="115"/>
      <c r="ALT31" s="115"/>
      <c r="ALU31" s="115"/>
      <c r="ALV31" s="115"/>
      <c r="ALW31" s="115"/>
      <c r="ALX31" s="115"/>
      <c r="ALY31" s="115"/>
      <c r="ALZ31" s="115"/>
      <c r="AMA31" s="115"/>
      <c r="AMB31" s="115"/>
      <c r="AMC31" s="115"/>
      <c r="AMD31" s="115"/>
      <c r="AME31" s="115"/>
      <c r="AMF31" s="115"/>
      <c r="AMG31" s="115"/>
      <c r="AMH31" s="115"/>
      <c r="AMI31" s="115"/>
      <c r="AMJ31" s="115"/>
      <c r="AMK31" s="115"/>
      <c r="AML31" s="115"/>
      <c r="AMM31" s="115"/>
      <c r="AMN31" s="115"/>
      <c r="AMO31" s="115"/>
      <c r="AMP31" s="115"/>
      <c r="AMQ31" s="115"/>
      <c r="AMR31" s="115"/>
      <c r="AMS31" s="115"/>
      <c r="AMT31" s="115"/>
      <c r="AMU31" s="115"/>
      <c r="AMV31" s="115"/>
      <c r="AMW31" s="115"/>
      <c r="AMX31" s="115"/>
      <c r="AMY31" s="115"/>
      <c r="AMZ31" s="115"/>
      <c r="ANA31" s="115"/>
      <c r="ANB31" s="115"/>
      <c r="ANC31" s="115"/>
      <c r="AND31" s="115"/>
      <c r="ANE31" s="115"/>
      <c r="ANF31" s="115"/>
      <c r="ANG31" s="115"/>
      <c r="ANH31" s="115"/>
      <c r="ANI31" s="115"/>
      <c r="ANJ31" s="115"/>
      <c r="ANK31" s="115"/>
      <c r="ANL31" s="115"/>
      <c r="ANM31" s="115"/>
      <c r="ANN31" s="115"/>
      <c r="ANO31" s="115"/>
      <c r="ANP31" s="115"/>
      <c r="ANQ31" s="115"/>
      <c r="ANR31" s="115"/>
      <c r="ANS31" s="115"/>
      <c r="ANT31" s="115"/>
      <c r="ANU31" s="115"/>
      <c r="ANV31" s="115"/>
      <c r="ANW31" s="115"/>
      <c r="ANX31" s="115"/>
      <c r="ANY31" s="115"/>
      <c r="ANZ31" s="115"/>
      <c r="AOA31" s="115"/>
      <c r="AOB31" s="115"/>
      <c r="AOC31" s="115"/>
      <c r="AOD31" s="115"/>
      <c r="AOE31" s="115"/>
      <c r="AOF31" s="115"/>
      <c r="AOG31" s="115"/>
      <c r="AOH31" s="115"/>
      <c r="AOI31" s="115"/>
      <c r="AOJ31" s="115"/>
      <c r="AOK31" s="115"/>
      <c r="AOL31" s="115"/>
      <c r="AOM31" s="115"/>
      <c r="AON31" s="115"/>
      <c r="AOO31" s="115"/>
      <c r="AOP31" s="115"/>
      <c r="AOQ31" s="115"/>
    </row>
    <row r="32" spans="2:1083" x14ac:dyDescent="0.25"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7"/>
      <c r="EW32" s="57"/>
      <c r="EX32" s="57"/>
      <c r="EY32" s="57"/>
      <c r="EZ32" s="57"/>
      <c r="FA32" s="57"/>
      <c r="FB32" s="57"/>
      <c r="FC32" s="57"/>
      <c r="FD32" s="57"/>
      <c r="FE32" s="57"/>
      <c r="FF32" s="57"/>
      <c r="FG32" s="57"/>
      <c r="FH32" s="57"/>
      <c r="FI32" s="57"/>
      <c r="FJ32" s="57"/>
      <c r="FK32" s="57"/>
      <c r="FL32" s="57"/>
      <c r="FM32" s="57"/>
      <c r="FN32" s="57"/>
      <c r="FO32" s="57"/>
      <c r="FP32" s="57"/>
      <c r="FQ32" s="57"/>
      <c r="FR32" s="57"/>
      <c r="FS32" s="57"/>
      <c r="FT32" s="57"/>
      <c r="FU32" s="57"/>
      <c r="FV32" s="57"/>
      <c r="FW32" s="57"/>
      <c r="FX32" s="57"/>
      <c r="FY32" s="57"/>
      <c r="FZ32" s="57"/>
      <c r="GA32" s="57"/>
      <c r="GB32" s="57"/>
      <c r="GC32" s="57"/>
      <c r="GD32" s="57"/>
      <c r="GE32" s="57"/>
      <c r="GF32" s="57"/>
      <c r="GG32" s="57"/>
      <c r="GH32" s="57"/>
      <c r="GI32" s="57"/>
      <c r="GJ32" s="57"/>
      <c r="GK32" s="57"/>
      <c r="GL32" s="57"/>
      <c r="GM32" s="57"/>
      <c r="GN32" s="57"/>
      <c r="GO32" s="57"/>
      <c r="GP32" s="57"/>
      <c r="GQ32" s="57"/>
      <c r="GR32" s="57"/>
      <c r="GS32" s="57"/>
      <c r="GT32" s="57"/>
      <c r="GU32" s="57"/>
      <c r="GV32" s="57"/>
      <c r="GW32" s="57"/>
      <c r="GX32" s="57"/>
      <c r="GY32" s="57"/>
      <c r="GZ32" s="57"/>
      <c r="HA32" s="57"/>
      <c r="HB32" s="57"/>
      <c r="HC32" s="57"/>
      <c r="HD32" s="57"/>
      <c r="HE32" s="57"/>
      <c r="HF32" s="57"/>
      <c r="HG32" s="57"/>
      <c r="HH32" s="57"/>
      <c r="HI32" s="57"/>
      <c r="HJ32" s="57"/>
      <c r="HK32" s="57"/>
      <c r="HL32" s="57"/>
      <c r="HM32" s="57"/>
      <c r="HN32" s="57"/>
      <c r="HO32" s="57"/>
      <c r="HP32" s="57"/>
      <c r="HQ32" s="57"/>
      <c r="HR32" s="57"/>
      <c r="HS32" s="57"/>
      <c r="HT32" s="57"/>
      <c r="HU32" s="57"/>
      <c r="HV32" s="57"/>
      <c r="HW32" s="57"/>
      <c r="HX32" s="57"/>
      <c r="HY32" s="57"/>
      <c r="HZ32" s="57"/>
      <c r="IA32" s="57"/>
      <c r="IB32" s="57"/>
      <c r="IC32" s="57"/>
      <c r="ID32" s="57"/>
      <c r="IE32" s="57"/>
      <c r="IF32" s="57"/>
      <c r="IG32" s="57"/>
      <c r="IH32" s="57"/>
      <c r="II32" s="57"/>
      <c r="IJ32" s="57"/>
      <c r="IK32" s="57"/>
      <c r="IL32" s="57"/>
      <c r="IM32" s="57"/>
      <c r="IN32" s="57"/>
      <c r="IO32" s="57"/>
      <c r="IP32" s="57"/>
      <c r="IQ32" s="57"/>
      <c r="IR32" s="57"/>
      <c r="IS32" s="57"/>
      <c r="IT32" s="57"/>
      <c r="IU32" s="57"/>
      <c r="IV32" s="57"/>
      <c r="IW32" s="57"/>
      <c r="IX32" s="57"/>
      <c r="IY32" s="57"/>
      <c r="IZ32" s="57"/>
      <c r="JA32" s="57"/>
      <c r="JB32" s="57"/>
      <c r="JC32" s="57"/>
      <c r="JD32" s="57"/>
      <c r="JE32" s="57"/>
      <c r="JF32" s="57"/>
      <c r="JG32" s="57"/>
      <c r="JH32" s="57"/>
      <c r="JI32" s="57"/>
      <c r="JJ32" s="57"/>
      <c r="JK32" s="57"/>
      <c r="JL32" s="57"/>
      <c r="JM32" s="57"/>
      <c r="JN32" s="57"/>
      <c r="JO32" s="57"/>
      <c r="JP32" s="57"/>
      <c r="JQ32" s="57"/>
      <c r="JR32" s="57"/>
      <c r="JS32" s="57"/>
      <c r="JT32" s="57"/>
      <c r="JU32" s="57"/>
      <c r="JV32" s="57"/>
      <c r="JW32" s="57"/>
      <c r="JX32" s="57"/>
      <c r="JY32" s="57"/>
      <c r="JZ32" s="57"/>
      <c r="KA32" s="57"/>
      <c r="KB32" s="57"/>
      <c r="KC32" s="57"/>
      <c r="KD32" s="57"/>
      <c r="KE32" s="57"/>
      <c r="KF32" s="57"/>
      <c r="KG32" s="57"/>
      <c r="KH32" s="57"/>
      <c r="KI32" s="57"/>
      <c r="KJ32" s="57"/>
      <c r="KK32" s="57"/>
      <c r="KL32" s="57"/>
      <c r="KM32" s="57"/>
      <c r="KN32" s="57"/>
      <c r="KO32" s="57"/>
      <c r="KP32" s="57"/>
      <c r="KQ32" s="57"/>
      <c r="KR32" s="57"/>
      <c r="KS32" s="57"/>
      <c r="KT32" s="57"/>
      <c r="KU32" s="57"/>
      <c r="KV32" s="57"/>
      <c r="KW32" s="57"/>
      <c r="KX32" s="57"/>
      <c r="KY32" s="57"/>
      <c r="KZ32" s="57"/>
      <c r="LA32" s="57"/>
      <c r="LB32" s="57"/>
      <c r="LC32" s="57"/>
      <c r="LD32" s="57"/>
      <c r="LE32" s="57"/>
      <c r="LF32" s="57"/>
      <c r="LG32" s="57"/>
      <c r="LH32" s="57"/>
      <c r="LI32" s="57"/>
      <c r="LJ32" s="57"/>
      <c r="LK32" s="57"/>
      <c r="LL32" s="57"/>
      <c r="LM32" s="57"/>
      <c r="LN32" s="57"/>
      <c r="LO32" s="57"/>
      <c r="LP32" s="57"/>
      <c r="LQ32" s="57"/>
      <c r="LR32" s="57"/>
      <c r="LS32" s="57"/>
      <c r="LT32" s="57"/>
      <c r="LU32" s="57"/>
      <c r="LV32" s="57"/>
      <c r="LW32" s="57"/>
      <c r="LX32" s="57"/>
      <c r="LY32" s="57"/>
      <c r="LZ32" s="57"/>
      <c r="MA32" s="57"/>
      <c r="MB32" s="57"/>
      <c r="MC32" s="57"/>
      <c r="MD32" s="57"/>
      <c r="ME32" s="57"/>
      <c r="MF32" s="57"/>
      <c r="MG32" s="57"/>
      <c r="MH32" s="57"/>
      <c r="MI32" s="57"/>
      <c r="MJ32" s="57"/>
      <c r="MK32" s="57"/>
      <c r="ML32" s="57"/>
      <c r="MM32" s="57"/>
      <c r="MN32" s="57"/>
      <c r="MO32" s="57"/>
      <c r="MP32" s="57"/>
      <c r="MQ32" s="57"/>
      <c r="MR32" s="57"/>
      <c r="MS32" s="57"/>
      <c r="MT32" s="57"/>
      <c r="MU32" s="57"/>
      <c r="MV32" s="57"/>
      <c r="MW32" s="57"/>
      <c r="MX32" s="57"/>
      <c r="MY32" s="57"/>
      <c r="MZ32" s="57"/>
      <c r="NA32" s="57"/>
      <c r="NB32" s="57"/>
      <c r="NC32" s="57"/>
      <c r="ND32" s="57"/>
      <c r="NE32" s="57"/>
      <c r="NF32" s="57"/>
      <c r="NG32" s="57"/>
      <c r="NH32" s="57"/>
      <c r="NI32" s="57"/>
      <c r="NJ32" s="57"/>
      <c r="NK32" s="57"/>
      <c r="NL32" s="57"/>
      <c r="NM32" s="57"/>
      <c r="NN32" s="57"/>
      <c r="NO32" s="57"/>
      <c r="NP32" s="57"/>
      <c r="NQ32" s="57"/>
      <c r="NR32" s="57"/>
      <c r="NS32" s="57"/>
      <c r="NT32" s="57"/>
      <c r="NU32" s="57"/>
      <c r="NV32" s="57"/>
      <c r="NW32" s="57"/>
      <c r="NX32" s="57"/>
      <c r="NY32" s="57"/>
      <c r="NZ32" s="57"/>
      <c r="OA32" s="57"/>
      <c r="OB32" s="57"/>
      <c r="OC32" s="57"/>
      <c r="OD32" s="57"/>
      <c r="OE32" s="57"/>
      <c r="OF32" s="57"/>
      <c r="OG32" s="57"/>
      <c r="OH32" s="57"/>
      <c r="OI32" s="57"/>
      <c r="OJ32" s="57"/>
      <c r="OK32" s="57"/>
      <c r="OL32" s="57"/>
      <c r="OM32" s="57"/>
      <c r="ON32" s="57"/>
      <c r="OO32" s="57"/>
      <c r="OP32" s="57"/>
      <c r="OQ32" s="57"/>
      <c r="OR32" s="57"/>
      <c r="OS32" s="57"/>
      <c r="OT32" s="57"/>
      <c r="OU32" s="57"/>
      <c r="OV32" s="57"/>
      <c r="OW32" s="57"/>
      <c r="OX32" s="57"/>
      <c r="OY32" s="57"/>
      <c r="OZ32" s="57"/>
      <c r="PA32" s="57"/>
      <c r="PB32" s="57"/>
      <c r="PC32" s="57"/>
      <c r="PD32" s="57"/>
      <c r="PE32" s="57"/>
      <c r="PF32" s="57"/>
      <c r="PG32" s="57"/>
      <c r="PH32" s="57"/>
      <c r="PI32" s="57"/>
      <c r="PJ32" s="57"/>
      <c r="PK32" s="57"/>
      <c r="PL32" s="57"/>
      <c r="PM32" s="57"/>
      <c r="PN32" s="57"/>
      <c r="PO32" s="57"/>
      <c r="PP32" s="57"/>
      <c r="PQ32" s="57"/>
      <c r="PR32" s="57"/>
      <c r="PS32" s="57"/>
      <c r="PT32" s="57"/>
      <c r="PU32" s="57"/>
      <c r="PV32" s="57"/>
      <c r="PW32" s="57"/>
      <c r="PX32" s="57"/>
      <c r="PY32" s="57"/>
      <c r="PZ32" s="57"/>
      <c r="QA32" s="57"/>
      <c r="QB32" s="57"/>
      <c r="QC32" s="57"/>
      <c r="QD32" s="57"/>
      <c r="QE32" s="57"/>
      <c r="QF32" s="57"/>
      <c r="QG32" s="57"/>
      <c r="QH32" s="57"/>
      <c r="QI32" s="57"/>
      <c r="QJ32" s="57"/>
      <c r="QK32" s="57"/>
      <c r="QL32" s="57"/>
      <c r="QM32" s="57"/>
      <c r="QN32" s="57"/>
      <c r="QO32" s="57"/>
      <c r="QP32" s="57"/>
      <c r="QQ32" s="57"/>
      <c r="QR32" s="57"/>
      <c r="QS32" s="57"/>
      <c r="QT32" s="57"/>
      <c r="QU32" s="57"/>
      <c r="QV32" s="57"/>
      <c r="QW32" s="57"/>
      <c r="QX32" s="57"/>
      <c r="QY32" s="57"/>
      <c r="QZ32" s="57"/>
      <c r="RA32" s="57"/>
      <c r="RB32" s="57"/>
      <c r="RC32" s="57"/>
      <c r="RD32" s="57"/>
      <c r="RE32" s="57"/>
      <c r="RF32" s="57"/>
      <c r="RG32" s="57"/>
      <c r="RH32" s="57"/>
      <c r="RI32" s="57"/>
      <c r="RJ32" s="57"/>
      <c r="RK32" s="57"/>
      <c r="RL32" s="57"/>
      <c r="RM32" s="57"/>
      <c r="RN32" s="57"/>
      <c r="RO32" s="57"/>
      <c r="RP32" s="57"/>
      <c r="RQ32" s="57"/>
      <c r="RR32" s="57"/>
      <c r="RS32" s="57"/>
      <c r="RT32" s="57"/>
      <c r="RU32" s="57"/>
      <c r="RV32" s="57"/>
      <c r="RW32" s="57"/>
      <c r="RX32" s="57"/>
      <c r="RY32" s="57"/>
      <c r="RZ32" s="57"/>
      <c r="SA32" s="57"/>
      <c r="SB32" s="57"/>
      <c r="SC32" s="57"/>
      <c r="SD32" s="57"/>
      <c r="SE32" s="57"/>
      <c r="SF32" s="57"/>
      <c r="SG32" s="57"/>
      <c r="SH32" s="57"/>
      <c r="SI32" s="57"/>
      <c r="SJ32" s="57"/>
      <c r="SK32" s="57"/>
      <c r="SL32" s="57"/>
      <c r="SM32" s="57"/>
      <c r="SN32" s="57"/>
      <c r="SO32" s="57"/>
      <c r="SP32" s="57"/>
      <c r="SQ32" s="57"/>
      <c r="SR32" s="57"/>
      <c r="SS32" s="57"/>
      <c r="ST32" s="57"/>
      <c r="SU32" s="57"/>
      <c r="SV32" s="57"/>
      <c r="SW32" s="57"/>
      <c r="SX32" s="57"/>
      <c r="SY32" s="57"/>
      <c r="SZ32" s="57"/>
      <c r="TA32" s="57"/>
      <c r="TB32" s="57"/>
      <c r="TC32" s="57"/>
      <c r="TD32" s="57"/>
      <c r="TE32" s="57"/>
      <c r="TF32" s="57"/>
      <c r="TG32" s="57"/>
      <c r="TH32" s="57"/>
      <c r="TI32" s="57"/>
      <c r="TJ32" s="57"/>
      <c r="TK32" s="57"/>
      <c r="TL32" s="57"/>
      <c r="TM32" s="57"/>
      <c r="TN32" s="57"/>
      <c r="TO32" s="57"/>
      <c r="TP32" s="57"/>
      <c r="TQ32" s="57"/>
      <c r="TR32" s="57"/>
      <c r="TS32" s="57"/>
      <c r="TT32" s="57"/>
      <c r="TU32" s="57"/>
      <c r="TV32" s="57"/>
      <c r="TW32" s="57"/>
      <c r="TX32" s="57"/>
      <c r="TY32" s="57"/>
      <c r="TZ32" s="57"/>
      <c r="UA32" s="57"/>
      <c r="UB32" s="57"/>
      <c r="UC32" s="57"/>
      <c r="UD32" s="57"/>
      <c r="UE32" s="57"/>
      <c r="UF32" s="57"/>
      <c r="UG32" s="57"/>
      <c r="UH32" s="57"/>
      <c r="UI32" s="57"/>
      <c r="UJ32" s="57"/>
      <c r="UK32" s="57"/>
      <c r="UL32" s="57"/>
      <c r="UM32" s="57"/>
      <c r="UN32" s="57"/>
      <c r="UO32" s="57"/>
      <c r="UP32" s="57"/>
      <c r="UQ32" s="57"/>
      <c r="UR32" s="57"/>
      <c r="US32" s="57"/>
      <c r="UT32" s="57"/>
      <c r="UU32" s="57"/>
      <c r="UV32" s="57"/>
      <c r="UW32" s="57"/>
      <c r="UX32" s="57"/>
      <c r="UY32" s="57"/>
      <c r="UZ32" s="57"/>
      <c r="VA32" s="57"/>
      <c r="VB32" s="57"/>
      <c r="VC32" s="57"/>
      <c r="VD32" s="57"/>
      <c r="VE32" s="57"/>
      <c r="VF32" s="57"/>
      <c r="VG32" s="57"/>
      <c r="VH32" s="57"/>
      <c r="VI32" s="57"/>
      <c r="VJ32" s="57"/>
      <c r="VK32" s="57"/>
      <c r="VL32" s="57"/>
      <c r="VM32" s="57"/>
      <c r="VN32" s="57"/>
      <c r="VO32" s="57"/>
      <c r="VP32" s="57"/>
      <c r="VQ32" s="57"/>
      <c r="VR32" s="57"/>
      <c r="VS32" s="57"/>
      <c r="VT32" s="57"/>
      <c r="VU32" s="57"/>
      <c r="VV32" s="57"/>
      <c r="VW32" s="57"/>
      <c r="VX32" s="57"/>
      <c r="VY32" s="57"/>
      <c r="VZ32" s="57"/>
      <c r="WA32" s="57"/>
      <c r="WB32" s="57"/>
      <c r="WC32" s="57"/>
      <c r="WD32" s="57"/>
      <c r="WE32" s="57"/>
      <c r="WF32" s="57"/>
      <c r="WG32" s="57"/>
      <c r="WH32" s="57"/>
      <c r="WI32" s="57"/>
      <c r="WJ32" s="57"/>
      <c r="WK32" s="57"/>
      <c r="WL32" s="57"/>
      <c r="WM32" s="57"/>
      <c r="WN32" s="57"/>
      <c r="WO32" s="57"/>
      <c r="WP32" s="57"/>
      <c r="WQ32" s="57"/>
      <c r="WR32" s="57"/>
      <c r="WS32" s="57"/>
      <c r="WT32" s="57"/>
      <c r="WU32" s="57"/>
      <c r="WV32" s="57"/>
      <c r="WW32" s="57"/>
      <c r="WX32" s="57"/>
      <c r="WY32" s="57"/>
      <c r="WZ32" s="57"/>
      <c r="XA32" s="57"/>
      <c r="XB32" s="57"/>
      <c r="XC32" s="57"/>
      <c r="XD32" s="57"/>
      <c r="XE32" s="57"/>
      <c r="XF32" s="57"/>
      <c r="XG32" s="57"/>
      <c r="XH32" s="57"/>
      <c r="XI32" s="57"/>
      <c r="XJ32" s="57"/>
      <c r="XK32" s="57"/>
      <c r="XL32" s="57"/>
      <c r="XM32" s="57"/>
      <c r="XN32" s="57"/>
      <c r="XO32" s="57"/>
      <c r="XP32" s="57"/>
      <c r="XQ32" s="57"/>
      <c r="XR32" s="57"/>
      <c r="XS32" s="57"/>
      <c r="XT32" s="57"/>
      <c r="XU32" s="57"/>
      <c r="XV32" s="57"/>
      <c r="XW32" s="57"/>
      <c r="XX32" s="57"/>
      <c r="XY32" s="57"/>
      <c r="XZ32" s="57"/>
      <c r="YA32" s="57"/>
      <c r="YB32" s="57"/>
      <c r="YC32" s="57"/>
      <c r="YD32" s="57"/>
      <c r="YE32" s="57"/>
      <c r="YF32" s="57"/>
      <c r="YG32" s="57"/>
      <c r="YH32" s="57"/>
      <c r="YI32" s="57"/>
      <c r="YJ32" s="57"/>
      <c r="YK32" s="57"/>
      <c r="YL32" s="57"/>
      <c r="YM32" s="57"/>
      <c r="YN32" s="57"/>
      <c r="YO32" s="57"/>
      <c r="YP32" s="57"/>
      <c r="YQ32" s="57"/>
      <c r="YR32" s="57"/>
      <c r="YS32" s="57"/>
      <c r="YT32" s="57"/>
      <c r="YU32" s="57"/>
      <c r="YV32" s="57"/>
      <c r="YW32" s="57"/>
      <c r="YX32" s="57"/>
      <c r="YY32" s="57"/>
      <c r="YZ32" s="57"/>
      <c r="ZA32" s="57"/>
      <c r="ZB32" s="57"/>
      <c r="ZC32" s="57"/>
      <c r="ZD32" s="57"/>
      <c r="ZE32" s="57"/>
      <c r="ZF32" s="57"/>
      <c r="ZG32" s="57"/>
      <c r="ZH32" s="57"/>
      <c r="ZI32" s="57"/>
      <c r="ZJ32" s="57"/>
      <c r="ZK32" s="57"/>
      <c r="ZL32" s="57"/>
      <c r="ZM32" s="57"/>
      <c r="ZN32" s="57"/>
      <c r="ZO32" s="57"/>
      <c r="ZP32" s="57"/>
      <c r="ZQ32" s="57"/>
      <c r="ZR32" s="57"/>
      <c r="ZS32" s="57"/>
      <c r="ZT32" s="57"/>
      <c r="ZU32" s="57"/>
      <c r="ZV32" s="57"/>
      <c r="ZW32" s="57"/>
      <c r="ZX32" s="57"/>
      <c r="ZY32" s="57"/>
      <c r="ZZ32" s="57"/>
      <c r="AAA32" s="57"/>
      <c r="AAB32" s="57"/>
      <c r="AAC32" s="57"/>
      <c r="AAD32" s="57"/>
      <c r="AAE32" s="57"/>
      <c r="AAF32" s="57"/>
      <c r="AAG32" s="57"/>
      <c r="AAH32" s="57"/>
      <c r="AAI32" s="57"/>
      <c r="AAJ32" s="57"/>
      <c r="AAK32" s="57"/>
      <c r="AAL32" s="57"/>
      <c r="AAM32" s="57"/>
      <c r="AAN32" s="57"/>
      <c r="AAO32" s="57"/>
      <c r="AAP32" s="57"/>
      <c r="AAQ32" s="57"/>
      <c r="AAR32" s="57"/>
      <c r="AAS32" s="57"/>
      <c r="AAT32" s="57"/>
      <c r="AAU32" s="57"/>
      <c r="AAV32" s="57"/>
      <c r="AAW32" s="57"/>
      <c r="AAX32" s="57"/>
      <c r="AAY32" s="57"/>
      <c r="AAZ32" s="57"/>
      <c r="ABA32" s="57"/>
      <c r="ABB32" s="57"/>
      <c r="ABC32" s="57"/>
      <c r="ABD32" s="57"/>
      <c r="ABE32" s="57"/>
      <c r="ABF32" s="57"/>
      <c r="ABG32" s="57"/>
      <c r="ABH32" s="57"/>
      <c r="ABI32" s="57"/>
      <c r="ABJ32" s="57"/>
      <c r="ABK32" s="57"/>
      <c r="ABL32" s="57"/>
      <c r="ABM32" s="57"/>
      <c r="ABN32" s="57"/>
      <c r="ABO32" s="57"/>
      <c r="ABP32" s="57"/>
      <c r="ABQ32" s="57"/>
      <c r="ABR32" s="57"/>
      <c r="ABS32" s="57"/>
      <c r="ABT32" s="57"/>
      <c r="ABU32" s="57"/>
      <c r="ABV32" s="57"/>
      <c r="ABW32" s="57"/>
      <c r="ABX32" s="57"/>
      <c r="ABY32" s="57"/>
      <c r="ABZ32" s="57"/>
      <c r="ACA32" s="57"/>
      <c r="ACB32" s="57"/>
      <c r="ACC32" s="57"/>
      <c r="ACD32" s="57"/>
      <c r="ACE32" s="57"/>
      <c r="ACF32" s="57"/>
      <c r="ACG32" s="57"/>
      <c r="ACH32" s="57"/>
      <c r="ACI32" s="57"/>
      <c r="ACJ32" s="57"/>
      <c r="ACK32" s="57"/>
      <c r="ACL32" s="57"/>
      <c r="ACM32" s="57"/>
      <c r="ACN32" s="57"/>
      <c r="ACO32" s="57"/>
      <c r="ACP32" s="57"/>
      <c r="ACQ32" s="57"/>
      <c r="ACR32" s="57"/>
      <c r="ACS32" s="57"/>
      <c r="ACT32" s="57"/>
      <c r="ACU32" s="57"/>
      <c r="ACV32" s="57"/>
      <c r="ACW32" s="57"/>
      <c r="ACX32" s="57"/>
      <c r="ACY32" s="57"/>
      <c r="ACZ32" s="57"/>
      <c r="ADA32" s="57"/>
      <c r="ADB32" s="57"/>
      <c r="ADC32" s="57"/>
      <c r="ADD32" s="57"/>
      <c r="ADE32" s="57"/>
      <c r="ADF32" s="57"/>
      <c r="ADG32" s="57"/>
      <c r="ADH32" s="57"/>
      <c r="ADI32" s="57"/>
      <c r="ADJ32" s="57"/>
      <c r="ADK32" s="57"/>
      <c r="ADL32" s="57"/>
      <c r="ADM32" s="57"/>
      <c r="ADN32" s="57"/>
      <c r="ADO32" s="57"/>
      <c r="ADP32" s="57"/>
      <c r="ADQ32" s="57"/>
      <c r="ADR32" s="57"/>
      <c r="ADS32" s="57"/>
      <c r="ADT32" s="57"/>
      <c r="ADU32" s="57"/>
      <c r="ADV32" s="57"/>
      <c r="ADW32" s="57"/>
      <c r="ADX32" s="57"/>
      <c r="ADY32" s="57"/>
      <c r="ADZ32" s="57"/>
      <c r="AEA32" s="57"/>
      <c r="AEB32" s="57"/>
      <c r="AEC32" s="57"/>
      <c r="AED32" s="57"/>
      <c r="AEE32" s="57"/>
      <c r="AEF32" s="57"/>
      <c r="AEG32" s="57"/>
      <c r="AEH32" s="57"/>
      <c r="AEI32" s="57"/>
      <c r="AEJ32" s="57"/>
      <c r="AEK32" s="57"/>
      <c r="AEL32" s="57"/>
      <c r="AEM32" s="57"/>
      <c r="AEN32" s="57"/>
      <c r="AEO32" s="57"/>
      <c r="AEP32" s="57"/>
      <c r="AEQ32" s="57"/>
      <c r="AER32" s="57"/>
      <c r="AES32" s="57"/>
      <c r="AET32" s="57"/>
      <c r="AEU32" s="57"/>
      <c r="AEV32" s="57"/>
      <c r="AEW32" s="57"/>
      <c r="AEX32" s="57"/>
      <c r="AEY32" s="57"/>
      <c r="AEZ32" s="57"/>
      <c r="AFA32" s="57"/>
      <c r="AFB32" s="57"/>
      <c r="AFC32" s="57"/>
      <c r="AFD32" s="57"/>
      <c r="AFE32" s="57"/>
      <c r="AFF32" s="57"/>
      <c r="AFG32" s="57"/>
      <c r="AFH32" s="57"/>
      <c r="AFI32" s="57"/>
      <c r="AFJ32" s="57"/>
      <c r="AFK32" s="57"/>
      <c r="AFL32" s="57"/>
      <c r="AFM32" s="57"/>
      <c r="AFN32" s="57"/>
      <c r="AFO32" s="57"/>
      <c r="AFP32" s="57"/>
      <c r="AFQ32" s="57"/>
      <c r="AFR32" s="57"/>
      <c r="AFS32" s="57"/>
      <c r="AFT32" s="57"/>
      <c r="AFU32" s="57"/>
      <c r="AFV32" s="57"/>
      <c r="AFW32" s="57"/>
      <c r="AFX32" s="57"/>
      <c r="AFY32" s="57"/>
      <c r="AFZ32" s="57"/>
      <c r="AGA32" s="57"/>
      <c r="AGB32" s="57"/>
      <c r="AGC32" s="57"/>
      <c r="AGD32" s="57"/>
      <c r="AGE32" s="57"/>
      <c r="AGF32" s="57"/>
      <c r="AGG32" s="57"/>
      <c r="AGH32" s="57"/>
      <c r="AGI32" s="57"/>
      <c r="AGJ32" s="57"/>
      <c r="AGK32" s="57"/>
      <c r="AGL32" s="57"/>
      <c r="AGM32" s="57"/>
      <c r="AGN32" s="57"/>
      <c r="AGO32" s="57"/>
      <c r="AGP32" s="57"/>
      <c r="AGQ32" s="57"/>
      <c r="AGR32" s="57"/>
      <c r="AGS32" s="57"/>
      <c r="AGT32" s="57"/>
      <c r="AGU32" s="57"/>
      <c r="AGV32" s="57"/>
      <c r="AGW32" s="57"/>
      <c r="AGX32" s="57"/>
      <c r="AGY32" s="57"/>
      <c r="AGZ32" s="57"/>
      <c r="AHA32" s="57"/>
      <c r="AHB32" s="57"/>
      <c r="AHC32" s="57"/>
      <c r="AHD32" s="57"/>
      <c r="AHE32" s="57"/>
      <c r="AHF32" s="57"/>
      <c r="AHG32" s="57"/>
      <c r="AHH32" s="57"/>
      <c r="AHI32" s="57"/>
      <c r="AHJ32" s="57"/>
      <c r="AHK32" s="57"/>
      <c r="AHL32" s="57"/>
      <c r="AHM32" s="57"/>
      <c r="AHN32" s="57"/>
      <c r="AHO32" s="57"/>
      <c r="AHP32" s="57"/>
      <c r="AHQ32" s="57"/>
      <c r="AHR32" s="57"/>
      <c r="AHS32" s="57"/>
      <c r="AHT32" s="57"/>
      <c r="AHU32" s="57"/>
      <c r="AHV32" s="57"/>
      <c r="AHW32" s="57"/>
      <c r="AHX32" s="57"/>
      <c r="AHY32" s="57"/>
      <c r="AHZ32" s="57"/>
      <c r="AIA32" s="57"/>
      <c r="AIB32" s="57"/>
      <c r="AIC32" s="57"/>
      <c r="AID32" s="57"/>
      <c r="AIE32" s="57"/>
      <c r="AIF32" s="57"/>
      <c r="AIG32" s="57"/>
      <c r="AIH32" s="57"/>
      <c r="AII32" s="57"/>
      <c r="AIJ32" s="57"/>
      <c r="AIK32" s="57"/>
      <c r="AIL32" s="57"/>
      <c r="AIM32" s="57"/>
      <c r="AIN32" s="57"/>
      <c r="AIO32" s="57"/>
      <c r="AIP32" s="57"/>
      <c r="AIQ32" s="57"/>
      <c r="AIR32" s="57"/>
      <c r="AIS32" s="57"/>
      <c r="AIT32" s="57"/>
      <c r="AIU32" s="57"/>
      <c r="AIV32" s="57"/>
      <c r="AIW32" s="57"/>
      <c r="AIX32" s="57"/>
      <c r="AIY32" s="57"/>
      <c r="AIZ32" s="57"/>
      <c r="AJA32" s="57"/>
      <c r="AJB32" s="57"/>
      <c r="AJC32" s="57"/>
      <c r="AJD32" s="57"/>
      <c r="AJE32" s="57"/>
      <c r="AJF32" s="57"/>
      <c r="AJG32" s="57"/>
      <c r="AJH32" s="57"/>
      <c r="AJI32" s="57"/>
      <c r="AJJ32" s="57"/>
      <c r="AJK32" s="57"/>
      <c r="AJL32" s="57"/>
      <c r="AJM32" s="57"/>
      <c r="AJN32" s="57"/>
      <c r="AJO32" s="57"/>
      <c r="AJP32" s="57"/>
      <c r="AJQ32" s="57"/>
      <c r="AJR32" s="57"/>
      <c r="AJS32" s="57"/>
      <c r="AJT32" s="57"/>
      <c r="AJU32" s="57"/>
      <c r="AJV32" s="57"/>
      <c r="AJW32" s="57"/>
      <c r="AJX32" s="57"/>
      <c r="AJY32" s="57"/>
      <c r="AJZ32" s="57"/>
      <c r="AKA32" s="57"/>
      <c r="AKB32" s="57"/>
      <c r="AKC32" s="57"/>
      <c r="AKD32" s="57"/>
      <c r="AKE32" s="57"/>
      <c r="AKF32" s="57"/>
      <c r="AKG32" s="57"/>
      <c r="AKH32" s="57"/>
      <c r="AKI32" s="57"/>
      <c r="AKJ32" s="57"/>
      <c r="AKK32" s="57"/>
      <c r="AKL32" s="57"/>
      <c r="AKM32" s="57"/>
      <c r="AKN32" s="57"/>
      <c r="AKO32" s="57"/>
      <c r="AKP32" s="57"/>
      <c r="AKQ32" s="57"/>
      <c r="AKR32" s="57"/>
      <c r="AKS32" s="57"/>
      <c r="AKT32" s="57"/>
      <c r="AKU32" s="57"/>
      <c r="AKV32" s="57"/>
      <c r="AKW32" s="57"/>
      <c r="AKX32" s="57"/>
      <c r="AKY32" s="57"/>
      <c r="AKZ32" s="57"/>
      <c r="ALA32" s="57"/>
      <c r="ALB32" s="57"/>
      <c r="ALC32" s="57"/>
      <c r="ALD32" s="57"/>
      <c r="ALE32" s="57"/>
      <c r="ALF32" s="57"/>
      <c r="ALG32" s="57"/>
      <c r="ALH32" s="57"/>
      <c r="ALI32" s="57"/>
      <c r="ALJ32" s="57"/>
      <c r="ALK32" s="57"/>
      <c r="ALL32" s="57"/>
      <c r="ALM32" s="57"/>
      <c r="ALN32" s="57"/>
      <c r="ALO32" s="57"/>
      <c r="ALP32" s="57"/>
      <c r="ALQ32" s="57"/>
      <c r="ALR32" s="57"/>
      <c r="ALS32" s="57"/>
      <c r="ALT32" s="57"/>
      <c r="ALU32" s="57"/>
      <c r="ALV32" s="57"/>
      <c r="ALW32" s="57"/>
      <c r="ALX32" s="57"/>
      <c r="ALY32" s="57"/>
      <c r="ALZ32" s="57"/>
      <c r="AMA32" s="57"/>
      <c r="AMB32" s="57"/>
      <c r="AMC32" s="57"/>
      <c r="AMD32" s="57"/>
      <c r="AME32" s="57"/>
      <c r="AMF32" s="57"/>
      <c r="AMG32" s="57"/>
      <c r="AMH32" s="57"/>
      <c r="AMI32" s="57"/>
      <c r="AMJ32" s="57"/>
      <c r="AMK32" s="57"/>
      <c r="AML32" s="57"/>
      <c r="AMM32" s="57"/>
      <c r="AMN32" s="57"/>
      <c r="AMO32" s="57"/>
      <c r="AMP32" s="57"/>
      <c r="AMQ32" s="57"/>
      <c r="AMR32" s="57"/>
      <c r="AMS32" s="57"/>
      <c r="AMT32" s="57"/>
      <c r="AMU32" s="57"/>
      <c r="AMV32" s="57"/>
      <c r="AMW32" s="57"/>
      <c r="AMX32" s="57"/>
      <c r="AMY32" s="57"/>
      <c r="AMZ32" s="57"/>
      <c r="ANA32" s="57"/>
      <c r="ANB32" s="57"/>
      <c r="ANC32" s="57"/>
      <c r="AND32" s="57"/>
      <c r="ANE32" s="57"/>
      <c r="ANF32" s="57"/>
      <c r="ANG32" s="57"/>
      <c r="ANH32" s="57"/>
      <c r="ANI32" s="57"/>
      <c r="ANJ32" s="57"/>
      <c r="ANK32" s="57"/>
      <c r="ANL32" s="57"/>
      <c r="ANM32" s="57"/>
      <c r="ANN32" s="57"/>
      <c r="ANO32" s="57"/>
      <c r="ANP32" s="57"/>
      <c r="ANQ32" s="57"/>
      <c r="ANR32" s="57"/>
      <c r="ANS32" s="57"/>
      <c r="ANT32" s="57"/>
      <c r="ANU32" s="57"/>
      <c r="ANV32" s="57"/>
      <c r="ANW32" s="57"/>
      <c r="ANX32" s="57"/>
      <c r="ANY32" s="57"/>
      <c r="ANZ32" s="57"/>
      <c r="AOA32" s="57"/>
      <c r="AOB32" s="57"/>
      <c r="AOC32" s="57"/>
      <c r="AOD32" s="57"/>
      <c r="AOE32" s="57"/>
      <c r="AOF32" s="57"/>
      <c r="AOG32" s="57"/>
      <c r="AOH32" s="57"/>
      <c r="AOI32" s="57"/>
      <c r="AOJ32" s="57"/>
      <c r="AOK32" s="57"/>
      <c r="AOL32" s="57"/>
      <c r="AOM32" s="57"/>
      <c r="AON32" s="57"/>
      <c r="AOO32" s="57"/>
      <c r="AOP32" s="57"/>
      <c r="AOQ32" s="57"/>
    </row>
    <row r="33" spans="1:1083" x14ac:dyDescent="0.25">
      <c r="B33" s="42" t="str">
        <f>'Patrimonio Financiero'!BH202</f>
        <v>Objetivo 2</v>
      </c>
      <c r="C33" s="57">
        <f>'Patrimonio Financiero'!CB202</f>
        <v>900000</v>
      </c>
      <c r="D33" s="57">
        <f t="shared" ref="D33:BO33" si="289">$C33</f>
        <v>900000</v>
      </c>
      <c r="E33" s="57">
        <f t="shared" si="289"/>
        <v>900000</v>
      </c>
      <c r="F33" s="57">
        <f t="shared" si="289"/>
        <v>900000</v>
      </c>
      <c r="G33" s="57">
        <f t="shared" si="289"/>
        <v>900000</v>
      </c>
      <c r="H33" s="57">
        <f t="shared" si="289"/>
        <v>900000</v>
      </c>
      <c r="I33" s="57">
        <f t="shared" si="289"/>
        <v>900000</v>
      </c>
      <c r="J33" s="57">
        <f t="shared" si="289"/>
        <v>900000</v>
      </c>
      <c r="K33" s="57">
        <f t="shared" si="289"/>
        <v>900000</v>
      </c>
      <c r="L33" s="57">
        <f t="shared" si="289"/>
        <v>900000</v>
      </c>
      <c r="M33" s="57">
        <f t="shared" si="289"/>
        <v>900000</v>
      </c>
      <c r="N33" s="57">
        <f t="shared" si="289"/>
        <v>900000</v>
      </c>
      <c r="O33" s="57">
        <f t="shared" si="289"/>
        <v>900000</v>
      </c>
      <c r="P33" s="57">
        <f t="shared" si="289"/>
        <v>900000</v>
      </c>
      <c r="Q33" s="57">
        <f t="shared" si="289"/>
        <v>900000</v>
      </c>
      <c r="R33" s="57">
        <f t="shared" si="289"/>
        <v>900000</v>
      </c>
      <c r="S33" s="57">
        <f t="shared" si="289"/>
        <v>900000</v>
      </c>
      <c r="T33" s="57">
        <f t="shared" si="289"/>
        <v>900000</v>
      </c>
      <c r="U33" s="57">
        <f t="shared" si="289"/>
        <v>900000</v>
      </c>
      <c r="V33" s="57">
        <f t="shared" si="289"/>
        <v>900000</v>
      </c>
      <c r="W33" s="57">
        <f t="shared" si="289"/>
        <v>900000</v>
      </c>
      <c r="X33" s="57">
        <f t="shared" si="289"/>
        <v>900000</v>
      </c>
      <c r="Y33" s="57">
        <f t="shared" si="289"/>
        <v>900000</v>
      </c>
      <c r="Z33" s="57">
        <f t="shared" si="289"/>
        <v>900000</v>
      </c>
      <c r="AA33" s="57">
        <f t="shared" si="289"/>
        <v>900000</v>
      </c>
      <c r="AB33" s="57">
        <f t="shared" si="289"/>
        <v>900000</v>
      </c>
      <c r="AC33" s="57">
        <f t="shared" si="289"/>
        <v>900000</v>
      </c>
      <c r="AD33" s="57">
        <f t="shared" si="289"/>
        <v>900000</v>
      </c>
      <c r="AE33" s="57">
        <f t="shared" si="289"/>
        <v>900000</v>
      </c>
      <c r="AF33" s="57">
        <f t="shared" si="289"/>
        <v>900000</v>
      </c>
      <c r="AG33" s="57">
        <f t="shared" si="289"/>
        <v>900000</v>
      </c>
      <c r="AH33" s="57">
        <f t="shared" si="289"/>
        <v>900000</v>
      </c>
      <c r="AI33" s="57">
        <f t="shared" si="289"/>
        <v>900000</v>
      </c>
      <c r="AJ33" s="57">
        <f t="shared" si="289"/>
        <v>900000</v>
      </c>
      <c r="AK33" s="57">
        <f t="shared" si="289"/>
        <v>900000</v>
      </c>
      <c r="AL33" s="57">
        <f t="shared" si="289"/>
        <v>900000</v>
      </c>
      <c r="AM33" s="57">
        <f t="shared" si="289"/>
        <v>900000</v>
      </c>
      <c r="AN33" s="57">
        <f t="shared" si="289"/>
        <v>900000</v>
      </c>
      <c r="AO33" s="57">
        <f t="shared" si="289"/>
        <v>900000</v>
      </c>
      <c r="AP33" s="57">
        <f t="shared" si="289"/>
        <v>900000</v>
      </c>
      <c r="AQ33" s="57">
        <f t="shared" si="289"/>
        <v>900000</v>
      </c>
      <c r="AR33" s="57">
        <f t="shared" si="289"/>
        <v>900000</v>
      </c>
      <c r="AS33" s="57">
        <f t="shared" si="289"/>
        <v>900000</v>
      </c>
      <c r="AT33" s="57">
        <f t="shared" si="289"/>
        <v>900000</v>
      </c>
      <c r="AU33" s="57">
        <f t="shared" si="289"/>
        <v>900000</v>
      </c>
      <c r="AV33" s="57">
        <f t="shared" si="289"/>
        <v>900000</v>
      </c>
      <c r="AW33" s="57">
        <f t="shared" si="289"/>
        <v>900000</v>
      </c>
      <c r="AX33" s="57">
        <f t="shared" si="289"/>
        <v>900000</v>
      </c>
      <c r="AY33" s="57">
        <f t="shared" si="289"/>
        <v>900000</v>
      </c>
      <c r="AZ33" s="57">
        <f t="shared" si="289"/>
        <v>900000</v>
      </c>
      <c r="BA33" s="57">
        <f t="shared" si="289"/>
        <v>900000</v>
      </c>
      <c r="BB33" s="57">
        <f t="shared" si="289"/>
        <v>900000</v>
      </c>
      <c r="BC33" s="57">
        <f t="shared" si="289"/>
        <v>900000</v>
      </c>
      <c r="BD33" s="57">
        <f t="shared" si="289"/>
        <v>900000</v>
      </c>
      <c r="BE33" s="57">
        <f t="shared" si="289"/>
        <v>900000</v>
      </c>
      <c r="BF33" s="57">
        <f t="shared" si="289"/>
        <v>900000</v>
      </c>
      <c r="BG33" s="57">
        <f t="shared" si="289"/>
        <v>900000</v>
      </c>
      <c r="BH33" s="57">
        <f t="shared" si="289"/>
        <v>900000</v>
      </c>
      <c r="BI33" s="57">
        <f t="shared" si="289"/>
        <v>900000</v>
      </c>
      <c r="BJ33" s="57">
        <f t="shared" si="289"/>
        <v>900000</v>
      </c>
      <c r="BK33" s="57">
        <f t="shared" si="289"/>
        <v>900000</v>
      </c>
      <c r="BL33" s="57">
        <f t="shared" si="289"/>
        <v>900000</v>
      </c>
      <c r="BM33" s="57">
        <f t="shared" si="289"/>
        <v>900000</v>
      </c>
      <c r="BN33" s="57">
        <f t="shared" si="289"/>
        <v>900000</v>
      </c>
      <c r="BO33" s="57">
        <f t="shared" si="289"/>
        <v>900000</v>
      </c>
      <c r="BP33" s="57">
        <f t="shared" ref="BP33:EA33" si="290">$C33</f>
        <v>900000</v>
      </c>
      <c r="BQ33" s="57">
        <f t="shared" si="290"/>
        <v>900000</v>
      </c>
      <c r="BR33" s="57">
        <f t="shared" si="290"/>
        <v>900000</v>
      </c>
      <c r="BS33" s="57">
        <f t="shared" si="290"/>
        <v>900000</v>
      </c>
      <c r="BT33" s="57">
        <f t="shared" si="290"/>
        <v>900000</v>
      </c>
      <c r="BU33" s="57">
        <f t="shared" si="290"/>
        <v>900000</v>
      </c>
      <c r="BV33" s="57">
        <f t="shared" si="290"/>
        <v>900000</v>
      </c>
      <c r="BW33" s="57">
        <f t="shared" si="290"/>
        <v>900000</v>
      </c>
      <c r="BX33" s="57">
        <f t="shared" si="290"/>
        <v>900000</v>
      </c>
      <c r="BY33" s="57">
        <f t="shared" si="290"/>
        <v>900000</v>
      </c>
      <c r="BZ33" s="57">
        <f t="shared" si="290"/>
        <v>900000</v>
      </c>
      <c r="CA33" s="57">
        <f t="shared" si="290"/>
        <v>900000</v>
      </c>
      <c r="CB33" s="57">
        <f t="shared" si="290"/>
        <v>900000</v>
      </c>
      <c r="CC33" s="57">
        <f t="shared" si="290"/>
        <v>900000</v>
      </c>
      <c r="CD33" s="57">
        <f t="shared" si="290"/>
        <v>900000</v>
      </c>
      <c r="CE33" s="57">
        <f t="shared" si="290"/>
        <v>900000</v>
      </c>
      <c r="CF33" s="57">
        <f t="shared" si="290"/>
        <v>900000</v>
      </c>
      <c r="CG33" s="57">
        <f t="shared" si="290"/>
        <v>900000</v>
      </c>
      <c r="CH33" s="57">
        <f t="shared" si="290"/>
        <v>900000</v>
      </c>
      <c r="CI33" s="57">
        <f t="shared" si="290"/>
        <v>900000</v>
      </c>
      <c r="CJ33" s="57">
        <f t="shared" si="290"/>
        <v>900000</v>
      </c>
      <c r="CK33" s="57">
        <f t="shared" si="290"/>
        <v>900000</v>
      </c>
      <c r="CL33" s="57">
        <f t="shared" si="290"/>
        <v>900000</v>
      </c>
      <c r="CM33" s="57">
        <f t="shared" si="290"/>
        <v>900000</v>
      </c>
      <c r="CN33" s="57">
        <f t="shared" si="290"/>
        <v>900000</v>
      </c>
      <c r="CO33" s="57">
        <f t="shared" si="290"/>
        <v>900000</v>
      </c>
      <c r="CP33" s="57">
        <f t="shared" si="290"/>
        <v>900000</v>
      </c>
      <c r="CQ33" s="57">
        <f t="shared" si="290"/>
        <v>900000</v>
      </c>
      <c r="CR33" s="57">
        <f t="shared" si="290"/>
        <v>900000</v>
      </c>
      <c r="CS33" s="57">
        <f t="shared" si="290"/>
        <v>900000</v>
      </c>
      <c r="CT33" s="57">
        <f t="shared" si="290"/>
        <v>900000</v>
      </c>
      <c r="CU33" s="57">
        <f t="shared" si="290"/>
        <v>900000</v>
      </c>
      <c r="CV33" s="57">
        <f t="shared" si="290"/>
        <v>900000</v>
      </c>
      <c r="CW33" s="57">
        <f t="shared" si="290"/>
        <v>900000</v>
      </c>
      <c r="CX33" s="57">
        <f t="shared" si="290"/>
        <v>900000</v>
      </c>
      <c r="CY33" s="57">
        <f t="shared" si="290"/>
        <v>900000</v>
      </c>
      <c r="CZ33" s="57">
        <f t="shared" si="290"/>
        <v>900000</v>
      </c>
      <c r="DA33" s="57">
        <f t="shared" si="290"/>
        <v>900000</v>
      </c>
      <c r="DB33" s="57">
        <f t="shared" si="290"/>
        <v>900000</v>
      </c>
      <c r="DC33" s="57">
        <f t="shared" si="290"/>
        <v>900000</v>
      </c>
      <c r="DD33" s="57">
        <f t="shared" si="290"/>
        <v>900000</v>
      </c>
      <c r="DE33" s="57">
        <f t="shared" si="290"/>
        <v>900000</v>
      </c>
      <c r="DF33" s="57">
        <f t="shared" si="290"/>
        <v>900000</v>
      </c>
      <c r="DG33" s="57">
        <f t="shared" si="290"/>
        <v>900000</v>
      </c>
      <c r="DH33" s="57">
        <f t="shared" si="290"/>
        <v>900000</v>
      </c>
      <c r="DI33" s="57">
        <f t="shared" si="290"/>
        <v>900000</v>
      </c>
      <c r="DJ33" s="57">
        <f t="shared" si="290"/>
        <v>900000</v>
      </c>
      <c r="DK33" s="57">
        <f t="shared" si="290"/>
        <v>900000</v>
      </c>
      <c r="DL33" s="57">
        <f t="shared" si="290"/>
        <v>900000</v>
      </c>
      <c r="DM33" s="57">
        <f t="shared" si="290"/>
        <v>900000</v>
      </c>
      <c r="DN33" s="57">
        <f t="shared" si="290"/>
        <v>900000</v>
      </c>
      <c r="DO33" s="57">
        <f t="shared" si="290"/>
        <v>900000</v>
      </c>
      <c r="DP33" s="57">
        <f t="shared" si="290"/>
        <v>900000</v>
      </c>
      <c r="DQ33" s="57">
        <f t="shared" si="290"/>
        <v>900000</v>
      </c>
      <c r="DR33" s="57">
        <f t="shared" si="290"/>
        <v>900000</v>
      </c>
      <c r="DS33" s="57">
        <f t="shared" si="290"/>
        <v>900000</v>
      </c>
      <c r="DT33" s="57">
        <f t="shared" si="290"/>
        <v>900000</v>
      </c>
      <c r="DU33" s="57">
        <f t="shared" si="290"/>
        <v>900000</v>
      </c>
      <c r="DV33" s="57">
        <f t="shared" si="290"/>
        <v>900000</v>
      </c>
      <c r="DW33" s="57">
        <f t="shared" si="290"/>
        <v>900000</v>
      </c>
      <c r="DX33" s="57">
        <f t="shared" si="290"/>
        <v>900000</v>
      </c>
      <c r="DY33" s="57">
        <f t="shared" si="290"/>
        <v>900000</v>
      </c>
      <c r="DZ33" s="57">
        <f t="shared" si="290"/>
        <v>900000</v>
      </c>
      <c r="EA33" s="57">
        <f t="shared" si="290"/>
        <v>900000</v>
      </c>
      <c r="EB33" s="57">
        <f t="shared" ref="EB33:GM33" si="291">$C33</f>
        <v>900000</v>
      </c>
      <c r="EC33" s="57">
        <f t="shared" si="291"/>
        <v>900000</v>
      </c>
      <c r="ED33" s="57">
        <f t="shared" si="291"/>
        <v>900000</v>
      </c>
      <c r="EE33" s="57">
        <f t="shared" si="291"/>
        <v>900000</v>
      </c>
      <c r="EF33" s="57">
        <f t="shared" si="291"/>
        <v>900000</v>
      </c>
      <c r="EG33" s="57">
        <f t="shared" si="291"/>
        <v>900000</v>
      </c>
      <c r="EH33" s="57">
        <f t="shared" si="291"/>
        <v>900000</v>
      </c>
      <c r="EI33" s="57">
        <f t="shared" si="291"/>
        <v>900000</v>
      </c>
      <c r="EJ33" s="57">
        <f t="shared" si="291"/>
        <v>900000</v>
      </c>
      <c r="EK33" s="57">
        <f t="shared" si="291"/>
        <v>900000</v>
      </c>
      <c r="EL33" s="57">
        <f t="shared" si="291"/>
        <v>900000</v>
      </c>
      <c r="EM33" s="57">
        <f t="shared" si="291"/>
        <v>900000</v>
      </c>
      <c r="EN33" s="57">
        <f t="shared" si="291"/>
        <v>900000</v>
      </c>
      <c r="EO33" s="57">
        <f t="shared" si="291"/>
        <v>900000</v>
      </c>
      <c r="EP33" s="57">
        <f t="shared" si="291"/>
        <v>900000</v>
      </c>
      <c r="EQ33" s="57">
        <f t="shared" si="291"/>
        <v>900000</v>
      </c>
      <c r="ER33" s="57">
        <f t="shared" si="291"/>
        <v>900000</v>
      </c>
      <c r="ES33" s="57">
        <f t="shared" si="291"/>
        <v>900000</v>
      </c>
      <c r="ET33" s="57">
        <f t="shared" si="291"/>
        <v>900000</v>
      </c>
      <c r="EU33" s="57">
        <f t="shared" si="291"/>
        <v>900000</v>
      </c>
      <c r="EV33" s="57">
        <f t="shared" si="291"/>
        <v>900000</v>
      </c>
      <c r="EW33" s="57">
        <f t="shared" si="291"/>
        <v>900000</v>
      </c>
      <c r="EX33" s="57">
        <f t="shared" si="291"/>
        <v>900000</v>
      </c>
      <c r="EY33" s="57">
        <f t="shared" si="291"/>
        <v>900000</v>
      </c>
      <c r="EZ33" s="57">
        <f t="shared" si="291"/>
        <v>900000</v>
      </c>
      <c r="FA33" s="57">
        <f t="shared" si="291"/>
        <v>900000</v>
      </c>
      <c r="FB33" s="57">
        <f t="shared" si="291"/>
        <v>900000</v>
      </c>
      <c r="FC33" s="57">
        <f t="shared" si="291"/>
        <v>900000</v>
      </c>
      <c r="FD33" s="57">
        <f t="shared" si="291"/>
        <v>900000</v>
      </c>
      <c r="FE33" s="57">
        <f t="shared" si="291"/>
        <v>900000</v>
      </c>
      <c r="FF33" s="57">
        <f t="shared" si="291"/>
        <v>900000</v>
      </c>
      <c r="FG33" s="57">
        <f t="shared" si="291"/>
        <v>900000</v>
      </c>
      <c r="FH33" s="57">
        <f t="shared" si="291"/>
        <v>900000</v>
      </c>
      <c r="FI33" s="57">
        <f t="shared" si="291"/>
        <v>900000</v>
      </c>
      <c r="FJ33" s="57">
        <f t="shared" si="291"/>
        <v>900000</v>
      </c>
      <c r="FK33" s="57">
        <f t="shared" si="291"/>
        <v>900000</v>
      </c>
      <c r="FL33" s="57">
        <f t="shared" si="291"/>
        <v>900000</v>
      </c>
      <c r="FM33" s="57">
        <f t="shared" si="291"/>
        <v>900000</v>
      </c>
      <c r="FN33" s="57">
        <f t="shared" si="291"/>
        <v>900000</v>
      </c>
      <c r="FO33" s="57">
        <f t="shared" si="291"/>
        <v>900000</v>
      </c>
      <c r="FP33" s="57">
        <f t="shared" si="291"/>
        <v>900000</v>
      </c>
      <c r="FQ33" s="57">
        <f t="shared" si="291"/>
        <v>900000</v>
      </c>
      <c r="FR33" s="57">
        <f t="shared" si="291"/>
        <v>900000</v>
      </c>
      <c r="FS33" s="57">
        <f t="shared" si="291"/>
        <v>900000</v>
      </c>
      <c r="FT33" s="57">
        <f t="shared" si="291"/>
        <v>900000</v>
      </c>
      <c r="FU33" s="57">
        <f t="shared" si="291"/>
        <v>900000</v>
      </c>
      <c r="FV33" s="57">
        <f t="shared" si="291"/>
        <v>900000</v>
      </c>
      <c r="FW33" s="57">
        <f t="shared" si="291"/>
        <v>900000</v>
      </c>
      <c r="FX33" s="57">
        <f t="shared" si="291"/>
        <v>900000</v>
      </c>
      <c r="FY33" s="57">
        <f t="shared" si="291"/>
        <v>900000</v>
      </c>
      <c r="FZ33" s="57">
        <f t="shared" si="291"/>
        <v>900000</v>
      </c>
      <c r="GA33" s="57">
        <f t="shared" si="291"/>
        <v>900000</v>
      </c>
      <c r="GB33" s="57">
        <f t="shared" si="291"/>
        <v>900000</v>
      </c>
      <c r="GC33" s="57">
        <f t="shared" si="291"/>
        <v>900000</v>
      </c>
      <c r="GD33" s="57">
        <f t="shared" si="291"/>
        <v>900000</v>
      </c>
      <c r="GE33" s="57">
        <f t="shared" si="291"/>
        <v>900000</v>
      </c>
      <c r="GF33" s="57">
        <f t="shared" si="291"/>
        <v>900000</v>
      </c>
      <c r="GG33" s="57">
        <f t="shared" si="291"/>
        <v>900000</v>
      </c>
      <c r="GH33" s="57">
        <f t="shared" si="291"/>
        <v>900000</v>
      </c>
      <c r="GI33" s="57">
        <f t="shared" si="291"/>
        <v>900000</v>
      </c>
      <c r="GJ33" s="57">
        <f t="shared" si="291"/>
        <v>900000</v>
      </c>
      <c r="GK33" s="57">
        <f t="shared" si="291"/>
        <v>900000</v>
      </c>
      <c r="GL33" s="57">
        <f t="shared" si="291"/>
        <v>900000</v>
      </c>
      <c r="GM33" s="57">
        <f t="shared" si="291"/>
        <v>900000</v>
      </c>
      <c r="GN33" s="57">
        <f t="shared" ref="GN33:IY33" si="292">$C33</f>
        <v>900000</v>
      </c>
      <c r="GO33" s="57">
        <f t="shared" si="292"/>
        <v>900000</v>
      </c>
      <c r="GP33" s="57">
        <f t="shared" si="292"/>
        <v>900000</v>
      </c>
      <c r="GQ33" s="57">
        <f t="shared" si="292"/>
        <v>900000</v>
      </c>
      <c r="GR33" s="57">
        <f t="shared" si="292"/>
        <v>900000</v>
      </c>
      <c r="GS33" s="57">
        <f t="shared" si="292"/>
        <v>900000</v>
      </c>
      <c r="GT33" s="57">
        <f t="shared" si="292"/>
        <v>900000</v>
      </c>
      <c r="GU33" s="57">
        <f t="shared" si="292"/>
        <v>900000</v>
      </c>
      <c r="GV33" s="57">
        <f t="shared" si="292"/>
        <v>900000</v>
      </c>
      <c r="GW33" s="57">
        <f t="shared" si="292"/>
        <v>900000</v>
      </c>
      <c r="GX33" s="57">
        <f t="shared" si="292"/>
        <v>900000</v>
      </c>
      <c r="GY33" s="57">
        <f t="shared" si="292"/>
        <v>900000</v>
      </c>
      <c r="GZ33" s="57">
        <f t="shared" si="292"/>
        <v>900000</v>
      </c>
      <c r="HA33" s="57">
        <f t="shared" si="292"/>
        <v>900000</v>
      </c>
      <c r="HB33" s="57">
        <f t="shared" si="292"/>
        <v>900000</v>
      </c>
      <c r="HC33" s="57">
        <f t="shared" si="292"/>
        <v>900000</v>
      </c>
      <c r="HD33" s="57">
        <f t="shared" si="292"/>
        <v>900000</v>
      </c>
      <c r="HE33" s="57">
        <f t="shared" si="292"/>
        <v>900000</v>
      </c>
      <c r="HF33" s="57">
        <f t="shared" si="292"/>
        <v>900000</v>
      </c>
      <c r="HG33" s="57">
        <f t="shared" si="292"/>
        <v>900000</v>
      </c>
      <c r="HH33" s="57">
        <f t="shared" si="292"/>
        <v>900000</v>
      </c>
      <c r="HI33" s="57">
        <f t="shared" si="292"/>
        <v>900000</v>
      </c>
      <c r="HJ33" s="57">
        <f t="shared" si="292"/>
        <v>900000</v>
      </c>
      <c r="HK33" s="57">
        <f t="shared" si="292"/>
        <v>900000</v>
      </c>
      <c r="HL33" s="57">
        <f t="shared" si="292"/>
        <v>900000</v>
      </c>
      <c r="HM33" s="57">
        <f t="shared" si="292"/>
        <v>900000</v>
      </c>
      <c r="HN33" s="57">
        <f t="shared" si="292"/>
        <v>900000</v>
      </c>
      <c r="HO33" s="57">
        <f t="shared" si="292"/>
        <v>900000</v>
      </c>
      <c r="HP33" s="57">
        <f t="shared" si="292"/>
        <v>900000</v>
      </c>
      <c r="HQ33" s="57">
        <f t="shared" si="292"/>
        <v>900000</v>
      </c>
      <c r="HR33" s="57">
        <f t="shared" si="292"/>
        <v>900000</v>
      </c>
      <c r="HS33" s="57">
        <f t="shared" si="292"/>
        <v>900000</v>
      </c>
      <c r="HT33" s="57">
        <f t="shared" si="292"/>
        <v>900000</v>
      </c>
      <c r="HU33" s="57">
        <f t="shared" si="292"/>
        <v>900000</v>
      </c>
      <c r="HV33" s="57">
        <f t="shared" si="292"/>
        <v>900000</v>
      </c>
      <c r="HW33" s="57">
        <f t="shared" si="292"/>
        <v>900000</v>
      </c>
      <c r="HX33" s="57">
        <f t="shared" si="292"/>
        <v>900000</v>
      </c>
      <c r="HY33" s="57">
        <f t="shared" si="292"/>
        <v>900000</v>
      </c>
      <c r="HZ33" s="57">
        <f t="shared" si="292"/>
        <v>900000</v>
      </c>
      <c r="IA33" s="57">
        <f t="shared" si="292"/>
        <v>900000</v>
      </c>
      <c r="IB33" s="57">
        <f t="shared" si="292"/>
        <v>900000</v>
      </c>
      <c r="IC33" s="57">
        <f t="shared" si="292"/>
        <v>900000</v>
      </c>
      <c r="ID33" s="57">
        <f t="shared" si="292"/>
        <v>900000</v>
      </c>
      <c r="IE33" s="57">
        <f t="shared" si="292"/>
        <v>900000</v>
      </c>
      <c r="IF33" s="57">
        <f t="shared" si="292"/>
        <v>900000</v>
      </c>
      <c r="IG33" s="57">
        <f t="shared" si="292"/>
        <v>900000</v>
      </c>
      <c r="IH33" s="57">
        <f t="shared" si="292"/>
        <v>900000</v>
      </c>
      <c r="II33" s="57">
        <f t="shared" si="292"/>
        <v>900000</v>
      </c>
      <c r="IJ33" s="57">
        <f t="shared" si="292"/>
        <v>900000</v>
      </c>
      <c r="IK33" s="57">
        <f t="shared" si="292"/>
        <v>900000</v>
      </c>
      <c r="IL33" s="57">
        <f t="shared" si="292"/>
        <v>900000</v>
      </c>
      <c r="IM33" s="57">
        <f t="shared" si="292"/>
        <v>900000</v>
      </c>
      <c r="IN33" s="57">
        <f t="shared" si="292"/>
        <v>900000</v>
      </c>
      <c r="IO33" s="57">
        <f t="shared" si="292"/>
        <v>900000</v>
      </c>
      <c r="IP33" s="57">
        <f t="shared" si="292"/>
        <v>900000</v>
      </c>
      <c r="IQ33" s="57">
        <f t="shared" si="292"/>
        <v>900000</v>
      </c>
      <c r="IR33" s="57">
        <f t="shared" si="292"/>
        <v>900000</v>
      </c>
      <c r="IS33" s="57">
        <f t="shared" si="292"/>
        <v>900000</v>
      </c>
      <c r="IT33" s="57">
        <f t="shared" si="292"/>
        <v>900000</v>
      </c>
      <c r="IU33" s="57">
        <f t="shared" si="292"/>
        <v>900000</v>
      </c>
      <c r="IV33" s="57">
        <f t="shared" si="292"/>
        <v>900000</v>
      </c>
      <c r="IW33" s="57">
        <f t="shared" si="292"/>
        <v>900000</v>
      </c>
      <c r="IX33" s="57">
        <f t="shared" si="292"/>
        <v>900000</v>
      </c>
      <c r="IY33" s="57">
        <f t="shared" si="292"/>
        <v>900000</v>
      </c>
      <c r="IZ33" s="57">
        <f t="shared" ref="IZ33:LK33" si="293">$C33</f>
        <v>900000</v>
      </c>
      <c r="JA33" s="57">
        <f t="shared" si="293"/>
        <v>900000</v>
      </c>
      <c r="JB33" s="57">
        <f t="shared" si="293"/>
        <v>900000</v>
      </c>
      <c r="JC33" s="57">
        <f t="shared" si="293"/>
        <v>900000</v>
      </c>
      <c r="JD33" s="57">
        <f t="shared" si="293"/>
        <v>900000</v>
      </c>
      <c r="JE33" s="57">
        <f t="shared" si="293"/>
        <v>900000</v>
      </c>
      <c r="JF33" s="57">
        <f t="shared" si="293"/>
        <v>900000</v>
      </c>
      <c r="JG33" s="57">
        <f t="shared" si="293"/>
        <v>900000</v>
      </c>
      <c r="JH33" s="57">
        <f t="shared" si="293"/>
        <v>900000</v>
      </c>
      <c r="JI33" s="57">
        <f t="shared" si="293"/>
        <v>900000</v>
      </c>
      <c r="JJ33" s="57">
        <f t="shared" si="293"/>
        <v>900000</v>
      </c>
      <c r="JK33" s="57">
        <f t="shared" si="293"/>
        <v>900000</v>
      </c>
      <c r="JL33" s="57">
        <f t="shared" si="293"/>
        <v>900000</v>
      </c>
      <c r="JM33" s="57">
        <f t="shared" si="293"/>
        <v>900000</v>
      </c>
      <c r="JN33" s="57">
        <f t="shared" si="293"/>
        <v>900000</v>
      </c>
      <c r="JO33" s="57">
        <f t="shared" si="293"/>
        <v>900000</v>
      </c>
      <c r="JP33" s="57">
        <f t="shared" si="293"/>
        <v>900000</v>
      </c>
      <c r="JQ33" s="57">
        <f t="shared" si="293"/>
        <v>900000</v>
      </c>
      <c r="JR33" s="57">
        <f t="shared" si="293"/>
        <v>900000</v>
      </c>
      <c r="JS33" s="57">
        <f t="shared" si="293"/>
        <v>900000</v>
      </c>
      <c r="JT33" s="57">
        <f t="shared" si="293"/>
        <v>900000</v>
      </c>
      <c r="JU33" s="57">
        <f t="shared" si="293"/>
        <v>900000</v>
      </c>
      <c r="JV33" s="57">
        <f t="shared" si="293"/>
        <v>900000</v>
      </c>
      <c r="JW33" s="57">
        <f t="shared" si="293"/>
        <v>900000</v>
      </c>
      <c r="JX33" s="57">
        <f t="shared" si="293"/>
        <v>900000</v>
      </c>
      <c r="JY33" s="57">
        <f t="shared" si="293"/>
        <v>900000</v>
      </c>
      <c r="JZ33" s="57">
        <f t="shared" si="293"/>
        <v>900000</v>
      </c>
      <c r="KA33" s="57">
        <f t="shared" si="293"/>
        <v>900000</v>
      </c>
      <c r="KB33" s="57">
        <f t="shared" si="293"/>
        <v>900000</v>
      </c>
      <c r="KC33" s="57">
        <f t="shared" si="293"/>
        <v>900000</v>
      </c>
      <c r="KD33" s="57">
        <f t="shared" si="293"/>
        <v>900000</v>
      </c>
      <c r="KE33" s="57">
        <f t="shared" si="293"/>
        <v>900000</v>
      </c>
      <c r="KF33" s="57">
        <f t="shared" si="293"/>
        <v>900000</v>
      </c>
      <c r="KG33" s="57">
        <f t="shared" si="293"/>
        <v>900000</v>
      </c>
      <c r="KH33" s="57">
        <f t="shared" si="293"/>
        <v>900000</v>
      </c>
      <c r="KI33" s="57">
        <f t="shared" si="293"/>
        <v>900000</v>
      </c>
      <c r="KJ33" s="57">
        <f t="shared" si="293"/>
        <v>900000</v>
      </c>
      <c r="KK33" s="57">
        <f t="shared" si="293"/>
        <v>900000</v>
      </c>
      <c r="KL33" s="57">
        <f t="shared" si="293"/>
        <v>900000</v>
      </c>
      <c r="KM33" s="57">
        <f t="shared" si="293"/>
        <v>900000</v>
      </c>
      <c r="KN33" s="57">
        <f t="shared" si="293"/>
        <v>900000</v>
      </c>
      <c r="KO33" s="57">
        <f t="shared" si="293"/>
        <v>900000</v>
      </c>
      <c r="KP33" s="57">
        <f t="shared" si="293"/>
        <v>900000</v>
      </c>
      <c r="KQ33" s="57">
        <f t="shared" si="293"/>
        <v>900000</v>
      </c>
      <c r="KR33" s="57">
        <f t="shared" si="293"/>
        <v>900000</v>
      </c>
      <c r="KS33" s="57">
        <f t="shared" si="293"/>
        <v>900000</v>
      </c>
      <c r="KT33" s="57">
        <f t="shared" si="293"/>
        <v>900000</v>
      </c>
      <c r="KU33" s="57">
        <f t="shared" si="293"/>
        <v>900000</v>
      </c>
      <c r="KV33" s="57">
        <f t="shared" si="293"/>
        <v>900000</v>
      </c>
      <c r="KW33" s="57">
        <f t="shared" si="293"/>
        <v>900000</v>
      </c>
      <c r="KX33" s="57">
        <f t="shared" si="293"/>
        <v>900000</v>
      </c>
      <c r="KY33" s="57">
        <f t="shared" si="293"/>
        <v>900000</v>
      </c>
      <c r="KZ33" s="57">
        <f t="shared" si="293"/>
        <v>900000</v>
      </c>
      <c r="LA33" s="57">
        <f t="shared" si="293"/>
        <v>900000</v>
      </c>
      <c r="LB33" s="57">
        <f t="shared" si="293"/>
        <v>900000</v>
      </c>
      <c r="LC33" s="57">
        <f t="shared" si="293"/>
        <v>900000</v>
      </c>
      <c r="LD33" s="57">
        <f t="shared" si="293"/>
        <v>900000</v>
      </c>
      <c r="LE33" s="57">
        <f t="shared" si="293"/>
        <v>900000</v>
      </c>
      <c r="LF33" s="57">
        <f t="shared" si="293"/>
        <v>900000</v>
      </c>
      <c r="LG33" s="57">
        <f t="shared" si="293"/>
        <v>900000</v>
      </c>
      <c r="LH33" s="57">
        <f t="shared" si="293"/>
        <v>900000</v>
      </c>
      <c r="LI33" s="57">
        <f t="shared" si="293"/>
        <v>900000</v>
      </c>
      <c r="LJ33" s="57">
        <f t="shared" si="293"/>
        <v>900000</v>
      </c>
      <c r="LK33" s="57">
        <f t="shared" si="293"/>
        <v>900000</v>
      </c>
      <c r="LL33" s="57">
        <f t="shared" ref="LL33:NW33" si="294">$C33</f>
        <v>900000</v>
      </c>
      <c r="LM33" s="57">
        <f t="shared" si="294"/>
        <v>900000</v>
      </c>
      <c r="LN33" s="57">
        <f t="shared" si="294"/>
        <v>900000</v>
      </c>
      <c r="LO33" s="57">
        <f t="shared" si="294"/>
        <v>900000</v>
      </c>
      <c r="LP33" s="57">
        <f t="shared" si="294"/>
        <v>900000</v>
      </c>
      <c r="LQ33" s="57">
        <f t="shared" si="294"/>
        <v>900000</v>
      </c>
      <c r="LR33" s="57">
        <f t="shared" si="294"/>
        <v>900000</v>
      </c>
      <c r="LS33" s="57">
        <f t="shared" si="294"/>
        <v>900000</v>
      </c>
      <c r="LT33" s="57">
        <f t="shared" si="294"/>
        <v>900000</v>
      </c>
      <c r="LU33" s="57">
        <f t="shared" si="294"/>
        <v>900000</v>
      </c>
      <c r="LV33" s="57">
        <f t="shared" si="294"/>
        <v>900000</v>
      </c>
      <c r="LW33" s="57">
        <f t="shared" si="294"/>
        <v>900000</v>
      </c>
      <c r="LX33" s="57">
        <f t="shared" si="294"/>
        <v>900000</v>
      </c>
      <c r="LY33" s="57">
        <f t="shared" si="294"/>
        <v>900000</v>
      </c>
      <c r="LZ33" s="57">
        <f t="shared" si="294"/>
        <v>900000</v>
      </c>
      <c r="MA33" s="57">
        <f t="shared" si="294"/>
        <v>900000</v>
      </c>
      <c r="MB33" s="57">
        <f t="shared" si="294"/>
        <v>900000</v>
      </c>
      <c r="MC33" s="57">
        <f t="shared" si="294"/>
        <v>900000</v>
      </c>
      <c r="MD33" s="57">
        <f t="shared" si="294"/>
        <v>900000</v>
      </c>
      <c r="ME33" s="57">
        <f t="shared" si="294"/>
        <v>900000</v>
      </c>
      <c r="MF33" s="57">
        <f t="shared" si="294"/>
        <v>900000</v>
      </c>
      <c r="MG33" s="57">
        <f t="shared" si="294"/>
        <v>900000</v>
      </c>
      <c r="MH33" s="57">
        <f t="shared" si="294"/>
        <v>900000</v>
      </c>
      <c r="MI33" s="57">
        <f t="shared" si="294"/>
        <v>900000</v>
      </c>
      <c r="MJ33" s="57">
        <f t="shared" si="294"/>
        <v>900000</v>
      </c>
      <c r="MK33" s="57">
        <f t="shared" si="294"/>
        <v>900000</v>
      </c>
      <c r="ML33" s="57">
        <f t="shared" si="294"/>
        <v>900000</v>
      </c>
      <c r="MM33" s="57">
        <f t="shared" si="294"/>
        <v>900000</v>
      </c>
      <c r="MN33" s="57">
        <f t="shared" si="294"/>
        <v>900000</v>
      </c>
      <c r="MO33" s="57">
        <f t="shared" si="294"/>
        <v>900000</v>
      </c>
      <c r="MP33" s="57">
        <f t="shared" si="294"/>
        <v>900000</v>
      </c>
      <c r="MQ33" s="57">
        <f t="shared" si="294"/>
        <v>900000</v>
      </c>
      <c r="MR33" s="57">
        <f t="shared" si="294"/>
        <v>900000</v>
      </c>
      <c r="MS33" s="57">
        <f t="shared" si="294"/>
        <v>900000</v>
      </c>
      <c r="MT33" s="57">
        <f t="shared" si="294"/>
        <v>900000</v>
      </c>
      <c r="MU33" s="57">
        <f t="shared" si="294"/>
        <v>900000</v>
      </c>
      <c r="MV33" s="57">
        <f t="shared" si="294"/>
        <v>900000</v>
      </c>
      <c r="MW33" s="57">
        <f t="shared" si="294"/>
        <v>900000</v>
      </c>
      <c r="MX33" s="57">
        <f t="shared" si="294"/>
        <v>900000</v>
      </c>
      <c r="MY33" s="57">
        <f t="shared" si="294"/>
        <v>900000</v>
      </c>
      <c r="MZ33" s="57">
        <f t="shared" si="294"/>
        <v>900000</v>
      </c>
      <c r="NA33" s="57">
        <f t="shared" si="294"/>
        <v>900000</v>
      </c>
      <c r="NB33" s="57">
        <f t="shared" si="294"/>
        <v>900000</v>
      </c>
      <c r="NC33" s="57">
        <f t="shared" si="294"/>
        <v>900000</v>
      </c>
      <c r="ND33" s="57">
        <f t="shared" si="294"/>
        <v>900000</v>
      </c>
      <c r="NE33" s="57">
        <f t="shared" si="294"/>
        <v>900000</v>
      </c>
      <c r="NF33" s="57">
        <f t="shared" si="294"/>
        <v>900000</v>
      </c>
      <c r="NG33" s="57">
        <f t="shared" si="294"/>
        <v>900000</v>
      </c>
      <c r="NH33" s="57">
        <f t="shared" si="294"/>
        <v>900000</v>
      </c>
      <c r="NI33" s="57">
        <f t="shared" si="294"/>
        <v>900000</v>
      </c>
      <c r="NJ33" s="57">
        <f t="shared" si="294"/>
        <v>900000</v>
      </c>
      <c r="NK33" s="57">
        <f t="shared" si="294"/>
        <v>900000</v>
      </c>
      <c r="NL33" s="57">
        <f t="shared" si="294"/>
        <v>900000</v>
      </c>
      <c r="NM33" s="57">
        <f t="shared" si="294"/>
        <v>900000</v>
      </c>
      <c r="NN33" s="57">
        <f t="shared" si="294"/>
        <v>900000</v>
      </c>
      <c r="NO33" s="57">
        <f t="shared" si="294"/>
        <v>900000</v>
      </c>
      <c r="NP33" s="57">
        <f t="shared" si="294"/>
        <v>900000</v>
      </c>
      <c r="NQ33" s="57">
        <f t="shared" si="294"/>
        <v>900000</v>
      </c>
      <c r="NR33" s="57">
        <f t="shared" si="294"/>
        <v>900000</v>
      </c>
      <c r="NS33" s="57">
        <f t="shared" si="294"/>
        <v>900000</v>
      </c>
      <c r="NT33" s="57">
        <f t="shared" si="294"/>
        <v>900000</v>
      </c>
      <c r="NU33" s="57">
        <f t="shared" si="294"/>
        <v>900000</v>
      </c>
      <c r="NV33" s="57">
        <f t="shared" si="294"/>
        <v>900000</v>
      </c>
      <c r="NW33" s="57">
        <f t="shared" si="294"/>
        <v>900000</v>
      </c>
      <c r="NX33" s="57">
        <f t="shared" ref="NX33:QI33" si="295">$C33</f>
        <v>900000</v>
      </c>
      <c r="NY33" s="57">
        <f t="shared" si="295"/>
        <v>900000</v>
      </c>
      <c r="NZ33" s="57">
        <f t="shared" si="295"/>
        <v>900000</v>
      </c>
      <c r="OA33" s="57">
        <f t="shared" si="295"/>
        <v>900000</v>
      </c>
      <c r="OB33" s="57">
        <f t="shared" si="295"/>
        <v>900000</v>
      </c>
      <c r="OC33" s="57">
        <f t="shared" si="295"/>
        <v>900000</v>
      </c>
      <c r="OD33" s="57">
        <f t="shared" si="295"/>
        <v>900000</v>
      </c>
      <c r="OE33" s="57">
        <f t="shared" si="295"/>
        <v>900000</v>
      </c>
      <c r="OF33" s="57">
        <f t="shared" si="295"/>
        <v>900000</v>
      </c>
      <c r="OG33" s="57">
        <f t="shared" si="295"/>
        <v>900000</v>
      </c>
      <c r="OH33" s="57">
        <f t="shared" si="295"/>
        <v>900000</v>
      </c>
      <c r="OI33" s="57">
        <f t="shared" si="295"/>
        <v>900000</v>
      </c>
      <c r="OJ33" s="57">
        <f t="shared" si="295"/>
        <v>900000</v>
      </c>
      <c r="OK33" s="57">
        <f t="shared" si="295"/>
        <v>900000</v>
      </c>
      <c r="OL33" s="57">
        <f t="shared" si="295"/>
        <v>900000</v>
      </c>
      <c r="OM33" s="57">
        <f t="shared" si="295"/>
        <v>900000</v>
      </c>
      <c r="ON33" s="57">
        <f t="shared" si="295"/>
        <v>900000</v>
      </c>
      <c r="OO33" s="57">
        <f t="shared" si="295"/>
        <v>900000</v>
      </c>
      <c r="OP33" s="57">
        <f t="shared" si="295"/>
        <v>900000</v>
      </c>
      <c r="OQ33" s="57">
        <f t="shared" si="295"/>
        <v>900000</v>
      </c>
      <c r="OR33" s="57">
        <f t="shared" si="295"/>
        <v>900000</v>
      </c>
      <c r="OS33" s="57">
        <f t="shared" si="295"/>
        <v>900000</v>
      </c>
      <c r="OT33" s="57">
        <f t="shared" si="295"/>
        <v>900000</v>
      </c>
      <c r="OU33" s="57">
        <f t="shared" si="295"/>
        <v>900000</v>
      </c>
      <c r="OV33" s="57">
        <f t="shared" si="295"/>
        <v>900000</v>
      </c>
      <c r="OW33" s="57">
        <f t="shared" si="295"/>
        <v>900000</v>
      </c>
      <c r="OX33" s="57">
        <f t="shared" si="295"/>
        <v>900000</v>
      </c>
      <c r="OY33" s="57">
        <f t="shared" si="295"/>
        <v>900000</v>
      </c>
      <c r="OZ33" s="57">
        <f t="shared" si="295"/>
        <v>900000</v>
      </c>
      <c r="PA33" s="57">
        <f t="shared" si="295"/>
        <v>900000</v>
      </c>
      <c r="PB33" s="57">
        <f t="shared" si="295"/>
        <v>900000</v>
      </c>
      <c r="PC33" s="57">
        <f t="shared" si="295"/>
        <v>900000</v>
      </c>
      <c r="PD33" s="57">
        <f t="shared" si="295"/>
        <v>900000</v>
      </c>
      <c r="PE33" s="57">
        <f t="shared" si="295"/>
        <v>900000</v>
      </c>
      <c r="PF33" s="57">
        <f t="shared" si="295"/>
        <v>900000</v>
      </c>
      <c r="PG33" s="57">
        <f t="shared" si="295"/>
        <v>900000</v>
      </c>
      <c r="PH33" s="57">
        <f t="shared" si="295"/>
        <v>900000</v>
      </c>
      <c r="PI33" s="57">
        <f t="shared" si="295"/>
        <v>900000</v>
      </c>
      <c r="PJ33" s="57">
        <f t="shared" si="295"/>
        <v>900000</v>
      </c>
      <c r="PK33" s="57">
        <f t="shared" si="295"/>
        <v>900000</v>
      </c>
      <c r="PL33" s="57">
        <f t="shared" si="295"/>
        <v>900000</v>
      </c>
      <c r="PM33" s="57">
        <f t="shared" si="295"/>
        <v>900000</v>
      </c>
      <c r="PN33" s="57">
        <f t="shared" si="295"/>
        <v>900000</v>
      </c>
      <c r="PO33" s="57">
        <f t="shared" si="295"/>
        <v>900000</v>
      </c>
      <c r="PP33" s="57">
        <f t="shared" si="295"/>
        <v>900000</v>
      </c>
      <c r="PQ33" s="57">
        <f t="shared" si="295"/>
        <v>900000</v>
      </c>
      <c r="PR33" s="57">
        <f t="shared" si="295"/>
        <v>900000</v>
      </c>
      <c r="PS33" s="57">
        <f t="shared" si="295"/>
        <v>900000</v>
      </c>
      <c r="PT33" s="57">
        <f t="shared" si="295"/>
        <v>900000</v>
      </c>
      <c r="PU33" s="57">
        <f t="shared" si="295"/>
        <v>900000</v>
      </c>
      <c r="PV33" s="57">
        <f t="shared" si="295"/>
        <v>900000</v>
      </c>
      <c r="PW33" s="57">
        <f t="shared" si="295"/>
        <v>900000</v>
      </c>
      <c r="PX33" s="57">
        <f t="shared" si="295"/>
        <v>900000</v>
      </c>
      <c r="PY33" s="57">
        <f t="shared" si="295"/>
        <v>900000</v>
      </c>
      <c r="PZ33" s="57">
        <f t="shared" si="295"/>
        <v>900000</v>
      </c>
      <c r="QA33" s="57">
        <f t="shared" si="295"/>
        <v>900000</v>
      </c>
      <c r="QB33" s="57">
        <f t="shared" si="295"/>
        <v>900000</v>
      </c>
      <c r="QC33" s="57">
        <f t="shared" si="295"/>
        <v>900000</v>
      </c>
      <c r="QD33" s="57">
        <f t="shared" si="295"/>
        <v>900000</v>
      </c>
      <c r="QE33" s="57">
        <f t="shared" si="295"/>
        <v>900000</v>
      </c>
      <c r="QF33" s="57">
        <f t="shared" si="295"/>
        <v>900000</v>
      </c>
      <c r="QG33" s="57">
        <f t="shared" si="295"/>
        <v>900000</v>
      </c>
      <c r="QH33" s="57">
        <f t="shared" si="295"/>
        <v>900000</v>
      </c>
      <c r="QI33" s="57">
        <f t="shared" si="295"/>
        <v>900000</v>
      </c>
      <c r="QJ33" s="57">
        <f t="shared" ref="QJ33:SU33" si="296">$C33</f>
        <v>900000</v>
      </c>
      <c r="QK33" s="57">
        <f t="shared" si="296"/>
        <v>900000</v>
      </c>
      <c r="QL33" s="57">
        <f t="shared" si="296"/>
        <v>900000</v>
      </c>
      <c r="QM33" s="57">
        <f t="shared" si="296"/>
        <v>900000</v>
      </c>
      <c r="QN33" s="57">
        <f t="shared" si="296"/>
        <v>900000</v>
      </c>
      <c r="QO33" s="57">
        <f t="shared" si="296"/>
        <v>900000</v>
      </c>
      <c r="QP33" s="57">
        <f t="shared" si="296"/>
        <v>900000</v>
      </c>
      <c r="QQ33" s="57">
        <f t="shared" si="296"/>
        <v>900000</v>
      </c>
      <c r="QR33" s="57">
        <f t="shared" si="296"/>
        <v>900000</v>
      </c>
      <c r="QS33" s="57">
        <f t="shared" si="296"/>
        <v>900000</v>
      </c>
      <c r="QT33" s="57">
        <f t="shared" si="296"/>
        <v>900000</v>
      </c>
      <c r="QU33" s="57">
        <f t="shared" si="296"/>
        <v>900000</v>
      </c>
      <c r="QV33" s="57">
        <f t="shared" si="296"/>
        <v>900000</v>
      </c>
      <c r="QW33" s="57">
        <f t="shared" si="296"/>
        <v>900000</v>
      </c>
      <c r="QX33" s="57">
        <f t="shared" si="296"/>
        <v>900000</v>
      </c>
      <c r="QY33" s="57">
        <f t="shared" si="296"/>
        <v>900000</v>
      </c>
      <c r="QZ33" s="57">
        <f t="shared" si="296"/>
        <v>900000</v>
      </c>
      <c r="RA33" s="57">
        <f t="shared" si="296"/>
        <v>900000</v>
      </c>
      <c r="RB33" s="57">
        <f t="shared" si="296"/>
        <v>900000</v>
      </c>
      <c r="RC33" s="57">
        <f t="shared" si="296"/>
        <v>900000</v>
      </c>
      <c r="RD33" s="57">
        <f t="shared" si="296"/>
        <v>900000</v>
      </c>
      <c r="RE33" s="57">
        <f t="shared" si="296"/>
        <v>900000</v>
      </c>
      <c r="RF33" s="57">
        <f t="shared" si="296"/>
        <v>900000</v>
      </c>
      <c r="RG33" s="57">
        <f t="shared" si="296"/>
        <v>900000</v>
      </c>
      <c r="RH33" s="57">
        <f t="shared" si="296"/>
        <v>900000</v>
      </c>
      <c r="RI33" s="57">
        <f t="shared" si="296"/>
        <v>900000</v>
      </c>
      <c r="RJ33" s="57">
        <f t="shared" si="296"/>
        <v>900000</v>
      </c>
      <c r="RK33" s="57">
        <f t="shared" si="296"/>
        <v>900000</v>
      </c>
      <c r="RL33" s="57">
        <f t="shared" si="296"/>
        <v>900000</v>
      </c>
      <c r="RM33" s="57">
        <f t="shared" si="296"/>
        <v>900000</v>
      </c>
      <c r="RN33" s="57">
        <f t="shared" si="296"/>
        <v>900000</v>
      </c>
      <c r="RO33" s="57">
        <f t="shared" si="296"/>
        <v>900000</v>
      </c>
      <c r="RP33" s="57">
        <f t="shared" si="296"/>
        <v>900000</v>
      </c>
      <c r="RQ33" s="57">
        <f t="shared" si="296"/>
        <v>900000</v>
      </c>
      <c r="RR33" s="57">
        <f t="shared" si="296"/>
        <v>900000</v>
      </c>
      <c r="RS33" s="57">
        <f t="shared" si="296"/>
        <v>900000</v>
      </c>
      <c r="RT33" s="57">
        <f t="shared" si="296"/>
        <v>900000</v>
      </c>
      <c r="RU33" s="57">
        <f t="shared" si="296"/>
        <v>900000</v>
      </c>
      <c r="RV33" s="57">
        <f t="shared" si="296"/>
        <v>900000</v>
      </c>
      <c r="RW33" s="57">
        <f t="shared" si="296"/>
        <v>900000</v>
      </c>
      <c r="RX33" s="57">
        <f t="shared" si="296"/>
        <v>900000</v>
      </c>
      <c r="RY33" s="57">
        <f t="shared" si="296"/>
        <v>900000</v>
      </c>
      <c r="RZ33" s="57">
        <f t="shared" si="296"/>
        <v>900000</v>
      </c>
      <c r="SA33" s="57">
        <f t="shared" si="296"/>
        <v>900000</v>
      </c>
      <c r="SB33" s="57">
        <f t="shared" si="296"/>
        <v>900000</v>
      </c>
      <c r="SC33" s="57">
        <f t="shared" si="296"/>
        <v>900000</v>
      </c>
      <c r="SD33" s="57">
        <f t="shared" si="296"/>
        <v>900000</v>
      </c>
      <c r="SE33" s="57">
        <f t="shared" si="296"/>
        <v>900000</v>
      </c>
      <c r="SF33" s="57">
        <f t="shared" si="296"/>
        <v>900000</v>
      </c>
      <c r="SG33" s="57">
        <f t="shared" si="296"/>
        <v>900000</v>
      </c>
      <c r="SH33" s="57">
        <f t="shared" si="296"/>
        <v>900000</v>
      </c>
      <c r="SI33" s="57">
        <f t="shared" si="296"/>
        <v>900000</v>
      </c>
      <c r="SJ33" s="57">
        <f t="shared" si="296"/>
        <v>900000</v>
      </c>
      <c r="SK33" s="57">
        <f t="shared" si="296"/>
        <v>900000</v>
      </c>
      <c r="SL33" s="57">
        <f t="shared" si="296"/>
        <v>900000</v>
      </c>
      <c r="SM33" s="57">
        <f t="shared" si="296"/>
        <v>900000</v>
      </c>
      <c r="SN33" s="57">
        <f t="shared" si="296"/>
        <v>900000</v>
      </c>
      <c r="SO33" s="57">
        <f t="shared" si="296"/>
        <v>900000</v>
      </c>
      <c r="SP33" s="57">
        <f t="shared" si="296"/>
        <v>900000</v>
      </c>
      <c r="SQ33" s="57">
        <f t="shared" si="296"/>
        <v>900000</v>
      </c>
      <c r="SR33" s="57">
        <f t="shared" si="296"/>
        <v>900000</v>
      </c>
      <c r="SS33" s="57">
        <f t="shared" si="296"/>
        <v>900000</v>
      </c>
      <c r="ST33" s="57">
        <f t="shared" si="296"/>
        <v>900000</v>
      </c>
      <c r="SU33" s="57">
        <f t="shared" si="296"/>
        <v>900000</v>
      </c>
      <c r="SV33" s="57">
        <f t="shared" ref="SV33:VG33" si="297">$C33</f>
        <v>900000</v>
      </c>
      <c r="SW33" s="57">
        <f t="shared" si="297"/>
        <v>900000</v>
      </c>
      <c r="SX33" s="57">
        <f t="shared" si="297"/>
        <v>900000</v>
      </c>
      <c r="SY33" s="57">
        <f t="shared" si="297"/>
        <v>900000</v>
      </c>
      <c r="SZ33" s="57">
        <f t="shared" si="297"/>
        <v>900000</v>
      </c>
      <c r="TA33" s="57">
        <f t="shared" si="297"/>
        <v>900000</v>
      </c>
      <c r="TB33" s="57">
        <f t="shared" si="297"/>
        <v>900000</v>
      </c>
      <c r="TC33" s="57">
        <f t="shared" si="297"/>
        <v>900000</v>
      </c>
      <c r="TD33" s="57">
        <f t="shared" si="297"/>
        <v>900000</v>
      </c>
      <c r="TE33" s="57">
        <f t="shared" si="297"/>
        <v>900000</v>
      </c>
      <c r="TF33" s="57">
        <f t="shared" si="297"/>
        <v>900000</v>
      </c>
      <c r="TG33" s="57">
        <f t="shared" si="297"/>
        <v>900000</v>
      </c>
      <c r="TH33" s="57">
        <f t="shared" si="297"/>
        <v>900000</v>
      </c>
      <c r="TI33" s="57">
        <f t="shared" si="297"/>
        <v>900000</v>
      </c>
      <c r="TJ33" s="57">
        <f t="shared" si="297"/>
        <v>900000</v>
      </c>
      <c r="TK33" s="57">
        <f t="shared" si="297"/>
        <v>900000</v>
      </c>
      <c r="TL33" s="57">
        <f t="shared" si="297"/>
        <v>900000</v>
      </c>
      <c r="TM33" s="57">
        <f t="shared" si="297"/>
        <v>900000</v>
      </c>
      <c r="TN33" s="57">
        <f t="shared" si="297"/>
        <v>900000</v>
      </c>
      <c r="TO33" s="57">
        <f t="shared" si="297"/>
        <v>900000</v>
      </c>
      <c r="TP33" s="57">
        <f t="shared" si="297"/>
        <v>900000</v>
      </c>
      <c r="TQ33" s="57">
        <f t="shared" si="297"/>
        <v>900000</v>
      </c>
      <c r="TR33" s="57">
        <f t="shared" si="297"/>
        <v>900000</v>
      </c>
      <c r="TS33" s="57">
        <f t="shared" si="297"/>
        <v>900000</v>
      </c>
      <c r="TT33" s="57">
        <f t="shared" si="297"/>
        <v>900000</v>
      </c>
      <c r="TU33" s="57">
        <f t="shared" si="297"/>
        <v>900000</v>
      </c>
      <c r="TV33" s="57">
        <f t="shared" si="297"/>
        <v>900000</v>
      </c>
      <c r="TW33" s="57">
        <f t="shared" si="297"/>
        <v>900000</v>
      </c>
      <c r="TX33" s="57">
        <f t="shared" si="297"/>
        <v>900000</v>
      </c>
      <c r="TY33" s="57">
        <f t="shared" si="297"/>
        <v>900000</v>
      </c>
      <c r="TZ33" s="57">
        <f t="shared" si="297"/>
        <v>900000</v>
      </c>
      <c r="UA33" s="57">
        <f t="shared" si="297"/>
        <v>900000</v>
      </c>
      <c r="UB33" s="57">
        <f t="shared" si="297"/>
        <v>900000</v>
      </c>
      <c r="UC33" s="57">
        <f t="shared" si="297"/>
        <v>900000</v>
      </c>
      <c r="UD33" s="57">
        <f t="shared" si="297"/>
        <v>900000</v>
      </c>
      <c r="UE33" s="57">
        <f t="shared" si="297"/>
        <v>900000</v>
      </c>
      <c r="UF33" s="57">
        <f t="shared" si="297"/>
        <v>900000</v>
      </c>
      <c r="UG33" s="57">
        <f t="shared" si="297"/>
        <v>900000</v>
      </c>
      <c r="UH33" s="57">
        <f t="shared" si="297"/>
        <v>900000</v>
      </c>
      <c r="UI33" s="57">
        <f t="shared" si="297"/>
        <v>900000</v>
      </c>
      <c r="UJ33" s="57">
        <f t="shared" si="297"/>
        <v>900000</v>
      </c>
      <c r="UK33" s="57">
        <f t="shared" si="297"/>
        <v>900000</v>
      </c>
      <c r="UL33" s="57">
        <f t="shared" si="297"/>
        <v>900000</v>
      </c>
      <c r="UM33" s="57">
        <f t="shared" si="297"/>
        <v>900000</v>
      </c>
      <c r="UN33" s="57">
        <f t="shared" si="297"/>
        <v>900000</v>
      </c>
      <c r="UO33" s="57">
        <f t="shared" si="297"/>
        <v>900000</v>
      </c>
      <c r="UP33" s="57">
        <f t="shared" si="297"/>
        <v>900000</v>
      </c>
      <c r="UQ33" s="57">
        <f t="shared" si="297"/>
        <v>900000</v>
      </c>
      <c r="UR33" s="57">
        <f t="shared" si="297"/>
        <v>900000</v>
      </c>
      <c r="US33" s="57">
        <f t="shared" si="297"/>
        <v>900000</v>
      </c>
      <c r="UT33" s="57">
        <f t="shared" si="297"/>
        <v>900000</v>
      </c>
      <c r="UU33" s="57">
        <f t="shared" si="297"/>
        <v>900000</v>
      </c>
      <c r="UV33" s="57">
        <f t="shared" si="297"/>
        <v>900000</v>
      </c>
      <c r="UW33" s="57">
        <f t="shared" si="297"/>
        <v>900000</v>
      </c>
      <c r="UX33" s="57">
        <f t="shared" si="297"/>
        <v>900000</v>
      </c>
      <c r="UY33" s="57">
        <f t="shared" si="297"/>
        <v>900000</v>
      </c>
      <c r="UZ33" s="57">
        <f t="shared" si="297"/>
        <v>900000</v>
      </c>
      <c r="VA33" s="57">
        <f t="shared" si="297"/>
        <v>900000</v>
      </c>
      <c r="VB33" s="57">
        <f t="shared" si="297"/>
        <v>900000</v>
      </c>
      <c r="VC33" s="57">
        <f t="shared" si="297"/>
        <v>900000</v>
      </c>
      <c r="VD33" s="57">
        <f t="shared" si="297"/>
        <v>900000</v>
      </c>
      <c r="VE33" s="57">
        <f t="shared" si="297"/>
        <v>900000</v>
      </c>
      <c r="VF33" s="57">
        <f t="shared" si="297"/>
        <v>900000</v>
      </c>
      <c r="VG33" s="57">
        <f t="shared" si="297"/>
        <v>900000</v>
      </c>
      <c r="VH33" s="57">
        <f t="shared" ref="VH33:XS33" si="298">$C33</f>
        <v>900000</v>
      </c>
      <c r="VI33" s="57">
        <f t="shared" si="298"/>
        <v>900000</v>
      </c>
      <c r="VJ33" s="57">
        <f t="shared" si="298"/>
        <v>900000</v>
      </c>
      <c r="VK33" s="57">
        <f t="shared" si="298"/>
        <v>900000</v>
      </c>
      <c r="VL33" s="57">
        <f t="shared" si="298"/>
        <v>900000</v>
      </c>
      <c r="VM33" s="57">
        <f t="shared" si="298"/>
        <v>900000</v>
      </c>
      <c r="VN33" s="57">
        <f t="shared" si="298"/>
        <v>900000</v>
      </c>
      <c r="VO33" s="57">
        <f t="shared" si="298"/>
        <v>900000</v>
      </c>
      <c r="VP33" s="57">
        <f t="shared" si="298"/>
        <v>900000</v>
      </c>
      <c r="VQ33" s="57">
        <f t="shared" si="298"/>
        <v>900000</v>
      </c>
      <c r="VR33" s="57">
        <f t="shared" si="298"/>
        <v>900000</v>
      </c>
      <c r="VS33" s="57">
        <f t="shared" si="298"/>
        <v>900000</v>
      </c>
      <c r="VT33" s="57">
        <f t="shared" si="298"/>
        <v>900000</v>
      </c>
      <c r="VU33" s="57">
        <f t="shared" si="298"/>
        <v>900000</v>
      </c>
      <c r="VV33" s="57">
        <f t="shared" si="298"/>
        <v>900000</v>
      </c>
      <c r="VW33" s="57">
        <f t="shared" si="298"/>
        <v>900000</v>
      </c>
      <c r="VX33" s="57">
        <f t="shared" si="298"/>
        <v>900000</v>
      </c>
      <c r="VY33" s="57">
        <f t="shared" si="298"/>
        <v>900000</v>
      </c>
      <c r="VZ33" s="57">
        <f t="shared" si="298"/>
        <v>900000</v>
      </c>
      <c r="WA33" s="57">
        <f t="shared" si="298"/>
        <v>900000</v>
      </c>
      <c r="WB33" s="57">
        <f t="shared" si="298"/>
        <v>900000</v>
      </c>
      <c r="WC33" s="57">
        <f t="shared" si="298"/>
        <v>900000</v>
      </c>
      <c r="WD33" s="57">
        <f t="shared" si="298"/>
        <v>900000</v>
      </c>
      <c r="WE33" s="57">
        <f t="shared" si="298"/>
        <v>900000</v>
      </c>
      <c r="WF33" s="57">
        <f t="shared" si="298"/>
        <v>900000</v>
      </c>
      <c r="WG33" s="57">
        <f t="shared" si="298"/>
        <v>900000</v>
      </c>
      <c r="WH33" s="57">
        <f t="shared" si="298"/>
        <v>900000</v>
      </c>
      <c r="WI33" s="57">
        <f t="shared" si="298"/>
        <v>900000</v>
      </c>
      <c r="WJ33" s="57">
        <f t="shared" si="298"/>
        <v>900000</v>
      </c>
      <c r="WK33" s="57">
        <f t="shared" si="298"/>
        <v>900000</v>
      </c>
      <c r="WL33" s="57">
        <f t="shared" si="298"/>
        <v>900000</v>
      </c>
      <c r="WM33" s="57">
        <f t="shared" si="298"/>
        <v>900000</v>
      </c>
      <c r="WN33" s="57">
        <f t="shared" si="298"/>
        <v>900000</v>
      </c>
      <c r="WO33" s="57">
        <f t="shared" si="298"/>
        <v>900000</v>
      </c>
      <c r="WP33" s="57">
        <f t="shared" si="298"/>
        <v>900000</v>
      </c>
      <c r="WQ33" s="57">
        <f t="shared" si="298"/>
        <v>900000</v>
      </c>
      <c r="WR33" s="57">
        <f t="shared" si="298"/>
        <v>900000</v>
      </c>
      <c r="WS33" s="57">
        <f t="shared" si="298"/>
        <v>900000</v>
      </c>
      <c r="WT33" s="57">
        <f t="shared" si="298"/>
        <v>900000</v>
      </c>
      <c r="WU33" s="57">
        <f t="shared" si="298"/>
        <v>900000</v>
      </c>
      <c r="WV33" s="57">
        <f t="shared" si="298"/>
        <v>900000</v>
      </c>
      <c r="WW33" s="57">
        <f t="shared" si="298"/>
        <v>900000</v>
      </c>
      <c r="WX33" s="57">
        <f t="shared" si="298"/>
        <v>900000</v>
      </c>
      <c r="WY33" s="57">
        <f t="shared" si="298"/>
        <v>900000</v>
      </c>
      <c r="WZ33" s="57">
        <f t="shared" si="298"/>
        <v>900000</v>
      </c>
      <c r="XA33" s="57">
        <f t="shared" si="298"/>
        <v>900000</v>
      </c>
      <c r="XB33" s="57">
        <f t="shared" si="298"/>
        <v>900000</v>
      </c>
      <c r="XC33" s="57">
        <f t="shared" si="298"/>
        <v>900000</v>
      </c>
      <c r="XD33" s="57">
        <f t="shared" si="298"/>
        <v>900000</v>
      </c>
      <c r="XE33" s="57">
        <f t="shared" si="298"/>
        <v>900000</v>
      </c>
      <c r="XF33" s="57">
        <f t="shared" si="298"/>
        <v>900000</v>
      </c>
      <c r="XG33" s="57">
        <f t="shared" si="298"/>
        <v>900000</v>
      </c>
      <c r="XH33" s="57">
        <f t="shared" si="298"/>
        <v>900000</v>
      </c>
      <c r="XI33" s="57">
        <f t="shared" si="298"/>
        <v>900000</v>
      </c>
      <c r="XJ33" s="57">
        <f t="shared" si="298"/>
        <v>900000</v>
      </c>
      <c r="XK33" s="57">
        <f t="shared" si="298"/>
        <v>900000</v>
      </c>
      <c r="XL33" s="57">
        <f t="shared" si="298"/>
        <v>900000</v>
      </c>
      <c r="XM33" s="57">
        <f t="shared" si="298"/>
        <v>900000</v>
      </c>
      <c r="XN33" s="57">
        <f t="shared" si="298"/>
        <v>900000</v>
      </c>
      <c r="XO33" s="57">
        <f t="shared" si="298"/>
        <v>900000</v>
      </c>
      <c r="XP33" s="57">
        <f t="shared" si="298"/>
        <v>900000</v>
      </c>
      <c r="XQ33" s="57">
        <f t="shared" si="298"/>
        <v>900000</v>
      </c>
      <c r="XR33" s="57">
        <f t="shared" si="298"/>
        <v>900000</v>
      </c>
      <c r="XS33" s="57">
        <f t="shared" si="298"/>
        <v>900000</v>
      </c>
      <c r="XT33" s="57">
        <f t="shared" ref="XT33:AAE33" si="299">$C33</f>
        <v>900000</v>
      </c>
      <c r="XU33" s="57">
        <f t="shared" si="299"/>
        <v>900000</v>
      </c>
      <c r="XV33" s="57">
        <f t="shared" si="299"/>
        <v>900000</v>
      </c>
      <c r="XW33" s="57">
        <f t="shared" si="299"/>
        <v>900000</v>
      </c>
      <c r="XX33" s="57">
        <f t="shared" si="299"/>
        <v>900000</v>
      </c>
      <c r="XY33" s="57">
        <f t="shared" si="299"/>
        <v>900000</v>
      </c>
      <c r="XZ33" s="57">
        <f t="shared" si="299"/>
        <v>900000</v>
      </c>
      <c r="YA33" s="57">
        <f t="shared" si="299"/>
        <v>900000</v>
      </c>
      <c r="YB33" s="57">
        <f t="shared" si="299"/>
        <v>900000</v>
      </c>
      <c r="YC33" s="57">
        <f t="shared" si="299"/>
        <v>900000</v>
      </c>
      <c r="YD33" s="57">
        <f t="shared" si="299"/>
        <v>900000</v>
      </c>
      <c r="YE33" s="57">
        <f t="shared" si="299"/>
        <v>900000</v>
      </c>
      <c r="YF33" s="57">
        <f t="shared" si="299"/>
        <v>900000</v>
      </c>
      <c r="YG33" s="57">
        <f t="shared" si="299"/>
        <v>900000</v>
      </c>
      <c r="YH33" s="57">
        <f t="shared" si="299"/>
        <v>900000</v>
      </c>
      <c r="YI33" s="57">
        <f t="shared" si="299"/>
        <v>900000</v>
      </c>
      <c r="YJ33" s="57">
        <f t="shared" si="299"/>
        <v>900000</v>
      </c>
      <c r="YK33" s="57">
        <f t="shared" si="299"/>
        <v>900000</v>
      </c>
      <c r="YL33" s="57">
        <f t="shared" si="299"/>
        <v>900000</v>
      </c>
      <c r="YM33" s="57">
        <f t="shared" si="299"/>
        <v>900000</v>
      </c>
      <c r="YN33" s="57">
        <f t="shared" si="299"/>
        <v>900000</v>
      </c>
      <c r="YO33" s="57">
        <f t="shared" si="299"/>
        <v>900000</v>
      </c>
      <c r="YP33" s="57">
        <f t="shared" si="299"/>
        <v>900000</v>
      </c>
      <c r="YQ33" s="57">
        <f t="shared" si="299"/>
        <v>900000</v>
      </c>
      <c r="YR33" s="57">
        <f t="shared" si="299"/>
        <v>900000</v>
      </c>
      <c r="YS33" s="57">
        <f t="shared" si="299"/>
        <v>900000</v>
      </c>
      <c r="YT33" s="57">
        <f t="shared" si="299"/>
        <v>900000</v>
      </c>
      <c r="YU33" s="57">
        <f t="shared" si="299"/>
        <v>900000</v>
      </c>
      <c r="YV33" s="57">
        <f t="shared" si="299"/>
        <v>900000</v>
      </c>
      <c r="YW33" s="57">
        <f t="shared" si="299"/>
        <v>900000</v>
      </c>
      <c r="YX33" s="57">
        <f t="shared" si="299"/>
        <v>900000</v>
      </c>
      <c r="YY33" s="57">
        <f t="shared" si="299"/>
        <v>900000</v>
      </c>
      <c r="YZ33" s="57">
        <f t="shared" si="299"/>
        <v>900000</v>
      </c>
      <c r="ZA33" s="57">
        <f t="shared" si="299"/>
        <v>900000</v>
      </c>
      <c r="ZB33" s="57">
        <f t="shared" si="299"/>
        <v>900000</v>
      </c>
      <c r="ZC33" s="57">
        <f t="shared" si="299"/>
        <v>900000</v>
      </c>
      <c r="ZD33" s="57">
        <f t="shared" si="299"/>
        <v>900000</v>
      </c>
      <c r="ZE33" s="57">
        <f t="shared" si="299"/>
        <v>900000</v>
      </c>
      <c r="ZF33" s="57">
        <f t="shared" si="299"/>
        <v>900000</v>
      </c>
      <c r="ZG33" s="57">
        <f t="shared" si="299"/>
        <v>900000</v>
      </c>
      <c r="ZH33" s="57">
        <f t="shared" si="299"/>
        <v>900000</v>
      </c>
      <c r="ZI33" s="57">
        <f t="shared" si="299"/>
        <v>900000</v>
      </c>
      <c r="ZJ33" s="57">
        <f t="shared" si="299"/>
        <v>900000</v>
      </c>
      <c r="ZK33" s="57">
        <f t="shared" si="299"/>
        <v>900000</v>
      </c>
      <c r="ZL33" s="57">
        <f t="shared" si="299"/>
        <v>900000</v>
      </c>
      <c r="ZM33" s="57">
        <f t="shared" si="299"/>
        <v>900000</v>
      </c>
      <c r="ZN33" s="57">
        <f t="shared" si="299"/>
        <v>900000</v>
      </c>
      <c r="ZO33" s="57">
        <f t="shared" si="299"/>
        <v>900000</v>
      </c>
      <c r="ZP33" s="57">
        <f t="shared" si="299"/>
        <v>900000</v>
      </c>
      <c r="ZQ33" s="57">
        <f t="shared" si="299"/>
        <v>900000</v>
      </c>
      <c r="ZR33" s="57">
        <f t="shared" si="299"/>
        <v>900000</v>
      </c>
      <c r="ZS33" s="57">
        <f t="shared" si="299"/>
        <v>900000</v>
      </c>
      <c r="ZT33" s="57">
        <f t="shared" si="299"/>
        <v>900000</v>
      </c>
      <c r="ZU33" s="57">
        <f t="shared" si="299"/>
        <v>900000</v>
      </c>
      <c r="ZV33" s="57">
        <f t="shared" si="299"/>
        <v>900000</v>
      </c>
      <c r="ZW33" s="57">
        <f t="shared" si="299"/>
        <v>900000</v>
      </c>
      <c r="ZX33" s="57">
        <f t="shared" si="299"/>
        <v>900000</v>
      </c>
      <c r="ZY33" s="57">
        <f t="shared" si="299"/>
        <v>900000</v>
      </c>
      <c r="ZZ33" s="57">
        <f t="shared" si="299"/>
        <v>900000</v>
      </c>
      <c r="AAA33" s="57">
        <f t="shared" si="299"/>
        <v>900000</v>
      </c>
      <c r="AAB33" s="57">
        <f t="shared" si="299"/>
        <v>900000</v>
      </c>
      <c r="AAC33" s="57">
        <f t="shared" si="299"/>
        <v>900000</v>
      </c>
      <c r="AAD33" s="57">
        <f t="shared" si="299"/>
        <v>900000</v>
      </c>
      <c r="AAE33" s="57">
        <f t="shared" si="299"/>
        <v>900000</v>
      </c>
      <c r="AAF33" s="57">
        <f t="shared" ref="AAF33:ACQ33" si="300">$C33</f>
        <v>900000</v>
      </c>
      <c r="AAG33" s="57">
        <f t="shared" si="300"/>
        <v>900000</v>
      </c>
      <c r="AAH33" s="57">
        <f t="shared" si="300"/>
        <v>900000</v>
      </c>
      <c r="AAI33" s="57">
        <f t="shared" si="300"/>
        <v>900000</v>
      </c>
      <c r="AAJ33" s="57">
        <f t="shared" si="300"/>
        <v>900000</v>
      </c>
      <c r="AAK33" s="57">
        <f t="shared" si="300"/>
        <v>900000</v>
      </c>
      <c r="AAL33" s="57">
        <f t="shared" si="300"/>
        <v>900000</v>
      </c>
      <c r="AAM33" s="57">
        <f t="shared" si="300"/>
        <v>900000</v>
      </c>
      <c r="AAN33" s="57">
        <f t="shared" si="300"/>
        <v>900000</v>
      </c>
      <c r="AAO33" s="57">
        <f t="shared" si="300"/>
        <v>900000</v>
      </c>
      <c r="AAP33" s="57">
        <f t="shared" si="300"/>
        <v>900000</v>
      </c>
      <c r="AAQ33" s="57">
        <f t="shared" si="300"/>
        <v>900000</v>
      </c>
      <c r="AAR33" s="57">
        <f t="shared" si="300"/>
        <v>900000</v>
      </c>
      <c r="AAS33" s="57">
        <f t="shared" si="300"/>
        <v>900000</v>
      </c>
      <c r="AAT33" s="57">
        <f t="shared" si="300"/>
        <v>900000</v>
      </c>
      <c r="AAU33" s="57">
        <f t="shared" si="300"/>
        <v>900000</v>
      </c>
      <c r="AAV33" s="57">
        <f t="shared" si="300"/>
        <v>900000</v>
      </c>
      <c r="AAW33" s="57">
        <f t="shared" si="300"/>
        <v>900000</v>
      </c>
      <c r="AAX33" s="57">
        <f t="shared" si="300"/>
        <v>900000</v>
      </c>
      <c r="AAY33" s="57">
        <f t="shared" si="300"/>
        <v>900000</v>
      </c>
      <c r="AAZ33" s="57">
        <f t="shared" si="300"/>
        <v>900000</v>
      </c>
      <c r="ABA33" s="57">
        <f t="shared" si="300"/>
        <v>900000</v>
      </c>
      <c r="ABB33" s="57">
        <f t="shared" si="300"/>
        <v>900000</v>
      </c>
      <c r="ABC33" s="57">
        <f t="shared" si="300"/>
        <v>900000</v>
      </c>
      <c r="ABD33" s="57">
        <f t="shared" si="300"/>
        <v>900000</v>
      </c>
      <c r="ABE33" s="57">
        <f t="shared" si="300"/>
        <v>900000</v>
      </c>
      <c r="ABF33" s="57">
        <f t="shared" si="300"/>
        <v>900000</v>
      </c>
      <c r="ABG33" s="57">
        <f t="shared" si="300"/>
        <v>900000</v>
      </c>
      <c r="ABH33" s="57">
        <f t="shared" si="300"/>
        <v>900000</v>
      </c>
      <c r="ABI33" s="57">
        <f t="shared" si="300"/>
        <v>900000</v>
      </c>
      <c r="ABJ33" s="57">
        <f t="shared" si="300"/>
        <v>900000</v>
      </c>
      <c r="ABK33" s="57">
        <f t="shared" si="300"/>
        <v>900000</v>
      </c>
      <c r="ABL33" s="57">
        <f t="shared" si="300"/>
        <v>900000</v>
      </c>
      <c r="ABM33" s="57">
        <f t="shared" si="300"/>
        <v>900000</v>
      </c>
      <c r="ABN33" s="57">
        <f t="shared" si="300"/>
        <v>900000</v>
      </c>
      <c r="ABO33" s="57">
        <f t="shared" si="300"/>
        <v>900000</v>
      </c>
      <c r="ABP33" s="57">
        <f t="shared" si="300"/>
        <v>900000</v>
      </c>
      <c r="ABQ33" s="57">
        <f t="shared" si="300"/>
        <v>900000</v>
      </c>
      <c r="ABR33" s="57">
        <f t="shared" si="300"/>
        <v>900000</v>
      </c>
      <c r="ABS33" s="57">
        <f t="shared" si="300"/>
        <v>900000</v>
      </c>
      <c r="ABT33" s="57">
        <f t="shared" si="300"/>
        <v>900000</v>
      </c>
      <c r="ABU33" s="57">
        <f t="shared" si="300"/>
        <v>900000</v>
      </c>
      <c r="ABV33" s="57">
        <f t="shared" si="300"/>
        <v>900000</v>
      </c>
      <c r="ABW33" s="57">
        <f t="shared" si="300"/>
        <v>900000</v>
      </c>
      <c r="ABX33" s="57">
        <f t="shared" si="300"/>
        <v>900000</v>
      </c>
      <c r="ABY33" s="57">
        <f t="shared" si="300"/>
        <v>900000</v>
      </c>
      <c r="ABZ33" s="57">
        <f t="shared" si="300"/>
        <v>900000</v>
      </c>
      <c r="ACA33" s="57">
        <f t="shared" si="300"/>
        <v>900000</v>
      </c>
      <c r="ACB33" s="57">
        <f t="shared" si="300"/>
        <v>900000</v>
      </c>
      <c r="ACC33" s="57">
        <f t="shared" si="300"/>
        <v>900000</v>
      </c>
      <c r="ACD33" s="57">
        <f t="shared" si="300"/>
        <v>900000</v>
      </c>
      <c r="ACE33" s="57">
        <f t="shared" si="300"/>
        <v>900000</v>
      </c>
      <c r="ACF33" s="57">
        <f t="shared" si="300"/>
        <v>900000</v>
      </c>
      <c r="ACG33" s="57">
        <f t="shared" si="300"/>
        <v>900000</v>
      </c>
      <c r="ACH33" s="57">
        <f t="shared" si="300"/>
        <v>900000</v>
      </c>
      <c r="ACI33" s="57">
        <f t="shared" si="300"/>
        <v>900000</v>
      </c>
      <c r="ACJ33" s="57">
        <f t="shared" si="300"/>
        <v>900000</v>
      </c>
      <c r="ACK33" s="57">
        <f t="shared" si="300"/>
        <v>900000</v>
      </c>
      <c r="ACL33" s="57">
        <f t="shared" si="300"/>
        <v>900000</v>
      </c>
      <c r="ACM33" s="57">
        <f t="shared" si="300"/>
        <v>900000</v>
      </c>
      <c r="ACN33" s="57">
        <f t="shared" si="300"/>
        <v>900000</v>
      </c>
      <c r="ACO33" s="57">
        <f t="shared" si="300"/>
        <v>900000</v>
      </c>
      <c r="ACP33" s="57">
        <f t="shared" si="300"/>
        <v>900000</v>
      </c>
      <c r="ACQ33" s="57">
        <f t="shared" si="300"/>
        <v>900000</v>
      </c>
      <c r="ACR33" s="57">
        <f t="shared" ref="ACR33:AFC33" si="301">$C33</f>
        <v>900000</v>
      </c>
      <c r="ACS33" s="57">
        <f t="shared" si="301"/>
        <v>900000</v>
      </c>
      <c r="ACT33" s="57">
        <f t="shared" si="301"/>
        <v>900000</v>
      </c>
      <c r="ACU33" s="57">
        <f t="shared" si="301"/>
        <v>900000</v>
      </c>
      <c r="ACV33" s="57">
        <f t="shared" si="301"/>
        <v>900000</v>
      </c>
      <c r="ACW33" s="57">
        <f t="shared" si="301"/>
        <v>900000</v>
      </c>
      <c r="ACX33" s="57">
        <f t="shared" si="301"/>
        <v>900000</v>
      </c>
      <c r="ACY33" s="57">
        <f t="shared" si="301"/>
        <v>900000</v>
      </c>
      <c r="ACZ33" s="57">
        <f t="shared" si="301"/>
        <v>900000</v>
      </c>
      <c r="ADA33" s="57">
        <f t="shared" si="301"/>
        <v>900000</v>
      </c>
      <c r="ADB33" s="57">
        <f t="shared" si="301"/>
        <v>900000</v>
      </c>
      <c r="ADC33" s="57">
        <f t="shared" si="301"/>
        <v>900000</v>
      </c>
      <c r="ADD33" s="57">
        <f t="shared" si="301"/>
        <v>900000</v>
      </c>
      <c r="ADE33" s="57">
        <f t="shared" si="301"/>
        <v>900000</v>
      </c>
      <c r="ADF33" s="57">
        <f t="shared" si="301"/>
        <v>900000</v>
      </c>
      <c r="ADG33" s="57">
        <f t="shared" si="301"/>
        <v>900000</v>
      </c>
      <c r="ADH33" s="57">
        <f t="shared" si="301"/>
        <v>900000</v>
      </c>
      <c r="ADI33" s="57">
        <f t="shared" si="301"/>
        <v>900000</v>
      </c>
      <c r="ADJ33" s="57">
        <f t="shared" si="301"/>
        <v>900000</v>
      </c>
      <c r="ADK33" s="57">
        <f t="shared" si="301"/>
        <v>900000</v>
      </c>
      <c r="ADL33" s="57">
        <f t="shared" si="301"/>
        <v>900000</v>
      </c>
      <c r="ADM33" s="57">
        <f t="shared" si="301"/>
        <v>900000</v>
      </c>
      <c r="ADN33" s="57">
        <f t="shared" si="301"/>
        <v>900000</v>
      </c>
      <c r="ADO33" s="57">
        <f t="shared" si="301"/>
        <v>900000</v>
      </c>
      <c r="ADP33" s="57">
        <f t="shared" si="301"/>
        <v>900000</v>
      </c>
      <c r="ADQ33" s="57">
        <f t="shared" si="301"/>
        <v>900000</v>
      </c>
      <c r="ADR33" s="57">
        <f t="shared" si="301"/>
        <v>900000</v>
      </c>
      <c r="ADS33" s="57">
        <f t="shared" si="301"/>
        <v>900000</v>
      </c>
      <c r="ADT33" s="57">
        <f t="shared" si="301"/>
        <v>900000</v>
      </c>
      <c r="ADU33" s="57">
        <f t="shared" si="301"/>
        <v>900000</v>
      </c>
      <c r="ADV33" s="57">
        <f t="shared" si="301"/>
        <v>900000</v>
      </c>
      <c r="ADW33" s="57">
        <f t="shared" si="301"/>
        <v>900000</v>
      </c>
      <c r="ADX33" s="57">
        <f t="shared" si="301"/>
        <v>900000</v>
      </c>
      <c r="ADY33" s="57">
        <f t="shared" si="301"/>
        <v>900000</v>
      </c>
      <c r="ADZ33" s="57">
        <f t="shared" si="301"/>
        <v>900000</v>
      </c>
      <c r="AEA33" s="57">
        <f t="shared" si="301"/>
        <v>900000</v>
      </c>
      <c r="AEB33" s="57">
        <f t="shared" si="301"/>
        <v>900000</v>
      </c>
      <c r="AEC33" s="57">
        <f t="shared" si="301"/>
        <v>900000</v>
      </c>
      <c r="AED33" s="57">
        <f t="shared" si="301"/>
        <v>900000</v>
      </c>
      <c r="AEE33" s="57">
        <f t="shared" si="301"/>
        <v>900000</v>
      </c>
      <c r="AEF33" s="57">
        <f t="shared" si="301"/>
        <v>900000</v>
      </c>
      <c r="AEG33" s="57">
        <f t="shared" si="301"/>
        <v>900000</v>
      </c>
      <c r="AEH33" s="57">
        <f t="shared" si="301"/>
        <v>900000</v>
      </c>
      <c r="AEI33" s="57">
        <f t="shared" si="301"/>
        <v>900000</v>
      </c>
      <c r="AEJ33" s="57">
        <f t="shared" si="301"/>
        <v>900000</v>
      </c>
      <c r="AEK33" s="57">
        <f t="shared" si="301"/>
        <v>900000</v>
      </c>
      <c r="AEL33" s="57">
        <f t="shared" si="301"/>
        <v>900000</v>
      </c>
      <c r="AEM33" s="57">
        <f t="shared" si="301"/>
        <v>900000</v>
      </c>
      <c r="AEN33" s="57">
        <f t="shared" si="301"/>
        <v>900000</v>
      </c>
      <c r="AEO33" s="57">
        <f t="shared" si="301"/>
        <v>900000</v>
      </c>
      <c r="AEP33" s="57">
        <f t="shared" si="301"/>
        <v>900000</v>
      </c>
      <c r="AEQ33" s="57">
        <f t="shared" si="301"/>
        <v>900000</v>
      </c>
      <c r="AER33" s="57">
        <f t="shared" si="301"/>
        <v>900000</v>
      </c>
      <c r="AES33" s="57">
        <f t="shared" si="301"/>
        <v>900000</v>
      </c>
      <c r="AET33" s="57">
        <f t="shared" si="301"/>
        <v>900000</v>
      </c>
      <c r="AEU33" s="57">
        <f t="shared" si="301"/>
        <v>900000</v>
      </c>
      <c r="AEV33" s="57">
        <f t="shared" si="301"/>
        <v>900000</v>
      </c>
      <c r="AEW33" s="57">
        <f t="shared" si="301"/>
        <v>900000</v>
      </c>
      <c r="AEX33" s="57">
        <f t="shared" si="301"/>
        <v>900000</v>
      </c>
      <c r="AEY33" s="57">
        <f t="shared" si="301"/>
        <v>900000</v>
      </c>
      <c r="AEZ33" s="57">
        <f t="shared" si="301"/>
        <v>900000</v>
      </c>
      <c r="AFA33" s="57">
        <f t="shared" si="301"/>
        <v>900000</v>
      </c>
      <c r="AFB33" s="57">
        <f t="shared" si="301"/>
        <v>900000</v>
      </c>
      <c r="AFC33" s="57">
        <f t="shared" si="301"/>
        <v>900000</v>
      </c>
      <c r="AFD33" s="57">
        <f t="shared" ref="AFD33:AHO33" si="302">$C33</f>
        <v>900000</v>
      </c>
      <c r="AFE33" s="57">
        <f t="shared" si="302"/>
        <v>900000</v>
      </c>
      <c r="AFF33" s="57">
        <f t="shared" si="302"/>
        <v>900000</v>
      </c>
      <c r="AFG33" s="57">
        <f t="shared" si="302"/>
        <v>900000</v>
      </c>
      <c r="AFH33" s="57">
        <f t="shared" si="302"/>
        <v>900000</v>
      </c>
      <c r="AFI33" s="57">
        <f t="shared" si="302"/>
        <v>900000</v>
      </c>
      <c r="AFJ33" s="57">
        <f t="shared" si="302"/>
        <v>900000</v>
      </c>
      <c r="AFK33" s="57">
        <f t="shared" si="302"/>
        <v>900000</v>
      </c>
      <c r="AFL33" s="57">
        <f t="shared" si="302"/>
        <v>900000</v>
      </c>
      <c r="AFM33" s="57">
        <f t="shared" si="302"/>
        <v>900000</v>
      </c>
      <c r="AFN33" s="57">
        <f t="shared" si="302"/>
        <v>900000</v>
      </c>
      <c r="AFO33" s="57">
        <f t="shared" si="302"/>
        <v>900000</v>
      </c>
      <c r="AFP33" s="57">
        <f t="shared" si="302"/>
        <v>900000</v>
      </c>
      <c r="AFQ33" s="57">
        <f t="shared" si="302"/>
        <v>900000</v>
      </c>
      <c r="AFR33" s="57">
        <f t="shared" si="302"/>
        <v>900000</v>
      </c>
      <c r="AFS33" s="57">
        <f t="shared" si="302"/>
        <v>900000</v>
      </c>
      <c r="AFT33" s="57">
        <f t="shared" si="302"/>
        <v>900000</v>
      </c>
      <c r="AFU33" s="57">
        <f t="shared" si="302"/>
        <v>900000</v>
      </c>
      <c r="AFV33" s="57">
        <f t="shared" si="302"/>
        <v>900000</v>
      </c>
      <c r="AFW33" s="57">
        <f t="shared" si="302"/>
        <v>900000</v>
      </c>
      <c r="AFX33" s="57">
        <f t="shared" si="302"/>
        <v>900000</v>
      </c>
      <c r="AFY33" s="57">
        <f t="shared" si="302"/>
        <v>900000</v>
      </c>
      <c r="AFZ33" s="57">
        <f t="shared" si="302"/>
        <v>900000</v>
      </c>
      <c r="AGA33" s="57">
        <f t="shared" si="302"/>
        <v>900000</v>
      </c>
      <c r="AGB33" s="57">
        <f t="shared" si="302"/>
        <v>900000</v>
      </c>
      <c r="AGC33" s="57">
        <f t="shared" si="302"/>
        <v>900000</v>
      </c>
      <c r="AGD33" s="57">
        <f t="shared" si="302"/>
        <v>900000</v>
      </c>
      <c r="AGE33" s="57">
        <f t="shared" si="302"/>
        <v>900000</v>
      </c>
      <c r="AGF33" s="57">
        <f t="shared" si="302"/>
        <v>900000</v>
      </c>
      <c r="AGG33" s="57">
        <f t="shared" si="302"/>
        <v>900000</v>
      </c>
      <c r="AGH33" s="57">
        <f t="shared" si="302"/>
        <v>900000</v>
      </c>
      <c r="AGI33" s="57">
        <f t="shared" si="302"/>
        <v>900000</v>
      </c>
      <c r="AGJ33" s="57">
        <f t="shared" si="302"/>
        <v>900000</v>
      </c>
      <c r="AGK33" s="57">
        <f t="shared" si="302"/>
        <v>900000</v>
      </c>
      <c r="AGL33" s="57">
        <f t="shared" si="302"/>
        <v>900000</v>
      </c>
      <c r="AGM33" s="57">
        <f t="shared" si="302"/>
        <v>900000</v>
      </c>
      <c r="AGN33" s="57">
        <f t="shared" si="302"/>
        <v>900000</v>
      </c>
      <c r="AGO33" s="57">
        <f t="shared" si="302"/>
        <v>900000</v>
      </c>
      <c r="AGP33" s="57">
        <f t="shared" si="302"/>
        <v>900000</v>
      </c>
      <c r="AGQ33" s="57">
        <f t="shared" si="302"/>
        <v>900000</v>
      </c>
      <c r="AGR33" s="57">
        <f t="shared" si="302"/>
        <v>900000</v>
      </c>
      <c r="AGS33" s="57">
        <f t="shared" si="302"/>
        <v>900000</v>
      </c>
      <c r="AGT33" s="57">
        <f t="shared" si="302"/>
        <v>900000</v>
      </c>
      <c r="AGU33" s="57">
        <f t="shared" si="302"/>
        <v>900000</v>
      </c>
      <c r="AGV33" s="57">
        <f t="shared" si="302"/>
        <v>900000</v>
      </c>
      <c r="AGW33" s="57">
        <f t="shared" si="302"/>
        <v>900000</v>
      </c>
      <c r="AGX33" s="57">
        <f t="shared" si="302"/>
        <v>900000</v>
      </c>
      <c r="AGY33" s="57">
        <f t="shared" si="302"/>
        <v>900000</v>
      </c>
      <c r="AGZ33" s="57">
        <f t="shared" si="302"/>
        <v>900000</v>
      </c>
      <c r="AHA33" s="57">
        <f t="shared" si="302"/>
        <v>900000</v>
      </c>
      <c r="AHB33" s="57">
        <f t="shared" si="302"/>
        <v>900000</v>
      </c>
      <c r="AHC33" s="57">
        <f t="shared" si="302"/>
        <v>900000</v>
      </c>
      <c r="AHD33" s="57">
        <f t="shared" si="302"/>
        <v>900000</v>
      </c>
      <c r="AHE33" s="57">
        <f t="shared" si="302"/>
        <v>900000</v>
      </c>
      <c r="AHF33" s="57">
        <f t="shared" si="302"/>
        <v>900000</v>
      </c>
      <c r="AHG33" s="57">
        <f t="shared" si="302"/>
        <v>900000</v>
      </c>
      <c r="AHH33" s="57">
        <f t="shared" si="302"/>
        <v>900000</v>
      </c>
      <c r="AHI33" s="57">
        <f t="shared" si="302"/>
        <v>900000</v>
      </c>
      <c r="AHJ33" s="57">
        <f t="shared" si="302"/>
        <v>900000</v>
      </c>
      <c r="AHK33" s="57">
        <f t="shared" si="302"/>
        <v>900000</v>
      </c>
      <c r="AHL33" s="57">
        <f t="shared" si="302"/>
        <v>900000</v>
      </c>
      <c r="AHM33" s="57">
        <f t="shared" si="302"/>
        <v>900000</v>
      </c>
      <c r="AHN33" s="57">
        <f t="shared" si="302"/>
        <v>900000</v>
      </c>
      <c r="AHO33" s="57">
        <f t="shared" si="302"/>
        <v>900000</v>
      </c>
      <c r="AHP33" s="57">
        <f t="shared" ref="AHP33:AKA33" si="303">$C33</f>
        <v>900000</v>
      </c>
      <c r="AHQ33" s="57">
        <f t="shared" si="303"/>
        <v>900000</v>
      </c>
      <c r="AHR33" s="57">
        <f t="shared" si="303"/>
        <v>900000</v>
      </c>
      <c r="AHS33" s="57">
        <f t="shared" si="303"/>
        <v>900000</v>
      </c>
      <c r="AHT33" s="57">
        <f t="shared" si="303"/>
        <v>900000</v>
      </c>
      <c r="AHU33" s="57">
        <f t="shared" si="303"/>
        <v>900000</v>
      </c>
      <c r="AHV33" s="57">
        <f t="shared" si="303"/>
        <v>900000</v>
      </c>
      <c r="AHW33" s="57">
        <f t="shared" si="303"/>
        <v>900000</v>
      </c>
      <c r="AHX33" s="57">
        <f t="shared" si="303"/>
        <v>900000</v>
      </c>
      <c r="AHY33" s="57">
        <f t="shared" si="303"/>
        <v>900000</v>
      </c>
      <c r="AHZ33" s="57">
        <f t="shared" si="303"/>
        <v>900000</v>
      </c>
      <c r="AIA33" s="57">
        <f t="shared" si="303"/>
        <v>900000</v>
      </c>
      <c r="AIB33" s="57">
        <f t="shared" si="303"/>
        <v>900000</v>
      </c>
      <c r="AIC33" s="57">
        <f t="shared" si="303"/>
        <v>900000</v>
      </c>
      <c r="AID33" s="57">
        <f t="shared" si="303"/>
        <v>900000</v>
      </c>
      <c r="AIE33" s="57">
        <f t="shared" si="303"/>
        <v>900000</v>
      </c>
      <c r="AIF33" s="57">
        <f t="shared" si="303"/>
        <v>900000</v>
      </c>
      <c r="AIG33" s="57">
        <f t="shared" si="303"/>
        <v>900000</v>
      </c>
      <c r="AIH33" s="57">
        <f t="shared" si="303"/>
        <v>900000</v>
      </c>
      <c r="AII33" s="57">
        <f t="shared" si="303"/>
        <v>900000</v>
      </c>
      <c r="AIJ33" s="57">
        <f t="shared" si="303"/>
        <v>900000</v>
      </c>
      <c r="AIK33" s="57">
        <f t="shared" si="303"/>
        <v>900000</v>
      </c>
      <c r="AIL33" s="57">
        <f t="shared" si="303"/>
        <v>900000</v>
      </c>
      <c r="AIM33" s="57">
        <f t="shared" si="303"/>
        <v>900000</v>
      </c>
      <c r="AIN33" s="57">
        <f t="shared" si="303"/>
        <v>900000</v>
      </c>
      <c r="AIO33" s="57">
        <f t="shared" si="303"/>
        <v>900000</v>
      </c>
      <c r="AIP33" s="57">
        <f t="shared" si="303"/>
        <v>900000</v>
      </c>
      <c r="AIQ33" s="57">
        <f t="shared" si="303"/>
        <v>900000</v>
      </c>
      <c r="AIR33" s="57">
        <f t="shared" si="303"/>
        <v>900000</v>
      </c>
      <c r="AIS33" s="57">
        <f t="shared" si="303"/>
        <v>900000</v>
      </c>
      <c r="AIT33" s="57">
        <f t="shared" si="303"/>
        <v>900000</v>
      </c>
      <c r="AIU33" s="57">
        <f t="shared" si="303"/>
        <v>900000</v>
      </c>
      <c r="AIV33" s="57">
        <f t="shared" si="303"/>
        <v>900000</v>
      </c>
      <c r="AIW33" s="57">
        <f t="shared" si="303"/>
        <v>900000</v>
      </c>
      <c r="AIX33" s="57">
        <f t="shared" si="303"/>
        <v>900000</v>
      </c>
      <c r="AIY33" s="57">
        <f t="shared" si="303"/>
        <v>900000</v>
      </c>
      <c r="AIZ33" s="57">
        <f t="shared" si="303"/>
        <v>900000</v>
      </c>
      <c r="AJA33" s="57">
        <f t="shared" si="303"/>
        <v>900000</v>
      </c>
      <c r="AJB33" s="57">
        <f t="shared" si="303"/>
        <v>900000</v>
      </c>
      <c r="AJC33" s="57">
        <f t="shared" si="303"/>
        <v>900000</v>
      </c>
      <c r="AJD33" s="57">
        <f t="shared" si="303"/>
        <v>900000</v>
      </c>
      <c r="AJE33" s="57">
        <f t="shared" si="303"/>
        <v>900000</v>
      </c>
      <c r="AJF33" s="57">
        <f t="shared" si="303"/>
        <v>900000</v>
      </c>
      <c r="AJG33" s="57">
        <f t="shared" si="303"/>
        <v>900000</v>
      </c>
      <c r="AJH33" s="57">
        <f t="shared" si="303"/>
        <v>900000</v>
      </c>
      <c r="AJI33" s="57">
        <f t="shared" si="303"/>
        <v>900000</v>
      </c>
      <c r="AJJ33" s="57">
        <f t="shared" si="303"/>
        <v>900000</v>
      </c>
      <c r="AJK33" s="57">
        <f t="shared" si="303"/>
        <v>900000</v>
      </c>
      <c r="AJL33" s="57">
        <f t="shared" si="303"/>
        <v>900000</v>
      </c>
      <c r="AJM33" s="57">
        <f t="shared" si="303"/>
        <v>900000</v>
      </c>
      <c r="AJN33" s="57">
        <f t="shared" si="303"/>
        <v>900000</v>
      </c>
      <c r="AJO33" s="57">
        <f t="shared" si="303"/>
        <v>900000</v>
      </c>
      <c r="AJP33" s="57">
        <f t="shared" si="303"/>
        <v>900000</v>
      </c>
      <c r="AJQ33" s="57">
        <f t="shared" si="303"/>
        <v>900000</v>
      </c>
      <c r="AJR33" s="57">
        <f t="shared" si="303"/>
        <v>900000</v>
      </c>
      <c r="AJS33" s="57">
        <f t="shared" si="303"/>
        <v>900000</v>
      </c>
      <c r="AJT33" s="57">
        <f t="shared" si="303"/>
        <v>900000</v>
      </c>
      <c r="AJU33" s="57">
        <f t="shared" si="303"/>
        <v>900000</v>
      </c>
      <c r="AJV33" s="57">
        <f t="shared" si="303"/>
        <v>900000</v>
      </c>
      <c r="AJW33" s="57">
        <f t="shared" si="303"/>
        <v>900000</v>
      </c>
      <c r="AJX33" s="57">
        <f t="shared" si="303"/>
        <v>900000</v>
      </c>
      <c r="AJY33" s="57">
        <f t="shared" si="303"/>
        <v>900000</v>
      </c>
      <c r="AJZ33" s="57">
        <f t="shared" si="303"/>
        <v>900000</v>
      </c>
      <c r="AKA33" s="57">
        <f t="shared" si="303"/>
        <v>900000</v>
      </c>
      <c r="AKB33" s="57">
        <f t="shared" ref="AKB33:AMM33" si="304">$C33</f>
        <v>900000</v>
      </c>
      <c r="AKC33" s="57">
        <f t="shared" si="304"/>
        <v>900000</v>
      </c>
      <c r="AKD33" s="57">
        <f t="shared" si="304"/>
        <v>900000</v>
      </c>
      <c r="AKE33" s="57">
        <f t="shared" si="304"/>
        <v>900000</v>
      </c>
      <c r="AKF33" s="57">
        <f t="shared" si="304"/>
        <v>900000</v>
      </c>
      <c r="AKG33" s="57">
        <f t="shared" si="304"/>
        <v>900000</v>
      </c>
      <c r="AKH33" s="57">
        <f t="shared" si="304"/>
        <v>900000</v>
      </c>
      <c r="AKI33" s="57">
        <f t="shared" si="304"/>
        <v>900000</v>
      </c>
      <c r="AKJ33" s="57">
        <f t="shared" si="304"/>
        <v>900000</v>
      </c>
      <c r="AKK33" s="57">
        <f t="shared" si="304"/>
        <v>900000</v>
      </c>
      <c r="AKL33" s="57">
        <f t="shared" si="304"/>
        <v>900000</v>
      </c>
      <c r="AKM33" s="57">
        <f t="shared" si="304"/>
        <v>900000</v>
      </c>
      <c r="AKN33" s="57">
        <f t="shared" si="304"/>
        <v>900000</v>
      </c>
      <c r="AKO33" s="57">
        <f t="shared" si="304"/>
        <v>900000</v>
      </c>
      <c r="AKP33" s="57">
        <f t="shared" si="304"/>
        <v>900000</v>
      </c>
      <c r="AKQ33" s="57">
        <f t="shared" si="304"/>
        <v>900000</v>
      </c>
      <c r="AKR33" s="57">
        <f t="shared" si="304"/>
        <v>900000</v>
      </c>
      <c r="AKS33" s="57">
        <f t="shared" si="304"/>
        <v>900000</v>
      </c>
      <c r="AKT33" s="57">
        <f t="shared" si="304"/>
        <v>900000</v>
      </c>
      <c r="AKU33" s="57">
        <f t="shared" si="304"/>
        <v>900000</v>
      </c>
      <c r="AKV33" s="57">
        <f t="shared" si="304"/>
        <v>900000</v>
      </c>
      <c r="AKW33" s="57">
        <f t="shared" si="304"/>
        <v>900000</v>
      </c>
      <c r="AKX33" s="57">
        <f t="shared" si="304"/>
        <v>900000</v>
      </c>
      <c r="AKY33" s="57">
        <f t="shared" si="304"/>
        <v>900000</v>
      </c>
      <c r="AKZ33" s="57">
        <f t="shared" si="304"/>
        <v>900000</v>
      </c>
      <c r="ALA33" s="57">
        <f t="shared" si="304"/>
        <v>900000</v>
      </c>
      <c r="ALB33" s="57">
        <f t="shared" si="304"/>
        <v>900000</v>
      </c>
      <c r="ALC33" s="57">
        <f t="shared" si="304"/>
        <v>900000</v>
      </c>
      <c r="ALD33" s="57">
        <f t="shared" si="304"/>
        <v>900000</v>
      </c>
      <c r="ALE33" s="57">
        <f t="shared" si="304"/>
        <v>900000</v>
      </c>
      <c r="ALF33" s="57">
        <f t="shared" si="304"/>
        <v>900000</v>
      </c>
      <c r="ALG33" s="57">
        <f t="shared" si="304"/>
        <v>900000</v>
      </c>
      <c r="ALH33" s="57">
        <f t="shared" si="304"/>
        <v>900000</v>
      </c>
      <c r="ALI33" s="57">
        <f t="shared" si="304"/>
        <v>900000</v>
      </c>
      <c r="ALJ33" s="57">
        <f t="shared" si="304"/>
        <v>900000</v>
      </c>
      <c r="ALK33" s="57">
        <f t="shared" si="304"/>
        <v>900000</v>
      </c>
      <c r="ALL33" s="57">
        <f t="shared" si="304"/>
        <v>900000</v>
      </c>
      <c r="ALM33" s="57">
        <f t="shared" si="304"/>
        <v>900000</v>
      </c>
      <c r="ALN33" s="57">
        <f t="shared" si="304"/>
        <v>900000</v>
      </c>
      <c r="ALO33" s="57">
        <f t="shared" si="304"/>
        <v>900000</v>
      </c>
      <c r="ALP33" s="57">
        <f t="shared" si="304"/>
        <v>900000</v>
      </c>
      <c r="ALQ33" s="57">
        <f t="shared" si="304"/>
        <v>900000</v>
      </c>
      <c r="ALR33" s="57">
        <f t="shared" si="304"/>
        <v>900000</v>
      </c>
      <c r="ALS33" s="57">
        <f t="shared" si="304"/>
        <v>900000</v>
      </c>
      <c r="ALT33" s="57">
        <f t="shared" si="304"/>
        <v>900000</v>
      </c>
      <c r="ALU33" s="57">
        <f t="shared" si="304"/>
        <v>900000</v>
      </c>
      <c r="ALV33" s="57">
        <f t="shared" si="304"/>
        <v>900000</v>
      </c>
      <c r="ALW33" s="57">
        <f t="shared" si="304"/>
        <v>900000</v>
      </c>
      <c r="ALX33" s="57">
        <f t="shared" si="304"/>
        <v>900000</v>
      </c>
      <c r="ALY33" s="57">
        <f t="shared" si="304"/>
        <v>900000</v>
      </c>
      <c r="ALZ33" s="57">
        <f t="shared" si="304"/>
        <v>900000</v>
      </c>
      <c r="AMA33" s="57">
        <f t="shared" si="304"/>
        <v>900000</v>
      </c>
      <c r="AMB33" s="57">
        <f t="shared" si="304"/>
        <v>900000</v>
      </c>
      <c r="AMC33" s="57">
        <f t="shared" si="304"/>
        <v>900000</v>
      </c>
      <c r="AMD33" s="57">
        <f t="shared" si="304"/>
        <v>900000</v>
      </c>
      <c r="AME33" s="57">
        <f t="shared" si="304"/>
        <v>900000</v>
      </c>
      <c r="AMF33" s="57">
        <f t="shared" si="304"/>
        <v>900000</v>
      </c>
      <c r="AMG33" s="57">
        <f t="shared" si="304"/>
        <v>900000</v>
      </c>
      <c r="AMH33" s="57">
        <f t="shared" si="304"/>
        <v>900000</v>
      </c>
      <c r="AMI33" s="57">
        <f t="shared" si="304"/>
        <v>900000</v>
      </c>
      <c r="AMJ33" s="57">
        <f t="shared" si="304"/>
        <v>900000</v>
      </c>
      <c r="AMK33" s="57">
        <f t="shared" si="304"/>
        <v>900000</v>
      </c>
      <c r="AML33" s="57">
        <f t="shared" si="304"/>
        <v>900000</v>
      </c>
      <c r="AMM33" s="57">
        <f t="shared" si="304"/>
        <v>900000</v>
      </c>
      <c r="AMN33" s="57">
        <f t="shared" ref="AMN33:AOQ33" si="305">$C33</f>
        <v>900000</v>
      </c>
      <c r="AMO33" s="57">
        <f t="shared" si="305"/>
        <v>900000</v>
      </c>
      <c r="AMP33" s="57">
        <f t="shared" si="305"/>
        <v>900000</v>
      </c>
      <c r="AMQ33" s="57">
        <f t="shared" si="305"/>
        <v>900000</v>
      </c>
      <c r="AMR33" s="57">
        <f t="shared" si="305"/>
        <v>900000</v>
      </c>
      <c r="AMS33" s="57">
        <f t="shared" si="305"/>
        <v>900000</v>
      </c>
      <c r="AMT33" s="57">
        <f t="shared" si="305"/>
        <v>900000</v>
      </c>
      <c r="AMU33" s="57">
        <f t="shared" si="305"/>
        <v>900000</v>
      </c>
      <c r="AMV33" s="57">
        <f t="shared" si="305"/>
        <v>900000</v>
      </c>
      <c r="AMW33" s="57">
        <f t="shared" si="305"/>
        <v>900000</v>
      </c>
      <c r="AMX33" s="57">
        <f t="shared" si="305"/>
        <v>900000</v>
      </c>
      <c r="AMY33" s="57">
        <f t="shared" si="305"/>
        <v>900000</v>
      </c>
      <c r="AMZ33" s="57">
        <f t="shared" si="305"/>
        <v>900000</v>
      </c>
      <c r="ANA33" s="57">
        <f t="shared" si="305"/>
        <v>900000</v>
      </c>
      <c r="ANB33" s="57">
        <f t="shared" si="305"/>
        <v>900000</v>
      </c>
      <c r="ANC33" s="57">
        <f t="shared" si="305"/>
        <v>900000</v>
      </c>
      <c r="AND33" s="57">
        <f t="shared" si="305"/>
        <v>900000</v>
      </c>
      <c r="ANE33" s="57">
        <f t="shared" si="305"/>
        <v>900000</v>
      </c>
      <c r="ANF33" s="57">
        <f t="shared" si="305"/>
        <v>900000</v>
      </c>
      <c r="ANG33" s="57">
        <f t="shared" si="305"/>
        <v>900000</v>
      </c>
      <c r="ANH33" s="57">
        <f t="shared" si="305"/>
        <v>900000</v>
      </c>
      <c r="ANI33" s="57">
        <f t="shared" si="305"/>
        <v>900000</v>
      </c>
      <c r="ANJ33" s="57">
        <f t="shared" si="305"/>
        <v>900000</v>
      </c>
      <c r="ANK33" s="57">
        <f t="shared" si="305"/>
        <v>900000</v>
      </c>
      <c r="ANL33" s="57">
        <f t="shared" si="305"/>
        <v>900000</v>
      </c>
      <c r="ANM33" s="57">
        <f t="shared" si="305"/>
        <v>900000</v>
      </c>
      <c r="ANN33" s="57">
        <f t="shared" si="305"/>
        <v>900000</v>
      </c>
      <c r="ANO33" s="57">
        <f t="shared" si="305"/>
        <v>900000</v>
      </c>
      <c r="ANP33" s="57">
        <f t="shared" si="305"/>
        <v>900000</v>
      </c>
      <c r="ANQ33" s="57">
        <f t="shared" si="305"/>
        <v>900000</v>
      </c>
      <c r="ANR33" s="57">
        <f t="shared" si="305"/>
        <v>900000</v>
      </c>
      <c r="ANS33" s="57">
        <f t="shared" si="305"/>
        <v>900000</v>
      </c>
      <c r="ANT33" s="57">
        <f t="shared" si="305"/>
        <v>900000</v>
      </c>
      <c r="ANU33" s="57">
        <f t="shared" si="305"/>
        <v>900000</v>
      </c>
      <c r="ANV33" s="57">
        <f t="shared" si="305"/>
        <v>900000</v>
      </c>
      <c r="ANW33" s="57">
        <f t="shared" si="305"/>
        <v>900000</v>
      </c>
      <c r="ANX33" s="57">
        <f t="shared" si="305"/>
        <v>900000</v>
      </c>
      <c r="ANY33" s="57">
        <f t="shared" si="305"/>
        <v>900000</v>
      </c>
      <c r="ANZ33" s="57">
        <f t="shared" si="305"/>
        <v>900000</v>
      </c>
      <c r="AOA33" s="57">
        <f t="shared" si="305"/>
        <v>900000</v>
      </c>
      <c r="AOB33" s="57">
        <f t="shared" si="305"/>
        <v>900000</v>
      </c>
      <c r="AOC33" s="57">
        <f t="shared" si="305"/>
        <v>900000</v>
      </c>
      <c r="AOD33" s="57">
        <f t="shared" si="305"/>
        <v>900000</v>
      </c>
      <c r="AOE33" s="57">
        <f t="shared" si="305"/>
        <v>900000</v>
      </c>
      <c r="AOF33" s="57">
        <f t="shared" si="305"/>
        <v>900000</v>
      </c>
      <c r="AOG33" s="57">
        <f t="shared" si="305"/>
        <v>900000</v>
      </c>
      <c r="AOH33" s="57">
        <f t="shared" si="305"/>
        <v>900000</v>
      </c>
      <c r="AOI33" s="57">
        <f t="shared" si="305"/>
        <v>900000</v>
      </c>
      <c r="AOJ33" s="57">
        <f t="shared" si="305"/>
        <v>900000</v>
      </c>
      <c r="AOK33" s="57">
        <f t="shared" si="305"/>
        <v>900000</v>
      </c>
      <c r="AOL33" s="57">
        <f t="shared" si="305"/>
        <v>900000</v>
      </c>
      <c r="AOM33" s="57">
        <f t="shared" si="305"/>
        <v>900000</v>
      </c>
      <c r="AON33" s="57">
        <f t="shared" si="305"/>
        <v>900000</v>
      </c>
      <c r="AOO33" s="57">
        <f t="shared" si="305"/>
        <v>900000</v>
      </c>
      <c r="AOP33" s="57">
        <f t="shared" si="305"/>
        <v>900000</v>
      </c>
      <c r="AOQ33" s="57">
        <f t="shared" si="305"/>
        <v>900000</v>
      </c>
    </row>
    <row r="34" spans="1:1083" x14ac:dyDescent="0.25">
      <c r="B34" s="116" t="s">
        <v>292</v>
      </c>
      <c r="C34" s="115"/>
      <c r="D34" s="115">
        <v>0</v>
      </c>
      <c r="E34" s="115">
        <f t="shared" ref="E34:BP34" si="306">IF(E28&gt;0,D25-E28,0)</f>
        <v>0</v>
      </c>
      <c r="F34" s="115">
        <f t="shared" si="306"/>
        <v>0</v>
      </c>
      <c r="G34" s="115">
        <f t="shared" si="306"/>
        <v>0</v>
      </c>
      <c r="H34" s="115">
        <f t="shared" si="306"/>
        <v>0</v>
      </c>
      <c r="I34" s="115">
        <f t="shared" si="306"/>
        <v>0</v>
      </c>
      <c r="J34" s="115">
        <f t="shared" si="306"/>
        <v>0</v>
      </c>
      <c r="K34" s="115">
        <f t="shared" si="306"/>
        <v>0</v>
      </c>
      <c r="L34" s="115">
        <f t="shared" si="306"/>
        <v>0</v>
      </c>
      <c r="M34" s="115">
        <f t="shared" si="306"/>
        <v>0</v>
      </c>
      <c r="N34" s="115">
        <f t="shared" si="306"/>
        <v>0</v>
      </c>
      <c r="O34" s="115">
        <f t="shared" si="306"/>
        <v>0</v>
      </c>
      <c r="P34" s="115">
        <f t="shared" si="306"/>
        <v>0</v>
      </c>
      <c r="Q34" s="115">
        <f t="shared" si="306"/>
        <v>0</v>
      </c>
      <c r="R34" s="115">
        <f t="shared" si="306"/>
        <v>0</v>
      </c>
      <c r="S34" s="115">
        <f t="shared" si="306"/>
        <v>0</v>
      </c>
      <c r="T34" s="115">
        <f t="shared" si="306"/>
        <v>0</v>
      </c>
      <c r="U34" s="115">
        <f t="shared" si="306"/>
        <v>0</v>
      </c>
      <c r="V34" s="115">
        <f t="shared" si="306"/>
        <v>0</v>
      </c>
      <c r="W34" s="115">
        <f t="shared" si="306"/>
        <v>0</v>
      </c>
      <c r="X34" s="115">
        <f t="shared" si="306"/>
        <v>0</v>
      </c>
      <c r="Y34" s="115">
        <f t="shared" si="306"/>
        <v>0</v>
      </c>
      <c r="Z34" s="115">
        <f t="shared" si="306"/>
        <v>0</v>
      </c>
      <c r="AA34" s="115">
        <f t="shared" si="306"/>
        <v>0</v>
      </c>
      <c r="AB34" s="115">
        <f t="shared" si="306"/>
        <v>0</v>
      </c>
      <c r="AC34" s="115">
        <f t="shared" si="306"/>
        <v>0</v>
      </c>
      <c r="AD34" s="115">
        <f t="shared" si="306"/>
        <v>0</v>
      </c>
      <c r="AE34" s="115">
        <f t="shared" si="306"/>
        <v>0</v>
      </c>
      <c r="AF34" s="115">
        <f t="shared" si="306"/>
        <v>0</v>
      </c>
      <c r="AG34" s="115">
        <f t="shared" si="306"/>
        <v>0</v>
      </c>
      <c r="AH34" s="115">
        <f t="shared" si="306"/>
        <v>0</v>
      </c>
      <c r="AI34" s="115">
        <f t="shared" si="306"/>
        <v>0</v>
      </c>
      <c r="AJ34" s="115">
        <f t="shared" si="306"/>
        <v>0</v>
      </c>
      <c r="AK34" s="115">
        <f t="shared" si="306"/>
        <v>0</v>
      </c>
      <c r="AL34" s="115">
        <f t="shared" si="306"/>
        <v>0</v>
      </c>
      <c r="AM34" s="115">
        <f t="shared" si="306"/>
        <v>0</v>
      </c>
      <c r="AN34" s="115">
        <f t="shared" si="306"/>
        <v>0</v>
      </c>
      <c r="AO34" s="115">
        <f t="shared" si="306"/>
        <v>0</v>
      </c>
      <c r="AP34" s="115">
        <f t="shared" si="306"/>
        <v>0</v>
      </c>
      <c r="AQ34" s="115">
        <f t="shared" si="306"/>
        <v>0</v>
      </c>
      <c r="AR34" s="115">
        <f t="shared" si="306"/>
        <v>0</v>
      </c>
      <c r="AS34" s="115">
        <f t="shared" si="306"/>
        <v>0</v>
      </c>
      <c r="AT34" s="115">
        <f t="shared" si="306"/>
        <v>0</v>
      </c>
      <c r="AU34" s="115">
        <f t="shared" si="306"/>
        <v>0</v>
      </c>
      <c r="AV34" s="115">
        <f t="shared" si="306"/>
        <v>0</v>
      </c>
      <c r="AW34" s="115">
        <f t="shared" si="306"/>
        <v>0</v>
      </c>
      <c r="AX34" s="115">
        <f t="shared" si="306"/>
        <v>0</v>
      </c>
      <c r="AY34" s="115">
        <f t="shared" si="306"/>
        <v>0</v>
      </c>
      <c r="AZ34" s="115">
        <f t="shared" si="306"/>
        <v>0</v>
      </c>
      <c r="BA34" s="115">
        <f t="shared" si="306"/>
        <v>0</v>
      </c>
      <c r="BB34" s="115">
        <f t="shared" si="306"/>
        <v>0</v>
      </c>
      <c r="BC34" s="115">
        <f t="shared" si="306"/>
        <v>0</v>
      </c>
      <c r="BD34" s="115">
        <f t="shared" si="306"/>
        <v>0</v>
      </c>
      <c r="BE34" s="115">
        <f t="shared" si="306"/>
        <v>0</v>
      </c>
      <c r="BF34" s="115">
        <f t="shared" si="306"/>
        <v>0</v>
      </c>
      <c r="BG34" s="115">
        <f t="shared" si="306"/>
        <v>0</v>
      </c>
      <c r="BH34" s="115">
        <f t="shared" si="306"/>
        <v>0</v>
      </c>
      <c r="BI34" s="115">
        <f t="shared" si="306"/>
        <v>0</v>
      </c>
      <c r="BJ34" s="115">
        <f t="shared" si="306"/>
        <v>0</v>
      </c>
      <c r="BK34" s="115">
        <f t="shared" si="306"/>
        <v>0</v>
      </c>
      <c r="BL34" s="115">
        <f t="shared" si="306"/>
        <v>0</v>
      </c>
      <c r="BM34" s="115">
        <f t="shared" si="306"/>
        <v>0</v>
      </c>
      <c r="BN34" s="115">
        <f t="shared" si="306"/>
        <v>0</v>
      </c>
      <c r="BO34" s="115">
        <f t="shared" si="306"/>
        <v>0</v>
      </c>
      <c r="BP34" s="115">
        <f t="shared" si="306"/>
        <v>0</v>
      </c>
      <c r="BQ34" s="115">
        <f t="shared" ref="BQ34:EB34" si="307">IF(BQ28&gt;0,BP25-BQ28,0)</f>
        <v>0</v>
      </c>
      <c r="BR34" s="115">
        <f t="shared" si="307"/>
        <v>0</v>
      </c>
      <c r="BS34" s="115">
        <f t="shared" si="307"/>
        <v>0</v>
      </c>
      <c r="BT34" s="115">
        <f t="shared" si="307"/>
        <v>0</v>
      </c>
      <c r="BU34" s="115">
        <f t="shared" si="307"/>
        <v>0</v>
      </c>
      <c r="BV34" s="115">
        <f t="shared" si="307"/>
        <v>0</v>
      </c>
      <c r="BW34" s="115">
        <f t="shared" si="307"/>
        <v>0</v>
      </c>
      <c r="BX34" s="115">
        <f t="shared" si="307"/>
        <v>0</v>
      </c>
      <c r="BY34" s="115">
        <f t="shared" si="307"/>
        <v>0</v>
      </c>
      <c r="BZ34" s="115">
        <f t="shared" si="307"/>
        <v>0</v>
      </c>
      <c r="CA34" s="115">
        <f t="shared" si="307"/>
        <v>0</v>
      </c>
      <c r="CB34" s="115">
        <f t="shared" si="307"/>
        <v>0</v>
      </c>
      <c r="CC34" s="115">
        <f t="shared" si="307"/>
        <v>0</v>
      </c>
      <c r="CD34" s="115">
        <f t="shared" si="307"/>
        <v>0</v>
      </c>
      <c r="CE34" s="115">
        <f t="shared" si="307"/>
        <v>0</v>
      </c>
      <c r="CF34" s="115">
        <f t="shared" si="307"/>
        <v>0</v>
      </c>
      <c r="CG34" s="115">
        <f t="shared" si="307"/>
        <v>0</v>
      </c>
      <c r="CH34" s="115">
        <f t="shared" si="307"/>
        <v>0</v>
      </c>
      <c r="CI34" s="115">
        <f t="shared" si="307"/>
        <v>0</v>
      </c>
      <c r="CJ34" s="115">
        <f t="shared" si="307"/>
        <v>0</v>
      </c>
      <c r="CK34" s="115">
        <f t="shared" si="307"/>
        <v>0</v>
      </c>
      <c r="CL34" s="115">
        <f t="shared" si="307"/>
        <v>0</v>
      </c>
      <c r="CM34" s="115">
        <f t="shared" si="307"/>
        <v>0</v>
      </c>
      <c r="CN34" s="115">
        <f t="shared" si="307"/>
        <v>0</v>
      </c>
      <c r="CO34" s="115">
        <f t="shared" si="307"/>
        <v>0</v>
      </c>
      <c r="CP34" s="115">
        <f t="shared" si="307"/>
        <v>0</v>
      </c>
      <c r="CQ34" s="115">
        <f t="shared" si="307"/>
        <v>0</v>
      </c>
      <c r="CR34" s="115">
        <f t="shared" si="307"/>
        <v>0</v>
      </c>
      <c r="CS34" s="115">
        <f t="shared" si="307"/>
        <v>0</v>
      </c>
      <c r="CT34" s="115">
        <f t="shared" si="307"/>
        <v>0</v>
      </c>
      <c r="CU34" s="115">
        <f t="shared" si="307"/>
        <v>0</v>
      </c>
      <c r="CV34" s="115">
        <f t="shared" si="307"/>
        <v>0</v>
      </c>
      <c r="CW34" s="115">
        <f t="shared" si="307"/>
        <v>0</v>
      </c>
      <c r="CX34" s="115">
        <f t="shared" si="307"/>
        <v>0</v>
      </c>
      <c r="CY34" s="115">
        <f t="shared" si="307"/>
        <v>0</v>
      </c>
      <c r="CZ34" s="115">
        <f t="shared" si="307"/>
        <v>0</v>
      </c>
      <c r="DA34" s="115">
        <f t="shared" si="307"/>
        <v>0</v>
      </c>
      <c r="DB34" s="115">
        <f t="shared" si="307"/>
        <v>0</v>
      </c>
      <c r="DC34" s="115">
        <f t="shared" si="307"/>
        <v>0</v>
      </c>
      <c r="DD34" s="115">
        <f t="shared" si="307"/>
        <v>0</v>
      </c>
      <c r="DE34" s="115">
        <f t="shared" si="307"/>
        <v>0</v>
      </c>
      <c r="DF34" s="115">
        <f t="shared" si="307"/>
        <v>0</v>
      </c>
      <c r="DG34" s="115">
        <f t="shared" si="307"/>
        <v>0</v>
      </c>
      <c r="DH34" s="115">
        <f t="shared" si="307"/>
        <v>0</v>
      </c>
      <c r="DI34" s="115">
        <f t="shared" si="307"/>
        <v>0</v>
      </c>
      <c r="DJ34" s="115">
        <f t="shared" si="307"/>
        <v>0</v>
      </c>
      <c r="DK34" s="115">
        <f t="shared" si="307"/>
        <v>0</v>
      </c>
      <c r="DL34" s="115">
        <f t="shared" si="307"/>
        <v>0</v>
      </c>
      <c r="DM34" s="115">
        <f t="shared" si="307"/>
        <v>0</v>
      </c>
      <c r="DN34" s="115">
        <f t="shared" si="307"/>
        <v>0</v>
      </c>
      <c r="DO34" s="115">
        <f t="shared" si="307"/>
        <v>0</v>
      </c>
      <c r="DP34" s="115">
        <f t="shared" si="307"/>
        <v>0</v>
      </c>
      <c r="DQ34" s="115">
        <f t="shared" si="307"/>
        <v>0</v>
      </c>
      <c r="DR34" s="115">
        <f t="shared" si="307"/>
        <v>0</v>
      </c>
      <c r="DS34" s="115">
        <f t="shared" si="307"/>
        <v>0</v>
      </c>
      <c r="DT34" s="115">
        <f t="shared" si="307"/>
        <v>0</v>
      </c>
      <c r="DU34" s="115">
        <f t="shared" si="307"/>
        <v>0</v>
      </c>
      <c r="DV34" s="115">
        <f t="shared" si="307"/>
        <v>0</v>
      </c>
      <c r="DW34" s="115">
        <f t="shared" si="307"/>
        <v>0</v>
      </c>
      <c r="DX34" s="115">
        <f t="shared" si="307"/>
        <v>0</v>
      </c>
      <c r="DY34" s="115">
        <f t="shared" si="307"/>
        <v>0</v>
      </c>
      <c r="DZ34" s="115">
        <f t="shared" si="307"/>
        <v>0</v>
      </c>
      <c r="EA34" s="115">
        <f t="shared" si="307"/>
        <v>0</v>
      </c>
      <c r="EB34" s="115">
        <f t="shared" si="307"/>
        <v>0</v>
      </c>
      <c r="EC34" s="115">
        <f t="shared" ref="EC34:GN34" si="308">IF(EC28&gt;0,EB25-EC28,0)</f>
        <v>0</v>
      </c>
      <c r="ED34" s="115">
        <f t="shared" si="308"/>
        <v>0</v>
      </c>
      <c r="EE34" s="115">
        <f t="shared" si="308"/>
        <v>0</v>
      </c>
      <c r="EF34" s="115">
        <f t="shared" si="308"/>
        <v>0</v>
      </c>
      <c r="EG34" s="115">
        <f t="shared" si="308"/>
        <v>0</v>
      </c>
      <c r="EH34" s="115">
        <f t="shared" si="308"/>
        <v>0</v>
      </c>
      <c r="EI34" s="115">
        <f t="shared" si="308"/>
        <v>0</v>
      </c>
      <c r="EJ34" s="115">
        <f t="shared" si="308"/>
        <v>0</v>
      </c>
      <c r="EK34" s="115">
        <f t="shared" si="308"/>
        <v>0</v>
      </c>
      <c r="EL34" s="115">
        <f t="shared" si="308"/>
        <v>0</v>
      </c>
      <c r="EM34" s="115">
        <f t="shared" si="308"/>
        <v>0</v>
      </c>
      <c r="EN34" s="115">
        <f t="shared" si="308"/>
        <v>0</v>
      </c>
      <c r="EO34" s="115">
        <f t="shared" si="308"/>
        <v>0</v>
      </c>
      <c r="EP34" s="115">
        <f t="shared" si="308"/>
        <v>0</v>
      </c>
      <c r="EQ34" s="115">
        <f t="shared" si="308"/>
        <v>0</v>
      </c>
      <c r="ER34" s="115">
        <f t="shared" si="308"/>
        <v>0</v>
      </c>
      <c r="ES34" s="115">
        <f t="shared" si="308"/>
        <v>0</v>
      </c>
      <c r="ET34" s="115">
        <f t="shared" si="308"/>
        <v>0</v>
      </c>
      <c r="EU34" s="115">
        <f t="shared" si="308"/>
        <v>0</v>
      </c>
      <c r="EV34" s="115">
        <f t="shared" si="308"/>
        <v>0</v>
      </c>
      <c r="EW34" s="115">
        <f t="shared" si="308"/>
        <v>0</v>
      </c>
      <c r="EX34" s="115">
        <f t="shared" si="308"/>
        <v>0</v>
      </c>
      <c r="EY34" s="115">
        <f t="shared" si="308"/>
        <v>0</v>
      </c>
      <c r="EZ34" s="115">
        <f t="shared" si="308"/>
        <v>0</v>
      </c>
      <c r="FA34" s="115">
        <f t="shared" si="308"/>
        <v>0</v>
      </c>
      <c r="FB34" s="115">
        <f t="shared" si="308"/>
        <v>0</v>
      </c>
      <c r="FC34" s="115">
        <f t="shared" si="308"/>
        <v>0</v>
      </c>
      <c r="FD34" s="115">
        <f t="shared" si="308"/>
        <v>0</v>
      </c>
      <c r="FE34" s="115">
        <f t="shared" si="308"/>
        <v>0</v>
      </c>
      <c r="FF34" s="115">
        <f t="shared" si="308"/>
        <v>0</v>
      </c>
      <c r="FG34" s="115">
        <f t="shared" si="308"/>
        <v>0</v>
      </c>
      <c r="FH34" s="115">
        <f t="shared" si="308"/>
        <v>0</v>
      </c>
      <c r="FI34" s="115">
        <f t="shared" si="308"/>
        <v>0</v>
      </c>
      <c r="FJ34" s="115">
        <f t="shared" si="308"/>
        <v>0</v>
      </c>
      <c r="FK34" s="115">
        <f t="shared" si="308"/>
        <v>0</v>
      </c>
      <c r="FL34" s="115">
        <f t="shared" si="308"/>
        <v>0</v>
      </c>
      <c r="FM34" s="115">
        <f t="shared" si="308"/>
        <v>0</v>
      </c>
      <c r="FN34" s="115">
        <f t="shared" si="308"/>
        <v>0</v>
      </c>
      <c r="FO34" s="115">
        <f t="shared" si="308"/>
        <v>0</v>
      </c>
      <c r="FP34" s="115">
        <f t="shared" si="308"/>
        <v>0</v>
      </c>
      <c r="FQ34" s="115">
        <f t="shared" si="308"/>
        <v>0</v>
      </c>
      <c r="FR34" s="115">
        <f t="shared" si="308"/>
        <v>0</v>
      </c>
      <c r="FS34" s="115">
        <f t="shared" si="308"/>
        <v>0</v>
      </c>
      <c r="FT34" s="115">
        <f t="shared" si="308"/>
        <v>0</v>
      </c>
      <c r="FU34" s="115">
        <f t="shared" si="308"/>
        <v>0</v>
      </c>
      <c r="FV34" s="115">
        <f t="shared" si="308"/>
        <v>0</v>
      </c>
      <c r="FW34" s="115">
        <f t="shared" si="308"/>
        <v>0</v>
      </c>
      <c r="FX34" s="115">
        <f t="shared" si="308"/>
        <v>0</v>
      </c>
      <c r="FY34" s="115">
        <f t="shared" si="308"/>
        <v>0</v>
      </c>
      <c r="FZ34" s="115">
        <f t="shared" si="308"/>
        <v>0</v>
      </c>
      <c r="GA34" s="115">
        <f t="shared" si="308"/>
        <v>0</v>
      </c>
      <c r="GB34" s="115">
        <f t="shared" si="308"/>
        <v>0</v>
      </c>
      <c r="GC34" s="115">
        <f t="shared" si="308"/>
        <v>0</v>
      </c>
      <c r="GD34" s="115">
        <f t="shared" si="308"/>
        <v>0</v>
      </c>
      <c r="GE34" s="115">
        <f t="shared" si="308"/>
        <v>0</v>
      </c>
      <c r="GF34" s="115">
        <f t="shared" si="308"/>
        <v>0</v>
      </c>
      <c r="GG34" s="115">
        <f t="shared" si="308"/>
        <v>0</v>
      </c>
      <c r="GH34" s="115">
        <f t="shared" si="308"/>
        <v>0</v>
      </c>
      <c r="GI34" s="115">
        <f t="shared" si="308"/>
        <v>0</v>
      </c>
      <c r="GJ34" s="115">
        <f t="shared" si="308"/>
        <v>0</v>
      </c>
      <c r="GK34" s="115">
        <f t="shared" si="308"/>
        <v>0</v>
      </c>
      <c r="GL34" s="115">
        <f t="shared" si="308"/>
        <v>0</v>
      </c>
      <c r="GM34" s="115">
        <f t="shared" si="308"/>
        <v>0</v>
      </c>
      <c r="GN34" s="115">
        <f t="shared" si="308"/>
        <v>0</v>
      </c>
      <c r="GO34" s="115">
        <f t="shared" ref="GO34:IZ34" si="309">IF(GO28&gt;0,GN25-GO28,0)</f>
        <v>0</v>
      </c>
      <c r="GP34" s="115">
        <f t="shared" si="309"/>
        <v>0</v>
      </c>
      <c r="GQ34" s="115">
        <f t="shared" si="309"/>
        <v>0</v>
      </c>
      <c r="GR34" s="115">
        <f t="shared" si="309"/>
        <v>0</v>
      </c>
      <c r="GS34" s="115">
        <f t="shared" si="309"/>
        <v>0</v>
      </c>
      <c r="GT34" s="115">
        <f t="shared" si="309"/>
        <v>0</v>
      </c>
      <c r="GU34" s="115">
        <f t="shared" si="309"/>
        <v>0</v>
      </c>
      <c r="GV34" s="115">
        <f t="shared" si="309"/>
        <v>0</v>
      </c>
      <c r="GW34" s="115">
        <f t="shared" si="309"/>
        <v>0</v>
      </c>
      <c r="GX34" s="115">
        <f t="shared" si="309"/>
        <v>0</v>
      </c>
      <c r="GY34" s="115">
        <f t="shared" si="309"/>
        <v>0</v>
      </c>
      <c r="GZ34" s="115">
        <f t="shared" si="309"/>
        <v>0</v>
      </c>
      <c r="HA34" s="115">
        <f t="shared" si="309"/>
        <v>0</v>
      </c>
      <c r="HB34" s="115">
        <f t="shared" si="309"/>
        <v>0</v>
      </c>
      <c r="HC34" s="115">
        <f t="shared" si="309"/>
        <v>0</v>
      </c>
      <c r="HD34" s="115">
        <f t="shared" si="309"/>
        <v>0</v>
      </c>
      <c r="HE34" s="115">
        <f t="shared" si="309"/>
        <v>0</v>
      </c>
      <c r="HF34" s="115">
        <f t="shared" si="309"/>
        <v>0</v>
      </c>
      <c r="HG34" s="115">
        <f t="shared" si="309"/>
        <v>0</v>
      </c>
      <c r="HH34" s="115">
        <f t="shared" si="309"/>
        <v>0</v>
      </c>
      <c r="HI34" s="115">
        <f t="shared" si="309"/>
        <v>0</v>
      </c>
      <c r="HJ34" s="115">
        <f t="shared" si="309"/>
        <v>0</v>
      </c>
      <c r="HK34" s="115">
        <f t="shared" si="309"/>
        <v>0</v>
      </c>
      <c r="HL34" s="115">
        <f t="shared" si="309"/>
        <v>0</v>
      </c>
      <c r="HM34" s="115">
        <f t="shared" si="309"/>
        <v>0</v>
      </c>
      <c r="HN34" s="115">
        <f t="shared" si="309"/>
        <v>0</v>
      </c>
      <c r="HO34" s="115">
        <f t="shared" si="309"/>
        <v>0</v>
      </c>
      <c r="HP34" s="115">
        <f t="shared" si="309"/>
        <v>0</v>
      </c>
      <c r="HQ34" s="115">
        <f t="shared" si="309"/>
        <v>0</v>
      </c>
      <c r="HR34" s="115">
        <f t="shared" si="309"/>
        <v>0</v>
      </c>
      <c r="HS34" s="115">
        <f t="shared" si="309"/>
        <v>0</v>
      </c>
      <c r="HT34" s="115">
        <f t="shared" si="309"/>
        <v>0</v>
      </c>
      <c r="HU34" s="115">
        <f t="shared" si="309"/>
        <v>0</v>
      </c>
      <c r="HV34" s="115">
        <f t="shared" si="309"/>
        <v>0</v>
      </c>
      <c r="HW34" s="115">
        <f t="shared" si="309"/>
        <v>0</v>
      </c>
      <c r="HX34" s="115">
        <f t="shared" si="309"/>
        <v>0</v>
      </c>
      <c r="HY34" s="115">
        <f t="shared" si="309"/>
        <v>0</v>
      </c>
      <c r="HZ34" s="115">
        <f t="shared" si="309"/>
        <v>0</v>
      </c>
      <c r="IA34" s="115">
        <f t="shared" si="309"/>
        <v>0</v>
      </c>
      <c r="IB34" s="115">
        <f t="shared" si="309"/>
        <v>0</v>
      </c>
      <c r="IC34" s="115">
        <f t="shared" si="309"/>
        <v>0</v>
      </c>
      <c r="ID34" s="115">
        <f t="shared" si="309"/>
        <v>0</v>
      </c>
      <c r="IE34" s="115">
        <f t="shared" si="309"/>
        <v>0</v>
      </c>
      <c r="IF34" s="115">
        <f t="shared" si="309"/>
        <v>0</v>
      </c>
      <c r="IG34" s="115">
        <f t="shared" si="309"/>
        <v>0</v>
      </c>
      <c r="IH34" s="115">
        <f t="shared" si="309"/>
        <v>0</v>
      </c>
      <c r="II34" s="115">
        <f t="shared" si="309"/>
        <v>0</v>
      </c>
      <c r="IJ34" s="115">
        <f t="shared" si="309"/>
        <v>0</v>
      </c>
      <c r="IK34" s="115">
        <f t="shared" si="309"/>
        <v>0</v>
      </c>
      <c r="IL34" s="115">
        <f t="shared" si="309"/>
        <v>0</v>
      </c>
      <c r="IM34" s="115">
        <f t="shared" si="309"/>
        <v>0</v>
      </c>
      <c r="IN34" s="115">
        <f t="shared" si="309"/>
        <v>0</v>
      </c>
      <c r="IO34" s="115">
        <f t="shared" si="309"/>
        <v>0</v>
      </c>
      <c r="IP34" s="115">
        <f t="shared" si="309"/>
        <v>0</v>
      </c>
      <c r="IQ34" s="115">
        <f t="shared" si="309"/>
        <v>0</v>
      </c>
      <c r="IR34" s="115">
        <f t="shared" si="309"/>
        <v>0</v>
      </c>
      <c r="IS34" s="115">
        <f t="shared" si="309"/>
        <v>0</v>
      </c>
      <c r="IT34" s="115">
        <f t="shared" si="309"/>
        <v>0</v>
      </c>
      <c r="IU34" s="115">
        <f t="shared" si="309"/>
        <v>0</v>
      </c>
      <c r="IV34" s="115">
        <f t="shared" si="309"/>
        <v>0</v>
      </c>
      <c r="IW34" s="115">
        <f t="shared" si="309"/>
        <v>0</v>
      </c>
      <c r="IX34" s="115">
        <f t="shared" si="309"/>
        <v>0</v>
      </c>
      <c r="IY34" s="115">
        <f t="shared" si="309"/>
        <v>0</v>
      </c>
      <c r="IZ34" s="115">
        <f t="shared" si="309"/>
        <v>0</v>
      </c>
      <c r="JA34" s="115">
        <f t="shared" ref="JA34:LL34" si="310">IF(JA28&gt;0,IZ25-JA28,0)</f>
        <v>0</v>
      </c>
      <c r="JB34" s="115">
        <f t="shared" si="310"/>
        <v>0</v>
      </c>
      <c r="JC34" s="115">
        <f t="shared" si="310"/>
        <v>0</v>
      </c>
      <c r="JD34" s="115">
        <f t="shared" si="310"/>
        <v>0</v>
      </c>
      <c r="JE34" s="115">
        <f t="shared" si="310"/>
        <v>0</v>
      </c>
      <c r="JF34" s="115">
        <f t="shared" si="310"/>
        <v>0</v>
      </c>
      <c r="JG34" s="115">
        <f t="shared" si="310"/>
        <v>0</v>
      </c>
      <c r="JH34" s="115">
        <f t="shared" si="310"/>
        <v>0</v>
      </c>
      <c r="JI34" s="115">
        <f t="shared" si="310"/>
        <v>0</v>
      </c>
      <c r="JJ34" s="115">
        <f t="shared" si="310"/>
        <v>0</v>
      </c>
      <c r="JK34" s="115">
        <f t="shared" si="310"/>
        <v>0</v>
      </c>
      <c r="JL34" s="115">
        <f t="shared" si="310"/>
        <v>0</v>
      </c>
      <c r="JM34" s="115">
        <f t="shared" si="310"/>
        <v>0</v>
      </c>
      <c r="JN34" s="115">
        <f t="shared" si="310"/>
        <v>0</v>
      </c>
      <c r="JO34" s="115">
        <f t="shared" si="310"/>
        <v>0</v>
      </c>
      <c r="JP34" s="115">
        <f t="shared" si="310"/>
        <v>0</v>
      </c>
      <c r="JQ34" s="115">
        <f t="shared" si="310"/>
        <v>0</v>
      </c>
      <c r="JR34" s="115">
        <f t="shared" si="310"/>
        <v>0</v>
      </c>
      <c r="JS34" s="115">
        <f t="shared" si="310"/>
        <v>0</v>
      </c>
      <c r="JT34" s="115">
        <f t="shared" si="310"/>
        <v>0</v>
      </c>
      <c r="JU34" s="115">
        <f t="shared" si="310"/>
        <v>0</v>
      </c>
      <c r="JV34" s="115">
        <f t="shared" si="310"/>
        <v>0</v>
      </c>
      <c r="JW34" s="115">
        <f t="shared" si="310"/>
        <v>0</v>
      </c>
      <c r="JX34" s="115">
        <f t="shared" si="310"/>
        <v>0</v>
      </c>
      <c r="JY34" s="115">
        <f t="shared" si="310"/>
        <v>0</v>
      </c>
      <c r="JZ34" s="115">
        <f t="shared" si="310"/>
        <v>0</v>
      </c>
      <c r="KA34" s="115">
        <f t="shared" si="310"/>
        <v>0</v>
      </c>
      <c r="KB34" s="115">
        <f t="shared" si="310"/>
        <v>0</v>
      </c>
      <c r="KC34" s="115">
        <f t="shared" si="310"/>
        <v>0</v>
      </c>
      <c r="KD34" s="115">
        <f t="shared" si="310"/>
        <v>0</v>
      </c>
      <c r="KE34" s="115">
        <f t="shared" si="310"/>
        <v>0</v>
      </c>
      <c r="KF34" s="115">
        <f t="shared" si="310"/>
        <v>0</v>
      </c>
      <c r="KG34" s="115">
        <f t="shared" si="310"/>
        <v>0</v>
      </c>
      <c r="KH34" s="115">
        <f t="shared" si="310"/>
        <v>0</v>
      </c>
      <c r="KI34" s="115">
        <f t="shared" si="310"/>
        <v>0</v>
      </c>
      <c r="KJ34" s="115">
        <f t="shared" si="310"/>
        <v>0</v>
      </c>
      <c r="KK34" s="115">
        <f t="shared" si="310"/>
        <v>0</v>
      </c>
      <c r="KL34" s="115">
        <f t="shared" si="310"/>
        <v>0</v>
      </c>
      <c r="KM34" s="115">
        <f t="shared" si="310"/>
        <v>0</v>
      </c>
      <c r="KN34" s="115">
        <f t="shared" si="310"/>
        <v>0</v>
      </c>
      <c r="KO34" s="115">
        <f t="shared" si="310"/>
        <v>0</v>
      </c>
      <c r="KP34" s="115">
        <f t="shared" si="310"/>
        <v>0</v>
      </c>
      <c r="KQ34" s="115">
        <f t="shared" si="310"/>
        <v>0</v>
      </c>
      <c r="KR34" s="115">
        <f t="shared" si="310"/>
        <v>0</v>
      </c>
      <c r="KS34" s="115">
        <f t="shared" si="310"/>
        <v>0</v>
      </c>
      <c r="KT34" s="115">
        <f t="shared" si="310"/>
        <v>0</v>
      </c>
      <c r="KU34" s="115">
        <f t="shared" si="310"/>
        <v>0</v>
      </c>
      <c r="KV34" s="115">
        <f t="shared" si="310"/>
        <v>0</v>
      </c>
      <c r="KW34" s="115">
        <f t="shared" si="310"/>
        <v>0</v>
      </c>
      <c r="KX34" s="115">
        <f t="shared" si="310"/>
        <v>0</v>
      </c>
      <c r="KY34" s="115">
        <f t="shared" si="310"/>
        <v>0</v>
      </c>
      <c r="KZ34" s="115">
        <f t="shared" si="310"/>
        <v>0</v>
      </c>
      <c r="LA34" s="115">
        <f t="shared" si="310"/>
        <v>0</v>
      </c>
      <c r="LB34" s="115">
        <f t="shared" si="310"/>
        <v>0</v>
      </c>
      <c r="LC34" s="115">
        <f t="shared" si="310"/>
        <v>0</v>
      </c>
      <c r="LD34" s="115">
        <f t="shared" si="310"/>
        <v>0</v>
      </c>
      <c r="LE34" s="115">
        <f t="shared" si="310"/>
        <v>0</v>
      </c>
      <c r="LF34" s="115">
        <f t="shared" si="310"/>
        <v>0</v>
      </c>
      <c r="LG34" s="115">
        <f t="shared" si="310"/>
        <v>0</v>
      </c>
      <c r="LH34" s="115">
        <f t="shared" si="310"/>
        <v>0</v>
      </c>
      <c r="LI34" s="115">
        <f t="shared" si="310"/>
        <v>0</v>
      </c>
      <c r="LJ34" s="115">
        <f t="shared" si="310"/>
        <v>0</v>
      </c>
      <c r="LK34" s="115">
        <f t="shared" si="310"/>
        <v>0</v>
      </c>
      <c r="LL34" s="115">
        <f t="shared" si="310"/>
        <v>0</v>
      </c>
      <c r="LM34" s="115">
        <f t="shared" ref="LM34:NX34" si="311">IF(LM28&gt;0,LL25-LM28,0)</f>
        <v>0</v>
      </c>
      <c r="LN34" s="115">
        <f t="shared" si="311"/>
        <v>0</v>
      </c>
      <c r="LO34" s="115">
        <f t="shared" si="311"/>
        <v>0</v>
      </c>
      <c r="LP34" s="115">
        <f t="shared" si="311"/>
        <v>0</v>
      </c>
      <c r="LQ34" s="115">
        <f t="shared" si="311"/>
        <v>0</v>
      </c>
      <c r="LR34" s="115">
        <f t="shared" si="311"/>
        <v>0</v>
      </c>
      <c r="LS34" s="115">
        <f t="shared" si="311"/>
        <v>0</v>
      </c>
      <c r="LT34" s="115">
        <f t="shared" si="311"/>
        <v>0</v>
      </c>
      <c r="LU34" s="115">
        <f t="shared" si="311"/>
        <v>0</v>
      </c>
      <c r="LV34" s="115">
        <f t="shared" si="311"/>
        <v>0</v>
      </c>
      <c r="LW34" s="115">
        <f t="shared" si="311"/>
        <v>0</v>
      </c>
      <c r="LX34" s="115">
        <f t="shared" si="311"/>
        <v>0</v>
      </c>
      <c r="LY34" s="115">
        <f t="shared" si="311"/>
        <v>0</v>
      </c>
      <c r="LZ34" s="115">
        <f t="shared" si="311"/>
        <v>0</v>
      </c>
      <c r="MA34" s="115">
        <f t="shared" si="311"/>
        <v>0</v>
      </c>
      <c r="MB34" s="115">
        <f t="shared" si="311"/>
        <v>0</v>
      </c>
      <c r="MC34" s="115">
        <f t="shared" si="311"/>
        <v>0</v>
      </c>
      <c r="MD34" s="115">
        <f t="shared" si="311"/>
        <v>0</v>
      </c>
      <c r="ME34" s="115">
        <f t="shared" si="311"/>
        <v>0</v>
      </c>
      <c r="MF34" s="115">
        <f t="shared" si="311"/>
        <v>0</v>
      </c>
      <c r="MG34" s="115">
        <f t="shared" si="311"/>
        <v>0</v>
      </c>
      <c r="MH34" s="115">
        <f t="shared" si="311"/>
        <v>0</v>
      </c>
      <c r="MI34" s="115">
        <f t="shared" si="311"/>
        <v>0</v>
      </c>
      <c r="MJ34" s="115">
        <f t="shared" si="311"/>
        <v>0</v>
      </c>
      <c r="MK34" s="115">
        <f t="shared" si="311"/>
        <v>0</v>
      </c>
      <c r="ML34" s="115">
        <f t="shared" si="311"/>
        <v>0</v>
      </c>
      <c r="MM34" s="115">
        <f t="shared" si="311"/>
        <v>0</v>
      </c>
      <c r="MN34" s="115">
        <f t="shared" si="311"/>
        <v>0</v>
      </c>
      <c r="MO34" s="115">
        <f t="shared" si="311"/>
        <v>0</v>
      </c>
      <c r="MP34" s="115">
        <f t="shared" si="311"/>
        <v>0</v>
      </c>
      <c r="MQ34" s="115">
        <f t="shared" si="311"/>
        <v>0</v>
      </c>
      <c r="MR34" s="115">
        <f t="shared" si="311"/>
        <v>0</v>
      </c>
      <c r="MS34" s="115">
        <f t="shared" si="311"/>
        <v>0</v>
      </c>
      <c r="MT34" s="115">
        <f t="shared" si="311"/>
        <v>0</v>
      </c>
      <c r="MU34" s="115">
        <f t="shared" si="311"/>
        <v>0</v>
      </c>
      <c r="MV34" s="115">
        <f t="shared" si="311"/>
        <v>0</v>
      </c>
      <c r="MW34" s="115">
        <f t="shared" si="311"/>
        <v>0</v>
      </c>
      <c r="MX34" s="115">
        <f t="shared" si="311"/>
        <v>0</v>
      </c>
      <c r="MY34" s="115">
        <f t="shared" si="311"/>
        <v>0</v>
      </c>
      <c r="MZ34" s="115">
        <f t="shared" si="311"/>
        <v>0</v>
      </c>
      <c r="NA34" s="115">
        <f t="shared" si="311"/>
        <v>0</v>
      </c>
      <c r="NB34" s="115">
        <f t="shared" si="311"/>
        <v>0</v>
      </c>
      <c r="NC34" s="115">
        <f t="shared" si="311"/>
        <v>0</v>
      </c>
      <c r="ND34" s="115">
        <f t="shared" si="311"/>
        <v>0</v>
      </c>
      <c r="NE34" s="115">
        <f t="shared" si="311"/>
        <v>0</v>
      </c>
      <c r="NF34" s="115">
        <f t="shared" si="311"/>
        <v>0</v>
      </c>
      <c r="NG34" s="115">
        <f t="shared" si="311"/>
        <v>0</v>
      </c>
      <c r="NH34" s="115">
        <f t="shared" si="311"/>
        <v>0</v>
      </c>
      <c r="NI34" s="115">
        <f t="shared" si="311"/>
        <v>0</v>
      </c>
      <c r="NJ34" s="115">
        <f t="shared" si="311"/>
        <v>0</v>
      </c>
      <c r="NK34" s="115">
        <f t="shared" si="311"/>
        <v>0</v>
      </c>
      <c r="NL34" s="115">
        <f t="shared" si="311"/>
        <v>0</v>
      </c>
      <c r="NM34" s="115">
        <f t="shared" si="311"/>
        <v>0</v>
      </c>
      <c r="NN34" s="115">
        <f t="shared" si="311"/>
        <v>0</v>
      </c>
      <c r="NO34" s="115">
        <f t="shared" si="311"/>
        <v>0</v>
      </c>
      <c r="NP34" s="115">
        <f t="shared" si="311"/>
        <v>0</v>
      </c>
      <c r="NQ34" s="115">
        <f t="shared" si="311"/>
        <v>0</v>
      </c>
      <c r="NR34" s="115">
        <f t="shared" si="311"/>
        <v>0</v>
      </c>
      <c r="NS34" s="115">
        <f t="shared" si="311"/>
        <v>0</v>
      </c>
      <c r="NT34" s="115">
        <f t="shared" si="311"/>
        <v>0</v>
      </c>
      <c r="NU34" s="115">
        <f t="shared" si="311"/>
        <v>0</v>
      </c>
      <c r="NV34" s="115">
        <f t="shared" si="311"/>
        <v>0</v>
      </c>
      <c r="NW34" s="115">
        <f t="shared" si="311"/>
        <v>0</v>
      </c>
      <c r="NX34" s="115">
        <f t="shared" si="311"/>
        <v>0</v>
      </c>
      <c r="NY34" s="115">
        <f t="shared" ref="NY34:QJ34" si="312">IF(NY28&gt;0,NX25-NY28,0)</f>
        <v>0</v>
      </c>
      <c r="NZ34" s="115">
        <f t="shared" si="312"/>
        <v>0</v>
      </c>
      <c r="OA34" s="115">
        <f t="shared" si="312"/>
        <v>0</v>
      </c>
      <c r="OB34" s="115">
        <f t="shared" si="312"/>
        <v>0</v>
      </c>
      <c r="OC34" s="115">
        <f t="shared" si="312"/>
        <v>0</v>
      </c>
      <c r="OD34" s="115">
        <f t="shared" si="312"/>
        <v>0</v>
      </c>
      <c r="OE34" s="115">
        <f t="shared" si="312"/>
        <v>0</v>
      </c>
      <c r="OF34" s="115">
        <f t="shared" si="312"/>
        <v>0</v>
      </c>
      <c r="OG34" s="115">
        <f t="shared" si="312"/>
        <v>0</v>
      </c>
      <c r="OH34" s="115">
        <f t="shared" si="312"/>
        <v>0</v>
      </c>
      <c r="OI34" s="115">
        <f t="shared" si="312"/>
        <v>0</v>
      </c>
      <c r="OJ34" s="115">
        <f t="shared" si="312"/>
        <v>0</v>
      </c>
      <c r="OK34" s="115">
        <f t="shared" si="312"/>
        <v>0</v>
      </c>
      <c r="OL34" s="115">
        <f t="shared" si="312"/>
        <v>0</v>
      </c>
      <c r="OM34" s="115">
        <f t="shared" si="312"/>
        <v>0</v>
      </c>
      <c r="ON34" s="115">
        <f t="shared" si="312"/>
        <v>0</v>
      </c>
      <c r="OO34" s="115">
        <f t="shared" si="312"/>
        <v>0</v>
      </c>
      <c r="OP34" s="115">
        <f t="shared" si="312"/>
        <v>0</v>
      </c>
      <c r="OQ34" s="115">
        <f t="shared" si="312"/>
        <v>0</v>
      </c>
      <c r="OR34" s="115">
        <f t="shared" si="312"/>
        <v>0</v>
      </c>
      <c r="OS34" s="115">
        <f t="shared" si="312"/>
        <v>0</v>
      </c>
      <c r="OT34" s="115">
        <f t="shared" si="312"/>
        <v>0</v>
      </c>
      <c r="OU34" s="115">
        <f t="shared" si="312"/>
        <v>0</v>
      </c>
      <c r="OV34" s="115">
        <f t="shared" si="312"/>
        <v>0</v>
      </c>
      <c r="OW34" s="115">
        <f t="shared" si="312"/>
        <v>0</v>
      </c>
      <c r="OX34" s="115">
        <f t="shared" si="312"/>
        <v>0</v>
      </c>
      <c r="OY34" s="115">
        <f t="shared" si="312"/>
        <v>0</v>
      </c>
      <c r="OZ34" s="115">
        <f t="shared" si="312"/>
        <v>0</v>
      </c>
      <c r="PA34" s="115">
        <f t="shared" si="312"/>
        <v>0</v>
      </c>
      <c r="PB34" s="115">
        <f t="shared" si="312"/>
        <v>0</v>
      </c>
      <c r="PC34" s="115">
        <f t="shared" si="312"/>
        <v>0</v>
      </c>
      <c r="PD34" s="115">
        <f t="shared" si="312"/>
        <v>0</v>
      </c>
      <c r="PE34" s="115">
        <f t="shared" si="312"/>
        <v>0</v>
      </c>
      <c r="PF34" s="115">
        <f t="shared" si="312"/>
        <v>0</v>
      </c>
      <c r="PG34" s="115">
        <f t="shared" si="312"/>
        <v>0</v>
      </c>
      <c r="PH34" s="115">
        <f t="shared" si="312"/>
        <v>0</v>
      </c>
      <c r="PI34" s="115">
        <f t="shared" si="312"/>
        <v>0</v>
      </c>
      <c r="PJ34" s="115">
        <f t="shared" si="312"/>
        <v>0</v>
      </c>
      <c r="PK34" s="115">
        <f t="shared" si="312"/>
        <v>0</v>
      </c>
      <c r="PL34" s="115">
        <f t="shared" si="312"/>
        <v>0</v>
      </c>
      <c r="PM34" s="115">
        <f t="shared" si="312"/>
        <v>0</v>
      </c>
      <c r="PN34" s="115">
        <f t="shared" si="312"/>
        <v>0</v>
      </c>
      <c r="PO34" s="115">
        <f t="shared" si="312"/>
        <v>0</v>
      </c>
      <c r="PP34" s="115">
        <f t="shared" si="312"/>
        <v>0</v>
      </c>
      <c r="PQ34" s="115">
        <f t="shared" si="312"/>
        <v>0</v>
      </c>
      <c r="PR34" s="115">
        <f t="shared" si="312"/>
        <v>0</v>
      </c>
      <c r="PS34" s="115">
        <f t="shared" si="312"/>
        <v>0</v>
      </c>
      <c r="PT34" s="115">
        <f t="shared" si="312"/>
        <v>0</v>
      </c>
      <c r="PU34" s="115">
        <f t="shared" si="312"/>
        <v>0</v>
      </c>
      <c r="PV34" s="115">
        <f t="shared" si="312"/>
        <v>0</v>
      </c>
      <c r="PW34" s="115">
        <f t="shared" si="312"/>
        <v>0</v>
      </c>
      <c r="PX34" s="115">
        <f t="shared" si="312"/>
        <v>0</v>
      </c>
      <c r="PY34" s="115">
        <f t="shared" si="312"/>
        <v>0</v>
      </c>
      <c r="PZ34" s="115">
        <f t="shared" si="312"/>
        <v>0</v>
      </c>
      <c r="QA34" s="115">
        <f t="shared" si="312"/>
        <v>0</v>
      </c>
      <c r="QB34" s="115">
        <f t="shared" si="312"/>
        <v>0</v>
      </c>
      <c r="QC34" s="115">
        <f t="shared" si="312"/>
        <v>0</v>
      </c>
      <c r="QD34" s="115">
        <f t="shared" si="312"/>
        <v>0</v>
      </c>
      <c r="QE34" s="115">
        <f t="shared" si="312"/>
        <v>0</v>
      </c>
      <c r="QF34" s="115">
        <f t="shared" si="312"/>
        <v>0</v>
      </c>
      <c r="QG34" s="115">
        <f t="shared" si="312"/>
        <v>0</v>
      </c>
      <c r="QH34" s="115">
        <f t="shared" si="312"/>
        <v>0</v>
      </c>
      <c r="QI34" s="115">
        <f t="shared" si="312"/>
        <v>0</v>
      </c>
      <c r="QJ34" s="115">
        <f t="shared" si="312"/>
        <v>0</v>
      </c>
      <c r="QK34" s="115">
        <f t="shared" ref="QK34:SV34" si="313">IF(QK28&gt;0,QJ25-QK28,0)</f>
        <v>0</v>
      </c>
      <c r="QL34" s="115">
        <f t="shared" si="313"/>
        <v>0</v>
      </c>
      <c r="QM34" s="115">
        <f t="shared" si="313"/>
        <v>0</v>
      </c>
      <c r="QN34" s="115">
        <f t="shared" si="313"/>
        <v>0</v>
      </c>
      <c r="QO34" s="115">
        <f t="shared" si="313"/>
        <v>0</v>
      </c>
      <c r="QP34" s="115">
        <f t="shared" si="313"/>
        <v>0</v>
      </c>
      <c r="QQ34" s="115">
        <f t="shared" si="313"/>
        <v>0</v>
      </c>
      <c r="QR34" s="115">
        <f t="shared" si="313"/>
        <v>0</v>
      </c>
      <c r="QS34" s="115">
        <f t="shared" si="313"/>
        <v>0</v>
      </c>
      <c r="QT34" s="115">
        <f t="shared" si="313"/>
        <v>0</v>
      </c>
      <c r="QU34" s="115">
        <f t="shared" si="313"/>
        <v>0</v>
      </c>
      <c r="QV34" s="115">
        <f t="shared" si="313"/>
        <v>0</v>
      </c>
      <c r="QW34" s="115">
        <f t="shared" si="313"/>
        <v>0</v>
      </c>
      <c r="QX34" s="115">
        <f t="shared" si="313"/>
        <v>0</v>
      </c>
      <c r="QY34" s="115">
        <f t="shared" si="313"/>
        <v>0</v>
      </c>
      <c r="QZ34" s="115">
        <f t="shared" si="313"/>
        <v>0</v>
      </c>
      <c r="RA34" s="115">
        <f t="shared" si="313"/>
        <v>0</v>
      </c>
      <c r="RB34" s="115">
        <f t="shared" si="313"/>
        <v>0</v>
      </c>
      <c r="RC34" s="115">
        <f t="shared" si="313"/>
        <v>0</v>
      </c>
      <c r="RD34" s="115">
        <f t="shared" si="313"/>
        <v>0</v>
      </c>
      <c r="RE34" s="115">
        <f t="shared" si="313"/>
        <v>0</v>
      </c>
      <c r="RF34" s="115">
        <f t="shared" si="313"/>
        <v>0</v>
      </c>
      <c r="RG34" s="115">
        <f t="shared" si="313"/>
        <v>0</v>
      </c>
      <c r="RH34" s="115">
        <f t="shared" si="313"/>
        <v>0</v>
      </c>
      <c r="RI34" s="115">
        <f t="shared" si="313"/>
        <v>0</v>
      </c>
      <c r="RJ34" s="115">
        <f t="shared" si="313"/>
        <v>0</v>
      </c>
      <c r="RK34" s="115">
        <f t="shared" si="313"/>
        <v>0</v>
      </c>
      <c r="RL34" s="115">
        <f t="shared" si="313"/>
        <v>0</v>
      </c>
      <c r="RM34" s="115">
        <f t="shared" si="313"/>
        <v>0</v>
      </c>
      <c r="RN34" s="115">
        <f t="shared" si="313"/>
        <v>0</v>
      </c>
      <c r="RO34" s="115">
        <f t="shared" si="313"/>
        <v>0</v>
      </c>
      <c r="RP34" s="115">
        <f t="shared" si="313"/>
        <v>0</v>
      </c>
      <c r="RQ34" s="115">
        <f t="shared" si="313"/>
        <v>0</v>
      </c>
      <c r="RR34" s="115">
        <f t="shared" si="313"/>
        <v>0</v>
      </c>
      <c r="RS34" s="115">
        <f t="shared" si="313"/>
        <v>0</v>
      </c>
      <c r="RT34" s="115">
        <f t="shared" si="313"/>
        <v>0</v>
      </c>
      <c r="RU34" s="115">
        <f t="shared" si="313"/>
        <v>0</v>
      </c>
      <c r="RV34" s="115">
        <f t="shared" si="313"/>
        <v>0</v>
      </c>
      <c r="RW34" s="115">
        <f t="shared" si="313"/>
        <v>0</v>
      </c>
      <c r="RX34" s="115">
        <f t="shared" si="313"/>
        <v>0</v>
      </c>
      <c r="RY34" s="115">
        <f t="shared" si="313"/>
        <v>0</v>
      </c>
      <c r="RZ34" s="115">
        <f t="shared" si="313"/>
        <v>0</v>
      </c>
      <c r="SA34" s="115">
        <f t="shared" si="313"/>
        <v>0</v>
      </c>
      <c r="SB34" s="115">
        <f t="shared" si="313"/>
        <v>0</v>
      </c>
      <c r="SC34" s="115">
        <f t="shared" si="313"/>
        <v>0</v>
      </c>
      <c r="SD34" s="115">
        <f t="shared" si="313"/>
        <v>0</v>
      </c>
      <c r="SE34" s="115">
        <f t="shared" si="313"/>
        <v>0</v>
      </c>
      <c r="SF34" s="115">
        <f t="shared" si="313"/>
        <v>0</v>
      </c>
      <c r="SG34" s="115">
        <f t="shared" si="313"/>
        <v>0</v>
      </c>
      <c r="SH34" s="115">
        <f t="shared" si="313"/>
        <v>0</v>
      </c>
      <c r="SI34" s="115">
        <f t="shared" si="313"/>
        <v>0</v>
      </c>
      <c r="SJ34" s="115">
        <f t="shared" si="313"/>
        <v>0</v>
      </c>
      <c r="SK34" s="115">
        <f t="shared" si="313"/>
        <v>0</v>
      </c>
      <c r="SL34" s="115">
        <f t="shared" si="313"/>
        <v>0</v>
      </c>
      <c r="SM34" s="115">
        <f t="shared" si="313"/>
        <v>0</v>
      </c>
      <c r="SN34" s="115">
        <f t="shared" si="313"/>
        <v>0</v>
      </c>
      <c r="SO34" s="115">
        <f t="shared" si="313"/>
        <v>0</v>
      </c>
      <c r="SP34" s="115">
        <f t="shared" si="313"/>
        <v>0</v>
      </c>
      <c r="SQ34" s="115">
        <f t="shared" si="313"/>
        <v>0</v>
      </c>
      <c r="SR34" s="115">
        <f t="shared" si="313"/>
        <v>0</v>
      </c>
      <c r="SS34" s="115">
        <f t="shared" si="313"/>
        <v>0</v>
      </c>
      <c r="ST34" s="115">
        <f t="shared" si="313"/>
        <v>0</v>
      </c>
      <c r="SU34" s="115">
        <f t="shared" si="313"/>
        <v>0</v>
      </c>
      <c r="SV34" s="115">
        <f t="shared" si="313"/>
        <v>0</v>
      </c>
      <c r="SW34" s="115">
        <f t="shared" ref="SW34:VH34" si="314">IF(SW28&gt;0,SV25-SW28,0)</f>
        <v>0</v>
      </c>
      <c r="SX34" s="115">
        <f t="shared" si="314"/>
        <v>0</v>
      </c>
      <c r="SY34" s="115">
        <f t="shared" si="314"/>
        <v>0</v>
      </c>
      <c r="SZ34" s="115">
        <f t="shared" si="314"/>
        <v>0</v>
      </c>
      <c r="TA34" s="115">
        <f t="shared" si="314"/>
        <v>0</v>
      </c>
      <c r="TB34" s="115">
        <f t="shared" si="314"/>
        <v>0</v>
      </c>
      <c r="TC34" s="115">
        <f t="shared" si="314"/>
        <v>0</v>
      </c>
      <c r="TD34" s="115">
        <f t="shared" si="314"/>
        <v>0</v>
      </c>
      <c r="TE34" s="115">
        <f t="shared" si="314"/>
        <v>0</v>
      </c>
      <c r="TF34" s="115">
        <f t="shared" si="314"/>
        <v>0</v>
      </c>
      <c r="TG34" s="115">
        <f t="shared" si="314"/>
        <v>0</v>
      </c>
      <c r="TH34" s="115">
        <f t="shared" si="314"/>
        <v>0</v>
      </c>
      <c r="TI34" s="115">
        <f t="shared" si="314"/>
        <v>0</v>
      </c>
      <c r="TJ34" s="115">
        <f t="shared" si="314"/>
        <v>0</v>
      </c>
      <c r="TK34" s="115">
        <f t="shared" si="314"/>
        <v>0</v>
      </c>
      <c r="TL34" s="115">
        <f t="shared" si="314"/>
        <v>0</v>
      </c>
      <c r="TM34" s="115">
        <f t="shared" si="314"/>
        <v>0</v>
      </c>
      <c r="TN34" s="115">
        <f t="shared" si="314"/>
        <v>0</v>
      </c>
      <c r="TO34" s="115">
        <f t="shared" si="314"/>
        <v>0</v>
      </c>
      <c r="TP34" s="115">
        <f t="shared" si="314"/>
        <v>0</v>
      </c>
      <c r="TQ34" s="115">
        <f t="shared" si="314"/>
        <v>0</v>
      </c>
      <c r="TR34" s="115">
        <f t="shared" si="314"/>
        <v>0</v>
      </c>
      <c r="TS34" s="115">
        <f t="shared" si="314"/>
        <v>0</v>
      </c>
      <c r="TT34" s="115">
        <f t="shared" si="314"/>
        <v>0</v>
      </c>
      <c r="TU34" s="115">
        <f t="shared" si="314"/>
        <v>0</v>
      </c>
      <c r="TV34" s="115">
        <f t="shared" si="314"/>
        <v>0</v>
      </c>
      <c r="TW34" s="115">
        <f t="shared" si="314"/>
        <v>0</v>
      </c>
      <c r="TX34" s="115">
        <f t="shared" si="314"/>
        <v>0</v>
      </c>
      <c r="TY34" s="115">
        <f t="shared" si="314"/>
        <v>0</v>
      </c>
      <c r="TZ34" s="115">
        <f t="shared" si="314"/>
        <v>0</v>
      </c>
      <c r="UA34" s="115">
        <f t="shared" si="314"/>
        <v>0</v>
      </c>
      <c r="UB34" s="115">
        <f t="shared" si="314"/>
        <v>0</v>
      </c>
      <c r="UC34" s="115">
        <f t="shared" si="314"/>
        <v>0</v>
      </c>
      <c r="UD34" s="115">
        <f t="shared" si="314"/>
        <v>0</v>
      </c>
      <c r="UE34" s="115">
        <f t="shared" si="314"/>
        <v>0</v>
      </c>
      <c r="UF34" s="115">
        <f t="shared" si="314"/>
        <v>0</v>
      </c>
      <c r="UG34" s="115">
        <f t="shared" si="314"/>
        <v>0</v>
      </c>
      <c r="UH34" s="115">
        <f t="shared" si="314"/>
        <v>0</v>
      </c>
      <c r="UI34" s="115">
        <f t="shared" si="314"/>
        <v>0</v>
      </c>
      <c r="UJ34" s="115">
        <f t="shared" si="314"/>
        <v>0</v>
      </c>
      <c r="UK34" s="115">
        <f t="shared" si="314"/>
        <v>0</v>
      </c>
      <c r="UL34" s="115">
        <f t="shared" si="314"/>
        <v>0</v>
      </c>
      <c r="UM34" s="115">
        <f t="shared" si="314"/>
        <v>0</v>
      </c>
      <c r="UN34" s="115">
        <f t="shared" si="314"/>
        <v>0</v>
      </c>
      <c r="UO34" s="115">
        <f t="shared" si="314"/>
        <v>0</v>
      </c>
      <c r="UP34" s="115">
        <f t="shared" si="314"/>
        <v>0</v>
      </c>
      <c r="UQ34" s="115">
        <f t="shared" si="314"/>
        <v>0</v>
      </c>
      <c r="UR34" s="115">
        <f t="shared" si="314"/>
        <v>0</v>
      </c>
      <c r="US34" s="115">
        <f t="shared" si="314"/>
        <v>0</v>
      </c>
      <c r="UT34" s="115">
        <f t="shared" si="314"/>
        <v>0</v>
      </c>
      <c r="UU34" s="115">
        <f t="shared" si="314"/>
        <v>0</v>
      </c>
      <c r="UV34" s="115">
        <f t="shared" si="314"/>
        <v>0</v>
      </c>
      <c r="UW34" s="115">
        <f t="shared" si="314"/>
        <v>0</v>
      </c>
      <c r="UX34" s="115">
        <f t="shared" si="314"/>
        <v>0</v>
      </c>
      <c r="UY34" s="115">
        <f t="shared" si="314"/>
        <v>0</v>
      </c>
      <c r="UZ34" s="115">
        <f t="shared" si="314"/>
        <v>0</v>
      </c>
      <c r="VA34" s="115">
        <f t="shared" si="314"/>
        <v>0</v>
      </c>
      <c r="VB34" s="115">
        <f t="shared" si="314"/>
        <v>0</v>
      </c>
      <c r="VC34" s="115">
        <f t="shared" si="314"/>
        <v>0</v>
      </c>
      <c r="VD34" s="115">
        <f t="shared" si="314"/>
        <v>0</v>
      </c>
      <c r="VE34" s="115">
        <f t="shared" si="314"/>
        <v>0</v>
      </c>
      <c r="VF34" s="115">
        <f t="shared" si="314"/>
        <v>0</v>
      </c>
      <c r="VG34" s="115">
        <f t="shared" si="314"/>
        <v>0</v>
      </c>
      <c r="VH34" s="115">
        <f t="shared" si="314"/>
        <v>0</v>
      </c>
      <c r="VI34" s="115">
        <f t="shared" ref="VI34:XT34" si="315">IF(VI28&gt;0,VH25-VI28,0)</f>
        <v>0</v>
      </c>
      <c r="VJ34" s="115">
        <f t="shared" si="315"/>
        <v>0</v>
      </c>
      <c r="VK34" s="115">
        <f t="shared" si="315"/>
        <v>0</v>
      </c>
      <c r="VL34" s="115">
        <f t="shared" si="315"/>
        <v>0</v>
      </c>
      <c r="VM34" s="115">
        <f t="shared" si="315"/>
        <v>0</v>
      </c>
      <c r="VN34" s="115">
        <f t="shared" si="315"/>
        <v>0</v>
      </c>
      <c r="VO34" s="115">
        <f t="shared" si="315"/>
        <v>0</v>
      </c>
      <c r="VP34" s="115">
        <f t="shared" si="315"/>
        <v>0</v>
      </c>
      <c r="VQ34" s="115">
        <f t="shared" si="315"/>
        <v>0</v>
      </c>
      <c r="VR34" s="115">
        <f t="shared" si="315"/>
        <v>0</v>
      </c>
      <c r="VS34" s="115">
        <f t="shared" si="315"/>
        <v>0</v>
      </c>
      <c r="VT34" s="115">
        <f t="shared" si="315"/>
        <v>0</v>
      </c>
      <c r="VU34" s="115">
        <f t="shared" si="315"/>
        <v>0</v>
      </c>
      <c r="VV34" s="115">
        <f t="shared" si="315"/>
        <v>0</v>
      </c>
      <c r="VW34" s="115">
        <f t="shared" si="315"/>
        <v>0</v>
      </c>
      <c r="VX34" s="115">
        <f t="shared" si="315"/>
        <v>0</v>
      </c>
      <c r="VY34" s="115">
        <f t="shared" si="315"/>
        <v>0</v>
      </c>
      <c r="VZ34" s="115">
        <f t="shared" si="315"/>
        <v>0</v>
      </c>
      <c r="WA34" s="115">
        <f t="shared" si="315"/>
        <v>0</v>
      </c>
      <c r="WB34" s="115">
        <f t="shared" si="315"/>
        <v>0</v>
      </c>
      <c r="WC34" s="115">
        <f t="shared" si="315"/>
        <v>0</v>
      </c>
      <c r="WD34" s="115">
        <f t="shared" si="315"/>
        <v>0</v>
      </c>
      <c r="WE34" s="115">
        <f t="shared" si="315"/>
        <v>0</v>
      </c>
      <c r="WF34" s="115">
        <f t="shared" si="315"/>
        <v>0</v>
      </c>
      <c r="WG34" s="115">
        <f t="shared" si="315"/>
        <v>0</v>
      </c>
      <c r="WH34" s="115">
        <f t="shared" si="315"/>
        <v>0</v>
      </c>
      <c r="WI34" s="115">
        <f t="shared" si="315"/>
        <v>0</v>
      </c>
      <c r="WJ34" s="115">
        <f t="shared" si="315"/>
        <v>0</v>
      </c>
      <c r="WK34" s="115">
        <f t="shared" si="315"/>
        <v>0</v>
      </c>
      <c r="WL34" s="115">
        <f t="shared" si="315"/>
        <v>0</v>
      </c>
      <c r="WM34" s="115">
        <f t="shared" si="315"/>
        <v>0</v>
      </c>
      <c r="WN34" s="115">
        <f t="shared" si="315"/>
        <v>12881.428047016263</v>
      </c>
      <c r="WO34" s="115">
        <f t="shared" si="315"/>
        <v>0</v>
      </c>
      <c r="WP34" s="115">
        <f t="shared" si="315"/>
        <v>0</v>
      </c>
      <c r="WQ34" s="115">
        <f t="shared" si="315"/>
        <v>0</v>
      </c>
      <c r="WR34" s="115">
        <f t="shared" si="315"/>
        <v>0</v>
      </c>
      <c r="WS34" s="115">
        <f t="shared" si="315"/>
        <v>0</v>
      </c>
      <c r="WT34" s="115">
        <f t="shared" si="315"/>
        <v>0</v>
      </c>
      <c r="WU34" s="115">
        <f t="shared" si="315"/>
        <v>0</v>
      </c>
      <c r="WV34" s="115">
        <f t="shared" si="315"/>
        <v>0</v>
      </c>
      <c r="WW34" s="115">
        <f t="shared" si="315"/>
        <v>0</v>
      </c>
      <c r="WX34" s="115">
        <f t="shared" si="315"/>
        <v>0</v>
      </c>
      <c r="WY34" s="115">
        <f t="shared" si="315"/>
        <v>0</v>
      </c>
      <c r="WZ34" s="115">
        <f t="shared" si="315"/>
        <v>0</v>
      </c>
      <c r="XA34" s="115">
        <f t="shared" si="315"/>
        <v>0</v>
      </c>
      <c r="XB34" s="115">
        <f t="shared" si="315"/>
        <v>0</v>
      </c>
      <c r="XC34" s="115">
        <f t="shared" si="315"/>
        <v>0</v>
      </c>
      <c r="XD34" s="115">
        <f t="shared" si="315"/>
        <v>0</v>
      </c>
      <c r="XE34" s="115">
        <f t="shared" si="315"/>
        <v>0</v>
      </c>
      <c r="XF34" s="115">
        <f t="shared" si="315"/>
        <v>0</v>
      </c>
      <c r="XG34" s="115">
        <f t="shared" si="315"/>
        <v>0</v>
      </c>
      <c r="XH34" s="115">
        <f t="shared" si="315"/>
        <v>0</v>
      </c>
      <c r="XI34" s="115">
        <f t="shared" si="315"/>
        <v>0</v>
      </c>
      <c r="XJ34" s="115">
        <f t="shared" si="315"/>
        <v>0</v>
      </c>
      <c r="XK34" s="115">
        <f t="shared" si="315"/>
        <v>0</v>
      </c>
      <c r="XL34" s="115">
        <f t="shared" si="315"/>
        <v>0</v>
      </c>
      <c r="XM34" s="115">
        <f t="shared" si="315"/>
        <v>0</v>
      </c>
      <c r="XN34" s="115">
        <f t="shared" si="315"/>
        <v>0</v>
      </c>
      <c r="XO34" s="115">
        <f t="shared" si="315"/>
        <v>0</v>
      </c>
      <c r="XP34" s="115">
        <f t="shared" si="315"/>
        <v>0</v>
      </c>
      <c r="XQ34" s="115">
        <f t="shared" si="315"/>
        <v>0</v>
      </c>
      <c r="XR34" s="115">
        <f t="shared" si="315"/>
        <v>0</v>
      </c>
      <c r="XS34" s="115">
        <f t="shared" si="315"/>
        <v>0</v>
      </c>
      <c r="XT34" s="115">
        <f t="shared" si="315"/>
        <v>0</v>
      </c>
      <c r="XU34" s="115">
        <f t="shared" ref="XU34:AAF34" si="316">IF(XU28&gt;0,XT25-XU28,0)</f>
        <v>0</v>
      </c>
      <c r="XV34" s="115">
        <f t="shared" si="316"/>
        <v>0</v>
      </c>
      <c r="XW34" s="115">
        <f t="shared" si="316"/>
        <v>0</v>
      </c>
      <c r="XX34" s="115">
        <f t="shared" si="316"/>
        <v>0</v>
      </c>
      <c r="XY34" s="115">
        <f t="shared" si="316"/>
        <v>0</v>
      </c>
      <c r="XZ34" s="115">
        <f t="shared" si="316"/>
        <v>0</v>
      </c>
      <c r="YA34" s="115">
        <f t="shared" si="316"/>
        <v>0</v>
      </c>
      <c r="YB34" s="115">
        <f t="shared" si="316"/>
        <v>0</v>
      </c>
      <c r="YC34" s="115">
        <f t="shared" si="316"/>
        <v>0</v>
      </c>
      <c r="YD34" s="115">
        <f t="shared" si="316"/>
        <v>0</v>
      </c>
      <c r="YE34" s="115">
        <f t="shared" si="316"/>
        <v>0</v>
      </c>
      <c r="YF34" s="115">
        <f t="shared" si="316"/>
        <v>0</v>
      </c>
      <c r="YG34" s="115">
        <f t="shared" si="316"/>
        <v>0</v>
      </c>
      <c r="YH34" s="115">
        <f t="shared" si="316"/>
        <v>0</v>
      </c>
      <c r="YI34" s="115">
        <f t="shared" si="316"/>
        <v>0</v>
      </c>
      <c r="YJ34" s="115">
        <f t="shared" si="316"/>
        <v>0</v>
      </c>
      <c r="YK34" s="115">
        <f t="shared" si="316"/>
        <v>0</v>
      </c>
      <c r="YL34" s="115">
        <f t="shared" si="316"/>
        <v>0</v>
      </c>
      <c r="YM34" s="115">
        <f t="shared" si="316"/>
        <v>0</v>
      </c>
      <c r="YN34" s="115">
        <f t="shared" si="316"/>
        <v>0</v>
      </c>
      <c r="YO34" s="115">
        <f t="shared" si="316"/>
        <v>0</v>
      </c>
      <c r="YP34" s="115">
        <f t="shared" si="316"/>
        <v>0</v>
      </c>
      <c r="YQ34" s="115">
        <f t="shared" si="316"/>
        <v>0</v>
      </c>
      <c r="YR34" s="115">
        <f t="shared" si="316"/>
        <v>0</v>
      </c>
      <c r="YS34" s="115">
        <f t="shared" si="316"/>
        <v>0</v>
      </c>
      <c r="YT34" s="115">
        <f t="shared" si="316"/>
        <v>0</v>
      </c>
      <c r="YU34" s="115">
        <f t="shared" si="316"/>
        <v>0</v>
      </c>
      <c r="YV34" s="115">
        <f t="shared" si="316"/>
        <v>0</v>
      </c>
      <c r="YW34" s="115">
        <f t="shared" si="316"/>
        <v>0</v>
      </c>
      <c r="YX34" s="115">
        <f t="shared" si="316"/>
        <v>0</v>
      </c>
      <c r="YY34" s="115">
        <f t="shared" si="316"/>
        <v>0</v>
      </c>
      <c r="YZ34" s="115">
        <f t="shared" si="316"/>
        <v>0</v>
      </c>
      <c r="ZA34" s="115">
        <f t="shared" si="316"/>
        <v>0</v>
      </c>
      <c r="ZB34" s="115">
        <f t="shared" si="316"/>
        <v>0</v>
      </c>
      <c r="ZC34" s="115">
        <f t="shared" si="316"/>
        <v>0</v>
      </c>
      <c r="ZD34" s="115">
        <f t="shared" si="316"/>
        <v>0</v>
      </c>
      <c r="ZE34" s="115">
        <f t="shared" si="316"/>
        <v>0</v>
      </c>
      <c r="ZF34" s="115">
        <f t="shared" si="316"/>
        <v>0</v>
      </c>
      <c r="ZG34" s="115">
        <f t="shared" si="316"/>
        <v>0</v>
      </c>
      <c r="ZH34" s="115">
        <f t="shared" si="316"/>
        <v>0</v>
      </c>
      <c r="ZI34" s="115">
        <f t="shared" si="316"/>
        <v>0</v>
      </c>
      <c r="ZJ34" s="115">
        <f t="shared" si="316"/>
        <v>0</v>
      </c>
      <c r="ZK34" s="115">
        <f t="shared" si="316"/>
        <v>0</v>
      </c>
      <c r="ZL34" s="115">
        <f t="shared" si="316"/>
        <v>0</v>
      </c>
      <c r="ZM34" s="115">
        <f t="shared" si="316"/>
        <v>0</v>
      </c>
      <c r="ZN34" s="115">
        <f t="shared" si="316"/>
        <v>0</v>
      </c>
      <c r="ZO34" s="115">
        <f t="shared" si="316"/>
        <v>0</v>
      </c>
      <c r="ZP34" s="115">
        <f t="shared" si="316"/>
        <v>0</v>
      </c>
      <c r="ZQ34" s="115">
        <f t="shared" si="316"/>
        <v>0</v>
      </c>
      <c r="ZR34" s="115">
        <f t="shared" si="316"/>
        <v>0</v>
      </c>
      <c r="ZS34" s="115">
        <f t="shared" si="316"/>
        <v>0</v>
      </c>
      <c r="ZT34" s="115">
        <f t="shared" si="316"/>
        <v>0</v>
      </c>
      <c r="ZU34" s="115">
        <f t="shared" si="316"/>
        <v>0</v>
      </c>
      <c r="ZV34" s="115">
        <f t="shared" si="316"/>
        <v>0</v>
      </c>
      <c r="ZW34" s="115">
        <f t="shared" si="316"/>
        <v>0</v>
      </c>
      <c r="ZX34" s="115">
        <f t="shared" si="316"/>
        <v>0</v>
      </c>
      <c r="ZY34" s="115">
        <f t="shared" si="316"/>
        <v>0</v>
      </c>
      <c r="ZZ34" s="115">
        <f t="shared" si="316"/>
        <v>0</v>
      </c>
      <c r="AAA34" s="115">
        <f t="shared" si="316"/>
        <v>0</v>
      </c>
      <c r="AAB34" s="115">
        <f t="shared" si="316"/>
        <v>0</v>
      </c>
      <c r="AAC34" s="115">
        <f t="shared" si="316"/>
        <v>0</v>
      </c>
      <c r="AAD34" s="115">
        <f t="shared" si="316"/>
        <v>0</v>
      </c>
      <c r="AAE34" s="115">
        <f t="shared" si="316"/>
        <v>0</v>
      </c>
      <c r="AAF34" s="115">
        <f t="shared" si="316"/>
        <v>0</v>
      </c>
      <c r="AAG34" s="115">
        <f t="shared" ref="AAG34:ACR34" si="317">IF(AAG28&gt;0,AAF25-AAG28,0)</f>
        <v>0</v>
      </c>
      <c r="AAH34" s="115">
        <f t="shared" si="317"/>
        <v>0</v>
      </c>
      <c r="AAI34" s="115">
        <f t="shared" si="317"/>
        <v>0</v>
      </c>
      <c r="AAJ34" s="115">
        <f t="shared" si="317"/>
        <v>0</v>
      </c>
      <c r="AAK34" s="115">
        <f t="shared" si="317"/>
        <v>0</v>
      </c>
      <c r="AAL34" s="115">
        <f t="shared" si="317"/>
        <v>0</v>
      </c>
      <c r="AAM34" s="115">
        <f t="shared" si="317"/>
        <v>0</v>
      </c>
      <c r="AAN34" s="115">
        <f t="shared" si="317"/>
        <v>0</v>
      </c>
      <c r="AAO34" s="115">
        <f t="shared" si="317"/>
        <v>0</v>
      </c>
      <c r="AAP34" s="115">
        <f t="shared" si="317"/>
        <v>0</v>
      </c>
      <c r="AAQ34" s="115">
        <f t="shared" si="317"/>
        <v>0</v>
      </c>
      <c r="AAR34" s="115">
        <f t="shared" si="317"/>
        <v>0</v>
      </c>
      <c r="AAS34" s="115">
        <f t="shared" si="317"/>
        <v>0</v>
      </c>
      <c r="AAT34" s="115">
        <f t="shared" si="317"/>
        <v>0</v>
      </c>
      <c r="AAU34" s="115">
        <f t="shared" si="317"/>
        <v>0</v>
      </c>
      <c r="AAV34" s="115">
        <f t="shared" si="317"/>
        <v>0</v>
      </c>
      <c r="AAW34" s="115">
        <f t="shared" si="317"/>
        <v>0</v>
      </c>
      <c r="AAX34" s="115">
        <f t="shared" si="317"/>
        <v>0</v>
      </c>
      <c r="AAY34" s="115">
        <f t="shared" si="317"/>
        <v>0</v>
      </c>
      <c r="AAZ34" s="115">
        <f t="shared" si="317"/>
        <v>0</v>
      </c>
      <c r="ABA34" s="115">
        <f t="shared" si="317"/>
        <v>0</v>
      </c>
      <c r="ABB34" s="115">
        <f t="shared" si="317"/>
        <v>0</v>
      </c>
      <c r="ABC34" s="115">
        <f t="shared" si="317"/>
        <v>0</v>
      </c>
      <c r="ABD34" s="115">
        <f t="shared" si="317"/>
        <v>0</v>
      </c>
      <c r="ABE34" s="115">
        <f t="shared" si="317"/>
        <v>0</v>
      </c>
      <c r="ABF34" s="115">
        <f t="shared" si="317"/>
        <v>0</v>
      </c>
      <c r="ABG34" s="115">
        <f t="shared" si="317"/>
        <v>0</v>
      </c>
      <c r="ABH34" s="115">
        <f t="shared" si="317"/>
        <v>0</v>
      </c>
      <c r="ABI34" s="115">
        <f t="shared" si="317"/>
        <v>0</v>
      </c>
      <c r="ABJ34" s="115">
        <f t="shared" si="317"/>
        <v>0</v>
      </c>
      <c r="ABK34" s="115">
        <f t="shared" si="317"/>
        <v>0</v>
      </c>
      <c r="ABL34" s="115">
        <f t="shared" si="317"/>
        <v>0</v>
      </c>
      <c r="ABM34" s="115">
        <f t="shared" si="317"/>
        <v>0</v>
      </c>
      <c r="ABN34" s="115">
        <f t="shared" si="317"/>
        <v>0</v>
      </c>
      <c r="ABO34" s="115">
        <f t="shared" si="317"/>
        <v>0</v>
      </c>
      <c r="ABP34" s="115">
        <f t="shared" si="317"/>
        <v>0</v>
      </c>
      <c r="ABQ34" s="115">
        <f t="shared" si="317"/>
        <v>0</v>
      </c>
      <c r="ABR34" s="115">
        <f t="shared" si="317"/>
        <v>0</v>
      </c>
      <c r="ABS34" s="115">
        <f t="shared" si="317"/>
        <v>0</v>
      </c>
      <c r="ABT34" s="115">
        <f t="shared" si="317"/>
        <v>0</v>
      </c>
      <c r="ABU34" s="115">
        <f t="shared" si="317"/>
        <v>0</v>
      </c>
      <c r="ABV34" s="115">
        <f t="shared" si="317"/>
        <v>0</v>
      </c>
      <c r="ABW34" s="115">
        <f t="shared" si="317"/>
        <v>0</v>
      </c>
      <c r="ABX34" s="115">
        <f t="shared" si="317"/>
        <v>0</v>
      </c>
      <c r="ABY34" s="115">
        <f t="shared" si="317"/>
        <v>0</v>
      </c>
      <c r="ABZ34" s="115">
        <f t="shared" si="317"/>
        <v>0</v>
      </c>
      <c r="ACA34" s="115">
        <f t="shared" si="317"/>
        <v>0</v>
      </c>
      <c r="ACB34" s="115">
        <f t="shared" si="317"/>
        <v>0</v>
      </c>
      <c r="ACC34" s="115">
        <f t="shared" si="317"/>
        <v>0</v>
      </c>
      <c r="ACD34" s="115">
        <f t="shared" si="317"/>
        <v>0</v>
      </c>
      <c r="ACE34" s="115">
        <f t="shared" si="317"/>
        <v>0</v>
      </c>
      <c r="ACF34" s="115">
        <f t="shared" si="317"/>
        <v>0</v>
      </c>
      <c r="ACG34" s="115">
        <f t="shared" si="317"/>
        <v>0</v>
      </c>
      <c r="ACH34" s="115">
        <f t="shared" si="317"/>
        <v>0</v>
      </c>
      <c r="ACI34" s="115">
        <f t="shared" si="317"/>
        <v>0</v>
      </c>
      <c r="ACJ34" s="115">
        <f t="shared" si="317"/>
        <v>0</v>
      </c>
      <c r="ACK34" s="115">
        <f t="shared" si="317"/>
        <v>0</v>
      </c>
      <c r="ACL34" s="115">
        <f t="shared" si="317"/>
        <v>0</v>
      </c>
      <c r="ACM34" s="115">
        <f t="shared" si="317"/>
        <v>0</v>
      </c>
      <c r="ACN34" s="115">
        <f t="shared" si="317"/>
        <v>0</v>
      </c>
      <c r="ACO34" s="115">
        <f t="shared" si="317"/>
        <v>0</v>
      </c>
      <c r="ACP34" s="115">
        <f t="shared" si="317"/>
        <v>0</v>
      </c>
      <c r="ACQ34" s="115">
        <f t="shared" si="317"/>
        <v>0</v>
      </c>
      <c r="ACR34" s="115">
        <f t="shared" si="317"/>
        <v>0</v>
      </c>
      <c r="ACS34" s="115">
        <f t="shared" ref="ACS34:AFD34" si="318">IF(ACS28&gt;0,ACR25-ACS28,0)</f>
        <v>0</v>
      </c>
      <c r="ACT34" s="115">
        <f t="shared" si="318"/>
        <v>0</v>
      </c>
      <c r="ACU34" s="115">
        <f t="shared" si="318"/>
        <v>0</v>
      </c>
      <c r="ACV34" s="115">
        <f t="shared" si="318"/>
        <v>0</v>
      </c>
      <c r="ACW34" s="115">
        <f t="shared" si="318"/>
        <v>0</v>
      </c>
      <c r="ACX34" s="115">
        <f t="shared" si="318"/>
        <v>0</v>
      </c>
      <c r="ACY34" s="115">
        <f t="shared" si="318"/>
        <v>0</v>
      </c>
      <c r="ACZ34" s="115">
        <f t="shared" si="318"/>
        <v>0</v>
      </c>
      <c r="ADA34" s="115">
        <f t="shared" si="318"/>
        <v>0</v>
      </c>
      <c r="ADB34" s="115">
        <f t="shared" si="318"/>
        <v>0</v>
      </c>
      <c r="ADC34" s="115">
        <f t="shared" si="318"/>
        <v>0</v>
      </c>
      <c r="ADD34" s="115">
        <f t="shared" si="318"/>
        <v>0</v>
      </c>
      <c r="ADE34" s="115">
        <f t="shared" si="318"/>
        <v>0</v>
      </c>
      <c r="ADF34" s="115">
        <f t="shared" si="318"/>
        <v>0</v>
      </c>
      <c r="ADG34" s="115">
        <f t="shared" si="318"/>
        <v>0</v>
      </c>
      <c r="ADH34" s="115">
        <f t="shared" si="318"/>
        <v>0</v>
      </c>
      <c r="ADI34" s="115">
        <f t="shared" si="318"/>
        <v>0</v>
      </c>
      <c r="ADJ34" s="115">
        <f t="shared" si="318"/>
        <v>0</v>
      </c>
      <c r="ADK34" s="115">
        <f t="shared" si="318"/>
        <v>0</v>
      </c>
      <c r="ADL34" s="115">
        <f t="shared" si="318"/>
        <v>0</v>
      </c>
      <c r="ADM34" s="115">
        <f t="shared" si="318"/>
        <v>0</v>
      </c>
      <c r="ADN34" s="115">
        <f t="shared" si="318"/>
        <v>0</v>
      </c>
      <c r="ADO34" s="115">
        <f t="shared" si="318"/>
        <v>0</v>
      </c>
      <c r="ADP34" s="115">
        <f t="shared" si="318"/>
        <v>0</v>
      </c>
      <c r="ADQ34" s="115">
        <f t="shared" si="318"/>
        <v>0</v>
      </c>
      <c r="ADR34" s="115">
        <f t="shared" si="318"/>
        <v>0</v>
      </c>
      <c r="ADS34" s="115">
        <f t="shared" si="318"/>
        <v>0</v>
      </c>
      <c r="ADT34" s="115">
        <f t="shared" si="318"/>
        <v>0</v>
      </c>
      <c r="ADU34" s="115">
        <f t="shared" si="318"/>
        <v>0</v>
      </c>
      <c r="ADV34" s="115">
        <f t="shared" si="318"/>
        <v>0</v>
      </c>
      <c r="ADW34" s="115">
        <f t="shared" si="318"/>
        <v>0</v>
      </c>
      <c r="ADX34" s="115">
        <f t="shared" si="318"/>
        <v>0</v>
      </c>
      <c r="ADY34" s="115">
        <f t="shared" si="318"/>
        <v>0</v>
      </c>
      <c r="ADZ34" s="115">
        <f t="shared" si="318"/>
        <v>0</v>
      </c>
      <c r="AEA34" s="115">
        <f t="shared" si="318"/>
        <v>0</v>
      </c>
      <c r="AEB34" s="115">
        <f t="shared" si="318"/>
        <v>0</v>
      </c>
      <c r="AEC34" s="115">
        <f t="shared" si="318"/>
        <v>0</v>
      </c>
      <c r="AED34" s="115">
        <f t="shared" si="318"/>
        <v>0</v>
      </c>
      <c r="AEE34" s="115">
        <f t="shared" si="318"/>
        <v>0</v>
      </c>
      <c r="AEF34" s="115">
        <f t="shared" si="318"/>
        <v>0</v>
      </c>
      <c r="AEG34" s="115">
        <f t="shared" si="318"/>
        <v>0</v>
      </c>
      <c r="AEH34" s="115">
        <f t="shared" si="318"/>
        <v>0</v>
      </c>
      <c r="AEI34" s="115">
        <f t="shared" si="318"/>
        <v>0</v>
      </c>
      <c r="AEJ34" s="115">
        <f t="shared" si="318"/>
        <v>0</v>
      </c>
      <c r="AEK34" s="115">
        <f t="shared" si="318"/>
        <v>0</v>
      </c>
      <c r="AEL34" s="115">
        <f t="shared" si="318"/>
        <v>0</v>
      </c>
      <c r="AEM34" s="115">
        <f t="shared" si="318"/>
        <v>0</v>
      </c>
      <c r="AEN34" s="115">
        <f t="shared" si="318"/>
        <v>0</v>
      </c>
      <c r="AEO34" s="115">
        <f t="shared" si="318"/>
        <v>0</v>
      </c>
      <c r="AEP34" s="115">
        <f t="shared" si="318"/>
        <v>0</v>
      </c>
      <c r="AEQ34" s="115">
        <f t="shared" si="318"/>
        <v>0</v>
      </c>
      <c r="AER34" s="115">
        <f t="shared" si="318"/>
        <v>0</v>
      </c>
      <c r="AES34" s="115">
        <f t="shared" si="318"/>
        <v>0</v>
      </c>
      <c r="AET34" s="115">
        <f t="shared" si="318"/>
        <v>0</v>
      </c>
      <c r="AEU34" s="115">
        <f t="shared" si="318"/>
        <v>0</v>
      </c>
      <c r="AEV34" s="115">
        <f t="shared" si="318"/>
        <v>0</v>
      </c>
      <c r="AEW34" s="115">
        <f t="shared" si="318"/>
        <v>0</v>
      </c>
      <c r="AEX34" s="115">
        <f t="shared" si="318"/>
        <v>0</v>
      </c>
      <c r="AEY34" s="115">
        <f t="shared" si="318"/>
        <v>0</v>
      </c>
      <c r="AEZ34" s="115">
        <f t="shared" si="318"/>
        <v>0</v>
      </c>
      <c r="AFA34" s="115">
        <f t="shared" si="318"/>
        <v>0</v>
      </c>
      <c r="AFB34" s="115">
        <f t="shared" si="318"/>
        <v>0</v>
      </c>
      <c r="AFC34" s="115">
        <f t="shared" si="318"/>
        <v>0</v>
      </c>
      <c r="AFD34" s="115">
        <f t="shared" si="318"/>
        <v>0</v>
      </c>
      <c r="AFE34" s="115">
        <f t="shared" ref="AFE34:AHP34" si="319">IF(AFE28&gt;0,AFD25-AFE28,0)</f>
        <v>0</v>
      </c>
      <c r="AFF34" s="115">
        <f t="shared" si="319"/>
        <v>0</v>
      </c>
      <c r="AFG34" s="115">
        <f t="shared" si="319"/>
        <v>0</v>
      </c>
      <c r="AFH34" s="115">
        <f t="shared" si="319"/>
        <v>0</v>
      </c>
      <c r="AFI34" s="115">
        <f t="shared" si="319"/>
        <v>0</v>
      </c>
      <c r="AFJ34" s="115">
        <f t="shared" si="319"/>
        <v>0</v>
      </c>
      <c r="AFK34" s="115">
        <f t="shared" si="319"/>
        <v>0</v>
      </c>
      <c r="AFL34" s="115">
        <f t="shared" si="319"/>
        <v>0</v>
      </c>
      <c r="AFM34" s="115">
        <f t="shared" si="319"/>
        <v>0</v>
      </c>
      <c r="AFN34" s="115">
        <f t="shared" si="319"/>
        <v>0</v>
      </c>
      <c r="AFO34" s="115">
        <f t="shared" si="319"/>
        <v>0</v>
      </c>
      <c r="AFP34" s="115">
        <f t="shared" si="319"/>
        <v>0</v>
      </c>
      <c r="AFQ34" s="115">
        <f t="shared" si="319"/>
        <v>0</v>
      </c>
      <c r="AFR34" s="115">
        <f t="shared" si="319"/>
        <v>0</v>
      </c>
      <c r="AFS34" s="115">
        <f t="shared" si="319"/>
        <v>0</v>
      </c>
      <c r="AFT34" s="115">
        <f t="shared" si="319"/>
        <v>0</v>
      </c>
      <c r="AFU34" s="115">
        <f t="shared" si="319"/>
        <v>0</v>
      </c>
      <c r="AFV34" s="115">
        <f t="shared" si="319"/>
        <v>0</v>
      </c>
      <c r="AFW34" s="115">
        <f t="shared" si="319"/>
        <v>0</v>
      </c>
      <c r="AFX34" s="115">
        <f t="shared" si="319"/>
        <v>0</v>
      </c>
      <c r="AFY34" s="115">
        <f t="shared" si="319"/>
        <v>0</v>
      </c>
      <c r="AFZ34" s="115">
        <f t="shared" si="319"/>
        <v>0</v>
      </c>
      <c r="AGA34" s="115">
        <f t="shared" si="319"/>
        <v>0</v>
      </c>
      <c r="AGB34" s="115">
        <f t="shared" si="319"/>
        <v>0</v>
      </c>
      <c r="AGC34" s="115">
        <f t="shared" si="319"/>
        <v>0</v>
      </c>
      <c r="AGD34" s="115">
        <f t="shared" si="319"/>
        <v>0</v>
      </c>
      <c r="AGE34" s="115">
        <f t="shared" si="319"/>
        <v>0</v>
      </c>
      <c r="AGF34" s="115">
        <f t="shared" si="319"/>
        <v>0</v>
      </c>
      <c r="AGG34" s="115">
        <f t="shared" si="319"/>
        <v>0</v>
      </c>
      <c r="AGH34" s="115">
        <f t="shared" si="319"/>
        <v>0</v>
      </c>
      <c r="AGI34" s="115">
        <f t="shared" si="319"/>
        <v>0</v>
      </c>
      <c r="AGJ34" s="115">
        <f t="shared" si="319"/>
        <v>0</v>
      </c>
      <c r="AGK34" s="115">
        <f t="shared" si="319"/>
        <v>0</v>
      </c>
      <c r="AGL34" s="115">
        <f t="shared" si="319"/>
        <v>0</v>
      </c>
      <c r="AGM34" s="115">
        <f t="shared" si="319"/>
        <v>0</v>
      </c>
      <c r="AGN34" s="115">
        <f t="shared" si="319"/>
        <v>0</v>
      </c>
      <c r="AGO34" s="115">
        <f t="shared" si="319"/>
        <v>0</v>
      </c>
      <c r="AGP34" s="115">
        <f t="shared" si="319"/>
        <v>0</v>
      </c>
      <c r="AGQ34" s="115">
        <f t="shared" si="319"/>
        <v>0</v>
      </c>
      <c r="AGR34" s="115">
        <f t="shared" si="319"/>
        <v>0</v>
      </c>
      <c r="AGS34" s="115">
        <f t="shared" si="319"/>
        <v>0</v>
      </c>
      <c r="AGT34" s="115">
        <f t="shared" si="319"/>
        <v>0</v>
      </c>
      <c r="AGU34" s="115">
        <f t="shared" si="319"/>
        <v>0</v>
      </c>
      <c r="AGV34" s="115">
        <f t="shared" si="319"/>
        <v>0</v>
      </c>
      <c r="AGW34" s="115">
        <f t="shared" si="319"/>
        <v>0</v>
      </c>
      <c r="AGX34" s="115">
        <f t="shared" si="319"/>
        <v>0</v>
      </c>
      <c r="AGY34" s="115">
        <f t="shared" si="319"/>
        <v>0</v>
      </c>
      <c r="AGZ34" s="115">
        <f t="shared" si="319"/>
        <v>0</v>
      </c>
      <c r="AHA34" s="115">
        <f t="shared" si="319"/>
        <v>0</v>
      </c>
      <c r="AHB34" s="115">
        <f t="shared" si="319"/>
        <v>0</v>
      </c>
      <c r="AHC34" s="115">
        <f t="shared" si="319"/>
        <v>0</v>
      </c>
      <c r="AHD34" s="115">
        <f t="shared" si="319"/>
        <v>0</v>
      </c>
      <c r="AHE34" s="115">
        <f t="shared" si="319"/>
        <v>0</v>
      </c>
      <c r="AHF34" s="115">
        <f t="shared" si="319"/>
        <v>0</v>
      </c>
      <c r="AHG34" s="115">
        <f t="shared" si="319"/>
        <v>0</v>
      </c>
      <c r="AHH34" s="115">
        <f t="shared" si="319"/>
        <v>0</v>
      </c>
      <c r="AHI34" s="115">
        <f t="shared" si="319"/>
        <v>0</v>
      </c>
      <c r="AHJ34" s="115">
        <f t="shared" si="319"/>
        <v>0</v>
      </c>
      <c r="AHK34" s="115">
        <f t="shared" si="319"/>
        <v>0</v>
      </c>
      <c r="AHL34" s="115">
        <f t="shared" si="319"/>
        <v>0</v>
      </c>
      <c r="AHM34" s="115">
        <f t="shared" si="319"/>
        <v>0</v>
      </c>
      <c r="AHN34" s="115">
        <f t="shared" si="319"/>
        <v>0</v>
      </c>
      <c r="AHO34" s="115">
        <f t="shared" si="319"/>
        <v>0</v>
      </c>
      <c r="AHP34" s="115">
        <f t="shared" si="319"/>
        <v>0</v>
      </c>
      <c r="AHQ34" s="115">
        <f t="shared" ref="AHQ34:AKB34" si="320">IF(AHQ28&gt;0,AHP25-AHQ28,0)</f>
        <v>0</v>
      </c>
      <c r="AHR34" s="115">
        <f t="shared" si="320"/>
        <v>0</v>
      </c>
      <c r="AHS34" s="115">
        <f t="shared" si="320"/>
        <v>0</v>
      </c>
      <c r="AHT34" s="115">
        <f t="shared" si="320"/>
        <v>0</v>
      </c>
      <c r="AHU34" s="115">
        <f t="shared" si="320"/>
        <v>0</v>
      </c>
      <c r="AHV34" s="115">
        <f t="shared" si="320"/>
        <v>0</v>
      </c>
      <c r="AHW34" s="115">
        <f t="shared" si="320"/>
        <v>0</v>
      </c>
      <c r="AHX34" s="115">
        <f t="shared" si="320"/>
        <v>0</v>
      </c>
      <c r="AHY34" s="115">
        <f t="shared" si="320"/>
        <v>0</v>
      </c>
      <c r="AHZ34" s="115">
        <f t="shared" si="320"/>
        <v>0</v>
      </c>
      <c r="AIA34" s="115">
        <f t="shared" si="320"/>
        <v>0</v>
      </c>
      <c r="AIB34" s="115">
        <f t="shared" si="320"/>
        <v>0</v>
      </c>
      <c r="AIC34" s="115">
        <f t="shared" si="320"/>
        <v>0</v>
      </c>
      <c r="AID34" s="115">
        <f t="shared" si="320"/>
        <v>0</v>
      </c>
      <c r="AIE34" s="115">
        <f t="shared" si="320"/>
        <v>0</v>
      </c>
      <c r="AIF34" s="115">
        <f t="shared" si="320"/>
        <v>0</v>
      </c>
      <c r="AIG34" s="115">
        <f t="shared" si="320"/>
        <v>0</v>
      </c>
      <c r="AIH34" s="115">
        <f t="shared" si="320"/>
        <v>0</v>
      </c>
      <c r="AII34" s="115">
        <f t="shared" si="320"/>
        <v>0</v>
      </c>
      <c r="AIJ34" s="115">
        <f t="shared" si="320"/>
        <v>0</v>
      </c>
      <c r="AIK34" s="115">
        <f t="shared" si="320"/>
        <v>0</v>
      </c>
      <c r="AIL34" s="115">
        <f t="shared" si="320"/>
        <v>0</v>
      </c>
      <c r="AIM34" s="115">
        <f t="shared" si="320"/>
        <v>0</v>
      </c>
      <c r="AIN34" s="115">
        <f t="shared" si="320"/>
        <v>0</v>
      </c>
      <c r="AIO34" s="115">
        <f t="shared" si="320"/>
        <v>0</v>
      </c>
      <c r="AIP34" s="115">
        <f t="shared" si="320"/>
        <v>0</v>
      </c>
      <c r="AIQ34" s="115">
        <f t="shared" si="320"/>
        <v>0</v>
      </c>
      <c r="AIR34" s="115">
        <f t="shared" si="320"/>
        <v>0</v>
      </c>
      <c r="AIS34" s="115">
        <f t="shared" si="320"/>
        <v>0</v>
      </c>
      <c r="AIT34" s="115">
        <f t="shared" si="320"/>
        <v>0</v>
      </c>
      <c r="AIU34" s="115">
        <f t="shared" si="320"/>
        <v>0</v>
      </c>
      <c r="AIV34" s="115">
        <f t="shared" si="320"/>
        <v>0</v>
      </c>
      <c r="AIW34" s="115">
        <f t="shared" si="320"/>
        <v>0</v>
      </c>
      <c r="AIX34" s="115">
        <f t="shared" si="320"/>
        <v>0</v>
      </c>
      <c r="AIY34" s="115">
        <f t="shared" si="320"/>
        <v>0</v>
      </c>
      <c r="AIZ34" s="115">
        <f t="shared" si="320"/>
        <v>0</v>
      </c>
      <c r="AJA34" s="115">
        <f t="shared" si="320"/>
        <v>0</v>
      </c>
      <c r="AJB34" s="115">
        <f t="shared" si="320"/>
        <v>0</v>
      </c>
      <c r="AJC34" s="115">
        <f t="shared" si="320"/>
        <v>0</v>
      </c>
      <c r="AJD34" s="115">
        <f t="shared" si="320"/>
        <v>0</v>
      </c>
      <c r="AJE34" s="115">
        <f t="shared" si="320"/>
        <v>0</v>
      </c>
      <c r="AJF34" s="115">
        <f t="shared" si="320"/>
        <v>0</v>
      </c>
      <c r="AJG34" s="115">
        <f t="shared" si="320"/>
        <v>0</v>
      </c>
      <c r="AJH34" s="115">
        <f t="shared" si="320"/>
        <v>0</v>
      </c>
      <c r="AJI34" s="115">
        <f t="shared" si="320"/>
        <v>0</v>
      </c>
      <c r="AJJ34" s="115">
        <f t="shared" si="320"/>
        <v>0</v>
      </c>
      <c r="AJK34" s="115">
        <f t="shared" si="320"/>
        <v>0</v>
      </c>
      <c r="AJL34" s="115">
        <f t="shared" si="320"/>
        <v>0</v>
      </c>
      <c r="AJM34" s="115">
        <f t="shared" si="320"/>
        <v>0</v>
      </c>
      <c r="AJN34" s="115">
        <f t="shared" si="320"/>
        <v>0</v>
      </c>
      <c r="AJO34" s="115">
        <f t="shared" si="320"/>
        <v>0</v>
      </c>
      <c r="AJP34" s="115">
        <f t="shared" si="320"/>
        <v>0</v>
      </c>
      <c r="AJQ34" s="115">
        <f t="shared" si="320"/>
        <v>0</v>
      </c>
      <c r="AJR34" s="115">
        <f t="shared" si="320"/>
        <v>0</v>
      </c>
      <c r="AJS34" s="115">
        <f t="shared" si="320"/>
        <v>0</v>
      </c>
      <c r="AJT34" s="115">
        <f t="shared" si="320"/>
        <v>0</v>
      </c>
      <c r="AJU34" s="115">
        <f t="shared" si="320"/>
        <v>0</v>
      </c>
      <c r="AJV34" s="115">
        <f t="shared" si="320"/>
        <v>0</v>
      </c>
      <c r="AJW34" s="115">
        <f t="shared" si="320"/>
        <v>0</v>
      </c>
      <c r="AJX34" s="115">
        <f t="shared" si="320"/>
        <v>0</v>
      </c>
      <c r="AJY34" s="115">
        <f t="shared" si="320"/>
        <v>0</v>
      </c>
      <c r="AJZ34" s="115">
        <f t="shared" si="320"/>
        <v>0</v>
      </c>
      <c r="AKA34" s="115">
        <f t="shared" si="320"/>
        <v>0</v>
      </c>
      <c r="AKB34" s="115">
        <f t="shared" si="320"/>
        <v>0</v>
      </c>
      <c r="AKC34" s="115">
        <f t="shared" ref="AKC34:AMN34" si="321">IF(AKC28&gt;0,AKB25-AKC28,0)</f>
        <v>0</v>
      </c>
      <c r="AKD34" s="115">
        <f t="shared" si="321"/>
        <v>0</v>
      </c>
      <c r="AKE34" s="115">
        <f t="shared" si="321"/>
        <v>0</v>
      </c>
      <c r="AKF34" s="115">
        <f t="shared" si="321"/>
        <v>0</v>
      </c>
      <c r="AKG34" s="115">
        <f t="shared" si="321"/>
        <v>0</v>
      </c>
      <c r="AKH34" s="115">
        <f t="shared" si="321"/>
        <v>0</v>
      </c>
      <c r="AKI34" s="115">
        <f t="shared" si="321"/>
        <v>0</v>
      </c>
      <c r="AKJ34" s="115">
        <f t="shared" si="321"/>
        <v>0</v>
      </c>
      <c r="AKK34" s="115">
        <f t="shared" si="321"/>
        <v>0</v>
      </c>
      <c r="AKL34" s="115">
        <f t="shared" si="321"/>
        <v>0</v>
      </c>
      <c r="AKM34" s="115">
        <f t="shared" si="321"/>
        <v>0</v>
      </c>
      <c r="AKN34" s="115">
        <f t="shared" si="321"/>
        <v>0</v>
      </c>
      <c r="AKO34" s="115">
        <f t="shared" si="321"/>
        <v>0</v>
      </c>
      <c r="AKP34" s="115">
        <f t="shared" si="321"/>
        <v>0</v>
      </c>
      <c r="AKQ34" s="115">
        <f t="shared" si="321"/>
        <v>0</v>
      </c>
      <c r="AKR34" s="115">
        <f t="shared" si="321"/>
        <v>0</v>
      </c>
      <c r="AKS34" s="115">
        <f t="shared" si="321"/>
        <v>0</v>
      </c>
      <c r="AKT34" s="115">
        <f t="shared" si="321"/>
        <v>0</v>
      </c>
      <c r="AKU34" s="115">
        <f t="shared" si="321"/>
        <v>0</v>
      </c>
      <c r="AKV34" s="115">
        <f t="shared" si="321"/>
        <v>0</v>
      </c>
      <c r="AKW34" s="115">
        <f t="shared" si="321"/>
        <v>0</v>
      </c>
      <c r="AKX34" s="115">
        <f t="shared" si="321"/>
        <v>0</v>
      </c>
      <c r="AKY34" s="115">
        <f t="shared" si="321"/>
        <v>0</v>
      </c>
      <c r="AKZ34" s="115">
        <f t="shared" si="321"/>
        <v>0</v>
      </c>
      <c r="ALA34" s="115">
        <f t="shared" si="321"/>
        <v>0</v>
      </c>
      <c r="ALB34" s="115">
        <f t="shared" si="321"/>
        <v>0</v>
      </c>
      <c r="ALC34" s="115">
        <f t="shared" si="321"/>
        <v>0</v>
      </c>
      <c r="ALD34" s="115">
        <f t="shared" si="321"/>
        <v>0</v>
      </c>
      <c r="ALE34" s="115">
        <f t="shared" si="321"/>
        <v>0</v>
      </c>
      <c r="ALF34" s="115">
        <f t="shared" si="321"/>
        <v>0</v>
      </c>
      <c r="ALG34" s="115">
        <f t="shared" si="321"/>
        <v>0</v>
      </c>
      <c r="ALH34" s="115">
        <f t="shared" si="321"/>
        <v>0</v>
      </c>
      <c r="ALI34" s="115">
        <f t="shared" si="321"/>
        <v>0</v>
      </c>
      <c r="ALJ34" s="115">
        <f t="shared" si="321"/>
        <v>0</v>
      </c>
      <c r="ALK34" s="115">
        <f t="shared" si="321"/>
        <v>0</v>
      </c>
      <c r="ALL34" s="115">
        <f t="shared" si="321"/>
        <v>0</v>
      </c>
      <c r="ALM34" s="115">
        <f t="shared" si="321"/>
        <v>0</v>
      </c>
      <c r="ALN34" s="115">
        <f t="shared" si="321"/>
        <v>0</v>
      </c>
      <c r="ALO34" s="115">
        <f t="shared" si="321"/>
        <v>0</v>
      </c>
      <c r="ALP34" s="115">
        <f t="shared" si="321"/>
        <v>0</v>
      </c>
      <c r="ALQ34" s="115">
        <f t="shared" si="321"/>
        <v>0</v>
      </c>
      <c r="ALR34" s="115">
        <f t="shared" si="321"/>
        <v>0</v>
      </c>
      <c r="ALS34" s="115">
        <f t="shared" si="321"/>
        <v>0</v>
      </c>
      <c r="ALT34" s="115">
        <f t="shared" si="321"/>
        <v>0</v>
      </c>
      <c r="ALU34" s="115">
        <f t="shared" si="321"/>
        <v>0</v>
      </c>
      <c r="ALV34" s="115">
        <f t="shared" si="321"/>
        <v>0</v>
      </c>
      <c r="ALW34" s="115">
        <f t="shared" si="321"/>
        <v>0</v>
      </c>
      <c r="ALX34" s="115">
        <f t="shared" si="321"/>
        <v>0</v>
      </c>
      <c r="ALY34" s="115">
        <f t="shared" si="321"/>
        <v>0</v>
      </c>
      <c r="ALZ34" s="115">
        <f t="shared" si="321"/>
        <v>0</v>
      </c>
      <c r="AMA34" s="115">
        <f t="shared" si="321"/>
        <v>0</v>
      </c>
      <c r="AMB34" s="115">
        <f t="shared" si="321"/>
        <v>0</v>
      </c>
      <c r="AMC34" s="115">
        <f t="shared" si="321"/>
        <v>0</v>
      </c>
      <c r="AMD34" s="115">
        <f t="shared" si="321"/>
        <v>0</v>
      </c>
      <c r="AME34" s="115">
        <f t="shared" si="321"/>
        <v>0</v>
      </c>
      <c r="AMF34" s="115">
        <f t="shared" si="321"/>
        <v>0</v>
      </c>
      <c r="AMG34" s="115">
        <f t="shared" si="321"/>
        <v>0</v>
      </c>
      <c r="AMH34" s="115">
        <f t="shared" si="321"/>
        <v>0</v>
      </c>
      <c r="AMI34" s="115">
        <f t="shared" si="321"/>
        <v>0</v>
      </c>
      <c r="AMJ34" s="115">
        <f t="shared" si="321"/>
        <v>0</v>
      </c>
      <c r="AMK34" s="115">
        <f t="shared" si="321"/>
        <v>0</v>
      </c>
      <c r="AML34" s="115">
        <f t="shared" si="321"/>
        <v>0</v>
      </c>
      <c r="AMM34" s="115">
        <f t="shared" si="321"/>
        <v>0</v>
      </c>
      <c r="AMN34" s="115">
        <f t="shared" si="321"/>
        <v>0</v>
      </c>
      <c r="AMO34" s="115">
        <f t="shared" ref="AMO34:AOQ34" si="322">IF(AMO28&gt;0,AMN25-AMO28,0)</f>
        <v>0</v>
      </c>
      <c r="AMP34" s="115">
        <f t="shared" si="322"/>
        <v>0</v>
      </c>
      <c r="AMQ34" s="115">
        <f t="shared" si="322"/>
        <v>0</v>
      </c>
      <c r="AMR34" s="115">
        <f t="shared" si="322"/>
        <v>0</v>
      </c>
      <c r="AMS34" s="115">
        <f t="shared" si="322"/>
        <v>0</v>
      </c>
      <c r="AMT34" s="115">
        <f t="shared" si="322"/>
        <v>0</v>
      </c>
      <c r="AMU34" s="115">
        <f t="shared" si="322"/>
        <v>0</v>
      </c>
      <c r="AMV34" s="115">
        <f t="shared" si="322"/>
        <v>0</v>
      </c>
      <c r="AMW34" s="115">
        <f t="shared" si="322"/>
        <v>0</v>
      </c>
      <c r="AMX34" s="115">
        <f t="shared" si="322"/>
        <v>0</v>
      </c>
      <c r="AMY34" s="115">
        <f t="shared" si="322"/>
        <v>0</v>
      </c>
      <c r="AMZ34" s="115">
        <f t="shared" si="322"/>
        <v>0</v>
      </c>
      <c r="ANA34" s="115">
        <f t="shared" si="322"/>
        <v>0</v>
      </c>
      <c r="ANB34" s="115">
        <f t="shared" si="322"/>
        <v>0</v>
      </c>
      <c r="ANC34" s="115">
        <f t="shared" si="322"/>
        <v>0</v>
      </c>
      <c r="AND34" s="115">
        <f t="shared" si="322"/>
        <v>0</v>
      </c>
      <c r="ANE34" s="115">
        <f t="shared" si="322"/>
        <v>0</v>
      </c>
      <c r="ANF34" s="115">
        <f t="shared" si="322"/>
        <v>0</v>
      </c>
      <c r="ANG34" s="115">
        <f t="shared" si="322"/>
        <v>0</v>
      </c>
      <c r="ANH34" s="115">
        <f t="shared" si="322"/>
        <v>0</v>
      </c>
      <c r="ANI34" s="115">
        <f t="shared" si="322"/>
        <v>0</v>
      </c>
      <c r="ANJ34" s="115">
        <f t="shared" si="322"/>
        <v>0</v>
      </c>
      <c r="ANK34" s="115">
        <f t="shared" si="322"/>
        <v>0</v>
      </c>
      <c r="ANL34" s="115">
        <f t="shared" si="322"/>
        <v>0</v>
      </c>
      <c r="ANM34" s="115">
        <f t="shared" si="322"/>
        <v>0</v>
      </c>
      <c r="ANN34" s="115">
        <f t="shared" si="322"/>
        <v>0</v>
      </c>
      <c r="ANO34" s="115">
        <f t="shared" si="322"/>
        <v>0</v>
      </c>
      <c r="ANP34" s="115">
        <f t="shared" si="322"/>
        <v>0</v>
      </c>
      <c r="ANQ34" s="115">
        <f t="shared" si="322"/>
        <v>0</v>
      </c>
      <c r="ANR34" s="115">
        <f t="shared" si="322"/>
        <v>0</v>
      </c>
      <c r="ANS34" s="115">
        <f t="shared" si="322"/>
        <v>0</v>
      </c>
      <c r="ANT34" s="115">
        <f t="shared" si="322"/>
        <v>0</v>
      </c>
      <c r="ANU34" s="115">
        <f t="shared" si="322"/>
        <v>0</v>
      </c>
      <c r="ANV34" s="115">
        <f t="shared" si="322"/>
        <v>0</v>
      </c>
      <c r="ANW34" s="115">
        <f t="shared" si="322"/>
        <v>0</v>
      </c>
      <c r="ANX34" s="115">
        <f t="shared" si="322"/>
        <v>0</v>
      </c>
      <c r="ANY34" s="115">
        <f t="shared" si="322"/>
        <v>0</v>
      </c>
      <c r="ANZ34" s="115">
        <f t="shared" si="322"/>
        <v>0</v>
      </c>
      <c r="AOA34" s="115">
        <f t="shared" si="322"/>
        <v>0</v>
      </c>
      <c r="AOB34" s="115">
        <f t="shared" si="322"/>
        <v>0</v>
      </c>
      <c r="AOC34" s="115">
        <f t="shared" si="322"/>
        <v>0</v>
      </c>
      <c r="AOD34" s="115">
        <f t="shared" si="322"/>
        <v>0</v>
      </c>
      <c r="AOE34" s="115">
        <f t="shared" si="322"/>
        <v>0</v>
      </c>
      <c r="AOF34" s="115">
        <f t="shared" si="322"/>
        <v>0</v>
      </c>
      <c r="AOG34" s="115">
        <f t="shared" si="322"/>
        <v>0</v>
      </c>
      <c r="AOH34" s="115">
        <f t="shared" si="322"/>
        <v>0</v>
      </c>
      <c r="AOI34" s="115">
        <f t="shared" si="322"/>
        <v>0</v>
      </c>
      <c r="AOJ34" s="115">
        <f t="shared" si="322"/>
        <v>0</v>
      </c>
      <c r="AOK34" s="115">
        <f t="shared" si="322"/>
        <v>0</v>
      </c>
      <c r="AOL34" s="115">
        <f t="shared" si="322"/>
        <v>0</v>
      </c>
      <c r="AOM34" s="115">
        <f t="shared" si="322"/>
        <v>0</v>
      </c>
      <c r="AON34" s="115">
        <f t="shared" si="322"/>
        <v>0</v>
      </c>
      <c r="AOO34" s="115">
        <f t="shared" si="322"/>
        <v>0</v>
      </c>
      <c r="AOP34" s="115">
        <f t="shared" si="322"/>
        <v>0</v>
      </c>
      <c r="AOQ34" s="115">
        <f t="shared" si="322"/>
        <v>0</v>
      </c>
    </row>
    <row r="35" spans="1:1083" x14ac:dyDescent="0.25">
      <c r="B35" s="116" t="s">
        <v>269</v>
      </c>
      <c r="C35" s="115">
        <f>SUM(D35:AOQ35)</f>
        <v>900000</v>
      </c>
      <c r="D35" s="115">
        <v>0</v>
      </c>
      <c r="E35" s="115">
        <f>IF(SUM($D$28:D28)=0,0,IF(IF(E34&gt;0,E34-(IF(SUM($D35:D35)&gt;0,0,IF(D$25&gt;D33,D33,0))),0)&lt;0,0,(IF(SUM($D35:D35)&gt;0,0,IF(D$25&gt;D33,D33,0)))))</f>
        <v>0</v>
      </c>
      <c r="F35" s="115">
        <f>IF(SUM($D$28:E28)=0,0,IF(IF(F34&gt;0,F34-(IF(SUM($D35:E35)&gt;0,0,IF(E$25&gt;E33,E33,0))),0)&lt;0,0,(IF(SUM($D35:E35)&gt;0,0,IF(E$25&gt;E33,E33,0)))))</f>
        <v>0</v>
      </c>
      <c r="G35" s="115">
        <f>IF(SUM($D$28:F28)=0,0,IF(IF(G34&gt;0,G34-(IF(SUM($D35:F35)&gt;0,0,IF(F$25&gt;F33,F33,0))),0)&lt;0,0,(IF(SUM($D35:F35)&gt;0,0,IF(F$25&gt;F33,F33,0)))))</f>
        <v>0</v>
      </c>
      <c r="H35" s="115">
        <f>IF(SUM($D$28:G28)=0,0,IF(IF(H34&gt;0,H34-(IF(SUM($D35:G35)&gt;0,0,IF(G$25&gt;G33,G33,0))),0)&lt;0,0,(IF(SUM($D35:G35)&gt;0,0,IF(G$25&gt;G33,G33,0)))))</f>
        <v>0</v>
      </c>
      <c r="I35" s="115">
        <f>IF(SUM($D$28:H28)=0,0,IF(IF(I34&gt;0,I34-(IF(SUM($D35:H35)&gt;0,0,IF(H$25&gt;H33,H33,0))),0)&lt;0,0,(IF(SUM($D35:H35)&gt;0,0,IF(H$25&gt;H33,H33,0)))))</f>
        <v>0</v>
      </c>
      <c r="J35" s="115">
        <f>IF(SUM($D$28:I28)=0,0,IF(IF(J34&gt;0,J34-(IF(SUM($D35:I35)&gt;0,0,IF(I$25&gt;I33,I33,0))),0)&lt;0,0,(IF(SUM($D35:I35)&gt;0,0,IF(I$25&gt;I33,I33,0)))))</f>
        <v>0</v>
      </c>
      <c r="K35" s="115">
        <f>IF(SUM($D$28:J28)=0,0,IF(IF(K34&gt;0,K34-(IF(SUM($D35:J35)&gt;0,0,IF(J$25&gt;J33,J33,0))),0)&lt;0,0,(IF(SUM($D35:J35)&gt;0,0,IF(J$25&gt;J33,J33,0)))))</f>
        <v>0</v>
      </c>
      <c r="L35" s="115">
        <f>IF(SUM($D$28:K28)=0,0,IF(IF(L34&gt;0,L34-(IF(SUM($D35:K35)&gt;0,0,IF(K$25&gt;K33,K33,0))),0)&lt;0,0,(IF(SUM($D35:K35)&gt;0,0,IF(K$25&gt;K33,K33,0)))))</f>
        <v>0</v>
      </c>
      <c r="M35" s="115">
        <f>IF(SUM($D$28:L28)=0,0,IF(IF(M34&gt;0,M34-(IF(SUM($D35:L35)&gt;0,0,IF(L$25&gt;L33,L33,0))),0)&lt;0,0,(IF(SUM($D35:L35)&gt;0,0,IF(L$25&gt;L33,L33,0)))))</f>
        <v>0</v>
      </c>
      <c r="N35" s="115">
        <f>IF(SUM($D$28:M28)=0,0,IF(IF(N34&gt;0,N34-(IF(SUM($D35:M35)&gt;0,0,IF(M$25&gt;M33,M33,0))),0)&lt;0,0,(IF(SUM($D35:M35)&gt;0,0,IF(M$25&gt;M33,M33,0)))))</f>
        <v>0</v>
      </c>
      <c r="O35" s="115">
        <f>IF(SUM($D$28:N28)=0,0,IF(IF(O34&gt;0,O34-(IF(SUM($D35:N35)&gt;0,0,IF(N$25&gt;N33,N33,0))),0)&lt;0,0,(IF(SUM($D35:N35)&gt;0,0,IF(N$25&gt;N33,N33,0)))))</f>
        <v>0</v>
      </c>
      <c r="P35" s="115">
        <f>IF(SUM($D$28:O28)=0,0,IF(IF(P34&gt;0,P34-(IF(SUM($D35:O35)&gt;0,0,IF(O$25&gt;O33,O33,0))),0)&lt;0,0,(IF(SUM($D35:O35)&gt;0,0,IF(O$25&gt;O33,O33,0)))))</f>
        <v>0</v>
      </c>
      <c r="Q35" s="115">
        <f>IF(SUM($D$28:P28)=0,0,IF(IF(Q34&gt;0,Q34-(IF(SUM($D35:P35)&gt;0,0,IF(P$25&gt;P33,P33,0))),0)&lt;0,0,(IF(SUM($D35:P35)&gt;0,0,IF(P$25&gt;P33,P33,0)))))</f>
        <v>0</v>
      </c>
      <c r="R35" s="115">
        <f>IF(SUM($D$28:Q28)=0,0,IF(IF(R34&gt;0,R34-(IF(SUM($D35:Q35)&gt;0,0,IF(Q$25&gt;Q33,Q33,0))),0)&lt;0,0,(IF(SUM($D35:Q35)&gt;0,0,IF(Q$25&gt;Q33,Q33,0)))))</f>
        <v>0</v>
      </c>
      <c r="S35" s="115">
        <f>IF(SUM($D$28:R28)=0,0,IF(IF(S34&gt;0,S34-(IF(SUM($D35:R35)&gt;0,0,IF(R$25&gt;R33,R33,0))),0)&lt;0,0,(IF(SUM($D35:R35)&gt;0,0,IF(R$25&gt;R33,R33,0)))))</f>
        <v>0</v>
      </c>
      <c r="T35" s="115">
        <f>IF(SUM($D$28:S28)=0,0,IF(IF(T34&gt;0,T34-(IF(SUM($D35:S35)&gt;0,0,IF(S$25&gt;S33,S33,0))),0)&lt;0,0,(IF(SUM($D35:S35)&gt;0,0,IF(S$25&gt;S33,S33,0)))))</f>
        <v>0</v>
      </c>
      <c r="U35" s="115">
        <f>IF(SUM($D$28:T28)=0,0,IF(IF(U34&gt;0,U34-(IF(SUM($D35:T35)&gt;0,0,IF(T$25&gt;T33,T33,0))),0)&lt;0,0,(IF(SUM($D35:T35)&gt;0,0,IF(T$25&gt;T33,T33,0)))))</f>
        <v>0</v>
      </c>
      <c r="V35" s="115">
        <f>IF(SUM($D$28:U28)=0,0,IF(IF(V34&gt;0,V34-(IF(SUM($D35:U35)&gt;0,0,IF(U$25&gt;U33,U33,0))),0)&lt;0,0,(IF(SUM($D35:U35)&gt;0,0,IF(U$25&gt;U33,U33,0)))))</f>
        <v>0</v>
      </c>
      <c r="W35" s="115">
        <f>IF(SUM($D$28:V28)=0,0,IF(IF(W34&gt;0,W34-(IF(SUM($D35:V35)&gt;0,0,IF(V$25&gt;V33,V33,0))),0)&lt;0,0,(IF(SUM($D35:V35)&gt;0,0,IF(V$25&gt;V33,V33,0)))))</f>
        <v>0</v>
      </c>
      <c r="X35" s="115">
        <f>IF(SUM($D$28:W28)=0,0,IF(IF(X34&gt;0,X34-(IF(SUM($D35:W35)&gt;0,0,IF(W$25&gt;W33,W33,0))),0)&lt;0,0,(IF(SUM($D35:W35)&gt;0,0,IF(W$25&gt;W33,W33,0)))))</f>
        <v>0</v>
      </c>
      <c r="Y35" s="115">
        <f>IF(SUM($D$28:X28)=0,0,IF(IF(Y34&gt;0,Y34-(IF(SUM($D35:X35)&gt;0,0,IF(X$25&gt;X33,X33,0))),0)&lt;0,0,(IF(SUM($D35:X35)&gt;0,0,IF(X$25&gt;X33,X33,0)))))</f>
        <v>0</v>
      </c>
      <c r="Z35" s="115">
        <f>IF(SUM($D$28:Y28)=0,0,IF(IF(Z34&gt;0,Z34-(IF(SUM($D35:Y35)&gt;0,0,IF(Y$25&gt;Y33,Y33,0))),0)&lt;0,0,(IF(SUM($D35:Y35)&gt;0,0,IF(Y$25&gt;Y33,Y33,0)))))</f>
        <v>0</v>
      </c>
      <c r="AA35" s="115">
        <f>IF(SUM($D$28:Z28)=0,0,IF(IF(AA34&gt;0,AA34-(IF(SUM($D35:Z35)&gt;0,0,IF(Z$25&gt;Z33,Z33,0))),0)&lt;0,0,(IF(SUM($D35:Z35)&gt;0,0,IF(Z$25&gt;Z33,Z33,0)))))</f>
        <v>0</v>
      </c>
      <c r="AB35" s="115">
        <f>IF(SUM($D$28:AA28)=0,0,IF(IF(AB34&gt;0,AB34-(IF(SUM($D35:AA35)&gt;0,0,IF(AA$25&gt;AA33,AA33,0))),0)&lt;0,0,(IF(SUM($D35:AA35)&gt;0,0,IF(AA$25&gt;AA33,AA33,0)))))</f>
        <v>0</v>
      </c>
      <c r="AC35" s="115">
        <f>IF(SUM($D$28:AB28)=0,0,IF(IF(AC34&gt;0,AC34-(IF(SUM($D35:AB35)&gt;0,0,IF(AB$25&gt;AB33,AB33,0))),0)&lt;0,0,(IF(SUM($D35:AB35)&gt;0,0,IF(AB$25&gt;AB33,AB33,0)))))</f>
        <v>0</v>
      </c>
      <c r="AD35" s="115">
        <f>IF(SUM($D$28:AC28)=0,0,IF(IF(AD34&gt;0,AD34-(IF(SUM($D35:AC35)&gt;0,0,IF(AC$25&gt;AC33,AC33,0))),0)&lt;0,0,(IF(SUM($D35:AC35)&gt;0,0,IF(AC$25&gt;AC33,AC33,0)))))</f>
        <v>0</v>
      </c>
      <c r="AE35" s="115">
        <f>IF(SUM($D$28:AD28)=0,0,IF(IF(AE34&gt;0,AE34-(IF(SUM($D35:AD35)&gt;0,0,IF(AD$25&gt;AD33,AD33,0))),0)&lt;0,0,(IF(SUM($D35:AD35)&gt;0,0,IF(AD$25&gt;AD33,AD33,0)))))</f>
        <v>0</v>
      </c>
      <c r="AF35" s="115">
        <f>IF(SUM($D$28:AE28)=0,0,IF(IF(AF34&gt;0,AF34-(IF(SUM($D35:AE35)&gt;0,0,IF(AE$25&gt;AE33,AE33,0))),0)&lt;0,0,(IF(SUM($D35:AE35)&gt;0,0,IF(AE$25&gt;AE33,AE33,0)))))</f>
        <v>0</v>
      </c>
      <c r="AG35" s="115">
        <f>IF(SUM($D$28:AF28)=0,0,IF(IF(AG34&gt;0,AG34-(IF(SUM($D35:AF35)&gt;0,0,IF(AF$25&gt;AF33,AF33,0))),0)&lt;0,0,(IF(SUM($D35:AF35)&gt;0,0,IF(AF$25&gt;AF33,AF33,0)))))</f>
        <v>0</v>
      </c>
      <c r="AH35" s="115">
        <f>IF(SUM($D$28:AG28)=0,0,IF(IF(AH34&gt;0,AH34-(IF(SUM($D35:AG35)&gt;0,0,IF(AG$25&gt;AG33,AG33,0))),0)&lt;0,0,(IF(SUM($D35:AG35)&gt;0,0,IF(AG$25&gt;AG33,AG33,0)))))</f>
        <v>0</v>
      </c>
      <c r="AI35" s="115">
        <f>IF(SUM($D$28:AH28)=0,0,IF(IF(AI34&gt;0,AI34-(IF(SUM($D35:AH35)&gt;0,0,IF(AH$25&gt;AH33,AH33,0))),0)&lt;0,0,(IF(SUM($D35:AH35)&gt;0,0,IF(AH$25&gt;AH33,AH33,0)))))</f>
        <v>0</v>
      </c>
      <c r="AJ35" s="115">
        <f>IF(SUM($D$28:AI28)=0,0,IF(IF(AJ34&gt;0,AJ34-(IF(SUM($D35:AI35)&gt;0,0,IF(AI$25&gt;AI33,AI33,0))),0)&lt;0,0,(IF(SUM($D35:AI35)&gt;0,0,IF(AI$25&gt;AI33,AI33,0)))))</f>
        <v>0</v>
      </c>
      <c r="AK35" s="115">
        <f>IF(SUM($D$28:AJ28)=0,0,IF(IF(AK34&gt;0,AK34-(IF(SUM($D35:AJ35)&gt;0,0,IF(AJ$25&gt;AJ33,AJ33,0))),0)&lt;0,0,(IF(SUM($D35:AJ35)&gt;0,0,IF(AJ$25&gt;AJ33,AJ33,0)))))</f>
        <v>0</v>
      </c>
      <c r="AL35" s="115">
        <f>IF(SUM($D$28:AK28)=0,0,IF(IF(AL34&gt;0,AL34-(IF(SUM($D35:AK35)&gt;0,0,IF(AK$25&gt;AK33,AK33,0))),0)&lt;0,0,(IF(SUM($D35:AK35)&gt;0,0,IF(AK$25&gt;AK33,AK33,0)))))</f>
        <v>0</v>
      </c>
      <c r="AM35" s="115">
        <f>IF(SUM($D$28:AL28)=0,0,IF(IF(AM34&gt;0,AM34-(IF(SUM($D35:AL35)&gt;0,0,IF(AL$25&gt;AL33,AL33,0))),0)&lt;0,0,(IF(SUM($D35:AL35)&gt;0,0,IF(AL$25&gt;AL33,AL33,0)))))</f>
        <v>0</v>
      </c>
      <c r="AN35" s="115">
        <f>IF(SUM($D$28:AM28)=0,0,IF(IF(AN34&gt;0,AN34-(IF(SUM($D35:AM35)&gt;0,0,IF(AM$25&gt;AM33,AM33,0))),0)&lt;0,0,(IF(SUM($D35:AM35)&gt;0,0,IF(AM$25&gt;AM33,AM33,0)))))</f>
        <v>0</v>
      </c>
      <c r="AO35" s="115">
        <f>IF(SUM($D$28:AN28)=0,0,IF(IF(AO34&gt;0,AO34-(IF(SUM($D35:AN35)&gt;0,0,IF(AN$25&gt;AN33,AN33,0))),0)&lt;0,0,(IF(SUM($D35:AN35)&gt;0,0,IF(AN$25&gt;AN33,AN33,0)))))</f>
        <v>0</v>
      </c>
      <c r="AP35" s="115">
        <f>IF(SUM($D$28:AO28)=0,0,IF(IF(AP34&gt;0,AP34-(IF(SUM($D35:AO35)&gt;0,0,IF(AO$25&gt;AO33,AO33,0))),0)&lt;0,0,(IF(SUM($D35:AO35)&gt;0,0,IF(AO$25&gt;AO33,AO33,0)))))</f>
        <v>0</v>
      </c>
      <c r="AQ35" s="115">
        <f>IF(SUM($D$28:AP28)=0,0,IF(IF(AQ34&gt;0,AQ34-(IF(SUM($D35:AP35)&gt;0,0,IF(AP$25&gt;AP33,AP33,0))),0)&lt;0,0,(IF(SUM($D35:AP35)&gt;0,0,IF(AP$25&gt;AP33,AP33,0)))))</f>
        <v>0</v>
      </c>
      <c r="AR35" s="115">
        <f>IF(SUM($D$28:AQ28)=0,0,IF(IF(AR34&gt;0,AR34-(IF(SUM($D35:AQ35)&gt;0,0,IF(AQ$25&gt;AQ33,AQ33,0))),0)&lt;0,0,(IF(SUM($D35:AQ35)&gt;0,0,IF(AQ$25&gt;AQ33,AQ33,0)))))</f>
        <v>0</v>
      </c>
      <c r="AS35" s="115">
        <f>IF(SUM($D$28:AR28)=0,0,IF(IF(AS34&gt;0,AS34-(IF(SUM($D35:AR35)&gt;0,0,IF(AR$25&gt;AR33,AR33,0))),0)&lt;0,0,(IF(SUM($D35:AR35)&gt;0,0,IF(AR$25&gt;AR33,AR33,0)))))</f>
        <v>0</v>
      </c>
      <c r="AT35" s="115">
        <f>IF(SUM($D$28:AS28)=0,0,IF(IF(AT34&gt;0,AT34-(IF(SUM($D35:AS35)&gt;0,0,IF(AS$25&gt;AS33,AS33,0))),0)&lt;0,0,(IF(SUM($D35:AS35)&gt;0,0,IF(AS$25&gt;AS33,AS33,0)))))</f>
        <v>0</v>
      </c>
      <c r="AU35" s="115">
        <f>IF(SUM($D$28:AT28)=0,0,IF(IF(AU34&gt;0,AU34-(IF(SUM($D35:AT35)&gt;0,0,IF(AT$25&gt;AT33,AT33,0))),0)&lt;0,0,(IF(SUM($D35:AT35)&gt;0,0,IF(AT$25&gt;AT33,AT33,0)))))</f>
        <v>0</v>
      </c>
      <c r="AV35" s="115">
        <f>IF(SUM($D$28:AU28)=0,0,IF(IF(AV34&gt;0,AV34-(IF(SUM($D35:AU35)&gt;0,0,IF(AU$25&gt;AU33,AU33,0))),0)&lt;0,0,(IF(SUM($D35:AU35)&gt;0,0,IF(AU$25&gt;AU33,AU33,0)))))</f>
        <v>0</v>
      </c>
      <c r="AW35" s="115">
        <f>IF(SUM($D$28:AV28)=0,0,IF(IF(AW34&gt;0,AW34-(IF(SUM($D35:AV35)&gt;0,0,IF(AV$25&gt;AV33,AV33,0))),0)&lt;0,0,(IF(SUM($D35:AV35)&gt;0,0,IF(AV$25&gt;AV33,AV33,0)))))</f>
        <v>0</v>
      </c>
      <c r="AX35" s="115">
        <f>IF(SUM($D$28:AW28)=0,0,IF(IF(AX34&gt;0,AX34-(IF(SUM($D35:AW35)&gt;0,0,IF(AW$25&gt;AW33,AW33,0))),0)&lt;0,0,(IF(SUM($D35:AW35)&gt;0,0,IF(AW$25&gt;AW33,AW33,0)))))</f>
        <v>0</v>
      </c>
      <c r="AY35" s="115">
        <f>IF(SUM($D$28:AX28)=0,0,IF(IF(AY34&gt;0,AY34-(IF(SUM($D35:AX35)&gt;0,0,IF(AX$25&gt;AX33,AX33,0))),0)&lt;0,0,(IF(SUM($D35:AX35)&gt;0,0,IF(AX$25&gt;AX33,AX33,0)))))</f>
        <v>0</v>
      </c>
      <c r="AZ35" s="115">
        <f>IF(SUM($D$28:AY28)=0,0,IF(IF(AZ34&gt;0,AZ34-(IF(SUM($D35:AY35)&gt;0,0,IF(AY$25&gt;AY33,AY33,0))),0)&lt;0,0,(IF(SUM($D35:AY35)&gt;0,0,IF(AY$25&gt;AY33,AY33,0)))))</f>
        <v>0</v>
      </c>
      <c r="BA35" s="115">
        <f>IF(SUM($D$28:AZ28)=0,0,IF(IF(BA34&gt;0,BA34-(IF(SUM($D35:AZ35)&gt;0,0,IF(AZ$25&gt;AZ33,AZ33,0))),0)&lt;0,0,(IF(SUM($D35:AZ35)&gt;0,0,IF(AZ$25&gt;AZ33,AZ33,0)))))</f>
        <v>0</v>
      </c>
      <c r="BB35" s="115">
        <f>IF(SUM($D$28:BA28)=0,0,IF(IF(BB34&gt;0,BB34-(IF(SUM($D35:BA35)&gt;0,0,IF(BA$25&gt;BA33,BA33,0))),0)&lt;0,0,(IF(SUM($D35:BA35)&gt;0,0,IF(BA$25&gt;BA33,BA33,0)))))</f>
        <v>0</v>
      </c>
      <c r="BC35" s="115">
        <f>IF(SUM($D$28:BB28)=0,0,IF(IF(BC34&gt;0,BC34-(IF(SUM($D35:BB35)&gt;0,0,IF(BB$25&gt;BB33,BB33,0))),0)&lt;0,0,(IF(SUM($D35:BB35)&gt;0,0,IF(BB$25&gt;BB33,BB33,0)))))</f>
        <v>0</v>
      </c>
      <c r="BD35" s="115">
        <f>IF(SUM($D$28:BC28)=0,0,IF(IF(BD34&gt;0,BD34-(IF(SUM($D35:BC35)&gt;0,0,IF(BC$25&gt;BC33,BC33,0))),0)&lt;0,0,(IF(SUM($D35:BC35)&gt;0,0,IF(BC$25&gt;BC33,BC33,0)))))</f>
        <v>0</v>
      </c>
      <c r="BE35" s="115">
        <f>IF(SUM($D$28:BD28)=0,0,IF(IF(BE34&gt;0,BE34-(IF(SUM($D35:BD35)&gt;0,0,IF(BD$25&gt;BD33,BD33,0))),0)&lt;0,0,(IF(SUM($D35:BD35)&gt;0,0,IF(BD$25&gt;BD33,BD33,0)))))</f>
        <v>0</v>
      </c>
      <c r="BF35" s="115">
        <f>IF(SUM($D$28:BE28)=0,0,IF(IF(BF34&gt;0,BF34-(IF(SUM($D35:BE35)&gt;0,0,IF(BE$25&gt;BE33,BE33,0))),0)&lt;0,0,(IF(SUM($D35:BE35)&gt;0,0,IF(BE$25&gt;BE33,BE33,0)))))</f>
        <v>0</v>
      </c>
      <c r="BG35" s="115">
        <f>IF(SUM($D$28:BF28)=0,0,IF(IF(BG34&gt;0,BG34-(IF(SUM($D35:BF35)&gt;0,0,IF(BF$25&gt;BF33,BF33,0))),0)&lt;0,0,(IF(SUM($D35:BF35)&gt;0,0,IF(BF$25&gt;BF33,BF33,0)))))</f>
        <v>0</v>
      </c>
      <c r="BH35" s="115">
        <f>IF(SUM($D$28:BG28)=0,0,IF(IF(BH34&gt;0,BH34-(IF(SUM($D35:BG35)&gt;0,0,IF(BG$25&gt;BG33,BG33,0))),0)&lt;0,0,(IF(SUM($D35:BG35)&gt;0,0,IF(BG$25&gt;BG33,BG33,0)))))</f>
        <v>0</v>
      </c>
      <c r="BI35" s="115">
        <f>IF(SUM($D$28:BH28)=0,0,IF(IF(BI34&gt;0,BI34-(IF(SUM($D35:BH35)&gt;0,0,IF(BH$25&gt;BH33,BH33,0))),0)&lt;0,0,(IF(SUM($D35:BH35)&gt;0,0,IF(BH$25&gt;BH33,BH33,0)))))</f>
        <v>0</v>
      </c>
      <c r="BJ35" s="115">
        <f>IF(SUM($D$28:BI28)=0,0,IF(IF(BJ34&gt;0,BJ34-(IF(SUM($D35:BI35)&gt;0,0,IF(BI$25&gt;BI33,BI33,0))),0)&lt;0,0,(IF(SUM($D35:BI35)&gt;0,0,IF(BI$25&gt;BI33,BI33,0)))))</f>
        <v>0</v>
      </c>
      <c r="BK35" s="115">
        <f>IF(SUM($D$28:BJ28)=0,0,IF(IF(BK34&gt;0,BK34-(IF(SUM($D35:BJ35)&gt;0,0,IF(BJ$25&gt;BJ33,BJ33,0))),0)&lt;0,0,(IF(SUM($D35:BJ35)&gt;0,0,IF(BJ$25&gt;BJ33,BJ33,0)))))</f>
        <v>0</v>
      </c>
      <c r="BL35" s="115">
        <f>IF(SUM($D$28:BK28)=0,0,IF(IF(BL34&gt;0,BL34-(IF(SUM($D35:BK35)&gt;0,0,IF(BK$25&gt;BK33,BK33,0))),0)&lt;0,0,(IF(SUM($D35:BK35)&gt;0,0,IF(BK$25&gt;BK33,BK33,0)))))</f>
        <v>0</v>
      </c>
      <c r="BM35" s="115">
        <f>IF(SUM($D$28:BL28)=0,0,IF(IF(BM34&gt;0,BM34-(IF(SUM($D35:BL35)&gt;0,0,IF(BL$25&gt;BL33,BL33,0))),0)&lt;0,0,(IF(SUM($D35:BL35)&gt;0,0,IF(BL$25&gt;BL33,BL33,0)))))</f>
        <v>0</v>
      </c>
      <c r="BN35" s="115">
        <f>IF(SUM($D$28:BM28)=0,0,IF(IF(BN34&gt;0,BN34-(IF(SUM($D35:BM35)&gt;0,0,IF(BM$25&gt;BM33,BM33,0))),0)&lt;0,0,(IF(SUM($D35:BM35)&gt;0,0,IF(BM$25&gt;BM33,BM33,0)))))</f>
        <v>0</v>
      </c>
      <c r="BO35" s="115">
        <f>IF(SUM($D$28:BN28)=0,0,IF(IF(BO34&gt;0,BO34-(IF(SUM($D35:BN35)&gt;0,0,IF(BN$25&gt;BN33,BN33,0))),0)&lt;0,0,(IF(SUM($D35:BN35)&gt;0,0,IF(BN$25&gt;BN33,BN33,0)))))</f>
        <v>0</v>
      </c>
      <c r="BP35" s="115">
        <f>IF(SUM($D$28:BO28)=0,0,IF(IF(BP34&gt;0,BP34-(IF(SUM($D35:BO35)&gt;0,0,IF(BO$25&gt;BO33,BO33,0))),0)&lt;0,0,(IF(SUM($D35:BO35)&gt;0,0,IF(BO$25&gt;BO33,BO33,0)))))</f>
        <v>0</v>
      </c>
      <c r="BQ35" s="115">
        <f>IF(SUM($D$28:BP28)=0,0,IF(IF(BQ34&gt;0,BQ34-(IF(SUM($D35:BP35)&gt;0,0,IF(BP$25&gt;BP33,BP33,0))),0)&lt;0,0,(IF(SUM($D35:BP35)&gt;0,0,IF(BP$25&gt;BP33,BP33,0)))))</f>
        <v>0</v>
      </c>
      <c r="BR35" s="115">
        <f>IF(SUM($D$28:BQ28)=0,0,IF(IF(BR34&gt;0,BR34-(IF(SUM($D35:BQ35)&gt;0,0,IF(BQ$25&gt;BQ33,BQ33,0))),0)&lt;0,0,(IF(SUM($D35:BQ35)&gt;0,0,IF(BQ$25&gt;BQ33,BQ33,0)))))</f>
        <v>0</v>
      </c>
      <c r="BS35" s="115">
        <f>IF(SUM($D$28:BR28)=0,0,IF(IF(BS34&gt;0,BS34-(IF(SUM($D35:BR35)&gt;0,0,IF(BR$25&gt;BR33,BR33,0))),0)&lt;0,0,(IF(SUM($D35:BR35)&gt;0,0,IF(BR$25&gt;BR33,BR33,0)))))</f>
        <v>0</v>
      </c>
      <c r="BT35" s="115">
        <f>IF(SUM($D$28:BS28)=0,0,IF(IF(BT34&gt;0,BT34-(IF(SUM($D35:BS35)&gt;0,0,IF(BS$25&gt;BS33,BS33,0))),0)&lt;0,0,(IF(SUM($D35:BS35)&gt;0,0,IF(BS$25&gt;BS33,BS33,0)))))</f>
        <v>0</v>
      </c>
      <c r="BU35" s="115">
        <f>IF(SUM($D$28:BT28)=0,0,IF(IF(BU34&gt;0,BU34-(IF(SUM($D35:BT35)&gt;0,0,IF(BT$25&gt;BT33,BT33,0))),0)&lt;0,0,(IF(SUM($D35:BT35)&gt;0,0,IF(BT$25&gt;BT33,BT33,0)))))</f>
        <v>0</v>
      </c>
      <c r="BV35" s="115">
        <f>IF(SUM($D$28:BU28)=0,0,IF(IF(BV34&gt;0,BV34-(IF(SUM($D35:BU35)&gt;0,0,IF(BU$25&gt;BU33,BU33,0))),0)&lt;0,0,(IF(SUM($D35:BU35)&gt;0,0,IF(BU$25&gt;BU33,BU33,0)))))</f>
        <v>0</v>
      </c>
      <c r="BW35" s="115">
        <f>IF(SUM($D$28:BV28)=0,0,IF(IF(BW34&gt;0,BW34-(IF(SUM($D35:BV35)&gt;0,0,IF(BV$25&gt;BV33,BV33,0))),0)&lt;0,0,(IF(SUM($D35:BV35)&gt;0,0,IF(BV$25&gt;BV33,BV33,0)))))</f>
        <v>0</v>
      </c>
      <c r="BX35" s="115">
        <f>IF(SUM($D$28:BW28)=0,0,IF(IF(BX34&gt;0,BX34-(IF(SUM($D35:BW35)&gt;0,0,IF(BW$25&gt;BW33,BW33,0))),0)&lt;0,0,(IF(SUM($D35:BW35)&gt;0,0,IF(BW$25&gt;BW33,BW33,0)))))</f>
        <v>0</v>
      </c>
      <c r="BY35" s="115">
        <f>IF(SUM($D$28:BX28)=0,0,IF(IF(BY34&gt;0,BY34-(IF(SUM($D35:BX35)&gt;0,0,IF(BX$25&gt;BX33,BX33,0))),0)&lt;0,0,(IF(SUM($D35:BX35)&gt;0,0,IF(BX$25&gt;BX33,BX33,0)))))</f>
        <v>0</v>
      </c>
      <c r="BZ35" s="115">
        <f>IF(SUM($D$28:BY28)=0,0,IF(IF(BZ34&gt;0,BZ34-(IF(SUM($D35:BY35)&gt;0,0,IF(BY$25&gt;BY33,BY33,0))),0)&lt;0,0,(IF(SUM($D35:BY35)&gt;0,0,IF(BY$25&gt;BY33,BY33,0)))))</f>
        <v>0</v>
      </c>
      <c r="CA35" s="115">
        <f>IF(SUM($D$28:BZ28)=0,0,IF(IF(CA34&gt;0,CA34-(IF(SUM($D35:BZ35)&gt;0,0,IF(BZ$25&gt;BZ33,BZ33,0))),0)&lt;0,0,(IF(SUM($D35:BZ35)&gt;0,0,IF(BZ$25&gt;BZ33,BZ33,0)))))</f>
        <v>0</v>
      </c>
      <c r="CB35" s="115">
        <f>IF(SUM($D$28:CA28)=0,0,IF(IF(CB34&gt;0,CB34-(IF(SUM($D35:CA35)&gt;0,0,IF(CA$25&gt;CA33,CA33,0))),0)&lt;0,0,(IF(SUM($D35:CA35)&gt;0,0,IF(CA$25&gt;CA33,CA33,0)))))</f>
        <v>0</v>
      </c>
      <c r="CC35" s="115">
        <f>IF(SUM($D$28:CB28)=0,0,IF(IF(CC34&gt;0,CC34-(IF(SUM($D35:CB35)&gt;0,0,IF(CB$25&gt;CB33,CB33,0))),0)&lt;0,0,(IF(SUM($D35:CB35)&gt;0,0,IF(CB$25&gt;CB33,CB33,0)))))</f>
        <v>0</v>
      </c>
      <c r="CD35" s="115">
        <f>IF(SUM($D$28:CC28)=0,0,IF(IF(CD34&gt;0,CD34-(IF(SUM($D35:CC35)&gt;0,0,IF(CC$25&gt;CC33,CC33,0))),0)&lt;0,0,(IF(SUM($D35:CC35)&gt;0,0,IF(CC$25&gt;CC33,CC33,0)))))</f>
        <v>0</v>
      </c>
      <c r="CE35" s="115">
        <f>IF(SUM($D$28:CD28)=0,0,IF(IF(CE34&gt;0,CE34-(IF(SUM($D35:CD35)&gt;0,0,IF(CD$25&gt;CD33,CD33,0))),0)&lt;0,0,(IF(SUM($D35:CD35)&gt;0,0,IF(CD$25&gt;CD33,CD33,0)))))</f>
        <v>0</v>
      </c>
      <c r="CF35" s="115">
        <f>IF(SUM($D$28:CE28)=0,0,IF(IF(CF34&gt;0,CF34-(IF(SUM($D35:CE35)&gt;0,0,IF(CE$25&gt;CE33,CE33,0))),0)&lt;0,0,(IF(SUM($D35:CE35)&gt;0,0,IF(CE$25&gt;CE33,CE33,0)))))</f>
        <v>0</v>
      </c>
      <c r="CG35" s="115">
        <f>IF(SUM($D$28:CF28)=0,0,IF(IF(CG34&gt;0,CG34-(IF(SUM($D35:CF35)&gt;0,0,IF(CF$25&gt;CF33,CF33,0))),0)&lt;0,0,(IF(SUM($D35:CF35)&gt;0,0,IF(CF$25&gt;CF33,CF33,0)))))</f>
        <v>0</v>
      </c>
      <c r="CH35" s="115">
        <f>IF(SUM($D$28:CG28)=0,0,IF(IF(CH34&gt;0,CH34-(IF(SUM($D35:CG35)&gt;0,0,IF(CG$25&gt;CG33,CG33,0))),0)&lt;0,0,(IF(SUM($D35:CG35)&gt;0,0,IF(CG$25&gt;CG33,CG33,0)))))</f>
        <v>0</v>
      </c>
      <c r="CI35" s="115">
        <f>IF(SUM($D$28:CH28)=0,0,IF(IF(CI34&gt;0,CI34-(IF(SUM($D35:CH35)&gt;0,0,IF(CH$25&gt;CH33,CH33,0))),0)&lt;0,0,(IF(SUM($D35:CH35)&gt;0,0,IF(CH$25&gt;CH33,CH33,0)))))</f>
        <v>0</v>
      </c>
      <c r="CJ35" s="115">
        <f>IF(SUM($D$28:CI28)=0,0,IF(IF(CJ34&gt;0,CJ34-(IF(SUM($D35:CI35)&gt;0,0,IF(CI$25&gt;CI33,CI33,0))),0)&lt;0,0,(IF(SUM($D35:CI35)&gt;0,0,IF(CI$25&gt;CI33,CI33,0)))))</f>
        <v>0</v>
      </c>
      <c r="CK35" s="115">
        <f>IF(SUM($D$28:CJ28)=0,0,IF(IF(CK34&gt;0,CK34-(IF(SUM($D35:CJ35)&gt;0,0,IF(CJ$25&gt;CJ33,CJ33,0))),0)&lt;0,0,(IF(SUM($D35:CJ35)&gt;0,0,IF(CJ$25&gt;CJ33,CJ33,0)))))</f>
        <v>0</v>
      </c>
      <c r="CL35" s="115">
        <f>IF(SUM($D$28:CK28)=0,0,IF(IF(CL34&gt;0,CL34-(IF(SUM($D35:CK35)&gt;0,0,IF(CK$25&gt;CK33,CK33,0))),0)&lt;0,0,(IF(SUM($D35:CK35)&gt;0,0,IF(CK$25&gt;CK33,CK33,0)))))</f>
        <v>0</v>
      </c>
      <c r="CM35" s="115">
        <f>IF(SUM($D$28:CL28)=0,0,IF(IF(CM34&gt;0,CM34-(IF(SUM($D35:CL35)&gt;0,0,IF(CL$25&gt;CL33,CL33,0))),0)&lt;0,0,(IF(SUM($D35:CL35)&gt;0,0,IF(CL$25&gt;CL33,CL33,0)))))</f>
        <v>0</v>
      </c>
      <c r="CN35" s="115">
        <f>IF(SUM($D$28:CM28)=0,0,IF(IF(CN34&gt;0,CN34-(IF(SUM($D35:CM35)&gt;0,0,IF(CM$25&gt;CM33,CM33,0))),0)&lt;0,0,(IF(SUM($D35:CM35)&gt;0,0,IF(CM$25&gt;CM33,CM33,0)))))</f>
        <v>0</v>
      </c>
      <c r="CO35" s="115">
        <f>IF(SUM($D$28:CN28)=0,0,IF(IF(CO34&gt;0,CO34-(IF(SUM($D35:CN35)&gt;0,0,IF(CN$25&gt;CN33,CN33,0))),0)&lt;0,0,(IF(SUM($D35:CN35)&gt;0,0,IF(CN$25&gt;CN33,CN33,0)))))</f>
        <v>0</v>
      </c>
      <c r="CP35" s="115">
        <f>IF(SUM($D$28:CO28)=0,0,IF(IF(CP34&gt;0,CP34-(IF(SUM($D35:CO35)&gt;0,0,IF(CO$25&gt;CO33,CO33,0))),0)&lt;0,0,(IF(SUM($D35:CO35)&gt;0,0,IF(CO$25&gt;CO33,CO33,0)))))</f>
        <v>0</v>
      </c>
      <c r="CQ35" s="115">
        <f>IF(SUM($D$28:CP28)=0,0,IF(IF(CQ34&gt;0,CQ34-(IF(SUM($D35:CP35)&gt;0,0,IF(CP$25&gt;CP33,CP33,0))),0)&lt;0,0,(IF(SUM($D35:CP35)&gt;0,0,IF(CP$25&gt;CP33,CP33,0)))))</f>
        <v>0</v>
      </c>
      <c r="CR35" s="115">
        <f>IF(SUM($D$28:CQ28)=0,0,IF(IF(CR34&gt;0,CR34-(IF(SUM($D35:CQ35)&gt;0,0,IF(CQ$25&gt;CQ33,CQ33,0))),0)&lt;0,0,(IF(SUM($D35:CQ35)&gt;0,0,IF(CQ$25&gt;CQ33,CQ33,0)))))</f>
        <v>0</v>
      </c>
      <c r="CS35" s="115">
        <f>IF(SUM($D$28:CR28)=0,0,IF(IF(CS34&gt;0,CS34-(IF(SUM($D35:CR35)&gt;0,0,IF(CR$25&gt;CR33,CR33,0))),0)&lt;0,0,(IF(SUM($D35:CR35)&gt;0,0,IF(CR$25&gt;CR33,CR33,0)))))</f>
        <v>0</v>
      </c>
      <c r="CT35" s="115">
        <f>IF(SUM($D$28:CS28)=0,0,IF(IF(CT34&gt;0,CT34-(IF(SUM($D35:CS35)&gt;0,0,IF(CS$25&gt;CS33,CS33,0))),0)&lt;0,0,(IF(SUM($D35:CS35)&gt;0,0,IF(CS$25&gt;CS33,CS33,0)))))</f>
        <v>0</v>
      </c>
      <c r="CU35" s="115">
        <f>IF(SUM($D$28:CT28)=0,0,IF(IF(CU34&gt;0,CU34-(IF(SUM($D35:CT35)&gt;0,0,IF(CT$25&gt;CT33,CT33,0))),0)&lt;0,0,(IF(SUM($D35:CT35)&gt;0,0,IF(CT$25&gt;CT33,CT33,0)))))</f>
        <v>0</v>
      </c>
      <c r="CV35" s="115">
        <f>IF(SUM($D$28:CU28)=0,0,IF(IF(CV34&gt;0,CV34-(IF(SUM($D35:CU35)&gt;0,0,IF(CU$25&gt;CU33,CU33,0))),0)&lt;0,0,(IF(SUM($D35:CU35)&gt;0,0,IF(CU$25&gt;CU33,CU33,0)))))</f>
        <v>0</v>
      </c>
      <c r="CW35" s="115">
        <f>IF(SUM($D$28:CV28)=0,0,IF(IF(CW34&gt;0,CW34-(IF(SUM($D35:CV35)&gt;0,0,IF(CV$25&gt;CV33,CV33,0))),0)&lt;0,0,(IF(SUM($D35:CV35)&gt;0,0,IF(CV$25&gt;CV33,CV33,0)))))</f>
        <v>0</v>
      </c>
      <c r="CX35" s="115">
        <f>IF(SUM($D$28:CW28)=0,0,IF(IF(CX34&gt;0,CX34-(IF(SUM($D35:CW35)&gt;0,0,IF(CW$25&gt;CW33,CW33,0))),0)&lt;0,0,(IF(SUM($D35:CW35)&gt;0,0,IF(CW$25&gt;CW33,CW33,0)))))</f>
        <v>0</v>
      </c>
      <c r="CY35" s="115">
        <f>IF(SUM($D$28:CX28)=0,0,IF(IF(CY34&gt;0,CY34-(IF(SUM($D35:CX35)&gt;0,0,IF(CX$25&gt;CX33,CX33,0))),0)&lt;0,0,(IF(SUM($D35:CX35)&gt;0,0,IF(CX$25&gt;CX33,CX33,0)))))</f>
        <v>0</v>
      </c>
      <c r="CZ35" s="115">
        <f>IF(SUM($D$28:CY28)=0,0,IF(IF(CZ34&gt;0,CZ34-(IF(SUM($D35:CY35)&gt;0,0,IF(CY$25&gt;CY33,CY33,0))),0)&lt;0,0,(IF(SUM($D35:CY35)&gt;0,0,IF(CY$25&gt;CY33,CY33,0)))))</f>
        <v>0</v>
      </c>
      <c r="DA35" s="115">
        <f>IF(SUM($D$28:CZ28)=0,0,IF(IF(DA34&gt;0,DA34-(IF(SUM($D35:CZ35)&gt;0,0,IF(CZ$25&gt;CZ33,CZ33,0))),0)&lt;0,0,(IF(SUM($D35:CZ35)&gt;0,0,IF(CZ$25&gt;CZ33,CZ33,0)))))</f>
        <v>0</v>
      </c>
      <c r="DB35" s="115">
        <f>IF(SUM($D$28:DA28)=0,0,IF(IF(DB34&gt;0,DB34-(IF(SUM($D35:DA35)&gt;0,0,IF(DA$25&gt;DA33,DA33,0))),0)&lt;0,0,(IF(SUM($D35:DA35)&gt;0,0,IF(DA$25&gt;DA33,DA33,0)))))</f>
        <v>0</v>
      </c>
      <c r="DC35" s="115">
        <f>IF(SUM($D$28:DB28)=0,0,IF(IF(DC34&gt;0,DC34-(IF(SUM($D35:DB35)&gt;0,0,IF(DB$25&gt;DB33,DB33,0))),0)&lt;0,0,(IF(SUM($D35:DB35)&gt;0,0,IF(DB$25&gt;DB33,DB33,0)))))</f>
        <v>0</v>
      </c>
      <c r="DD35" s="115">
        <f>IF(SUM($D$28:DC28)=0,0,IF(IF(DD34&gt;0,DD34-(IF(SUM($D35:DC35)&gt;0,0,IF(DC$25&gt;DC33,DC33,0))),0)&lt;0,0,(IF(SUM($D35:DC35)&gt;0,0,IF(DC$25&gt;DC33,DC33,0)))))</f>
        <v>0</v>
      </c>
      <c r="DE35" s="115">
        <f>IF(SUM($D$28:DD28)=0,0,IF(IF(DE34&gt;0,DE34-(IF(SUM($D35:DD35)&gt;0,0,IF(DD$25&gt;DD33,DD33,0))),0)&lt;0,0,(IF(SUM($D35:DD35)&gt;0,0,IF(DD$25&gt;DD33,DD33,0)))))</f>
        <v>0</v>
      </c>
      <c r="DF35" s="115">
        <f>IF(SUM($D$28:DE28)=0,0,IF(IF(DF34&gt;0,DF34-(IF(SUM($D35:DE35)&gt;0,0,IF(DE$25&gt;DE33,DE33,0))),0)&lt;0,0,(IF(SUM($D35:DE35)&gt;0,0,IF(DE$25&gt;DE33,DE33,0)))))</f>
        <v>0</v>
      </c>
      <c r="DG35" s="115">
        <f>IF(SUM($D$28:DF28)=0,0,IF(IF(DG34&gt;0,DG34-(IF(SUM($D35:DF35)&gt;0,0,IF(DF$25&gt;DF33,DF33,0))),0)&lt;0,0,(IF(SUM($D35:DF35)&gt;0,0,IF(DF$25&gt;DF33,DF33,0)))))</f>
        <v>0</v>
      </c>
      <c r="DH35" s="115">
        <f>IF(SUM($D$28:DG28)=0,0,IF(IF(DH34&gt;0,DH34-(IF(SUM($D35:DG35)&gt;0,0,IF(DG$25&gt;DG33,DG33,0))),0)&lt;0,0,(IF(SUM($D35:DG35)&gt;0,0,IF(DG$25&gt;DG33,DG33,0)))))</f>
        <v>0</v>
      </c>
      <c r="DI35" s="115">
        <f>IF(SUM($D$28:DH28)=0,0,IF(IF(DI34&gt;0,DI34-(IF(SUM($D35:DH35)&gt;0,0,IF(DH$25&gt;DH33,DH33,0))),0)&lt;0,0,(IF(SUM($D35:DH35)&gt;0,0,IF(DH$25&gt;DH33,DH33,0)))))</f>
        <v>0</v>
      </c>
      <c r="DJ35" s="115">
        <f>IF(SUM($D$28:DI28)=0,0,IF(IF(DJ34&gt;0,DJ34-(IF(SUM($D35:DI35)&gt;0,0,IF(DI$25&gt;DI33,DI33,0))),0)&lt;0,0,(IF(SUM($D35:DI35)&gt;0,0,IF(DI$25&gt;DI33,DI33,0)))))</f>
        <v>0</v>
      </c>
      <c r="DK35" s="115">
        <f>IF(SUM($D$28:DJ28)=0,0,IF(IF(DK34&gt;0,DK34-(IF(SUM($D35:DJ35)&gt;0,0,IF(DJ$25&gt;DJ33,DJ33,0))),0)&lt;0,0,(IF(SUM($D35:DJ35)&gt;0,0,IF(DJ$25&gt;DJ33,DJ33,0)))))</f>
        <v>0</v>
      </c>
      <c r="DL35" s="115">
        <f>IF(SUM($D$28:DK28)=0,0,IF(IF(DL34&gt;0,DL34-(IF(SUM($D35:DK35)&gt;0,0,IF(DK$25&gt;DK33,DK33,0))),0)&lt;0,0,(IF(SUM($D35:DK35)&gt;0,0,IF(DK$25&gt;DK33,DK33,0)))))</f>
        <v>0</v>
      </c>
      <c r="DM35" s="115">
        <f>IF(SUM($D$28:DL28)=0,0,IF(IF(DM34&gt;0,DM34-(IF(SUM($D35:DL35)&gt;0,0,IF(DL$25&gt;DL33,DL33,0))),0)&lt;0,0,(IF(SUM($D35:DL35)&gt;0,0,IF(DL$25&gt;DL33,DL33,0)))))</f>
        <v>0</v>
      </c>
      <c r="DN35" s="115">
        <f>IF(SUM($D$28:DM28)=0,0,IF(IF(DN34&gt;0,DN34-(IF(SUM($D35:DM35)&gt;0,0,IF(DM$25&gt;DM33,DM33,0))),0)&lt;0,0,(IF(SUM($D35:DM35)&gt;0,0,IF(DM$25&gt;DM33,DM33,0)))))</f>
        <v>0</v>
      </c>
      <c r="DO35" s="115">
        <f>IF(SUM($D$28:DN28)=0,0,IF(IF(DO34&gt;0,DO34-(IF(SUM($D35:DN35)&gt;0,0,IF(DN$25&gt;DN33,DN33,0))),0)&lt;0,0,(IF(SUM($D35:DN35)&gt;0,0,IF(DN$25&gt;DN33,DN33,0)))))</f>
        <v>0</v>
      </c>
      <c r="DP35" s="115">
        <f>IF(SUM($D$28:DO28)=0,0,IF(IF(DP34&gt;0,DP34-(IF(SUM($D35:DO35)&gt;0,0,IF(DO$25&gt;DO33,DO33,0))),0)&lt;0,0,(IF(SUM($D35:DO35)&gt;0,0,IF(DO$25&gt;DO33,DO33,0)))))</f>
        <v>0</v>
      </c>
      <c r="DQ35" s="115">
        <f>IF(SUM($D$28:DP28)=0,0,IF(IF(DQ34&gt;0,DQ34-(IF(SUM($D35:DP35)&gt;0,0,IF(DP$25&gt;DP33,DP33,0))),0)&lt;0,0,(IF(SUM($D35:DP35)&gt;0,0,IF(DP$25&gt;DP33,DP33,0)))))</f>
        <v>0</v>
      </c>
      <c r="DR35" s="115">
        <f>IF(SUM($D$28:DQ28)=0,0,IF(IF(DR34&gt;0,DR34-(IF(SUM($D35:DQ35)&gt;0,0,IF(DQ$25&gt;DQ33,DQ33,0))),0)&lt;0,0,(IF(SUM($D35:DQ35)&gt;0,0,IF(DQ$25&gt;DQ33,DQ33,0)))))</f>
        <v>0</v>
      </c>
      <c r="DS35" s="115">
        <f>IF(SUM($D$28:DR28)=0,0,IF(IF(DS34&gt;0,DS34-(IF(SUM($D35:DR35)&gt;0,0,IF(DR$25&gt;DR33,DR33,0))),0)&lt;0,0,(IF(SUM($D35:DR35)&gt;0,0,IF(DR$25&gt;DR33,DR33,0)))))</f>
        <v>0</v>
      </c>
      <c r="DT35" s="115">
        <f>IF(SUM($D$28:DS28)=0,0,IF(IF(DT34&gt;0,DT34-(IF(SUM($D35:DS35)&gt;0,0,IF(DS$25&gt;DS33,DS33,0))),0)&lt;0,0,(IF(SUM($D35:DS35)&gt;0,0,IF(DS$25&gt;DS33,DS33,0)))))</f>
        <v>0</v>
      </c>
      <c r="DU35" s="115">
        <f>IF(SUM($D$28:DT28)=0,0,IF(IF(DU34&gt;0,DU34-(IF(SUM($D35:DT35)&gt;0,0,IF(DT$25&gt;DT33,DT33,0))),0)&lt;0,0,(IF(SUM($D35:DT35)&gt;0,0,IF(DT$25&gt;DT33,DT33,0)))))</f>
        <v>0</v>
      </c>
      <c r="DV35" s="115">
        <f>IF(SUM($D$28:DU28)=0,0,IF(IF(DV34&gt;0,DV34-(IF(SUM($D35:DU35)&gt;0,0,IF(DU$25&gt;DU33,DU33,0))),0)&lt;0,0,(IF(SUM($D35:DU35)&gt;0,0,IF(DU$25&gt;DU33,DU33,0)))))</f>
        <v>0</v>
      </c>
      <c r="DW35" s="115">
        <f>IF(SUM($D$28:DV28)=0,0,IF(IF(DW34&gt;0,DW34-(IF(SUM($D35:DV35)&gt;0,0,IF(DV$25&gt;DV33,DV33,0))),0)&lt;0,0,(IF(SUM($D35:DV35)&gt;0,0,IF(DV$25&gt;DV33,DV33,0)))))</f>
        <v>0</v>
      </c>
      <c r="DX35" s="115">
        <f>IF(SUM($D$28:DW28)=0,0,IF(IF(DX34&gt;0,DX34-(IF(SUM($D35:DW35)&gt;0,0,IF(DW$25&gt;DW33,DW33,0))),0)&lt;0,0,(IF(SUM($D35:DW35)&gt;0,0,IF(DW$25&gt;DW33,DW33,0)))))</f>
        <v>0</v>
      </c>
      <c r="DY35" s="115">
        <f>IF(SUM($D$28:DX28)=0,0,IF(IF(DY34&gt;0,DY34-(IF(SUM($D35:DX35)&gt;0,0,IF(DX$25&gt;DX33,DX33,0))),0)&lt;0,0,(IF(SUM($D35:DX35)&gt;0,0,IF(DX$25&gt;DX33,DX33,0)))))</f>
        <v>0</v>
      </c>
      <c r="DZ35" s="115">
        <f>IF(SUM($D$28:DY28)=0,0,IF(IF(DZ34&gt;0,DZ34-(IF(SUM($D35:DY35)&gt;0,0,IF(DY$25&gt;DY33,DY33,0))),0)&lt;0,0,(IF(SUM($D35:DY35)&gt;0,0,IF(DY$25&gt;DY33,DY33,0)))))</f>
        <v>0</v>
      </c>
      <c r="EA35" s="115">
        <f>IF(SUM($D$28:DZ28)=0,0,IF(IF(EA34&gt;0,EA34-(IF(SUM($D35:DZ35)&gt;0,0,IF(DZ$25&gt;DZ33,DZ33,0))),0)&lt;0,0,(IF(SUM($D35:DZ35)&gt;0,0,IF(DZ$25&gt;DZ33,DZ33,0)))))</f>
        <v>0</v>
      </c>
      <c r="EB35" s="115">
        <f>IF(SUM($D$28:EA28)=0,0,IF(IF(EB34&gt;0,EB34-(IF(SUM($D35:EA35)&gt;0,0,IF(EA$25&gt;EA33,EA33,0))),0)&lt;0,0,(IF(SUM($D35:EA35)&gt;0,0,IF(EA$25&gt;EA33,EA33,0)))))</f>
        <v>0</v>
      </c>
      <c r="EC35" s="115">
        <f>IF(SUM($D$28:EB28)=0,0,IF(IF(EC34&gt;0,EC34-(IF(SUM($D35:EB35)&gt;0,0,IF(EB$25&gt;EB33,EB33,0))),0)&lt;0,0,(IF(SUM($D35:EB35)&gt;0,0,IF(EB$25&gt;EB33,EB33,0)))))</f>
        <v>0</v>
      </c>
      <c r="ED35" s="115">
        <f>IF(SUM($D$28:EC28)=0,0,IF(IF(ED34&gt;0,ED34-(IF(SUM($D35:EC35)&gt;0,0,IF(EC$25&gt;EC33,EC33,0))),0)&lt;0,0,(IF(SUM($D35:EC35)&gt;0,0,IF(EC$25&gt;EC33,EC33,0)))))</f>
        <v>0</v>
      </c>
      <c r="EE35" s="115">
        <f>IF(SUM($D$28:ED28)=0,0,IF(IF(EE34&gt;0,EE34-(IF(SUM($D35:ED35)&gt;0,0,IF(ED$25&gt;ED33,ED33,0))),0)&lt;0,0,(IF(SUM($D35:ED35)&gt;0,0,IF(ED$25&gt;ED33,ED33,0)))))</f>
        <v>0</v>
      </c>
      <c r="EF35" s="115">
        <f>IF(SUM($D$28:EE28)=0,0,IF(IF(EF34&gt;0,EF34-(IF(SUM($D35:EE35)&gt;0,0,IF(EE$25&gt;EE33,EE33,0))),0)&lt;0,0,(IF(SUM($D35:EE35)&gt;0,0,IF(EE$25&gt;EE33,EE33,0)))))</f>
        <v>0</v>
      </c>
      <c r="EG35" s="115">
        <f>IF(SUM($D$28:EF28)=0,0,IF(IF(EG34&gt;0,EG34-(IF(SUM($D35:EF35)&gt;0,0,IF(EF$25&gt;EF33,EF33,0))),0)&lt;0,0,(IF(SUM($D35:EF35)&gt;0,0,IF(EF$25&gt;EF33,EF33,0)))))</f>
        <v>0</v>
      </c>
      <c r="EH35" s="115">
        <f>IF(SUM($D$28:EG28)=0,0,IF(IF(EH34&gt;0,EH34-(IF(SUM($D35:EG35)&gt;0,0,IF(EG$25&gt;EG33,EG33,0))),0)&lt;0,0,(IF(SUM($D35:EG35)&gt;0,0,IF(EG$25&gt;EG33,EG33,0)))))</f>
        <v>0</v>
      </c>
      <c r="EI35" s="115">
        <f>IF(SUM($D$28:EH28)=0,0,IF(IF(EI34&gt;0,EI34-(IF(SUM($D35:EH35)&gt;0,0,IF(EH$25&gt;EH33,EH33,0))),0)&lt;0,0,(IF(SUM($D35:EH35)&gt;0,0,IF(EH$25&gt;EH33,EH33,0)))))</f>
        <v>0</v>
      </c>
      <c r="EJ35" s="115">
        <f>IF(SUM($D$28:EI28)=0,0,IF(IF(EJ34&gt;0,EJ34-(IF(SUM($D35:EI35)&gt;0,0,IF(EI$25&gt;EI33,EI33,0))),0)&lt;0,0,(IF(SUM($D35:EI35)&gt;0,0,IF(EI$25&gt;EI33,EI33,0)))))</f>
        <v>0</v>
      </c>
      <c r="EK35" s="115">
        <f>IF(SUM($D$28:EJ28)=0,0,IF(IF(EK34&gt;0,EK34-(IF(SUM($D35:EJ35)&gt;0,0,IF(EJ$25&gt;EJ33,EJ33,0))),0)&lt;0,0,(IF(SUM($D35:EJ35)&gt;0,0,IF(EJ$25&gt;EJ33,EJ33,0)))))</f>
        <v>0</v>
      </c>
      <c r="EL35" s="115">
        <f>IF(SUM($D$28:EK28)=0,0,IF(IF(EL34&gt;0,EL34-(IF(SUM($D35:EK35)&gt;0,0,IF(EK$25&gt;EK33,EK33,0))),0)&lt;0,0,(IF(SUM($D35:EK35)&gt;0,0,IF(EK$25&gt;EK33,EK33,0)))))</f>
        <v>0</v>
      </c>
      <c r="EM35" s="115">
        <f>IF(SUM($D$28:EL28)=0,0,IF(IF(EM34&gt;0,EM34-(IF(SUM($D35:EL35)&gt;0,0,IF(EL$25&gt;EL33,EL33,0))),0)&lt;0,0,(IF(SUM($D35:EL35)&gt;0,0,IF(EL$25&gt;EL33,EL33,0)))))</f>
        <v>0</v>
      </c>
      <c r="EN35" s="115">
        <f>IF(SUM($D$28:EM28)=0,0,IF(IF(EN34&gt;0,EN34-(IF(SUM($D35:EM35)&gt;0,0,IF(EM$25&gt;EM33,EM33,0))),0)&lt;0,0,(IF(SUM($D35:EM35)&gt;0,0,IF(EM$25&gt;EM33,EM33,0)))))</f>
        <v>0</v>
      </c>
      <c r="EO35" s="115">
        <f>IF(SUM($D$28:EN28)=0,0,IF(IF(EO34&gt;0,EO34-(IF(SUM($D35:EN35)&gt;0,0,IF(EN$25&gt;EN33,EN33,0))),0)&lt;0,0,(IF(SUM($D35:EN35)&gt;0,0,IF(EN$25&gt;EN33,EN33,0)))))</f>
        <v>0</v>
      </c>
      <c r="EP35" s="115">
        <f>IF(SUM($D$28:EO28)=0,0,IF(IF(EP34&gt;0,EP34-(IF(SUM($D35:EO35)&gt;0,0,IF(EO$25&gt;EO33,EO33,0))),0)&lt;0,0,(IF(SUM($D35:EO35)&gt;0,0,IF(EO$25&gt;EO33,EO33,0)))))</f>
        <v>0</v>
      </c>
      <c r="EQ35" s="115">
        <f>IF(SUM($D$28:EP28)=0,0,IF(IF(EQ34&gt;0,EQ34-(IF(SUM($D35:EP35)&gt;0,0,IF(EP$25&gt;EP33,EP33,0))),0)&lt;0,0,(IF(SUM($D35:EP35)&gt;0,0,IF(EP$25&gt;EP33,EP33,0)))))</f>
        <v>0</v>
      </c>
      <c r="ER35" s="115">
        <f>IF(SUM($D$28:EQ28)=0,0,IF(IF(ER34&gt;0,ER34-(IF(SUM($D35:EQ35)&gt;0,0,IF(EQ$25&gt;EQ33,EQ33,0))),0)&lt;0,0,(IF(SUM($D35:EQ35)&gt;0,0,IF(EQ$25&gt;EQ33,EQ33,0)))))</f>
        <v>0</v>
      </c>
      <c r="ES35" s="115">
        <f>IF(SUM($D$28:ER28)=0,0,IF(IF(ES34&gt;0,ES34-(IF(SUM($D35:ER35)&gt;0,0,IF(ER$25&gt;ER33,ER33,0))),0)&lt;0,0,(IF(SUM($D35:ER35)&gt;0,0,IF(ER$25&gt;ER33,ER33,0)))))</f>
        <v>0</v>
      </c>
      <c r="ET35" s="115">
        <f>IF(SUM($D$28:ES28)=0,0,IF(IF(ET34&gt;0,ET34-(IF(SUM($D35:ES35)&gt;0,0,IF(ES$25&gt;ES33,ES33,0))),0)&lt;0,0,(IF(SUM($D35:ES35)&gt;0,0,IF(ES$25&gt;ES33,ES33,0)))))</f>
        <v>0</v>
      </c>
      <c r="EU35" s="115">
        <f>IF(SUM($D$28:ET28)=0,0,IF(IF(EU34&gt;0,EU34-(IF(SUM($D35:ET35)&gt;0,0,IF(ET$25&gt;ET33,ET33,0))),0)&lt;0,0,(IF(SUM($D35:ET35)&gt;0,0,IF(ET$25&gt;ET33,ET33,0)))))</f>
        <v>0</v>
      </c>
      <c r="EV35" s="115">
        <f>IF(SUM($D$28:EU28)=0,0,IF(IF(EV34&gt;0,EV34-(IF(SUM($D35:EU35)&gt;0,0,IF(EU$25&gt;EU33,EU33,0))),0)&lt;0,0,(IF(SUM($D35:EU35)&gt;0,0,IF(EU$25&gt;EU33,EU33,0)))))</f>
        <v>0</v>
      </c>
      <c r="EW35" s="115">
        <f>IF(SUM($D$28:EV28)=0,0,IF(IF(EW34&gt;0,EW34-(IF(SUM($D35:EV35)&gt;0,0,IF(EV$25&gt;EV33,EV33,0))),0)&lt;0,0,(IF(SUM($D35:EV35)&gt;0,0,IF(EV$25&gt;EV33,EV33,0)))))</f>
        <v>0</v>
      </c>
      <c r="EX35" s="115">
        <f>IF(SUM($D$28:EW28)=0,0,IF(IF(EX34&gt;0,EX34-(IF(SUM($D35:EW35)&gt;0,0,IF(EW$25&gt;EW33,EW33,0))),0)&lt;0,0,(IF(SUM($D35:EW35)&gt;0,0,IF(EW$25&gt;EW33,EW33,0)))))</f>
        <v>0</v>
      </c>
      <c r="EY35" s="115">
        <f>IF(SUM($D$28:EX28)=0,0,IF(IF(EY34&gt;0,EY34-(IF(SUM($D35:EX35)&gt;0,0,IF(EX$25&gt;EX33,EX33,0))),0)&lt;0,0,(IF(SUM($D35:EX35)&gt;0,0,IF(EX$25&gt;EX33,EX33,0)))))</f>
        <v>0</v>
      </c>
      <c r="EZ35" s="115">
        <f>IF(SUM($D$28:EY28)=0,0,IF(IF(EZ34&gt;0,EZ34-(IF(SUM($D35:EY35)&gt;0,0,IF(EY$25&gt;EY33,EY33,0))),0)&lt;0,0,(IF(SUM($D35:EY35)&gt;0,0,IF(EY$25&gt;EY33,EY33,0)))))</f>
        <v>0</v>
      </c>
      <c r="FA35" s="115">
        <f>IF(SUM($D$28:EZ28)=0,0,IF(IF(FA34&gt;0,FA34-(IF(SUM($D35:EZ35)&gt;0,0,IF(EZ$25&gt;EZ33,EZ33,0))),0)&lt;0,0,(IF(SUM($D35:EZ35)&gt;0,0,IF(EZ$25&gt;EZ33,EZ33,0)))))</f>
        <v>0</v>
      </c>
      <c r="FB35" s="115">
        <f>IF(SUM($D$28:FA28)=0,0,IF(IF(FB34&gt;0,FB34-(IF(SUM($D35:FA35)&gt;0,0,IF(FA$25&gt;FA33,FA33,0))),0)&lt;0,0,(IF(SUM($D35:FA35)&gt;0,0,IF(FA$25&gt;FA33,FA33,0)))))</f>
        <v>0</v>
      </c>
      <c r="FC35" s="115">
        <f>IF(SUM($D$28:FB28)=0,0,IF(IF(FC34&gt;0,FC34-(IF(SUM($D35:FB35)&gt;0,0,IF(FB$25&gt;FB33,FB33,0))),0)&lt;0,0,(IF(SUM($D35:FB35)&gt;0,0,IF(FB$25&gt;FB33,FB33,0)))))</f>
        <v>0</v>
      </c>
      <c r="FD35" s="115">
        <f>IF(SUM($D$28:FC28)=0,0,IF(IF(FD34&gt;0,FD34-(IF(SUM($D35:FC35)&gt;0,0,IF(FC$25&gt;FC33,FC33,0))),0)&lt;0,0,(IF(SUM($D35:FC35)&gt;0,0,IF(FC$25&gt;FC33,FC33,0)))))</f>
        <v>0</v>
      </c>
      <c r="FE35" s="115">
        <f>IF(SUM($D$28:FD28)=0,0,IF(IF(FE34&gt;0,FE34-(IF(SUM($D35:FD35)&gt;0,0,IF(FD$25&gt;FD33,FD33,0))),0)&lt;0,0,(IF(SUM($D35:FD35)&gt;0,0,IF(FD$25&gt;FD33,FD33,0)))))</f>
        <v>0</v>
      </c>
      <c r="FF35" s="115">
        <f>IF(SUM($D$28:FE28)=0,0,IF(IF(FF34&gt;0,FF34-(IF(SUM($D35:FE35)&gt;0,0,IF(FE$25&gt;FE33,FE33,0))),0)&lt;0,0,(IF(SUM($D35:FE35)&gt;0,0,IF(FE$25&gt;FE33,FE33,0)))))</f>
        <v>0</v>
      </c>
      <c r="FG35" s="115">
        <f>IF(SUM($D$28:FF28)=0,0,IF(IF(FG34&gt;0,FG34-(IF(SUM($D35:FF35)&gt;0,0,IF(FF$25&gt;FF33,FF33,0))),0)&lt;0,0,(IF(SUM($D35:FF35)&gt;0,0,IF(FF$25&gt;FF33,FF33,0)))))</f>
        <v>0</v>
      </c>
      <c r="FH35" s="115">
        <f>IF(SUM($D$28:FG28)=0,0,IF(IF(FH34&gt;0,FH34-(IF(SUM($D35:FG35)&gt;0,0,IF(FG$25&gt;FG33,FG33,0))),0)&lt;0,0,(IF(SUM($D35:FG35)&gt;0,0,IF(FG$25&gt;FG33,FG33,0)))))</f>
        <v>0</v>
      </c>
      <c r="FI35" s="115">
        <f>IF(SUM($D$28:FH28)=0,0,IF(IF(FI34&gt;0,FI34-(IF(SUM($D35:FH35)&gt;0,0,IF(FH$25&gt;FH33,FH33,0))),0)&lt;0,0,(IF(SUM($D35:FH35)&gt;0,0,IF(FH$25&gt;FH33,FH33,0)))))</f>
        <v>0</v>
      </c>
      <c r="FJ35" s="115">
        <f>IF(SUM($D$28:FI28)=0,0,IF(IF(FJ34&gt;0,FJ34-(IF(SUM($D35:FI35)&gt;0,0,IF(FI$25&gt;FI33,FI33,0))),0)&lt;0,0,(IF(SUM($D35:FI35)&gt;0,0,IF(FI$25&gt;FI33,FI33,0)))))</f>
        <v>0</v>
      </c>
      <c r="FK35" s="115">
        <f>IF(SUM($D$28:FJ28)=0,0,IF(IF(FK34&gt;0,FK34-(IF(SUM($D35:FJ35)&gt;0,0,IF(FJ$25&gt;FJ33,FJ33,0))),0)&lt;0,0,(IF(SUM($D35:FJ35)&gt;0,0,IF(FJ$25&gt;FJ33,FJ33,0)))))</f>
        <v>0</v>
      </c>
      <c r="FL35" s="115">
        <f>IF(SUM($D$28:FK28)=0,0,IF(IF(FL34&gt;0,FL34-(IF(SUM($D35:FK35)&gt;0,0,IF(FK$25&gt;FK33,FK33,0))),0)&lt;0,0,(IF(SUM($D35:FK35)&gt;0,0,IF(FK$25&gt;FK33,FK33,0)))))</f>
        <v>0</v>
      </c>
      <c r="FM35" s="115">
        <f>IF(SUM($D$28:FL28)=0,0,IF(IF(FM34&gt;0,FM34-(IF(SUM($D35:FL35)&gt;0,0,IF(FL$25&gt;FL33,FL33,0))),0)&lt;0,0,(IF(SUM($D35:FL35)&gt;0,0,IF(FL$25&gt;FL33,FL33,0)))))</f>
        <v>0</v>
      </c>
      <c r="FN35" s="115">
        <f>IF(SUM($D$28:FM28)=0,0,IF(IF(FN34&gt;0,FN34-(IF(SUM($D35:FM35)&gt;0,0,IF(FM$25&gt;FM33,FM33,0))),0)&lt;0,0,(IF(SUM($D35:FM35)&gt;0,0,IF(FM$25&gt;FM33,FM33,0)))))</f>
        <v>0</v>
      </c>
      <c r="FO35" s="115">
        <f>IF(SUM($D$28:FN28)=0,0,IF(IF(FO34&gt;0,FO34-(IF(SUM($D35:FN35)&gt;0,0,IF(FN$25&gt;FN33,FN33,0))),0)&lt;0,0,(IF(SUM($D35:FN35)&gt;0,0,IF(FN$25&gt;FN33,FN33,0)))))</f>
        <v>0</v>
      </c>
      <c r="FP35" s="115">
        <f>IF(SUM($D$28:FO28)=0,0,IF(IF(FP34&gt;0,FP34-(IF(SUM($D35:FO35)&gt;0,0,IF(FO$25&gt;FO33,FO33,0))),0)&lt;0,0,(IF(SUM($D35:FO35)&gt;0,0,IF(FO$25&gt;FO33,FO33,0)))))</f>
        <v>0</v>
      </c>
      <c r="FQ35" s="115">
        <f>IF(SUM($D$28:FP28)=0,0,IF(IF(FQ34&gt;0,FQ34-(IF(SUM($D35:FP35)&gt;0,0,IF(FP$25&gt;FP33,FP33,0))),0)&lt;0,0,(IF(SUM($D35:FP35)&gt;0,0,IF(FP$25&gt;FP33,FP33,0)))))</f>
        <v>0</v>
      </c>
      <c r="FR35" s="115">
        <f>IF(SUM($D$28:FQ28)=0,0,IF(IF(FR34&gt;0,FR34-(IF(SUM($D35:FQ35)&gt;0,0,IF(FQ$25&gt;FQ33,FQ33,0))),0)&lt;0,0,(IF(SUM($D35:FQ35)&gt;0,0,IF(FQ$25&gt;FQ33,FQ33,0)))))</f>
        <v>0</v>
      </c>
      <c r="FS35" s="115">
        <f>IF(SUM($D$28:FR28)=0,0,IF(IF(FS34&gt;0,FS34-(IF(SUM($D35:FR35)&gt;0,0,IF(FR$25&gt;FR33,FR33,0))),0)&lt;0,0,(IF(SUM($D35:FR35)&gt;0,0,IF(FR$25&gt;FR33,FR33,0)))))</f>
        <v>0</v>
      </c>
      <c r="FT35" s="115">
        <f>IF(SUM($D$28:FS28)=0,0,IF(IF(FT34&gt;0,FT34-(IF(SUM($D35:FS35)&gt;0,0,IF(FS$25&gt;FS33,FS33,0))),0)&lt;0,0,(IF(SUM($D35:FS35)&gt;0,0,IF(FS$25&gt;FS33,FS33,0)))))</f>
        <v>0</v>
      </c>
      <c r="FU35" s="115">
        <f>IF(SUM($D$28:FT28)=0,0,IF(IF(FU34&gt;0,FU34-(IF(SUM($D35:FT35)&gt;0,0,IF(FT$25&gt;FT33,FT33,0))),0)&lt;0,0,(IF(SUM($D35:FT35)&gt;0,0,IF(FT$25&gt;FT33,FT33,0)))))</f>
        <v>0</v>
      </c>
      <c r="FV35" s="115">
        <f>IF(SUM($D$28:FU28)=0,0,IF(IF(FV34&gt;0,FV34-(IF(SUM($D35:FU35)&gt;0,0,IF(FU$25&gt;FU33,FU33,0))),0)&lt;0,0,(IF(SUM($D35:FU35)&gt;0,0,IF(FU$25&gt;FU33,FU33,0)))))</f>
        <v>0</v>
      </c>
      <c r="FW35" s="115">
        <f>IF(SUM($D$28:FV28)=0,0,IF(IF(FW34&gt;0,FW34-(IF(SUM($D35:FV35)&gt;0,0,IF(FV$25&gt;FV33,FV33,0))),0)&lt;0,0,(IF(SUM($D35:FV35)&gt;0,0,IF(FV$25&gt;FV33,FV33,0)))))</f>
        <v>0</v>
      </c>
      <c r="FX35" s="115">
        <f>IF(SUM($D$28:FW28)=0,0,IF(IF(FX34&gt;0,FX34-(IF(SUM($D35:FW35)&gt;0,0,IF(FW$25&gt;FW33,FW33,0))),0)&lt;0,0,(IF(SUM($D35:FW35)&gt;0,0,IF(FW$25&gt;FW33,FW33,0)))))</f>
        <v>0</v>
      </c>
      <c r="FY35" s="115">
        <f>IF(SUM($D$28:FX28)=0,0,IF(IF(FY34&gt;0,FY34-(IF(SUM($D35:FX35)&gt;0,0,IF(FX$25&gt;FX33,FX33,0))),0)&lt;0,0,(IF(SUM($D35:FX35)&gt;0,0,IF(FX$25&gt;FX33,FX33,0)))))</f>
        <v>0</v>
      </c>
      <c r="FZ35" s="115">
        <f>IF(SUM($D$28:FY28)=0,0,IF(IF(FZ34&gt;0,FZ34-(IF(SUM($D35:FY35)&gt;0,0,IF(FY$25&gt;FY33,FY33,0))),0)&lt;0,0,(IF(SUM($D35:FY35)&gt;0,0,IF(FY$25&gt;FY33,FY33,0)))))</f>
        <v>0</v>
      </c>
      <c r="GA35" s="115">
        <f>IF(SUM($D$28:FZ28)=0,0,IF(IF(GA34&gt;0,GA34-(IF(SUM($D35:FZ35)&gt;0,0,IF(FZ$25&gt;FZ33,FZ33,0))),0)&lt;0,0,(IF(SUM($D35:FZ35)&gt;0,0,IF(FZ$25&gt;FZ33,FZ33,0)))))</f>
        <v>0</v>
      </c>
      <c r="GB35" s="115">
        <f>IF(SUM($D$28:GA28)=0,0,IF(IF(GB34&gt;0,GB34-(IF(SUM($D35:GA35)&gt;0,0,IF(GA$25&gt;GA33,GA33,0))),0)&lt;0,0,(IF(SUM($D35:GA35)&gt;0,0,IF(GA$25&gt;GA33,GA33,0)))))</f>
        <v>0</v>
      </c>
      <c r="GC35" s="115">
        <f>IF(SUM($D$28:GB28)=0,0,IF(IF(GC34&gt;0,GC34-(IF(SUM($D35:GB35)&gt;0,0,IF(GB$25&gt;GB33,GB33,0))),0)&lt;0,0,(IF(SUM($D35:GB35)&gt;0,0,IF(GB$25&gt;GB33,GB33,0)))))</f>
        <v>0</v>
      </c>
      <c r="GD35" s="115">
        <f>IF(SUM($D$28:GC28)=0,0,IF(IF(GD34&gt;0,GD34-(IF(SUM($D35:GC35)&gt;0,0,IF(GC$25&gt;GC33,GC33,0))),0)&lt;0,0,(IF(SUM($D35:GC35)&gt;0,0,IF(GC$25&gt;GC33,GC33,0)))))</f>
        <v>0</v>
      </c>
      <c r="GE35" s="115">
        <f>IF(SUM($D$28:GD28)=0,0,IF(IF(GE34&gt;0,GE34-(IF(SUM($D35:GD35)&gt;0,0,IF(GD$25&gt;GD33,GD33,0))),0)&lt;0,0,(IF(SUM($D35:GD35)&gt;0,0,IF(GD$25&gt;GD33,GD33,0)))))</f>
        <v>0</v>
      </c>
      <c r="GF35" s="115">
        <f>IF(SUM($D$28:GE28)=0,0,IF(IF(GF34&gt;0,GF34-(IF(SUM($D35:GE35)&gt;0,0,IF(GE$25&gt;GE33,GE33,0))),0)&lt;0,0,(IF(SUM($D35:GE35)&gt;0,0,IF(GE$25&gt;GE33,GE33,0)))))</f>
        <v>0</v>
      </c>
      <c r="GG35" s="115">
        <f>IF(SUM($D$28:GF28)=0,0,IF(IF(GG34&gt;0,GG34-(IF(SUM($D35:GF35)&gt;0,0,IF(GF$25&gt;GF33,GF33,0))),0)&lt;0,0,(IF(SUM($D35:GF35)&gt;0,0,IF(GF$25&gt;GF33,GF33,0)))))</f>
        <v>0</v>
      </c>
      <c r="GH35" s="115">
        <f>IF(SUM($D$28:GG28)=0,0,IF(IF(GH34&gt;0,GH34-(IF(SUM($D35:GG35)&gt;0,0,IF(GG$25&gt;GG33,GG33,0))),0)&lt;0,0,(IF(SUM($D35:GG35)&gt;0,0,IF(GG$25&gt;GG33,GG33,0)))))</f>
        <v>0</v>
      </c>
      <c r="GI35" s="115">
        <f>IF(SUM($D$28:GH28)=0,0,IF(IF(GI34&gt;0,GI34-(IF(SUM($D35:GH35)&gt;0,0,IF(GH$25&gt;GH33,GH33,0))),0)&lt;0,0,(IF(SUM($D35:GH35)&gt;0,0,IF(GH$25&gt;GH33,GH33,0)))))</f>
        <v>0</v>
      </c>
      <c r="GJ35" s="115">
        <f>IF(SUM($D$28:GI28)=0,0,IF(IF(GJ34&gt;0,GJ34-(IF(SUM($D35:GI35)&gt;0,0,IF(GI$25&gt;GI33,GI33,0))),0)&lt;0,0,(IF(SUM($D35:GI35)&gt;0,0,IF(GI$25&gt;GI33,GI33,0)))))</f>
        <v>0</v>
      </c>
      <c r="GK35" s="115">
        <f>IF(SUM($D$28:GJ28)=0,0,IF(IF(GK34&gt;0,GK34-(IF(SUM($D35:GJ35)&gt;0,0,IF(GJ$25&gt;GJ33,GJ33,0))),0)&lt;0,0,(IF(SUM($D35:GJ35)&gt;0,0,IF(GJ$25&gt;GJ33,GJ33,0)))))</f>
        <v>0</v>
      </c>
      <c r="GL35" s="115">
        <f>IF(SUM($D$28:GK28)=0,0,IF(IF(GL34&gt;0,GL34-(IF(SUM($D35:GK35)&gt;0,0,IF(GK$25&gt;GK33,GK33,0))),0)&lt;0,0,(IF(SUM($D35:GK35)&gt;0,0,IF(GK$25&gt;GK33,GK33,0)))))</f>
        <v>0</v>
      </c>
      <c r="GM35" s="115">
        <f>IF(SUM($D$28:GL28)=0,0,IF(IF(GM34&gt;0,GM34-(IF(SUM($D35:GL35)&gt;0,0,IF(GL$25&gt;GL33,GL33,0))),0)&lt;0,0,(IF(SUM($D35:GL35)&gt;0,0,IF(GL$25&gt;GL33,GL33,0)))))</f>
        <v>0</v>
      </c>
      <c r="GN35" s="115">
        <f>IF(SUM($D$28:GM28)=0,0,IF(IF(GN34&gt;0,GN34-(IF(SUM($D35:GM35)&gt;0,0,IF(GM$25&gt;GM33,GM33,0))),0)&lt;0,0,(IF(SUM($D35:GM35)&gt;0,0,IF(GM$25&gt;GM33,GM33,0)))))</f>
        <v>0</v>
      </c>
      <c r="GO35" s="115">
        <f>IF(SUM($D$28:GN28)=0,0,IF(IF(GO34&gt;0,GO34-(IF(SUM($D35:GN35)&gt;0,0,IF(GN$25&gt;GN33,GN33,0))),0)&lt;0,0,(IF(SUM($D35:GN35)&gt;0,0,IF(GN$25&gt;GN33,GN33,0)))))</f>
        <v>0</v>
      </c>
      <c r="GP35" s="115">
        <f>IF(SUM($D$28:GO28)=0,0,IF(IF(GP34&gt;0,GP34-(IF(SUM($D35:GO35)&gt;0,0,IF(GO$25&gt;GO33,GO33,0))),0)&lt;0,0,(IF(SUM($D35:GO35)&gt;0,0,IF(GO$25&gt;GO33,GO33,0)))))</f>
        <v>0</v>
      </c>
      <c r="GQ35" s="115">
        <f>IF(SUM($D$28:GP28)=0,0,IF(IF(GQ34&gt;0,GQ34-(IF(SUM($D35:GP35)&gt;0,0,IF(GP$25&gt;GP33,GP33,0))),0)&lt;0,0,(IF(SUM($D35:GP35)&gt;0,0,IF(GP$25&gt;GP33,GP33,0)))))</f>
        <v>0</v>
      </c>
      <c r="GR35" s="115">
        <f>IF(SUM($D$28:GQ28)=0,0,IF(IF(GR34&gt;0,GR34-(IF(SUM($D35:GQ35)&gt;0,0,IF(GQ$25&gt;GQ33,GQ33,0))),0)&lt;0,0,(IF(SUM($D35:GQ35)&gt;0,0,IF(GQ$25&gt;GQ33,GQ33,0)))))</f>
        <v>0</v>
      </c>
      <c r="GS35" s="115">
        <f>IF(SUM($D$28:GR28)=0,0,IF(IF(GS34&gt;0,GS34-(IF(SUM($D35:GR35)&gt;0,0,IF(GR$25&gt;GR33,GR33,0))),0)&lt;0,0,(IF(SUM($D35:GR35)&gt;0,0,IF(GR$25&gt;GR33,GR33,0)))))</f>
        <v>0</v>
      </c>
      <c r="GT35" s="115">
        <f>IF(SUM($D$28:GS28)=0,0,IF(IF(GT34&gt;0,GT34-(IF(SUM($D35:GS35)&gt;0,0,IF(GS$25&gt;GS33,GS33,0))),0)&lt;0,0,(IF(SUM($D35:GS35)&gt;0,0,IF(GS$25&gt;GS33,GS33,0)))))</f>
        <v>0</v>
      </c>
      <c r="GU35" s="115">
        <f>IF(SUM($D$28:GT28)=0,0,IF(IF(GU34&gt;0,GU34-(IF(SUM($D35:GT35)&gt;0,0,IF(GT$25&gt;GT33,GT33,0))),0)&lt;0,0,(IF(SUM($D35:GT35)&gt;0,0,IF(GT$25&gt;GT33,GT33,0)))))</f>
        <v>0</v>
      </c>
      <c r="GV35" s="115">
        <f>IF(SUM($D$28:GU28)=0,0,IF(IF(GV34&gt;0,GV34-(IF(SUM($D35:GU35)&gt;0,0,IF(GU$25&gt;GU33,GU33,0))),0)&lt;0,0,(IF(SUM($D35:GU35)&gt;0,0,IF(GU$25&gt;GU33,GU33,0)))))</f>
        <v>0</v>
      </c>
      <c r="GW35" s="115">
        <f>IF(SUM($D$28:GV28)=0,0,IF(IF(GW34&gt;0,GW34-(IF(SUM($D35:GV35)&gt;0,0,IF(GV$25&gt;GV33,GV33,0))),0)&lt;0,0,(IF(SUM($D35:GV35)&gt;0,0,IF(GV$25&gt;GV33,GV33,0)))))</f>
        <v>0</v>
      </c>
      <c r="GX35" s="115">
        <f>IF(SUM($D$28:GW28)=0,0,IF(IF(GX34&gt;0,GX34-(IF(SUM($D35:GW35)&gt;0,0,IF(GW$25&gt;GW33,GW33,0))),0)&lt;0,0,(IF(SUM($D35:GW35)&gt;0,0,IF(GW$25&gt;GW33,GW33,0)))))</f>
        <v>0</v>
      </c>
      <c r="GY35" s="115">
        <f>IF(SUM($D$28:GX28)=0,0,IF(IF(GY34&gt;0,GY34-(IF(SUM($D35:GX35)&gt;0,0,IF(GX$25&gt;GX33,GX33,0))),0)&lt;0,0,(IF(SUM($D35:GX35)&gt;0,0,IF(GX$25&gt;GX33,GX33,0)))))</f>
        <v>0</v>
      </c>
      <c r="GZ35" s="115">
        <f>IF(SUM($D$28:GY28)=0,0,IF(IF(GZ34&gt;0,GZ34-(IF(SUM($D35:GY35)&gt;0,0,IF(GY$25&gt;GY33,GY33,0))),0)&lt;0,0,(IF(SUM($D35:GY35)&gt;0,0,IF(GY$25&gt;GY33,GY33,0)))))</f>
        <v>0</v>
      </c>
      <c r="HA35" s="115">
        <f>IF(SUM($D$28:GZ28)=0,0,IF(IF(HA34&gt;0,HA34-(IF(SUM($D35:GZ35)&gt;0,0,IF(GZ$25&gt;GZ33,GZ33,0))),0)&lt;0,0,(IF(SUM($D35:GZ35)&gt;0,0,IF(GZ$25&gt;GZ33,GZ33,0)))))</f>
        <v>0</v>
      </c>
      <c r="HB35" s="115">
        <f>IF(SUM($D$28:HA28)=0,0,IF(IF(HB34&gt;0,HB34-(IF(SUM($D35:HA35)&gt;0,0,IF(HA$25&gt;HA33,HA33,0))),0)&lt;0,0,(IF(SUM($D35:HA35)&gt;0,0,IF(HA$25&gt;HA33,HA33,0)))))</f>
        <v>0</v>
      </c>
      <c r="HC35" s="115">
        <f>IF(SUM($D$28:HB28)=0,0,IF(IF(HC34&gt;0,HC34-(IF(SUM($D35:HB35)&gt;0,0,IF(HB$25&gt;HB33,HB33,0))),0)&lt;0,0,(IF(SUM($D35:HB35)&gt;0,0,IF(HB$25&gt;HB33,HB33,0)))))</f>
        <v>0</v>
      </c>
      <c r="HD35" s="115">
        <f>IF(SUM($D$28:HC28)=0,0,IF(IF(HD34&gt;0,HD34-(IF(SUM($D35:HC35)&gt;0,0,IF(HC$25&gt;HC33,HC33,0))),0)&lt;0,0,(IF(SUM($D35:HC35)&gt;0,0,IF(HC$25&gt;HC33,HC33,0)))))</f>
        <v>0</v>
      </c>
      <c r="HE35" s="115">
        <f>IF(SUM($D$28:HD28)=0,0,IF(IF(HE34&gt;0,HE34-(IF(SUM($D35:HD35)&gt;0,0,IF(HD$25&gt;HD33,HD33,0))),0)&lt;0,0,(IF(SUM($D35:HD35)&gt;0,0,IF(HD$25&gt;HD33,HD33,0)))))</f>
        <v>0</v>
      </c>
      <c r="HF35" s="115">
        <f>IF(SUM($D$28:HE28)=0,0,IF(IF(HF34&gt;0,HF34-(IF(SUM($D35:HE35)&gt;0,0,IF(HE$25&gt;HE33,HE33,0))),0)&lt;0,0,(IF(SUM($D35:HE35)&gt;0,0,IF(HE$25&gt;HE33,HE33,0)))))</f>
        <v>0</v>
      </c>
      <c r="HG35" s="115">
        <f>IF(SUM($D$28:HF28)=0,0,IF(IF(HG34&gt;0,HG34-(IF(SUM($D35:HF35)&gt;0,0,IF(HF$25&gt;HF33,HF33,0))),0)&lt;0,0,(IF(SUM($D35:HF35)&gt;0,0,IF(HF$25&gt;HF33,HF33,0)))))</f>
        <v>0</v>
      </c>
      <c r="HH35" s="115">
        <f>IF(SUM($D$28:HG28)=0,0,IF(IF(HH34&gt;0,HH34-(IF(SUM($D35:HG35)&gt;0,0,IF(HG$25&gt;HG33,HG33,0))),0)&lt;0,0,(IF(SUM($D35:HG35)&gt;0,0,IF(HG$25&gt;HG33,HG33,0)))))</f>
        <v>0</v>
      </c>
      <c r="HI35" s="115">
        <f>IF(SUM($D$28:HH28)=0,0,IF(IF(HI34&gt;0,HI34-(IF(SUM($D35:HH35)&gt;0,0,IF(HH$25&gt;HH33,HH33,0))),0)&lt;0,0,(IF(SUM($D35:HH35)&gt;0,0,IF(HH$25&gt;HH33,HH33,0)))))</f>
        <v>0</v>
      </c>
      <c r="HJ35" s="115">
        <f>IF(SUM($D$28:HI28)=0,0,IF(IF(HJ34&gt;0,HJ34-(IF(SUM($D35:HI35)&gt;0,0,IF(HI$25&gt;HI33,HI33,0))),0)&lt;0,0,(IF(SUM($D35:HI35)&gt;0,0,IF(HI$25&gt;HI33,HI33,0)))))</f>
        <v>0</v>
      </c>
      <c r="HK35" s="115">
        <f>IF(SUM($D$28:HJ28)=0,0,IF(IF(HK34&gt;0,HK34-(IF(SUM($D35:HJ35)&gt;0,0,IF(HJ$25&gt;HJ33,HJ33,0))),0)&lt;0,0,(IF(SUM($D35:HJ35)&gt;0,0,IF(HJ$25&gt;HJ33,HJ33,0)))))</f>
        <v>0</v>
      </c>
      <c r="HL35" s="115">
        <f>IF(SUM($D$28:HK28)=0,0,IF(IF(HL34&gt;0,HL34-(IF(SUM($D35:HK35)&gt;0,0,IF(HK$25&gt;HK33,HK33,0))),0)&lt;0,0,(IF(SUM($D35:HK35)&gt;0,0,IF(HK$25&gt;HK33,HK33,0)))))</f>
        <v>0</v>
      </c>
      <c r="HM35" s="115">
        <f>IF(SUM($D$28:HL28)=0,0,IF(IF(HM34&gt;0,HM34-(IF(SUM($D35:HL35)&gt;0,0,IF(HL$25&gt;HL33,HL33,0))),0)&lt;0,0,(IF(SUM($D35:HL35)&gt;0,0,IF(HL$25&gt;HL33,HL33,0)))))</f>
        <v>0</v>
      </c>
      <c r="HN35" s="115">
        <f>IF(SUM($D$28:HM28)=0,0,IF(IF(HN34&gt;0,HN34-(IF(SUM($D35:HM35)&gt;0,0,IF(HM$25&gt;HM33,HM33,0))),0)&lt;0,0,(IF(SUM($D35:HM35)&gt;0,0,IF(HM$25&gt;HM33,HM33,0)))))</f>
        <v>0</v>
      </c>
      <c r="HO35" s="115">
        <f>IF(SUM($D$28:HN28)=0,0,IF(IF(HO34&gt;0,HO34-(IF(SUM($D35:HN35)&gt;0,0,IF(HN$25&gt;HN33,HN33,0))),0)&lt;0,0,(IF(SUM($D35:HN35)&gt;0,0,IF(HN$25&gt;HN33,HN33,0)))))</f>
        <v>0</v>
      </c>
      <c r="HP35" s="115">
        <f>IF(SUM($D$28:HO28)=0,0,IF(IF(HP34&gt;0,HP34-(IF(SUM($D35:HO35)&gt;0,0,IF(HO$25&gt;HO33,HO33,0))),0)&lt;0,0,(IF(SUM($D35:HO35)&gt;0,0,IF(HO$25&gt;HO33,HO33,0)))))</f>
        <v>0</v>
      </c>
      <c r="HQ35" s="115">
        <f>IF(SUM($D$28:HP28)=0,0,IF(IF(HQ34&gt;0,HQ34-(IF(SUM($D35:HP35)&gt;0,0,IF(HP$25&gt;HP33,HP33,0))),0)&lt;0,0,(IF(SUM($D35:HP35)&gt;0,0,IF(HP$25&gt;HP33,HP33,0)))))</f>
        <v>0</v>
      </c>
      <c r="HR35" s="115">
        <f>IF(SUM($D$28:HQ28)=0,0,IF(IF(HR34&gt;0,HR34-(IF(SUM($D35:HQ35)&gt;0,0,IF(HQ$25&gt;HQ33,HQ33,0))),0)&lt;0,0,(IF(SUM($D35:HQ35)&gt;0,0,IF(HQ$25&gt;HQ33,HQ33,0)))))</f>
        <v>0</v>
      </c>
      <c r="HS35" s="115">
        <f>IF(SUM($D$28:HR28)=0,0,IF(IF(HS34&gt;0,HS34-(IF(SUM($D35:HR35)&gt;0,0,IF(HR$25&gt;HR33,HR33,0))),0)&lt;0,0,(IF(SUM($D35:HR35)&gt;0,0,IF(HR$25&gt;HR33,HR33,0)))))</f>
        <v>0</v>
      </c>
      <c r="HT35" s="115">
        <f>IF(SUM($D$28:HS28)=0,0,IF(IF(HT34&gt;0,HT34-(IF(SUM($D35:HS35)&gt;0,0,IF(HS$25&gt;HS33,HS33,0))),0)&lt;0,0,(IF(SUM($D35:HS35)&gt;0,0,IF(HS$25&gt;HS33,HS33,0)))))</f>
        <v>0</v>
      </c>
      <c r="HU35" s="115">
        <f>IF(SUM($D$28:HT28)=0,0,IF(IF(HU34&gt;0,HU34-(IF(SUM($D35:HT35)&gt;0,0,IF(HT$25&gt;HT33,HT33,0))),0)&lt;0,0,(IF(SUM($D35:HT35)&gt;0,0,IF(HT$25&gt;HT33,HT33,0)))))</f>
        <v>0</v>
      </c>
      <c r="HV35" s="115">
        <f>IF(SUM($D$28:HU28)=0,0,IF(IF(HV34&gt;0,HV34-(IF(SUM($D35:HU35)&gt;0,0,IF(HU$25&gt;HU33,HU33,0))),0)&lt;0,0,(IF(SUM($D35:HU35)&gt;0,0,IF(HU$25&gt;HU33,HU33,0)))))</f>
        <v>0</v>
      </c>
      <c r="HW35" s="115">
        <f>IF(SUM($D$28:HV28)=0,0,IF(IF(HW34&gt;0,HW34-(IF(SUM($D35:HV35)&gt;0,0,IF(HV$25&gt;HV33,HV33,0))),0)&lt;0,0,(IF(SUM($D35:HV35)&gt;0,0,IF(HV$25&gt;HV33,HV33,0)))))</f>
        <v>0</v>
      </c>
      <c r="HX35" s="115">
        <f>IF(SUM($D$28:HW28)=0,0,IF(IF(HX34&gt;0,HX34-(IF(SUM($D35:HW35)&gt;0,0,IF(HW$25&gt;HW33,HW33,0))),0)&lt;0,0,(IF(SUM($D35:HW35)&gt;0,0,IF(HW$25&gt;HW33,HW33,0)))))</f>
        <v>0</v>
      </c>
      <c r="HY35" s="115">
        <f>IF(SUM($D$28:HX28)=0,0,IF(IF(HY34&gt;0,HY34-(IF(SUM($D35:HX35)&gt;0,0,IF(HX$25&gt;HX33,HX33,0))),0)&lt;0,0,(IF(SUM($D35:HX35)&gt;0,0,IF(HX$25&gt;HX33,HX33,0)))))</f>
        <v>0</v>
      </c>
      <c r="HZ35" s="115">
        <f>IF(SUM($D$28:HY28)=0,0,IF(IF(HZ34&gt;0,HZ34-(IF(SUM($D35:HY35)&gt;0,0,IF(HY$25&gt;HY33,HY33,0))),0)&lt;0,0,(IF(SUM($D35:HY35)&gt;0,0,IF(HY$25&gt;HY33,HY33,0)))))</f>
        <v>0</v>
      </c>
      <c r="IA35" s="115">
        <f>IF(SUM($D$28:HZ28)=0,0,IF(IF(IA34&gt;0,IA34-(IF(SUM($D35:HZ35)&gt;0,0,IF(HZ$25&gt;HZ33,HZ33,0))),0)&lt;0,0,(IF(SUM($D35:HZ35)&gt;0,0,IF(HZ$25&gt;HZ33,HZ33,0)))))</f>
        <v>0</v>
      </c>
      <c r="IB35" s="115">
        <f>IF(SUM($D$28:IA28)=0,0,IF(IF(IB34&gt;0,IB34-(IF(SUM($D35:IA35)&gt;0,0,IF(IA$25&gt;IA33,IA33,0))),0)&lt;0,0,(IF(SUM($D35:IA35)&gt;0,0,IF(IA$25&gt;IA33,IA33,0)))))</f>
        <v>0</v>
      </c>
      <c r="IC35" s="115">
        <f>IF(SUM($D$28:IB28)=0,0,IF(IF(IC34&gt;0,IC34-(IF(SUM($D35:IB35)&gt;0,0,IF(IB$25&gt;IB33,IB33,0))),0)&lt;0,0,(IF(SUM($D35:IB35)&gt;0,0,IF(IB$25&gt;IB33,IB33,0)))))</f>
        <v>0</v>
      </c>
      <c r="ID35" s="115">
        <f>IF(SUM($D$28:IC28)=0,0,IF(IF(ID34&gt;0,ID34-(IF(SUM($D35:IC35)&gt;0,0,IF(IC$25&gt;IC33,IC33,0))),0)&lt;0,0,(IF(SUM($D35:IC35)&gt;0,0,IF(IC$25&gt;IC33,IC33,0)))))</f>
        <v>0</v>
      </c>
      <c r="IE35" s="115">
        <f>IF(SUM($D$28:ID28)=0,0,IF(IF(IE34&gt;0,IE34-(IF(SUM($D35:ID35)&gt;0,0,IF(ID$25&gt;ID33,ID33,0))),0)&lt;0,0,(IF(SUM($D35:ID35)&gt;0,0,IF(ID$25&gt;ID33,ID33,0)))))</f>
        <v>0</v>
      </c>
      <c r="IF35" s="115">
        <f>IF(SUM($D$28:IE28)=0,0,IF(IF(IF34&gt;0,IF34-(IF(SUM($D35:IE35)&gt;0,0,IF(IE$25&gt;IE33,IE33,0))),0)&lt;0,0,(IF(SUM($D35:IE35)&gt;0,0,IF(IE$25&gt;IE33,IE33,0)))))</f>
        <v>0</v>
      </c>
      <c r="IG35" s="115">
        <f>IF(SUM($D$28:IF28)=0,0,IF(IF(IG34&gt;0,IG34-(IF(SUM($D35:IF35)&gt;0,0,IF(IF$25&gt;IF33,IF33,0))),0)&lt;0,0,(IF(SUM($D35:IF35)&gt;0,0,IF(IF$25&gt;IF33,IF33,0)))))</f>
        <v>0</v>
      </c>
      <c r="IH35" s="115">
        <f>IF(SUM($D$28:IG28)=0,0,IF(IF(IH34&gt;0,IH34-(IF(SUM($D35:IG35)&gt;0,0,IF(IG$25&gt;IG33,IG33,0))),0)&lt;0,0,(IF(SUM($D35:IG35)&gt;0,0,IF(IG$25&gt;IG33,IG33,0)))))</f>
        <v>0</v>
      </c>
      <c r="II35" s="115">
        <f>IF(SUM($D$28:IH28)=0,0,IF(IF(II34&gt;0,II34-(IF(SUM($D35:IH35)&gt;0,0,IF(IH$25&gt;IH33,IH33,0))),0)&lt;0,0,(IF(SUM($D35:IH35)&gt;0,0,IF(IH$25&gt;IH33,IH33,0)))))</f>
        <v>0</v>
      </c>
      <c r="IJ35" s="115">
        <f>IF(SUM($D$28:II28)=0,0,IF(IF(IJ34&gt;0,IJ34-(IF(SUM($D35:II35)&gt;0,0,IF(II$25&gt;II33,II33,0))),0)&lt;0,0,(IF(SUM($D35:II35)&gt;0,0,IF(II$25&gt;II33,II33,0)))))</f>
        <v>0</v>
      </c>
      <c r="IK35" s="115">
        <f>IF(SUM($D$28:IJ28)=0,0,IF(IF(IK34&gt;0,IK34-(IF(SUM($D35:IJ35)&gt;0,0,IF(IJ$25&gt;IJ33,IJ33,0))),0)&lt;0,0,(IF(SUM($D35:IJ35)&gt;0,0,IF(IJ$25&gt;IJ33,IJ33,0)))))</f>
        <v>0</v>
      </c>
      <c r="IL35" s="115">
        <f>IF(SUM($D$28:IK28)=0,0,IF(IF(IL34&gt;0,IL34-(IF(SUM($D35:IK35)&gt;0,0,IF(IK$25&gt;IK33,IK33,0))),0)&lt;0,0,(IF(SUM($D35:IK35)&gt;0,0,IF(IK$25&gt;IK33,IK33,0)))))</f>
        <v>0</v>
      </c>
      <c r="IM35" s="115">
        <f>IF(SUM($D$28:IL28)=0,0,IF(IF(IM34&gt;0,IM34-(IF(SUM($D35:IL35)&gt;0,0,IF(IL$25&gt;IL33,IL33,0))),0)&lt;0,0,(IF(SUM($D35:IL35)&gt;0,0,IF(IL$25&gt;IL33,IL33,0)))))</f>
        <v>0</v>
      </c>
      <c r="IN35" s="115">
        <f>IF(SUM($D$28:IM28)=0,0,IF(IF(IN34&gt;0,IN34-(IF(SUM($D35:IM35)&gt;0,0,IF(IM$25&gt;IM33,IM33,0))),0)&lt;0,0,(IF(SUM($D35:IM35)&gt;0,0,IF(IM$25&gt;IM33,IM33,0)))))</f>
        <v>0</v>
      </c>
      <c r="IO35" s="115">
        <f>IF(SUM($D$28:IN28)=0,0,IF(IF(IO34&gt;0,IO34-(IF(SUM($D35:IN35)&gt;0,0,IF(IN$25&gt;IN33,IN33,0))),0)&lt;0,0,(IF(SUM($D35:IN35)&gt;0,0,IF(IN$25&gt;IN33,IN33,0)))))</f>
        <v>0</v>
      </c>
      <c r="IP35" s="115">
        <f>IF(SUM($D$28:IO28)=0,0,IF(IF(IP34&gt;0,IP34-(IF(SUM($D35:IO35)&gt;0,0,IF(IO$25&gt;IO33,IO33,0))),0)&lt;0,0,(IF(SUM($D35:IO35)&gt;0,0,IF(IO$25&gt;IO33,IO33,0)))))</f>
        <v>0</v>
      </c>
      <c r="IQ35" s="115">
        <f>IF(SUM($D$28:IP28)=0,0,IF(IF(IQ34&gt;0,IQ34-(IF(SUM($D35:IP35)&gt;0,0,IF(IP$25&gt;IP33,IP33,0))),0)&lt;0,0,(IF(SUM($D35:IP35)&gt;0,0,IF(IP$25&gt;IP33,IP33,0)))))</f>
        <v>0</v>
      </c>
      <c r="IR35" s="115">
        <f>IF(SUM($D$28:IQ28)=0,0,IF(IF(IR34&gt;0,IR34-(IF(SUM($D35:IQ35)&gt;0,0,IF(IQ$25&gt;IQ33,IQ33,0))),0)&lt;0,0,(IF(SUM($D35:IQ35)&gt;0,0,IF(IQ$25&gt;IQ33,IQ33,0)))))</f>
        <v>0</v>
      </c>
      <c r="IS35" s="115">
        <f>IF(SUM($D$28:IR28)=0,0,IF(IF(IS34&gt;0,IS34-(IF(SUM($D35:IR35)&gt;0,0,IF(IR$25&gt;IR33,IR33,0))),0)&lt;0,0,(IF(SUM($D35:IR35)&gt;0,0,IF(IR$25&gt;IR33,IR33,0)))))</f>
        <v>0</v>
      </c>
      <c r="IT35" s="115">
        <f>IF(SUM($D$28:IS28)=0,0,IF(IF(IT34&gt;0,IT34-(IF(SUM($D35:IS35)&gt;0,0,IF(IS$25&gt;IS33,IS33,0))),0)&lt;0,0,(IF(SUM($D35:IS35)&gt;0,0,IF(IS$25&gt;IS33,IS33,0)))))</f>
        <v>0</v>
      </c>
      <c r="IU35" s="115">
        <f>IF(SUM($D$28:IT28)=0,0,IF(IF(IU34&gt;0,IU34-(IF(SUM($D35:IT35)&gt;0,0,IF(IT$25&gt;IT33,IT33,0))),0)&lt;0,0,(IF(SUM($D35:IT35)&gt;0,0,IF(IT$25&gt;IT33,IT33,0)))))</f>
        <v>0</v>
      </c>
      <c r="IV35" s="115">
        <f>IF(SUM($D$28:IU28)=0,0,IF(IF(IV34&gt;0,IV34-(IF(SUM($D35:IU35)&gt;0,0,IF(IU$25&gt;IU33,IU33,0))),0)&lt;0,0,(IF(SUM($D35:IU35)&gt;0,0,IF(IU$25&gt;IU33,IU33,0)))))</f>
        <v>0</v>
      </c>
      <c r="IW35" s="115">
        <f>IF(SUM($D$28:IV28)=0,0,IF(IF(IW34&gt;0,IW34-(IF(SUM($D35:IV35)&gt;0,0,IF(IV$25&gt;IV33,IV33,0))),0)&lt;0,0,(IF(SUM($D35:IV35)&gt;0,0,IF(IV$25&gt;IV33,IV33,0)))))</f>
        <v>0</v>
      </c>
      <c r="IX35" s="115">
        <f>IF(SUM($D$28:IW28)=0,0,IF(IF(IX34&gt;0,IX34-(IF(SUM($D35:IW35)&gt;0,0,IF(IW$25&gt;IW33,IW33,0))),0)&lt;0,0,(IF(SUM($D35:IW35)&gt;0,0,IF(IW$25&gt;IW33,IW33,0)))))</f>
        <v>0</v>
      </c>
      <c r="IY35" s="115">
        <f>IF(SUM($D$28:IX28)=0,0,IF(IF(IY34&gt;0,IY34-(IF(SUM($D35:IX35)&gt;0,0,IF(IX$25&gt;IX33,IX33,0))),0)&lt;0,0,(IF(SUM($D35:IX35)&gt;0,0,IF(IX$25&gt;IX33,IX33,0)))))</f>
        <v>0</v>
      </c>
      <c r="IZ35" s="115">
        <f>IF(SUM($D$28:IY28)=0,0,IF(IF(IZ34&gt;0,IZ34-(IF(SUM($D35:IY35)&gt;0,0,IF(IY$25&gt;IY33,IY33,0))),0)&lt;0,0,(IF(SUM($D35:IY35)&gt;0,0,IF(IY$25&gt;IY33,IY33,0)))))</f>
        <v>0</v>
      </c>
      <c r="JA35" s="115">
        <f>IF(SUM($D$28:IZ28)=0,0,IF(IF(JA34&gt;0,JA34-(IF(SUM($D35:IZ35)&gt;0,0,IF(IZ$25&gt;IZ33,IZ33,0))),0)&lt;0,0,(IF(SUM($D35:IZ35)&gt;0,0,IF(IZ$25&gt;IZ33,IZ33,0)))))</f>
        <v>0</v>
      </c>
      <c r="JB35" s="115">
        <f>IF(SUM($D$28:JA28)=0,0,IF(IF(JB34&gt;0,JB34-(IF(SUM($D35:JA35)&gt;0,0,IF(JA$25&gt;JA33,JA33,0))),0)&lt;0,0,(IF(SUM($D35:JA35)&gt;0,0,IF(JA$25&gt;JA33,JA33,0)))))</f>
        <v>0</v>
      </c>
      <c r="JC35" s="115">
        <f>IF(SUM($D$28:JB28)=0,0,IF(IF(JC34&gt;0,JC34-(IF(SUM($D35:JB35)&gt;0,0,IF(JB$25&gt;JB33,JB33,0))),0)&lt;0,0,(IF(SUM($D35:JB35)&gt;0,0,IF(JB$25&gt;JB33,JB33,0)))))</f>
        <v>0</v>
      </c>
      <c r="JD35" s="115">
        <f>IF(SUM($D$28:JC28)=0,0,IF(IF(JD34&gt;0,JD34-(IF(SUM($D35:JC35)&gt;0,0,IF(JC$25&gt;JC33,JC33,0))),0)&lt;0,0,(IF(SUM($D35:JC35)&gt;0,0,IF(JC$25&gt;JC33,JC33,0)))))</f>
        <v>0</v>
      </c>
      <c r="JE35" s="115">
        <f>IF(SUM($D$28:JD28)=0,0,IF(IF(JE34&gt;0,JE34-(IF(SUM($D35:JD35)&gt;0,0,IF(JD$25&gt;JD33,JD33,0))),0)&lt;0,0,(IF(SUM($D35:JD35)&gt;0,0,IF(JD$25&gt;JD33,JD33,0)))))</f>
        <v>0</v>
      </c>
      <c r="JF35" s="115">
        <f>IF(SUM($D$28:JE28)=0,0,IF(IF(JF34&gt;0,JF34-(IF(SUM($D35:JE35)&gt;0,0,IF(JE$25&gt;JE33,JE33,0))),0)&lt;0,0,(IF(SUM($D35:JE35)&gt;0,0,IF(JE$25&gt;JE33,JE33,0)))))</f>
        <v>0</v>
      </c>
      <c r="JG35" s="115">
        <f>IF(SUM($D$28:JF28)=0,0,IF(IF(JG34&gt;0,JG34-(IF(SUM($D35:JF35)&gt;0,0,IF(JF$25&gt;JF33,JF33,0))),0)&lt;0,0,(IF(SUM($D35:JF35)&gt;0,0,IF(JF$25&gt;JF33,JF33,0)))))</f>
        <v>0</v>
      </c>
      <c r="JH35" s="115">
        <f>IF(SUM($D$28:JG28)=0,0,IF(IF(JH34&gt;0,JH34-(IF(SUM($D35:JG35)&gt;0,0,IF(JG$25&gt;JG33,JG33,0))),0)&lt;0,0,(IF(SUM($D35:JG35)&gt;0,0,IF(JG$25&gt;JG33,JG33,0)))))</f>
        <v>0</v>
      </c>
      <c r="JI35" s="115">
        <f>IF(SUM($D$28:JH28)=0,0,IF(IF(JI34&gt;0,JI34-(IF(SUM($D35:JH35)&gt;0,0,IF(JH$25&gt;JH33,JH33,0))),0)&lt;0,0,(IF(SUM($D35:JH35)&gt;0,0,IF(JH$25&gt;JH33,JH33,0)))))</f>
        <v>0</v>
      </c>
      <c r="JJ35" s="115">
        <f>IF(SUM($D$28:JI28)=0,0,IF(IF(JJ34&gt;0,JJ34-(IF(SUM($D35:JI35)&gt;0,0,IF(JI$25&gt;JI33,JI33,0))),0)&lt;0,0,(IF(SUM($D35:JI35)&gt;0,0,IF(JI$25&gt;JI33,JI33,0)))))</f>
        <v>0</v>
      </c>
      <c r="JK35" s="115">
        <f>IF(SUM($D$28:JJ28)=0,0,IF(IF(JK34&gt;0,JK34-(IF(SUM($D35:JJ35)&gt;0,0,IF(JJ$25&gt;JJ33,JJ33,0))),0)&lt;0,0,(IF(SUM($D35:JJ35)&gt;0,0,IF(JJ$25&gt;JJ33,JJ33,0)))))</f>
        <v>0</v>
      </c>
      <c r="JL35" s="115">
        <f>IF(SUM($D$28:JK28)=0,0,IF(IF(JL34&gt;0,JL34-(IF(SUM($D35:JK35)&gt;0,0,IF(JK$25&gt;JK33,JK33,0))),0)&lt;0,0,(IF(SUM($D35:JK35)&gt;0,0,IF(JK$25&gt;JK33,JK33,0)))))</f>
        <v>0</v>
      </c>
      <c r="JM35" s="115">
        <f>IF(SUM($D$28:JL28)=0,0,IF(IF(JM34&gt;0,JM34-(IF(SUM($D35:JL35)&gt;0,0,IF(JL$25&gt;JL33,JL33,0))),0)&lt;0,0,(IF(SUM($D35:JL35)&gt;0,0,IF(JL$25&gt;JL33,JL33,0)))))</f>
        <v>0</v>
      </c>
      <c r="JN35" s="115">
        <f>IF(SUM($D$28:JM28)=0,0,IF(IF(JN34&gt;0,JN34-(IF(SUM($D35:JM35)&gt;0,0,IF(JM$25&gt;JM33,JM33,0))),0)&lt;0,0,(IF(SUM($D35:JM35)&gt;0,0,IF(JM$25&gt;JM33,JM33,0)))))</f>
        <v>0</v>
      </c>
      <c r="JO35" s="115">
        <f>IF(SUM($D$28:JN28)=0,0,IF(IF(JO34&gt;0,JO34-(IF(SUM($D35:JN35)&gt;0,0,IF(JN$25&gt;JN33,JN33,0))),0)&lt;0,0,(IF(SUM($D35:JN35)&gt;0,0,IF(JN$25&gt;JN33,JN33,0)))))</f>
        <v>0</v>
      </c>
      <c r="JP35" s="115">
        <f>IF(SUM($D$28:JO28)=0,0,IF(IF(JP34&gt;0,JP34-(IF(SUM($D35:JO35)&gt;0,0,IF(JO$25&gt;JO33,JO33,0))),0)&lt;0,0,(IF(SUM($D35:JO35)&gt;0,0,IF(JO$25&gt;JO33,JO33,0)))))</f>
        <v>0</v>
      </c>
      <c r="JQ35" s="115">
        <f>IF(SUM($D$28:JP28)=0,0,IF(IF(JQ34&gt;0,JQ34-(IF(SUM($D35:JP35)&gt;0,0,IF(JP$25&gt;JP33,JP33,0))),0)&lt;0,0,(IF(SUM($D35:JP35)&gt;0,0,IF(JP$25&gt;JP33,JP33,0)))))</f>
        <v>0</v>
      </c>
      <c r="JR35" s="115">
        <f>IF(SUM($D$28:JQ28)=0,0,IF(IF(JR34&gt;0,JR34-(IF(SUM($D35:JQ35)&gt;0,0,IF(JQ$25&gt;JQ33,JQ33,0))),0)&lt;0,0,(IF(SUM($D35:JQ35)&gt;0,0,IF(JQ$25&gt;JQ33,JQ33,0)))))</f>
        <v>0</v>
      </c>
      <c r="JS35" s="115">
        <f>IF(SUM($D$28:JR28)=0,0,IF(IF(JS34&gt;0,JS34-(IF(SUM($D35:JR35)&gt;0,0,IF(JR$25&gt;JR33,JR33,0))),0)&lt;0,0,(IF(SUM($D35:JR35)&gt;0,0,IF(JR$25&gt;JR33,JR33,0)))))</f>
        <v>0</v>
      </c>
      <c r="JT35" s="115">
        <f>IF(SUM($D$28:JS28)=0,0,IF(IF(JT34&gt;0,JT34-(IF(SUM($D35:JS35)&gt;0,0,IF(JS$25&gt;JS33,JS33,0))),0)&lt;0,0,(IF(SUM($D35:JS35)&gt;0,0,IF(JS$25&gt;JS33,JS33,0)))))</f>
        <v>0</v>
      </c>
      <c r="JU35" s="115">
        <f>IF(SUM($D$28:JT28)=0,0,IF(IF(JU34&gt;0,JU34-(IF(SUM($D35:JT35)&gt;0,0,IF(JT$25&gt;JT33,JT33,0))),0)&lt;0,0,(IF(SUM($D35:JT35)&gt;0,0,IF(JT$25&gt;JT33,JT33,0)))))</f>
        <v>0</v>
      </c>
      <c r="JV35" s="115">
        <f>IF(SUM($D$28:JU28)=0,0,IF(IF(JV34&gt;0,JV34-(IF(SUM($D35:JU35)&gt;0,0,IF(JU$25&gt;JU33,JU33,0))),0)&lt;0,0,(IF(SUM($D35:JU35)&gt;0,0,IF(JU$25&gt;JU33,JU33,0)))))</f>
        <v>0</v>
      </c>
      <c r="JW35" s="115">
        <f>IF(SUM($D$28:JV28)=0,0,IF(IF(JW34&gt;0,JW34-(IF(SUM($D35:JV35)&gt;0,0,IF(JV$25&gt;JV33,JV33,0))),0)&lt;0,0,(IF(SUM($D35:JV35)&gt;0,0,IF(JV$25&gt;JV33,JV33,0)))))</f>
        <v>0</v>
      </c>
      <c r="JX35" s="115">
        <f>IF(SUM($D$28:JW28)=0,0,IF(IF(JX34&gt;0,JX34-(IF(SUM($D35:JW35)&gt;0,0,IF(JW$25&gt;JW33,JW33,0))),0)&lt;0,0,(IF(SUM($D35:JW35)&gt;0,0,IF(JW$25&gt;JW33,JW33,0)))))</f>
        <v>0</v>
      </c>
      <c r="JY35" s="115">
        <f>IF(SUM($D$28:JX28)=0,0,IF(IF(JY34&gt;0,JY34-(IF(SUM($D35:JX35)&gt;0,0,IF(JX$25&gt;JX33,JX33,0))),0)&lt;0,0,(IF(SUM($D35:JX35)&gt;0,0,IF(JX$25&gt;JX33,JX33,0)))))</f>
        <v>0</v>
      </c>
      <c r="JZ35" s="115">
        <f>IF(SUM($D$28:JY28)=0,0,IF(IF(JZ34&gt;0,JZ34-(IF(SUM($D35:JY35)&gt;0,0,IF(JY$25&gt;JY33,JY33,0))),0)&lt;0,0,(IF(SUM($D35:JY35)&gt;0,0,IF(JY$25&gt;JY33,JY33,0)))))</f>
        <v>0</v>
      </c>
      <c r="KA35" s="115">
        <f>IF(SUM($D$28:JZ28)=0,0,IF(IF(KA34&gt;0,KA34-(IF(SUM($D35:JZ35)&gt;0,0,IF(JZ$25&gt;JZ33,JZ33,0))),0)&lt;0,0,(IF(SUM($D35:JZ35)&gt;0,0,IF(JZ$25&gt;JZ33,JZ33,0)))))</f>
        <v>0</v>
      </c>
      <c r="KB35" s="115">
        <f>IF(SUM($D$28:KA28)=0,0,IF(IF(KB34&gt;0,KB34-(IF(SUM($D35:KA35)&gt;0,0,IF(KA$25&gt;KA33,KA33,0))),0)&lt;0,0,(IF(SUM($D35:KA35)&gt;0,0,IF(KA$25&gt;KA33,KA33,0)))))</f>
        <v>0</v>
      </c>
      <c r="KC35" s="115">
        <f>IF(SUM($D$28:KB28)=0,0,IF(IF(KC34&gt;0,KC34-(IF(SUM($D35:KB35)&gt;0,0,IF(KB$25&gt;KB33,KB33,0))),0)&lt;0,0,(IF(SUM($D35:KB35)&gt;0,0,IF(KB$25&gt;KB33,KB33,0)))))</f>
        <v>0</v>
      </c>
      <c r="KD35" s="115">
        <f>IF(SUM($D$28:KC28)=0,0,IF(IF(KD34&gt;0,KD34-(IF(SUM($D35:KC35)&gt;0,0,IF(KC$25&gt;KC33,KC33,0))),0)&lt;0,0,(IF(SUM($D35:KC35)&gt;0,0,IF(KC$25&gt;KC33,KC33,0)))))</f>
        <v>0</v>
      </c>
      <c r="KE35" s="115">
        <f>IF(SUM($D$28:KD28)=0,0,IF(IF(KE34&gt;0,KE34-(IF(SUM($D35:KD35)&gt;0,0,IF(KD$25&gt;KD33,KD33,0))),0)&lt;0,0,(IF(SUM($D35:KD35)&gt;0,0,IF(KD$25&gt;KD33,KD33,0)))))</f>
        <v>0</v>
      </c>
      <c r="KF35" s="115">
        <f>IF(SUM($D$28:KE28)=0,0,IF(IF(KF34&gt;0,KF34-(IF(SUM($D35:KE35)&gt;0,0,IF(KE$25&gt;KE33,KE33,0))),0)&lt;0,0,(IF(SUM($D35:KE35)&gt;0,0,IF(KE$25&gt;KE33,KE33,0)))))</f>
        <v>0</v>
      </c>
      <c r="KG35" s="115">
        <f>IF(SUM($D$28:KF28)=0,0,IF(IF(KG34&gt;0,KG34-(IF(SUM($D35:KF35)&gt;0,0,IF(KF$25&gt;KF33,KF33,0))),0)&lt;0,0,(IF(SUM($D35:KF35)&gt;0,0,IF(KF$25&gt;KF33,KF33,0)))))</f>
        <v>0</v>
      </c>
      <c r="KH35" s="115">
        <f>IF(SUM($D$28:KG28)=0,0,IF(IF(KH34&gt;0,KH34-(IF(SUM($D35:KG35)&gt;0,0,IF(KG$25&gt;KG33,KG33,0))),0)&lt;0,0,(IF(SUM($D35:KG35)&gt;0,0,IF(KG$25&gt;KG33,KG33,0)))))</f>
        <v>0</v>
      </c>
      <c r="KI35" s="115">
        <f>IF(SUM($D$28:KH28)=0,0,IF(IF(KI34&gt;0,KI34-(IF(SUM($D35:KH35)&gt;0,0,IF(KH$25&gt;KH33,KH33,0))),0)&lt;0,0,(IF(SUM($D35:KH35)&gt;0,0,IF(KH$25&gt;KH33,KH33,0)))))</f>
        <v>0</v>
      </c>
      <c r="KJ35" s="115">
        <f>IF(SUM($D$28:KI28)=0,0,IF(IF(KJ34&gt;0,KJ34-(IF(SUM($D35:KI35)&gt;0,0,IF(KI$25&gt;KI33,KI33,0))),0)&lt;0,0,(IF(SUM($D35:KI35)&gt;0,0,IF(KI$25&gt;KI33,KI33,0)))))</f>
        <v>0</v>
      </c>
      <c r="KK35" s="115">
        <f>IF(SUM($D$28:KJ28)=0,0,IF(IF(KK34&gt;0,KK34-(IF(SUM($D35:KJ35)&gt;0,0,IF(KJ$25&gt;KJ33,KJ33,0))),0)&lt;0,0,(IF(SUM($D35:KJ35)&gt;0,0,IF(KJ$25&gt;KJ33,KJ33,0)))))</f>
        <v>0</v>
      </c>
      <c r="KL35" s="115">
        <f>IF(SUM($D$28:KK28)=0,0,IF(IF(KL34&gt;0,KL34-(IF(SUM($D35:KK35)&gt;0,0,IF(KK$25&gt;KK33,KK33,0))),0)&lt;0,0,(IF(SUM($D35:KK35)&gt;0,0,IF(KK$25&gt;KK33,KK33,0)))))</f>
        <v>0</v>
      </c>
      <c r="KM35" s="115">
        <f>IF(SUM($D$28:KL28)=0,0,IF(IF(KM34&gt;0,KM34-(IF(SUM($D35:KL35)&gt;0,0,IF(KL$25&gt;KL33,KL33,0))),0)&lt;0,0,(IF(SUM($D35:KL35)&gt;0,0,IF(KL$25&gt;KL33,KL33,0)))))</f>
        <v>0</v>
      </c>
      <c r="KN35" s="115">
        <f>IF(SUM($D$28:KM28)=0,0,IF(IF(KN34&gt;0,KN34-(IF(SUM($D35:KM35)&gt;0,0,IF(KM$25&gt;KM33,KM33,0))),0)&lt;0,0,(IF(SUM($D35:KM35)&gt;0,0,IF(KM$25&gt;KM33,KM33,0)))))</f>
        <v>0</v>
      </c>
      <c r="KO35" s="115">
        <f>IF(SUM($D$28:KN28)=0,0,IF(IF(KO34&gt;0,KO34-(IF(SUM($D35:KN35)&gt;0,0,IF(KN$25&gt;KN33,KN33,0))),0)&lt;0,0,(IF(SUM($D35:KN35)&gt;0,0,IF(KN$25&gt;KN33,KN33,0)))))</f>
        <v>0</v>
      </c>
      <c r="KP35" s="115">
        <f>IF(SUM($D$28:KO28)=0,0,IF(IF(KP34&gt;0,KP34-(IF(SUM($D35:KO35)&gt;0,0,IF(KO$25&gt;KO33,KO33,0))),0)&lt;0,0,(IF(SUM($D35:KO35)&gt;0,0,IF(KO$25&gt;KO33,KO33,0)))))</f>
        <v>0</v>
      </c>
      <c r="KQ35" s="115">
        <f>IF(SUM($D$28:KP28)=0,0,IF(IF(KQ34&gt;0,KQ34-(IF(SUM($D35:KP35)&gt;0,0,IF(KP$25&gt;KP33,KP33,0))),0)&lt;0,0,(IF(SUM($D35:KP35)&gt;0,0,IF(KP$25&gt;KP33,KP33,0)))))</f>
        <v>0</v>
      </c>
      <c r="KR35" s="115">
        <f>IF(SUM($D$28:KQ28)=0,0,IF(IF(KR34&gt;0,KR34-(IF(SUM($D35:KQ35)&gt;0,0,IF(KQ$25&gt;KQ33,KQ33,0))),0)&lt;0,0,(IF(SUM($D35:KQ35)&gt;0,0,IF(KQ$25&gt;KQ33,KQ33,0)))))</f>
        <v>0</v>
      </c>
      <c r="KS35" s="115">
        <f>IF(SUM($D$28:KR28)=0,0,IF(IF(KS34&gt;0,KS34-(IF(SUM($D35:KR35)&gt;0,0,IF(KR$25&gt;KR33,KR33,0))),0)&lt;0,0,(IF(SUM($D35:KR35)&gt;0,0,IF(KR$25&gt;KR33,KR33,0)))))</f>
        <v>0</v>
      </c>
      <c r="KT35" s="115">
        <f>IF(SUM($D$28:KS28)=0,0,IF(IF(KT34&gt;0,KT34-(IF(SUM($D35:KS35)&gt;0,0,IF(KS$25&gt;KS33,KS33,0))),0)&lt;0,0,(IF(SUM($D35:KS35)&gt;0,0,IF(KS$25&gt;KS33,KS33,0)))))</f>
        <v>0</v>
      </c>
      <c r="KU35" s="115">
        <f>IF(SUM($D$28:KT28)=0,0,IF(IF(KU34&gt;0,KU34-(IF(SUM($D35:KT35)&gt;0,0,IF(KT$25&gt;KT33,KT33,0))),0)&lt;0,0,(IF(SUM($D35:KT35)&gt;0,0,IF(KT$25&gt;KT33,KT33,0)))))</f>
        <v>0</v>
      </c>
      <c r="KV35" s="115">
        <f>IF(SUM($D$28:KU28)=0,0,IF(IF(KV34&gt;0,KV34-(IF(SUM($D35:KU35)&gt;0,0,IF(KU$25&gt;KU33,KU33,0))),0)&lt;0,0,(IF(SUM($D35:KU35)&gt;0,0,IF(KU$25&gt;KU33,KU33,0)))))</f>
        <v>0</v>
      </c>
      <c r="KW35" s="115">
        <f>IF(SUM($D$28:KV28)=0,0,IF(IF(KW34&gt;0,KW34-(IF(SUM($D35:KV35)&gt;0,0,IF(KV$25&gt;KV33,KV33,0))),0)&lt;0,0,(IF(SUM($D35:KV35)&gt;0,0,IF(KV$25&gt;KV33,KV33,0)))))</f>
        <v>0</v>
      </c>
      <c r="KX35" s="115">
        <f>IF(SUM($D$28:KW28)=0,0,IF(IF(KX34&gt;0,KX34-(IF(SUM($D35:KW35)&gt;0,0,IF(KW$25&gt;KW33,KW33,0))),0)&lt;0,0,(IF(SUM($D35:KW35)&gt;0,0,IF(KW$25&gt;KW33,KW33,0)))))</f>
        <v>0</v>
      </c>
      <c r="KY35" s="115">
        <f>IF(SUM($D$28:KX28)=0,0,IF(IF(KY34&gt;0,KY34-(IF(SUM($D35:KX35)&gt;0,0,IF(KX$25&gt;KX33,KX33,0))),0)&lt;0,0,(IF(SUM($D35:KX35)&gt;0,0,IF(KX$25&gt;KX33,KX33,0)))))</f>
        <v>0</v>
      </c>
      <c r="KZ35" s="115">
        <f>IF(SUM($D$28:KY28)=0,0,IF(IF(KZ34&gt;0,KZ34-(IF(SUM($D35:KY35)&gt;0,0,IF(KY$25&gt;KY33,KY33,0))),0)&lt;0,0,(IF(SUM($D35:KY35)&gt;0,0,IF(KY$25&gt;KY33,KY33,0)))))</f>
        <v>0</v>
      </c>
      <c r="LA35" s="115">
        <f>IF(SUM($D$28:KZ28)=0,0,IF(IF(LA34&gt;0,LA34-(IF(SUM($D35:KZ35)&gt;0,0,IF(KZ$25&gt;KZ33,KZ33,0))),0)&lt;0,0,(IF(SUM($D35:KZ35)&gt;0,0,IF(KZ$25&gt;KZ33,KZ33,0)))))</f>
        <v>0</v>
      </c>
      <c r="LB35" s="115">
        <f>IF(SUM($D$28:LA28)=0,0,IF(IF(LB34&gt;0,LB34-(IF(SUM($D35:LA35)&gt;0,0,IF(LA$25&gt;LA33,LA33,0))),0)&lt;0,0,(IF(SUM($D35:LA35)&gt;0,0,IF(LA$25&gt;LA33,LA33,0)))))</f>
        <v>0</v>
      </c>
      <c r="LC35" s="115">
        <f>IF(SUM($D$28:LB28)=0,0,IF(IF(LC34&gt;0,LC34-(IF(SUM($D35:LB35)&gt;0,0,IF(LB$25&gt;LB33,LB33,0))),0)&lt;0,0,(IF(SUM($D35:LB35)&gt;0,0,IF(LB$25&gt;LB33,LB33,0)))))</f>
        <v>0</v>
      </c>
      <c r="LD35" s="115">
        <f>IF(SUM($D$28:LC28)=0,0,IF(IF(LD34&gt;0,LD34-(IF(SUM($D35:LC35)&gt;0,0,IF(LC$25&gt;LC33,LC33,0))),0)&lt;0,0,(IF(SUM($D35:LC35)&gt;0,0,IF(LC$25&gt;LC33,LC33,0)))))</f>
        <v>0</v>
      </c>
      <c r="LE35" s="115">
        <f>IF(SUM($D$28:LD28)=0,0,IF(IF(LE34&gt;0,LE34-(IF(SUM($D35:LD35)&gt;0,0,IF(LD$25&gt;LD33,LD33,0))),0)&lt;0,0,(IF(SUM($D35:LD35)&gt;0,0,IF(LD$25&gt;LD33,LD33,0)))))</f>
        <v>0</v>
      </c>
      <c r="LF35" s="115">
        <f>IF(SUM($D$28:LE28)=0,0,IF(IF(LF34&gt;0,LF34-(IF(SUM($D35:LE35)&gt;0,0,IF(LE$25&gt;LE33,LE33,0))),0)&lt;0,0,(IF(SUM($D35:LE35)&gt;0,0,IF(LE$25&gt;LE33,LE33,0)))))</f>
        <v>0</v>
      </c>
      <c r="LG35" s="115">
        <f>IF(SUM($D$28:LF28)=0,0,IF(IF(LG34&gt;0,LG34-(IF(SUM($D35:LF35)&gt;0,0,IF(LF$25&gt;LF33,LF33,0))),0)&lt;0,0,(IF(SUM($D35:LF35)&gt;0,0,IF(LF$25&gt;LF33,LF33,0)))))</f>
        <v>0</v>
      </c>
      <c r="LH35" s="115">
        <f>IF(SUM($D$28:LG28)=0,0,IF(IF(LH34&gt;0,LH34-(IF(SUM($D35:LG35)&gt;0,0,IF(LG$25&gt;LG33,LG33,0))),0)&lt;0,0,(IF(SUM($D35:LG35)&gt;0,0,IF(LG$25&gt;LG33,LG33,0)))))</f>
        <v>0</v>
      </c>
      <c r="LI35" s="115">
        <f>IF(SUM($D$28:LH28)=0,0,IF(IF(LI34&gt;0,LI34-(IF(SUM($D35:LH35)&gt;0,0,IF(LH$25&gt;LH33,LH33,0))),0)&lt;0,0,(IF(SUM($D35:LH35)&gt;0,0,IF(LH$25&gt;LH33,LH33,0)))))</f>
        <v>0</v>
      </c>
      <c r="LJ35" s="115">
        <f>IF(SUM($D$28:LI28)=0,0,IF(IF(LJ34&gt;0,LJ34-(IF(SUM($D35:LI35)&gt;0,0,IF(LI$25&gt;LI33,LI33,0))),0)&lt;0,0,(IF(SUM($D35:LI35)&gt;0,0,IF(LI$25&gt;LI33,LI33,0)))))</f>
        <v>0</v>
      </c>
      <c r="LK35" s="115">
        <f>IF(SUM($D$28:LJ28)=0,0,IF(IF(LK34&gt;0,LK34-(IF(SUM($D35:LJ35)&gt;0,0,IF(LJ$25&gt;LJ33,LJ33,0))),0)&lt;0,0,(IF(SUM($D35:LJ35)&gt;0,0,IF(LJ$25&gt;LJ33,LJ33,0)))))</f>
        <v>0</v>
      </c>
      <c r="LL35" s="115">
        <f>IF(SUM($D$28:LK28)=0,0,IF(IF(LL34&gt;0,LL34-(IF(SUM($D35:LK35)&gt;0,0,IF(LK$25&gt;LK33,LK33,0))),0)&lt;0,0,(IF(SUM($D35:LK35)&gt;0,0,IF(LK$25&gt;LK33,LK33,0)))))</f>
        <v>0</v>
      </c>
      <c r="LM35" s="115">
        <f>IF(SUM($D$28:LL28)=0,0,IF(IF(LM34&gt;0,LM34-(IF(SUM($D35:LL35)&gt;0,0,IF(LL$25&gt;LL33,LL33,0))),0)&lt;0,0,(IF(SUM($D35:LL35)&gt;0,0,IF(LL$25&gt;LL33,LL33,0)))))</f>
        <v>0</v>
      </c>
      <c r="LN35" s="115">
        <f>IF(SUM($D$28:LM28)=0,0,IF(IF(LN34&gt;0,LN34-(IF(SUM($D35:LM35)&gt;0,0,IF(LM$25&gt;LM33,LM33,0))),0)&lt;0,0,(IF(SUM($D35:LM35)&gt;0,0,IF(LM$25&gt;LM33,LM33,0)))))</f>
        <v>0</v>
      </c>
      <c r="LO35" s="115">
        <f>IF(SUM($D$28:LN28)=0,0,IF(IF(LO34&gt;0,LO34-(IF(SUM($D35:LN35)&gt;0,0,IF(LN$25&gt;LN33,LN33,0))),0)&lt;0,0,(IF(SUM($D35:LN35)&gt;0,0,IF(LN$25&gt;LN33,LN33,0)))))</f>
        <v>0</v>
      </c>
      <c r="LP35" s="115">
        <f>IF(SUM($D$28:LO28)=0,0,IF(IF(LP34&gt;0,LP34-(IF(SUM($D35:LO35)&gt;0,0,IF(LO$25&gt;LO33,LO33,0))),0)&lt;0,0,(IF(SUM($D35:LO35)&gt;0,0,IF(LO$25&gt;LO33,LO33,0)))))</f>
        <v>0</v>
      </c>
      <c r="LQ35" s="115">
        <f>IF(SUM($D$28:LP28)=0,0,IF(IF(LQ34&gt;0,LQ34-(IF(SUM($D35:LP35)&gt;0,0,IF(LP$25&gt;LP33,LP33,0))),0)&lt;0,0,(IF(SUM($D35:LP35)&gt;0,0,IF(LP$25&gt;LP33,LP33,0)))))</f>
        <v>0</v>
      </c>
      <c r="LR35" s="115">
        <f>IF(SUM($D$28:LQ28)=0,0,IF(IF(LR34&gt;0,LR34-(IF(SUM($D35:LQ35)&gt;0,0,IF(LQ$25&gt;LQ33,LQ33,0))),0)&lt;0,0,(IF(SUM($D35:LQ35)&gt;0,0,IF(LQ$25&gt;LQ33,LQ33,0)))))</f>
        <v>0</v>
      </c>
      <c r="LS35" s="115">
        <f>IF(SUM($D$28:LR28)=0,0,IF(IF(LS34&gt;0,LS34-(IF(SUM($D35:LR35)&gt;0,0,IF(LR$25&gt;LR33,LR33,0))),0)&lt;0,0,(IF(SUM($D35:LR35)&gt;0,0,IF(LR$25&gt;LR33,LR33,0)))))</f>
        <v>0</v>
      </c>
      <c r="LT35" s="115">
        <f>IF(SUM($D$28:LS28)=0,0,IF(IF(LT34&gt;0,LT34-(IF(SUM($D35:LS35)&gt;0,0,IF(LS$25&gt;LS33,LS33,0))),0)&lt;0,0,(IF(SUM($D35:LS35)&gt;0,0,IF(LS$25&gt;LS33,LS33,0)))))</f>
        <v>0</v>
      </c>
      <c r="LU35" s="115">
        <f>IF(SUM($D$28:LT28)=0,0,IF(IF(LU34&gt;0,LU34-(IF(SUM($D35:LT35)&gt;0,0,IF(LT$25&gt;LT33,LT33,0))),0)&lt;0,0,(IF(SUM($D35:LT35)&gt;0,0,IF(LT$25&gt;LT33,LT33,0)))))</f>
        <v>0</v>
      </c>
      <c r="LV35" s="115">
        <f>IF(SUM($D$28:LU28)=0,0,IF(IF(LV34&gt;0,LV34-(IF(SUM($D35:LU35)&gt;0,0,IF(LU$25&gt;LU33,LU33,0))),0)&lt;0,0,(IF(SUM($D35:LU35)&gt;0,0,IF(LU$25&gt;LU33,LU33,0)))))</f>
        <v>0</v>
      </c>
      <c r="LW35" s="115">
        <f>IF(SUM($D$28:LV28)=0,0,IF(IF(LW34&gt;0,LW34-(IF(SUM($D35:LV35)&gt;0,0,IF(LV$25&gt;LV33,LV33,0))),0)&lt;0,0,(IF(SUM($D35:LV35)&gt;0,0,IF(LV$25&gt;LV33,LV33,0)))))</f>
        <v>0</v>
      </c>
      <c r="LX35" s="115">
        <f>IF(SUM($D$28:LW28)=0,0,IF(IF(LX34&gt;0,LX34-(IF(SUM($D35:LW35)&gt;0,0,IF(LW$25&gt;LW33,LW33,0))),0)&lt;0,0,(IF(SUM($D35:LW35)&gt;0,0,IF(LW$25&gt;LW33,LW33,0)))))</f>
        <v>0</v>
      </c>
      <c r="LY35" s="115">
        <f>IF(SUM($D$28:LX28)=0,0,IF(IF(LY34&gt;0,LY34-(IF(SUM($D35:LX35)&gt;0,0,IF(LX$25&gt;LX33,LX33,0))),0)&lt;0,0,(IF(SUM($D35:LX35)&gt;0,0,IF(LX$25&gt;LX33,LX33,0)))))</f>
        <v>0</v>
      </c>
      <c r="LZ35" s="115">
        <f>IF(SUM($D$28:LY28)=0,0,IF(IF(LZ34&gt;0,LZ34-(IF(SUM($D35:LY35)&gt;0,0,IF(LY$25&gt;LY33,LY33,0))),0)&lt;0,0,(IF(SUM($D35:LY35)&gt;0,0,IF(LY$25&gt;LY33,LY33,0)))))</f>
        <v>0</v>
      </c>
      <c r="MA35" s="115">
        <f>IF(SUM($D$28:LZ28)=0,0,IF(IF(MA34&gt;0,MA34-(IF(SUM($D35:LZ35)&gt;0,0,IF(LZ$25&gt;LZ33,LZ33,0))),0)&lt;0,0,(IF(SUM($D35:LZ35)&gt;0,0,IF(LZ$25&gt;LZ33,LZ33,0)))))</f>
        <v>0</v>
      </c>
      <c r="MB35" s="115">
        <f>IF(SUM($D$28:MA28)=0,0,IF(IF(MB34&gt;0,MB34-(IF(SUM($D35:MA35)&gt;0,0,IF(MA$25&gt;MA33,MA33,0))),0)&lt;0,0,(IF(SUM($D35:MA35)&gt;0,0,IF(MA$25&gt;MA33,MA33,0)))))</f>
        <v>0</v>
      </c>
      <c r="MC35" s="115">
        <f>IF(SUM($D$28:MB28)=0,0,IF(IF(MC34&gt;0,MC34-(IF(SUM($D35:MB35)&gt;0,0,IF(MB$25&gt;MB33,MB33,0))),0)&lt;0,0,(IF(SUM($D35:MB35)&gt;0,0,IF(MB$25&gt;MB33,MB33,0)))))</f>
        <v>0</v>
      </c>
      <c r="MD35" s="115">
        <f>IF(SUM($D$28:MC28)=0,0,IF(IF(MD34&gt;0,MD34-(IF(SUM($D35:MC35)&gt;0,0,IF(MC$25&gt;MC33,MC33,0))),0)&lt;0,0,(IF(SUM($D35:MC35)&gt;0,0,IF(MC$25&gt;MC33,MC33,0)))))</f>
        <v>0</v>
      </c>
      <c r="ME35" s="115">
        <f>IF(SUM($D$28:MD28)=0,0,IF(IF(ME34&gt;0,ME34-(IF(SUM($D35:MD35)&gt;0,0,IF(MD$25&gt;MD33,MD33,0))),0)&lt;0,0,(IF(SUM($D35:MD35)&gt;0,0,IF(MD$25&gt;MD33,MD33,0)))))</f>
        <v>0</v>
      </c>
      <c r="MF35" s="115">
        <f>IF(SUM($D$28:ME28)=0,0,IF(IF(MF34&gt;0,MF34-(IF(SUM($D35:ME35)&gt;0,0,IF(ME$25&gt;ME33,ME33,0))),0)&lt;0,0,(IF(SUM($D35:ME35)&gt;0,0,IF(ME$25&gt;ME33,ME33,0)))))</f>
        <v>0</v>
      </c>
      <c r="MG35" s="115">
        <f>IF(SUM($D$28:MF28)=0,0,IF(IF(MG34&gt;0,MG34-(IF(SUM($D35:MF35)&gt;0,0,IF(MF$25&gt;MF33,MF33,0))),0)&lt;0,0,(IF(SUM($D35:MF35)&gt;0,0,IF(MF$25&gt;MF33,MF33,0)))))</f>
        <v>0</v>
      </c>
      <c r="MH35" s="115">
        <f>IF(SUM($D$28:MG28)=0,0,IF(IF(MH34&gt;0,MH34-(IF(SUM($D35:MG35)&gt;0,0,IF(MG$25&gt;MG33,MG33,0))),0)&lt;0,0,(IF(SUM($D35:MG35)&gt;0,0,IF(MG$25&gt;MG33,MG33,0)))))</f>
        <v>0</v>
      </c>
      <c r="MI35" s="115">
        <f>IF(SUM($D$28:MH28)=0,0,IF(IF(MI34&gt;0,MI34-(IF(SUM($D35:MH35)&gt;0,0,IF(MH$25&gt;MH33,MH33,0))),0)&lt;0,0,(IF(SUM($D35:MH35)&gt;0,0,IF(MH$25&gt;MH33,MH33,0)))))</f>
        <v>0</v>
      </c>
      <c r="MJ35" s="115">
        <f>IF(SUM($D$28:MI28)=0,0,IF(IF(MJ34&gt;0,MJ34-(IF(SUM($D35:MI35)&gt;0,0,IF(MI$25&gt;MI33,MI33,0))),0)&lt;0,0,(IF(SUM($D35:MI35)&gt;0,0,IF(MI$25&gt;MI33,MI33,0)))))</f>
        <v>0</v>
      </c>
      <c r="MK35" s="115">
        <f>IF(SUM($D$28:MJ28)=0,0,IF(IF(MK34&gt;0,MK34-(IF(SUM($D35:MJ35)&gt;0,0,IF(MJ$25&gt;MJ33,MJ33,0))),0)&lt;0,0,(IF(SUM($D35:MJ35)&gt;0,0,IF(MJ$25&gt;MJ33,MJ33,0)))))</f>
        <v>0</v>
      </c>
      <c r="ML35" s="115">
        <f>IF(SUM($D$28:MK28)=0,0,IF(IF(ML34&gt;0,ML34-(IF(SUM($D35:MK35)&gt;0,0,IF(MK$25&gt;MK33,MK33,0))),0)&lt;0,0,(IF(SUM($D35:MK35)&gt;0,0,IF(MK$25&gt;MK33,MK33,0)))))</f>
        <v>0</v>
      </c>
      <c r="MM35" s="115">
        <f>IF(SUM($D$28:ML28)=0,0,IF(IF(MM34&gt;0,MM34-(IF(SUM($D35:ML35)&gt;0,0,IF(ML$25&gt;ML33,ML33,0))),0)&lt;0,0,(IF(SUM($D35:ML35)&gt;0,0,IF(ML$25&gt;ML33,ML33,0)))))</f>
        <v>0</v>
      </c>
      <c r="MN35" s="115">
        <f>IF(SUM($D$28:MM28)=0,0,IF(IF(MN34&gt;0,MN34-(IF(SUM($D35:MM35)&gt;0,0,IF(MM$25&gt;MM33,MM33,0))),0)&lt;0,0,(IF(SUM($D35:MM35)&gt;0,0,IF(MM$25&gt;MM33,MM33,0)))))</f>
        <v>0</v>
      </c>
      <c r="MO35" s="115">
        <f>IF(SUM($D$28:MN28)=0,0,IF(IF(MO34&gt;0,MO34-(IF(SUM($D35:MN35)&gt;0,0,IF(MN$25&gt;MN33,MN33,0))),0)&lt;0,0,(IF(SUM($D35:MN35)&gt;0,0,IF(MN$25&gt;MN33,MN33,0)))))</f>
        <v>0</v>
      </c>
      <c r="MP35" s="115">
        <f>IF(SUM($D$28:MO28)=0,0,IF(IF(MP34&gt;0,MP34-(IF(SUM($D35:MO35)&gt;0,0,IF(MO$25&gt;MO33,MO33,0))),0)&lt;0,0,(IF(SUM($D35:MO35)&gt;0,0,IF(MO$25&gt;MO33,MO33,0)))))</f>
        <v>0</v>
      </c>
      <c r="MQ35" s="115">
        <f>IF(SUM($D$28:MP28)=0,0,IF(IF(MQ34&gt;0,MQ34-(IF(SUM($D35:MP35)&gt;0,0,IF(MP$25&gt;MP33,MP33,0))),0)&lt;0,0,(IF(SUM($D35:MP35)&gt;0,0,IF(MP$25&gt;MP33,MP33,0)))))</f>
        <v>0</v>
      </c>
      <c r="MR35" s="115">
        <f>IF(SUM($D$28:MQ28)=0,0,IF(IF(MR34&gt;0,MR34-(IF(SUM($D35:MQ35)&gt;0,0,IF(MQ$25&gt;MQ33,MQ33,0))),0)&lt;0,0,(IF(SUM($D35:MQ35)&gt;0,0,IF(MQ$25&gt;MQ33,MQ33,0)))))</f>
        <v>0</v>
      </c>
      <c r="MS35" s="115">
        <f>IF(SUM($D$28:MR28)=0,0,IF(IF(MS34&gt;0,MS34-(IF(SUM($D35:MR35)&gt;0,0,IF(MR$25&gt;MR33,MR33,0))),0)&lt;0,0,(IF(SUM($D35:MR35)&gt;0,0,IF(MR$25&gt;MR33,MR33,0)))))</f>
        <v>0</v>
      </c>
      <c r="MT35" s="115">
        <f>IF(SUM($D$28:MS28)=0,0,IF(IF(MT34&gt;0,MT34-(IF(SUM($D35:MS35)&gt;0,0,IF(MS$25&gt;MS33,MS33,0))),0)&lt;0,0,(IF(SUM($D35:MS35)&gt;0,0,IF(MS$25&gt;MS33,MS33,0)))))</f>
        <v>0</v>
      </c>
      <c r="MU35" s="115">
        <f>IF(SUM($D$28:MT28)=0,0,IF(IF(MU34&gt;0,MU34-(IF(SUM($D35:MT35)&gt;0,0,IF(MT$25&gt;MT33,MT33,0))),0)&lt;0,0,(IF(SUM($D35:MT35)&gt;0,0,IF(MT$25&gt;MT33,MT33,0)))))</f>
        <v>0</v>
      </c>
      <c r="MV35" s="115">
        <f>IF(SUM($D$28:MU28)=0,0,IF(IF(MV34&gt;0,MV34-(IF(SUM($D35:MU35)&gt;0,0,IF(MU$25&gt;MU33,MU33,0))),0)&lt;0,0,(IF(SUM($D35:MU35)&gt;0,0,IF(MU$25&gt;MU33,MU33,0)))))</f>
        <v>0</v>
      </c>
      <c r="MW35" s="115">
        <f>IF(SUM($D$28:MV28)=0,0,IF(IF(MW34&gt;0,MW34-(IF(SUM($D35:MV35)&gt;0,0,IF(MV$25&gt;MV33,MV33,0))),0)&lt;0,0,(IF(SUM($D35:MV35)&gt;0,0,IF(MV$25&gt;MV33,MV33,0)))))</f>
        <v>0</v>
      </c>
      <c r="MX35" s="115">
        <f>IF(SUM($D$28:MW28)=0,0,IF(IF(MX34&gt;0,MX34-(IF(SUM($D35:MW35)&gt;0,0,IF(MW$25&gt;MW33,MW33,0))),0)&lt;0,0,(IF(SUM($D35:MW35)&gt;0,0,IF(MW$25&gt;MW33,MW33,0)))))</f>
        <v>0</v>
      </c>
      <c r="MY35" s="115">
        <f>IF(SUM($D$28:MX28)=0,0,IF(IF(MY34&gt;0,MY34-(IF(SUM($D35:MX35)&gt;0,0,IF(MX$25&gt;MX33,MX33,0))),0)&lt;0,0,(IF(SUM($D35:MX35)&gt;0,0,IF(MX$25&gt;MX33,MX33,0)))))</f>
        <v>0</v>
      </c>
      <c r="MZ35" s="115">
        <f>IF(SUM($D$28:MY28)=0,0,IF(IF(MZ34&gt;0,MZ34-(IF(SUM($D35:MY35)&gt;0,0,IF(MY$25&gt;MY33,MY33,0))),0)&lt;0,0,(IF(SUM($D35:MY35)&gt;0,0,IF(MY$25&gt;MY33,MY33,0)))))</f>
        <v>0</v>
      </c>
      <c r="NA35" s="115">
        <f>IF(SUM($D$28:MZ28)=0,0,IF(IF(NA34&gt;0,NA34-(IF(SUM($D35:MZ35)&gt;0,0,IF(MZ$25&gt;MZ33,MZ33,0))),0)&lt;0,0,(IF(SUM($D35:MZ35)&gt;0,0,IF(MZ$25&gt;MZ33,MZ33,0)))))</f>
        <v>0</v>
      </c>
      <c r="NB35" s="115">
        <f>IF(SUM($D$28:NA28)=0,0,IF(IF(NB34&gt;0,NB34-(IF(SUM($D35:NA35)&gt;0,0,IF(NA$25&gt;NA33,NA33,0))),0)&lt;0,0,(IF(SUM($D35:NA35)&gt;0,0,IF(NA$25&gt;NA33,NA33,0)))))</f>
        <v>0</v>
      </c>
      <c r="NC35" s="115">
        <f>IF(SUM($D$28:NB28)=0,0,IF(IF(NC34&gt;0,NC34-(IF(SUM($D35:NB35)&gt;0,0,IF(NB$25&gt;NB33,NB33,0))),0)&lt;0,0,(IF(SUM($D35:NB35)&gt;0,0,IF(NB$25&gt;NB33,NB33,0)))))</f>
        <v>0</v>
      </c>
      <c r="ND35" s="115">
        <f>IF(SUM($D$28:NC28)=0,0,IF(IF(ND34&gt;0,ND34-(IF(SUM($D35:NC35)&gt;0,0,IF(NC$25&gt;NC33,NC33,0))),0)&lt;0,0,(IF(SUM($D35:NC35)&gt;0,0,IF(NC$25&gt;NC33,NC33,0)))))</f>
        <v>0</v>
      </c>
      <c r="NE35" s="115">
        <f>IF(SUM($D$28:ND28)=0,0,IF(IF(NE34&gt;0,NE34-(IF(SUM($D35:ND35)&gt;0,0,IF(ND$25&gt;ND33,ND33,0))),0)&lt;0,0,(IF(SUM($D35:ND35)&gt;0,0,IF(ND$25&gt;ND33,ND33,0)))))</f>
        <v>0</v>
      </c>
      <c r="NF35" s="115">
        <f>IF(SUM($D$28:NE28)=0,0,IF(IF(NF34&gt;0,NF34-(IF(SUM($D35:NE35)&gt;0,0,IF(NE$25&gt;NE33,NE33,0))),0)&lt;0,0,(IF(SUM($D35:NE35)&gt;0,0,IF(NE$25&gt;NE33,NE33,0)))))</f>
        <v>0</v>
      </c>
      <c r="NG35" s="115">
        <f>IF(SUM($D$28:NF28)=0,0,IF(IF(NG34&gt;0,NG34-(IF(SUM($D35:NF35)&gt;0,0,IF(NF$25&gt;NF33,NF33,0))),0)&lt;0,0,(IF(SUM($D35:NF35)&gt;0,0,IF(NF$25&gt;NF33,NF33,0)))))</f>
        <v>0</v>
      </c>
      <c r="NH35" s="115">
        <f>IF(SUM($D$28:NG28)=0,0,IF(IF(NH34&gt;0,NH34-(IF(SUM($D35:NG35)&gt;0,0,IF(NG$25&gt;NG33,NG33,0))),0)&lt;0,0,(IF(SUM($D35:NG35)&gt;0,0,IF(NG$25&gt;NG33,NG33,0)))))</f>
        <v>0</v>
      </c>
      <c r="NI35" s="115">
        <f>IF(SUM($D$28:NH28)=0,0,IF(IF(NI34&gt;0,NI34-(IF(SUM($D35:NH35)&gt;0,0,IF(NH$25&gt;NH33,NH33,0))),0)&lt;0,0,(IF(SUM($D35:NH35)&gt;0,0,IF(NH$25&gt;NH33,NH33,0)))))</f>
        <v>0</v>
      </c>
      <c r="NJ35" s="115">
        <f>IF(SUM($D$28:NI28)=0,0,IF(IF(NJ34&gt;0,NJ34-(IF(SUM($D35:NI35)&gt;0,0,IF(NI$25&gt;NI33,NI33,0))),0)&lt;0,0,(IF(SUM($D35:NI35)&gt;0,0,IF(NI$25&gt;NI33,NI33,0)))))</f>
        <v>0</v>
      </c>
      <c r="NK35" s="115">
        <f>IF(SUM($D$28:NJ28)=0,0,IF(IF(NK34&gt;0,NK34-(IF(SUM($D35:NJ35)&gt;0,0,IF(NJ$25&gt;NJ33,NJ33,0))),0)&lt;0,0,(IF(SUM($D35:NJ35)&gt;0,0,IF(NJ$25&gt;NJ33,NJ33,0)))))</f>
        <v>0</v>
      </c>
      <c r="NL35" s="115">
        <f>IF(SUM($D$28:NK28)=0,0,IF(IF(NL34&gt;0,NL34-(IF(SUM($D35:NK35)&gt;0,0,IF(NK$25&gt;NK33,NK33,0))),0)&lt;0,0,(IF(SUM($D35:NK35)&gt;0,0,IF(NK$25&gt;NK33,NK33,0)))))</f>
        <v>0</v>
      </c>
      <c r="NM35" s="115">
        <f>IF(SUM($D$28:NL28)=0,0,IF(IF(NM34&gt;0,NM34-(IF(SUM($D35:NL35)&gt;0,0,IF(NL$25&gt;NL33,NL33,0))),0)&lt;0,0,(IF(SUM($D35:NL35)&gt;0,0,IF(NL$25&gt;NL33,NL33,0)))))</f>
        <v>0</v>
      </c>
      <c r="NN35" s="115">
        <f>IF(SUM($D$28:NM28)=0,0,IF(IF(NN34&gt;0,NN34-(IF(SUM($D35:NM35)&gt;0,0,IF(NM$25&gt;NM33,NM33,0))),0)&lt;0,0,(IF(SUM($D35:NM35)&gt;0,0,IF(NM$25&gt;NM33,NM33,0)))))</f>
        <v>0</v>
      </c>
      <c r="NO35" s="115">
        <f>IF(SUM($D$28:NN28)=0,0,IF(IF(NO34&gt;0,NO34-(IF(SUM($D35:NN35)&gt;0,0,IF(NN$25&gt;NN33,NN33,0))),0)&lt;0,0,(IF(SUM($D35:NN35)&gt;0,0,IF(NN$25&gt;NN33,NN33,0)))))</f>
        <v>0</v>
      </c>
      <c r="NP35" s="115">
        <f>IF(SUM($D$28:NO28)=0,0,IF(IF(NP34&gt;0,NP34-(IF(SUM($D35:NO35)&gt;0,0,IF(NO$25&gt;NO33,NO33,0))),0)&lt;0,0,(IF(SUM($D35:NO35)&gt;0,0,IF(NO$25&gt;NO33,NO33,0)))))</f>
        <v>0</v>
      </c>
      <c r="NQ35" s="115">
        <f>IF(SUM($D$28:NP28)=0,0,IF(IF(NQ34&gt;0,NQ34-(IF(SUM($D35:NP35)&gt;0,0,IF(NP$25&gt;NP33,NP33,0))),0)&lt;0,0,(IF(SUM($D35:NP35)&gt;0,0,IF(NP$25&gt;NP33,NP33,0)))))</f>
        <v>0</v>
      </c>
      <c r="NR35" s="115">
        <f>IF(SUM($D$28:NQ28)=0,0,IF(IF(NR34&gt;0,NR34-(IF(SUM($D35:NQ35)&gt;0,0,IF(NQ$25&gt;NQ33,NQ33,0))),0)&lt;0,0,(IF(SUM($D35:NQ35)&gt;0,0,IF(NQ$25&gt;NQ33,NQ33,0)))))</f>
        <v>0</v>
      </c>
      <c r="NS35" s="115">
        <f>IF(SUM($D$28:NR28)=0,0,IF(IF(NS34&gt;0,NS34-(IF(SUM($D35:NR35)&gt;0,0,IF(NR$25&gt;NR33,NR33,0))),0)&lt;0,0,(IF(SUM($D35:NR35)&gt;0,0,IF(NR$25&gt;NR33,NR33,0)))))</f>
        <v>0</v>
      </c>
      <c r="NT35" s="115">
        <f>IF(SUM($D$28:NS28)=0,0,IF(IF(NT34&gt;0,NT34-(IF(SUM($D35:NS35)&gt;0,0,IF(NS$25&gt;NS33,NS33,0))),0)&lt;0,0,(IF(SUM($D35:NS35)&gt;0,0,IF(NS$25&gt;NS33,NS33,0)))))</f>
        <v>0</v>
      </c>
      <c r="NU35" s="115">
        <f>IF(SUM($D$28:NT28)=0,0,IF(IF(NU34&gt;0,NU34-(IF(SUM($D35:NT35)&gt;0,0,IF(NT$25&gt;NT33,NT33,0))),0)&lt;0,0,(IF(SUM($D35:NT35)&gt;0,0,IF(NT$25&gt;NT33,NT33,0)))))</f>
        <v>0</v>
      </c>
      <c r="NV35" s="115">
        <f>IF(SUM($D$28:NU28)=0,0,IF(IF(NV34&gt;0,NV34-(IF(SUM($D35:NU35)&gt;0,0,IF(NU$25&gt;NU33,NU33,0))),0)&lt;0,0,(IF(SUM($D35:NU35)&gt;0,0,IF(NU$25&gt;NU33,NU33,0)))))</f>
        <v>0</v>
      </c>
      <c r="NW35" s="115">
        <f>IF(SUM($D$28:NV28)=0,0,IF(IF(NW34&gt;0,NW34-(IF(SUM($D35:NV35)&gt;0,0,IF(NV$25&gt;NV33,NV33,0))),0)&lt;0,0,(IF(SUM($D35:NV35)&gt;0,0,IF(NV$25&gt;NV33,NV33,0)))))</f>
        <v>0</v>
      </c>
      <c r="NX35" s="115">
        <f>IF(SUM($D$28:NW28)=0,0,IF(IF(NX34&gt;0,NX34-(IF(SUM($D35:NW35)&gt;0,0,IF(NW$25&gt;NW33,NW33,0))),0)&lt;0,0,(IF(SUM($D35:NW35)&gt;0,0,IF(NW$25&gt;NW33,NW33,0)))))</f>
        <v>0</v>
      </c>
      <c r="NY35" s="115">
        <f>IF(SUM($D$28:NX28)=0,0,IF(IF(NY34&gt;0,NY34-(IF(SUM($D35:NX35)&gt;0,0,IF(NX$25&gt;NX33,NX33,0))),0)&lt;0,0,(IF(SUM($D35:NX35)&gt;0,0,IF(NX$25&gt;NX33,NX33,0)))))</f>
        <v>0</v>
      </c>
      <c r="NZ35" s="115">
        <f>IF(SUM($D$28:NY28)=0,0,IF(IF(NZ34&gt;0,NZ34-(IF(SUM($D35:NY35)&gt;0,0,IF(NY$25&gt;NY33,NY33,0))),0)&lt;0,0,(IF(SUM($D35:NY35)&gt;0,0,IF(NY$25&gt;NY33,NY33,0)))))</f>
        <v>0</v>
      </c>
      <c r="OA35" s="115">
        <f>IF(SUM($D$28:NZ28)=0,0,IF(IF(OA34&gt;0,OA34-(IF(SUM($D35:NZ35)&gt;0,0,IF(NZ$25&gt;NZ33,NZ33,0))),0)&lt;0,0,(IF(SUM($D35:NZ35)&gt;0,0,IF(NZ$25&gt;NZ33,NZ33,0)))))</f>
        <v>0</v>
      </c>
      <c r="OB35" s="115">
        <f>IF(SUM($D$28:OA28)=0,0,IF(IF(OB34&gt;0,OB34-(IF(SUM($D35:OA35)&gt;0,0,IF(OA$25&gt;OA33,OA33,0))),0)&lt;0,0,(IF(SUM($D35:OA35)&gt;0,0,IF(OA$25&gt;OA33,OA33,0)))))</f>
        <v>0</v>
      </c>
      <c r="OC35" s="115">
        <f>IF(SUM($D$28:OB28)=0,0,IF(IF(OC34&gt;0,OC34-(IF(SUM($D35:OB35)&gt;0,0,IF(OB$25&gt;OB33,OB33,0))),0)&lt;0,0,(IF(SUM($D35:OB35)&gt;0,0,IF(OB$25&gt;OB33,OB33,0)))))</f>
        <v>0</v>
      </c>
      <c r="OD35" s="115">
        <f>IF(SUM($D$28:OC28)=0,0,IF(IF(OD34&gt;0,OD34-(IF(SUM($D35:OC35)&gt;0,0,IF(OC$25&gt;OC33,OC33,0))),0)&lt;0,0,(IF(SUM($D35:OC35)&gt;0,0,IF(OC$25&gt;OC33,OC33,0)))))</f>
        <v>0</v>
      </c>
      <c r="OE35" s="115">
        <f>IF(SUM($D$28:OD28)=0,0,IF(IF(OE34&gt;0,OE34-(IF(SUM($D35:OD35)&gt;0,0,IF(OD$25&gt;OD33,OD33,0))),0)&lt;0,0,(IF(SUM($D35:OD35)&gt;0,0,IF(OD$25&gt;OD33,OD33,0)))))</f>
        <v>0</v>
      </c>
      <c r="OF35" s="115">
        <f>IF(SUM($D$28:OE28)=0,0,IF(IF(OF34&gt;0,OF34-(IF(SUM($D35:OE35)&gt;0,0,IF(OE$25&gt;OE33,OE33,0))),0)&lt;0,0,(IF(SUM($D35:OE35)&gt;0,0,IF(OE$25&gt;OE33,OE33,0)))))</f>
        <v>0</v>
      </c>
      <c r="OG35" s="115">
        <f>IF(SUM($D$28:OF28)=0,0,IF(IF(OG34&gt;0,OG34-(IF(SUM($D35:OF35)&gt;0,0,IF(OF$25&gt;OF33,OF33,0))),0)&lt;0,0,(IF(SUM($D35:OF35)&gt;0,0,IF(OF$25&gt;OF33,OF33,0)))))</f>
        <v>0</v>
      </c>
      <c r="OH35" s="115">
        <f>IF(SUM($D$28:OG28)=0,0,IF(IF(OH34&gt;0,OH34-(IF(SUM($D35:OG35)&gt;0,0,IF(OG$25&gt;OG33,OG33,0))),0)&lt;0,0,(IF(SUM($D35:OG35)&gt;0,0,IF(OG$25&gt;OG33,OG33,0)))))</f>
        <v>0</v>
      </c>
      <c r="OI35" s="115">
        <f>IF(SUM($D$28:OH28)=0,0,IF(IF(OI34&gt;0,OI34-(IF(SUM($D35:OH35)&gt;0,0,IF(OH$25&gt;OH33,OH33,0))),0)&lt;0,0,(IF(SUM($D35:OH35)&gt;0,0,IF(OH$25&gt;OH33,OH33,0)))))</f>
        <v>0</v>
      </c>
      <c r="OJ35" s="115">
        <f>IF(SUM($D$28:OI28)=0,0,IF(IF(OJ34&gt;0,OJ34-(IF(SUM($D35:OI35)&gt;0,0,IF(OI$25&gt;OI33,OI33,0))),0)&lt;0,0,(IF(SUM($D35:OI35)&gt;0,0,IF(OI$25&gt;OI33,OI33,0)))))</f>
        <v>0</v>
      </c>
      <c r="OK35" s="115">
        <f>IF(SUM($D$28:OJ28)=0,0,IF(IF(OK34&gt;0,OK34-(IF(SUM($D35:OJ35)&gt;0,0,IF(OJ$25&gt;OJ33,OJ33,0))),0)&lt;0,0,(IF(SUM($D35:OJ35)&gt;0,0,IF(OJ$25&gt;OJ33,OJ33,0)))))</f>
        <v>0</v>
      </c>
      <c r="OL35" s="115">
        <f>IF(SUM($D$28:OK28)=0,0,IF(IF(OL34&gt;0,OL34-(IF(SUM($D35:OK35)&gt;0,0,IF(OK$25&gt;OK33,OK33,0))),0)&lt;0,0,(IF(SUM($D35:OK35)&gt;0,0,IF(OK$25&gt;OK33,OK33,0)))))</f>
        <v>0</v>
      </c>
      <c r="OM35" s="115">
        <f>IF(SUM($D$28:OL28)=0,0,IF(IF(OM34&gt;0,OM34-(IF(SUM($D35:OL35)&gt;0,0,IF(OL$25&gt;OL33,OL33,0))),0)&lt;0,0,(IF(SUM($D35:OL35)&gt;0,0,IF(OL$25&gt;OL33,OL33,0)))))</f>
        <v>0</v>
      </c>
      <c r="ON35" s="115">
        <f>IF(SUM($D$28:OM28)=0,0,IF(IF(ON34&gt;0,ON34-(IF(SUM($D35:OM35)&gt;0,0,IF(OM$25&gt;OM33,OM33,0))),0)&lt;0,0,(IF(SUM($D35:OM35)&gt;0,0,IF(OM$25&gt;OM33,OM33,0)))))</f>
        <v>0</v>
      </c>
      <c r="OO35" s="115">
        <f>IF(SUM($D$28:ON28)=0,0,IF(IF(OO34&gt;0,OO34-(IF(SUM($D35:ON35)&gt;0,0,IF(ON$25&gt;ON33,ON33,0))),0)&lt;0,0,(IF(SUM($D35:ON35)&gt;0,0,IF(ON$25&gt;ON33,ON33,0)))))</f>
        <v>0</v>
      </c>
      <c r="OP35" s="115">
        <f>IF(SUM($D$28:OO28)=0,0,IF(IF(OP34&gt;0,OP34-(IF(SUM($D35:OO35)&gt;0,0,IF(OO$25&gt;OO33,OO33,0))),0)&lt;0,0,(IF(SUM($D35:OO35)&gt;0,0,IF(OO$25&gt;OO33,OO33,0)))))</f>
        <v>0</v>
      </c>
      <c r="OQ35" s="115">
        <f>IF(SUM($D$28:OP28)=0,0,IF(IF(OQ34&gt;0,OQ34-(IF(SUM($D35:OP35)&gt;0,0,IF(OP$25&gt;OP33,OP33,0))),0)&lt;0,0,(IF(SUM($D35:OP35)&gt;0,0,IF(OP$25&gt;OP33,OP33,0)))))</f>
        <v>0</v>
      </c>
      <c r="OR35" s="115">
        <f>IF(SUM($D$28:OQ28)=0,0,IF(IF(OR34&gt;0,OR34-(IF(SUM($D35:OQ35)&gt;0,0,IF(OQ$25&gt;OQ33,OQ33,0))),0)&lt;0,0,(IF(SUM($D35:OQ35)&gt;0,0,IF(OQ$25&gt;OQ33,OQ33,0)))))</f>
        <v>0</v>
      </c>
      <c r="OS35" s="115">
        <f>IF(SUM($D$28:OR28)=0,0,IF(IF(OS34&gt;0,OS34-(IF(SUM($D35:OR35)&gt;0,0,IF(OR$25&gt;OR33,OR33,0))),0)&lt;0,0,(IF(SUM($D35:OR35)&gt;0,0,IF(OR$25&gt;OR33,OR33,0)))))</f>
        <v>0</v>
      </c>
      <c r="OT35" s="115">
        <f>IF(SUM($D$28:OS28)=0,0,IF(IF(OT34&gt;0,OT34-(IF(SUM($D35:OS35)&gt;0,0,IF(OS$25&gt;OS33,OS33,0))),0)&lt;0,0,(IF(SUM($D35:OS35)&gt;0,0,IF(OS$25&gt;OS33,OS33,0)))))</f>
        <v>0</v>
      </c>
      <c r="OU35" s="115">
        <f>IF(SUM($D$28:OT28)=0,0,IF(IF(OU34&gt;0,OU34-(IF(SUM($D35:OT35)&gt;0,0,IF(OT$25&gt;OT33,OT33,0))),0)&lt;0,0,(IF(SUM($D35:OT35)&gt;0,0,IF(OT$25&gt;OT33,OT33,0)))))</f>
        <v>0</v>
      </c>
      <c r="OV35" s="115">
        <f>IF(SUM($D$28:OU28)=0,0,IF(IF(OV34&gt;0,OV34-(IF(SUM($D35:OU35)&gt;0,0,IF(OU$25&gt;OU33,OU33,0))),0)&lt;0,0,(IF(SUM($D35:OU35)&gt;0,0,IF(OU$25&gt;OU33,OU33,0)))))</f>
        <v>0</v>
      </c>
      <c r="OW35" s="115">
        <f>IF(SUM($D$28:OV28)=0,0,IF(IF(OW34&gt;0,OW34-(IF(SUM($D35:OV35)&gt;0,0,IF(OV$25&gt;OV33,OV33,0))),0)&lt;0,0,(IF(SUM($D35:OV35)&gt;0,0,IF(OV$25&gt;OV33,OV33,0)))))</f>
        <v>0</v>
      </c>
      <c r="OX35" s="115">
        <f>IF(SUM($D$28:OW28)=0,0,IF(IF(OX34&gt;0,OX34-(IF(SUM($D35:OW35)&gt;0,0,IF(OW$25&gt;OW33,OW33,0))),0)&lt;0,0,(IF(SUM($D35:OW35)&gt;0,0,IF(OW$25&gt;OW33,OW33,0)))))</f>
        <v>0</v>
      </c>
      <c r="OY35" s="115">
        <f>IF(SUM($D$28:OX28)=0,0,IF(IF(OY34&gt;0,OY34-(IF(SUM($D35:OX35)&gt;0,0,IF(OX$25&gt;OX33,OX33,0))),0)&lt;0,0,(IF(SUM($D35:OX35)&gt;0,0,IF(OX$25&gt;OX33,OX33,0)))))</f>
        <v>0</v>
      </c>
      <c r="OZ35" s="115">
        <f>IF(SUM($D$28:OY28)=0,0,IF(IF(OZ34&gt;0,OZ34-(IF(SUM($D35:OY35)&gt;0,0,IF(OY$25&gt;OY33,OY33,0))),0)&lt;0,0,(IF(SUM($D35:OY35)&gt;0,0,IF(OY$25&gt;OY33,OY33,0)))))</f>
        <v>0</v>
      </c>
      <c r="PA35" s="115">
        <f>IF(SUM($D$28:OZ28)=0,0,IF(IF(PA34&gt;0,PA34-(IF(SUM($D35:OZ35)&gt;0,0,IF(OZ$25&gt;OZ33,OZ33,0))),0)&lt;0,0,(IF(SUM($D35:OZ35)&gt;0,0,IF(OZ$25&gt;OZ33,OZ33,0)))))</f>
        <v>0</v>
      </c>
      <c r="PB35" s="115">
        <f>IF(SUM($D$28:PA28)=0,0,IF(IF(PB34&gt;0,PB34-(IF(SUM($D35:PA35)&gt;0,0,IF(PA$25&gt;PA33,PA33,0))),0)&lt;0,0,(IF(SUM($D35:PA35)&gt;0,0,IF(PA$25&gt;PA33,PA33,0)))))</f>
        <v>0</v>
      </c>
      <c r="PC35" s="115">
        <f>IF(SUM($D$28:PB28)=0,0,IF(IF(PC34&gt;0,PC34-(IF(SUM($D35:PB35)&gt;0,0,IF(PB$25&gt;PB33,PB33,0))),0)&lt;0,0,(IF(SUM($D35:PB35)&gt;0,0,IF(PB$25&gt;PB33,PB33,0)))))</f>
        <v>0</v>
      </c>
      <c r="PD35" s="115">
        <f>IF(SUM($D$28:PC28)=0,0,IF(IF(PD34&gt;0,PD34-(IF(SUM($D35:PC35)&gt;0,0,IF(PC$25&gt;PC33,PC33,0))),0)&lt;0,0,(IF(SUM($D35:PC35)&gt;0,0,IF(PC$25&gt;PC33,PC33,0)))))</f>
        <v>0</v>
      </c>
      <c r="PE35" s="115">
        <f>IF(SUM($D$28:PD28)=0,0,IF(IF(PE34&gt;0,PE34-(IF(SUM($D35:PD35)&gt;0,0,IF(PD$25&gt;PD33,PD33,0))),0)&lt;0,0,(IF(SUM($D35:PD35)&gt;0,0,IF(PD$25&gt;PD33,PD33,0)))))</f>
        <v>0</v>
      </c>
      <c r="PF35" s="115">
        <f>IF(SUM($D$28:PE28)=0,0,IF(IF(PF34&gt;0,PF34-(IF(SUM($D35:PE35)&gt;0,0,IF(PE$25&gt;PE33,PE33,0))),0)&lt;0,0,(IF(SUM($D35:PE35)&gt;0,0,IF(PE$25&gt;PE33,PE33,0)))))</f>
        <v>0</v>
      </c>
      <c r="PG35" s="115">
        <f>IF(SUM($D$28:PF28)=0,0,IF(IF(PG34&gt;0,PG34-(IF(SUM($D35:PF35)&gt;0,0,IF(PF$25&gt;PF33,PF33,0))),0)&lt;0,0,(IF(SUM($D35:PF35)&gt;0,0,IF(PF$25&gt;PF33,PF33,0)))))</f>
        <v>0</v>
      </c>
      <c r="PH35" s="115">
        <f>IF(SUM($D$28:PG28)=0,0,IF(IF(PH34&gt;0,PH34-(IF(SUM($D35:PG35)&gt;0,0,IF(PG$25&gt;PG33,PG33,0))),0)&lt;0,0,(IF(SUM($D35:PG35)&gt;0,0,IF(PG$25&gt;PG33,PG33,0)))))</f>
        <v>0</v>
      </c>
      <c r="PI35" s="115">
        <f>IF(SUM($D$28:PH28)=0,0,IF(IF(PI34&gt;0,PI34-(IF(SUM($D35:PH35)&gt;0,0,IF(PH$25&gt;PH33,PH33,0))),0)&lt;0,0,(IF(SUM($D35:PH35)&gt;0,0,IF(PH$25&gt;PH33,PH33,0)))))</f>
        <v>0</v>
      </c>
      <c r="PJ35" s="115">
        <f>IF(SUM($D$28:PI28)=0,0,IF(IF(PJ34&gt;0,PJ34-(IF(SUM($D35:PI35)&gt;0,0,IF(PI$25&gt;PI33,PI33,0))),0)&lt;0,0,(IF(SUM($D35:PI35)&gt;0,0,IF(PI$25&gt;PI33,PI33,0)))))</f>
        <v>0</v>
      </c>
      <c r="PK35" s="115">
        <f>IF(SUM($D$28:PJ28)=0,0,IF(IF(PK34&gt;0,PK34-(IF(SUM($D35:PJ35)&gt;0,0,IF(PJ$25&gt;PJ33,PJ33,0))),0)&lt;0,0,(IF(SUM($D35:PJ35)&gt;0,0,IF(PJ$25&gt;PJ33,PJ33,0)))))</f>
        <v>0</v>
      </c>
      <c r="PL35" s="115">
        <f>IF(SUM($D$28:PK28)=0,0,IF(IF(PL34&gt;0,PL34-(IF(SUM($D35:PK35)&gt;0,0,IF(PK$25&gt;PK33,PK33,0))),0)&lt;0,0,(IF(SUM($D35:PK35)&gt;0,0,IF(PK$25&gt;PK33,PK33,0)))))</f>
        <v>0</v>
      </c>
      <c r="PM35" s="115">
        <f>IF(SUM($D$28:PL28)=0,0,IF(IF(PM34&gt;0,PM34-(IF(SUM($D35:PL35)&gt;0,0,IF(PL$25&gt;PL33,PL33,0))),0)&lt;0,0,(IF(SUM($D35:PL35)&gt;0,0,IF(PL$25&gt;PL33,PL33,0)))))</f>
        <v>0</v>
      </c>
      <c r="PN35" s="115">
        <f>IF(SUM($D$28:PM28)=0,0,IF(IF(PN34&gt;0,PN34-(IF(SUM($D35:PM35)&gt;0,0,IF(PM$25&gt;PM33,PM33,0))),0)&lt;0,0,(IF(SUM($D35:PM35)&gt;0,0,IF(PM$25&gt;PM33,PM33,0)))))</f>
        <v>0</v>
      </c>
      <c r="PO35" s="115">
        <f>IF(SUM($D$28:PN28)=0,0,IF(IF(PO34&gt;0,PO34-(IF(SUM($D35:PN35)&gt;0,0,IF(PN$25&gt;PN33,PN33,0))),0)&lt;0,0,(IF(SUM($D35:PN35)&gt;0,0,IF(PN$25&gt;PN33,PN33,0)))))</f>
        <v>0</v>
      </c>
      <c r="PP35" s="115">
        <f>IF(SUM($D$28:PO28)=0,0,IF(IF(PP34&gt;0,PP34-(IF(SUM($D35:PO35)&gt;0,0,IF(PO$25&gt;PO33,PO33,0))),0)&lt;0,0,(IF(SUM($D35:PO35)&gt;0,0,IF(PO$25&gt;PO33,PO33,0)))))</f>
        <v>0</v>
      </c>
      <c r="PQ35" s="115">
        <f>IF(SUM($D$28:PP28)=0,0,IF(IF(PQ34&gt;0,PQ34-(IF(SUM($D35:PP35)&gt;0,0,IF(PP$25&gt;PP33,PP33,0))),0)&lt;0,0,(IF(SUM($D35:PP35)&gt;0,0,IF(PP$25&gt;PP33,PP33,0)))))</f>
        <v>0</v>
      </c>
      <c r="PR35" s="115">
        <f>IF(SUM($D$28:PQ28)=0,0,IF(IF(PR34&gt;0,PR34-(IF(SUM($D35:PQ35)&gt;0,0,IF(PQ$25&gt;PQ33,PQ33,0))),0)&lt;0,0,(IF(SUM($D35:PQ35)&gt;0,0,IF(PQ$25&gt;PQ33,PQ33,0)))))</f>
        <v>0</v>
      </c>
      <c r="PS35" s="115">
        <f>IF(SUM($D$28:PR28)=0,0,IF(IF(PS34&gt;0,PS34-(IF(SUM($D35:PR35)&gt;0,0,IF(PR$25&gt;PR33,PR33,0))),0)&lt;0,0,(IF(SUM($D35:PR35)&gt;0,0,IF(PR$25&gt;PR33,PR33,0)))))</f>
        <v>0</v>
      </c>
      <c r="PT35" s="115">
        <f>IF(SUM($D$28:PS28)=0,0,IF(IF(PT34&gt;0,PT34-(IF(SUM($D35:PS35)&gt;0,0,IF(PS$25&gt;PS33,PS33,0))),0)&lt;0,0,(IF(SUM($D35:PS35)&gt;0,0,IF(PS$25&gt;PS33,PS33,0)))))</f>
        <v>0</v>
      </c>
      <c r="PU35" s="115">
        <f>IF(SUM($D$28:PT28)=0,0,IF(IF(PU34&gt;0,PU34-(IF(SUM($D35:PT35)&gt;0,0,IF(PT$25&gt;PT33,PT33,0))),0)&lt;0,0,(IF(SUM($D35:PT35)&gt;0,0,IF(PT$25&gt;PT33,PT33,0)))))</f>
        <v>0</v>
      </c>
      <c r="PV35" s="115">
        <f>IF(SUM($D$28:PU28)=0,0,IF(IF(PV34&gt;0,PV34-(IF(SUM($D35:PU35)&gt;0,0,IF(PU$25&gt;PU33,PU33,0))),0)&lt;0,0,(IF(SUM($D35:PU35)&gt;0,0,IF(PU$25&gt;PU33,PU33,0)))))</f>
        <v>0</v>
      </c>
      <c r="PW35" s="115">
        <f>IF(SUM($D$28:PV28)=0,0,IF(IF(PW34&gt;0,PW34-(IF(SUM($D35:PV35)&gt;0,0,IF(PV$25&gt;PV33,PV33,0))),0)&lt;0,0,(IF(SUM($D35:PV35)&gt;0,0,IF(PV$25&gt;PV33,PV33,0)))))</f>
        <v>0</v>
      </c>
      <c r="PX35" s="115">
        <f>IF(SUM($D$28:PW28)=0,0,IF(IF(PX34&gt;0,PX34-(IF(SUM($D35:PW35)&gt;0,0,IF(PW$25&gt;PW33,PW33,0))),0)&lt;0,0,(IF(SUM($D35:PW35)&gt;0,0,IF(PW$25&gt;PW33,PW33,0)))))</f>
        <v>0</v>
      </c>
      <c r="PY35" s="115">
        <f>IF(SUM($D$28:PX28)=0,0,IF(IF(PY34&gt;0,PY34-(IF(SUM($D35:PX35)&gt;0,0,IF(PX$25&gt;PX33,PX33,0))),0)&lt;0,0,(IF(SUM($D35:PX35)&gt;0,0,IF(PX$25&gt;PX33,PX33,0)))))</f>
        <v>0</v>
      </c>
      <c r="PZ35" s="115">
        <f>IF(SUM($D$28:PY28)=0,0,IF(IF(PZ34&gt;0,PZ34-(IF(SUM($D35:PY35)&gt;0,0,IF(PY$25&gt;PY33,PY33,0))),0)&lt;0,0,(IF(SUM($D35:PY35)&gt;0,0,IF(PY$25&gt;PY33,PY33,0)))))</f>
        <v>0</v>
      </c>
      <c r="QA35" s="115">
        <f>IF(SUM($D$28:PZ28)=0,0,IF(IF(QA34&gt;0,QA34-(IF(SUM($D35:PZ35)&gt;0,0,IF(PZ$25&gt;PZ33,PZ33,0))),0)&lt;0,0,(IF(SUM($D35:PZ35)&gt;0,0,IF(PZ$25&gt;PZ33,PZ33,0)))))</f>
        <v>0</v>
      </c>
      <c r="QB35" s="115">
        <f>IF(SUM($D$28:QA28)=0,0,IF(IF(QB34&gt;0,QB34-(IF(SUM($D35:QA35)&gt;0,0,IF(QA$25&gt;QA33,QA33,0))),0)&lt;0,0,(IF(SUM($D35:QA35)&gt;0,0,IF(QA$25&gt;QA33,QA33,0)))))</f>
        <v>0</v>
      </c>
      <c r="QC35" s="115">
        <f>IF(SUM($D$28:QB28)=0,0,IF(IF(QC34&gt;0,QC34-(IF(SUM($D35:QB35)&gt;0,0,IF(QB$25&gt;QB33,QB33,0))),0)&lt;0,0,(IF(SUM($D35:QB35)&gt;0,0,IF(QB$25&gt;QB33,QB33,0)))))</f>
        <v>0</v>
      </c>
      <c r="QD35" s="115">
        <f>IF(SUM($D$28:QC28)=0,0,IF(IF(QD34&gt;0,QD34-(IF(SUM($D35:QC35)&gt;0,0,IF(QC$25&gt;QC33,QC33,0))),0)&lt;0,0,(IF(SUM($D35:QC35)&gt;0,0,IF(QC$25&gt;QC33,QC33,0)))))</f>
        <v>0</v>
      </c>
      <c r="QE35" s="115">
        <f>IF(SUM($D$28:QD28)=0,0,IF(IF(QE34&gt;0,QE34-(IF(SUM($D35:QD35)&gt;0,0,IF(QD$25&gt;QD33,QD33,0))),0)&lt;0,0,(IF(SUM($D35:QD35)&gt;0,0,IF(QD$25&gt;QD33,QD33,0)))))</f>
        <v>0</v>
      </c>
      <c r="QF35" s="115">
        <f>IF(SUM($D$28:QE28)=0,0,IF(IF(QF34&gt;0,QF34-(IF(SUM($D35:QE35)&gt;0,0,IF(QE$25&gt;QE33,QE33,0))),0)&lt;0,0,(IF(SUM($D35:QE35)&gt;0,0,IF(QE$25&gt;QE33,QE33,0)))))</f>
        <v>0</v>
      </c>
      <c r="QG35" s="115">
        <f>IF(SUM($D$28:QF28)=0,0,IF(IF(QG34&gt;0,QG34-(IF(SUM($D35:QF35)&gt;0,0,IF(QF$25&gt;QF33,QF33,0))),0)&lt;0,0,(IF(SUM($D35:QF35)&gt;0,0,IF(QF$25&gt;QF33,QF33,0)))))</f>
        <v>0</v>
      </c>
      <c r="QH35" s="115">
        <f>IF(SUM($D$28:QG28)=0,0,IF(IF(QH34&gt;0,QH34-(IF(SUM($D35:QG35)&gt;0,0,IF(QG$25&gt;QG33,QG33,0))),0)&lt;0,0,(IF(SUM($D35:QG35)&gt;0,0,IF(QG$25&gt;QG33,QG33,0)))))</f>
        <v>0</v>
      </c>
      <c r="QI35" s="115">
        <f>IF(SUM($D$28:QH28)=0,0,IF(IF(QI34&gt;0,QI34-(IF(SUM($D35:QH35)&gt;0,0,IF(QH$25&gt;QH33,QH33,0))),0)&lt;0,0,(IF(SUM($D35:QH35)&gt;0,0,IF(QH$25&gt;QH33,QH33,0)))))</f>
        <v>0</v>
      </c>
      <c r="QJ35" s="115">
        <f>IF(SUM($D$28:QI28)=0,0,IF(IF(QJ34&gt;0,QJ34-(IF(SUM($D35:QI35)&gt;0,0,IF(QI$25&gt;QI33,QI33,0))),0)&lt;0,0,(IF(SUM($D35:QI35)&gt;0,0,IF(QI$25&gt;QI33,QI33,0)))))</f>
        <v>0</v>
      </c>
      <c r="QK35" s="115">
        <f>IF(SUM($D$28:QJ28)=0,0,IF(IF(QK34&gt;0,QK34-(IF(SUM($D35:QJ35)&gt;0,0,IF(QJ$25&gt;QJ33,QJ33,0))),0)&lt;0,0,(IF(SUM($D35:QJ35)&gt;0,0,IF(QJ$25&gt;QJ33,QJ33,0)))))</f>
        <v>0</v>
      </c>
      <c r="QL35" s="115">
        <f>IF(SUM($D$28:QK28)=0,0,IF(IF(QL34&gt;0,QL34-(IF(SUM($D35:QK35)&gt;0,0,IF(QK$25&gt;QK33,QK33,0))),0)&lt;0,0,(IF(SUM($D35:QK35)&gt;0,0,IF(QK$25&gt;QK33,QK33,0)))))</f>
        <v>0</v>
      </c>
      <c r="QM35" s="115">
        <f>IF(SUM($D$28:QL28)=0,0,IF(IF(QM34&gt;0,QM34-(IF(SUM($D35:QL35)&gt;0,0,IF(QL$25&gt;QL33,QL33,0))),0)&lt;0,0,(IF(SUM($D35:QL35)&gt;0,0,IF(QL$25&gt;QL33,QL33,0)))))</f>
        <v>0</v>
      </c>
      <c r="QN35" s="115">
        <f>IF(SUM($D$28:QM28)=0,0,IF(IF(QN34&gt;0,QN34-(IF(SUM($D35:QM35)&gt;0,0,IF(QM$25&gt;QM33,QM33,0))),0)&lt;0,0,(IF(SUM($D35:QM35)&gt;0,0,IF(QM$25&gt;QM33,QM33,0)))))</f>
        <v>0</v>
      </c>
      <c r="QO35" s="115">
        <f>IF(SUM($D$28:QN28)=0,0,IF(IF(QO34&gt;0,QO34-(IF(SUM($D35:QN35)&gt;0,0,IF(QN$25&gt;QN33,QN33,0))),0)&lt;0,0,(IF(SUM($D35:QN35)&gt;0,0,IF(QN$25&gt;QN33,QN33,0)))))</f>
        <v>0</v>
      </c>
      <c r="QP35" s="115">
        <f>IF(SUM($D$28:QO28)=0,0,IF(IF(QP34&gt;0,QP34-(IF(SUM($D35:QO35)&gt;0,0,IF(QO$25&gt;QO33,QO33,0))),0)&lt;0,0,(IF(SUM($D35:QO35)&gt;0,0,IF(QO$25&gt;QO33,QO33,0)))))</f>
        <v>0</v>
      </c>
      <c r="QQ35" s="115">
        <f>IF(SUM($D$28:QP28)=0,0,IF(IF(QQ34&gt;0,QQ34-(IF(SUM($D35:QP35)&gt;0,0,IF(QP$25&gt;QP33,QP33,0))),0)&lt;0,0,(IF(SUM($D35:QP35)&gt;0,0,IF(QP$25&gt;QP33,QP33,0)))))</f>
        <v>0</v>
      </c>
      <c r="QR35" s="115">
        <f>IF(SUM($D$28:QQ28)=0,0,IF(IF(QR34&gt;0,QR34-(IF(SUM($D35:QQ35)&gt;0,0,IF(QQ$25&gt;QQ33,QQ33,0))),0)&lt;0,0,(IF(SUM($D35:QQ35)&gt;0,0,IF(QQ$25&gt;QQ33,QQ33,0)))))</f>
        <v>0</v>
      </c>
      <c r="QS35" s="115">
        <f>IF(SUM($D$28:QR28)=0,0,IF(IF(QS34&gt;0,QS34-(IF(SUM($D35:QR35)&gt;0,0,IF(QR$25&gt;QR33,QR33,0))),0)&lt;0,0,(IF(SUM($D35:QR35)&gt;0,0,IF(QR$25&gt;QR33,QR33,0)))))</f>
        <v>0</v>
      </c>
      <c r="QT35" s="115">
        <f>IF(SUM($D$28:QS28)=0,0,IF(IF(QT34&gt;0,QT34-(IF(SUM($D35:QS35)&gt;0,0,IF(QS$25&gt;QS33,QS33,0))),0)&lt;0,0,(IF(SUM($D35:QS35)&gt;0,0,IF(QS$25&gt;QS33,QS33,0)))))</f>
        <v>0</v>
      </c>
      <c r="QU35" s="115">
        <f>IF(SUM($D$28:QT28)=0,0,IF(IF(QU34&gt;0,QU34-(IF(SUM($D35:QT35)&gt;0,0,IF(QT$25&gt;QT33,QT33,0))),0)&lt;0,0,(IF(SUM($D35:QT35)&gt;0,0,IF(QT$25&gt;QT33,QT33,0)))))</f>
        <v>0</v>
      </c>
      <c r="QV35" s="115">
        <f>IF(SUM($D$28:QU28)=0,0,IF(IF(QV34&gt;0,QV34-(IF(SUM($D35:QU35)&gt;0,0,IF(QU$25&gt;QU33,QU33,0))),0)&lt;0,0,(IF(SUM($D35:QU35)&gt;0,0,IF(QU$25&gt;QU33,QU33,0)))))</f>
        <v>0</v>
      </c>
      <c r="QW35" s="115">
        <f>IF(SUM($D$28:QV28)=0,0,IF(IF(QW34&gt;0,QW34-(IF(SUM($D35:QV35)&gt;0,0,IF(QV$25&gt;QV33,QV33,0))),0)&lt;0,0,(IF(SUM($D35:QV35)&gt;0,0,IF(QV$25&gt;QV33,QV33,0)))))</f>
        <v>0</v>
      </c>
      <c r="QX35" s="115">
        <f>IF(SUM($D$28:QW28)=0,0,IF(IF(QX34&gt;0,QX34-(IF(SUM($D35:QW35)&gt;0,0,IF(QW$25&gt;QW33,QW33,0))),0)&lt;0,0,(IF(SUM($D35:QW35)&gt;0,0,IF(QW$25&gt;QW33,QW33,0)))))</f>
        <v>0</v>
      </c>
      <c r="QY35" s="115">
        <f>IF(SUM($D$28:QX28)=0,0,IF(IF(QY34&gt;0,QY34-(IF(SUM($D35:QX35)&gt;0,0,IF(QX$25&gt;QX33,QX33,0))),0)&lt;0,0,(IF(SUM($D35:QX35)&gt;0,0,IF(QX$25&gt;QX33,QX33,0)))))</f>
        <v>0</v>
      </c>
      <c r="QZ35" s="115">
        <f>IF(SUM($D$28:QY28)=0,0,IF(IF(QZ34&gt;0,QZ34-(IF(SUM($D35:QY35)&gt;0,0,IF(QY$25&gt;QY33,QY33,0))),0)&lt;0,0,(IF(SUM($D35:QY35)&gt;0,0,IF(QY$25&gt;QY33,QY33,0)))))</f>
        <v>0</v>
      </c>
      <c r="RA35" s="115">
        <f>IF(SUM($D$28:QZ28)=0,0,IF(IF(RA34&gt;0,RA34-(IF(SUM($D35:QZ35)&gt;0,0,IF(QZ$25&gt;QZ33,QZ33,0))),0)&lt;0,0,(IF(SUM($D35:QZ35)&gt;0,0,IF(QZ$25&gt;QZ33,QZ33,0)))))</f>
        <v>0</v>
      </c>
      <c r="RB35" s="115">
        <f>IF(SUM($D$28:RA28)=0,0,IF(IF(RB34&gt;0,RB34-(IF(SUM($D35:RA35)&gt;0,0,IF(RA$25&gt;RA33,RA33,0))),0)&lt;0,0,(IF(SUM($D35:RA35)&gt;0,0,IF(RA$25&gt;RA33,RA33,0)))))</f>
        <v>0</v>
      </c>
      <c r="RC35" s="115">
        <f>IF(SUM($D$28:RB28)=0,0,IF(IF(RC34&gt;0,RC34-(IF(SUM($D35:RB35)&gt;0,0,IF(RB$25&gt;RB33,RB33,0))),0)&lt;0,0,(IF(SUM($D35:RB35)&gt;0,0,IF(RB$25&gt;RB33,RB33,0)))))</f>
        <v>0</v>
      </c>
      <c r="RD35" s="115">
        <f>IF(SUM($D$28:RC28)=0,0,IF(IF(RD34&gt;0,RD34-(IF(SUM($D35:RC35)&gt;0,0,IF(RC$25&gt;RC33,RC33,0))),0)&lt;0,0,(IF(SUM($D35:RC35)&gt;0,0,IF(RC$25&gt;RC33,RC33,0)))))</f>
        <v>0</v>
      </c>
      <c r="RE35" s="115">
        <f>IF(SUM($D$28:RD28)=0,0,IF(IF(RE34&gt;0,RE34-(IF(SUM($D35:RD35)&gt;0,0,IF(RD$25&gt;RD33,RD33,0))),0)&lt;0,0,(IF(SUM($D35:RD35)&gt;0,0,IF(RD$25&gt;RD33,RD33,0)))))</f>
        <v>0</v>
      </c>
      <c r="RF35" s="115">
        <f>IF(SUM($D$28:RE28)=0,0,IF(IF(RF34&gt;0,RF34-(IF(SUM($D35:RE35)&gt;0,0,IF(RE$25&gt;RE33,RE33,0))),0)&lt;0,0,(IF(SUM($D35:RE35)&gt;0,0,IF(RE$25&gt;RE33,RE33,0)))))</f>
        <v>0</v>
      </c>
      <c r="RG35" s="115">
        <f>IF(SUM($D$28:RF28)=0,0,IF(IF(RG34&gt;0,RG34-(IF(SUM($D35:RF35)&gt;0,0,IF(RF$25&gt;RF33,RF33,0))),0)&lt;0,0,(IF(SUM($D35:RF35)&gt;0,0,IF(RF$25&gt;RF33,RF33,0)))))</f>
        <v>0</v>
      </c>
      <c r="RH35" s="115">
        <f>IF(SUM($D$28:RG28)=0,0,IF(IF(RH34&gt;0,RH34-(IF(SUM($D35:RG35)&gt;0,0,IF(RG$25&gt;RG33,RG33,0))),0)&lt;0,0,(IF(SUM($D35:RG35)&gt;0,0,IF(RG$25&gt;RG33,RG33,0)))))</f>
        <v>0</v>
      </c>
      <c r="RI35" s="115">
        <f>IF(SUM($D$28:RH28)=0,0,IF(IF(RI34&gt;0,RI34-(IF(SUM($D35:RH35)&gt;0,0,IF(RH$25&gt;RH33,RH33,0))),0)&lt;0,0,(IF(SUM($D35:RH35)&gt;0,0,IF(RH$25&gt;RH33,RH33,0)))))</f>
        <v>0</v>
      </c>
      <c r="RJ35" s="115">
        <f>IF(SUM($D$28:RI28)=0,0,IF(IF(RJ34&gt;0,RJ34-(IF(SUM($D35:RI35)&gt;0,0,IF(RI$25&gt;RI33,RI33,0))),0)&lt;0,0,(IF(SUM($D35:RI35)&gt;0,0,IF(RI$25&gt;RI33,RI33,0)))))</f>
        <v>0</v>
      </c>
      <c r="RK35" s="115">
        <f>IF(SUM($D$28:RJ28)=0,0,IF(IF(RK34&gt;0,RK34-(IF(SUM($D35:RJ35)&gt;0,0,IF(RJ$25&gt;RJ33,RJ33,0))),0)&lt;0,0,(IF(SUM($D35:RJ35)&gt;0,0,IF(RJ$25&gt;RJ33,RJ33,0)))))</f>
        <v>0</v>
      </c>
      <c r="RL35" s="115">
        <f>IF(SUM($D$28:RK28)=0,0,IF(IF(RL34&gt;0,RL34-(IF(SUM($D35:RK35)&gt;0,0,IF(RK$25&gt;RK33,RK33,0))),0)&lt;0,0,(IF(SUM($D35:RK35)&gt;0,0,IF(RK$25&gt;RK33,RK33,0)))))</f>
        <v>0</v>
      </c>
      <c r="RM35" s="115">
        <f>IF(SUM($D$28:RL28)=0,0,IF(IF(RM34&gt;0,RM34-(IF(SUM($D35:RL35)&gt;0,0,IF(RL$25&gt;RL33,RL33,0))),0)&lt;0,0,(IF(SUM($D35:RL35)&gt;0,0,IF(RL$25&gt;RL33,RL33,0)))))</f>
        <v>0</v>
      </c>
      <c r="RN35" s="115">
        <f>IF(SUM($D$28:RM28)=0,0,IF(IF(RN34&gt;0,RN34-(IF(SUM($D35:RM35)&gt;0,0,IF(RM$25&gt;RM33,RM33,0))),0)&lt;0,0,(IF(SUM($D35:RM35)&gt;0,0,IF(RM$25&gt;RM33,RM33,0)))))</f>
        <v>0</v>
      </c>
      <c r="RO35" s="115">
        <f>IF(SUM($D$28:RN28)=0,0,IF(IF(RO34&gt;0,RO34-(IF(SUM($D35:RN35)&gt;0,0,IF(RN$25&gt;RN33,RN33,0))),0)&lt;0,0,(IF(SUM($D35:RN35)&gt;0,0,IF(RN$25&gt;RN33,RN33,0)))))</f>
        <v>0</v>
      </c>
      <c r="RP35" s="115">
        <f>IF(SUM($D$28:RO28)=0,0,IF(IF(RP34&gt;0,RP34-(IF(SUM($D35:RO35)&gt;0,0,IF(RO$25&gt;RO33,RO33,0))),0)&lt;0,0,(IF(SUM($D35:RO35)&gt;0,0,IF(RO$25&gt;RO33,RO33,0)))))</f>
        <v>0</v>
      </c>
      <c r="RQ35" s="115">
        <f>IF(SUM($D$28:RP28)=0,0,IF(IF(RQ34&gt;0,RQ34-(IF(SUM($D35:RP35)&gt;0,0,IF(RP$25&gt;RP33,RP33,0))),0)&lt;0,0,(IF(SUM($D35:RP35)&gt;0,0,IF(RP$25&gt;RP33,RP33,0)))))</f>
        <v>0</v>
      </c>
      <c r="RR35" s="115">
        <f>IF(SUM($D$28:RQ28)=0,0,IF(IF(RR34&gt;0,RR34-(IF(SUM($D35:RQ35)&gt;0,0,IF(RQ$25&gt;RQ33,RQ33,0))),0)&lt;0,0,(IF(SUM($D35:RQ35)&gt;0,0,IF(RQ$25&gt;RQ33,RQ33,0)))))</f>
        <v>0</v>
      </c>
      <c r="RS35" s="115">
        <f>IF(SUM($D$28:RR28)=0,0,IF(IF(RS34&gt;0,RS34-(IF(SUM($D35:RR35)&gt;0,0,IF(RR$25&gt;RR33,RR33,0))),0)&lt;0,0,(IF(SUM($D35:RR35)&gt;0,0,IF(RR$25&gt;RR33,RR33,0)))))</f>
        <v>0</v>
      </c>
      <c r="RT35" s="115">
        <f>IF(SUM($D$28:RS28)=0,0,IF(IF(RT34&gt;0,RT34-(IF(SUM($D35:RS35)&gt;0,0,IF(RS$25&gt;RS33,RS33,0))),0)&lt;0,0,(IF(SUM($D35:RS35)&gt;0,0,IF(RS$25&gt;RS33,RS33,0)))))</f>
        <v>0</v>
      </c>
      <c r="RU35" s="115">
        <f>IF(SUM($D$28:RT28)=0,0,IF(IF(RU34&gt;0,RU34-(IF(SUM($D35:RT35)&gt;0,0,IF(RT$25&gt;RT33,RT33,0))),0)&lt;0,0,(IF(SUM($D35:RT35)&gt;0,0,IF(RT$25&gt;RT33,RT33,0)))))</f>
        <v>0</v>
      </c>
      <c r="RV35" s="115">
        <f>IF(SUM($D$28:RU28)=0,0,IF(IF(RV34&gt;0,RV34-(IF(SUM($D35:RU35)&gt;0,0,IF(RU$25&gt;RU33,RU33,0))),0)&lt;0,0,(IF(SUM($D35:RU35)&gt;0,0,IF(RU$25&gt;RU33,RU33,0)))))</f>
        <v>0</v>
      </c>
      <c r="RW35" s="115">
        <f>IF(SUM($D$28:RV28)=0,0,IF(IF(RW34&gt;0,RW34-(IF(SUM($D35:RV35)&gt;0,0,IF(RV$25&gt;RV33,RV33,0))),0)&lt;0,0,(IF(SUM($D35:RV35)&gt;0,0,IF(RV$25&gt;RV33,RV33,0)))))</f>
        <v>0</v>
      </c>
      <c r="RX35" s="115">
        <f>IF(SUM($D$28:RW28)=0,0,IF(IF(RX34&gt;0,RX34-(IF(SUM($D35:RW35)&gt;0,0,IF(RW$25&gt;RW33,RW33,0))),0)&lt;0,0,(IF(SUM($D35:RW35)&gt;0,0,IF(RW$25&gt;RW33,RW33,0)))))</f>
        <v>0</v>
      </c>
      <c r="RY35" s="115">
        <f>IF(SUM($D$28:RX28)=0,0,IF(IF(RY34&gt;0,RY34-(IF(SUM($D35:RX35)&gt;0,0,IF(RX$25&gt;RX33,RX33,0))),0)&lt;0,0,(IF(SUM($D35:RX35)&gt;0,0,IF(RX$25&gt;RX33,RX33,0)))))</f>
        <v>0</v>
      </c>
      <c r="RZ35" s="115">
        <f>IF(SUM($D$28:RY28)=0,0,IF(IF(RZ34&gt;0,RZ34-(IF(SUM($D35:RY35)&gt;0,0,IF(RY$25&gt;RY33,RY33,0))),0)&lt;0,0,(IF(SUM($D35:RY35)&gt;0,0,IF(RY$25&gt;RY33,RY33,0)))))</f>
        <v>0</v>
      </c>
      <c r="SA35" s="115">
        <f>IF(SUM($D$28:RZ28)=0,0,IF(IF(SA34&gt;0,SA34-(IF(SUM($D35:RZ35)&gt;0,0,IF(RZ$25&gt;RZ33,RZ33,0))),0)&lt;0,0,(IF(SUM($D35:RZ35)&gt;0,0,IF(RZ$25&gt;RZ33,RZ33,0)))))</f>
        <v>0</v>
      </c>
      <c r="SB35" s="115">
        <f>IF(SUM($D$28:SA28)=0,0,IF(IF(SB34&gt;0,SB34-(IF(SUM($D35:SA35)&gt;0,0,IF(SA$25&gt;SA33,SA33,0))),0)&lt;0,0,(IF(SUM($D35:SA35)&gt;0,0,IF(SA$25&gt;SA33,SA33,0)))))</f>
        <v>0</v>
      </c>
      <c r="SC35" s="115">
        <f>IF(SUM($D$28:SB28)=0,0,IF(IF(SC34&gt;0,SC34-(IF(SUM($D35:SB35)&gt;0,0,IF(SB$25&gt;SB33,SB33,0))),0)&lt;0,0,(IF(SUM($D35:SB35)&gt;0,0,IF(SB$25&gt;SB33,SB33,0)))))</f>
        <v>0</v>
      </c>
      <c r="SD35" s="115">
        <f>IF(SUM($D$28:SC28)=0,0,IF(IF(SD34&gt;0,SD34-(IF(SUM($D35:SC35)&gt;0,0,IF(SC$25&gt;SC33,SC33,0))),0)&lt;0,0,(IF(SUM($D35:SC35)&gt;0,0,IF(SC$25&gt;SC33,SC33,0)))))</f>
        <v>0</v>
      </c>
      <c r="SE35" s="115">
        <f>IF(SUM($D$28:SD28)=0,0,IF(IF(SE34&gt;0,SE34-(IF(SUM($D35:SD35)&gt;0,0,IF(SD$25&gt;SD33,SD33,0))),0)&lt;0,0,(IF(SUM($D35:SD35)&gt;0,0,IF(SD$25&gt;SD33,SD33,0)))))</f>
        <v>0</v>
      </c>
      <c r="SF35" s="115">
        <f>IF(SUM($D$28:SE28)=0,0,IF(IF(SF34&gt;0,SF34-(IF(SUM($D35:SE35)&gt;0,0,IF(SE$25&gt;SE33,SE33,0))),0)&lt;0,0,(IF(SUM($D35:SE35)&gt;0,0,IF(SE$25&gt;SE33,SE33,0)))))</f>
        <v>0</v>
      </c>
      <c r="SG35" s="115">
        <f>IF(SUM($D$28:SF28)=0,0,IF(IF(SG34&gt;0,SG34-(IF(SUM($D35:SF35)&gt;0,0,IF(SF$25&gt;SF33,SF33,0))),0)&lt;0,0,(IF(SUM($D35:SF35)&gt;0,0,IF(SF$25&gt;SF33,SF33,0)))))</f>
        <v>0</v>
      </c>
      <c r="SH35" s="115">
        <f>IF(SUM($D$28:SG28)=0,0,IF(IF(SH34&gt;0,SH34-(IF(SUM($D35:SG35)&gt;0,0,IF(SG$25&gt;SG33,SG33,0))),0)&lt;0,0,(IF(SUM($D35:SG35)&gt;0,0,IF(SG$25&gt;SG33,SG33,0)))))</f>
        <v>0</v>
      </c>
      <c r="SI35" s="115">
        <f>IF(SUM($D$28:SH28)=0,0,IF(IF(SI34&gt;0,SI34-(IF(SUM($D35:SH35)&gt;0,0,IF(SH$25&gt;SH33,SH33,0))),0)&lt;0,0,(IF(SUM($D35:SH35)&gt;0,0,IF(SH$25&gt;SH33,SH33,0)))))</f>
        <v>0</v>
      </c>
      <c r="SJ35" s="115">
        <f>IF(SUM($D$28:SI28)=0,0,IF(IF(SJ34&gt;0,SJ34-(IF(SUM($D35:SI35)&gt;0,0,IF(SI$25&gt;SI33,SI33,0))),0)&lt;0,0,(IF(SUM($D35:SI35)&gt;0,0,IF(SI$25&gt;SI33,SI33,0)))))</f>
        <v>0</v>
      </c>
      <c r="SK35" s="115">
        <f>IF(SUM($D$28:SJ28)=0,0,IF(IF(SK34&gt;0,SK34-(IF(SUM($D35:SJ35)&gt;0,0,IF(SJ$25&gt;SJ33,SJ33,0))),0)&lt;0,0,(IF(SUM($D35:SJ35)&gt;0,0,IF(SJ$25&gt;SJ33,SJ33,0)))))</f>
        <v>0</v>
      </c>
      <c r="SL35" s="115">
        <f>IF(SUM($D$28:SK28)=0,0,IF(IF(SL34&gt;0,SL34-(IF(SUM($D35:SK35)&gt;0,0,IF(SK$25&gt;SK33,SK33,0))),0)&lt;0,0,(IF(SUM($D35:SK35)&gt;0,0,IF(SK$25&gt;SK33,SK33,0)))))</f>
        <v>0</v>
      </c>
      <c r="SM35" s="115">
        <f>IF(SUM($D$28:SL28)=0,0,IF(IF(SM34&gt;0,SM34-(IF(SUM($D35:SL35)&gt;0,0,IF(SL$25&gt;SL33,SL33,0))),0)&lt;0,0,(IF(SUM($D35:SL35)&gt;0,0,IF(SL$25&gt;SL33,SL33,0)))))</f>
        <v>0</v>
      </c>
      <c r="SN35" s="115">
        <f>IF(SUM($D$28:SM28)=0,0,IF(IF(SN34&gt;0,SN34-(IF(SUM($D35:SM35)&gt;0,0,IF(SM$25&gt;SM33,SM33,0))),0)&lt;0,0,(IF(SUM($D35:SM35)&gt;0,0,IF(SM$25&gt;SM33,SM33,0)))))</f>
        <v>0</v>
      </c>
      <c r="SO35" s="115">
        <f>IF(SUM($D$28:SN28)=0,0,IF(IF(SO34&gt;0,SO34-(IF(SUM($D35:SN35)&gt;0,0,IF(SN$25&gt;SN33,SN33,0))),0)&lt;0,0,(IF(SUM($D35:SN35)&gt;0,0,IF(SN$25&gt;SN33,SN33,0)))))</f>
        <v>0</v>
      </c>
      <c r="SP35" s="115">
        <f>IF(SUM($D$28:SO28)=0,0,IF(IF(SP34&gt;0,SP34-(IF(SUM($D35:SO35)&gt;0,0,IF(SO$25&gt;SO33,SO33,0))),0)&lt;0,0,(IF(SUM($D35:SO35)&gt;0,0,IF(SO$25&gt;SO33,SO33,0)))))</f>
        <v>0</v>
      </c>
      <c r="SQ35" s="115">
        <f>IF(SUM($D$28:SP28)=0,0,IF(IF(SQ34&gt;0,SQ34-(IF(SUM($D35:SP35)&gt;0,0,IF(SP$25&gt;SP33,SP33,0))),0)&lt;0,0,(IF(SUM($D35:SP35)&gt;0,0,IF(SP$25&gt;SP33,SP33,0)))))</f>
        <v>0</v>
      </c>
      <c r="SR35" s="115">
        <f>IF(SUM($D$28:SQ28)=0,0,IF(IF(SR34&gt;0,SR34-(IF(SUM($D35:SQ35)&gt;0,0,IF(SQ$25&gt;SQ33,SQ33,0))),0)&lt;0,0,(IF(SUM($D35:SQ35)&gt;0,0,IF(SQ$25&gt;SQ33,SQ33,0)))))</f>
        <v>0</v>
      </c>
      <c r="SS35" s="115">
        <f>IF(SUM($D$28:SR28)=0,0,IF(IF(SS34&gt;0,SS34-(IF(SUM($D35:SR35)&gt;0,0,IF(SR$25&gt;SR33,SR33,0))),0)&lt;0,0,(IF(SUM($D35:SR35)&gt;0,0,IF(SR$25&gt;SR33,SR33,0)))))</f>
        <v>0</v>
      </c>
      <c r="ST35" s="115">
        <f>IF(SUM($D$28:SS28)=0,0,IF(IF(ST34&gt;0,ST34-(IF(SUM($D35:SS35)&gt;0,0,IF(SS$25&gt;SS33,SS33,0))),0)&lt;0,0,(IF(SUM($D35:SS35)&gt;0,0,IF(SS$25&gt;SS33,SS33,0)))))</f>
        <v>0</v>
      </c>
      <c r="SU35" s="115">
        <f>IF(SUM($D$28:ST28)=0,0,IF(IF(SU34&gt;0,SU34-(IF(SUM($D35:ST35)&gt;0,0,IF(ST$25&gt;ST33,ST33,0))),0)&lt;0,0,(IF(SUM($D35:ST35)&gt;0,0,IF(ST$25&gt;ST33,ST33,0)))))</f>
        <v>0</v>
      </c>
      <c r="SV35" s="115">
        <f>IF(SUM($D$28:SU28)=0,0,IF(IF(SV34&gt;0,SV34-(IF(SUM($D35:SU35)&gt;0,0,IF(SU$25&gt;SU33,SU33,0))),0)&lt;0,0,(IF(SUM($D35:SU35)&gt;0,0,IF(SU$25&gt;SU33,SU33,0)))))</f>
        <v>0</v>
      </c>
      <c r="SW35" s="115">
        <f>IF(SUM($D$28:SV28)=0,0,IF(IF(SW34&gt;0,SW34-(IF(SUM($D35:SV35)&gt;0,0,IF(SV$25&gt;SV33,SV33,0))),0)&lt;0,0,(IF(SUM($D35:SV35)&gt;0,0,IF(SV$25&gt;SV33,SV33,0)))))</f>
        <v>0</v>
      </c>
      <c r="SX35" s="115">
        <f>IF(SUM($D$28:SW28)=0,0,IF(IF(SX34&gt;0,SX34-(IF(SUM($D35:SW35)&gt;0,0,IF(SW$25&gt;SW33,SW33,0))),0)&lt;0,0,(IF(SUM($D35:SW35)&gt;0,0,IF(SW$25&gt;SW33,SW33,0)))))</f>
        <v>0</v>
      </c>
      <c r="SY35" s="115">
        <f>IF(SUM($D$28:SX28)=0,0,IF(IF(SY34&gt;0,SY34-(IF(SUM($D35:SX35)&gt;0,0,IF(SX$25&gt;SX33,SX33,0))),0)&lt;0,0,(IF(SUM($D35:SX35)&gt;0,0,IF(SX$25&gt;SX33,SX33,0)))))</f>
        <v>0</v>
      </c>
      <c r="SZ35" s="115">
        <f>IF(SUM($D$28:SY28)=0,0,IF(IF(SZ34&gt;0,SZ34-(IF(SUM($D35:SY35)&gt;0,0,IF(SY$25&gt;SY33,SY33,0))),0)&lt;0,0,(IF(SUM($D35:SY35)&gt;0,0,IF(SY$25&gt;SY33,SY33,0)))))</f>
        <v>0</v>
      </c>
      <c r="TA35" s="115">
        <f>IF(SUM($D$28:SZ28)=0,0,IF(IF(TA34&gt;0,TA34-(IF(SUM($D35:SZ35)&gt;0,0,IF(SZ$25&gt;SZ33,SZ33,0))),0)&lt;0,0,(IF(SUM($D35:SZ35)&gt;0,0,IF(SZ$25&gt;SZ33,SZ33,0)))))</f>
        <v>0</v>
      </c>
      <c r="TB35" s="115">
        <f>IF(SUM($D$28:TA28)=0,0,IF(IF(TB34&gt;0,TB34-(IF(SUM($D35:TA35)&gt;0,0,IF(TA$25&gt;TA33,TA33,0))),0)&lt;0,0,(IF(SUM($D35:TA35)&gt;0,0,IF(TA$25&gt;TA33,TA33,0)))))</f>
        <v>0</v>
      </c>
      <c r="TC35" s="115">
        <f>IF(SUM($D$28:TB28)=0,0,IF(IF(TC34&gt;0,TC34-(IF(SUM($D35:TB35)&gt;0,0,IF(TB$25&gt;TB33,TB33,0))),0)&lt;0,0,(IF(SUM($D35:TB35)&gt;0,0,IF(TB$25&gt;TB33,TB33,0)))))</f>
        <v>0</v>
      </c>
      <c r="TD35" s="115">
        <f>IF(SUM($D$28:TC28)=0,0,IF(IF(TD34&gt;0,TD34-(IF(SUM($D35:TC35)&gt;0,0,IF(TC$25&gt;TC33,TC33,0))),0)&lt;0,0,(IF(SUM($D35:TC35)&gt;0,0,IF(TC$25&gt;TC33,TC33,0)))))</f>
        <v>0</v>
      </c>
      <c r="TE35" s="115">
        <f>IF(SUM($D$28:TD28)=0,0,IF(IF(TE34&gt;0,TE34-(IF(SUM($D35:TD35)&gt;0,0,IF(TD$25&gt;TD33,TD33,0))),0)&lt;0,0,(IF(SUM($D35:TD35)&gt;0,0,IF(TD$25&gt;TD33,TD33,0)))))</f>
        <v>0</v>
      </c>
      <c r="TF35" s="115">
        <f>IF(SUM($D$28:TE28)=0,0,IF(IF(TF34&gt;0,TF34-(IF(SUM($D35:TE35)&gt;0,0,IF(TE$25&gt;TE33,TE33,0))),0)&lt;0,0,(IF(SUM($D35:TE35)&gt;0,0,IF(TE$25&gt;TE33,TE33,0)))))</f>
        <v>0</v>
      </c>
      <c r="TG35" s="115">
        <f>IF(SUM($D$28:TF28)=0,0,IF(IF(TG34&gt;0,TG34-(IF(SUM($D35:TF35)&gt;0,0,IF(TF$25&gt;TF33,TF33,0))),0)&lt;0,0,(IF(SUM($D35:TF35)&gt;0,0,IF(TF$25&gt;TF33,TF33,0)))))</f>
        <v>0</v>
      </c>
      <c r="TH35" s="115">
        <f>IF(SUM($D$28:TG28)=0,0,IF(IF(TH34&gt;0,TH34-(IF(SUM($D35:TG35)&gt;0,0,IF(TG$25&gt;TG33,TG33,0))),0)&lt;0,0,(IF(SUM($D35:TG35)&gt;0,0,IF(TG$25&gt;TG33,TG33,0)))))</f>
        <v>0</v>
      </c>
      <c r="TI35" s="115">
        <f>IF(SUM($D$28:TH28)=0,0,IF(IF(TI34&gt;0,TI34-(IF(SUM($D35:TH35)&gt;0,0,IF(TH$25&gt;TH33,TH33,0))),0)&lt;0,0,(IF(SUM($D35:TH35)&gt;0,0,IF(TH$25&gt;TH33,TH33,0)))))</f>
        <v>0</v>
      </c>
      <c r="TJ35" s="115">
        <f>IF(SUM($D$28:TI28)=0,0,IF(IF(TJ34&gt;0,TJ34-(IF(SUM($D35:TI35)&gt;0,0,IF(TI$25&gt;TI33,TI33,0))),0)&lt;0,0,(IF(SUM($D35:TI35)&gt;0,0,IF(TI$25&gt;TI33,TI33,0)))))</f>
        <v>0</v>
      </c>
      <c r="TK35" s="115">
        <f>IF(SUM($D$28:TJ28)=0,0,IF(IF(TK34&gt;0,TK34-(IF(SUM($D35:TJ35)&gt;0,0,IF(TJ$25&gt;TJ33,TJ33,0))),0)&lt;0,0,(IF(SUM($D35:TJ35)&gt;0,0,IF(TJ$25&gt;TJ33,TJ33,0)))))</f>
        <v>0</v>
      </c>
      <c r="TL35" s="115">
        <f>IF(SUM($D$28:TK28)=0,0,IF(IF(TL34&gt;0,TL34-(IF(SUM($D35:TK35)&gt;0,0,IF(TK$25&gt;TK33,TK33,0))),0)&lt;0,0,(IF(SUM($D35:TK35)&gt;0,0,IF(TK$25&gt;TK33,TK33,0)))))</f>
        <v>0</v>
      </c>
      <c r="TM35" s="115">
        <f>IF(SUM($D$28:TL28)=0,0,IF(IF(TM34&gt;0,TM34-(IF(SUM($D35:TL35)&gt;0,0,IF(TL$25&gt;TL33,TL33,0))),0)&lt;0,0,(IF(SUM($D35:TL35)&gt;0,0,IF(TL$25&gt;TL33,TL33,0)))))</f>
        <v>0</v>
      </c>
      <c r="TN35" s="115">
        <f>IF(SUM($D$28:TM28)=0,0,IF(IF(TN34&gt;0,TN34-(IF(SUM($D35:TM35)&gt;0,0,IF(TM$25&gt;TM33,TM33,0))),0)&lt;0,0,(IF(SUM($D35:TM35)&gt;0,0,IF(TM$25&gt;TM33,TM33,0)))))</f>
        <v>0</v>
      </c>
      <c r="TO35" s="115">
        <f>IF(SUM($D$28:TN28)=0,0,IF(IF(TO34&gt;0,TO34-(IF(SUM($D35:TN35)&gt;0,0,IF(TN$25&gt;TN33,TN33,0))),0)&lt;0,0,(IF(SUM($D35:TN35)&gt;0,0,IF(TN$25&gt;TN33,TN33,0)))))</f>
        <v>0</v>
      </c>
      <c r="TP35" s="115">
        <f>IF(SUM($D$28:TO28)=0,0,IF(IF(TP34&gt;0,TP34-(IF(SUM($D35:TO35)&gt;0,0,IF(TO$25&gt;TO33,TO33,0))),0)&lt;0,0,(IF(SUM($D35:TO35)&gt;0,0,IF(TO$25&gt;TO33,TO33,0)))))</f>
        <v>0</v>
      </c>
      <c r="TQ35" s="115">
        <f>IF(SUM($D$28:TP28)=0,0,IF(IF(TQ34&gt;0,TQ34-(IF(SUM($D35:TP35)&gt;0,0,IF(TP$25&gt;TP33,TP33,0))),0)&lt;0,0,(IF(SUM($D35:TP35)&gt;0,0,IF(TP$25&gt;TP33,TP33,0)))))</f>
        <v>0</v>
      </c>
      <c r="TR35" s="115">
        <f>IF(SUM($D$28:TQ28)=0,0,IF(IF(TR34&gt;0,TR34-(IF(SUM($D35:TQ35)&gt;0,0,IF(TQ$25&gt;TQ33,TQ33,0))),0)&lt;0,0,(IF(SUM($D35:TQ35)&gt;0,0,IF(TQ$25&gt;TQ33,TQ33,0)))))</f>
        <v>0</v>
      </c>
      <c r="TS35" s="115">
        <f>IF(SUM($D$28:TR28)=0,0,IF(IF(TS34&gt;0,TS34-(IF(SUM($D35:TR35)&gt;0,0,IF(TR$25&gt;TR33,TR33,0))),0)&lt;0,0,(IF(SUM($D35:TR35)&gt;0,0,IF(TR$25&gt;TR33,TR33,0)))))</f>
        <v>0</v>
      </c>
      <c r="TT35" s="115">
        <f>IF(SUM($D$28:TS28)=0,0,IF(IF(TT34&gt;0,TT34-(IF(SUM($D35:TS35)&gt;0,0,IF(TS$25&gt;TS33,TS33,0))),0)&lt;0,0,(IF(SUM($D35:TS35)&gt;0,0,IF(TS$25&gt;TS33,TS33,0)))))</f>
        <v>0</v>
      </c>
      <c r="TU35" s="115">
        <f>IF(SUM($D$28:TT28)=0,0,IF(IF(TU34&gt;0,TU34-(IF(SUM($D35:TT35)&gt;0,0,IF(TT$25&gt;TT33,TT33,0))),0)&lt;0,0,(IF(SUM($D35:TT35)&gt;0,0,IF(TT$25&gt;TT33,TT33,0)))))</f>
        <v>0</v>
      </c>
      <c r="TV35" s="115">
        <f>IF(SUM($D$28:TU28)=0,0,IF(IF(TV34&gt;0,TV34-(IF(SUM($D35:TU35)&gt;0,0,IF(TU$25&gt;TU33,TU33,0))),0)&lt;0,0,(IF(SUM($D35:TU35)&gt;0,0,IF(TU$25&gt;TU33,TU33,0)))))</f>
        <v>0</v>
      </c>
      <c r="TW35" s="115">
        <f>IF(SUM($D$28:TV28)=0,0,IF(IF(TW34&gt;0,TW34-(IF(SUM($D35:TV35)&gt;0,0,IF(TV$25&gt;TV33,TV33,0))),0)&lt;0,0,(IF(SUM($D35:TV35)&gt;0,0,IF(TV$25&gt;TV33,TV33,0)))))</f>
        <v>0</v>
      </c>
      <c r="TX35" s="115">
        <f>IF(SUM($D$28:TW28)=0,0,IF(IF(TX34&gt;0,TX34-(IF(SUM($D35:TW35)&gt;0,0,IF(TW$25&gt;TW33,TW33,0))),0)&lt;0,0,(IF(SUM($D35:TW35)&gt;0,0,IF(TW$25&gt;TW33,TW33,0)))))</f>
        <v>0</v>
      </c>
      <c r="TY35" s="115">
        <f>IF(SUM($D$28:TX28)=0,0,IF(IF(TY34&gt;0,TY34-(IF(SUM($D35:TX35)&gt;0,0,IF(TX$25&gt;TX33,TX33,0))),0)&lt;0,0,(IF(SUM($D35:TX35)&gt;0,0,IF(TX$25&gt;TX33,TX33,0)))))</f>
        <v>0</v>
      </c>
      <c r="TZ35" s="115">
        <f>IF(SUM($D$28:TY28)=0,0,IF(IF(TZ34&gt;0,TZ34-(IF(SUM($D35:TY35)&gt;0,0,IF(TY$25&gt;TY33,TY33,0))),0)&lt;0,0,(IF(SUM($D35:TY35)&gt;0,0,IF(TY$25&gt;TY33,TY33,0)))))</f>
        <v>0</v>
      </c>
      <c r="UA35" s="115">
        <f>IF(SUM($D$28:TZ28)=0,0,IF(IF(UA34&gt;0,UA34-(IF(SUM($D35:TZ35)&gt;0,0,IF(TZ$25&gt;TZ33,TZ33,0))),0)&lt;0,0,(IF(SUM($D35:TZ35)&gt;0,0,IF(TZ$25&gt;TZ33,TZ33,0)))))</f>
        <v>0</v>
      </c>
      <c r="UB35" s="115">
        <f>IF(SUM($D$28:UA28)=0,0,IF(IF(UB34&gt;0,UB34-(IF(SUM($D35:UA35)&gt;0,0,IF(UA$25&gt;UA33,UA33,0))),0)&lt;0,0,(IF(SUM($D35:UA35)&gt;0,0,IF(UA$25&gt;UA33,UA33,0)))))</f>
        <v>0</v>
      </c>
      <c r="UC35" s="115">
        <f>IF(SUM($D$28:UB28)=0,0,IF(IF(UC34&gt;0,UC34-(IF(SUM($D35:UB35)&gt;0,0,IF(UB$25&gt;UB33,UB33,0))),0)&lt;0,0,(IF(SUM($D35:UB35)&gt;0,0,IF(UB$25&gt;UB33,UB33,0)))))</f>
        <v>0</v>
      </c>
      <c r="UD35" s="115">
        <f>IF(SUM($D$28:UC28)=0,0,IF(IF(UD34&gt;0,UD34-(IF(SUM($D35:UC35)&gt;0,0,IF(UC$25&gt;UC33,UC33,0))),0)&lt;0,0,(IF(SUM($D35:UC35)&gt;0,0,IF(UC$25&gt;UC33,UC33,0)))))</f>
        <v>0</v>
      </c>
      <c r="UE35" s="115">
        <f>IF(SUM($D$28:UD28)=0,0,IF(IF(UE34&gt;0,UE34-(IF(SUM($D35:UD35)&gt;0,0,IF(UD$25&gt;UD33,UD33,0))),0)&lt;0,0,(IF(SUM($D35:UD35)&gt;0,0,IF(UD$25&gt;UD33,UD33,0)))))</f>
        <v>0</v>
      </c>
      <c r="UF35" s="115">
        <f>IF(SUM($D$28:UE28)=0,0,IF(IF(UF34&gt;0,UF34-(IF(SUM($D35:UE35)&gt;0,0,IF(UE$25&gt;UE33,UE33,0))),0)&lt;0,0,(IF(SUM($D35:UE35)&gt;0,0,IF(UE$25&gt;UE33,UE33,0)))))</f>
        <v>0</v>
      </c>
      <c r="UG35" s="115">
        <f>IF(SUM($D$28:UF28)=0,0,IF(IF(UG34&gt;0,UG34-(IF(SUM($D35:UF35)&gt;0,0,IF(UF$25&gt;UF33,UF33,0))),0)&lt;0,0,(IF(SUM($D35:UF35)&gt;0,0,IF(UF$25&gt;UF33,UF33,0)))))</f>
        <v>0</v>
      </c>
      <c r="UH35" s="115">
        <f>IF(SUM($D$28:UG28)=0,0,IF(IF(UH34&gt;0,UH34-(IF(SUM($D35:UG35)&gt;0,0,IF(UG$25&gt;UG33,UG33,0))),0)&lt;0,0,(IF(SUM($D35:UG35)&gt;0,0,IF(UG$25&gt;UG33,UG33,0)))))</f>
        <v>0</v>
      </c>
      <c r="UI35" s="115">
        <f>IF(SUM($D$28:UH28)=0,0,IF(IF(UI34&gt;0,UI34-(IF(SUM($D35:UH35)&gt;0,0,IF(UH$25&gt;UH33,UH33,0))),0)&lt;0,0,(IF(SUM($D35:UH35)&gt;0,0,IF(UH$25&gt;UH33,UH33,0)))))</f>
        <v>0</v>
      </c>
      <c r="UJ35" s="115">
        <f>IF(SUM($D$28:UI28)=0,0,IF(IF(UJ34&gt;0,UJ34-(IF(SUM($D35:UI35)&gt;0,0,IF(UI$25&gt;UI33,UI33,0))),0)&lt;0,0,(IF(SUM($D35:UI35)&gt;0,0,IF(UI$25&gt;UI33,UI33,0)))))</f>
        <v>0</v>
      </c>
      <c r="UK35" s="115">
        <f>IF(SUM($D$28:UJ28)=0,0,IF(IF(UK34&gt;0,UK34-(IF(SUM($D35:UJ35)&gt;0,0,IF(UJ$25&gt;UJ33,UJ33,0))),0)&lt;0,0,(IF(SUM($D35:UJ35)&gt;0,0,IF(UJ$25&gt;UJ33,UJ33,0)))))</f>
        <v>0</v>
      </c>
      <c r="UL35" s="115">
        <f>IF(SUM($D$28:UK28)=0,0,IF(IF(UL34&gt;0,UL34-(IF(SUM($D35:UK35)&gt;0,0,IF(UK$25&gt;UK33,UK33,0))),0)&lt;0,0,(IF(SUM($D35:UK35)&gt;0,0,IF(UK$25&gt;UK33,UK33,0)))))</f>
        <v>0</v>
      </c>
      <c r="UM35" s="115">
        <f>IF(SUM($D$28:UL28)=0,0,IF(IF(UM34&gt;0,UM34-(IF(SUM($D35:UL35)&gt;0,0,IF(UL$25&gt;UL33,UL33,0))),0)&lt;0,0,(IF(SUM($D35:UL35)&gt;0,0,IF(UL$25&gt;UL33,UL33,0)))))</f>
        <v>0</v>
      </c>
      <c r="UN35" s="115">
        <f>IF(SUM($D$28:UM28)=0,0,IF(IF(UN34&gt;0,UN34-(IF(SUM($D35:UM35)&gt;0,0,IF(UM$25&gt;UM33,UM33,0))),0)&lt;0,0,(IF(SUM($D35:UM35)&gt;0,0,IF(UM$25&gt;UM33,UM33,0)))))</f>
        <v>0</v>
      </c>
      <c r="UO35" s="115">
        <f>IF(SUM($D$28:UN28)=0,0,IF(IF(UO34&gt;0,UO34-(IF(SUM($D35:UN35)&gt;0,0,IF(UN$25&gt;UN33,UN33,0))),0)&lt;0,0,(IF(SUM($D35:UN35)&gt;0,0,IF(UN$25&gt;UN33,UN33,0)))))</f>
        <v>0</v>
      </c>
      <c r="UP35" s="115">
        <f>IF(SUM($D$28:UO28)=0,0,IF(IF(UP34&gt;0,UP34-(IF(SUM($D35:UO35)&gt;0,0,IF(UO$25&gt;UO33,UO33,0))),0)&lt;0,0,(IF(SUM($D35:UO35)&gt;0,0,IF(UO$25&gt;UO33,UO33,0)))))</f>
        <v>0</v>
      </c>
      <c r="UQ35" s="115">
        <f>IF(SUM($D$28:UP28)=0,0,IF(IF(UQ34&gt;0,UQ34-(IF(SUM($D35:UP35)&gt;0,0,IF(UP$25&gt;UP33,UP33,0))),0)&lt;0,0,(IF(SUM($D35:UP35)&gt;0,0,IF(UP$25&gt;UP33,UP33,0)))))</f>
        <v>0</v>
      </c>
      <c r="UR35" s="115">
        <f>IF(SUM($D$28:UQ28)=0,0,IF(IF(UR34&gt;0,UR34-(IF(SUM($D35:UQ35)&gt;0,0,IF(UQ$25&gt;UQ33,UQ33,0))),0)&lt;0,0,(IF(SUM($D35:UQ35)&gt;0,0,IF(UQ$25&gt;UQ33,UQ33,0)))))</f>
        <v>0</v>
      </c>
      <c r="US35" s="115">
        <f>IF(SUM($D$28:UR28)=0,0,IF(IF(US34&gt;0,US34-(IF(SUM($D35:UR35)&gt;0,0,IF(UR$25&gt;UR33,UR33,0))),0)&lt;0,0,(IF(SUM($D35:UR35)&gt;0,0,IF(UR$25&gt;UR33,UR33,0)))))</f>
        <v>0</v>
      </c>
      <c r="UT35" s="115">
        <f>IF(SUM($D$28:US28)=0,0,IF(IF(UT34&gt;0,UT34-(IF(SUM($D35:US35)&gt;0,0,IF(US$25&gt;US33,US33,0))),0)&lt;0,0,(IF(SUM($D35:US35)&gt;0,0,IF(US$25&gt;US33,US33,0)))))</f>
        <v>0</v>
      </c>
      <c r="UU35" s="115">
        <f>IF(SUM($D$28:UT28)=0,0,IF(IF(UU34&gt;0,UU34-(IF(SUM($D35:UT35)&gt;0,0,IF(UT$25&gt;UT33,UT33,0))),0)&lt;0,0,(IF(SUM($D35:UT35)&gt;0,0,IF(UT$25&gt;UT33,UT33,0)))))</f>
        <v>0</v>
      </c>
      <c r="UV35" s="115">
        <f>IF(SUM($D$28:UU28)=0,0,IF(IF(UV34&gt;0,UV34-(IF(SUM($D35:UU35)&gt;0,0,IF(UU$25&gt;UU33,UU33,0))),0)&lt;0,0,(IF(SUM($D35:UU35)&gt;0,0,IF(UU$25&gt;UU33,UU33,0)))))</f>
        <v>0</v>
      </c>
      <c r="UW35" s="115">
        <f>IF(SUM($D$28:UV28)=0,0,IF(IF(UW34&gt;0,UW34-(IF(SUM($D35:UV35)&gt;0,0,IF(UV$25&gt;UV33,UV33,0))),0)&lt;0,0,(IF(SUM($D35:UV35)&gt;0,0,IF(UV$25&gt;UV33,UV33,0)))))</f>
        <v>0</v>
      </c>
      <c r="UX35" s="115">
        <f>IF(SUM($D$28:UW28)=0,0,IF(IF(UX34&gt;0,UX34-(IF(SUM($D35:UW35)&gt;0,0,IF(UW$25&gt;UW33,UW33,0))),0)&lt;0,0,(IF(SUM($D35:UW35)&gt;0,0,IF(UW$25&gt;UW33,UW33,0)))))</f>
        <v>0</v>
      </c>
      <c r="UY35" s="115">
        <f>IF(SUM($D$28:UX28)=0,0,IF(IF(UY34&gt;0,UY34-(IF(SUM($D35:UX35)&gt;0,0,IF(UX$25&gt;UX33,UX33,0))),0)&lt;0,0,(IF(SUM($D35:UX35)&gt;0,0,IF(UX$25&gt;UX33,UX33,0)))))</f>
        <v>0</v>
      </c>
      <c r="UZ35" s="115">
        <f>IF(SUM($D$28:UY28)=0,0,IF(IF(UZ34&gt;0,UZ34-(IF(SUM($D35:UY35)&gt;0,0,IF(UY$25&gt;UY33,UY33,0))),0)&lt;0,0,(IF(SUM($D35:UY35)&gt;0,0,IF(UY$25&gt;UY33,UY33,0)))))</f>
        <v>0</v>
      </c>
      <c r="VA35" s="115">
        <f>IF(SUM($D$28:UZ28)=0,0,IF(IF(VA34&gt;0,VA34-(IF(SUM($D35:UZ35)&gt;0,0,IF(UZ$25&gt;UZ33,UZ33,0))),0)&lt;0,0,(IF(SUM($D35:UZ35)&gt;0,0,IF(UZ$25&gt;UZ33,UZ33,0)))))</f>
        <v>0</v>
      </c>
      <c r="VB35" s="115">
        <f>IF(SUM($D$28:VA28)=0,0,IF(IF(VB34&gt;0,VB34-(IF(SUM($D35:VA35)&gt;0,0,IF(VA$25&gt;VA33,VA33,0))),0)&lt;0,0,(IF(SUM($D35:VA35)&gt;0,0,IF(VA$25&gt;VA33,VA33,0)))))</f>
        <v>0</v>
      </c>
      <c r="VC35" s="115">
        <f>IF(SUM($D$28:VB28)=0,0,IF(IF(VC34&gt;0,VC34-(IF(SUM($D35:VB35)&gt;0,0,IF(VB$25&gt;VB33,VB33,0))),0)&lt;0,0,(IF(SUM($D35:VB35)&gt;0,0,IF(VB$25&gt;VB33,VB33,0)))))</f>
        <v>0</v>
      </c>
      <c r="VD35" s="115">
        <f>IF(SUM($D$28:VC28)=0,0,IF(IF(VD34&gt;0,VD34-(IF(SUM($D35:VC35)&gt;0,0,IF(VC$25&gt;VC33,VC33,0))),0)&lt;0,0,(IF(SUM($D35:VC35)&gt;0,0,IF(VC$25&gt;VC33,VC33,0)))))</f>
        <v>0</v>
      </c>
      <c r="VE35" s="115">
        <f>IF(SUM($D$28:VD28)=0,0,IF(IF(VE34&gt;0,VE34-(IF(SUM($D35:VD35)&gt;0,0,IF(VD$25&gt;VD33,VD33,0))),0)&lt;0,0,(IF(SUM($D35:VD35)&gt;0,0,IF(VD$25&gt;VD33,VD33,0)))))</f>
        <v>0</v>
      </c>
      <c r="VF35" s="115">
        <f>IF(SUM($D$28:VE28)=0,0,IF(IF(VF34&gt;0,VF34-(IF(SUM($D35:VE35)&gt;0,0,IF(VE$25&gt;VE33,VE33,0))),0)&lt;0,0,(IF(SUM($D35:VE35)&gt;0,0,IF(VE$25&gt;VE33,VE33,0)))))</f>
        <v>0</v>
      </c>
      <c r="VG35" s="115">
        <f>IF(SUM($D$28:VF28)=0,0,IF(IF(VG34&gt;0,VG34-(IF(SUM($D35:VF35)&gt;0,0,IF(VF$25&gt;VF33,VF33,0))),0)&lt;0,0,(IF(SUM($D35:VF35)&gt;0,0,IF(VF$25&gt;VF33,VF33,0)))))</f>
        <v>0</v>
      </c>
      <c r="VH35" s="115">
        <f>IF(SUM($D$28:VG28)=0,0,IF(IF(VH34&gt;0,VH34-(IF(SUM($D35:VG35)&gt;0,0,IF(VG$25&gt;VG33,VG33,0))),0)&lt;0,0,(IF(SUM($D35:VG35)&gt;0,0,IF(VG$25&gt;VG33,VG33,0)))))</f>
        <v>0</v>
      </c>
      <c r="VI35" s="115">
        <f>IF(SUM($D$28:VH28)=0,0,IF(IF(VI34&gt;0,VI34-(IF(SUM($D35:VH35)&gt;0,0,IF(VH$25&gt;VH33,VH33,0))),0)&lt;0,0,(IF(SUM($D35:VH35)&gt;0,0,IF(VH$25&gt;VH33,VH33,0)))))</f>
        <v>0</v>
      </c>
      <c r="VJ35" s="115">
        <f>IF(SUM($D$28:VI28)=0,0,IF(IF(VJ34&gt;0,VJ34-(IF(SUM($D35:VI35)&gt;0,0,IF(VI$25&gt;VI33,VI33,0))),0)&lt;0,0,(IF(SUM($D35:VI35)&gt;0,0,IF(VI$25&gt;VI33,VI33,0)))))</f>
        <v>0</v>
      </c>
      <c r="VK35" s="115">
        <f>IF(SUM($D$28:VJ28)=0,0,IF(IF(VK34&gt;0,VK34-(IF(SUM($D35:VJ35)&gt;0,0,IF(VJ$25&gt;VJ33,VJ33,0))),0)&lt;0,0,(IF(SUM($D35:VJ35)&gt;0,0,IF(VJ$25&gt;VJ33,VJ33,0)))))</f>
        <v>0</v>
      </c>
      <c r="VL35" s="115">
        <f>IF(SUM($D$28:VK28)=0,0,IF(IF(VL34&gt;0,VL34-(IF(SUM($D35:VK35)&gt;0,0,IF(VK$25&gt;VK33,VK33,0))),0)&lt;0,0,(IF(SUM($D35:VK35)&gt;0,0,IF(VK$25&gt;VK33,VK33,0)))))</f>
        <v>0</v>
      </c>
      <c r="VM35" s="115">
        <f>IF(SUM($D$28:VL28)=0,0,IF(IF(VM34&gt;0,VM34-(IF(SUM($D35:VL35)&gt;0,0,IF(VL$25&gt;VL33,VL33,0))),0)&lt;0,0,(IF(SUM($D35:VL35)&gt;0,0,IF(VL$25&gt;VL33,VL33,0)))))</f>
        <v>0</v>
      </c>
      <c r="VN35" s="115">
        <f>IF(SUM($D$28:VM28)=0,0,IF(IF(VN34&gt;0,VN34-(IF(SUM($D35:VM35)&gt;0,0,IF(VM$25&gt;VM33,VM33,0))),0)&lt;0,0,(IF(SUM($D35:VM35)&gt;0,0,IF(VM$25&gt;VM33,VM33,0)))))</f>
        <v>0</v>
      </c>
      <c r="VO35" s="115">
        <f>IF(SUM($D$28:VN28)=0,0,IF(IF(VO34&gt;0,VO34-(IF(SUM($D35:VN35)&gt;0,0,IF(VN$25&gt;VN33,VN33,0))),0)&lt;0,0,(IF(SUM($D35:VN35)&gt;0,0,IF(VN$25&gt;VN33,VN33,0)))))</f>
        <v>0</v>
      </c>
      <c r="VP35" s="115">
        <f>IF(SUM($D$28:VO28)=0,0,IF(IF(VP34&gt;0,VP34-(IF(SUM($D35:VO35)&gt;0,0,IF(VO$25&gt;VO33,VO33,0))),0)&lt;0,0,(IF(SUM($D35:VO35)&gt;0,0,IF(VO$25&gt;VO33,VO33,0)))))</f>
        <v>0</v>
      </c>
      <c r="VQ35" s="115">
        <f>IF(SUM($D$28:VP28)=0,0,IF(IF(VQ34&gt;0,VQ34-(IF(SUM($D35:VP35)&gt;0,0,IF(VP$25&gt;VP33,VP33,0))),0)&lt;0,0,(IF(SUM($D35:VP35)&gt;0,0,IF(VP$25&gt;VP33,VP33,0)))))</f>
        <v>0</v>
      </c>
      <c r="VR35" s="115">
        <f>IF(SUM($D$28:VQ28)=0,0,IF(IF(VR34&gt;0,VR34-(IF(SUM($D35:VQ35)&gt;0,0,IF(VQ$25&gt;VQ33,VQ33,0))),0)&lt;0,0,(IF(SUM($D35:VQ35)&gt;0,0,IF(VQ$25&gt;VQ33,VQ33,0)))))</f>
        <v>0</v>
      </c>
      <c r="VS35" s="115">
        <f>IF(SUM($D$28:VR28)=0,0,IF(IF(VS34&gt;0,VS34-(IF(SUM($D35:VR35)&gt;0,0,IF(VR$25&gt;VR33,VR33,0))),0)&lt;0,0,(IF(SUM($D35:VR35)&gt;0,0,IF(VR$25&gt;VR33,VR33,0)))))</f>
        <v>0</v>
      </c>
      <c r="VT35" s="115">
        <f>IF(SUM($D$28:VS28)=0,0,IF(IF(VT34&gt;0,VT34-(IF(SUM($D35:VS35)&gt;0,0,IF(VS$25&gt;VS33,VS33,0))),0)&lt;0,0,(IF(SUM($D35:VS35)&gt;0,0,IF(VS$25&gt;VS33,VS33,0)))))</f>
        <v>0</v>
      </c>
      <c r="VU35" s="115">
        <f>IF(SUM($D$28:VT28)=0,0,IF(IF(VU34&gt;0,VU34-(IF(SUM($D35:VT35)&gt;0,0,IF(VT$25&gt;VT33,VT33,0))),0)&lt;0,0,(IF(SUM($D35:VT35)&gt;0,0,IF(VT$25&gt;VT33,VT33,0)))))</f>
        <v>0</v>
      </c>
      <c r="VV35" s="115">
        <f>IF(SUM($D$28:VU28)=0,0,IF(IF(VV34&gt;0,VV34-(IF(SUM($D35:VU35)&gt;0,0,IF(VU$25&gt;VU33,VU33,0))),0)&lt;0,0,(IF(SUM($D35:VU35)&gt;0,0,IF(VU$25&gt;VU33,VU33,0)))))</f>
        <v>0</v>
      </c>
      <c r="VW35" s="115">
        <f>IF(SUM($D$28:VV28)=0,0,IF(IF(VW34&gt;0,VW34-(IF(SUM($D35:VV35)&gt;0,0,IF(VV$25&gt;VV33,VV33,0))),0)&lt;0,0,(IF(SUM($D35:VV35)&gt;0,0,IF(VV$25&gt;VV33,VV33,0)))))</f>
        <v>0</v>
      </c>
      <c r="VX35" s="115">
        <f>IF(SUM($D$28:VW28)=0,0,IF(IF(VX34&gt;0,VX34-(IF(SUM($D35:VW35)&gt;0,0,IF(VW$25&gt;VW33,VW33,0))),0)&lt;0,0,(IF(SUM($D35:VW35)&gt;0,0,IF(VW$25&gt;VW33,VW33,0)))))</f>
        <v>0</v>
      </c>
      <c r="VY35" s="115">
        <f>IF(SUM($D$28:VX28)=0,0,IF(IF(VY34&gt;0,VY34-(IF(SUM($D35:VX35)&gt;0,0,IF(VX$25&gt;VX33,VX33,0))),0)&lt;0,0,(IF(SUM($D35:VX35)&gt;0,0,IF(VX$25&gt;VX33,VX33,0)))))</f>
        <v>0</v>
      </c>
      <c r="VZ35" s="115">
        <f>IF(SUM($D$28:VY28)=0,0,IF(IF(VZ34&gt;0,VZ34-(IF(SUM($D35:VY35)&gt;0,0,IF(VY$25&gt;VY33,VY33,0))),0)&lt;0,0,(IF(SUM($D35:VY35)&gt;0,0,IF(VY$25&gt;VY33,VY33,0)))))</f>
        <v>0</v>
      </c>
      <c r="WA35" s="115">
        <f>IF(SUM($D$28:VZ28)=0,0,IF(IF(WA34&gt;0,WA34-(IF(SUM($D35:VZ35)&gt;0,0,IF(VZ$25&gt;VZ33,VZ33,0))),0)&lt;0,0,(IF(SUM($D35:VZ35)&gt;0,0,IF(VZ$25&gt;VZ33,VZ33,0)))))</f>
        <v>0</v>
      </c>
      <c r="WB35" s="115">
        <f>IF(SUM($D$28:WA28)=0,0,IF(IF(WB34&gt;0,WB34-(IF(SUM($D35:WA35)&gt;0,0,IF(WA$25&gt;WA33,WA33,0))),0)&lt;0,0,(IF(SUM($D35:WA35)&gt;0,0,IF(WA$25&gt;WA33,WA33,0)))))</f>
        <v>0</v>
      </c>
      <c r="WC35" s="115">
        <f>IF(SUM($D$28:WB28)=0,0,IF(IF(WC34&gt;0,WC34-(IF(SUM($D35:WB35)&gt;0,0,IF(WB$25&gt;WB33,WB33,0))),0)&lt;0,0,(IF(SUM($D35:WB35)&gt;0,0,IF(WB$25&gt;WB33,WB33,0)))))</f>
        <v>0</v>
      </c>
      <c r="WD35" s="115">
        <f>IF(SUM($D$28:WC28)=0,0,IF(IF(WD34&gt;0,WD34-(IF(SUM($D35:WC35)&gt;0,0,IF(WC$25&gt;WC33,WC33,0))),0)&lt;0,0,(IF(SUM($D35:WC35)&gt;0,0,IF(WC$25&gt;WC33,WC33,0)))))</f>
        <v>0</v>
      </c>
      <c r="WE35" s="115">
        <f>IF(SUM($D$28:WD28)=0,0,IF(IF(WE34&gt;0,WE34-(IF(SUM($D35:WD35)&gt;0,0,IF(WD$25&gt;WD33,WD33,0))),0)&lt;0,0,(IF(SUM($D35:WD35)&gt;0,0,IF(WD$25&gt;WD33,WD33,0)))))</f>
        <v>0</v>
      </c>
      <c r="WF35" s="115">
        <f>IF(SUM($D$28:WE28)=0,0,IF(IF(WF34&gt;0,WF34-(IF(SUM($D35:WE35)&gt;0,0,IF(WE$25&gt;WE33,WE33,0))),0)&lt;0,0,(IF(SUM($D35:WE35)&gt;0,0,IF(WE$25&gt;WE33,WE33,0)))))</f>
        <v>0</v>
      </c>
      <c r="WG35" s="115">
        <f>IF(SUM($D$28:WF28)=0,0,IF(IF(WG34&gt;0,WG34-(IF(SUM($D35:WF35)&gt;0,0,IF(WF$25&gt;WF33,WF33,0))),0)&lt;0,0,(IF(SUM($D35:WF35)&gt;0,0,IF(WF$25&gt;WF33,WF33,0)))))</f>
        <v>0</v>
      </c>
      <c r="WH35" s="115">
        <f>IF(SUM($D$28:WG28)=0,0,IF(IF(WH34&gt;0,WH34-(IF(SUM($D35:WG35)&gt;0,0,IF(WG$25&gt;WG33,WG33,0))),0)&lt;0,0,(IF(SUM($D35:WG35)&gt;0,0,IF(WG$25&gt;WG33,WG33,0)))))</f>
        <v>0</v>
      </c>
      <c r="WI35" s="115">
        <f>IF(SUM($D$28:WH28)=0,0,IF(IF(WI34&gt;0,WI34-(IF(SUM($D35:WH35)&gt;0,0,IF(WH$25&gt;WH33,WH33,0))),0)&lt;0,0,(IF(SUM($D35:WH35)&gt;0,0,IF(WH$25&gt;WH33,WH33,0)))))</f>
        <v>0</v>
      </c>
      <c r="WJ35" s="115">
        <f>IF(SUM($D$28:WI28)=0,0,IF(IF(WJ34&gt;0,WJ34-(IF(SUM($D35:WI35)&gt;0,0,IF(WI$25&gt;WI33,WI33,0))),0)&lt;0,0,(IF(SUM($D35:WI35)&gt;0,0,IF(WI$25&gt;WI33,WI33,0)))))</f>
        <v>0</v>
      </c>
      <c r="WK35" s="115">
        <f>IF(SUM($D$28:WJ28)=0,0,IF(IF(WK34&gt;0,WK34-(IF(SUM($D35:WJ35)&gt;0,0,IF(WJ$25&gt;WJ33,WJ33,0))),0)&lt;0,0,(IF(SUM($D35:WJ35)&gt;0,0,IF(WJ$25&gt;WJ33,WJ33,0)))))</f>
        <v>0</v>
      </c>
      <c r="WL35" s="115">
        <f>IF(SUM($D$28:WK28)=0,0,IF(IF(WL34&gt;0,WL34-(IF(SUM($D35:WK35)&gt;0,0,IF(WK$25&gt;WK33,WK33,0))),0)&lt;0,0,(IF(SUM($D35:WK35)&gt;0,0,IF(WK$25&gt;WK33,WK33,0)))))</f>
        <v>0</v>
      </c>
      <c r="WM35" s="115">
        <f>IF(SUM($D$28:WL28)=0,0,IF(IF(WM34&gt;0,WM34-(IF(SUM($D35:WL35)&gt;0,0,IF(WL$25&gt;WL33,WL33,0))),0)&lt;0,0,(IF(SUM($D35:WL35)&gt;0,0,IF(WL$25&gt;WL33,WL33,0)))))</f>
        <v>0</v>
      </c>
      <c r="WN35" s="115">
        <f>IF(SUM($D$28:WM28)=0,0,IF(IF(WN34&gt;0,WN34-(IF(SUM($D35:WM35)&gt;0,0,IF(WM$25&gt;WM33,WM33,0))),0)&lt;0,0,(IF(SUM($D35:WM35)&gt;0,0,IF(WM$25&gt;WM33,WM33,0)))))</f>
        <v>0</v>
      </c>
      <c r="WO35" s="115">
        <f>IF(SUM($D$28:WN28)=0,0,IF(IF(WO34&gt;0,WO34-(IF(SUM($D35:WN35)&gt;0,0,IF(WN$25&gt;WN33,WN33,0))),0)&lt;0,0,(IF(SUM($D35:WN35)&gt;0,0,IF(WN$25&gt;WN33,WN33,0)))))</f>
        <v>0</v>
      </c>
      <c r="WP35" s="115">
        <f>IF(SUM($D$28:WO28)=0,0,IF(IF(WP34&gt;0,WP34-(IF(SUM($D35:WO35)&gt;0,0,IF(WO$25&gt;WO33,WO33,0))),0)&lt;0,0,(IF(SUM($D35:WO35)&gt;0,0,IF(WO$25&gt;WO33,WO33,0)))))</f>
        <v>0</v>
      </c>
      <c r="WQ35" s="115">
        <f>IF(SUM($D$28:WP28)=0,0,IF(IF(WQ34&gt;0,WQ34-(IF(SUM($D35:WP35)&gt;0,0,IF(WP$25&gt;WP33,WP33,0))),0)&lt;0,0,(IF(SUM($D35:WP35)&gt;0,0,IF(WP$25&gt;WP33,WP33,0)))))</f>
        <v>0</v>
      </c>
      <c r="WR35" s="115">
        <f>IF(SUM($D$28:WQ28)=0,0,IF(IF(WR34&gt;0,WR34-(IF(SUM($D35:WQ35)&gt;0,0,IF(WQ$25&gt;WQ33,WQ33,0))),0)&lt;0,0,(IF(SUM($D35:WQ35)&gt;0,0,IF(WQ$25&gt;WQ33,WQ33,0)))))</f>
        <v>0</v>
      </c>
      <c r="WS35" s="115">
        <f>IF(SUM($D$28:WR28)=0,0,IF(IF(WS34&gt;0,WS34-(IF(SUM($D35:WR35)&gt;0,0,IF(WR$25&gt;WR33,WR33,0))),0)&lt;0,0,(IF(SUM($D35:WR35)&gt;0,0,IF(WR$25&gt;WR33,WR33,0)))))</f>
        <v>0</v>
      </c>
      <c r="WT35" s="115">
        <f>IF(SUM($D$28:WS28)=0,0,IF(IF(WT34&gt;0,WT34-(IF(SUM($D35:WS35)&gt;0,0,IF(WS$25&gt;WS33,WS33,0))),0)&lt;0,0,(IF(SUM($D35:WS35)&gt;0,0,IF(WS$25&gt;WS33,WS33,0)))))</f>
        <v>0</v>
      </c>
      <c r="WU35" s="115">
        <f>IF(SUM($D$28:WT28)=0,0,IF(IF(WU34&gt;0,WU34-(IF(SUM($D35:WT35)&gt;0,0,IF(WT$25&gt;WT33,WT33,0))),0)&lt;0,0,(IF(SUM($D35:WT35)&gt;0,0,IF(WT$25&gt;WT33,WT33,0)))))</f>
        <v>0</v>
      </c>
      <c r="WV35" s="115">
        <f>IF(SUM($D$28:WU28)=0,0,IF(IF(WV34&gt;0,WV34-(IF(SUM($D35:WU35)&gt;0,0,IF(WU$25&gt;WU33,WU33,0))),0)&lt;0,0,(IF(SUM($D35:WU35)&gt;0,0,IF(WU$25&gt;WU33,WU33,0)))))</f>
        <v>0</v>
      </c>
      <c r="WW35" s="115">
        <f>IF(SUM($D$28:WV28)=0,0,IF(IF(WW34&gt;0,WW34-(IF(SUM($D35:WV35)&gt;0,0,IF(WV$25&gt;WV33,WV33,0))),0)&lt;0,0,(IF(SUM($D35:WV35)&gt;0,0,IF(WV$25&gt;WV33,WV33,0)))))</f>
        <v>0</v>
      </c>
      <c r="WX35" s="115">
        <f>IF(SUM($D$28:WW28)=0,0,IF(IF(WX34&gt;0,WX34-(IF(SUM($D35:WW35)&gt;0,0,IF(WW$25&gt;WW33,WW33,0))),0)&lt;0,0,(IF(SUM($D35:WW35)&gt;0,0,IF(WW$25&gt;WW33,WW33,0)))))</f>
        <v>0</v>
      </c>
      <c r="WY35" s="115">
        <f>IF(SUM($D$28:WX28)=0,0,IF(IF(WY34&gt;0,WY34-(IF(SUM($D35:WX35)&gt;0,0,IF(WX$25&gt;WX33,WX33,0))),0)&lt;0,0,(IF(SUM($D35:WX35)&gt;0,0,IF(WX$25&gt;WX33,WX33,0)))))</f>
        <v>0</v>
      </c>
      <c r="WZ35" s="115">
        <f>IF(SUM($D$28:WY28)=0,0,IF(IF(WZ34&gt;0,WZ34-(IF(SUM($D35:WY35)&gt;0,0,IF(WY$25&gt;WY33,WY33,0))),0)&lt;0,0,(IF(SUM($D35:WY35)&gt;0,0,IF(WY$25&gt;WY33,WY33,0)))))</f>
        <v>0</v>
      </c>
      <c r="XA35" s="115">
        <f>IF(SUM($D$28:WZ28)=0,0,IF(IF(XA34&gt;0,XA34-(IF(SUM($D35:WZ35)&gt;0,0,IF(WZ$25&gt;WZ33,WZ33,0))),0)&lt;0,0,(IF(SUM($D35:WZ35)&gt;0,0,IF(WZ$25&gt;WZ33,WZ33,0)))))</f>
        <v>0</v>
      </c>
      <c r="XB35" s="115">
        <f>IF(SUM($D$28:XA28)=0,0,IF(IF(XB34&gt;0,XB34-(IF(SUM($D35:XA35)&gt;0,0,IF(XA$25&gt;XA33,XA33,0))),0)&lt;0,0,(IF(SUM($D35:XA35)&gt;0,0,IF(XA$25&gt;XA33,XA33,0)))))</f>
        <v>0</v>
      </c>
      <c r="XC35" s="115">
        <f>IF(SUM($D$28:XB28)=0,0,IF(IF(XC34&gt;0,XC34-(IF(SUM($D35:XB35)&gt;0,0,IF(XB$25&gt;XB33,XB33,0))),0)&lt;0,0,(IF(SUM($D35:XB35)&gt;0,0,IF(XB$25&gt;XB33,XB33,0)))))</f>
        <v>0</v>
      </c>
      <c r="XD35" s="115">
        <f>IF(SUM($D$28:XC28)=0,0,IF(IF(XD34&gt;0,XD34-(IF(SUM($D35:XC35)&gt;0,0,IF(XC$25&gt;XC33,XC33,0))),0)&lt;0,0,(IF(SUM($D35:XC35)&gt;0,0,IF(XC$25&gt;XC33,XC33,0)))))</f>
        <v>0</v>
      </c>
      <c r="XE35" s="115">
        <f>IF(SUM($D$28:XD28)=0,0,IF(IF(XE34&gt;0,XE34-(IF(SUM($D35:XD35)&gt;0,0,IF(XD$25&gt;XD33,XD33,0))),0)&lt;0,0,(IF(SUM($D35:XD35)&gt;0,0,IF(XD$25&gt;XD33,XD33,0)))))</f>
        <v>0</v>
      </c>
      <c r="XF35" s="115">
        <f>IF(SUM($D$28:XE28)=0,0,IF(IF(XF34&gt;0,XF34-(IF(SUM($D35:XE35)&gt;0,0,IF(XE$25&gt;XE33,XE33,0))),0)&lt;0,0,(IF(SUM($D35:XE35)&gt;0,0,IF(XE$25&gt;XE33,XE33,0)))))</f>
        <v>0</v>
      </c>
      <c r="XG35" s="115">
        <f>IF(SUM($D$28:XF28)=0,0,IF(IF(XG34&gt;0,XG34-(IF(SUM($D35:XF35)&gt;0,0,IF(XF$25&gt;XF33,XF33,0))),0)&lt;0,0,(IF(SUM($D35:XF35)&gt;0,0,IF(XF$25&gt;XF33,XF33,0)))))</f>
        <v>0</v>
      </c>
      <c r="XH35" s="115">
        <f>IF(SUM($D$28:XG28)=0,0,IF(IF(XH34&gt;0,XH34-(IF(SUM($D35:XG35)&gt;0,0,IF(XG$25&gt;XG33,XG33,0))),0)&lt;0,0,(IF(SUM($D35:XG35)&gt;0,0,IF(XG$25&gt;XG33,XG33,0)))))</f>
        <v>0</v>
      </c>
      <c r="XI35" s="115">
        <f>IF(SUM($D$28:XH28)=0,0,IF(IF(XI34&gt;0,XI34-(IF(SUM($D35:XH35)&gt;0,0,IF(XH$25&gt;XH33,XH33,0))),0)&lt;0,0,(IF(SUM($D35:XH35)&gt;0,0,IF(XH$25&gt;XH33,XH33,0)))))</f>
        <v>0</v>
      </c>
      <c r="XJ35" s="115">
        <f>IF(SUM($D$28:XI28)=0,0,IF(IF(XJ34&gt;0,XJ34-(IF(SUM($D35:XI35)&gt;0,0,IF(XI$25&gt;XI33,XI33,0))),0)&lt;0,0,(IF(SUM($D35:XI35)&gt;0,0,IF(XI$25&gt;XI33,XI33,0)))))</f>
        <v>0</v>
      </c>
      <c r="XK35" s="115">
        <f>IF(SUM($D$28:XJ28)=0,0,IF(IF(XK34&gt;0,XK34-(IF(SUM($D35:XJ35)&gt;0,0,IF(XJ$25&gt;XJ33,XJ33,0))),0)&lt;0,0,(IF(SUM($D35:XJ35)&gt;0,0,IF(XJ$25&gt;XJ33,XJ33,0)))))</f>
        <v>0</v>
      </c>
      <c r="XL35" s="115">
        <f>IF(SUM($D$28:XK28)=0,0,IF(IF(XL34&gt;0,XL34-(IF(SUM($D35:XK35)&gt;0,0,IF(XK$25&gt;XK33,XK33,0))),0)&lt;0,0,(IF(SUM($D35:XK35)&gt;0,0,IF(XK$25&gt;XK33,XK33,0)))))</f>
        <v>0</v>
      </c>
      <c r="XM35" s="115">
        <f>IF(SUM($D$28:XL28)=0,0,IF(IF(XM34&gt;0,XM34-(IF(SUM($D35:XL35)&gt;0,0,IF(XL$25&gt;XL33,XL33,0))),0)&lt;0,0,(IF(SUM($D35:XL35)&gt;0,0,IF(XL$25&gt;XL33,XL33,0)))))</f>
        <v>0</v>
      </c>
      <c r="XN35" s="115">
        <f>IF(SUM($D$28:XM28)=0,0,IF(IF(XN34&gt;0,XN34-(IF(SUM($D35:XM35)&gt;0,0,IF(XM$25&gt;XM33,XM33,0))),0)&lt;0,0,(IF(SUM($D35:XM35)&gt;0,0,IF(XM$25&gt;XM33,XM33,0)))))</f>
        <v>0</v>
      </c>
      <c r="XO35" s="115">
        <f>IF(SUM($D$28:XN28)=0,0,IF(IF(XO34&gt;0,XO34-(IF(SUM($D35:XN35)&gt;0,0,IF(XN$25&gt;XN33,XN33,0))),0)&lt;0,0,(IF(SUM($D35:XN35)&gt;0,0,IF(XN$25&gt;XN33,XN33,0)))))</f>
        <v>0</v>
      </c>
      <c r="XP35" s="115">
        <f>IF(SUM($D$28:XO28)=0,0,IF(IF(XP34&gt;0,XP34-(IF(SUM($D35:XO35)&gt;0,0,IF(XO$25&gt;XO33,XO33,0))),0)&lt;0,0,(IF(SUM($D35:XO35)&gt;0,0,IF(XO$25&gt;XO33,XO33,0)))))</f>
        <v>0</v>
      </c>
      <c r="XQ35" s="115">
        <f>IF(SUM($D$28:XP28)=0,0,IF(IF(XQ34&gt;0,XQ34-(IF(SUM($D35:XP35)&gt;0,0,IF(XP$25&gt;XP33,XP33,0))),0)&lt;0,0,(IF(SUM($D35:XP35)&gt;0,0,IF(XP$25&gt;XP33,XP33,0)))))</f>
        <v>900000</v>
      </c>
      <c r="XR35" s="115">
        <f>IF(SUM($D$28:XQ28)=0,0,IF(IF(XR34&gt;0,XR34-(IF(SUM($D35:XQ35)&gt;0,0,IF(XQ$25&gt;XQ33,XQ33,0))),0)&lt;0,0,(IF(SUM($D35:XQ35)&gt;0,0,IF(XQ$25&gt;XQ33,XQ33,0)))))</f>
        <v>0</v>
      </c>
      <c r="XS35" s="115">
        <f>IF(SUM($D$28:XR28)=0,0,IF(IF(XS34&gt;0,XS34-(IF(SUM($D35:XR35)&gt;0,0,IF(XR$25&gt;XR33,XR33,0))),0)&lt;0,0,(IF(SUM($D35:XR35)&gt;0,0,IF(XR$25&gt;XR33,XR33,0)))))</f>
        <v>0</v>
      </c>
      <c r="XT35" s="115">
        <f>IF(SUM($D$28:XS28)=0,0,IF(IF(XT34&gt;0,XT34-(IF(SUM($D35:XS35)&gt;0,0,IF(XS$25&gt;XS33,XS33,0))),0)&lt;0,0,(IF(SUM($D35:XS35)&gt;0,0,IF(XS$25&gt;XS33,XS33,0)))))</f>
        <v>0</v>
      </c>
      <c r="XU35" s="115">
        <f>IF(SUM($D$28:XT28)=0,0,IF(IF(XU34&gt;0,XU34-(IF(SUM($D35:XT35)&gt;0,0,IF(XT$25&gt;XT33,XT33,0))),0)&lt;0,0,(IF(SUM($D35:XT35)&gt;0,0,IF(XT$25&gt;XT33,XT33,0)))))</f>
        <v>0</v>
      </c>
      <c r="XV35" s="115">
        <f>IF(SUM($D$28:XU28)=0,0,IF(IF(XV34&gt;0,XV34-(IF(SUM($D35:XU35)&gt;0,0,IF(XU$25&gt;XU33,XU33,0))),0)&lt;0,0,(IF(SUM($D35:XU35)&gt;0,0,IF(XU$25&gt;XU33,XU33,0)))))</f>
        <v>0</v>
      </c>
      <c r="XW35" s="115">
        <f>IF(SUM($D$28:XV28)=0,0,IF(IF(XW34&gt;0,XW34-(IF(SUM($D35:XV35)&gt;0,0,IF(XV$25&gt;XV33,XV33,0))),0)&lt;0,0,(IF(SUM($D35:XV35)&gt;0,0,IF(XV$25&gt;XV33,XV33,0)))))</f>
        <v>0</v>
      </c>
      <c r="XX35" s="115">
        <f>IF(SUM($D$28:XW28)=0,0,IF(IF(XX34&gt;0,XX34-(IF(SUM($D35:XW35)&gt;0,0,IF(XW$25&gt;XW33,XW33,0))),0)&lt;0,0,(IF(SUM($D35:XW35)&gt;0,0,IF(XW$25&gt;XW33,XW33,0)))))</f>
        <v>0</v>
      </c>
      <c r="XY35" s="115">
        <f>IF(SUM($D$28:XX28)=0,0,IF(IF(XY34&gt;0,XY34-(IF(SUM($D35:XX35)&gt;0,0,IF(XX$25&gt;XX33,XX33,0))),0)&lt;0,0,(IF(SUM($D35:XX35)&gt;0,0,IF(XX$25&gt;XX33,XX33,0)))))</f>
        <v>0</v>
      </c>
      <c r="XZ35" s="115">
        <f>IF(SUM($D$28:XY28)=0,0,IF(IF(XZ34&gt;0,XZ34-(IF(SUM($D35:XY35)&gt;0,0,IF(XY$25&gt;XY33,XY33,0))),0)&lt;0,0,(IF(SUM($D35:XY35)&gt;0,0,IF(XY$25&gt;XY33,XY33,0)))))</f>
        <v>0</v>
      </c>
      <c r="YA35" s="115">
        <f>IF(SUM($D$28:XZ28)=0,0,IF(IF(YA34&gt;0,YA34-(IF(SUM($D35:XZ35)&gt;0,0,IF(XZ$25&gt;XZ33,XZ33,0))),0)&lt;0,0,(IF(SUM($D35:XZ35)&gt;0,0,IF(XZ$25&gt;XZ33,XZ33,0)))))</f>
        <v>0</v>
      </c>
      <c r="YB35" s="115">
        <f>IF(SUM($D$28:YA28)=0,0,IF(IF(YB34&gt;0,YB34-(IF(SUM($D35:YA35)&gt;0,0,IF(YA$25&gt;YA33,YA33,0))),0)&lt;0,0,(IF(SUM($D35:YA35)&gt;0,0,IF(YA$25&gt;YA33,YA33,0)))))</f>
        <v>0</v>
      </c>
      <c r="YC35" s="115">
        <f>IF(SUM($D$28:YB28)=0,0,IF(IF(YC34&gt;0,YC34-(IF(SUM($D35:YB35)&gt;0,0,IF(YB$25&gt;YB33,YB33,0))),0)&lt;0,0,(IF(SUM($D35:YB35)&gt;0,0,IF(YB$25&gt;YB33,YB33,0)))))</f>
        <v>0</v>
      </c>
      <c r="YD35" s="115">
        <f>IF(SUM($D$28:YC28)=0,0,IF(IF(YD34&gt;0,YD34-(IF(SUM($D35:YC35)&gt;0,0,IF(YC$25&gt;YC33,YC33,0))),0)&lt;0,0,(IF(SUM($D35:YC35)&gt;0,0,IF(YC$25&gt;YC33,YC33,0)))))</f>
        <v>0</v>
      </c>
      <c r="YE35" s="115">
        <f>IF(SUM($D$28:YD28)=0,0,IF(IF(YE34&gt;0,YE34-(IF(SUM($D35:YD35)&gt;0,0,IF(YD$25&gt;YD33,YD33,0))),0)&lt;0,0,(IF(SUM($D35:YD35)&gt;0,0,IF(YD$25&gt;YD33,YD33,0)))))</f>
        <v>0</v>
      </c>
      <c r="YF35" s="115">
        <f>IF(SUM($D$28:YE28)=0,0,IF(IF(YF34&gt;0,YF34-(IF(SUM($D35:YE35)&gt;0,0,IF(YE$25&gt;YE33,YE33,0))),0)&lt;0,0,(IF(SUM($D35:YE35)&gt;0,0,IF(YE$25&gt;YE33,YE33,0)))))</f>
        <v>0</v>
      </c>
      <c r="YG35" s="115">
        <f>IF(SUM($D$28:YF28)=0,0,IF(IF(YG34&gt;0,YG34-(IF(SUM($D35:YF35)&gt;0,0,IF(YF$25&gt;YF33,YF33,0))),0)&lt;0,0,(IF(SUM($D35:YF35)&gt;0,0,IF(YF$25&gt;YF33,YF33,0)))))</f>
        <v>0</v>
      </c>
      <c r="YH35" s="115">
        <f>IF(SUM($D$28:YG28)=0,0,IF(IF(YH34&gt;0,YH34-(IF(SUM($D35:YG35)&gt;0,0,IF(YG$25&gt;YG33,YG33,0))),0)&lt;0,0,(IF(SUM($D35:YG35)&gt;0,0,IF(YG$25&gt;YG33,YG33,0)))))</f>
        <v>0</v>
      </c>
      <c r="YI35" s="115">
        <f>IF(SUM($D$28:YH28)=0,0,IF(IF(YI34&gt;0,YI34-(IF(SUM($D35:YH35)&gt;0,0,IF(YH$25&gt;YH33,YH33,0))),0)&lt;0,0,(IF(SUM($D35:YH35)&gt;0,0,IF(YH$25&gt;YH33,YH33,0)))))</f>
        <v>0</v>
      </c>
      <c r="YJ35" s="115">
        <f>IF(SUM($D$28:YI28)=0,0,IF(IF(YJ34&gt;0,YJ34-(IF(SUM($D35:YI35)&gt;0,0,IF(YI$25&gt;YI33,YI33,0))),0)&lt;0,0,(IF(SUM($D35:YI35)&gt;0,0,IF(YI$25&gt;YI33,YI33,0)))))</f>
        <v>0</v>
      </c>
      <c r="YK35" s="115">
        <f>IF(SUM($D$28:YJ28)=0,0,IF(IF(YK34&gt;0,YK34-(IF(SUM($D35:YJ35)&gt;0,0,IF(YJ$25&gt;YJ33,YJ33,0))),0)&lt;0,0,(IF(SUM($D35:YJ35)&gt;0,0,IF(YJ$25&gt;YJ33,YJ33,0)))))</f>
        <v>0</v>
      </c>
      <c r="YL35" s="115">
        <f>IF(SUM($D$28:YK28)=0,0,IF(IF(YL34&gt;0,YL34-(IF(SUM($D35:YK35)&gt;0,0,IF(YK$25&gt;YK33,YK33,0))),0)&lt;0,0,(IF(SUM($D35:YK35)&gt;0,0,IF(YK$25&gt;YK33,YK33,0)))))</f>
        <v>0</v>
      </c>
      <c r="YM35" s="115">
        <f>IF(SUM($D$28:YL28)=0,0,IF(IF(YM34&gt;0,YM34-(IF(SUM($D35:YL35)&gt;0,0,IF(YL$25&gt;YL33,YL33,0))),0)&lt;0,0,(IF(SUM($D35:YL35)&gt;0,0,IF(YL$25&gt;YL33,YL33,0)))))</f>
        <v>0</v>
      </c>
      <c r="YN35" s="115">
        <f>IF(SUM($D$28:YM28)=0,0,IF(IF(YN34&gt;0,YN34-(IF(SUM($D35:YM35)&gt;0,0,IF(YM$25&gt;YM33,YM33,0))),0)&lt;0,0,(IF(SUM($D35:YM35)&gt;0,0,IF(YM$25&gt;YM33,YM33,0)))))</f>
        <v>0</v>
      </c>
      <c r="YO35" s="115">
        <f>IF(SUM($D$28:YN28)=0,0,IF(IF(YO34&gt;0,YO34-(IF(SUM($D35:YN35)&gt;0,0,IF(YN$25&gt;YN33,YN33,0))),0)&lt;0,0,(IF(SUM($D35:YN35)&gt;0,0,IF(YN$25&gt;YN33,YN33,0)))))</f>
        <v>0</v>
      </c>
      <c r="YP35" s="115">
        <f>IF(SUM($D$28:YO28)=0,0,IF(IF(YP34&gt;0,YP34-(IF(SUM($D35:YO35)&gt;0,0,IF(YO$25&gt;YO33,YO33,0))),0)&lt;0,0,(IF(SUM($D35:YO35)&gt;0,0,IF(YO$25&gt;YO33,YO33,0)))))</f>
        <v>0</v>
      </c>
      <c r="YQ35" s="115">
        <f>IF(SUM($D$28:YP28)=0,0,IF(IF(YQ34&gt;0,YQ34-(IF(SUM($D35:YP35)&gt;0,0,IF(YP$25&gt;YP33,YP33,0))),0)&lt;0,0,(IF(SUM($D35:YP35)&gt;0,0,IF(YP$25&gt;YP33,YP33,0)))))</f>
        <v>0</v>
      </c>
      <c r="YR35" s="115">
        <f>IF(SUM($D$28:YQ28)=0,0,IF(IF(YR34&gt;0,YR34-(IF(SUM($D35:YQ35)&gt;0,0,IF(YQ$25&gt;YQ33,YQ33,0))),0)&lt;0,0,(IF(SUM($D35:YQ35)&gt;0,0,IF(YQ$25&gt;YQ33,YQ33,0)))))</f>
        <v>0</v>
      </c>
      <c r="YS35" s="115">
        <f>IF(SUM($D$28:YR28)=0,0,IF(IF(YS34&gt;0,YS34-(IF(SUM($D35:YR35)&gt;0,0,IF(YR$25&gt;YR33,YR33,0))),0)&lt;0,0,(IF(SUM($D35:YR35)&gt;0,0,IF(YR$25&gt;YR33,YR33,0)))))</f>
        <v>0</v>
      </c>
      <c r="YT35" s="115">
        <f>IF(SUM($D$28:YS28)=0,0,IF(IF(YT34&gt;0,YT34-(IF(SUM($D35:YS35)&gt;0,0,IF(YS$25&gt;YS33,YS33,0))),0)&lt;0,0,(IF(SUM($D35:YS35)&gt;0,0,IF(YS$25&gt;YS33,YS33,0)))))</f>
        <v>0</v>
      </c>
      <c r="YU35" s="115">
        <f>IF(SUM($D$28:YT28)=0,0,IF(IF(YU34&gt;0,YU34-(IF(SUM($D35:YT35)&gt;0,0,IF(YT$25&gt;YT33,YT33,0))),0)&lt;0,0,(IF(SUM($D35:YT35)&gt;0,0,IF(YT$25&gt;YT33,YT33,0)))))</f>
        <v>0</v>
      </c>
      <c r="YV35" s="115">
        <f>IF(SUM($D$28:YU28)=0,0,IF(IF(YV34&gt;0,YV34-(IF(SUM($D35:YU35)&gt;0,0,IF(YU$25&gt;YU33,YU33,0))),0)&lt;0,0,(IF(SUM($D35:YU35)&gt;0,0,IF(YU$25&gt;YU33,YU33,0)))))</f>
        <v>0</v>
      </c>
      <c r="YW35" s="115">
        <f>IF(SUM($D$28:YV28)=0,0,IF(IF(YW34&gt;0,YW34-(IF(SUM($D35:YV35)&gt;0,0,IF(YV$25&gt;YV33,YV33,0))),0)&lt;0,0,(IF(SUM($D35:YV35)&gt;0,0,IF(YV$25&gt;YV33,YV33,0)))))</f>
        <v>0</v>
      </c>
      <c r="YX35" s="115">
        <f>IF(SUM($D$28:YW28)=0,0,IF(IF(YX34&gt;0,YX34-(IF(SUM($D35:YW35)&gt;0,0,IF(YW$25&gt;YW33,YW33,0))),0)&lt;0,0,(IF(SUM($D35:YW35)&gt;0,0,IF(YW$25&gt;YW33,YW33,0)))))</f>
        <v>0</v>
      </c>
      <c r="YY35" s="115">
        <f>IF(SUM($D$28:YX28)=0,0,IF(IF(YY34&gt;0,YY34-(IF(SUM($D35:YX35)&gt;0,0,IF(YX$25&gt;YX33,YX33,0))),0)&lt;0,0,(IF(SUM($D35:YX35)&gt;0,0,IF(YX$25&gt;YX33,YX33,0)))))</f>
        <v>0</v>
      </c>
      <c r="YZ35" s="115">
        <f>IF(SUM($D$28:YY28)=0,0,IF(IF(YZ34&gt;0,YZ34-(IF(SUM($D35:YY35)&gt;0,0,IF(YY$25&gt;YY33,YY33,0))),0)&lt;0,0,(IF(SUM($D35:YY35)&gt;0,0,IF(YY$25&gt;YY33,YY33,0)))))</f>
        <v>0</v>
      </c>
      <c r="ZA35" s="115">
        <f>IF(SUM($D$28:YZ28)=0,0,IF(IF(ZA34&gt;0,ZA34-(IF(SUM($D35:YZ35)&gt;0,0,IF(YZ$25&gt;YZ33,YZ33,0))),0)&lt;0,0,(IF(SUM($D35:YZ35)&gt;0,0,IF(YZ$25&gt;YZ33,YZ33,0)))))</f>
        <v>0</v>
      </c>
      <c r="ZB35" s="115">
        <f>IF(SUM($D$28:ZA28)=0,0,IF(IF(ZB34&gt;0,ZB34-(IF(SUM($D35:ZA35)&gt;0,0,IF(ZA$25&gt;ZA33,ZA33,0))),0)&lt;0,0,(IF(SUM($D35:ZA35)&gt;0,0,IF(ZA$25&gt;ZA33,ZA33,0)))))</f>
        <v>0</v>
      </c>
      <c r="ZC35" s="115">
        <f>IF(SUM($D$28:ZB28)=0,0,IF(IF(ZC34&gt;0,ZC34-(IF(SUM($D35:ZB35)&gt;0,0,IF(ZB$25&gt;ZB33,ZB33,0))),0)&lt;0,0,(IF(SUM($D35:ZB35)&gt;0,0,IF(ZB$25&gt;ZB33,ZB33,0)))))</f>
        <v>0</v>
      </c>
      <c r="ZD35" s="115">
        <f>IF(SUM($D$28:ZC28)=0,0,IF(IF(ZD34&gt;0,ZD34-(IF(SUM($D35:ZC35)&gt;0,0,IF(ZC$25&gt;ZC33,ZC33,0))),0)&lt;0,0,(IF(SUM($D35:ZC35)&gt;0,0,IF(ZC$25&gt;ZC33,ZC33,0)))))</f>
        <v>0</v>
      </c>
      <c r="ZE35" s="115">
        <f>IF(SUM($D$28:ZD28)=0,0,IF(IF(ZE34&gt;0,ZE34-(IF(SUM($D35:ZD35)&gt;0,0,IF(ZD$25&gt;ZD33,ZD33,0))),0)&lt;0,0,(IF(SUM($D35:ZD35)&gt;0,0,IF(ZD$25&gt;ZD33,ZD33,0)))))</f>
        <v>0</v>
      </c>
      <c r="ZF35" s="115">
        <f>IF(SUM($D$28:ZE28)=0,0,IF(IF(ZF34&gt;0,ZF34-(IF(SUM($D35:ZE35)&gt;0,0,IF(ZE$25&gt;ZE33,ZE33,0))),0)&lt;0,0,(IF(SUM($D35:ZE35)&gt;0,0,IF(ZE$25&gt;ZE33,ZE33,0)))))</f>
        <v>0</v>
      </c>
      <c r="ZG35" s="115">
        <f>IF(SUM($D$28:ZF28)=0,0,IF(IF(ZG34&gt;0,ZG34-(IF(SUM($D35:ZF35)&gt;0,0,IF(ZF$25&gt;ZF33,ZF33,0))),0)&lt;0,0,(IF(SUM($D35:ZF35)&gt;0,0,IF(ZF$25&gt;ZF33,ZF33,0)))))</f>
        <v>0</v>
      </c>
      <c r="ZH35" s="115">
        <f>IF(SUM($D$28:ZG28)=0,0,IF(IF(ZH34&gt;0,ZH34-(IF(SUM($D35:ZG35)&gt;0,0,IF(ZG$25&gt;ZG33,ZG33,0))),0)&lt;0,0,(IF(SUM($D35:ZG35)&gt;0,0,IF(ZG$25&gt;ZG33,ZG33,0)))))</f>
        <v>0</v>
      </c>
      <c r="ZI35" s="115">
        <f>IF(SUM($D$28:ZH28)=0,0,IF(IF(ZI34&gt;0,ZI34-(IF(SUM($D35:ZH35)&gt;0,0,IF(ZH$25&gt;ZH33,ZH33,0))),0)&lt;0,0,(IF(SUM($D35:ZH35)&gt;0,0,IF(ZH$25&gt;ZH33,ZH33,0)))))</f>
        <v>0</v>
      </c>
      <c r="ZJ35" s="115">
        <f>IF(SUM($D$28:ZI28)=0,0,IF(IF(ZJ34&gt;0,ZJ34-(IF(SUM($D35:ZI35)&gt;0,0,IF(ZI$25&gt;ZI33,ZI33,0))),0)&lt;0,0,(IF(SUM($D35:ZI35)&gt;0,0,IF(ZI$25&gt;ZI33,ZI33,0)))))</f>
        <v>0</v>
      </c>
      <c r="ZK35" s="115">
        <f>IF(SUM($D$28:ZJ28)=0,0,IF(IF(ZK34&gt;0,ZK34-(IF(SUM($D35:ZJ35)&gt;0,0,IF(ZJ$25&gt;ZJ33,ZJ33,0))),0)&lt;0,0,(IF(SUM($D35:ZJ35)&gt;0,0,IF(ZJ$25&gt;ZJ33,ZJ33,0)))))</f>
        <v>0</v>
      </c>
      <c r="ZL35" s="115">
        <f>IF(SUM($D$28:ZK28)=0,0,IF(IF(ZL34&gt;0,ZL34-(IF(SUM($D35:ZK35)&gt;0,0,IF(ZK$25&gt;ZK33,ZK33,0))),0)&lt;0,0,(IF(SUM($D35:ZK35)&gt;0,0,IF(ZK$25&gt;ZK33,ZK33,0)))))</f>
        <v>0</v>
      </c>
      <c r="ZM35" s="115">
        <f>IF(SUM($D$28:ZL28)=0,0,IF(IF(ZM34&gt;0,ZM34-(IF(SUM($D35:ZL35)&gt;0,0,IF(ZL$25&gt;ZL33,ZL33,0))),0)&lt;0,0,(IF(SUM($D35:ZL35)&gt;0,0,IF(ZL$25&gt;ZL33,ZL33,0)))))</f>
        <v>0</v>
      </c>
      <c r="ZN35" s="115">
        <f>IF(SUM($D$28:ZM28)=0,0,IF(IF(ZN34&gt;0,ZN34-(IF(SUM($D35:ZM35)&gt;0,0,IF(ZM$25&gt;ZM33,ZM33,0))),0)&lt;0,0,(IF(SUM($D35:ZM35)&gt;0,0,IF(ZM$25&gt;ZM33,ZM33,0)))))</f>
        <v>0</v>
      </c>
      <c r="ZO35" s="115">
        <f>IF(SUM($D$28:ZN28)=0,0,IF(IF(ZO34&gt;0,ZO34-(IF(SUM($D35:ZN35)&gt;0,0,IF(ZN$25&gt;ZN33,ZN33,0))),0)&lt;0,0,(IF(SUM($D35:ZN35)&gt;0,0,IF(ZN$25&gt;ZN33,ZN33,0)))))</f>
        <v>0</v>
      </c>
      <c r="ZP35" s="115">
        <f>IF(SUM($D$28:ZO28)=0,0,IF(IF(ZP34&gt;0,ZP34-(IF(SUM($D35:ZO35)&gt;0,0,IF(ZO$25&gt;ZO33,ZO33,0))),0)&lt;0,0,(IF(SUM($D35:ZO35)&gt;0,0,IF(ZO$25&gt;ZO33,ZO33,0)))))</f>
        <v>0</v>
      </c>
      <c r="ZQ35" s="115">
        <f>IF(SUM($D$28:ZP28)=0,0,IF(IF(ZQ34&gt;0,ZQ34-(IF(SUM($D35:ZP35)&gt;0,0,IF(ZP$25&gt;ZP33,ZP33,0))),0)&lt;0,0,(IF(SUM($D35:ZP35)&gt;0,0,IF(ZP$25&gt;ZP33,ZP33,0)))))</f>
        <v>0</v>
      </c>
      <c r="ZR35" s="115">
        <f>IF(SUM($D$28:ZQ28)=0,0,IF(IF(ZR34&gt;0,ZR34-(IF(SUM($D35:ZQ35)&gt;0,0,IF(ZQ$25&gt;ZQ33,ZQ33,0))),0)&lt;0,0,(IF(SUM($D35:ZQ35)&gt;0,0,IF(ZQ$25&gt;ZQ33,ZQ33,0)))))</f>
        <v>0</v>
      </c>
      <c r="ZS35" s="115">
        <f>IF(SUM($D$28:ZR28)=0,0,IF(IF(ZS34&gt;0,ZS34-(IF(SUM($D35:ZR35)&gt;0,0,IF(ZR$25&gt;ZR33,ZR33,0))),0)&lt;0,0,(IF(SUM($D35:ZR35)&gt;0,0,IF(ZR$25&gt;ZR33,ZR33,0)))))</f>
        <v>0</v>
      </c>
      <c r="ZT35" s="115">
        <f>IF(SUM($D$28:ZS28)=0,0,IF(IF(ZT34&gt;0,ZT34-(IF(SUM($D35:ZS35)&gt;0,0,IF(ZS$25&gt;ZS33,ZS33,0))),0)&lt;0,0,(IF(SUM($D35:ZS35)&gt;0,0,IF(ZS$25&gt;ZS33,ZS33,0)))))</f>
        <v>0</v>
      </c>
      <c r="ZU35" s="115">
        <f>IF(SUM($D$28:ZT28)=0,0,IF(IF(ZU34&gt;0,ZU34-(IF(SUM($D35:ZT35)&gt;0,0,IF(ZT$25&gt;ZT33,ZT33,0))),0)&lt;0,0,(IF(SUM($D35:ZT35)&gt;0,0,IF(ZT$25&gt;ZT33,ZT33,0)))))</f>
        <v>0</v>
      </c>
      <c r="ZV35" s="115">
        <f>IF(SUM($D$28:ZU28)=0,0,IF(IF(ZV34&gt;0,ZV34-(IF(SUM($D35:ZU35)&gt;0,0,IF(ZU$25&gt;ZU33,ZU33,0))),0)&lt;0,0,(IF(SUM($D35:ZU35)&gt;0,0,IF(ZU$25&gt;ZU33,ZU33,0)))))</f>
        <v>0</v>
      </c>
      <c r="ZW35" s="115">
        <f>IF(SUM($D$28:ZV28)=0,0,IF(IF(ZW34&gt;0,ZW34-(IF(SUM($D35:ZV35)&gt;0,0,IF(ZV$25&gt;ZV33,ZV33,0))),0)&lt;0,0,(IF(SUM($D35:ZV35)&gt;0,0,IF(ZV$25&gt;ZV33,ZV33,0)))))</f>
        <v>0</v>
      </c>
      <c r="ZX35" s="115">
        <f>IF(SUM($D$28:ZW28)=0,0,IF(IF(ZX34&gt;0,ZX34-(IF(SUM($D35:ZW35)&gt;0,0,IF(ZW$25&gt;ZW33,ZW33,0))),0)&lt;0,0,(IF(SUM($D35:ZW35)&gt;0,0,IF(ZW$25&gt;ZW33,ZW33,0)))))</f>
        <v>0</v>
      </c>
      <c r="ZY35" s="115">
        <f>IF(SUM($D$28:ZX28)=0,0,IF(IF(ZY34&gt;0,ZY34-(IF(SUM($D35:ZX35)&gt;0,0,IF(ZX$25&gt;ZX33,ZX33,0))),0)&lt;0,0,(IF(SUM($D35:ZX35)&gt;0,0,IF(ZX$25&gt;ZX33,ZX33,0)))))</f>
        <v>0</v>
      </c>
      <c r="ZZ35" s="115">
        <f>IF(SUM($D$28:ZY28)=0,0,IF(IF(ZZ34&gt;0,ZZ34-(IF(SUM($D35:ZY35)&gt;0,0,IF(ZY$25&gt;ZY33,ZY33,0))),0)&lt;0,0,(IF(SUM($D35:ZY35)&gt;0,0,IF(ZY$25&gt;ZY33,ZY33,0)))))</f>
        <v>0</v>
      </c>
      <c r="AAA35" s="115">
        <f>IF(SUM($D$28:ZZ28)=0,0,IF(IF(AAA34&gt;0,AAA34-(IF(SUM($D35:ZZ35)&gt;0,0,IF(ZZ$25&gt;ZZ33,ZZ33,0))),0)&lt;0,0,(IF(SUM($D35:ZZ35)&gt;0,0,IF(ZZ$25&gt;ZZ33,ZZ33,0)))))</f>
        <v>0</v>
      </c>
      <c r="AAB35" s="115">
        <f>IF(SUM($D$28:AAA28)=0,0,IF(IF(AAB34&gt;0,AAB34-(IF(SUM($D35:AAA35)&gt;0,0,IF(AAA$25&gt;AAA33,AAA33,0))),0)&lt;0,0,(IF(SUM($D35:AAA35)&gt;0,0,IF(AAA$25&gt;AAA33,AAA33,0)))))</f>
        <v>0</v>
      </c>
      <c r="AAC35" s="115">
        <f>IF(SUM($D$28:AAB28)=0,0,IF(IF(AAC34&gt;0,AAC34-(IF(SUM($D35:AAB35)&gt;0,0,IF(AAB$25&gt;AAB33,AAB33,0))),0)&lt;0,0,(IF(SUM($D35:AAB35)&gt;0,0,IF(AAB$25&gt;AAB33,AAB33,0)))))</f>
        <v>0</v>
      </c>
      <c r="AAD35" s="115">
        <f>IF(SUM($D$28:AAC28)=0,0,IF(IF(AAD34&gt;0,AAD34-(IF(SUM($D35:AAC35)&gt;0,0,IF(AAC$25&gt;AAC33,AAC33,0))),0)&lt;0,0,(IF(SUM($D35:AAC35)&gt;0,0,IF(AAC$25&gt;AAC33,AAC33,0)))))</f>
        <v>0</v>
      </c>
      <c r="AAE35" s="115">
        <f>IF(SUM($D$28:AAD28)=0,0,IF(IF(AAE34&gt;0,AAE34-(IF(SUM($D35:AAD35)&gt;0,0,IF(AAD$25&gt;AAD33,AAD33,0))),0)&lt;0,0,(IF(SUM($D35:AAD35)&gt;0,0,IF(AAD$25&gt;AAD33,AAD33,0)))))</f>
        <v>0</v>
      </c>
      <c r="AAF35" s="115">
        <f>IF(SUM($D$28:AAE28)=0,0,IF(IF(AAF34&gt;0,AAF34-(IF(SUM($D35:AAE35)&gt;0,0,IF(AAE$25&gt;AAE33,AAE33,0))),0)&lt;0,0,(IF(SUM($D35:AAE35)&gt;0,0,IF(AAE$25&gt;AAE33,AAE33,0)))))</f>
        <v>0</v>
      </c>
      <c r="AAG35" s="115">
        <f>IF(SUM($D$28:AAF28)=0,0,IF(IF(AAG34&gt;0,AAG34-(IF(SUM($D35:AAF35)&gt;0,0,IF(AAF$25&gt;AAF33,AAF33,0))),0)&lt;0,0,(IF(SUM($D35:AAF35)&gt;0,0,IF(AAF$25&gt;AAF33,AAF33,0)))))</f>
        <v>0</v>
      </c>
      <c r="AAH35" s="115">
        <f>IF(SUM($D$28:AAG28)=0,0,IF(IF(AAH34&gt;0,AAH34-(IF(SUM($D35:AAG35)&gt;0,0,IF(AAG$25&gt;AAG33,AAG33,0))),0)&lt;0,0,(IF(SUM($D35:AAG35)&gt;0,0,IF(AAG$25&gt;AAG33,AAG33,0)))))</f>
        <v>0</v>
      </c>
      <c r="AAI35" s="115">
        <f>IF(SUM($D$28:AAH28)=0,0,IF(IF(AAI34&gt;0,AAI34-(IF(SUM($D35:AAH35)&gt;0,0,IF(AAH$25&gt;AAH33,AAH33,0))),0)&lt;0,0,(IF(SUM($D35:AAH35)&gt;0,0,IF(AAH$25&gt;AAH33,AAH33,0)))))</f>
        <v>0</v>
      </c>
      <c r="AAJ35" s="115">
        <f>IF(SUM($D$28:AAI28)=0,0,IF(IF(AAJ34&gt;0,AAJ34-(IF(SUM($D35:AAI35)&gt;0,0,IF(AAI$25&gt;AAI33,AAI33,0))),0)&lt;0,0,(IF(SUM($D35:AAI35)&gt;0,0,IF(AAI$25&gt;AAI33,AAI33,0)))))</f>
        <v>0</v>
      </c>
      <c r="AAK35" s="115">
        <f>IF(SUM($D$28:AAJ28)=0,0,IF(IF(AAK34&gt;0,AAK34-(IF(SUM($D35:AAJ35)&gt;0,0,IF(AAJ$25&gt;AAJ33,AAJ33,0))),0)&lt;0,0,(IF(SUM($D35:AAJ35)&gt;0,0,IF(AAJ$25&gt;AAJ33,AAJ33,0)))))</f>
        <v>0</v>
      </c>
      <c r="AAL35" s="115">
        <f>IF(SUM($D$28:AAK28)=0,0,IF(IF(AAL34&gt;0,AAL34-(IF(SUM($D35:AAK35)&gt;0,0,IF(AAK$25&gt;AAK33,AAK33,0))),0)&lt;0,0,(IF(SUM($D35:AAK35)&gt;0,0,IF(AAK$25&gt;AAK33,AAK33,0)))))</f>
        <v>0</v>
      </c>
      <c r="AAM35" s="115">
        <f>IF(SUM($D$28:AAL28)=0,0,IF(IF(AAM34&gt;0,AAM34-(IF(SUM($D35:AAL35)&gt;0,0,IF(AAL$25&gt;AAL33,AAL33,0))),0)&lt;0,0,(IF(SUM($D35:AAL35)&gt;0,0,IF(AAL$25&gt;AAL33,AAL33,0)))))</f>
        <v>0</v>
      </c>
      <c r="AAN35" s="115">
        <f>IF(SUM($D$28:AAM28)=0,0,IF(IF(AAN34&gt;0,AAN34-(IF(SUM($D35:AAM35)&gt;0,0,IF(AAM$25&gt;AAM33,AAM33,0))),0)&lt;0,0,(IF(SUM($D35:AAM35)&gt;0,0,IF(AAM$25&gt;AAM33,AAM33,0)))))</f>
        <v>0</v>
      </c>
      <c r="AAO35" s="115">
        <f>IF(SUM($D$28:AAN28)=0,0,IF(IF(AAO34&gt;0,AAO34-(IF(SUM($D35:AAN35)&gt;0,0,IF(AAN$25&gt;AAN33,AAN33,0))),0)&lt;0,0,(IF(SUM($D35:AAN35)&gt;0,0,IF(AAN$25&gt;AAN33,AAN33,0)))))</f>
        <v>0</v>
      </c>
      <c r="AAP35" s="115">
        <f>IF(SUM($D$28:AAO28)=0,0,IF(IF(AAP34&gt;0,AAP34-(IF(SUM($D35:AAO35)&gt;0,0,IF(AAO$25&gt;AAO33,AAO33,0))),0)&lt;0,0,(IF(SUM($D35:AAO35)&gt;0,0,IF(AAO$25&gt;AAO33,AAO33,0)))))</f>
        <v>0</v>
      </c>
      <c r="AAQ35" s="115">
        <f>IF(SUM($D$28:AAP28)=0,0,IF(IF(AAQ34&gt;0,AAQ34-(IF(SUM($D35:AAP35)&gt;0,0,IF(AAP$25&gt;AAP33,AAP33,0))),0)&lt;0,0,(IF(SUM($D35:AAP35)&gt;0,0,IF(AAP$25&gt;AAP33,AAP33,0)))))</f>
        <v>0</v>
      </c>
      <c r="AAR35" s="115">
        <f>IF(SUM($D$28:AAQ28)=0,0,IF(IF(AAR34&gt;0,AAR34-(IF(SUM($D35:AAQ35)&gt;0,0,IF(AAQ$25&gt;AAQ33,AAQ33,0))),0)&lt;0,0,(IF(SUM($D35:AAQ35)&gt;0,0,IF(AAQ$25&gt;AAQ33,AAQ33,0)))))</f>
        <v>0</v>
      </c>
      <c r="AAS35" s="115">
        <f>IF(SUM($D$28:AAR28)=0,0,IF(IF(AAS34&gt;0,AAS34-(IF(SUM($D35:AAR35)&gt;0,0,IF(AAR$25&gt;AAR33,AAR33,0))),0)&lt;0,0,(IF(SUM($D35:AAR35)&gt;0,0,IF(AAR$25&gt;AAR33,AAR33,0)))))</f>
        <v>0</v>
      </c>
      <c r="AAT35" s="115">
        <f>IF(SUM($D$28:AAS28)=0,0,IF(IF(AAT34&gt;0,AAT34-(IF(SUM($D35:AAS35)&gt;0,0,IF(AAS$25&gt;AAS33,AAS33,0))),0)&lt;0,0,(IF(SUM($D35:AAS35)&gt;0,0,IF(AAS$25&gt;AAS33,AAS33,0)))))</f>
        <v>0</v>
      </c>
      <c r="AAU35" s="115">
        <f>IF(SUM($D$28:AAT28)=0,0,IF(IF(AAU34&gt;0,AAU34-(IF(SUM($D35:AAT35)&gt;0,0,IF(AAT$25&gt;AAT33,AAT33,0))),0)&lt;0,0,(IF(SUM($D35:AAT35)&gt;0,0,IF(AAT$25&gt;AAT33,AAT33,0)))))</f>
        <v>0</v>
      </c>
      <c r="AAV35" s="115">
        <f>IF(SUM($D$28:AAU28)=0,0,IF(IF(AAV34&gt;0,AAV34-(IF(SUM($D35:AAU35)&gt;0,0,IF(AAU$25&gt;AAU33,AAU33,0))),0)&lt;0,0,(IF(SUM($D35:AAU35)&gt;0,0,IF(AAU$25&gt;AAU33,AAU33,0)))))</f>
        <v>0</v>
      </c>
      <c r="AAW35" s="115">
        <f>IF(SUM($D$28:AAV28)=0,0,IF(IF(AAW34&gt;0,AAW34-(IF(SUM($D35:AAV35)&gt;0,0,IF(AAV$25&gt;AAV33,AAV33,0))),0)&lt;0,0,(IF(SUM($D35:AAV35)&gt;0,0,IF(AAV$25&gt;AAV33,AAV33,0)))))</f>
        <v>0</v>
      </c>
      <c r="AAX35" s="115">
        <f>IF(SUM($D$28:AAW28)=0,0,IF(IF(AAX34&gt;0,AAX34-(IF(SUM($D35:AAW35)&gt;0,0,IF(AAW$25&gt;AAW33,AAW33,0))),0)&lt;0,0,(IF(SUM($D35:AAW35)&gt;0,0,IF(AAW$25&gt;AAW33,AAW33,0)))))</f>
        <v>0</v>
      </c>
      <c r="AAY35" s="115">
        <f>IF(SUM($D$28:AAX28)=0,0,IF(IF(AAY34&gt;0,AAY34-(IF(SUM($D35:AAX35)&gt;0,0,IF(AAX$25&gt;AAX33,AAX33,0))),0)&lt;0,0,(IF(SUM($D35:AAX35)&gt;0,0,IF(AAX$25&gt;AAX33,AAX33,0)))))</f>
        <v>0</v>
      </c>
      <c r="AAZ35" s="115">
        <f>IF(SUM($D$28:AAY28)=0,0,IF(IF(AAZ34&gt;0,AAZ34-(IF(SUM($D35:AAY35)&gt;0,0,IF(AAY$25&gt;AAY33,AAY33,0))),0)&lt;0,0,(IF(SUM($D35:AAY35)&gt;0,0,IF(AAY$25&gt;AAY33,AAY33,0)))))</f>
        <v>0</v>
      </c>
      <c r="ABA35" s="115">
        <f>IF(SUM($D$28:AAZ28)=0,0,IF(IF(ABA34&gt;0,ABA34-(IF(SUM($D35:AAZ35)&gt;0,0,IF(AAZ$25&gt;AAZ33,AAZ33,0))),0)&lt;0,0,(IF(SUM($D35:AAZ35)&gt;0,0,IF(AAZ$25&gt;AAZ33,AAZ33,0)))))</f>
        <v>0</v>
      </c>
      <c r="ABB35" s="115">
        <f>IF(SUM($D$28:ABA28)=0,0,IF(IF(ABB34&gt;0,ABB34-(IF(SUM($D35:ABA35)&gt;0,0,IF(ABA$25&gt;ABA33,ABA33,0))),0)&lt;0,0,(IF(SUM($D35:ABA35)&gt;0,0,IF(ABA$25&gt;ABA33,ABA33,0)))))</f>
        <v>0</v>
      </c>
      <c r="ABC35" s="115">
        <f>IF(SUM($D$28:ABB28)=0,0,IF(IF(ABC34&gt;0,ABC34-(IF(SUM($D35:ABB35)&gt;0,0,IF(ABB$25&gt;ABB33,ABB33,0))),0)&lt;0,0,(IF(SUM($D35:ABB35)&gt;0,0,IF(ABB$25&gt;ABB33,ABB33,0)))))</f>
        <v>0</v>
      </c>
      <c r="ABD35" s="115">
        <f>IF(SUM($D$28:ABC28)=0,0,IF(IF(ABD34&gt;0,ABD34-(IF(SUM($D35:ABC35)&gt;0,0,IF(ABC$25&gt;ABC33,ABC33,0))),0)&lt;0,0,(IF(SUM($D35:ABC35)&gt;0,0,IF(ABC$25&gt;ABC33,ABC33,0)))))</f>
        <v>0</v>
      </c>
      <c r="ABE35" s="115">
        <f>IF(SUM($D$28:ABD28)=0,0,IF(IF(ABE34&gt;0,ABE34-(IF(SUM($D35:ABD35)&gt;0,0,IF(ABD$25&gt;ABD33,ABD33,0))),0)&lt;0,0,(IF(SUM($D35:ABD35)&gt;0,0,IF(ABD$25&gt;ABD33,ABD33,0)))))</f>
        <v>0</v>
      </c>
      <c r="ABF35" s="115">
        <f>IF(SUM($D$28:ABE28)=0,0,IF(IF(ABF34&gt;0,ABF34-(IF(SUM($D35:ABE35)&gt;0,0,IF(ABE$25&gt;ABE33,ABE33,0))),0)&lt;0,0,(IF(SUM($D35:ABE35)&gt;0,0,IF(ABE$25&gt;ABE33,ABE33,0)))))</f>
        <v>0</v>
      </c>
      <c r="ABG35" s="115">
        <f>IF(SUM($D$28:ABF28)=0,0,IF(IF(ABG34&gt;0,ABG34-(IF(SUM($D35:ABF35)&gt;0,0,IF(ABF$25&gt;ABF33,ABF33,0))),0)&lt;0,0,(IF(SUM($D35:ABF35)&gt;0,0,IF(ABF$25&gt;ABF33,ABF33,0)))))</f>
        <v>0</v>
      </c>
      <c r="ABH35" s="115">
        <f>IF(SUM($D$28:ABG28)=0,0,IF(IF(ABH34&gt;0,ABH34-(IF(SUM($D35:ABG35)&gt;0,0,IF(ABG$25&gt;ABG33,ABG33,0))),0)&lt;0,0,(IF(SUM($D35:ABG35)&gt;0,0,IF(ABG$25&gt;ABG33,ABG33,0)))))</f>
        <v>0</v>
      </c>
      <c r="ABI35" s="115">
        <f>IF(SUM($D$28:ABH28)=0,0,IF(IF(ABI34&gt;0,ABI34-(IF(SUM($D35:ABH35)&gt;0,0,IF(ABH$25&gt;ABH33,ABH33,0))),0)&lt;0,0,(IF(SUM($D35:ABH35)&gt;0,0,IF(ABH$25&gt;ABH33,ABH33,0)))))</f>
        <v>0</v>
      </c>
      <c r="ABJ35" s="115">
        <f>IF(SUM($D$28:ABI28)=0,0,IF(IF(ABJ34&gt;0,ABJ34-(IF(SUM($D35:ABI35)&gt;0,0,IF(ABI$25&gt;ABI33,ABI33,0))),0)&lt;0,0,(IF(SUM($D35:ABI35)&gt;0,0,IF(ABI$25&gt;ABI33,ABI33,0)))))</f>
        <v>0</v>
      </c>
      <c r="ABK35" s="115">
        <f>IF(SUM($D$28:ABJ28)=0,0,IF(IF(ABK34&gt;0,ABK34-(IF(SUM($D35:ABJ35)&gt;0,0,IF(ABJ$25&gt;ABJ33,ABJ33,0))),0)&lt;0,0,(IF(SUM($D35:ABJ35)&gt;0,0,IF(ABJ$25&gt;ABJ33,ABJ33,0)))))</f>
        <v>0</v>
      </c>
      <c r="ABL35" s="115">
        <f>IF(SUM($D$28:ABK28)=0,0,IF(IF(ABL34&gt;0,ABL34-(IF(SUM($D35:ABK35)&gt;0,0,IF(ABK$25&gt;ABK33,ABK33,0))),0)&lt;0,0,(IF(SUM($D35:ABK35)&gt;0,0,IF(ABK$25&gt;ABK33,ABK33,0)))))</f>
        <v>0</v>
      </c>
      <c r="ABM35" s="115">
        <f>IF(SUM($D$28:ABL28)=0,0,IF(IF(ABM34&gt;0,ABM34-(IF(SUM($D35:ABL35)&gt;0,0,IF(ABL$25&gt;ABL33,ABL33,0))),0)&lt;0,0,(IF(SUM($D35:ABL35)&gt;0,0,IF(ABL$25&gt;ABL33,ABL33,0)))))</f>
        <v>0</v>
      </c>
      <c r="ABN35" s="115">
        <f>IF(SUM($D$28:ABM28)=0,0,IF(IF(ABN34&gt;0,ABN34-(IF(SUM($D35:ABM35)&gt;0,0,IF(ABM$25&gt;ABM33,ABM33,0))),0)&lt;0,0,(IF(SUM($D35:ABM35)&gt;0,0,IF(ABM$25&gt;ABM33,ABM33,0)))))</f>
        <v>0</v>
      </c>
      <c r="ABO35" s="115">
        <f>IF(SUM($D$28:ABN28)=0,0,IF(IF(ABO34&gt;0,ABO34-(IF(SUM($D35:ABN35)&gt;0,0,IF(ABN$25&gt;ABN33,ABN33,0))),0)&lt;0,0,(IF(SUM($D35:ABN35)&gt;0,0,IF(ABN$25&gt;ABN33,ABN33,0)))))</f>
        <v>0</v>
      </c>
      <c r="ABP35" s="115">
        <f>IF(SUM($D$28:ABO28)=0,0,IF(IF(ABP34&gt;0,ABP34-(IF(SUM($D35:ABO35)&gt;0,0,IF(ABO$25&gt;ABO33,ABO33,0))),0)&lt;0,0,(IF(SUM($D35:ABO35)&gt;0,0,IF(ABO$25&gt;ABO33,ABO33,0)))))</f>
        <v>0</v>
      </c>
      <c r="ABQ35" s="115">
        <f>IF(SUM($D$28:ABP28)=0,0,IF(IF(ABQ34&gt;0,ABQ34-(IF(SUM($D35:ABP35)&gt;0,0,IF(ABP$25&gt;ABP33,ABP33,0))),0)&lt;0,0,(IF(SUM($D35:ABP35)&gt;0,0,IF(ABP$25&gt;ABP33,ABP33,0)))))</f>
        <v>0</v>
      </c>
      <c r="ABR35" s="115">
        <f>IF(SUM($D$28:ABQ28)=0,0,IF(IF(ABR34&gt;0,ABR34-(IF(SUM($D35:ABQ35)&gt;0,0,IF(ABQ$25&gt;ABQ33,ABQ33,0))),0)&lt;0,0,(IF(SUM($D35:ABQ35)&gt;0,0,IF(ABQ$25&gt;ABQ33,ABQ33,0)))))</f>
        <v>0</v>
      </c>
      <c r="ABS35" s="115">
        <f>IF(SUM($D$28:ABR28)=0,0,IF(IF(ABS34&gt;0,ABS34-(IF(SUM($D35:ABR35)&gt;0,0,IF(ABR$25&gt;ABR33,ABR33,0))),0)&lt;0,0,(IF(SUM($D35:ABR35)&gt;0,0,IF(ABR$25&gt;ABR33,ABR33,0)))))</f>
        <v>0</v>
      </c>
      <c r="ABT35" s="115">
        <f>IF(SUM($D$28:ABS28)=0,0,IF(IF(ABT34&gt;0,ABT34-(IF(SUM($D35:ABS35)&gt;0,0,IF(ABS$25&gt;ABS33,ABS33,0))),0)&lt;0,0,(IF(SUM($D35:ABS35)&gt;0,0,IF(ABS$25&gt;ABS33,ABS33,0)))))</f>
        <v>0</v>
      </c>
      <c r="ABU35" s="115">
        <f>IF(SUM($D$28:ABT28)=0,0,IF(IF(ABU34&gt;0,ABU34-(IF(SUM($D35:ABT35)&gt;0,0,IF(ABT$25&gt;ABT33,ABT33,0))),0)&lt;0,0,(IF(SUM($D35:ABT35)&gt;0,0,IF(ABT$25&gt;ABT33,ABT33,0)))))</f>
        <v>0</v>
      </c>
      <c r="ABV35" s="115">
        <f>IF(SUM($D$28:ABU28)=0,0,IF(IF(ABV34&gt;0,ABV34-(IF(SUM($D35:ABU35)&gt;0,0,IF(ABU$25&gt;ABU33,ABU33,0))),0)&lt;0,0,(IF(SUM($D35:ABU35)&gt;0,0,IF(ABU$25&gt;ABU33,ABU33,0)))))</f>
        <v>0</v>
      </c>
      <c r="ABW35" s="115">
        <f>IF(SUM($D$28:ABV28)=0,0,IF(IF(ABW34&gt;0,ABW34-(IF(SUM($D35:ABV35)&gt;0,0,IF(ABV$25&gt;ABV33,ABV33,0))),0)&lt;0,0,(IF(SUM($D35:ABV35)&gt;0,0,IF(ABV$25&gt;ABV33,ABV33,0)))))</f>
        <v>0</v>
      </c>
      <c r="ABX35" s="115">
        <f>IF(SUM($D$28:ABW28)=0,0,IF(IF(ABX34&gt;0,ABX34-(IF(SUM($D35:ABW35)&gt;0,0,IF(ABW$25&gt;ABW33,ABW33,0))),0)&lt;0,0,(IF(SUM($D35:ABW35)&gt;0,0,IF(ABW$25&gt;ABW33,ABW33,0)))))</f>
        <v>0</v>
      </c>
      <c r="ABY35" s="115">
        <f>IF(SUM($D$28:ABX28)=0,0,IF(IF(ABY34&gt;0,ABY34-(IF(SUM($D35:ABX35)&gt;0,0,IF(ABX$25&gt;ABX33,ABX33,0))),0)&lt;0,0,(IF(SUM($D35:ABX35)&gt;0,0,IF(ABX$25&gt;ABX33,ABX33,0)))))</f>
        <v>0</v>
      </c>
      <c r="ABZ35" s="115">
        <f>IF(SUM($D$28:ABY28)=0,0,IF(IF(ABZ34&gt;0,ABZ34-(IF(SUM($D35:ABY35)&gt;0,0,IF(ABY$25&gt;ABY33,ABY33,0))),0)&lt;0,0,(IF(SUM($D35:ABY35)&gt;0,0,IF(ABY$25&gt;ABY33,ABY33,0)))))</f>
        <v>0</v>
      </c>
      <c r="ACA35" s="115">
        <f>IF(SUM($D$28:ABZ28)=0,0,IF(IF(ACA34&gt;0,ACA34-(IF(SUM($D35:ABZ35)&gt;0,0,IF(ABZ$25&gt;ABZ33,ABZ33,0))),0)&lt;0,0,(IF(SUM($D35:ABZ35)&gt;0,0,IF(ABZ$25&gt;ABZ33,ABZ33,0)))))</f>
        <v>0</v>
      </c>
      <c r="ACB35" s="115">
        <f>IF(SUM($D$28:ACA28)=0,0,IF(IF(ACB34&gt;0,ACB34-(IF(SUM($D35:ACA35)&gt;0,0,IF(ACA$25&gt;ACA33,ACA33,0))),0)&lt;0,0,(IF(SUM($D35:ACA35)&gt;0,0,IF(ACA$25&gt;ACA33,ACA33,0)))))</f>
        <v>0</v>
      </c>
      <c r="ACC35" s="115">
        <f>IF(SUM($D$28:ACB28)=0,0,IF(IF(ACC34&gt;0,ACC34-(IF(SUM($D35:ACB35)&gt;0,0,IF(ACB$25&gt;ACB33,ACB33,0))),0)&lt;0,0,(IF(SUM($D35:ACB35)&gt;0,0,IF(ACB$25&gt;ACB33,ACB33,0)))))</f>
        <v>0</v>
      </c>
      <c r="ACD35" s="115">
        <f>IF(SUM($D$28:ACC28)=0,0,IF(IF(ACD34&gt;0,ACD34-(IF(SUM($D35:ACC35)&gt;0,0,IF(ACC$25&gt;ACC33,ACC33,0))),0)&lt;0,0,(IF(SUM($D35:ACC35)&gt;0,0,IF(ACC$25&gt;ACC33,ACC33,0)))))</f>
        <v>0</v>
      </c>
      <c r="ACE35" s="115">
        <f>IF(SUM($D$28:ACD28)=0,0,IF(IF(ACE34&gt;0,ACE34-(IF(SUM($D35:ACD35)&gt;0,0,IF(ACD$25&gt;ACD33,ACD33,0))),0)&lt;0,0,(IF(SUM($D35:ACD35)&gt;0,0,IF(ACD$25&gt;ACD33,ACD33,0)))))</f>
        <v>0</v>
      </c>
      <c r="ACF35" s="115">
        <f>IF(SUM($D$28:ACE28)=0,0,IF(IF(ACF34&gt;0,ACF34-(IF(SUM($D35:ACE35)&gt;0,0,IF(ACE$25&gt;ACE33,ACE33,0))),0)&lt;0,0,(IF(SUM($D35:ACE35)&gt;0,0,IF(ACE$25&gt;ACE33,ACE33,0)))))</f>
        <v>0</v>
      </c>
      <c r="ACG35" s="115">
        <f>IF(SUM($D$28:ACF28)=0,0,IF(IF(ACG34&gt;0,ACG34-(IF(SUM($D35:ACF35)&gt;0,0,IF(ACF$25&gt;ACF33,ACF33,0))),0)&lt;0,0,(IF(SUM($D35:ACF35)&gt;0,0,IF(ACF$25&gt;ACF33,ACF33,0)))))</f>
        <v>0</v>
      </c>
      <c r="ACH35" s="115">
        <f>IF(SUM($D$28:ACG28)=0,0,IF(IF(ACH34&gt;0,ACH34-(IF(SUM($D35:ACG35)&gt;0,0,IF(ACG$25&gt;ACG33,ACG33,0))),0)&lt;0,0,(IF(SUM($D35:ACG35)&gt;0,0,IF(ACG$25&gt;ACG33,ACG33,0)))))</f>
        <v>0</v>
      </c>
      <c r="ACI35" s="115">
        <f>IF(SUM($D$28:ACH28)=0,0,IF(IF(ACI34&gt;0,ACI34-(IF(SUM($D35:ACH35)&gt;0,0,IF(ACH$25&gt;ACH33,ACH33,0))),0)&lt;0,0,(IF(SUM($D35:ACH35)&gt;0,0,IF(ACH$25&gt;ACH33,ACH33,0)))))</f>
        <v>0</v>
      </c>
      <c r="ACJ35" s="115">
        <f>IF(SUM($D$28:ACI28)=0,0,IF(IF(ACJ34&gt;0,ACJ34-(IF(SUM($D35:ACI35)&gt;0,0,IF(ACI$25&gt;ACI33,ACI33,0))),0)&lt;0,0,(IF(SUM($D35:ACI35)&gt;0,0,IF(ACI$25&gt;ACI33,ACI33,0)))))</f>
        <v>0</v>
      </c>
      <c r="ACK35" s="115">
        <f>IF(SUM($D$28:ACJ28)=0,0,IF(IF(ACK34&gt;0,ACK34-(IF(SUM($D35:ACJ35)&gt;0,0,IF(ACJ$25&gt;ACJ33,ACJ33,0))),0)&lt;0,0,(IF(SUM($D35:ACJ35)&gt;0,0,IF(ACJ$25&gt;ACJ33,ACJ33,0)))))</f>
        <v>0</v>
      </c>
      <c r="ACL35" s="115">
        <f>IF(SUM($D$28:ACK28)=0,0,IF(IF(ACL34&gt;0,ACL34-(IF(SUM($D35:ACK35)&gt;0,0,IF(ACK$25&gt;ACK33,ACK33,0))),0)&lt;0,0,(IF(SUM($D35:ACK35)&gt;0,0,IF(ACK$25&gt;ACK33,ACK33,0)))))</f>
        <v>0</v>
      </c>
      <c r="ACM35" s="115">
        <f>IF(SUM($D$28:ACL28)=0,0,IF(IF(ACM34&gt;0,ACM34-(IF(SUM($D35:ACL35)&gt;0,0,IF(ACL$25&gt;ACL33,ACL33,0))),0)&lt;0,0,(IF(SUM($D35:ACL35)&gt;0,0,IF(ACL$25&gt;ACL33,ACL33,0)))))</f>
        <v>0</v>
      </c>
      <c r="ACN35" s="115">
        <f>IF(SUM($D$28:ACM28)=0,0,IF(IF(ACN34&gt;0,ACN34-(IF(SUM($D35:ACM35)&gt;0,0,IF(ACM$25&gt;ACM33,ACM33,0))),0)&lt;0,0,(IF(SUM($D35:ACM35)&gt;0,0,IF(ACM$25&gt;ACM33,ACM33,0)))))</f>
        <v>0</v>
      </c>
      <c r="ACO35" s="115">
        <f>IF(SUM($D$28:ACN28)=0,0,IF(IF(ACO34&gt;0,ACO34-(IF(SUM($D35:ACN35)&gt;0,0,IF(ACN$25&gt;ACN33,ACN33,0))),0)&lt;0,0,(IF(SUM($D35:ACN35)&gt;0,0,IF(ACN$25&gt;ACN33,ACN33,0)))))</f>
        <v>0</v>
      </c>
      <c r="ACP35" s="115">
        <f>IF(SUM($D$28:ACO28)=0,0,IF(IF(ACP34&gt;0,ACP34-(IF(SUM($D35:ACO35)&gt;0,0,IF(ACO$25&gt;ACO33,ACO33,0))),0)&lt;0,0,(IF(SUM($D35:ACO35)&gt;0,0,IF(ACO$25&gt;ACO33,ACO33,0)))))</f>
        <v>0</v>
      </c>
      <c r="ACQ35" s="115">
        <f>IF(SUM($D$28:ACP28)=0,0,IF(IF(ACQ34&gt;0,ACQ34-(IF(SUM($D35:ACP35)&gt;0,0,IF(ACP$25&gt;ACP33,ACP33,0))),0)&lt;0,0,(IF(SUM($D35:ACP35)&gt;0,0,IF(ACP$25&gt;ACP33,ACP33,0)))))</f>
        <v>0</v>
      </c>
      <c r="ACR35" s="115">
        <f>IF(SUM($D$28:ACQ28)=0,0,IF(IF(ACR34&gt;0,ACR34-(IF(SUM($D35:ACQ35)&gt;0,0,IF(ACQ$25&gt;ACQ33,ACQ33,0))),0)&lt;0,0,(IF(SUM($D35:ACQ35)&gt;0,0,IF(ACQ$25&gt;ACQ33,ACQ33,0)))))</f>
        <v>0</v>
      </c>
      <c r="ACS35" s="115">
        <f>IF(SUM($D$28:ACR28)=0,0,IF(IF(ACS34&gt;0,ACS34-(IF(SUM($D35:ACR35)&gt;0,0,IF(ACR$25&gt;ACR33,ACR33,0))),0)&lt;0,0,(IF(SUM($D35:ACR35)&gt;0,0,IF(ACR$25&gt;ACR33,ACR33,0)))))</f>
        <v>0</v>
      </c>
      <c r="ACT35" s="115">
        <f>IF(SUM($D$28:ACS28)=0,0,IF(IF(ACT34&gt;0,ACT34-(IF(SUM($D35:ACS35)&gt;0,0,IF(ACS$25&gt;ACS33,ACS33,0))),0)&lt;0,0,(IF(SUM($D35:ACS35)&gt;0,0,IF(ACS$25&gt;ACS33,ACS33,0)))))</f>
        <v>0</v>
      </c>
      <c r="ACU35" s="115">
        <f>IF(SUM($D$28:ACT28)=0,0,IF(IF(ACU34&gt;0,ACU34-(IF(SUM($D35:ACT35)&gt;0,0,IF(ACT$25&gt;ACT33,ACT33,0))),0)&lt;0,0,(IF(SUM($D35:ACT35)&gt;0,0,IF(ACT$25&gt;ACT33,ACT33,0)))))</f>
        <v>0</v>
      </c>
      <c r="ACV35" s="115">
        <f>IF(SUM($D$28:ACU28)=0,0,IF(IF(ACV34&gt;0,ACV34-(IF(SUM($D35:ACU35)&gt;0,0,IF(ACU$25&gt;ACU33,ACU33,0))),0)&lt;0,0,(IF(SUM($D35:ACU35)&gt;0,0,IF(ACU$25&gt;ACU33,ACU33,0)))))</f>
        <v>0</v>
      </c>
      <c r="ACW35" s="115">
        <f>IF(SUM($D$28:ACV28)=0,0,IF(IF(ACW34&gt;0,ACW34-(IF(SUM($D35:ACV35)&gt;0,0,IF(ACV$25&gt;ACV33,ACV33,0))),0)&lt;0,0,(IF(SUM($D35:ACV35)&gt;0,0,IF(ACV$25&gt;ACV33,ACV33,0)))))</f>
        <v>0</v>
      </c>
      <c r="ACX35" s="115">
        <f>IF(SUM($D$28:ACW28)=0,0,IF(IF(ACX34&gt;0,ACX34-(IF(SUM($D35:ACW35)&gt;0,0,IF(ACW$25&gt;ACW33,ACW33,0))),0)&lt;0,0,(IF(SUM($D35:ACW35)&gt;0,0,IF(ACW$25&gt;ACW33,ACW33,0)))))</f>
        <v>0</v>
      </c>
      <c r="ACY35" s="115">
        <f>IF(SUM($D$28:ACX28)=0,0,IF(IF(ACY34&gt;0,ACY34-(IF(SUM($D35:ACX35)&gt;0,0,IF(ACX$25&gt;ACX33,ACX33,0))),0)&lt;0,0,(IF(SUM($D35:ACX35)&gt;0,0,IF(ACX$25&gt;ACX33,ACX33,0)))))</f>
        <v>0</v>
      </c>
      <c r="ACZ35" s="115">
        <f>IF(SUM($D$28:ACY28)=0,0,IF(IF(ACZ34&gt;0,ACZ34-(IF(SUM($D35:ACY35)&gt;0,0,IF(ACY$25&gt;ACY33,ACY33,0))),0)&lt;0,0,(IF(SUM($D35:ACY35)&gt;0,0,IF(ACY$25&gt;ACY33,ACY33,0)))))</f>
        <v>0</v>
      </c>
      <c r="ADA35" s="115">
        <f>IF(SUM($D$28:ACZ28)=0,0,IF(IF(ADA34&gt;0,ADA34-(IF(SUM($D35:ACZ35)&gt;0,0,IF(ACZ$25&gt;ACZ33,ACZ33,0))),0)&lt;0,0,(IF(SUM($D35:ACZ35)&gt;0,0,IF(ACZ$25&gt;ACZ33,ACZ33,0)))))</f>
        <v>0</v>
      </c>
      <c r="ADB35" s="115">
        <f>IF(SUM($D$28:ADA28)=0,0,IF(IF(ADB34&gt;0,ADB34-(IF(SUM($D35:ADA35)&gt;0,0,IF(ADA$25&gt;ADA33,ADA33,0))),0)&lt;0,0,(IF(SUM($D35:ADA35)&gt;0,0,IF(ADA$25&gt;ADA33,ADA33,0)))))</f>
        <v>0</v>
      </c>
      <c r="ADC35" s="115">
        <f>IF(SUM($D$28:ADB28)=0,0,IF(IF(ADC34&gt;0,ADC34-(IF(SUM($D35:ADB35)&gt;0,0,IF(ADB$25&gt;ADB33,ADB33,0))),0)&lt;0,0,(IF(SUM($D35:ADB35)&gt;0,0,IF(ADB$25&gt;ADB33,ADB33,0)))))</f>
        <v>0</v>
      </c>
      <c r="ADD35" s="115">
        <f>IF(SUM($D$28:ADC28)=0,0,IF(IF(ADD34&gt;0,ADD34-(IF(SUM($D35:ADC35)&gt;0,0,IF(ADC$25&gt;ADC33,ADC33,0))),0)&lt;0,0,(IF(SUM($D35:ADC35)&gt;0,0,IF(ADC$25&gt;ADC33,ADC33,0)))))</f>
        <v>0</v>
      </c>
      <c r="ADE35" s="115">
        <f>IF(SUM($D$28:ADD28)=0,0,IF(IF(ADE34&gt;0,ADE34-(IF(SUM($D35:ADD35)&gt;0,0,IF(ADD$25&gt;ADD33,ADD33,0))),0)&lt;0,0,(IF(SUM($D35:ADD35)&gt;0,0,IF(ADD$25&gt;ADD33,ADD33,0)))))</f>
        <v>0</v>
      </c>
      <c r="ADF35" s="115">
        <f>IF(SUM($D$28:ADE28)=0,0,IF(IF(ADF34&gt;0,ADF34-(IF(SUM($D35:ADE35)&gt;0,0,IF(ADE$25&gt;ADE33,ADE33,0))),0)&lt;0,0,(IF(SUM($D35:ADE35)&gt;0,0,IF(ADE$25&gt;ADE33,ADE33,0)))))</f>
        <v>0</v>
      </c>
      <c r="ADG35" s="115">
        <f>IF(SUM($D$28:ADF28)=0,0,IF(IF(ADG34&gt;0,ADG34-(IF(SUM($D35:ADF35)&gt;0,0,IF(ADF$25&gt;ADF33,ADF33,0))),0)&lt;0,0,(IF(SUM($D35:ADF35)&gt;0,0,IF(ADF$25&gt;ADF33,ADF33,0)))))</f>
        <v>0</v>
      </c>
      <c r="ADH35" s="115">
        <f>IF(SUM($D$28:ADG28)=0,0,IF(IF(ADH34&gt;0,ADH34-(IF(SUM($D35:ADG35)&gt;0,0,IF(ADG$25&gt;ADG33,ADG33,0))),0)&lt;0,0,(IF(SUM($D35:ADG35)&gt;0,0,IF(ADG$25&gt;ADG33,ADG33,0)))))</f>
        <v>0</v>
      </c>
      <c r="ADI35" s="115">
        <f>IF(SUM($D$28:ADH28)=0,0,IF(IF(ADI34&gt;0,ADI34-(IF(SUM($D35:ADH35)&gt;0,0,IF(ADH$25&gt;ADH33,ADH33,0))),0)&lt;0,0,(IF(SUM($D35:ADH35)&gt;0,0,IF(ADH$25&gt;ADH33,ADH33,0)))))</f>
        <v>0</v>
      </c>
      <c r="ADJ35" s="115">
        <f>IF(SUM($D$28:ADI28)=0,0,IF(IF(ADJ34&gt;0,ADJ34-(IF(SUM($D35:ADI35)&gt;0,0,IF(ADI$25&gt;ADI33,ADI33,0))),0)&lt;0,0,(IF(SUM($D35:ADI35)&gt;0,0,IF(ADI$25&gt;ADI33,ADI33,0)))))</f>
        <v>0</v>
      </c>
      <c r="ADK35" s="115">
        <f>IF(SUM($D$28:ADJ28)=0,0,IF(IF(ADK34&gt;0,ADK34-(IF(SUM($D35:ADJ35)&gt;0,0,IF(ADJ$25&gt;ADJ33,ADJ33,0))),0)&lt;0,0,(IF(SUM($D35:ADJ35)&gt;0,0,IF(ADJ$25&gt;ADJ33,ADJ33,0)))))</f>
        <v>0</v>
      </c>
      <c r="ADL35" s="115">
        <f>IF(SUM($D$28:ADK28)=0,0,IF(IF(ADL34&gt;0,ADL34-(IF(SUM($D35:ADK35)&gt;0,0,IF(ADK$25&gt;ADK33,ADK33,0))),0)&lt;0,0,(IF(SUM($D35:ADK35)&gt;0,0,IF(ADK$25&gt;ADK33,ADK33,0)))))</f>
        <v>0</v>
      </c>
      <c r="ADM35" s="115">
        <f>IF(SUM($D$28:ADL28)=0,0,IF(IF(ADM34&gt;0,ADM34-(IF(SUM($D35:ADL35)&gt;0,0,IF(ADL$25&gt;ADL33,ADL33,0))),0)&lt;0,0,(IF(SUM($D35:ADL35)&gt;0,0,IF(ADL$25&gt;ADL33,ADL33,0)))))</f>
        <v>0</v>
      </c>
      <c r="ADN35" s="115">
        <f>IF(SUM($D$28:ADM28)=0,0,IF(IF(ADN34&gt;0,ADN34-(IF(SUM($D35:ADM35)&gt;0,0,IF(ADM$25&gt;ADM33,ADM33,0))),0)&lt;0,0,(IF(SUM($D35:ADM35)&gt;0,0,IF(ADM$25&gt;ADM33,ADM33,0)))))</f>
        <v>0</v>
      </c>
      <c r="ADO35" s="115">
        <f>IF(SUM($D$28:ADN28)=0,0,IF(IF(ADO34&gt;0,ADO34-(IF(SUM($D35:ADN35)&gt;0,0,IF(ADN$25&gt;ADN33,ADN33,0))),0)&lt;0,0,(IF(SUM($D35:ADN35)&gt;0,0,IF(ADN$25&gt;ADN33,ADN33,0)))))</f>
        <v>0</v>
      </c>
      <c r="ADP35" s="115">
        <f>IF(SUM($D$28:ADO28)=0,0,IF(IF(ADP34&gt;0,ADP34-(IF(SUM($D35:ADO35)&gt;0,0,IF(ADO$25&gt;ADO33,ADO33,0))),0)&lt;0,0,(IF(SUM($D35:ADO35)&gt;0,0,IF(ADO$25&gt;ADO33,ADO33,0)))))</f>
        <v>0</v>
      </c>
      <c r="ADQ35" s="115">
        <f>IF(SUM($D$28:ADP28)=0,0,IF(IF(ADQ34&gt;0,ADQ34-(IF(SUM($D35:ADP35)&gt;0,0,IF(ADP$25&gt;ADP33,ADP33,0))),0)&lt;0,0,(IF(SUM($D35:ADP35)&gt;0,0,IF(ADP$25&gt;ADP33,ADP33,0)))))</f>
        <v>0</v>
      </c>
      <c r="ADR35" s="115">
        <f>IF(SUM($D$28:ADQ28)=0,0,IF(IF(ADR34&gt;0,ADR34-(IF(SUM($D35:ADQ35)&gt;0,0,IF(ADQ$25&gt;ADQ33,ADQ33,0))),0)&lt;0,0,(IF(SUM($D35:ADQ35)&gt;0,0,IF(ADQ$25&gt;ADQ33,ADQ33,0)))))</f>
        <v>0</v>
      </c>
      <c r="ADS35" s="115">
        <f>IF(SUM($D$28:ADR28)=0,0,IF(IF(ADS34&gt;0,ADS34-(IF(SUM($D35:ADR35)&gt;0,0,IF(ADR$25&gt;ADR33,ADR33,0))),0)&lt;0,0,(IF(SUM($D35:ADR35)&gt;0,0,IF(ADR$25&gt;ADR33,ADR33,0)))))</f>
        <v>0</v>
      </c>
      <c r="ADT35" s="115">
        <f>IF(SUM($D$28:ADS28)=0,0,IF(IF(ADT34&gt;0,ADT34-(IF(SUM($D35:ADS35)&gt;0,0,IF(ADS$25&gt;ADS33,ADS33,0))),0)&lt;0,0,(IF(SUM($D35:ADS35)&gt;0,0,IF(ADS$25&gt;ADS33,ADS33,0)))))</f>
        <v>0</v>
      </c>
      <c r="ADU35" s="115">
        <f>IF(SUM($D$28:ADT28)=0,0,IF(IF(ADU34&gt;0,ADU34-(IF(SUM($D35:ADT35)&gt;0,0,IF(ADT$25&gt;ADT33,ADT33,0))),0)&lt;0,0,(IF(SUM($D35:ADT35)&gt;0,0,IF(ADT$25&gt;ADT33,ADT33,0)))))</f>
        <v>0</v>
      </c>
      <c r="ADV35" s="115">
        <f>IF(SUM($D$28:ADU28)=0,0,IF(IF(ADV34&gt;0,ADV34-(IF(SUM($D35:ADU35)&gt;0,0,IF(ADU$25&gt;ADU33,ADU33,0))),0)&lt;0,0,(IF(SUM($D35:ADU35)&gt;0,0,IF(ADU$25&gt;ADU33,ADU33,0)))))</f>
        <v>0</v>
      </c>
      <c r="ADW35" s="115">
        <f>IF(SUM($D$28:ADV28)=0,0,IF(IF(ADW34&gt;0,ADW34-(IF(SUM($D35:ADV35)&gt;0,0,IF(ADV$25&gt;ADV33,ADV33,0))),0)&lt;0,0,(IF(SUM($D35:ADV35)&gt;0,0,IF(ADV$25&gt;ADV33,ADV33,0)))))</f>
        <v>0</v>
      </c>
      <c r="ADX35" s="115">
        <f>IF(SUM($D$28:ADW28)=0,0,IF(IF(ADX34&gt;0,ADX34-(IF(SUM($D35:ADW35)&gt;0,0,IF(ADW$25&gt;ADW33,ADW33,0))),0)&lt;0,0,(IF(SUM($D35:ADW35)&gt;0,0,IF(ADW$25&gt;ADW33,ADW33,0)))))</f>
        <v>0</v>
      </c>
      <c r="ADY35" s="115">
        <f>IF(SUM($D$28:ADX28)=0,0,IF(IF(ADY34&gt;0,ADY34-(IF(SUM($D35:ADX35)&gt;0,0,IF(ADX$25&gt;ADX33,ADX33,0))),0)&lt;0,0,(IF(SUM($D35:ADX35)&gt;0,0,IF(ADX$25&gt;ADX33,ADX33,0)))))</f>
        <v>0</v>
      </c>
      <c r="ADZ35" s="115">
        <f>IF(SUM($D$28:ADY28)=0,0,IF(IF(ADZ34&gt;0,ADZ34-(IF(SUM($D35:ADY35)&gt;0,0,IF(ADY$25&gt;ADY33,ADY33,0))),0)&lt;0,0,(IF(SUM($D35:ADY35)&gt;0,0,IF(ADY$25&gt;ADY33,ADY33,0)))))</f>
        <v>0</v>
      </c>
      <c r="AEA35" s="115">
        <f>IF(SUM($D$28:ADZ28)=0,0,IF(IF(AEA34&gt;0,AEA34-(IF(SUM($D35:ADZ35)&gt;0,0,IF(ADZ$25&gt;ADZ33,ADZ33,0))),0)&lt;0,0,(IF(SUM($D35:ADZ35)&gt;0,0,IF(ADZ$25&gt;ADZ33,ADZ33,0)))))</f>
        <v>0</v>
      </c>
      <c r="AEB35" s="115">
        <f>IF(SUM($D$28:AEA28)=0,0,IF(IF(AEB34&gt;0,AEB34-(IF(SUM($D35:AEA35)&gt;0,0,IF(AEA$25&gt;AEA33,AEA33,0))),0)&lt;0,0,(IF(SUM($D35:AEA35)&gt;0,0,IF(AEA$25&gt;AEA33,AEA33,0)))))</f>
        <v>0</v>
      </c>
      <c r="AEC35" s="115">
        <f>IF(SUM($D$28:AEB28)=0,0,IF(IF(AEC34&gt;0,AEC34-(IF(SUM($D35:AEB35)&gt;0,0,IF(AEB$25&gt;AEB33,AEB33,0))),0)&lt;0,0,(IF(SUM($D35:AEB35)&gt;0,0,IF(AEB$25&gt;AEB33,AEB33,0)))))</f>
        <v>0</v>
      </c>
      <c r="AED35" s="115">
        <f>IF(SUM($D$28:AEC28)=0,0,IF(IF(AED34&gt;0,AED34-(IF(SUM($D35:AEC35)&gt;0,0,IF(AEC$25&gt;AEC33,AEC33,0))),0)&lt;0,0,(IF(SUM($D35:AEC35)&gt;0,0,IF(AEC$25&gt;AEC33,AEC33,0)))))</f>
        <v>0</v>
      </c>
      <c r="AEE35" s="115">
        <f>IF(SUM($D$28:AED28)=0,0,IF(IF(AEE34&gt;0,AEE34-(IF(SUM($D35:AED35)&gt;0,0,IF(AED$25&gt;AED33,AED33,0))),0)&lt;0,0,(IF(SUM($D35:AED35)&gt;0,0,IF(AED$25&gt;AED33,AED33,0)))))</f>
        <v>0</v>
      </c>
      <c r="AEF35" s="115">
        <f>IF(SUM($D$28:AEE28)=0,0,IF(IF(AEF34&gt;0,AEF34-(IF(SUM($D35:AEE35)&gt;0,0,IF(AEE$25&gt;AEE33,AEE33,0))),0)&lt;0,0,(IF(SUM($D35:AEE35)&gt;0,0,IF(AEE$25&gt;AEE33,AEE33,0)))))</f>
        <v>0</v>
      </c>
      <c r="AEG35" s="115">
        <f>IF(SUM($D$28:AEF28)=0,0,IF(IF(AEG34&gt;0,AEG34-(IF(SUM($D35:AEF35)&gt;0,0,IF(AEF$25&gt;AEF33,AEF33,0))),0)&lt;0,0,(IF(SUM($D35:AEF35)&gt;0,0,IF(AEF$25&gt;AEF33,AEF33,0)))))</f>
        <v>0</v>
      </c>
      <c r="AEH35" s="115">
        <f>IF(SUM($D$28:AEG28)=0,0,IF(IF(AEH34&gt;0,AEH34-(IF(SUM($D35:AEG35)&gt;0,0,IF(AEG$25&gt;AEG33,AEG33,0))),0)&lt;0,0,(IF(SUM($D35:AEG35)&gt;0,0,IF(AEG$25&gt;AEG33,AEG33,0)))))</f>
        <v>0</v>
      </c>
      <c r="AEI35" s="115">
        <f>IF(SUM($D$28:AEH28)=0,0,IF(IF(AEI34&gt;0,AEI34-(IF(SUM($D35:AEH35)&gt;0,0,IF(AEH$25&gt;AEH33,AEH33,0))),0)&lt;0,0,(IF(SUM($D35:AEH35)&gt;0,0,IF(AEH$25&gt;AEH33,AEH33,0)))))</f>
        <v>0</v>
      </c>
      <c r="AEJ35" s="115">
        <f>IF(SUM($D$28:AEI28)=0,0,IF(IF(AEJ34&gt;0,AEJ34-(IF(SUM($D35:AEI35)&gt;0,0,IF(AEI$25&gt;AEI33,AEI33,0))),0)&lt;0,0,(IF(SUM($D35:AEI35)&gt;0,0,IF(AEI$25&gt;AEI33,AEI33,0)))))</f>
        <v>0</v>
      </c>
      <c r="AEK35" s="115">
        <f>IF(SUM($D$28:AEJ28)=0,0,IF(IF(AEK34&gt;0,AEK34-(IF(SUM($D35:AEJ35)&gt;0,0,IF(AEJ$25&gt;AEJ33,AEJ33,0))),0)&lt;0,0,(IF(SUM($D35:AEJ35)&gt;0,0,IF(AEJ$25&gt;AEJ33,AEJ33,0)))))</f>
        <v>0</v>
      </c>
      <c r="AEL35" s="115">
        <f>IF(SUM($D$28:AEK28)=0,0,IF(IF(AEL34&gt;0,AEL34-(IF(SUM($D35:AEK35)&gt;0,0,IF(AEK$25&gt;AEK33,AEK33,0))),0)&lt;0,0,(IF(SUM($D35:AEK35)&gt;0,0,IF(AEK$25&gt;AEK33,AEK33,0)))))</f>
        <v>0</v>
      </c>
      <c r="AEM35" s="115">
        <f>IF(SUM($D$28:AEL28)=0,0,IF(IF(AEM34&gt;0,AEM34-(IF(SUM($D35:AEL35)&gt;0,0,IF(AEL$25&gt;AEL33,AEL33,0))),0)&lt;0,0,(IF(SUM($D35:AEL35)&gt;0,0,IF(AEL$25&gt;AEL33,AEL33,0)))))</f>
        <v>0</v>
      </c>
      <c r="AEN35" s="115">
        <f>IF(SUM($D$28:AEM28)=0,0,IF(IF(AEN34&gt;0,AEN34-(IF(SUM($D35:AEM35)&gt;0,0,IF(AEM$25&gt;AEM33,AEM33,0))),0)&lt;0,0,(IF(SUM($D35:AEM35)&gt;0,0,IF(AEM$25&gt;AEM33,AEM33,0)))))</f>
        <v>0</v>
      </c>
      <c r="AEO35" s="115">
        <f>IF(SUM($D$28:AEN28)=0,0,IF(IF(AEO34&gt;0,AEO34-(IF(SUM($D35:AEN35)&gt;0,0,IF(AEN$25&gt;AEN33,AEN33,0))),0)&lt;0,0,(IF(SUM($D35:AEN35)&gt;0,0,IF(AEN$25&gt;AEN33,AEN33,0)))))</f>
        <v>0</v>
      </c>
      <c r="AEP35" s="115">
        <f>IF(SUM($D$28:AEO28)=0,0,IF(IF(AEP34&gt;0,AEP34-(IF(SUM($D35:AEO35)&gt;0,0,IF(AEO$25&gt;AEO33,AEO33,0))),0)&lt;0,0,(IF(SUM($D35:AEO35)&gt;0,0,IF(AEO$25&gt;AEO33,AEO33,0)))))</f>
        <v>0</v>
      </c>
      <c r="AEQ35" s="115">
        <f>IF(SUM($D$28:AEP28)=0,0,IF(IF(AEQ34&gt;0,AEQ34-(IF(SUM($D35:AEP35)&gt;0,0,IF(AEP$25&gt;AEP33,AEP33,0))),0)&lt;0,0,(IF(SUM($D35:AEP35)&gt;0,0,IF(AEP$25&gt;AEP33,AEP33,0)))))</f>
        <v>0</v>
      </c>
      <c r="AER35" s="115">
        <f>IF(SUM($D$28:AEQ28)=0,0,IF(IF(AER34&gt;0,AER34-(IF(SUM($D35:AEQ35)&gt;0,0,IF(AEQ$25&gt;AEQ33,AEQ33,0))),0)&lt;0,0,(IF(SUM($D35:AEQ35)&gt;0,0,IF(AEQ$25&gt;AEQ33,AEQ33,0)))))</f>
        <v>0</v>
      </c>
      <c r="AES35" s="115">
        <f>IF(SUM($D$28:AER28)=0,0,IF(IF(AES34&gt;0,AES34-(IF(SUM($D35:AER35)&gt;0,0,IF(AER$25&gt;AER33,AER33,0))),0)&lt;0,0,(IF(SUM($D35:AER35)&gt;0,0,IF(AER$25&gt;AER33,AER33,0)))))</f>
        <v>0</v>
      </c>
      <c r="AET35" s="115">
        <f>IF(SUM($D$28:AES28)=0,0,IF(IF(AET34&gt;0,AET34-(IF(SUM($D35:AES35)&gt;0,0,IF(AES$25&gt;AES33,AES33,0))),0)&lt;0,0,(IF(SUM($D35:AES35)&gt;0,0,IF(AES$25&gt;AES33,AES33,0)))))</f>
        <v>0</v>
      </c>
      <c r="AEU35" s="115">
        <f>IF(SUM($D$28:AET28)=0,0,IF(IF(AEU34&gt;0,AEU34-(IF(SUM($D35:AET35)&gt;0,0,IF(AET$25&gt;AET33,AET33,0))),0)&lt;0,0,(IF(SUM($D35:AET35)&gt;0,0,IF(AET$25&gt;AET33,AET33,0)))))</f>
        <v>0</v>
      </c>
      <c r="AEV35" s="115">
        <f>IF(SUM($D$28:AEU28)=0,0,IF(IF(AEV34&gt;0,AEV34-(IF(SUM($D35:AEU35)&gt;0,0,IF(AEU$25&gt;AEU33,AEU33,0))),0)&lt;0,0,(IF(SUM($D35:AEU35)&gt;0,0,IF(AEU$25&gt;AEU33,AEU33,0)))))</f>
        <v>0</v>
      </c>
      <c r="AEW35" s="115">
        <f>IF(SUM($D$28:AEV28)=0,0,IF(IF(AEW34&gt;0,AEW34-(IF(SUM($D35:AEV35)&gt;0,0,IF(AEV$25&gt;AEV33,AEV33,0))),0)&lt;0,0,(IF(SUM($D35:AEV35)&gt;0,0,IF(AEV$25&gt;AEV33,AEV33,0)))))</f>
        <v>0</v>
      </c>
      <c r="AEX35" s="115">
        <f>IF(SUM($D$28:AEW28)=0,0,IF(IF(AEX34&gt;0,AEX34-(IF(SUM($D35:AEW35)&gt;0,0,IF(AEW$25&gt;AEW33,AEW33,0))),0)&lt;0,0,(IF(SUM($D35:AEW35)&gt;0,0,IF(AEW$25&gt;AEW33,AEW33,0)))))</f>
        <v>0</v>
      </c>
      <c r="AEY35" s="115">
        <f>IF(SUM($D$28:AEX28)=0,0,IF(IF(AEY34&gt;0,AEY34-(IF(SUM($D35:AEX35)&gt;0,0,IF(AEX$25&gt;AEX33,AEX33,0))),0)&lt;0,0,(IF(SUM($D35:AEX35)&gt;0,0,IF(AEX$25&gt;AEX33,AEX33,0)))))</f>
        <v>0</v>
      </c>
      <c r="AEZ35" s="115">
        <f>IF(SUM($D$28:AEY28)=0,0,IF(IF(AEZ34&gt;0,AEZ34-(IF(SUM($D35:AEY35)&gt;0,0,IF(AEY$25&gt;AEY33,AEY33,0))),0)&lt;0,0,(IF(SUM($D35:AEY35)&gt;0,0,IF(AEY$25&gt;AEY33,AEY33,0)))))</f>
        <v>0</v>
      </c>
      <c r="AFA35" s="115">
        <f>IF(SUM($D$28:AEZ28)=0,0,IF(IF(AFA34&gt;0,AFA34-(IF(SUM($D35:AEZ35)&gt;0,0,IF(AEZ$25&gt;AEZ33,AEZ33,0))),0)&lt;0,0,(IF(SUM($D35:AEZ35)&gt;0,0,IF(AEZ$25&gt;AEZ33,AEZ33,0)))))</f>
        <v>0</v>
      </c>
      <c r="AFB35" s="115">
        <f>IF(SUM($D$28:AFA28)=0,0,IF(IF(AFB34&gt;0,AFB34-(IF(SUM($D35:AFA35)&gt;0,0,IF(AFA$25&gt;AFA33,AFA33,0))),0)&lt;0,0,(IF(SUM($D35:AFA35)&gt;0,0,IF(AFA$25&gt;AFA33,AFA33,0)))))</f>
        <v>0</v>
      </c>
      <c r="AFC35" s="115">
        <f>IF(SUM($D$28:AFB28)=0,0,IF(IF(AFC34&gt;0,AFC34-(IF(SUM($D35:AFB35)&gt;0,0,IF(AFB$25&gt;AFB33,AFB33,0))),0)&lt;0,0,(IF(SUM($D35:AFB35)&gt;0,0,IF(AFB$25&gt;AFB33,AFB33,0)))))</f>
        <v>0</v>
      </c>
      <c r="AFD35" s="115">
        <f>IF(SUM($D$28:AFC28)=0,0,IF(IF(AFD34&gt;0,AFD34-(IF(SUM($D35:AFC35)&gt;0,0,IF(AFC$25&gt;AFC33,AFC33,0))),0)&lt;0,0,(IF(SUM($D35:AFC35)&gt;0,0,IF(AFC$25&gt;AFC33,AFC33,0)))))</f>
        <v>0</v>
      </c>
      <c r="AFE35" s="115">
        <f>IF(SUM($D$28:AFD28)=0,0,IF(IF(AFE34&gt;0,AFE34-(IF(SUM($D35:AFD35)&gt;0,0,IF(AFD$25&gt;AFD33,AFD33,0))),0)&lt;0,0,(IF(SUM($D35:AFD35)&gt;0,0,IF(AFD$25&gt;AFD33,AFD33,0)))))</f>
        <v>0</v>
      </c>
      <c r="AFF35" s="115">
        <f>IF(SUM($D$28:AFE28)=0,0,IF(IF(AFF34&gt;0,AFF34-(IF(SUM($D35:AFE35)&gt;0,0,IF(AFE$25&gt;AFE33,AFE33,0))),0)&lt;0,0,(IF(SUM($D35:AFE35)&gt;0,0,IF(AFE$25&gt;AFE33,AFE33,0)))))</f>
        <v>0</v>
      </c>
      <c r="AFG35" s="115">
        <f>IF(SUM($D$28:AFF28)=0,0,IF(IF(AFG34&gt;0,AFG34-(IF(SUM($D35:AFF35)&gt;0,0,IF(AFF$25&gt;AFF33,AFF33,0))),0)&lt;0,0,(IF(SUM($D35:AFF35)&gt;0,0,IF(AFF$25&gt;AFF33,AFF33,0)))))</f>
        <v>0</v>
      </c>
      <c r="AFH35" s="115">
        <f>IF(SUM($D$28:AFG28)=0,0,IF(IF(AFH34&gt;0,AFH34-(IF(SUM($D35:AFG35)&gt;0,0,IF(AFG$25&gt;AFG33,AFG33,0))),0)&lt;0,0,(IF(SUM($D35:AFG35)&gt;0,0,IF(AFG$25&gt;AFG33,AFG33,0)))))</f>
        <v>0</v>
      </c>
      <c r="AFI35" s="115">
        <f>IF(SUM($D$28:AFH28)=0,0,IF(IF(AFI34&gt;0,AFI34-(IF(SUM($D35:AFH35)&gt;0,0,IF(AFH$25&gt;AFH33,AFH33,0))),0)&lt;0,0,(IF(SUM($D35:AFH35)&gt;0,0,IF(AFH$25&gt;AFH33,AFH33,0)))))</f>
        <v>0</v>
      </c>
      <c r="AFJ35" s="115">
        <f>IF(SUM($D$28:AFI28)=0,0,IF(IF(AFJ34&gt;0,AFJ34-(IF(SUM($D35:AFI35)&gt;0,0,IF(AFI$25&gt;AFI33,AFI33,0))),0)&lt;0,0,(IF(SUM($D35:AFI35)&gt;0,0,IF(AFI$25&gt;AFI33,AFI33,0)))))</f>
        <v>0</v>
      </c>
      <c r="AFK35" s="115">
        <f>IF(SUM($D$28:AFJ28)=0,0,IF(IF(AFK34&gt;0,AFK34-(IF(SUM($D35:AFJ35)&gt;0,0,IF(AFJ$25&gt;AFJ33,AFJ33,0))),0)&lt;0,0,(IF(SUM($D35:AFJ35)&gt;0,0,IF(AFJ$25&gt;AFJ33,AFJ33,0)))))</f>
        <v>0</v>
      </c>
      <c r="AFL35" s="115">
        <f>IF(SUM($D$28:AFK28)=0,0,IF(IF(AFL34&gt;0,AFL34-(IF(SUM($D35:AFK35)&gt;0,0,IF(AFK$25&gt;AFK33,AFK33,0))),0)&lt;0,0,(IF(SUM($D35:AFK35)&gt;0,0,IF(AFK$25&gt;AFK33,AFK33,0)))))</f>
        <v>0</v>
      </c>
      <c r="AFM35" s="115">
        <f>IF(SUM($D$28:AFL28)=0,0,IF(IF(AFM34&gt;0,AFM34-(IF(SUM($D35:AFL35)&gt;0,0,IF(AFL$25&gt;AFL33,AFL33,0))),0)&lt;0,0,(IF(SUM($D35:AFL35)&gt;0,0,IF(AFL$25&gt;AFL33,AFL33,0)))))</f>
        <v>0</v>
      </c>
      <c r="AFN35" s="115">
        <f>IF(SUM($D$28:AFM28)=0,0,IF(IF(AFN34&gt;0,AFN34-(IF(SUM($D35:AFM35)&gt;0,0,IF(AFM$25&gt;AFM33,AFM33,0))),0)&lt;0,0,(IF(SUM($D35:AFM35)&gt;0,0,IF(AFM$25&gt;AFM33,AFM33,0)))))</f>
        <v>0</v>
      </c>
      <c r="AFO35" s="115">
        <f>IF(SUM($D$28:AFN28)=0,0,IF(IF(AFO34&gt;0,AFO34-(IF(SUM($D35:AFN35)&gt;0,0,IF(AFN$25&gt;AFN33,AFN33,0))),0)&lt;0,0,(IF(SUM($D35:AFN35)&gt;0,0,IF(AFN$25&gt;AFN33,AFN33,0)))))</f>
        <v>0</v>
      </c>
      <c r="AFP35" s="115">
        <f>IF(SUM($D$28:AFO28)=0,0,IF(IF(AFP34&gt;0,AFP34-(IF(SUM($D35:AFO35)&gt;0,0,IF(AFO$25&gt;AFO33,AFO33,0))),0)&lt;0,0,(IF(SUM($D35:AFO35)&gt;0,0,IF(AFO$25&gt;AFO33,AFO33,0)))))</f>
        <v>0</v>
      </c>
      <c r="AFQ35" s="115">
        <f>IF(SUM($D$28:AFP28)=0,0,IF(IF(AFQ34&gt;0,AFQ34-(IF(SUM($D35:AFP35)&gt;0,0,IF(AFP$25&gt;AFP33,AFP33,0))),0)&lt;0,0,(IF(SUM($D35:AFP35)&gt;0,0,IF(AFP$25&gt;AFP33,AFP33,0)))))</f>
        <v>0</v>
      </c>
      <c r="AFR35" s="115">
        <f>IF(SUM($D$28:AFQ28)=0,0,IF(IF(AFR34&gt;0,AFR34-(IF(SUM($D35:AFQ35)&gt;0,0,IF(AFQ$25&gt;AFQ33,AFQ33,0))),0)&lt;0,0,(IF(SUM($D35:AFQ35)&gt;0,0,IF(AFQ$25&gt;AFQ33,AFQ33,0)))))</f>
        <v>0</v>
      </c>
      <c r="AFS35" s="115">
        <f>IF(SUM($D$28:AFR28)=0,0,IF(IF(AFS34&gt;0,AFS34-(IF(SUM($D35:AFR35)&gt;0,0,IF(AFR$25&gt;AFR33,AFR33,0))),0)&lt;0,0,(IF(SUM($D35:AFR35)&gt;0,0,IF(AFR$25&gt;AFR33,AFR33,0)))))</f>
        <v>0</v>
      </c>
      <c r="AFT35" s="115">
        <f>IF(SUM($D$28:AFS28)=0,0,IF(IF(AFT34&gt;0,AFT34-(IF(SUM($D35:AFS35)&gt;0,0,IF(AFS$25&gt;AFS33,AFS33,0))),0)&lt;0,0,(IF(SUM($D35:AFS35)&gt;0,0,IF(AFS$25&gt;AFS33,AFS33,0)))))</f>
        <v>0</v>
      </c>
      <c r="AFU35" s="115">
        <f>IF(SUM($D$28:AFT28)=0,0,IF(IF(AFU34&gt;0,AFU34-(IF(SUM($D35:AFT35)&gt;0,0,IF(AFT$25&gt;AFT33,AFT33,0))),0)&lt;0,0,(IF(SUM($D35:AFT35)&gt;0,0,IF(AFT$25&gt;AFT33,AFT33,0)))))</f>
        <v>0</v>
      </c>
      <c r="AFV35" s="115">
        <f>IF(SUM($D$28:AFU28)=0,0,IF(IF(AFV34&gt;0,AFV34-(IF(SUM($D35:AFU35)&gt;0,0,IF(AFU$25&gt;AFU33,AFU33,0))),0)&lt;0,0,(IF(SUM($D35:AFU35)&gt;0,0,IF(AFU$25&gt;AFU33,AFU33,0)))))</f>
        <v>0</v>
      </c>
      <c r="AFW35" s="115">
        <f>IF(SUM($D$28:AFV28)=0,0,IF(IF(AFW34&gt;0,AFW34-(IF(SUM($D35:AFV35)&gt;0,0,IF(AFV$25&gt;AFV33,AFV33,0))),0)&lt;0,0,(IF(SUM($D35:AFV35)&gt;0,0,IF(AFV$25&gt;AFV33,AFV33,0)))))</f>
        <v>0</v>
      </c>
      <c r="AFX35" s="115">
        <f>IF(SUM($D$28:AFW28)=0,0,IF(IF(AFX34&gt;0,AFX34-(IF(SUM($D35:AFW35)&gt;0,0,IF(AFW$25&gt;AFW33,AFW33,0))),0)&lt;0,0,(IF(SUM($D35:AFW35)&gt;0,0,IF(AFW$25&gt;AFW33,AFW33,0)))))</f>
        <v>0</v>
      </c>
      <c r="AFY35" s="115">
        <f>IF(SUM($D$28:AFX28)=0,0,IF(IF(AFY34&gt;0,AFY34-(IF(SUM($D35:AFX35)&gt;0,0,IF(AFX$25&gt;AFX33,AFX33,0))),0)&lt;0,0,(IF(SUM($D35:AFX35)&gt;0,0,IF(AFX$25&gt;AFX33,AFX33,0)))))</f>
        <v>0</v>
      </c>
      <c r="AFZ35" s="115">
        <f>IF(SUM($D$28:AFY28)=0,0,IF(IF(AFZ34&gt;0,AFZ34-(IF(SUM($D35:AFY35)&gt;0,0,IF(AFY$25&gt;AFY33,AFY33,0))),0)&lt;0,0,(IF(SUM($D35:AFY35)&gt;0,0,IF(AFY$25&gt;AFY33,AFY33,0)))))</f>
        <v>0</v>
      </c>
      <c r="AGA35" s="115">
        <f>IF(SUM($D$28:AFZ28)=0,0,IF(IF(AGA34&gt;0,AGA34-(IF(SUM($D35:AFZ35)&gt;0,0,IF(AFZ$25&gt;AFZ33,AFZ33,0))),0)&lt;0,0,(IF(SUM($D35:AFZ35)&gt;0,0,IF(AFZ$25&gt;AFZ33,AFZ33,0)))))</f>
        <v>0</v>
      </c>
      <c r="AGB35" s="115">
        <f>IF(SUM($D$28:AGA28)=0,0,IF(IF(AGB34&gt;0,AGB34-(IF(SUM($D35:AGA35)&gt;0,0,IF(AGA$25&gt;AGA33,AGA33,0))),0)&lt;0,0,(IF(SUM($D35:AGA35)&gt;0,0,IF(AGA$25&gt;AGA33,AGA33,0)))))</f>
        <v>0</v>
      </c>
      <c r="AGC35" s="115">
        <f>IF(SUM($D$28:AGB28)=0,0,IF(IF(AGC34&gt;0,AGC34-(IF(SUM($D35:AGB35)&gt;0,0,IF(AGB$25&gt;AGB33,AGB33,0))),0)&lt;0,0,(IF(SUM($D35:AGB35)&gt;0,0,IF(AGB$25&gt;AGB33,AGB33,0)))))</f>
        <v>0</v>
      </c>
      <c r="AGD35" s="115">
        <f>IF(SUM($D$28:AGC28)=0,0,IF(IF(AGD34&gt;0,AGD34-(IF(SUM($D35:AGC35)&gt;0,0,IF(AGC$25&gt;AGC33,AGC33,0))),0)&lt;0,0,(IF(SUM($D35:AGC35)&gt;0,0,IF(AGC$25&gt;AGC33,AGC33,0)))))</f>
        <v>0</v>
      </c>
      <c r="AGE35" s="115">
        <f>IF(SUM($D$28:AGD28)=0,0,IF(IF(AGE34&gt;0,AGE34-(IF(SUM($D35:AGD35)&gt;0,0,IF(AGD$25&gt;AGD33,AGD33,0))),0)&lt;0,0,(IF(SUM($D35:AGD35)&gt;0,0,IF(AGD$25&gt;AGD33,AGD33,0)))))</f>
        <v>0</v>
      </c>
      <c r="AGF35" s="115">
        <f>IF(SUM($D$28:AGE28)=0,0,IF(IF(AGF34&gt;0,AGF34-(IF(SUM($D35:AGE35)&gt;0,0,IF(AGE$25&gt;AGE33,AGE33,0))),0)&lt;0,0,(IF(SUM($D35:AGE35)&gt;0,0,IF(AGE$25&gt;AGE33,AGE33,0)))))</f>
        <v>0</v>
      </c>
      <c r="AGG35" s="115">
        <f>IF(SUM($D$28:AGF28)=0,0,IF(IF(AGG34&gt;0,AGG34-(IF(SUM($D35:AGF35)&gt;0,0,IF(AGF$25&gt;AGF33,AGF33,0))),0)&lt;0,0,(IF(SUM($D35:AGF35)&gt;0,0,IF(AGF$25&gt;AGF33,AGF33,0)))))</f>
        <v>0</v>
      </c>
      <c r="AGH35" s="115">
        <f>IF(SUM($D$28:AGG28)=0,0,IF(IF(AGH34&gt;0,AGH34-(IF(SUM($D35:AGG35)&gt;0,0,IF(AGG$25&gt;AGG33,AGG33,0))),0)&lt;0,0,(IF(SUM($D35:AGG35)&gt;0,0,IF(AGG$25&gt;AGG33,AGG33,0)))))</f>
        <v>0</v>
      </c>
      <c r="AGI35" s="115">
        <f>IF(SUM($D$28:AGH28)=0,0,IF(IF(AGI34&gt;0,AGI34-(IF(SUM($D35:AGH35)&gt;0,0,IF(AGH$25&gt;AGH33,AGH33,0))),0)&lt;0,0,(IF(SUM($D35:AGH35)&gt;0,0,IF(AGH$25&gt;AGH33,AGH33,0)))))</f>
        <v>0</v>
      </c>
      <c r="AGJ35" s="115">
        <f>IF(SUM($D$28:AGI28)=0,0,IF(IF(AGJ34&gt;0,AGJ34-(IF(SUM($D35:AGI35)&gt;0,0,IF(AGI$25&gt;AGI33,AGI33,0))),0)&lt;0,0,(IF(SUM($D35:AGI35)&gt;0,0,IF(AGI$25&gt;AGI33,AGI33,0)))))</f>
        <v>0</v>
      </c>
      <c r="AGK35" s="115">
        <f>IF(SUM($D$28:AGJ28)=0,0,IF(IF(AGK34&gt;0,AGK34-(IF(SUM($D35:AGJ35)&gt;0,0,IF(AGJ$25&gt;AGJ33,AGJ33,0))),0)&lt;0,0,(IF(SUM($D35:AGJ35)&gt;0,0,IF(AGJ$25&gt;AGJ33,AGJ33,0)))))</f>
        <v>0</v>
      </c>
      <c r="AGL35" s="115">
        <f>IF(SUM($D$28:AGK28)=0,0,IF(IF(AGL34&gt;0,AGL34-(IF(SUM($D35:AGK35)&gt;0,0,IF(AGK$25&gt;AGK33,AGK33,0))),0)&lt;0,0,(IF(SUM($D35:AGK35)&gt;0,0,IF(AGK$25&gt;AGK33,AGK33,0)))))</f>
        <v>0</v>
      </c>
      <c r="AGM35" s="115">
        <f>IF(SUM($D$28:AGL28)=0,0,IF(IF(AGM34&gt;0,AGM34-(IF(SUM($D35:AGL35)&gt;0,0,IF(AGL$25&gt;AGL33,AGL33,0))),0)&lt;0,0,(IF(SUM($D35:AGL35)&gt;0,0,IF(AGL$25&gt;AGL33,AGL33,0)))))</f>
        <v>0</v>
      </c>
      <c r="AGN35" s="115">
        <f>IF(SUM($D$28:AGM28)=0,0,IF(IF(AGN34&gt;0,AGN34-(IF(SUM($D35:AGM35)&gt;0,0,IF(AGM$25&gt;AGM33,AGM33,0))),0)&lt;0,0,(IF(SUM($D35:AGM35)&gt;0,0,IF(AGM$25&gt;AGM33,AGM33,0)))))</f>
        <v>0</v>
      </c>
      <c r="AGO35" s="115">
        <f>IF(SUM($D$28:AGN28)=0,0,IF(IF(AGO34&gt;0,AGO34-(IF(SUM($D35:AGN35)&gt;0,0,IF(AGN$25&gt;AGN33,AGN33,0))),0)&lt;0,0,(IF(SUM($D35:AGN35)&gt;0,0,IF(AGN$25&gt;AGN33,AGN33,0)))))</f>
        <v>0</v>
      </c>
      <c r="AGP35" s="115">
        <f>IF(SUM($D$28:AGO28)=0,0,IF(IF(AGP34&gt;0,AGP34-(IF(SUM($D35:AGO35)&gt;0,0,IF(AGO$25&gt;AGO33,AGO33,0))),0)&lt;0,0,(IF(SUM($D35:AGO35)&gt;0,0,IF(AGO$25&gt;AGO33,AGO33,0)))))</f>
        <v>0</v>
      </c>
      <c r="AGQ35" s="115">
        <f>IF(SUM($D$28:AGP28)=0,0,IF(IF(AGQ34&gt;0,AGQ34-(IF(SUM($D35:AGP35)&gt;0,0,IF(AGP$25&gt;AGP33,AGP33,0))),0)&lt;0,0,(IF(SUM($D35:AGP35)&gt;0,0,IF(AGP$25&gt;AGP33,AGP33,0)))))</f>
        <v>0</v>
      </c>
      <c r="AGR35" s="115">
        <f>IF(SUM($D$28:AGQ28)=0,0,IF(IF(AGR34&gt;0,AGR34-(IF(SUM($D35:AGQ35)&gt;0,0,IF(AGQ$25&gt;AGQ33,AGQ33,0))),0)&lt;0,0,(IF(SUM($D35:AGQ35)&gt;0,0,IF(AGQ$25&gt;AGQ33,AGQ33,0)))))</f>
        <v>0</v>
      </c>
      <c r="AGS35" s="115">
        <f>IF(SUM($D$28:AGR28)=0,0,IF(IF(AGS34&gt;0,AGS34-(IF(SUM($D35:AGR35)&gt;0,0,IF(AGR$25&gt;AGR33,AGR33,0))),0)&lt;0,0,(IF(SUM($D35:AGR35)&gt;0,0,IF(AGR$25&gt;AGR33,AGR33,0)))))</f>
        <v>0</v>
      </c>
      <c r="AGT35" s="115">
        <f>IF(SUM($D$28:AGS28)=0,0,IF(IF(AGT34&gt;0,AGT34-(IF(SUM($D35:AGS35)&gt;0,0,IF(AGS$25&gt;AGS33,AGS33,0))),0)&lt;0,0,(IF(SUM($D35:AGS35)&gt;0,0,IF(AGS$25&gt;AGS33,AGS33,0)))))</f>
        <v>0</v>
      </c>
      <c r="AGU35" s="115">
        <f>IF(SUM($D$28:AGT28)=0,0,IF(IF(AGU34&gt;0,AGU34-(IF(SUM($D35:AGT35)&gt;0,0,IF(AGT$25&gt;AGT33,AGT33,0))),0)&lt;0,0,(IF(SUM($D35:AGT35)&gt;0,0,IF(AGT$25&gt;AGT33,AGT33,0)))))</f>
        <v>0</v>
      </c>
      <c r="AGV35" s="115">
        <f>IF(SUM($D$28:AGU28)=0,0,IF(IF(AGV34&gt;0,AGV34-(IF(SUM($D35:AGU35)&gt;0,0,IF(AGU$25&gt;AGU33,AGU33,0))),0)&lt;0,0,(IF(SUM($D35:AGU35)&gt;0,0,IF(AGU$25&gt;AGU33,AGU33,0)))))</f>
        <v>0</v>
      </c>
      <c r="AGW35" s="115">
        <f>IF(SUM($D$28:AGV28)=0,0,IF(IF(AGW34&gt;0,AGW34-(IF(SUM($D35:AGV35)&gt;0,0,IF(AGV$25&gt;AGV33,AGV33,0))),0)&lt;0,0,(IF(SUM($D35:AGV35)&gt;0,0,IF(AGV$25&gt;AGV33,AGV33,0)))))</f>
        <v>0</v>
      </c>
      <c r="AGX35" s="115">
        <f>IF(SUM($D$28:AGW28)=0,0,IF(IF(AGX34&gt;0,AGX34-(IF(SUM($D35:AGW35)&gt;0,0,IF(AGW$25&gt;AGW33,AGW33,0))),0)&lt;0,0,(IF(SUM($D35:AGW35)&gt;0,0,IF(AGW$25&gt;AGW33,AGW33,0)))))</f>
        <v>0</v>
      </c>
      <c r="AGY35" s="115">
        <f>IF(SUM($D$28:AGX28)=0,0,IF(IF(AGY34&gt;0,AGY34-(IF(SUM($D35:AGX35)&gt;0,0,IF(AGX$25&gt;AGX33,AGX33,0))),0)&lt;0,0,(IF(SUM($D35:AGX35)&gt;0,0,IF(AGX$25&gt;AGX33,AGX33,0)))))</f>
        <v>0</v>
      </c>
      <c r="AGZ35" s="115">
        <f>IF(SUM($D$28:AGY28)=0,0,IF(IF(AGZ34&gt;0,AGZ34-(IF(SUM($D35:AGY35)&gt;0,0,IF(AGY$25&gt;AGY33,AGY33,0))),0)&lt;0,0,(IF(SUM($D35:AGY35)&gt;0,0,IF(AGY$25&gt;AGY33,AGY33,0)))))</f>
        <v>0</v>
      </c>
      <c r="AHA35" s="115">
        <f>IF(SUM($D$28:AGZ28)=0,0,IF(IF(AHA34&gt;0,AHA34-(IF(SUM($D35:AGZ35)&gt;0,0,IF(AGZ$25&gt;AGZ33,AGZ33,0))),0)&lt;0,0,(IF(SUM($D35:AGZ35)&gt;0,0,IF(AGZ$25&gt;AGZ33,AGZ33,0)))))</f>
        <v>0</v>
      </c>
      <c r="AHB35" s="115">
        <f>IF(SUM($D$28:AHA28)=0,0,IF(IF(AHB34&gt;0,AHB34-(IF(SUM($D35:AHA35)&gt;0,0,IF(AHA$25&gt;AHA33,AHA33,0))),0)&lt;0,0,(IF(SUM($D35:AHA35)&gt;0,0,IF(AHA$25&gt;AHA33,AHA33,0)))))</f>
        <v>0</v>
      </c>
      <c r="AHC35" s="115">
        <f>IF(SUM($D$28:AHB28)=0,0,IF(IF(AHC34&gt;0,AHC34-(IF(SUM($D35:AHB35)&gt;0,0,IF(AHB$25&gt;AHB33,AHB33,0))),0)&lt;0,0,(IF(SUM($D35:AHB35)&gt;0,0,IF(AHB$25&gt;AHB33,AHB33,0)))))</f>
        <v>0</v>
      </c>
      <c r="AHD35" s="115">
        <f>IF(SUM($D$28:AHC28)=0,0,IF(IF(AHD34&gt;0,AHD34-(IF(SUM($D35:AHC35)&gt;0,0,IF(AHC$25&gt;AHC33,AHC33,0))),0)&lt;0,0,(IF(SUM($D35:AHC35)&gt;0,0,IF(AHC$25&gt;AHC33,AHC33,0)))))</f>
        <v>0</v>
      </c>
      <c r="AHE35" s="115">
        <f>IF(SUM($D$28:AHD28)=0,0,IF(IF(AHE34&gt;0,AHE34-(IF(SUM($D35:AHD35)&gt;0,0,IF(AHD$25&gt;AHD33,AHD33,0))),0)&lt;0,0,(IF(SUM($D35:AHD35)&gt;0,0,IF(AHD$25&gt;AHD33,AHD33,0)))))</f>
        <v>0</v>
      </c>
      <c r="AHF35" s="115">
        <f>IF(SUM($D$28:AHE28)=0,0,IF(IF(AHF34&gt;0,AHF34-(IF(SUM($D35:AHE35)&gt;0,0,IF(AHE$25&gt;AHE33,AHE33,0))),0)&lt;0,0,(IF(SUM($D35:AHE35)&gt;0,0,IF(AHE$25&gt;AHE33,AHE33,0)))))</f>
        <v>0</v>
      </c>
      <c r="AHG35" s="115">
        <f>IF(SUM($D$28:AHF28)=0,0,IF(IF(AHG34&gt;0,AHG34-(IF(SUM($D35:AHF35)&gt;0,0,IF(AHF$25&gt;AHF33,AHF33,0))),0)&lt;0,0,(IF(SUM($D35:AHF35)&gt;0,0,IF(AHF$25&gt;AHF33,AHF33,0)))))</f>
        <v>0</v>
      </c>
      <c r="AHH35" s="115">
        <f>IF(SUM($D$28:AHG28)=0,0,IF(IF(AHH34&gt;0,AHH34-(IF(SUM($D35:AHG35)&gt;0,0,IF(AHG$25&gt;AHG33,AHG33,0))),0)&lt;0,0,(IF(SUM($D35:AHG35)&gt;0,0,IF(AHG$25&gt;AHG33,AHG33,0)))))</f>
        <v>0</v>
      </c>
      <c r="AHI35" s="115">
        <f>IF(SUM($D$28:AHH28)=0,0,IF(IF(AHI34&gt;0,AHI34-(IF(SUM($D35:AHH35)&gt;0,0,IF(AHH$25&gt;AHH33,AHH33,0))),0)&lt;0,0,(IF(SUM($D35:AHH35)&gt;0,0,IF(AHH$25&gt;AHH33,AHH33,0)))))</f>
        <v>0</v>
      </c>
      <c r="AHJ35" s="115">
        <f>IF(SUM($D$28:AHI28)=0,0,IF(IF(AHJ34&gt;0,AHJ34-(IF(SUM($D35:AHI35)&gt;0,0,IF(AHI$25&gt;AHI33,AHI33,0))),0)&lt;0,0,(IF(SUM($D35:AHI35)&gt;0,0,IF(AHI$25&gt;AHI33,AHI33,0)))))</f>
        <v>0</v>
      </c>
      <c r="AHK35" s="115">
        <f>IF(SUM($D$28:AHJ28)=0,0,IF(IF(AHK34&gt;0,AHK34-(IF(SUM($D35:AHJ35)&gt;0,0,IF(AHJ$25&gt;AHJ33,AHJ33,0))),0)&lt;0,0,(IF(SUM($D35:AHJ35)&gt;0,0,IF(AHJ$25&gt;AHJ33,AHJ33,0)))))</f>
        <v>0</v>
      </c>
      <c r="AHL35" s="115">
        <f>IF(SUM($D$28:AHK28)=0,0,IF(IF(AHL34&gt;0,AHL34-(IF(SUM($D35:AHK35)&gt;0,0,IF(AHK$25&gt;AHK33,AHK33,0))),0)&lt;0,0,(IF(SUM($D35:AHK35)&gt;0,0,IF(AHK$25&gt;AHK33,AHK33,0)))))</f>
        <v>0</v>
      </c>
      <c r="AHM35" s="115">
        <f>IF(SUM($D$28:AHL28)=0,0,IF(IF(AHM34&gt;0,AHM34-(IF(SUM($D35:AHL35)&gt;0,0,IF(AHL$25&gt;AHL33,AHL33,0))),0)&lt;0,0,(IF(SUM($D35:AHL35)&gt;0,0,IF(AHL$25&gt;AHL33,AHL33,0)))))</f>
        <v>0</v>
      </c>
      <c r="AHN35" s="115">
        <f>IF(SUM($D$28:AHM28)=0,0,IF(IF(AHN34&gt;0,AHN34-(IF(SUM($D35:AHM35)&gt;0,0,IF(AHM$25&gt;AHM33,AHM33,0))),0)&lt;0,0,(IF(SUM($D35:AHM35)&gt;0,0,IF(AHM$25&gt;AHM33,AHM33,0)))))</f>
        <v>0</v>
      </c>
      <c r="AHO35" s="115">
        <f>IF(SUM($D$28:AHN28)=0,0,IF(IF(AHO34&gt;0,AHO34-(IF(SUM($D35:AHN35)&gt;0,0,IF(AHN$25&gt;AHN33,AHN33,0))),0)&lt;0,0,(IF(SUM($D35:AHN35)&gt;0,0,IF(AHN$25&gt;AHN33,AHN33,0)))))</f>
        <v>0</v>
      </c>
      <c r="AHP35" s="115">
        <f>IF(SUM($D$28:AHO28)=0,0,IF(IF(AHP34&gt;0,AHP34-(IF(SUM($D35:AHO35)&gt;0,0,IF(AHO$25&gt;AHO33,AHO33,0))),0)&lt;0,0,(IF(SUM($D35:AHO35)&gt;0,0,IF(AHO$25&gt;AHO33,AHO33,0)))))</f>
        <v>0</v>
      </c>
      <c r="AHQ35" s="115">
        <f>IF(SUM($D$28:AHP28)=0,0,IF(IF(AHQ34&gt;0,AHQ34-(IF(SUM($D35:AHP35)&gt;0,0,IF(AHP$25&gt;AHP33,AHP33,0))),0)&lt;0,0,(IF(SUM($D35:AHP35)&gt;0,0,IF(AHP$25&gt;AHP33,AHP33,0)))))</f>
        <v>0</v>
      </c>
      <c r="AHR35" s="115">
        <f>IF(SUM($D$28:AHQ28)=0,0,IF(IF(AHR34&gt;0,AHR34-(IF(SUM($D35:AHQ35)&gt;0,0,IF(AHQ$25&gt;AHQ33,AHQ33,0))),0)&lt;0,0,(IF(SUM($D35:AHQ35)&gt;0,0,IF(AHQ$25&gt;AHQ33,AHQ33,0)))))</f>
        <v>0</v>
      </c>
      <c r="AHS35" s="115">
        <f>IF(SUM($D$28:AHR28)=0,0,IF(IF(AHS34&gt;0,AHS34-(IF(SUM($D35:AHR35)&gt;0,0,IF(AHR$25&gt;AHR33,AHR33,0))),0)&lt;0,0,(IF(SUM($D35:AHR35)&gt;0,0,IF(AHR$25&gt;AHR33,AHR33,0)))))</f>
        <v>0</v>
      </c>
      <c r="AHT35" s="115">
        <f>IF(SUM($D$28:AHS28)=0,0,IF(IF(AHT34&gt;0,AHT34-(IF(SUM($D35:AHS35)&gt;0,0,IF(AHS$25&gt;AHS33,AHS33,0))),0)&lt;0,0,(IF(SUM($D35:AHS35)&gt;0,0,IF(AHS$25&gt;AHS33,AHS33,0)))))</f>
        <v>0</v>
      </c>
      <c r="AHU35" s="115">
        <f>IF(SUM($D$28:AHT28)=0,0,IF(IF(AHU34&gt;0,AHU34-(IF(SUM($D35:AHT35)&gt;0,0,IF(AHT$25&gt;AHT33,AHT33,0))),0)&lt;0,0,(IF(SUM($D35:AHT35)&gt;0,0,IF(AHT$25&gt;AHT33,AHT33,0)))))</f>
        <v>0</v>
      </c>
      <c r="AHV35" s="115">
        <f>IF(SUM($D$28:AHU28)=0,0,IF(IF(AHV34&gt;0,AHV34-(IF(SUM($D35:AHU35)&gt;0,0,IF(AHU$25&gt;AHU33,AHU33,0))),0)&lt;0,0,(IF(SUM($D35:AHU35)&gt;0,0,IF(AHU$25&gt;AHU33,AHU33,0)))))</f>
        <v>0</v>
      </c>
      <c r="AHW35" s="115">
        <f>IF(SUM($D$28:AHV28)=0,0,IF(IF(AHW34&gt;0,AHW34-(IF(SUM($D35:AHV35)&gt;0,0,IF(AHV$25&gt;AHV33,AHV33,0))),0)&lt;0,0,(IF(SUM($D35:AHV35)&gt;0,0,IF(AHV$25&gt;AHV33,AHV33,0)))))</f>
        <v>0</v>
      </c>
      <c r="AHX35" s="115">
        <f>IF(SUM($D$28:AHW28)=0,0,IF(IF(AHX34&gt;0,AHX34-(IF(SUM($D35:AHW35)&gt;0,0,IF(AHW$25&gt;AHW33,AHW33,0))),0)&lt;0,0,(IF(SUM($D35:AHW35)&gt;0,0,IF(AHW$25&gt;AHW33,AHW33,0)))))</f>
        <v>0</v>
      </c>
      <c r="AHY35" s="115">
        <f>IF(SUM($D$28:AHX28)=0,0,IF(IF(AHY34&gt;0,AHY34-(IF(SUM($D35:AHX35)&gt;0,0,IF(AHX$25&gt;AHX33,AHX33,0))),0)&lt;0,0,(IF(SUM($D35:AHX35)&gt;0,0,IF(AHX$25&gt;AHX33,AHX33,0)))))</f>
        <v>0</v>
      </c>
      <c r="AHZ35" s="115">
        <f>IF(SUM($D$28:AHY28)=0,0,IF(IF(AHZ34&gt;0,AHZ34-(IF(SUM($D35:AHY35)&gt;0,0,IF(AHY$25&gt;AHY33,AHY33,0))),0)&lt;0,0,(IF(SUM($D35:AHY35)&gt;0,0,IF(AHY$25&gt;AHY33,AHY33,0)))))</f>
        <v>0</v>
      </c>
      <c r="AIA35" s="115">
        <f>IF(SUM($D$28:AHZ28)=0,0,IF(IF(AIA34&gt;0,AIA34-(IF(SUM($D35:AHZ35)&gt;0,0,IF(AHZ$25&gt;AHZ33,AHZ33,0))),0)&lt;0,0,(IF(SUM($D35:AHZ35)&gt;0,0,IF(AHZ$25&gt;AHZ33,AHZ33,0)))))</f>
        <v>0</v>
      </c>
      <c r="AIB35" s="115">
        <f>IF(SUM($D$28:AIA28)=0,0,IF(IF(AIB34&gt;0,AIB34-(IF(SUM($D35:AIA35)&gt;0,0,IF(AIA$25&gt;AIA33,AIA33,0))),0)&lt;0,0,(IF(SUM($D35:AIA35)&gt;0,0,IF(AIA$25&gt;AIA33,AIA33,0)))))</f>
        <v>0</v>
      </c>
      <c r="AIC35" s="115">
        <f>IF(SUM($D$28:AIB28)=0,0,IF(IF(AIC34&gt;0,AIC34-(IF(SUM($D35:AIB35)&gt;0,0,IF(AIB$25&gt;AIB33,AIB33,0))),0)&lt;0,0,(IF(SUM($D35:AIB35)&gt;0,0,IF(AIB$25&gt;AIB33,AIB33,0)))))</f>
        <v>0</v>
      </c>
      <c r="AID35" s="115">
        <f>IF(SUM($D$28:AIC28)=0,0,IF(IF(AID34&gt;0,AID34-(IF(SUM($D35:AIC35)&gt;0,0,IF(AIC$25&gt;AIC33,AIC33,0))),0)&lt;0,0,(IF(SUM($D35:AIC35)&gt;0,0,IF(AIC$25&gt;AIC33,AIC33,0)))))</f>
        <v>0</v>
      </c>
      <c r="AIE35" s="115">
        <f>IF(SUM($D$28:AID28)=0,0,IF(IF(AIE34&gt;0,AIE34-(IF(SUM($D35:AID35)&gt;0,0,IF(AID$25&gt;AID33,AID33,0))),0)&lt;0,0,(IF(SUM($D35:AID35)&gt;0,0,IF(AID$25&gt;AID33,AID33,0)))))</f>
        <v>0</v>
      </c>
      <c r="AIF35" s="115">
        <f>IF(SUM($D$28:AIE28)=0,0,IF(IF(AIF34&gt;0,AIF34-(IF(SUM($D35:AIE35)&gt;0,0,IF(AIE$25&gt;AIE33,AIE33,0))),0)&lt;0,0,(IF(SUM($D35:AIE35)&gt;0,0,IF(AIE$25&gt;AIE33,AIE33,0)))))</f>
        <v>0</v>
      </c>
      <c r="AIG35" s="115">
        <f>IF(SUM($D$28:AIF28)=0,0,IF(IF(AIG34&gt;0,AIG34-(IF(SUM($D35:AIF35)&gt;0,0,IF(AIF$25&gt;AIF33,AIF33,0))),0)&lt;0,0,(IF(SUM($D35:AIF35)&gt;0,0,IF(AIF$25&gt;AIF33,AIF33,0)))))</f>
        <v>0</v>
      </c>
      <c r="AIH35" s="115">
        <f>IF(SUM($D$28:AIG28)=0,0,IF(IF(AIH34&gt;0,AIH34-(IF(SUM($D35:AIG35)&gt;0,0,IF(AIG$25&gt;AIG33,AIG33,0))),0)&lt;0,0,(IF(SUM($D35:AIG35)&gt;0,0,IF(AIG$25&gt;AIG33,AIG33,0)))))</f>
        <v>0</v>
      </c>
      <c r="AII35" s="115">
        <f>IF(SUM($D$28:AIH28)=0,0,IF(IF(AII34&gt;0,AII34-(IF(SUM($D35:AIH35)&gt;0,0,IF(AIH$25&gt;AIH33,AIH33,0))),0)&lt;0,0,(IF(SUM($D35:AIH35)&gt;0,0,IF(AIH$25&gt;AIH33,AIH33,0)))))</f>
        <v>0</v>
      </c>
      <c r="AIJ35" s="115">
        <f>IF(SUM($D$28:AII28)=0,0,IF(IF(AIJ34&gt;0,AIJ34-(IF(SUM($D35:AII35)&gt;0,0,IF(AII$25&gt;AII33,AII33,0))),0)&lt;0,0,(IF(SUM($D35:AII35)&gt;0,0,IF(AII$25&gt;AII33,AII33,0)))))</f>
        <v>0</v>
      </c>
      <c r="AIK35" s="115">
        <f>IF(SUM($D$28:AIJ28)=0,0,IF(IF(AIK34&gt;0,AIK34-(IF(SUM($D35:AIJ35)&gt;0,0,IF(AIJ$25&gt;AIJ33,AIJ33,0))),0)&lt;0,0,(IF(SUM($D35:AIJ35)&gt;0,0,IF(AIJ$25&gt;AIJ33,AIJ33,0)))))</f>
        <v>0</v>
      </c>
      <c r="AIL35" s="115">
        <f>IF(SUM($D$28:AIK28)=0,0,IF(IF(AIL34&gt;0,AIL34-(IF(SUM($D35:AIK35)&gt;0,0,IF(AIK$25&gt;AIK33,AIK33,0))),0)&lt;0,0,(IF(SUM($D35:AIK35)&gt;0,0,IF(AIK$25&gt;AIK33,AIK33,0)))))</f>
        <v>0</v>
      </c>
      <c r="AIM35" s="115">
        <f>IF(SUM($D$28:AIL28)=0,0,IF(IF(AIM34&gt;0,AIM34-(IF(SUM($D35:AIL35)&gt;0,0,IF(AIL$25&gt;AIL33,AIL33,0))),0)&lt;0,0,(IF(SUM($D35:AIL35)&gt;0,0,IF(AIL$25&gt;AIL33,AIL33,0)))))</f>
        <v>0</v>
      </c>
      <c r="AIN35" s="115">
        <f>IF(SUM($D$28:AIM28)=0,0,IF(IF(AIN34&gt;0,AIN34-(IF(SUM($D35:AIM35)&gt;0,0,IF(AIM$25&gt;AIM33,AIM33,0))),0)&lt;0,0,(IF(SUM($D35:AIM35)&gt;0,0,IF(AIM$25&gt;AIM33,AIM33,0)))))</f>
        <v>0</v>
      </c>
      <c r="AIO35" s="115">
        <f>IF(SUM($D$28:AIN28)=0,0,IF(IF(AIO34&gt;0,AIO34-(IF(SUM($D35:AIN35)&gt;0,0,IF(AIN$25&gt;AIN33,AIN33,0))),0)&lt;0,0,(IF(SUM($D35:AIN35)&gt;0,0,IF(AIN$25&gt;AIN33,AIN33,0)))))</f>
        <v>0</v>
      </c>
      <c r="AIP35" s="115">
        <f>IF(SUM($D$28:AIO28)=0,0,IF(IF(AIP34&gt;0,AIP34-(IF(SUM($D35:AIO35)&gt;0,0,IF(AIO$25&gt;AIO33,AIO33,0))),0)&lt;0,0,(IF(SUM($D35:AIO35)&gt;0,0,IF(AIO$25&gt;AIO33,AIO33,0)))))</f>
        <v>0</v>
      </c>
      <c r="AIQ35" s="115">
        <f>IF(SUM($D$28:AIP28)=0,0,IF(IF(AIQ34&gt;0,AIQ34-(IF(SUM($D35:AIP35)&gt;0,0,IF(AIP$25&gt;AIP33,AIP33,0))),0)&lt;0,0,(IF(SUM($D35:AIP35)&gt;0,0,IF(AIP$25&gt;AIP33,AIP33,0)))))</f>
        <v>0</v>
      </c>
      <c r="AIR35" s="115">
        <f>IF(SUM($D$28:AIQ28)=0,0,IF(IF(AIR34&gt;0,AIR34-(IF(SUM($D35:AIQ35)&gt;0,0,IF(AIQ$25&gt;AIQ33,AIQ33,0))),0)&lt;0,0,(IF(SUM($D35:AIQ35)&gt;0,0,IF(AIQ$25&gt;AIQ33,AIQ33,0)))))</f>
        <v>0</v>
      </c>
      <c r="AIS35" s="115">
        <f>IF(SUM($D$28:AIR28)=0,0,IF(IF(AIS34&gt;0,AIS34-(IF(SUM($D35:AIR35)&gt;0,0,IF(AIR$25&gt;AIR33,AIR33,0))),0)&lt;0,0,(IF(SUM($D35:AIR35)&gt;0,0,IF(AIR$25&gt;AIR33,AIR33,0)))))</f>
        <v>0</v>
      </c>
      <c r="AIT35" s="115">
        <f>IF(SUM($D$28:AIS28)=0,0,IF(IF(AIT34&gt;0,AIT34-(IF(SUM($D35:AIS35)&gt;0,0,IF(AIS$25&gt;AIS33,AIS33,0))),0)&lt;0,0,(IF(SUM($D35:AIS35)&gt;0,0,IF(AIS$25&gt;AIS33,AIS33,0)))))</f>
        <v>0</v>
      </c>
      <c r="AIU35" s="115">
        <f>IF(SUM($D$28:AIT28)=0,0,IF(IF(AIU34&gt;0,AIU34-(IF(SUM($D35:AIT35)&gt;0,0,IF(AIT$25&gt;AIT33,AIT33,0))),0)&lt;0,0,(IF(SUM($D35:AIT35)&gt;0,0,IF(AIT$25&gt;AIT33,AIT33,0)))))</f>
        <v>0</v>
      </c>
      <c r="AIV35" s="115">
        <f>IF(SUM($D$28:AIU28)=0,0,IF(IF(AIV34&gt;0,AIV34-(IF(SUM($D35:AIU35)&gt;0,0,IF(AIU$25&gt;AIU33,AIU33,0))),0)&lt;0,0,(IF(SUM($D35:AIU35)&gt;0,0,IF(AIU$25&gt;AIU33,AIU33,0)))))</f>
        <v>0</v>
      </c>
      <c r="AIW35" s="115">
        <f>IF(SUM($D$28:AIV28)=0,0,IF(IF(AIW34&gt;0,AIW34-(IF(SUM($D35:AIV35)&gt;0,0,IF(AIV$25&gt;AIV33,AIV33,0))),0)&lt;0,0,(IF(SUM($D35:AIV35)&gt;0,0,IF(AIV$25&gt;AIV33,AIV33,0)))))</f>
        <v>0</v>
      </c>
      <c r="AIX35" s="115">
        <f>IF(SUM($D$28:AIW28)=0,0,IF(IF(AIX34&gt;0,AIX34-(IF(SUM($D35:AIW35)&gt;0,0,IF(AIW$25&gt;AIW33,AIW33,0))),0)&lt;0,0,(IF(SUM($D35:AIW35)&gt;0,0,IF(AIW$25&gt;AIW33,AIW33,0)))))</f>
        <v>0</v>
      </c>
      <c r="AIY35" s="115">
        <f>IF(SUM($D$28:AIX28)=0,0,IF(IF(AIY34&gt;0,AIY34-(IF(SUM($D35:AIX35)&gt;0,0,IF(AIX$25&gt;AIX33,AIX33,0))),0)&lt;0,0,(IF(SUM($D35:AIX35)&gt;0,0,IF(AIX$25&gt;AIX33,AIX33,0)))))</f>
        <v>0</v>
      </c>
      <c r="AIZ35" s="115">
        <f>IF(SUM($D$28:AIY28)=0,0,IF(IF(AIZ34&gt;0,AIZ34-(IF(SUM($D35:AIY35)&gt;0,0,IF(AIY$25&gt;AIY33,AIY33,0))),0)&lt;0,0,(IF(SUM($D35:AIY35)&gt;0,0,IF(AIY$25&gt;AIY33,AIY33,0)))))</f>
        <v>0</v>
      </c>
      <c r="AJA35" s="115">
        <f>IF(SUM($D$28:AIZ28)=0,0,IF(IF(AJA34&gt;0,AJA34-(IF(SUM($D35:AIZ35)&gt;0,0,IF(AIZ$25&gt;AIZ33,AIZ33,0))),0)&lt;0,0,(IF(SUM($D35:AIZ35)&gt;0,0,IF(AIZ$25&gt;AIZ33,AIZ33,0)))))</f>
        <v>0</v>
      </c>
      <c r="AJB35" s="115">
        <f>IF(SUM($D$28:AJA28)=0,0,IF(IF(AJB34&gt;0,AJB34-(IF(SUM($D35:AJA35)&gt;0,0,IF(AJA$25&gt;AJA33,AJA33,0))),0)&lt;0,0,(IF(SUM($D35:AJA35)&gt;0,0,IF(AJA$25&gt;AJA33,AJA33,0)))))</f>
        <v>0</v>
      </c>
      <c r="AJC35" s="115">
        <f>IF(SUM($D$28:AJB28)=0,0,IF(IF(AJC34&gt;0,AJC34-(IF(SUM($D35:AJB35)&gt;0,0,IF(AJB$25&gt;AJB33,AJB33,0))),0)&lt;0,0,(IF(SUM($D35:AJB35)&gt;0,0,IF(AJB$25&gt;AJB33,AJB33,0)))))</f>
        <v>0</v>
      </c>
      <c r="AJD35" s="115">
        <f>IF(SUM($D$28:AJC28)=0,0,IF(IF(AJD34&gt;0,AJD34-(IF(SUM($D35:AJC35)&gt;0,0,IF(AJC$25&gt;AJC33,AJC33,0))),0)&lt;0,0,(IF(SUM($D35:AJC35)&gt;0,0,IF(AJC$25&gt;AJC33,AJC33,0)))))</f>
        <v>0</v>
      </c>
      <c r="AJE35" s="115">
        <f>IF(SUM($D$28:AJD28)=0,0,IF(IF(AJE34&gt;0,AJE34-(IF(SUM($D35:AJD35)&gt;0,0,IF(AJD$25&gt;AJD33,AJD33,0))),0)&lt;0,0,(IF(SUM($D35:AJD35)&gt;0,0,IF(AJD$25&gt;AJD33,AJD33,0)))))</f>
        <v>0</v>
      </c>
      <c r="AJF35" s="115">
        <f>IF(SUM($D$28:AJE28)=0,0,IF(IF(AJF34&gt;0,AJF34-(IF(SUM($D35:AJE35)&gt;0,0,IF(AJE$25&gt;AJE33,AJE33,0))),0)&lt;0,0,(IF(SUM($D35:AJE35)&gt;0,0,IF(AJE$25&gt;AJE33,AJE33,0)))))</f>
        <v>0</v>
      </c>
      <c r="AJG35" s="115">
        <f>IF(SUM($D$28:AJF28)=0,0,IF(IF(AJG34&gt;0,AJG34-(IF(SUM($D35:AJF35)&gt;0,0,IF(AJF$25&gt;AJF33,AJF33,0))),0)&lt;0,0,(IF(SUM($D35:AJF35)&gt;0,0,IF(AJF$25&gt;AJF33,AJF33,0)))))</f>
        <v>0</v>
      </c>
      <c r="AJH35" s="115">
        <f>IF(SUM($D$28:AJG28)=0,0,IF(IF(AJH34&gt;0,AJH34-(IF(SUM($D35:AJG35)&gt;0,0,IF(AJG$25&gt;AJG33,AJG33,0))),0)&lt;0,0,(IF(SUM($D35:AJG35)&gt;0,0,IF(AJG$25&gt;AJG33,AJG33,0)))))</f>
        <v>0</v>
      </c>
      <c r="AJI35" s="115">
        <f>IF(SUM($D$28:AJH28)=0,0,IF(IF(AJI34&gt;0,AJI34-(IF(SUM($D35:AJH35)&gt;0,0,IF(AJH$25&gt;AJH33,AJH33,0))),0)&lt;0,0,(IF(SUM($D35:AJH35)&gt;0,0,IF(AJH$25&gt;AJH33,AJH33,0)))))</f>
        <v>0</v>
      </c>
      <c r="AJJ35" s="115">
        <f>IF(SUM($D$28:AJI28)=0,0,IF(IF(AJJ34&gt;0,AJJ34-(IF(SUM($D35:AJI35)&gt;0,0,IF(AJI$25&gt;AJI33,AJI33,0))),0)&lt;0,0,(IF(SUM($D35:AJI35)&gt;0,0,IF(AJI$25&gt;AJI33,AJI33,0)))))</f>
        <v>0</v>
      </c>
      <c r="AJK35" s="115">
        <f>IF(SUM($D$28:AJJ28)=0,0,IF(IF(AJK34&gt;0,AJK34-(IF(SUM($D35:AJJ35)&gt;0,0,IF(AJJ$25&gt;AJJ33,AJJ33,0))),0)&lt;0,0,(IF(SUM($D35:AJJ35)&gt;0,0,IF(AJJ$25&gt;AJJ33,AJJ33,0)))))</f>
        <v>0</v>
      </c>
      <c r="AJL35" s="115">
        <f>IF(SUM($D$28:AJK28)=0,0,IF(IF(AJL34&gt;0,AJL34-(IF(SUM($D35:AJK35)&gt;0,0,IF(AJK$25&gt;AJK33,AJK33,0))),0)&lt;0,0,(IF(SUM($D35:AJK35)&gt;0,0,IF(AJK$25&gt;AJK33,AJK33,0)))))</f>
        <v>0</v>
      </c>
      <c r="AJM35" s="115">
        <f>IF(SUM($D$28:AJL28)=0,0,IF(IF(AJM34&gt;0,AJM34-(IF(SUM($D35:AJL35)&gt;0,0,IF(AJL$25&gt;AJL33,AJL33,0))),0)&lt;0,0,(IF(SUM($D35:AJL35)&gt;0,0,IF(AJL$25&gt;AJL33,AJL33,0)))))</f>
        <v>0</v>
      </c>
      <c r="AJN35" s="115">
        <f>IF(SUM($D$28:AJM28)=0,0,IF(IF(AJN34&gt;0,AJN34-(IF(SUM($D35:AJM35)&gt;0,0,IF(AJM$25&gt;AJM33,AJM33,0))),0)&lt;0,0,(IF(SUM($D35:AJM35)&gt;0,0,IF(AJM$25&gt;AJM33,AJM33,0)))))</f>
        <v>0</v>
      </c>
      <c r="AJO35" s="115">
        <f>IF(SUM($D$28:AJN28)=0,0,IF(IF(AJO34&gt;0,AJO34-(IF(SUM($D35:AJN35)&gt;0,0,IF(AJN$25&gt;AJN33,AJN33,0))),0)&lt;0,0,(IF(SUM($D35:AJN35)&gt;0,0,IF(AJN$25&gt;AJN33,AJN33,0)))))</f>
        <v>0</v>
      </c>
      <c r="AJP35" s="115">
        <f>IF(SUM($D$28:AJO28)=0,0,IF(IF(AJP34&gt;0,AJP34-(IF(SUM($D35:AJO35)&gt;0,0,IF(AJO$25&gt;AJO33,AJO33,0))),0)&lt;0,0,(IF(SUM($D35:AJO35)&gt;0,0,IF(AJO$25&gt;AJO33,AJO33,0)))))</f>
        <v>0</v>
      </c>
      <c r="AJQ35" s="115">
        <f>IF(SUM($D$28:AJP28)=0,0,IF(IF(AJQ34&gt;0,AJQ34-(IF(SUM($D35:AJP35)&gt;0,0,IF(AJP$25&gt;AJP33,AJP33,0))),0)&lt;0,0,(IF(SUM($D35:AJP35)&gt;0,0,IF(AJP$25&gt;AJP33,AJP33,0)))))</f>
        <v>0</v>
      </c>
      <c r="AJR35" s="115">
        <f>IF(SUM($D$28:AJQ28)=0,0,IF(IF(AJR34&gt;0,AJR34-(IF(SUM($D35:AJQ35)&gt;0,0,IF(AJQ$25&gt;AJQ33,AJQ33,0))),0)&lt;0,0,(IF(SUM($D35:AJQ35)&gt;0,0,IF(AJQ$25&gt;AJQ33,AJQ33,0)))))</f>
        <v>0</v>
      </c>
      <c r="AJS35" s="115">
        <f>IF(SUM($D$28:AJR28)=0,0,IF(IF(AJS34&gt;0,AJS34-(IF(SUM($D35:AJR35)&gt;0,0,IF(AJR$25&gt;AJR33,AJR33,0))),0)&lt;0,0,(IF(SUM($D35:AJR35)&gt;0,0,IF(AJR$25&gt;AJR33,AJR33,0)))))</f>
        <v>0</v>
      </c>
      <c r="AJT35" s="115">
        <f>IF(SUM($D$28:AJS28)=0,0,IF(IF(AJT34&gt;0,AJT34-(IF(SUM($D35:AJS35)&gt;0,0,IF(AJS$25&gt;AJS33,AJS33,0))),0)&lt;0,0,(IF(SUM($D35:AJS35)&gt;0,0,IF(AJS$25&gt;AJS33,AJS33,0)))))</f>
        <v>0</v>
      </c>
      <c r="AJU35" s="115">
        <f>IF(SUM($D$28:AJT28)=0,0,IF(IF(AJU34&gt;0,AJU34-(IF(SUM($D35:AJT35)&gt;0,0,IF(AJT$25&gt;AJT33,AJT33,0))),0)&lt;0,0,(IF(SUM($D35:AJT35)&gt;0,0,IF(AJT$25&gt;AJT33,AJT33,0)))))</f>
        <v>0</v>
      </c>
      <c r="AJV35" s="115">
        <f>IF(SUM($D$28:AJU28)=0,0,IF(IF(AJV34&gt;0,AJV34-(IF(SUM($D35:AJU35)&gt;0,0,IF(AJU$25&gt;AJU33,AJU33,0))),0)&lt;0,0,(IF(SUM($D35:AJU35)&gt;0,0,IF(AJU$25&gt;AJU33,AJU33,0)))))</f>
        <v>0</v>
      </c>
      <c r="AJW35" s="115">
        <f>IF(SUM($D$28:AJV28)=0,0,IF(IF(AJW34&gt;0,AJW34-(IF(SUM($D35:AJV35)&gt;0,0,IF(AJV$25&gt;AJV33,AJV33,0))),0)&lt;0,0,(IF(SUM($D35:AJV35)&gt;0,0,IF(AJV$25&gt;AJV33,AJV33,0)))))</f>
        <v>0</v>
      </c>
      <c r="AJX35" s="115">
        <f>IF(SUM($D$28:AJW28)=0,0,IF(IF(AJX34&gt;0,AJX34-(IF(SUM($D35:AJW35)&gt;0,0,IF(AJW$25&gt;AJW33,AJW33,0))),0)&lt;0,0,(IF(SUM($D35:AJW35)&gt;0,0,IF(AJW$25&gt;AJW33,AJW33,0)))))</f>
        <v>0</v>
      </c>
      <c r="AJY35" s="115">
        <f>IF(SUM($D$28:AJX28)=0,0,IF(IF(AJY34&gt;0,AJY34-(IF(SUM($D35:AJX35)&gt;0,0,IF(AJX$25&gt;AJX33,AJX33,0))),0)&lt;0,0,(IF(SUM($D35:AJX35)&gt;0,0,IF(AJX$25&gt;AJX33,AJX33,0)))))</f>
        <v>0</v>
      </c>
      <c r="AJZ35" s="115">
        <f>IF(SUM($D$28:AJY28)=0,0,IF(IF(AJZ34&gt;0,AJZ34-(IF(SUM($D35:AJY35)&gt;0,0,IF(AJY$25&gt;AJY33,AJY33,0))),0)&lt;0,0,(IF(SUM($D35:AJY35)&gt;0,0,IF(AJY$25&gt;AJY33,AJY33,0)))))</f>
        <v>0</v>
      </c>
      <c r="AKA35" s="115">
        <f>IF(SUM($D$28:AJZ28)=0,0,IF(IF(AKA34&gt;0,AKA34-(IF(SUM($D35:AJZ35)&gt;0,0,IF(AJZ$25&gt;AJZ33,AJZ33,0))),0)&lt;0,0,(IF(SUM($D35:AJZ35)&gt;0,0,IF(AJZ$25&gt;AJZ33,AJZ33,0)))))</f>
        <v>0</v>
      </c>
      <c r="AKB35" s="115">
        <f>IF(SUM($D$28:AKA28)=0,0,IF(IF(AKB34&gt;0,AKB34-(IF(SUM($D35:AKA35)&gt;0,0,IF(AKA$25&gt;AKA33,AKA33,0))),0)&lt;0,0,(IF(SUM($D35:AKA35)&gt;0,0,IF(AKA$25&gt;AKA33,AKA33,0)))))</f>
        <v>0</v>
      </c>
      <c r="AKC35" s="115">
        <f>IF(SUM($D$28:AKB28)=0,0,IF(IF(AKC34&gt;0,AKC34-(IF(SUM($D35:AKB35)&gt;0,0,IF(AKB$25&gt;AKB33,AKB33,0))),0)&lt;0,0,(IF(SUM($D35:AKB35)&gt;0,0,IF(AKB$25&gt;AKB33,AKB33,0)))))</f>
        <v>0</v>
      </c>
      <c r="AKD35" s="115">
        <f>IF(SUM($D$28:AKC28)=0,0,IF(IF(AKD34&gt;0,AKD34-(IF(SUM($D35:AKC35)&gt;0,0,IF(AKC$25&gt;AKC33,AKC33,0))),0)&lt;0,0,(IF(SUM($D35:AKC35)&gt;0,0,IF(AKC$25&gt;AKC33,AKC33,0)))))</f>
        <v>0</v>
      </c>
      <c r="AKE35" s="115">
        <f>IF(SUM($D$28:AKD28)=0,0,IF(IF(AKE34&gt;0,AKE34-(IF(SUM($D35:AKD35)&gt;0,0,IF(AKD$25&gt;AKD33,AKD33,0))),0)&lt;0,0,(IF(SUM($D35:AKD35)&gt;0,0,IF(AKD$25&gt;AKD33,AKD33,0)))))</f>
        <v>0</v>
      </c>
      <c r="AKF35" s="115">
        <f>IF(SUM($D$28:AKE28)=0,0,IF(IF(AKF34&gt;0,AKF34-(IF(SUM($D35:AKE35)&gt;0,0,IF(AKE$25&gt;AKE33,AKE33,0))),0)&lt;0,0,(IF(SUM($D35:AKE35)&gt;0,0,IF(AKE$25&gt;AKE33,AKE33,0)))))</f>
        <v>0</v>
      </c>
      <c r="AKG35" s="115">
        <f>IF(SUM($D$28:AKF28)=0,0,IF(IF(AKG34&gt;0,AKG34-(IF(SUM($D35:AKF35)&gt;0,0,IF(AKF$25&gt;AKF33,AKF33,0))),0)&lt;0,0,(IF(SUM($D35:AKF35)&gt;0,0,IF(AKF$25&gt;AKF33,AKF33,0)))))</f>
        <v>0</v>
      </c>
      <c r="AKH35" s="115">
        <f>IF(SUM($D$28:AKG28)=0,0,IF(IF(AKH34&gt;0,AKH34-(IF(SUM($D35:AKG35)&gt;0,0,IF(AKG$25&gt;AKG33,AKG33,0))),0)&lt;0,0,(IF(SUM($D35:AKG35)&gt;0,0,IF(AKG$25&gt;AKG33,AKG33,0)))))</f>
        <v>0</v>
      </c>
      <c r="AKI35" s="115">
        <f>IF(SUM($D$28:AKH28)=0,0,IF(IF(AKI34&gt;0,AKI34-(IF(SUM($D35:AKH35)&gt;0,0,IF(AKH$25&gt;AKH33,AKH33,0))),0)&lt;0,0,(IF(SUM($D35:AKH35)&gt;0,0,IF(AKH$25&gt;AKH33,AKH33,0)))))</f>
        <v>0</v>
      </c>
      <c r="AKJ35" s="115">
        <f>IF(SUM($D$28:AKI28)=0,0,IF(IF(AKJ34&gt;0,AKJ34-(IF(SUM($D35:AKI35)&gt;0,0,IF(AKI$25&gt;AKI33,AKI33,0))),0)&lt;0,0,(IF(SUM($D35:AKI35)&gt;0,0,IF(AKI$25&gt;AKI33,AKI33,0)))))</f>
        <v>0</v>
      </c>
      <c r="AKK35" s="115">
        <f>IF(SUM($D$28:AKJ28)=0,0,IF(IF(AKK34&gt;0,AKK34-(IF(SUM($D35:AKJ35)&gt;0,0,IF(AKJ$25&gt;AKJ33,AKJ33,0))),0)&lt;0,0,(IF(SUM($D35:AKJ35)&gt;0,0,IF(AKJ$25&gt;AKJ33,AKJ33,0)))))</f>
        <v>0</v>
      </c>
      <c r="AKL35" s="115">
        <f>IF(SUM($D$28:AKK28)=0,0,IF(IF(AKL34&gt;0,AKL34-(IF(SUM($D35:AKK35)&gt;0,0,IF(AKK$25&gt;AKK33,AKK33,0))),0)&lt;0,0,(IF(SUM($D35:AKK35)&gt;0,0,IF(AKK$25&gt;AKK33,AKK33,0)))))</f>
        <v>0</v>
      </c>
      <c r="AKM35" s="115">
        <f>IF(SUM($D$28:AKL28)=0,0,IF(IF(AKM34&gt;0,AKM34-(IF(SUM($D35:AKL35)&gt;0,0,IF(AKL$25&gt;AKL33,AKL33,0))),0)&lt;0,0,(IF(SUM($D35:AKL35)&gt;0,0,IF(AKL$25&gt;AKL33,AKL33,0)))))</f>
        <v>0</v>
      </c>
      <c r="AKN35" s="115">
        <f>IF(SUM($D$28:AKM28)=0,0,IF(IF(AKN34&gt;0,AKN34-(IF(SUM($D35:AKM35)&gt;0,0,IF(AKM$25&gt;AKM33,AKM33,0))),0)&lt;0,0,(IF(SUM($D35:AKM35)&gt;0,0,IF(AKM$25&gt;AKM33,AKM33,0)))))</f>
        <v>0</v>
      </c>
      <c r="AKO35" s="115">
        <f>IF(SUM($D$28:AKN28)=0,0,IF(IF(AKO34&gt;0,AKO34-(IF(SUM($D35:AKN35)&gt;0,0,IF(AKN$25&gt;AKN33,AKN33,0))),0)&lt;0,0,(IF(SUM($D35:AKN35)&gt;0,0,IF(AKN$25&gt;AKN33,AKN33,0)))))</f>
        <v>0</v>
      </c>
      <c r="AKP35" s="115">
        <f>IF(SUM($D$28:AKO28)=0,0,IF(IF(AKP34&gt;0,AKP34-(IF(SUM($D35:AKO35)&gt;0,0,IF(AKO$25&gt;AKO33,AKO33,0))),0)&lt;0,0,(IF(SUM($D35:AKO35)&gt;0,0,IF(AKO$25&gt;AKO33,AKO33,0)))))</f>
        <v>0</v>
      </c>
      <c r="AKQ35" s="115">
        <f>IF(SUM($D$28:AKP28)=0,0,IF(IF(AKQ34&gt;0,AKQ34-(IF(SUM($D35:AKP35)&gt;0,0,IF(AKP$25&gt;AKP33,AKP33,0))),0)&lt;0,0,(IF(SUM($D35:AKP35)&gt;0,0,IF(AKP$25&gt;AKP33,AKP33,0)))))</f>
        <v>0</v>
      </c>
      <c r="AKR35" s="115">
        <f>IF(SUM($D$28:AKQ28)=0,0,IF(IF(AKR34&gt;0,AKR34-(IF(SUM($D35:AKQ35)&gt;0,0,IF(AKQ$25&gt;AKQ33,AKQ33,0))),0)&lt;0,0,(IF(SUM($D35:AKQ35)&gt;0,0,IF(AKQ$25&gt;AKQ33,AKQ33,0)))))</f>
        <v>0</v>
      </c>
      <c r="AKS35" s="115">
        <f>IF(SUM($D$28:AKR28)=0,0,IF(IF(AKS34&gt;0,AKS34-(IF(SUM($D35:AKR35)&gt;0,0,IF(AKR$25&gt;AKR33,AKR33,0))),0)&lt;0,0,(IF(SUM($D35:AKR35)&gt;0,0,IF(AKR$25&gt;AKR33,AKR33,0)))))</f>
        <v>0</v>
      </c>
      <c r="AKT35" s="115">
        <f>IF(SUM($D$28:AKS28)=0,0,IF(IF(AKT34&gt;0,AKT34-(IF(SUM($D35:AKS35)&gt;0,0,IF(AKS$25&gt;AKS33,AKS33,0))),0)&lt;0,0,(IF(SUM($D35:AKS35)&gt;0,0,IF(AKS$25&gt;AKS33,AKS33,0)))))</f>
        <v>0</v>
      </c>
      <c r="AKU35" s="115">
        <f>IF(SUM($D$28:AKT28)=0,0,IF(IF(AKU34&gt;0,AKU34-(IF(SUM($D35:AKT35)&gt;0,0,IF(AKT$25&gt;AKT33,AKT33,0))),0)&lt;0,0,(IF(SUM($D35:AKT35)&gt;0,0,IF(AKT$25&gt;AKT33,AKT33,0)))))</f>
        <v>0</v>
      </c>
      <c r="AKV35" s="115">
        <f>IF(SUM($D$28:AKU28)=0,0,IF(IF(AKV34&gt;0,AKV34-(IF(SUM($D35:AKU35)&gt;0,0,IF(AKU$25&gt;AKU33,AKU33,0))),0)&lt;0,0,(IF(SUM($D35:AKU35)&gt;0,0,IF(AKU$25&gt;AKU33,AKU33,0)))))</f>
        <v>0</v>
      </c>
      <c r="AKW35" s="115">
        <f>IF(SUM($D$28:AKV28)=0,0,IF(IF(AKW34&gt;0,AKW34-(IF(SUM($D35:AKV35)&gt;0,0,IF(AKV$25&gt;AKV33,AKV33,0))),0)&lt;0,0,(IF(SUM($D35:AKV35)&gt;0,0,IF(AKV$25&gt;AKV33,AKV33,0)))))</f>
        <v>0</v>
      </c>
      <c r="AKX35" s="115">
        <f>IF(SUM($D$28:AKW28)=0,0,IF(IF(AKX34&gt;0,AKX34-(IF(SUM($D35:AKW35)&gt;0,0,IF(AKW$25&gt;AKW33,AKW33,0))),0)&lt;0,0,(IF(SUM($D35:AKW35)&gt;0,0,IF(AKW$25&gt;AKW33,AKW33,0)))))</f>
        <v>0</v>
      </c>
      <c r="AKY35" s="115">
        <f>IF(SUM($D$28:AKX28)=0,0,IF(IF(AKY34&gt;0,AKY34-(IF(SUM($D35:AKX35)&gt;0,0,IF(AKX$25&gt;AKX33,AKX33,0))),0)&lt;0,0,(IF(SUM($D35:AKX35)&gt;0,0,IF(AKX$25&gt;AKX33,AKX33,0)))))</f>
        <v>0</v>
      </c>
      <c r="AKZ35" s="115">
        <f>IF(SUM($D$28:AKY28)=0,0,IF(IF(AKZ34&gt;0,AKZ34-(IF(SUM($D35:AKY35)&gt;0,0,IF(AKY$25&gt;AKY33,AKY33,0))),0)&lt;0,0,(IF(SUM($D35:AKY35)&gt;0,0,IF(AKY$25&gt;AKY33,AKY33,0)))))</f>
        <v>0</v>
      </c>
      <c r="ALA35" s="115">
        <f>IF(SUM($D$28:AKZ28)=0,0,IF(IF(ALA34&gt;0,ALA34-(IF(SUM($D35:AKZ35)&gt;0,0,IF(AKZ$25&gt;AKZ33,AKZ33,0))),0)&lt;0,0,(IF(SUM($D35:AKZ35)&gt;0,0,IF(AKZ$25&gt;AKZ33,AKZ33,0)))))</f>
        <v>0</v>
      </c>
      <c r="ALB35" s="115">
        <f>IF(SUM($D$28:ALA28)=0,0,IF(IF(ALB34&gt;0,ALB34-(IF(SUM($D35:ALA35)&gt;0,0,IF(ALA$25&gt;ALA33,ALA33,0))),0)&lt;0,0,(IF(SUM($D35:ALA35)&gt;0,0,IF(ALA$25&gt;ALA33,ALA33,0)))))</f>
        <v>0</v>
      </c>
      <c r="ALC35" s="115">
        <f>IF(SUM($D$28:ALB28)=0,0,IF(IF(ALC34&gt;0,ALC34-(IF(SUM($D35:ALB35)&gt;0,0,IF(ALB$25&gt;ALB33,ALB33,0))),0)&lt;0,0,(IF(SUM($D35:ALB35)&gt;0,0,IF(ALB$25&gt;ALB33,ALB33,0)))))</f>
        <v>0</v>
      </c>
      <c r="ALD35" s="115">
        <f>IF(SUM($D$28:ALC28)=0,0,IF(IF(ALD34&gt;0,ALD34-(IF(SUM($D35:ALC35)&gt;0,0,IF(ALC$25&gt;ALC33,ALC33,0))),0)&lt;0,0,(IF(SUM($D35:ALC35)&gt;0,0,IF(ALC$25&gt;ALC33,ALC33,0)))))</f>
        <v>0</v>
      </c>
      <c r="ALE35" s="115">
        <f>IF(SUM($D$28:ALD28)=0,0,IF(IF(ALE34&gt;0,ALE34-(IF(SUM($D35:ALD35)&gt;0,0,IF(ALD$25&gt;ALD33,ALD33,0))),0)&lt;0,0,(IF(SUM($D35:ALD35)&gt;0,0,IF(ALD$25&gt;ALD33,ALD33,0)))))</f>
        <v>0</v>
      </c>
      <c r="ALF35" s="115">
        <f>IF(SUM($D$28:ALE28)=0,0,IF(IF(ALF34&gt;0,ALF34-(IF(SUM($D35:ALE35)&gt;0,0,IF(ALE$25&gt;ALE33,ALE33,0))),0)&lt;0,0,(IF(SUM($D35:ALE35)&gt;0,0,IF(ALE$25&gt;ALE33,ALE33,0)))))</f>
        <v>0</v>
      </c>
      <c r="ALG35" s="115">
        <f>IF(SUM($D$28:ALF28)=0,0,IF(IF(ALG34&gt;0,ALG34-(IF(SUM($D35:ALF35)&gt;0,0,IF(ALF$25&gt;ALF33,ALF33,0))),0)&lt;0,0,(IF(SUM($D35:ALF35)&gt;0,0,IF(ALF$25&gt;ALF33,ALF33,0)))))</f>
        <v>0</v>
      </c>
      <c r="ALH35" s="115">
        <f>IF(SUM($D$28:ALG28)=0,0,IF(IF(ALH34&gt;0,ALH34-(IF(SUM($D35:ALG35)&gt;0,0,IF(ALG$25&gt;ALG33,ALG33,0))),0)&lt;0,0,(IF(SUM($D35:ALG35)&gt;0,0,IF(ALG$25&gt;ALG33,ALG33,0)))))</f>
        <v>0</v>
      </c>
      <c r="ALI35" s="115">
        <f>IF(SUM($D$28:ALH28)=0,0,IF(IF(ALI34&gt;0,ALI34-(IF(SUM($D35:ALH35)&gt;0,0,IF(ALH$25&gt;ALH33,ALH33,0))),0)&lt;0,0,(IF(SUM($D35:ALH35)&gt;0,0,IF(ALH$25&gt;ALH33,ALH33,0)))))</f>
        <v>0</v>
      </c>
      <c r="ALJ35" s="115">
        <f>IF(SUM($D$28:ALI28)=0,0,IF(IF(ALJ34&gt;0,ALJ34-(IF(SUM($D35:ALI35)&gt;0,0,IF(ALI$25&gt;ALI33,ALI33,0))),0)&lt;0,0,(IF(SUM($D35:ALI35)&gt;0,0,IF(ALI$25&gt;ALI33,ALI33,0)))))</f>
        <v>0</v>
      </c>
      <c r="ALK35" s="115">
        <f>IF(SUM($D$28:ALJ28)=0,0,IF(IF(ALK34&gt;0,ALK34-(IF(SUM($D35:ALJ35)&gt;0,0,IF(ALJ$25&gt;ALJ33,ALJ33,0))),0)&lt;0,0,(IF(SUM($D35:ALJ35)&gt;0,0,IF(ALJ$25&gt;ALJ33,ALJ33,0)))))</f>
        <v>0</v>
      </c>
      <c r="ALL35" s="115">
        <f>IF(SUM($D$28:ALK28)=0,0,IF(IF(ALL34&gt;0,ALL34-(IF(SUM($D35:ALK35)&gt;0,0,IF(ALK$25&gt;ALK33,ALK33,0))),0)&lt;0,0,(IF(SUM($D35:ALK35)&gt;0,0,IF(ALK$25&gt;ALK33,ALK33,0)))))</f>
        <v>0</v>
      </c>
      <c r="ALM35" s="115">
        <f>IF(SUM($D$28:ALL28)=0,0,IF(IF(ALM34&gt;0,ALM34-(IF(SUM($D35:ALL35)&gt;0,0,IF(ALL$25&gt;ALL33,ALL33,0))),0)&lt;0,0,(IF(SUM($D35:ALL35)&gt;0,0,IF(ALL$25&gt;ALL33,ALL33,0)))))</f>
        <v>0</v>
      </c>
      <c r="ALN35" s="115">
        <f>IF(SUM($D$28:ALM28)=0,0,IF(IF(ALN34&gt;0,ALN34-(IF(SUM($D35:ALM35)&gt;0,0,IF(ALM$25&gt;ALM33,ALM33,0))),0)&lt;0,0,(IF(SUM($D35:ALM35)&gt;0,0,IF(ALM$25&gt;ALM33,ALM33,0)))))</f>
        <v>0</v>
      </c>
      <c r="ALO35" s="115">
        <f>IF(SUM($D$28:ALN28)=0,0,IF(IF(ALO34&gt;0,ALO34-(IF(SUM($D35:ALN35)&gt;0,0,IF(ALN$25&gt;ALN33,ALN33,0))),0)&lt;0,0,(IF(SUM($D35:ALN35)&gt;0,0,IF(ALN$25&gt;ALN33,ALN33,0)))))</f>
        <v>0</v>
      </c>
      <c r="ALP35" s="115">
        <f>IF(SUM($D$28:ALO28)=0,0,IF(IF(ALP34&gt;0,ALP34-(IF(SUM($D35:ALO35)&gt;0,0,IF(ALO$25&gt;ALO33,ALO33,0))),0)&lt;0,0,(IF(SUM($D35:ALO35)&gt;0,0,IF(ALO$25&gt;ALO33,ALO33,0)))))</f>
        <v>0</v>
      </c>
      <c r="ALQ35" s="115">
        <f>IF(SUM($D$28:ALP28)=0,0,IF(IF(ALQ34&gt;0,ALQ34-(IF(SUM($D35:ALP35)&gt;0,0,IF(ALP$25&gt;ALP33,ALP33,0))),0)&lt;0,0,(IF(SUM($D35:ALP35)&gt;0,0,IF(ALP$25&gt;ALP33,ALP33,0)))))</f>
        <v>0</v>
      </c>
      <c r="ALR35" s="115">
        <f>IF(SUM($D$28:ALQ28)=0,0,IF(IF(ALR34&gt;0,ALR34-(IF(SUM($D35:ALQ35)&gt;0,0,IF(ALQ$25&gt;ALQ33,ALQ33,0))),0)&lt;0,0,(IF(SUM($D35:ALQ35)&gt;0,0,IF(ALQ$25&gt;ALQ33,ALQ33,0)))))</f>
        <v>0</v>
      </c>
      <c r="ALS35" s="115">
        <f>IF(SUM($D$28:ALR28)=0,0,IF(IF(ALS34&gt;0,ALS34-(IF(SUM($D35:ALR35)&gt;0,0,IF(ALR$25&gt;ALR33,ALR33,0))),0)&lt;0,0,(IF(SUM($D35:ALR35)&gt;0,0,IF(ALR$25&gt;ALR33,ALR33,0)))))</f>
        <v>0</v>
      </c>
      <c r="ALT35" s="115">
        <f>IF(SUM($D$28:ALS28)=0,0,IF(IF(ALT34&gt;0,ALT34-(IF(SUM($D35:ALS35)&gt;0,0,IF(ALS$25&gt;ALS33,ALS33,0))),0)&lt;0,0,(IF(SUM($D35:ALS35)&gt;0,0,IF(ALS$25&gt;ALS33,ALS33,0)))))</f>
        <v>0</v>
      </c>
      <c r="ALU35" s="115">
        <f>IF(SUM($D$28:ALT28)=0,0,IF(IF(ALU34&gt;0,ALU34-(IF(SUM($D35:ALT35)&gt;0,0,IF(ALT$25&gt;ALT33,ALT33,0))),0)&lt;0,0,(IF(SUM($D35:ALT35)&gt;0,0,IF(ALT$25&gt;ALT33,ALT33,0)))))</f>
        <v>0</v>
      </c>
      <c r="ALV35" s="115">
        <f>IF(SUM($D$28:ALU28)=0,0,IF(IF(ALV34&gt;0,ALV34-(IF(SUM($D35:ALU35)&gt;0,0,IF(ALU$25&gt;ALU33,ALU33,0))),0)&lt;0,0,(IF(SUM($D35:ALU35)&gt;0,0,IF(ALU$25&gt;ALU33,ALU33,0)))))</f>
        <v>0</v>
      </c>
      <c r="ALW35" s="115">
        <f>IF(SUM($D$28:ALV28)=0,0,IF(IF(ALW34&gt;0,ALW34-(IF(SUM($D35:ALV35)&gt;0,0,IF(ALV$25&gt;ALV33,ALV33,0))),0)&lt;0,0,(IF(SUM($D35:ALV35)&gt;0,0,IF(ALV$25&gt;ALV33,ALV33,0)))))</f>
        <v>0</v>
      </c>
      <c r="ALX35" s="115">
        <f>IF(SUM($D$28:ALW28)=0,0,IF(IF(ALX34&gt;0,ALX34-(IF(SUM($D35:ALW35)&gt;0,0,IF(ALW$25&gt;ALW33,ALW33,0))),0)&lt;0,0,(IF(SUM($D35:ALW35)&gt;0,0,IF(ALW$25&gt;ALW33,ALW33,0)))))</f>
        <v>0</v>
      </c>
      <c r="ALY35" s="115">
        <f>IF(SUM($D$28:ALX28)=0,0,IF(IF(ALY34&gt;0,ALY34-(IF(SUM($D35:ALX35)&gt;0,0,IF(ALX$25&gt;ALX33,ALX33,0))),0)&lt;0,0,(IF(SUM($D35:ALX35)&gt;0,0,IF(ALX$25&gt;ALX33,ALX33,0)))))</f>
        <v>0</v>
      </c>
      <c r="ALZ35" s="115">
        <f>IF(SUM($D$28:ALY28)=0,0,IF(IF(ALZ34&gt;0,ALZ34-(IF(SUM($D35:ALY35)&gt;0,0,IF(ALY$25&gt;ALY33,ALY33,0))),0)&lt;0,0,(IF(SUM($D35:ALY35)&gt;0,0,IF(ALY$25&gt;ALY33,ALY33,0)))))</f>
        <v>0</v>
      </c>
      <c r="AMA35" s="115">
        <f>IF(SUM($D$28:ALZ28)=0,0,IF(IF(AMA34&gt;0,AMA34-(IF(SUM($D35:ALZ35)&gt;0,0,IF(ALZ$25&gt;ALZ33,ALZ33,0))),0)&lt;0,0,(IF(SUM($D35:ALZ35)&gt;0,0,IF(ALZ$25&gt;ALZ33,ALZ33,0)))))</f>
        <v>0</v>
      </c>
      <c r="AMB35" s="115">
        <f>IF(SUM($D$28:AMA28)=0,0,IF(IF(AMB34&gt;0,AMB34-(IF(SUM($D35:AMA35)&gt;0,0,IF(AMA$25&gt;AMA33,AMA33,0))),0)&lt;0,0,(IF(SUM($D35:AMA35)&gt;0,0,IF(AMA$25&gt;AMA33,AMA33,0)))))</f>
        <v>0</v>
      </c>
      <c r="AMC35" s="115">
        <f>IF(SUM($D$28:AMB28)=0,0,IF(IF(AMC34&gt;0,AMC34-(IF(SUM($D35:AMB35)&gt;0,0,IF(AMB$25&gt;AMB33,AMB33,0))),0)&lt;0,0,(IF(SUM($D35:AMB35)&gt;0,0,IF(AMB$25&gt;AMB33,AMB33,0)))))</f>
        <v>0</v>
      </c>
      <c r="AMD35" s="115">
        <f>IF(SUM($D$28:AMC28)=0,0,IF(IF(AMD34&gt;0,AMD34-(IF(SUM($D35:AMC35)&gt;0,0,IF(AMC$25&gt;AMC33,AMC33,0))),0)&lt;0,0,(IF(SUM($D35:AMC35)&gt;0,0,IF(AMC$25&gt;AMC33,AMC33,0)))))</f>
        <v>0</v>
      </c>
      <c r="AME35" s="115">
        <f>IF(SUM($D$28:AMD28)=0,0,IF(IF(AME34&gt;0,AME34-(IF(SUM($D35:AMD35)&gt;0,0,IF(AMD$25&gt;AMD33,AMD33,0))),0)&lt;0,0,(IF(SUM($D35:AMD35)&gt;0,0,IF(AMD$25&gt;AMD33,AMD33,0)))))</f>
        <v>0</v>
      </c>
      <c r="AMF35" s="115">
        <f>IF(SUM($D$28:AME28)=0,0,IF(IF(AMF34&gt;0,AMF34-(IF(SUM($D35:AME35)&gt;0,0,IF(AME$25&gt;AME33,AME33,0))),0)&lt;0,0,(IF(SUM($D35:AME35)&gt;0,0,IF(AME$25&gt;AME33,AME33,0)))))</f>
        <v>0</v>
      </c>
      <c r="AMG35" s="115">
        <f>IF(SUM($D$28:AMF28)=0,0,IF(IF(AMG34&gt;0,AMG34-(IF(SUM($D35:AMF35)&gt;0,0,IF(AMF$25&gt;AMF33,AMF33,0))),0)&lt;0,0,(IF(SUM($D35:AMF35)&gt;0,0,IF(AMF$25&gt;AMF33,AMF33,0)))))</f>
        <v>0</v>
      </c>
      <c r="AMH35" s="115">
        <f>IF(SUM($D$28:AMG28)=0,0,IF(IF(AMH34&gt;0,AMH34-(IF(SUM($D35:AMG35)&gt;0,0,IF(AMG$25&gt;AMG33,AMG33,0))),0)&lt;0,0,(IF(SUM($D35:AMG35)&gt;0,0,IF(AMG$25&gt;AMG33,AMG33,0)))))</f>
        <v>0</v>
      </c>
      <c r="AMI35" s="115">
        <f>IF(SUM($D$28:AMH28)=0,0,IF(IF(AMI34&gt;0,AMI34-(IF(SUM($D35:AMH35)&gt;0,0,IF(AMH$25&gt;AMH33,AMH33,0))),0)&lt;0,0,(IF(SUM($D35:AMH35)&gt;0,0,IF(AMH$25&gt;AMH33,AMH33,0)))))</f>
        <v>0</v>
      </c>
      <c r="AMJ35" s="115">
        <f>IF(SUM($D$28:AMI28)=0,0,IF(IF(AMJ34&gt;0,AMJ34-(IF(SUM($D35:AMI35)&gt;0,0,IF(AMI$25&gt;AMI33,AMI33,0))),0)&lt;0,0,(IF(SUM($D35:AMI35)&gt;0,0,IF(AMI$25&gt;AMI33,AMI33,0)))))</f>
        <v>0</v>
      </c>
      <c r="AMK35" s="115">
        <f>IF(SUM($D$28:AMJ28)=0,0,IF(IF(AMK34&gt;0,AMK34-(IF(SUM($D35:AMJ35)&gt;0,0,IF(AMJ$25&gt;AMJ33,AMJ33,0))),0)&lt;0,0,(IF(SUM($D35:AMJ35)&gt;0,0,IF(AMJ$25&gt;AMJ33,AMJ33,0)))))</f>
        <v>0</v>
      </c>
      <c r="AML35" s="115">
        <f>IF(SUM($D$28:AMK28)=0,0,IF(IF(AML34&gt;0,AML34-(IF(SUM($D35:AMK35)&gt;0,0,IF(AMK$25&gt;AMK33,AMK33,0))),0)&lt;0,0,(IF(SUM($D35:AMK35)&gt;0,0,IF(AMK$25&gt;AMK33,AMK33,0)))))</f>
        <v>0</v>
      </c>
      <c r="AMM35" s="115">
        <f>IF(SUM($D$28:AML28)=0,0,IF(IF(AMM34&gt;0,AMM34-(IF(SUM($D35:AML35)&gt;0,0,IF(AML$25&gt;AML33,AML33,0))),0)&lt;0,0,(IF(SUM($D35:AML35)&gt;0,0,IF(AML$25&gt;AML33,AML33,0)))))</f>
        <v>0</v>
      </c>
      <c r="AMN35" s="115">
        <f>IF(SUM($D$28:AMM28)=0,0,IF(IF(AMN34&gt;0,AMN34-(IF(SUM($D35:AMM35)&gt;0,0,IF(AMM$25&gt;AMM33,AMM33,0))),0)&lt;0,0,(IF(SUM($D35:AMM35)&gt;0,0,IF(AMM$25&gt;AMM33,AMM33,0)))))</f>
        <v>0</v>
      </c>
      <c r="AMO35" s="115">
        <f>IF(SUM($D$28:AMN28)=0,0,IF(IF(AMO34&gt;0,AMO34-(IF(SUM($D35:AMN35)&gt;0,0,IF(AMN$25&gt;AMN33,AMN33,0))),0)&lt;0,0,(IF(SUM($D35:AMN35)&gt;0,0,IF(AMN$25&gt;AMN33,AMN33,0)))))</f>
        <v>0</v>
      </c>
      <c r="AMP35" s="115">
        <f>IF(SUM($D$28:AMO28)=0,0,IF(IF(AMP34&gt;0,AMP34-(IF(SUM($D35:AMO35)&gt;0,0,IF(AMO$25&gt;AMO33,AMO33,0))),0)&lt;0,0,(IF(SUM($D35:AMO35)&gt;0,0,IF(AMO$25&gt;AMO33,AMO33,0)))))</f>
        <v>0</v>
      </c>
      <c r="AMQ35" s="115">
        <f>IF(SUM($D$28:AMP28)=0,0,IF(IF(AMQ34&gt;0,AMQ34-(IF(SUM($D35:AMP35)&gt;0,0,IF(AMP$25&gt;AMP33,AMP33,0))),0)&lt;0,0,(IF(SUM($D35:AMP35)&gt;0,0,IF(AMP$25&gt;AMP33,AMP33,0)))))</f>
        <v>0</v>
      </c>
      <c r="AMR35" s="115">
        <f>IF(SUM($D$28:AMQ28)=0,0,IF(IF(AMR34&gt;0,AMR34-(IF(SUM($D35:AMQ35)&gt;0,0,IF(AMQ$25&gt;AMQ33,AMQ33,0))),0)&lt;0,0,(IF(SUM($D35:AMQ35)&gt;0,0,IF(AMQ$25&gt;AMQ33,AMQ33,0)))))</f>
        <v>0</v>
      </c>
      <c r="AMS35" s="115">
        <f>IF(SUM($D$28:AMR28)=0,0,IF(IF(AMS34&gt;0,AMS34-(IF(SUM($D35:AMR35)&gt;0,0,IF(AMR$25&gt;AMR33,AMR33,0))),0)&lt;0,0,(IF(SUM($D35:AMR35)&gt;0,0,IF(AMR$25&gt;AMR33,AMR33,0)))))</f>
        <v>0</v>
      </c>
      <c r="AMT35" s="115">
        <f>IF(SUM($D$28:AMS28)=0,0,IF(IF(AMT34&gt;0,AMT34-(IF(SUM($D35:AMS35)&gt;0,0,IF(AMS$25&gt;AMS33,AMS33,0))),0)&lt;0,0,(IF(SUM($D35:AMS35)&gt;0,0,IF(AMS$25&gt;AMS33,AMS33,0)))))</f>
        <v>0</v>
      </c>
      <c r="AMU35" s="115">
        <f>IF(SUM($D$28:AMT28)=0,0,IF(IF(AMU34&gt;0,AMU34-(IF(SUM($D35:AMT35)&gt;0,0,IF(AMT$25&gt;AMT33,AMT33,0))),0)&lt;0,0,(IF(SUM($D35:AMT35)&gt;0,0,IF(AMT$25&gt;AMT33,AMT33,0)))))</f>
        <v>0</v>
      </c>
      <c r="AMV35" s="115">
        <f>IF(SUM($D$28:AMU28)=0,0,IF(IF(AMV34&gt;0,AMV34-(IF(SUM($D35:AMU35)&gt;0,0,IF(AMU$25&gt;AMU33,AMU33,0))),0)&lt;0,0,(IF(SUM($D35:AMU35)&gt;0,0,IF(AMU$25&gt;AMU33,AMU33,0)))))</f>
        <v>0</v>
      </c>
      <c r="AMW35" s="115">
        <f>IF(SUM($D$28:AMV28)=0,0,IF(IF(AMW34&gt;0,AMW34-(IF(SUM($D35:AMV35)&gt;0,0,IF(AMV$25&gt;AMV33,AMV33,0))),0)&lt;0,0,(IF(SUM($D35:AMV35)&gt;0,0,IF(AMV$25&gt;AMV33,AMV33,0)))))</f>
        <v>0</v>
      </c>
      <c r="AMX35" s="115">
        <f>IF(SUM($D$28:AMW28)=0,0,IF(IF(AMX34&gt;0,AMX34-(IF(SUM($D35:AMW35)&gt;0,0,IF(AMW$25&gt;AMW33,AMW33,0))),0)&lt;0,0,(IF(SUM($D35:AMW35)&gt;0,0,IF(AMW$25&gt;AMW33,AMW33,0)))))</f>
        <v>0</v>
      </c>
      <c r="AMY35" s="115">
        <f>IF(SUM($D$28:AMX28)=0,0,IF(IF(AMY34&gt;0,AMY34-(IF(SUM($D35:AMX35)&gt;0,0,IF(AMX$25&gt;AMX33,AMX33,0))),0)&lt;0,0,(IF(SUM($D35:AMX35)&gt;0,0,IF(AMX$25&gt;AMX33,AMX33,0)))))</f>
        <v>0</v>
      </c>
      <c r="AMZ35" s="115">
        <f>IF(SUM($D$28:AMY28)=0,0,IF(IF(AMZ34&gt;0,AMZ34-(IF(SUM($D35:AMY35)&gt;0,0,IF(AMY$25&gt;AMY33,AMY33,0))),0)&lt;0,0,(IF(SUM($D35:AMY35)&gt;0,0,IF(AMY$25&gt;AMY33,AMY33,0)))))</f>
        <v>0</v>
      </c>
      <c r="ANA35" s="115">
        <f>IF(SUM($D$28:AMZ28)=0,0,IF(IF(ANA34&gt;0,ANA34-(IF(SUM($D35:AMZ35)&gt;0,0,IF(AMZ$25&gt;AMZ33,AMZ33,0))),0)&lt;0,0,(IF(SUM($D35:AMZ35)&gt;0,0,IF(AMZ$25&gt;AMZ33,AMZ33,0)))))</f>
        <v>0</v>
      </c>
      <c r="ANB35" s="115">
        <f>IF(SUM($D$28:ANA28)=0,0,IF(IF(ANB34&gt;0,ANB34-(IF(SUM($D35:ANA35)&gt;0,0,IF(ANA$25&gt;ANA33,ANA33,0))),0)&lt;0,0,(IF(SUM($D35:ANA35)&gt;0,0,IF(ANA$25&gt;ANA33,ANA33,0)))))</f>
        <v>0</v>
      </c>
      <c r="ANC35" s="115">
        <f>IF(SUM($D$28:ANB28)=0,0,IF(IF(ANC34&gt;0,ANC34-(IF(SUM($D35:ANB35)&gt;0,0,IF(ANB$25&gt;ANB33,ANB33,0))),0)&lt;0,0,(IF(SUM($D35:ANB35)&gt;0,0,IF(ANB$25&gt;ANB33,ANB33,0)))))</f>
        <v>0</v>
      </c>
      <c r="AND35" s="115">
        <f>IF(SUM($D$28:ANC28)=0,0,IF(IF(AND34&gt;0,AND34-(IF(SUM($D35:ANC35)&gt;0,0,IF(ANC$25&gt;ANC33,ANC33,0))),0)&lt;0,0,(IF(SUM($D35:ANC35)&gt;0,0,IF(ANC$25&gt;ANC33,ANC33,0)))))</f>
        <v>0</v>
      </c>
      <c r="ANE35" s="115">
        <f>IF(SUM($D$28:AND28)=0,0,IF(IF(ANE34&gt;0,ANE34-(IF(SUM($D35:AND35)&gt;0,0,IF(AND$25&gt;AND33,AND33,0))),0)&lt;0,0,(IF(SUM($D35:AND35)&gt;0,0,IF(AND$25&gt;AND33,AND33,0)))))</f>
        <v>0</v>
      </c>
      <c r="ANF35" s="115">
        <f>IF(SUM($D$28:ANE28)=0,0,IF(IF(ANF34&gt;0,ANF34-(IF(SUM($D35:ANE35)&gt;0,0,IF(ANE$25&gt;ANE33,ANE33,0))),0)&lt;0,0,(IF(SUM($D35:ANE35)&gt;0,0,IF(ANE$25&gt;ANE33,ANE33,0)))))</f>
        <v>0</v>
      </c>
      <c r="ANG35" s="115">
        <f>IF(SUM($D$28:ANF28)=0,0,IF(IF(ANG34&gt;0,ANG34-(IF(SUM($D35:ANF35)&gt;0,0,IF(ANF$25&gt;ANF33,ANF33,0))),0)&lt;0,0,(IF(SUM($D35:ANF35)&gt;0,0,IF(ANF$25&gt;ANF33,ANF33,0)))))</f>
        <v>0</v>
      </c>
      <c r="ANH35" s="115">
        <f>IF(SUM($D$28:ANG28)=0,0,IF(IF(ANH34&gt;0,ANH34-(IF(SUM($D35:ANG35)&gt;0,0,IF(ANG$25&gt;ANG33,ANG33,0))),0)&lt;0,0,(IF(SUM($D35:ANG35)&gt;0,0,IF(ANG$25&gt;ANG33,ANG33,0)))))</f>
        <v>0</v>
      </c>
      <c r="ANI35" s="115">
        <f>IF(SUM($D$28:ANH28)=0,0,IF(IF(ANI34&gt;0,ANI34-(IF(SUM($D35:ANH35)&gt;0,0,IF(ANH$25&gt;ANH33,ANH33,0))),0)&lt;0,0,(IF(SUM($D35:ANH35)&gt;0,0,IF(ANH$25&gt;ANH33,ANH33,0)))))</f>
        <v>0</v>
      </c>
      <c r="ANJ35" s="115">
        <f>IF(SUM($D$28:ANI28)=0,0,IF(IF(ANJ34&gt;0,ANJ34-(IF(SUM($D35:ANI35)&gt;0,0,IF(ANI$25&gt;ANI33,ANI33,0))),0)&lt;0,0,(IF(SUM($D35:ANI35)&gt;0,0,IF(ANI$25&gt;ANI33,ANI33,0)))))</f>
        <v>0</v>
      </c>
      <c r="ANK35" s="115">
        <f>IF(SUM($D$28:ANJ28)=0,0,IF(IF(ANK34&gt;0,ANK34-(IF(SUM($D35:ANJ35)&gt;0,0,IF(ANJ$25&gt;ANJ33,ANJ33,0))),0)&lt;0,0,(IF(SUM($D35:ANJ35)&gt;0,0,IF(ANJ$25&gt;ANJ33,ANJ33,0)))))</f>
        <v>0</v>
      </c>
      <c r="ANL35" s="115">
        <f>IF(SUM($D$28:ANK28)=0,0,IF(IF(ANL34&gt;0,ANL34-(IF(SUM($D35:ANK35)&gt;0,0,IF(ANK$25&gt;ANK33,ANK33,0))),0)&lt;0,0,(IF(SUM($D35:ANK35)&gt;0,0,IF(ANK$25&gt;ANK33,ANK33,0)))))</f>
        <v>0</v>
      </c>
      <c r="ANM35" s="115">
        <f>IF(SUM($D$28:ANL28)=0,0,IF(IF(ANM34&gt;0,ANM34-(IF(SUM($D35:ANL35)&gt;0,0,IF(ANL$25&gt;ANL33,ANL33,0))),0)&lt;0,0,(IF(SUM($D35:ANL35)&gt;0,0,IF(ANL$25&gt;ANL33,ANL33,0)))))</f>
        <v>0</v>
      </c>
      <c r="ANN35" s="115">
        <f>IF(SUM($D$28:ANM28)=0,0,IF(IF(ANN34&gt;0,ANN34-(IF(SUM($D35:ANM35)&gt;0,0,IF(ANM$25&gt;ANM33,ANM33,0))),0)&lt;0,0,(IF(SUM($D35:ANM35)&gt;0,0,IF(ANM$25&gt;ANM33,ANM33,0)))))</f>
        <v>0</v>
      </c>
      <c r="ANO35" s="115">
        <f>IF(SUM($D$28:ANN28)=0,0,IF(IF(ANO34&gt;0,ANO34-(IF(SUM($D35:ANN35)&gt;0,0,IF(ANN$25&gt;ANN33,ANN33,0))),0)&lt;0,0,(IF(SUM($D35:ANN35)&gt;0,0,IF(ANN$25&gt;ANN33,ANN33,0)))))</f>
        <v>0</v>
      </c>
      <c r="ANP35" s="115">
        <f>IF(SUM($D$28:ANO28)=0,0,IF(IF(ANP34&gt;0,ANP34-(IF(SUM($D35:ANO35)&gt;0,0,IF(ANO$25&gt;ANO33,ANO33,0))),0)&lt;0,0,(IF(SUM($D35:ANO35)&gt;0,0,IF(ANO$25&gt;ANO33,ANO33,0)))))</f>
        <v>0</v>
      </c>
      <c r="ANQ35" s="115">
        <f>IF(SUM($D$28:ANP28)=0,0,IF(IF(ANQ34&gt;0,ANQ34-(IF(SUM($D35:ANP35)&gt;0,0,IF(ANP$25&gt;ANP33,ANP33,0))),0)&lt;0,0,(IF(SUM($D35:ANP35)&gt;0,0,IF(ANP$25&gt;ANP33,ANP33,0)))))</f>
        <v>0</v>
      </c>
      <c r="ANR35" s="115">
        <f>IF(SUM($D$28:ANQ28)=0,0,IF(IF(ANR34&gt;0,ANR34-(IF(SUM($D35:ANQ35)&gt;0,0,IF(ANQ$25&gt;ANQ33,ANQ33,0))),0)&lt;0,0,(IF(SUM($D35:ANQ35)&gt;0,0,IF(ANQ$25&gt;ANQ33,ANQ33,0)))))</f>
        <v>0</v>
      </c>
      <c r="ANS35" s="115">
        <f>IF(SUM($D$28:ANR28)=0,0,IF(IF(ANS34&gt;0,ANS34-(IF(SUM($D35:ANR35)&gt;0,0,IF(ANR$25&gt;ANR33,ANR33,0))),0)&lt;0,0,(IF(SUM($D35:ANR35)&gt;0,0,IF(ANR$25&gt;ANR33,ANR33,0)))))</f>
        <v>0</v>
      </c>
      <c r="ANT35" s="115">
        <f>IF(SUM($D$28:ANS28)=0,0,IF(IF(ANT34&gt;0,ANT34-(IF(SUM($D35:ANS35)&gt;0,0,IF(ANS$25&gt;ANS33,ANS33,0))),0)&lt;0,0,(IF(SUM($D35:ANS35)&gt;0,0,IF(ANS$25&gt;ANS33,ANS33,0)))))</f>
        <v>0</v>
      </c>
      <c r="ANU35" s="115">
        <f>IF(SUM($D$28:ANT28)=0,0,IF(IF(ANU34&gt;0,ANU34-(IF(SUM($D35:ANT35)&gt;0,0,IF(ANT$25&gt;ANT33,ANT33,0))),0)&lt;0,0,(IF(SUM($D35:ANT35)&gt;0,0,IF(ANT$25&gt;ANT33,ANT33,0)))))</f>
        <v>0</v>
      </c>
      <c r="ANV35" s="115">
        <f>IF(SUM($D$28:ANU28)=0,0,IF(IF(ANV34&gt;0,ANV34-(IF(SUM($D35:ANU35)&gt;0,0,IF(ANU$25&gt;ANU33,ANU33,0))),0)&lt;0,0,(IF(SUM($D35:ANU35)&gt;0,0,IF(ANU$25&gt;ANU33,ANU33,0)))))</f>
        <v>0</v>
      </c>
      <c r="ANW35" s="115">
        <f>IF(SUM($D$28:ANV28)=0,0,IF(IF(ANW34&gt;0,ANW34-(IF(SUM($D35:ANV35)&gt;0,0,IF(ANV$25&gt;ANV33,ANV33,0))),0)&lt;0,0,(IF(SUM($D35:ANV35)&gt;0,0,IF(ANV$25&gt;ANV33,ANV33,0)))))</f>
        <v>0</v>
      </c>
      <c r="ANX35" s="115">
        <f>IF(SUM($D$28:ANW28)=0,0,IF(IF(ANX34&gt;0,ANX34-(IF(SUM($D35:ANW35)&gt;0,0,IF(ANW$25&gt;ANW33,ANW33,0))),0)&lt;0,0,(IF(SUM($D35:ANW35)&gt;0,0,IF(ANW$25&gt;ANW33,ANW33,0)))))</f>
        <v>0</v>
      </c>
      <c r="ANY35" s="115">
        <f>IF(SUM($D$28:ANX28)=0,0,IF(IF(ANY34&gt;0,ANY34-(IF(SUM($D35:ANX35)&gt;0,0,IF(ANX$25&gt;ANX33,ANX33,0))),0)&lt;0,0,(IF(SUM($D35:ANX35)&gt;0,0,IF(ANX$25&gt;ANX33,ANX33,0)))))</f>
        <v>0</v>
      </c>
      <c r="ANZ35" s="115">
        <f>IF(SUM($D$28:ANY28)=0,0,IF(IF(ANZ34&gt;0,ANZ34-(IF(SUM($D35:ANY35)&gt;0,0,IF(ANY$25&gt;ANY33,ANY33,0))),0)&lt;0,0,(IF(SUM($D35:ANY35)&gt;0,0,IF(ANY$25&gt;ANY33,ANY33,0)))))</f>
        <v>0</v>
      </c>
      <c r="AOA35" s="115">
        <f>IF(SUM($D$28:ANZ28)=0,0,IF(IF(AOA34&gt;0,AOA34-(IF(SUM($D35:ANZ35)&gt;0,0,IF(ANZ$25&gt;ANZ33,ANZ33,0))),0)&lt;0,0,(IF(SUM($D35:ANZ35)&gt;0,0,IF(ANZ$25&gt;ANZ33,ANZ33,0)))))</f>
        <v>0</v>
      </c>
      <c r="AOB35" s="115">
        <f>IF(SUM($D$28:AOA28)=0,0,IF(IF(AOB34&gt;0,AOB34-(IF(SUM($D35:AOA35)&gt;0,0,IF(AOA$25&gt;AOA33,AOA33,0))),0)&lt;0,0,(IF(SUM($D35:AOA35)&gt;0,0,IF(AOA$25&gt;AOA33,AOA33,0)))))</f>
        <v>0</v>
      </c>
      <c r="AOC35" s="115">
        <f>IF(SUM($D$28:AOB28)=0,0,IF(IF(AOC34&gt;0,AOC34-(IF(SUM($D35:AOB35)&gt;0,0,IF(AOB$25&gt;AOB33,AOB33,0))),0)&lt;0,0,(IF(SUM($D35:AOB35)&gt;0,0,IF(AOB$25&gt;AOB33,AOB33,0)))))</f>
        <v>0</v>
      </c>
      <c r="AOD35" s="115">
        <f>IF(SUM($D$28:AOC28)=0,0,IF(IF(AOD34&gt;0,AOD34-(IF(SUM($D35:AOC35)&gt;0,0,IF(AOC$25&gt;AOC33,AOC33,0))),0)&lt;0,0,(IF(SUM($D35:AOC35)&gt;0,0,IF(AOC$25&gt;AOC33,AOC33,0)))))</f>
        <v>0</v>
      </c>
      <c r="AOE35" s="115">
        <f>IF(SUM($D$28:AOD28)=0,0,IF(IF(AOE34&gt;0,AOE34-(IF(SUM($D35:AOD35)&gt;0,0,IF(AOD$25&gt;AOD33,AOD33,0))),0)&lt;0,0,(IF(SUM($D35:AOD35)&gt;0,0,IF(AOD$25&gt;AOD33,AOD33,0)))))</f>
        <v>0</v>
      </c>
      <c r="AOF35" s="115">
        <f>IF(SUM($D$28:AOE28)=0,0,IF(IF(AOF34&gt;0,AOF34-(IF(SUM($D35:AOE35)&gt;0,0,IF(AOE$25&gt;AOE33,AOE33,0))),0)&lt;0,0,(IF(SUM($D35:AOE35)&gt;0,0,IF(AOE$25&gt;AOE33,AOE33,0)))))</f>
        <v>0</v>
      </c>
      <c r="AOG35" s="115">
        <f>IF(SUM($D$28:AOF28)=0,0,IF(IF(AOG34&gt;0,AOG34-(IF(SUM($D35:AOF35)&gt;0,0,IF(AOF$25&gt;AOF33,AOF33,0))),0)&lt;0,0,(IF(SUM($D35:AOF35)&gt;0,0,IF(AOF$25&gt;AOF33,AOF33,0)))))</f>
        <v>0</v>
      </c>
      <c r="AOH35" s="115">
        <f>IF(SUM($D$28:AOG28)=0,0,IF(IF(AOH34&gt;0,AOH34-(IF(SUM($D35:AOG35)&gt;0,0,IF(AOG$25&gt;AOG33,AOG33,0))),0)&lt;0,0,(IF(SUM($D35:AOG35)&gt;0,0,IF(AOG$25&gt;AOG33,AOG33,0)))))</f>
        <v>0</v>
      </c>
      <c r="AOI35" s="115">
        <f>IF(SUM($D$28:AOH28)=0,0,IF(IF(AOI34&gt;0,AOI34-(IF(SUM($D35:AOH35)&gt;0,0,IF(AOH$25&gt;AOH33,AOH33,0))),0)&lt;0,0,(IF(SUM($D35:AOH35)&gt;0,0,IF(AOH$25&gt;AOH33,AOH33,0)))))</f>
        <v>0</v>
      </c>
      <c r="AOJ35" s="115">
        <f>IF(SUM($D$28:AOI28)=0,0,IF(IF(AOJ34&gt;0,AOJ34-(IF(SUM($D35:AOI35)&gt;0,0,IF(AOI$25&gt;AOI33,AOI33,0))),0)&lt;0,0,(IF(SUM($D35:AOI35)&gt;0,0,IF(AOI$25&gt;AOI33,AOI33,0)))))</f>
        <v>0</v>
      </c>
      <c r="AOK35" s="115">
        <f>IF(SUM($D$28:AOJ28)=0,0,IF(IF(AOK34&gt;0,AOK34-(IF(SUM($D35:AOJ35)&gt;0,0,IF(AOJ$25&gt;AOJ33,AOJ33,0))),0)&lt;0,0,(IF(SUM($D35:AOJ35)&gt;0,0,IF(AOJ$25&gt;AOJ33,AOJ33,0)))))</f>
        <v>0</v>
      </c>
      <c r="AOL35" s="115">
        <f>IF(SUM($D$28:AOK28)=0,0,IF(IF(AOL34&gt;0,AOL34-(IF(SUM($D35:AOK35)&gt;0,0,IF(AOK$25&gt;AOK33,AOK33,0))),0)&lt;0,0,(IF(SUM($D35:AOK35)&gt;0,0,IF(AOK$25&gt;AOK33,AOK33,0)))))</f>
        <v>0</v>
      </c>
      <c r="AOM35" s="115">
        <f>IF(SUM($D$28:AOL28)=0,0,IF(IF(AOM34&gt;0,AOM34-(IF(SUM($D35:AOL35)&gt;0,0,IF(AOL$25&gt;AOL33,AOL33,0))),0)&lt;0,0,(IF(SUM($D35:AOL35)&gt;0,0,IF(AOL$25&gt;AOL33,AOL33,0)))))</f>
        <v>0</v>
      </c>
      <c r="AON35" s="115">
        <f>IF(SUM($D$28:AOM28)=0,0,IF(IF(AON34&gt;0,AON34-(IF(SUM($D35:AOM35)&gt;0,0,IF(AOM$25&gt;AOM33,AOM33,0))),0)&lt;0,0,(IF(SUM($D35:AOM35)&gt;0,0,IF(AOM$25&gt;AOM33,AOM33,0)))))</f>
        <v>0</v>
      </c>
      <c r="AOO35" s="115">
        <f>IF(SUM($D$28:AON28)=0,0,IF(IF(AOO34&gt;0,AOO34-(IF(SUM($D35:AON35)&gt;0,0,IF(AON$25&gt;AON33,AON33,0))),0)&lt;0,0,(IF(SUM($D35:AON35)&gt;0,0,IF(AON$25&gt;AON33,AON33,0)))))</f>
        <v>0</v>
      </c>
      <c r="AOP35" s="115">
        <f>IF(SUM($D$28:AOO28)=0,0,IF(IF(AOP34&gt;0,AOP34-(IF(SUM($D35:AOO35)&gt;0,0,IF(AOO$25&gt;AOO33,AOO33,0))),0)&lt;0,0,(IF(SUM($D35:AOO35)&gt;0,0,IF(AOO$25&gt;AOO33,AOO33,0)))))</f>
        <v>0</v>
      </c>
      <c r="AOQ35" s="115">
        <f>IF(SUM($D$28:AOP28)=0,0,IF(IF(AOQ34&gt;0,AOQ34-(IF(SUM($D35:AOP35)&gt;0,0,IF(AOP$25&gt;AOP33,AOP33,0))),0)&lt;0,0,(IF(SUM($D35:AOP35)&gt;0,0,IF(AOP$25&gt;AOP33,AOP33,0)))))</f>
        <v>0</v>
      </c>
    </row>
    <row r="36" spans="1:1083" x14ac:dyDescent="0.25">
      <c r="B36" s="116" t="s">
        <v>299</v>
      </c>
      <c r="C36" s="115">
        <f>SUM(D36:AOQ36)</f>
        <v>638</v>
      </c>
      <c r="D36" s="115">
        <f>IF(D35&gt;0,D$17,0)</f>
        <v>0</v>
      </c>
      <c r="E36" s="115">
        <f t="shared" ref="E36" si="323">IF(E35&gt;0,E$17,0)</f>
        <v>0</v>
      </c>
      <c r="F36" s="115">
        <f t="shared" ref="F36" si="324">IF(F35&gt;0,F$17,0)</f>
        <v>0</v>
      </c>
      <c r="G36" s="115">
        <f t="shared" ref="G36" si="325">IF(G35&gt;0,G$17,0)</f>
        <v>0</v>
      </c>
      <c r="H36" s="115">
        <f t="shared" ref="H36" si="326">IF(H35&gt;0,H$17,0)</f>
        <v>0</v>
      </c>
      <c r="I36" s="115">
        <f t="shared" ref="I36" si="327">IF(I35&gt;0,I$17,0)</f>
        <v>0</v>
      </c>
      <c r="J36" s="115">
        <f t="shared" ref="J36" si="328">IF(J35&gt;0,J$17,0)</f>
        <v>0</v>
      </c>
      <c r="K36" s="115">
        <f t="shared" ref="K36" si="329">IF(K35&gt;0,K$17,0)</f>
        <v>0</v>
      </c>
      <c r="L36" s="115">
        <f t="shared" ref="L36" si="330">IF(L35&gt;0,L$17,0)</f>
        <v>0</v>
      </c>
      <c r="M36" s="115">
        <f t="shared" ref="M36" si="331">IF(M35&gt;0,M$17,0)</f>
        <v>0</v>
      </c>
      <c r="N36" s="115">
        <f t="shared" ref="N36" si="332">IF(N35&gt;0,N$17,0)</f>
        <v>0</v>
      </c>
      <c r="O36" s="115">
        <f t="shared" ref="O36" si="333">IF(O35&gt;0,O$17,0)</f>
        <v>0</v>
      </c>
      <c r="P36" s="115">
        <f t="shared" ref="P36" si="334">IF(P35&gt;0,P$17,0)</f>
        <v>0</v>
      </c>
      <c r="Q36" s="115">
        <f t="shared" ref="Q36" si="335">IF(Q35&gt;0,Q$17,0)</f>
        <v>0</v>
      </c>
      <c r="R36" s="115">
        <f t="shared" ref="R36" si="336">IF(R35&gt;0,R$17,0)</f>
        <v>0</v>
      </c>
      <c r="S36" s="115">
        <f t="shared" ref="S36" si="337">IF(S35&gt;0,S$17,0)</f>
        <v>0</v>
      </c>
      <c r="T36" s="115">
        <f t="shared" ref="T36" si="338">IF(T35&gt;0,T$17,0)</f>
        <v>0</v>
      </c>
      <c r="U36" s="115">
        <f t="shared" ref="U36" si="339">IF(U35&gt;0,U$17,0)</f>
        <v>0</v>
      </c>
      <c r="V36" s="115">
        <f t="shared" ref="V36" si="340">IF(V35&gt;0,V$17,0)</f>
        <v>0</v>
      </c>
      <c r="W36" s="115">
        <f t="shared" ref="W36" si="341">IF(W35&gt;0,W$17,0)</f>
        <v>0</v>
      </c>
      <c r="X36" s="115">
        <f t="shared" ref="X36" si="342">IF(X35&gt;0,X$17,0)</f>
        <v>0</v>
      </c>
      <c r="Y36" s="115">
        <f t="shared" ref="Y36" si="343">IF(Y35&gt;0,Y$17,0)</f>
        <v>0</v>
      </c>
      <c r="Z36" s="115">
        <f t="shared" ref="Z36" si="344">IF(Z35&gt;0,Z$17,0)</f>
        <v>0</v>
      </c>
      <c r="AA36" s="115">
        <f t="shared" ref="AA36" si="345">IF(AA35&gt;0,AA$17,0)</f>
        <v>0</v>
      </c>
      <c r="AB36" s="115">
        <f t="shared" ref="AB36" si="346">IF(AB35&gt;0,AB$17,0)</f>
        <v>0</v>
      </c>
      <c r="AC36" s="115">
        <f t="shared" ref="AC36" si="347">IF(AC35&gt;0,AC$17,0)</f>
        <v>0</v>
      </c>
      <c r="AD36" s="115">
        <f t="shared" ref="AD36" si="348">IF(AD35&gt;0,AD$17,0)</f>
        <v>0</v>
      </c>
      <c r="AE36" s="115">
        <f t="shared" ref="AE36" si="349">IF(AE35&gt;0,AE$17,0)</f>
        <v>0</v>
      </c>
      <c r="AF36" s="115">
        <f t="shared" ref="AF36" si="350">IF(AF35&gt;0,AF$17,0)</f>
        <v>0</v>
      </c>
      <c r="AG36" s="115">
        <f t="shared" ref="AG36" si="351">IF(AG35&gt;0,AG$17,0)</f>
        <v>0</v>
      </c>
      <c r="AH36" s="115">
        <f t="shared" ref="AH36" si="352">IF(AH35&gt;0,AH$17,0)</f>
        <v>0</v>
      </c>
      <c r="AI36" s="115">
        <f t="shared" ref="AI36" si="353">IF(AI35&gt;0,AI$17,0)</f>
        <v>0</v>
      </c>
      <c r="AJ36" s="115">
        <f t="shared" ref="AJ36" si="354">IF(AJ35&gt;0,AJ$17,0)</f>
        <v>0</v>
      </c>
      <c r="AK36" s="115">
        <f t="shared" ref="AK36" si="355">IF(AK35&gt;0,AK$17,0)</f>
        <v>0</v>
      </c>
      <c r="AL36" s="115">
        <f t="shared" ref="AL36" si="356">IF(AL35&gt;0,AL$17,0)</f>
        <v>0</v>
      </c>
      <c r="AM36" s="115">
        <f t="shared" ref="AM36" si="357">IF(AM35&gt;0,AM$17,0)</f>
        <v>0</v>
      </c>
      <c r="AN36" s="115">
        <f t="shared" ref="AN36" si="358">IF(AN35&gt;0,AN$17,0)</f>
        <v>0</v>
      </c>
      <c r="AO36" s="115">
        <f t="shared" ref="AO36" si="359">IF(AO35&gt;0,AO$17,0)</f>
        <v>0</v>
      </c>
      <c r="AP36" s="115">
        <f t="shared" ref="AP36" si="360">IF(AP35&gt;0,AP$17,0)</f>
        <v>0</v>
      </c>
      <c r="AQ36" s="115">
        <f t="shared" ref="AQ36" si="361">IF(AQ35&gt;0,AQ$17,0)</f>
        <v>0</v>
      </c>
      <c r="AR36" s="115">
        <f t="shared" ref="AR36" si="362">IF(AR35&gt;0,AR$17,0)</f>
        <v>0</v>
      </c>
      <c r="AS36" s="115">
        <f t="shared" ref="AS36" si="363">IF(AS35&gt;0,AS$17,0)</f>
        <v>0</v>
      </c>
      <c r="AT36" s="115">
        <f t="shared" ref="AT36" si="364">IF(AT35&gt;0,AT$17,0)</f>
        <v>0</v>
      </c>
      <c r="AU36" s="115">
        <f t="shared" ref="AU36" si="365">IF(AU35&gt;0,AU$17,0)</f>
        <v>0</v>
      </c>
      <c r="AV36" s="115">
        <f t="shared" ref="AV36" si="366">IF(AV35&gt;0,AV$17,0)</f>
        <v>0</v>
      </c>
      <c r="AW36" s="115">
        <f t="shared" ref="AW36" si="367">IF(AW35&gt;0,AW$17,0)</f>
        <v>0</v>
      </c>
      <c r="AX36" s="115">
        <f t="shared" ref="AX36" si="368">IF(AX35&gt;0,AX$17,0)</f>
        <v>0</v>
      </c>
      <c r="AY36" s="115">
        <f t="shared" ref="AY36" si="369">IF(AY35&gt;0,AY$17,0)</f>
        <v>0</v>
      </c>
      <c r="AZ36" s="115">
        <f t="shared" ref="AZ36" si="370">IF(AZ35&gt;0,AZ$17,0)</f>
        <v>0</v>
      </c>
      <c r="BA36" s="115">
        <f t="shared" ref="BA36" si="371">IF(BA35&gt;0,BA$17,0)</f>
        <v>0</v>
      </c>
      <c r="BB36" s="115">
        <f t="shared" ref="BB36" si="372">IF(BB35&gt;0,BB$17,0)</f>
        <v>0</v>
      </c>
      <c r="BC36" s="115">
        <f t="shared" ref="BC36" si="373">IF(BC35&gt;0,BC$17,0)</f>
        <v>0</v>
      </c>
      <c r="BD36" s="115">
        <f t="shared" ref="BD36" si="374">IF(BD35&gt;0,BD$17,0)</f>
        <v>0</v>
      </c>
      <c r="BE36" s="115">
        <f t="shared" ref="BE36" si="375">IF(BE35&gt;0,BE$17,0)</f>
        <v>0</v>
      </c>
      <c r="BF36" s="115">
        <f t="shared" ref="BF36" si="376">IF(BF35&gt;0,BF$17,0)</f>
        <v>0</v>
      </c>
      <c r="BG36" s="115">
        <f t="shared" ref="BG36" si="377">IF(BG35&gt;0,BG$17,0)</f>
        <v>0</v>
      </c>
      <c r="BH36" s="115">
        <f t="shared" ref="BH36" si="378">IF(BH35&gt;0,BH$17,0)</f>
        <v>0</v>
      </c>
      <c r="BI36" s="115">
        <f t="shared" ref="BI36" si="379">IF(BI35&gt;0,BI$17,0)</f>
        <v>0</v>
      </c>
      <c r="BJ36" s="115">
        <f t="shared" ref="BJ36" si="380">IF(BJ35&gt;0,BJ$17,0)</f>
        <v>0</v>
      </c>
      <c r="BK36" s="115">
        <f t="shared" ref="BK36" si="381">IF(BK35&gt;0,BK$17,0)</f>
        <v>0</v>
      </c>
      <c r="BL36" s="115">
        <f t="shared" ref="BL36" si="382">IF(BL35&gt;0,BL$17,0)</f>
        <v>0</v>
      </c>
      <c r="BM36" s="115">
        <f t="shared" ref="BM36" si="383">IF(BM35&gt;0,BM$17,0)</f>
        <v>0</v>
      </c>
      <c r="BN36" s="115">
        <f t="shared" ref="BN36" si="384">IF(BN35&gt;0,BN$17,0)</f>
        <v>0</v>
      </c>
      <c r="BO36" s="115">
        <f t="shared" ref="BO36" si="385">IF(BO35&gt;0,BO$17,0)</f>
        <v>0</v>
      </c>
      <c r="BP36" s="115">
        <f t="shared" ref="BP36" si="386">IF(BP35&gt;0,BP$17,0)</f>
        <v>0</v>
      </c>
      <c r="BQ36" s="115">
        <f t="shared" ref="BQ36" si="387">IF(BQ35&gt;0,BQ$17,0)</f>
        <v>0</v>
      </c>
      <c r="BR36" s="115">
        <f t="shared" ref="BR36" si="388">IF(BR35&gt;0,BR$17,0)</f>
        <v>0</v>
      </c>
      <c r="BS36" s="115">
        <f t="shared" ref="BS36" si="389">IF(BS35&gt;0,BS$17,0)</f>
        <v>0</v>
      </c>
      <c r="BT36" s="115">
        <f t="shared" ref="BT36" si="390">IF(BT35&gt;0,BT$17,0)</f>
        <v>0</v>
      </c>
      <c r="BU36" s="115">
        <f t="shared" ref="BU36" si="391">IF(BU35&gt;0,BU$17,0)</f>
        <v>0</v>
      </c>
      <c r="BV36" s="115">
        <f t="shared" ref="BV36" si="392">IF(BV35&gt;0,BV$17,0)</f>
        <v>0</v>
      </c>
      <c r="BW36" s="115">
        <f t="shared" ref="BW36" si="393">IF(BW35&gt;0,BW$17,0)</f>
        <v>0</v>
      </c>
      <c r="BX36" s="115">
        <f t="shared" ref="BX36" si="394">IF(BX35&gt;0,BX$17,0)</f>
        <v>0</v>
      </c>
      <c r="BY36" s="115">
        <f t="shared" ref="BY36" si="395">IF(BY35&gt;0,BY$17,0)</f>
        <v>0</v>
      </c>
      <c r="BZ36" s="115">
        <f t="shared" ref="BZ36" si="396">IF(BZ35&gt;0,BZ$17,0)</f>
        <v>0</v>
      </c>
      <c r="CA36" s="115">
        <f t="shared" ref="CA36" si="397">IF(CA35&gt;0,CA$17,0)</f>
        <v>0</v>
      </c>
      <c r="CB36" s="115">
        <f t="shared" ref="CB36" si="398">IF(CB35&gt;0,CB$17,0)</f>
        <v>0</v>
      </c>
      <c r="CC36" s="115">
        <f t="shared" ref="CC36" si="399">IF(CC35&gt;0,CC$17,0)</f>
        <v>0</v>
      </c>
      <c r="CD36" s="115">
        <f t="shared" ref="CD36" si="400">IF(CD35&gt;0,CD$17,0)</f>
        <v>0</v>
      </c>
      <c r="CE36" s="115">
        <f t="shared" ref="CE36" si="401">IF(CE35&gt;0,CE$17,0)</f>
        <v>0</v>
      </c>
      <c r="CF36" s="115">
        <f t="shared" ref="CF36" si="402">IF(CF35&gt;0,CF$17,0)</f>
        <v>0</v>
      </c>
      <c r="CG36" s="115">
        <f t="shared" ref="CG36" si="403">IF(CG35&gt;0,CG$17,0)</f>
        <v>0</v>
      </c>
      <c r="CH36" s="115">
        <f t="shared" ref="CH36" si="404">IF(CH35&gt;0,CH$17,0)</f>
        <v>0</v>
      </c>
      <c r="CI36" s="115">
        <f t="shared" ref="CI36" si="405">IF(CI35&gt;0,CI$17,0)</f>
        <v>0</v>
      </c>
      <c r="CJ36" s="115">
        <f t="shared" ref="CJ36" si="406">IF(CJ35&gt;0,CJ$17,0)</f>
        <v>0</v>
      </c>
      <c r="CK36" s="115">
        <f t="shared" ref="CK36" si="407">IF(CK35&gt;0,CK$17,0)</f>
        <v>0</v>
      </c>
      <c r="CL36" s="115">
        <f t="shared" ref="CL36" si="408">IF(CL35&gt;0,CL$17,0)</f>
        <v>0</v>
      </c>
      <c r="CM36" s="115">
        <f t="shared" ref="CM36" si="409">IF(CM35&gt;0,CM$17,0)</f>
        <v>0</v>
      </c>
      <c r="CN36" s="115">
        <f t="shared" ref="CN36" si="410">IF(CN35&gt;0,CN$17,0)</f>
        <v>0</v>
      </c>
      <c r="CO36" s="115">
        <f t="shared" ref="CO36" si="411">IF(CO35&gt;0,CO$17,0)</f>
        <v>0</v>
      </c>
      <c r="CP36" s="115">
        <f t="shared" ref="CP36" si="412">IF(CP35&gt;0,CP$17,0)</f>
        <v>0</v>
      </c>
      <c r="CQ36" s="115">
        <f t="shared" ref="CQ36" si="413">IF(CQ35&gt;0,CQ$17,0)</f>
        <v>0</v>
      </c>
      <c r="CR36" s="115">
        <f t="shared" ref="CR36" si="414">IF(CR35&gt;0,CR$17,0)</f>
        <v>0</v>
      </c>
      <c r="CS36" s="115">
        <f t="shared" ref="CS36" si="415">IF(CS35&gt;0,CS$17,0)</f>
        <v>0</v>
      </c>
      <c r="CT36" s="115">
        <f t="shared" ref="CT36" si="416">IF(CT35&gt;0,CT$17,0)</f>
        <v>0</v>
      </c>
      <c r="CU36" s="115">
        <f t="shared" ref="CU36" si="417">IF(CU35&gt;0,CU$17,0)</f>
        <v>0</v>
      </c>
      <c r="CV36" s="115">
        <f t="shared" ref="CV36" si="418">IF(CV35&gt;0,CV$17,0)</f>
        <v>0</v>
      </c>
      <c r="CW36" s="115">
        <f t="shared" ref="CW36" si="419">IF(CW35&gt;0,CW$17,0)</f>
        <v>0</v>
      </c>
      <c r="CX36" s="115">
        <f t="shared" ref="CX36" si="420">IF(CX35&gt;0,CX$17,0)</f>
        <v>0</v>
      </c>
      <c r="CY36" s="115">
        <f t="shared" ref="CY36" si="421">IF(CY35&gt;0,CY$17,0)</f>
        <v>0</v>
      </c>
      <c r="CZ36" s="115">
        <f t="shared" ref="CZ36" si="422">IF(CZ35&gt;0,CZ$17,0)</f>
        <v>0</v>
      </c>
      <c r="DA36" s="115">
        <f t="shared" ref="DA36" si="423">IF(DA35&gt;0,DA$17,0)</f>
        <v>0</v>
      </c>
      <c r="DB36" s="115">
        <f t="shared" ref="DB36" si="424">IF(DB35&gt;0,DB$17,0)</f>
        <v>0</v>
      </c>
      <c r="DC36" s="115">
        <f t="shared" ref="DC36" si="425">IF(DC35&gt;0,DC$17,0)</f>
        <v>0</v>
      </c>
      <c r="DD36" s="115">
        <f t="shared" ref="DD36" si="426">IF(DD35&gt;0,DD$17,0)</f>
        <v>0</v>
      </c>
      <c r="DE36" s="115">
        <f t="shared" ref="DE36" si="427">IF(DE35&gt;0,DE$17,0)</f>
        <v>0</v>
      </c>
      <c r="DF36" s="115">
        <f t="shared" ref="DF36" si="428">IF(DF35&gt;0,DF$17,0)</f>
        <v>0</v>
      </c>
      <c r="DG36" s="115">
        <f t="shared" ref="DG36" si="429">IF(DG35&gt;0,DG$17,0)</f>
        <v>0</v>
      </c>
      <c r="DH36" s="115">
        <f t="shared" ref="DH36" si="430">IF(DH35&gt;0,DH$17,0)</f>
        <v>0</v>
      </c>
      <c r="DI36" s="115">
        <f t="shared" ref="DI36" si="431">IF(DI35&gt;0,DI$17,0)</f>
        <v>0</v>
      </c>
      <c r="DJ36" s="115">
        <f t="shared" ref="DJ36" si="432">IF(DJ35&gt;0,DJ$17,0)</f>
        <v>0</v>
      </c>
      <c r="DK36" s="115">
        <f t="shared" ref="DK36" si="433">IF(DK35&gt;0,DK$17,0)</f>
        <v>0</v>
      </c>
      <c r="DL36" s="115">
        <f t="shared" ref="DL36" si="434">IF(DL35&gt;0,DL$17,0)</f>
        <v>0</v>
      </c>
      <c r="DM36" s="115">
        <f t="shared" ref="DM36" si="435">IF(DM35&gt;0,DM$17,0)</f>
        <v>0</v>
      </c>
      <c r="DN36" s="115">
        <f t="shared" ref="DN36" si="436">IF(DN35&gt;0,DN$17,0)</f>
        <v>0</v>
      </c>
      <c r="DO36" s="115">
        <f t="shared" ref="DO36" si="437">IF(DO35&gt;0,DO$17,0)</f>
        <v>0</v>
      </c>
      <c r="DP36" s="115">
        <f t="shared" ref="DP36" si="438">IF(DP35&gt;0,DP$17,0)</f>
        <v>0</v>
      </c>
      <c r="DQ36" s="115">
        <f t="shared" ref="DQ36" si="439">IF(DQ35&gt;0,DQ$17,0)</f>
        <v>0</v>
      </c>
      <c r="DR36" s="115">
        <f t="shared" ref="DR36" si="440">IF(DR35&gt;0,DR$17,0)</f>
        <v>0</v>
      </c>
      <c r="DS36" s="115">
        <f t="shared" ref="DS36" si="441">IF(DS35&gt;0,DS$17,0)</f>
        <v>0</v>
      </c>
      <c r="DT36" s="115">
        <f t="shared" ref="DT36" si="442">IF(DT35&gt;0,DT$17,0)</f>
        <v>0</v>
      </c>
      <c r="DU36" s="115">
        <f t="shared" ref="DU36" si="443">IF(DU35&gt;0,DU$17,0)</f>
        <v>0</v>
      </c>
      <c r="DV36" s="115">
        <f t="shared" ref="DV36" si="444">IF(DV35&gt;0,DV$17,0)</f>
        <v>0</v>
      </c>
      <c r="DW36" s="115">
        <f t="shared" ref="DW36" si="445">IF(DW35&gt;0,DW$17,0)</f>
        <v>0</v>
      </c>
      <c r="DX36" s="115">
        <f t="shared" ref="DX36" si="446">IF(DX35&gt;0,DX$17,0)</f>
        <v>0</v>
      </c>
      <c r="DY36" s="115">
        <f t="shared" ref="DY36" si="447">IF(DY35&gt;0,DY$17,0)</f>
        <v>0</v>
      </c>
      <c r="DZ36" s="115">
        <f t="shared" ref="DZ36" si="448">IF(DZ35&gt;0,DZ$17,0)</f>
        <v>0</v>
      </c>
      <c r="EA36" s="115">
        <f t="shared" ref="EA36" si="449">IF(EA35&gt;0,EA$17,0)</f>
        <v>0</v>
      </c>
      <c r="EB36" s="115">
        <f t="shared" ref="EB36" si="450">IF(EB35&gt;0,EB$17,0)</f>
        <v>0</v>
      </c>
      <c r="EC36" s="115">
        <f t="shared" ref="EC36" si="451">IF(EC35&gt;0,EC$17,0)</f>
        <v>0</v>
      </c>
      <c r="ED36" s="115">
        <f t="shared" ref="ED36" si="452">IF(ED35&gt;0,ED$17,0)</f>
        <v>0</v>
      </c>
      <c r="EE36" s="115">
        <f t="shared" ref="EE36" si="453">IF(EE35&gt;0,EE$17,0)</f>
        <v>0</v>
      </c>
      <c r="EF36" s="115">
        <f t="shared" ref="EF36" si="454">IF(EF35&gt;0,EF$17,0)</f>
        <v>0</v>
      </c>
      <c r="EG36" s="115">
        <f t="shared" ref="EG36" si="455">IF(EG35&gt;0,EG$17,0)</f>
        <v>0</v>
      </c>
      <c r="EH36" s="115">
        <f t="shared" ref="EH36" si="456">IF(EH35&gt;0,EH$17,0)</f>
        <v>0</v>
      </c>
      <c r="EI36" s="115">
        <f t="shared" ref="EI36" si="457">IF(EI35&gt;0,EI$17,0)</f>
        <v>0</v>
      </c>
      <c r="EJ36" s="115">
        <f t="shared" ref="EJ36" si="458">IF(EJ35&gt;0,EJ$17,0)</f>
        <v>0</v>
      </c>
      <c r="EK36" s="115">
        <f t="shared" ref="EK36" si="459">IF(EK35&gt;0,EK$17,0)</f>
        <v>0</v>
      </c>
      <c r="EL36" s="115">
        <f t="shared" ref="EL36" si="460">IF(EL35&gt;0,EL$17,0)</f>
        <v>0</v>
      </c>
      <c r="EM36" s="115">
        <f t="shared" ref="EM36" si="461">IF(EM35&gt;0,EM$17,0)</f>
        <v>0</v>
      </c>
      <c r="EN36" s="115">
        <f t="shared" ref="EN36" si="462">IF(EN35&gt;0,EN$17,0)</f>
        <v>0</v>
      </c>
      <c r="EO36" s="115">
        <f t="shared" ref="EO36" si="463">IF(EO35&gt;0,EO$17,0)</f>
        <v>0</v>
      </c>
      <c r="EP36" s="115">
        <f t="shared" ref="EP36" si="464">IF(EP35&gt;0,EP$17,0)</f>
        <v>0</v>
      </c>
      <c r="EQ36" s="115">
        <f t="shared" ref="EQ36" si="465">IF(EQ35&gt;0,EQ$17,0)</f>
        <v>0</v>
      </c>
      <c r="ER36" s="115">
        <f t="shared" ref="ER36" si="466">IF(ER35&gt;0,ER$17,0)</f>
        <v>0</v>
      </c>
      <c r="ES36" s="115">
        <f t="shared" ref="ES36" si="467">IF(ES35&gt;0,ES$17,0)</f>
        <v>0</v>
      </c>
      <c r="ET36" s="115">
        <f t="shared" ref="ET36" si="468">IF(ET35&gt;0,ET$17,0)</f>
        <v>0</v>
      </c>
      <c r="EU36" s="115">
        <f t="shared" ref="EU36" si="469">IF(EU35&gt;0,EU$17,0)</f>
        <v>0</v>
      </c>
      <c r="EV36" s="115">
        <f t="shared" ref="EV36" si="470">IF(EV35&gt;0,EV$17,0)</f>
        <v>0</v>
      </c>
      <c r="EW36" s="115">
        <f t="shared" ref="EW36" si="471">IF(EW35&gt;0,EW$17,0)</f>
        <v>0</v>
      </c>
      <c r="EX36" s="115">
        <f t="shared" ref="EX36" si="472">IF(EX35&gt;0,EX$17,0)</f>
        <v>0</v>
      </c>
      <c r="EY36" s="115">
        <f t="shared" ref="EY36" si="473">IF(EY35&gt;0,EY$17,0)</f>
        <v>0</v>
      </c>
      <c r="EZ36" s="115">
        <f t="shared" ref="EZ36" si="474">IF(EZ35&gt;0,EZ$17,0)</f>
        <v>0</v>
      </c>
      <c r="FA36" s="115">
        <f t="shared" ref="FA36" si="475">IF(FA35&gt;0,FA$17,0)</f>
        <v>0</v>
      </c>
      <c r="FB36" s="115">
        <f t="shared" ref="FB36" si="476">IF(FB35&gt;0,FB$17,0)</f>
        <v>0</v>
      </c>
      <c r="FC36" s="115">
        <f t="shared" ref="FC36" si="477">IF(FC35&gt;0,FC$17,0)</f>
        <v>0</v>
      </c>
      <c r="FD36" s="115">
        <f t="shared" ref="FD36" si="478">IF(FD35&gt;0,FD$17,0)</f>
        <v>0</v>
      </c>
      <c r="FE36" s="115">
        <f t="shared" ref="FE36" si="479">IF(FE35&gt;0,FE$17,0)</f>
        <v>0</v>
      </c>
      <c r="FF36" s="115">
        <f t="shared" ref="FF36" si="480">IF(FF35&gt;0,FF$17,0)</f>
        <v>0</v>
      </c>
      <c r="FG36" s="115">
        <f t="shared" ref="FG36" si="481">IF(FG35&gt;0,FG$17,0)</f>
        <v>0</v>
      </c>
      <c r="FH36" s="115">
        <f t="shared" ref="FH36" si="482">IF(FH35&gt;0,FH$17,0)</f>
        <v>0</v>
      </c>
      <c r="FI36" s="115">
        <f t="shared" ref="FI36" si="483">IF(FI35&gt;0,FI$17,0)</f>
        <v>0</v>
      </c>
      <c r="FJ36" s="115">
        <f t="shared" ref="FJ36" si="484">IF(FJ35&gt;0,FJ$17,0)</f>
        <v>0</v>
      </c>
      <c r="FK36" s="115">
        <f t="shared" ref="FK36" si="485">IF(FK35&gt;0,FK$17,0)</f>
        <v>0</v>
      </c>
      <c r="FL36" s="115">
        <f t="shared" ref="FL36" si="486">IF(FL35&gt;0,FL$17,0)</f>
        <v>0</v>
      </c>
      <c r="FM36" s="115">
        <f t="shared" ref="FM36" si="487">IF(FM35&gt;0,FM$17,0)</f>
        <v>0</v>
      </c>
      <c r="FN36" s="115">
        <f t="shared" ref="FN36" si="488">IF(FN35&gt;0,FN$17,0)</f>
        <v>0</v>
      </c>
      <c r="FO36" s="115">
        <f t="shared" ref="FO36" si="489">IF(FO35&gt;0,FO$17,0)</f>
        <v>0</v>
      </c>
      <c r="FP36" s="115">
        <f t="shared" ref="FP36" si="490">IF(FP35&gt;0,FP$17,0)</f>
        <v>0</v>
      </c>
      <c r="FQ36" s="115">
        <f t="shared" ref="FQ36" si="491">IF(FQ35&gt;0,FQ$17,0)</f>
        <v>0</v>
      </c>
      <c r="FR36" s="115">
        <f t="shared" ref="FR36" si="492">IF(FR35&gt;0,FR$17,0)</f>
        <v>0</v>
      </c>
      <c r="FS36" s="115">
        <f t="shared" ref="FS36" si="493">IF(FS35&gt;0,FS$17,0)</f>
        <v>0</v>
      </c>
      <c r="FT36" s="115">
        <f t="shared" ref="FT36" si="494">IF(FT35&gt;0,FT$17,0)</f>
        <v>0</v>
      </c>
      <c r="FU36" s="115">
        <f t="shared" ref="FU36" si="495">IF(FU35&gt;0,FU$17,0)</f>
        <v>0</v>
      </c>
      <c r="FV36" s="115">
        <f t="shared" ref="FV36" si="496">IF(FV35&gt;0,FV$17,0)</f>
        <v>0</v>
      </c>
      <c r="FW36" s="115">
        <f t="shared" ref="FW36" si="497">IF(FW35&gt;0,FW$17,0)</f>
        <v>0</v>
      </c>
      <c r="FX36" s="115">
        <f t="shared" ref="FX36" si="498">IF(FX35&gt;0,FX$17,0)</f>
        <v>0</v>
      </c>
      <c r="FY36" s="115">
        <f t="shared" ref="FY36" si="499">IF(FY35&gt;0,FY$17,0)</f>
        <v>0</v>
      </c>
      <c r="FZ36" s="115">
        <f t="shared" ref="FZ36" si="500">IF(FZ35&gt;0,FZ$17,0)</f>
        <v>0</v>
      </c>
      <c r="GA36" s="115">
        <f t="shared" ref="GA36" si="501">IF(GA35&gt;0,GA$17,0)</f>
        <v>0</v>
      </c>
      <c r="GB36" s="115">
        <f t="shared" ref="GB36" si="502">IF(GB35&gt;0,GB$17,0)</f>
        <v>0</v>
      </c>
      <c r="GC36" s="115">
        <f t="shared" ref="GC36" si="503">IF(GC35&gt;0,GC$17,0)</f>
        <v>0</v>
      </c>
      <c r="GD36" s="115">
        <f t="shared" ref="GD36" si="504">IF(GD35&gt;0,GD$17,0)</f>
        <v>0</v>
      </c>
      <c r="GE36" s="115">
        <f t="shared" ref="GE36" si="505">IF(GE35&gt;0,GE$17,0)</f>
        <v>0</v>
      </c>
      <c r="GF36" s="115">
        <f t="shared" ref="GF36" si="506">IF(GF35&gt;0,GF$17,0)</f>
        <v>0</v>
      </c>
      <c r="GG36" s="115">
        <f t="shared" ref="GG36" si="507">IF(GG35&gt;0,GG$17,0)</f>
        <v>0</v>
      </c>
      <c r="GH36" s="115">
        <f t="shared" ref="GH36" si="508">IF(GH35&gt;0,GH$17,0)</f>
        <v>0</v>
      </c>
      <c r="GI36" s="115">
        <f t="shared" ref="GI36" si="509">IF(GI35&gt;0,GI$17,0)</f>
        <v>0</v>
      </c>
      <c r="GJ36" s="115">
        <f t="shared" ref="GJ36" si="510">IF(GJ35&gt;0,GJ$17,0)</f>
        <v>0</v>
      </c>
      <c r="GK36" s="115">
        <f t="shared" ref="GK36" si="511">IF(GK35&gt;0,GK$17,0)</f>
        <v>0</v>
      </c>
      <c r="GL36" s="115">
        <f t="shared" ref="GL36" si="512">IF(GL35&gt;0,GL$17,0)</f>
        <v>0</v>
      </c>
      <c r="GM36" s="115">
        <f t="shared" ref="GM36" si="513">IF(GM35&gt;0,GM$17,0)</f>
        <v>0</v>
      </c>
      <c r="GN36" s="115">
        <f t="shared" ref="GN36" si="514">IF(GN35&gt;0,GN$17,0)</f>
        <v>0</v>
      </c>
      <c r="GO36" s="115">
        <f t="shared" ref="GO36" si="515">IF(GO35&gt;0,GO$17,0)</f>
        <v>0</v>
      </c>
      <c r="GP36" s="115">
        <f t="shared" ref="GP36" si="516">IF(GP35&gt;0,GP$17,0)</f>
        <v>0</v>
      </c>
      <c r="GQ36" s="115">
        <f t="shared" ref="GQ36" si="517">IF(GQ35&gt;0,GQ$17,0)</f>
        <v>0</v>
      </c>
      <c r="GR36" s="115">
        <f t="shared" ref="GR36" si="518">IF(GR35&gt;0,GR$17,0)</f>
        <v>0</v>
      </c>
      <c r="GS36" s="115">
        <f t="shared" ref="GS36" si="519">IF(GS35&gt;0,GS$17,0)</f>
        <v>0</v>
      </c>
      <c r="GT36" s="115">
        <f t="shared" ref="GT36" si="520">IF(GT35&gt;0,GT$17,0)</f>
        <v>0</v>
      </c>
      <c r="GU36" s="115">
        <f t="shared" ref="GU36" si="521">IF(GU35&gt;0,GU$17,0)</f>
        <v>0</v>
      </c>
      <c r="GV36" s="115">
        <f t="shared" ref="GV36" si="522">IF(GV35&gt;0,GV$17,0)</f>
        <v>0</v>
      </c>
      <c r="GW36" s="115">
        <f t="shared" ref="GW36" si="523">IF(GW35&gt;0,GW$17,0)</f>
        <v>0</v>
      </c>
      <c r="GX36" s="115">
        <f t="shared" ref="GX36" si="524">IF(GX35&gt;0,GX$17,0)</f>
        <v>0</v>
      </c>
      <c r="GY36" s="115">
        <f t="shared" ref="GY36" si="525">IF(GY35&gt;0,GY$17,0)</f>
        <v>0</v>
      </c>
      <c r="GZ36" s="115">
        <f t="shared" ref="GZ36" si="526">IF(GZ35&gt;0,GZ$17,0)</f>
        <v>0</v>
      </c>
      <c r="HA36" s="115">
        <f t="shared" ref="HA36" si="527">IF(HA35&gt;0,HA$17,0)</f>
        <v>0</v>
      </c>
      <c r="HB36" s="115">
        <f t="shared" ref="HB36" si="528">IF(HB35&gt;0,HB$17,0)</f>
        <v>0</v>
      </c>
      <c r="HC36" s="115">
        <f t="shared" ref="HC36" si="529">IF(HC35&gt;0,HC$17,0)</f>
        <v>0</v>
      </c>
      <c r="HD36" s="115">
        <f t="shared" ref="HD36" si="530">IF(HD35&gt;0,HD$17,0)</f>
        <v>0</v>
      </c>
      <c r="HE36" s="115">
        <f t="shared" ref="HE36" si="531">IF(HE35&gt;0,HE$17,0)</f>
        <v>0</v>
      </c>
      <c r="HF36" s="115">
        <f t="shared" ref="HF36" si="532">IF(HF35&gt;0,HF$17,0)</f>
        <v>0</v>
      </c>
      <c r="HG36" s="115">
        <f t="shared" ref="HG36" si="533">IF(HG35&gt;0,HG$17,0)</f>
        <v>0</v>
      </c>
      <c r="HH36" s="115">
        <f t="shared" ref="HH36" si="534">IF(HH35&gt;0,HH$17,0)</f>
        <v>0</v>
      </c>
      <c r="HI36" s="115">
        <f t="shared" ref="HI36" si="535">IF(HI35&gt;0,HI$17,0)</f>
        <v>0</v>
      </c>
      <c r="HJ36" s="115">
        <f t="shared" ref="HJ36" si="536">IF(HJ35&gt;0,HJ$17,0)</f>
        <v>0</v>
      </c>
      <c r="HK36" s="115">
        <f t="shared" ref="HK36" si="537">IF(HK35&gt;0,HK$17,0)</f>
        <v>0</v>
      </c>
      <c r="HL36" s="115">
        <f t="shared" ref="HL36" si="538">IF(HL35&gt;0,HL$17,0)</f>
        <v>0</v>
      </c>
      <c r="HM36" s="115">
        <f t="shared" ref="HM36" si="539">IF(HM35&gt;0,HM$17,0)</f>
        <v>0</v>
      </c>
      <c r="HN36" s="115">
        <f t="shared" ref="HN36" si="540">IF(HN35&gt;0,HN$17,0)</f>
        <v>0</v>
      </c>
      <c r="HO36" s="115">
        <f t="shared" ref="HO36" si="541">IF(HO35&gt;0,HO$17,0)</f>
        <v>0</v>
      </c>
      <c r="HP36" s="115">
        <f t="shared" ref="HP36" si="542">IF(HP35&gt;0,HP$17,0)</f>
        <v>0</v>
      </c>
      <c r="HQ36" s="115">
        <f t="shared" ref="HQ36" si="543">IF(HQ35&gt;0,HQ$17,0)</f>
        <v>0</v>
      </c>
      <c r="HR36" s="115">
        <f t="shared" ref="HR36" si="544">IF(HR35&gt;0,HR$17,0)</f>
        <v>0</v>
      </c>
      <c r="HS36" s="115">
        <f t="shared" ref="HS36" si="545">IF(HS35&gt;0,HS$17,0)</f>
        <v>0</v>
      </c>
      <c r="HT36" s="115">
        <f t="shared" ref="HT36" si="546">IF(HT35&gt;0,HT$17,0)</f>
        <v>0</v>
      </c>
      <c r="HU36" s="115">
        <f t="shared" ref="HU36" si="547">IF(HU35&gt;0,HU$17,0)</f>
        <v>0</v>
      </c>
      <c r="HV36" s="115">
        <f t="shared" ref="HV36" si="548">IF(HV35&gt;0,HV$17,0)</f>
        <v>0</v>
      </c>
      <c r="HW36" s="115">
        <f t="shared" ref="HW36" si="549">IF(HW35&gt;0,HW$17,0)</f>
        <v>0</v>
      </c>
      <c r="HX36" s="115">
        <f t="shared" ref="HX36" si="550">IF(HX35&gt;0,HX$17,0)</f>
        <v>0</v>
      </c>
      <c r="HY36" s="115">
        <f t="shared" ref="HY36" si="551">IF(HY35&gt;0,HY$17,0)</f>
        <v>0</v>
      </c>
      <c r="HZ36" s="115">
        <f t="shared" ref="HZ36" si="552">IF(HZ35&gt;0,HZ$17,0)</f>
        <v>0</v>
      </c>
      <c r="IA36" s="115">
        <f t="shared" ref="IA36" si="553">IF(IA35&gt;0,IA$17,0)</f>
        <v>0</v>
      </c>
      <c r="IB36" s="115">
        <f t="shared" ref="IB36" si="554">IF(IB35&gt;0,IB$17,0)</f>
        <v>0</v>
      </c>
      <c r="IC36" s="115">
        <f t="shared" ref="IC36" si="555">IF(IC35&gt;0,IC$17,0)</f>
        <v>0</v>
      </c>
      <c r="ID36" s="115">
        <f t="shared" ref="ID36" si="556">IF(ID35&gt;0,ID$17,0)</f>
        <v>0</v>
      </c>
      <c r="IE36" s="115">
        <f t="shared" ref="IE36" si="557">IF(IE35&gt;0,IE$17,0)</f>
        <v>0</v>
      </c>
      <c r="IF36" s="115">
        <f t="shared" ref="IF36" si="558">IF(IF35&gt;0,IF$17,0)</f>
        <v>0</v>
      </c>
      <c r="IG36" s="115">
        <f t="shared" ref="IG36" si="559">IF(IG35&gt;0,IG$17,0)</f>
        <v>0</v>
      </c>
      <c r="IH36" s="115">
        <f t="shared" ref="IH36" si="560">IF(IH35&gt;0,IH$17,0)</f>
        <v>0</v>
      </c>
      <c r="II36" s="115">
        <f t="shared" ref="II36" si="561">IF(II35&gt;0,II$17,0)</f>
        <v>0</v>
      </c>
      <c r="IJ36" s="115">
        <f t="shared" ref="IJ36" si="562">IF(IJ35&gt;0,IJ$17,0)</f>
        <v>0</v>
      </c>
      <c r="IK36" s="115">
        <f t="shared" ref="IK36" si="563">IF(IK35&gt;0,IK$17,0)</f>
        <v>0</v>
      </c>
      <c r="IL36" s="115">
        <f t="shared" ref="IL36" si="564">IF(IL35&gt;0,IL$17,0)</f>
        <v>0</v>
      </c>
      <c r="IM36" s="115">
        <f t="shared" ref="IM36" si="565">IF(IM35&gt;0,IM$17,0)</f>
        <v>0</v>
      </c>
      <c r="IN36" s="115">
        <f t="shared" ref="IN36" si="566">IF(IN35&gt;0,IN$17,0)</f>
        <v>0</v>
      </c>
      <c r="IO36" s="115">
        <f t="shared" ref="IO36" si="567">IF(IO35&gt;0,IO$17,0)</f>
        <v>0</v>
      </c>
      <c r="IP36" s="115">
        <f t="shared" ref="IP36" si="568">IF(IP35&gt;0,IP$17,0)</f>
        <v>0</v>
      </c>
      <c r="IQ36" s="115">
        <f t="shared" ref="IQ36" si="569">IF(IQ35&gt;0,IQ$17,0)</f>
        <v>0</v>
      </c>
      <c r="IR36" s="115">
        <f t="shared" ref="IR36" si="570">IF(IR35&gt;0,IR$17,0)</f>
        <v>0</v>
      </c>
      <c r="IS36" s="115">
        <f t="shared" ref="IS36" si="571">IF(IS35&gt;0,IS$17,0)</f>
        <v>0</v>
      </c>
      <c r="IT36" s="115">
        <f t="shared" ref="IT36" si="572">IF(IT35&gt;0,IT$17,0)</f>
        <v>0</v>
      </c>
      <c r="IU36" s="115">
        <f t="shared" ref="IU36" si="573">IF(IU35&gt;0,IU$17,0)</f>
        <v>0</v>
      </c>
      <c r="IV36" s="115">
        <f t="shared" ref="IV36" si="574">IF(IV35&gt;0,IV$17,0)</f>
        <v>0</v>
      </c>
      <c r="IW36" s="115">
        <f t="shared" ref="IW36" si="575">IF(IW35&gt;0,IW$17,0)</f>
        <v>0</v>
      </c>
      <c r="IX36" s="115">
        <f t="shared" ref="IX36" si="576">IF(IX35&gt;0,IX$17,0)</f>
        <v>0</v>
      </c>
      <c r="IY36" s="115">
        <f t="shared" ref="IY36" si="577">IF(IY35&gt;0,IY$17,0)</f>
        <v>0</v>
      </c>
      <c r="IZ36" s="115">
        <f t="shared" ref="IZ36" si="578">IF(IZ35&gt;0,IZ$17,0)</f>
        <v>0</v>
      </c>
      <c r="JA36" s="115">
        <f t="shared" ref="JA36" si="579">IF(JA35&gt;0,JA$17,0)</f>
        <v>0</v>
      </c>
      <c r="JB36" s="115">
        <f t="shared" ref="JB36" si="580">IF(JB35&gt;0,JB$17,0)</f>
        <v>0</v>
      </c>
      <c r="JC36" s="115">
        <f t="shared" ref="JC36" si="581">IF(JC35&gt;0,JC$17,0)</f>
        <v>0</v>
      </c>
      <c r="JD36" s="115">
        <f t="shared" ref="JD36" si="582">IF(JD35&gt;0,JD$17,0)</f>
        <v>0</v>
      </c>
      <c r="JE36" s="115">
        <f t="shared" ref="JE36" si="583">IF(JE35&gt;0,JE$17,0)</f>
        <v>0</v>
      </c>
      <c r="JF36" s="115">
        <f t="shared" ref="JF36" si="584">IF(JF35&gt;0,JF$17,0)</f>
        <v>0</v>
      </c>
      <c r="JG36" s="115">
        <f t="shared" ref="JG36" si="585">IF(JG35&gt;0,JG$17,0)</f>
        <v>0</v>
      </c>
      <c r="JH36" s="115">
        <f t="shared" ref="JH36" si="586">IF(JH35&gt;0,JH$17,0)</f>
        <v>0</v>
      </c>
      <c r="JI36" s="115">
        <f t="shared" ref="JI36" si="587">IF(JI35&gt;0,JI$17,0)</f>
        <v>0</v>
      </c>
      <c r="JJ36" s="115">
        <f t="shared" ref="JJ36" si="588">IF(JJ35&gt;0,JJ$17,0)</f>
        <v>0</v>
      </c>
      <c r="JK36" s="115">
        <f t="shared" ref="JK36" si="589">IF(JK35&gt;0,JK$17,0)</f>
        <v>0</v>
      </c>
      <c r="JL36" s="115">
        <f t="shared" ref="JL36" si="590">IF(JL35&gt;0,JL$17,0)</f>
        <v>0</v>
      </c>
      <c r="JM36" s="115">
        <f t="shared" ref="JM36" si="591">IF(JM35&gt;0,JM$17,0)</f>
        <v>0</v>
      </c>
      <c r="JN36" s="115">
        <f t="shared" ref="JN36" si="592">IF(JN35&gt;0,JN$17,0)</f>
        <v>0</v>
      </c>
      <c r="JO36" s="115">
        <f t="shared" ref="JO36" si="593">IF(JO35&gt;0,JO$17,0)</f>
        <v>0</v>
      </c>
      <c r="JP36" s="115">
        <f t="shared" ref="JP36" si="594">IF(JP35&gt;0,JP$17,0)</f>
        <v>0</v>
      </c>
      <c r="JQ36" s="115">
        <f t="shared" ref="JQ36" si="595">IF(JQ35&gt;0,JQ$17,0)</f>
        <v>0</v>
      </c>
      <c r="JR36" s="115">
        <f t="shared" ref="JR36" si="596">IF(JR35&gt;0,JR$17,0)</f>
        <v>0</v>
      </c>
      <c r="JS36" s="115">
        <f t="shared" ref="JS36" si="597">IF(JS35&gt;0,JS$17,0)</f>
        <v>0</v>
      </c>
      <c r="JT36" s="115">
        <f t="shared" ref="JT36" si="598">IF(JT35&gt;0,JT$17,0)</f>
        <v>0</v>
      </c>
      <c r="JU36" s="115">
        <f t="shared" ref="JU36" si="599">IF(JU35&gt;0,JU$17,0)</f>
        <v>0</v>
      </c>
      <c r="JV36" s="115">
        <f t="shared" ref="JV36" si="600">IF(JV35&gt;0,JV$17,0)</f>
        <v>0</v>
      </c>
      <c r="JW36" s="115">
        <f t="shared" ref="JW36" si="601">IF(JW35&gt;0,JW$17,0)</f>
        <v>0</v>
      </c>
      <c r="JX36" s="115">
        <f t="shared" ref="JX36" si="602">IF(JX35&gt;0,JX$17,0)</f>
        <v>0</v>
      </c>
      <c r="JY36" s="115">
        <f t="shared" ref="JY36" si="603">IF(JY35&gt;0,JY$17,0)</f>
        <v>0</v>
      </c>
      <c r="JZ36" s="115">
        <f t="shared" ref="JZ36" si="604">IF(JZ35&gt;0,JZ$17,0)</f>
        <v>0</v>
      </c>
      <c r="KA36" s="115">
        <f t="shared" ref="KA36" si="605">IF(KA35&gt;0,KA$17,0)</f>
        <v>0</v>
      </c>
      <c r="KB36" s="115">
        <f t="shared" ref="KB36" si="606">IF(KB35&gt;0,KB$17,0)</f>
        <v>0</v>
      </c>
      <c r="KC36" s="115">
        <f t="shared" ref="KC36" si="607">IF(KC35&gt;0,KC$17,0)</f>
        <v>0</v>
      </c>
      <c r="KD36" s="115">
        <f t="shared" ref="KD36" si="608">IF(KD35&gt;0,KD$17,0)</f>
        <v>0</v>
      </c>
      <c r="KE36" s="115">
        <f t="shared" ref="KE36" si="609">IF(KE35&gt;0,KE$17,0)</f>
        <v>0</v>
      </c>
      <c r="KF36" s="115">
        <f t="shared" ref="KF36" si="610">IF(KF35&gt;0,KF$17,0)</f>
        <v>0</v>
      </c>
      <c r="KG36" s="115">
        <f t="shared" ref="KG36" si="611">IF(KG35&gt;0,KG$17,0)</f>
        <v>0</v>
      </c>
      <c r="KH36" s="115">
        <f t="shared" ref="KH36" si="612">IF(KH35&gt;0,KH$17,0)</f>
        <v>0</v>
      </c>
      <c r="KI36" s="115">
        <f t="shared" ref="KI36" si="613">IF(KI35&gt;0,KI$17,0)</f>
        <v>0</v>
      </c>
      <c r="KJ36" s="115">
        <f t="shared" ref="KJ36" si="614">IF(KJ35&gt;0,KJ$17,0)</f>
        <v>0</v>
      </c>
      <c r="KK36" s="115">
        <f t="shared" ref="KK36" si="615">IF(KK35&gt;0,KK$17,0)</f>
        <v>0</v>
      </c>
      <c r="KL36" s="115">
        <f t="shared" ref="KL36" si="616">IF(KL35&gt;0,KL$17,0)</f>
        <v>0</v>
      </c>
      <c r="KM36" s="115">
        <f t="shared" ref="KM36" si="617">IF(KM35&gt;0,KM$17,0)</f>
        <v>0</v>
      </c>
      <c r="KN36" s="115">
        <f t="shared" ref="KN36" si="618">IF(KN35&gt;0,KN$17,0)</f>
        <v>0</v>
      </c>
      <c r="KO36" s="115">
        <f t="shared" ref="KO36" si="619">IF(KO35&gt;0,KO$17,0)</f>
        <v>0</v>
      </c>
      <c r="KP36" s="115">
        <f t="shared" ref="KP36" si="620">IF(KP35&gt;0,KP$17,0)</f>
        <v>0</v>
      </c>
      <c r="KQ36" s="115">
        <f t="shared" ref="KQ36" si="621">IF(KQ35&gt;0,KQ$17,0)</f>
        <v>0</v>
      </c>
      <c r="KR36" s="115">
        <f t="shared" ref="KR36" si="622">IF(KR35&gt;0,KR$17,0)</f>
        <v>0</v>
      </c>
      <c r="KS36" s="115">
        <f t="shared" ref="KS36" si="623">IF(KS35&gt;0,KS$17,0)</f>
        <v>0</v>
      </c>
      <c r="KT36" s="115">
        <f t="shared" ref="KT36" si="624">IF(KT35&gt;0,KT$17,0)</f>
        <v>0</v>
      </c>
      <c r="KU36" s="115">
        <f t="shared" ref="KU36" si="625">IF(KU35&gt;0,KU$17,0)</f>
        <v>0</v>
      </c>
      <c r="KV36" s="115">
        <f t="shared" ref="KV36" si="626">IF(KV35&gt;0,KV$17,0)</f>
        <v>0</v>
      </c>
      <c r="KW36" s="115">
        <f t="shared" ref="KW36" si="627">IF(KW35&gt;0,KW$17,0)</f>
        <v>0</v>
      </c>
      <c r="KX36" s="115">
        <f t="shared" ref="KX36" si="628">IF(KX35&gt;0,KX$17,0)</f>
        <v>0</v>
      </c>
      <c r="KY36" s="115">
        <f t="shared" ref="KY36" si="629">IF(KY35&gt;0,KY$17,0)</f>
        <v>0</v>
      </c>
      <c r="KZ36" s="115">
        <f t="shared" ref="KZ36" si="630">IF(KZ35&gt;0,KZ$17,0)</f>
        <v>0</v>
      </c>
      <c r="LA36" s="115">
        <f t="shared" ref="LA36" si="631">IF(LA35&gt;0,LA$17,0)</f>
        <v>0</v>
      </c>
      <c r="LB36" s="115">
        <f t="shared" ref="LB36" si="632">IF(LB35&gt;0,LB$17,0)</f>
        <v>0</v>
      </c>
      <c r="LC36" s="115">
        <f t="shared" ref="LC36" si="633">IF(LC35&gt;0,LC$17,0)</f>
        <v>0</v>
      </c>
      <c r="LD36" s="115">
        <f t="shared" ref="LD36" si="634">IF(LD35&gt;0,LD$17,0)</f>
        <v>0</v>
      </c>
      <c r="LE36" s="115">
        <f t="shared" ref="LE36" si="635">IF(LE35&gt;0,LE$17,0)</f>
        <v>0</v>
      </c>
      <c r="LF36" s="115">
        <f t="shared" ref="LF36" si="636">IF(LF35&gt;0,LF$17,0)</f>
        <v>0</v>
      </c>
      <c r="LG36" s="115">
        <f t="shared" ref="LG36" si="637">IF(LG35&gt;0,LG$17,0)</f>
        <v>0</v>
      </c>
      <c r="LH36" s="115">
        <f t="shared" ref="LH36" si="638">IF(LH35&gt;0,LH$17,0)</f>
        <v>0</v>
      </c>
      <c r="LI36" s="115">
        <f t="shared" ref="LI36" si="639">IF(LI35&gt;0,LI$17,0)</f>
        <v>0</v>
      </c>
      <c r="LJ36" s="115">
        <f t="shared" ref="LJ36" si="640">IF(LJ35&gt;0,LJ$17,0)</f>
        <v>0</v>
      </c>
      <c r="LK36" s="115">
        <f t="shared" ref="LK36" si="641">IF(LK35&gt;0,LK$17,0)</f>
        <v>0</v>
      </c>
      <c r="LL36" s="115">
        <f t="shared" ref="LL36" si="642">IF(LL35&gt;0,LL$17,0)</f>
        <v>0</v>
      </c>
      <c r="LM36" s="115">
        <f t="shared" ref="LM36" si="643">IF(LM35&gt;0,LM$17,0)</f>
        <v>0</v>
      </c>
      <c r="LN36" s="115">
        <f t="shared" ref="LN36" si="644">IF(LN35&gt;0,LN$17,0)</f>
        <v>0</v>
      </c>
      <c r="LO36" s="115">
        <f t="shared" ref="LO36" si="645">IF(LO35&gt;0,LO$17,0)</f>
        <v>0</v>
      </c>
      <c r="LP36" s="115">
        <f t="shared" ref="LP36" si="646">IF(LP35&gt;0,LP$17,0)</f>
        <v>0</v>
      </c>
      <c r="LQ36" s="115">
        <f t="shared" ref="LQ36" si="647">IF(LQ35&gt;0,LQ$17,0)</f>
        <v>0</v>
      </c>
      <c r="LR36" s="115">
        <f t="shared" ref="LR36" si="648">IF(LR35&gt;0,LR$17,0)</f>
        <v>0</v>
      </c>
      <c r="LS36" s="115">
        <f t="shared" ref="LS36" si="649">IF(LS35&gt;0,LS$17,0)</f>
        <v>0</v>
      </c>
      <c r="LT36" s="115">
        <f t="shared" ref="LT36" si="650">IF(LT35&gt;0,LT$17,0)</f>
        <v>0</v>
      </c>
      <c r="LU36" s="115">
        <f t="shared" ref="LU36" si="651">IF(LU35&gt;0,LU$17,0)</f>
        <v>0</v>
      </c>
      <c r="LV36" s="115">
        <f t="shared" ref="LV36" si="652">IF(LV35&gt;0,LV$17,0)</f>
        <v>0</v>
      </c>
      <c r="LW36" s="115">
        <f t="shared" ref="LW36" si="653">IF(LW35&gt;0,LW$17,0)</f>
        <v>0</v>
      </c>
      <c r="LX36" s="115">
        <f t="shared" ref="LX36" si="654">IF(LX35&gt;0,LX$17,0)</f>
        <v>0</v>
      </c>
      <c r="LY36" s="115">
        <f t="shared" ref="LY36" si="655">IF(LY35&gt;0,LY$17,0)</f>
        <v>0</v>
      </c>
      <c r="LZ36" s="115">
        <f t="shared" ref="LZ36" si="656">IF(LZ35&gt;0,LZ$17,0)</f>
        <v>0</v>
      </c>
      <c r="MA36" s="115">
        <f t="shared" ref="MA36" si="657">IF(MA35&gt;0,MA$17,0)</f>
        <v>0</v>
      </c>
      <c r="MB36" s="115">
        <f t="shared" ref="MB36" si="658">IF(MB35&gt;0,MB$17,0)</f>
        <v>0</v>
      </c>
      <c r="MC36" s="115">
        <f t="shared" ref="MC36" si="659">IF(MC35&gt;0,MC$17,0)</f>
        <v>0</v>
      </c>
      <c r="MD36" s="115">
        <f t="shared" ref="MD36" si="660">IF(MD35&gt;0,MD$17,0)</f>
        <v>0</v>
      </c>
      <c r="ME36" s="115">
        <f t="shared" ref="ME36" si="661">IF(ME35&gt;0,ME$17,0)</f>
        <v>0</v>
      </c>
      <c r="MF36" s="115">
        <f t="shared" ref="MF36" si="662">IF(MF35&gt;0,MF$17,0)</f>
        <v>0</v>
      </c>
      <c r="MG36" s="115">
        <f t="shared" ref="MG36" si="663">IF(MG35&gt;0,MG$17,0)</f>
        <v>0</v>
      </c>
      <c r="MH36" s="115">
        <f t="shared" ref="MH36" si="664">IF(MH35&gt;0,MH$17,0)</f>
        <v>0</v>
      </c>
      <c r="MI36" s="115">
        <f t="shared" ref="MI36" si="665">IF(MI35&gt;0,MI$17,0)</f>
        <v>0</v>
      </c>
      <c r="MJ36" s="115">
        <f t="shared" ref="MJ36" si="666">IF(MJ35&gt;0,MJ$17,0)</f>
        <v>0</v>
      </c>
      <c r="MK36" s="115">
        <f t="shared" ref="MK36" si="667">IF(MK35&gt;0,MK$17,0)</f>
        <v>0</v>
      </c>
      <c r="ML36" s="115">
        <f t="shared" ref="ML36" si="668">IF(ML35&gt;0,ML$17,0)</f>
        <v>0</v>
      </c>
      <c r="MM36" s="115">
        <f t="shared" ref="MM36" si="669">IF(MM35&gt;0,MM$17,0)</f>
        <v>0</v>
      </c>
      <c r="MN36" s="115">
        <f t="shared" ref="MN36" si="670">IF(MN35&gt;0,MN$17,0)</f>
        <v>0</v>
      </c>
      <c r="MO36" s="115">
        <f t="shared" ref="MO36" si="671">IF(MO35&gt;0,MO$17,0)</f>
        <v>0</v>
      </c>
      <c r="MP36" s="115">
        <f t="shared" ref="MP36" si="672">IF(MP35&gt;0,MP$17,0)</f>
        <v>0</v>
      </c>
      <c r="MQ36" s="115">
        <f t="shared" ref="MQ36" si="673">IF(MQ35&gt;0,MQ$17,0)</f>
        <v>0</v>
      </c>
      <c r="MR36" s="115">
        <f t="shared" ref="MR36" si="674">IF(MR35&gt;0,MR$17,0)</f>
        <v>0</v>
      </c>
      <c r="MS36" s="115">
        <f t="shared" ref="MS36" si="675">IF(MS35&gt;0,MS$17,0)</f>
        <v>0</v>
      </c>
      <c r="MT36" s="115">
        <f t="shared" ref="MT36" si="676">IF(MT35&gt;0,MT$17,0)</f>
        <v>0</v>
      </c>
      <c r="MU36" s="115">
        <f t="shared" ref="MU36" si="677">IF(MU35&gt;0,MU$17,0)</f>
        <v>0</v>
      </c>
      <c r="MV36" s="115">
        <f t="shared" ref="MV36" si="678">IF(MV35&gt;0,MV$17,0)</f>
        <v>0</v>
      </c>
      <c r="MW36" s="115">
        <f t="shared" ref="MW36" si="679">IF(MW35&gt;0,MW$17,0)</f>
        <v>0</v>
      </c>
      <c r="MX36" s="115">
        <f t="shared" ref="MX36" si="680">IF(MX35&gt;0,MX$17,0)</f>
        <v>0</v>
      </c>
      <c r="MY36" s="115">
        <f t="shared" ref="MY36" si="681">IF(MY35&gt;0,MY$17,0)</f>
        <v>0</v>
      </c>
      <c r="MZ36" s="115">
        <f t="shared" ref="MZ36" si="682">IF(MZ35&gt;0,MZ$17,0)</f>
        <v>0</v>
      </c>
      <c r="NA36" s="115">
        <f t="shared" ref="NA36" si="683">IF(NA35&gt;0,NA$17,0)</f>
        <v>0</v>
      </c>
      <c r="NB36" s="115">
        <f t="shared" ref="NB36" si="684">IF(NB35&gt;0,NB$17,0)</f>
        <v>0</v>
      </c>
      <c r="NC36" s="115">
        <f t="shared" ref="NC36" si="685">IF(NC35&gt;0,NC$17,0)</f>
        <v>0</v>
      </c>
      <c r="ND36" s="115">
        <f t="shared" ref="ND36" si="686">IF(ND35&gt;0,ND$17,0)</f>
        <v>0</v>
      </c>
      <c r="NE36" s="115">
        <f t="shared" ref="NE36" si="687">IF(NE35&gt;0,NE$17,0)</f>
        <v>0</v>
      </c>
      <c r="NF36" s="115">
        <f t="shared" ref="NF36" si="688">IF(NF35&gt;0,NF$17,0)</f>
        <v>0</v>
      </c>
      <c r="NG36" s="115">
        <f t="shared" ref="NG36" si="689">IF(NG35&gt;0,NG$17,0)</f>
        <v>0</v>
      </c>
      <c r="NH36" s="115">
        <f t="shared" ref="NH36" si="690">IF(NH35&gt;0,NH$17,0)</f>
        <v>0</v>
      </c>
      <c r="NI36" s="115">
        <f t="shared" ref="NI36" si="691">IF(NI35&gt;0,NI$17,0)</f>
        <v>0</v>
      </c>
      <c r="NJ36" s="115">
        <f t="shared" ref="NJ36" si="692">IF(NJ35&gt;0,NJ$17,0)</f>
        <v>0</v>
      </c>
      <c r="NK36" s="115">
        <f t="shared" ref="NK36" si="693">IF(NK35&gt;0,NK$17,0)</f>
        <v>0</v>
      </c>
      <c r="NL36" s="115">
        <f t="shared" ref="NL36" si="694">IF(NL35&gt;0,NL$17,0)</f>
        <v>0</v>
      </c>
      <c r="NM36" s="115">
        <f t="shared" ref="NM36" si="695">IF(NM35&gt;0,NM$17,0)</f>
        <v>0</v>
      </c>
      <c r="NN36" s="115">
        <f t="shared" ref="NN36" si="696">IF(NN35&gt;0,NN$17,0)</f>
        <v>0</v>
      </c>
      <c r="NO36" s="115">
        <f t="shared" ref="NO36" si="697">IF(NO35&gt;0,NO$17,0)</f>
        <v>0</v>
      </c>
      <c r="NP36" s="115">
        <f t="shared" ref="NP36" si="698">IF(NP35&gt;0,NP$17,0)</f>
        <v>0</v>
      </c>
      <c r="NQ36" s="115">
        <f t="shared" ref="NQ36" si="699">IF(NQ35&gt;0,NQ$17,0)</f>
        <v>0</v>
      </c>
      <c r="NR36" s="115">
        <f t="shared" ref="NR36" si="700">IF(NR35&gt;0,NR$17,0)</f>
        <v>0</v>
      </c>
      <c r="NS36" s="115">
        <f t="shared" ref="NS36" si="701">IF(NS35&gt;0,NS$17,0)</f>
        <v>0</v>
      </c>
      <c r="NT36" s="115">
        <f t="shared" ref="NT36" si="702">IF(NT35&gt;0,NT$17,0)</f>
        <v>0</v>
      </c>
      <c r="NU36" s="115">
        <f t="shared" ref="NU36" si="703">IF(NU35&gt;0,NU$17,0)</f>
        <v>0</v>
      </c>
      <c r="NV36" s="115">
        <f t="shared" ref="NV36" si="704">IF(NV35&gt;0,NV$17,0)</f>
        <v>0</v>
      </c>
      <c r="NW36" s="115">
        <f t="shared" ref="NW36" si="705">IF(NW35&gt;0,NW$17,0)</f>
        <v>0</v>
      </c>
      <c r="NX36" s="115">
        <f t="shared" ref="NX36" si="706">IF(NX35&gt;0,NX$17,0)</f>
        <v>0</v>
      </c>
      <c r="NY36" s="115">
        <f t="shared" ref="NY36" si="707">IF(NY35&gt;0,NY$17,0)</f>
        <v>0</v>
      </c>
      <c r="NZ36" s="115">
        <f t="shared" ref="NZ36" si="708">IF(NZ35&gt;0,NZ$17,0)</f>
        <v>0</v>
      </c>
      <c r="OA36" s="115">
        <f t="shared" ref="OA36" si="709">IF(OA35&gt;0,OA$17,0)</f>
        <v>0</v>
      </c>
      <c r="OB36" s="115">
        <f t="shared" ref="OB36" si="710">IF(OB35&gt;0,OB$17,0)</f>
        <v>0</v>
      </c>
      <c r="OC36" s="115">
        <f t="shared" ref="OC36" si="711">IF(OC35&gt;0,OC$17,0)</f>
        <v>0</v>
      </c>
      <c r="OD36" s="115">
        <f t="shared" ref="OD36" si="712">IF(OD35&gt;0,OD$17,0)</f>
        <v>0</v>
      </c>
      <c r="OE36" s="115">
        <f t="shared" ref="OE36" si="713">IF(OE35&gt;0,OE$17,0)</f>
        <v>0</v>
      </c>
      <c r="OF36" s="115">
        <f t="shared" ref="OF36" si="714">IF(OF35&gt;0,OF$17,0)</f>
        <v>0</v>
      </c>
      <c r="OG36" s="115">
        <f t="shared" ref="OG36" si="715">IF(OG35&gt;0,OG$17,0)</f>
        <v>0</v>
      </c>
      <c r="OH36" s="115">
        <f t="shared" ref="OH36" si="716">IF(OH35&gt;0,OH$17,0)</f>
        <v>0</v>
      </c>
      <c r="OI36" s="115">
        <f t="shared" ref="OI36" si="717">IF(OI35&gt;0,OI$17,0)</f>
        <v>0</v>
      </c>
      <c r="OJ36" s="115">
        <f t="shared" ref="OJ36" si="718">IF(OJ35&gt;0,OJ$17,0)</f>
        <v>0</v>
      </c>
      <c r="OK36" s="115">
        <f t="shared" ref="OK36" si="719">IF(OK35&gt;0,OK$17,0)</f>
        <v>0</v>
      </c>
      <c r="OL36" s="115">
        <f t="shared" ref="OL36" si="720">IF(OL35&gt;0,OL$17,0)</f>
        <v>0</v>
      </c>
      <c r="OM36" s="115">
        <f t="shared" ref="OM36" si="721">IF(OM35&gt;0,OM$17,0)</f>
        <v>0</v>
      </c>
      <c r="ON36" s="115">
        <f t="shared" ref="ON36" si="722">IF(ON35&gt;0,ON$17,0)</f>
        <v>0</v>
      </c>
      <c r="OO36" s="115">
        <f t="shared" ref="OO36" si="723">IF(OO35&gt;0,OO$17,0)</f>
        <v>0</v>
      </c>
      <c r="OP36" s="115">
        <f t="shared" ref="OP36" si="724">IF(OP35&gt;0,OP$17,0)</f>
        <v>0</v>
      </c>
      <c r="OQ36" s="115">
        <f t="shared" ref="OQ36" si="725">IF(OQ35&gt;0,OQ$17,0)</f>
        <v>0</v>
      </c>
      <c r="OR36" s="115">
        <f t="shared" ref="OR36" si="726">IF(OR35&gt;0,OR$17,0)</f>
        <v>0</v>
      </c>
      <c r="OS36" s="115">
        <f t="shared" ref="OS36" si="727">IF(OS35&gt;0,OS$17,0)</f>
        <v>0</v>
      </c>
      <c r="OT36" s="115">
        <f t="shared" ref="OT36" si="728">IF(OT35&gt;0,OT$17,0)</f>
        <v>0</v>
      </c>
      <c r="OU36" s="115">
        <f t="shared" ref="OU36" si="729">IF(OU35&gt;0,OU$17,0)</f>
        <v>0</v>
      </c>
      <c r="OV36" s="115">
        <f t="shared" ref="OV36" si="730">IF(OV35&gt;0,OV$17,0)</f>
        <v>0</v>
      </c>
      <c r="OW36" s="115">
        <f t="shared" ref="OW36" si="731">IF(OW35&gt;0,OW$17,0)</f>
        <v>0</v>
      </c>
      <c r="OX36" s="115">
        <f t="shared" ref="OX36" si="732">IF(OX35&gt;0,OX$17,0)</f>
        <v>0</v>
      </c>
      <c r="OY36" s="115">
        <f t="shared" ref="OY36" si="733">IF(OY35&gt;0,OY$17,0)</f>
        <v>0</v>
      </c>
      <c r="OZ36" s="115">
        <f t="shared" ref="OZ36" si="734">IF(OZ35&gt;0,OZ$17,0)</f>
        <v>0</v>
      </c>
      <c r="PA36" s="115">
        <f t="shared" ref="PA36" si="735">IF(PA35&gt;0,PA$17,0)</f>
        <v>0</v>
      </c>
      <c r="PB36" s="115">
        <f t="shared" ref="PB36" si="736">IF(PB35&gt;0,PB$17,0)</f>
        <v>0</v>
      </c>
      <c r="PC36" s="115">
        <f t="shared" ref="PC36" si="737">IF(PC35&gt;0,PC$17,0)</f>
        <v>0</v>
      </c>
      <c r="PD36" s="115">
        <f t="shared" ref="PD36" si="738">IF(PD35&gt;0,PD$17,0)</f>
        <v>0</v>
      </c>
      <c r="PE36" s="115">
        <f t="shared" ref="PE36" si="739">IF(PE35&gt;0,PE$17,0)</f>
        <v>0</v>
      </c>
      <c r="PF36" s="115">
        <f t="shared" ref="PF36" si="740">IF(PF35&gt;0,PF$17,0)</f>
        <v>0</v>
      </c>
      <c r="PG36" s="115">
        <f t="shared" ref="PG36" si="741">IF(PG35&gt;0,PG$17,0)</f>
        <v>0</v>
      </c>
      <c r="PH36" s="115">
        <f t="shared" ref="PH36" si="742">IF(PH35&gt;0,PH$17,0)</f>
        <v>0</v>
      </c>
      <c r="PI36" s="115">
        <f t="shared" ref="PI36" si="743">IF(PI35&gt;0,PI$17,0)</f>
        <v>0</v>
      </c>
      <c r="PJ36" s="115">
        <f t="shared" ref="PJ36" si="744">IF(PJ35&gt;0,PJ$17,0)</f>
        <v>0</v>
      </c>
      <c r="PK36" s="115">
        <f t="shared" ref="PK36" si="745">IF(PK35&gt;0,PK$17,0)</f>
        <v>0</v>
      </c>
      <c r="PL36" s="115">
        <f t="shared" ref="PL36" si="746">IF(PL35&gt;0,PL$17,0)</f>
        <v>0</v>
      </c>
      <c r="PM36" s="115">
        <f t="shared" ref="PM36" si="747">IF(PM35&gt;0,PM$17,0)</f>
        <v>0</v>
      </c>
      <c r="PN36" s="115">
        <f t="shared" ref="PN36" si="748">IF(PN35&gt;0,PN$17,0)</f>
        <v>0</v>
      </c>
      <c r="PO36" s="115">
        <f t="shared" ref="PO36" si="749">IF(PO35&gt;0,PO$17,0)</f>
        <v>0</v>
      </c>
      <c r="PP36" s="115">
        <f t="shared" ref="PP36" si="750">IF(PP35&gt;0,PP$17,0)</f>
        <v>0</v>
      </c>
      <c r="PQ36" s="115">
        <f t="shared" ref="PQ36" si="751">IF(PQ35&gt;0,PQ$17,0)</f>
        <v>0</v>
      </c>
      <c r="PR36" s="115">
        <f t="shared" ref="PR36" si="752">IF(PR35&gt;0,PR$17,0)</f>
        <v>0</v>
      </c>
      <c r="PS36" s="115">
        <f t="shared" ref="PS36" si="753">IF(PS35&gt;0,PS$17,0)</f>
        <v>0</v>
      </c>
      <c r="PT36" s="115">
        <f t="shared" ref="PT36" si="754">IF(PT35&gt;0,PT$17,0)</f>
        <v>0</v>
      </c>
      <c r="PU36" s="115">
        <f t="shared" ref="PU36" si="755">IF(PU35&gt;0,PU$17,0)</f>
        <v>0</v>
      </c>
      <c r="PV36" s="115">
        <f t="shared" ref="PV36" si="756">IF(PV35&gt;0,PV$17,0)</f>
        <v>0</v>
      </c>
      <c r="PW36" s="115">
        <f t="shared" ref="PW36" si="757">IF(PW35&gt;0,PW$17,0)</f>
        <v>0</v>
      </c>
      <c r="PX36" s="115">
        <f t="shared" ref="PX36" si="758">IF(PX35&gt;0,PX$17,0)</f>
        <v>0</v>
      </c>
      <c r="PY36" s="115">
        <f t="shared" ref="PY36" si="759">IF(PY35&gt;0,PY$17,0)</f>
        <v>0</v>
      </c>
      <c r="PZ36" s="115">
        <f t="shared" ref="PZ36" si="760">IF(PZ35&gt;0,PZ$17,0)</f>
        <v>0</v>
      </c>
      <c r="QA36" s="115">
        <f t="shared" ref="QA36" si="761">IF(QA35&gt;0,QA$17,0)</f>
        <v>0</v>
      </c>
      <c r="QB36" s="115">
        <f t="shared" ref="QB36" si="762">IF(QB35&gt;0,QB$17,0)</f>
        <v>0</v>
      </c>
      <c r="QC36" s="115">
        <f t="shared" ref="QC36" si="763">IF(QC35&gt;0,QC$17,0)</f>
        <v>0</v>
      </c>
      <c r="QD36" s="115">
        <f t="shared" ref="QD36" si="764">IF(QD35&gt;0,QD$17,0)</f>
        <v>0</v>
      </c>
      <c r="QE36" s="115">
        <f t="shared" ref="QE36" si="765">IF(QE35&gt;0,QE$17,0)</f>
        <v>0</v>
      </c>
      <c r="QF36" s="115">
        <f t="shared" ref="QF36" si="766">IF(QF35&gt;0,QF$17,0)</f>
        <v>0</v>
      </c>
      <c r="QG36" s="115">
        <f t="shared" ref="QG36" si="767">IF(QG35&gt;0,QG$17,0)</f>
        <v>0</v>
      </c>
      <c r="QH36" s="115">
        <f t="shared" ref="QH36" si="768">IF(QH35&gt;0,QH$17,0)</f>
        <v>0</v>
      </c>
      <c r="QI36" s="115">
        <f t="shared" ref="QI36" si="769">IF(QI35&gt;0,QI$17,0)</f>
        <v>0</v>
      </c>
      <c r="QJ36" s="115">
        <f t="shared" ref="QJ36" si="770">IF(QJ35&gt;0,QJ$17,0)</f>
        <v>0</v>
      </c>
      <c r="QK36" s="115">
        <f t="shared" ref="QK36" si="771">IF(QK35&gt;0,QK$17,0)</f>
        <v>0</v>
      </c>
      <c r="QL36" s="115">
        <f t="shared" ref="QL36" si="772">IF(QL35&gt;0,QL$17,0)</f>
        <v>0</v>
      </c>
      <c r="QM36" s="115">
        <f t="shared" ref="QM36" si="773">IF(QM35&gt;0,QM$17,0)</f>
        <v>0</v>
      </c>
      <c r="QN36" s="115">
        <f t="shared" ref="QN36" si="774">IF(QN35&gt;0,QN$17,0)</f>
        <v>0</v>
      </c>
      <c r="QO36" s="115">
        <f t="shared" ref="QO36" si="775">IF(QO35&gt;0,QO$17,0)</f>
        <v>0</v>
      </c>
      <c r="QP36" s="115">
        <f t="shared" ref="QP36" si="776">IF(QP35&gt;0,QP$17,0)</f>
        <v>0</v>
      </c>
      <c r="QQ36" s="115">
        <f t="shared" ref="QQ36" si="777">IF(QQ35&gt;0,QQ$17,0)</f>
        <v>0</v>
      </c>
      <c r="QR36" s="115">
        <f t="shared" ref="QR36" si="778">IF(QR35&gt;0,QR$17,0)</f>
        <v>0</v>
      </c>
      <c r="QS36" s="115">
        <f t="shared" ref="QS36" si="779">IF(QS35&gt;0,QS$17,0)</f>
        <v>0</v>
      </c>
      <c r="QT36" s="115">
        <f t="shared" ref="QT36" si="780">IF(QT35&gt;0,QT$17,0)</f>
        <v>0</v>
      </c>
      <c r="QU36" s="115">
        <f t="shared" ref="QU36" si="781">IF(QU35&gt;0,QU$17,0)</f>
        <v>0</v>
      </c>
      <c r="QV36" s="115">
        <f t="shared" ref="QV36" si="782">IF(QV35&gt;0,QV$17,0)</f>
        <v>0</v>
      </c>
      <c r="QW36" s="115">
        <f t="shared" ref="QW36" si="783">IF(QW35&gt;0,QW$17,0)</f>
        <v>0</v>
      </c>
      <c r="QX36" s="115">
        <f t="shared" ref="QX36" si="784">IF(QX35&gt;0,QX$17,0)</f>
        <v>0</v>
      </c>
      <c r="QY36" s="115">
        <f t="shared" ref="QY36" si="785">IF(QY35&gt;0,QY$17,0)</f>
        <v>0</v>
      </c>
      <c r="QZ36" s="115">
        <f t="shared" ref="QZ36" si="786">IF(QZ35&gt;0,QZ$17,0)</f>
        <v>0</v>
      </c>
      <c r="RA36" s="115">
        <f t="shared" ref="RA36" si="787">IF(RA35&gt;0,RA$17,0)</f>
        <v>0</v>
      </c>
      <c r="RB36" s="115">
        <f t="shared" ref="RB36" si="788">IF(RB35&gt;0,RB$17,0)</f>
        <v>0</v>
      </c>
      <c r="RC36" s="115">
        <f t="shared" ref="RC36" si="789">IF(RC35&gt;0,RC$17,0)</f>
        <v>0</v>
      </c>
      <c r="RD36" s="115">
        <f t="shared" ref="RD36" si="790">IF(RD35&gt;0,RD$17,0)</f>
        <v>0</v>
      </c>
      <c r="RE36" s="115">
        <f t="shared" ref="RE36" si="791">IF(RE35&gt;0,RE$17,0)</f>
        <v>0</v>
      </c>
      <c r="RF36" s="115">
        <f t="shared" ref="RF36" si="792">IF(RF35&gt;0,RF$17,0)</f>
        <v>0</v>
      </c>
      <c r="RG36" s="115">
        <f t="shared" ref="RG36" si="793">IF(RG35&gt;0,RG$17,0)</f>
        <v>0</v>
      </c>
      <c r="RH36" s="115">
        <f t="shared" ref="RH36" si="794">IF(RH35&gt;0,RH$17,0)</f>
        <v>0</v>
      </c>
      <c r="RI36" s="115">
        <f t="shared" ref="RI36" si="795">IF(RI35&gt;0,RI$17,0)</f>
        <v>0</v>
      </c>
      <c r="RJ36" s="115">
        <f t="shared" ref="RJ36" si="796">IF(RJ35&gt;0,RJ$17,0)</f>
        <v>0</v>
      </c>
      <c r="RK36" s="115">
        <f t="shared" ref="RK36" si="797">IF(RK35&gt;0,RK$17,0)</f>
        <v>0</v>
      </c>
      <c r="RL36" s="115">
        <f t="shared" ref="RL36" si="798">IF(RL35&gt;0,RL$17,0)</f>
        <v>0</v>
      </c>
      <c r="RM36" s="115">
        <f t="shared" ref="RM36" si="799">IF(RM35&gt;0,RM$17,0)</f>
        <v>0</v>
      </c>
      <c r="RN36" s="115">
        <f t="shared" ref="RN36" si="800">IF(RN35&gt;0,RN$17,0)</f>
        <v>0</v>
      </c>
      <c r="RO36" s="115">
        <f t="shared" ref="RO36" si="801">IF(RO35&gt;0,RO$17,0)</f>
        <v>0</v>
      </c>
      <c r="RP36" s="115">
        <f t="shared" ref="RP36" si="802">IF(RP35&gt;0,RP$17,0)</f>
        <v>0</v>
      </c>
      <c r="RQ36" s="115">
        <f t="shared" ref="RQ36" si="803">IF(RQ35&gt;0,RQ$17,0)</f>
        <v>0</v>
      </c>
      <c r="RR36" s="115">
        <f t="shared" ref="RR36" si="804">IF(RR35&gt;0,RR$17,0)</f>
        <v>0</v>
      </c>
      <c r="RS36" s="115">
        <f t="shared" ref="RS36" si="805">IF(RS35&gt;0,RS$17,0)</f>
        <v>0</v>
      </c>
      <c r="RT36" s="115">
        <f t="shared" ref="RT36" si="806">IF(RT35&gt;0,RT$17,0)</f>
        <v>0</v>
      </c>
      <c r="RU36" s="115">
        <f t="shared" ref="RU36" si="807">IF(RU35&gt;0,RU$17,0)</f>
        <v>0</v>
      </c>
      <c r="RV36" s="115">
        <f t="shared" ref="RV36" si="808">IF(RV35&gt;0,RV$17,0)</f>
        <v>0</v>
      </c>
      <c r="RW36" s="115">
        <f t="shared" ref="RW36" si="809">IF(RW35&gt;0,RW$17,0)</f>
        <v>0</v>
      </c>
      <c r="RX36" s="115">
        <f t="shared" ref="RX36" si="810">IF(RX35&gt;0,RX$17,0)</f>
        <v>0</v>
      </c>
      <c r="RY36" s="115">
        <f t="shared" ref="RY36" si="811">IF(RY35&gt;0,RY$17,0)</f>
        <v>0</v>
      </c>
      <c r="RZ36" s="115">
        <f t="shared" ref="RZ36" si="812">IF(RZ35&gt;0,RZ$17,0)</f>
        <v>0</v>
      </c>
      <c r="SA36" s="115">
        <f t="shared" ref="SA36" si="813">IF(SA35&gt;0,SA$17,0)</f>
        <v>0</v>
      </c>
      <c r="SB36" s="115">
        <f t="shared" ref="SB36" si="814">IF(SB35&gt;0,SB$17,0)</f>
        <v>0</v>
      </c>
      <c r="SC36" s="115">
        <f t="shared" ref="SC36" si="815">IF(SC35&gt;0,SC$17,0)</f>
        <v>0</v>
      </c>
      <c r="SD36" s="115">
        <f t="shared" ref="SD36" si="816">IF(SD35&gt;0,SD$17,0)</f>
        <v>0</v>
      </c>
      <c r="SE36" s="115">
        <f t="shared" ref="SE36" si="817">IF(SE35&gt;0,SE$17,0)</f>
        <v>0</v>
      </c>
      <c r="SF36" s="115">
        <f t="shared" ref="SF36" si="818">IF(SF35&gt;0,SF$17,0)</f>
        <v>0</v>
      </c>
      <c r="SG36" s="115">
        <f t="shared" ref="SG36" si="819">IF(SG35&gt;0,SG$17,0)</f>
        <v>0</v>
      </c>
      <c r="SH36" s="115">
        <f t="shared" ref="SH36" si="820">IF(SH35&gt;0,SH$17,0)</f>
        <v>0</v>
      </c>
      <c r="SI36" s="115">
        <f t="shared" ref="SI36" si="821">IF(SI35&gt;0,SI$17,0)</f>
        <v>0</v>
      </c>
      <c r="SJ36" s="115">
        <f t="shared" ref="SJ36" si="822">IF(SJ35&gt;0,SJ$17,0)</f>
        <v>0</v>
      </c>
      <c r="SK36" s="115">
        <f t="shared" ref="SK36" si="823">IF(SK35&gt;0,SK$17,0)</f>
        <v>0</v>
      </c>
      <c r="SL36" s="115">
        <f t="shared" ref="SL36" si="824">IF(SL35&gt;0,SL$17,0)</f>
        <v>0</v>
      </c>
      <c r="SM36" s="115">
        <f t="shared" ref="SM36" si="825">IF(SM35&gt;0,SM$17,0)</f>
        <v>0</v>
      </c>
      <c r="SN36" s="115">
        <f t="shared" ref="SN36" si="826">IF(SN35&gt;0,SN$17,0)</f>
        <v>0</v>
      </c>
      <c r="SO36" s="115">
        <f t="shared" ref="SO36" si="827">IF(SO35&gt;0,SO$17,0)</f>
        <v>0</v>
      </c>
      <c r="SP36" s="115">
        <f t="shared" ref="SP36" si="828">IF(SP35&gt;0,SP$17,0)</f>
        <v>0</v>
      </c>
      <c r="SQ36" s="115">
        <f t="shared" ref="SQ36" si="829">IF(SQ35&gt;0,SQ$17,0)</f>
        <v>0</v>
      </c>
      <c r="SR36" s="115">
        <f t="shared" ref="SR36" si="830">IF(SR35&gt;0,SR$17,0)</f>
        <v>0</v>
      </c>
      <c r="SS36" s="115">
        <f t="shared" ref="SS36" si="831">IF(SS35&gt;0,SS$17,0)</f>
        <v>0</v>
      </c>
      <c r="ST36" s="115">
        <f t="shared" ref="ST36" si="832">IF(ST35&gt;0,ST$17,0)</f>
        <v>0</v>
      </c>
      <c r="SU36" s="115">
        <f t="shared" ref="SU36" si="833">IF(SU35&gt;0,SU$17,0)</f>
        <v>0</v>
      </c>
      <c r="SV36" s="115">
        <f t="shared" ref="SV36" si="834">IF(SV35&gt;0,SV$17,0)</f>
        <v>0</v>
      </c>
      <c r="SW36" s="115">
        <f t="shared" ref="SW36" si="835">IF(SW35&gt;0,SW$17,0)</f>
        <v>0</v>
      </c>
      <c r="SX36" s="115">
        <f t="shared" ref="SX36" si="836">IF(SX35&gt;0,SX$17,0)</f>
        <v>0</v>
      </c>
      <c r="SY36" s="115">
        <f t="shared" ref="SY36" si="837">IF(SY35&gt;0,SY$17,0)</f>
        <v>0</v>
      </c>
      <c r="SZ36" s="115">
        <f t="shared" ref="SZ36" si="838">IF(SZ35&gt;0,SZ$17,0)</f>
        <v>0</v>
      </c>
      <c r="TA36" s="115">
        <f t="shared" ref="TA36" si="839">IF(TA35&gt;0,TA$17,0)</f>
        <v>0</v>
      </c>
      <c r="TB36" s="115">
        <f t="shared" ref="TB36" si="840">IF(TB35&gt;0,TB$17,0)</f>
        <v>0</v>
      </c>
      <c r="TC36" s="115">
        <f t="shared" ref="TC36" si="841">IF(TC35&gt;0,TC$17,0)</f>
        <v>0</v>
      </c>
      <c r="TD36" s="115">
        <f t="shared" ref="TD36" si="842">IF(TD35&gt;0,TD$17,0)</f>
        <v>0</v>
      </c>
      <c r="TE36" s="115">
        <f t="shared" ref="TE36" si="843">IF(TE35&gt;0,TE$17,0)</f>
        <v>0</v>
      </c>
      <c r="TF36" s="115">
        <f t="shared" ref="TF36" si="844">IF(TF35&gt;0,TF$17,0)</f>
        <v>0</v>
      </c>
      <c r="TG36" s="115">
        <f t="shared" ref="TG36" si="845">IF(TG35&gt;0,TG$17,0)</f>
        <v>0</v>
      </c>
      <c r="TH36" s="115">
        <f t="shared" ref="TH36" si="846">IF(TH35&gt;0,TH$17,0)</f>
        <v>0</v>
      </c>
      <c r="TI36" s="115">
        <f t="shared" ref="TI36" si="847">IF(TI35&gt;0,TI$17,0)</f>
        <v>0</v>
      </c>
      <c r="TJ36" s="115">
        <f t="shared" ref="TJ36" si="848">IF(TJ35&gt;0,TJ$17,0)</f>
        <v>0</v>
      </c>
      <c r="TK36" s="115">
        <f t="shared" ref="TK36" si="849">IF(TK35&gt;0,TK$17,0)</f>
        <v>0</v>
      </c>
      <c r="TL36" s="115">
        <f t="shared" ref="TL36" si="850">IF(TL35&gt;0,TL$17,0)</f>
        <v>0</v>
      </c>
      <c r="TM36" s="115">
        <f t="shared" ref="TM36" si="851">IF(TM35&gt;0,TM$17,0)</f>
        <v>0</v>
      </c>
      <c r="TN36" s="115">
        <f t="shared" ref="TN36" si="852">IF(TN35&gt;0,TN$17,0)</f>
        <v>0</v>
      </c>
      <c r="TO36" s="115">
        <f t="shared" ref="TO36" si="853">IF(TO35&gt;0,TO$17,0)</f>
        <v>0</v>
      </c>
      <c r="TP36" s="115">
        <f t="shared" ref="TP36" si="854">IF(TP35&gt;0,TP$17,0)</f>
        <v>0</v>
      </c>
      <c r="TQ36" s="115">
        <f t="shared" ref="TQ36" si="855">IF(TQ35&gt;0,TQ$17,0)</f>
        <v>0</v>
      </c>
      <c r="TR36" s="115">
        <f t="shared" ref="TR36" si="856">IF(TR35&gt;0,TR$17,0)</f>
        <v>0</v>
      </c>
      <c r="TS36" s="115">
        <f t="shared" ref="TS36" si="857">IF(TS35&gt;0,TS$17,0)</f>
        <v>0</v>
      </c>
      <c r="TT36" s="115">
        <f t="shared" ref="TT36" si="858">IF(TT35&gt;0,TT$17,0)</f>
        <v>0</v>
      </c>
      <c r="TU36" s="115">
        <f t="shared" ref="TU36" si="859">IF(TU35&gt;0,TU$17,0)</f>
        <v>0</v>
      </c>
      <c r="TV36" s="115">
        <f t="shared" ref="TV36" si="860">IF(TV35&gt;0,TV$17,0)</f>
        <v>0</v>
      </c>
      <c r="TW36" s="115">
        <f t="shared" ref="TW36" si="861">IF(TW35&gt;0,TW$17,0)</f>
        <v>0</v>
      </c>
      <c r="TX36" s="115">
        <f t="shared" ref="TX36" si="862">IF(TX35&gt;0,TX$17,0)</f>
        <v>0</v>
      </c>
      <c r="TY36" s="115">
        <f t="shared" ref="TY36" si="863">IF(TY35&gt;0,TY$17,0)</f>
        <v>0</v>
      </c>
      <c r="TZ36" s="115">
        <f t="shared" ref="TZ36" si="864">IF(TZ35&gt;0,TZ$17,0)</f>
        <v>0</v>
      </c>
      <c r="UA36" s="115">
        <f t="shared" ref="UA36" si="865">IF(UA35&gt;0,UA$17,0)</f>
        <v>0</v>
      </c>
      <c r="UB36" s="115">
        <f t="shared" ref="UB36" si="866">IF(UB35&gt;0,UB$17,0)</f>
        <v>0</v>
      </c>
      <c r="UC36" s="115">
        <f t="shared" ref="UC36" si="867">IF(UC35&gt;0,UC$17,0)</f>
        <v>0</v>
      </c>
      <c r="UD36" s="115">
        <f t="shared" ref="UD36" si="868">IF(UD35&gt;0,UD$17,0)</f>
        <v>0</v>
      </c>
      <c r="UE36" s="115">
        <f t="shared" ref="UE36" si="869">IF(UE35&gt;0,UE$17,0)</f>
        <v>0</v>
      </c>
      <c r="UF36" s="115">
        <f t="shared" ref="UF36" si="870">IF(UF35&gt;0,UF$17,0)</f>
        <v>0</v>
      </c>
      <c r="UG36" s="115">
        <f t="shared" ref="UG36" si="871">IF(UG35&gt;0,UG$17,0)</f>
        <v>0</v>
      </c>
      <c r="UH36" s="115">
        <f t="shared" ref="UH36" si="872">IF(UH35&gt;0,UH$17,0)</f>
        <v>0</v>
      </c>
      <c r="UI36" s="115">
        <f t="shared" ref="UI36" si="873">IF(UI35&gt;0,UI$17,0)</f>
        <v>0</v>
      </c>
      <c r="UJ36" s="115">
        <f t="shared" ref="UJ36" si="874">IF(UJ35&gt;0,UJ$17,0)</f>
        <v>0</v>
      </c>
      <c r="UK36" s="115">
        <f t="shared" ref="UK36" si="875">IF(UK35&gt;0,UK$17,0)</f>
        <v>0</v>
      </c>
      <c r="UL36" s="115">
        <f t="shared" ref="UL36" si="876">IF(UL35&gt;0,UL$17,0)</f>
        <v>0</v>
      </c>
      <c r="UM36" s="115">
        <f t="shared" ref="UM36" si="877">IF(UM35&gt;0,UM$17,0)</f>
        <v>0</v>
      </c>
      <c r="UN36" s="115">
        <f t="shared" ref="UN36" si="878">IF(UN35&gt;0,UN$17,0)</f>
        <v>0</v>
      </c>
      <c r="UO36" s="115">
        <f t="shared" ref="UO36" si="879">IF(UO35&gt;0,UO$17,0)</f>
        <v>0</v>
      </c>
      <c r="UP36" s="115">
        <f t="shared" ref="UP36" si="880">IF(UP35&gt;0,UP$17,0)</f>
        <v>0</v>
      </c>
      <c r="UQ36" s="115">
        <f t="shared" ref="UQ36" si="881">IF(UQ35&gt;0,UQ$17,0)</f>
        <v>0</v>
      </c>
      <c r="UR36" s="115">
        <f t="shared" ref="UR36" si="882">IF(UR35&gt;0,UR$17,0)</f>
        <v>0</v>
      </c>
      <c r="US36" s="115">
        <f t="shared" ref="US36" si="883">IF(US35&gt;0,US$17,0)</f>
        <v>0</v>
      </c>
      <c r="UT36" s="115">
        <f t="shared" ref="UT36" si="884">IF(UT35&gt;0,UT$17,0)</f>
        <v>0</v>
      </c>
      <c r="UU36" s="115">
        <f t="shared" ref="UU36" si="885">IF(UU35&gt;0,UU$17,0)</f>
        <v>0</v>
      </c>
      <c r="UV36" s="115">
        <f t="shared" ref="UV36" si="886">IF(UV35&gt;0,UV$17,0)</f>
        <v>0</v>
      </c>
      <c r="UW36" s="115">
        <f t="shared" ref="UW36" si="887">IF(UW35&gt;0,UW$17,0)</f>
        <v>0</v>
      </c>
      <c r="UX36" s="115">
        <f t="shared" ref="UX36" si="888">IF(UX35&gt;0,UX$17,0)</f>
        <v>0</v>
      </c>
      <c r="UY36" s="115">
        <f t="shared" ref="UY36" si="889">IF(UY35&gt;0,UY$17,0)</f>
        <v>0</v>
      </c>
      <c r="UZ36" s="115">
        <f t="shared" ref="UZ36" si="890">IF(UZ35&gt;0,UZ$17,0)</f>
        <v>0</v>
      </c>
      <c r="VA36" s="115">
        <f t="shared" ref="VA36" si="891">IF(VA35&gt;0,VA$17,0)</f>
        <v>0</v>
      </c>
      <c r="VB36" s="115">
        <f t="shared" ref="VB36" si="892">IF(VB35&gt;0,VB$17,0)</f>
        <v>0</v>
      </c>
      <c r="VC36" s="115">
        <f t="shared" ref="VC36" si="893">IF(VC35&gt;0,VC$17,0)</f>
        <v>0</v>
      </c>
      <c r="VD36" s="115">
        <f t="shared" ref="VD36" si="894">IF(VD35&gt;0,VD$17,0)</f>
        <v>0</v>
      </c>
      <c r="VE36" s="115">
        <f t="shared" ref="VE36" si="895">IF(VE35&gt;0,VE$17,0)</f>
        <v>0</v>
      </c>
      <c r="VF36" s="115">
        <f t="shared" ref="VF36" si="896">IF(VF35&gt;0,VF$17,0)</f>
        <v>0</v>
      </c>
      <c r="VG36" s="115">
        <f t="shared" ref="VG36" si="897">IF(VG35&gt;0,VG$17,0)</f>
        <v>0</v>
      </c>
      <c r="VH36" s="115">
        <f t="shared" ref="VH36" si="898">IF(VH35&gt;0,VH$17,0)</f>
        <v>0</v>
      </c>
      <c r="VI36" s="115">
        <f t="shared" ref="VI36" si="899">IF(VI35&gt;0,VI$17,0)</f>
        <v>0</v>
      </c>
      <c r="VJ36" s="115">
        <f t="shared" ref="VJ36" si="900">IF(VJ35&gt;0,VJ$17,0)</f>
        <v>0</v>
      </c>
      <c r="VK36" s="115">
        <f t="shared" ref="VK36" si="901">IF(VK35&gt;0,VK$17,0)</f>
        <v>0</v>
      </c>
      <c r="VL36" s="115">
        <f t="shared" ref="VL36" si="902">IF(VL35&gt;0,VL$17,0)</f>
        <v>0</v>
      </c>
      <c r="VM36" s="115">
        <f t="shared" ref="VM36" si="903">IF(VM35&gt;0,VM$17,0)</f>
        <v>0</v>
      </c>
      <c r="VN36" s="115">
        <f t="shared" ref="VN36" si="904">IF(VN35&gt;0,VN$17,0)</f>
        <v>0</v>
      </c>
      <c r="VO36" s="115">
        <f t="shared" ref="VO36" si="905">IF(VO35&gt;0,VO$17,0)</f>
        <v>0</v>
      </c>
      <c r="VP36" s="115">
        <f t="shared" ref="VP36" si="906">IF(VP35&gt;0,VP$17,0)</f>
        <v>0</v>
      </c>
      <c r="VQ36" s="115">
        <f t="shared" ref="VQ36" si="907">IF(VQ35&gt;0,VQ$17,0)</f>
        <v>0</v>
      </c>
      <c r="VR36" s="115">
        <f t="shared" ref="VR36" si="908">IF(VR35&gt;0,VR$17,0)</f>
        <v>0</v>
      </c>
      <c r="VS36" s="115">
        <f t="shared" ref="VS36" si="909">IF(VS35&gt;0,VS$17,0)</f>
        <v>0</v>
      </c>
      <c r="VT36" s="115">
        <f t="shared" ref="VT36" si="910">IF(VT35&gt;0,VT$17,0)</f>
        <v>0</v>
      </c>
      <c r="VU36" s="115">
        <f t="shared" ref="VU36" si="911">IF(VU35&gt;0,VU$17,0)</f>
        <v>0</v>
      </c>
      <c r="VV36" s="115">
        <f t="shared" ref="VV36" si="912">IF(VV35&gt;0,VV$17,0)</f>
        <v>0</v>
      </c>
      <c r="VW36" s="115">
        <f t="shared" ref="VW36" si="913">IF(VW35&gt;0,VW$17,0)</f>
        <v>0</v>
      </c>
      <c r="VX36" s="115">
        <f t="shared" ref="VX36" si="914">IF(VX35&gt;0,VX$17,0)</f>
        <v>0</v>
      </c>
      <c r="VY36" s="115">
        <f t="shared" ref="VY36" si="915">IF(VY35&gt;0,VY$17,0)</f>
        <v>0</v>
      </c>
      <c r="VZ36" s="115">
        <f t="shared" ref="VZ36" si="916">IF(VZ35&gt;0,VZ$17,0)</f>
        <v>0</v>
      </c>
      <c r="WA36" s="115">
        <f t="shared" ref="WA36" si="917">IF(WA35&gt;0,WA$17,0)</f>
        <v>0</v>
      </c>
      <c r="WB36" s="115">
        <f t="shared" ref="WB36" si="918">IF(WB35&gt;0,WB$17,0)</f>
        <v>0</v>
      </c>
      <c r="WC36" s="115">
        <f t="shared" ref="WC36" si="919">IF(WC35&gt;0,WC$17,0)</f>
        <v>0</v>
      </c>
      <c r="WD36" s="115">
        <f t="shared" ref="WD36" si="920">IF(WD35&gt;0,WD$17,0)</f>
        <v>0</v>
      </c>
      <c r="WE36" s="115">
        <f t="shared" ref="WE36" si="921">IF(WE35&gt;0,WE$17,0)</f>
        <v>0</v>
      </c>
      <c r="WF36" s="115">
        <f t="shared" ref="WF36" si="922">IF(WF35&gt;0,WF$17,0)</f>
        <v>0</v>
      </c>
      <c r="WG36" s="115">
        <f t="shared" ref="WG36" si="923">IF(WG35&gt;0,WG$17,0)</f>
        <v>0</v>
      </c>
      <c r="WH36" s="115">
        <f t="shared" ref="WH36" si="924">IF(WH35&gt;0,WH$17,0)</f>
        <v>0</v>
      </c>
      <c r="WI36" s="115">
        <f t="shared" ref="WI36" si="925">IF(WI35&gt;0,WI$17,0)</f>
        <v>0</v>
      </c>
      <c r="WJ36" s="115">
        <f t="shared" ref="WJ36" si="926">IF(WJ35&gt;0,WJ$17,0)</f>
        <v>0</v>
      </c>
      <c r="WK36" s="115">
        <f t="shared" ref="WK36" si="927">IF(WK35&gt;0,WK$17,0)</f>
        <v>0</v>
      </c>
      <c r="WL36" s="115">
        <f t="shared" ref="WL36" si="928">IF(WL35&gt;0,WL$17,0)</f>
        <v>0</v>
      </c>
      <c r="WM36" s="115">
        <f t="shared" ref="WM36" si="929">IF(WM35&gt;0,WM$17,0)</f>
        <v>0</v>
      </c>
      <c r="WN36" s="115">
        <f t="shared" ref="WN36" si="930">IF(WN35&gt;0,WN$17,0)</f>
        <v>0</v>
      </c>
      <c r="WO36" s="115">
        <f t="shared" ref="WO36" si="931">IF(WO35&gt;0,WO$17,0)</f>
        <v>0</v>
      </c>
      <c r="WP36" s="115">
        <f t="shared" ref="WP36" si="932">IF(WP35&gt;0,WP$17,0)</f>
        <v>0</v>
      </c>
      <c r="WQ36" s="115">
        <f t="shared" ref="WQ36" si="933">IF(WQ35&gt;0,WQ$17,0)</f>
        <v>0</v>
      </c>
      <c r="WR36" s="115">
        <f t="shared" ref="WR36" si="934">IF(WR35&gt;0,WR$17,0)</f>
        <v>0</v>
      </c>
      <c r="WS36" s="115">
        <f t="shared" ref="WS36" si="935">IF(WS35&gt;0,WS$17,0)</f>
        <v>0</v>
      </c>
      <c r="WT36" s="115">
        <f t="shared" ref="WT36" si="936">IF(WT35&gt;0,WT$17,0)</f>
        <v>0</v>
      </c>
      <c r="WU36" s="115">
        <f t="shared" ref="WU36" si="937">IF(WU35&gt;0,WU$17,0)</f>
        <v>0</v>
      </c>
      <c r="WV36" s="115">
        <f t="shared" ref="WV36" si="938">IF(WV35&gt;0,WV$17,0)</f>
        <v>0</v>
      </c>
      <c r="WW36" s="115">
        <f t="shared" ref="WW36" si="939">IF(WW35&gt;0,WW$17,0)</f>
        <v>0</v>
      </c>
      <c r="WX36" s="115">
        <f t="shared" ref="WX36" si="940">IF(WX35&gt;0,WX$17,0)</f>
        <v>0</v>
      </c>
      <c r="WY36" s="115">
        <f t="shared" ref="WY36" si="941">IF(WY35&gt;0,WY$17,0)</f>
        <v>0</v>
      </c>
      <c r="WZ36" s="115">
        <f t="shared" ref="WZ36" si="942">IF(WZ35&gt;0,WZ$17,0)</f>
        <v>0</v>
      </c>
      <c r="XA36" s="115">
        <f t="shared" ref="XA36" si="943">IF(XA35&gt;0,XA$17,0)</f>
        <v>0</v>
      </c>
      <c r="XB36" s="115">
        <f t="shared" ref="XB36" si="944">IF(XB35&gt;0,XB$17,0)</f>
        <v>0</v>
      </c>
      <c r="XC36" s="115">
        <f t="shared" ref="XC36" si="945">IF(XC35&gt;0,XC$17,0)</f>
        <v>0</v>
      </c>
      <c r="XD36" s="115">
        <f t="shared" ref="XD36" si="946">IF(XD35&gt;0,XD$17,0)</f>
        <v>0</v>
      </c>
      <c r="XE36" s="115">
        <f t="shared" ref="XE36" si="947">IF(XE35&gt;0,XE$17,0)</f>
        <v>0</v>
      </c>
      <c r="XF36" s="115">
        <f t="shared" ref="XF36" si="948">IF(XF35&gt;0,XF$17,0)</f>
        <v>0</v>
      </c>
      <c r="XG36" s="115">
        <f t="shared" ref="XG36" si="949">IF(XG35&gt;0,XG$17,0)</f>
        <v>0</v>
      </c>
      <c r="XH36" s="115">
        <f t="shared" ref="XH36" si="950">IF(XH35&gt;0,XH$17,0)</f>
        <v>0</v>
      </c>
      <c r="XI36" s="115">
        <f t="shared" ref="XI36" si="951">IF(XI35&gt;0,XI$17,0)</f>
        <v>0</v>
      </c>
      <c r="XJ36" s="115">
        <f t="shared" ref="XJ36" si="952">IF(XJ35&gt;0,XJ$17,0)</f>
        <v>0</v>
      </c>
      <c r="XK36" s="115">
        <f t="shared" ref="XK36" si="953">IF(XK35&gt;0,XK$17,0)</f>
        <v>0</v>
      </c>
      <c r="XL36" s="115">
        <f t="shared" ref="XL36" si="954">IF(XL35&gt;0,XL$17,0)</f>
        <v>0</v>
      </c>
      <c r="XM36" s="115">
        <f t="shared" ref="XM36" si="955">IF(XM35&gt;0,XM$17,0)</f>
        <v>0</v>
      </c>
      <c r="XN36" s="115">
        <f t="shared" ref="XN36" si="956">IF(XN35&gt;0,XN$17,0)</f>
        <v>0</v>
      </c>
      <c r="XO36" s="115">
        <f t="shared" ref="XO36" si="957">IF(XO35&gt;0,XO$17,0)</f>
        <v>0</v>
      </c>
      <c r="XP36" s="115">
        <f t="shared" ref="XP36" si="958">IF(XP35&gt;0,XP$17,0)</f>
        <v>0</v>
      </c>
      <c r="XQ36" s="115">
        <f t="shared" ref="XQ36" si="959">IF(XQ35&gt;0,XQ$17,0)</f>
        <v>638</v>
      </c>
      <c r="XR36" s="115">
        <f t="shared" ref="XR36" si="960">IF(XR35&gt;0,XR$17,0)</f>
        <v>0</v>
      </c>
      <c r="XS36" s="115">
        <f t="shared" ref="XS36" si="961">IF(XS35&gt;0,XS$17,0)</f>
        <v>0</v>
      </c>
      <c r="XT36" s="115">
        <f t="shared" ref="XT36" si="962">IF(XT35&gt;0,XT$17,0)</f>
        <v>0</v>
      </c>
      <c r="XU36" s="115">
        <f t="shared" ref="XU36" si="963">IF(XU35&gt;0,XU$17,0)</f>
        <v>0</v>
      </c>
      <c r="XV36" s="115">
        <f t="shared" ref="XV36" si="964">IF(XV35&gt;0,XV$17,0)</f>
        <v>0</v>
      </c>
      <c r="XW36" s="115">
        <f t="shared" ref="XW36" si="965">IF(XW35&gt;0,XW$17,0)</f>
        <v>0</v>
      </c>
      <c r="XX36" s="115">
        <f t="shared" ref="XX36" si="966">IF(XX35&gt;0,XX$17,0)</f>
        <v>0</v>
      </c>
      <c r="XY36" s="115">
        <f t="shared" ref="XY36" si="967">IF(XY35&gt;0,XY$17,0)</f>
        <v>0</v>
      </c>
      <c r="XZ36" s="115">
        <f t="shared" ref="XZ36" si="968">IF(XZ35&gt;0,XZ$17,0)</f>
        <v>0</v>
      </c>
      <c r="YA36" s="115">
        <f t="shared" ref="YA36" si="969">IF(YA35&gt;0,YA$17,0)</f>
        <v>0</v>
      </c>
      <c r="YB36" s="115">
        <f t="shared" ref="YB36" si="970">IF(YB35&gt;0,YB$17,0)</f>
        <v>0</v>
      </c>
      <c r="YC36" s="115">
        <f t="shared" ref="YC36" si="971">IF(YC35&gt;0,YC$17,0)</f>
        <v>0</v>
      </c>
      <c r="YD36" s="115">
        <f t="shared" ref="YD36" si="972">IF(YD35&gt;0,YD$17,0)</f>
        <v>0</v>
      </c>
      <c r="YE36" s="115">
        <f t="shared" ref="YE36" si="973">IF(YE35&gt;0,YE$17,0)</f>
        <v>0</v>
      </c>
      <c r="YF36" s="115">
        <f t="shared" ref="YF36" si="974">IF(YF35&gt;0,YF$17,0)</f>
        <v>0</v>
      </c>
      <c r="YG36" s="115">
        <f t="shared" ref="YG36" si="975">IF(YG35&gt;0,YG$17,0)</f>
        <v>0</v>
      </c>
      <c r="YH36" s="115">
        <f t="shared" ref="YH36" si="976">IF(YH35&gt;0,YH$17,0)</f>
        <v>0</v>
      </c>
      <c r="YI36" s="115">
        <f t="shared" ref="YI36" si="977">IF(YI35&gt;0,YI$17,0)</f>
        <v>0</v>
      </c>
      <c r="YJ36" s="115">
        <f t="shared" ref="YJ36" si="978">IF(YJ35&gt;0,YJ$17,0)</f>
        <v>0</v>
      </c>
      <c r="YK36" s="115">
        <f t="shared" ref="YK36" si="979">IF(YK35&gt;0,YK$17,0)</f>
        <v>0</v>
      </c>
      <c r="YL36" s="115">
        <f t="shared" ref="YL36" si="980">IF(YL35&gt;0,YL$17,0)</f>
        <v>0</v>
      </c>
      <c r="YM36" s="115">
        <f t="shared" ref="YM36" si="981">IF(YM35&gt;0,YM$17,0)</f>
        <v>0</v>
      </c>
      <c r="YN36" s="115">
        <f t="shared" ref="YN36" si="982">IF(YN35&gt;0,YN$17,0)</f>
        <v>0</v>
      </c>
      <c r="YO36" s="115">
        <f t="shared" ref="YO36" si="983">IF(YO35&gt;0,YO$17,0)</f>
        <v>0</v>
      </c>
      <c r="YP36" s="115">
        <f t="shared" ref="YP36" si="984">IF(YP35&gt;0,YP$17,0)</f>
        <v>0</v>
      </c>
      <c r="YQ36" s="115">
        <f t="shared" ref="YQ36" si="985">IF(YQ35&gt;0,YQ$17,0)</f>
        <v>0</v>
      </c>
      <c r="YR36" s="115">
        <f t="shared" ref="YR36" si="986">IF(YR35&gt;0,YR$17,0)</f>
        <v>0</v>
      </c>
      <c r="YS36" s="115">
        <f t="shared" ref="YS36" si="987">IF(YS35&gt;0,YS$17,0)</f>
        <v>0</v>
      </c>
      <c r="YT36" s="115">
        <f t="shared" ref="YT36" si="988">IF(YT35&gt;0,YT$17,0)</f>
        <v>0</v>
      </c>
      <c r="YU36" s="115">
        <f t="shared" ref="YU36" si="989">IF(YU35&gt;0,YU$17,0)</f>
        <v>0</v>
      </c>
      <c r="YV36" s="115">
        <f t="shared" ref="YV36" si="990">IF(YV35&gt;0,YV$17,0)</f>
        <v>0</v>
      </c>
      <c r="YW36" s="115">
        <f t="shared" ref="YW36" si="991">IF(YW35&gt;0,YW$17,0)</f>
        <v>0</v>
      </c>
      <c r="YX36" s="115">
        <f t="shared" ref="YX36" si="992">IF(YX35&gt;0,YX$17,0)</f>
        <v>0</v>
      </c>
      <c r="YY36" s="115">
        <f t="shared" ref="YY36" si="993">IF(YY35&gt;0,YY$17,0)</f>
        <v>0</v>
      </c>
      <c r="YZ36" s="115">
        <f t="shared" ref="YZ36" si="994">IF(YZ35&gt;0,YZ$17,0)</f>
        <v>0</v>
      </c>
      <c r="ZA36" s="115">
        <f t="shared" ref="ZA36" si="995">IF(ZA35&gt;0,ZA$17,0)</f>
        <v>0</v>
      </c>
      <c r="ZB36" s="115">
        <f t="shared" ref="ZB36" si="996">IF(ZB35&gt;0,ZB$17,0)</f>
        <v>0</v>
      </c>
      <c r="ZC36" s="115">
        <f t="shared" ref="ZC36" si="997">IF(ZC35&gt;0,ZC$17,0)</f>
        <v>0</v>
      </c>
      <c r="ZD36" s="115">
        <f t="shared" ref="ZD36" si="998">IF(ZD35&gt;0,ZD$17,0)</f>
        <v>0</v>
      </c>
      <c r="ZE36" s="115">
        <f t="shared" ref="ZE36" si="999">IF(ZE35&gt;0,ZE$17,0)</f>
        <v>0</v>
      </c>
      <c r="ZF36" s="115">
        <f t="shared" ref="ZF36" si="1000">IF(ZF35&gt;0,ZF$17,0)</f>
        <v>0</v>
      </c>
      <c r="ZG36" s="115">
        <f t="shared" ref="ZG36" si="1001">IF(ZG35&gt;0,ZG$17,0)</f>
        <v>0</v>
      </c>
      <c r="ZH36" s="115">
        <f t="shared" ref="ZH36" si="1002">IF(ZH35&gt;0,ZH$17,0)</f>
        <v>0</v>
      </c>
      <c r="ZI36" s="115">
        <f t="shared" ref="ZI36" si="1003">IF(ZI35&gt;0,ZI$17,0)</f>
        <v>0</v>
      </c>
      <c r="ZJ36" s="115">
        <f t="shared" ref="ZJ36" si="1004">IF(ZJ35&gt;0,ZJ$17,0)</f>
        <v>0</v>
      </c>
      <c r="ZK36" s="115">
        <f t="shared" ref="ZK36" si="1005">IF(ZK35&gt;0,ZK$17,0)</f>
        <v>0</v>
      </c>
      <c r="ZL36" s="115">
        <f t="shared" ref="ZL36" si="1006">IF(ZL35&gt;0,ZL$17,0)</f>
        <v>0</v>
      </c>
      <c r="ZM36" s="115">
        <f t="shared" ref="ZM36" si="1007">IF(ZM35&gt;0,ZM$17,0)</f>
        <v>0</v>
      </c>
      <c r="ZN36" s="115">
        <f t="shared" ref="ZN36" si="1008">IF(ZN35&gt;0,ZN$17,0)</f>
        <v>0</v>
      </c>
      <c r="ZO36" s="115">
        <f t="shared" ref="ZO36" si="1009">IF(ZO35&gt;0,ZO$17,0)</f>
        <v>0</v>
      </c>
      <c r="ZP36" s="115">
        <f t="shared" ref="ZP36" si="1010">IF(ZP35&gt;0,ZP$17,0)</f>
        <v>0</v>
      </c>
      <c r="ZQ36" s="115">
        <f t="shared" ref="ZQ36" si="1011">IF(ZQ35&gt;0,ZQ$17,0)</f>
        <v>0</v>
      </c>
      <c r="ZR36" s="115">
        <f t="shared" ref="ZR36" si="1012">IF(ZR35&gt;0,ZR$17,0)</f>
        <v>0</v>
      </c>
      <c r="ZS36" s="115">
        <f t="shared" ref="ZS36" si="1013">IF(ZS35&gt;0,ZS$17,0)</f>
        <v>0</v>
      </c>
      <c r="ZT36" s="115">
        <f t="shared" ref="ZT36" si="1014">IF(ZT35&gt;0,ZT$17,0)</f>
        <v>0</v>
      </c>
      <c r="ZU36" s="115">
        <f t="shared" ref="ZU36" si="1015">IF(ZU35&gt;0,ZU$17,0)</f>
        <v>0</v>
      </c>
      <c r="ZV36" s="115">
        <f t="shared" ref="ZV36" si="1016">IF(ZV35&gt;0,ZV$17,0)</f>
        <v>0</v>
      </c>
      <c r="ZW36" s="115">
        <f t="shared" ref="ZW36" si="1017">IF(ZW35&gt;0,ZW$17,0)</f>
        <v>0</v>
      </c>
      <c r="ZX36" s="115">
        <f t="shared" ref="ZX36" si="1018">IF(ZX35&gt;0,ZX$17,0)</f>
        <v>0</v>
      </c>
      <c r="ZY36" s="115">
        <f t="shared" ref="ZY36" si="1019">IF(ZY35&gt;0,ZY$17,0)</f>
        <v>0</v>
      </c>
      <c r="ZZ36" s="115">
        <f t="shared" ref="ZZ36" si="1020">IF(ZZ35&gt;0,ZZ$17,0)</f>
        <v>0</v>
      </c>
      <c r="AAA36" s="115">
        <f t="shared" ref="AAA36" si="1021">IF(AAA35&gt;0,AAA$17,0)</f>
        <v>0</v>
      </c>
      <c r="AAB36" s="115">
        <f t="shared" ref="AAB36" si="1022">IF(AAB35&gt;0,AAB$17,0)</f>
        <v>0</v>
      </c>
      <c r="AAC36" s="115">
        <f t="shared" ref="AAC36" si="1023">IF(AAC35&gt;0,AAC$17,0)</f>
        <v>0</v>
      </c>
      <c r="AAD36" s="115">
        <f t="shared" ref="AAD36" si="1024">IF(AAD35&gt;0,AAD$17,0)</f>
        <v>0</v>
      </c>
      <c r="AAE36" s="115">
        <f t="shared" ref="AAE36" si="1025">IF(AAE35&gt;0,AAE$17,0)</f>
        <v>0</v>
      </c>
      <c r="AAF36" s="115">
        <f t="shared" ref="AAF36" si="1026">IF(AAF35&gt;0,AAF$17,0)</f>
        <v>0</v>
      </c>
      <c r="AAG36" s="115">
        <f t="shared" ref="AAG36" si="1027">IF(AAG35&gt;0,AAG$17,0)</f>
        <v>0</v>
      </c>
      <c r="AAH36" s="115">
        <f t="shared" ref="AAH36" si="1028">IF(AAH35&gt;0,AAH$17,0)</f>
        <v>0</v>
      </c>
      <c r="AAI36" s="115">
        <f t="shared" ref="AAI36" si="1029">IF(AAI35&gt;0,AAI$17,0)</f>
        <v>0</v>
      </c>
      <c r="AAJ36" s="115">
        <f t="shared" ref="AAJ36" si="1030">IF(AAJ35&gt;0,AAJ$17,0)</f>
        <v>0</v>
      </c>
      <c r="AAK36" s="115">
        <f t="shared" ref="AAK36" si="1031">IF(AAK35&gt;0,AAK$17,0)</f>
        <v>0</v>
      </c>
      <c r="AAL36" s="115">
        <f t="shared" ref="AAL36" si="1032">IF(AAL35&gt;0,AAL$17,0)</f>
        <v>0</v>
      </c>
      <c r="AAM36" s="115">
        <f t="shared" ref="AAM36" si="1033">IF(AAM35&gt;0,AAM$17,0)</f>
        <v>0</v>
      </c>
      <c r="AAN36" s="115">
        <f t="shared" ref="AAN36" si="1034">IF(AAN35&gt;0,AAN$17,0)</f>
        <v>0</v>
      </c>
      <c r="AAO36" s="115">
        <f t="shared" ref="AAO36" si="1035">IF(AAO35&gt;0,AAO$17,0)</f>
        <v>0</v>
      </c>
      <c r="AAP36" s="115">
        <f t="shared" ref="AAP36" si="1036">IF(AAP35&gt;0,AAP$17,0)</f>
        <v>0</v>
      </c>
      <c r="AAQ36" s="115">
        <f t="shared" ref="AAQ36" si="1037">IF(AAQ35&gt;0,AAQ$17,0)</f>
        <v>0</v>
      </c>
      <c r="AAR36" s="115">
        <f t="shared" ref="AAR36" si="1038">IF(AAR35&gt;0,AAR$17,0)</f>
        <v>0</v>
      </c>
      <c r="AAS36" s="115">
        <f t="shared" ref="AAS36" si="1039">IF(AAS35&gt;0,AAS$17,0)</f>
        <v>0</v>
      </c>
      <c r="AAT36" s="115">
        <f t="shared" ref="AAT36" si="1040">IF(AAT35&gt;0,AAT$17,0)</f>
        <v>0</v>
      </c>
      <c r="AAU36" s="115">
        <f t="shared" ref="AAU36" si="1041">IF(AAU35&gt;0,AAU$17,0)</f>
        <v>0</v>
      </c>
      <c r="AAV36" s="115">
        <f t="shared" ref="AAV36" si="1042">IF(AAV35&gt;0,AAV$17,0)</f>
        <v>0</v>
      </c>
      <c r="AAW36" s="115">
        <f t="shared" ref="AAW36" si="1043">IF(AAW35&gt;0,AAW$17,0)</f>
        <v>0</v>
      </c>
      <c r="AAX36" s="115">
        <f t="shared" ref="AAX36" si="1044">IF(AAX35&gt;0,AAX$17,0)</f>
        <v>0</v>
      </c>
      <c r="AAY36" s="115">
        <f t="shared" ref="AAY36" si="1045">IF(AAY35&gt;0,AAY$17,0)</f>
        <v>0</v>
      </c>
      <c r="AAZ36" s="115">
        <f t="shared" ref="AAZ36" si="1046">IF(AAZ35&gt;0,AAZ$17,0)</f>
        <v>0</v>
      </c>
      <c r="ABA36" s="115">
        <f t="shared" ref="ABA36" si="1047">IF(ABA35&gt;0,ABA$17,0)</f>
        <v>0</v>
      </c>
      <c r="ABB36" s="115">
        <f t="shared" ref="ABB36" si="1048">IF(ABB35&gt;0,ABB$17,0)</f>
        <v>0</v>
      </c>
      <c r="ABC36" s="115">
        <f t="shared" ref="ABC36" si="1049">IF(ABC35&gt;0,ABC$17,0)</f>
        <v>0</v>
      </c>
      <c r="ABD36" s="115">
        <f t="shared" ref="ABD36" si="1050">IF(ABD35&gt;0,ABD$17,0)</f>
        <v>0</v>
      </c>
      <c r="ABE36" s="115">
        <f t="shared" ref="ABE36" si="1051">IF(ABE35&gt;0,ABE$17,0)</f>
        <v>0</v>
      </c>
      <c r="ABF36" s="115">
        <f t="shared" ref="ABF36" si="1052">IF(ABF35&gt;0,ABF$17,0)</f>
        <v>0</v>
      </c>
      <c r="ABG36" s="115">
        <f t="shared" ref="ABG36" si="1053">IF(ABG35&gt;0,ABG$17,0)</f>
        <v>0</v>
      </c>
      <c r="ABH36" s="115">
        <f t="shared" ref="ABH36" si="1054">IF(ABH35&gt;0,ABH$17,0)</f>
        <v>0</v>
      </c>
      <c r="ABI36" s="115">
        <f t="shared" ref="ABI36" si="1055">IF(ABI35&gt;0,ABI$17,0)</f>
        <v>0</v>
      </c>
      <c r="ABJ36" s="115">
        <f t="shared" ref="ABJ36" si="1056">IF(ABJ35&gt;0,ABJ$17,0)</f>
        <v>0</v>
      </c>
      <c r="ABK36" s="115">
        <f t="shared" ref="ABK36" si="1057">IF(ABK35&gt;0,ABK$17,0)</f>
        <v>0</v>
      </c>
      <c r="ABL36" s="115">
        <f t="shared" ref="ABL36" si="1058">IF(ABL35&gt;0,ABL$17,0)</f>
        <v>0</v>
      </c>
      <c r="ABM36" s="115">
        <f t="shared" ref="ABM36" si="1059">IF(ABM35&gt;0,ABM$17,0)</f>
        <v>0</v>
      </c>
      <c r="ABN36" s="115">
        <f t="shared" ref="ABN36" si="1060">IF(ABN35&gt;0,ABN$17,0)</f>
        <v>0</v>
      </c>
      <c r="ABO36" s="115">
        <f t="shared" ref="ABO36" si="1061">IF(ABO35&gt;0,ABO$17,0)</f>
        <v>0</v>
      </c>
      <c r="ABP36" s="115">
        <f t="shared" ref="ABP36" si="1062">IF(ABP35&gt;0,ABP$17,0)</f>
        <v>0</v>
      </c>
      <c r="ABQ36" s="115">
        <f t="shared" ref="ABQ36" si="1063">IF(ABQ35&gt;0,ABQ$17,0)</f>
        <v>0</v>
      </c>
      <c r="ABR36" s="115">
        <f t="shared" ref="ABR36" si="1064">IF(ABR35&gt;0,ABR$17,0)</f>
        <v>0</v>
      </c>
      <c r="ABS36" s="115">
        <f t="shared" ref="ABS36" si="1065">IF(ABS35&gt;0,ABS$17,0)</f>
        <v>0</v>
      </c>
      <c r="ABT36" s="115">
        <f t="shared" ref="ABT36" si="1066">IF(ABT35&gt;0,ABT$17,0)</f>
        <v>0</v>
      </c>
      <c r="ABU36" s="115">
        <f t="shared" ref="ABU36" si="1067">IF(ABU35&gt;0,ABU$17,0)</f>
        <v>0</v>
      </c>
      <c r="ABV36" s="115">
        <f t="shared" ref="ABV36" si="1068">IF(ABV35&gt;0,ABV$17,0)</f>
        <v>0</v>
      </c>
      <c r="ABW36" s="115">
        <f t="shared" ref="ABW36" si="1069">IF(ABW35&gt;0,ABW$17,0)</f>
        <v>0</v>
      </c>
      <c r="ABX36" s="115">
        <f t="shared" ref="ABX36" si="1070">IF(ABX35&gt;0,ABX$17,0)</f>
        <v>0</v>
      </c>
      <c r="ABY36" s="115">
        <f t="shared" ref="ABY36" si="1071">IF(ABY35&gt;0,ABY$17,0)</f>
        <v>0</v>
      </c>
      <c r="ABZ36" s="115">
        <f t="shared" ref="ABZ36" si="1072">IF(ABZ35&gt;0,ABZ$17,0)</f>
        <v>0</v>
      </c>
      <c r="ACA36" s="115">
        <f t="shared" ref="ACA36" si="1073">IF(ACA35&gt;0,ACA$17,0)</f>
        <v>0</v>
      </c>
      <c r="ACB36" s="115">
        <f t="shared" ref="ACB36" si="1074">IF(ACB35&gt;0,ACB$17,0)</f>
        <v>0</v>
      </c>
      <c r="ACC36" s="115">
        <f t="shared" ref="ACC36" si="1075">IF(ACC35&gt;0,ACC$17,0)</f>
        <v>0</v>
      </c>
      <c r="ACD36" s="115">
        <f t="shared" ref="ACD36" si="1076">IF(ACD35&gt;0,ACD$17,0)</f>
        <v>0</v>
      </c>
      <c r="ACE36" s="115">
        <f t="shared" ref="ACE36" si="1077">IF(ACE35&gt;0,ACE$17,0)</f>
        <v>0</v>
      </c>
      <c r="ACF36" s="115">
        <f t="shared" ref="ACF36" si="1078">IF(ACF35&gt;0,ACF$17,0)</f>
        <v>0</v>
      </c>
      <c r="ACG36" s="115">
        <f t="shared" ref="ACG36" si="1079">IF(ACG35&gt;0,ACG$17,0)</f>
        <v>0</v>
      </c>
      <c r="ACH36" s="115">
        <f t="shared" ref="ACH36" si="1080">IF(ACH35&gt;0,ACH$17,0)</f>
        <v>0</v>
      </c>
      <c r="ACI36" s="115">
        <f t="shared" ref="ACI36" si="1081">IF(ACI35&gt;0,ACI$17,0)</f>
        <v>0</v>
      </c>
      <c r="ACJ36" s="115">
        <f t="shared" ref="ACJ36" si="1082">IF(ACJ35&gt;0,ACJ$17,0)</f>
        <v>0</v>
      </c>
      <c r="ACK36" s="115">
        <f t="shared" ref="ACK36" si="1083">IF(ACK35&gt;0,ACK$17,0)</f>
        <v>0</v>
      </c>
      <c r="ACL36" s="115">
        <f t="shared" ref="ACL36" si="1084">IF(ACL35&gt;0,ACL$17,0)</f>
        <v>0</v>
      </c>
      <c r="ACM36" s="115">
        <f t="shared" ref="ACM36" si="1085">IF(ACM35&gt;0,ACM$17,0)</f>
        <v>0</v>
      </c>
      <c r="ACN36" s="115">
        <f t="shared" ref="ACN36" si="1086">IF(ACN35&gt;0,ACN$17,0)</f>
        <v>0</v>
      </c>
      <c r="ACO36" s="115">
        <f t="shared" ref="ACO36" si="1087">IF(ACO35&gt;0,ACO$17,0)</f>
        <v>0</v>
      </c>
      <c r="ACP36" s="115">
        <f t="shared" ref="ACP36" si="1088">IF(ACP35&gt;0,ACP$17,0)</f>
        <v>0</v>
      </c>
      <c r="ACQ36" s="115">
        <f t="shared" ref="ACQ36" si="1089">IF(ACQ35&gt;0,ACQ$17,0)</f>
        <v>0</v>
      </c>
      <c r="ACR36" s="115">
        <f t="shared" ref="ACR36" si="1090">IF(ACR35&gt;0,ACR$17,0)</f>
        <v>0</v>
      </c>
      <c r="ACS36" s="115">
        <f t="shared" ref="ACS36" si="1091">IF(ACS35&gt;0,ACS$17,0)</f>
        <v>0</v>
      </c>
      <c r="ACT36" s="115">
        <f t="shared" ref="ACT36" si="1092">IF(ACT35&gt;0,ACT$17,0)</f>
        <v>0</v>
      </c>
      <c r="ACU36" s="115">
        <f t="shared" ref="ACU36" si="1093">IF(ACU35&gt;0,ACU$17,0)</f>
        <v>0</v>
      </c>
      <c r="ACV36" s="115">
        <f t="shared" ref="ACV36" si="1094">IF(ACV35&gt;0,ACV$17,0)</f>
        <v>0</v>
      </c>
      <c r="ACW36" s="115">
        <f t="shared" ref="ACW36" si="1095">IF(ACW35&gt;0,ACW$17,0)</f>
        <v>0</v>
      </c>
      <c r="ACX36" s="115">
        <f t="shared" ref="ACX36" si="1096">IF(ACX35&gt;0,ACX$17,0)</f>
        <v>0</v>
      </c>
      <c r="ACY36" s="115">
        <f t="shared" ref="ACY36" si="1097">IF(ACY35&gt;0,ACY$17,0)</f>
        <v>0</v>
      </c>
      <c r="ACZ36" s="115">
        <f t="shared" ref="ACZ36" si="1098">IF(ACZ35&gt;0,ACZ$17,0)</f>
        <v>0</v>
      </c>
      <c r="ADA36" s="115">
        <f t="shared" ref="ADA36" si="1099">IF(ADA35&gt;0,ADA$17,0)</f>
        <v>0</v>
      </c>
      <c r="ADB36" s="115">
        <f t="shared" ref="ADB36" si="1100">IF(ADB35&gt;0,ADB$17,0)</f>
        <v>0</v>
      </c>
      <c r="ADC36" s="115">
        <f t="shared" ref="ADC36" si="1101">IF(ADC35&gt;0,ADC$17,0)</f>
        <v>0</v>
      </c>
      <c r="ADD36" s="115">
        <f t="shared" ref="ADD36" si="1102">IF(ADD35&gt;0,ADD$17,0)</f>
        <v>0</v>
      </c>
      <c r="ADE36" s="115">
        <f t="shared" ref="ADE36" si="1103">IF(ADE35&gt;0,ADE$17,0)</f>
        <v>0</v>
      </c>
      <c r="ADF36" s="115">
        <f t="shared" ref="ADF36" si="1104">IF(ADF35&gt;0,ADF$17,0)</f>
        <v>0</v>
      </c>
      <c r="ADG36" s="115">
        <f t="shared" ref="ADG36" si="1105">IF(ADG35&gt;0,ADG$17,0)</f>
        <v>0</v>
      </c>
      <c r="ADH36" s="115">
        <f t="shared" ref="ADH36" si="1106">IF(ADH35&gt;0,ADH$17,0)</f>
        <v>0</v>
      </c>
      <c r="ADI36" s="115">
        <f t="shared" ref="ADI36" si="1107">IF(ADI35&gt;0,ADI$17,0)</f>
        <v>0</v>
      </c>
      <c r="ADJ36" s="115">
        <f t="shared" ref="ADJ36" si="1108">IF(ADJ35&gt;0,ADJ$17,0)</f>
        <v>0</v>
      </c>
      <c r="ADK36" s="115">
        <f t="shared" ref="ADK36" si="1109">IF(ADK35&gt;0,ADK$17,0)</f>
        <v>0</v>
      </c>
      <c r="ADL36" s="115">
        <f t="shared" ref="ADL36" si="1110">IF(ADL35&gt;0,ADL$17,0)</f>
        <v>0</v>
      </c>
      <c r="ADM36" s="115">
        <f t="shared" ref="ADM36" si="1111">IF(ADM35&gt;0,ADM$17,0)</f>
        <v>0</v>
      </c>
      <c r="ADN36" s="115">
        <f t="shared" ref="ADN36" si="1112">IF(ADN35&gt;0,ADN$17,0)</f>
        <v>0</v>
      </c>
      <c r="ADO36" s="115">
        <f t="shared" ref="ADO36" si="1113">IF(ADO35&gt;0,ADO$17,0)</f>
        <v>0</v>
      </c>
      <c r="ADP36" s="115">
        <f t="shared" ref="ADP36" si="1114">IF(ADP35&gt;0,ADP$17,0)</f>
        <v>0</v>
      </c>
      <c r="ADQ36" s="115">
        <f t="shared" ref="ADQ36" si="1115">IF(ADQ35&gt;0,ADQ$17,0)</f>
        <v>0</v>
      </c>
      <c r="ADR36" s="115">
        <f t="shared" ref="ADR36" si="1116">IF(ADR35&gt;0,ADR$17,0)</f>
        <v>0</v>
      </c>
      <c r="ADS36" s="115">
        <f t="shared" ref="ADS36" si="1117">IF(ADS35&gt;0,ADS$17,0)</f>
        <v>0</v>
      </c>
      <c r="ADT36" s="115">
        <f t="shared" ref="ADT36" si="1118">IF(ADT35&gt;0,ADT$17,0)</f>
        <v>0</v>
      </c>
      <c r="ADU36" s="115">
        <f t="shared" ref="ADU36" si="1119">IF(ADU35&gt;0,ADU$17,0)</f>
        <v>0</v>
      </c>
      <c r="ADV36" s="115">
        <f t="shared" ref="ADV36" si="1120">IF(ADV35&gt;0,ADV$17,0)</f>
        <v>0</v>
      </c>
      <c r="ADW36" s="115">
        <f t="shared" ref="ADW36" si="1121">IF(ADW35&gt;0,ADW$17,0)</f>
        <v>0</v>
      </c>
      <c r="ADX36" s="115">
        <f t="shared" ref="ADX36" si="1122">IF(ADX35&gt;0,ADX$17,0)</f>
        <v>0</v>
      </c>
      <c r="ADY36" s="115">
        <f t="shared" ref="ADY36" si="1123">IF(ADY35&gt;0,ADY$17,0)</f>
        <v>0</v>
      </c>
      <c r="ADZ36" s="115">
        <f t="shared" ref="ADZ36" si="1124">IF(ADZ35&gt;0,ADZ$17,0)</f>
        <v>0</v>
      </c>
      <c r="AEA36" s="115">
        <f t="shared" ref="AEA36" si="1125">IF(AEA35&gt;0,AEA$17,0)</f>
        <v>0</v>
      </c>
      <c r="AEB36" s="115">
        <f t="shared" ref="AEB36" si="1126">IF(AEB35&gt;0,AEB$17,0)</f>
        <v>0</v>
      </c>
      <c r="AEC36" s="115">
        <f t="shared" ref="AEC36" si="1127">IF(AEC35&gt;0,AEC$17,0)</f>
        <v>0</v>
      </c>
      <c r="AED36" s="115">
        <f t="shared" ref="AED36" si="1128">IF(AED35&gt;0,AED$17,0)</f>
        <v>0</v>
      </c>
      <c r="AEE36" s="115">
        <f t="shared" ref="AEE36" si="1129">IF(AEE35&gt;0,AEE$17,0)</f>
        <v>0</v>
      </c>
      <c r="AEF36" s="115">
        <f t="shared" ref="AEF36" si="1130">IF(AEF35&gt;0,AEF$17,0)</f>
        <v>0</v>
      </c>
      <c r="AEG36" s="115">
        <f t="shared" ref="AEG36" si="1131">IF(AEG35&gt;0,AEG$17,0)</f>
        <v>0</v>
      </c>
      <c r="AEH36" s="115">
        <f t="shared" ref="AEH36" si="1132">IF(AEH35&gt;0,AEH$17,0)</f>
        <v>0</v>
      </c>
      <c r="AEI36" s="115">
        <f t="shared" ref="AEI36" si="1133">IF(AEI35&gt;0,AEI$17,0)</f>
        <v>0</v>
      </c>
      <c r="AEJ36" s="115">
        <f t="shared" ref="AEJ36" si="1134">IF(AEJ35&gt;0,AEJ$17,0)</f>
        <v>0</v>
      </c>
      <c r="AEK36" s="115">
        <f t="shared" ref="AEK36" si="1135">IF(AEK35&gt;0,AEK$17,0)</f>
        <v>0</v>
      </c>
      <c r="AEL36" s="115">
        <f t="shared" ref="AEL36" si="1136">IF(AEL35&gt;0,AEL$17,0)</f>
        <v>0</v>
      </c>
      <c r="AEM36" s="115">
        <f t="shared" ref="AEM36" si="1137">IF(AEM35&gt;0,AEM$17,0)</f>
        <v>0</v>
      </c>
      <c r="AEN36" s="115">
        <f t="shared" ref="AEN36" si="1138">IF(AEN35&gt;0,AEN$17,0)</f>
        <v>0</v>
      </c>
      <c r="AEO36" s="115">
        <f t="shared" ref="AEO36" si="1139">IF(AEO35&gt;0,AEO$17,0)</f>
        <v>0</v>
      </c>
      <c r="AEP36" s="115">
        <f t="shared" ref="AEP36" si="1140">IF(AEP35&gt;0,AEP$17,0)</f>
        <v>0</v>
      </c>
      <c r="AEQ36" s="115">
        <f t="shared" ref="AEQ36" si="1141">IF(AEQ35&gt;0,AEQ$17,0)</f>
        <v>0</v>
      </c>
      <c r="AER36" s="115">
        <f t="shared" ref="AER36" si="1142">IF(AER35&gt;0,AER$17,0)</f>
        <v>0</v>
      </c>
      <c r="AES36" s="115">
        <f t="shared" ref="AES36" si="1143">IF(AES35&gt;0,AES$17,0)</f>
        <v>0</v>
      </c>
      <c r="AET36" s="115">
        <f t="shared" ref="AET36" si="1144">IF(AET35&gt;0,AET$17,0)</f>
        <v>0</v>
      </c>
      <c r="AEU36" s="115">
        <f t="shared" ref="AEU36" si="1145">IF(AEU35&gt;0,AEU$17,0)</f>
        <v>0</v>
      </c>
      <c r="AEV36" s="115">
        <f t="shared" ref="AEV36" si="1146">IF(AEV35&gt;0,AEV$17,0)</f>
        <v>0</v>
      </c>
      <c r="AEW36" s="115">
        <f t="shared" ref="AEW36" si="1147">IF(AEW35&gt;0,AEW$17,0)</f>
        <v>0</v>
      </c>
      <c r="AEX36" s="115">
        <f t="shared" ref="AEX36" si="1148">IF(AEX35&gt;0,AEX$17,0)</f>
        <v>0</v>
      </c>
      <c r="AEY36" s="115">
        <f t="shared" ref="AEY36" si="1149">IF(AEY35&gt;0,AEY$17,0)</f>
        <v>0</v>
      </c>
      <c r="AEZ36" s="115">
        <f t="shared" ref="AEZ36" si="1150">IF(AEZ35&gt;0,AEZ$17,0)</f>
        <v>0</v>
      </c>
      <c r="AFA36" s="115">
        <f t="shared" ref="AFA36" si="1151">IF(AFA35&gt;0,AFA$17,0)</f>
        <v>0</v>
      </c>
      <c r="AFB36" s="115">
        <f t="shared" ref="AFB36" si="1152">IF(AFB35&gt;0,AFB$17,0)</f>
        <v>0</v>
      </c>
      <c r="AFC36" s="115">
        <f t="shared" ref="AFC36" si="1153">IF(AFC35&gt;0,AFC$17,0)</f>
        <v>0</v>
      </c>
      <c r="AFD36" s="115">
        <f t="shared" ref="AFD36" si="1154">IF(AFD35&gt;0,AFD$17,0)</f>
        <v>0</v>
      </c>
      <c r="AFE36" s="115">
        <f t="shared" ref="AFE36" si="1155">IF(AFE35&gt;0,AFE$17,0)</f>
        <v>0</v>
      </c>
      <c r="AFF36" s="115">
        <f t="shared" ref="AFF36" si="1156">IF(AFF35&gt;0,AFF$17,0)</f>
        <v>0</v>
      </c>
      <c r="AFG36" s="115">
        <f t="shared" ref="AFG36" si="1157">IF(AFG35&gt;0,AFG$17,0)</f>
        <v>0</v>
      </c>
      <c r="AFH36" s="115">
        <f t="shared" ref="AFH36" si="1158">IF(AFH35&gt;0,AFH$17,0)</f>
        <v>0</v>
      </c>
      <c r="AFI36" s="115">
        <f t="shared" ref="AFI36" si="1159">IF(AFI35&gt;0,AFI$17,0)</f>
        <v>0</v>
      </c>
      <c r="AFJ36" s="115">
        <f t="shared" ref="AFJ36" si="1160">IF(AFJ35&gt;0,AFJ$17,0)</f>
        <v>0</v>
      </c>
      <c r="AFK36" s="115">
        <f t="shared" ref="AFK36" si="1161">IF(AFK35&gt;0,AFK$17,0)</f>
        <v>0</v>
      </c>
      <c r="AFL36" s="115">
        <f t="shared" ref="AFL36" si="1162">IF(AFL35&gt;0,AFL$17,0)</f>
        <v>0</v>
      </c>
      <c r="AFM36" s="115">
        <f t="shared" ref="AFM36" si="1163">IF(AFM35&gt;0,AFM$17,0)</f>
        <v>0</v>
      </c>
      <c r="AFN36" s="115">
        <f t="shared" ref="AFN36" si="1164">IF(AFN35&gt;0,AFN$17,0)</f>
        <v>0</v>
      </c>
      <c r="AFO36" s="115">
        <f t="shared" ref="AFO36" si="1165">IF(AFO35&gt;0,AFO$17,0)</f>
        <v>0</v>
      </c>
      <c r="AFP36" s="115">
        <f t="shared" ref="AFP36" si="1166">IF(AFP35&gt;0,AFP$17,0)</f>
        <v>0</v>
      </c>
      <c r="AFQ36" s="115">
        <f t="shared" ref="AFQ36" si="1167">IF(AFQ35&gt;0,AFQ$17,0)</f>
        <v>0</v>
      </c>
      <c r="AFR36" s="115">
        <f t="shared" ref="AFR36" si="1168">IF(AFR35&gt;0,AFR$17,0)</f>
        <v>0</v>
      </c>
      <c r="AFS36" s="115">
        <f t="shared" ref="AFS36" si="1169">IF(AFS35&gt;0,AFS$17,0)</f>
        <v>0</v>
      </c>
      <c r="AFT36" s="115">
        <f t="shared" ref="AFT36" si="1170">IF(AFT35&gt;0,AFT$17,0)</f>
        <v>0</v>
      </c>
      <c r="AFU36" s="115">
        <f t="shared" ref="AFU36" si="1171">IF(AFU35&gt;0,AFU$17,0)</f>
        <v>0</v>
      </c>
      <c r="AFV36" s="115">
        <f t="shared" ref="AFV36" si="1172">IF(AFV35&gt;0,AFV$17,0)</f>
        <v>0</v>
      </c>
      <c r="AFW36" s="115">
        <f t="shared" ref="AFW36" si="1173">IF(AFW35&gt;0,AFW$17,0)</f>
        <v>0</v>
      </c>
      <c r="AFX36" s="115">
        <f t="shared" ref="AFX36" si="1174">IF(AFX35&gt;0,AFX$17,0)</f>
        <v>0</v>
      </c>
      <c r="AFY36" s="115">
        <f t="shared" ref="AFY36" si="1175">IF(AFY35&gt;0,AFY$17,0)</f>
        <v>0</v>
      </c>
      <c r="AFZ36" s="115">
        <f t="shared" ref="AFZ36" si="1176">IF(AFZ35&gt;0,AFZ$17,0)</f>
        <v>0</v>
      </c>
      <c r="AGA36" s="115">
        <f t="shared" ref="AGA36" si="1177">IF(AGA35&gt;0,AGA$17,0)</f>
        <v>0</v>
      </c>
      <c r="AGB36" s="115">
        <f t="shared" ref="AGB36" si="1178">IF(AGB35&gt;0,AGB$17,0)</f>
        <v>0</v>
      </c>
      <c r="AGC36" s="115">
        <f t="shared" ref="AGC36" si="1179">IF(AGC35&gt;0,AGC$17,0)</f>
        <v>0</v>
      </c>
      <c r="AGD36" s="115">
        <f t="shared" ref="AGD36" si="1180">IF(AGD35&gt;0,AGD$17,0)</f>
        <v>0</v>
      </c>
      <c r="AGE36" s="115">
        <f t="shared" ref="AGE36" si="1181">IF(AGE35&gt;0,AGE$17,0)</f>
        <v>0</v>
      </c>
      <c r="AGF36" s="115">
        <f t="shared" ref="AGF36" si="1182">IF(AGF35&gt;0,AGF$17,0)</f>
        <v>0</v>
      </c>
      <c r="AGG36" s="115">
        <f t="shared" ref="AGG36" si="1183">IF(AGG35&gt;0,AGG$17,0)</f>
        <v>0</v>
      </c>
      <c r="AGH36" s="115">
        <f t="shared" ref="AGH36" si="1184">IF(AGH35&gt;0,AGH$17,0)</f>
        <v>0</v>
      </c>
      <c r="AGI36" s="115">
        <f t="shared" ref="AGI36" si="1185">IF(AGI35&gt;0,AGI$17,0)</f>
        <v>0</v>
      </c>
      <c r="AGJ36" s="115">
        <f t="shared" ref="AGJ36" si="1186">IF(AGJ35&gt;0,AGJ$17,0)</f>
        <v>0</v>
      </c>
      <c r="AGK36" s="115">
        <f t="shared" ref="AGK36" si="1187">IF(AGK35&gt;0,AGK$17,0)</f>
        <v>0</v>
      </c>
      <c r="AGL36" s="115">
        <f t="shared" ref="AGL36" si="1188">IF(AGL35&gt;0,AGL$17,0)</f>
        <v>0</v>
      </c>
      <c r="AGM36" s="115">
        <f t="shared" ref="AGM36" si="1189">IF(AGM35&gt;0,AGM$17,0)</f>
        <v>0</v>
      </c>
      <c r="AGN36" s="115">
        <f t="shared" ref="AGN36" si="1190">IF(AGN35&gt;0,AGN$17,0)</f>
        <v>0</v>
      </c>
      <c r="AGO36" s="115">
        <f t="shared" ref="AGO36" si="1191">IF(AGO35&gt;0,AGO$17,0)</f>
        <v>0</v>
      </c>
      <c r="AGP36" s="115">
        <f t="shared" ref="AGP36" si="1192">IF(AGP35&gt;0,AGP$17,0)</f>
        <v>0</v>
      </c>
      <c r="AGQ36" s="115">
        <f t="shared" ref="AGQ36" si="1193">IF(AGQ35&gt;0,AGQ$17,0)</f>
        <v>0</v>
      </c>
      <c r="AGR36" s="115">
        <f t="shared" ref="AGR36" si="1194">IF(AGR35&gt;0,AGR$17,0)</f>
        <v>0</v>
      </c>
      <c r="AGS36" s="115">
        <f t="shared" ref="AGS36" si="1195">IF(AGS35&gt;0,AGS$17,0)</f>
        <v>0</v>
      </c>
      <c r="AGT36" s="115">
        <f t="shared" ref="AGT36" si="1196">IF(AGT35&gt;0,AGT$17,0)</f>
        <v>0</v>
      </c>
      <c r="AGU36" s="115">
        <f t="shared" ref="AGU36" si="1197">IF(AGU35&gt;0,AGU$17,0)</f>
        <v>0</v>
      </c>
      <c r="AGV36" s="115">
        <f t="shared" ref="AGV36" si="1198">IF(AGV35&gt;0,AGV$17,0)</f>
        <v>0</v>
      </c>
      <c r="AGW36" s="115">
        <f t="shared" ref="AGW36" si="1199">IF(AGW35&gt;0,AGW$17,0)</f>
        <v>0</v>
      </c>
      <c r="AGX36" s="115">
        <f t="shared" ref="AGX36" si="1200">IF(AGX35&gt;0,AGX$17,0)</f>
        <v>0</v>
      </c>
      <c r="AGY36" s="115">
        <f t="shared" ref="AGY36" si="1201">IF(AGY35&gt;0,AGY$17,0)</f>
        <v>0</v>
      </c>
      <c r="AGZ36" s="115">
        <f t="shared" ref="AGZ36" si="1202">IF(AGZ35&gt;0,AGZ$17,0)</f>
        <v>0</v>
      </c>
      <c r="AHA36" s="115">
        <f t="shared" ref="AHA36" si="1203">IF(AHA35&gt;0,AHA$17,0)</f>
        <v>0</v>
      </c>
      <c r="AHB36" s="115">
        <f t="shared" ref="AHB36" si="1204">IF(AHB35&gt;0,AHB$17,0)</f>
        <v>0</v>
      </c>
      <c r="AHC36" s="115">
        <f t="shared" ref="AHC36" si="1205">IF(AHC35&gt;0,AHC$17,0)</f>
        <v>0</v>
      </c>
      <c r="AHD36" s="115">
        <f t="shared" ref="AHD36" si="1206">IF(AHD35&gt;0,AHD$17,0)</f>
        <v>0</v>
      </c>
      <c r="AHE36" s="115">
        <f t="shared" ref="AHE36" si="1207">IF(AHE35&gt;0,AHE$17,0)</f>
        <v>0</v>
      </c>
      <c r="AHF36" s="115">
        <f t="shared" ref="AHF36" si="1208">IF(AHF35&gt;0,AHF$17,0)</f>
        <v>0</v>
      </c>
      <c r="AHG36" s="115">
        <f t="shared" ref="AHG36" si="1209">IF(AHG35&gt;0,AHG$17,0)</f>
        <v>0</v>
      </c>
      <c r="AHH36" s="115">
        <f t="shared" ref="AHH36" si="1210">IF(AHH35&gt;0,AHH$17,0)</f>
        <v>0</v>
      </c>
      <c r="AHI36" s="115">
        <f t="shared" ref="AHI36" si="1211">IF(AHI35&gt;0,AHI$17,0)</f>
        <v>0</v>
      </c>
      <c r="AHJ36" s="115">
        <f t="shared" ref="AHJ36" si="1212">IF(AHJ35&gt;0,AHJ$17,0)</f>
        <v>0</v>
      </c>
      <c r="AHK36" s="115">
        <f t="shared" ref="AHK36" si="1213">IF(AHK35&gt;0,AHK$17,0)</f>
        <v>0</v>
      </c>
      <c r="AHL36" s="115">
        <f t="shared" ref="AHL36" si="1214">IF(AHL35&gt;0,AHL$17,0)</f>
        <v>0</v>
      </c>
      <c r="AHM36" s="115">
        <f t="shared" ref="AHM36" si="1215">IF(AHM35&gt;0,AHM$17,0)</f>
        <v>0</v>
      </c>
      <c r="AHN36" s="115">
        <f t="shared" ref="AHN36" si="1216">IF(AHN35&gt;0,AHN$17,0)</f>
        <v>0</v>
      </c>
      <c r="AHO36" s="115">
        <f t="shared" ref="AHO36" si="1217">IF(AHO35&gt;0,AHO$17,0)</f>
        <v>0</v>
      </c>
      <c r="AHP36" s="115">
        <f t="shared" ref="AHP36" si="1218">IF(AHP35&gt;0,AHP$17,0)</f>
        <v>0</v>
      </c>
      <c r="AHQ36" s="115">
        <f t="shared" ref="AHQ36" si="1219">IF(AHQ35&gt;0,AHQ$17,0)</f>
        <v>0</v>
      </c>
      <c r="AHR36" s="115">
        <f t="shared" ref="AHR36" si="1220">IF(AHR35&gt;0,AHR$17,0)</f>
        <v>0</v>
      </c>
      <c r="AHS36" s="115">
        <f t="shared" ref="AHS36" si="1221">IF(AHS35&gt;0,AHS$17,0)</f>
        <v>0</v>
      </c>
      <c r="AHT36" s="115">
        <f t="shared" ref="AHT36" si="1222">IF(AHT35&gt;0,AHT$17,0)</f>
        <v>0</v>
      </c>
      <c r="AHU36" s="115">
        <f t="shared" ref="AHU36" si="1223">IF(AHU35&gt;0,AHU$17,0)</f>
        <v>0</v>
      </c>
      <c r="AHV36" s="115">
        <f t="shared" ref="AHV36" si="1224">IF(AHV35&gt;0,AHV$17,0)</f>
        <v>0</v>
      </c>
      <c r="AHW36" s="115">
        <f t="shared" ref="AHW36" si="1225">IF(AHW35&gt;0,AHW$17,0)</f>
        <v>0</v>
      </c>
      <c r="AHX36" s="115">
        <f t="shared" ref="AHX36" si="1226">IF(AHX35&gt;0,AHX$17,0)</f>
        <v>0</v>
      </c>
      <c r="AHY36" s="115">
        <f t="shared" ref="AHY36" si="1227">IF(AHY35&gt;0,AHY$17,0)</f>
        <v>0</v>
      </c>
      <c r="AHZ36" s="115">
        <f t="shared" ref="AHZ36" si="1228">IF(AHZ35&gt;0,AHZ$17,0)</f>
        <v>0</v>
      </c>
      <c r="AIA36" s="115">
        <f t="shared" ref="AIA36" si="1229">IF(AIA35&gt;0,AIA$17,0)</f>
        <v>0</v>
      </c>
      <c r="AIB36" s="115">
        <f t="shared" ref="AIB36" si="1230">IF(AIB35&gt;0,AIB$17,0)</f>
        <v>0</v>
      </c>
      <c r="AIC36" s="115">
        <f t="shared" ref="AIC36" si="1231">IF(AIC35&gt;0,AIC$17,0)</f>
        <v>0</v>
      </c>
      <c r="AID36" s="115">
        <f t="shared" ref="AID36" si="1232">IF(AID35&gt;0,AID$17,0)</f>
        <v>0</v>
      </c>
      <c r="AIE36" s="115">
        <f t="shared" ref="AIE36" si="1233">IF(AIE35&gt;0,AIE$17,0)</f>
        <v>0</v>
      </c>
      <c r="AIF36" s="115">
        <f t="shared" ref="AIF36" si="1234">IF(AIF35&gt;0,AIF$17,0)</f>
        <v>0</v>
      </c>
      <c r="AIG36" s="115">
        <f t="shared" ref="AIG36" si="1235">IF(AIG35&gt;0,AIG$17,0)</f>
        <v>0</v>
      </c>
      <c r="AIH36" s="115">
        <f t="shared" ref="AIH36" si="1236">IF(AIH35&gt;0,AIH$17,0)</f>
        <v>0</v>
      </c>
      <c r="AII36" s="115">
        <f t="shared" ref="AII36" si="1237">IF(AII35&gt;0,AII$17,0)</f>
        <v>0</v>
      </c>
      <c r="AIJ36" s="115">
        <f t="shared" ref="AIJ36" si="1238">IF(AIJ35&gt;0,AIJ$17,0)</f>
        <v>0</v>
      </c>
      <c r="AIK36" s="115">
        <f t="shared" ref="AIK36" si="1239">IF(AIK35&gt;0,AIK$17,0)</f>
        <v>0</v>
      </c>
      <c r="AIL36" s="115">
        <f t="shared" ref="AIL36" si="1240">IF(AIL35&gt;0,AIL$17,0)</f>
        <v>0</v>
      </c>
      <c r="AIM36" s="115">
        <f t="shared" ref="AIM36" si="1241">IF(AIM35&gt;0,AIM$17,0)</f>
        <v>0</v>
      </c>
      <c r="AIN36" s="115">
        <f t="shared" ref="AIN36" si="1242">IF(AIN35&gt;0,AIN$17,0)</f>
        <v>0</v>
      </c>
      <c r="AIO36" s="115">
        <f t="shared" ref="AIO36" si="1243">IF(AIO35&gt;0,AIO$17,0)</f>
        <v>0</v>
      </c>
      <c r="AIP36" s="115">
        <f t="shared" ref="AIP36" si="1244">IF(AIP35&gt;0,AIP$17,0)</f>
        <v>0</v>
      </c>
      <c r="AIQ36" s="115">
        <f t="shared" ref="AIQ36" si="1245">IF(AIQ35&gt;0,AIQ$17,0)</f>
        <v>0</v>
      </c>
      <c r="AIR36" s="115">
        <f t="shared" ref="AIR36" si="1246">IF(AIR35&gt;0,AIR$17,0)</f>
        <v>0</v>
      </c>
      <c r="AIS36" s="115">
        <f t="shared" ref="AIS36" si="1247">IF(AIS35&gt;0,AIS$17,0)</f>
        <v>0</v>
      </c>
      <c r="AIT36" s="115">
        <f t="shared" ref="AIT36" si="1248">IF(AIT35&gt;0,AIT$17,0)</f>
        <v>0</v>
      </c>
      <c r="AIU36" s="115">
        <f t="shared" ref="AIU36" si="1249">IF(AIU35&gt;0,AIU$17,0)</f>
        <v>0</v>
      </c>
      <c r="AIV36" s="115">
        <f t="shared" ref="AIV36" si="1250">IF(AIV35&gt;0,AIV$17,0)</f>
        <v>0</v>
      </c>
      <c r="AIW36" s="115">
        <f t="shared" ref="AIW36" si="1251">IF(AIW35&gt;0,AIW$17,0)</f>
        <v>0</v>
      </c>
      <c r="AIX36" s="115">
        <f t="shared" ref="AIX36" si="1252">IF(AIX35&gt;0,AIX$17,0)</f>
        <v>0</v>
      </c>
      <c r="AIY36" s="115">
        <f t="shared" ref="AIY36" si="1253">IF(AIY35&gt;0,AIY$17,0)</f>
        <v>0</v>
      </c>
      <c r="AIZ36" s="115">
        <f t="shared" ref="AIZ36" si="1254">IF(AIZ35&gt;0,AIZ$17,0)</f>
        <v>0</v>
      </c>
      <c r="AJA36" s="115">
        <f t="shared" ref="AJA36" si="1255">IF(AJA35&gt;0,AJA$17,0)</f>
        <v>0</v>
      </c>
      <c r="AJB36" s="115">
        <f t="shared" ref="AJB36" si="1256">IF(AJB35&gt;0,AJB$17,0)</f>
        <v>0</v>
      </c>
      <c r="AJC36" s="115">
        <f t="shared" ref="AJC36" si="1257">IF(AJC35&gt;0,AJC$17,0)</f>
        <v>0</v>
      </c>
      <c r="AJD36" s="115">
        <f t="shared" ref="AJD36" si="1258">IF(AJD35&gt;0,AJD$17,0)</f>
        <v>0</v>
      </c>
      <c r="AJE36" s="115">
        <f t="shared" ref="AJE36" si="1259">IF(AJE35&gt;0,AJE$17,0)</f>
        <v>0</v>
      </c>
      <c r="AJF36" s="115">
        <f t="shared" ref="AJF36" si="1260">IF(AJF35&gt;0,AJF$17,0)</f>
        <v>0</v>
      </c>
      <c r="AJG36" s="115">
        <f t="shared" ref="AJG36" si="1261">IF(AJG35&gt;0,AJG$17,0)</f>
        <v>0</v>
      </c>
      <c r="AJH36" s="115">
        <f t="shared" ref="AJH36" si="1262">IF(AJH35&gt;0,AJH$17,0)</f>
        <v>0</v>
      </c>
      <c r="AJI36" s="115">
        <f t="shared" ref="AJI36" si="1263">IF(AJI35&gt;0,AJI$17,0)</f>
        <v>0</v>
      </c>
      <c r="AJJ36" s="115">
        <f t="shared" ref="AJJ36" si="1264">IF(AJJ35&gt;0,AJJ$17,0)</f>
        <v>0</v>
      </c>
      <c r="AJK36" s="115">
        <f t="shared" ref="AJK36" si="1265">IF(AJK35&gt;0,AJK$17,0)</f>
        <v>0</v>
      </c>
      <c r="AJL36" s="115">
        <f t="shared" ref="AJL36" si="1266">IF(AJL35&gt;0,AJL$17,0)</f>
        <v>0</v>
      </c>
      <c r="AJM36" s="115">
        <f t="shared" ref="AJM36" si="1267">IF(AJM35&gt;0,AJM$17,0)</f>
        <v>0</v>
      </c>
      <c r="AJN36" s="115">
        <f t="shared" ref="AJN36" si="1268">IF(AJN35&gt;0,AJN$17,0)</f>
        <v>0</v>
      </c>
      <c r="AJO36" s="115">
        <f t="shared" ref="AJO36" si="1269">IF(AJO35&gt;0,AJO$17,0)</f>
        <v>0</v>
      </c>
      <c r="AJP36" s="115">
        <f t="shared" ref="AJP36" si="1270">IF(AJP35&gt;0,AJP$17,0)</f>
        <v>0</v>
      </c>
      <c r="AJQ36" s="115">
        <f t="shared" ref="AJQ36" si="1271">IF(AJQ35&gt;0,AJQ$17,0)</f>
        <v>0</v>
      </c>
      <c r="AJR36" s="115">
        <f t="shared" ref="AJR36" si="1272">IF(AJR35&gt;0,AJR$17,0)</f>
        <v>0</v>
      </c>
      <c r="AJS36" s="115">
        <f t="shared" ref="AJS36" si="1273">IF(AJS35&gt;0,AJS$17,0)</f>
        <v>0</v>
      </c>
      <c r="AJT36" s="115">
        <f t="shared" ref="AJT36" si="1274">IF(AJT35&gt;0,AJT$17,0)</f>
        <v>0</v>
      </c>
      <c r="AJU36" s="115">
        <f t="shared" ref="AJU36" si="1275">IF(AJU35&gt;0,AJU$17,0)</f>
        <v>0</v>
      </c>
      <c r="AJV36" s="115">
        <f t="shared" ref="AJV36" si="1276">IF(AJV35&gt;0,AJV$17,0)</f>
        <v>0</v>
      </c>
      <c r="AJW36" s="115">
        <f t="shared" ref="AJW36" si="1277">IF(AJW35&gt;0,AJW$17,0)</f>
        <v>0</v>
      </c>
      <c r="AJX36" s="115">
        <f t="shared" ref="AJX36" si="1278">IF(AJX35&gt;0,AJX$17,0)</f>
        <v>0</v>
      </c>
      <c r="AJY36" s="115">
        <f t="shared" ref="AJY36" si="1279">IF(AJY35&gt;0,AJY$17,0)</f>
        <v>0</v>
      </c>
      <c r="AJZ36" s="115">
        <f t="shared" ref="AJZ36" si="1280">IF(AJZ35&gt;0,AJZ$17,0)</f>
        <v>0</v>
      </c>
      <c r="AKA36" s="115">
        <f t="shared" ref="AKA36" si="1281">IF(AKA35&gt;0,AKA$17,0)</f>
        <v>0</v>
      </c>
      <c r="AKB36" s="115">
        <f t="shared" ref="AKB36" si="1282">IF(AKB35&gt;0,AKB$17,0)</f>
        <v>0</v>
      </c>
      <c r="AKC36" s="115">
        <f t="shared" ref="AKC36" si="1283">IF(AKC35&gt;0,AKC$17,0)</f>
        <v>0</v>
      </c>
      <c r="AKD36" s="115">
        <f t="shared" ref="AKD36" si="1284">IF(AKD35&gt;0,AKD$17,0)</f>
        <v>0</v>
      </c>
      <c r="AKE36" s="115">
        <f t="shared" ref="AKE36" si="1285">IF(AKE35&gt;0,AKE$17,0)</f>
        <v>0</v>
      </c>
      <c r="AKF36" s="115">
        <f t="shared" ref="AKF36" si="1286">IF(AKF35&gt;0,AKF$17,0)</f>
        <v>0</v>
      </c>
      <c r="AKG36" s="115">
        <f t="shared" ref="AKG36" si="1287">IF(AKG35&gt;0,AKG$17,0)</f>
        <v>0</v>
      </c>
      <c r="AKH36" s="115">
        <f t="shared" ref="AKH36" si="1288">IF(AKH35&gt;0,AKH$17,0)</f>
        <v>0</v>
      </c>
      <c r="AKI36" s="115">
        <f t="shared" ref="AKI36" si="1289">IF(AKI35&gt;0,AKI$17,0)</f>
        <v>0</v>
      </c>
      <c r="AKJ36" s="115">
        <f t="shared" ref="AKJ36" si="1290">IF(AKJ35&gt;0,AKJ$17,0)</f>
        <v>0</v>
      </c>
      <c r="AKK36" s="115">
        <f t="shared" ref="AKK36" si="1291">IF(AKK35&gt;0,AKK$17,0)</f>
        <v>0</v>
      </c>
      <c r="AKL36" s="115">
        <f t="shared" ref="AKL36" si="1292">IF(AKL35&gt;0,AKL$17,0)</f>
        <v>0</v>
      </c>
      <c r="AKM36" s="115">
        <f t="shared" ref="AKM36" si="1293">IF(AKM35&gt;0,AKM$17,0)</f>
        <v>0</v>
      </c>
      <c r="AKN36" s="115">
        <f t="shared" ref="AKN36" si="1294">IF(AKN35&gt;0,AKN$17,0)</f>
        <v>0</v>
      </c>
      <c r="AKO36" s="115">
        <f t="shared" ref="AKO36" si="1295">IF(AKO35&gt;0,AKO$17,0)</f>
        <v>0</v>
      </c>
      <c r="AKP36" s="115">
        <f t="shared" ref="AKP36" si="1296">IF(AKP35&gt;0,AKP$17,0)</f>
        <v>0</v>
      </c>
      <c r="AKQ36" s="115">
        <f t="shared" ref="AKQ36" si="1297">IF(AKQ35&gt;0,AKQ$17,0)</f>
        <v>0</v>
      </c>
      <c r="AKR36" s="115">
        <f t="shared" ref="AKR36" si="1298">IF(AKR35&gt;0,AKR$17,0)</f>
        <v>0</v>
      </c>
      <c r="AKS36" s="115">
        <f t="shared" ref="AKS36" si="1299">IF(AKS35&gt;0,AKS$17,0)</f>
        <v>0</v>
      </c>
      <c r="AKT36" s="115">
        <f t="shared" ref="AKT36" si="1300">IF(AKT35&gt;0,AKT$17,0)</f>
        <v>0</v>
      </c>
      <c r="AKU36" s="115">
        <f t="shared" ref="AKU36" si="1301">IF(AKU35&gt;0,AKU$17,0)</f>
        <v>0</v>
      </c>
      <c r="AKV36" s="115">
        <f t="shared" ref="AKV36" si="1302">IF(AKV35&gt;0,AKV$17,0)</f>
        <v>0</v>
      </c>
      <c r="AKW36" s="115">
        <f t="shared" ref="AKW36" si="1303">IF(AKW35&gt;0,AKW$17,0)</f>
        <v>0</v>
      </c>
      <c r="AKX36" s="115">
        <f t="shared" ref="AKX36" si="1304">IF(AKX35&gt;0,AKX$17,0)</f>
        <v>0</v>
      </c>
      <c r="AKY36" s="115">
        <f t="shared" ref="AKY36" si="1305">IF(AKY35&gt;0,AKY$17,0)</f>
        <v>0</v>
      </c>
      <c r="AKZ36" s="115">
        <f t="shared" ref="AKZ36" si="1306">IF(AKZ35&gt;0,AKZ$17,0)</f>
        <v>0</v>
      </c>
      <c r="ALA36" s="115">
        <f t="shared" ref="ALA36" si="1307">IF(ALA35&gt;0,ALA$17,0)</f>
        <v>0</v>
      </c>
      <c r="ALB36" s="115">
        <f t="shared" ref="ALB36" si="1308">IF(ALB35&gt;0,ALB$17,0)</f>
        <v>0</v>
      </c>
      <c r="ALC36" s="115">
        <f t="shared" ref="ALC36" si="1309">IF(ALC35&gt;0,ALC$17,0)</f>
        <v>0</v>
      </c>
      <c r="ALD36" s="115">
        <f t="shared" ref="ALD36" si="1310">IF(ALD35&gt;0,ALD$17,0)</f>
        <v>0</v>
      </c>
      <c r="ALE36" s="115">
        <f t="shared" ref="ALE36" si="1311">IF(ALE35&gt;0,ALE$17,0)</f>
        <v>0</v>
      </c>
      <c r="ALF36" s="115">
        <f t="shared" ref="ALF36" si="1312">IF(ALF35&gt;0,ALF$17,0)</f>
        <v>0</v>
      </c>
      <c r="ALG36" s="115">
        <f t="shared" ref="ALG36" si="1313">IF(ALG35&gt;0,ALG$17,0)</f>
        <v>0</v>
      </c>
      <c r="ALH36" s="115">
        <f t="shared" ref="ALH36" si="1314">IF(ALH35&gt;0,ALH$17,0)</f>
        <v>0</v>
      </c>
      <c r="ALI36" s="115">
        <f t="shared" ref="ALI36" si="1315">IF(ALI35&gt;0,ALI$17,0)</f>
        <v>0</v>
      </c>
      <c r="ALJ36" s="115">
        <f t="shared" ref="ALJ36" si="1316">IF(ALJ35&gt;0,ALJ$17,0)</f>
        <v>0</v>
      </c>
      <c r="ALK36" s="115">
        <f t="shared" ref="ALK36" si="1317">IF(ALK35&gt;0,ALK$17,0)</f>
        <v>0</v>
      </c>
      <c r="ALL36" s="115">
        <f t="shared" ref="ALL36" si="1318">IF(ALL35&gt;0,ALL$17,0)</f>
        <v>0</v>
      </c>
      <c r="ALM36" s="115">
        <f t="shared" ref="ALM36" si="1319">IF(ALM35&gt;0,ALM$17,0)</f>
        <v>0</v>
      </c>
      <c r="ALN36" s="115">
        <f t="shared" ref="ALN36" si="1320">IF(ALN35&gt;0,ALN$17,0)</f>
        <v>0</v>
      </c>
      <c r="ALO36" s="115">
        <f t="shared" ref="ALO36" si="1321">IF(ALO35&gt;0,ALO$17,0)</f>
        <v>0</v>
      </c>
      <c r="ALP36" s="115">
        <f t="shared" ref="ALP36" si="1322">IF(ALP35&gt;0,ALP$17,0)</f>
        <v>0</v>
      </c>
      <c r="ALQ36" s="115">
        <f t="shared" ref="ALQ36" si="1323">IF(ALQ35&gt;0,ALQ$17,0)</f>
        <v>0</v>
      </c>
      <c r="ALR36" s="115">
        <f t="shared" ref="ALR36" si="1324">IF(ALR35&gt;0,ALR$17,0)</f>
        <v>0</v>
      </c>
      <c r="ALS36" s="115">
        <f t="shared" ref="ALS36" si="1325">IF(ALS35&gt;0,ALS$17,0)</f>
        <v>0</v>
      </c>
      <c r="ALT36" s="115">
        <f t="shared" ref="ALT36" si="1326">IF(ALT35&gt;0,ALT$17,0)</f>
        <v>0</v>
      </c>
      <c r="ALU36" s="115">
        <f t="shared" ref="ALU36" si="1327">IF(ALU35&gt;0,ALU$17,0)</f>
        <v>0</v>
      </c>
      <c r="ALV36" s="115">
        <f t="shared" ref="ALV36" si="1328">IF(ALV35&gt;0,ALV$17,0)</f>
        <v>0</v>
      </c>
      <c r="ALW36" s="115">
        <f t="shared" ref="ALW36" si="1329">IF(ALW35&gt;0,ALW$17,0)</f>
        <v>0</v>
      </c>
      <c r="ALX36" s="115">
        <f t="shared" ref="ALX36" si="1330">IF(ALX35&gt;0,ALX$17,0)</f>
        <v>0</v>
      </c>
      <c r="ALY36" s="115">
        <f t="shared" ref="ALY36" si="1331">IF(ALY35&gt;0,ALY$17,0)</f>
        <v>0</v>
      </c>
      <c r="ALZ36" s="115">
        <f t="shared" ref="ALZ36" si="1332">IF(ALZ35&gt;0,ALZ$17,0)</f>
        <v>0</v>
      </c>
      <c r="AMA36" s="115">
        <f t="shared" ref="AMA36" si="1333">IF(AMA35&gt;0,AMA$17,0)</f>
        <v>0</v>
      </c>
      <c r="AMB36" s="115">
        <f t="shared" ref="AMB36" si="1334">IF(AMB35&gt;0,AMB$17,0)</f>
        <v>0</v>
      </c>
      <c r="AMC36" s="115">
        <f t="shared" ref="AMC36" si="1335">IF(AMC35&gt;0,AMC$17,0)</f>
        <v>0</v>
      </c>
      <c r="AMD36" s="115">
        <f t="shared" ref="AMD36" si="1336">IF(AMD35&gt;0,AMD$17,0)</f>
        <v>0</v>
      </c>
      <c r="AME36" s="115">
        <f t="shared" ref="AME36" si="1337">IF(AME35&gt;0,AME$17,0)</f>
        <v>0</v>
      </c>
      <c r="AMF36" s="115">
        <f t="shared" ref="AMF36" si="1338">IF(AMF35&gt;0,AMF$17,0)</f>
        <v>0</v>
      </c>
      <c r="AMG36" s="115">
        <f t="shared" ref="AMG36" si="1339">IF(AMG35&gt;0,AMG$17,0)</f>
        <v>0</v>
      </c>
      <c r="AMH36" s="115">
        <f t="shared" ref="AMH36" si="1340">IF(AMH35&gt;0,AMH$17,0)</f>
        <v>0</v>
      </c>
      <c r="AMI36" s="115">
        <f t="shared" ref="AMI36" si="1341">IF(AMI35&gt;0,AMI$17,0)</f>
        <v>0</v>
      </c>
      <c r="AMJ36" s="115">
        <f t="shared" ref="AMJ36" si="1342">IF(AMJ35&gt;0,AMJ$17,0)</f>
        <v>0</v>
      </c>
      <c r="AMK36" s="115">
        <f t="shared" ref="AMK36" si="1343">IF(AMK35&gt;0,AMK$17,0)</f>
        <v>0</v>
      </c>
      <c r="AML36" s="115">
        <f t="shared" ref="AML36" si="1344">IF(AML35&gt;0,AML$17,0)</f>
        <v>0</v>
      </c>
      <c r="AMM36" s="115">
        <f t="shared" ref="AMM36" si="1345">IF(AMM35&gt;0,AMM$17,0)</f>
        <v>0</v>
      </c>
      <c r="AMN36" s="115">
        <f t="shared" ref="AMN36" si="1346">IF(AMN35&gt;0,AMN$17,0)</f>
        <v>0</v>
      </c>
      <c r="AMO36" s="115">
        <f t="shared" ref="AMO36" si="1347">IF(AMO35&gt;0,AMO$17,0)</f>
        <v>0</v>
      </c>
      <c r="AMP36" s="115">
        <f t="shared" ref="AMP36" si="1348">IF(AMP35&gt;0,AMP$17,0)</f>
        <v>0</v>
      </c>
      <c r="AMQ36" s="115">
        <f t="shared" ref="AMQ36" si="1349">IF(AMQ35&gt;0,AMQ$17,0)</f>
        <v>0</v>
      </c>
      <c r="AMR36" s="115">
        <f t="shared" ref="AMR36" si="1350">IF(AMR35&gt;0,AMR$17,0)</f>
        <v>0</v>
      </c>
      <c r="AMS36" s="115">
        <f t="shared" ref="AMS36" si="1351">IF(AMS35&gt;0,AMS$17,0)</f>
        <v>0</v>
      </c>
      <c r="AMT36" s="115">
        <f t="shared" ref="AMT36" si="1352">IF(AMT35&gt;0,AMT$17,0)</f>
        <v>0</v>
      </c>
      <c r="AMU36" s="115">
        <f t="shared" ref="AMU36" si="1353">IF(AMU35&gt;0,AMU$17,0)</f>
        <v>0</v>
      </c>
      <c r="AMV36" s="115">
        <f t="shared" ref="AMV36" si="1354">IF(AMV35&gt;0,AMV$17,0)</f>
        <v>0</v>
      </c>
      <c r="AMW36" s="115">
        <f t="shared" ref="AMW36" si="1355">IF(AMW35&gt;0,AMW$17,0)</f>
        <v>0</v>
      </c>
      <c r="AMX36" s="115">
        <f t="shared" ref="AMX36" si="1356">IF(AMX35&gt;0,AMX$17,0)</f>
        <v>0</v>
      </c>
      <c r="AMY36" s="115">
        <f t="shared" ref="AMY36" si="1357">IF(AMY35&gt;0,AMY$17,0)</f>
        <v>0</v>
      </c>
      <c r="AMZ36" s="115">
        <f t="shared" ref="AMZ36" si="1358">IF(AMZ35&gt;0,AMZ$17,0)</f>
        <v>0</v>
      </c>
      <c r="ANA36" s="115">
        <f t="shared" ref="ANA36" si="1359">IF(ANA35&gt;0,ANA$17,0)</f>
        <v>0</v>
      </c>
      <c r="ANB36" s="115">
        <f t="shared" ref="ANB36" si="1360">IF(ANB35&gt;0,ANB$17,0)</f>
        <v>0</v>
      </c>
      <c r="ANC36" s="115">
        <f t="shared" ref="ANC36" si="1361">IF(ANC35&gt;0,ANC$17,0)</f>
        <v>0</v>
      </c>
      <c r="AND36" s="115">
        <f t="shared" ref="AND36" si="1362">IF(AND35&gt;0,AND$17,0)</f>
        <v>0</v>
      </c>
      <c r="ANE36" s="115">
        <f t="shared" ref="ANE36" si="1363">IF(ANE35&gt;0,ANE$17,0)</f>
        <v>0</v>
      </c>
      <c r="ANF36" s="115">
        <f t="shared" ref="ANF36" si="1364">IF(ANF35&gt;0,ANF$17,0)</f>
        <v>0</v>
      </c>
      <c r="ANG36" s="115">
        <f t="shared" ref="ANG36" si="1365">IF(ANG35&gt;0,ANG$17,0)</f>
        <v>0</v>
      </c>
      <c r="ANH36" s="115">
        <f t="shared" ref="ANH36" si="1366">IF(ANH35&gt;0,ANH$17,0)</f>
        <v>0</v>
      </c>
      <c r="ANI36" s="115">
        <f t="shared" ref="ANI36" si="1367">IF(ANI35&gt;0,ANI$17,0)</f>
        <v>0</v>
      </c>
      <c r="ANJ36" s="115">
        <f t="shared" ref="ANJ36" si="1368">IF(ANJ35&gt;0,ANJ$17,0)</f>
        <v>0</v>
      </c>
      <c r="ANK36" s="115">
        <f t="shared" ref="ANK36" si="1369">IF(ANK35&gt;0,ANK$17,0)</f>
        <v>0</v>
      </c>
      <c r="ANL36" s="115">
        <f t="shared" ref="ANL36" si="1370">IF(ANL35&gt;0,ANL$17,0)</f>
        <v>0</v>
      </c>
      <c r="ANM36" s="115">
        <f t="shared" ref="ANM36" si="1371">IF(ANM35&gt;0,ANM$17,0)</f>
        <v>0</v>
      </c>
      <c r="ANN36" s="115">
        <f t="shared" ref="ANN36" si="1372">IF(ANN35&gt;0,ANN$17,0)</f>
        <v>0</v>
      </c>
      <c r="ANO36" s="115">
        <f t="shared" ref="ANO36" si="1373">IF(ANO35&gt;0,ANO$17,0)</f>
        <v>0</v>
      </c>
      <c r="ANP36" s="115">
        <f t="shared" ref="ANP36" si="1374">IF(ANP35&gt;0,ANP$17,0)</f>
        <v>0</v>
      </c>
      <c r="ANQ36" s="115">
        <f t="shared" ref="ANQ36" si="1375">IF(ANQ35&gt;0,ANQ$17,0)</f>
        <v>0</v>
      </c>
      <c r="ANR36" s="115">
        <f t="shared" ref="ANR36" si="1376">IF(ANR35&gt;0,ANR$17,0)</f>
        <v>0</v>
      </c>
      <c r="ANS36" s="115">
        <f t="shared" ref="ANS36" si="1377">IF(ANS35&gt;0,ANS$17,0)</f>
        <v>0</v>
      </c>
      <c r="ANT36" s="115">
        <f t="shared" ref="ANT36" si="1378">IF(ANT35&gt;0,ANT$17,0)</f>
        <v>0</v>
      </c>
      <c r="ANU36" s="115">
        <f t="shared" ref="ANU36" si="1379">IF(ANU35&gt;0,ANU$17,0)</f>
        <v>0</v>
      </c>
      <c r="ANV36" s="115">
        <f t="shared" ref="ANV36" si="1380">IF(ANV35&gt;0,ANV$17,0)</f>
        <v>0</v>
      </c>
      <c r="ANW36" s="115">
        <f t="shared" ref="ANW36" si="1381">IF(ANW35&gt;0,ANW$17,0)</f>
        <v>0</v>
      </c>
      <c r="ANX36" s="115">
        <f t="shared" ref="ANX36" si="1382">IF(ANX35&gt;0,ANX$17,0)</f>
        <v>0</v>
      </c>
      <c r="ANY36" s="115">
        <f t="shared" ref="ANY36" si="1383">IF(ANY35&gt;0,ANY$17,0)</f>
        <v>0</v>
      </c>
      <c r="ANZ36" s="115">
        <f t="shared" ref="ANZ36" si="1384">IF(ANZ35&gt;0,ANZ$17,0)</f>
        <v>0</v>
      </c>
      <c r="AOA36" s="115">
        <f t="shared" ref="AOA36" si="1385">IF(AOA35&gt;0,AOA$17,0)</f>
        <v>0</v>
      </c>
      <c r="AOB36" s="115">
        <f t="shared" ref="AOB36" si="1386">IF(AOB35&gt;0,AOB$17,0)</f>
        <v>0</v>
      </c>
      <c r="AOC36" s="115">
        <f t="shared" ref="AOC36" si="1387">IF(AOC35&gt;0,AOC$17,0)</f>
        <v>0</v>
      </c>
      <c r="AOD36" s="115">
        <f t="shared" ref="AOD36" si="1388">IF(AOD35&gt;0,AOD$17,0)</f>
        <v>0</v>
      </c>
      <c r="AOE36" s="115">
        <f t="shared" ref="AOE36" si="1389">IF(AOE35&gt;0,AOE$17,0)</f>
        <v>0</v>
      </c>
      <c r="AOF36" s="115">
        <f t="shared" ref="AOF36" si="1390">IF(AOF35&gt;0,AOF$17,0)</f>
        <v>0</v>
      </c>
      <c r="AOG36" s="115">
        <f t="shared" ref="AOG36" si="1391">IF(AOG35&gt;0,AOG$17,0)</f>
        <v>0</v>
      </c>
      <c r="AOH36" s="115">
        <f t="shared" ref="AOH36" si="1392">IF(AOH35&gt;0,AOH$17,0)</f>
        <v>0</v>
      </c>
      <c r="AOI36" s="115">
        <f t="shared" ref="AOI36" si="1393">IF(AOI35&gt;0,AOI$17,0)</f>
        <v>0</v>
      </c>
      <c r="AOJ36" s="115">
        <f t="shared" ref="AOJ36" si="1394">IF(AOJ35&gt;0,AOJ$17,0)</f>
        <v>0</v>
      </c>
      <c r="AOK36" s="115">
        <f t="shared" ref="AOK36" si="1395">IF(AOK35&gt;0,AOK$17,0)</f>
        <v>0</v>
      </c>
      <c r="AOL36" s="115">
        <f t="shared" ref="AOL36" si="1396">IF(AOL35&gt;0,AOL$17,0)</f>
        <v>0</v>
      </c>
      <c r="AOM36" s="115">
        <f t="shared" ref="AOM36" si="1397">IF(AOM35&gt;0,AOM$17,0)</f>
        <v>0</v>
      </c>
      <c r="AON36" s="115">
        <f t="shared" ref="AON36" si="1398">IF(AON35&gt;0,AON$17,0)</f>
        <v>0</v>
      </c>
      <c r="AOO36" s="115">
        <f t="shared" ref="AOO36" si="1399">IF(AOO35&gt;0,AOO$17,0)</f>
        <v>0</v>
      </c>
      <c r="AOP36" s="115">
        <f t="shared" ref="AOP36" si="1400">IF(AOP35&gt;0,AOP$17,0)</f>
        <v>0</v>
      </c>
      <c r="AOQ36" s="115">
        <f t="shared" ref="AOQ36" si="1401">IF(AOQ35&gt;0,AOQ$17,0)</f>
        <v>0</v>
      </c>
    </row>
    <row r="37" spans="1:1083" x14ac:dyDescent="0.25">
      <c r="B37" s="116" t="s">
        <v>298</v>
      </c>
      <c r="C37" s="115">
        <f>SUM(D37:AOQ37)</f>
        <v>49</v>
      </c>
      <c r="D37" s="115">
        <v>0</v>
      </c>
      <c r="E37" s="115">
        <f>IF(E35&gt;0,SUM($D$18:D18),0)</f>
        <v>0</v>
      </c>
      <c r="F37" s="115">
        <f>IF(F35&gt;0,SUM($D$18:E18),0)</f>
        <v>0</v>
      </c>
      <c r="G37" s="115">
        <f>IF(G35&gt;0,SUM($D$18:F18),0)</f>
        <v>0</v>
      </c>
      <c r="H37" s="115">
        <f>IF(H35&gt;0,SUM($D$18:G18),0)</f>
        <v>0</v>
      </c>
      <c r="I37" s="115">
        <f>IF(I35&gt;0,SUM($D$18:H18),0)</f>
        <v>0</v>
      </c>
      <c r="J37" s="115">
        <f>IF(J35&gt;0,SUM($D$18:I18),0)</f>
        <v>0</v>
      </c>
      <c r="K37" s="115">
        <f>IF(K35&gt;0,SUM($D$18:J18),0)</f>
        <v>0</v>
      </c>
      <c r="L37" s="115">
        <f>IF(L35&gt;0,SUM($D$18:K18),0)</f>
        <v>0</v>
      </c>
      <c r="M37" s="115">
        <f>IF(M35&gt;0,SUM($D$18:L18),0)</f>
        <v>0</v>
      </c>
      <c r="N37" s="115">
        <f>IF(N35&gt;0,SUM($D$18:M18),0)</f>
        <v>0</v>
      </c>
      <c r="O37" s="115">
        <f>IF(O35&gt;0,SUM($D$18:N18),0)</f>
        <v>0</v>
      </c>
      <c r="P37" s="115">
        <f>IF(P35&gt;0,SUM($D$18:O18),0)</f>
        <v>0</v>
      </c>
      <c r="Q37" s="115">
        <f>IF(Q35&gt;0,SUM($D$18:P18),0)</f>
        <v>0</v>
      </c>
      <c r="R37" s="115">
        <f>IF(R35&gt;0,SUM($D$18:Q18),0)</f>
        <v>0</v>
      </c>
      <c r="S37" s="115">
        <f>IF(S35&gt;0,SUM($D$18:R18),0)</f>
        <v>0</v>
      </c>
      <c r="T37" s="115">
        <f>IF(T35&gt;0,SUM($D$18:S18),0)</f>
        <v>0</v>
      </c>
      <c r="U37" s="115">
        <f>IF(U35&gt;0,SUM($D$18:T18),0)</f>
        <v>0</v>
      </c>
      <c r="V37" s="115">
        <f>IF(V35&gt;0,SUM($D$18:U18),0)</f>
        <v>0</v>
      </c>
      <c r="W37" s="115">
        <f>IF(W35&gt;0,SUM($D$18:V18),0)</f>
        <v>0</v>
      </c>
      <c r="X37" s="115">
        <f>IF(X35&gt;0,SUM($D$18:W18),0)</f>
        <v>0</v>
      </c>
      <c r="Y37" s="115">
        <f>IF(Y35&gt;0,SUM($D$18:X18),0)</f>
        <v>0</v>
      </c>
      <c r="Z37" s="115">
        <f>IF(Z35&gt;0,SUM($D$18:Y18),0)</f>
        <v>0</v>
      </c>
      <c r="AA37" s="115">
        <f>IF(AA35&gt;0,SUM($D$18:Z18),0)</f>
        <v>0</v>
      </c>
      <c r="AB37" s="115">
        <f>IF(AB35&gt;0,SUM($D$18:AA18),0)</f>
        <v>0</v>
      </c>
      <c r="AC37" s="115">
        <f>IF(AC35&gt;0,SUM($D$18:AB18),0)</f>
        <v>0</v>
      </c>
      <c r="AD37" s="115">
        <f>IF(AD35&gt;0,SUM($D$18:AC18),0)</f>
        <v>0</v>
      </c>
      <c r="AE37" s="115">
        <f>IF(AE35&gt;0,SUM($D$18:AD18),0)</f>
        <v>0</v>
      </c>
      <c r="AF37" s="115">
        <f>IF(AF35&gt;0,SUM($D$18:AE18),0)</f>
        <v>0</v>
      </c>
      <c r="AG37" s="115">
        <f>IF(AG35&gt;0,SUM($D$18:AF18),0)</f>
        <v>0</v>
      </c>
      <c r="AH37" s="115">
        <f>IF(AH35&gt;0,SUM($D$18:AG18),0)</f>
        <v>0</v>
      </c>
      <c r="AI37" s="115">
        <f>IF(AI35&gt;0,SUM($D$18:AH18),0)</f>
        <v>0</v>
      </c>
      <c r="AJ37" s="115">
        <f>IF(AJ35&gt;0,SUM($D$18:AI18),0)</f>
        <v>0</v>
      </c>
      <c r="AK37" s="115">
        <f>IF(AK35&gt;0,SUM($D$18:AJ18),0)</f>
        <v>0</v>
      </c>
      <c r="AL37" s="115">
        <f>IF(AL35&gt;0,SUM($D$18:AK18),0)</f>
        <v>0</v>
      </c>
      <c r="AM37" s="115">
        <f>IF(AM35&gt;0,SUM($D$18:AL18),0)</f>
        <v>0</v>
      </c>
      <c r="AN37" s="115">
        <f>IF(AN35&gt;0,SUM($D$18:AM18),0)</f>
        <v>0</v>
      </c>
      <c r="AO37" s="115">
        <f>IF(AO35&gt;0,SUM($D$18:AN18),0)</f>
        <v>0</v>
      </c>
      <c r="AP37" s="115">
        <f>IF(AP35&gt;0,SUM($D$18:AO18),0)</f>
        <v>0</v>
      </c>
      <c r="AQ37" s="115">
        <f>IF(AQ35&gt;0,SUM($D$18:AP18),0)</f>
        <v>0</v>
      </c>
      <c r="AR37" s="115">
        <f>IF(AR35&gt;0,SUM($D$18:AQ18),0)</f>
        <v>0</v>
      </c>
      <c r="AS37" s="115">
        <f>IF(AS35&gt;0,SUM($D$18:AR18),0)</f>
        <v>0</v>
      </c>
      <c r="AT37" s="115">
        <f>IF(AT35&gt;0,SUM($D$18:AS18),0)</f>
        <v>0</v>
      </c>
      <c r="AU37" s="115">
        <f>IF(AU35&gt;0,SUM($D$18:AT18),0)</f>
        <v>0</v>
      </c>
      <c r="AV37" s="115">
        <f>IF(AV35&gt;0,SUM($D$18:AU18),0)</f>
        <v>0</v>
      </c>
      <c r="AW37" s="115">
        <f>IF(AW35&gt;0,SUM($D$18:AV18),0)</f>
        <v>0</v>
      </c>
      <c r="AX37" s="115">
        <f>IF(AX35&gt;0,SUM($D$18:AW18),0)</f>
        <v>0</v>
      </c>
      <c r="AY37" s="115">
        <f>IF(AY35&gt;0,SUM($D$18:AX18),0)</f>
        <v>0</v>
      </c>
      <c r="AZ37" s="115">
        <f>IF(AZ35&gt;0,SUM($D$18:AY18),0)</f>
        <v>0</v>
      </c>
      <c r="BA37" s="115">
        <f>IF(BA35&gt;0,SUM($D$18:AZ18),0)</f>
        <v>0</v>
      </c>
      <c r="BB37" s="115">
        <f>IF(BB35&gt;0,SUM($D$18:BA18),0)</f>
        <v>0</v>
      </c>
      <c r="BC37" s="115">
        <f>IF(BC35&gt;0,SUM($D$18:BB18),0)</f>
        <v>0</v>
      </c>
      <c r="BD37" s="115">
        <f>IF(BD35&gt;0,SUM($D$18:BC18),0)</f>
        <v>0</v>
      </c>
      <c r="BE37" s="115">
        <f>IF(BE35&gt;0,SUM($D$18:BD18),0)</f>
        <v>0</v>
      </c>
      <c r="BF37" s="115">
        <f>IF(BF35&gt;0,SUM($D$18:BE18),0)</f>
        <v>0</v>
      </c>
      <c r="BG37" s="115">
        <f>IF(BG35&gt;0,SUM($D$18:BF18),0)</f>
        <v>0</v>
      </c>
      <c r="BH37" s="115">
        <f>IF(BH35&gt;0,SUM($D$18:BG18),0)</f>
        <v>0</v>
      </c>
      <c r="BI37" s="115">
        <f>IF(BI35&gt;0,SUM($D$18:BH18),0)</f>
        <v>0</v>
      </c>
      <c r="BJ37" s="115">
        <f>IF(BJ35&gt;0,SUM($D$18:BI18),0)</f>
        <v>0</v>
      </c>
      <c r="BK37" s="115">
        <f>IF(BK35&gt;0,SUM($D$18:BJ18),0)</f>
        <v>0</v>
      </c>
      <c r="BL37" s="115">
        <f>IF(BL35&gt;0,SUM($D$18:BK18),0)</f>
        <v>0</v>
      </c>
      <c r="BM37" s="115">
        <f>IF(BM35&gt;0,SUM($D$18:BL18),0)</f>
        <v>0</v>
      </c>
      <c r="BN37" s="115">
        <f>IF(BN35&gt;0,SUM($D$18:BM18),0)</f>
        <v>0</v>
      </c>
      <c r="BO37" s="115">
        <f>IF(BO35&gt;0,SUM($D$18:BN18),0)</f>
        <v>0</v>
      </c>
      <c r="BP37" s="115">
        <f>IF(BP35&gt;0,SUM($D$18:BO18),0)</f>
        <v>0</v>
      </c>
      <c r="BQ37" s="115">
        <f>IF(BQ35&gt;0,SUM($D$18:BP18),0)</f>
        <v>0</v>
      </c>
      <c r="BR37" s="115">
        <f>IF(BR35&gt;0,SUM($D$18:BQ18),0)</f>
        <v>0</v>
      </c>
      <c r="BS37" s="115">
        <f>IF(BS35&gt;0,SUM($D$18:BR18),0)</f>
        <v>0</v>
      </c>
      <c r="BT37" s="115">
        <f>IF(BT35&gt;0,SUM($D$18:BS18),0)</f>
        <v>0</v>
      </c>
      <c r="BU37" s="115">
        <f>IF(BU35&gt;0,SUM($D$18:BT18),0)</f>
        <v>0</v>
      </c>
      <c r="BV37" s="115">
        <f>IF(BV35&gt;0,SUM($D$18:BU18),0)</f>
        <v>0</v>
      </c>
      <c r="BW37" s="115">
        <f>IF(BW35&gt;0,SUM($D$18:BV18),0)</f>
        <v>0</v>
      </c>
      <c r="BX37" s="115">
        <f>IF(BX35&gt;0,SUM($D$18:BW18),0)</f>
        <v>0</v>
      </c>
      <c r="BY37" s="115">
        <f>IF(BY35&gt;0,SUM($D$18:BX18),0)</f>
        <v>0</v>
      </c>
      <c r="BZ37" s="115">
        <f>IF(BZ35&gt;0,SUM($D$18:BY18),0)</f>
        <v>0</v>
      </c>
      <c r="CA37" s="115">
        <f>IF(CA35&gt;0,SUM($D$18:BZ18),0)</f>
        <v>0</v>
      </c>
      <c r="CB37" s="115">
        <f>IF(CB35&gt;0,SUM($D$18:CA18),0)</f>
        <v>0</v>
      </c>
      <c r="CC37" s="115">
        <f>IF(CC35&gt;0,SUM($D$18:CB18),0)</f>
        <v>0</v>
      </c>
      <c r="CD37" s="115">
        <f>IF(CD35&gt;0,SUM($D$18:CC18),0)</f>
        <v>0</v>
      </c>
      <c r="CE37" s="115">
        <f>IF(CE35&gt;0,SUM($D$18:CD18),0)</f>
        <v>0</v>
      </c>
      <c r="CF37" s="115">
        <f>IF(CF35&gt;0,SUM($D$18:CE18),0)</f>
        <v>0</v>
      </c>
      <c r="CG37" s="115">
        <f>IF(CG35&gt;0,SUM($D$18:CF18),0)</f>
        <v>0</v>
      </c>
      <c r="CH37" s="115">
        <f>IF(CH35&gt;0,SUM($D$18:CG18),0)</f>
        <v>0</v>
      </c>
      <c r="CI37" s="115">
        <f>IF(CI35&gt;0,SUM($D$18:CH18),0)</f>
        <v>0</v>
      </c>
      <c r="CJ37" s="115">
        <f>IF(CJ35&gt;0,SUM($D$18:CI18),0)</f>
        <v>0</v>
      </c>
      <c r="CK37" s="115">
        <f>IF(CK35&gt;0,SUM($D$18:CJ18),0)</f>
        <v>0</v>
      </c>
      <c r="CL37" s="115">
        <f>IF(CL35&gt;0,SUM($D$18:CK18),0)</f>
        <v>0</v>
      </c>
      <c r="CM37" s="115">
        <f>IF(CM35&gt;0,SUM($D$18:CL18),0)</f>
        <v>0</v>
      </c>
      <c r="CN37" s="115">
        <f>IF(CN35&gt;0,SUM($D$18:CM18),0)</f>
        <v>0</v>
      </c>
      <c r="CO37" s="115">
        <f>IF(CO35&gt;0,SUM($D$18:CN18),0)</f>
        <v>0</v>
      </c>
      <c r="CP37" s="115">
        <f>IF(CP35&gt;0,SUM($D$18:CO18),0)</f>
        <v>0</v>
      </c>
      <c r="CQ37" s="115">
        <f>IF(CQ35&gt;0,SUM($D$18:CP18),0)</f>
        <v>0</v>
      </c>
      <c r="CR37" s="115">
        <f>IF(CR35&gt;0,SUM($D$18:CQ18),0)</f>
        <v>0</v>
      </c>
      <c r="CS37" s="115">
        <f>IF(CS35&gt;0,SUM($D$18:CR18),0)</f>
        <v>0</v>
      </c>
      <c r="CT37" s="115">
        <f>IF(CT35&gt;0,SUM($D$18:CS18),0)</f>
        <v>0</v>
      </c>
      <c r="CU37" s="115">
        <f>IF(CU35&gt;0,SUM($D$18:CT18),0)</f>
        <v>0</v>
      </c>
      <c r="CV37" s="115">
        <f>IF(CV35&gt;0,SUM($D$18:CU18),0)</f>
        <v>0</v>
      </c>
      <c r="CW37" s="115">
        <f>IF(CW35&gt;0,SUM($D$18:CV18),0)</f>
        <v>0</v>
      </c>
      <c r="CX37" s="115">
        <f>IF(CX35&gt;0,SUM($D$18:CW18),0)</f>
        <v>0</v>
      </c>
      <c r="CY37" s="115">
        <f>IF(CY35&gt;0,SUM($D$18:CX18),0)</f>
        <v>0</v>
      </c>
      <c r="CZ37" s="115">
        <f>IF(CZ35&gt;0,SUM($D$18:CY18),0)</f>
        <v>0</v>
      </c>
      <c r="DA37" s="115">
        <f>IF(DA35&gt;0,SUM($D$18:CZ18),0)</f>
        <v>0</v>
      </c>
      <c r="DB37" s="115">
        <f>IF(DB35&gt;0,SUM($D$18:DA18),0)</f>
        <v>0</v>
      </c>
      <c r="DC37" s="115">
        <f>IF(DC35&gt;0,SUM($D$18:DB18),0)</f>
        <v>0</v>
      </c>
      <c r="DD37" s="115">
        <f>IF(DD35&gt;0,SUM($D$18:DC18),0)</f>
        <v>0</v>
      </c>
      <c r="DE37" s="115">
        <f>IF(DE35&gt;0,SUM($D$18:DD18),0)</f>
        <v>0</v>
      </c>
      <c r="DF37" s="115">
        <f>IF(DF35&gt;0,SUM($D$18:DE18),0)</f>
        <v>0</v>
      </c>
      <c r="DG37" s="115">
        <f>IF(DG35&gt;0,SUM($D$18:DF18),0)</f>
        <v>0</v>
      </c>
      <c r="DH37" s="115">
        <f>IF(DH35&gt;0,SUM($D$18:DG18),0)</f>
        <v>0</v>
      </c>
      <c r="DI37" s="115">
        <f>IF(DI35&gt;0,SUM($D$18:DH18),0)</f>
        <v>0</v>
      </c>
      <c r="DJ37" s="115">
        <f>IF(DJ35&gt;0,SUM($D$18:DI18),0)</f>
        <v>0</v>
      </c>
      <c r="DK37" s="115">
        <f>IF(DK35&gt;0,SUM($D$18:DJ18),0)</f>
        <v>0</v>
      </c>
      <c r="DL37" s="115">
        <f>IF(DL35&gt;0,SUM($D$18:DK18),0)</f>
        <v>0</v>
      </c>
      <c r="DM37" s="115">
        <f>IF(DM35&gt;0,SUM($D$18:DL18),0)</f>
        <v>0</v>
      </c>
      <c r="DN37" s="115">
        <f>IF(DN35&gt;0,SUM($D$18:DM18),0)</f>
        <v>0</v>
      </c>
      <c r="DO37" s="115">
        <f>IF(DO35&gt;0,SUM($D$18:DN18),0)</f>
        <v>0</v>
      </c>
      <c r="DP37" s="115">
        <f>IF(DP35&gt;0,SUM($D$18:DO18),0)</f>
        <v>0</v>
      </c>
      <c r="DQ37" s="115">
        <f>IF(DQ35&gt;0,SUM($D$18:DP18),0)</f>
        <v>0</v>
      </c>
      <c r="DR37" s="115">
        <f>IF(DR35&gt;0,SUM($D$18:DQ18),0)</f>
        <v>0</v>
      </c>
      <c r="DS37" s="115">
        <f>IF(DS35&gt;0,SUM($D$18:DR18),0)</f>
        <v>0</v>
      </c>
      <c r="DT37" s="115">
        <f>IF(DT35&gt;0,SUM($D$18:DS18),0)</f>
        <v>0</v>
      </c>
      <c r="DU37" s="115">
        <f>IF(DU35&gt;0,SUM($D$18:DT18),0)</f>
        <v>0</v>
      </c>
      <c r="DV37" s="115">
        <f>IF(DV35&gt;0,SUM($D$18:DU18),0)</f>
        <v>0</v>
      </c>
      <c r="DW37" s="115">
        <f>IF(DW35&gt;0,SUM($D$18:DV18),0)</f>
        <v>0</v>
      </c>
      <c r="DX37" s="115">
        <f>IF(DX35&gt;0,SUM($D$18:DW18),0)</f>
        <v>0</v>
      </c>
      <c r="DY37" s="115">
        <f>IF(DY35&gt;0,SUM($D$18:DX18),0)</f>
        <v>0</v>
      </c>
      <c r="DZ37" s="115">
        <f>IF(DZ35&gt;0,SUM($D$18:DY18),0)</f>
        <v>0</v>
      </c>
      <c r="EA37" s="115">
        <f>IF(EA35&gt;0,SUM($D$18:DZ18),0)</f>
        <v>0</v>
      </c>
      <c r="EB37" s="115">
        <f>IF(EB35&gt;0,SUM($D$18:EA18),0)</f>
        <v>0</v>
      </c>
      <c r="EC37" s="115">
        <f>IF(EC35&gt;0,SUM($D$18:EB18),0)</f>
        <v>0</v>
      </c>
      <c r="ED37" s="115">
        <f>IF(ED35&gt;0,SUM($D$18:EC18),0)</f>
        <v>0</v>
      </c>
      <c r="EE37" s="115">
        <f>IF(EE35&gt;0,SUM($D$18:ED18),0)</f>
        <v>0</v>
      </c>
      <c r="EF37" s="115">
        <f>IF(EF35&gt;0,SUM($D$18:EE18),0)</f>
        <v>0</v>
      </c>
      <c r="EG37" s="115">
        <f>IF(EG35&gt;0,SUM($D$18:EF18),0)</f>
        <v>0</v>
      </c>
      <c r="EH37" s="115">
        <f>IF(EH35&gt;0,SUM($D$18:EG18),0)</f>
        <v>0</v>
      </c>
      <c r="EI37" s="115">
        <f>IF(EI35&gt;0,SUM($D$18:EH18),0)</f>
        <v>0</v>
      </c>
      <c r="EJ37" s="115">
        <f>IF(EJ35&gt;0,SUM($D$18:EI18),0)</f>
        <v>0</v>
      </c>
      <c r="EK37" s="115">
        <f>IF(EK35&gt;0,SUM($D$18:EJ18),0)</f>
        <v>0</v>
      </c>
      <c r="EL37" s="115">
        <f>IF(EL35&gt;0,SUM($D$18:EK18),0)</f>
        <v>0</v>
      </c>
      <c r="EM37" s="115">
        <f>IF(EM35&gt;0,SUM($D$18:EL18),0)</f>
        <v>0</v>
      </c>
      <c r="EN37" s="115">
        <f>IF(EN35&gt;0,SUM($D$18:EM18),0)</f>
        <v>0</v>
      </c>
      <c r="EO37" s="115">
        <f>IF(EO35&gt;0,SUM($D$18:EN18),0)</f>
        <v>0</v>
      </c>
      <c r="EP37" s="115">
        <f>IF(EP35&gt;0,SUM($D$18:EO18),0)</f>
        <v>0</v>
      </c>
      <c r="EQ37" s="115">
        <f>IF(EQ35&gt;0,SUM($D$18:EP18),0)</f>
        <v>0</v>
      </c>
      <c r="ER37" s="115">
        <f>IF(ER35&gt;0,SUM($D$18:EQ18),0)</f>
        <v>0</v>
      </c>
      <c r="ES37" s="115">
        <f>IF(ES35&gt;0,SUM($D$18:ER18),0)</f>
        <v>0</v>
      </c>
      <c r="ET37" s="115">
        <f>IF(ET35&gt;0,SUM($D$18:ES18),0)</f>
        <v>0</v>
      </c>
      <c r="EU37" s="115">
        <f>IF(EU35&gt;0,SUM($D$18:ET18),0)</f>
        <v>0</v>
      </c>
      <c r="EV37" s="115">
        <f>IF(EV35&gt;0,SUM($D$18:EU18),0)</f>
        <v>0</v>
      </c>
      <c r="EW37" s="115">
        <f>IF(EW35&gt;0,SUM($D$18:EV18),0)</f>
        <v>0</v>
      </c>
      <c r="EX37" s="115">
        <f>IF(EX35&gt;0,SUM($D$18:EW18),0)</f>
        <v>0</v>
      </c>
      <c r="EY37" s="115">
        <f>IF(EY35&gt;0,SUM($D$18:EX18),0)</f>
        <v>0</v>
      </c>
      <c r="EZ37" s="115">
        <f>IF(EZ35&gt;0,SUM($D$18:EY18),0)</f>
        <v>0</v>
      </c>
      <c r="FA37" s="115">
        <f>IF(FA35&gt;0,SUM($D$18:EZ18),0)</f>
        <v>0</v>
      </c>
      <c r="FB37" s="115">
        <f>IF(FB35&gt;0,SUM($D$18:FA18),0)</f>
        <v>0</v>
      </c>
      <c r="FC37" s="115">
        <f>IF(FC35&gt;0,SUM($D$18:FB18),0)</f>
        <v>0</v>
      </c>
      <c r="FD37" s="115">
        <f>IF(FD35&gt;0,SUM($D$18:FC18),0)</f>
        <v>0</v>
      </c>
      <c r="FE37" s="115">
        <f>IF(FE35&gt;0,SUM($D$18:FD18),0)</f>
        <v>0</v>
      </c>
      <c r="FF37" s="115">
        <f>IF(FF35&gt;0,SUM($D$18:FE18),0)</f>
        <v>0</v>
      </c>
      <c r="FG37" s="115">
        <f>IF(FG35&gt;0,SUM($D$18:FF18),0)</f>
        <v>0</v>
      </c>
      <c r="FH37" s="115">
        <f>IF(FH35&gt;0,SUM($D$18:FG18),0)</f>
        <v>0</v>
      </c>
      <c r="FI37" s="115">
        <f>IF(FI35&gt;0,SUM($D$18:FH18),0)</f>
        <v>0</v>
      </c>
      <c r="FJ37" s="115">
        <f>IF(FJ35&gt;0,SUM($D$18:FI18),0)</f>
        <v>0</v>
      </c>
      <c r="FK37" s="115">
        <f>IF(FK35&gt;0,SUM($D$18:FJ18),0)</f>
        <v>0</v>
      </c>
      <c r="FL37" s="115">
        <f>IF(FL35&gt;0,SUM($D$18:FK18),0)</f>
        <v>0</v>
      </c>
      <c r="FM37" s="115">
        <f>IF(FM35&gt;0,SUM($D$18:FL18),0)</f>
        <v>0</v>
      </c>
      <c r="FN37" s="115">
        <f>IF(FN35&gt;0,SUM($D$18:FM18),0)</f>
        <v>0</v>
      </c>
      <c r="FO37" s="115">
        <f>IF(FO35&gt;0,SUM($D$18:FN18),0)</f>
        <v>0</v>
      </c>
      <c r="FP37" s="115">
        <f>IF(FP35&gt;0,SUM($D$18:FO18),0)</f>
        <v>0</v>
      </c>
      <c r="FQ37" s="115">
        <f>IF(FQ35&gt;0,SUM($D$18:FP18),0)</f>
        <v>0</v>
      </c>
      <c r="FR37" s="115">
        <f>IF(FR35&gt;0,SUM($D$18:FQ18),0)</f>
        <v>0</v>
      </c>
      <c r="FS37" s="115">
        <f>IF(FS35&gt;0,SUM($D$18:FR18),0)</f>
        <v>0</v>
      </c>
      <c r="FT37" s="115">
        <f>IF(FT35&gt;0,SUM($D$18:FS18),0)</f>
        <v>0</v>
      </c>
      <c r="FU37" s="115">
        <f>IF(FU35&gt;0,SUM($D$18:FT18),0)</f>
        <v>0</v>
      </c>
      <c r="FV37" s="115">
        <f>IF(FV35&gt;0,SUM($D$18:FU18),0)</f>
        <v>0</v>
      </c>
      <c r="FW37" s="115">
        <f>IF(FW35&gt;0,SUM($D$18:FV18),0)</f>
        <v>0</v>
      </c>
      <c r="FX37" s="115">
        <f>IF(FX35&gt;0,SUM($D$18:FW18),0)</f>
        <v>0</v>
      </c>
      <c r="FY37" s="115">
        <f>IF(FY35&gt;0,SUM($D$18:FX18),0)</f>
        <v>0</v>
      </c>
      <c r="FZ37" s="115">
        <f>IF(FZ35&gt;0,SUM($D$18:FY18),0)</f>
        <v>0</v>
      </c>
      <c r="GA37" s="115">
        <f>IF(GA35&gt;0,SUM($D$18:FZ18),0)</f>
        <v>0</v>
      </c>
      <c r="GB37" s="115">
        <f>IF(GB35&gt;0,SUM($D$18:GA18),0)</f>
        <v>0</v>
      </c>
      <c r="GC37" s="115">
        <f>IF(GC35&gt;0,SUM($D$18:GB18),0)</f>
        <v>0</v>
      </c>
      <c r="GD37" s="115">
        <f>IF(GD35&gt;0,SUM($D$18:GC18),0)</f>
        <v>0</v>
      </c>
      <c r="GE37" s="115">
        <f>IF(GE35&gt;0,SUM($D$18:GD18),0)</f>
        <v>0</v>
      </c>
      <c r="GF37" s="115">
        <f>IF(GF35&gt;0,SUM($D$18:GE18),0)</f>
        <v>0</v>
      </c>
      <c r="GG37" s="115">
        <f>IF(GG35&gt;0,SUM($D$18:GF18),0)</f>
        <v>0</v>
      </c>
      <c r="GH37" s="115">
        <f>IF(GH35&gt;0,SUM($D$18:GG18),0)</f>
        <v>0</v>
      </c>
      <c r="GI37" s="115">
        <f>IF(GI35&gt;0,SUM($D$18:GH18),0)</f>
        <v>0</v>
      </c>
      <c r="GJ37" s="115">
        <f>IF(GJ35&gt;0,SUM($D$18:GI18),0)</f>
        <v>0</v>
      </c>
      <c r="GK37" s="115">
        <f>IF(GK35&gt;0,SUM($D$18:GJ18),0)</f>
        <v>0</v>
      </c>
      <c r="GL37" s="115">
        <f>IF(GL35&gt;0,SUM($D$18:GK18),0)</f>
        <v>0</v>
      </c>
      <c r="GM37" s="115">
        <f>IF(GM35&gt;0,SUM($D$18:GL18),0)</f>
        <v>0</v>
      </c>
      <c r="GN37" s="115">
        <f>IF(GN35&gt;0,SUM($D$18:GM18),0)</f>
        <v>0</v>
      </c>
      <c r="GO37" s="115">
        <f>IF(GO35&gt;0,SUM($D$18:GN18),0)</f>
        <v>0</v>
      </c>
      <c r="GP37" s="115">
        <f>IF(GP35&gt;0,SUM($D$18:GO18),0)</f>
        <v>0</v>
      </c>
      <c r="GQ37" s="115">
        <f>IF(GQ35&gt;0,SUM($D$18:GP18),0)</f>
        <v>0</v>
      </c>
      <c r="GR37" s="115">
        <f>IF(GR35&gt;0,SUM($D$18:GQ18),0)</f>
        <v>0</v>
      </c>
      <c r="GS37" s="115">
        <f>IF(GS35&gt;0,SUM($D$18:GR18),0)</f>
        <v>0</v>
      </c>
      <c r="GT37" s="115">
        <f>IF(GT35&gt;0,SUM($D$18:GS18),0)</f>
        <v>0</v>
      </c>
      <c r="GU37" s="115">
        <f>IF(GU35&gt;0,SUM($D$18:GT18),0)</f>
        <v>0</v>
      </c>
      <c r="GV37" s="115">
        <f>IF(GV35&gt;0,SUM($D$18:GU18),0)</f>
        <v>0</v>
      </c>
      <c r="GW37" s="115">
        <f>IF(GW35&gt;0,SUM($D$18:GV18),0)</f>
        <v>0</v>
      </c>
      <c r="GX37" s="115">
        <f>IF(GX35&gt;0,SUM($D$18:GW18),0)</f>
        <v>0</v>
      </c>
      <c r="GY37" s="115">
        <f>IF(GY35&gt;0,SUM($D$18:GX18),0)</f>
        <v>0</v>
      </c>
      <c r="GZ37" s="115">
        <f>IF(GZ35&gt;0,SUM($D$18:GY18),0)</f>
        <v>0</v>
      </c>
      <c r="HA37" s="115">
        <f>IF(HA35&gt;0,SUM($D$18:GZ18),0)</f>
        <v>0</v>
      </c>
      <c r="HB37" s="115">
        <f>IF(HB35&gt;0,SUM($D$18:HA18),0)</f>
        <v>0</v>
      </c>
      <c r="HC37" s="115">
        <f>IF(HC35&gt;0,SUM($D$18:HB18),0)</f>
        <v>0</v>
      </c>
      <c r="HD37" s="115">
        <f>IF(HD35&gt;0,SUM($D$18:HC18),0)</f>
        <v>0</v>
      </c>
      <c r="HE37" s="115">
        <f>IF(HE35&gt;0,SUM($D$18:HD18),0)</f>
        <v>0</v>
      </c>
      <c r="HF37" s="115">
        <f>IF(HF35&gt;0,SUM($D$18:HE18),0)</f>
        <v>0</v>
      </c>
      <c r="HG37" s="115">
        <f>IF(HG35&gt;0,SUM($D$18:HF18),0)</f>
        <v>0</v>
      </c>
      <c r="HH37" s="115">
        <f>IF(HH35&gt;0,SUM($D$18:HG18),0)</f>
        <v>0</v>
      </c>
      <c r="HI37" s="115">
        <f>IF(HI35&gt;0,SUM($D$18:HH18),0)</f>
        <v>0</v>
      </c>
      <c r="HJ37" s="115">
        <f>IF(HJ35&gt;0,SUM($D$18:HI18),0)</f>
        <v>0</v>
      </c>
      <c r="HK37" s="115">
        <f>IF(HK35&gt;0,SUM($D$18:HJ18),0)</f>
        <v>0</v>
      </c>
      <c r="HL37" s="115">
        <f>IF(HL35&gt;0,SUM($D$18:HK18),0)</f>
        <v>0</v>
      </c>
      <c r="HM37" s="115">
        <f>IF(HM35&gt;0,SUM($D$18:HL18),0)</f>
        <v>0</v>
      </c>
      <c r="HN37" s="115">
        <f>IF(HN35&gt;0,SUM($D$18:HM18),0)</f>
        <v>0</v>
      </c>
      <c r="HO37" s="115">
        <f>IF(HO35&gt;0,SUM($D$18:HN18),0)</f>
        <v>0</v>
      </c>
      <c r="HP37" s="115">
        <f>IF(HP35&gt;0,SUM($D$18:HO18),0)</f>
        <v>0</v>
      </c>
      <c r="HQ37" s="115">
        <f>IF(HQ35&gt;0,SUM($D$18:HP18),0)</f>
        <v>0</v>
      </c>
      <c r="HR37" s="115">
        <f>IF(HR35&gt;0,SUM($D$18:HQ18),0)</f>
        <v>0</v>
      </c>
      <c r="HS37" s="115">
        <f>IF(HS35&gt;0,SUM($D$18:HR18),0)</f>
        <v>0</v>
      </c>
      <c r="HT37" s="115">
        <f>IF(HT35&gt;0,SUM($D$18:HS18),0)</f>
        <v>0</v>
      </c>
      <c r="HU37" s="115">
        <f>IF(HU35&gt;0,SUM($D$18:HT18),0)</f>
        <v>0</v>
      </c>
      <c r="HV37" s="115">
        <f>IF(HV35&gt;0,SUM($D$18:HU18),0)</f>
        <v>0</v>
      </c>
      <c r="HW37" s="115">
        <f>IF(HW35&gt;0,SUM($D$18:HV18),0)</f>
        <v>0</v>
      </c>
      <c r="HX37" s="115">
        <f>IF(HX35&gt;0,SUM($D$18:HW18),0)</f>
        <v>0</v>
      </c>
      <c r="HY37" s="115">
        <f>IF(HY35&gt;0,SUM($D$18:HX18),0)</f>
        <v>0</v>
      </c>
      <c r="HZ37" s="115">
        <f>IF(HZ35&gt;0,SUM($D$18:HY18),0)</f>
        <v>0</v>
      </c>
      <c r="IA37" s="115">
        <f>IF(IA35&gt;0,SUM($D$18:HZ18),0)</f>
        <v>0</v>
      </c>
      <c r="IB37" s="115">
        <f>IF(IB35&gt;0,SUM($D$18:IA18),0)</f>
        <v>0</v>
      </c>
      <c r="IC37" s="115">
        <f>IF(IC35&gt;0,SUM($D$18:IB18),0)</f>
        <v>0</v>
      </c>
      <c r="ID37" s="115">
        <f>IF(ID35&gt;0,SUM($D$18:IC18),0)</f>
        <v>0</v>
      </c>
      <c r="IE37" s="115">
        <f>IF(IE35&gt;0,SUM($D$18:ID18),0)</f>
        <v>0</v>
      </c>
      <c r="IF37" s="115">
        <f>IF(IF35&gt;0,SUM($D$18:IE18),0)</f>
        <v>0</v>
      </c>
      <c r="IG37" s="115">
        <f>IF(IG35&gt;0,SUM($D$18:IF18),0)</f>
        <v>0</v>
      </c>
      <c r="IH37" s="115">
        <f>IF(IH35&gt;0,SUM($D$18:IG18),0)</f>
        <v>0</v>
      </c>
      <c r="II37" s="115">
        <f>IF(II35&gt;0,SUM($D$18:IH18),0)</f>
        <v>0</v>
      </c>
      <c r="IJ37" s="115">
        <f>IF(IJ35&gt;0,SUM($D$18:II18),0)</f>
        <v>0</v>
      </c>
      <c r="IK37" s="115">
        <f>IF(IK35&gt;0,SUM($D$18:IJ18),0)</f>
        <v>0</v>
      </c>
      <c r="IL37" s="115">
        <f>IF(IL35&gt;0,SUM($D$18:IK18),0)</f>
        <v>0</v>
      </c>
      <c r="IM37" s="115">
        <f>IF(IM35&gt;0,SUM($D$18:IL18),0)</f>
        <v>0</v>
      </c>
      <c r="IN37" s="115">
        <f>IF(IN35&gt;0,SUM($D$18:IM18),0)</f>
        <v>0</v>
      </c>
      <c r="IO37" s="115">
        <f>IF(IO35&gt;0,SUM($D$18:IN18),0)</f>
        <v>0</v>
      </c>
      <c r="IP37" s="115">
        <f>IF(IP35&gt;0,SUM($D$18:IO18),0)</f>
        <v>0</v>
      </c>
      <c r="IQ37" s="115">
        <f>IF(IQ35&gt;0,SUM($D$18:IP18),0)</f>
        <v>0</v>
      </c>
      <c r="IR37" s="115">
        <f>IF(IR35&gt;0,SUM($D$18:IQ18),0)</f>
        <v>0</v>
      </c>
      <c r="IS37" s="115">
        <f>IF(IS35&gt;0,SUM($D$18:IR18),0)</f>
        <v>0</v>
      </c>
      <c r="IT37" s="115">
        <f>IF(IT35&gt;0,SUM($D$18:IS18),0)</f>
        <v>0</v>
      </c>
      <c r="IU37" s="115">
        <f>IF(IU35&gt;0,SUM($D$18:IT18),0)</f>
        <v>0</v>
      </c>
      <c r="IV37" s="115">
        <f>IF(IV35&gt;0,SUM($D$18:IU18),0)</f>
        <v>0</v>
      </c>
      <c r="IW37" s="115">
        <f>IF(IW35&gt;0,SUM($D$18:IV18),0)</f>
        <v>0</v>
      </c>
      <c r="IX37" s="115">
        <f>IF(IX35&gt;0,SUM($D$18:IW18),0)</f>
        <v>0</v>
      </c>
      <c r="IY37" s="115">
        <f>IF(IY35&gt;0,SUM($D$18:IX18),0)</f>
        <v>0</v>
      </c>
      <c r="IZ37" s="115">
        <f>IF(IZ35&gt;0,SUM($D$18:IY18),0)</f>
        <v>0</v>
      </c>
      <c r="JA37" s="115">
        <f>IF(JA35&gt;0,SUM($D$18:IZ18),0)</f>
        <v>0</v>
      </c>
      <c r="JB37" s="115">
        <f>IF(JB35&gt;0,SUM($D$18:JA18),0)</f>
        <v>0</v>
      </c>
      <c r="JC37" s="115">
        <f>IF(JC35&gt;0,SUM($D$18:JB18),0)</f>
        <v>0</v>
      </c>
      <c r="JD37" s="115">
        <f>IF(JD35&gt;0,SUM($D$18:JC18),0)</f>
        <v>0</v>
      </c>
      <c r="JE37" s="115">
        <f>IF(JE35&gt;0,SUM($D$18:JD18),0)</f>
        <v>0</v>
      </c>
      <c r="JF37" s="115">
        <f>IF(JF35&gt;0,SUM($D$18:JE18),0)</f>
        <v>0</v>
      </c>
      <c r="JG37" s="115">
        <f>IF(JG35&gt;0,SUM($D$18:JF18),0)</f>
        <v>0</v>
      </c>
      <c r="JH37" s="115">
        <f>IF(JH35&gt;0,SUM($D$18:JG18),0)</f>
        <v>0</v>
      </c>
      <c r="JI37" s="115">
        <f>IF(JI35&gt;0,SUM($D$18:JH18),0)</f>
        <v>0</v>
      </c>
      <c r="JJ37" s="115">
        <f>IF(JJ35&gt;0,SUM($D$18:JI18),0)</f>
        <v>0</v>
      </c>
      <c r="JK37" s="115">
        <f>IF(JK35&gt;0,SUM($D$18:JJ18),0)</f>
        <v>0</v>
      </c>
      <c r="JL37" s="115">
        <f>IF(JL35&gt;0,SUM($D$18:JK18),0)</f>
        <v>0</v>
      </c>
      <c r="JM37" s="115">
        <f>IF(JM35&gt;0,SUM($D$18:JL18),0)</f>
        <v>0</v>
      </c>
      <c r="JN37" s="115">
        <f>IF(JN35&gt;0,SUM($D$18:JM18),0)</f>
        <v>0</v>
      </c>
      <c r="JO37" s="115">
        <f>IF(JO35&gt;0,SUM($D$18:JN18),0)</f>
        <v>0</v>
      </c>
      <c r="JP37" s="115">
        <f>IF(JP35&gt;0,SUM($D$18:JO18),0)</f>
        <v>0</v>
      </c>
      <c r="JQ37" s="115">
        <f>IF(JQ35&gt;0,SUM($D$18:JP18),0)</f>
        <v>0</v>
      </c>
      <c r="JR37" s="115">
        <f>IF(JR35&gt;0,SUM($D$18:JQ18),0)</f>
        <v>0</v>
      </c>
      <c r="JS37" s="115">
        <f>IF(JS35&gt;0,SUM($D$18:JR18),0)</f>
        <v>0</v>
      </c>
      <c r="JT37" s="115">
        <f>IF(JT35&gt;0,SUM($D$18:JS18),0)</f>
        <v>0</v>
      </c>
      <c r="JU37" s="115">
        <f>IF(JU35&gt;0,SUM($D$18:JT18),0)</f>
        <v>0</v>
      </c>
      <c r="JV37" s="115">
        <f>IF(JV35&gt;0,SUM($D$18:JU18),0)</f>
        <v>0</v>
      </c>
      <c r="JW37" s="115">
        <f>IF(JW35&gt;0,SUM($D$18:JV18),0)</f>
        <v>0</v>
      </c>
      <c r="JX37" s="115">
        <f>IF(JX35&gt;0,SUM($D$18:JW18),0)</f>
        <v>0</v>
      </c>
      <c r="JY37" s="115">
        <f>IF(JY35&gt;0,SUM($D$18:JX18),0)</f>
        <v>0</v>
      </c>
      <c r="JZ37" s="115">
        <f>IF(JZ35&gt;0,SUM($D$18:JY18),0)</f>
        <v>0</v>
      </c>
      <c r="KA37" s="115">
        <f>IF(KA35&gt;0,SUM($D$18:JZ18),0)</f>
        <v>0</v>
      </c>
      <c r="KB37" s="115">
        <f>IF(KB35&gt;0,SUM($D$18:KA18),0)</f>
        <v>0</v>
      </c>
      <c r="KC37" s="115">
        <f>IF(KC35&gt;0,SUM($D$18:KB18),0)</f>
        <v>0</v>
      </c>
      <c r="KD37" s="115">
        <f>IF(KD35&gt;0,SUM($D$18:KC18),0)</f>
        <v>0</v>
      </c>
      <c r="KE37" s="115">
        <f>IF(KE35&gt;0,SUM($D$18:KD18),0)</f>
        <v>0</v>
      </c>
      <c r="KF37" s="115">
        <f>IF(KF35&gt;0,SUM($D$18:KE18),0)</f>
        <v>0</v>
      </c>
      <c r="KG37" s="115">
        <f>IF(KG35&gt;0,SUM($D$18:KF18),0)</f>
        <v>0</v>
      </c>
      <c r="KH37" s="115">
        <f>IF(KH35&gt;0,SUM($D$18:KG18),0)</f>
        <v>0</v>
      </c>
      <c r="KI37" s="115">
        <f>IF(KI35&gt;0,SUM($D$18:KH18),0)</f>
        <v>0</v>
      </c>
      <c r="KJ37" s="115">
        <f>IF(KJ35&gt;0,SUM($D$18:KI18),0)</f>
        <v>0</v>
      </c>
      <c r="KK37" s="115">
        <f>IF(KK35&gt;0,SUM($D$18:KJ18),0)</f>
        <v>0</v>
      </c>
      <c r="KL37" s="115">
        <f>IF(KL35&gt;0,SUM($D$18:KK18),0)</f>
        <v>0</v>
      </c>
      <c r="KM37" s="115">
        <f>IF(KM35&gt;0,SUM($D$18:KL18),0)</f>
        <v>0</v>
      </c>
      <c r="KN37" s="115">
        <f>IF(KN35&gt;0,SUM($D$18:KM18),0)</f>
        <v>0</v>
      </c>
      <c r="KO37" s="115">
        <f>IF(KO35&gt;0,SUM($D$18:KN18),0)</f>
        <v>0</v>
      </c>
      <c r="KP37" s="115">
        <f>IF(KP35&gt;0,SUM($D$18:KO18),0)</f>
        <v>0</v>
      </c>
      <c r="KQ37" s="115">
        <f>IF(KQ35&gt;0,SUM($D$18:KP18),0)</f>
        <v>0</v>
      </c>
      <c r="KR37" s="115">
        <f>IF(KR35&gt;0,SUM($D$18:KQ18),0)</f>
        <v>0</v>
      </c>
      <c r="KS37" s="115">
        <f>IF(KS35&gt;0,SUM($D$18:KR18),0)</f>
        <v>0</v>
      </c>
      <c r="KT37" s="115">
        <f>IF(KT35&gt;0,SUM($D$18:KS18),0)</f>
        <v>0</v>
      </c>
      <c r="KU37" s="115">
        <f>IF(KU35&gt;0,SUM($D$18:KT18),0)</f>
        <v>0</v>
      </c>
      <c r="KV37" s="115">
        <f>IF(KV35&gt;0,SUM($D$18:KU18),0)</f>
        <v>0</v>
      </c>
      <c r="KW37" s="115">
        <f>IF(KW35&gt;0,SUM($D$18:KV18),0)</f>
        <v>0</v>
      </c>
      <c r="KX37" s="115">
        <f>IF(KX35&gt;0,SUM($D$18:KW18),0)</f>
        <v>0</v>
      </c>
      <c r="KY37" s="115">
        <f>IF(KY35&gt;0,SUM($D$18:KX18),0)</f>
        <v>0</v>
      </c>
      <c r="KZ37" s="115">
        <f>IF(KZ35&gt;0,SUM($D$18:KY18),0)</f>
        <v>0</v>
      </c>
      <c r="LA37" s="115">
        <f>IF(LA35&gt;0,SUM($D$18:KZ18),0)</f>
        <v>0</v>
      </c>
      <c r="LB37" s="115">
        <f>IF(LB35&gt;0,SUM($D$18:LA18),0)</f>
        <v>0</v>
      </c>
      <c r="LC37" s="115">
        <f>IF(LC35&gt;0,SUM($D$18:LB18),0)</f>
        <v>0</v>
      </c>
      <c r="LD37" s="115">
        <f>IF(LD35&gt;0,SUM($D$18:LC18),0)</f>
        <v>0</v>
      </c>
      <c r="LE37" s="115">
        <f>IF(LE35&gt;0,SUM($D$18:LD18),0)</f>
        <v>0</v>
      </c>
      <c r="LF37" s="115">
        <f>IF(LF35&gt;0,SUM($D$18:LE18),0)</f>
        <v>0</v>
      </c>
      <c r="LG37" s="115">
        <f>IF(LG35&gt;0,SUM($D$18:LF18),0)</f>
        <v>0</v>
      </c>
      <c r="LH37" s="115">
        <f>IF(LH35&gt;0,SUM($D$18:LG18),0)</f>
        <v>0</v>
      </c>
      <c r="LI37" s="115">
        <f>IF(LI35&gt;0,SUM($D$18:LH18),0)</f>
        <v>0</v>
      </c>
      <c r="LJ37" s="115">
        <f>IF(LJ35&gt;0,SUM($D$18:LI18),0)</f>
        <v>0</v>
      </c>
      <c r="LK37" s="115">
        <f>IF(LK35&gt;0,SUM($D$18:LJ18),0)</f>
        <v>0</v>
      </c>
      <c r="LL37" s="115">
        <f>IF(LL35&gt;0,SUM($D$18:LK18),0)</f>
        <v>0</v>
      </c>
      <c r="LM37" s="115">
        <f>IF(LM35&gt;0,SUM($D$18:LL18),0)</f>
        <v>0</v>
      </c>
      <c r="LN37" s="115">
        <f>IF(LN35&gt;0,SUM($D$18:LM18),0)</f>
        <v>0</v>
      </c>
      <c r="LO37" s="115">
        <f>IF(LO35&gt;0,SUM($D$18:LN18),0)</f>
        <v>0</v>
      </c>
      <c r="LP37" s="115">
        <f>IF(LP35&gt;0,SUM($D$18:LO18),0)</f>
        <v>0</v>
      </c>
      <c r="LQ37" s="115">
        <f>IF(LQ35&gt;0,SUM($D$18:LP18),0)</f>
        <v>0</v>
      </c>
      <c r="LR37" s="115">
        <f>IF(LR35&gt;0,SUM($D$18:LQ18),0)</f>
        <v>0</v>
      </c>
      <c r="LS37" s="115">
        <f>IF(LS35&gt;0,SUM($D$18:LR18),0)</f>
        <v>0</v>
      </c>
      <c r="LT37" s="115">
        <f>IF(LT35&gt;0,SUM($D$18:LS18),0)</f>
        <v>0</v>
      </c>
      <c r="LU37" s="115">
        <f>IF(LU35&gt;0,SUM($D$18:LT18),0)</f>
        <v>0</v>
      </c>
      <c r="LV37" s="115">
        <f>IF(LV35&gt;0,SUM($D$18:LU18),0)</f>
        <v>0</v>
      </c>
      <c r="LW37" s="115">
        <f>IF(LW35&gt;0,SUM($D$18:LV18),0)</f>
        <v>0</v>
      </c>
      <c r="LX37" s="115">
        <f>IF(LX35&gt;0,SUM($D$18:LW18),0)</f>
        <v>0</v>
      </c>
      <c r="LY37" s="115">
        <f>IF(LY35&gt;0,SUM($D$18:LX18),0)</f>
        <v>0</v>
      </c>
      <c r="LZ37" s="115">
        <f>IF(LZ35&gt;0,SUM($D$18:LY18),0)</f>
        <v>0</v>
      </c>
      <c r="MA37" s="115">
        <f>IF(MA35&gt;0,SUM($D$18:LZ18),0)</f>
        <v>0</v>
      </c>
      <c r="MB37" s="115">
        <f>IF(MB35&gt;0,SUM($D$18:MA18),0)</f>
        <v>0</v>
      </c>
      <c r="MC37" s="115">
        <f>IF(MC35&gt;0,SUM($D$18:MB18),0)</f>
        <v>0</v>
      </c>
      <c r="MD37" s="115">
        <f>IF(MD35&gt;0,SUM($D$18:MC18),0)</f>
        <v>0</v>
      </c>
      <c r="ME37" s="115">
        <f>IF(ME35&gt;0,SUM($D$18:MD18),0)</f>
        <v>0</v>
      </c>
      <c r="MF37" s="115">
        <f>IF(MF35&gt;0,SUM($D$18:ME18),0)</f>
        <v>0</v>
      </c>
      <c r="MG37" s="115">
        <f>IF(MG35&gt;0,SUM($D$18:MF18),0)</f>
        <v>0</v>
      </c>
      <c r="MH37" s="115">
        <f>IF(MH35&gt;0,SUM($D$18:MG18),0)</f>
        <v>0</v>
      </c>
      <c r="MI37" s="115">
        <f>IF(MI35&gt;0,SUM($D$18:MH18),0)</f>
        <v>0</v>
      </c>
      <c r="MJ37" s="115">
        <f>IF(MJ35&gt;0,SUM($D$18:MI18),0)</f>
        <v>0</v>
      </c>
      <c r="MK37" s="115">
        <f>IF(MK35&gt;0,SUM($D$18:MJ18),0)</f>
        <v>0</v>
      </c>
      <c r="ML37" s="115">
        <f>IF(ML35&gt;0,SUM($D$18:MK18),0)</f>
        <v>0</v>
      </c>
      <c r="MM37" s="115">
        <f>IF(MM35&gt;0,SUM($D$18:ML18),0)</f>
        <v>0</v>
      </c>
      <c r="MN37" s="115">
        <f>IF(MN35&gt;0,SUM($D$18:MM18),0)</f>
        <v>0</v>
      </c>
      <c r="MO37" s="115">
        <f>IF(MO35&gt;0,SUM($D$18:MN18),0)</f>
        <v>0</v>
      </c>
      <c r="MP37" s="115">
        <f>IF(MP35&gt;0,SUM($D$18:MO18),0)</f>
        <v>0</v>
      </c>
      <c r="MQ37" s="115">
        <f>IF(MQ35&gt;0,SUM($D$18:MP18),0)</f>
        <v>0</v>
      </c>
      <c r="MR37" s="115">
        <f>IF(MR35&gt;0,SUM($D$18:MQ18),0)</f>
        <v>0</v>
      </c>
      <c r="MS37" s="115">
        <f>IF(MS35&gt;0,SUM($D$18:MR18),0)</f>
        <v>0</v>
      </c>
      <c r="MT37" s="115">
        <f>IF(MT35&gt;0,SUM($D$18:MS18),0)</f>
        <v>0</v>
      </c>
      <c r="MU37" s="115">
        <f>IF(MU35&gt;0,SUM($D$18:MT18),0)</f>
        <v>0</v>
      </c>
      <c r="MV37" s="115">
        <f>IF(MV35&gt;0,SUM($D$18:MU18),0)</f>
        <v>0</v>
      </c>
      <c r="MW37" s="115">
        <f>IF(MW35&gt;0,SUM($D$18:MV18),0)</f>
        <v>0</v>
      </c>
      <c r="MX37" s="115">
        <f>IF(MX35&gt;0,SUM($D$18:MW18),0)</f>
        <v>0</v>
      </c>
      <c r="MY37" s="115">
        <f>IF(MY35&gt;0,SUM($D$18:MX18),0)</f>
        <v>0</v>
      </c>
      <c r="MZ37" s="115">
        <f>IF(MZ35&gt;0,SUM($D$18:MY18),0)</f>
        <v>0</v>
      </c>
      <c r="NA37" s="115">
        <f>IF(NA35&gt;0,SUM($D$18:MZ18),0)</f>
        <v>0</v>
      </c>
      <c r="NB37" s="115">
        <f>IF(NB35&gt;0,SUM($D$18:NA18),0)</f>
        <v>0</v>
      </c>
      <c r="NC37" s="115">
        <f>IF(NC35&gt;0,SUM($D$18:NB18),0)</f>
        <v>0</v>
      </c>
      <c r="ND37" s="115">
        <f>IF(ND35&gt;0,SUM($D$18:NC18),0)</f>
        <v>0</v>
      </c>
      <c r="NE37" s="115">
        <f>IF(NE35&gt;0,SUM($D$18:ND18),0)</f>
        <v>0</v>
      </c>
      <c r="NF37" s="115">
        <f>IF(NF35&gt;0,SUM($D$18:NE18),0)</f>
        <v>0</v>
      </c>
      <c r="NG37" s="115">
        <f>IF(NG35&gt;0,SUM($D$18:NF18),0)</f>
        <v>0</v>
      </c>
      <c r="NH37" s="115">
        <f>IF(NH35&gt;0,SUM($D$18:NG18),0)</f>
        <v>0</v>
      </c>
      <c r="NI37" s="115">
        <f>IF(NI35&gt;0,SUM($D$18:NH18),0)</f>
        <v>0</v>
      </c>
      <c r="NJ37" s="115">
        <f>IF(NJ35&gt;0,SUM($D$18:NI18),0)</f>
        <v>0</v>
      </c>
      <c r="NK37" s="115">
        <f>IF(NK35&gt;0,SUM($D$18:NJ18),0)</f>
        <v>0</v>
      </c>
      <c r="NL37" s="115">
        <f>IF(NL35&gt;0,SUM($D$18:NK18),0)</f>
        <v>0</v>
      </c>
      <c r="NM37" s="115">
        <f>IF(NM35&gt;0,SUM($D$18:NL18),0)</f>
        <v>0</v>
      </c>
      <c r="NN37" s="115">
        <f>IF(NN35&gt;0,SUM($D$18:NM18),0)</f>
        <v>0</v>
      </c>
      <c r="NO37" s="115">
        <f>IF(NO35&gt;0,SUM($D$18:NN18),0)</f>
        <v>0</v>
      </c>
      <c r="NP37" s="115">
        <f>IF(NP35&gt;0,SUM($D$18:NO18),0)</f>
        <v>0</v>
      </c>
      <c r="NQ37" s="115">
        <f>IF(NQ35&gt;0,SUM($D$18:NP18),0)</f>
        <v>0</v>
      </c>
      <c r="NR37" s="115">
        <f>IF(NR35&gt;0,SUM($D$18:NQ18),0)</f>
        <v>0</v>
      </c>
      <c r="NS37" s="115">
        <f>IF(NS35&gt;0,SUM($D$18:NR18),0)</f>
        <v>0</v>
      </c>
      <c r="NT37" s="115">
        <f>IF(NT35&gt;0,SUM($D$18:NS18),0)</f>
        <v>0</v>
      </c>
      <c r="NU37" s="115">
        <f>IF(NU35&gt;0,SUM($D$18:NT18),0)</f>
        <v>0</v>
      </c>
      <c r="NV37" s="115">
        <f>IF(NV35&gt;0,SUM($D$18:NU18),0)</f>
        <v>0</v>
      </c>
      <c r="NW37" s="115">
        <f>IF(NW35&gt;0,SUM($D$18:NV18),0)</f>
        <v>0</v>
      </c>
      <c r="NX37" s="115">
        <f>IF(NX35&gt;0,SUM($D$18:NW18),0)</f>
        <v>0</v>
      </c>
      <c r="NY37" s="115">
        <f>IF(NY35&gt;0,SUM($D$18:NX18),0)</f>
        <v>0</v>
      </c>
      <c r="NZ37" s="115">
        <f>IF(NZ35&gt;0,SUM($D$18:NY18),0)</f>
        <v>0</v>
      </c>
      <c r="OA37" s="115">
        <f>IF(OA35&gt;0,SUM($D$18:NZ18),0)</f>
        <v>0</v>
      </c>
      <c r="OB37" s="115">
        <f>IF(OB35&gt;0,SUM($D$18:OA18),0)</f>
        <v>0</v>
      </c>
      <c r="OC37" s="115">
        <f>IF(OC35&gt;0,SUM($D$18:OB18),0)</f>
        <v>0</v>
      </c>
      <c r="OD37" s="115">
        <f>IF(OD35&gt;0,SUM($D$18:OC18),0)</f>
        <v>0</v>
      </c>
      <c r="OE37" s="115">
        <f>IF(OE35&gt;0,SUM($D$18:OD18),0)</f>
        <v>0</v>
      </c>
      <c r="OF37" s="115">
        <f>IF(OF35&gt;0,SUM($D$18:OE18),0)</f>
        <v>0</v>
      </c>
      <c r="OG37" s="115">
        <f>IF(OG35&gt;0,SUM($D$18:OF18),0)</f>
        <v>0</v>
      </c>
      <c r="OH37" s="115">
        <f>IF(OH35&gt;0,SUM($D$18:OG18),0)</f>
        <v>0</v>
      </c>
      <c r="OI37" s="115">
        <f>IF(OI35&gt;0,SUM($D$18:OH18),0)</f>
        <v>0</v>
      </c>
      <c r="OJ37" s="115">
        <f>IF(OJ35&gt;0,SUM($D$18:OI18),0)</f>
        <v>0</v>
      </c>
      <c r="OK37" s="115">
        <f>IF(OK35&gt;0,SUM($D$18:OJ18),0)</f>
        <v>0</v>
      </c>
      <c r="OL37" s="115">
        <f>IF(OL35&gt;0,SUM($D$18:OK18),0)</f>
        <v>0</v>
      </c>
      <c r="OM37" s="115">
        <f>IF(OM35&gt;0,SUM($D$18:OL18),0)</f>
        <v>0</v>
      </c>
      <c r="ON37" s="115">
        <f>IF(ON35&gt;0,SUM($D$18:OM18),0)</f>
        <v>0</v>
      </c>
      <c r="OO37" s="115">
        <f>IF(OO35&gt;0,SUM($D$18:ON18),0)</f>
        <v>0</v>
      </c>
      <c r="OP37" s="115">
        <f>IF(OP35&gt;0,SUM($D$18:OO18),0)</f>
        <v>0</v>
      </c>
      <c r="OQ37" s="115">
        <f>IF(OQ35&gt;0,SUM($D$18:OP18),0)</f>
        <v>0</v>
      </c>
      <c r="OR37" s="115">
        <f>IF(OR35&gt;0,SUM($D$18:OQ18),0)</f>
        <v>0</v>
      </c>
      <c r="OS37" s="115">
        <f>IF(OS35&gt;0,SUM($D$18:OR18),0)</f>
        <v>0</v>
      </c>
      <c r="OT37" s="115">
        <f>IF(OT35&gt;0,SUM($D$18:OS18),0)</f>
        <v>0</v>
      </c>
      <c r="OU37" s="115">
        <f>IF(OU35&gt;0,SUM($D$18:OT18),0)</f>
        <v>0</v>
      </c>
      <c r="OV37" s="115">
        <f>IF(OV35&gt;0,SUM($D$18:OU18),0)</f>
        <v>0</v>
      </c>
      <c r="OW37" s="115">
        <f>IF(OW35&gt;0,SUM($D$18:OV18),0)</f>
        <v>0</v>
      </c>
      <c r="OX37" s="115">
        <f>IF(OX35&gt;0,SUM($D$18:OW18),0)</f>
        <v>0</v>
      </c>
      <c r="OY37" s="115">
        <f>IF(OY35&gt;0,SUM($D$18:OX18),0)</f>
        <v>0</v>
      </c>
      <c r="OZ37" s="115">
        <f>IF(OZ35&gt;0,SUM($D$18:OY18),0)</f>
        <v>0</v>
      </c>
      <c r="PA37" s="115">
        <f>IF(PA35&gt;0,SUM($D$18:OZ18),0)</f>
        <v>0</v>
      </c>
      <c r="PB37" s="115">
        <f>IF(PB35&gt;0,SUM($D$18:PA18),0)</f>
        <v>0</v>
      </c>
      <c r="PC37" s="115">
        <f>IF(PC35&gt;0,SUM($D$18:PB18),0)</f>
        <v>0</v>
      </c>
      <c r="PD37" s="115">
        <f>IF(PD35&gt;0,SUM($D$18:PC18),0)</f>
        <v>0</v>
      </c>
      <c r="PE37" s="115">
        <f>IF(PE35&gt;0,SUM($D$18:PD18),0)</f>
        <v>0</v>
      </c>
      <c r="PF37" s="115">
        <f>IF(PF35&gt;0,SUM($D$18:PE18),0)</f>
        <v>0</v>
      </c>
      <c r="PG37" s="115">
        <f>IF(PG35&gt;0,SUM($D$18:PF18),0)</f>
        <v>0</v>
      </c>
      <c r="PH37" s="115">
        <f>IF(PH35&gt;0,SUM($D$18:PG18),0)</f>
        <v>0</v>
      </c>
      <c r="PI37" s="115">
        <f>IF(PI35&gt;0,SUM($D$18:PH18),0)</f>
        <v>0</v>
      </c>
      <c r="PJ37" s="115">
        <f>IF(PJ35&gt;0,SUM($D$18:PI18),0)</f>
        <v>0</v>
      </c>
      <c r="PK37" s="115">
        <f>IF(PK35&gt;0,SUM($D$18:PJ18),0)</f>
        <v>0</v>
      </c>
      <c r="PL37" s="115">
        <f>IF(PL35&gt;0,SUM($D$18:PK18),0)</f>
        <v>0</v>
      </c>
      <c r="PM37" s="115">
        <f>IF(PM35&gt;0,SUM($D$18:PL18),0)</f>
        <v>0</v>
      </c>
      <c r="PN37" s="115">
        <f>IF(PN35&gt;0,SUM($D$18:PM18),0)</f>
        <v>0</v>
      </c>
      <c r="PO37" s="115">
        <f>IF(PO35&gt;0,SUM($D$18:PN18),0)</f>
        <v>0</v>
      </c>
      <c r="PP37" s="115">
        <f>IF(PP35&gt;0,SUM($D$18:PO18),0)</f>
        <v>0</v>
      </c>
      <c r="PQ37" s="115">
        <f>IF(PQ35&gt;0,SUM($D$18:PP18),0)</f>
        <v>0</v>
      </c>
      <c r="PR37" s="115">
        <f>IF(PR35&gt;0,SUM($D$18:PQ18),0)</f>
        <v>0</v>
      </c>
      <c r="PS37" s="115">
        <f>IF(PS35&gt;0,SUM($D$18:PR18),0)</f>
        <v>0</v>
      </c>
      <c r="PT37" s="115">
        <f>IF(PT35&gt;0,SUM($D$18:PS18),0)</f>
        <v>0</v>
      </c>
      <c r="PU37" s="115">
        <f>IF(PU35&gt;0,SUM($D$18:PT18),0)</f>
        <v>0</v>
      </c>
      <c r="PV37" s="115">
        <f>IF(PV35&gt;0,SUM($D$18:PU18),0)</f>
        <v>0</v>
      </c>
      <c r="PW37" s="115">
        <f>IF(PW35&gt;0,SUM($D$18:PV18),0)</f>
        <v>0</v>
      </c>
      <c r="PX37" s="115">
        <f>IF(PX35&gt;0,SUM($D$18:PW18),0)</f>
        <v>0</v>
      </c>
      <c r="PY37" s="115">
        <f>IF(PY35&gt;0,SUM($D$18:PX18),0)</f>
        <v>0</v>
      </c>
      <c r="PZ37" s="115">
        <f>IF(PZ35&gt;0,SUM($D$18:PY18),0)</f>
        <v>0</v>
      </c>
      <c r="QA37" s="115">
        <f>IF(QA35&gt;0,SUM($D$18:PZ18),0)</f>
        <v>0</v>
      </c>
      <c r="QB37" s="115">
        <f>IF(QB35&gt;0,SUM($D$18:QA18),0)</f>
        <v>0</v>
      </c>
      <c r="QC37" s="115">
        <f>IF(QC35&gt;0,SUM($D$18:QB18),0)</f>
        <v>0</v>
      </c>
      <c r="QD37" s="115">
        <f>IF(QD35&gt;0,SUM($D$18:QC18),0)</f>
        <v>0</v>
      </c>
      <c r="QE37" s="115">
        <f>IF(QE35&gt;0,SUM($D$18:QD18),0)</f>
        <v>0</v>
      </c>
      <c r="QF37" s="115">
        <f>IF(QF35&gt;0,SUM($D$18:QE18),0)</f>
        <v>0</v>
      </c>
      <c r="QG37" s="115">
        <f>IF(QG35&gt;0,SUM($D$18:QF18),0)</f>
        <v>0</v>
      </c>
      <c r="QH37" s="115">
        <f>IF(QH35&gt;0,SUM($D$18:QG18),0)</f>
        <v>0</v>
      </c>
      <c r="QI37" s="115">
        <f>IF(QI35&gt;0,SUM($D$18:QH18),0)</f>
        <v>0</v>
      </c>
      <c r="QJ37" s="115">
        <f>IF(QJ35&gt;0,SUM($D$18:QI18),0)</f>
        <v>0</v>
      </c>
      <c r="QK37" s="115">
        <f>IF(QK35&gt;0,SUM($D$18:QJ18),0)</f>
        <v>0</v>
      </c>
      <c r="QL37" s="115">
        <f>IF(QL35&gt;0,SUM($D$18:QK18),0)</f>
        <v>0</v>
      </c>
      <c r="QM37" s="115">
        <f>IF(QM35&gt;0,SUM($D$18:QL18),0)</f>
        <v>0</v>
      </c>
      <c r="QN37" s="115">
        <f>IF(QN35&gt;0,SUM($D$18:QM18),0)</f>
        <v>0</v>
      </c>
      <c r="QO37" s="115">
        <f>IF(QO35&gt;0,SUM($D$18:QN18),0)</f>
        <v>0</v>
      </c>
      <c r="QP37" s="115">
        <f>IF(QP35&gt;0,SUM($D$18:QO18),0)</f>
        <v>0</v>
      </c>
      <c r="QQ37" s="115">
        <f>IF(QQ35&gt;0,SUM($D$18:QP18),0)</f>
        <v>0</v>
      </c>
      <c r="QR37" s="115">
        <f>IF(QR35&gt;0,SUM($D$18:QQ18),0)</f>
        <v>0</v>
      </c>
      <c r="QS37" s="115">
        <f>IF(QS35&gt;0,SUM($D$18:QR18),0)</f>
        <v>0</v>
      </c>
      <c r="QT37" s="115">
        <f>IF(QT35&gt;0,SUM($D$18:QS18),0)</f>
        <v>0</v>
      </c>
      <c r="QU37" s="115">
        <f>IF(QU35&gt;0,SUM($D$18:QT18),0)</f>
        <v>0</v>
      </c>
      <c r="QV37" s="115">
        <f>IF(QV35&gt;0,SUM($D$18:QU18),0)</f>
        <v>0</v>
      </c>
      <c r="QW37" s="115">
        <f>IF(QW35&gt;0,SUM($D$18:QV18),0)</f>
        <v>0</v>
      </c>
      <c r="QX37" s="115">
        <f>IF(QX35&gt;0,SUM($D$18:QW18),0)</f>
        <v>0</v>
      </c>
      <c r="QY37" s="115">
        <f>IF(QY35&gt;0,SUM($D$18:QX18),0)</f>
        <v>0</v>
      </c>
      <c r="QZ37" s="115">
        <f>IF(QZ35&gt;0,SUM($D$18:QY18),0)</f>
        <v>0</v>
      </c>
      <c r="RA37" s="115">
        <f>IF(RA35&gt;0,SUM($D$18:QZ18),0)</f>
        <v>0</v>
      </c>
      <c r="RB37" s="115">
        <f>IF(RB35&gt;0,SUM($D$18:RA18),0)</f>
        <v>0</v>
      </c>
      <c r="RC37" s="115">
        <f>IF(RC35&gt;0,SUM($D$18:RB18),0)</f>
        <v>0</v>
      </c>
      <c r="RD37" s="115">
        <f>IF(RD35&gt;0,SUM($D$18:RC18),0)</f>
        <v>0</v>
      </c>
      <c r="RE37" s="115">
        <f>IF(RE35&gt;0,SUM($D$18:RD18),0)</f>
        <v>0</v>
      </c>
      <c r="RF37" s="115">
        <f>IF(RF35&gt;0,SUM($D$18:RE18),0)</f>
        <v>0</v>
      </c>
      <c r="RG37" s="115">
        <f>IF(RG35&gt;0,SUM($D$18:RF18),0)</f>
        <v>0</v>
      </c>
      <c r="RH37" s="115">
        <f>IF(RH35&gt;0,SUM($D$18:RG18),0)</f>
        <v>0</v>
      </c>
      <c r="RI37" s="115">
        <f>IF(RI35&gt;0,SUM($D$18:RH18),0)</f>
        <v>0</v>
      </c>
      <c r="RJ37" s="115">
        <f>IF(RJ35&gt;0,SUM($D$18:RI18),0)</f>
        <v>0</v>
      </c>
      <c r="RK37" s="115">
        <f>IF(RK35&gt;0,SUM($D$18:RJ18),0)</f>
        <v>0</v>
      </c>
      <c r="RL37" s="115">
        <f>IF(RL35&gt;0,SUM($D$18:RK18),0)</f>
        <v>0</v>
      </c>
      <c r="RM37" s="115">
        <f>IF(RM35&gt;0,SUM($D$18:RL18),0)</f>
        <v>0</v>
      </c>
      <c r="RN37" s="115">
        <f>IF(RN35&gt;0,SUM($D$18:RM18),0)</f>
        <v>0</v>
      </c>
      <c r="RO37" s="115">
        <f>IF(RO35&gt;0,SUM($D$18:RN18),0)</f>
        <v>0</v>
      </c>
      <c r="RP37" s="115">
        <f>IF(RP35&gt;0,SUM($D$18:RO18),0)</f>
        <v>0</v>
      </c>
      <c r="RQ37" s="115">
        <f>IF(RQ35&gt;0,SUM($D$18:RP18),0)</f>
        <v>0</v>
      </c>
      <c r="RR37" s="115">
        <f>IF(RR35&gt;0,SUM($D$18:RQ18),0)</f>
        <v>0</v>
      </c>
      <c r="RS37" s="115">
        <f>IF(RS35&gt;0,SUM($D$18:RR18),0)</f>
        <v>0</v>
      </c>
      <c r="RT37" s="115">
        <f>IF(RT35&gt;0,SUM($D$18:RS18),0)</f>
        <v>0</v>
      </c>
      <c r="RU37" s="115">
        <f>IF(RU35&gt;0,SUM($D$18:RT18),0)</f>
        <v>0</v>
      </c>
      <c r="RV37" s="115">
        <f>IF(RV35&gt;0,SUM($D$18:RU18),0)</f>
        <v>0</v>
      </c>
      <c r="RW37" s="115">
        <f>IF(RW35&gt;0,SUM($D$18:RV18),0)</f>
        <v>0</v>
      </c>
      <c r="RX37" s="115">
        <f>IF(RX35&gt;0,SUM($D$18:RW18),0)</f>
        <v>0</v>
      </c>
      <c r="RY37" s="115">
        <f>IF(RY35&gt;0,SUM($D$18:RX18),0)</f>
        <v>0</v>
      </c>
      <c r="RZ37" s="115">
        <f>IF(RZ35&gt;0,SUM($D$18:RY18),0)</f>
        <v>0</v>
      </c>
      <c r="SA37" s="115">
        <f>IF(SA35&gt;0,SUM($D$18:RZ18),0)</f>
        <v>0</v>
      </c>
      <c r="SB37" s="115">
        <f>IF(SB35&gt;0,SUM($D$18:SA18),0)</f>
        <v>0</v>
      </c>
      <c r="SC37" s="115">
        <f>IF(SC35&gt;0,SUM($D$18:SB18),0)</f>
        <v>0</v>
      </c>
      <c r="SD37" s="115">
        <f>IF(SD35&gt;0,SUM($D$18:SC18),0)</f>
        <v>0</v>
      </c>
      <c r="SE37" s="115">
        <f>IF(SE35&gt;0,SUM($D$18:SD18),0)</f>
        <v>0</v>
      </c>
      <c r="SF37" s="115">
        <f>IF(SF35&gt;0,SUM($D$18:SE18),0)</f>
        <v>0</v>
      </c>
      <c r="SG37" s="115">
        <f>IF(SG35&gt;0,SUM($D$18:SF18),0)</f>
        <v>0</v>
      </c>
      <c r="SH37" s="115">
        <f>IF(SH35&gt;0,SUM($D$18:SG18),0)</f>
        <v>0</v>
      </c>
      <c r="SI37" s="115">
        <f>IF(SI35&gt;0,SUM($D$18:SH18),0)</f>
        <v>0</v>
      </c>
      <c r="SJ37" s="115">
        <f>IF(SJ35&gt;0,SUM($D$18:SI18),0)</f>
        <v>0</v>
      </c>
      <c r="SK37" s="115">
        <f>IF(SK35&gt;0,SUM($D$18:SJ18),0)</f>
        <v>0</v>
      </c>
      <c r="SL37" s="115">
        <f>IF(SL35&gt;0,SUM($D$18:SK18),0)</f>
        <v>0</v>
      </c>
      <c r="SM37" s="115">
        <f>IF(SM35&gt;0,SUM($D$18:SL18),0)</f>
        <v>0</v>
      </c>
      <c r="SN37" s="115">
        <f>IF(SN35&gt;0,SUM($D$18:SM18),0)</f>
        <v>0</v>
      </c>
      <c r="SO37" s="115">
        <f>IF(SO35&gt;0,SUM($D$18:SN18),0)</f>
        <v>0</v>
      </c>
      <c r="SP37" s="115">
        <f>IF(SP35&gt;0,SUM($D$18:SO18),0)</f>
        <v>0</v>
      </c>
      <c r="SQ37" s="115">
        <f>IF(SQ35&gt;0,SUM($D$18:SP18),0)</f>
        <v>0</v>
      </c>
      <c r="SR37" s="115">
        <f>IF(SR35&gt;0,SUM($D$18:SQ18),0)</f>
        <v>0</v>
      </c>
      <c r="SS37" s="115">
        <f>IF(SS35&gt;0,SUM($D$18:SR18),0)</f>
        <v>0</v>
      </c>
      <c r="ST37" s="115">
        <f>IF(ST35&gt;0,SUM($D$18:SS18),0)</f>
        <v>0</v>
      </c>
      <c r="SU37" s="115">
        <f>IF(SU35&gt;0,SUM($D$18:ST18),0)</f>
        <v>0</v>
      </c>
      <c r="SV37" s="115">
        <f>IF(SV35&gt;0,SUM($D$18:SU18),0)</f>
        <v>0</v>
      </c>
      <c r="SW37" s="115">
        <f>IF(SW35&gt;0,SUM($D$18:SV18),0)</f>
        <v>0</v>
      </c>
      <c r="SX37" s="115">
        <f>IF(SX35&gt;0,SUM($D$18:SW18),0)</f>
        <v>0</v>
      </c>
      <c r="SY37" s="115">
        <f>IF(SY35&gt;0,SUM($D$18:SX18),0)</f>
        <v>0</v>
      </c>
      <c r="SZ37" s="115">
        <f>IF(SZ35&gt;0,SUM($D$18:SY18),0)</f>
        <v>0</v>
      </c>
      <c r="TA37" s="115">
        <f>IF(TA35&gt;0,SUM($D$18:SZ18),0)</f>
        <v>0</v>
      </c>
      <c r="TB37" s="115">
        <f>IF(TB35&gt;0,SUM($D$18:TA18),0)</f>
        <v>0</v>
      </c>
      <c r="TC37" s="115">
        <f>IF(TC35&gt;0,SUM($D$18:TB18),0)</f>
        <v>0</v>
      </c>
      <c r="TD37" s="115">
        <f>IF(TD35&gt;0,SUM($D$18:TC18),0)</f>
        <v>0</v>
      </c>
      <c r="TE37" s="115">
        <f>IF(TE35&gt;0,SUM($D$18:TD18),0)</f>
        <v>0</v>
      </c>
      <c r="TF37" s="115">
        <f>IF(TF35&gt;0,SUM($D$18:TE18),0)</f>
        <v>0</v>
      </c>
      <c r="TG37" s="115">
        <f>IF(TG35&gt;0,SUM($D$18:TF18),0)</f>
        <v>0</v>
      </c>
      <c r="TH37" s="115">
        <f>IF(TH35&gt;0,SUM($D$18:TG18),0)</f>
        <v>0</v>
      </c>
      <c r="TI37" s="115">
        <f>IF(TI35&gt;0,SUM($D$18:TH18),0)</f>
        <v>0</v>
      </c>
      <c r="TJ37" s="115">
        <f>IF(TJ35&gt;0,SUM($D$18:TI18),0)</f>
        <v>0</v>
      </c>
      <c r="TK37" s="115">
        <f>IF(TK35&gt;0,SUM($D$18:TJ18),0)</f>
        <v>0</v>
      </c>
      <c r="TL37" s="115">
        <f>IF(TL35&gt;0,SUM($D$18:TK18),0)</f>
        <v>0</v>
      </c>
      <c r="TM37" s="115">
        <f>IF(TM35&gt;0,SUM($D$18:TL18),0)</f>
        <v>0</v>
      </c>
      <c r="TN37" s="115">
        <f>IF(TN35&gt;0,SUM($D$18:TM18),0)</f>
        <v>0</v>
      </c>
      <c r="TO37" s="115">
        <f>IF(TO35&gt;0,SUM($D$18:TN18),0)</f>
        <v>0</v>
      </c>
      <c r="TP37" s="115">
        <f>IF(TP35&gt;0,SUM($D$18:TO18),0)</f>
        <v>0</v>
      </c>
      <c r="TQ37" s="115">
        <f>IF(TQ35&gt;0,SUM($D$18:TP18),0)</f>
        <v>0</v>
      </c>
      <c r="TR37" s="115">
        <f>IF(TR35&gt;0,SUM($D$18:TQ18),0)</f>
        <v>0</v>
      </c>
      <c r="TS37" s="115">
        <f>IF(TS35&gt;0,SUM($D$18:TR18),0)</f>
        <v>0</v>
      </c>
      <c r="TT37" s="115">
        <f>IF(TT35&gt;0,SUM($D$18:TS18),0)</f>
        <v>0</v>
      </c>
      <c r="TU37" s="115">
        <f>IF(TU35&gt;0,SUM($D$18:TT18),0)</f>
        <v>0</v>
      </c>
      <c r="TV37" s="115">
        <f>IF(TV35&gt;0,SUM($D$18:TU18),0)</f>
        <v>0</v>
      </c>
      <c r="TW37" s="115">
        <f>IF(TW35&gt;0,SUM($D$18:TV18),0)</f>
        <v>0</v>
      </c>
      <c r="TX37" s="115">
        <f>IF(TX35&gt;0,SUM($D$18:TW18),0)</f>
        <v>0</v>
      </c>
      <c r="TY37" s="115">
        <f>IF(TY35&gt;0,SUM($D$18:TX18),0)</f>
        <v>0</v>
      </c>
      <c r="TZ37" s="115">
        <f>IF(TZ35&gt;0,SUM($D$18:TY18),0)</f>
        <v>0</v>
      </c>
      <c r="UA37" s="115">
        <f>IF(UA35&gt;0,SUM($D$18:TZ18),0)</f>
        <v>0</v>
      </c>
      <c r="UB37" s="115">
        <f>IF(UB35&gt;0,SUM($D$18:UA18),0)</f>
        <v>0</v>
      </c>
      <c r="UC37" s="115">
        <f>IF(UC35&gt;0,SUM($D$18:UB18),0)</f>
        <v>0</v>
      </c>
      <c r="UD37" s="115">
        <f>IF(UD35&gt;0,SUM($D$18:UC18),0)</f>
        <v>0</v>
      </c>
      <c r="UE37" s="115">
        <f>IF(UE35&gt;0,SUM($D$18:UD18),0)</f>
        <v>0</v>
      </c>
      <c r="UF37" s="115">
        <f>IF(UF35&gt;0,SUM($D$18:UE18),0)</f>
        <v>0</v>
      </c>
      <c r="UG37" s="115">
        <f>IF(UG35&gt;0,SUM($D$18:UF18),0)</f>
        <v>0</v>
      </c>
      <c r="UH37" s="115">
        <f>IF(UH35&gt;0,SUM($D$18:UG18),0)</f>
        <v>0</v>
      </c>
      <c r="UI37" s="115">
        <f>IF(UI35&gt;0,SUM($D$18:UH18),0)</f>
        <v>0</v>
      </c>
      <c r="UJ37" s="115">
        <f>IF(UJ35&gt;0,SUM($D$18:UI18),0)</f>
        <v>0</v>
      </c>
      <c r="UK37" s="115">
        <f>IF(UK35&gt;0,SUM($D$18:UJ18),0)</f>
        <v>0</v>
      </c>
      <c r="UL37" s="115">
        <f>IF(UL35&gt;0,SUM($D$18:UK18),0)</f>
        <v>0</v>
      </c>
      <c r="UM37" s="115">
        <f>IF(UM35&gt;0,SUM($D$18:UL18),0)</f>
        <v>0</v>
      </c>
      <c r="UN37" s="115">
        <f>IF(UN35&gt;0,SUM($D$18:UM18),0)</f>
        <v>0</v>
      </c>
      <c r="UO37" s="115">
        <f>IF(UO35&gt;0,SUM($D$18:UN18),0)</f>
        <v>0</v>
      </c>
      <c r="UP37" s="115">
        <f>IF(UP35&gt;0,SUM($D$18:UO18),0)</f>
        <v>0</v>
      </c>
      <c r="UQ37" s="115">
        <f>IF(UQ35&gt;0,SUM($D$18:UP18),0)</f>
        <v>0</v>
      </c>
      <c r="UR37" s="115">
        <f>IF(UR35&gt;0,SUM($D$18:UQ18),0)</f>
        <v>0</v>
      </c>
      <c r="US37" s="115">
        <f>IF(US35&gt;0,SUM($D$18:UR18),0)</f>
        <v>0</v>
      </c>
      <c r="UT37" s="115">
        <f>IF(UT35&gt;0,SUM($D$18:US18),0)</f>
        <v>0</v>
      </c>
      <c r="UU37" s="115">
        <f>IF(UU35&gt;0,SUM($D$18:UT18),0)</f>
        <v>0</v>
      </c>
      <c r="UV37" s="115">
        <f>IF(UV35&gt;0,SUM($D$18:UU18),0)</f>
        <v>0</v>
      </c>
      <c r="UW37" s="115">
        <f>IF(UW35&gt;0,SUM($D$18:UV18),0)</f>
        <v>0</v>
      </c>
      <c r="UX37" s="115">
        <f>IF(UX35&gt;0,SUM($D$18:UW18),0)</f>
        <v>0</v>
      </c>
      <c r="UY37" s="115">
        <f>IF(UY35&gt;0,SUM($D$18:UX18),0)</f>
        <v>0</v>
      </c>
      <c r="UZ37" s="115">
        <f>IF(UZ35&gt;0,SUM($D$18:UY18),0)</f>
        <v>0</v>
      </c>
      <c r="VA37" s="115">
        <f>IF(VA35&gt;0,SUM($D$18:UZ18),0)</f>
        <v>0</v>
      </c>
      <c r="VB37" s="115">
        <f>IF(VB35&gt;0,SUM($D$18:VA18),0)</f>
        <v>0</v>
      </c>
      <c r="VC37" s="115">
        <f>IF(VC35&gt;0,SUM($D$18:VB18),0)</f>
        <v>0</v>
      </c>
      <c r="VD37" s="115">
        <f>IF(VD35&gt;0,SUM($D$18:VC18),0)</f>
        <v>0</v>
      </c>
      <c r="VE37" s="115">
        <f>IF(VE35&gt;0,SUM($D$18:VD18),0)</f>
        <v>0</v>
      </c>
      <c r="VF37" s="115">
        <f>IF(VF35&gt;0,SUM($D$18:VE18),0)</f>
        <v>0</v>
      </c>
      <c r="VG37" s="115">
        <f>IF(VG35&gt;0,SUM($D$18:VF18),0)</f>
        <v>0</v>
      </c>
      <c r="VH37" s="115">
        <f>IF(VH35&gt;0,SUM($D$18:VG18),0)</f>
        <v>0</v>
      </c>
      <c r="VI37" s="115">
        <f>IF(VI35&gt;0,SUM($D$18:VH18),0)</f>
        <v>0</v>
      </c>
      <c r="VJ37" s="115">
        <f>IF(VJ35&gt;0,SUM($D$18:VI18),0)</f>
        <v>0</v>
      </c>
      <c r="VK37" s="115">
        <f>IF(VK35&gt;0,SUM($D$18:VJ18),0)</f>
        <v>0</v>
      </c>
      <c r="VL37" s="115">
        <f>IF(VL35&gt;0,SUM($D$18:VK18),0)</f>
        <v>0</v>
      </c>
      <c r="VM37" s="115">
        <f>IF(VM35&gt;0,SUM($D$18:VL18),0)</f>
        <v>0</v>
      </c>
      <c r="VN37" s="115">
        <f>IF(VN35&gt;0,SUM($D$18:VM18),0)</f>
        <v>0</v>
      </c>
      <c r="VO37" s="115">
        <f>IF(VO35&gt;0,SUM($D$18:VN18),0)</f>
        <v>0</v>
      </c>
      <c r="VP37" s="115">
        <f>IF(VP35&gt;0,SUM($D$18:VO18),0)</f>
        <v>0</v>
      </c>
      <c r="VQ37" s="115">
        <f>IF(VQ35&gt;0,SUM($D$18:VP18),0)</f>
        <v>0</v>
      </c>
      <c r="VR37" s="115">
        <f>IF(VR35&gt;0,SUM($D$18:VQ18),0)</f>
        <v>0</v>
      </c>
      <c r="VS37" s="115">
        <f>IF(VS35&gt;0,SUM($D$18:VR18),0)</f>
        <v>0</v>
      </c>
      <c r="VT37" s="115">
        <f>IF(VT35&gt;0,SUM($D$18:VS18),0)</f>
        <v>0</v>
      </c>
      <c r="VU37" s="115">
        <f>IF(VU35&gt;0,SUM($D$18:VT18),0)</f>
        <v>0</v>
      </c>
      <c r="VV37" s="115">
        <f>IF(VV35&gt;0,SUM($D$18:VU18),0)</f>
        <v>0</v>
      </c>
      <c r="VW37" s="115">
        <f>IF(VW35&gt;0,SUM($D$18:VV18),0)</f>
        <v>0</v>
      </c>
      <c r="VX37" s="115">
        <f>IF(VX35&gt;0,SUM($D$18:VW18),0)</f>
        <v>0</v>
      </c>
      <c r="VY37" s="115">
        <f>IF(VY35&gt;0,SUM($D$18:VX18),0)</f>
        <v>0</v>
      </c>
      <c r="VZ37" s="115">
        <f>IF(VZ35&gt;0,SUM($D$18:VY18),0)</f>
        <v>0</v>
      </c>
      <c r="WA37" s="115">
        <f>IF(WA35&gt;0,SUM($D$18:VZ18),0)</f>
        <v>0</v>
      </c>
      <c r="WB37" s="115">
        <f>IF(WB35&gt;0,SUM($D$18:WA18),0)</f>
        <v>0</v>
      </c>
      <c r="WC37" s="115">
        <f>IF(WC35&gt;0,SUM($D$18:WB18),0)</f>
        <v>0</v>
      </c>
      <c r="WD37" s="115">
        <f>IF(WD35&gt;0,SUM($D$18:WC18),0)</f>
        <v>0</v>
      </c>
      <c r="WE37" s="115">
        <f>IF(WE35&gt;0,SUM($D$18:WD18),0)</f>
        <v>0</v>
      </c>
      <c r="WF37" s="115">
        <f>IF(WF35&gt;0,SUM($D$18:WE18),0)</f>
        <v>0</v>
      </c>
      <c r="WG37" s="115">
        <f>IF(WG35&gt;0,SUM($D$18:WF18),0)</f>
        <v>0</v>
      </c>
      <c r="WH37" s="115">
        <f>IF(WH35&gt;0,SUM($D$18:WG18),0)</f>
        <v>0</v>
      </c>
      <c r="WI37" s="115">
        <f>IF(WI35&gt;0,SUM($D$18:WH18),0)</f>
        <v>0</v>
      </c>
      <c r="WJ37" s="115">
        <f>IF(WJ35&gt;0,SUM($D$18:WI18),0)</f>
        <v>0</v>
      </c>
      <c r="WK37" s="115">
        <f>IF(WK35&gt;0,SUM($D$18:WJ18),0)</f>
        <v>0</v>
      </c>
      <c r="WL37" s="115">
        <f>IF(WL35&gt;0,SUM($D$18:WK18),0)</f>
        <v>0</v>
      </c>
      <c r="WM37" s="115">
        <f>IF(WM35&gt;0,SUM($D$18:WL18),0)</f>
        <v>0</v>
      </c>
      <c r="WN37" s="115">
        <f>IF(WN35&gt;0,SUM($D$18:WM18),0)</f>
        <v>0</v>
      </c>
      <c r="WO37" s="115">
        <f>IF(WO35&gt;0,SUM($D$18:WN18),0)</f>
        <v>0</v>
      </c>
      <c r="WP37" s="115">
        <f>IF(WP35&gt;0,SUM($D$18:WO18),0)</f>
        <v>0</v>
      </c>
      <c r="WQ37" s="115">
        <f>IF(WQ35&gt;0,SUM($D$18:WP18),0)</f>
        <v>0</v>
      </c>
      <c r="WR37" s="115">
        <f>IF(WR35&gt;0,SUM($D$18:WQ18),0)</f>
        <v>0</v>
      </c>
      <c r="WS37" s="115">
        <f>IF(WS35&gt;0,SUM($D$18:WR18),0)</f>
        <v>0</v>
      </c>
      <c r="WT37" s="115">
        <f>IF(WT35&gt;0,SUM($D$18:WS18),0)</f>
        <v>0</v>
      </c>
      <c r="WU37" s="115">
        <f>IF(WU35&gt;0,SUM($D$18:WT18),0)</f>
        <v>0</v>
      </c>
      <c r="WV37" s="115">
        <f>IF(WV35&gt;0,SUM($D$18:WU18),0)</f>
        <v>0</v>
      </c>
      <c r="WW37" s="115">
        <f>IF(WW35&gt;0,SUM($D$18:WV18),0)</f>
        <v>0</v>
      </c>
      <c r="WX37" s="115">
        <f>IF(WX35&gt;0,SUM($D$18:WW18),0)</f>
        <v>0</v>
      </c>
      <c r="WY37" s="115">
        <f>IF(WY35&gt;0,SUM($D$18:WX18),0)</f>
        <v>0</v>
      </c>
      <c r="WZ37" s="115">
        <f>IF(WZ35&gt;0,SUM($D$18:WY18),0)</f>
        <v>0</v>
      </c>
      <c r="XA37" s="115">
        <f>IF(XA35&gt;0,SUM($D$18:WZ18),0)</f>
        <v>0</v>
      </c>
      <c r="XB37" s="115">
        <f>IF(XB35&gt;0,SUM($D$18:XA18),0)</f>
        <v>0</v>
      </c>
      <c r="XC37" s="115">
        <f>IF(XC35&gt;0,SUM($D$18:XB18),0)</f>
        <v>0</v>
      </c>
      <c r="XD37" s="115">
        <f>IF(XD35&gt;0,SUM($D$18:XC18),0)</f>
        <v>0</v>
      </c>
      <c r="XE37" s="115">
        <f>IF(XE35&gt;0,SUM($D$18:XD18),0)</f>
        <v>0</v>
      </c>
      <c r="XF37" s="115">
        <f>IF(XF35&gt;0,SUM($D$18:XE18),0)</f>
        <v>0</v>
      </c>
      <c r="XG37" s="115">
        <f>IF(XG35&gt;0,SUM($D$18:XF18),0)</f>
        <v>0</v>
      </c>
      <c r="XH37" s="115">
        <f>IF(XH35&gt;0,SUM($D$18:XG18),0)</f>
        <v>0</v>
      </c>
      <c r="XI37" s="115">
        <f>IF(XI35&gt;0,SUM($D$18:XH18),0)</f>
        <v>0</v>
      </c>
      <c r="XJ37" s="115">
        <f>IF(XJ35&gt;0,SUM($D$18:XI18),0)</f>
        <v>0</v>
      </c>
      <c r="XK37" s="115">
        <f>IF(XK35&gt;0,SUM($D$18:XJ18),0)</f>
        <v>0</v>
      </c>
      <c r="XL37" s="115">
        <f>IF(XL35&gt;0,SUM($D$18:XK18),0)</f>
        <v>0</v>
      </c>
      <c r="XM37" s="115">
        <f>IF(XM35&gt;0,SUM($D$18:XL18),0)</f>
        <v>0</v>
      </c>
      <c r="XN37" s="115">
        <f>IF(XN35&gt;0,SUM($D$18:XM18),0)</f>
        <v>0</v>
      </c>
      <c r="XO37" s="115">
        <f>IF(XO35&gt;0,SUM($D$18:XN18),0)</f>
        <v>0</v>
      </c>
      <c r="XP37" s="115">
        <f>IF(XP35&gt;0,SUM($D$18:XO18),0)</f>
        <v>0</v>
      </c>
      <c r="XQ37" s="115">
        <f>IF(XQ35&gt;0,SUM($D$18:XP18),0)</f>
        <v>49</v>
      </c>
      <c r="XR37" s="115">
        <f>IF(XR35&gt;0,SUM($D$18:XQ18),0)</f>
        <v>0</v>
      </c>
      <c r="XS37" s="115">
        <f>IF(XS35&gt;0,SUM($D$18:XR18),0)</f>
        <v>0</v>
      </c>
      <c r="XT37" s="115">
        <f>IF(XT35&gt;0,SUM($D$18:XS18),0)</f>
        <v>0</v>
      </c>
      <c r="XU37" s="115">
        <f>IF(XU35&gt;0,SUM($D$18:XT18),0)</f>
        <v>0</v>
      </c>
      <c r="XV37" s="115">
        <f>IF(XV35&gt;0,SUM($D$18:XU18),0)</f>
        <v>0</v>
      </c>
      <c r="XW37" s="115">
        <f>IF(XW35&gt;0,SUM($D$18:XV18),0)</f>
        <v>0</v>
      </c>
      <c r="XX37" s="115">
        <f>IF(XX35&gt;0,SUM($D$18:XW18),0)</f>
        <v>0</v>
      </c>
      <c r="XY37" s="115">
        <f>IF(XY35&gt;0,SUM($D$18:XX18),0)</f>
        <v>0</v>
      </c>
      <c r="XZ37" s="115">
        <f>IF(XZ35&gt;0,SUM($D$18:XY18),0)</f>
        <v>0</v>
      </c>
      <c r="YA37" s="115">
        <f>IF(YA35&gt;0,SUM($D$18:XZ18),0)</f>
        <v>0</v>
      </c>
      <c r="YB37" s="115">
        <f>IF(YB35&gt;0,SUM($D$18:YA18),0)</f>
        <v>0</v>
      </c>
      <c r="YC37" s="115">
        <f>IF(YC35&gt;0,SUM($D$18:YB18),0)</f>
        <v>0</v>
      </c>
      <c r="YD37" s="115">
        <f>IF(YD35&gt;0,SUM($D$18:YC18),0)</f>
        <v>0</v>
      </c>
      <c r="YE37" s="115">
        <f>IF(YE35&gt;0,SUM($D$18:YD18),0)</f>
        <v>0</v>
      </c>
      <c r="YF37" s="115">
        <f>IF(YF35&gt;0,SUM($D$18:YE18),0)</f>
        <v>0</v>
      </c>
      <c r="YG37" s="115">
        <f>IF(YG35&gt;0,SUM($D$18:YF18),0)</f>
        <v>0</v>
      </c>
      <c r="YH37" s="115">
        <f>IF(YH35&gt;0,SUM($D$18:YG18),0)</f>
        <v>0</v>
      </c>
      <c r="YI37" s="115">
        <f>IF(YI35&gt;0,SUM($D$18:YH18),0)</f>
        <v>0</v>
      </c>
      <c r="YJ37" s="115">
        <f>IF(YJ35&gt;0,SUM($D$18:YI18),0)</f>
        <v>0</v>
      </c>
      <c r="YK37" s="115">
        <f>IF(YK35&gt;0,SUM($D$18:YJ18),0)</f>
        <v>0</v>
      </c>
      <c r="YL37" s="115">
        <f>IF(YL35&gt;0,SUM($D$18:YK18),0)</f>
        <v>0</v>
      </c>
      <c r="YM37" s="115">
        <f>IF(YM35&gt;0,SUM($D$18:YL18),0)</f>
        <v>0</v>
      </c>
      <c r="YN37" s="115">
        <f>IF(YN35&gt;0,SUM($D$18:YM18),0)</f>
        <v>0</v>
      </c>
      <c r="YO37" s="115">
        <f>IF(YO35&gt;0,SUM($D$18:YN18),0)</f>
        <v>0</v>
      </c>
      <c r="YP37" s="115">
        <f>IF(YP35&gt;0,SUM($D$18:YO18),0)</f>
        <v>0</v>
      </c>
      <c r="YQ37" s="115">
        <f>IF(YQ35&gt;0,SUM($D$18:YP18),0)</f>
        <v>0</v>
      </c>
      <c r="YR37" s="115">
        <f>IF(YR35&gt;0,SUM($D$18:YQ18),0)</f>
        <v>0</v>
      </c>
      <c r="YS37" s="115">
        <f>IF(YS35&gt;0,SUM($D$18:YR18),0)</f>
        <v>0</v>
      </c>
      <c r="YT37" s="115">
        <f>IF(YT35&gt;0,SUM($D$18:YS18),0)</f>
        <v>0</v>
      </c>
      <c r="YU37" s="115">
        <f>IF(YU35&gt;0,SUM($D$18:YT18),0)</f>
        <v>0</v>
      </c>
      <c r="YV37" s="115">
        <f>IF(YV35&gt;0,SUM($D$18:YU18),0)</f>
        <v>0</v>
      </c>
      <c r="YW37" s="115">
        <f>IF(YW35&gt;0,SUM($D$18:YV18),0)</f>
        <v>0</v>
      </c>
      <c r="YX37" s="115">
        <f>IF(YX35&gt;0,SUM($D$18:YW18),0)</f>
        <v>0</v>
      </c>
      <c r="YY37" s="115">
        <f>IF(YY35&gt;0,SUM($D$18:YX18),0)</f>
        <v>0</v>
      </c>
      <c r="YZ37" s="115">
        <f>IF(YZ35&gt;0,SUM($D$18:YY18),0)</f>
        <v>0</v>
      </c>
      <c r="ZA37" s="115">
        <f>IF(ZA35&gt;0,SUM($D$18:YZ18),0)</f>
        <v>0</v>
      </c>
      <c r="ZB37" s="115">
        <f>IF(ZB35&gt;0,SUM($D$18:ZA18),0)</f>
        <v>0</v>
      </c>
      <c r="ZC37" s="115">
        <f>IF(ZC35&gt;0,SUM($D$18:ZB18),0)</f>
        <v>0</v>
      </c>
      <c r="ZD37" s="115">
        <f>IF(ZD35&gt;0,SUM($D$18:ZC18),0)</f>
        <v>0</v>
      </c>
      <c r="ZE37" s="115">
        <f>IF(ZE35&gt;0,SUM($D$18:ZD18),0)</f>
        <v>0</v>
      </c>
      <c r="ZF37" s="115">
        <f>IF(ZF35&gt;0,SUM($D$18:ZE18),0)</f>
        <v>0</v>
      </c>
      <c r="ZG37" s="115">
        <f>IF(ZG35&gt;0,SUM($D$18:ZF18),0)</f>
        <v>0</v>
      </c>
      <c r="ZH37" s="115">
        <f>IF(ZH35&gt;0,SUM($D$18:ZG18),0)</f>
        <v>0</v>
      </c>
      <c r="ZI37" s="115">
        <f>IF(ZI35&gt;0,SUM($D$18:ZH18),0)</f>
        <v>0</v>
      </c>
      <c r="ZJ37" s="115">
        <f>IF(ZJ35&gt;0,SUM($D$18:ZI18),0)</f>
        <v>0</v>
      </c>
      <c r="ZK37" s="115">
        <f>IF(ZK35&gt;0,SUM($D$18:ZJ18),0)</f>
        <v>0</v>
      </c>
      <c r="ZL37" s="115">
        <f>IF(ZL35&gt;0,SUM($D$18:ZK18),0)</f>
        <v>0</v>
      </c>
      <c r="ZM37" s="115">
        <f>IF(ZM35&gt;0,SUM($D$18:ZL18),0)</f>
        <v>0</v>
      </c>
      <c r="ZN37" s="115">
        <f>IF(ZN35&gt;0,SUM($D$18:ZM18),0)</f>
        <v>0</v>
      </c>
      <c r="ZO37" s="115">
        <f>IF(ZO35&gt;0,SUM($D$18:ZN18),0)</f>
        <v>0</v>
      </c>
      <c r="ZP37" s="115">
        <f>IF(ZP35&gt;0,SUM($D$18:ZO18),0)</f>
        <v>0</v>
      </c>
      <c r="ZQ37" s="115">
        <f>IF(ZQ35&gt;0,SUM($D$18:ZP18),0)</f>
        <v>0</v>
      </c>
      <c r="ZR37" s="115">
        <f>IF(ZR35&gt;0,SUM($D$18:ZQ18),0)</f>
        <v>0</v>
      </c>
      <c r="ZS37" s="115">
        <f>IF(ZS35&gt;0,SUM($D$18:ZR18),0)</f>
        <v>0</v>
      </c>
      <c r="ZT37" s="115">
        <f>IF(ZT35&gt;0,SUM($D$18:ZS18),0)</f>
        <v>0</v>
      </c>
      <c r="ZU37" s="115">
        <f>IF(ZU35&gt;0,SUM($D$18:ZT18),0)</f>
        <v>0</v>
      </c>
      <c r="ZV37" s="115">
        <f>IF(ZV35&gt;0,SUM($D$18:ZU18),0)</f>
        <v>0</v>
      </c>
      <c r="ZW37" s="115">
        <f>IF(ZW35&gt;0,SUM($D$18:ZV18),0)</f>
        <v>0</v>
      </c>
      <c r="ZX37" s="115">
        <f>IF(ZX35&gt;0,SUM($D$18:ZW18),0)</f>
        <v>0</v>
      </c>
      <c r="ZY37" s="115">
        <f>IF(ZY35&gt;0,SUM($D$18:ZX18),0)</f>
        <v>0</v>
      </c>
      <c r="ZZ37" s="115">
        <f>IF(ZZ35&gt;0,SUM($D$18:ZY18),0)</f>
        <v>0</v>
      </c>
      <c r="AAA37" s="115">
        <f>IF(AAA35&gt;0,SUM($D$18:ZZ18),0)</f>
        <v>0</v>
      </c>
      <c r="AAB37" s="115">
        <f>IF(AAB35&gt;0,SUM($D$18:AAA18),0)</f>
        <v>0</v>
      </c>
      <c r="AAC37" s="115">
        <f>IF(AAC35&gt;0,SUM($D$18:AAB18),0)</f>
        <v>0</v>
      </c>
      <c r="AAD37" s="115">
        <f>IF(AAD35&gt;0,SUM($D$18:AAC18),0)</f>
        <v>0</v>
      </c>
      <c r="AAE37" s="115">
        <f>IF(AAE35&gt;0,SUM($D$18:AAD18),0)</f>
        <v>0</v>
      </c>
      <c r="AAF37" s="115">
        <f>IF(AAF35&gt;0,SUM($D$18:AAE18),0)</f>
        <v>0</v>
      </c>
      <c r="AAG37" s="115">
        <f>IF(AAG35&gt;0,SUM($D$18:AAF18),0)</f>
        <v>0</v>
      </c>
      <c r="AAH37" s="115">
        <f>IF(AAH35&gt;0,SUM($D$18:AAG18),0)</f>
        <v>0</v>
      </c>
      <c r="AAI37" s="115">
        <f>IF(AAI35&gt;0,SUM($D$18:AAH18),0)</f>
        <v>0</v>
      </c>
      <c r="AAJ37" s="115">
        <f>IF(AAJ35&gt;0,SUM($D$18:AAI18),0)</f>
        <v>0</v>
      </c>
      <c r="AAK37" s="115">
        <f>IF(AAK35&gt;0,SUM($D$18:AAJ18),0)</f>
        <v>0</v>
      </c>
      <c r="AAL37" s="115">
        <f>IF(AAL35&gt;0,SUM($D$18:AAK18),0)</f>
        <v>0</v>
      </c>
      <c r="AAM37" s="115">
        <f>IF(AAM35&gt;0,SUM($D$18:AAL18),0)</f>
        <v>0</v>
      </c>
      <c r="AAN37" s="115">
        <f>IF(AAN35&gt;0,SUM($D$18:AAM18),0)</f>
        <v>0</v>
      </c>
      <c r="AAO37" s="115">
        <f>IF(AAO35&gt;0,SUM($D$18:AAN18),0)</f>
        <v>0</v>
      </c>
      <c r="AAP37" s="115">
        <f>IF(AAP35&gt;0,SUM($D$18:AAO18),0)</f>
        <v>0</v>
      </c>
      <c r="AAQ37" s="115">
        <f>IF(AAQ35&gt;0,SUM($D$18:AAP18),0)</f>
        <v>0</v>
      </c>
      <c r="AAR37" s="115">
        <f>IF(AAR35&gt;0,SUM($D$18:AAQ18),0)</f>
        <v>0</v>
      </c>
      <c r="AAS37" s="115">
        <f>IF(AAS35&gt;0,SUM($D$18:AAR18),0)</f>
        <v>0</v>
      </c>
      <c r="AAT37" s="115">
        <f>IF(AAT35&gt;0,SUM($D$18:AAS18),0)</f>
        <v>0</v>
      </c>
      <c r="AAU37" s="115">
        <f>IF(AAU35&gt;0,SUM($D$18:AAT18),0)</f>
        <v>0</v>
      </c>
      <c r="AAV37" s="115">
        <f>IF(AAV35&gt;0,SUM($D$18:AAU18),0)</f>
        <v>0</v>
      </c>
      <c r="AAW37" s="115">
        <f>IF(AAW35&gt;0,SUM($D$18:AAV18),0)</f>
        <v>0</v>
      </c>
      <c r="AAX37" s="115">
        <f>IF(AAX35&gt;0,SUM($D$18:AAW18),0)</f>
        <v>0</v>
      </c>
      <c r="AAY37" s="115">
        <f>IF(AAY35&gt;0,SUM($D$18:AAX18),0)</f>
        <v>0</v>
      </c>
      <c r="AAZ37" s="115">
        <f>IF(AAZ35&gt;0,SUM($D$18:AAY18),0)</f>
        <v>0</v>
      </c>
      <c r="ABA37" s="115">
        <f>IF(ABA35&gt;0,SUM($D$18:AAZ18),0)</f>
        <v>0</v>
      </c>
      <c r="ABB37" s="115">
        <f>IF(ABB35&gt;0,SUM($D$18:ABA18),0)</f>
        <v>0</v>
      </c>
      <c r="ABC37" s="115">
        <f>IF(ABC35&gt;0,SUM($D$18:ABB18),0)</f>
        <v>0</v>
      </c>
      <c r="ABD37" s="115">
        <f>IF(ABD35&gt;0,SUM($D$18:ABC18),0)</f>
        <v>0</v>
      </c>
      <c r="ABE37" s="115">
        <f>IF(ABE35&gt;0,SUM($D$18:ABD18),0)</f>
        <v>0</v>
      </c>
      <c r="ABF37" s="115">
        <f>IF(ABF35&gt;0,SUM($D$18:ABE18),0)</f>
        <v>0</v>
      </c>
      <c r="ABG37" s="115">
        <f>IF(ABG35&gt;0,SUM($D$18:ABF18),0)</f>
        <v>0</v>
      </c>
      <c r="ABH37" s="115">
        <f>IF(ABH35&gt;0,SUM($D$18:ABG18),0)</f>
        <v>0</v>
      </c>
      <c r="ABI37" s="115">
        <f>IF(ABI35&gt;0,SUM($D$18:ABH18),0)</f>
        <v>0</v>
      </c>
      <c r="ABJ37" s="115">
        <f>IF(ABJ35&gt;0,SUM($D$18:ABI18),0)</f>
        <v>0</v>
      </c>
      <c r="ABK37" s="115">
        <f>IF(ABK35&gt;0,SUM($D$18:ABJ18),0)</f>
        <v>0</v>
      </c>
      <c r="ABL37" s="115">
        <f>IF(ABL35&gt;0,SUM($D$18:ABK18),0)</f>
        <v>0</v>
      </c>
      <c r="ABM37" s="115">
        <f>IF(ABM35&gt;0,SUM($D$18:ABL18),0)</f>
        <v>0</v>
      </c>
      <c r="ABN37" s="115">
        <f>IF(ABN35&gt;0,SUM($D$18:ABM18),0)</f>
        <v>0</v>
      </c>
      <c r="ABO37" s="115">
        <f>IF(ABO35&gt;0,SUM($D$18:ABN18),0)</f>
        <v>0</v>
      </c>
      <c r="ABP37" s="115">
        <f>IF(ABP35&gt;0,SUM($D$18:ABO18),0)</f>
        <v>0</v>
      </c>
      <c r="ABQ37" s="115">
        <f>IF(ABQ35&gt;0,SUM($D$18:ABP18),0)</f>
        <v>0</v>
      </c>
      <c r="ABR37" s="115">
        <f>IF(ABR35&gt;0,SUM($D$18:ABQ18),0)</f>
        <v>0</v>
      </c>
      <c r="ABS37" s="115">
        <f>IF(ABS35&gt;0,SUM($D$18:ABR18),0)</f>
        <v>0</v>
      </c>
      <c r="ABT37" s="115">
        <f>IF(ABT35&gt;0,SUM($D$18:ABS18),0)</f>
        <v>0</v>
      </c>
      <c r="ABU37" s="115">
        <f>IF(ABU35&gt;0,SUM($D$18:ABT18),0)</f>
        <v>0</v>
      </c>
      <c r="ABV37" s="115">
        <f>IF(ABV35&gt;0,SUM($D$18:ABU18),0)</f>
        <v>0</v>
      </c>
      <c r="ABW37" s="115">
        <f>IF(ABW35&gt;0,SUM($D$18:ABV18),0)</f>
        <v>0</v>
      </c>
      <c r="ABX37" s="115">
        <f>IF(ABX35&gt;0,SUM($D$18:ABW18),0)</f>
        <v>0</v>
      </c>
      <c r="ABY37" s="115">
        <f>IF(ABY35&gt;0,SUM($D$18:ABX18),0)</f>
        <v>0</v>
      </c>
      <c r="ABZ37" s="115">
        <f>IF(ABZ35&gt;0,SUM($D$18:ABY18),0)</f>
        <v>0</v>
      </c>
      <c r="ACA37" s="115">
        <f>IF(ACA35&gt;0,SUM($D$18:ABZ18),0)</f>
        <v>0</v>
      </c>
      <c r="ACB37" s="115">
        <f>IF(ACB35&gt;0,SUM($D$18:ACA18),0)</f>
        <v>0</v>
      </c>
      <c r="ACC37" s="115">
        <f>IF(ACC35&gt;0,SUM($D$18:ACB18),0)</f>
        <v>0</v>
      </c>
      <c r="ACD37" s="115">
        <f>IF(ACD35&gt;0,SUM($D$18:ACC18),0)</f>
        <v>0</v>
      </c>
      <c r="ACE37" s="115">
        <f>IF(ACE35&gt;0,SUM($D$18:ACD18),0)</f>
        <v>0</v>
      </c>
      <c r="ACF37" s="115">
        <f>IF(ACF35&gt;0,SUM($D$18:ACE18),0)</f>
        <v>0</v>
      </c>
      <c r="ACG37" s="115">
        <f>IF(ACG35&gt;0,SUM($D$18:ACF18),0)</f>
        <v>0</v>
      </c>
      <c r="ACH37" s="115">
        <f>IF(ACH35&gt;0,SUM($D$18:ACG18),0)</f>
        <v>0</v>
      </c>
      <c r="ACI37" s="115">
        <f>IF(ACI35&gt;0,SUM($D$18:ACH18),0)</f>
        <v>0</v>
      </c>
      <c r="ACJ37" s="115">
        <f>IF(ACJ35&gt;0,SUM($D$18:ACI18),0)</f>
        <v>0</v>
      </c>
      <c r="ACK37" s="115">
        <f>IF(ACK35&gt;0,SUM($D$18:ACJ18),0)</f>
        <v>0</v>
      </c>
      <c r="ACL37" s="115">
        <f>IF(ACL35&gt;0,SUM($D$18:ACK18),0)</f>
        <v>0</v>
      </c>
      <c r="ACM37" s="115">
        <f>IF(ACM35&gt;0,SUM($D$18:ACL18),0)</f>
        <v>0</v>
      </c>
      <c r="ACN37" s="115">
        <f>IF(ACN35&gt;0,SUM($D$18:ACM18),0)</f>
        <v>0</v>
      </c>
      <c r="ACO37" s="115">
        <f>IF(ACO35&gt;0,SUM($D$18:ACN18),0)</f>
        <v>0</v>
      </c>
      <c r="ACP37" s="115">
        <f>IF(ACP35&gt;0,SUM($D$18:ACO18),0)</f>
        <v>0</v>
      </c>
      <c r="ACQ37" s="115">
        <f>IF(ACQ35&gt;0,SUM($D$18:ACP18),0)</f>
        <v>0</v>
      </c>
      <c r="ACR37" s="115">
        <f>IF(ACR35&gt;0,SUM($D$18:ACQ18),0)</f>
        <v>0</v>
      </c>
      <c r="ACS37" s="115">
        <f>IF(ACS35&gt;0,SUM($D$18:ACR18),0)</f>
        <v>0</v>
      </c>
      <c r="ACT37" s="115">
        <f>IF(ACT35&gt;0,SUM($D$18:ACS18),0)</f>
        <v>0</v>
      </c>
      <c r="ACU37" s="115">
        <f>IF(ACU35&gt;0,SUM($D$18:ACT18),0)</f>
        <v>0</v>
      </c>
      <c r="ACV37" s="115">
        <f>IF(ACV35&gt;0,SUM($D$18:ACU18),0)</f>
        <v>0</v>
      </c>
      <c r="ACW37" s="115">
        <f>IF(ACW35&gt;0,SUM($D$18:ACV18),0)</f>
        <v>0</v>
      </c>
      <c r="ACX37" s="115">
        <f>IF(ACX35&gt;0,SUM($D$18:ACW18),0)</f>
        <v>0</v>
      </c>
      <c r="ACY37" s="115">
        <f>IF(ACY35&gt;0,SUM($D$18:ACX18),0)</f>
        <v>0</v>
      </c>
      <c r="ACZ37" s="115">
        <f>IF(ACZ35&gt;0,SUM($D$18:ACY18),0)</f>
        <v>0</v>
      </c>
      <c r="ADA37" s="115">
        <f>IF(ADA35&gt;0,SUM($D$18:ACZ18),0)</f>
        <v>0</v>
      </c>
      <c r="ADB37" s="115">
        <f>IF(ADB35&gt;0,SUM($D$18:ADA18),0)</f>
        <v>0</v>
      </c>
      <c r="ADC37" s="115">
        <f>IF(ADC35&gt;0,SUM($D$18:ADB18),0)</f>
        <v>0</v>
      </c>
      <c r="ADD37" s="115">
        <f>IF(ADD35&gt;0,SUM($D$18:ADC18),0)</f>
        <v>0</v>
      </c>
      <c r="ADE37" s="115">
        <f>IF(ADE35&gt;0,SUM($D$18:ADD18),0)</f>
        <v>0</v>
      </c>
      <c r="ADF37" s="115">
        <f>IF(ADF35&gt;0,SUM($D$18:ADE18),0)</f>
        <v>0</v>
      </c>
      <c r="ADG37" s="115">
        <f>IF(ADG35&gt;0,SUM($D$18:ADF18),0)</f>
        <v>0</v>
      </c>
      <c r="ADH37" s="115">
        <f>IF(ADH35&gt;0,SUM($D$18:ADG18),0)</f>
        <v>0</v>
      </c>
      <c r="ADI37" s="115">
        <f>IF(ADI35&gt;0,SUM($D$18:ADH18),0)</f>
        <v>0</v>
      </c>
      <c r="ADJ37" s="115">
        <f>IF(ADJ35&gt;0,SUM($D$18:ADI18),0)</f>
        <v>0</v>
      </c>
      <c r="ADK37" s="115">
        <f>IF(ADK35&gt;0,SUM($D$18:ADJ18),0)</f>
        <v>0</v>
      </c>
      <c r="ADL37" s="115">
        <f>IF(ADL35&gt;0,SUM($D$18:ADK18),0)</f>
        <v>0</v>
      </c>
      <c r="ADM37" s="115">
        <f>IF(ADM35&gt;0,SUM($D$18:ADL18),0)</f>
        <v>0</v>
      </c>
      <c r="ADN37" s="115">
        <f>IF(ADN35&gt;0,SUM($D$18:ADM18),0)</f>
        <v>0</v>
      </c>
      <c r="ADO37" s="115">
        <f>IF(ADO35&gt;0,SUM($D$18:ADN18),0)</f>
        <v>0</v>
      </c>
      <c r="ADP37" s="115">
        <f>IF(ADP35&gt;0,SUM($D$18:ADO18),0)</f>
        <v>0</v>
      </c>
      <c r="ADQ37" s="115">
        <f>IF(ADQ35&gt;0,SUM($D$18:ADP18),0)</f>
        <v>0</v>
      </c>
      <c r="ADR37" s="115">
        <f>IF(ADR35&gt;0,SUM($D$18:ADQ18),0)</f>
        <v>0</v>
      </c>
      <c r="ADS37" s="115">
        <f>IF(ADS35&gt;0,SUM($D$18:ADR18),0)</f>
        <v>0</v>
      </c>
      <c r="ADT37" s="115">
        <f>IF(ADT35&gt;0,SUM($D$18:ADS18),0)</f>
        <v>0</v>
      </c>
      <c r="ADU37" s="115">
        <f>IF(ADU35&gt;0,SUM($D$18:ADT18),0)</f>
        <v>0</v>
      </c>
      <c r="ADV37" s="115">
        <f>IF(ADV35&gt;0,SUM($D$18:ADU18),0)</f>
        <v>0</v>
      </c>
      <c r="ADW37" s="115">
        <f>IF(ADW35&gt;0,SUM($D$18:ADV18),0)</f>
        <v>0</v>
      </c>
      <c r="ADX37" s="115">
        <f>IF(ADX35&gt;0,SUM($D$18:ADW18),0)</f>
        <v>0</v>
      </c>
      <c r="ADY37" s="115">
        <f>IF(ADY35&gt;0,SUM($D$18:ADX18),0)</f>
        <v>0</v>
      </c>
      <c r="ADZ37" s="115">
        <f>IF(ADZ35&gt;0,SUM($D$18:ADY18),0)</f>
        <v>0</v>
      </c>
      <c r="AEA37" s="115">
        <f>IF(AEA35&gt;0,SUM($D$18:ADZ18),0)</f>
        <v>0</v>
      </c>
      <c r="AEB37" s="115">
        <f>IF(AEB35&gt;0,SUM($D$18:AEA18),0)</f>
        <v>0</v>
      </c>
      <c r="AEC37" s="115">
        <f>IF(AEC35&gt;0,SUM($D$18:AEB18),0)</f>
        <v>0</v>
      </c>
      <c r="AED37" s="115">
        <f>IF(AED35&gt;0,SUM($D$18:AEC18),0)</f>
        <v>0</v>
      </c>
      <c r="AEE37" s="115">
        <f>IF(AEE35&gt;0,SUM($D$18:AED18),0)</f>
        <v>0</v>
      </c>
      <c r="AEF37" s="115">
        <f>IF(AEF35&gt;0,SUM($D$18:AEE18),0)</f>
        <v>0</v>
      </c>
      <c r="AEG37" s="115">
        <f>IF(AEG35&gt;0,SUM($D$18:AEF18),0)</f>
        <v>0</v>
      </c>
      <c r="AEH37" s="115">
        <f>IF(AEH35&gt;0,SUM($D$18:AEG18),0)</f>
        <v>0</v>
      </c>
      <c r="AEI37" s="115">
        <f>IF(AEI35&gt;0,SUM($D$18:AEH18),0)</f>
        <v>0</v>
      </c>
      <c r="AEJ37" s="115">
        <f>IF(AEJ35&gt;0,SUM($D$18:AEI18),0)</f>
        <v>0</v>
      </c>
      <c r="AEK37" s="115">
        <f>IF(AEK35&gt;0,SUM($D$18:AEJ18),0)</f>
        <v>0</v>
      </c>
      <c r="AEL37" s="115">
        <f>IF(AEL35&gt;0,SUM($D$18:AEK18),0)</f>
        <v>0</v>
      </c>
      <c r="AEM37" s="115">
        <f>IF(AEM35&gt;0,SUM($D$18:AEL18),0)</f>
        <v>0</v>
      </c>
      <c r="AEN37" s="115">
        <f>IF(AEN35&gt;0,SUM($D$18:AEM18),0)</f>
        <v>0</v>
      </c>
      <c r="AEO37" s="115">
        <f>IF(AEO35&gt;0,SUM($D$18:AEN18),0)</f>
        <v>0</v>
      </c>
      <c r="AEP37" s="115">
        <f>IF(AEP35&gt;0,SUM($D$18:AEO18),0)</f>
        <v>0</v>
      </c>
      <c r="AEQ37" s="115">
        <f>IF(AEQ35&gt;0,SUM($D$18:AEP18),0)</f>
        <v>0</v>
      </c>
      <c r="AER37" s="115">
        <f>IF(AER35&gt;0,SUM($D$18:AEQ18),0)</f>
        <v>0</v>
      </c>
      <c r="AES37" s="115">
        <f>IF(AES35&gt;0,SUM($D$18:AER18),0)</f>
        <v>0</v>
      </c>
      <c r="AET37" s="115">
        <f>IF(AET35&gt;0,SUM($D$18:AES18),0)</f>
        <v>0</v>
      </c>
      <c r="AEU37" s="115">
        <f>IF(AEU35&gt;0,SUM($D$18:AET18),0)</f>
        <v>0</v>
      </c>
      <c r="AEV37" s="115">
        <f>IF(AEV35&gt;0,SUM($D$18:AEU18),0)</f>
        <v>0</v>
      </c>
      <c r="AEW37" s="115">
        <f>IF(AEW35&gt;0,SUM($D$18:AEV18),0)</f>
        <v>0</v>
      </c>
      <c r="AEX37" s="115">
        <f>IF(AEX35&gt;0,SUM($D$18:AEW18),0)</f>
        <v>0</v>
      </c>
      <c r="AEY37" s="115">
        <f>IF(AEY35&gt;0,SUM($D$18:AEX18),0)</f>
        <v>0</v>
      </c>
      <c r="AEZ37" s="115">
        <f>IF(AEZ35&gt;0,SUM($D$18:AEY18),0)</f>
        <v>0</v>
      </c>
      <c r="AFA37" s="115">
        <f>IF(AFA35&gt;0,SUM($D$18:AEZ18),0)</f>
        <v>0</v>
      </c>
      <c r="AFB37" s="115">
        <f>IF(AFB35&gt;0,SUM($D$18:AFA18),0)</f>
        <v>0</v>
      </c>
      <c r="AFC37" s="115">
        <f>IF(AFC35&gt;0,SUM($D$18:AFB18),0)</f>
        <v>0</v>
      </c>
      <c r="AFD37" s="115">
        <f>IF(AFD35&gt;0,SUM($D$18:AFC18),0)</f>
        <v>0</v>
      </c>
      <c r="AFE37" s="115">
        <f>IF(AFE35&gt;0,SUM($D$18:AFD18),0)</f>
        <v>0</v>
      </c>
      <c r="AFF37" s="115">
        <f>IF(AFF35&gt;0,SUM($D$18:AFE18),0)</f>
        <v>0</v>
      </c>
      <c r="AFG37" s="115">
        <f>IF(AFG35&gt;0,SUM($D$18:AFF18),0)</f>
        <v>0</v>
      </c>
      <c r="AFH37" s="115">
        <f>IF(AFH35&gt;0,SUM($D$18:AFG18),0)</f>
        <v>0</v>
      </c>
      <c r="AFI37" s="115">
        <f>IF(AFI35&gt;0,SUM($D$18:AFH18),0)</f>
        <v>0</v>
      </c>
      <c r="AFJ37" s="115">
        <f>IF(AFJ35&gt;0,SUM($D$18:AFI18),0)</f>
        <v>0</v>
      </c>
      <c r="AFK37" s="115">
        <f>IF(AFK35&gt;0,SUM($D$18:AFJ18),0)</f>
        <v>0</v>
      </c>
      <c r="AFL37" s="115">
        <f>IF(AFL35&gt;0,SUM($D$18:AFK18),0)</f>
        <v>0</v>
      </c>
      <c r="AFM37" s="115">
        <f>IF(AFM35&gt;0,SUM($D$18:AFL18),0)</f>
        <v>0</v>
      </c>
      <c r="AFN37" s="115">
        <f>IF(AFN35&gt;0,SUM($D$18:AFM18),0)</f>
        <v>0</v>
      </c>
      <c r="AFO37" s="115">
        <f>IF(AFO35&gt;0,SUM($D$18:AFN18),0)</f>
        <v>0</v>
      </c>
      <c r="AFP37" s="115">
        <f>IF(AFP35&gt;0,SUM($D$18:AFO18),0)</f>
        <v>0</v>
      </c>
      <c r="AFQ37" s="115">
        <f>IF(AFQ35&gt;0,SUM($D$18:AFP18),0)</f>
        <v>0</v>
      </c>
      <c r="AFR37" s="115">
        <f>IF(AFR35&gt;0,SUM($D$18:AFQ18),0)</f>
        <v>0</v>
      </c>
      <c r="AFS37" s="115">
        <f>IF(AFS35&gt;0,SUM($D$18:AFR18),0)</f>
        <v>0</v>
      </c>
      <c r="AFT37" s="115">
        <f>IF(AFT35&gt;0,SUM($D$18:AFS18),0)</f>
        <v>0</v>
      </c>
      <c r="AFU37" s="115">
        <f>IF(AFU35&gt;0,SUM($D$18:AFT18),0)</f>
        <v>0</v>
      </c>
      <c r="AFV37" s="115">
        <f>IF(AFV35&gt;0,SUM($D$18:AFU18),0)</f>
        <v>0</v>
      </c>
      <c r="AFW37" s="115">
        <f>IF(AFW35&gt;0,SUM($D$18:AFV18),0)</f>
        <v>0</v>
      </c>
      <c r="AFX37" s="115">
        <f>IF(AFX35&gt;0,SUM($D$18:AFW18),0)</f>
        <v>0</v>
      </c>
      <c r="AFY37" s="115">
        <f>IF(AFY35&gt;0,SUM($D$18:AFX18),0)</f>
        <v>0</v>
      </c>
      <c r="AFZ37" s="115">
        <f>IF(AFZ35&gt;0,SUM($D$18:AFY18),0)</f>
        <v>0</v>
      </c>
      <c r="AGA37" s="115">
        <f>IF(AGA35&gt;0,SUM($D$18:AFZ18),0)</f>
        <v>0</v>
      </c>
      <c r="AGB37" s="115">
        <f>IF(AGB35&gt;0,SUM($D$18:AGA18),0)</f>
        <v>0</v>
      </c>
      <c r="AGC37" s="115">
        <f>IF(AGC35&gt;0,SUM($D$18:AGB18),0)</f>
        <v>0</v>
      </c>
      <c r="AGD37" s="115">
        <f>IF(AGD35&gt;0,SUM($D$18:AGC18),0)</f>
        <v>0</v>
      </c>
      <c r="AGE37" s="115">
        <f>IF(AGE35&gt;0,SUM($D$18:AGD18),0)</f>
        <v>0</v>
      </c>
      <c r="AGF37" s="115">
        <f>IF(AGF35&gt;0,SUM($D$18:AGE18),0)</f>
        <v>0</v>
      </c>
      <c r="AGG37" s="115">
        <f>IF(AGG35&gt;0,SUM($D$18:AGF18),0)</f>
        <v>0</v>
      </c>
      <c r="AGH37" s="115">
        <f>IF(AGH35&gt;0,SUM($D$18:AGG18),0)</f>
        <v>0</v>
      </c>
      <c r="AGI37" s="115">
        <f>IF(AGI35&gt;0,SUM($D$18:AGH18),0)</f>
        <v>0</v>
      </c>
      <c r="AGJ37" s="115">
        <f>IF(AGJ35&gt;0,SUM($D$18:AGI18),0)</f>
        <v>0</v>
      </c>
      <c r="AGK37" s="115">
        <f>IF(AGK35&gt;0,SUM($D$18:AGJ18),0)</f>
        <v>0</v>
      </c>
      <c r="AGL37" s="115">
        <f>IF(AGL35&gt;0,SUM($D$18:AGK18),0)</f>
        <v>0</v>
      </c>
      <c r="AGM37" s="115">
        <f>IF(AGM35&gt;0,SUM($D$18:AGL18),0)</f>
        <v>0</v>
      </c>
      <c r="AGN37" s="115">
        <f>IF(AGN35&gt;0,SUM($D$18:AGM18),0)</f>
        <v>0</v>
      </c>
      <c r="AGO37" s="115">
        <f>IF(AGO35&gt;0,SUM($D$18:AGN18),0)</f>
        <v>0</v>
      </c>
      <c r="AGP37" s="115">
        <f>IF(AGP35&gt;0,SUM($D$18:AGO18),0)</f>
        <v>0</v>
      </c>
      <c r="AGQ37" s="115">
        <f>IF(AGQ35&gt;0,SUM($D$18:AGP18),0)</f>
        <v>0</v>
      </c>
      <c r="AGR37" s="115">
        <f>IF(AGR35&gt;0,SUM($D$18:AGQ18),0)</f>
        <v>0</v>
      </c>
      <c r="AGS37" s="115">
        <f>IF(AGS35&gt;0,SUM($D$18:AGR18),0)</f>
        <v>0</v>
      </c>
      <c r="AGT37" s="115">
        <f>IF(AGT35&gt;0,SUM($D$18:AGS18),0)</f>
        <v>0</v>
      </c>
      <c r="AGU37" s="115">
        <f>IF(AGU35&gt;0,SUM($D$18:AGT18),0)</f>
        <v>0</v>
      </c>
      <c r="AGV37" s="115">
        <f>IF(AGV35&gt;0,SUM($D$18:AGU18),0)</f>
        <v>0</v>
      </c>
      <c r="AGW37" s="115">
        <f>IF(AGW35&gt;0,SUM($D$18:AGV18),0)</f>
        <v>0</v>
      </c>
      <c r="AGX37" s="115">
        <f>IF(AGX35&gt;0,SUM($D$18:AGW18),0)</f>
        <v>0</v>
      </c>
      <c r="AGY37" s="115">
        <f>IF(AGY35&gt;0,SUM($D$18:AGX18),0)</f>
        <v>0</v>
      </c>
      <c r="AGZ37" s="115">
        <f>IF(AGZ35&gt;0,SUM($D$18:AGY18),0)</f>
        <v>0</v>
      </c>
      <c r="AHA37" s="115">
        <f>IF(AHA35&gt;0,SUM($D$18:AGZ18),0)</f>
        <v>0</v>
      </c>
      <c r="AHB37" s="115">
        <f>IF(AHB35&gt;0,SUM($D$18:AHA18),0)</f>
        <v>0</v>
      </c>
      <c r="AHC37" s="115">
        <f>IF(AHC35&gt;0,SUM($D$18:AHB18),0)</f>
        <v>0</v>
      </c>
      <c r="AHD37" s="115">
        <f>IF(AHD35&gt;0,SUM($D$18:AHC18),0)</f>
        <v>0</v>
      </c>
      <c r="AHE37" s="115">
        <f>IF(AHE35&gt;0,SUM($D$18:AHD18),0)</f>
        <v>0</v>
      </c>
      <c r="AHF37" s="115">
        <f>IF(AHF35&gt;0,SUM($D$18:AHE18),0)</f>
        <v>0</v>
      </c>
      <c r="AHG37" s="115">
        <f>IF(AHG35&gt;0,SUM($D$18:AHF18),0)</f>
        <v>0</v>
      </c>
      <c r="AHH37" s="115">
        <f>IF(AHH35&gt;0,SUM($D$18:AHG18),0)</f>
        <v>0</v>
      </c>
      <c r="AHI37" s="115">
        <f>IF(AHI35&gt;0,SUM($D$18:AHH18),0)</f>
        <v>0</v>
      </c>
      <c r="AHJ37" s="115">
        <f>IF(AHJ35&gt;0,SUM($D$18:AHI18),0)</f>
        <v>0</v>
      </c>
      <c r="AHK37" s="115">
        <f>IF(AHK35&gt;0,SUM($D$18:AHJ18),0)</f>
        <v>0</v>
      </c>
      <c r="AHL37" s="115">
        <f>IF(AHL35&gt;0,SUM($D$18:AHK18),0)</f>
        <v>0</v>
      </c>
      <c r="AHM37" s="115">
        <f>IF(AHM35&gt;0,SUM($D$18:AHL18),0)</f>
        <v>0</v>
      </c>
      <c r="AHN37" s="115">
        <f>IF(AHN35&gt;0,SUM($D$18:AHM18),0)</f>
        <v>0</v>
      </c>
      <c r="AHO37" s="115">
        <f>IF(AHO35&gt;0,SUM($D$18:AHN18),0)</f>
        <v>0</v>
      </c>
      <c r="AHP37" s="115">
        <f>IF(AHP35&gt;0,SUM($D$18:AHO18),0)</f>
        <v>0</v>
      </c>
      <c r="AHQ37" s="115">
        <f>IF(AHQ35&gt;0,SUM($D$18:AHP18),0)</f>
        <v>0</v>
      </c>
      <c r="AHR37" s="115">
        <f>IF(AHR35&gt;0,SUM($D$18:AHQ18),0)</f>
        <v>0</v>
      </c>
      <c r="AHS37" s="115">
        <f>IF(AHS35&gt;0,SUM($D$18:AHR18),0)</f>
        <v>0</v>
      </c>
      <c r="AHT37" s="115">
        <f>IF(AHT35&gt;0,SUM($D$18:AHS18),0)</f>
        <v>0</v>
      </c>
      <c r="AHU37" s="115">
        <f>IF(AHU35&gt;0,SUM($D$18:AHT18),0)</f>
        <v>0</v>
      </c>
      <c r="AHV37" s="115">
        <f>IF(AHV35&gt;0,SUM($D$18:AHU18),0)</f>
        <v>0</v>
      </c>
      <c r="AHW37" s="115">
        <f>IF(AHW35&gt;0,SUM($D$18:AHV18),0)</f>
        <v>0</v>
      </c>
      <c r="AHX37" s="115">
        <f>IF(AHX35&gt;0,SUM($D$18:AHW18),0)</f>
        <v>0</v>
      </c>
      <c r="AHY37" s="115">
        <f>IF(AHY35&gt;0,SUM($D$18:AHX18),0)</f>
        <v>0</v>
      </c>
      <c r="AHZ37" s="115">
        <f>IF(AHZ35&gt;0,SUM($D$18:AHY18),0)</f>
        <v>0</v>
      </c>
      <c r="AIA37" s="115">
        <f>IF(AIA35&gt;0,SUM($D$18:AHZ18),0)</f>
        <v>0</v>
      </c>
      <c r="AIB37" s="115">
        <f>IF(AIB35&gt;0,SUM($D$18:AIA18),0)</f>
        <v>0</v>
      </c>
      <c r="AIC37" s="115">
        <f>IF(AIC35&gt;0,SUM($D$18:AIB18),0)</f>
        <v>0</v>
      </c>
      <c r="AID37" s="115">
        <f>IF(AID35&gt;0,SUM($D$18:AIC18),0)</f>
        <v>0</v>
      </c>
      <c r="AIE37" s="115">
        <f>IF(AIE35&gt;0,SUM($D$18:AID18),0)</f>
        <v>0</v>
      </c>
      <c r="AIF37" s="115">
        <f>IF(AIF35&gt;0,SUM($D$18:AIE18),0)</f>
        <v>0</v>
      </c>
      <c r="AIG37" s="115">
        <f>IF(AIG35&gt;0,SUM($D$18:AIF18),0)</f>
        <v>0</v>
      </c>
      <c r="AIH37" s="115">
        <f>IF(AIH35&gt;0,SUM($D$18:AIG18),0)</f>
        <v>0</v>
      </c>
      <c r="AII37" s="115">
        <f>IF(AII35&gt;0,SUM($D$18:AIH18),0)</f>
        <v>0</v>
      </c>
      <c r="AIJ37" s="115">
        <f>IF(AIJ35&gt;0,SUM($D$18:AII18),0)</f>
        <v>0</v>
      </c>
      <c r="AIK37" s="115">
        <f>IF(AIK35&gt;0,SUM($D$18:AIJ18),0)</f>
        <v>0</v>
      </c>
      <c r="AIL37" s="115">
        <f>IF(AIL35&gt;0,SUM($D$18:AIK18),0)</f>
        <v>0</v>
      </c>
      <c r="AIM37" s="115">
        <f>IF(AIM35&gt;0,SUM($D$18:AIL18),0)</f>
        <v>0</v>
      </c>
      <c r="AIN37" s="115">
        <f>IF(AIN35&gt;0,SUM($D$18:AIM18),0)</f>
        <v>0</v>
      </c>
      <c r="AIO37" s="115">
        <f>IF(AIO35&gt;0,SUM($D$18:AIN18),0)</f>
        <v>0</v>
      </c>
      <c r="AIP37" s="115">
        <f>IF(AIP35&gt;0,SUM($D$18:AIO18),0)</f>
        <v>0</v>
      </c>
      <c r="AIQ37" s="115">
        <f>IF(AIQ35&gt;0,SUM($D$18:AIP18),0)</f>
        <v>0</v>
      </c>
      <c r="AIR37" s="115">
        <f>IF(AIR35&gt;0,SUM($D$18:AIQ18),0)</f>
        <v>0</v>
      </c>
      <c r="AIS37" s="115">
        <f>IF(AIS35&gt;0,SUM($D$18:AIR18),0)</f>
        <v>0</v>
      </c>
      <c r="AIT37" s="115">
        <f>IF(AIT35&gt;0,SUM($D$18:AIS18),0)</f>
        <v>0</v>
      </c>
      <c r="AIU37" s="115">
        <f>IF(AIU35&gt;0,SUM($D$18:AIT18),0)</f>
        <v>0</v>
      </c>
      <c r="AIV37" s="115">
        <f>IF(AIV35&gt;0,SUM($D$18:AIU18),0)</f>
        <v>0</v>
      </c>
      <c r="AIW37" s="115">
        <f>IF(AIW35&gt;0,SUM($D$18:AIV18),0)</f>
        <v>0</v>
      </c>
      <c r="AIX37" s="115">
        <f>IF(AIX35&gt;0,SUM($D$18:AIW18),0)</f>
        <v>0</v>
      </c>
      <c r="AIY37" s="115">
        <f>IF(AIY35&gt;0,SUM($D$18:AIX18),0)</f>
        <v>0</v>
      </c>
      <c r="AIZ37" s="115">
        <f>IF(AIZ35&gt;0,SUM($D$18:AIY18),0)</f>
        <v>0</v>
      </c>
      <c r="AJA37" s="115">
        <f>IF(AJA35&gt;0,SUM($D$18:AIZ18),0)</f>
        <v>0</v>
      </c>
      <c r="AJB37" s="115">
        <f>IF(AJB35&gt;0,SUM($D$18:AJA18),0)</f>
        <v>0</v>
      </c>
      <c r="AJC37" s="115">
        <f>IF(AJC35&gt;0,SUM($D$18:AJB18),0)</f>
        <v>0</v>
      </c>
      <c r="AJD37" s="115">
        <f>IF(AJD35&gt;0,SUM($D$18:AJC18),0)</f>
        <v>0</v>
      </c>
      <c r="AJE37" s="115">
        <f>IF(AJE35&gt;0,SUM($D$18:AJD18),0)</f>
        <v>0</v>
      </c>
      <c r="AJF37" s="115">
        <f>IF(AJF35&gt;0,SUM($D$18:AJE18),0)</f>
        <v>0</v>
      </c>
      <c r="AJG37" s="115">
        <f>IF(AJG35&gt;0,SUM($D$18:AJF18),0)</f>
        <v>0</v>
      </c>
      <c r="AJH37" s="115">
        <f>IF(AJH35&gt;0,SUM($D$18:AJG18),0)</f>
        <v>0</v>
      </c>
      <c r="AJI37" s="115">
        <f>IF(AJI35&gt;0,SUM($D$18:AJH18),0)</f>
        <v>0</v>
      </c>
      <c r="AJJ37" s="115">
        <f>IF(AJJ35&gt;0,SUM($D$18:AJI18),0)</f>
        <v>0</v>
      </c>
      <c r="AJK37" s="115">
        <f>IF(AJK35&gt;0,SUM($D$18:AJJ18),0)</f>
        <v>0</v>
      </c>
      <c r="AJL37" s="115">
        <f>IF(AJL35&gt;0,SUM($D$18:AJK18),0)</f>
        <v>0</v>
      </c>
      <c r="AJM37" s="115">
        <f>IF(AJM35&gt;0,SUM($D$18:AJL18),0)</f>
        <v>0</v>
      </c>
      <c r="AJN37" s="115">
        <f>IF(AJN35&gt;0,SUM($D$18:AJM18),0)</f>
        <v>0</v>
      </c>
      <c r="AJO37" s="115">
        <f>IF(AJO35&gt;0,SUM($D$18:AJN18),0)</f>
        <v>0</v>
      </c>
      <c r="AJP37" s="115">
        <f>IF(AJP35&gt;0,SUM($D$18:AJO18),0)</f>
        <v>0</v>
      </c>
      <c r="AJQ37" s="115">
        <f>IF(AJQ35&gt;0,SUM($D$18:AJP18),0)</f>
        <v>0</v>
      </c>
      <c r="AJR37" s="115">
        <f>IF(AJR35&gt;0,SUM($D$18:AJQ18),0)</f>
        <v>0</v>
      </c>
      <c r="AJS37" s="115">
        <f>IF(AJS35&gt;0,SUM($D$18:AJR18),0)</f>
        <v>0</v>
      </c>
      <c r="AJT37" s="115">
        <f>IF(AJT35&gt;0,SUM($D$18:AJS18),0)</f>
        <v>0</v>
      </c>
      <c r="AJU37" s="115">
        <f>IF(AJU35&gt;0,SUM($D$18:AJT18),0)</f>
        <v>0</v>
      </c>
      <c r="AJV37" s="115">
        <f>IF(AJV35&gt;0,SUM($D$18:AJU18),0)</f>
        <v>0</v>
      </c>
      <c r="AJW37" s="115">
        <f>IF(AJW35&gt;0,SUM($D$18:AJV18),0)</f>
        <v>0</v>
      </c>
      <c r="AJX37" s="115">
        <f>IF(AJX35&gt;0,SUM($D$18:AJW18),0)</f>
        <v>0</v>
      </c>
      <c r="AJY37" s="115">
        <f>IF(AJY35&gt;0,SUM($D$18:AJX18),0)</f>
        <v>0</v>
      </c>
      <c r="AJZ37" s="115">
        <f>IF(AJZ35&gt;0,SUM($D$18:AJY18),0)</f>
        <v>0</v>
      </c>
      <c r="AKA37" s="115">
        <f>IF(AKA35&gt;0,SUM($D$18:AJZ18),0)</f>
        <v>0</v>
      </c>
      <c r="AKB37" s="115">
        <f>IF(AKB35&gt;0,SUM($D$18:AKA18),0)</f>
        <v>0</v>
      </c>
      <c r="AKC37" s="115">
        <f>IF(AKC35&gt;0,SUM($D$18:AKB18),0)</f>
        <v>0</v>
      </c>
      <c r="AKD37" s="115">
        <f>IF(AKD35&gt;0,SUM($D$18:AKC18),0)</f>
        <v>0</v>
      </c>
      <c r="AKE37" s="115">
        <f>IF(AKE35&gt;0,SUM($D$18:AKD18),0)</f>
        <v>0</v>
      </c>
      <c r="AKF37" s="115">
        <f>IF(AKF35&gt;0,SUM($D$18:AKE18),0)</f>
        <v>0</v>
      </c>
      <c r="AKG37" s="115">
        <f>IF(AKG35&gt;0,SUM($D$18:AKF18),0)</f>
        <v>0</v>
      </c>
      <c r="AKH37" s="115">
        <f>IF(AKH35&gt;0,SUM($D$18:AKG18),0)</f>
        <v>0</v>
      </c>
      <c r="AKI37" s="115">
        <f>IF(AKI35&gt;0,SUM($D$18:AKH18),0)</f>
        <v>0</v>
      </c>
      <c r="AKJ37" s="115">
        <f>IF(AKJ35&gt;0,SUM($D$18:AKI18),0)</f>
        <v>0</v>
      </c>
      <c r="AKK37" s="115">
        <f>IF(AKK35&gt;0,SUM($D$18:AKJ18),0)</f>
        <v>0</v>
      </c>
      <c r="AKL37" s="115">
        <f>IF(AKL35&gt;0,SUM($D$18:AKK18),0)</f>
        <v>0</v>
      </c>
      <c r="AKM37" s="115">
        <f>IF(AKM35&gt;0,SUM($D$18:AKL18),0)</f>
        <v>0</v>
      </c>
      <c r="AKN37" s="115">
        <f>IF(AKN35&gt;0,SUM($D$18:AKM18),0)</f>
        <v>0</v>
      </c>
      <c r="AKO37" s="115">
        <f>IF(AKO35&gt;0,SUM($D$18:AKN18),0)</f>
        <v>0</v>
      </c>
      <c r="AKP37" s="115">
        <f>IF(AKP35&gt;0,SUM($D$18:AKO18),0)</f>
        <v>0</v>
      </c>
      <c r="AKQ37" s="115">
        <f>IF(AKQ35&gt;0,SUM($D$18:AKP18),0)</f>
        <v>0</v>
      </c>
      <c r="AKR37" s="115">
        <f>IF(AKR35&gt;0,SUM($D$18:AKQ18),0)</f>
        <v>0</v>
      </c>
      <c r="AKS37" s="115">
        <f>IF(AKS35&gt;0,SUM($D$18:AKR18),0)</f>
        <v>0</v>
      </c>
      <c r="AKT37" s="115">
        <f>IF(AKT35&gt;0,SUM($D$18:AKS18),0)</f>
        <v>0</v>
      </c>
      <c r="AKU37" s="115">
        <f>IF(AKU35&gt;0,SUM($D$18:AKT18),0)</f>
        <v>0</v>
      </c>
      <c r="AKV37" s="115">
        <f>IF(AKV35&gt;0,SUM($D$18:AKU18),0)</f>
        <v>0</v>
      </c>
      <c r="AKW37" s="115">
        <f>IF(AKW35&gt;0,SUM($D$18:AKV18),0)</f>
        <v>0</v>
      </c>
      <c r="AKX37" s="115">
        <f>IF(AKX35&gt;0,SUM($D$18:AKW18),0)</f>
        <v>0</v>
      </c>
      <c r="AKY37" s="115">
        <f>IF(AKY35&gt;0,SUM($D$18:AKX18),0)</f>
        <v>0</v>
      </c>
      <c r="AKZ37" s="115">
        <f>IF(AKZ35&gt;0,SUM($D$18:AKY18),0)</f>
        <v>0</v>
      </c>
      <c r="ALA37" s="115">
        <f>IF(ALA35&gt;0,SUM($D$18:AKZ18),0)</f>
        <v>0</v>
      </c>
      <c r="ALB37" s="115">
        <f>IF(ALB35&gt;0,SUM($D$18:ALA18),0)</f>
        <v>0</v>
      </c>
      <c r="ALC37" s="115">
        <f>IF(ALC35&gt;0,SUM($D$18:ALB18),0)</f>
        <v>0</v>
      </c>
      <c r="ALD37" s="115">
        <f>IF(ALD35&gt;0,SUM($D$18:ALC18),0)</f>
        <v>0</v>
      </c>
      <c r="ALE37" s="115">
        <f>IF(ALE35&gt;0,SUM($D$18:ALD18),0)</f>
        <v>0</v>
      </c>
      <c r="ALF37" s="115">
        <f>IF(ALF35&gt;0,SUM($D$18:ALE18),0)</f>
        <v>0</v>
      </c>
      <c r="ALG37" s="115">
        <f>IF(ALG35&gt;0,SUM($D$18:ALF18),0)</f>
        <v>0</v>
      </c>
      <c r="ALH37" s="115">
        <f>IF(ALH35&gt;0,SUM($D$18:ALG18),0)</f>
        <v>0</v>
      </c>
      <c r="ALI37" s="115">
        <f>IF(ALI35&gt;0,SUM($D$18:ALH18),0)</f>
        <v>0</v>
      </c>
      <c r="ALJ37" s="115">
        <f>IF(ALJ35&gt;0,SUM($D$18:ALI18),0)</f>
        <v>0</v>
      </c>
      <c r="ALK37" s="115">
        <f>IF(ALK35&gt;0,SUM($D$18:ALJ18),0)</f>
        <v>0</v>
      </c>
      <c r="ALL37" s="115">
        <f>IF(ALL35&gt;0,SUM($D$18:ALK18),0)</f>
        <v>0</v>
      </c>
      <c r="ALM37" s="115">
        <f>IF(ALM35&gt;0,SUM($D$18:ALL18),0)</f>
        <v>0</v>
      </c>
      <c r="ALN37" s="115">
        <f>IF(ALN35&gt;0,SUM($D$18:ALM18),0)</f>
        <v>0</v>
      </c>
      <c r="ALO37" s="115">
        <f>IF(ALO35&gt;0,SUM($D$18:ALN18),0)</f>
        <v>0</v>
      </c>
      <c r="ALP37" s="115">
        <f>IF(ALP35&gt;0,SUM($D$18:ALO18),0)</f>
        <v>0</v>
      </c>
      <c r="ALQ37" s="115">
        <f>IF(ALQ35&gt;0,SUM($D$18:ALP18),0)</f>
        <v>0</v>
      </c>
      <c r="ALR37" s="115">
        <f>IF(ALR35&gt;0,SUM($D$18:ALQ18),0)</f>
        <v>0</v>
      </c>
      <c r="ALS37" s="115">
        <f>IF(ALS35&gt;0,SUM($D$18:ALR18),0)</f>
        <v>0</v>
      </c>
      <c r="ALT37" s="115">
        <f>IF(ALT35&gt;0,SUM($D$18:ALS18),0)</f>
        <v>0</v>
      </c>
      <c r="ALU37" s="115">
        <f>IF(ALU35&gt;0,SUM($D$18:ALT18),0)</f>
        <v>0</v>
      </c>
      <c r="ALV37" s="115">
        <f>IF(ALV35&gt;0,SUM($D$18:ALU18),0)</f>
        <v>0</v>
      </c>
      <c r="ALW37" s="115">
        <f>IF(ALW35&gt;0,SUM($D$18:ALV18),0)</f>
        <v>0</v>
      </c>
      <c r="ALX37" s="115">
        <f>IF(ALX35&gt;0,SUM($D$18:ALW18),0)</f>
        <v>0</v>
      </c>
      <c r="ALY37" s="115">
        <f>IF(ALY35&gt;0,SUM($D$18:ALX18),0)</f>
        <v>0</v>
      </c>
      <c r="ALZ37" s="115">
        <f>IF(ALZ35&gt;0,SUM($D$18:ALY18),0)</f>
        <v>0</v>
      </c>
      <c r="AMA37" s="115">
        <f>IF(AMA35&gt;0,SUM($D$18:ALZ18),0)</f>
        <v>0</v>
      </c>
      <c r="AMB37" s="115">
        <f>IF(AMB35&gt;0,SUM($D$18:AMA18),0)</f>
        <v>0</v>
      </c>
      <c r="AMC37" s="115">
        <f>IF(AMC35&gt;0,SUM($D$18:AMB18),0)</f>
        <v>0</v>
      </c>
      <c r="AMD37" s="115">
        <f>IF(AMD35&gt;0,SUM($D$18:AMC18),0)</f>
        <v>0</v>
      </c>
      <c r="AME37" s="115">
        <f>IF(AME35&gt;0,SUM($D$18:AMD18),0)</f>
        <v>0</v>
      </c>
      <c r="AMF37" s="115">
        <f>IF(AMF35&gt;0,SUM($D$18:AME18),0)</f>
        <v>0</v>
      </c>
      <c r="AMG37" s="115">
        <f>IF(AMG35&gt;0,SUM($D$18:AMF18),0)</f>
        <v>0</v>
      </c>
      <c r="AMH37" s="115">
        <f>IF(AMH35&gt;0,SUM($D$18:AMG18),0)</f>
        <v>0</v>
      </c>
      <c r="AMI37" s="115">
        <f>IF(AMI35&gt;0,SUM($D$18:AMH18),0)</f>
        <v>0</v>
      </c>
      <c r="AMJ37" s="115">
        <f>IF(AMJ35&gt;0,SUM($D$18:AMI18),0)</f>
        <v>0</v>
      </c>
      <c r="AMK37" s="115">
        <f>IF(AMK35&gt;0,SUM($D$18:AMJ18),0)</f>
        <v>0</v>
      </c>
      <c r="AML37" s="115">
        <f>IF(AML35&gt;0,SUM($D$18:AMK18),0)</f>
        <v>0</v>
      </c>
      <c r="AMM37" s="115">
        <f>IF(AMM35&gt;0,SUM($D$18:AML18),0)</f>
        <v>0</v>
      </c>
      <c r="AMN37" s="115">
        <f>IF(AMN35&gt;0,SUM($D$18:AMM18),0)</f>
        <v>0</v>
      </c>
      <c r="AMO37" s="115">
        <f>IF(AMO35&gt;0,SUM($D$18:AMN18),0)</f>
        <v>0</v>
      </c>
      <c r="AMP37" s="115">
        <f>IF(AMP35&gt;0,SUM($D$18:AMO18),0)</f>
        <v>0</v>
      </c>
      <c r="AMQ37" s="115">
        <f>IF(AMQ35&gt;0,SUM($D$18:AMP18),0)</f>
        <v>0</v>
      </c>
      <c r="AMR37" s="115">
        <f>IF(AMR35&gt;0,SUM($D$18:AMQ18),0)</f>
        <v>0</v>
      </c>
      <c r="AMS37" s="115">
        <f>IF(AMS35&gt;0,SUM($D$18:AMR18),0)</f>
        <v>0</v>
      </c>
      <c r="AMT37" s="115">
        <f>IF(AMT35&gt;0,SUM($D$18:AMS18),0)</f>
        <v>0</v>
      </c>
      <c r="AMU37" s="115">
        <f>IF(AMU35&gt;0,SUM($D$18:AMT18),0)</f>
        <v>0</v>
      </c>
      <c r="AMV37" s="115">
        <f>IF(AMV35&gt;0,SUM($D$18:AMU18),0)</f>
        <v>0</v>
      </c>
      <c r="AMW37" s="115">
        <f>IF(AMW35&gt;0,SUM($D$18:AMV18),0)</f>
        <v>0</v>
      </c>
      <c r="AMX37" s="115">
        <f>IF(AMX35&gt;0,SUM($D$18:AMW18),0)</f>
        <v>0</v>
      </c>
      <c r="AMY37" s="115">
        <f>IF(AMY35&gt;0,SUM($D$18:AMX18),0)</f>
        <v>0</v>
      </c>
      <c r="AMZ37" s="115">
        <f>IF(AMZ35&gt;0,SUM($D$18:AMY18),0)</f>
        <v>0</v>
      </c>
      <c r="ANA37" s="115">
        <f>IF(ANA35&gt;0,SUM($D$18:AMZ18),0)</f>
        <v>0</v>
      </c>
      <c r="ANB37" s="115">
        <f>IF(ANB35&gt;0,SUM($D$18:ANA18),0)</f>
        <v>0</v>
      </c>
      <c r="ANC37" s="115">
        <f>IF(ANC35&gt;0,SUM($D$18:ANB18),0)</f>
        <v>0</v>
      </c>
      <c r="AND37" s="115">
        <f>IF(AND35&gt;0,SUM($D$18:ANC18),0)</f>
        <v>0</v>
      </c>
      <c r="ANE37" s="115">
        <f>IF(ANE35&gt;0,SUM($D$18:AND18),0)</f>
        <v>0</v>
      </c>
      <c r="ANF37" s="115">
        <f>IF(ANF35&gt;0,SUM($D$18:ANE18),0)</f>
        <v>0</v>
      </c>
      <c r="ANG37" s="115">
        <f>IF(ANG35&gt;0,SUM($D$18:ANF18),0)</f>
        <v>0</v>
      </c>
      <c r="ANH37" s="115">
        <f>IF(ANH35&gt;0,SUM($D$18:ANG18),0)</f>
        <v>0</v>
      </c>
      <c r="ANI37" s="115">
        <f>IF(ANI35&gt;0,SUM($D$18:ANH18),0)</f>
        <v>0</v>
      </c>
      <c r="ANJ37" s="115">
        <f>IF(ANJ35&gt;0,SUM($D$18:ANI18),0)</f>
        <v>0</v>
      </c>
      <c r="ANK37" s="115">
        <f>IF(ANK35&gt;0,SUM($D$18:ANJ18),0)</f>
        <v>0</v>
      </c>
      <c r="ANL37" s="115">
        <f>IF(ANL35&gt;0,SUM($D$18:ANK18),0)</f>
        <v>0</v>
      </c>
      <c r="ANM37" s="115">
        <f>IF(ANM35&gt;0,SUM($D$18:ANL18),0)</f>
        <v>0</v>
      </c>
      <c r="ANN37" s="115">
        <f>IF(ANN35&gt;0,SUM($D$18:ANM18),0)</f>
        <v>0</v>
      </c>
      <c r="ANO37" s="115">
        <f>IF(ANO35&gt;0,SUM($D$18:ANN18),0)</f>
        <v>0</v>
      </c>
      <c r="ANP37" s="115">
        <f>IF(ANP35&gt;0,SUM($D$18:ANO18),0)</f>
        <v>0</v>
      </c>
      <c r="ANQ37" s="115">
        <f>IF(ANQ35&gt;0,SUM($D$18:ANP18),0)</f>
        <v>0</v>
      </c>
      <c r="ANR37" s="115">
        <f>IF(ANR35&gt;0,SUM($D$18:ANQ18),0)</f>
        <v>0</v>
      </c>
      <c r="ANS37" s="115">
        <f>IF(ANS35&gt;0,SUM($D$18:ANR18),0)</f>
        <v>0</v>
      </c>
      <c r="ANT37" s="115">
        <f>IF(ANT35&gt;0,SUM($D$18:ANS18),0)</f>
        <v>0</v>
      </c>
      <c r="ANU37" s="115">
        <f>IF(ANU35&gt;0,SUM($D$18:ANT18),0)</f>
        <v>0</v>
      </c>
      <c r="ANV37" s="115">
        <f>IF(ANV35&gt;0,SUM($D$18:ANU18),0)</f>
        <v>0</v>
      </c>
      <c r="ANW37" s="115">
        <f>IF(ANW35&gt;0,SUM($D$18:ANV18),0)</f>
        <v>0</v>
      </c>
      <c r="ANX37" s="115">
        <f>IF(ANX35&gt;0,SUM($D$18:ANW18),0)</f>
        <v>0</v>
      </c>
      <c r="ANY37" s="115">
        <f>IF(ANY35&gt;0,SUM($D$18:ANX18),0)</f>
        <v>0</v>
      </c>
      <c r="ANZ37" s="115">
        <f>IF(ANZ35&gt;0,SUM($D$18:ANY18),0)</f>
        <v>0</v>
      </c>
      <c r="AOA37" s="115">
        <f>IF(AOA35&gt;0,SUM($D$18:ANZ18),0)</f>
        <v>0</v>
      </c>
      <c r="AOB37" s="115">
        <f>IF(AOB35&gt;0,SUM($D$18:AOA18),0)</f>
        <v>0</v>
      </c>
      <c r="AOC37" s="115">
        <f>IF(AOC35&gt;0,SUM($D$18:AOB18),0)</f>
        <v>0</v>
      </c>
      <c r="AOD37" s="115">
        <f>IF(AOD35&gt;0,SUM($D$18:AOC18),0)</f>
        <v>0</v>
      </c>
      <c r="AOE37" s="115">
        <f>IF(AOE35&gt;0,SUM($D$18:AOD18),0)</f>
        <v>0</v>
      </c>
      <c r="AOF37" s="115">
        <f>IF(AOF35&gt;0,SUM($D$18:AOE18),0)</f>
        <v>0</v>
      </c>
      <c r="AOG37" s="115">
        <f>IF(AOG35&gt;0,SUM($D$18:AOF18),0)</f>
        <v>0</v>
      </c>
      <c r="AOH37" s="115">
        <f>IF(AOH35&gt;0,SUM($D$18:AOG18),0)</f>
        <v>0</v>
      </c>
      <c r="AOI37" s="115">
        <f>IF(AOI35&gt;0,SUM($D$18:AOH18),0)</f>
        <v>0</v>
      </c>
      <c r="AOJ37" s="115">
        <f>IF(AOJ35&gt;0,SUM($D$18:AOI18),0)</f>
        <v>0</v>
      </c>
      <c r="AOK37" s="115">
        <f>IF(AOK35&gt;0,SUM($D$18:AOJ18),0)</f>
        <v>0</v>
      </c>
      <c r="AOL37" s="115">
        <f>IF(AOL35&gt;0,SUM($D$18:AOK18),0)</f>
        <v>0</v>
      </c>
      <c r="AOM37" s="115">
        <f>IF(AOM35&gt;0,SUM($D$18:AOL18),0)</f>
        <v>0</v>
      </c>
      <c r="AON37" s="115">
        <f>IF(AON35&gt;0,SUM($D$18:AOM18),0)</f>
        <v>0</v>
      </c>
      <c r="AOO37" s="115">
        <f>IF(AOO35&gt;0,SUM($D$18:AON18),0)</f>
        <v>0</v>
      </c>
      <c r="AOP37" s="115">
        <f>IF(AOP35&gt;0,SUM($D$18:AOO18),0)</f>
        <v>0</v>
      </c>
      <c r="AOQ37" s="115">
        <f>IF(AOQ35&gt;0,SUM($D$18:AOP18),0)</f>
        <v>0</v>
      </c>
    </row>
    <row r="38" spans="1:1083" x14ac:dyDescent="0.25">
      <c r="B38" s="116" t="s">
        <v>300</v>
      </c>
      <c r="C38" s="115">
        <f>IFERROR(MAX(IF(AND(MAX(IF(C36=C29,C37,C37-C30),0)=0,C33&gt;0),"Saldo Insuficiente",IF(C36=C29,C37,C37-C30)),0),"Saldo Insuficiente")</f>
        <v>29</v>
      </c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  <c r="BP38" s="115"/>
      <c r="BQ38" s="115"/>
      <c r="BR38" s="115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115"/>
      <c r="CD38" s="115"/>
      <c r="CE38" s="115"/>
      <c r="CF38" s="115"/>
      <c r="CG38" s="115"/>
      <c r="CH38" s="115"/>
      <c r="CI38" s="115"/>
      <c r="CJ38" s="115"/>
      <c r="CK38" s="115"/>
      <c r="CL38" s="115"/>
      <c r="CM38" s="115"/>
      <c r="CN38" s="115"/>
      <c r="CO38" s="115"/>
      <c r="CP38" s="115"/>
      <c r="CQ38" s="115"/>
      <c r="CR38" s="115"/>
      <c r="CS38" s="115"/>
      <c r="CT38" s="115"/>
      <c r="CU38" s="115"/>
      <c r="CV38" s="115"/>
      <c r="CW38" s="115"/>
      <c r="CX38" s="115"/>
      <c r="CY38" s="115"/>
      <c r="CZ38" s="115"/>
      <c r="DA38" s="115"/>
      <c r="DB38" s="115"/>
      <c r="DC38" s="115"/>
      <c r="DD38" s="115"/>
      <c r="DE38" s="115"/>
      <c r="DF38" s="115"/>
      <c r="DG38" s="115"/>
      <c r="DH38" s="115"/>
      <c r="DI38" s="115"/>
      <c r="DJ38" s="115"/>
      <c r="DK38" s="115"/>
      <c r="DL38" s="115"/>
      <c r="DM38" s="115"/>
      <c r="DN38" s="115"/>
      <c r="DO38" s="115"/>
      <c r="DP38" s="115"/>
      <c r="DQ38" s="115"/>
      <c r="DR38" s="115"/>
      <c r="DS38" s="115"/>
      <c r="DT38" s="115"/>
      <c r="DU38" s="115"/>
      <c r="DV38" s="115"/>
      <c r="DW38" s="115"/>
      <c r="DX38" s="115"/>
      <c r="DY38" s="115"/>
      <c r="DZ38" s="115"/>
      <c r="EA38" s="115"/>
      <c r="EB38" s="115"/>
      <c r="EC38" s="115"/>
      <c r="ED38" s="115"/>
      <c r="EE38" s="115"/>
      <c r="EF38" s="115"/>
      <c r="EG38" s="115"/>
      <c r="EH38" s="115"/>
      <c r="EI38" s="115"/>
      <c r="EJ38" s="115"/>
      <c r="EK38" s="115"/>
      <c r="EL38" s="115"/>
      <c r="EM38" s="115"/>
      <c r="EN38" s="115"/>
      <c r="EO38" s="115"/>
      <c r="EP38" s="115"/>
      <c r="EQ38" s="115"/>
      <c r="ER38" s="115"/>
      <c r="ES38" s="115"/>
      <c r="ET38" s="115"/>
      <c r="EU38" s="115"/>
      <c r="EV38" s="115"/>
      <c r="EW38" s="115"/>
      <c r="EX38" s="115"/>
      <c r="EY38" s="115"/>
      <c r="EZ38" s="115"/>
      <c r="FA38" s="115"/>
      <c r="FB38" s="115"/>
      <c r="FC38" s="115"/>
      <c r="FD38" s="115"/>
      <c r="FE38" s="115"/>
      <c r="FF38" s="115"/>
      <c r="FG38" s="115"/>
      <c r="FH38" s="115"/>
      <c r="FI38" s="115"/>
      <c r="FJ38" s="115"/>
      <c r="FK38" s="115"/>
      <c r="FL38" s="115"/>
      <c r="FM38" s="115"/>
      <c r="FN38" s="115"/>
      <c r="FO38" s="115"/>
      <c r="FP38" s="115"/>
      <c r="FQ38" s="115"/>
      <c r="FR38" s="115"/>
      <c r="FS38" s="115"/>
      <c r="FT38" s="115"/>
      <c r="FU38" s="115"/>
      <c r="FV38" s="115"/>
      <c r="FW38" s="115"/>
      <c r="FX38" s="115"/>
      <c r="FY38" s="115"/>
      <c r="FZ38" s="115"/>
      <c r="GA38" s="115"/>
      <c r="GB38" s="115"/>
      <c r="GC38" s="115"/>
      <c r="GD38" s="115"/>
      <c r="GE38" s="115"/>
      <c r="GF38" s="115"/>
      <c r="GG38" s="115"/>
      <c r="GH38" s="115"/>
      <c r="GI38" s="115"/>
      <c r="GJ38" s="115"/>
      <c r="GK38" s="115"/>
      <c r="GL38" s="115"/>
      <c r="GM38" s="115"/>
      <c r="GN38" s="115"/>
      <c r="GO38" s="115"/>
      <c r="GP38" s="115"/>
      <c r="GQ38" s="115"/>
      <c r="GR38" s="115"/>
      <c r="GS38" s="115"/>
      <c r="GT38" s="115"/>
      <c r="GU38" s="115"/>
      <c r="GV38" s="115"/>
      <c r="GW38" s="115"/>
      <c r="GX38" s="115"/>
      <c r="GY38" s="115"/>
      <c r="GZ38" s="115"/>
      <c r="HA38" s="115"/>
      <c r="HB38" s="115"/>
      <c r="HC38" s="115"/>
      <c r="HD38" s="115"/>
      <c r="HE38" s="115"/>
      <c r="HF38" s="115"/>
      <c r="HG38" s="115"/>
      <c r="HH38" s="115"/>
      <c r="HI38" s="115"/>
      <c r="HJ38" s="115"/>
      <c r="HK38" s="115"/>
      <c r="HL38" s="115"/>
      <c r="HM38" s="115"/>
      <c r="HN38" s="115"/>
      <c r="HO38" s="115"/>
      <c r="HP38" s="115"/>
      <c r="HQ38" s="115"/>
      <c r="HR38" s="115"/>
      <c r="HS38" s="115"/>
      <c r="HT38" s="115"/>
      <c r="HU38" s="115"/>
      <c r="HV38" s="115"/>
      <c r="HW38" s="115"/>
      <c r="HX38" s="115"/>
      <c r="HY38" s="115"/>
      <c r="HZ38" s="115"/>
      <c r="IA38" s="115"/>
      <c r="IB38" s="115"/>
      <c r="IC38" s="115"/>
      <c r="ID38" s="115"/>
      <c r="IE38" s="115"/>
      <c r="IF38" s="115"/>
      <c r="IG38" s="115"/>
      <c r="IH38" s="115"/>
      <c r="II38" s="115"/>
      <c r="IJ38" s="115"/>
      <c r="IK38" s="115"/>
      <c r="IL38" s="115"/>
      <c r="IM38" s="115"/>
      <c r="IN38" s="115"/>
      <c r="IO38" s="115"/>
      <c r="IP38" s="115"/>
      <c r="IQ38" s="115"/>
      <c r="IR38" s="115"/>
      <c r="IS38" s="115"/>
      <c r="IT38" s="115"/>
      <c r="IU38" s="115"/>
      <c r="IV38" s="115"/>
      <c r="IW38" s="115"/>
      <c r="IX38" s="115"/>
      <c r="IY38" s="115"/>
      <c r="IZ38" s="115"/>
      <c r="JA38" s="115"/>
      <c r="JB38" s="115"/>
      <c r="JC38" s="115"/>
      <c r="JD38" s="115"/>
      <c r="JE38" s="115"/>
      <c r="JF38" s="115"/>
      <c r="JG38" s="115"/>
      <c r="JH38" s="115"/>
      <c r="JI38" s="115"/>
      <c r="JJ38" s="115"/>
      <c r="JK38" s="115"/>
      <c r="JL38" s="115"/>
      <c r="JM38" s="115"/>
      <c r="JN38" s="115"/>
      <c r="JO38" s="115"/>
      <c r="JP38" s="115"/>
      <c r="JQ38" s="115"/>
      <c r="JR38" s="115"/>
      <c r="JS38" s="115"/>
      <c r="JT38" s="115"/>
      <c r="JU38" s="115"/>
      <c r="JV38" s="115"/>
      <c r="JW38" s="115"/>
      <c r="JX38" s="115"/>
      <c r="JY38" s="115"/>
      <c r="JZ38" s="115"/>
      <c r="KA38" s="115"/>
      <c r="KB38" s="115"/>
      <c r="KC38" s="115"/>
      <c r="KD38" s="115"/>
      <c r="KE38" s="115"/>
      <c r="KF38" s="115"/>
      <c r="KG38" s="115"/>
      <c r="KH38" s="115"/>
      <c r="KI38" s="115"/>
      <c r="KJ38" s="115"/>
      <c r="KK38" s="115"/>
      <c r="KL38" s="115"/>
      <c r="KM38" s="115"/>
      <c r="KN38" s="115"/>
      <c r="KO38" s="115"/>
      <c r="KP38" s="115"/>
      <c r="KQ38" s="115"/>
      <c r="KR38" s="115"/>
      <c r="KS38" s="115"/>
      <c r="KT38" s="115"/>
      <c r="KU38" s="115"/>
      <c r="KV38" s="115"/>
      <c r="KW38" s="115"/>
      <c r="KX38" s="115"/>
      <c r="KY38" s="115"/>
      <c r="KZ38" s="115"/>
      <c r="LA38" s="115"/>
      <c r="LB38" s="115"/>
      <c r="LC38" s="115"/>
      <c r="LD38" s="115"/>
      <c r="LE38" s="115"/>
      <c r="LF38" s="115"/>
      <c r="LG38" s="115"/>
      <c r="LH38" s="115"/>
      <c r="LI38" s="115"/>
      <c r="LJ38" s="115"/>
      <c r="LK38" s="115"/>
      <c r="LL38" s="115"/>
      <c r="LM38" s="115"/>
      <c r="LN38" s="115"/>
      <c r="LO38" s="115"/>
      <c r="LP38" s="115"/>
      <c r="LQ38" s="115"/>
      <c r="LR38" s="115"/>
      <c r="LS38" s="115"/>
      <c r="LT38" s="115"/>
      <c r="LU38" s="115"/>
      <c r="LV38" s="115"/>
      <c r="LW38" s="115"/>
      <c r="LX38" s="115"/>
      <c r="LY38" s="115"/>
      <c r="LZ38" s="115"/>
      <c r="MA38" s="115"/>
      <c r="MB38" s="115"/>
      <c r="MC38" s="115"/>
      <c r="MD38" s="115"/>
      <c r="ME38" s="115"/>
      <c r="MF38" s="115"/>
      <c r="MG38" s="115"/>
      <c r="MH38" s="115"/>
      <c r="MI38" s="115"/>
      <c r="MJ38" s="115"/>
      <c r="MK38" s="115"/>
      <c r="ML38" s="115"/>
      <c r="MM38" s="115"/>
      <c r="MN38" s="115"/>
      <c r="MO38" s="115"/>
      <c r="MP38" s="115"/>
      <c r="MQ38" s="115"/>
      <c r="MR38" s="115"/>
      <c r="MS38" s="115"/>
      <c r="MT38" s="115"/>
      <c r="MU38" s="115"/>
      <c r="MV38" s="115"/>
      <c r="MW38" s="115"/>
      <c r="MX38" s="115"/>
      <c r="MY38" s="115"/>
      <c r="MZ38" s="115"/>
      <c r="NA38" s="115"/>
      <c r="NB38" s="115"/>
      <c r="NC38" s="115"/>
      <c r="ND38" s="115"/>
      <c r="NE38" s="115"/>
      <c r="NF38" s="115"/>
      <c r="NG38" s="115"/>
      <c r="NH38" s="115"/>
      <c r="NI38" s="115"/>
      <c r="NJ38" s="115"/>
      <c r="NK38" s="115"/>
      <c r="NL38" s="115"/>
      <c r="NM38" s="115"/>
      <c r="NN38" s="115"/>
      <c r="NO38" s="115"/>
      <c r="NP38" s="115"/>
      <c r="NQ38" s="115"/>
      <c r="NR38" s="115"/>
      <c r="NS38" s="115"/>
      <c r="NT38" s="115"/>
      <c r="NU38" s="115"/>
      <c r="NV38" s="115"/>
      <c r="NW38" s="115"/>
      <c r="NX38" s="115"/>
      <c r="NY38" s="115"/>
      <c r="NZ38" s="115"/>
      <c r="OA38" s="115"/>
      <c r="OB38" s="115"/>
      <c r="OC38" s="115"/>
      <c r="OD38" s="115"/>
      <c r="OE38" s="115"/>
      <c r="OF38" s="115"/>
      <c r="OG38" s="115"/>
      <c r="OH38" s="115"/>
      <c r="OI38" s="115"/>
      <c r="OJ38" s="115"/>
      <c r="OK38" s="115"/>
      <c r="OL38" s="115"/>
      <c r="OM38" s="115"/>
      <c r="ON38" s="115"/>
      <c r="OO38" s="115"/>
      <c r="OP38" s="115"/>
      <c r="OQ38" s="115"/>
      <c r="OR38" s="115"/>
      <c r="OS38" s="115"/>
      <c r="OT38" s="115"/>
      <c r="OU38" s="115"/>
      <c r="OV38" s="115"/>
      <c r="OW38" s="115"/>
      <c r="OX38" s="115"/>
      <c r="OY38" s="115"/>
      <c r="OZ38" s="115"/>
      <c r="PA38" s="115"/>
      <c r="PB38" s="115"/>
      <c r="PC38" s="115"/>
      <c r="PD38" s="115"/>
      <c r="PE38" s="115"/>
      <c r="PF38" s="115"/>
      <c r="PG38" s="115"/>
      <c r="PH38" s="115"/>
      <c r="PI38" s="115"/>
      <c r="PJ38" s="115"/>
      <c r="PK38" s="115"/>
      <c r="PL38" s="115"/>
      <c r="PM38" s="115"/>
      <c r="PN38" s="115"/>
      <c r="PO38" s="115"/>
      <c r="PP38" s="115"/>
      <c r="PQ38" s="115"/>
      <c r="PR38" s="115"/>
      <c r="PS38" s="115"/>
      <c r="PT38" s="115"/>
      <c r="PU38" s="115"/>
      <c r="PV38" s="115"/>
      <c r="PW38" s="115"/>
      <c r="PX38" s="115"/>
      <c r="PY38" s="115"/>
      <c r="PZ38" s="115"/>
      <c r="QA38" s="115"/>
      <c r="QB38" s="115"/>
      <c r="QC38" s="115"/>
      <c r="QD38" s="115"/>
      <c r="QE38" s="115"/>
      <c r="QF38" s="115"/>
      <c r="QG38" s="115"/>
      <c r="QH38" s="115"/>
      <c r="QI38" s="115"/>
      <c r="QJ38" s="115"/>
      <c r="QK38" s="115"/>
      <c r="QL38" s="115"/>
      <c r="QM38" s="115"/>
      <c r="QN38" s="115"/>
      <c r="QO38" s="115"/>
      <c r="QP38" s="115"/>
      <c r="QQ38" s="115"/>
      <c r="QR38" s="115"/>
      <c r="QS38" s="115"/>
      <c r="QT38" s="115"/>
      <c r="QU38" s="115"/>
      <c r="QV38" s="115"/>
      <c r="QW38" s="115"/>
      <c r="QX38" s="115"/>
      <c r="QY38" s="115"/>
      <c r="QZ38" s="115"/>
      <c r="RA38" s="115"/>
      <c r="RB38" s="115"/>
      <c r="RC38" s="115"/>
      <c r="RD38" s="115"/>
      <c r="RE38" s="115"/>
      <c r="RF38" s="115"/>
      <c r="RG38" s="115"/>
      <c r="RH38" s="115"/>
      <c r="RI38" s="115"/>
      <c r="RJ38" s="115"/>
      <c r="RK38" s="115"/>
      <c r="RL38" s="115"/>
      <c r="RM38" s="115"/>
      <c r="RN38" s="115"/>
      <c r="RO38" s="115"/>
      <c r="RP38" s="115"/>
      <c r="RQ38" s="115"/>
      <c r="RR38" s="115"/>
      <c r="RS38" s="115"/>
      <c r="RT38" s="115"/>
      <c r="RU38" s="115"/>
      <c r="RV38" s="115"/>
      <c r="RW38" s="115"/>
      <c r="RX38" s="115"/>
      <c r="RY38" s="115"/>
      <c r="RZ38" s="115"/>
      <c r="SA38" s="115"/>
      <c r="SB38" s="115"/>
      <c r="SC38" s="115"/>
      <c r="SD38" s="115"/>
      <c r="SE38" s="115"/>
      <c r="SF38" s="115"/>
      <c r="SG38" s="115"/>
      <c r="SH38" s="115"/>
      <c r="SI38" s="115"/>
      <c r="SJ38" s="115"/>
      <c r="SK38" s="115"/>
      <c r="SL38" s="115"/>
      <c r="SM38" s="115"/>
      <c r="SN38" s="115"/>
      <c r="SO38" s="115"/>
      <c r="SP38" s="115"/>
      <c r="SQ38" s="115"/>
      <c r="SR38" s="115"/>
      <c r="SS38" s="115"/>
      <c r="ST38" s="115"/>
      <c r="SU38" s="115"/>
      <c r="SV38" s="115"/>
      <c r="SW38" s="115"/>
      <c r="SX38" s="115"/>
      <c r="SY38" s="115"/>
      <c r="SZ38" s="115"/>
      <c r="TA38" s="115"/>
      <c r="TB38" s="115"/>
      <c r="TC38" s="115"/>
      <c r="TD38" s="115"/>
      <c r="TE38" s="115"/>
      <c r="TF38" s="115"/>
      <c r="TG38" s="115"/>
      <c r="TH38" s="115"/>
      <c r="TI38" s="115"/>
      <c r="TJ38" s="115"/>
      <c r="TK38" s="115"/>
      <c r="TL38" s="115"/>
      <c r="TM38" s="115"/>
      <c r="TN38" s="115"/>
      <c r="TO38" s="115"/>
      <c r="TP38" s="115"/>
      <c r="TQ38" s="115"/>
      <c r="TR38" s="115"/>
      <c r="TS38" s="115"/>
      <c r="TT38" s="115"/>
      <c r="TU38" s="115"/>
      <c r="TV38" s="115"/>
      <c r="TW38" s="115"/>
      <c r="TX38" s="115"/>
      <c r="TY38" s="115"/>
      <c r="TZ38" s="115"/>
      <c r="UA38" s="115"/>
      <c r="UB38" s="115"/>
      <c r="UC38" s="115"/>
      <c r="UD38" s="115"/>
      <c r="UE38" s="115"/>
      <c r="UF38" s="115"/>
      <c r="UG38" s="115"/>
      <c r="UH38" s="115"/>
      <c r="UI38" s="115"/>
      <c r="UJ38" s="115"/>
      <c r="UK38" s="115"/>
      <c r="UL38" s="115"/>
      <c r="UM38" s="115"/>
      <c r="UN38" s="115"/>
      <c r="UO38" s="115"/>
      <c r="UP38" s="115"/>
      <c r="UQ38" s="115"/>
      <c r="UR38" s="115"/>
      <c r="US38" s="115"/>
      <c r="UT38" s="115"/>
      <c r="UU38" s="115"/>
      <c r="UV38" s="115"/>
      <c r="UW38" s="115"/>
      <c r="UX38" s="115"/>
      <c r="UY38" s="115"/>
      <c r="UZ38" s="115"/>
      <c r="VA38" s="115"/>
      <c r="VB38" s="115"/>
      <c r="VC38" s="115"/>
      <c r="VD38" s="115"/>
      <c r="VE38" s="115"/>
      <c r="VF38" s="115"/>
      <c r="VG38" s="115"/>
      <c r="VH38" s="115"/>
      <c r="VI38" s="115"/>
      <c r="VJ38" s="115"/>
      <c r="VK38" s="115"/>
      <c r="VL38" s="115"/>
      <c r="VM38" s="115"/>
      <c r="VN38" s="115"/>
      <c r="VO38" s="115"/>
      <c r="VP38" s="115"/>
      <c r="VQ38" s="115"/>
      <c r="VR38" s="115"/>
      <c r="VS38" s="115"/>
      <c r="VT38" s="115"/>
      <c r="VU38" s="115"/>
      <c r="VV38" s="115"/>
      <c r="VW38" s="115"/>
      <c r="VX38" s="115"/>
      <c r="VY38" s="115"/>
      <c r="VZ38" s="115"/>
      <c r="WA38" s="115"/>
      <c r="WB38" s="115"/>
      <c r="WC38" s="115"/>
      <c r="WD38" s="115"/>
      <c r="WE38" s="115"/>
      <c r="WF38" s="115"/>
      <c r="WG38" s="115"/>
      <c r="WH38" s="115"/>
      <c r="WI38" s="115"/>
      <c r="WJ38" s="115"/>
      <c r="WK38" s="115"/>
      <c r="WL38" s="115"/>
      <c r="WM38" s="115"/>
      <c r="WN38" s="115"/>
      <c r="WO38" s="115"/>
      <c r="WP38" s="115"/>
      <c r="WQ38" s="115"/>
      <c r="WR38" s="115"/>
      <c r="WS38" s="115"/>
      <c r="WT38" s="115"/>
      <c r="WU38" s="115"/>
      <c r="WV38" s="115"/>
      <c r="WW38" s="115"/>
      <c r="WX38" s="115"/>
      <c r="WY38" s="115"/>
      <c r="WZ38" s="115"/>
      <c r="XA38" s="115"/>
      <c r="XB38" s="115"/>
      <c r="XC38" s="115"/>
      <c r="XD38" s="115"/>
      <c r="XE38" s="115"/>
      <c r="XF38" s="115"/>
      <c r="XG38" s="115"/>
      <c r="XH38" s="115"/>
      <c r="XI38" s="115"/>
      <c r="XJ38" s="115"/>
      <c r="XK38" s="115"/>
      <c r="XL38" s="115"/>
      <c r="XM38" s="115"/>
      <c r="XN38" s="115"/>
      <c r="XO38" s="115"/>
      <c r="XP38" s="115"/>
      <c r="XQ38" s="115"/>
      <c r="XR38" s="115"/>
      <c r="XS38" s="115"/>
      <c r="XT38" s="115"/>
      <c r="XU38" s="115"/>
      <c r="XV38" s="115"/>
      <c r="XW38" s="115"/>
      <c r="XX38" s="115"/>
      <c r="XY38" s="115"/>
      <c r="XZ38" s="115"/>
      <c r="YA38" s="115"/>
      <c r="YB38" s="115"/>
      <c r="YC38" s="115"/>
      <c r="YD38" s="115"/>
      <c r="YE38" s="115"/>
      <c r="YF38" s="115"/>
      <c r="YG38" s="115"/>
      <c r="YH38" s="115"/>
      <c r="YI38" s="115"/>
      <c r="YJ38" s="115"/>
      <c r="YK38" s="115"/>
      <c r="YL38" s="115"/>
      <c r="YM38" s="115"/>
      <c r="YN38" s="115"/>
      <c r="YO38" s="115"/>
      <c r="YP38" s="115"/>
      <c r="YQ38" s="115"/>
      <c r="YR38" s="115"/>
      <c r="YS38" s="115"/>
      <c r="YT38" s="115"/>
      <c r="YU38" s="115"/>
      <c r="YV38" s="115"/>
      <c r="YW38" s="115"/>
      <c r="YX38" s="115"/>
      <c r="YY38" s="115"/>
      <c r="YZ38" s="115"/>
      <c r="ZA38" s="115"/>
      <c r="ZB38" s="115"/>
      <c r="ZC38" s="115"/>
      <c r="ZD38" s="115"/>
      <c r="ZE38" s="115"/>
      <c r="ZF38" s="115"/>
      <c r="ZG38" s="115"/>
      <c r="ZH38" s="115"/>
      <c r="ZI38" s="115"/>
      <c r="ZJ38" s="115"/>
      <c r="ZK38" s="115"/>
      <c r="ZL38" s="115"/>
      <c r="ZM38" s="115"/>
      <c r="ZN38" s="115"/>
      <c r="ZO38" s="115"/>
      <c r="ZP38" s="115"/>
      <c r="ZQ38" s="115"/>
      <c r="ZR38" s="115"/>
      <c r="ZS38" s="115"/>
      <c r="ZT38" s="115"/>
      <c r="ZU38" s="115"/>
      <c r="ZV38" s="115"/>
      <c r="ZW38" s="115"/>
      <c r="ZX38" s="115"/>
      <c r="ZY38" s="115"/>
      <c r="ZZ38" s="115"/>
      <c r="AAA38" s="115"/>
      <c r="AAB38" s="115"/>
      <c r="AAC38" s="115"/>
      <c r="AAD38" s="115"/>
      <c r="AAE38" s="115"/>
      <c r="AAF38" s="115"/>
      <c r="AAG38" s="115"/>
      <c r="AAH38" s="115"/>
      <c r="AAI38" s="115"/>
      <c r="AAJ38" s="115"/>
      <c r="AAK38" s="115"/>
      <c r="AAL38" s="115"/>
      <c r="AAM38" s="115"/>
      <c r="AAN38" s="115"/>
      <c r="AAO38" s="115"/>
      <c r="AAP38" s="115"/>
      <c r="AAQ38" s="115"/>
      <c r="AAR38" s="115"/>
      <c r="AAS38" s="115"/>
      <c r="AAT38" s="115"/>
      <c r="AAU38" s="115"/>
      <c r="AAV38" s="115"/>
      <c r="AAW38" s="115"/>
      <c r="AAX38" s="115"/>
      <c r="AAY38" s="115"/>
      <c r="AAZ38" s="115"/>
      <c r="ABA38" s="115"/>
      <c r="ABB38" s="115"/>
      <c r="ABC38" s="115"/>
      <c r="ABD38" s="115"/>
      <c r="ABE38" s="115"/>
      <c r="ABF38" s="115"/>
      <c r="ABG38" s="115"/>
      <c r="ABH38" s="115"/>
      <c r="ABI38" s="115"/>
      <c r="ABJ38" s="115"/>
      <c r="ABK38" s="115"/>
      <c r="ABL38" s="115"/>
      <c r="ABM38" s="115"/>
      <c r="ABN38" s="115"/>
      <c r="ABO38" s="115"/>
      <c r="ABP38" s="115"/>
      <c r="ABQ38" s="115"/>
      <c r="ABR38" s="115"/>
      <c r="ABS38" s="115"/>
      <c r="ABT38" s="115"/>
      <c r="ABU38" s="115"/>
      <c r="ABV38" s="115"/>
      <c r="ABW38" s="115"/>
      <c r="ABX38" s="115"/>
      <c r="ABY38" s="115"/>
      <c r="ABZ38" s="115"/>
      <c r="ACA38" s="115"/>
      <c r="ACB38" s="115"/>
      <c r="ACC38" s="115"/>
      <c r="ACD38" s="115"/>
      <c r="ACE38" s="115"/>
      <c r="ACF38" s="115"/>
      <c r="ACG38" s="115"/>
      <c r="ACH38" s="115"/>
      <c r="ACI38" s="115"/>
      <c r="ACJ38" s="115"/>
      <c r="ACK38" s="115"/>
      <c r="ACL38" s="115"/>
      <c r="ACM38" s="115"/>
      <c r="ACN38" s="115"/>
      <c r="ACO38" s="115"/>
      <c r="ACP38" s="115"/>
      <c r="ACQ38" s="115"/>
      <c r="ACR38" s="115"/>
      <c r="ACS38" s="115"/>
      <c r="ACT38" s="115"/>
      <c r="ACU38" s="115"/>
      <c r="ACV38" s="115"/>
      <c r="ACW38" s="115"/>
      <c r="ACX38" s="115"/>
      <c r="ACY38" s="115"/>
      <c r="ACZ38" s="115"/>
      <c r="ADA38" s="115"/>
      <c r="ADB38" s="115"/>
      <c r="ADC38" s="115"/>
      <c r="ADD38" s="115"/>
      <c r="ADE38" s="115"/>
      <c r="ADF38" s="115"/>
      <c r="ADG38" s="115"/>
      <c r="ADH38" s="115"/>
      <c r="ADI38" s="115"/>
      <c r="ADJ38" s="115"/>
      <c r="ADK38" s="115"/>
      <c r="ADL38" s="115"/>
      <c r="ADM38" s="115"/>
      <c r="ADN38" s="115"/>
      <c r="ADO38" s="115"/>
      <c r="ADP38" s="115"/>
      <c r="ADQ38" s="115"/>
      <c r="ADR38" s="115"/>
      <c r="ADS38" s="115"/>
      <c r="ADT38" s="115"/>
      <c r="ADU38" s="115"/>
      <c r="ADV38" s="115"/>
      <c r="ADW38" s="115"/>
      <c r="ADX38" s="115"/>
      <c r="ADY38" s="115"/>
      <c r="ADZ38" s="115"/>
      <c r="AEA38" s="115"/>
      <c r="AEB38" s="115"/>
      <c r="AEC38" s="115"/>
      <c r="AED38" s="115"/>
      <c r="AEE38" s="115"/>
      <c r="AEF38" s="115"/>
      <c r="AEG38" s="115"/>
      <c r="AEH38" s="115"/>
      <c r="AEI38" s="115"/>
      <c r="AEJ38" s="115"/>
      <c r="AEK38" s="115"/>
      <c r="AEL38" s="115"/>
      <c r="AEM38" s="115"/>
      <c r="AEN38" s="115"/>
      <c r="AEO38" s="115"/>
      <c r="AEP38" s="115"/>
      <c r="AEQ38" s="115"/>
      <c r="AER38" s="115"/>
      <c r="AES38" s="115"/>
      <c r="AET38" s="115"/>
      <c r="AEU38" s="115"/>
      <c r="AEV38" s="115"/>
      <c r="AEW38" s="115"/>
      <c r="AEX38" s="115"/>
      <c r="AEY38" s="115"/>
      <c r="AEZ38" s="115"/>
      <c r="AFA38" s="115"/>
      <c r="AFB38" s="115"/>
      <c r="AFC38" s="115"/>
      <c r="AFD38" s="115"/>
      <c r="AFE38" s="115"/>
      <c r="AFF38" s="115"/>
      <c r="AFG38" s="115"/>
      <c r="AFH38" s="115"/>
      <c r="AFI38" s="115"/>
      <c r="AFJ38" s="115"/>
      <c r="AFK38" s="115"/>
      <c r="AFL38" s="115"/>
      <c r="AFM38" s="115"/>
      <c r="AFN38" s="115"/>
      <c r="AFO38" s="115"/>
      <c r="AFP38" s="115"/>
      <c r="AFQ38" s="115"/>
      <c r="AFR38" s="115"/>
      <c r="AFS38" s="115"/>
      <c r="AFT38" s="115"/>
      <c r="AFU38" s="115"/>
      <c r="AFV38" s="115"/>
      <c r="AFW38" s="115"/>
      <c r="AFX38" s="115"/>
      <c r="AFY38" s="115"/>
      <c r="AFZ38" s="115"/>
      <c r="AGA38" s="115"/>
      <c r="AGB38" s="115"/>
      <c r="AGC38" s="115"/>
      <c r="AGD38" s="115"/>
      <c r="AGE38" s="115"/>
      <c r="AGF38" s="115"/>
      <c r="AGG38" s="115"/>
      <c r="AGH38" s="115"/>
      <c r="AGI38" s="115"/>
      <c r="AGJ38" s="115"/>
      <c r="AGK38" s="115"/>
      <c r="AGL38" s="115"/>
      <c r="AGM38" s="115"/>
      <c r="AGN38" s="115"/>
      <c r="AGO38" s="115"/>
      <c r="AGP38" s="115"/>
      <c r="AGQ38" s="115"/>
      <c r="AGR38" s="115"/>
      <c r="AGS38" s="115"/>
      <c r="AGT38" s="115"/>
      <c r="AGU38" s="115"/>
      <c r="AGV38" s="115"/>
      <c r="AGW38" s="115"/>
      <c r="AGX38" s="115"/>
      <c r="AGY38" s="115"/>
      <c r="AGZ38" s="115"/>
      <c r="AHA38" s="115"/>
      <c r="AHB38" s="115"/>
      <c r="AHC38" s="115"/>
      <c r="AHD38" s="115"/>
      <c r="AHE38" s="115"/>
      <c r="AHF38" s="115"/>
      <c r="AHG38" s="115"/>
      <c r="AHH38" s="115"/>
      <c r="AHI38" s="115"/>
      <c r="AHJ38" s="115"/>
      <c r="AHK38" s="115"/>
      <c r="AHL38" s="115"/>
      <c r="AHM38" s="115"/>
      <c r="AHN38" s="115"/>
      <c r="AHO38" s="115"/>
      <c r="AHP38" s="115"/>
      <c r="AHQ38" s="115"/>
      <c r="AHR38" s="115"/>
      <c r="AHS38" s="115"/>
      <c r="AHT38" s="115"/>
      <c r="AHU38" s="115"/>
      <c r="AHV38" s="115"/>
      <c r="AHW38" s="115"/>
      <c r="AHX38" s="115"/>
      <c r="AHY38" s="115"/>
      <c r="AHZ38" s="115"/>
      <c r="AIA38" s="115"/>
      <c r="AIB38" s="115"/>
      <c r="AIC38" s="115"/>
      <c r="AID38" s="115"/>
      <c r="AIE38" s="115"/>
      <c r="AIF38" s="115"/>
      <c r="AIG38" s="115"/>
      <c r="AIH38" s="115"/>
      <c r="AII38" s="115"/>
      <c r="AIJ38" s="115"/>
      <c r="AIK38" s="115"/>
      <c r="AIL38" s="115"/>
      <c r="AIM38" s="115"/>
      <c r="AIN38" s="115"/>
      <c r="AIO38" s="115"/>
      <c r="AIP38" s="115"/>
      <c r="AIQ38" s="115"/>
      <c r="AIR38" s="115"/>
      <c r="AIS38" s="115"/>
      <c r="AIT38" s="115"/>
      <c r="AIU38" s="115"/>
      <c r="AIV38" s="115"/>
      <c r="AIW38" s="115"/>
      <c r="AIX38" s="115"/>
      <c r="AIY38" s="115"/>
      <c r="AIZ38" s="115"/>
      <c r="AJA38" s="115"/>
      <c r="AJB38" s="115"/>
      <c r="AJC38" s="115"/>
      <c r="AJD38" s="115"/>
      <c r="AJE38" s="115"/>
      <c r="AJF38" s="115"/>
      <c r="AJG38" s="115"/>
      <c r="AJH38" s="115"/>
      <c r="AJI38" s="115"/>
      <c r="AJJ38" s="115"/>
      <c r="AJK38" s="115"/>
      <c r="AJL38" s="115"/>
      <c r="AJM38" s="115"/>
      <c r="AJN38" s="115"/>
      <c r="AJO38" s="115"/>
      <c r="AJP38" s="115"/>
      <c r="AJQ38" s="115"/>
      <c r="AJR38" s="115"/>
      <c r="AJS38" s="115"/>
      <c r="AJT38" s="115"/>
      <c r="AJU38" s="115"/>
      <c r="AJV38" s="115"/>
      <c r="AJW38" s="115"/>
      <c r="AJX38" s="115"/>
      <c r="AJY38" s="115"/>
      <c r="AJZ38" s="115"/>
      <c r="AKA38" s="115"/>
      <c r="AKB38" s="115"/>
      <c r="AKC38" s="115"/>
      <c r="AKD38" s="115"/>
      <c r="AKE38" s="115"/>
      <c r="AKF38" s="115"/>
      <c r="AKG38" s="115"/>
      <c r="AKH38" s="115"/>
      <c r="AKI38" s="115"/>
      <c r="AKJ38" s="115"/>
      <c r="AKK38" s="115"/>
      <c r="AKL38" s="115"/>
      <c r="AKM38" s="115"/>
      <c r="AKN38" s="115"/>
      <c r="AKO38" s="115"/>
      <c r="AKP38" s="115"/>
      <c r="AKQ38" s="115"/>
      <c r="AKR38" s="115"/>
      <c r="AKS38" s="115"/>
      <c r="AKT38" s="115"/>
      <c r="AKU38" s="115"/>
      <c r="AKV38" s="115"/>
      <c r="AKW38" s="115"/>
      <c r="AKX38" s="115"/>
      <c r="AKY38" s="115"/>
      <c r="AKZ38" s="115"/>
      <c r="ALA38" s="115"/>
      <c r="ALB38" s="115"/>
      <c r="ALC38" s="115"/>
      <c r="ALD38" s="115"/>
      <c r="ALE38" s="115"/>
      <c r="ALF38" s="115"/>
      <c r="ALG38" s="115"/>
      <c r="ALH38" s="115"/>
      <c r="ALI38" s="115"/>
      <c r="ALJ38" s="115"/>
      <c r="ALK38" s="115"/>
      <c r="ALL38" s="115"/>
      <c r="ALM38" s="115"/>
      <c r="ALN38" s="115"/>
      <c r="ALO38" s="115"/>
      <c r="ALP38" s="115"/>
      <c r="ALQ38" s="115"/>
      <c r="ALR38" s="115"/>
      <c r="ALS38" s="115"/>
      <c r="ALT38" s="115"/>
      <c r="ALU38" s="115"/>
      <c r="ALV38" s="115"/>
      <c r="ALW38" s="115"/>
      <c r="ALX38" s="115"/>
      <c r="ALY38" s="115"/>
      <c r="ALZ38" s="115"/>
      <c r="AMA38" s="115"/>
      <c r="AMB38" s="115"/>
      <c r="AMC38" s="115"/>
      <c r="AMD38" s="115"/>
      <c r="AME38" s="115"/>
      <c r="AMF38" s="115"/>
      <c r="AMG38" s="115"/>
      <c r="AMH38" s="115"/>
      <c r="AMI38" s="115"/>
      <c r="AMJ38" s="115"/>
      <c r="AMK38" s="115"/>
      <c r="AML38" s="115"/>
      <c r="AMM38" s="115"/>
      <c r="AMN38" s="115"/>
      <c r="AMO38" s="115"/>
      <c r="AMP38" s="115"/>
      <c r="AMQ38" s="115"/>
      <c r="AMR38" s="115"/>
      <c r="AMS38" s="115"/>
      <c r="AMT38" s="115"/>
      <c r="AMU38" s="115"/>
      <c r="AMV38" s="115"/>
      <c r="AMW38" s="115"/>
      <c r="AMX38" s="115"/>
      <c r="AMY38" s="115"/>
      <c r="AMZ38" s="115"/>
      <c r="ANA38" s="115"/>
      <c r="ANB38" s="115"/>
      <c r="ANC38" s="115"/>
      <c r="AND38" s="115"/>
      <c r="ANE38" s="115"/>
      <c r="ANF38" s="115"/>
      <c r="ANG38" s="115"/>
      <c r="ANH38" s="115"/>
      <c r="ANI38" s="115"/>
      <c r="ANJ38" s="115"/>
      <c r="ANK38" s="115"/>
      <c r="ANL38" s="115"/>
      <c r="ANM38" s="115"/>
      <c r="ANN38" s="115"/>
      <c r="ANO38" s="115"/>
      <c r="ANP38" s="115"/>
      <c r="ANQ38" s="115"/>
      <c r="ANR38" s="115"/>
      <c r="ANS38" s="115"/>
      <c r="ANT38" s="115"/>
      <c r="ANU38" s="115"/>
      <c r="ANV38" s="115"/>
      <c r="ANW38" s="115"/>
      <c r="ANX38" s="115"/>
      <c r="ANY38" s="115"/>
      <c r="ANZ38" s="115"/>
      <c r="AOA38" s="115"/>
      <c r="AOB38" s="115"/>
      <c r="AOC38" s="115"/>
      <c r="AOD38" s="115"/>
      <c r="AOE38" s="115"/>
      <c r="AOF38" s="115"/>
      <c r="AOG38" s="115"/>
      <c r="AOH38" s="115"/>
      <c r="AOI38" s="115"/>
      <c r="AOJ38" s="115"/>
      <c r="AOK38" s="115"/>
      <c r="AOL38" s="115"/>
      <c r="AOM38" s="115"/>
      <c r="AON38" s="115"/>
      <c r="AOO38" s="115"/>
      <c r="AOP38" s="115"/>
      <c r="AOQ38" s="115"/>
    </row>
    <row r="39" spans="1:1083" x14ac:dyDescent="0.25">
      <c r="A39" s="42"/>
      <c r="XE39" s="60"/>
    </row>
    <row r="40" spans="1:1083" x14ac:dyDescent="0.25">
      <c r="A40" s="42"/>
      <c r="B40" s="42" t="str">
        <f>'Patrimonio Financiero'!BH204</f>
        <v>Objetivo 3</v>
      </c>
      <c r="C40" s="57">
        <f>'Patrimonio Financiero'!CB204</f>
        <v>100000</v>
      </c>
      <c r="D40" s="57">
        <f t="shared" ref="D40:BO40" si="1402">$C40</f>
        <v>100000</v>
      </c>
      <c r="E40" s="57">
        <f t="shared" si="1402"/>
        <v>100000</v>
      </c>
      <c r="F40" s="57">
        <f t="shared" si="1402"/>
        <v>100000</v>
      </c>
      <c r="G40" s="57">
        <f t="shared" si="1402"/>
        <v>100000</v>
      </c>
      <c r="H40" s="57">
        <f t="shared" si="1402"/>
        <v>100000</v>
      </c>
      <c r="I40" s="57">
        <f t="shared" si="1402"/>
        <v>100000</v>
      </c>
      <c r="J40" s="57">
        <f t="shared" si="1402"/>
        <v>100000</v>
      </c>
      <c r="K40" s="57">
        <f t="shared" si="1402"/>
        <v>100000</v>
      </c>
      <c r="L40" s="57">
        <f t="shared" si="1402"/>
        <v>100000</v>
      </c>
      <c r="M40" s="57">
        <f t="shared" si="1402"/>
        <v>100000</v>
      </c>
      <c r="N40" s="57">
        <f t="shared" si="1402"/>
        <v>100000</v>
      </c>
      <c r="O40" s="57">
        <f t="shared" si="1402"/>
        <v>100000</v>
      </c>
      <c r="P40" s="57">
        <f t="shared" si="1402"/>
        <v>100000</v>
      </c>
      <c r="Q40" s="57">
        <f t="shared" si="1402"/>
        <v>100000</v>
      </c>
      <c r="R40" s="57">
        <f t="shared" si="1402"/>
        <v>100000</v>
      </c>
      <c r="S40" s="57">
        <f t="shared" si="1402"/>
        <v>100000</v>
      </c>
      <c r="T40" s="57">
        <f t="shared" si="1402"/>
        <v>100000</v>
      </c>
      <c r="U40" s="57">
        <f t="shared" si="1402"/>
        <v>100000</v>
      </c>
      <c r="V40" s="57">
        <f t="shared" si="1402"/>
        <v>100000</v>
      </c>
      <c r="W40" s="57">
        <f t="shared" si="1402"/>
        <v>100000</v>
      </c>
      <c r="X40" s="57">
        <f t="shared" si="1402"/>
        <v>100000</v>
      </c>
      <c r="Y40" s="57">
        <f t="shared" si="1402"/>
        <v>100000</v>
      </c>
      <c r="Z40" s="57">
        <f t="shared" si="1402"/>
        <v>100000</v>
      </c>
      <c r="AA40" s="57">
        <f t="shared" si="1402"/>
        <v>100000</v>
      </c>
      <c r="AB40" s="57">
        <f t="shared" si="1402"/>
        <v>100000</v>
      </c>
      <c r="AC40" s="57">
        <f t="shared" si="1402"/>
        <v>100000</v>
      </c>
      <c r="AD40" s="57">
        <f t="shared" si="1402"/>
        <v>100000</v>
      </c>
      <c r="AE40" s="57">
        <f t="shared" si="1402"/>
        <v>100000</v>
      </c>
      <c r="AF40" s="57">
        <f t="shared" si="1402"/>
        <v>100000</v>
      </c>
      <c r="AG40" s="57">
        <f t="shared" si="1402"/>
        <v>100000</v>
      </c>
      <c r="AH40" s="57">
        <f t="shared" si="1402"/>
        <v>100000</v>
      </c>
      <c r="AI40" s="57">
        <f t="shared" si="1402"/>
        <v>100000</v>
      </c>
      <c r="AJ40" s="57">
        <f t="shared" si="1402"/>
        <v>100000</v>
      </c>
      <c r="AK40" s="57">
        <f t="shared" si="1402"/>
        <v>100000</v>
      </c>
      <c r="AL40" s="57">
        <f t="shared" si="1402"/>
        <v>100000</v>
      </c>
      <c r="AM40" s="57">
        <f t="shared" si="1402"/>
        <v>100000</v>
      </c>
      <c r="AN40" s="57">
        <f t="shared" si="1402"/>
        <v>100000</v>
      </c>
      <c r="AO40" s="57">
        <f t="shared" si="1402"/>
        <v>100000</v>
      </c>
      <c r="AP40" s="57">
        <f t="shared" si="1402"/>
        <v>100000</v>
      </c>
      <c r="AQ40" s="57">
        <f t="shared" si="1402"/>
        <v>100000</v>
      </c>
      <c r="AR40" s="57">
        <f t="shared" si="1402"/>
        <v>100000</v>
      </c>
      <c r="AS40" s="57">
        <f t="shared" si="1402"/>
        <v>100000</v>
      </c>
      <c r="AT40" s="57">
        <f t="shared" si="1402"/>
        <v>100000</v>
      </c>
      <c r="AU40" s="57">
        <f t="shared" si="1402"/>
        <v>100000</v>
      </c>
      <c r="AV40" s="57">
        <f t="shared" si="1402"/>
        <v>100000</v>
      </c>
      <c r="AW40" s="57">
        <f t="shared" si="1402"/>
        <v>100000</v>
      </c>
      <c r="AX40" s="57">
        <f t="shared" si="1402"/>
        <v>100000</v>
      </c>
      <c r="AY40" s="57">
        <f t="shared" si="1402"/>
        <v>100000</v>
      </c>
      <c r="AZ40" s="57">
        <f t="shared" si="1402"/>
        <v>100000</v>
      </c>
      <c r="BA40" s="57">
        <f t="shared" si="1402"/>
        <v>100000</v>
      </c>
      <c r="BB40" s="57">
        <f t="shared" si="1402"/>
        <v>100000</v>
      </c>
      <c r="BC40" s="57">
        <f t="shared" si="1402"/>
        <v>100000</v>
      </c>
      <c r="BD40" s="57">
        <f t="shared" si="1402"/>
        <v>100000</v>
      </c>
      <c r="BE40" s="57">
        <f t="shared" si="1402"/>
        <v>100000</v>
      </c>
      <c r="BF40" s="57">
        <f t="shared" si="1402"/>
        <v>100000</v>
      </c>
      <c r="BG40" s="57">
        <f t="shared" si="1402"/>
        <v>100000</v>
      </c>
      <c r="BH40" s="57">
        <f t="shared" si="1402"/>
        <v>100000</v>
      </c>
      <c r="BI40" s="57">
        <f t="shared" si="1402"/>
        <v>100000</v>
      </c>
      <c r="BJ40" s="57">
        <f t="shared" si="1402"/>
        <v>100000</v>
      </c>
      <c r="BK40" s="57">
        <f t="shared" si="1402"/>
        <v>100000</v>
      </c>
      <c r="BL40" s="57">
        <f t="shared" si="1402"/>
        <v>100000</v>
      </c>
      <c r="BM40" s="57">
        <f t="shared" si="1402"/>
        <v>100000</v>
      </c>
      <c r="BN40" s="57">
        <f t="shared" si="1402"/>
        <v>100000</v>
      </c>
      <c r="BO40" s="57">
        <f t="shared" si="1402"/>
        <v>100000</v>
      </c>
      <c r="BP40" s="57">
        <f t="shared" ref="BP40:EA40" si="1403">$C40</f>
        <v>100000</v>
      </c>
      <c r="BQ40" s="57">
        <f t="shared" si="1403"/>
        <v>100000</v>
      </c>
      <c r="BR40" s="57">
        <f t="shared" si="1403"/>
        <v>100000</v>
      </c>
      <c r="BS40" s="57">
        <f t="shared" si="1403"/>
        <v>100000</v>
      </c>
      <c r="BT40" s="57">
        <f t="shared" si="1403"/>
        <v>100000</v>
      </c>
      <c r="BU40" s="57">
        <f t="shared" si="1403"/>
        <v>100000</v>
      </c>
      <c r="BV40" s="57">
        <f t="shared" si="1403"/>
        <v>100000</v>
      </c>
      <c r="BW40" s="57">
        <f t="shared" si="1403"/>
        <v>100000</v>
      </c>
      <c r="BX40" s="57">
        <f t="shared" si="1403"/>
        <v>100000</v>
      </c>
      <c r="BY40" s="57">
        <f t="shared" si="1403"/>
        <v>100000</v>
      </c>
      <c r="BZ40" s="57">
        <f t="shared" si="1403"/>
        <v>100000</v>
      </c>
      <c r="CA40" s="57">
        <f t="shared" si="1403"/>
        <v>100000</v>
      </c>
      <c r="CB40" s="57">
        <f t="shared" si="1403"/>
        <v>100000</v>
      </c>
      <c r="CC40" s="57">
        <f t="shared" si="1403"/>
        <v>100000</v>
      </c>
      <c r="CD40" s="57">
        <f t="shared" si="1403"/>
        <v>100000</v>
      </c>
      <c r="CE40" s="57">
        <f t="shared" si="1403"/>
        <v>100000</v>
      </c>
      <c r="CF40" s="57">
        <f t="shared" si="1403"/>
        <v>100000</v>
      </c>
      <c r="CG40" s="57">
        <f t="shared" si="1403"/>
        <v>100000</v>
      </c>
      <c r="CH40" s="57">
        <f t="shared" si="1403"/>
        <v>100000</v>
      </c>
      <c r="CI40" s="57">
        <f t="shared" si="1403"/>
        <v>100000</v>
      </c>
      <c r="CJ40" s="57">
        <f t="shared" si="1403"/>
        <v>100000</v>
      </c>
      <c r="CK40" s="57">
        <f t="shared" si="1403"/>
        <v>100000</v>
      </c>
      <c r="CL40" s="57">
        <f t="shared" si="1403"/>
        <v>100000</v>
      </c>
      <c r="CM40" s="57">
        <f t="shared" si="1403"/>
        <v>100000</v>
      </c>
      <c r="CN40" s="57">
        <f t="shared" si="1403"/>
        <v>100000</v>
      </c>
      <c r="CO40" s="57">
        <f t="shared" si="1403"/>
        <v>100000</v>
      </c>
      <c r="CP40" s="57">
        <f t="shared" si="1403"/>
        <v>100000</v>
      </c>
      <c r="CQ40" s="57">
        <f t="shared" si="1403"/>
        <v>100000</v>
      </c>
      <c r="CR40" s="57">
        <f t="shared" si="1403"/>
        <v>100000</v>
      </c>
      <c r="CS40" s="57">
        <f t="shared" si="1403"/>
        <v>100000</v>
      </c>
      <c r="CT40" s="57">
        <f t="shared" si="1403"/>
        <v>100000</v>
      </c>
      <c r="CU40" s="57">
        <f t="shared" si="1403"/>
        <v>100000</v>
      </c>
      <c r="CV40" s="57">
        <f t="shared" si="1403"/>
        <v>100000</v>
      </c>
      <c r="CW40" s="57">
        <f t="shared" si="1403"/>
        <v>100000</v>
      </c>
      <c r="CX40" s="57">
        <f t="shared" si="1403"/>
        <v>100000</v>
      </c>
      <c r="CY40" s="57">
        <f t="shared" si="1403"/>
        <v>100000</v>
      </c>
      <c r="CZ40" s="57">
        <f t="shared" si="1403"/>
        <v>100000</v>
      </c>
      <c r="DA40" s="57">
        <f t="shared" si="1403"/>
        <v>100000</v>
      </c>
      <c r="DB40" s="57">
        <f t="shared" si="1403"/>
        <v>100000</v>
      </c>
      <c r="DC40" s="57">
        <f t="shared" si="1403"/>
        <v>100000</v>
      </c>
      <c r="DD40" s="57">
        <f t="shared" si="1403"/>
        <v>100000</v>
      </c>
      <c r="DE40" s="57">
        <f t="shared" si="1403"/>
        <v>100000</v>
      </c>
      <c r="DF40" s="57">
        <f t="shared" si="1403"/>
        <v>100000</v>
      </c>
      <c r="DG40" s="57">
        <f t="shared" si="1403"/>
        <v>100000</v>
      </c>
      <c r="DH40" s="57">
        <f t="shared" si="1403"/>
        <v>100000</v>
      </c>
      <c r="DI40" s="57">
        <f t="shared" si="1403"/>
        <v>100000</v>
      </c>
      <c r="DJ40" s="57">
        <f t="shared" si="1403"/>
        <v>100000</v>
      </c>
      <c r="DK40" s="57">
        <f t="shared" si="1403"/>
        <v>100000</v>
      </c>
      <c r="DL40" s="57">
        <f t="shared" si="1403"/>
        <v>100000</v>
      </c>
      <c r="DM40" s="57">
        <f t="shared" si="1403"/>
        <v>100000</v>
      </c>
      <c r="DN40" s="57">
        <f t="shared" si="1403"/>
        <v>100000</v>
      </c>
      <c r="DO40" s="57">
        <f t="shared" si="1403"/>
        <v>100000</v>
      </c>
      <c r="DP40" s="57">
        <f t="shared" si="1403"/>
        <v>100000</v>
      </c>
      <c r="DQ40" s="57">
        <f t="shared" si="1403"/>
        <v>100000</v>
      </c>
      <c r="DR40" s="57">
        <f t="shared" si="1403"/>
        <v>100000</v>
      </c>
      <c r="DS40" s="57">
        <f t="shared" si="1403"/>
        <v>100000</v>
      </c>
      <c r="DT40" s="57">
        <f t="shared" si="1403"/>
        <v>100000</v>
      </c>
      <c r="DU40" s="57">
        <f t="shared" si="1403"/>
        <v>100000</v>
      </c>
      <c r="DV40" s="57">
        <f t="shared" si="1403"/>
        <v>100000</v>
      </c>
      <c r="DW40" s="57">
        <f t="shared" si="1403"/>
        <v>100000</v>
      </c>
      <c r="DX40" s="57">
        <f t="shared" si="1403"/>
        <v>100000</v>
      </c>
      <c r="DY40" s="57">
        <f t="shared" si="1403"/>
        <v>100000</v>
      </c>
      <c r="DZ40" s="57">
        <f t="shared" si="1403"/>
        <v>100000</v>
      </c>
      <c r="EA40" s="57">
        <f t="shared" si="1403"/>
        <v>100000</v>
      </c>
      <c r="EB40" s="57">
        <f t="shared" ref="EB40:GM40" si="1404">$C40</f>
        <v>100000</v>
      </c>
      <c r="EC40" s="57">
        <f t="shared" si="1404"/>
        <v>100000</v>
      </c>
      <c r="ED40" s="57">
        <f t="shared" si="1404"/>
        <v>100000</v>
      </c>
      <c r="EE40" s="57">
        <f t="shared" si="1404"/>
        <v>100000</v>
      </c>
      <c r="EF40" s="57">
        <f t="shared" si="1404"/>
        <v>100000</v>
      </c>
      <c r="EG40" s="57">
        <f t="shared" si="1404"/>
        <v>100000</v>
      </c>
      <c r="EH40" s="57">
        <f t="shared" si="1404"/>
        <v>100000</v>
      </c>
      <c r="EI40" s="57">
        <f t="shared" si="1404"/>
        <v>100000</v>
      </c>
      <c r="EJ40" s="57">
        <f t="shared" si="1404"/>
        <v>100000</v>
      </c>
      <c r="EK40" s="57">
        <f t="shared" si="1404"/>
        <v>100000</v>
      </c>
      <c r="EL40" s="57">
        <f t="shared" si="1404"/>
        <v>100000</v>
      </c>
      <c r="EM40" s="57">
        <f t="shared" si="1404"/>
        <v>100000</v>
      </c>
      <c r="EN40" s="57">
        <f t="shared" si="1404"/>
        <v>100000</v>
      </c>
      <c r="EO40" s="57">
        <f t="shared" si="1404"/>
        <v>100000</v>
      </c>
      <c r="EP40" s="57">
        <f t="shared" si="1404"/>
        <v>100000</v>
      </c>
      <c r="EQ40" s="57">
        <f t="shared" si="1404"/>
        <v>100000</v>
      </c>
      <c r="ER40" s="57">
        <f t="shared" si="1404"/>
        <v>100000</v>
      </c>
      <c r="ES40" s="57">
        <f t="shared" si="1404"/>
        <v>100000</v>
      </c>
      <c r="ET40" s="57">
        <f t="shared" si="1404"/>
        <v>100000</v>
      </c>
      <c r="EU40" s="57">
        <f t="shared" si="1404"/>
        <v>100000</v>
      </c>
      <c r="EV40" s="57">
        <f t="shared" si="1404"/>
        <v>100000</v>
      </c>
      <c r="EW40" s="57">
        <f t="shared" si="1404"/>
        <v>100000</v>
      </c>
      <c r="EX40" s="57">
        <f t="shared" si="1404"/>
        <v>100000</v>
      </c>
      <c r="EY40" s="57">
        <f t="shared" si="1404"/>
        <v>100000</v>
      </c>
      <c r="EZ40" s="57">
        <f t="shared" si="1404"/>
        <v>100000</v>
      </c>
      <c r="FA40" s="57">
        <f t="shared" si="1404"/>
        <v>100000</v>
      </c>
      <c r="FB40" s="57">
        <f t="shared" si="1404"/>
        <v>100000</v>
      </c>
      <c r="FC40" s="57">
        <f t="shared" si="1404"/>
        <v>100000</v>
      </c>
      <c r="FD40" s="57">
        <f t="shared" si="1404"/>
        <v>100000</v>
      </c>
      <c r="FE40" s="57">
        <f t="shared" si="1404"/>
        <v>100000</v>
      </c>
      <c r="FF40" s="57">
        <f t="shared" si="1404"/>
        <v>100000</v>
      </c>
      <c r="FG40" s="57">
        <f t="shared" si="1404"/>
        <v>100000</v>
      </c>
      <c r="FH40" s="57">
        <f t="shared" si="1404"/>
        <v>100000</v>
      </c>
      <c r="FI40" s="57">
        <f t="shared" si="1404"/>
        <v>100000</v>
      </c>
      <c r="FJ40" s="57">
        <f t="shared" si="1404"/>
        <v>100000</v>
      </c>
      <c r="FK40" s="57">
        <f t="shared" si="1404"/>
        <v>100000</v>
      </c>
      <c r="FL40" s="57">
        <f t="shared" si="1404"/>
        <v>100000</v>
      </c>
      <c r="FM40" s="57">
        <f t="shared" si="1404"/>
        <v>100000</v>
      </c>
      <c r="FN40" s="57">
        <f t="shared" si="1404"/>
        <v>100000</v>
      </c>
      <c r="FO40" s="57">
        <f t="shared" si="1404"/>
        <v>100000</v>
      </c>
      <c r="FP40" s="57">
        <f t="shared" si="1404"/>
        <v>100000</v>
      </c>
      <c r="FQ40" s="57">
        <f t="shared" si="1404"/>
        <v>100000</v>
      </c>
      <c r="FR40" s="57">
        <f t="shared" si="1404"/>
        <v>100000</v>
      </c>
      <c r="FS40" s="57">
        <f t="shared" si="1404"/>
        <v>100000</v>
      </c>
      <c r="FT40" s="57">
        <f t="shared" si="1404"/>
        <v>100000</v>
      </c>
      <c r="FU40" s="57">
        <f t="shared" si="1404"/>
        <v>100000</v>
      </c>
      <c r="FV40" s="57">
        <f t="shared" si="1404"/>
        <v>100000</v>
      </c>
      <c r="FW40" s="57">
        <f t="shared" si="1404"/>
        <v>100000</v>
      </c>
      <c r="FX40" s="57">
        <f t="shared" si="1404"/>
        <v>100000</v>
      </c>
      <c r="FY40" s="57">
        <f t="shared" si="1404"/>
        <v>100000</v>
      </c>
      <c r="FZ40" s="57">
        <f t="shared" si="1404"/>
        <v>100000</v>
      </c>
      <c r="GA40" s="57">
        <f t="shared" si="1404"/>
        <v>100000</v>
      </c>
      <c r="GB40" s="57">
        <f t="shared" si="1404"/>
        <v>100000</v>
      </c>
      <c r="GC40" s="57">
        <f t="shared" si="1404"/>
        <v>100000</v>
      </c>
      <c r="GD40" s="57">
        <f t="shared" si="1404"/>
        <v>100000</v>
      </c>
      <c r="GE40" s="57">
        <f t="shared" si="1404"/>
        <v>100000</v>
      </c>
      <c r="GF40" s="57">
        <f t="shared" si="1404"/>
        <v>100000</v>
      </c>
      <c r="GG40" s="57">
        <f t="shared" si="1404"/>
        <v>100000</v>
      </c>
      <c r="GH40" s="57">
        <f t="shared" si="1404"/>
        <v>100000</v>
      </c>
      <c r="GI40" s="57">
        <f t="shared" si="1404"/>
        <v>100000</v>
      </c>
      <c r="GJ40" s="57">
        <f t="shared" si="1404"/>
        <v>100000</v>
      </c>
      <c r="GK40" s="57">
        <f t="shared" si="1404"/>
        <v>100000</v>
      </c>
      <c r="GL40" s="57">
        <f t="shared" si="1404"/>
        <v>100000</v>
      </c>
      <c r="GM40" s="57">
        <f t="shared" si="1404"/>
        <v>100000</v>
      </c>
      <c r="GN40" s="57">
        <f t="shared" ref="GN40:IY40" si="1405">$C40</f>
        <v>100000</v>
      </c>
      <c r="GO40" s="57">
        <f t="shared" si="1405"/>
        <v>100000</v>
      </c>
      <c r="GP40" s="57">
        <f t="shared" si="1405"/>
        <v>100000</v>
      </c>
      <c r="GQ40" s="57">
        <f t="shared" si="1405"/>
        <v>100000</v>
      </c>
      <c r="GR40" s="57">
        <f t="shared" si="1405"/>
        <v>100000</v>
      </c>
      <c r="GS40" s="57">
        <f t="shared" si="1405"/>
        <v>100000</v>
      </c>
      <c r="GT40" s="57">
        <f t="shared" si="1405"/>
        <v>100000</v>
      </c>
      <c r="GU40" s="57">
        <f t="shared" si="1405"/>
        <v>100000</v>
      </c>
      <c r="GV40" s="57">
        <f t="shared" si="1405"/>
        <v>100000</v>
      </c>
      <c r="GW40" s="57">
        <f t="shared" si="1405"/>
        <v>100000</v>
      </c>
      <c r="GX40" s="57">
        <f t="shared" si="1405"/>
        <v>100000</v>
      </c>
      <c r="GY40" s="57">
        <f t="shared" si="1405"/>
        <v>100000</v>
      </c>
      <c r="GZ40" s="57">
        <f t="shared" si="1405"/>
        <v>100000</v>
      </c>
      <c r="HA40" s="57">
        <f t="shared" si="1405"/>
        <v>100000</v>
      </c>
      <c r="HB40" s="57">
        <f t="shared" si="1405"/>
        <v>100000</v>
      </c>
      <c r="HC40" s="57">
        <f t="shared" si="1405"/>
        <v>100000</v>
      </c>
      <c r="HD40" s="57">
        <f t="shared" si="1405"/>
        <v>100000</v>
      </c>
      <c r="HE40" s="57">
        <f t="shared" si="1405"/>
        <v>100000</v>
      </c>
      <c r="HF40" s="57">
        <f t="shared" si="1405"/>
        <v>100000</v>
      </c>
      <c r="HG40" s="57">
        <f t="shared" si="1405"/>
        <v>100000</v>
      </c>
      <c r="HH40" s="57">
        <f t="shared" si="1405"/>
        <v>100000</v>
      </c>
      <c r="HI40" s="57">
        <f t="shared" si="1405"/>
        <v>100000</v>
      </c>
      <c r="HJ40" s="57">
        <f t="shared" si="1405"/>
        <v>100000</v>
      </c>
      <c r="HK40" s="57">
        <f t="shared" si="1405"/>
        <v>100000</v>
      </c>
      <c r="HL40" s="57">
        <f t="shared" si="1405"/>
        <v>100000</v>
      </c>
      <c r="HM40" s="57">
        <f t="shared" si="1405"/>
        <v>100000</v>
      </c>
      <c r="HN40" s="57">
        <f t="shared" si="1405"/>
        <v>100000</v>
      </c>
      <c r="HO40" s="57">
        <f t="shared" si="1405"/>
        <v>100000</v>
      </c>
      <c r="HP40" s="57">
        <f t="shared" si="1405"/>
        <v>100000</v>
      </c>
      <c r="HQ40" s="57">
        <f t="shared" si="1405"/>
        <v>100000</v>
      </c>
      <c r="HR40" s="57">
        <f t="shared" si="1405"/>
        <v>100000</v>
      </c>
      <c r="HS40" s="57">
        <f t="shared" si="1405"/>
        <v>100000</v>
      </c>
      <c r="HT40" s="57">
        <f t="shared" si="1405"/>
        <v>100000</v>
      </c>
      <c r="HU40" s="57">
        <f t="shared" si="1405"/>
        <v>100000</v>
      </c>
      <c r="HV40" s="57">
        <f t="shared" si="1405"/>
        <v>100000</v>
      </c>
      <c r="HW40" s="57">
        <f t="shared" si="1405"/>
        <v>100000</v>
      </c>
      <c r="HX40" s="57">
        <f t="shared" si="1405"/>
        <v>100000</v>
      </c>
      <c r="HY40" s="57">
        <f t="shared" si="1405"/>
        <v>100000</v>
      </c>
      <c r="HZ40" s="57">
        <f t="shared" si="1405"/>
        <v>100000</v>
      </c>
      <c r="IA40" s="57">
        <f t="shared" si="1405"/>
        <v>100000</v>
      </c>
      <c r="IB40" s="57">
        <f t="shared" si="1405"/>
        <v>100000</v>
      </c>
      <c r="IC40" s="57">
        <f t="shared" si="1405"/>
        <v>100000</v>
      </c>
      <c r="ID40" s="57">
        <f t="shared" si="1405"/>
        <v>100000</v>
      </c>
      <c r="IE40" s="57">
        <f t="shared" si="1405"/>
        <v>100000</v>
      </c>
      <c r="IF40" s="57">
        <f t="shared" si="1405"/>
        <v>100000</v>
      </c>
      <c r="IG40" s="57">
        <f t="shared" si="1405"/>
        <v>100000</v>
      </c>
      <c r="IH40" s="57">
        <f t="shared" si="1405"/>
        <v>100000</v>
      </c>
      <c r="II40" s="57">
        <f t="shared" si="1405"/>
        <v>100000</v>
      </c>
      <c r="IJ40" s="57">
        <f t="shared" si="1405"/>
        <v>100000</v>
      </c>
      <c r="IK40" s="57">
        <f t="shared" si="1405"/>
        <v>100000</v>
      </c>
      <c r="IL40" s="57">
        <f t="shared" si="1405"/>
        <v>100000</v>
      </c>
      <c r="IM40" s="57">
        <f t="shared" si="1405"/>
        <v>100000</v>
      </c>
      <c r="IN40" s="57">
        <f t="shared" si="1405"/>
        <v>100000</v>
      </c>
      <c r="IO40" s="57">
        <f t="shared" si="1405"/>
        <v>100000</v>
      </c>
      <c r="IP40" s="57">
        <f t="shared" si="1405"/>
        <v>100000</v>
      </c>
      <c r="IQ40" s="57">
        <f t="shared" si="1405"/>
        <v>100000</v>
      </c>
      <c r="IR40" s="57">
        <f t="shared" si="1405"/>
        <v>100000</v>
      </c>
      <c r="IS40" s="57">
        <f t="shared" si="1405"/>
        <v>100000</v>
      </c>
      <c r="IT40" s="57">
        <f t="shared" si="1405"/>
        <v>100000</v>
      </c>
      <c r="IU40" s="57">
        <f t="shared" si="1405"/>
        <v>100000</v>
      </c>
      <c r="IV40" s="57">
        <f t="shared" si="1405"/>
        <v>100000</v>
      </c>
      <c r="IW40" s="57">
        <f t="shared" si="1405"/>
        <v>100000</v>
      </c>
      <c r="IX40" s="57">
        <f t="shared" si="1405"/>
        <v>100000</v>
      </c>
      <c r="IY40" s="57">
        <f t="shared" si="1405"/>
        <v>100000</v>
      </c>
      <c r="IZ40" s="57">
        <f t="shared" ref="IZ40:LK40" si="1406">$C40</f>
        <v>100000</v>
      </c>
      <c r="JA40" s="57">
        <f t="shared" si="1406"/>
        <v>100000</v>
      </c>
      <c r="JB40" s="57">
        <f t="shared" si="1406"/>
        <v>100000</v>
      </c>
      <c r="JC40" s="57">
        <f t="shared" si="1406"/>
        <v>100000</v>
      </c>
      <c r="JD40" s="57">
        <f t="shared" si="1406"/>
        <v>100000</v>
      </c>
      <c r="JE40" s="57">
        <f t="shared" si="1406"/>
        <v>100000</v>
      </c>
      <c r="JF40" s="57">
        <f t="shared" si="1406"/>
        <v>100000</v>
      </c>
      <c r="JG40" s="57">
        <f t="shared" si="1406"/>
        <v>100000</v>
      </c>
      <c r="JH40" s="57">
        <f t="shared" si="1406"/>
        <v>100000</v>
      </c>
      <c r="JI40" s="57">
        <f t="shared" si="1406"/>
        <v>100000</v>
      </c>
      <c r="JJ40" s="57">
        <f t="shared" si="1406"/>
        <v>100000</v>
      </c>
      <c r="JK40" s="57">
        <f t="shared" si="1406"/>
        <v>100000</v>
      </c>
      <c r="JL40" s="57">
        <f t="shared" si="1406"/>
        <v>100000</v>
      </c>
      <c r="JM40" s="57">
        <f t="shared" si="1406"/>
        <v>100000</v>
      </c>
      <c r="JN40" s="57">
        <f t="shared" si="1406"/>
        <v>100000</v>
      </c>
      <c r="JO40" s="57">
        <f t="shared" si="1406"/>
        <v>100000</v>
      </c>
      <c r="JP40" s="57">
        <f t="shared" si="1406"/>
        <v>100000</v>
      </c>
      <c r="JQ40" s="57">
        <f t="shared" si="1406"/>
        <v>100000</v>
      </c>
      <c r="JR40" s="57">
        <f t="shared" si="1406"/>
        <v>100000</v>
      </c>
      <c r="JS40" s="57">
        <f t="shared" si="1406"/>
        <v>100000</v>
      </c>
      <c r="JT40" s="57">
        <f t="shared" si="1406"/>
        <v>100000</v>
      </c>
      <c r="JU40" s="57">
        <f t="shared" si="1406"/>
        <v>100000</v>
      </c>
      <c r="JV40" s="57">
        <f t="shared" si="1406"/>
        <v>100000</v>
      </c>
      <c r="JW40" s="57">
        <f t="shared" si="1406"/>
        <v>100000</v>
      </c>
      <c r="JX40" s="57">
        <f t="shared" si="1406"/>
        <v>100000</v>
      </c>
      <c r="JY40" s="57">
        <f t="shared" si="1406"/>
        <v>100000</v>
      </c>
      <c r="JZ40" s="57">
        <f t="shared" si="1406"/>
        <v>100000</v>
      </c>
      <c r="KA40" s="57">
        <f t="shared" si="1406"/>
        <v>100000</v>
      </c>
      <c r="KB40" s="57">
        <f t="shared" si="1406"/>
        <v>100000</v>
      </c>
      <c r="KC40" s="57">
        <f t="shared" si="1406"/>
        <v>100000</v>
      </c>
      <c r="KD40" s="57">
        <f t="shared" si="1406"/>
        <v>100000</v>
      </c>
      <c r="KE40" s="57">
        <f t="shared" si="1406"/>
        <v>100000</v>
      </c>
      <c r="KF40" s="57">
        <f t="shared" si="1406"/>
        <v>100000</v>
      </c>
      <c r="KG40" s="57">
        <f t="shared" si="1406"/>
        <v>100000</v>
      </c>
      <c r="KH40" s="57">
        <f t="shared" si="1406"/>
        <v>100000</v>
      </c>
      <c r="KI40" s="57">
        <f t="shared" si="1406"/>
        <v>100000</v>
      </c>
      <c r="KJ40" s="57">
        <f t="shared" si="1406"/>
        <v>100000</v>
      </c>
      <c r="KK40" s="57">
        <f t="shared" si="1406"/>
        <v>100000</v>
      </c>
      <c r="KL40" s="57">
        <f t="shared" si="1406"/>
        <v>100000</v>
      </c>
      <c r="KM40" s="57">
        <f t="shared" si="1406"/>
        <v>100000</v>
      </c>
      <c r="KN40" s="57">
        <f t="shared" si="1406"/>
        <v>100000</v>
      </c>
      <c r="KO40" s="57">
        <f t="shared" si="1406"/>
        <v>100000</v>
      </c>
      <c r="KP40" s="57">
        <f t="shared" si="1406"/>
        <v>100000</v>
      </c>
      <c r="KQ40" s="57">
        <f t="shared" si="1406"/>
        <v>100000</v>
      </c>
      <c r="KR40" s="57">
        <f t="shared" si="1406"/>
        <v>100000</v>
      </c>
      <c r="KS40" s="57">
        <f t="shared" si="1406"/>
        <v>100000</v>
      </c>
      <c r="KT40" s="57">
        <f t="shared" si="1406"/>
        <v>100000</v>
      </c>
      <c r="KU40" s="57">
        <f t="shared" si="1406"/>
        <v>100000</v>
      </c>
      <c r="KV40" s="57">
        <f t="shared" si="1406"/>
        <v>100000</v>
      </c>
      <c r="KW40" s="57">
        <f t="shared" si="1406"/>
        <v>100000</v>
      </c>
      <c r="KX40" s="57">
        <f t="shared" si="1406"/>
        <v>100000</v>
      </c>
      <c r="KY40" s="57">
        <f t="shared" si="1406"/>
        <v>100000</v>
      </c>
      <c r="KZ40" s="57">
        <f t="shared" si="1406"/>
        <v>100000</v>
      </c>
      <c r="LA40" s="57">
        <f t="shared" si="1406"/>
        <v>100000</v>
      </c>
      <c r="LB40" s="57">
        <f t="shared" si="1406"/>
        <v>100000</v>
      </c>
      <c r="LC40" s="57">
        <f t="shared" si="1406"/>
        <v>100000</v>
      </c>
      <c r="LD40" s="57">
        <f t="shared" si="1406"/>
        <v>100000</v>
      </c>
      <c r="LE40" s="57">
        <f t="shared" si="1406"/>
        <v>100000</v>
      </c>
      <c r="LF40" s="57">
        <f t="shared" si="1406"/>
        <v>100000</v>
      </c>
      <c r="LG40" s="57">
        <f t="shared" si="1406"/>
        <v>100000</v>
      </c>
      <c r="LH40" s="57">
        <f t="shared" si="1406"/>
        <v>100000</v>
      </c>
      <c r="LI40" s="57">
        <f t="shared" si="1406"/>
        <v>100000</v>
      </c>
      <c r="LJ40" s="57">
        <f t="shared" si="1406"/>
        <v>100000</v>
      </c>
      <c r="LK40" s="57">
        <f t="shared" si="1406"/>
        <v>100000</v>
      </c>
      <c r="LL40" s="57">
        <f t="shared" ref="LL40:NW40" si="1407">$C40</f>
        <v>100000</v>
      </c>
      <c r="LM40" s="57">
        <f t="shared" si="1407"/>
        <v>100000</v>
      </c>
      <c r="LN40" s="57">
        <f t="shared" si="1407"/>
        <v>100000</v>
      </c>
      <c r="LO40" s="57">
        <f t="shared" si="1407"/>
        <v>100000</v>
      </c>
      <c r="LP40" s="57">
        <f t="shared" si="1407"/>
        <v>100000</v>
      </c>
      <c r="LQ40" s="57">
        <f t="shared" si="1407"/>
        <v>100000</v>
      </c>
      <c r="LR40" s="57">
        <f t="shared" si="1407"/>
        <v>100000</v>
      </c>
      <c r="LS40" s="57">
        <f t="shared" si="1407"/>
        <v>100000</v>
      </c>
      <c r="LT40" s="57">
        <f t="shared" si="1407"/>
        <v>100000</v>
      </c>
      <c r="LU40" s="57">
        <f t="shared" si="1407"/>
        <v>100000</v>
      </c>
      <c r="LV40" s="57">
        <f t="shared" si="1407"/>
        <v>100000</v>
      </c>
      <c r="LW40" s="57">
        <f t="shared" si="1407"/>
        <v>100000</v>
      </c>
      <c r="LX40" s="57">
        <f t="shared" si="1407"/>
        <v>100000</v>
      </c>
      <c r="LY40" s="57">
        <f t="shared" si="1407"/>
        <v>100000</v>
      </c>
      <c r="LZ40" s="57">
        <f t="shared" si="1407"/>
        <v>100000</v>
      </c>
      <c r="MA40" s="57">
        <f t="shared" si="1407"/>
        <v>100000</v>
      </c>
      <c r="MB40" s="57">
        <f t="shared" si="1407"/>
        <v>100000</v>
      </c>
      <c r="MC40" s="57">
        <f t="shared" si="1407"/>
        <v>100000</v>
      </c>
      <c r="MD40" s="57">
        <f t="shared" si="1407"/>
        <v>100000</v>
      </c>
      <c r="ME40" s="57">
        <f t="shared" si="1407"/>
        <v>100000</v>
      </c>
      <c r="MF40" s="57">
        <f t="shared" si="1407"/>
        <v>100000</v>
      </c>
      <c r="MG40" s="57">
        <f t="shared" si="1407"/>
        <v>100000</v>
      </c>
      <c r="MH40" s="57">
        <f t="shared" si="1407"/>
        <v>100000</v>
      </c>
      <c r="MI40" s="57">
        <f t="shared" si="1407"/>
        <v>100000</v>
      </c>
      <c r="MJ40" s="57">
        <f t="shared" si="1407"/>
        <v>100000</v>
      </c>
      <c r="MK40" s="57">
        <f t="shared" si="1407"/>
        <v>100000</v>
      </c>
      <c r="ML40" s="57">
        <f t="shared" si="1407"/>
        <v>100000</v>
      </c>
      <c r="MM40" s="57">
        <f t="shared" si="1407"/>
        <v>100000</v>
      </c>
      <c r="MN40" s="57">
        <f t="shared" si="1407"/>
        <v>100000</v>
      </c>
      <c r="MO40" s="57">
        <f t="shared" si="1407"/>
        <v>100000</v>
      </c>
      <c r="MP40" s="57">
        <f t="shared" si="1407"/>
        <v>100000</v>
      </c>
      <c r="MQ40" s="57">
        <f t="shared" si="1407"/>
        <v>100000</v>
      </c>
      <c r="MR40" s="57">
        <f t="shared" si="1407"/>
        <v>100000</v>
      </c>
      <c r="MS40" s="57">
        <f t="shared" si="1407"/>
        <v>100000</v>
      </c>
      <c r="MT40" s="57">
        <f t="shared" si="1407"/>
        <v>100000</v>
      </c>
      <c r="MU40" s="57">
        <f t="shared" si="1407"/>
        <v>100000</v>
      </c>
      <c r="MV40" s="57">
        <f t="shared" si="1407"/>
        <v>100000</v>
      </c>
      <c r="MW40" s="57">
        <f t="shared" si="1407"/>
        <v>100000</v>
      </c>
      <c r="MX40" s="57">
        <f t="shared" si="1407"/>
        <v>100000</v>
      </c>
      <c r="MY40" s="57">
        <f t="shared" si="1407"/>
        <v>100000</v>
      </c>
      <c r="MZ40" s="57">
        <f t="shared" si="1407"/>
        <v>100000</v>
      </c>
      <c r="NA40" s="57">
        <f t="shared" si="1407"/>
        <v>100000</v>
      </c>
      <c r="NB40" s="57">
        <f t="shared" si="1407"/>
        <v>100000</v>
      </c>
      <c r="NC40" s="57">
        <f t="shared" si="1407"/>
        <v>100000</v>
      </c>
      <c r="ND40" s="57">
        <f t="shared" si="1407"/>
        <v>100000</v>
      </c>
      <c r="NE40" s="57">
        <f t="shared" si="1407"/>
        <v>100000</v>
      </c>
      <c r="NF40" s="57">
        <f t="shared" si="1407"/>
        <v>100000</v>
      </c>
      <c r="NG40" s="57">
        <f t="shared" si="1407"/>
        <v>100000</v>
      </c>
      <c r="NH40" s="57">
        <f t="shared" si="1407"/>
        <v>100000</v>
      </c>
      <c r="NI40" s="57">
        <f t="shared" si="1407"/>
        <v>100000</v>
      </c>
      <c r="NJ40" s="57">
        <f t="shared" si="1407"/>
        <v>100000</v>
      </c>
      <c r="NK40" s="57">
        <f t="shared" si="1407"/>
        <v>100000</v>
      </c>
      <c r="NL40" s="57">
        <f t="shared" si="1407"/>
        <v>100000</v>
      </c>
      <c r="NM40" s="57">
        <f t="shared" si="1407"/>
        <v>100000</v>
      </c>
      <c r="NN40" s="57">
        <f t="shared" si="1407"/>
        <v>100000</v>
      </c>
      <c r="NO40" s="57">
        <f t="shared" si="1407"/>
        <v>100000</v>
      </c>
      <c r="NP40" s="57">
        <f t="shared" si="1407"/>
        <v>100000</v>
      </c>
      <c r="NQ40" s="57">
        <f t="shared" si="1407"/>
        <v>100000</v>
      </c>
      <c r="NR40" s="57">
        <f t="shared" si="1407"/>
        <v>100000</v>
      </c>
      <c r="NS40" s="57">
        <f t="shared" si="1407"/>
        <v>100000</v>
      </c>
      <c r="NT40" s="57">
        <f t="shared" si="1407"/>
        <v>100000</v>
      </c>
      <c r="NU40" s="57">
        <f t="shared" si="1407"/>
        <v>100000</v>
      </c>
      <c r="NV40" s="57">
        <f t="shared" si="1407"/>
        <v>100000</v>
      </c>
      <c r="NW40" s="57">
        <f t="shared" si="1407"/>
        <v>100000</v>
      </c>
      <c r="NX40" s="57">
        <f t="shared" ref="NX40:QI40" si="1408">$C40</f>
        <v>100000</v>
      </c>
      <c r="NY40" s="57">
        <f t="shared" si="1408"/>
        <v>100000</v>
      </c>
      <c r="NZ40" s="57">
        <f t="shared" si="1408"/>
        <v>100000</v>
      </c>
      <c r="OA40" s="57">
        <f t="shared" si="1408"/>
        <v>100000</v>
      </c>
      <c r="OB40" s="57">
        <f t="shared" si="1408"/>
        <v>100000</v>
      </c>
      <c r="OC40" s="57">
        <f t="shared" si="1408"/>
        <v>100000</v>
      </c>
      <c r="OD40" s="57">
        <f t="shared" si="1408"/>
        <v>100000</v>
      </c>
      <c r="OE40" s="57">
        <f t="shared" si="1408"/>
        <v>100000</v>
      </c>
      <c r="OF40" s="57">
        <f t="shared" si="1408"/>
        <v>100000</v>
      </c>
      <c r="OG40" s="57">
        <f t="shared" si="1408"/>
        <v>100000</v>
      </c>
      <c r="OH40" s="57">
        <f t="shared" si="1408"/>
        <v>100000</v>
      </c>
      <c r="OI40" s="57">
        <f t="shared" si="1408"/>
        <v>100000</v>
      </c>
      <c r="OJ40" s="57">
        <f t="shared" si="1408"/>
        <v>100000</v>
      </c>
      <c r="OK40" s="57">
        <f t="shared" si="1408"/>
        <v>100000</v>
      </c>
      <c r="OL40" s="57">
        <f t="shared" si="1408"/>
        <v>100000</v>
      </c>
      <c r="OM40" s="57">
        <f t="shared" si="1408"/>
        <v>100000</v>
      </c>
      <c r="ON40" s="57">
        <f t="shared" si="1408"/>
        <v>100000</v>
      </c>
      <c r="OO40" s="57">
        <f t="shared" si="1408"/>
        <v>100000</v>
      </c>
      <c r="OP40" s="57">
        <f t="shared" si="1408"/>
        <v>100000</v>
      </c>
      <c r="OQ40" s="57">
        <f t="shared" si="1408"/>
        <v>100000</v>
      </c>
      <c r="OR40" s="57">
        <f t="shared" si="1408"/>
        <v>100000</v>
      </c>
      <c r="OS40" s="57">
        <f t="shared" si="1408"/>
        <v>100000</v>
      </c>
      <c r="OT40" s="57">
        <f t="shared" si="1408"/>
        <v>100000</v>
      </c>
      <c r="OU40" s="57">
        <f t="shared" si="1408"/>
        <v>100000</v>
      </c>
      <c r="OV40" s="57">
        <f t="shared" si="1408"/>
        <v>100000</v>
      </c>
      <c r="OW40" s="57">
        <f t="shared" si="1408"/>
        <v>100000</v>
      </c>
      <c r="OX40" s="57">
        <f t="shared" si="1408"/>
        <v>100000</v>
      </c>
      <c r="OY40" s="57">
        <f t="shared" si="1408"/>
        <v>100000</v>
      </c>
      <c r="OZ40" s="57">
        <f t="shared" si="1408"/>
        <v>100000</v>
      </c>
      <c r="PA40" s="57">
        <f t="shared" si="1408"/>
        <v>100000</v>
      </c>
      <c r="PB40" s="57">
        <f t="shared" si="1408"/>
        <v>100000</v>
      </c>
      <c r="PC40" s="57">
        <f t="shared" si="1408"/>
        <v>100000</v>
      </c>
      <c r="PD40" s="57">
        <f t="shared" si="1408"/>
        <v>100000</v>
      </c>
      <c r="PE40" s="57">
        <f t="shared" si="1408"/>
        <v>100000</v>
      </c>
      <c r="PF40" s="57">
        <f t="shared" si="1408"/>
        <v>100000</v>
      </c>
      <c r="PG40" s="57">
        <f t="shared" si="1408"/>
        <v>100000</v>
      </c>
      <c r="PH40" s="57">
        <f t="shared" si="1408"/>
        <v>100000</v>
      </c>
      <c r="PI40" s="57">
        <f t="shared" si="1408"/>
        <v>100000</v>
      </c>
      <c r="PJ40" s="57">
        <f t="shared" si="1408"/>
        <v>100000</v>
      </c>
      <c r="PK40" s="57">
        <f t="shared" si="1408"/>
        <v>100000</v>
      </c>
      <c r="PL40" s="57">
        <f t="shared" si="1408"/>
        <v>100000</v>
      </c>
      <c r="PM40" s="57">
        <f t="shared" si="1408"/>
        <v>100000</v>
      </c>
      <c r="PN40" s="57">
        <f t="shared" si="1408"/>
        <v>100000</v>
      </c>
      <c r="PO40" s="57">
        <f t="shared" si="1408"/>
        <v>100000</v>
      </c>
      <c r="PP40" s="57">
        <f t="shared" si="1408"/>
        <v>100000</v>
      </c>
      <c r="PQ40" s="57">
        <f t="shared" si="1408"/>
        <v>100000</v>
      </c>
      <c r="PR40" s="57">
        <f t="shared" si="1408"/>
        <v>100000</v>
      </c>
      <c r="PS40" s="57">
        <f t="shared" si="1408"/>
        <v>100000</v>
      </c>
      <c r="PT40" s="57">
        <f t="shared" si="1408"/>
        <v>100000</v>
      </c>
      <c r="PU40" s="57">
        <f t="shared" si="1408"/>
        <v>100000</v>
      </c>
      <c r="PV40" s="57">
        <f t="shared" si="1408"/>
        <v>100000</v>
      </c>
      <c r="PW40" s="57">
        <f t="shared" si="1408"/>
        <v>100000</v>
      </c>
      <c r="PX40" s="57">
        <f t="shared" si="1408"/>
        <v>100000</v>
      </c>
      <c r="PY40" s="57">
        <f t="shared" si="1408"/>
        <v>100000</v>
      </c>
      <c r="PZ40" s="57">
        <f t="shared" si="1408"/>
        <v>100000</v>
      </c>
      <c r="QA40" s="57">
        <f t="shared" si="1408"/>
        <v>100000</v>
      </c>
      <c r="QB40" s="57">
        <f t="shared" si="1408"/>
        <v>100000</v>
      </c>
      <c r="QC40" s="57">
        <f t="shared" si="1408"/>
        <v>100000</v>
      </c>
      <c r="QD40" s="57">
        <f t="shared" si="1408"/>
        <v>100000</v>
      </c>
      <c r="QE40" s="57">
        <f t="shared" si="1408"/>
        <v>100000</v>
      </c>
      <c r="QF40" s="57">
        <f t="shared" si="1408"/>
        <v>100000</v>
      </c>
      <c r="QG40" s="57">
        <f t="shared" si="1408"/>
        <v>100000</v>
      </c>
      <c r="QH40" s="57">
        <f t="shared" si="1408"/>
        <v>100000</v>
      </c>
      <c r="QI40" s="57">
        <f t="shared" si="1408"/>
        <v>100000</v>
      </c>
      <c r="QJ40" s="57">
        <f t="shared" ref="QJ40:SU40" si="1409">$C40</f>
        <v>100000</v>
      </c>
      <c r="QK40" s="57">
        <f t="shared" si="1409"/>
        <v>100000</v>
      </c>
      <c r="QL40" s="57">
        <f t="shared" si="1409"/>
        <v>100000</v>
      </c>
      <c r="QM40" s="57">
        <f t="shared" si="1409"/>
        <v>100000</v>
      </c>
      <c r="QN40" s="57">
        <f t="shared" si="1409"/>
        <v>100000</v>
      </c>
      <c r="QO40" s="57">
        <f t="shared" si="1409"/>
        <v>100000</v>
      </c>
      <c r="QP40" s="57">
        <f t="shared" si="1409"/>
        <v>100000</v>
      </c>
      <c r="QQ40" s="57">
        <f t="shared" si="1409"/>
        <v>100000</v>
      </c>
      <c r="QR40" s="57">
        <f t="shared" si="1409"/>
        <v>100000</v>
      </c>
      <c r="QS40" s="57">
        <f t="shared" si="1409"/>
        <v>100000</v>
      </c>
      <c r="QT40" s="57">
        <f t="shared" si="1409"/>
        <v>100000</v>
      </c>
      <c r="QU40" s="57">
        <f t="shared" si="1409"/>
        <v>100000</v>
      </c>
      <c r="QV40" s="57">
        <f t="shared" si="1409"/>
        <v>100000</v>
      </c>
      <c r="QW40" s="57">
        <f t="shared" si="1409"/>
        <v>100000</v>
      </c>
      <c r="QX40" s="57">
        <f t="shared" si="1409"/>
        <v>100000</v>
      </c>
      <c r="QY40" s="57">
        <f t="shared" si="1409"/>
        <v>100000</v>
      </c>
      <c r="QZ40" s="57">
        <f t="shared" si="1409"/>
        <v>100000</v>
      </c>
      <c r="RA40" s="57">
        <f t="shared" si="1409"/>
        <v>100000</v>
      </c>
      <c r="RB40" s="57">
        <f t="shared" si="1409"/>
        <v>100000</v>
      </c>
      <c r="RC40" s="57">
        <f t="shared" si="1409"/>
        <v>100000</v>
      </c>
      <c r="RD40" s="57">
        <f t="shared" si="1409"/>
        <v>100000</v>
      </c>
      <c r="RE40" s="57">
        <f t="shared" si="1409"/>
        <v>100000</v>
      </c>
      <c r="RF40" s="57">
        <f t="shared" si="1409"/>
        <v>100000</v>
      </c>
      <c r="RG40" s="57">
        <f t="shared" si="1409"/>
        <v>100000</v>
      </c>
      <c r="RH40" s="57">
        <f t="shared" si="1409"/>
        <v>100000</v>
      </c>
      <c r="RI40" s="57">
        <f t="shared" si="1409"/>
        <v>100000</v>
      </c>
      <c r="RJ40" s="57">
        <f t="shared" si="1409"/>
        <v>100000</v>
      </c>
      <c r="RK40" s="57">
        <f t="shared" si="1409"/>
        <v>100000</v>
      </c>
      <c r="RL40" s="57">
        <f t="shared" si="1409"/>
        <v>100000</v>
      </c>
      <c r="RM40" s="57">
        <f t="shared" si="1409"/>
        <v>100000</v>
      </c>
      <c r="RN40" s="57">
        <f t="shared" si="1409"/>
        <v>100000</v>
      </c>
      <c r="RO40" s="57">
        <f t="shared" si="1409"/>
        <v>100000</v>
      </c>
      <c r="RP40" s="57">
        <f t="shared" si="1409"/>
        <v>100000</v>
      </c>
      <c r="RQ40" s="57">
        <f t="shared" si="1409"/>
        <v>100000</v>
      </c>
      <c r="RR40" s="57">
        <f t="shared" si="1409"/>
        <v>100000</v>
      </c>
      <c r="RS40" s="57">
        <f t="shared" si="1409"/>
        <v>100000</v>
      </c>
      <c r="RT40" s="57">
        <f t="shared" si="1409"/>
        <v>100000</v>
      </c>
      <c r="RU40" s="57">
        <f t="shared" si="1409"/>
        <v>100000</v>
      </c>
      <c r="RV40" s="57">
        <f t="shared" si="1409"/>
        <v>100000</v>
      </c>
      <c r="RW40" s="57">
        <f t="shared" si="1409"/>
        <v>100000</v>
      </c>
      <c r="RX40" s="57">
        <f t="shared" si="1409"/>
        <v>100000</v>
      </c>
      <c r="RY40" s="57">
        <f t="shared" si="1409"/>
        <v>100000</v>
      </c>
      <c r="RZ40" s="57">
        <f t="shared" si="1409"/>
        <v>100000</v>
      </c>
      <c r="SA40" s="57">
        <f t="shared" si="1409"/>
        <v>100000</v>
      </c>
      <c r="SB40" s="57">
        <f t="shared" si="1409"/>
        <v>100000</v>
      </c>
      <c r="SC40" s="57">
        <f t="shared" si="1409"/>
        <v>100000</v>
      </c>
      <c r="SD40" s="57">
        <f t="shared" si="1409"/>
        <v>100000</v>
      </c>
      <c r="SE40" s="57">
        <f t="shared" si="1409"/>
        <v>100000</v>
      </c>
      <c r="SF40" s="57">
        <f t="shared" si="1409"/>
        <v>100000</v>
      </c>
      <c r="SG40" s="57">
        <f t="shared" si="1409"/>
        <v>100000</v>
      </c>
      <c r="SH40" s="57">
        <f t="shared" si="1409"/>
        <v>100000</v>
      </c>
      <c r="SI40" s="57">
        <f t="shared" si="1409"/>
        <v>100000</v>
      </c>
      <c r="SJ40" s="57">
        <f t="shared" si="1409"/>
        <v>100000</v>
      </c>
      <c r="SK40" s="57">
        <f t="shared" si="1409"/>
        <v>100000</v>
      </c>
      <c r="SL40" s="57">
        <f t="shared" si="1409"/>
        <v>100000</v>
      </c>
      <c r="SM40" s="57">
        <f t="shared" si="1409"/>
        <v>100000</v>
      </c>
      <c r="SN40" s="57">
        <f t="shared" si="1409"/>
        <v>100000</v>
      </c>
      <c r="SO40" s="57">
        <f t="shared" si="1409"/>
        <v>100000</v>
      </c>
      <c r="SP40" s="57">
        <f t="shared" si="1409"/>
        <v>100000</v>
      </c>
      <c r="SQ40" s="57">
        <f t="shared" si="1409"/>
        <v>100000</v>
      </c>
      <c r="SR40" s="57">
        <f t="shared" si="1409"/>
        <v>100000</v>
      </c>
      <c r="SS40" s="57">
        <f t="shared" si="1409"/>
        <v>100000</v>
      </c>
      <c r="ST40" s="57">
        <f t="shared" si="1409"/>
        <v>100000</v>
      </c>
      <c r="SU40" s="57">
        <f t="shared" si="1409"/>
        <v>100000</v>
      </c>
      <c r="SV40" s="57">
        <f t="shared" ref="SV40:VG40" si="1410">$C40</f>
        <v>100000</v>
      </c>
      <c r="SW40" s="57">
        <f t="shared" si="1410"/>
        <v>100000</v>
      </c>
      <c r="SX40" s="57">
        <f t="shared" si="1410"/>
        <v>100000</v>
      </c>
      <c r="SY40" s="57">
        <f t="shared" si="1410"/>
        <v>100000</v>
      </c>
      <c r="SZ40" s="57">
        <f t="shared" si="1410"/>
        <v>100000</v>
      </c>
      <c r="TA40" s="57">
        <f t="shared" si="1410"/>
        <v>100000</v>
      </c>
      <c r="TB40" s="57">
        <f t="shared" si="1410"/>
        <v>100000</v>
      </c>
      <c r="TC40" s="57">
        <f t="shared" si="1410"/>
        <v>100000</v>
      </c>
      <c r="TD40" s="57">
        <f t="shared" si="1410"/>
        <v>100000</v>
      </c>
      <c r="TE40" s="57">
        <f t="shared" si="1410"/>
        <v>100000</v>
      </c>
      <c r="TF40" s="57">
        <f t="shared" si="1410"/>
        <v>100000</v>
      </c>
      <c r="TG40" s="57">
        <f t="shared" si="1410"/>
        <v>100000</v>
      </c>
      <c r="TH40" s="57">
        <f t="shared" si="1410"/>
        <v>100000</v>
      </c>
      <c r="TI40" s="57">
        <f t="shared" si="1410"/>
        <v>100000</v>
      </c>
      <c r="TJ40" s="57">
        <f t="shared" si="1410"/>
        <v>100000</v>
      </c>
      <c r="TK40" s="57">
        <f t="shared" si="1410"/>
        <v>100000</v>
      </c>
      <c r="TL40" s="57">
        <f t="shared" si="1410"/>
        <v>100000</v>
      </c>
      <c r="TM40" s="57">
        <f t="shared" si="1410"/>
        <v>100000</v>
      </c>
      <c r="TN40" s="57">
        <f t="shared" si="1410"/>
        <v>100000</v>
      </c>
      <c r="TO40" s="57">
        <f t="shared" si="1410"/>
        <v>100000</v>
      </c>
      <c r="TP40" s="57">
        <f t="shared" si="1410"/>
        <v>100000</v>
      </c>
      <c r="TQ40" s="57">
        <f t="shared" si="1410"/>
        <v>100000</v>
      </c>
      <c r="TR40" s="57">
        <f t="shared" si="1410"/>
        <v>100000</v>
      </c>
      <c r="TS40" s="57">
        <f t="shared" si="1410"/>
        <v>100000</v>
      </c>
      <c r="TT40" s="57">
        <f t="shared" si="1410"/>
        <v>100000</v>
      </c>
      <c r="TU40" s="57">
        <f t="shared" si="1410"/>
        <v>100000</v>
      </c>
      <c r="TV40" s="57">
        <f t="shared" si="1410"/>
        <v>100000</v>
      </c>
      <c r="TW40" s="57">
        <f t="shared" si="1410"/>
        <v>100000</v>
      </c>
      <c r="TX40" s="57">
        <f t="shared" si="1410"/>
        <v>100000</v>
      </c>
      <c r="TY40" s="57">
        <f t="shared" si="1410"/>
        <v>100000</v>
      </c>
      <c r="TZ40" s="57">
        <f t="shared" si="1410"/>
        <v>100000</v>
      </c>
      <c r="UA40" s="57">
        <f t="shared" si="1410"/>
        <v>100000</v>
      </c>
      <c r="UB40" s="57">
        <f t="shared" si="1410"/>
        <v>100000</v>
      </c>
      <c r="UC40" s="57">
        <f t="shared" si="1410"/>
        <v>100000</v>
      </c>
      <c r="UD40" s="57">
        <f t="shared" si="1410"/>
        <v>100000</v>
      </c>
      <c r="UE40" s="57">
        <f t="shared" si="1410"/>
        <v>100000</v>
      </c>
      <c r="UF40" s="57">
        <f t="shared" si="1410"/>
        <v>100000</v>
      </c>
      <c r="UG40" s="57">
        <f t="shared" si="1410"/>
        <v>100000</v>
      </c>
      <c r="UH40" s="57">
        <f t="shared" si="1410"/>
        <v>100000</v>
      </c>
      <c r="UI40" s="57">
        <f t="shared" si="1410"/>
        <v>100000</v>
      </c>
      <c r="UJ40" s="57">
        <f t="shared" si="1410"/>
        <v>100000</v>
      </c>
      <c r="UK40" s="57">
        <f t="shared" si="1410"/>
        <v>100000</v>
      </c>
      <c r="UL40" s="57">
        <f t="shared" si="1410"/>
        <v>100000</v>
      </c>
      <c r="UM40" s="57">
        <f t="shared" si="1410"/>
        <v>100000</v>
      </c>
      <c r="UN40" s="57">
        <f t="shared" si="1410"/>
        <v>100000</v>
      </c>
      <c r="UO40" s="57">
        <f t="shared" si="1410"/>
        <v>100000</v>
      </c>
      <c r="UP40" s="57">
        <f t="shared" si="1410"/>
        <v>100000</v>
      </c>
      <c r="UQ40" s="57">
        <f t="shared" si="1410"/>
        <v>100000</v>
      </c>
      <c r="UR40" s="57">
        <f t="shared" si="1410"/>
        <v>100000</v>
      </c>
      <c r="US40" s="57">
        <f t="shared" si="1410"/>
        <v>100000</v>
      </c>
      <c r="UT40" s="57">
        <f t="shared" si="1410"/>
        <v>100000</v>
      </c>
      <c r="UU40" s="57">
        <f t="shared" si="1410"/>
        <v>100000</v>
      </c>
      <c r="UV40" s="57">
        <f t="shared" si="1410"/>
        <v>100000</v>
      </c>
      <c r="UW40" s="57">
        <f t="shared" si="1410"/>
        <v>100000</v>
      </c>
      <c r="UX40" s="57">
        <f t="shared" si="1410"/>
        <v>100000</v>
      </c>
      <c r="UY40" s="57">
        <f t="shared" si="1410"/>
        <v>100000</v>
      </c>
      <c r="UZ40" s="57">
        <f t="shared" si="1410"/>
        <v>100000</v>
      </c>
      <c r="VA40" s="57">
        <f t="shared" si="1410"/>
        <v>100000</v>
      </c>
      <c r="VB40" s="57">
        <f t="shared" si="1410"/>
        <v>100000</v>
      </c>
      <c r="VC40" s="57">
        <f t="shared" si="1410"/>
        <v>100000</v>
      </c>
      <c r="VD40" s="57">
        <f t="shared" si="1410"/>
        <v>100000</v>
      </c>
      <c r="VE40" s="57">
        <f t="shared" si="1410"/>
        <v>100000</v>
      </c>
      <c r="VF40" s="57">
        <f t="shared" si="1410"/>
        <v>100000</v>
      </c>
      <c r="VG40" s="57">
        <f t="shared" si="1410"/>
        <v>100000</v>
      </c>
      <c r="VH40" s="57">
        <f t="shared" ref="VH40:XS40" si="1411">$C40</f>
        <v>100000</v>
      </c>
      <c r="VI40" s="57">
        <f t="shared" si="1411"/>
        <v>100000</v>
      </c>
      <c r="VJ40" s="57">
        <f t="shared" si="1411"/>
        <v>100000</v>
      </c>
      <c r="VK40" s="57">
        <f t="shared" si="1411"/>
        <v>100000</v>
      </c>
      <c r="VL40" s="57">
        <f t="shared" si="1411"/>
        <v>100000</v>
      </c>
      <c r="VM40" s="57">
        <f t="shared" si="1411"/>
        <v>100000</v>
      </c>
      <c r="VN40" s="57">
        <f t="shared" si="1411"/>
        <v>100000</v>
      </c>
      <c r="VO40" s="57">
        <f t="shared" si="1411"/>
        <v>100000</v>
      </c>
      <c r="VP40" s="57">
        <f t="shared" si="1411"/>
        <v>100000</v>
      </c>
      <c r="VQ40" s="57">
        <f t="shared" si="1411"/>
        <v>100000</v>
      </c>
      <c r="VR40" s="57">
        <f t="shared" si="1411"/>
        <v>100000</v>
      </c>
      <c r="VS40" s="57">
        <f t="shared" si="1411"/>
        <v>100000</v>
      </c>
      <c r="VT40" s="57">
        <f t="shared" si="1411"/>
        <v>100000</v>
      </c>
      <c r="VU40" s="57">
        <f t="shared" si="1411"/>
        <v>100000</v>
      </c>
      <c r="VV40" s="57">
        <f t="shared" si="1411"/>
        <v>100000</v>
      </c>
      <c r="VW40" s="57">
        <f t="shared" si="1411"/>
        <v>100000</v>
      </c>
      <c r="VX40" s="57">
        <f t="shared" si="1411"/>
        <v>100000</v>
      </c>
      <c r="VY40" s="57">
        <f t="shared" si="1411"/>
        <v>100000</v>
      </c>
      <c r="VZ40" s="57">
        <f t="shared" si="1411"/>
        <v>100000</v>
      </c>
      <c r="WA40" s="57">
        <f t="shared" si="1411"/>
        <v>100000</v>
      </c>
      <c r="WB40" s="57">
        <f t="shared" si="1411"/>
        <v>100000</v>
      </c>
      <c r="WC40" s="57">
        <f t="shared" si="1411"/>
        <v>100000</v>
      </c>
      <c r="WD40" s="57">
        <f t="shared" si="1411"/>
        <v>100000</v>
      </c>
      <c r="WE40" s="57">
        <f t="shared" si="1411"/>
        <v>100000</v>
      </c>
      <c r="WF40" s="57">
        <f t="shared" si="1411"/>
        <v>100000</v>
      </c>
      <c r="WG40" s="57">
        <f t="shared" si="1411"/>
        <v>100000</v>
      </c>
      <c r="WH40" s="57">
        <f t="shared" si="1411"/>
        <v>100000</v>
      </c>
      <c r="WI40" s="57">
        <f t="shared" si="1411"/>
        <v>100000</v>
      </c>
      <c r="WJ40" s="57">
        <f t="shared" si="1411"/>
        <v>100000</v>
      </c>
      <c r="WK40" s="57">
        <f t="shared" si="1411"/>
        <v>100000</v>
      </c>
      <c r="WL40" s="57">
        <f t="shared" si="1411"/>
        <v>100000</v>
      </c>
      <c r="WM40" s="57">
        <f t="shared" si="1411"/>
        <v>100000</v>
      </c>
      <c r="WN40" s="57">
        <f t="shared" si="1411"/>
        <v>100000</v>
      </c>
      <c r="WO40" s="57">
        <f t="shared" si="1411"/>
        <v>100000</v>
      </c>
      <c r="WP40" s="57">
        <f t="shared" si="1411"/>
        <v>100000</v>
      </c>
      <c r="WQ40" s="57">
        <f t="shared" si="1411"/>
        <v>100000</v>
      </c>
      <c r="WR40" s="57">
        <f t="shared" si="1411"/>
        <v>100000</v>
      </c>
      <c r="WS40" s="57">
        <f t="shared" si="1411"/>
        <v>100000</v>
      </c>
      <c r="WT40" s="57">
        <f t="shared" si="1411"/>
        <v>100000</v>
      </c>
      <c r="WU40" s="57">
        <f t="shared" si="1411"/>
        <v>100000</v>
      </c>
      <c r="WV40" s="57">
        <f t="shared" si="1411"/>
        <v>100000</v>
      </c>
      <c r="WW40" s="57">
        <f t="shared" si="1411"/>
        <v>100000</v>
      </c>
      <c r="WX40" s="57">
        <f t="shared" si="1411"/>
        <v>100000</v>
      </c>
      <c r="WY40" s="57">
        <f t="shared" si="1411"/>
        <v>100000</v>
      </c>
      <c r="WZ40" s="57">
        <f t="shared" si="1411"/>
        <v>100000</v>
      </c>
      <c r="XA40" s="57">
        <f t="shared" si="1411"/>
        <v>100000</v>
      </c>
      <c r="XB40" s="57">
        <f t="shared" si="1411"/>
        <v>100000</v>
      </c>
      <c r="XC40" s="57">
        <f t="shared" si="1411"/>
        <v>100000</v>
      </c>
      <c r="XD40" s="57">
        <f t="shared" si="1411"/>
        <v>100000</v>
      </c>
      <c r="XE40" s="57">
        <f t="shared" si="1411"/>
        <v>100000</v>
      </c>
      <c r="XF40" s="57">
        <f t="shared" si="1411"/>
        <v>100000</v>
      </c>
      <c r="XG40" s="57">
        <f t="shared" si="1411"/>
        <v>100000</v>
      </c>
      <c r="XH40" s="57">
        <f t="shared" si="1411"/>
        <v>100000</v>
      </c>
      <c r="XI40" s="57">
        <f t="shared" si="1411"/>
        <v>100000</v>
      </c>
      <c r="XJ40" s="57">
        <f t="shared" si="1411"/>
        <v>100000</v>
      </c>
      <c r="XK40" s="57">
        <f t="shared" si="1411"/>
        <v>100000</v>
      </c>
      <c r="XL40" s="57">
        <f t="shared" si="1411"/>
        <v>100000</v>
      </c>
      <c r="XM40" s="57">
        <f t="shared" si="1411"/>
        <v>100000</v>
      </c>
      <c r="XN40" s="57">
        <f t="shared" si="1411"/>
        <v>100000</v>
      </c>
      <c r="XO40" s="57">
        <f t="shared" si="1411"/>
        <v>100000</v>
      </c>
      <c r="XP40" s="57">
        <f t="shared" si="1411"/>
        <v>100000</v>
      </c>
      <c r="XQ40" s="57">
        <f t="shared" si="1411"/>
        <v>100000</v>
      </c>
      <c r="XR40" s="57">
        <f t="shared" si="1411"/>
        <v>100000</v>
      </c>
      <c r="XS40" s="57">
        <f t="shared" si="1411"/>
        <v>100000</v>
      </c>
      <c r="XT40" s="57">
        <f t="shared" ref="XT40:AAE40" si="1412">$C40</f>
        <v>100000</v>
      </c>
      <c r="XU40" s="57">
        <f t="shared" si="1412"/>
        <v>100000</v>
      </c>
      <c r="XV40" s="57">
        <f t="shared" si="1412"/>
        <v>100000</v>
      </c>
      <c r="XW40" s="57">
        <f t="shared" si="1412"/>
        <v>100000</v>
      </c>
      <c r="XX40" s="57">
        <f t="shared" si="1412"/>
        <v>100000</v>
      </c>
      <c r="XY40" s="57">
        <f t="shared" si="1412"/>
        <v>100000</v>
      </c>
      <c r="XZ40" s="57">
        <f t="shared" si="1412"/>
        <v>100000</v>
      </c>
      <c r="YA40" s="57">
        <f t="shared" si="1412"/>
        <v>100000</v>
      </c>
      <c r="YB40" s="57">
        <f t="shared" si="1412"/>
        <v>100000</v>
      </c>
      <c r="YC40" s="57">
        <f t="shared" si="1412"/>
        <v>100000</v>
      </c>
      <c r="YD40" s="57">
        <f t="shared" si="1412"/>
        <v>100000</v>
      </c>
      <c r="YE40" s="57">
        <f t="shared" si="1412"/>
        <v>100000</v>
      </c>
      <c r="YF40" s="57">
        <f t="shared" si="1412"/>
        <v>100000</v>
      </c>
      <c r="YG40" s="57">
        <f t="shared" si="1412"/>
        <v>100000</v>
      </c>
      <c r="YH40" s="57">
        <f t="shared" si="1412"/>
        <v>100000</v>
      </c>
      <c r="YI40" s="57">
        <f t="shared" si="1412"/>
        <v>100000</v>
      </c>
      <c r="YJ40" s="57">
        <f t="shared" si="1412"/>
        <v>100000</v>
      </c>
      <c r="YK40" s="57">
        <f t="shared" si="1412"/>
        <v>100000</v>
      </c>
      <c r="YL40" s="57">
        <f t="shared" si="1412"/>
        <v>100000</v>
      </c>
      <c r="YM40" s="57">
        <f t="shared" si="1412"/>
        <v>100000</v>
      </c>
      <c r="YN40" s="57">
        <f t="shared" si="1412"/>
        <v>100000</v>
      </c>
      <c r="YO40" s="57">
        <f t="shared" si="1412"/>
        <v>100000</v>
      </c>
      <c r="YP40" s="57">
        <f t="shared" si="1412"/>
        <v>100000</v>
      </c>
      <c r="YQ40" s="57">
        <f t="shared" si="1412"/>
        <v>100000</v>
      </c>
      <c r="YR40" s="57">
        <f t="shared" si="1412"/>
        <v>100000</v>
      </c>
      <c r="YS40" s="57">
        <f t="shared" si="1412"/>
        <v>100000</v>
      </c>
      <c r="YT40" s="57">
        <f t="shared" si="1412"/>
        <v>100000</v>
      </c>
      <c r="YU40" s="57">
        <f t="shared" si="1412"/>
        <v>100000</v>
      </c>
      <c r="YV40" s="57">
        <f t="shared" si="1412"/>
        <v>100000</v>
      </c>
      <c r="YW40" s="57">
        <f t="shared" si="1412"/>
        <v>100000</v>
      </c>
      <c r="YX40" s="57">
        <f t="shared" si="1412"/>
        <v>100000</v>
      </c>
      <c r="YY40" s="57">
        <f t="shared" si="1412"/>
        <v>100000</v>
      </c>
      <c r="YZ40" s="57">
        <f t="shared" si="1412"/>
        <v>100000</v>
      </c>
      <c r="ZA40" s="57">
        <f t="shared" si="1412"/>
        <v>100000</v>
      </c>
      <c r="ZB40" s="57">
        <f t="shared" si="1412"/>
        <v>100000</v>
      </c>
      <c r="ZC40" s="57">
        <f t="shared" si="1412"/>
        <v>100000</v>
      </c>
      <c r="ZD40" s="57">
        <f t="shared" si="1412"/>
        <v>100000</v>
      </c>
      <c r="ZE40" s="57">
        <f t="shared" si="1412"/>
        <v>100000</v>
      </c>
      <c r="ZF40" s="57">
        <f t="shared" si="1412"/>
        <v>100000</v>
      </c>
      <c r="ZG40" s="57">
        <f t="shared" si="1412"/>
        <v>100000</v>
      </c>
      <c r="ZH40" s="57">
        <f t="shared" si="1412"/>
        <v>100000</v>
      </c>
      <c r="ZI40" s="57">
        <f t="shared" si="1412"/>
        <v>100000</v>
      </c>
      <c r="ZJ40" s="57">
        <f t="shared" si="1412"/>
        <v>100000</v>
      </c>
      <c r="ZK40" s="57">
        <f t="shared" si="1412"/>
        <v>100000</v>
      </c>
      <c r="ZL40" s="57">
        <f t="shared" si="1412"/>
        <v>100000</v>
      </c>
      <c r="ZM40" s="57">
        <f t="shared" si="1412"/>
        <v>100000</v>
      </c>
      <c r="ZN40" s="57">
        <f t="shared" si="1412"/>
        <v>100000</v>
      </c>
      <c r="ZO40" s="57">
        <f t="shared" si="1412"/>
        <v>100000</v>
      </c>
      <c r="ZP40" s="57">
        <f t="shared" si="1412"/>
        <v>100000</v>
      </c>
      <c r="ZQ40" s="57">
        <f t="shared" si="1412"/>
        <v>100000</v>
      </c>
      <c r="ZR40" s="57">
        <f t="shared" si="1412"/>
        <v>100000</v>
      </c>
      <c r="ZS40" s="57">
        <f t="shared" si="1412"/>
        <v>100000</v>
      </c>
      <c r="ZT40" s="57">
        <f t="shared" si="1412"/>
        <v>100000</v>
      </c>
      <c r="ZU40" s="57">
        <f t="shared" si="1412"/>
        <v>100000</v>
      </c>
      <c r="ZV40" s="57">
        <f t="shared" si="1412"/>
        <v>100000</v>
      </c>
      <c r="ZW40" s="57">
        <f t="shared" si="1412"/>
        <v>100000</v>
      </c>
      <c r="ZX40" s="57">
        <f t="shared" si="1412"/>
        <v>100000</v>
      </c>
      <c r="ZY40" s="57">
        <f t="shared" si="1412"/>
        <v>100000</v>
      </c>
      <c r="ZZ40" s="57">
        <f t="shared" si="1412"/>
        <v>100000</v>
      </c>
      <c r="AAA40" s="57">
        <f t="shared" si="1412"/>
        <v>100000</v>
      </c>
      <c r="AAB40" s="57">
        <f t="shared" si="1412"/>
        <v>100000</v>
      </c>
      <c r="AAC40" s="57">
        <f t="shared" si="1412"/>
        <v>100000</v>
      </c>
      <c r="AAD40" s="57">
        <f t="shared" si="1412"/>
        <v>100000</v>
      </c>
      <c r="AAE40" s="57">
        <f t="shared" si="1412"/>
        <v>100000</v>
      </c>
      <c r="AAF40" s="57">
        <f t="shared" ref="AAF40:ACQ40" si="1413">$C40</f>
        <v>100000</v>
      </c>
      <c r="AAG40" s="57">
        <f t="shared" si="1413"/>
        <v>100000</v>
      </c>
      <c r="AAH40" s="57">
        <f t="shared" si="1413"/>
        <v>100000</v>
      </c>
      <c r="AAI40" s="57">
        <f t="shared" si="1413"/>
        <v>100000</v>
      </c>
      <c r="AAJ40" s="57">
        <f t="shared" si="1413"/>
        <v>100000</v>
      </c>
      <c r="AAK40" s="57">
        <f t="shared" si="1413"/>
        <v>100000</v>
      </c>
      <c r="AAL40" s="57">
        <f t="shared" si="1413"/>
        <v>100000</v>
      </c>
      <c r="AAM40" s="57">
        <f t="shared" si="1413"/>
        <v>100000</v>
      </c>
      <c r="AAN40" s="57">
        <f t="shared" si="1413"/>
        <v>100000</v>
      </c>
      <c r="AAO40" s="57">
        <f t="shared" si="1413"/>
        <v>100000</v>
      </c>
      <c r="AAP40" s="57">
        <f t="shared" si="1413"/>
        <v>100000</v>
      </c>
      <c r="AAQ40" s="57">
        <f t="shared" si="1413"/>
        <v>100000</v>
      </c>
      <c r="AAR40" s="57">
        <f t="shared" si="1413"/>
        <v>100000</v>
      </c>
      <c r="AAS40" s="57">
        <f t="shared" si="1413"/>
        <v>100000</v>
      </c>
      <c r="AAT40" s="57">
        <f t="shared" si="1413"/>
        <v>100000</v>
      </c>
      <c r="AAU40" s="57">
        <f t="shared" si="1413"/>
        <v>100000</v>
      </c>
      <c r="AAV40" s="57">
        <f t="shared" si="1413"/>
        <v>100000</v>
      </c>
      <c r="AAW40" s="57">
        <f t="shared" si="1413"/>
        <v>100000</v>
      </c>
      <c r="AAX40" s="57">
        <f t="shared" si="1413"/>
        <v>100000</v>
      </c>
      <c r="AAY40" s="57">
        <f t="shared" si="1413"/>
        <v>100000</v>
      </c>
      <c r="AAZ40" s="57">
        <f t="shared" si="1413"/>
        <v>100000</v>
      </c>
      <c r="ABA40" s="57">
        <f t="shared" si="1413"/>
        <v>100000</v>
      </c>
      <c r="ABB40" s="57">
        <f t="shared" si="1413"/>
        <v>100000</v>
      </c>
      <c r="ABC40" s="57">
        <f t="shared" si="1413"/>
        <v>100000</v>
      </c>
      <c r="ABD40" s="57">
        <f t="shared" si="1413"/>
        <v>100000</v>
      </c>
      <c r="ABE40" s="57">
        <f t="shared" si="1413"/>
        <v>100000</v>
      </c>
      <c r="ABF40" s="57">
        <f t="shared" si="1413"/>
        <v>100000</v>
      </c>
      <c r="ABG40" s="57">
        <f t="shared" si="1413"/>
        <v>100000</v>
      </c>
      <c r="ABH40" s="57">
        <f t="shared" si="1413"/>
        <v>100000</v>
      </c>
      <c r="ABI40" s="57">
        <f t="shared" si="1413"/>
        <v>100000</v>
      </c>
      <c r="ABJ40" s="57">
        <f t="shared" si="1413"/>
        <v>100000</v>
      </c>
      <c r="ABK40" s="57">
        <f t="shared" si="1413"/>
        <v>100000</v>
      </c>
      <c r="ABL40" s="57">
        <f t="shared" si="1413"/>
        <v>100000</v>
      </c>
      <c r="ABM40" s="57">
        <f t="shared" si="1413"/>
        <v>100000</v>
      </c>
      <c r="ABN40" s="57">
        <f t="shared" si="1413"/>
        <v>100000</v>
      </c>
      <c r="ABO40" s="57">
        <f t="shared" si="1413"/>
        <v>100000</v>
      </c>
      <c r="ABP40" s="57">
        <f t="shared" si="1413"/>
        <v>100000</v>
      </c>
      <c r="ABQ40" s="57">
        <f t="shared" si="1413"/>
        <v>100000</v>
      </c>
      <c r="ABR40" s="57">
        <f t="shared" si="1413"/>
        <v>100000</v>
      </c>
      <c r="ABS40" s="57">
        <f t="shared" si="1413"/>
        <v>100000</v>
      </c>
      <c r="ABT40" s="57">
        <f t="shared" si="1413"/>
        <v>100000</v>
      </c>
      <c r="ABU40" s="57">
        <f t="shared" si="1413"/>
        <v>100000</v>
      </c>
      <c r="ABV40" s="57">
        <f t="shared" si="1413"/>
        <v>100000</v>
      </c>
      <c r="ABW40" s="57">
        <f t="shared" si="1413"/>
        <v>100000</v>
      </c>
      <c r="ABX40" s="57">
        <f t="shared" si="1413"/>
        <v>100000</v>
      </c>
      <c r="ABY40" s="57">
        <f t="shared" si="1413"/>
        <v>100000</v>
      </c>
      <c r="ABZ40" s="57">
        <f t="shared" si="1413"/>
        <v>100000</v>
      </c>
      <c r="ACA40" s="57">
        <f t="shared" si="1413"/>
        <v>100000</v>
      </c>
      <c r="ACB40" s="57">
        <f t="shared" si="1413"/>
        <v>100000</v>
      </c>
      <c r="ACC40" s="57">
        <f t="shared" si="1413"/>
        <v>100000</v>
      </c>
      <c r="ACD40" s="57">
        <f t="shared" si="1413"/>
        <v>100000</v>
      </c>
      <c r="ACE40" s="57">
        <f t="shared" si="1413"/>
        <v>100000</v>
      </c>
      <c r="ACF40" s="57">
        <f t="shared" si="1413"/>
        <v>100000</v>
      </c>
      <c r="ACG40" s="57">
        <f t="shared" si="1413"/>
        <v>100000</v>
      </c>
      <c r="ACH40" s="57">
        <f t="shared" si="1413"/>
        <v>100000</v>
      </c>
      <c r="ACI40" s="57">
        <f t="shared" si="1413"/>
        <v>100000</v>
      </c>
      <c r="ACJ40" s="57">
        <f t="shared" si="1413"/>
        <v>100000</v>
      </c>
      <c r="ACK40" s="57">
        <f t="shared" si="1413"/>
        <v>100000</v>
      </c>
      <c r="ACL40" s="57">
        <f t="shared" si="1413"/>
        <v>100000</v>
      </c>
      <c r="ACM40" s="57">
        <f t="shared" si="1413"/>
        <v>100000</v>
      </c>
      <c r="ACN40" s="57">
        <f t="shared" si="1413"/>
        <v>100000</v>
      </c>
      <c r="ACO40" s="57">
        <f t="shared" si="1413"/>
        <v>100000</v>
      </c>
      <c r="ACP40" s="57">
        <f t="shared" si="1413"/>
        <v>100000</v>
      </c>
      <c r="ACQ40" s="57">
        <f t="shared" si="1413"/>
        <v>100000</v>
      </c>
      <c r="ACR40" s="57">
        <f t="shared" ref="ACR40:AFC40" si="1414">$C40</f>
        <v>100000</v>
      </c>
      <c r="ACS40" s="57">
        <f t="shared" si="1414"/>
        <v>100000</v>
      </c>
      <c r="ACT40" s="57">
        <f t="shared" si="1414"/>
        <v>100000</v>
      </c>
      <c r="ACU40" s="57">
        <f t="shared" si="1414"/>
        <v>100000</v>
      </c>
      <c r="ACV40" s="57">
        <f t="shared" si="1414"/>
        <v>100000</v>
      </c>
      <c r="ACW40" s="57">
        <f t="shared" si="1414"/>
        <v>100000</v>
      </c>
      <c r="ACX40" s="57">
        <f t="shared" si="1414"/>
        <v>100000</v>
      </c>
      <c r="ACY40" s="57">
        <f t="shared" si="1414"/>
        <v>100000</v>
      </c>
      <c r="ACZ40" s="57">
        <f t="shared" si="1414"/>
        <v>100000</v>
      </c>
      <c r="ADA40" s="57">
        <f t="shared" si="1414"/>
        <v>100000</v>
      </c>
      <c r="ADB40" s="57">
        <f t="shared" si="1414"/>
        <v>100000</v>
      </c>
      <c r="ADC40" s="57">
        <f t="shared" si="1414"/>
        <v>100000</v>
      </c>
      <c r="ADD40" s="57">
        <f t="shared" si="1414"/>
        <v>100000</v>
      </c>
      <c r="ADE40" s="57">
        <f t="shared" si="1414"/>
        <v>100000</v>
      </c>
      <c r="ADF40" s="57">
        <f t="shared" si="1414"/>
        <v>100000</v>
      </c>
      <c r="ADG40" s="57">
        <f t="shared" si="1414"/>
        <v>100000</v>
      </c>
      <c r="ADH40" s="57">
        <f t="shared" si="1414"/>
        <v>100000</v>
      </c>
      <c r="ADI40" s="57">
        <f t="shared" si="1414"/>
        <v>100000</v>
      </c>
      <c r="ADJ40" s="57">
        <f t="shared" si="1414"/>
        <v>100000</v>
      </c>
      <c r="ADK40" s="57">
        <f t="shared" si="1414"/>
        <v>100000</v>
      </c>
      <c r="ADL40" s="57">
        <f t="shared" si="1414"/>
        <v>100000</v>
      </c>
      <c r="ADM40" s="57">
        <f t="shared" si="1414"/>
        <v>100000</v>
      </c>
      <c r="ADN40" s="57">
        <f t="shared" si="1414"/>
        <v>100000</v>
      </c>
      <c r="ADO40" s="57">
        <f t="shared" si="1414"/>
        <v>100000</v>
      </c>
      <c r="ADP40" s="57">
        <f t="shared" si="1414"/>
        <v>100000</v>
      </c>
      <c r="ADQ40" s="57">
        <f t="shared" si="1414"/>
        <v>100000</v>
      </c>
      <c r="ADR40" s="57">
        <f t="shared" si="1414"/>
        <v>100000</v>
      </c>
      <c r="ADS40" s="57">
        <f t="shared" si="1414"/>
        <v>100000</v>
      </c>
      <c r="ADT40" s="57">
        <f t="shared" si="1414"/>
        <v>100000</v>
      </c>
      <c r="ADU40" s="57">
        <f t="shared" si="1414"/>
        <v>100000</v>
      </c>
      <c r="ADV40" s="57">
        <f t="shared" si="1414"/>
        <v>100000</v>
      </c>
      <c r="ADW40" s="57">
        <f t="shared" si="1414"/>
        <v>100000</v>
      </c>
      <c r="ADX40" s="57">
        <f t="shared" si="1414"/>
        <v>100000</v>
      </c>
      <c r="ADY40" s="57">
        <f t="shared" si="1414"/>
        <v>100000</v>
      </c>
      <c r="ADZ40" s="57">
        <f t="shared" si="1414"/>
        <v>100000</v>
      </c>
      <c r="AEA40" s="57">
        <f t="shared" si="1414"/>
        <v>100000</v>
      </c>
      <c r="AEB40" s="57">
        <f t="shared" si="1414"/>
        <v>100000</v>
      </c>
      <c r="AEC40" s="57">
        <f t="shared" si="1414"/>
        <v>100000</v>
      </c>
      <c r="AED40" s="57">
        <f t="shared" si="1414"/>
        <v>100000</v>
      </c>
      <c r="AEE40" s="57">
        <f t="shared" si="1414"/>
        <v>100000</v>
      </c>
      <c r="AEF40" s="57">
        <f t="shared" si="1414"/>
        <v>100000</v>
      </c>
      <c r="AEG40" s="57">
        <f t="shared" si="1414"/>
        <v>100000</v>
      </c>
      <c r="AEH40" s="57">
        <f t="shared" si="1414"/>
        <v>100000</v>
      </c>
      <c r="AEI40" s="57">
        <f t="shared" si="1414"/>
        <v>100000</v>
      </c>
      <c r="AEJ40" s="57">
        <f t="shared" si="1414"/>
        <v>100000</v>
      </c>
      <c r="AEK40" s="57">
        <f t="shared" si="1414"/>
        <v>100000</v>
      </c>
      <c r="AEL40" s="57">
        <f t="shared" si="1414"/>
        <v>100000</v>
      </c>
      <c r="AEM40" s="57">
        <f t="shared" si="1414"/>
        <v>100000</v>
      </c>
      <c r="AEN40" s="57">
        <f t="shared" si="1414"/>
        <v>100000</v>
      </c>
      <c r="AEO40" s="57">
        <f t="shared" si="1414"/>
        <v>100000</v>
      </c>
      <c r="AEP40" s="57">
        <f t="shared" si="1414"/>
        <v>100000</v>
      </c>
      <c r="AEQ40" s="57">
        <f t="shared" si="1414"/>
        <v>100000</v>
      </c>
      <c r="AER40" s="57">
        <f t="shared" si="1414"/>
        <v>100000</v>
      </c>
      <c r="AES40" s="57">
        <f t="shared" si="1414"/>
        <v>100000</v>
      </c>
      <c r="AET40" s="57">
        <f t="shared" si="1414"/>
        <v>100000</v>
      </c>
      <c r="AEU40" s="57">
        <f t="shared" si="1414"/>
        <v>100000</v>
      </c>
      <c r="AEV40" s="57">
        <f t="shared" si="1414"/>
        <v>100000</v>
      </c>
      <c r="AEW40" s="57">
        <f t="shared" si="1414"/>
        <v>100000</v>
      </c>
      <c r="AEX40" s="57">
        <f t="shared" si="1414"/>
        <v>100000</v>
      </c>
      <c r="AEY40" s="57">
        <f t="shared" si="1414"/>
        <v>100000</v>
      </c>
      <c r="AEZ40" s="57">
        <f t="shared" si="1414"/>
        <v>100000</v>
      </c>
      <c r="AFA40" s="57">
        <f t="shared" si="1414"/>
        <v>100000</v>
      </c>
      <c r="AFB40" s="57">
        <f t="shared" si="1414"/>
        <v>100000</v>
      </c>
      <c r="AFC40" s="57">
        <f t="shared" si="1414"/>
        <v>100000</v>
      </c>
      <c r="AFD40" s="57">
        <f t="shared" ref="AFD40:AHO40" si="1415">$C40</f>
        <v>100000</v>
      </c>
      <c r="AFE40" s="57">
        <f t="shared" si="1415"/>
        <v>100000</v>
      </c>
      <c r="AFF40" s="57">
        <f t="shared" si="1415"/>
        <v>100000</v>
      </c>
      <c r="AFG40" s="57">
        <f t="shared" si="1415"/>
        <v>100000</v>
      </c>
      <c r="AFH40" s="57">
        <f t="shared" si="1415"/>
        <v>100000</v>
      </c>
      <c r="AFI40" s="57">
        <f t="shared" si="1415"/>
        <v>100000</v>
      </c>
      <c r="AFJ40" s="57">
        <f t="shared" si="1415"/>
        <v>100000</v>
      </c>
      <c r="AFK40" s="57">
        <f t="shared" si="1415"/>
        <v>100000</v>
      </c>
      <c r="AFL40" s="57">
        <f t="shared" si="1415"/>
        <v>100000</v>
      </c>
      <c r="AFM40" s="57">
        <f t="shared" si="1415"/>
        <v>100000</v>
      </c>
      <c r="AFN40" s="57">
        <f t="shared" si="1415"/>
        <v>100000</v>
      </c>
      <c r="AFO40" s="57">
        <f t="shared" si="1415"/>
        <v>100000</v>
      </c>
      <c r="AFP40" s="57">
        <f t="shared" si="1415"/>
        <v>100000</v>
      </c>
      <c r="AFQ40" s="57">
        <f t="shared" si="1415"/>
        <v>100000</v>
      </c>
      <c r="AFR40" s="57">
        <f t="shared" si="1415"/>
        <v>100000</v>
      </c>
      <c r="AFS40" s="57">
        <f t="shared" si="1415"/>
        <v>100000</v>
      </c>
      <c r="AFT40" s="57">
        <f t="shared" si="1415"/>
        <v>100000</v>
      </c>
      <c r="AFU40" s="57">
        <f t="shared" si="1415"/>
        <v>100000</v>
      </c>
      <c r="AFV40" s="57">
        <f t="shared" si="1415"/>
        <v>100000</v>
      </c>
      <c r="AFW40" s="57">
        <f t="shared" si="1415"/>
        <v>100000</v>
      </c>
      <c r="AFX40" s="57">
        <f t="shared" si="1415"/>
        <v>100000</v>
      </c>
      <c r="AFY40" s="57">
        <f t="shared" si="1415"/>
        <v>100000</v>
      </c>
      <c r="AFZ40" s="57">
        <f t="shared" si="1415"/>
        <v>100000</v>
      </c>
      <c r="AGA40" s="57">
        <f t="shared" si="1415"/>
        <v>100000</v>
      </c>
      <c r="AGB40" s="57">
        <f t="shared" si="1415"/>
        <v>100000</v>
      </c>
      <c r="AGC40" s="57">
        <f t="shared" si="1415"/>
        <v>100000</v>
      </c>
      <c r="AGD40" s="57">
        <f t="shared" si="1415"/>
        <v>100000</v>
      </c>
      <c r="AGE40" s="57">
        <f t="shared" si="1415"/>
        <v>100000</v>
      </c>
      <c r="AGF40" s="57">
        <f t="shared" si="1415"/>
        <v>100000</v>
      </c>
      <c r="AGG40" s="57">
        <f t="shared" si="1415"/>
        <v>100000</v>
      </c>
      <c r="AGH40" s="57">
        <f t="shared" si="1415"/>
        <v>100000</v>
      </c>
      <c r="AGI40" s="57">
        <f t="shared" si="1415"/>
        <v>100000</v>
      </c>
      <c r="AGJ40" s="57">
        <f t="shared" si="1415"/>
        <v>100000</v>
      </c>
      <c r="AGK40" s="57">
        <f t="shared" si="1415"/>
        <v>100000</v>
      </c>
      <c r="AGL40" s="57">
        <f t="shared" si="1415"/>
        <v>100000</v>
      </c>
      <c r="AGM40" s="57">
        <f t="shared" si="1415"/>
        <v>100000</v>
      </c>
      <c r="AGN40" s="57">
        <f t="shared" si="1415"/>
        <v>100000</v>
      </c>
      <c r="AGO40" s="57">
        <f t="shared" si="1415"/>
        <v>100000</v>
      </c>
      <c r="AGP40" s="57">
        <f t="shared" si="1415"/>
        <v>100000</v>
      </c>
      <c r="AGQ40" s="57">
        <f t="shared" si="1415"/>
        <v>100000</v>
      </c>
      <c r="AGR40" s="57">
        <f t="shared" si="1415"/>
        <v>100000</v>
      </c>
      <c r="AGS40" s="57">
        <f t="shared" si="1415"/>
        <v>100000</v>
      </c>
      <c r="AGT40" s="57">
        <f t="shared" si="1415"/>
        <v>100000</v>
      </c>
      <c r="AGU40" s="57">
        <f t="shared" si="1415"/>
        <v>100000</v>
      </c>
      <c r="AGV40" s="57">
        <f t="shared" si="1415"/>
        <v>100000</v>
      </c>
      <c r="AGW40" s="57">
        <f t="shared" si="1415"/>
        <v>100000</v>
      </c>
      <c r="AGX40" s="57">
        <f t="shared" si="1415"/>
        <v>100000</v>
      </c>
      <c r="AGY40" s="57">
        <f t="shared" si="1415"/>
        <v>100000</v>
      </c>
      <c r="AGZ40" s="57">
        <f t="shared" si="1415"/>
        <v>100000</v>
      </c>
      <c r="AHA40" s="57">
        <f t="shared" si="1415"/>
        <v>100000</v>
      </c>
      <c r="AHB40" s="57">
        <f t="shared" si="1415"/>
        <v>100000</v>
      </c>
      <c r="AHC40" s="57">
        <f t="shared" si="1415"/>
        <v>100000</v>
      </c>
      <c r="AHD40" s="57">
        <f t="shared" si="1415"/>
        <v>100000</v>
      </c>
      <c r="AHE40" s="57">
        <f t="shared" si="1415"/>
        <v>100000</v>
      </c>
      <c r="AHF40" s="57">
        <f t="shared" si="1415"/>
        <v>100000</v>
      </c>
      <c r="AHG40" s="57">
        <f t="shared" si="1415"/>
        <v>100000</v>
      </c>
      <c r="AHH40" s="57">
        <f t="shared" si="1415"/>
        <v>100000</v>
      </c>
      <c r="AHI40" s="57">
        <f t="shared" si="1415"/>
        <v>100000</v>
      </c>
      <c r="AHJ40" s="57">
        <f t="shared" si="1415"/>
        <v>100000</v>
      </c>
      <c r="AHK40" s="57">
        <f t="shared" si="1415"/>
        <v>100000</v>
      </c>
      <c r="AHL40" s="57">
        <f t="shared" si="1415"/>
        <v>100000</v>
      </c>
      <c r="AHM40" s="57">
        <f t="shared" si="1415"/>
        <v>100000</v>
      </c>
      <c r="AHN40" s="57">
        <f t="shared" si="1415"/>
        <v>100000</v>
      </c>
      <c r="AHO40" s="57">
        <f t="shared" si="1415"/>
        <v>100000</v>
      </c>
      <c r="AHP40" s="57">
        <f t="shared" ref="AHP40:AKA40" si="1416">$C40</f>
        <v>100000</v>
      </c>
      <c r="AHQ40" s="57">
        <f t="shared" si="1416"/>
        <v>100000</v>
      </c>
      <c r="AHR40" s="57">
        <f t="shared" si="1416"/>
        <v>100000</v>
      </c>
      <c r="AHS40" s="57">
        <f t="shared" si="1416"/>
        <v>100000</v>
      </c>
      <c r="AHT40" s="57">
        <f t="shared" si="1416"/>
        <v>100000</v>
      </c>
      <c r="AHU40" s="57">
        <f t="shared" si="1416"/>
        <v>100000</v>
      </c>
      <c r="AHV40" s="57">
        <f t="shared" si="1416"/>
        <v>100000</v>
      </c>
      <c r="AHW40" s="57">
        <f t="shared" si="1416"/>
        <v>100000</v>
      </c>
      <c r="AHX40" s="57">
        <f t="shared" si="1416"/>
        <v>100000</v>
      </c>
      <c r="AHY40" s="57">
        <f t="shared" si="1416"/>
        <v>100000</v>
      </c>
      <c r="AHZ40" s="57">
        <f t="shared" si="1416"/>
        <v>100000</v>
      </c>
      <c r="AIA40" s="57">
        <f t="shared" si="1416"/>
        <v>100000</v>
      </c>
      <c r="AIB40" s="57">
        <f t="shared" si="1416"/>
        <v>100000</v>
      </c>
      <c r="AIC40" s="57">
        <f t="shared" si="1416"/>
        <v>100000</v>
      </c>
      <c r="AID40" s="57">
        <f t="shared" si="1416"/>
        <v>100000</v>
      </c>
      <c r="AIE40" s="57">
        <f t="shared" si="1416"/>
        <v>100000</v>
      </c>
      <c r="AIF40" s="57">
        <f t="shared" si="1416"/>
        <v>100000</v>
      </c>
      <c r="AIG40" s="57">
        <f t="shared" si="1416"/>
        <v>100000</v>
      </c>
      <c r="AIH40" s="57">
        <f t="shared" si="1416"/>
        <v>100000</v>
      </c>
      <c r="AII40" s="57">
        <f t="shared" si="1416"/>
        <v>100000</v>
      </c>
      <c r="AIJ40" s="57">
        <f t="shared" si="1416"/>
        <v>100000</v>
      </c>
      <c r="AIK40" s="57">
        <f t="shared" si="1416"/>
        <v>100000</v>
      </c>
      <c r="AIL40" s="57">
        <f t="shared" si="1416"/>
        <v>100000</v>
      </c>
      <c r="AIM40" s="57">
        <f t="shared" si="1416"/>
        <v>100000</v>
      </c>
      <c r="AIN40" s="57">
        <f t="shared" si="1416"/>
        <v>100000</v>
      </c>
      <c r="AIO40" s="57">
        <f t="shared" si="1416"/>
        <v>100000</v>
      </c>
      <c r="AIP40" s="57">
        <f t="shared" si="1416"/>
        <v>100000</v>
      </c>
      <c r="AIQ40" s="57">
        <f t="shared" si="1416"/>
        <v>100000</v>
      </c>
      <c r="AIR40" s="57">
        <f t="shared" si="1416"/>
        <v>100000</v>
      </c>
      <c r="AIS40" s="57">
        <f t="shared" si="1416"/>
        <v>100000</v>
      </c>
      <c r="AIT40" s="57">
        <f t="shared" si="1416"/>
        <v>100000</v>
      </c>
      <c r="AIU40" s="57">
        <f t="shared" si="1416"/>
        <v>100000</v>
      </c>
      <c r="AIV40" s="57">
        <f t="shared" si="1416"/>
        <v>100000</v>
      </c>
      <c r="AIW40" s="57">
        <f t="shared" si="1416"/>
        <v>100000</v>
      </c>
      <c r="AIX40" s="57">
        <f t="shared" si="1416"/>
        <v>100000</v>
      </c>
      <c r="AIY40" s="57">
        <f t="shared" si="1416"/>
        <v>100000</v>
      </c>
      <c r="AIZ40" s="57">
        <f t="shared" si="1416"/>
        <v>100000</v>
      </c>
      <c r="AJA40" s="57">
        <f t="shared" si="1416"/>
        <v>100000</v>
      </c>
      <c r="AJB40" s="57">
        <f t="shared" si="1416"/>
        <v>100000</v>
      </c>
      <c r="AJC40" s="57">
        <f t="shared" si="1416"/>
        <v>100000</v>
      </c>
      <c r="AJD40" s="57">
        <f t="shared" si="1416"/>
        <v>100000</v>
      </c>
      <c r="AJE40" s="57">
        <f t="shared" si="1416"/>
        <v>100000</v>
      </c>
      <c r="AJF40" s="57">
        <f t="shared" si="1416"/>
        <v>100000</v>
      </c>
      <c r="AJG40" s="57">
        <f t="shared" si="1416"/>
        <v>100000</v>
      </c>
      <c r="AJH40" s="57">
        <f t="shared" si="1416"/>
        <v>100000</v>
      </c>
      <c r="AJI40" s="57">
        <f t="shared" si="1416"/>
        <v>100000</v>
      </c>
      <c r="AJJ40" s="57">
        <f t="shared" si="1416"/>
        <v>100000</v>
      </c>
      <c r="AJK40" s="57">
        <f t="shared" si="1416"/>
        <v>100000</v>
      </c>
      <c r="AJL40" s="57">
        <f t="shared" si="1416"/>
        <v>100000</v>
      </c>
      <c r="AJM40" s="57">
        <f t="shared" si="1416"/>
        <v>100000</v>
      </c>
      <c r="AJN40" s="57">
        <f t="shared" si="1416"/>
        <v>100000</v>
      </c>
      <c r="AJO40" s="57">
        <f t="shared" si="1416"/>
        <v>100000</v>
      </c>
      <c r="AJP40" s="57">
        <f t="shared" si="1416"/>
        <v>100000</v>
      </c>
      <c r="AJQ40" s="57">
        <f t="shared" si="1416"/>
        <v>100000</v>
      </c>
      <c r="AJR40" s="57">
        <f t="shared" si="1416"/>
        <v>100000</v>
      </c>
      <c r="AJS40" s="57">
        <f t="shared" si="1416"/>
        <v>100000</v>
      </c>
      <c r="AJT40" s="57">
        <f t="shared" si="1416"/>
        <v>100000</v>
      </c>
      <c r="AJU40" s="57">
        <f t="shared" si="1416"/>
        <v>100000</v>
      </c>
      <c r="AJV40" s="57">
        <f t="shared" si="1416"/>
        <v>100000</v>
      </c>
      <c r="AJW40" s="57">
        <f t="shared" si="1416"/>
        <v>100000</v>
      </c>
      <c r="AJX40" s="57">
        <f t="shared" si="1416"/>
        <v>100000</v>
      </c>
      <c r="AJY40" s="57">
        <f t="shared" si="1416"/>
        <v>100000</v>
      </c>
      <c r="AJZ40" s="57">
        <f t="shared" si="1416"/>
        <v>100000</v>
      </c>
      <c r="AKA40" s="57">
        <f t="shared" si="1416"/>
        <v>100000</v>
      </c>
      <c r="AKB40" s="57">
        <f t="shared" ref="AKB40:AMM40" si="1417">$C40</f>
        <v>100000</v>
      </c>
      <c r="AKC40" s="57">
        <f t="shared" si="1417"/>
        <v>100000</v>
      </c>
      <c r="AKD40" s="57">
        <f t="shared" si="1417"/>
        <v>100000</v>
      </c>
      <c r="AKE40" s="57">
        <f t="shared" si="1417"/>
        <v>100000</v>
      </c>
      <c r="AKF40" s="57">
        <f t="shared" si="1417"/>
        <v>100000</v>
      </c>
      <c r="AKG40" s="57">
        <f t="shared" si="1417"/>
        <v>100000</v>
      </c>
      <c r="AKH40" s="57">
        <f t="shared" si="1417"/>
        <v>100000</v>
      </c>
      <c r="AKI40" s="57">
        <f t="shared" si="1417"/>
        <v>100000</v>
      </c>
      <c r="AKJ40" s="57">
        <f t="shared" si="1417"/>
        <v>100000</v>
      </c>
      <c r="AKK40" s="57">
        <f t="shared" si="1417"/>
        <v>100000</v>
      </c>
      <c r="AKL40" s="57">
        <f t="shared" si="1417"/>
        <v>100000</v>
      </c>
      <c r="AKM40" s="57">
        <f t="shared" si="1417"/>
        <v>100000</v>
      </c>
      <c r="AKN40" s="57">
        <f t="shared" si="1417"/>
        <v>100000</v>
      </c>
      <c r="AKO40" s="57">
        <f t="shared" si="1417"/>
        <v>100000</v>
      </c>
      <c r="AKP40" s="57">
        <f t="shared" si="1417"/>
        <v>100000</v>
      </c>
      <c r="AKQ40" s="57">
        <f t="shared" si="1417"/>
        <v>100000</v>
      </c>
      <c r="AKR40" s="57">
        <f t="shared" si="1417"/>
        <v>100000</v>
      </c>
      <c r="AKS40" s="57">
        <f t="shared" si="1417"/>
        <v>100000</v>
      </c>
      <c r="AKT40" s="57">
        <f t="shared" si="1417"/>
        <v>100000</v>
      </c>
      <c r="AKU40" s="57">
        <f t="shared" si="1417"/>
        <v>100000</v>
      </c>
      <c r="AKV40" s="57">
        <f t="shared" si="1417"/>
        <v>100000</v>
      </c>
      <c r="AKW40" s="57">
        <f t="shared" si="1417"/>
        <v>100000</v>
      </c>
      <c r="AKX40" s="57">
        <f t="shared" si="1417"/>
        <v>100000</v>
      </c>
      <c r="AKY40" s="57">
        <f t="shared" si="1417"/>
        <v>100000</v>
      </c>
      <c r="AKZ40" s="57">
        <f t="shared" si="1417"/>
        <v>100000</v>
      </c>
      <c r="ALA40" s="57">
        <f t="shared" si="1417"/>
        <v>100000</v>
      </c>
      <c r="ALB40" s="57">
        <f t="shared" si="1417"/>
        <v>100000</v>
      </c>
      <c r="ALC40" s="57">
        <f t="shared" si="1417"/>
        <v>100000</v>
      </c>
      <c r="ALD40" s="57">
        <f t="shared" si="1417"/>
        <v>100000</v>
      </c>
      <c r="ALE40" s="57">
        <f t="shared" si="1417"/>
        <v>100000</v>
      </c>
      <c r="ALF40" s="57">
        <f t="shared" si="1417"/>
        <v>100000</v>
      </c>
      <c r="ALG40" s="57">
        <f t="shared" si="1417"/>
        <v>100000</v>
      </c>
      <c r="ALH40" s="57">
        <f t="shared" si="1417"/>
        <v>100000</v>
      </c>
      <c r="ALI40" s="57">
        <f t="shared" si="1417"/>
        <v>100000</v>
      </c>
      <c r="ALJ40" s="57">
        <f t="shared" si="1417"/>
        <v>100000</v>
      </c>
      <c r="ALK40" s="57">
        <f t="shared" si="1417"/>
        <v>100000</v>
      </c>
      <c r="ALL40" s="57">
        <f t="shared" si="1417"/>
        <v>100000</v>
      </c>
      <c r="ALM40" s="57">
        <f t="shared" si="1417"/>
        <v>100000</v>
      </c>
      <c r="ALN40" s="57">
        <f t="shared" si="1417"/>
        <v>100000</v>
      </c>
      <c r="ALO40" s="57">
        <f t="shared" si="1417"/>
        <v>100000</v>
      </c>
      <c r="ALP40" s="57">
        <f t="shared" si="1417"/>
        <v>100000</v>
      </c>
      <c r="ALQ40" s="57">
        <f t="shared" si="1417"/>
        <v>100000</v>
      </c>
      <c r="ALR40" s="57">
        <f t="shared" si="1417"/>
        <v>100000</v>
      </c>
      <c r="ALS40" s="57">
        <f t="shared" si="1417"/>
        <v>100000</v>
      </c>
      <c r="ALT40" s="57">
        <f t="shared" si="1417"/>
        <v>100000</v>
      </c>
      <c r="ALU40" s="57">
        <f t="shared" si="1417"/>
        <v>100000</v>
      </c>
      <c r="ALV40" s="57">
        <f t="shared" si="1417"/>
        <v>100000</v>
      </c>
      <c r="ALW40" s="57">
        <f t="shared" si="1417"/>
        <v>100000</v>
      </c>
      <c r="ALX40" s="57">
        <f t="shared" si="1417"/>
        <v>100000</v>
      </c>
      <c r="ALY40" s="57">
        <f t="shared" si="1417"/>
        <v>100000</v>
      </c>
      <c r="ALZ40" s="57">
        <f t="shared" si="1417"/>
        <v>100000</v>
      </c>
      <c r="AMA40" s="57">
        <f t="shared" si="1417"/>
        <v>100000</v>
      </c>
      <c r="AMB40" s="57">
        <f t="shared" si="1417"/>
        <v>100000</v>
      </c>
      <c r="AMC40" s="57">
        <f t="shared" si="1417"/>
        <v>100000</v>
      </c>
      <c r="AMD40" s="57">
        <f t="shared" si="1417"/>
        <v>100000</v>
      </c>
      <c r="AME40" s="57">
        <f t="shared" si="1417"/>
        <v>100000</v>
      </c>
      <c r="AMF40" s="57">
        <f t="shared" si="1417"/>
        <v>100000</v>
      </c>
      <c r="AMG40" s="57">
        <f t="shared" si="1417"/>
        <v>100000</v>
      </c>
      <c r="AMH40" s="57">
        <f t="shared" si="1417"/>
        <v>100000</v>
      </c>
      <c r="AMI40" s="57">
        <f t="shared" si="1417"/>
        <v>100000</v>
      </c>
      <c r="AMJ40" s="57">
        <f t="shared" si="1417"/>
        <v>100000</v>
      </c>
      <c r="AMK40" s="57">
        <f t="shared" si="1417"/>
        <v>100000</v>
      </c>
      <c r="AML40" s="57">
        <f t="shared" si="1417"/>
        <v>100000</v>
      </c>
      <c r="AMM40" s="57">
        <f t="shared" si="1417"/>
        <v>100000</v>
      </c>
      <c r="AMN40" s="57">
        <f t="shared" ref="AMN40:AOQ40" si="1418">$C40</f>
        <v>100000</v>
      </c>
      <c r="AMO40" s="57">
        <f t="shared" si="1418"/>
        <v>100000</v>
      </c>
      <c r="AMP40" s="57">
        <f t="shared" si="1418"/>
        <v>100000</v>
      </c>
      <c r="AMQ40" s="57">
        <f t="shared" si="1418"/>
        <v>100000</v>
      </c>
      <c r="AMR40" s="57">
        <f t="shared" si="1418"/>
        <v>100000</v>
      </c>
      <c r="AMS40" s="57">
        <f t="shared" si="1418"/>
        <v>100000</v>
      </c>
      <c r="AMT40" s="57">
        <f t="shared" si="1418"/>
        <v>100000</v>
      </c>
      <c r="AMU40" s="57">
        <f t="shared" si="1418"/>
        <v>100000</v>
      </c>
      <c r="AMV40" s="57">
        <f t="shared" si="1418"/>
        <v>100000</v>
      </c>
      <c r="AMW40" s="57">
        <f t="shared" si="1418"/>
        <v>100000</v>
      </c>
      <c r="AMX40" s="57">
        <f t="shared" si="1418"/>
        <v>100000</v>
      </c>
      <c r="AMY40" s="57">
        <f t="shared" si="1418"/>
        <v>100000</v>
      </c>
      <c r="AMZ40" s="57">
        <f t="shared" si="1418"/>
        <v>100000</v>
      </c>
      <c r="ANA40" s="57">
        <f t="shared" si="1418"/>
        <v>100000</v>
      </c>
      <c r="ANB40" s="57">
        <f t="shared" si="1418"/>
        <v>100000</v>
      </c>
      <c r="ANC40" s="57">
        <f t="shared" si="1418"/>
        <v>100000</v>
      </c>
      <c r="AND40" s="57">
        <f t="shared" si="1418"/>
        <v>100000</v>
      </c>
      <c r="ANE40" s="57">
        <f t="shared" si="1418"/>
        <v>100000</v>
      </c>
      <c r="ANF40" s="57">
        <f t="shared" si="1418"/>
        <v>100000</v>
      </c>
      <c r="ANG40" s="57">
        <f t="shared" si="1418"/>
        <v>100000</v>
      </c>
      <c r="ANH40" s="57">
        <f t="shared" si="1418"/>
        <v>100000</v>
      </c>
      <c r="ANI40" s="57">
        <f t="shared" si="1418"/>
        <v>100000</v>
      </c>
      <c r="ANJ40" s="57">
        <f t="shared" si="1418"/>
        <v>100000</v>
      </c>
      <c r="ANK40" s="57">
        <f t="shared" si="1418"/>
        <v>100000</v>
      </c>
      <c r="ANL40" s="57">
        <f t="shared" si="1418"/>
        <v>100000</v>
      </c>
      <c r="ANM40" s="57">
        <f t="shared" si="1418"/>
        <v>100000</v>
      </c>
      <c r="ANN40" s="57">
        <f t="shared" si="1418"/>
        <v>100000</v>
      </c>
      <c r="ANO40" s="57">
        <f t="shared" si="1418"/>
        <v>100000</v>
      </c>
      <c r="ANP40" s="57">
        <f t="shared" si="1418"/>
        <v>100000</v>
      </c>
      <c r="ANQ40" s="57">
        <f t="shared" si="1418"/>
        <v>100000</v>
      </c>
      <c r="ANR40" s="57">
        <f t="shared" si="1418"/>
        <v>100000</v>
      </c>
      <c r="ANS40" s="57">
        <f t="shared" si="1418"/>
        <v>100000</v>
      </c>
      <c r="ANT40" s="57">
        <f t="shared" si="1418"/>
        <v>100000</v>
      </c>
      <c r="ANU40" s="57">
        <f t="shared" si="1418"/>
        <v>100000</v>
      </c>
      <c r="ANV40" s="57">
        <f t="shared" si="1418"/>
        <v>100000</v>
      </c>
      <c r="ANW40" s="57">
        <f t="shared" si="1418"/>
        <v>100000</v>
      </c>
      <c r="ANX40" s="57">
        <f t="shared" si="1418"/>
        <v>100000</v>
      </c>
      <c r="ANY40" s="57">
        <f t="shared" si="1418"/>
        <v>100000</v>
      </c>
      <c r="ANZ40" s="57">
        <f t="shared" si="1418"/>
        <v>100000</v>
      </c>
      <c r="AOA40" s="57">
        <f t="shared" si="1418"/>
        <v>100000</v>
      </c>
      <c r="AOB40" s="57">
        <f t="shared" si="1418"/>
        <v>100000</v>
      </c>
      <c r="AOC40" s="57">
        <f t="shared" si="1418"/>
        <v>100000</v>
      </c>
      <c r="AOD40" s="57">
        <f t="shared" si="1418"/>
        <v>100000</v>
      </c>
      <c r="AOE40" s="57">
        <f t="shared" si="1418"/>
        <v>100000</v>
      </c>
      <c r="AOF40" s="57">
        <f t="shared" si="1418"/>
        <v>100000</v>
      </c>
      <c r="AOG40" s="57">
        <f t="shared" si="1418"/>
        <v>100000</v>
      </c>
      <c r="AOH40" s="57">
        <f t="shared" si="1418"/>
        <v>100000</v>
      </c>
      <c r="AOI40" s="57">
        <f t="shared" si="1418"/>
        <v>100000</v>
      </c>
      <c r="AOJ40" s="57">
        <f t="shared" si="1418"/>
        <v>100000</v>
      </c>
      <c r="AOK40" s="57">
        <f t="shared" si="1418"/>
        <v>100000</v>
      </c>
      <c r="AOL40" s="57">
        <f t="shared" si="1418"/>
        <v>100000</v>
      </c>
      <c r="AOM40" s="57">
        <f t="shared" si="1418"/>
        <v>100000</v>
      </c>
      <c r="AON40" s="57">
        <f t="shared" si="1418"/>
        <v>100000</v>
      </c>
      <c r="AOO40" s="57">
        <f t="shared" si="1418"/>
        <v>100000</v>
      </c>
      <c r="AOP40" s="57">
        <f t="shared" si="1418"/>
        <v>100000</v>
      </c>
      <c r="AOQ40" s="57">
        <f t="shared" si="1418"/>
        <v>100000</v>
      </c>
    </row>
    <row r="41" spans="1:1083" x14ac:dyDescent="0.25">
      <c r="B41" s="116" t="s">
        <v>292</v>
      </c>
      <c r="C41" s="115"/>
      <c r="D41" s="115">
        <f t="shared" ref="D41:BO41" si="1419">IF(D28+D35&gt;0,C25-D28-D35,0)</f>
        <v>0</v>
      </c>
      <c r="E41" s="115">
        <f t="shared" si="1419"/>
        <v>0</v>
      </c>
      <c r="F41" s="115">
        <f t="shared" si="1419"/>
        <v>0</v>
      </c>
      <c r="G41" s="115">
        <f t="shared" si="1419"/>
        <v>0</v>
      </c>
      <c r="H41" s="115">
        <f t="shared" si="1419"/>
        <v>0</v>
      </c>
      <c r="I41" s="115">
        <f t="shared" si="1419"/>
        <v>0</v>
      </c>
      <c r="J41" s="115">
        <f t="shared" si="1419"/>
        <v>0</v>
      </c>
      <c r="K41" s="115">
        <f t="shared" si="1419"/>
        <v>0</v>
      </c>
      <c r="L41" s="115">
        <f t="shared" si="1419"/>
        <v>0</v>
      </c>
      <c r="M41" s="115">
        <f t="shared" si="1419"/>
        <v>0</v>
      </c>
      <c r="N41" s="115">
        <f t="shared" si="1419"/>
        <v>0</v>
      </c>
      <c r="O41" s="115">
        <f t="shared" si="1419"/>
        <v>0</v>
      </c>
      <c r="P41" s="115">
        <f t="shared" si="1419"/>
        <v>0</v>
      </c>
      <c r="Q41" s="115">
        <f t="shared" si="1419"/>
        <v>0</v>
      </c>
      <c r="R41" s="115">
        <f t="shared" si="1419"/>
        <v>0</v>
      </c>
      <c r="S41" s="115">
        <f t="shared" si="1419"/>
        <v>0</v>
      </c>
      <c r="T41" s="115">
        <f t="shared" si="1419"/>
        <v>0</v>
      </c>
      <c r="U41" s="115">
        <f t="shared" si="1419"/>
        <v>0</v>
      </c>
      <c r="V41" s="115">
        <f t="shared" si="1419"/>
        <v>0</v>
      </c>
      <c r="W41" s="115">
        <f t="shared" si="1419"/>
        <v>0</v>
      </c>
      <c r="X41" s="115">
        <f t="shared" si="1419"/>
        <v>0</v>
      </c>
      <c r="Y41" s="115">
        <f t="shared" si="1419"/>
        <v>0</v>
      </c>
      <c r="Z41" s="115">
        <f t="shared" si="1419"/>
        <v>0</v>
      </c>
      <c r="AA41" s="115">
        <f t="shared" si="1419"/>
        <v>0</v>
      </c>
      <c r="AB41" s="115">
        <f t="shared" si="1419"/>
        <v>0</v>
      </c>
      <c r="AC41" s="115">
        <f t="shared" si="1419"/>
        <v>0</v>
      </c>
      <c r="AD41" s="115">
        <f t="shared" si="1419"/>
        <v>0</v>
      </c>
      <c r="AE41" s="115">
        <f t="shared" si="1419"/>
        <v>0</v>
      </c>
      <c r="AF41" s="115">
        <f t="shared" si="1419"/>
        <v>0</v>
      </c>
      <c r="AG41" s="115">
        <f t="shared" si="1419"/>
        <v>0</v>
      </c>
      <c r="AH41" s="115">
        <f t="shared" si="1419"/>
        <v>0</v>
      </c>
      <c r="AI41" s="115">
        <f t="shared" si="1419"/>
        <v>0</v>
      </c>
      <c r="AJ41" s="115">
        <f t="shared" si="1419"/>
        <v>0</v>
      </c>
      <c r="AK41" s="115">
        <f t="shared" si="1419"/>
        <v>0</v>
      </c>
      <c r="AL41" s="115">
        <f t="shared" si="1419"/>
        <v>0</v>
      </c>
      <c r="AM41" s="115">
        <f t="shared" si="1419"/>
        <v>0</v>
      </c>
      <c r="AN41" s="115">
        <f t="shared" si="1419"/>
        <v>0</v>
      </c>
      <c r="AO41" s="115">
        <f t="shared" si="1419"/>
        <v>0</v>
      </c>
      <c r="AP41" s="115">
        <f t="shared" si="1419"/>
        <v>0</v>
      </c>
      <c r="AQ41" s="115">
        <f t="shared" si="1419"/>
        <v>0</v>
      </c>
      <c r="AR41" s="115">
        <f t="shared" si="1419"/>
        <v>0</v>
      </c>
      <c r="AS41" s="115">
        <f t="shared" si="1419"/>
        <v>0</v>
      </c>
      <c r="AT41" s="115">
        <f t="shared" si="1419"/>
        <v>0</v>
      </c>
      <c r="AU41" s="115">
        <f t="shared" si="1419"/>
        <v>0</v>
      </c>
      <c r="AV41" s="115">
        <f t="shared" si="1419"/>
        <v>0</v>
      </c>
      <c r="AW41" s="115">
        <f t="shared" si="1419"/>
        <v>0</v>
      </c>
      <c r="AX41" s="115">
        <f t="shared" si="1419"/>
        <v>0</v>
      </c>
      <c r="AY41" s="115">
        <f t="shared" si="1419"/>
        <v>0</v>
      </c>
      <c r="AZ41" s="115">
        <f t="shared" si="1419"/>
        <v>0</v>
      </c>
      <c r="BA41" s="115">
        <f t="shared" si="1419"/>
        <v>0</v>
      </c>
      <c r="BB41" s="115">
        <f t="shared" si="1419"/>
        <v>0</v>
      </c>
      <c r="BC41" s="115">
        <f t="shared" si="1419"/>
        <v>0</v>
      </c>
      <c r="BD41" s="115">
        <f t="shared" si="1419"/>
        <v>0</v>
      </c>
      <c r="BE41" s="115">
        <f t="shared" si="1419"/>
        <v>0</v>
      </c>
      <c r="BF41" s="115">
        <f t="shared" si="1419"/>
        <v>0</v>
      </c>
      <c r="BG41" s="115">
        <f t="shared" si="1419"/>
        <v>0</v>
      </c>
      <c r="BH41" s="115">
        <f t="shared" si="1419"/>
        <v>0</v>
      </c>
      <c r="BI41" s="115">
        <f t="shared" si="1419"/>
        <v>0</v>
      </c>
      <c r="BJ41" s="115">
        <f t="shared" si="1419"/>
        <v>0</v>
      </c>
      <c r="BK41" s="115">
        <f t="shared" si="1419"/>
        <v>0</v>
      </c>
      <c r="BL41" s="115">
        <f t="shared" si="1419"/>
        <v>0</v>
      </c>
      <c r="BM41" s="115">
        <f t="shared" si="1419"/>
        <v>0</v>
      </c>
      <c r="BN41" s="115">
        <f t="shared" si="1419"/>
        <v>0</v>
      </c>
      <c r="BO41" s="115">
        <f t="shared" si="1419"/>
        <v>0</v>
      </c>
      <c r="BP41" s="115">
        <f t="shared" ref="BP41:EA41" si="1420">IF(BP28+BP35&gt;0,BO25-BP28-BP35,0)</f>
        <v>0</v>
      </c>
      <c r="BQ41" s="115">
        <f t="shared" si="1420"/>
        <v>0</v>
      </c>
      <c r="BR41" s="115">
        <f t="shared" si="1420"/>
        <v>0</v>
      </c>
      <c r="BS41" s="115">
        <f t="shared" si="1420"/>
        <v>0</v>
      </c>
      <c r="BT41" s="115">
        <f t="shared" si="1420"/>
        <v>0</v>
      </c>
      <c r="BU41" s="115">
        <f t="shared" si="1420"/>
        <v>0</v>
      </c>
      <c r="BV41" s="115">
        <f t="shared" si="1420"/>
        <v>0</v>
      </c>
      <c r="BW41" s="115">
        <f t="shared" si="1420"/>
        <v>0</v>
      </c>
      <c r="BX41" s="115">
        <f t="shared" si="1420"/>
        <v>0</v>
      </c>
      <c r="BY41" s="115">
        <f t="shared" si="1420"/>
        <v>0</v>
      </c>
      <c r="BZ41" s="115">
        <f t="shared" si="1420"/>
        <v>0</v>
      </c>
      <c r="CA41" s="115">
        <f t="shared" si="1420"/>
        <v>0</v>
      </c>
      <c r="CB41" s="115">
        <f t="shared" si="1420"/>
        <v>0</v>
      </c>
      <c r="CC41" s="115">
        <f t="shared" si="1420"/>
        <v>0</v>
      </c>
      <c r="CD41" s="115">
        <f t="shared" si="1420"/>
        <v>0</v>
      </c>
      <c r="CE41" s="115">
        <f t="shared" si="1420"/>
        <v>0</v>
      </c>
      <c r="CF41" s="115">
        <f t="shared" si="1420"/>
        <v>0</v>
      </c>
      <c r="CG41" s="115">
        <f t="shared" si="1420"/>
        <v>0</v>
      </c>
      <c r="CH41" s="115">
        <f t="shared" si="1420"/>
        <v>0</v>
      </c>
      <c r="CI41" s="115">
        <f t="shared" si="1420"/>
        <v>0</v>
      </c>
      <c r="CJ41" s="115">
        <f t="shared" si="1420"/>
        <v>0</v>
      </c>
      <c r="CK41" s="115">
        <f t="shared" si="1420"/>
        <v>0</v>
      </c>
      <c r="CL41" s="115">
        <f t="shared" si="1420"/>
        <v>0</v>
      </c>
      <c r="CM41" s="115">
        <f t="shared" si="1420"/>
        <v>0</v>
      </c>
      <c r="CN41" s="115">
        <f t="shared" si="1420"/>
        <v>0</v>
      </c>
      <c r="CO41" s="115">
        <f t="shared" si="1420"/>
        <v>0</v>
      </c>
      <c r="CP41" s="115">
        <f t="shared" si="1420"/>
        <v>0</v>
      </c>
      <c r="CQ41" s="115">
        <f t="shared" si="1420"/>
        <v>0</v>
      </c>
      <c r="CR41" s="115">
        <f t="shared" si="1420"/>
        <v>0</v>
      </c>
      <c r="CS41" s="115">
        <f t="shared" si="1420"/>
        <v>0</v>
      </c>
      <c r="CT41" s="115">
        <f t="shared" si="1420"/>
        <v>0</v>
      </c>
      <c r="CU41" s="115">
        <f t="shared" si="1420"/>
        <v>0</v>
      </c>
      <c r="CV41" s="115">
        <f t="shared" si="1420"/>
        <v>0</v>
      </c>
      <c r="CW41" s="115">
        <f t="shared" si="1420"/>
        <v>0</v>
      </c>
      <c r="CX41" s="115">
        <f t="shared" si="1420"/>
        <v>0</v>
      </c>
      <c r="CY41" s="115">
        <f t="shared" si="1420"/>
        <v>0</v>
      </c>
      <c r="CZ41" s="115">
        <f t="shared" si="1420"/>
        <v>0</v>
      </c>
      <c r="DA41" s="115">
        <f t="shared" si="1420"/>
        <v>0</v>
      </c>
      <c r="DB41" s="115">
        <f t="shared" si="1420"/>
        <v>0</v>
      </c>
      <c r="DC41" s="115">
        <f t="shared" si="1420"/>
        <v>0</v>
      </c>
      <c r="DD41" s="115">
        <f t="shared" si="1420"/>
        <v>0</v>
      </c>
      <c r="DE41" s="115">
        <f t="shared" si="1420"/>
        <v>0</v>
      </c>
      <c r="DF41" s="115">
        <f t="shared" si="1420"/>
        <v>0</v>
      </c>
      <c r="DG41" s="115">
        <f t="shared" si="1420"/>
        <v>0</v>
      </c>
      <c r="DH41" s="115">
        <f t="shared" si="1420"/>
        <v>0</v>
      </c>
      <c r="DI41" s="115">
        <f t="shared" si="1420"/>
        <v>0</v>
      </c>
      <c r="DJ41" s="115">
        <f t="shared" si="1420"/>
        <v>0</v>
      </c>
      <c r="DK41" s="115">
        <f t="shared" si="1420"/>
        <v>0</v>
      </c>
      <c r="DL41" s="115">
        <f t="shared" si="1420"/>
        <v>0</v>
      </c>
      <c r="DM41" s="115">
        <f t="shared" si="1420"/>
        <v>0</v>
      </c>
      <c r="DN41" s="115">
        <f t="shared" si="1420"/>
        <v>0</v>
      </c>
      <c r="DO41" s="115">
        <f t="shared" si="1420"/>
        <v>0</v>
      </c>
      <c r="DP41" s="115">
        <f t="shared" si="1420"/>
        <v>0</v>
      </c>
      <c r="DQ41" s="115">
        <f t="shared" si="1420"/>
        <v>0</v>
      </c>
      <c r="DR41" s="115">
        <f t="shared" si="1420"/>
        <v>0</v>
      </c>
      <c r="DS41" s="115">
        <f t="shared" si="1420"/>
        <v>0</v>
      </c>
      <c r="DT41" s="115">
        <f t="shared" si="1420"/>
        <v>0</v>
      </c>
      <c r="DU41" s="115">
        <f t="shared" si="1420"/>
        <v>0</v>
      </c>
      <c r="DV41" s="115">
        <f t="shared" si="1420"/>
        <v>0</v>
      </c>
      <c r="DW41" s="115">
        <f t="shared" si="1420"/>
        <v>0</v>
      </c>
      <c r="DX41" s="115">
        <f t="shared" si="1420"/>
        <v>0</v>
      </c>
      <c r="DY41" s="115">
        <f t="shared" si="1420"/>
        <v>0</v>
      </c>
      <c r="DZ41" s="115">
        <f t="shared" si="1420"/>
        <v>0</v>
      </c>
      <c r="EA41" s="115">
        <f t="shared" si="1420"/>
        <v>0</v>
      </c>
      <c r="EB41" s="115">
        <f t="shared" ref="EB41:GM41" si="1421">IF(EB28+EB35&gt;0,EA25-EB28-EB35,0)</f>
        <v>0</v>
      </c>
      <c r="EC41" s="115">
        <f t="shared" si="1421"/>
        <v>0</v>
      </c>
      <c r="ED41" s="115">
        <f t="shared" si="1421"/>
        <v>0</v>
      </c>
      <c r="EE41" s="115">
        <f t="shared" si="1421"/>
        <v>0</v>
      </c>
      <c r="EF41" s="115">
        <f t="shared" si="1421"/>
        <v>0</v>
      </c>
      <c r="EG41" s="115">
        <f t="shared" si="1421"/>
        <v>0</v>
      </c>
      <c r="EH41" s="115">
        <f t="shared" si="1421"/>
        <v>0</v>
      </c>
      <c r="EI41" s="115">
        <f t="shared" si="1421"/>
        <v>0</v>
      </c>
      <c r="EJ41" s="115">
        <f t="shared" si="1421"/>
        <v>0</v>
      </c>
      <c r="EK41" s="115">
        <f t="shared" si="1421"/>
        <v>0</v>
      </c>
      <c r="EL41" s="115">
        <f t="shared" si="1421"/>
        <v>0</v>
      </c>
      <c r="EM41" s="115">
        <f t="shared" si="1421"/>
        <v>0</v>
      </c>
      <c r="EN41" s="115">
        <f t="shared" si="1421"/>
        <v>0</v>
      </c>
      <c r="EO41" s="115">
        <f t="shared" si="1421"/>
        <v>0</v>
      </c>
      <c r="EP41" s="115">
        <f t="shared" si="1421"/>
        <v>0</v>
      </c>
      <c r="EQ41" s="115">
        <f t="shared" si="1421"/>
        <v>0</v>
      </c>
      <c r="ER41" s="115">
        <f t="shared" si="1421"/>
        <v>0</v>
      </c>
      <c r="ES41" s="115">
        <f t="shared" si="1421"/>
        <v>0</v>
      </c>
      <c r="ET41" s="115">
        <f t="shared" si="1421"/>
        <v>0</v>
      </c>
      <c r="EU41" s="115">
        <f t="shared" si="1421"/>
        <v>0</v>
      </c>
      <c r="EV41" s="115">
        <f t="shared" si="1421"/>
        <v>0</v>
      </c>
      <c r="EW41" s="115">
        <f t="shared" si="1421"/>
        <v>0</v>
      </c>
      <c r="EX41" s="115">
        <f t="shared" si="1421"/>
        <v>0</v>
      </c>
      <c r="EY41" s="115">
        <f t="shared" si="1421"/>
        <v>0</v>
      </c>
      <c r="EZ41" s="115">
        <f t="shared" si="1421"/>
        <v>0</v>
      </c>
      <c r="FA41" s="115">
        <f t="shared" si="1421"/>
        <v>0</v>
      </c>
      <c r="FB41" s="115">
        <f t="shared" si="1421"/>
        <v>0</v>
      </c>
      <c r="FC41" s="115">
        <f t="shared" si="1421"/>
        <v>0</v>
      </c>
      <c r="FD41" s="115">
        <f t="shared" si="1421"/>
        <v>0</v>
      </c>
      <c r="FE41" s="115">
        <f t="shared" si="1421"/>
        <v>0</v>
      </c>
      <c r="FF41" s="115">
        <f t="shared" si="1421"/>
        <v>0</v>
      </c>
      <c r="FG41" s="115">
        <f t="shared" si="1421"/>
        <v>0</v>
      </c>
      <c r="FH41" s="115">
        <f t="shared" si="1421"/>
        <v>0</v>
      </c>
      <c r="FI41" s="115">
        <f t="shared" si="1421"/>
        <v>0</v>
      </c>
      <c r="FJ41" s="115">
        <f t="shared" si="1421"/>
        <v>0</v>
      </c>
      <c r="FK41" s="115">
        <f t="shared" si="1421"/>
        <v>0</v>
      </c>
      <c r="FL41" s="115">
        <f t="shared" si="1421"/>
        <v>0</v>
      </c>
      <c r="FM41" s="115">
        <f t="shared" si="1421"/>
        <v>0</v>
      </c>
      <c r="FN41" s="115">
        <f t="shared" si="1421"/>
        <v>0</v>
      </c>
      <c r="FO41" s="115">
        <f t="shared" si="1421"/>
        <v>0</v>
      </c>
      <c r="FP41" s="115">
        <f t="shared" si="1421"/>
        <v>0</v>
      </c>
      <c r="FQ41" s="115">
        <f t="shared" si="1421"/>
        <v>0</v>
      </c>
      <c r="FR41" s="115">
        <f t="shared" si="1421"/>
        <v>0</v>
      </c>
      <c r="FS41" s="115">
        <f t="shared" si="1421"/>
        <v>0</v>
      </c>
      <c r="FT41" s="115">
        <f t="shared" si="1421"/>
        <v>0</v>
      </c>
      <c r="FU41" s="115">
        <f t="shared" si="1421"/>
        <v>0</v>
      </c>
      <c r="FV41" s="115">
        <f t="shared" si="1421"/>
        <v>0</v>
      </c>
      <c r="FW41" s="115">
        <f t="shared" si="1421"/>
        <v>0</v>
      </c>
      <c r="FX41" s="115">
        <f t="shared" si="1421"/>
        <v>0</v>
      </c>
      <c r="FY41" s="115">
        <f t="shared" si="1421"/>
        <v>0</v>
      </c>
      <c r="FZ41" s="115">
        <f t="shared" si="1421"/>
        <v>0</v>
      </c>
      <c r="GA41" s="115">
        <f t="shared" si="1421"/>
        <v>0</v>
      </c>
      <c r="GB41" s="115">
        <f t="shared" si="1421"/>
        <v>0</v>
      </c>
      <c r="GC41" s="115">
        <f t="shared" si="1421"/>
        <v>0</v>
      </c>
      <c r="GD41" s="115">
        <f t="shared" si="1421"/>
        <v>0</v>
      </c>
      <c r="GE41" s="115">
        <f t="shared" si="1421"/>
        <v>0</v>
      </c>
      <c r="GF41" s="115">
        <f t="shared" si="1421"/>
        <v>0</v>
      </c>
      <c r="GG41" s="115">
        <f t="shared" si="1421"/>
        <v>0</v>
      </c>
      <c r="GH41" s="115">
        <f t="shared" si="1421"/>
        <v>0</v>
      </c>
      <c r="GI41" s="115">
        <f t="shared" si="1421"/>
        <v>0</v>
      </c>
      <c r="GJ41" s="115">
        <f t="shared" si="1421"/>
        <v>0</v>
      </c>
      <c r="GK41" s="115">
        <f t="shared" si="1421"/>
        <v>0</v>
      </c>
      <c r="GL41" s="115">
        <f t="shared" si="1421"/>
        <v>0</v>
      </c>
      <c r="GM41" s="115">
        <f t="shared" si="1421"/>
        <v>0</v>
      </c>
      <c r="GN41" s="115">
        <f t="shared" ref="GN41:IY41" si="1422">IF(GN28+GN35&gt;0,GM25-GN28-GN35,0)</f>
        <v>0</v>
      </c>
      <c r="GO41" s="115">
        <f t="shared" si="1422"/>
        <v>0</v>
      </c>
      <c r="GP41" s="115">
        <f t="shared" si="1422"/>
        <v>0</v>
      </c>
      <c r="GQ41" s="115">
        <f t="shared" si="1422"/>
        <v>0</v>
      </c>
      <c r="GR41" s="115">
        <f t="shared" si="1422"/>
        <v>0</v>
      </c>
      <c r="GS41" s="115">
        <f t="shared" si="1422"/>
        <v>0</v>
      </c>
      <c r="GT41" s="115">
        <f t="shared" si="1422"/>
        <v>0</v>
      </c>
      <c r="GU41" s="115">
        <f t="shared" si="1422"/>
        <v>0</v>
      </c>
      <c r="GV41" s="115">
        <f t="shared" si="1422"/>
        <v>0</v>
      </c>
      <c r="GW41" s="115">
        <f t="shared" si="1422"/>
        <v>0</v>
      </c>
      <c r="GX41" s="115">
        <f t="shared" si="1422"/>
        <v>0</v>
      </c>
      <c r="GY41" s="115">
        <f t="shared" si="1422"/>
        <v>0</v>
      </c>
      <c r="GZ41" s="115">
        <f t="shared" si="1422"/>
        <v>0</v>
      </c>
      <c r="HA41" s="115">
        <f t="shared" si="1422"/>
        <v>0</v>
      </c>
      <c r="HB41" s="115">
        <f t="shared" si="1422"/>
        <v>0</v>
      </c>
      <c r="HC41" s="115">
        <f t="shared" si="1422"/>
        <v>0</v>
      </c>
      <c r="HD41" s="115">
        <f t="shared" si="1422"/>
        <v>0</v>
      </c>
      <c r="HE41" s="115">
        <f t="shared" si="1422"/>
        <v>0</v>
      </c>
      <c r="HF41" s="115">
        <f t="shared" si="1422"/>
        <v>0</v>
      </c>
      <c r="HG41" s="115">
        <f t="shared" si="1422"/>
        <v>0</v>
      </c>
      <c r="HH41" s="115">
        <f t="shared" si="1422"/>
        <v>0</v>
      </c>
      <c r="HI41" s="115">
        <f t="shared" si="1422"/>
        <v>0</v>
      </c>
      <c r="HJ41" s="115">
        <f t="shared" si="1422"/>
        <v>0</v>
      </c>
      <c r="HK41" s="115">
        <f t="shared" si="1422"/>
        <v>0</v>
      </c>
      <c r="HL41" s="115">
        <f t="shared" si="1422"/>
        <v>0</v>
      </c>
      <c r="HM41" s="115">
        <f t="shared" si="1422"/>
        <v>0</v>
      </c>
      <c r="HN41" s="115">
        <f t="shared" si="1422"/>
        <v>0</v>
      </c>
      <c r="HO41" s="115">
        <f t="shared" si="1422"/>
        <v>0</v>
      </c>
      <c r="HP41" s="115">
        <f t="shared" si="1422"/>
        <v>0</v>
      </c>
      <c r="HQ41" s="115">
        <f t="shared" si="1422"/>
        <v>0</v>
      </c>
      <c r="HR41" s="115">
        <f t="shared" si="1422"/>
        <v>0</v>
      </c>
      <c r="HS41" s="115">
        <f t="shared" si="1422"/>
        <v>0</v>
      </c>
      <c r="HT41" s="115">
        <f t="shared" si="1422"/>
        <v>0</v>
      </c>
      <c r="HU41" s="115">
        <f t="shared" si="1422"/>
        <v>0</v>
      </c>
      <c r="HV41" s="115">
        <f t="shared" si="1422"/>
        <v>0</v>
      </c>
      <c r="HW41" s="115">
        <f t="shared" si="1422"/>
        <v>0</v>
      </c>
      <c r="HX41" s="115">
        <f t="shared" si="1422"/>
        <v>0</v>
      </c>
      <c r="HY41" s="115">
        <f t="shared" si="1422"/>
        <v>0</v>
      </c>
      <c r="HZ41" s="115">
        <f t="shared" si="1422"/>
        <v>0</v>
      </c>
      <c r="IA41" s="115">
        <f t="shared" si="1422"/>
        <v>0</v>
      </c>
      <c r="IB41" s="115">
        <f t="shared" si="1422"/>
        <v>0</v>
      </c>
      <c r="IC41" s="115">
        <f t="shared" si="1422"/>
        <v>0</v>
      </c>
      <c r="ID41" s="115">
        <f t="shared" si="1422"/>
        <v>0</v>
      </c>
      <c r="IE41" s="115">
        <f t="shared" si="1422"/>
        <v>0</v>
      </c>
      <c r="IF41" s="115">
        <f t="shared" si="1422"/>
        <v>0</v>
      </c>
      <c r="IG41" s="115">
        <f t="shared" si="1422"/>
        <v>0</v>
      </c>
      <c r="IH41" s="115">
        <f t="shared" si="1422"/>
        <v>0</v>
      </c>
      <c r="II41" s="115">
        <f t="shared" si="1422"/>
        <v>0</v>
      </c>
      <c r="IJ41" s="115">
        <f t="shared" si="1422"/>
        <v>0</v>
      </c>
      <c r="IK41" s="115">
        <f t="shared" si="1422"/>
        <v>0</v>
      </c>
      <c r="IL41" s="115">
        <f t="shared" si="1422"/>
        <v>0</v>
      </c>
      <c r="IM41" s="115">
        <f t="shared" si="1422"/>
        <v>0</v>
      </c>
      <c r="IN41" s="115">
        <f t="shared" si="1422"/>
        <v>0</v>
      </c>
      <c r="IO41" s="115">
        <f t="shared" si="1422"/>
        <v>0</v>
      </c>
      <c r="IP41" s="115">
        <f t="shared" si="1422"/>
        <v>0</v>
      </c>
      <c r="IQ41" s="115">
        <f t="shared" si="1422"/>
        <v>0</v>
      </c>
      <c r="IR41" s="115">
        <f t="shared" si="1422"/>
        <v>0</v>
      </c>
      <c r="IS41" s="115">
        <f t="shared" si="1422"/>
        <v>0</v>
      </c>
      <c r="IT41" s="115">
        <f t="shared" si="1422"/>
        <v>0</v>
      </c>
      <c r="IU41" s="115">
        <f t="shared" si="1422"/>
        <v>0</v>
      </c>
      <c r="IV41" s="115">
        <f t="shared" si="1422"/>
        <v>0</v>
      </c>
      <c r="IW41" s="115">
        <f t="shared" si="1422"/>
        <v>0</v>
      </c>
      <c r="IX41" s="115">
        <f t="shared" si="1422"/>
        <v>0</v>
      </c>
      <c r="IY41" s="115">
        <f t="shared" si="1422"/>
        <v>0</v>
      </c>
      <c r="IZ41" s="115">
        <f t="shared" ref="IZ41:LK41" si="1423">IF(IZ28+IZ35&gt;0,IY25-IZ28-IZ35,0)</f>
        <v>0</v>
      </c>
      <c r="JA41" s="115">
        <f t="shared" si="1423"/>
        <v>0</v>
      </c>
      <c r="JB41" s="115">
        <f t="shared" si="1423"/>
        <v>0</v>
      </c>
      <c r="JC41" s="115">
        <f t="shared" si="1423"/>
        <v>0</v>
      </c>
      <c r="JD41" s="115">
        <f t="shared" si="1423"/>
        <v>0</v>
      </c>
      <c r="JE41" s="115">
        <f t="shared" si="1423"/>
        <v>0</v>
      </c>
      <c r="JF41" s="115">
        <f t="shared" si="1423"/>
        <v>0</v>
      </c>
      <c r="JG41" s="115">
        <f t="shared" si="1423"/>
        <v>0</v>
      </c>
      <c r="JH41" s="115">
        <f t="shared" si="1423"/>
        <v>0</v>
      </c>
      <c r="JI41" s="115">
        <f t="shared" si="1423"/>
        <v>0</v>
      </c>
      <c r="JJ41" s="115">
        <f t="shared" si="1423"/>
        <v>0</v>
      </c>
      <c r="JK41" s="115">
        <f t="shared" si="1423"/>
        <v>0</v>
      </c>
      <c r="JL41" s="115">
        <f t="shared" si="1423"/>
        <v>0</v>
      </c>
      <c r="JM41" s="115">
        <f t="shared" si="1423"/>
        <v>0</v>
      </c>
      <c r="JN41" s="115">
        <f t="shared" si="1423"/>
        <v>0</v>
      </c>
      <c r="JO41" s="115">
        <f t="shared" si="1423"/>
        <v>0</v>
      </c>
      <c r="JP41" s="115">
        <f t="shared" si="1423"/>
        <v>0</v>
      </c>
      <c r="JQ41" s="115">
        <f t="shared" si="1423"/>
        <v>0</v>
      </c>
      <c r="JR41" s="115">
        <f t="shared" si="1423"/>
        <v>0</v>
      </c>
      <c r="JS41" s="115">
        <f t="shared" si="1423"/>
        <v>0</v>
      </c>
      <c r="JT41" s="115">
        <f t="shared" si="1423"/>
        <v>0</v>
      </c>
      <c r="JU41" s="115">
        <f t="shared" si="1423"/>
        <v>0</v>
      </c>
      <c r="JV41" s="115">
        <f t="shared" si="1423"/>
        <v>0</v>
      </c>
      <c r="JW41" s="115">
        <f t="shared" si="1423"/>
        <v>0</v>
      </c>
      <c r="JX41" s="115">
        <f t="shared" si="1423"/>
        <v>0</v>
      </c>
      <c r="JY41" s="115">
        <f t="shared" si="1423"/>
        <v>0</v>
      </c>
      <c r="JZ41" s="115">
        <f t="shared" si="1423"/>
        <v>0</v>
      </c>
      <c r="KA41" s="115">
        <f t="shared" si="1423"/>
        <v>0</v>
      </c>
      <c r="KB41" s="115">
        <f t="shared" si="1423"/>
        <v>0</v>
      </c>
      <c r="KC41" s="115">
        <f t="shared" si="1423"/>
        <v>0</v>
      </c>
      <c r="KD41" s="115">
        <f t="shared" si="1423"/>
        <v>0</v>
      </c>
      <c r="KE41" s="115">
        <f t="shared" si="1423"/>
        <v>0</v>
      </c>
      <c r="KF41" s="115">
        <f t="shared" si="1423"/>
        <v>0</v>
      </c>
      <c r="KG41" s="115">
        <f t="shared" si="1423"/>
        <v>0</v>
      </c>
      <c r="KH41" s="115">
        <f t="shared" si="1423"/>
        <v>0</v>
      </c>
      <c r="KI41" s="115">
        <f t="shared" si="1423"/>
        <v>0</v>
      </c>
      <c r="KJ41" s="115">
        <f t="shared" si="1423"/>
        <v>0</v>
      </c>
      <c r="KK41" s="115">
        <f t="shared" si="1423"/>
        <v>0</v>
      </c>
      <c r="KL41" s="115">
        <f t="shared" si="1423"/>
        <v>0</v>
      </c>
      <c r="KM41" s="115">
        <f t="shared" si="1423"/>
        <v>0</v>
      </c>
      <c r="KN41" s="115">
        <f t="shared" si="1423"/>
        <v>0</v>
      </c>
      <c r="KO41" s="115">
        <f t="shared" si="1423"/>
        <v>0</v>
      </c>
      <c r="KP41" s="115">
        <f t="shared" si="1423"/>
        <v>0</v>
      </c>
      <c r="KQ41" s="115">
        <f t="shared" si="1423"/>
        <v>0</v>
      </c>
      <c r="KR41" s="115">
        <f t="shared" si="1423"/>
        <v>0</v>
      </c>
      <c r="KS41" s="115">
        <f t="shared" si="1423"/>
        <v>0</v>
      </c>
      <c r="KT41" s="115">
        <f t="shared" si="1423"/>
        <v>0</v>
      </c>
      <c r="KU41" s="115">
        <f t="shared" si="1423"/>
        <v>0</v>
      </c>
      <c r="KV41" s="115">
        <f t="shared" si="1423"/>
        <v>0</v>
      </c>
      <c r="KW41" s="115">
        <f t="shared" si="1423"/>
        <v>0</v>
      </c>
      <c r="KX41" s="115">
        <f t="shared" si="1423"/>
        <v>0</v>
      </c>
      <c r="KY41" s="115">
        <f t="shared" si="1423"/>
        <v>0</v>
      </c>
      <c r="KZ41" s="115">
        <f t="shared" si="1423"/>
        <v>0</v>
      </c>
      <c r="LA41" s="115">
        <f t="shared" si="1423"/>
        <v>0</v>
      </c>
      <c r="LB41" s="115">
        <f t="shared" si="1423"/>
        <v>0</v>
      </c>
      <c r="LC41" s="115">
        <f t="shared" si="1423"/>
        <v>0</v>
      </c>
      <c r="LD41" s="115">
        <f t="shared" si="1423"/>
        <v>0</v>
      </c>
      <c r="LE41" s="115">
        <f t="shared" si="1423"/>
        <v>0</v>
      </c>
      <c r="LF41" s="115">
        <f t="shared" si="1423"/>
        <v>0</v>
      </c>
      <c r="LG41" s="115">
        <f t="shared" si="1423"/>
        <v>0</v>
      </c>
      <c r="LH41" s="115">
        <f t="shared" si="1423"/>
        <v>0</v>
      </c>
      <c r="LI41" s="115">
        <f t="shared" si="1423"/>
        <v>0</v>
      </c>
      <c r="LJ41" s="115">
        <f t="shared" si="1423"/>
        <v>0</v>
      </c>
      <c r="LK41" s="115">
        <f t="shared" si="1423"/>
        <v>0</v>
      </c>
      <c r="LL41" s="115">
        <f t="shared" ref="LL41:NW41" si="1424">IF(LL28+LL35&gt;0,LK25-LL28-LL35,0)</f>
        <v>0</v>
      </c>
      <c r="LM41" s="115">
        <f t="shared" si="1424"/>
        <v>0</v>
      </c>
      <c r="LN41" s="115">
        <f t="shared" si="1424"/>
        <v>0</v>
      </c>
      <c r="LO41" s="115">
        <f t="shared" si="1424"/>
        <v>0</v>
      </c>
      <c r="LP41" s="115">
        <f t="shared" si="1424"/>
        <v>0</v>
      </c>
      <c r="LQ41" s="115">
        <f t="shared" si="1424"/>
        <v>0</v>
      </c>
      <c r="LR41" s="115">
        <f t="shared" si="1424"/>
        <v>0</v>
      </c>
      <c r="LS41" s="115">
        <f t="shared" si="1424"/>
        <v>0</v>
      </c>
      <c r="LT41" s="115">
        <f t="shared" si="1424"/>
        <v>0</v>
      </c>
      <c r="LU41" s="115">
        <f t="shared" si="1424"/>
        <v>0</v>
      </c>
      <c r="LV41" s="115">
        <f t="shared" si="1424"/>
        <v>0</v>
      </c>
      <c r="LW41" s="115">
        <f t="shared" si="1424"/>
        <v>0</v>
      </c>
      <c r="LX41" s="115">
        <f t="shared" si="1424"/>
        <v>0</v>
      </c>
      <c r="LY41" s="115">
        <f t="shared" si="1424"/>
        <v>0</v>
      </c>
      <c r="LZ41" s="115">
        <f t="shared" si="1424"/>
        <v>0</v>
      </c>
      <c r="MA41" s="115">
        <f t="shared" si="1424"/>
        <v>0</v>
      </c>
      <c r="MB41" s="115">
        <f t="shared" si="1424"/>
        <v>0</v>
      </c>
      <c r="MC41" s="115">
        <f t="shared" si="1424"/>
        <v>0</v>
      </c>
      <c r="MD41" s="115">
        <f t="shared" si="1424"/>
        <v>0</v>
      </c>
      <c r="ME41" s="115">
        <f t="shared" si="1424"/>
        <v>0</v>
      </c>
      <c r="MF41" s="115">
        <f t="shared" si="1424"/>
        <v>0</v>
      </c>
      <c r="MG41" s="115">
        <f t="shared" si="1424"/>
        <v>0</v>
      </c>
      <c r="MH41" s="115">
        <f t="shared" si="1424"/>
        <v>0</v>
      </c>
      <c r="MI41" s="115">
        <f t="shared" si="1424"/>
        <v>0</v>
      </c>
      <c r="MJ41" s="115">
        <f t="shared" si="1424"/>
        <v>0</v>
      </c>
      <c r="MK41" s="115">
        <f t="shared" si="1424"/>
        <v>0</v>
      </c>
      <c r="ML41" s="115">
        <f t="shared" si="1424"/>
        <v>0</v>
      </c>
      <c r="MM41" s="115">
        <f t="shared" si="1424"/>
        <v>0</v>
      </c>
      <c r="MN41" s="115">
        <f t="shared" si="1424"/>
        <v>0</v>
      </c>
      <c r="MO41" s="115">
        <f t="shared" si="1424"/>
        <v>0</v>
      </c>
      <c r="MP41" s="115">
        <f t="shared" si="1424"/>
        <v>0</v>
      </c>
      <c r="MQ41" s="115">
        <f t="shared" si="1424"/>
        <v>0</v>
      </c>
      <c r="MR41" s="115">
        <f t="shared" si="1424"/>
        <v>0</v>
      </c>
      <c r="MS41" s="115">
        <f t="shared" si="1424"/>
        <v>0</v>
      </c>
      <c r="MT41" s="115">
        <f t="shared" si="1424"/>
        <v>0</v>
      </c>
      <c r="MU41" s="115">
        <f t="shared" si="1424"/>
        <v>0</v>
      </c>
      <c r="MV41" s="115">
        <f t="shared" si="1424"/>
        <v>0</v>
      </c>
      <c r="MW41" s="115">
        <f t="shared" si="1424"/>
        <v>0</v>
      </c>
      <c r="MX41" s="115">
        <f t="shared" si="1424"/>
        <v>0</v>
      </c>
      <c r="MY41" s="115">
        <f t="shared" si="1424"/>
        <v>0</v>
      </c>
      <c r="MZ41" s="115">
        <f t="shared" si="1424"/>
        <v>0</v>
      </c>
      <c r="NA41" s="115">
        <f t="shared" si="1424"/>
        <v>0</v>
      </c>
      <c r="NB41" s="115">
        <f t="shared" si="1424"/>
        <v>0</v>
      </c>
      <c r="NC41" s="115">
        <f t="shared" si="1424"/>
        <v>0</v>
      </c>
      <c r="ND41" s="115">
        <f t="shared" si="1424"/>
        <v>0</v>
      </c>
      <c r="NE41" s="115">
        <f t="shared" si="1424"/>
        <v>0</v>
      </c>
      <c r="NF41" s="115">
        <f t="shared" si="1424"/>
        <v>0</v>
      </c>
      <c r="NG41" s="115">
        <f t="shared" si="1424"/>
        <v>0</v>
      </c>
      <c r="NH41" s="115">
        <f t="shared" si="1424"/>
        <v>0</v>
      </c>
      <c r="NI41" s="115">
        <f t="shared" si="1424"/>
        <v>0</v>
      </c>
      <c r="NJ41" s="115">
        <f t="shared" si="1424"/>
        <v>0</v>
      </c>
      <c r="NK41" s="115">
        <f t="shared" si="1424"/>
        <v>0</v>
      </c>
      <c r="NL41" s="115">
        <f t="shared" si="1424"/>
        <v>0</v>
      </c>
      <c r="NM41" s="115">
        <f t="shared" si="1424"/>
        <v>0</v>
      </c>
      <c r="NN41" s="115">
        <f t="shared" si="1424"/>
        <v>0</v>
      </c>
      <c r="NO41" s="115">
        <f t="shared" si="1424"/>
        <v>0</v>
      </c>
      <c r="NP41" s="115">
        <f t="shared" si="1424"/>
        <v>0</v>
      </c>
      <c r="NQ41" s="115">
        <f t="shared" si="1424"/>
        <v>0</v>
      </c>
      <c r="NR41" s="115">
        <f t="shared" si="1424"/>
        <v>0</v>
      </c>
      <c r="NS41" s="115">
        <f t="shared" si="1424"/>
        <v>0</v>
      </c>
      <c r="NT41" s="115">
        <f t="shared" si="1424"/>
        <v>0</v>
      </c>
      <c r="NU41" s="115">
        <f t="shared" si="1424"/>
        <v>0</v>
      </c>
      <c r="NV41" s="115">
        <f t="shared" si="1424"/>
        <v>0</v>
      </c>
      <c r="NW41" s="115">
        <f t="shared" si="1424"/>
        <v>0</v>
      </c>
      <c r="NX41" s="115">
        <f t="shared" ref="NX41:QI41" si="1425">IF(NX28+NX35&gt;0,NW25-NX28-NX35,0)</f>
        <v>0</v>
      </c>
      <c r="NY41" s="115">
        <f t="shared" si="1425"/>
        <v>0</v>
      </c>
      <c r="NZ41" s="115">
        <f t="shared" si="1425"/>
        <v>0</v>
      </c>
      <c r="OA41" s="115">
        <f t="shared" si="1425"/>
        <v>0</v>
      </c>
      <c r="OB41" s="115">
        <f t="shared" si="1425"/>
        <v>0</v>
      </c>
      <c r="OC41" s="115">
        <f t="shared" si="1425"/>
        <v>0</v>
      </c>
      <c r="OD41" s="115">
        <f t="shared" si="1425"/>
        <v>0</v>
      </c>
      <c r="OE41" s="115">
        <f t="shared" si="1425"/>
        <v>0</v>
      </c>
      <c r="OF41" s="115">
        <f t="shared" si="1425"/>
        <v>0</v>
      </c>
      <c r="OG41" s="115">
        <f t="shared" si="1425"/>
        <v>0</v>
      </c>
      <c r="OH41" s="115">
        <f t="shared" si="1425"/>
        <v>0</v>
      </c>
      <c r="OI41" s="115">
        <f t="shared" si="1425"/>
        <v>0</v>
      </c>
      <c r="OJ41" s="115">
        <f t="shared" si="1425"/>
        <v>0</v>
      </c>
      <c r="OK41" s="115">
        <f t="shared" si="1425"/>
        <v>0</v>
      </c>
      <c r="OL41" s="115">
        <f t="shared" si="1425"/>
        <v>0</v>
      </c>
      <c r="OM41" s="115">
        <f t="shared" si="1425"/>
        <v>0</v>
      </c>
      <c r="ON41" s="115">
        <f t="shared" si="1425"/>
        <v>0</v>
      </c>
      <c r="OO41" s="115">
        <f t="shared" si="1425"/>
        <v>0</v>
      </c>
      <c r="OP41" s="115">
        <f t="shared" si="1425"/>
        <v>0</v>
      </c>
      <c r="OQ41" s="115">
        <f t="shared" si="1425"/>
        <v>0</v>
      </c>
      <c r="OR41" s="115">
        <f t="shared" si="1425"/>
        <v>0</v>
      </c>
      <c r="OS41" s="115">
        <f t="shared" si="1425"/>
        <v>0</v>
      </c>
      <c r="OT41" s="115">
        <f t="shared" si="1425"/>
        <v>0</v>
      </c>
      <c r="OU41" s="115">
        <f t="shared" si="1425"/>
        <v>0</v>
      </c>
      <c r="OV41" s="115">
        <f t="shared" si="1425"/>
        <v>0</v>
      </c>
      <c r="OW41" s="115">
        <f t="shared" si="1425"/>
        <v>0</v>
      </c>
      <c r="OX41" s="115">
        <f t="shared" si="1425"/>
        <v>0</v>
      </c>
      <c r="OY41" s="115">
        <f t="shared" si="1425"/>
        <v>0</v>
      </c>
      <c r="OZ41" s="115">
        <f t="shared" si="1425"/>
        <v>0</v>
      </c>
      <c r="PA41" s="115">
        <f t="shared" si="1425"/>
        <v>0</v>
      </c>
      <c r="PB41" s="115">
        <f t="shared" si="1425"/>
        <v>0</v>
      </c>
      <c r="PC41" s="115">
        <f t="shared" si="1425"/>
        <v>0</v>
      </c>
      <c r="PD41" s="115">
        <f t="shared" si="1425"/>
        <v>0</v>
      </c>
      <c r="PE41" s="115">
        <f t="shared" si="1425"/>
        <v>0</v>
      </c>
      <c r="PF41" s="115">
        <f t="shared" si="1425"/>
        <v>0</v>
      </c>
      <c r="PG41" s="115">
        <f t="shared" si="1425"/>
        <v>0</v>
      </c>
      <c r="PH41" s="115">
        <f t="shared" si="1425"/>
        <v>0</v>
      </c>
      <c r="PI41" s="115">
        <f t="shared" si="1425"/>
        <v>0</v>
      </c>
      <c r="PJ41" s="115">
        <f t="shared" si="1425"/>
        <v>0</v>
      </c>
      <c r="PK41" s="115">
        <f t="shared" si="1425"/>
        <v>0</v>
      </c>
      <c r="PL41" s="115">
        <f t="shared" si="1425"/>
        <v>0</v>
      </c>
      <c r="PM41" s="115">
        <f t="shared" si="1425"/>
        <v>0</v>
      </c>
      <c r="PN41" s="115">
        <f t="shared" si="1425"/>
        <v>0</v>
      </c>
      <c r="PO41" s="115">
        <f t="shared" si="1425"/>
        <v>0</v>
      </c>
      <c r="PP41" s="115">
        <f t="shared" si="1425"/>
        <v>0</v>
      </c>
      <c r="PQ41" s="115">
        <f t="shared" si="1425"/>
        <v>0</v>
      </c>
      <c r="PR41" s="115">
        <f t="shared" si="1425"/>
        <v>0</v>
      </c>
      <c r="PS41" s="115">
        <f t="shared" si="1425"/>
        <v>0</v>
      </c>
      <c r="PT41" s="115">
        <f t="shared" si="1425"/>
        <v>0</v>
      </c>
      <c r="PU41" s="115">
        <f t="shared" si="1425"/>
        <v>0</v>
      </c>
      <c r="PV41" s="115">
        <f t="shared" si="1425"/>
        <v>0</v>
      </c>
      <c r="PW41" s="115">
        <f t="shared" si="1425"/>
        <v>0</v>
      </c>
      <c r="PX41" s="115">
        <f t="shared" si="1425"/>
        <v>0</v>
      </c>
      <c r="PY41" s="115">
        <f t="shared" si="1425"/>
        <v>0</v>
      </c>
      <c r="PZ41" s="115">
        <f t="shared" si="1425"/>
        <v>0</v>
      </c>
      <c r="QA41" s="115">
        <f t="shared" si="1425"/>
        <v>0</v>
      </c>
      <c r="QB41" s="115">
        <f t="shared" si="1425"/>
        <v>0</v>
      </c>
      <c r="QC41" s="115">
        <f t="shared" si="1425"/>
        <v>0</v>
      </c>
      <c r="QD41" s="115">
        <f t="shared" si="1425"/>
        <v>0</v>
      </c>
      <c r="QE41" s="115">
        <f t="shared" si="1425"/>
        <v>0</v>
      </c>
      <c r="QF41" s="115">
        <f t="shared" si="1425"/>
        <v>0</v>
      </c>
      <c r="QG41" s="115">
        <f t="shared" si="1425"/>
        <v>0</v>
      </c>
      <c r="QH41" s="115">
        <f t="shared" si="1425"/>
        <v>0</v>
      </c>
      <c r="QI41" s="115">
        <f t="shared" si="1425"/>
        <v>0</v>
      </c>
      <c r="QJ41" s="115">
        <f t="shared" ref="QJ41:SU41" si="1426">IF(QJ28+QJ35&gt;0,QI25-QJ28-QJ35,0)</f>
        <v>0</v>
      </c>
      <c r="QK41" s="115">
        <f t="shared" si="1426"/>
        <v>0</v>
      </c>
      <c r="QL41" s="115">
        <f t="shared" si="1426"/>
        <v>0</v>
      </c>
      <c r="QM41" s="115">
        <f t="shared" si="1426"/>
        <v>0</v>
      </c>
      <c r="QN41" s="115">
        <f t="shared" si="1426"/>
        <v>0</v>
      </c>
      <c r="QO41" s="115">
        <f t="shared" si="1426"/>
        <v>0</v>
      </c>
      <c r="QP41" s="115">
        <f t="shared" si="1426"/>
        <v>0</v>
      </c>
      <c r="QQ41" s="115">
        <f t="shared" si="1426"/>
        <v>0</v>
      </c>
      <c r="QR41" s="115">
        <f t="shared" si="1426"/>
        <v>0</v>
      </c>
      <c r="QS41" s="115">
        <f t="shared" si="1426"/>
        <v>0</v>
      </c>
      <c r="QT41" s="115">
        <f t="shared" si="1426"/>
        <v>0</v>
      </c>
      <c r="QU41" s="115">
        <f t="shared" si="1426"/>
        <v>0</v>
      </c>
      <c r="QV41" s="115">
        <f t="shared" si="1426"/>
        <v>0</v>
      </c>
      <c r="QW41" s="115">
        <f t="shared" si="1426"/>
        <v>0</v>
      </c>
      <c r="QX41" s="115">
        <f t="shared" si="1426"/>
        <v>0</v>
      </c>
      <c r="QY41" s="115">
        <f t="shared" si="1426"/>
        <v>0</v>
      </c>
      <c r="QZ41" s="115">
        <f t="shared" si="1426"/>
        <v>0</v>
      </c>
      <c r="RA41" s="115">
        <f t="shared" si="1426"/>
        <v>0</v>
      </c>
      <c r="RB41" s="115">
        <f t="shared" si="1426"/>
        <v>0</v>
      </c>
      <c r="RC41" s="115">
        <f t="shared" si="1426"/>
        <v>0</v>
      </c>
      <c r="RD41" s="115">
        <f t="shared" si="1426"/>
        <v>0</v>
      </c>
      <c r="RE41" s="115">
        <f t="shared" si="1426"/>
        <v>0</v>
      </c>
      <c r="RF41" s="115">
        <f t="shared" si="1426"/>
        <v>0</v>
      </c>
      <c r="RG41" s="115">
        <f t="shared" si="1426"/>
        <v>0</v>
      </c>
      <c r="RH41" s="115">
        <f t="shared" si="1426"/>
        <v>0</v>
      </c>
      <c r="RI41" s="115">
        <f t="shared" si="1426"/>
        <v>0</v>
      </c>
      <c r="RJ41" s="115">
        <f t="shared" si="1426"/>
        <v>0</v>
      </c>
      <c r="RK41" s="115">
        <f t="shared" si="1426"/>
        <v>0</v>
      </c>
      <c r="RL41" s="115">
        <f t="shared" si="1426"/>
        <v>0</v>
      </c>
      <c r="RM41" s="115">
        <f t="shared" si="1426"/>
        <v>0</v>
      </c>
      <c r="RN41" s="115">
        <f t="shared" si="1426"/>
        <v>0</v>
      </c>
      <c r="RO41" s="115">
        <f t="shared" si="1426"/>
        <v>0</v>
      </c>
      <c r="RP41" s="115">
        <f t="shared" si="1426"/>
        <v>0</v>
      </c>
      <c r="RQ41" s="115">
        <f t="shared" si="1426"/>
        <v>0</v>
      </c>
      <c r="RR41" s="115">
        <f t="shared" si="1426"/>
        <v>0</v>
      </c>
      <c r="RS41" s="115">
        <f t="shared" si="1426"/>
        <v>0</v>
      </c>
      <c r="RT41" s="115">
        <f t="shared" si="1426"/>
        <v>0</v>
      </c>
      <c r="RU41" s="115">
        <f t="shared" si="1426"/>
        <v>0</v>
      </c>
      <c r="RV41" s="115">
        <f t="shared" si="1426"/>
        <v>0</v>
      </c>
      <c r="RW41" s="115">
        <f t="shared" si="1426"/>
        <v>0</v>
      </c>
      <c r="RX41" s="115">
        <f t="shared" si="1426"/>
        <v>0</v>
      </c>
      <c r="RY41" s="115">
        <f t="shared" si="1426"/>
        <v>0</v>
      </c>
      <c r="RZ41" s="115">
        <f t="shared" si="1426"/>
        <v>0</v>
      </c>
      <c r="SA41" s="115">
        <f t="shared" si="1426"/>
        <v>0</v>
      </c>
      <c r="SB41" s="115">
        <f t="shared" si="1426"/>
        <v>0</v>
      </c>
      <c r="SC41" s="115">
        <f t="shared" si="1426"/>
        <v>0</v>
      </c>
      <c r="SD41" s="115">
        <f t="shared" si="1426"/>
        <v>0</v>
      </c>
      <c r="SE41" s="115">
        <f t="shared" si="1426"/>
        <v>0</v>
      </c>
      <c r="SF41" s="115">
        <f t="shared" si="1426"/>
        <v>0</v>
      </c>
      <c r="SG41" s="115">
        <f t="shared" si="1426"/>
        <v>0</v>
      </c>
      <c r="SH41" s="115">
        <f t="shared" si="1426"/>
        <v>0</v>
      </c>
      <c r="SI41" s="115">
        <f t="shared" si="1426"/>
        <v>0</v>
      </c>
      <c r="SJ41" s="115">
        <f t="shared" si="1426"/>
        <v>0</v>
      </c>
      <c r="SK41" s="115">
        <f t="shared" si="1426"/>
        <v>0</v>
      </c>
      <c r="SL41" s="115">
        <f t="shared" si="1426"/>
        <v>0</v>
      </c>
      <c r="SM41" s="115">
        <f t="shared" si="1426"/>
        <v>0</v>
      </c>
      <c r="SN41" s="115">
        <f t="shared" si="1426"/>
        <v>0</v>
      </c>
      <c r="SO41" s="115">
        <f t="shared" si="1426"/>
        <v>0</v>
      </c>
      <c r="SP41" s="115">
        <f t="shared" si="1426"/>
        <v>0</v>
      </c>
      <c r="SQ41" s="115">
        <f t="shared" si="1426"/>
        <v>0</v>
      </c>
      <c r="SR41" s="115">
        <f t="shared" si="1426"/>
        <v>0</v>
      </c>
      <c r="SS41" s="115">
        <f t="shared" si="1426"/>
        <v>0</v>
      </c>
      <c r="ST41" s="115">
        <f t="shared" si="1426"/>
        <v>0</v>
      </c>
      <c r="SU41" s="115">
        <f t="shared" si="1426"/>
        <v>0</v>
      </c>
      <c r="SV41" s="115">
        <f t="shared" ref="SV41:VG41" si="1427">IF(SV28+SV35&gt;0,SU25-SV28-SV35,0)</f>
        <v>0</v>
      </c>
      <c r="SW41" s="115">
        <f t="shared" si="1427"/>
        <v>0</v>
      </c>
      <c r="SX41" s="115">
        <f t="shared" si="1427"/>
        <v>0</v>
      </c>
      <c r="SY41" s="115">
        <f t="shared" si="1427"/>
        <v>0</v>
      </c>
      <c r="SZ41" s="115">
        <f t="shared" si="1427"/>
        <v>0</v>
      </c>
      <c r="TA41" s="115">
        <f t="shared" si="1427"/>
        <v>0</v>
      </c>
      <c r="TB41" s="115">
        <f t="shared" si="1427"/>
        <v>0</v>
      </c>
      <c r="TC41" s="115">
        <f t="shared" si="1427"/>
        <v>0</v>
      </c>
      <c r="TD41" s="115">
        <f t="shared" si="1427"/>
        <v>0</v>
      </c>
      <c r="TE41" s="115">
        <f t="shared" si="1427"/>
        <v>0</v>
      </c>
      <c r="TF41" s="115">
        <f t="shared" si="1427"/>
        <v>0</v>
      </c>
      <c r="TG41" s="115">
        <f t="shared" si="1427"/>
        <v>0</v>
      </c>
      <c r="TH41" s="115">
        <f t="shared" si="1427"/>
        <v>0</v>
      </c>
      <c r="TI41" s="115">
        <f t="shared" si="1427"/>
        <v>0</v>
      </c>
      <c r="TJ41" s="115">
        <f t="shared" si="1427"/>
        <v>0</v>
      </c>
      <c r="TK41" s="115">
        <f t="shared" si="1427"/>
        <v>0</v>
      </c>
      <c r="TL41" s="115">
        <f t="shared" si="1427"/>
        <v>0</v>
      </c>
      <c r="TM41" s="115">
        <f t="shared" si="1427"/>
        <v>0</v>
      </c>
      <c r="TN41" s="115">
        <f t="shared" si="1427"/>
        <v>0</v>
      </c>
      <c r="TO41" s="115">
        <f t="shared" si="1427"/>
        <v>0</v>
      </c>
      <c r="TP41" s="115">
        <f t="shared" si="1427"/>
        <v>0</v>
      </c>
      <c r="TQ41" s="115">
        <f t="shared" si="1427"/>
        <v>0</v>
      </c>
      <c r="TR41" s="115">
        <f t="shared" si="1427"/>
        <v>0</v>
      </c>
      <c r="TS41" s="115">
        <f t="shared" si="1427"/>
        <v>0</v>
      </c>
      <c r="TT41" s="115">
        <f t="shared" si="1427"/>
        <v>0</v>
      </c>
      <c r="TU41" s="115">
        <f t="shared" si="1427"/>
        <v>0</v>
      </c>
      <c r="TV41" s="115">
        <f t="shared" si="1427"/>
        <v>0</v>
      </c>
      <c r="TW41" s="115">
        <f t="shared" si="1427"/>
        <v>0</v>
      </c>
      <c r="TX41" s="115">
        <f t="shared" si="1427"/>
        <v>0</v>
      </c>
      <c r="TY41" s="115">
        <f t="shared" si="1427"/>
        <v>0</v>
      </c>
      <c r="TZ41" s="115">
        <f t="shared" si="1427"/>
        <v>0</v>
      </c>
      <c r="UA41" s="115">
        <f t="shared" si="1427"/>
        <v>0</v>
      </c>
      <c r="UB41" s="115">
        <f t="shared" si="1427"/>
        <v>0</v>
      </c>
      <c r="UC41" s="115">
        <f t="shared" si="1427"/>
        <v>0</v>
      </c>
      <c r="UD41" s="115">
        <f t="shared" si="1427"/>
        <v>0</v>
      </c>
      <c r="UE41" s="115">
        <f t="shared" si="1427"/>
        <v>0</v>
      </c>
      <c r="UF41" s="115">
        <f t="shared" si="1427"/>
        <v>0</v>
      </c>
      <c r="UG41" s="115">
        <f t="shared" si="1427"/>
        <v>0</v>
      </c>
      <c r="UH41" s="115">
        <f t="shared" si="1427"/>
        <v>0</v>
      </c>
      <c r="UI41" s="115">
        <f t="shared" si="1427"/>
        <v>0</v>
      </c>
      <c r="UJ41" s="115">
        <f t="shared" si="1427"/>
        <v>0</v>
      </c>
      <c r="UK41" s="115">
        <f t="shared" si="1427"/>
        <v>0</v>
      </c>
      <c r="UL41" s="115">
        <f t="shared" si="1427"/>
        <v>0</v>
      </c>
      <c r="UM41" s="115">
        <f t="shared" si="1427"/>
        <v>0</v>
      </c>
      <c r="UN41" s="115">
        <f t="shared" si="1427"/>
        <v>0</v>
      </c>
      <c r="UO41" s="115">
        <f t="shared" si="1427"/>
        <v>0</v>
      </c>
      <c r="UP41" s="115">
        <f t="shared" si="1427"/>
        <v>0</v>
      </c>
      <c r="UQ41" s="115">
        <f t="shared" si="1427"/>
        <v>0</v>
      </c>
      <c r="UR41" s="115">
        <f t="shared" si="1427"/>
        <v>0</v>
      </c>
      <c r="US41" s="115">
        <f t="shared" si="1427"/>
        <v>0</v>
      </c>
      <c r="UT41" s="115">
        <f t="shared" si="1427"/>
        <v>0</v>
      </c>
      <c r="UU41" s="115">
        <f t="shared" si="1427"/>
        <v>0</v>
      </c>
      <c r="UV41" s="115">
        <f t="shared" si="1427"/>
        <v>0</v>
      </c>
      <c r="UW41" s="115">
        <f t="shared" si="1427"/>
        <v>0</v>
      </c>
      <c r="UX41" s="115">
        <f t="shared" si="1427"/>
        <v>0</v>
      </c>
      <c r="UY41" s="115">
        <f t="shared" si="1427"/>
        <v>0</v>
      </c>
      <c r="UZ41" s="115">
        <f t="shared" si="1427"/>
        <v>0</v>
      </c>
      <c r="VA41" s="115">
        <f t="shared" si="1427"/>
        <v>0</v>
      </c>
      <c r="VB41" s="115">
        <f t="shared" si="1427"/>
        <v>0</v>
      </c>
      <c r="VC41" s="115">
        <f t="shared" si="1427"/>
        <v>0</v>
      </c>
      <c r="VD41" s="115">
        <f t="shared" si="1427"/>
        <v>0</v>
      </c>
      <c r="VE41" s="115">
        <f t="shared" si="1427"/>
        <v>0</v>
      </c>
      <c r="VF41" s="115">
        <f t="shared" si="1427"/>
        <v>0</v>
      </c>
      <c r="VG41" s="115">
        <f t="shared" si="1427"/>
        <v>0</v>
      </c>
      <c r="VH41" s="115">
        <f t="shared" ref="VH41:XS41" si="1428">IF(VH28+VH35&gt;0,VG25-VH28-VH35,0)</f>
        <v>0</v>
      </c>
      <c r="VI41" s="115">
        <f t="shared" si="1428"/>
        <v>0</v>
      </c>
      <c r="VJ41" s="115">
        <f t="shared" si="1428"/>
        <v>0</v>
      </c>
      <c r="VK41" s="115">
        <f t="shared" si="1428"/>
        <v>0</v>
      </c>
      <c r="VL41" s="115">
        <f t="shared" si="1428"/>
        <v>0</v>
      </c>
      <c r="VM41" s="115">
        <f t="shared" si="1428"/>
        <v>0</v>
      </c>
      <c r="VN41" s="115">
        <f t="shared" si="1428"/>
        <v>0</v>
      </c>
      <c r="VO41" s="115">
        <f t="shared" si="1428"/>
        <v>0</v>
      </c>
      <c r="VP41" s="115">
        <f t="shared" si="1428"/>
        <v>0</v>
      </c>
      <c r="VQ41" s="115">
        <f t="shared" si="1428"/>
        <v>0</v>
      </c>
      <c r="VR41" s="115">
        <f t="shared" si="1428"/>
        <v>0</v>
      </c>
      <c r="VS41" s="115">
        <f t="shared" si="1428"/>
        <v>0</v>
      </c>
      <c r="VT41" s="115">
        <f t="shared" si="1428"/>
        <v>0</v>
      </c>
      <c r="VU41" s="115">
        <f t="shared" si="1428"/>
        <v>0</v>
      </c>
      <c r="VV41" s="115">
        <f t="shared" si="1428"/>
        <v>0</v>
      </c>
      <c r="VW41" s="115">
        <f t="shared" si="1428"/>
        <v>0</v>
      </c>
      <c r="VX41" s="115">
        <f t="shared" si="1428"/>
        <v>0</v>
      </c>
      <c r="VY41" s="115">
        <f t="shared" si="1428"/>
        <v>0</v>
      </c>
      <c r="VZ41" s="115">
        <f t="shared" si="1428"/>
        <v>0</v>
      </c>
      <c r="WA41" s="115">
        <f t="shared" si="1428"/>
        <v>0</v>
      </c>
      <c r="WB41" s="115">
        <f t="shared" si="1428"/>
        <v>0</v>
      </c>
      <c r="WC41" s="115">
        <f t="shared" si="1428"/>
        <v>0</v>
      </c>
      <c r="WD41" s="115">
        <f t="shared" si="1428"/>
        <v>0</v>
      </c>
      <c r="WE41" s="115">
        <f t="shared" si="1428"/>
        <v>0</v>
      </c>
      <c r="WF41" s="115">
        <f t="shared" si="1428"/>
        <v>0</v>
      </c>
      <c r="WG41" s="115">
        <f t="shared" si="1428"/>
        <v>0</v>
      </c>
      <c r="WH41" s="115">
        <f t="shared" si="1428"/>
        <v>0</v>
      </c>
      <c r="WI41" s="115">
        <f t="shared" si="1428"/>
        <v>0</v>
      </c>
      <c r="WJ41" s="115">
        <f t="shared" si="1428"/>
        <v>0</v>
      </c>
      <c r="WK41" s="115">
        <f t="shared" si="1428"/>
        <v>0</v>
      </c>
      <c r="WL41" s="115">
        <f t="shared" si="1428"/>
        <v>0</v>
      </c>
      <c r="WM41" s="115">
        <f t="shared" si="1428"/>
        <v>0</v>
      </c>
      <c r="WN41" s="115">
        <f t="shared" si="1428"/>
        <v>12881.428047016263</v>
      </c>
      <c r="WO41" s="115">
        <f t="shared" si="1428"/>
        <v>0</v>
      </c>
      <c r="WP41" s="115">
        <f t="shared" si="1428"/>
        <v>0</v>
      </c>
      <c r="WQ41" s="115">
        <f t="shared" si="1428"/>
        <v>0</v>
      </c>
      <c r="WR41" s="115">
        <f t="shared" si="1428"/>
        <v>0</v>
      </c>
      <c r="WS41" s="115">
        <f t="shared" si="1428"/>
        <v>0</v>
      </c>
      <c r="WT41" s="115">
        <f t="shared" si="1428"/>
        <v>0</v>
      </c>
      <c r="WU41" s="115">
        <f t="shared" si="1428"/>
        <v>0</v>
      </c>
      <c r="WV41" s="115">
        <f t="shared" si="1428"/>
        <v>0</v>
      </c>
      <c r="WW41" s="115">
        <f t="shared" si="1428"/>
        <v>0</v>
      </c>
      <c r="WX41" s="115">
        <f t="shared" si="1428"/>
        <v>0</v>
      </c>
      <c r="WY41" s="115">
        <f t="shared" si="1428"/>
        <v>0</v>
      </c>
      <c r="WZ41" s="115">
        <f t="shared" si="1428"/>
        <v>0</v>
      </c>
      <c r="XA41" s="115">
        <f t="shared" si="1428"/>
        <v>0</v>
      </c>
      <c r="XB41" s="115">
        <f t="shared" si="1428"/>
        <v>0</v>
      </c>
      <c r="XC41" s="115">
        <f t="shared" si="1428"/>
        <v>0</v>
      </c>
      <c r="XD41" s="115">
        <f t="shared" si="1428"/>
        <v>0</v>
      </c>
      <c r="XE41" s="115">
        <f t="shared" si="1428"/>
        <v>0</v>
      </c>
      <c r="XF41" s="115">
        <f t="shared" si="1428"/>
        <v>0</v>
      </c>
      <c r="XG41" s="115">
        <f t="shared" si="1428"/>
        <v>0</v>
      </c>
      <c r="XH41" s="115">
        <f t="shared" si="1428"/>
        <v>0</v>
      </c>
      <c r="XI41" s="115">
        <f t="shared" si="1428"/>
        <v>0</v>
      </c>
      <c r="XJ41" s="115">
        <f t="shared" si="1428"/>
        <v>0</v>
      </c>
      <c r="XK41" s="115">
        <f t="shared" si="1428"/>
        <v>0</v>
      </c>
      <c r="XL41" s="115">
        <f t="shared" si="1428"/>
        <v>0</v>
      </c>
      <c r="XM41" s="115">
        <f t="shared" si="1428"/>
        <v>0</v>
      </c>
      <c r="XN41" s="115">
        <f t="shared" si="1428"/>
        <v>0</v>
      </c>
      <c r="XO41" s="115">
        <f t="shared" si="1428"/>
        <v>0</v>
      </c>
      <c r="XP41" s="115">
        <f t="shared" si="1428"/>
        <v>0</v>
      </c>
      <c r="XQ41" s="115">
        <f t="shared" si="1428"/>
        <v>8591.0194999008672</v>
      </c>
      <c r="XR41" s="115">
        <f t="shared" si="1428"/>
        <v>0</v>
      </c>
      <c r="XS41" s="115">
        <f t="shared" si="1428"/>
        <v>0</v>
      </c>
      <c r="XT41" s="115">
        <f t="shared" ref="XT41:AAE41" si="1429">IF(XT28+XT35&gt;0,XS25-XT28-XT35,0)</f>
        <v>0</v>
      </c>
      <c r="XU41" s="115">
        <f t="shared" si="1429"/>
        <v>0</v>
      </c>
      <c r="XV41" s="115">
        <f t="shared" si="1429"/>
        <v>0</v>
      </c>
      <c r="XW41" s="115">
        <f t="shared" si="1429"/>
        <v>0</v>
      </c>
      <c r="XX41" s="115">
        <f t="shared" si="1429"/>
        <v>0</v>
      </c>
      <c r="XY41" s="115">
        <f t="shared" si="1429"/>
        <v>0</v>
      </c>
      <c r="XZ41" s="115">
        <f t="shared" si="1429"/>
        <v>0</v>
      </c>
      <c r="YA41" s="115">
        <f t="shared" si="1429"/>
        <v>0</v>
      </c>
      <c r="YB41" s="115">
        <f t="shared" si="1429"/>
        <v>0</v>
      </c>
      <c r="YC41" s="115">
        <f t="shared" si="1429"/>
        <v>0</v>
      </c>
      <c r="YD41" s="115">
        <f t="shared" si="1429"/>
        <v>0</v>
      </c>
      <c r="YE41" s="115">
        <f t="shared" si="1429"/>
        <v>0</v>
      </c>
      <c r="YF41" s="115">
        <f t="shared" si="1429"/>
        <v>0</v>
      </c>
      <c r="YG41" s="115">
        <f t="shared" si="1429"/>
        <v>0</v>
      </c>
      <c r="YH41" s="115">
        <f t="shared" si="1429"/>
        <v>0</v>
      </c>
      <c r="YI41" s="115">
        <f t="shared" si="1429"/>
        <v>0</v>
      </c>
      <c r="YJ41" s="115">
        <f t="shared" si="1429"/>
        <v>0</v>
      </c>
      <c r="YK41" s="115">
        <f t="shared" si="1429"/>
        <v>0</v>
      </c>
      <c r="YL41" s="115">
        <f t="shared" si="1429"/>
        <v>0</v>
      </c>
      <c r="YM41" s="115">
        <f t="shared" si="1429"/>
        <v>0</v>
      </c>
      <c r="YN41" s="115">
        <f t="shared" si="1429"/>
        <v>0</v>
      </c>
      <c r="YO41" s="115">
        <f t="shared" si="1429"/>
        <v>0</v>
      </c>
      <c r="YP41" s="115">
        <f t="shared" si="1429"/>
        <v>0</v>
      </c>
      <c r="YQ41" s="115">
        <f t="shared" si="1429"/>
        <v>0</v>
      </c>
      <c r="YR41" s="115">
        <f t="shared" si="1429"/>
        <v>0</v>
      </c>
      <c r="YS41" s="115">
        <f t="shared" si="1429"/>
        <v>0</v>
      </c>
      <c r="YT41" s="115">
        <f t="shared" si="1429"/>
        <v>0</v>
      </c>
      <c r="YU41" s="115">
        <f t="shared" si="1429"/>
        <v>0</v>
      </c>
      <c r="YV41" s="115">
        <f t="shared" si="1429"/>
        <v>0</v>
      </c>
      <c r="YW41" s="115">
        <f t="shared" si="1429"/>
        <v>0</v>
      </c>
      <c r="YX41" s="115">
        <f t="shared" si="1429"/>
        <v>0</v>
      </c>
      <c r="YY41" s="115">
        <f t="shared" si="1429"/>
        <v>0</v>
      </c>
      <c r="YZ41" s="115">
        <f t="shared" si="1429"/>
        <v>0</v>
      </c>
      <c r="ZA41" s="115">
        <f t="shared" si="1429"/>
        <v>0</v>
      </c>
      <c r="ZB41" s="115">
        <f t="shared" si="1429"/>
        <v>0</v>
      </c>
      <c r="ZC41" s="115">
        <f t="shared" si="1429"/>
        <v>0</v>
      </c>
      <c r="ZD41" s="115">
        <f t="shared" si="1429"/>
        <v>0</v>
      </c>
      <c r="ZE41" s="115">
        <f t="shared" si="1429"/>
        <v>0</v>
      </c>
      <c r="ZF41" s="115">
        <f t="shared" si="1429"/>
        <v>0</v>
      </c>
      <c r="ZG41" s="115">
        <f t="shared" si="1429"/>
        <v>0</v>
      </c>
      <c r="ZH41" s="115">
        <f t="shared" si="1429"/>
        <v>0</v>
      </c>
      <c r="ZI41" s="115">
        <f t="shared" si="1429"/>
        <v>0</v>
      </c>
      <c r="ZJ41" s="115">
        <f t="shared" si="1429"/>
        <v>0</v>
      </c>
      <c r="ZK41" s="115">
        <f t="shared" si="1429"/>
        <v>0</v>
      </c>
      <c r="ZL41" s="115">
        <f t="shared" si="1429"/>
        <v>0</v>
      </c>
      <c r="ZM41" s="115">
        <f t="shared" si="1429"/>
        <v>0</v>
      </c>
      <c r="ZN41" s="115">
        <f t="shared" si="1429"/>
        <v>0</v>
      </c>
      <c r="ZO41" s="115">
        <f t="shared" si="1429"/>
        <v>0</v>
      </c>
      <c r="ZP41" s="115">
        <f t="shared" si="1429"/>
        <v>0</v>
      </c>
      <c r="ZQ41" s="115">
        <f t="shared" si="1429"/>
        <v>0</v>
      </c>
      <c r="ZR41" s="115">
        <f t="shared" si="1429"/>
        <v>0</v>
      </c>
      <c r="ZS41" s="115">
        <f t="shared" si="1429"/>
        <v>0</v>
      </c>
      <c r="ZT41" s="115">
        <f t="shared" si="1429"/>
        <v>0</v>
      </c>
      <c r="ZU41" s="115">
        <f t="shared" si="1429"/>
        <v>0</v>
      </c>
      <c r="ZV41" s="115">
        <f t="shared" si="1429"/>
        <v>0</v>
      </c>
      <c r="ZW41" s="115">
        <f t="shared" si="1429"/>
        <v>0</v>
      </c>
      <c r="ZX41" s="115">
        <f t="shared" si="1429"/>
        <v>0</v>
      </c>
      <c r="ZY41" s="115">
        <f t="shared" si="1429"/>
        <v>0</v>
      </c>
      <c r="ZZ41" s="115">
        <f t="shared" si="1429"/>
        <v>0</v>
      </c>
      <c r="AAA41" s="115">
        <f t="shared" si="1429"/>
        <v>0</v>
      </c>
      <c r="AAB41" s="115">
        <f t="shared" si="1429"/>
        <v>0</v>
      </c>
      <c r="AAC41" s="115">
        <f t="shared" si="1429"/>
        <v>0</v>
      </c>
      <c r="AAD41" s="115">
        <f t="shared" si="1429"/>
        <v>0</v>
      </c>
      <c r="AAE41" s="115">
        <f t="shared" si="1429"/>
        <v>0</v>
      </c>
      <c r="AAF41" s="115">
        <f t="shared" ref="AAF41:ACQ41" si="1430">IF(AAF28+AAF35&gt;0,AAE25-AAF28-AAF35,0)</f>
        <v>0</v>
      </c>
      <c r="AAG41" s="115">
        <f t="shared" si="1430"/>
        <v>0</v>
      </c>
      <c r="AAH41" s="115">
        <f t="shared" si="1430"/>
        <v>0</v>
      </c>
      <c r="AAI41" s="115">
        <f t="shared" si="1430"/>
        <v>0</v>
      </c>
      <c r="AAJ41" s="115">
        <f t="shared" si="1430"/>
        <v>0</v>
      </c>
      <c r="AAK41" s="115">
        <f t="shared" si="1430"/>
        <v>0</v>
      </c>
      <c r="AAL41" s="115">
        <f t="shared" si="1430"/>
        <v>0</v>
      </c>
      <c r="AAM41" s="115">
        <f t="shared" si="1430"/>
        <v>0</v>
      </c>
      <c r="AAN41" s="115">
        <f t="shared" si="1430"/>
        <v>0</v>
      </c>
      <c r="AAO41" s="115">
        <f t="shared" si="1430"/>
        <v>0</v>
      </c>
      <c r="AAP41" s="115">
        <f t="shared" si="1430"/>
        <v>0</v>
      </c>
      <c r="AAQ41" s="115">
        <f t="shared" si="1430"/>
        <v>0</v>
      </c>
      <c r="AAR41" s="115">
        <f t="shared" si="1430"/>
        <v>0</v>
      </c>
      <c r="AAS41" s="115">
        <f t="shared" si="1430"/>
        <v>0</v>
      </c>
      <c r="AAT41" s="115">
        <f t="shared" si="1430"/>
        <v>0</v>
      </c>
      <c r="AAU41" s="115">
        <f t="shared" si="1430"/>
        <v>0</v>
      </c>
      <c r="AAV41" s="115">
        <f t="shared" si="1430"/>
        <v>0</v>
      </c>
      <c r="AAW41" s="115">
        <f t="shared" si="1430"/>
        <v>0</v>
      </c>
      <c r="AAX41" s="115">
        <f t="shared" si="1430"/>
        <v>0</v>
      </c>
      <c r="AAY41" s="115">
        <f t="shared" si="1430"/>
        <v>0</v>
      </c>
      <c r="AAZ41" s="115">
        <f t="shared" si="1430"/>
        <v>0</v>
      </c>
      <c r="ABA41" s="115">
        <f t="shared" si="1430"/>
        <v>0</v>
      </c>
      <c r="ABB41" s="115">
        <f t="shared" si="1430"/>
        <v>0</v>
      </c>
      <c r="ABC41" s="115">
        <f t="shared" si="1430"/>
        <v>0</v>
      </c>
      <c r="ABD41" s="115">
        <f t="shared" si="1430"/>
        <v>0</v>
      </c>
      <c r="ABE41" s="115">
        <f t="shared" si="1430"/>
        <v>0</v>
      </c>
      <c r="ABF41" s="115">
        <f t="shared" si="1430"/>
        <v>0</v>
      </c>
      <c r="ABG41" s="115">
        <f t="shared" si="1430"/>
        <v>0</v>
      </c>
      <c r="ABH41" s="115">
        <f t="shared" si="1430"/>
        <v>0</v>
      </c>
      <c r="ABI41" s="115">
        <f t="shared" si="1430"/>
        <v>0</v>
      </c>
      <c r="ABJ41" s="115">
        <f t="shared" si="1430"/>
        <v>0</v>
      </c>
      <c r="ABK41" s="115">
        <f t="shared" si="1430"/>
        <v>0</v>
      </c>
      <c r="ABL41" s="115">
        <f t="shared" si="1430"/>
        <v>0</v>
      </c>
      <c r="ABM41" s="115">
        <f t="shared" si="1430"/>
        <v>0</v>
      </c>
      <c r="ABN41" s="115">
        <f t="shared" si="1430"/>
        <v>0</v>
      </c>
      <c r="ABO41" s="115">
        <f t="shared" si="1430"/>
        <v>0</v>
      </c>
      <c r="ABP41" s="115">
        <f t="shared" si="1430"/>
        <v>0</v>
      </c>
      <c r="ABQ41" s="115">
        <f t="shared" si="1430"/>
        <v>0</v>
      </c>
      <c r="ABR41" s="115">
        <f t="shared" si="1430"/>
        <v>0</v>
      </c>
      <c r="ABS41" s="115">
        <f t="shared" si="1430"/>
        <v>0</v>
      </c>
      <c r="ABT41" s="115">
        <f t="shared" si="1430"/>
        <v>0</v>
      </c>
      <c r="ABU41" s="115">
        <f t="shared" si="1430"/>
        <v>0</v>
      </c>
      <c r="ABV41" s="115">
        <f t="shared" si="1430"/>
        <v>0</v>
      </c>
      <c r="ABW41" s="115">
        <f t="shared" si="1430"/>
        <v>0</v>
      </c>
      <c r="ABX41" s="115">
        <f t="shared" si="1430"/>
        <v>0</v>
      </c>
      <c r="ABY41" s="115">
        <f t="shared" si="1430"/>
        <v>0</v>
      </c>
      <c r="ABZ41" s="115">
        <f t="shared" si="1430"/>
        <v>0</v>
      </c>
      <c r="ACA41" s="115">
        <f t="shared" si="1430"/>
        <v>0</v>
      </c>
      <c r="ACB41" s="115">
        <f t="shared" si="1430"/>
        <v>0</v>
      </c>
      <c r="ACC41" s="115">
        <f t="shared" si="1430"/>
        <v>0</v>
      </c>
      <c r="ACD41" s="115">
        <f t="shared" si="1430"/>
        <v>0</v>
      </c>
      <c r="ACE41" s="115">
        <f t="shared" si="1430"/>
        <v>0</v>
      </c>
      <c r="ACF41" s="115">
        <f t="shared" si="1430"/>
        <v>0</v>
      </c>
      <c r="ACG41" s="115">
        <f t="shared" si="1430"/>
        <v>0</v>
      </c>
      <c r="ACH41" s="115">
        <f t="shared" si="1430"/>
        <v>0</v>
      </c>
      <c r="ACI41" s="115">
        <f t="shared" si="1430"/>
        <v>0</v>
      </c>
      <c r="ACJ41" s="115">
        <f t="shared" si="1430"/>
        <v>0</v>
      </c>
      <c r="ACK41" s="115">
        <f t="shared" si="1430"/>
        <v>0</v>
      </c>
      <c r="ACL41" s="115">
        <f t="shared" si="1430"/>
        <v>0</v>
      </c>
      <c r="ACM41" s="115">
        <f t="shared" si="1430"/>
        <v>0</v>
      </c>
      <c r="ACN41" s="115">
        <f t="shared" si="1430"/>
        <v>0</v>
      </c>
      <c r="ACO41" s="115">
        <f t="shared" si="1430"/>
        <v>0</v>
      </c>
      <c r="ACP41" s="115">
        <f t="shared" si="1430"/>
        <v>0</v>
      </c>
      <c r="ACQ41" s="115">
        <f t="shared" si="1430"/>
        <v>0</v>
      </c>
      <c r="ACR41" s="115">
        <f t="shared" ref="ACR41:AFC41" si="1431">IF(ACR28+ACR35&gt;0,ACQ25-ACR28-ACR35,0)</f>
        <v>0</v>
      </c>
      <c r="ACS41" s="115">
        <f t="shared" si="1431"/>
        <v>0</v>
      </c>
      <c r="ACT41" s="115">
        <f t="shared" si="1431"/>
        <v>0</v>
      </c>
      <c r="ACU41" s="115">
        <f t="shared" si="1431"/>
        <v>0</v>
      </c>
      <c r="ACV41" s="115">
        <f t="shared" si="1431"/>
        <v>0</v>
      </c>
      <c r="ACW41" s="115">
        <f t="shared" si="1431"/>
        <v>0</v>
      </c>
      <c r="ACX41" s="115">
        <f t="shared" si="1431"/>
        <v>0</v>
      </c>
      <c r="ACY41" s="115">
        <f t="shared" si="1431"/>
        <v>0</v>
      </c>
      <c r="ACZ41" s="115">
        <f t="shared" si="1431"/>
        <v>0</v>
      </c>
      <c r="ADA41" s="115">
        <f t="shared" si="1431"/>
        <v>0</v>
      </c>
      <c r="ADB41" s="115">
        <f t="shared" si="1431"/>
        <v>0</v>
      </c>
      <c r="ADC41" s="115">
        <f t="shared" si="1431"/>
        <v>0</v>
      </c>
      <c r="ADD41" s="115">
        <f t="shared" si="1431"/>
        <v>0</v>
      </c>
      <c r="ADE41" s="115">
        <f t="shared" si="1431"/>
        <v>0</v>
      </c>
      <c r="ADF41" s="115">
        <f t="shared" si="1431"/>
        <v>0</v>
      </c>
      <c r="ADG41" s="115">
        <f t="shared" si="1431"/>
        <v>0</v>
      </c>
      <c r="ADH41" s="115">
        <f t="shared" si="1431"/>
        <v>0</v>
      </c>
      <c r="ADI41" s="115">
        <f t="shared" si="1431"/>
        <v>0</v>
      </c>
      <c r="ADJ41" s="115">
        <f t="shared" si="1431"/>
        <v>0</v>
      </c>
      <c r="ADK41" s="115">
        <f t="shared" si="1431"/>
        <v>0</v>
      </c>
      <c r="ADL41" s="115">
        <f t="shared" si="1431"/>
        <v>0</v>
      </c>
      <c r="ADM41" s="115">
        <f t="shared" si="1431"/>
        <v>0</v>
      </c>
      <c r="ADN41" s="115">
        <f t="shared" si="1431"/>
        <v>0</v>
      </c>
      <c r="ADO41" s="115">
        <f t="shared" si="1431"/>
        <v>0</v>
      </c>
      <c r="ADP41" s="115">
        <f t="shared" si="1431"/>
        <v>0</v>
      </c>
      <c r="ADQ41" s="115">
        <f t="shared" si="1431"/>
        <v>0</v>
      </c>
      <c r="ADR41" s="115">
        <f t="shared" si="1431"/>
        <v>0</v>
      </c>
      <c r="ADS41" s="115">
        <f t="shared" si="1431"/>
        <v>0</v>
      </c>
      <c r="ADT41" s="115">
        <f t="shared" si="1431"/>
        <v>0</v>
      </c>
      <c r="ADU41" s="115">
        <f t="shared" si="1431"/>
        <v>0</v>
      </c>
      <c r="ADV41" s="115">
        <f t="shared" si="1431"/>
        <v>0</v>
      </c>
      <c r="ADW41" s="115">
        <f t="shared" si="1431"/>
        <v>0</v>
      </c>
      <c r="ADX41" s="115">
        <f t="shared" si="1431"/>
        <v>0</v>
      </c>
      <c r="ADY41" s="115">
        <f t="shared" si="1431"/>
        <v>0</v>
      </c>
      <c r="ADZ41" s="115">
        <f t="shared" si="1431"/>
        <v>0</v>
      </c>
      <c r="AEA41" s="115">
        <f t="shared" si="1431"/>
        <v>0</v>
      </c>
      <c r="AEB41" s="115">
        <f t="shared" si="1431"/>
        <v>0</v>
      </c>
      <c r="AEC41" s="115">
        <f t="shared" si="1431"/>
        <v>0</v>
      </c>
      <c r="AED41" s="115">
        <f t="shared" si="1431"/>
        <v>0</v>
      </c>
      <c r="AEE41" s="115">
        <f t="shared" si="1431"/>
        <v>0</v>
      </c>
      <c r="AEF41" s="115">
        <f t="shared" si="1431"/>
        <v>0</v>
      </c>
      <c r="AEG41" s="115">
        <f t="shared" si="1431"/>
        <v>0</v>
      </c>
      <c r="AEH41" s="115">
        <f t="shared" si="1431"/>
        <v>0</v>
      </c>
      <c r="AEI41" s="115">
        <f t="shared" si="1431"/>
        <v>0</v>
      </c>
      <c r="AEJ41" s="115">
        <f t="shared" si="1431"/>
        <v>0</v>
      </c>
      <c r="AEK41" s="115">
        <f t="shared" si="1431"/>
        <v>0</v>
      </c>
      <c r="AEL41" s="115">
        <f t="shared" si="1431"/>
        <v>0</v>
      </c>
      <c r="AEM41" s="115">
        <f t="shared" si="1431"/>
        <v>0</v>
      </c>
      <c r="AEN41" s="115">
        <f t="shared" si="1431"/>
        <v>0</v>
      </c>
      <c r="AEO41" s="115">
        <f t="shared" si="1431"/>
        <v>0</v>
      </c>
      <c r="AEP41" s="115">
        <f t="shared" si="1431"/>
        <v>0</v>
      </c>
      <c r="AEQ41" s="115">
        <f t="shared" si="1431"/>
        <v>0</v>
      </c>
      <c r="AER41" s="115">
        <f t="shared" si="1431"/>
        <v>0</v>
      </c>
      <c r="AES41" s="115">
        <f t="shared" si="1431"/>
        <v>0</v>
      </c>
      <c r="AET41" s="115">
        <f t="shared" si="1431"/>
        <v>0</v>
      </c>
      <c r="AEU41" s="115">
        <f t="shared" si="1431"/>
        <v>0</v>
      </c>
      <c r="AEV41" s="115">
        <f t="shared" si="1431"/>
        <v>0</v>
      </c>
      <c r="AEW41" s="115">
        <f t="shared" si="1431"/>
        <v>0</v>
      </c>
      <c r="AEX41" s="115">
        <f t="shared" si="1431"/>
        <v>0</v>
      </c>
      <c r="AEY41" s="115">
        <f t="shared" si="1431"/>
        <v>0</v>
      </c>
      <c r="AEZ41" s="115">
        <f t="shared" si="1431"/>
        <v>0</v>
      </c>
      <c r="AFA41" s="115">
        <f t="shared" si="1431"/>
        <v>0</v>
      </c>
      <c r="AFB41" s="115">
        <f t="shared" si="1431"/>
        <v>0</v>
      </c>
      <c r="AFC41" s="115">
        <f t="shared" si="1431"/>
        <v>0</v>
      </c>
      <c r="AFD41" s="115">
        <f t="shared" ref="AFD41:AHO41" si="1432">IF(AFD28+AFD35&gt;0,AFC25-AFD28-AFD35,0)</f>
        <v>0</v>
      </c>
      <c r="AFE41" s="115">
        <f t="shared" si="1432"/>
        <v>0</v>
      </c>
      <c r="AFF41" s="115">
        <f t="shared" si="1432"/>
        <v>0</v>
      </c>
      <c r="AFG41" s="115">
        <f t="shared" si="1432"/>
        <v>0</v>
      </c>
      <c r="AFH41" s="115">
        <f t="shared" si="1432"/>
        <v>0</v>
      </c>
      <c r="AFI41" s="115">
        <f t="shared" si="1432"/>
        <v>0</v>
      </c>
      <c r="AFJ41" s="115">
        <f t="shared" si="1432"/>
        <v>0</v>
      </c>
      <c r="AFK41" s="115">
        <f t="shared" si="1432"/>
        <v>0</v>
      </c>
      <c r="AFL41" s="115">
        <f t="shared" si="1432"/>
        <v>0</v>
      </c>
      <c r="AFM41" s="115">
        <f t="shared" si="1432"/>
        <v>0</v>
      </c>
      <c r="AFN41" s="115">
        <f t="shared" si="1432"/>
        <v>0</v>
      </c>
      <c r="AFO41" s="115">
        <f t="shared" si="1432"/>
        <v>0</v>
      </c>
      <c r="AFP41" s="115">
        <f t="shared" si="1432"/>
        <v>0</v>
      </c>
      <c r="AFQ41" s="115">
        <f t="shared" si="1432"/>
        <v>0</v>
      </c>
      <c r="AFR41" s="115">
        <f t="shared" si="1432"/>
        <v>0</v>
      </c>
      <c r="AFS41" s="115">
        <f t="shared" si="1432"/>
        <v>0</v>
      </c>
      <c r="AFT41" s="115">
        <f t="shared" si="1432"/>
        <v>0</v>
      </c>
      <c r="AFU41" s="115">
        <f t="shared" si="1432"/>
        <v>0</v>
      </c>
      <c r="AFV41" s="115">
        <f t="shared" si="1432"/>
        <v>0</v>
      </c>
      <c r="AFW41" s="115">
        <f t="shared" si="1432"/>
        <v>0</v>
      </c>
      <c r="AFX41" s="115">
        <f t="shared" si="1432"/>
        <v>0</v>
      </c>
      <c r="AFY41" s="115">
        <f t="shared" si="1432"/>
        <v>0</v>
      </c>
      <c r="AFZ41" s="115">
        <f t="shared" si="1432"/>
        <v>0</v>
      </c>
      <c r="AGA41" s="115">
        <f t="shared" si="1432"/>
        <v>0</v>
      </c>
      <c r="AGB41" s="115">
        <f t="shared" si="1432"/>
        <v>0</v>
      </c>
      <c r="AGC41" s="115">
        <f t="shared" si="1432"/>
        <v>0</v>
      </c>
      <c r="AGD41" s="115">
        <f t="shared" si="1432"/>
        <v>0</v>
      </c>
      <c r="AGE41" s="115">
        <f t="shared" si="1432"/>
        <v>0</v>
      </c>
      <c r="AGF41" s="115">
        <f t="shared" si="1432"/>
        <v>0</v>
      </c>
      <c r="AGG41" s="115">
        <f t="shared" si="1432"/>
        <v>0</v>
      </c>
      <c r="AGH41" s="115">
        <f t="shared" si="1432"/>
        <v>0</v>
      </c>
      <c r="AGI41" s="115">
        <f t="shared" si="1432"/>
        <v>0</v>
      </c>
      <c r="AGJ41" s="115">
        <f t="shared" si="1432"/>
        <v>0</v>
      </c>
      <c r="AGK41" s="115">
        <f t="shared" si="1432"/>
        <v>0</v>
      </c>
      <c r="AGL41" s="115">
        <f t="shared" si="1432"/>
        <v>0</v>
      </c>
      <c r="AGM41" s="115">
        <f t="shared" si="1432"/>
        <v>0</v>
      </c>
      <c r="AGN41" s="115">
        <f t="shared" si="1432"/>
        <v>0</v>
      </c>
      <c r="AGO41" s="115">
        <f t="shared" si="1432"/>
        <v>0</v>
      </c>
      <c r="AGP41" s="115">
        <f t="shared" si="1432"/>
        <v>0</v>
      </c>
      <c r="AGQ41" s="115">
        <f t="shared" si="1432"/>
        <v>0</v>
      </c>
      <c r="AGR41" s="115">
        <f t="shared" si="1432"/>
        <v>0</v>
      </c>
      <c r="AGS41" s="115">
        <f t="shared" si="1432"/>
        <v>0</v>
      </c>
      <c r="AGT41" s="115">
        <f t="shared" si="1432"/>
        <v>0</v>
      </c>
      <c r="AGU41" s="115">
        <f t="shared" si="1432"/>
        <v>0</v>
      </c>
      <c r="AGV41" s="115">
        <f t="shared" si="1432"/>
        <v>0</v>
      </c>
      <c r="AGW41" s="115">
        <f t="shared" si="1432"/>
        <v>0</v>
      </c>
      <c r="AGX41" s="115">
        <f t="shared" si="1432"/>
        <v>0</v>
      </c>
      <c r="AGY41" s="115">
        <f t="shared" si="1432"/>
        <v>0</v>
      </c>
      <c r="AGZ41" s="115">
        <f t="shared" si="1432"/>
        <v>0</v>
      </c>
      <c r="AHA41" s="115">
        <f t="shared" si="1432"/>
        <v>0</v>
      </c>
      <c r="AHB41" s="115">
        <f t="shared" si="1432"/>
        <v>0</v>
      </c>
      <c r="AHC41" s="115">
        <f t="shared" si="1432"/>
        <v>0</v>
      </c>
      <c r="AHD41" s="115">
        <f t="shared" si="1432"/>
        <v>0</v>
      </c>
      <c r="AHE41" s="115">
        <f t="shared" si="1432"/>
        <v>0</v>
      </c>
      <c r="AHF41" s="115">
        <f t="shared" si="1432"/>
        <v>0</v>
      </c>
      <c r="AHG41" s="115">
        <f t="shared" si="1432"/>
        <v>0</v>
      </c>
      <c r="AHH41" s="115">
        <f t="shared" si="1432"/>
        <v>0</v>
      </c>
      <c r="AHI41" s="115">
        <f t="shared" si="1432"/>
        <v>0</v>
      </c>
      <c r="AHJ41" s="115">
        <f t="shared" si="1432"/>
        <v>0</v>
      </c>
      <c r="AHK41" s="115">
        <f t="shared" si="1432"/>
        <v>0</v>
      </c>
      <c r="AHL41" s="115">
        <f t="shared" si="1432"/>
        <v>0</v>
      </c>
      <c r="AHM41" s="115">
        <f t="shared" si="1432"/>
        <v>0</v>
      </c>
      <c r="AHN41" s="115">
        <f t="shared" si="1432"/>
        <v>0</v>
      </c>
      <c r="AHO41" s="115">
        <f t="shared" si="1432"/>
        <v>0</v>
      </c>
      <c r="AHP41" s="115">
        <f t="shared" ref="AHP41:AKA41" si="1433">IF(AHP28+AHP35&gt;0,AHO25-AHP28-AHP35,0)</f>
        <v>0</v>
      </c>
      <c r="AHQ41" s="115">
        <f t="shared" si="1433"/>
        <v>0</v>
      </c>
      <c r="AHR41" s="115">
        <f t="shared" si="1433"/>
        <v>0</v>
      </c>
      <c r="AHS41" s="115">
        <f t="shared" si="1433"/>
        <v>0</v>
      </c>
      <c r="AHT41" s="115">
        <f t="shared" si="1433"/>
        <v>0</v>
      </c>
      <c r="AHU41" s="115">
        <f t="shared" si="1433"/>
        <v>0</v>
      </c>
      <c r="AHV41" s="115">
        <f t="shared" si="1433"/>
        <v>0</v>
      </c>
      <c r="AHW41" s="115">
        <f t="shared" si="1433"/>
        <v>0</v>
      </c>
      <c r="AHX41" s="115">
        <f t="shared" si="1433"/>
        <v>0</v>
      </c>
      <c r="AHY41" s="115">
        <f t="shared" si="1433"/>
        <v>0</v>
      </c>
      <c r="AHZ41" s="115">
        <f t="shared" si="1433"/>
        <v>0</v>
      </c>
      <c r="AIA41" s="115">
        <f t="shared" si="1433"/>
        <v>0</v>
      </c>
      <c r="AIB41" s="115">
        <f t="shared" si="1433"/>
        <v>0</v>
      </c>
      <c r="AIC41" s="115">
        <f t="shared" si="1433"/>
        <v>0</v>
      </c>
      <c r="AID41" s="115">
        <f t="shared" si="1433"/>
        <v>0</v>
      </c>
      <c r="AIE41" s="115">
        <f t="shared" si="1433"/>
        <v>0</v>
      </c>
      <c r="AIF41" s="115">
        <f t="shared" si="1433"/>
        <v>0</v>
      </c>
      <c r="AIG41" s="115">
        <f t="shared" si="1433"/>
        <v>0</v>
      </c>
      <c r="AIH41" s="115">
        <f t="shared" si="1433"/>
        <v>0</v>
      </c>
      <c r="AII41" s="115">
        <f t="shared" si="1433"/>
        <v>0</v>
      </c>
      <c r="AIJ41" s="115">
        <f t="shared" si="1433"/>
        <v>0</v>
      </c>
      <c r="AIK41" s="115">
        <f t="shared" si="1433"/>
        <v>0</v>
      </c>
      <c r="AIL41" s="115">
        <f t="shared" si="1433"/>
        <v>0</v>
      </c>
      <c r="AIM41" s="115">
        <f t="shared" si="1433"/>
        <v>0</v>
      </c>
      <c r="AIN41" s="115">
        <f t="shared" si="1433"/>
        <v>0</v>
      </c>
      <c r="AIO41" s="115">
        <f t="shared" si="1433"/>
        <v>0</v>
      </c>
      <c r="AIP41" s="115">
        <f t="shared" si="1433"/>
        <v>0</v>
      </c>
      <c r="AIQ41" s="115">
        <f t="shared" si="1433"/>
        <v>0</v>
      </c>
      <c r="AIR41" s="115">
        <f t="shared" si="1433"/>
        <v>0</v>
      </c>
      <c r="AIS41" s="115">
        <f t="shared" si="1433"/>
        <v>0</v>
      </c>
      <c r="AIT41" s="115">
        <f t="shared" si="1433"/>
        <v>0</v>
      </c>
      <c r="AIU41" s="115">
        <f t="shared" si="1433"/>
        <v>0</v>
      </c>
      <c r="AIV41" s="115">
        <f t="shared" si="1433"/>
        <v>0</v>
      </c>
      <c r="AIW41" s="115">
        <f t="shared" si="1433"/>
        <v>0</v>
      </c>
      <c r="AIX41" s="115">
        <f t="shared" si="1433"/>
        <v>0</v>
      </c>
      <c r="AIY41" s="115">
        <f t="shared" si="1433"/>
        <v>0</v>
      </c>
      <c r="AIZ41" s="115">
        <f t="shared" si="1433"/>
        <v>0</v>
      </c>
      <c r="AJA41" s="115">
        <f t="shared" si="1433"/>
        <v>0</v>
      </c>
      <c r="AJB41" s="115">
        <f t="shared" si="1433"/>
        <v>0</v>
      </c>
      <c r="AJC41" s="115">
        <f t="shared" si="1433"/>
        <v>0</v>
      </c>
      <c r="AJD41" s="115">
        <f t="shared" si="1433"/>
        <v>0</v>
      </c>
      <c r="AJE41" s="115">
        <f t="shared" si="1433"/>
        <v>0</v>
      </c>
      <c r="AJF41" s="115">
        <f t="shared" si="1433"/>
        <v>0</v>
      </c>
      <c r="AJG41" s="115">
        <f t="shared" si="1433"/>
        <v>0</v>
      </c>
      <c r="AJH41" s="115">
        <f t="shared" si="1433"/>
        <v>0</v>
      </c>
      <c r="AJI41" s="115">
        <f t="shared" si="1433"/>
        <v>0</v>
      </c>
      <c r="AJJ41" s="115">
        <f t="shared" si="1433"/>
        <v>0</v>
      </c>
      <c r="AJK41" s="115">
        <f t="shared" si="1433"/>
        <v>0</v>
      </c>
      <c r="AJL41" s="115">
        <f t="shared" si="1433"/>
        <v>0</v>
      </c>
      <c r="AJM41" s="115">
        <f t="shared" si="1433"/>
        <v>0</v>
      </c>
      <c r="AJN41" s="115">
        <f t="shared" si="1433"/>
        <v>0</v>
      </c>
      <c r="AJO41" s="115">
        <f t="shared" si="1433"/>
        <v>0</v>
      </c>
      <c r="AJP41" s="115">
        <f t="shared" si="1433"/>
        <v>0</v>
      </c>
      <c r="AJQ41" s="115">
        <f t="shared" si="1433"/>
        <v>0</v>
      </c>
      <c r="AJR41" s="115">
        <f t="shared" si="1433"/>
        <v>0</v>
      </c>
      <c r="AJS41" s="115">
        <f t="shared" si="1433"/>
        <v>0</v>
      </c>
      <c r="AJT41" s="115">
        <f t="shared" si="1433"/>
        <v>0</v>
      </c>
      <c r="AJU41" s="115">
        <f t="shared" si="1433"/>
        <v>0</v>
      </c>
      <c r="AJV41" s="115">
        <f t="shared" si="1433"/>
        <v>0</v>
      </c>
      <c r="AJW41" s="115">
        <f t="shared" si="1433"/>
        <v>0</v>
      </c>
      <c r="AJX41" s="115">
        <f t="shared" si="1433"/>
        <v>0</v>
      </c>
      <c r="AJY41" s="115">
        <f t="shared" si="1433"/>
        <v>0</v>
      </c>
      <c r="AJZ41" s="115">
        <f t="shared" si="1433"/>
        <v>0</v>
      </c>
      <c r="AKA41" s="115">
        <f t="shared" si="1433"/>
        <v>0</v>
      </c>
      <c r="AKB41" s="115">
        <f t="shared" ref="AKB41:AMM41" si="1434">IF(AKB28+AKB35&gt;0,AKA25-AKB28-AKB35,0)</f>
        <v>0</v>
      </c>
      <c r="AKC41" s="115">
        <f t="shared" si="1434"/>
        <v>0</v>
      </c>
      <c r="AKD41" s="115">
        <f t="shared" si="1434"/>
        <v>0</v>
      </c>
      <c r="AKE41" s="115">
        <f t="shared" si="1434"/>
        <v>0</v>
      </c>
      <c r="AKF41" s="115">
        <f t="shared" si="1434"/>
        <v>0</v>
      </c>
      <c r="AKG41" s="115">
        <f t="shared" si="1434"/>
        <v>0</v>
      </c>
      <c r="AKH41" s="115">
        <f t="shared" si="1434"/>
        <v>0</v>
      </c>
      <c r="AKI41" s="115">
        <f t="shared" si="1434"/>
        <v>0</v>
      </c>
      <c r="AKJ41" s="115">
        <f t="shared" si="1434"/>
        <v>0</v>
      </c>
      <c r="AKK41" s="115">
        <f t="shared" si="1434"/>
        <v>0</v>
      </c>
      <c r="AKL41" s="115">
        <f t="shared" si="1434"/>
        <v>0</v>
      </c>
      <c r="AKM41" s="115">
        <f t="shared" si="1434"/>
        <v>0</v>
      </c>
      <c r="AKN41" s="115">
        <f t="shared" si="1434"/>
        <v>0</v>
      </c>
      <c r="AKO41" s="115">
        <f t="shared" si="1434"/>
        <v>0</v>
      </c>
      <c r="AKP41" s="115">
        <f t="shared" si="1434"/>
        <v>0</v>
      </c>
      <c r="AKQ41" s="115">
        <f t="shared" si="1434"/>
        <v>0</v>
      </c>
      <c r="AKR41" s="115">
        <f t="shared" si="1434"/>
        <v>0</v>
      </c>
      <c r="AKS41" s="115">
        <f t="shared" si="1434"/>
        <v>0</v>
      </c>
      <c r="AKT41" s="115">
        <f t="shared" si="1434"/>
        <v>0</v>
      </c>
      <c r="AKU41" s="115">
        <f t="shared" si="1434"/>
        <v>0</v>
      </c>
      <c r="AKV41" s="115">
        <f t="shared" si="1434"/>
        <v>0</v>
      </c>
      <c r="AKW41" s="115">
        <f t="shared" si="1434"/>
        <v>0</v>
      </c>
      <c r="AKX41" s="115">
        <f t="shared" si="1434"/>
        <v>0</v>
      </c>
      <c r="AKY41" s="115">
        <f t="shared" si="1434"/>
        <v>0</v>
      </c>
      <c r="AKZ41" s="115">
        <f t="shared" si="1434"/>
        <v>0</v>
      </c>
      <c r="ALA41" s="115">
        <f t="shared" si="1434"/>
        <v>0</v>
      </c>
      <c r="ALB41" s="115">
        <f t="shared" si="1434"/>
        <v>0</v>
      </c>
      <c r="ALC41" s="115">
        <f t="shared" si="1434"/>
        <v>0</v>
      </c>
      <c r="ALD41" s="115">
        <f t="shared" si="1434"/>
        <v>0</v>
      </c>
      <c r="ALE41" s="115">
        <f t="shared" si="1434"/>
        <v>0</v>
      </c>
      <c r="ALF41" s="115">
        <f t="shared" si="1434"/>
        <v>0</v>
      </c>
      <c r="ALG41" s="115">
        <f t="shared" si="1434"/>
        <v>0</v>
      </c>
      <c r="ALH41" s="115">
        <f t="shared" si="1434"/>
        <v>0</v>
      </c>
      <c r="ALI41" s="115">
        <f t="shared" si="1434"/>
        <v>0</v>
      </c>
      <c r="ALJ41" s="115">
        <f t="shared" si="1434"/>
        <v>0</v>
      </c>
      <c r="ALK41" s="115">
        <f t="shared" si="1434"/>
        <v>0</v>
      </c>
      <c r="ALL41" s="115">
        <f t="shared" si="1434"/>
        <v>0</v>
      </c>
      <c r="ALM41" s="115">
        <f t="shared" si="1434"/>
        <v>0</v>
      </c>
      <c r="ALN41" s="115">
        <f t="shared" si="1434"/>
        <v>0</v>
      </c>
      <c r="ALO41" s="115">
        <f t="shared" si="1434"/>
        <v>0</v>
      </c>
      <c r="ALP41" s="115">
        <f t="shared" si="1434"/>
        <v>0</v>
      </c>
      <c r="ALQ41" s="115">
        <f t="shared" si="1434"/>
        <v>0</v>
      </c>
      <c r="ALR41" s="115">
        <f t="shared" si="1434"/>
        <v>0</v>
      </c>
      <c r="ALS41" s="115">
        <f t="shared" si="1434"/>
        <v>0</v>
      </c>
      <c r="ALT41" s="115">
        <f t="shared" si="1434"/>
        <v>0</v>
      </c>
      <c r="ALU41" s="115">
        <f t="shared" si="1434"/>
        <v>0</v>
      </c>
      <c r="ALV41" s="115">
        <f t="shared" si="1434"/>
        <v>0</v>
      </c>
      <c r="ALW41" s="115">
        <f t="shared" si="1434"/>
        <v>0</v>
      </c>
      <c r="ALX41" s="115">
        <f t="shared" si="1434"/>
        <v>0</v>
      </c>
      <c r="ALY41" s="115">
        <f t="shared" si="1434"/>
        <v>0</v>
      </c>
      <c r="ALZ41" s="115">
        <f t="shared" si="1434"/>
        <v>0</v>
      </c>
      <c r="AMA41" s="115">
        <f t="shared" si="1434"/>
        <v>0</v>
      </c>
      <c r="AMB41" s="115">
        <f t="shared" si="1434"/>
        <v>0</v>
      </c>
      <c r="AMC41" s="115">
        <f t="shared" si="1434"/>
        <v>0</v>
      </c>
      <c r="AMD41" s="115">
        <f t="shared" si="1434"/>
        <v>0</v>
      </c>
      <c r="AME41" s="115">
        <f t="shared" si="1434"/>
        <v>0</v>
      </c>
      <c r="AMF41" s="115">
        <f t="shared" si="1434"/>
        <v>0</v>
      </c>
      <c r="AMG41" s="115">
        <f t="shared" si="1434"/>
        <v>0</v>
      </c>
      <c r="AMH41" s="115">
        <f t="shared" si="1434"/>
        <v>0</v>
      </c>
      <c r="AMI41" s="115">
        <f t="shared" si="1434"/>
        <v>0</v>
      </c>
      <c r="AMJ41" s="115">
        <f t="shared" si="1434"/>
        <v>0</v>
      </c>
      <c r="AMK41" s="115">
        <f t="shared" si="1434"/>
        <v>0</v>
      </c>
      <c r="AML41" s="115">
        <f t="shared" si="1434"/>
        <v>0</v>
      </c>
      <c r="AMM41" s="115">
        <f t="shared" si="1434"/>
        <v>0</v>
      </c>
      <c r="AMN41" s="115">
        <f t="shared" ref="AMN41:AOQ41" si="1435">IF(AMN28+AMN35&gt;0,AMM25-AMN28-AMN35,0)</f>
        <v>0</v>
      </c>
      <c r="AMO41" s="115">
        <f t="shared" si="1435"/>
        <v>0</v>
      </c>
      <c r="AMP41" s="115">
        <f t="shared" si="1435"/>
        <v>0</v>
      </c>
      <c r="AMQ41" s="115">
        <f t="shared" si="1435"/>
        <v>0</v>
      </c>
      <c r="AMR41" s="115">
        <f t="shared" si="1435"/>
        <v>0</v>
      </c>
      <c r="AMS41" s="115">
        <f t="shared" si="1435"/>
        <v>0</v>
      </c>
      <c r="AMT41" s="115">
        <f t="shared" si="1435"/>
        <v>0</v>
      </c>
      <c r="AMU41" s="115">
        <f t="shared" si="1435"/>
        <v>0</v>
      </c>
      <c r="AMV41" s="115">
        <f t="shared" si="1435"/>
        <v>0</v>
      </c>
      <c r="AMW41" s="115">
        <f t="shared" si="1435"/>
        <v>0</v>
      </c>
      <c r="AMX41" s="115">
        <f t="shared" si="1435"/>
        <v>0</v>
      </c>
      <c r="AMY41" s="115">
        <f t="shared" si="1435"/>
        <v>0</v>
      </c>
      <c r="AMZ41" s="115">
        <f t="shared" si="1435"/>
        <v>0</v>
      </c>
      <c r="ANA41" s="115">
        <f t="shared" si="1435"/>
        <v>0</v>
      </c>
      <c r="ANB41" s="115">
        <f t="shared" si="1435"/>
        <v>0</v>
      </c>
      <c r="ANC41" s="115">
        <f t="shared" si="1435"/>
        <v>0</v>
      </c>
      <c r="AND41" s="115">
        <f t="shared" si="1435"/>
        <v>0</v>
      </c>
      <c r="ANE41" s="115">
        <f t="shared" si="1435"/>
        <v>0</v>
      </c>
      <c r="ANF41" s="115">
        <f t="shared" si="1435"/>
        <v>0</v>
      </c>
      <c r="ANG41" s="115">
        <f t="shared" si="1435"/>
        <v>0</v>
      </c>
      <c r="ANH41" s="115">
        <f t="shared" si="1435"/>
        <v>0</v>
      </c>
      <c r="ANI41" s="115">
        <f t="shared" si="1435"/>
        <v>0</v>
      </c>
      <c r="ANJ41" s="115">
        <f t="shared" si="1435"/>
        <v>0</v>
      </c>
      <c r="ANK41" s="115">
        <f t="shared" si="1435"/>
        <v>0</v>
      </c>
      <c r="ANL41" s="115">
        <f t="shared" si="1435"/>
        <v>0</v>
      </c>
      <c r="ANM41" s="115">
        <f t="shared" si="1435"/>
        <v>0</v>
      </c>
      <c r="ANN41" s="115">
        <f t="shared" si="1435"/>
        <v>0</v>
      </c>
      <c r="ANO41" s="115">
        <f t="shared" si="1435"/>
        <v>0</v>
      </c>
      <c r="ANP41" s="115">
        <f t="shared" si="1435"/>
        <v>0</v>
      </c>
      <c r="ANQ41" s="115">
        <f t="shared" si="1435"/>
        <v>0</v>
      </c>
      <c r="ANR41" s="115">
        <f t="shared" si="1435"/>
        <v>0</v>
      </c>
      <c r="ANS41" s="115">
        <f t="shared" si="1435"/>
        <v>0</v>
      </c>
      <c r="ANT41" s="115">
        <f t="shared" si="1435"/>
        <v>0</v>
      </c>
      <c r="ANU41" s="115">
        <f t="shared" si="1435"/>
        <v>0</v>
      </c>
      <c r="ANV41" s="115">
        <f t="shared" si="1435"/>
        <v>0</v>
      </c>
      <c r="ANW41" s="115">
        <f t="shared" si="1435"/>
        <v>0</v>
      </c>
      <c r="ANX41" s="115">
        <f t="shared" si="1435"/>
        <v>0</v>
      </c>
      <c r="ANY41" s="115">
        <f t="shared" si="1435"/>
        <v>0</v>
      </c>
      <c r="ANZ41" s="115">
        <f t="shared" si="1435"/>
        <v>0</v>
      </c>
      <c r="AOA41" s="115">
        <f t="shared" si="1435"/>
        <v>0</v>
      </c>
      <c r="AOB41" s="115">
        <f t="shared" si="1435"/>
        <v>0</v>
      </c>
      <c r="AOC41" s="115">
        <f t="shared" si="1435"/>
        <v>0</v>
      </c>
      <c r="AOD41" s="115">
        <f t="shared" si="1435"/>
        <v>0</v>
      </c>
      <c r="AOE41" s="115">
        <f t="shared" si="1435"/>
        <v>0</v>
      </c>
      <c r="AOF41" s="115">
        <f t="shared" si="1435"/>
        <v>0</v>
      </c>
      <c r="AOG41" s="115">
        <f t="shared" si="1435"/>
        <v>0</v>
      </c>
      <c r="AOH41" s="115">
        <f t="shared" si="1435"/>
        <v>0</v>
      </c>
      <c r="AOI41" s="115">
        <f t="shared" si="1435"/>
        <v>0</v>
      </c>
      <c r="AOJ41" s="115">
        <f t="shared" si="1435"/>
        <v>0</v>
      </c>
      <c r="AOK41" s="115">
        <f t="shared" si="1435"/>
        <v>0</v>
      </c>
      <c r="AOL41" s="115">
        <f t="shared" si="1435"/>
        <v>0</v>
      </c>
      <c r="AOM41" s="115">
        <f t="shared" si="1435"/>
        <v>0</v>
      </c>
      <c r="AON41" s="115">
        <f t="shared" si="1435"/>
        <v>0</v>
      </c>
      <c r="AOO41" s="115">
        <f t="shared" si="1435"/>
        <v>0</v>
      </c>
      <c r="AOP41" s="115">
        <f t="shared" si="1435"/>
        <v>0</v>
      </c>
      <c r="AOQ41" s="115">
        <f t="shared" si="1435"/>
        <v>0</v>
      </c>
    </row>
    <row r="42" spans="1:1083" x14ac:dyDescent="0.25">
      <c r="B42" s="116" t="s">
        <v>269</v>
      </c>
      <c r="C42" s="115">
        <f>SUM(D42:AOQ42)</f>
        <v>100000</v>
      </c>
      <c r="D42" s="115">
        <v>0</v>
      </c>
      <c r="E42" s="115">
        <f>IF(SUM($D$35:D35)=0,0,IF(IF(E41&gt;0,E41-(IF(SUM($D42:D42)&gt;0,0,IF(D$25&gt;D40,D40,0))),0)&lt;0,0,(IF(SUM($D42:D42)&gt;0,0,IF(D$25&gt;D40,D40,0)))))</f>
        <v>0</v>
      </c>
      <c r="F42" s="115">
        <f>IF(SUM($D$35:E35)=0,0,IF(IF(F41&gt;0,F41-(IF(SUM($D42:E42)&gt;0,0,IF(E$25&gt;E40,E40,0))),0)&lt;0,0,(IF(SUM($D42:E42)&gt;0,0,IF(E$25&gt;E40,E40,0)))))</f>
        <v>0</v>
      </c>
      <c r="G42" s="115">
        <f>IF(SUM($D$35:F35)=0,0,IF(IF(G41&gt;0,G41-(IF(SUM($D42:F42)&gt;0,0,IF(F$25&gt;F40,F40,0))),0)&lt;0,0,(IF(SUM($D42:F42)&gt;0,0,IF(F$25&gt;F40,F40,0)))))</f>
        <v>0</v>
      </c>
      <c r="H42" s="115">
        <f>IF(SUM($D$35:G35)=0,0,IF(IF(H41&gt;0,H41-(IF(SUM($D42:G42)&gt;0,0,IF(G$25&gt;G40,G40,0))),0)&lt;0,0,(IF(SUM($D42:G42)&gt;0,0,IF(G$25&gt;G40,G40,0)))))</f>
        <v>0</v>
      </c>
      <c r="I42" s="115">
        <f>IF(SUM($D$35:H35)=0,0,IF(IF(I41&gt;0,I41-(IF(SUM($D42:H42)&gt;0,0,IF(H$25&gt;H40,H40,0))),0)&lt;0,0,(IF(SUM($D42:H42)&gt;0,0,IF(H$25&gt;H40,H40,0)))))</f>
        <v>0</v>
      </c>
      <c r="J42" s="115">
        <f>IF(SUM($D$35:I35)=0,0,IF(IF(J41&gt;0,J41-(IF(SUM($D42:I42)&gt;0,0,IF(I$25&gt;I40,I40,0))),0)&lt;0,0,(IF(SUM($D42:I42)&gt;0,0,IF(I$25&gt;I40,I40,0)))))</f>
        <v>0</v>
      </c>
      <c r="K42" s="115">
        <f>IF(SUM($D$35:J35)=0,0,IF(IF(K41&gt;0,K41-(IF(SUM($D42:J42)&gt;0,0,IF(J$25&gt;J40,J40,0))),0)&lt;0,0,(IF(SUM($D42:J42)&gt;0,0,IF(J$25&gt;J40,J40,0)))))</f>
        <v>0</v>
      </c>
      <c r="L42" s="115">
        <f>IF(SUM($D$35:K35)=0,0,IF(IF(L41&gt;0,L41-(IF(SUM($D42:K42)&gt;0,0,IF(K$25&gt;K40,K40,0))),0)&lt;0,0,(IF(SUM($D42:K42)&gt;0,0,IF(K$25&gt;K40,K40,0)))))</f>
        <v>0</v>
      </c>
      <c r="M42" s="115">
        <f>IF(SUM($D$35:L35)=0,0,IF(IF(M41&gt;0,M41-(IF(SUM($D42:L42)&gt;0,0,IF(L$25&gt;L40,L40,0))),0)&lt;0,0,(IF(SUM($D42:L42)&gt;0,0,IF(L$25&gt;L40,L40,0)))))</f>
        <v>0</v>
      </c>
      <c r="N42" s="115">
        <f>IF(SUM($D$35:M35)=0,0,IF(IF(N41&gt;0,N41-(IF(SUM($D42:M42)&gt;0,0,IF(M$25&gt;M40,M40,0))),0)&lt;0,0,(IF(SUM($D42:M42)&gt;0,0,IF(M$25&gt;M40,M40,0)))))</f>
        <v>0</v>
      </c>
      <c r="O42" s="115">
        <f>IF(SUM($D$35:N35)=0,0,IF(IF(O41&gt;0,O41-(IF(SUM($D42:N42)&gt;0,0,IF(N$25&gt;N40,N40,0))),0)&lt;0,0,(IF(SUM($D42:N42)&gt;0,0,IF(N$25&gt;N40,N40,0)))))</f>
        <v>0</v>
      </c>
      <c r="P42" s="115">
        <f>IF(SUM($D$35:O35)=0,0,IF(IF(P41&gt;0,P41-(IF(SUM($D42:O42)&gt;0,0,IF(O$25&gt;O40,O40,0))),0)&lt;0,0,(IF(SUM($D42:O42)&gt;0,0,IF(O$25&gt;O40,O40,0)))))</f>
        <v>0</v>
      </c>
      <c r="Q42" s="115">
        <f>IF(SUM($D$35:P35)=0,0,IF(IF(Q41&gt;0,Q41-(IF(SUM($D42:P42)&gt;0,0,IF(P$25&gt;P40,P40,0))),0)&lt;0,0,(IF(SUM($D42:P42)&gt;0,0,IF(P$25&gt;P40,P40,0)))))</f>
        <v>0</v>
      </c>
      <c r="R42" s="115">
        <f>IF(SUM($D$35:Q35)=0,0,IF(IF(R41&gt;0,R41-(IF(SUM($D42:Q42)&gt;0,0,IF(Q$25&gt;Q40,Q40,0))),0)&lt;0,0,(IF(SUM($D42:Q42)&gt;0,0,IF(Q$25&gt;Q40,Q40,0)))))</f>
        <v>0</v>
      </c>
      <c r="S42" s="115">
        <f>IF(SUM($D$35:R35)=0,0,IF(IF(S41&gt;0,S41-(IF(SUM($D42:R42)&gt;0,0,IF(R$25&gt;R40,R40,0))),0)&lt;0,0,(IF(SUM($D42:R42)&gt;0,0,IF(R$25&gt;R40,R40,0)))))</f>
        <v>0</v>
      </c>
      <c r="T42" s="115">
        <f>IF(SUM($D$35:S35)=0,0,IF(IF(T41&gt;0,T41-(IF(SUM($D42:S42)&gt;0,0,IF(S$25&gt;S40,S40,0))),0)&lt;0,0,(IF(SUM($D42:S42)&gt;0,0,IF(S$25&gt;S40,S40,0)))))</f>
        <v>0</v>
      </c>
      <c r="U42" s="115">
        <f>IF(SUM($D$35:T35)=0,0,IF(IF(U41&gt;0,U41-(IF(SUM($D42:T42)&gt;0,0,IF(T$25&gt;T40,T40,0))),0)&lt;0,0,(IF(SUM($D42:T42)&gt;0,0,IF(T$25&gt;T40,T40,0)))))</f>
        <v>0</v>
      </c>
      <c r="V42" s="115">
        <f>IF(SUM($D$35:U35)=0,0,IF(IF(V41&gt;0,V41-(IF(SUM($D42:U42)&gt;0,0,IF(U$25&gt;U40,U40,0))),0)&lt;0,0,(IF(SUM($D42:U42)&gt;0,0,IF(U$25&gt;U40,U40,0)))))</f>
        <v>0</v>
      </c>
      <c r="W42" s="115">
        <f>IF(SUM($D$35:V35)=0,0,IF(IF(W41&gt;0,W41-(IF(SUM($D42:V42)&gt;0,0,IF(V$25&gt;V40,V40,0))),0)&lt;0,0,(IF(SUM($D42:V42)&gt;0,0,IF(V$25&gt;V40,V40,0)))))</f>
        <v>0</v>
      </c>
      <c r="X42" s="115">
        <f>IF(SUM($D$35:W35)=0,0,IF(IF(X41&gt;0,X41-(IF(SUM($D42:W42)&gt;0,0,IF(W$25&gt;W40,W40,0))),0)&lt;0,0,(IF(SUM($D42:W42)&gt;0,0,IF(W$25&gt;W40,W40,0)))))</f>
        <v>0</v>
      </c>
      <c r="Y42" s="115">
        <f>IF(SUM($D$35:X35)=0,0,IF(IF(Y41&gt;0,Y41-(IF(SUM($D42:X42)&gt;0,0,IF(X$25&gt;X40,X40,0))),0)&lt;0,0,(IF(SUM($D42:X42)&gt;0,0,IF(X$25&gt;X40,X40,0)))))</f>
        <v>0</v>
      </c>
      <c r="Z42" s="115">
        <f>IF(SUM($D$35:Y35)=0,0,IF(IF(Z41&gt;0,Z41-(IF(SUM($D42:Y42)&gt;0,0,IF(Y$25&gt;Y40,Y40,0))),0)&lt;0,0,(IF(SUM($D42:Y42)&gt;0,0,IF(Y$25&gt;Y40,Y40,0)))))</f>
        <v>0</v>
      </c>
      <c r="AA42" s="115">
        <f>IF(SUM($D$35:Z35)=0,0,IF(IF(AA41&gt;0,AA41-(IF(SUM($D42:Z42)&gt;0,0,IF(Z$25&gt;Z40,Z40,0))),0)&lt;0,0,(IF(SUM($D42:Z42)&gt;0,0,IF(Z$25&gt;Z40,Z40,0)))))</f>
        <v>0</v>
      </c>
      <c r="AB42" s="115">
        <f>IF(SUM($D$35:AA35)=0,0,IF(IF(AB41&gt;0,AB41-(IF(SUM($D42:AA42)&gt;0,0,IF(AA$25&gt;AA40,AA40,0))),0)&lt;0,0,(IF(SUM($D42:AA42)&gt;0,0,IF(AA$25&gt;AA40,AA40,0)))))</f>
        <v>0</v>
      </c>
      <c r="AC42" s="115">
        <f>IF(SUM($D$35:AB35)=0,0,IF(IF(AC41&gt;0,AC41-(IF(SUM($D42:AB42)&gt;0,0,IF(AB$25&gt;AB40,AB40,0))),0)&lt;0,0,(IF(SUM($D42:AB42)&gt;0,0,IF(AB$25&gt;AB40,AB40,0)))))</f>
        <v>0</v>
      </c>
      <c r="AD42" s="115">
        <f>IF(SUM($D$35:AC35)=0,0,IF(IF(AD41&gt;0,AD41-(IF(SUM($D42:AC42)&gt;0,0,IF(AC$25&gt;AC40,AC40,0))),0)&lt;0,0,(IF(SUM($D42:AC42)&gt;0,0,IF(AC$25&gt;AC40,AC40,0)))))</f>
        <v>0</v>
      </c>
      <c r="AE42" s="115">
        <f>IF(SUM($D$35:AD35)=0,0,IF(IF(AE41&gt;0,AE41-(IF(SUM($D42:AD42)&gt;0,0,IF(AD$25&gt;AD40,AD40,0))),0)&lt;0,0,(IF(SUM($D42:AD42)&gt;0,0,IF(AD$25&gt;AD40,AD40,0)))))</f>
        <v>0</v>
      </c>
      <c r="AF42" s="115">
        <f>IF(SUM($D$35:AE35)=0,0,IF(IF(AF41&gt;0,AF41-(IF(SUM($D42:AE42)&gt;0,0,IF(AE$25&gt;AE40,AE40,0))),0)&lt;0,0,(IF(SUM($D42:AE42)&gt;0,0,IF(AE$25&gt;AE40,AE40,0)))))</f>
        <v>0</v>
      </c>
      <c r="AG42" s="115">
        <f>IF(SUM($D$35:AF35)=0,0,IF(IF(AG41&gt;0,AG41-(IF(SUM($D42:AF42)&gt;0,0,IF(AF$25&gt;AF40,AF40,0))),0)&lt;0,0,(IF(SUM($D42:AF42)&gt;0,0,IF(AF$25&gt;AF40,AF40,0)))))</f>
        <v>0</v>
      </c>
      <c r="AH42" s="115">
        <f>IF(SUM($D$35:AG35)=0,0,IF(IF(AH41&gt;0,AH41-(IF(SUM($D42:AG42)&gt;0,0,IF(AG$25&gt;AG40,AG40,0))),0)&lt;0,0,(IF(SUM($D42:AG42)&gt;0,0,IF(AG$25&gt;AG40,AG40,0)))))</f>
        <v>0</v>
      </c>
      <c r="AI42" s="115">
        <f>IF(SUM($D$35:AH35)=0,0,IF(IF(AI41&gt;0,AI41-(IF(SUM($D42:AH42)&gt;0,0,IF(AH$25&gt;AH40,AH40,0))),0)&lt;0,0,(IF(SUM($D42:AH42)&gt;0,0,IF(AH$25&gt;AH40,AH40,0)))))</f>
        <v>0</v>
      </c>
      <c r="AJ42" s="115">
        <f>IF(SUM($D$35:AI35)=0,0,IF(IF(AJ41&gt;0,AJ41-(IF(SUM($D42:AI42)&gt;0,0,IF(AI$25&gt;AI40,AI40,0))),0)&lt;0,0,(IF(SUM($D42:AI42)&gt;0,0,IF(AI$25&gt;AI40,AI40,0)))))</f>
        <v>0</v>
      </c>
      <c r="AK42" s="115">
        <f>IF(SUM($D$35:AJ35)=0,0,IF(IF(AK41&gt;0,AK41-(IF(SUM($D42:AJ42)&gt;0,0,IF(AJ$25&gt;AJ40,AJ40,0))),0)&lt;0,0,(IF(SUM($D42:AJ42)&gt;0,0,IF(AJ$25&gt;AJ40,AJ40,0)))))</f>
        <v>0</v>
      </c>
      <c r="AL42" s="115">
        <f>IF(SUM($D$35:AK35)=0,0,IF(IF(AL41&gt;0,AL41-(IF(SUM($D42:AK42)&gt;0,0,IF(AK$25&gt;AK40,AK40,0))),0)&lt;0,0,(IF(SUM($D42:AK42)&gt;0,0,IF(AK$25&gt;AK40,AK40,0)))))</f>
        <v>0</v>
      </c>
      <c r="AM42" s="115">
        <f>IF(SUM($D$35:AL35)=0,0,IF(IF(AM41&gt;0,AM41-(IF(SUM($D42:AL42)&gt;0,0,IF(AL$25&gt;AL40,AL40,0))),0)&lt;0,0,(IF(SUM($D42:AL42)&gt;0,0,IF(AL$25&gt;AL40,AL40,0)))))</f>
        <v>0</v>
      </c>
      <c r="AN42" s="115">
        <f>IF(SUM($D$35:AM35)=0,0,IF(IF(AN41&gt;0,AN41-(IF(SUM($D42:AM42)&gt;0,0,IF(AM$25&gt;AM40,AM40,0))),0)&lt;0,0,(IF(SUM($D42:AM42)&gt;0,0,IF(AM$25&gt;AM40,AM40,0)))))</f>
        <v>0</v>
      </c>
      <c r="AO42" s="115">
        <f>IF(SUM($D$35:AN35)=0,0,IF(IF(AO41&gt;0,AO41-(IF(SUM($D42:AN42)&gt;0,0,IF(AN$25&gt;AN40,AN40,0))),0)&lt;0,0,(IF(SUM($D42:AN42)&gt;0,0,IF(AN$25&gt;AN40,AN40,0)))))</f>
        <v>0</v>
      </c>
      <c r="AP42" s="115">
        <f>IF(SUM($D$35:AO35)=0,0,IF(IF(AP41&gt;0,AP41-(IF(SUM($D42:AO42)&gt;0,0,IF(AO$25&gt;AO40,AO40,0))),0)&lt;0,0,(IF(SUM($D42:AO42)&gt;0,0,IF(AO$25&gt;AO40,AO40,0)))))</f>
        <v>0</v>
      </c>
      <c r="AQ42" s="115">
        <f>IF(SUM($D$35:AP35)=0,0,IF(IF(AQ41&gt;0,AQ41-(IF(SUM($D42:AP42)&gt;0,0,IF(AP$25&gt;AP40,AP40,0))),0)&lt;0,0,(IF(SUM($D42:AP42)&gt;0,0,IF(AP$25&gt;AP40,AP40,0)))))</f>
        <v>0</v>
      </c>
      <c r="AR42" s="115">
        <f>IF(SUM($D$35:AQ35)=0,0,IF(IF(AR41&gt;0,AR41-(IF(SUM($D42:AQ42)&gt;0,0,IF(AQ$25&gt;AQ40,AQ40,0))),0)&lt;0,0,(IF(SUM($D42:AQ42)&gt;0,0,IF(AQ$25&gt;AQ40,AQ40,0)))))</f>
        <v>0</v>
      </c>
      <c r="AS42" s="115">
        <f>IF(SUM($D$35:AR35)=0,0,IF(IF(AS41&gt;0,AS41-(IF(SUM($D42:AR42)&gt;0,0,IF(AR$25&gt;AR40,AR40,0))),0)&lt;0,0,(IF(SUM($D42:AR42)&gt;0,0,IF(AR$25&gt;AR40,AR40,0)))))</f>
        <v>0</v>
      </c>
      <c r="AT42" s="115">
        <f>IF(SUM($D$35:AS35)=0,0,IF(IF(AT41&gt;0,AT41-(IF(SUM($D42:AS42)&gt;0,0,IF(AS$25&gt;AS40,AS40,0))),0)&lt;0,0,(IF(SUM($D42:AS42)&gt;0,0,IF(AS$25&gt;AS40,AS40,0)))))</f>
        <v>0</v>
      </c>
      <c r="AU42" s="115">
        <f>IF(SUM($D$35:AT35)=0,0,IF(IF(AU41&gt;0,AU41-(IF(SUM($D42:AT42)&gt;0,0,IF(AT$25&gt;AT40,AT40,0))),0)&lt;0,0,(IF(SUM($D42:AT42)&gt;0,0,IF(AT$25&gt;AT40,AT40,0)))))</f>
        <v>0</v>
      </c>
      <c r="AV42" s="115">
        <f>IF(SUM($D$35:AU35)=0,0,IF(IF(AV41&gt;0,AV41-(IF(SUM($D42:AU42)&gt;0,0,IF(AU$25&gt;AU40,AU40,0))),0)&lt;0,0,(IF(SUM($D42:AU42)&gt;0,0,IF(AU$25&gt;AU40,AU40,0)))))</f>
        <v>0</v>
      </c>
      <c r="AW42" s="115">
        <f>IF(SUM($D$35:AV35)=0,0,IF(IF(AW41&gt;0,AW41-(IF(SUM($D42:AV42)&gt;0,0,IF(AV$25&gt;AV40,AV40,0))),0)&lt;0,0,(IF(SUM($D42:AV42)&gt;0,0,IF(AV$25&gt;AV40,AV40,0)))))</f>
        <v>0</v>
      </c>
      <c r="AX42" s="115">
        <f>IF(SUM($D$35:AW35)=0,0,IF(IF(AX41&gt;0,AX41-(IF(SUM($D42:AW42)&gt;0,0,IF(AW$25&gt;AW40,AW40,0))),0)&lt;0,0,(IF(SUM($D42:AW42)&gt;0,0,IF(AW$25&gt;AW40,AW40,0)))))</f>
        <v>0</v>
      </c>
      <c r="AY42" s="115">
        <f>IF(SUM($D$35:AX35)=0,0,IF(IF(AY41&gt;0,AY41-(IF(SUM($D42:AX42)&gt;0,0,IF(AX$25&gt;AX40,AX40,0))),0)&lt;0,0,(IF(SUM($D42:AX42)&gt;0,0,IF(AX$25&gt;AX40,AX40,0)))))</f>
        <v>0</v>
      </c>
      <c r="AZ42" s="115">
        <f>IF(SUM($D$35:AY35)=0,0,IF(IF(AZ41&gt;0,AZ41-(IF(SUM($D42:AY42)&gt;0,0,IF(AY$25&gt;AY40,AY40,0))),0)&lt;0,0,(IF(SUM($D42:AY42)&gt;0,0,IF(AY$25&gt;AY40,AY40,0)))))</f>
        <v>0</v>
      </c>
      <c r="BA42" s="115">
        <f>IF(SUM($D$35:AZ35)=0,0,IF(IF(BA41&gt;0,BA41-(IF(SUM($D42:AZ42)&gt;0,0,IF(AZ$25&gt;AZ40,AZ40,0))),0)&lt;0,0,(IF(SUM($D42:AZ42)&gt;0,0,IF(AZ$25&gt;AZ40,AZ40,0)))))</f>
        <v>0</v>
      </c>
      <c r="BB42" s="115">
        <f>IF(SUM($D$35:BA35)=0,0,IF(IF(BB41&gt;0,BB41-(IF(SUM($D42:BA42)&gt;0,0,IF(BA$25&gt;BA40,BA40,0))),0)&lt;0,0,(IF(SUM($D42:BA42)&gt;0,0,IF(BA$25&gt;BA40,BA40,0)))))</f>
        <v>0</v>
      </c>
      <c r="BC42" s="115">
        <f>IF(SUM($D$35:BB35)=0,0,IF(IF(BC41&gt;0,BC41-(IF(SUM($D42:BB42)&gt;0,0,IF(BB$25&gt;BB40,BB40,0))),0)&lt;0,0,(IF(SUM($D42:BB42)&gt;0,0,IF(BB$25&gt;BB40,BB40,0)))))</f>
        <v>0</v>
      </c>
      <c r="BD42" s="115">
        <f>IF(SUM($D$35:BC35)=0,0,IF(IF(BD41&gt;0,BD41-(IF(SUM($D42:BC42)&gt;0,0,IF(BC$25&gt;BC40,BC40,0))),0)&lt;0,0,(IF(SUM($D42:BC42)&gt;0,0,IF(BC$25&gt;BC40,BC40,0)))))</f>
        <v>0</v>
      </c>
      <c r="BE42" s="115">
        <f>IF(SUM($D$35:BD35)=0,0,IF(IF(BE41&gt;0,BE41-(IF(SUM($D42:BD42)&gt;0,0,IF(BD$25&gt;BD40,BD40,0))),0)&lt;0,0,(IF(SUM($D42:BD42)&gt;0,0,IF(BD$25&gt;BD40,BD40,0)))))</f>
        <v>0</v>
      </c>
      <c r="BF42" s="115">
        <f>IF(SUM($D$35:BE35)=0,0,IF(IF(BF41&gt;0,BF41-(IF(SUM($D42:BE42)&gt;0,0,IF(BE$25&gt;BE40,BE40,0))),0)&lt;0,0,(IF(SUM($D42:BE42)&gt;0,0,IF(BE$25&gt;BE40,BE40,0)))))</f>
        <v>0</v>
      </c>
      <c r="BG42" s="115">
        <f>IF(SUM($D$35:BF35)=0,0,IF(IF(BG41&gt;0,BG41-(IF(SUM($D42:BF42)&gt;0,0,IF(BF$25&gt;BF40,BF40,0))),0)&lt;0,0,(IF(SUM($D42:BF42)&gt;0,0,IF(BF$25&gt;BF40,BF40,0)))))</f>
        <v>0</v>
      </c>
      <c r="BH42" s="115">
        <f>IF(SUM($D$35:BG35)=0,0,IF(IF(BH41&gt;0,BH41-(IF(SUM($D42:BG42)&gt;0,0,IF(BG$25&gt;BG40,BG40,0))),0)&lt;0,0,(IF(SUM($D42:BG42)&gt;0,0,IF(BG$25&gt;BG40,BG40,0)))))</f>
        <v>0</v>
      </c>
      <c r="BI42" s="115">
        <f>IF(SUM($D$35:BH35)=0,0,IF(IF(BI41&gt;0,BI41-(IF(SUM($D42:BH42)&gt;0,0,IF(BH$25&gt;BH40,BH40,0))),0)&lt;0,0,(IF(SUM($D42:BH42)&gt;0,0,IF(BH$25&gt;BH40,BH40,0)))))</f>
        <v>0</v>
      </c>
      <c r="BJ42" s="115">
        <f>IF(SUM($D$35:BI35)=0,0,IF(IF(BJ41&gt;0,BJ41-(IF(SUM($D42:BI42)&gt;0,0,IF(BI$25&gt;BI40,BI40,0))),0)&lt;0,0,(IF(SUM($D42:BI42)&gt;0,0,IF(BI$25&gt;BI40,BI40,0)))))</f>
        <v>0</v>
      </c>
      <c r="BK42" s="115">
        <f>IF(SUM($D$35:BJ35)=0,0,IF(IF(BK41&gt;0,BK41-(IF(SUM($D42:BJ42)&gt;0,0,IF(BJ$25&gt;BJ40,BJ40,0))),0)&lt;0,0,(IF(SUM($D42:BJ42)&gt;0,0,IF(BJ$25&gt;BJ40,BJ40,0)))))</f>
        <v>0</v>
      </c>
      <c r="BL42" s="115">
        <f>IF(SUM($D$35:BK35)=0,0,IF(IF(BL41&gt;0,BL41-(IF(SUM($D42:BK42)&gt;0,0,IF(BK$25&gt;BK40,BK40,0))),0)&lt;0,0,(IF(SUM($D42:BK42)&gt;0,0,IF(BK$25&gt;BK40,BK40,0)))))</f>
        <v>0</v>
      </c>
      <c r="BM42" s="115">
        <f>IF(SUM($D$35:BL35)=0,0,IF(IF(BM41&gt;0,BM41-(IF(SUM($D42:BL42)&gt;0,0,IF(BL$25&gt;BL40,BL40,0))),0)&lt;0,0,(IF(SUM($D42:BL42)&gt;0,0,IF(BL$25&gt;BL40,BL40,0)))))</f>
        <v>0</v>
      </c>
      <c r="BN42" s="115">
        <f>IF(SUM($D$35:BM35)=0,0,IF(IF(BN41&gt;0,BN41-(IF(SUM($D42:BM42)&gt;0,0,IF(BM$25&gt;BM40,BM40,0))),0)&lt;0,0,(IF(SUM($D42:BM42)&gt;0,0,IF(BM$25&gt;BM40,BM40,0)))))</f>
        <v>0</v>
      </c>
      <c r="BO42" s="115">
        <f>IF(SUM($D$35:BN35)=0,0,IF(IF(BO41&gt;0,BO41-(IF(SUM($D42:BN42)&gt;0,0,IF(BN$25&gt;BN40,BN40,0))),0)&lt;0,0,(IF(SUM($D42:BN42)&gt;0,0,IF(BN$25&gt;BN40,BN40,0)))))</f>
        <v>0</v>
      </c>
      <c r="BP42" s="115">
        <f>IF(SUM($D$35:BO35)=0,0,IF(IF(BP41&gt;0,BP41-(IF(SUM($D42:BO42)&gt;0,0,IF(BO$25&gt;BO40,BO40,0))),0)&lt;0,0,(IF(SUM($D42:BO42)&gt;0,0,IF(BO$25&gt;BO40,BO40,0)))))</f>
        <v>0</v>
      </c>
      <c r="BQ42" s="115">
        <f>IF(SUM($D$35:BP35)=0,0,IF(IF(BQ41&gt;0,BQ41-(IF(SUM($D42:BP42)&gt;0,0,IF(BP$25&gt;BP40,BP40,0))),0)&lt;0,0,(IF(SUM($D42:BP42)&gt;0,0,IF(BP$25&gt;BP40,BP40,0)))))</f>
        <v>0</v>
      </c>
      <c r="BR42" s="115">
        <f>IF(SUM($D$35:BQ35)=0,0,IF(IF(BR41&gt;0,BR41-(IF(SUM($D42:BQ42)&gt;0,0,IF(BQ$25&gt;BQ40,BQ40,0))),0)&lt;0,0,(IF(SUM($D42:BQ42)&gt;0,0,IF(BQ$25&gt;BQ40,BQ40,0)))))</f>
        <v>0</v>
      </c>
      <c r="BS42" s="115">
        <f>IF(SUM($D$35:BR35)=0,0,IF(IF(BS41&gt;0,BS41-(IF(SUM($D42:BR42)&gt;0,0,IF(BR$25&gt;BR40,BR40,0))),0)&lt;0,0,(IF(SUM($D42:BR42)&gt;0,0,IF(BR$25&gt;BR40,BR40,0)))))</f>
        <v>0</v>
      </c>
      <c r="BT42" s="115">
        <f>IF(SUM($D$35:BS35)=0,0,IF(IF(BT41&gt;0,BT41-(IF(SUM($D42:BS42)&gt;0,0,IF(BS$25&gt;BS40,BS40,0))),0)&lt;0,0,(IF(SUM($D42:BS42)&gt;0,0,IF(BS$25&gt;BS40,BS40,0)))))</f>
        <v>0</v>
      </c>
      <c r="BU42" s="115">
        <f>IF(SUM($D$35:BT35)=0,0,IF(IF(BU41&gt;0,BU41-(IF(SUM($D42:BT42)&gt;0,0,IF(BT$25&gt;BT40,BT40,0))),0)&lt;0,0,(IF(SUM($D42:BT42)&gt;0,0,IF(BT$25&gt;BT40,BT40,0)))))</f>
        <v>0</v>
      </c>
      <c r="BV42" s="115">
        <f>IF(SUM($D$35:BU35)=0,0,IF(IF(BV41&gt;0,BV41-(IF(SUM($D42:BU42)&gt;0,0,IF(BU$25&gt;BU40,BU40,0))),0)&lt;0,0,(IF(SUM($D42:BU42)&gt;0,0,IF(BU$25&gt;BU40,BU40,0)))))</f>
        <v>0</v>
      </c>
      <c r="BW42" s="115">
        <f>IF(SUM($D$35:BV35)=0,0,IF(IF(BW41&gt;0,BW41-(IF(SUM($D42:BV42)&gt;0,0,IF(BV$25&gt;BV40,BV40,0))),0)&lt;0,0,(IF(SUM($D42:BV42)&gt;0,0,IF(BV$25&gt;BV40,BV40,0)))))</f>
        <v>0</v>
      </c>
      <c r="BX42" s="115">
        <f>IF(SUM($D$35:BW35)=0,0,IF(IF(BX41&gt;0,BX41-(IF(SUM($D42:BW42)&gt;0,0,IF(BW$25&gt;BW40,BW40,0))),0)&lt;0,0,(IF(SUM($D42:BW42)&gt;0,0,IF(BW$25&gt;BW40,BW40,0)))))</f>
        <v>0</v>
      </c>
      <c r="BY42" s="115">
        <f>IF(SUM($D$35:BX35)=0,0,IF(IF(BY41&gt;0,BY41-(IF(SUM($D42:BX42)&gt;0,0,IF(BX$25&gt;BX40,BX40,0))),0)&lt;0,0,(IF(SUM($D42:BX42)&gt;0,0,IF(BX$25&gt;BX40,BX40,0)))))</f>
        <v>0</v>
      </c>
      <c r="BZ42" s="115">
        <f>IF(SUM($D$35:BY35)=0,0,IF(IF(BZ41&gt;0,BZ41-(IF(SUM($D42:BY42)&gt;0,0,IF(BY$25&gt;BY40,BY40,0))),0)&lt;0,0,(IF(SUM($D42:BY42)&gt;0,0,IF(BY$25&gt;BY40,BY40,0)))))</f>
        <v>0</v>
      </c>
      <c r="CA42" s="115">
        <f>IF(SUM($D$35:BZ35)=0,0,IF(IF(CA41&gt;0,CA41-(IF(SUM($D42:BZ42)&gt;0,0,IF(BZ$25&gt;BZ40,BZ40,0))),0)&lt;0,0,(IF(SUM($D42:BZ42)&gt;0,0,IF(BZ$25&gt;BZ40,BZ40,0)))))</f>
        <v>0</v>
      </c>
      <c r="CB42" s="115">
        <f>IF(SUM($D$35:CA35)=0,0,IF(IF(CB41&gt;0,CB41-(IF(SUM($D42:CA42)&gt;0,0,IF(CA$25&gt;CA40,CA40,0))),0)&lt;0,0,(IF(SUM($D42:CA42)&gt;0,0,IF(CA$25&gt;CA40,CA40,0)))))</f>
        <v>0</v>
      </c>
      <c r="CC42" s="115">
        <f>IF(SUM($D$35:CB35)=0,0,IF(IF(CC41&gt;0,CC41-(IF(SUM($D42:CB42)&gt;0,0,IF(CB$25&gt;CB40,CB40,0))),0)&lt;0,0,(IF(SUM($D42:CB42)&gt;0,0,IF(CB$25&gt;CB40,CB40,0)))))</f>
        <v>0</v>
      </c>
      <c r="CD42" s="115">
        <f>IF(SUM($D$35:CC35)=0,0,IF(IF(CD41&gt;0,CD41-(IF(SUM($D42:CC42)&gt;0,0,IF(CC$25&gt;CC40,CC40,0))),0)&lt;0,0,(IF(SUM($D42:CC42)&gt;0,0,IF(CC$25&gt;CC40,CC40,0)))))</f>
        <v>0</v>
      </c>
      <c r="CE42" s="115">
        <f>IF(SUM($D$35:CD35)=0,0,IF(IF(CE41&gt;0,CE41-(IF(SUM($D42:CD42)&gt;0,0,IF(CD$25&gt;CD40,CD40,0))),0)&lt;0,0,(IF(SUM($D42:CD42)&gt;0,0,IF(CD$25&gt;CD40,CD40,0)))))</f>
        <v>0</v>
      </c>
      <c r="CF42" s="115">
        <f>IF(SUM($D$35:CE35)=0,0,IF(IF(CF41&gt;0,CF41-(IF(SUM($D42:CE42)&gt;0,0,IF(CE$25&gt;CE40,CE40,0))),0)&lt;0,0,(IF(SUM($D42:CE42)&gt;0,0,IF(CE$25&gt;CE40,CE40,0)))))</f>
        <v>0</v>
      </c>
      <c r="CG42" s="115">
        <f>IF(SUM($D$35:CF35)=0,0,IF(IF(CG41&gt;0,CG41-(IF(SUM($D42:CF42)&gt;0,0,IF(CF$25&gt;CF40,CF40,0))),0)&lt;0,0,(IF(SUM($D42:CF42)&gt;0,0,IF(CF$25&gt;CF40,CF40,0)))))</f>
        <v>0</v>
      </c>
      <c r="CH42" s="115">
        <f>IF(SUM($D$35:CG35)=0,0,IF(IF(CH41&gt;0,CH41-(IF(SUM($D42:CG42)&gt;0,0,IF(CG$25&gt;CG40,CG40,0))),0)&lt;0,0,(IF(SUM($D42:CG42)&gt;0,0,IF(CG$25&gt;CG40,CG40,0)))))</f>
        <v>0</v>
      </c>
      <c r="CI42" s="115">
        <f>IF(SUM($D$35:CH35)=0,0,IF(IF(CI41&gt;0,CI41-(IF(SUM($D42:CH42)&gt;0,0,IF(CH$25&gt;CH40,CH40,0))),0)&lt;0,0,(IF(SUM($D42:CH42)&gt;0,0,IF(CH$25&gt;CH40,CH40,0)))))</f>
        <v>0</v>
      </c>
      <c r="CJ42" s="115">
        <f>IF(SUM($D$35:CI35)=0,0,IF(IF(CJ41&gt;0,CJ41-(IF(SUM($D42:CI42)&gt;0,0,IF(CI$25&gt;CI40,CI40,0))),0)&lt;0,0,(IF(SUM($D42:CI42)&gt;0,0,IF(CI$25&gt;CI40,CI40,0)))))</f>
        <v>0</v>
      </c>
      <c r="CK42" s="115">
        <f>IF(SUM($D$35:CJ35)=0,0,IF(IF(CK41&gt;0,CK41-(IF(SUM($D42:CJ42)&gt;0,0,IF(CJ$25&gt;CJ40,CJ40,0))),0)&lt;0,0,(IF(SUM($D42:CJ42)&gt;0,0,IF(CJ$25&gt;CJ40,CJ40,0)))))</f>
        <v>0</v>
      </c>
      <c r="CL42" s="115">
        <f>IF(SUM($D$35:CK35)=0,0,IF(IF(CL41&gt;0,CL41-(IF(SUM($D42:CK42)&gt;0,0,IF(CK$25&gt;CK40,CK40,0))),0)&lt;0,0,(IF(SUM($D42:CK42)&gt;0,0,IF(CK$25&gt;CK40,CK40,0)))))</f>
        <v>0</v>
      </c>
      <c r="CM42" s="115">
        <f>IF(SUM($D$35:CL35)=0,0,IF(IF(CM41&gt;0,CM41-(IF(SUM($D42:CL42)&gt;0,0,IF(CL$25&gt;CL40,CL40,0))),0)&lt;0,0,(IF(SUM($D42:CL42)&gt;0,0,IF(CL$25&gt;CL40,CL40,0)))))</f>
        <v>0</v>
      </c>
      <c r="CN42" s="115">
        <f>IF(SUM($D$35:CM35)=0,0,IF(IF(CN41&gt;0,CN41-(IF(SUM($D42:CM42)&gt;0,0,IF(CM$25&gt;CM40,CM40,0))),0)&lt;0,0,(IF(SUM($D42:CM42)&gt;0,0,IF(CM$25&gt;CM40,CM40,0)))))</f>
        <v>0</v>
      </c>
      <c r="CO42" s="115">
        <f>IF(SUM($D$35:CN35)=0,0,IF(IF(CO41&gt;0,CO41-(IF(SUM($D42:CN42)&gt;0,0,IF(CN$25&gt;CN40,CN40,0))),0)&lt;0,0,(IF(SUM($D42:CN42)&gt;0,0,IF(CN$25&gt;CN40,CN40,0)))))</f>
        <v>0</v>
      </c>
      <c r="CP42" s="115">
        <f>IF(SUM($D$35:CO35)=0,0,IF(IF(CP41&gt;0,CP41-(IF(SUM($D42:CO42)&gt;0,0,IF(CO$25&gt;CO40,CO40,0))),0)&lt;0,0,(IF(SUM($D42:CO42)&gt;0,0,IF(CO$25&gt;CO40,CO40,0)))))</f>
        <v>0</v>
      </c>
      <c r="CQ42" s="115">
        <f>IF(SUM($D$35:CP35)=0,0,IF(IF(CQ41&gt;0,CQ41-(IF(SUM($D42:CP42)&gt;0,0,IF(CP$25&gt;CP40,CP40,0))),0)&lt;0,0,(IF(SUM($D42:CP42)&gt;0,0,IF(CP$25&gt;CP40,CP40,0)))))</f>
        <v>0</v>
      </c>
      <c r="CR42" s="115">
        <f>IF(SUM($D$35:CQ35)=0,0,IF(IF(CR41&gt;0,CR41-(IF(SUM($D42:CQ42)&gt;0,0,IF(CQ$25&gt;CQ40,CQ40,0))),0)&lt;0,0,(IF(SUM($D42:CQ42)&gt;0,0,IF(CQ$25&gt;CQ40,CQ40,0)))))</f>
        <v>0</v>
      </c>
      <c r="CS42" s="115">
        <f>IF(SUM($D$35:CR35)=0,0,IF(IF(CS41&gt;0,CS41-(IF(SUM($D42:CR42)&gt;0,0,IF(CR$25&gt;CR40,CR40,0))),0)&lt;0,0,(IF(SUM($D42:CR42)&gt;0,0,IF(CR$25&gt;CR40,CR40,0)))))</f>
        <v>0</v>
      </c>
      <c r="CT42" s="115">
        <f>IF(SUM($D$35:CS35)=0,0,IF(IF(CT41&gt;0,CT41-(IF(SUM($D42:CS42)&gt;0,0,IF(CS$25&gt;CS40,CS40,0))),0)&lt;0,0,(IF(SUM($D42:CS42)&gt;0,0,IF(CS$25&gt;CS40,CS40,0)))))</f>
        <v>0</v>
      </c>
      <c r="CU42" s="115">
        <f>IF(SUM($D$35:CT35)=0,0,IF(IF(CU41&gt;0,CU41-(IF(SUM($D42:CT42)&gt;0,0,IF(CT$25&gt;CT40,CT40,0))),0)&lt;0,0,(IF(SUM($D42:CT42)&gt;0,0,IF(CT$25&gt;CT40,CT40,0)))))</f>
        <v>0</v>
      </c>
      <c r="CV42" s="115">
        <f>IF(SUM($D$35:CU35)=0,0,IF(IF(CV41&gt;0,CV41-(IF(SUM($D42:CU42)&gt;0,0,IF(CU$25&gt;CU40,CU40,0))),0)&lt;0,0,(IF(SUM($D42:CU42)&gt;0,0,IF(CU$25&gt;CU40,CU40,0)))))</f>
        <v>0</v>
      </c>
      <c r="CW42" s="115">
        <f>IF(SUM($D$35:CV35)=0,0,IF(IF(CW41&gt;0,CW41-(IF(SUM($D42:CV42)&gt;0,0,IF(CV$25&gt;CV40,CV40,0))),0)&lt;0,0,(IF(SUM($D42:CV42)&gt;0,0,IF(CV$25&gt;CV40,CV40,0)))))</f>
        <v>0</v>
      </c>
      <c r="CX42" s="115">
        <f>IF(SUM($D$35:CW35)=0,0,IF(IF(CX41&gt;0,CX41-(IF(SUM($D42:CW42)&gt;0,0,IF(CW$25&gt;CW40,CW40,0))),0)&lt;0,0,(IF(SUM($D42:CW42)&gt;0,0,IF(CW$25&gt;CW40,CW40,0)))))</f>
        <v>0</v>
      </c>
      <c r="CY42" s="115">
        <f>IF(SUM($D$35:CX35)=0,0,IF(IF(CY41&gt;0,CY41-(IF(SUM($D42:CX42)&gt;0,0,IF(CX$25&gt;CX40,CX40,0))),0)&lt;0,0,(IF(SUM($D42:CX42)&gt;0,0,IF(CX$25&gt;CX40,CX40,0)))))</f>
        <v>0</v>
      </c>
      <c r="CZ42" s="115">
        <f>IF(SUM($D$35:CY35)=0,0,IF(IF(CZ41&gt;0,CZ41-(IF(SUM($D42:CY42)&gt;0,0,IF(CY$25&gt;CY40,CY40,0))),0)&lt;0,0,(IF(SUM($D42:CY42)&gt;0,0,IF(CY$25&gt;CY40,CY40,0)))))</f>
        <v>0</v>
      </c>
      <c r="DA42" s="115">
        <f>IF(SUM($D$35:CZ35)=0,0,IF(IF(DA41&gt;0,DA41-(IF(SUM($D42:CZ42)&gt;0,0,IF(CZ$25&gt;CZ40,CZ40,0))),0)&lt;0,0,(IF(SUM($D42:CZ42)&gt;0,0,IF(CZ$25&gt;CZ40,CZ40,0)))))</f>
        <v>0</v>
      </c>
      <c r="DB42" s="115">
        <f>IF(SUM($D$35:DA35)=0,0,IF(IF(DB41&gt;0,DB41-(IF(SUM($D42:DA42)&gt;0,0,IF(DA$25&gt;DA40,DA40,0))),0)&lt;0,0,(IF(SUM($D42:DA42)&gt;0,0,IF(DA$25&gt;DA40,DA40,0)))))</f>
        <v>0</v>
      </c>
      <c r="DC42" s="115">
        <f>IF(SUM($D$35:DB35)=0,0,IF(IF(DC41&gt;0,DC41-(IF(SUM($D42:DB42)&gt;0,0,IF(DB$25&gt;DB40,DB40,0))),0)&lt;0,0,(IF(SUM($D42:DB42)&gt;0,0,IF(DB$25&gt;DB40,DB40,0)))))</f>
        <v>0</v>
      </c>
      <c r="DD42" s="115">
        <f>IF(SUM($D$35:DC35)=0,0,IF(IF(DD41&gt;0,DD41-(IF(SUM($D42:DC42)&gt;0,0,IF(DC$25&gt;DC40,DC40,0))),0)&lt;0,0,(IF(SUM($D42:DC42)&gt;0,0,IF(DC$25&gt;DC40,DC40,0)))))</f>
        <v>0</v>
      </c>
      <c r="DE42" s="115">
        <f>IF(SUM($D$35:DD35)=0,0,IF(IF(DE41&gt;0,DE41-(IF(SUM($D42:DD42)&gt;0,0,IF(DD$25&gt;DD40,DD40,0))),0)&lt;0,0,(IF(SUM($D42:DD42)&gt;0,0,IF(DD$25&gt;DD40,DD40,0)))))</f>
        <v>0</v>
      </c>
      <c r="DF42" s="115">
        <f>IF(SUM($D$35:DE35)=0,0,IF(IF(DF41&gt;0,DF41-(IF(SUM($D42:DE42)&gt;0,0,IF(DE$25&gt;DE40,DE40,0))),0)&lt;0,0,(IF(SUM($D42:DE42)&gt;0,0,IF(DE$25&gt;DE40,DE40,0)))))</f>
        <v>0</v>
      </c>
      <c r="DG42" s="115">
        <f>IF(SUM($D$35:DF35)=0,0,IF(IF(DG41&gt;0,DG41-(IF(SUM($D42:DF42)&gt;0,0,IF(DF$25&gt;DF40,DF40,0))),0)&lt;0,0,(IF(SUM($D42:DF42)&gt;0,0,IF(DF$25&gt;DF40,DF40,0)))))</f>
        <v>0</v>
      </c>
      <c r="DH42" s="115">
        <f>IF(SUM($D$35:DG35)=0,0,IF(IF(DH41&gt;0,DH41-(IF(SUM($D42:DG42)&gt;0,0,IF(DG$25&gt;DG40,DG40,0))),0)&lt;0,0,(IF(SUM($D42:DG42)&gt;0,0,IF(DG$25&gt;DG40,DG40,0)))))</f>
        <v>0</v>
      </c>
      <c r="DI42" s="115">
        <f>IF(SUM($D$35:DH35)=0,0,IF(IF(DI41&gt;0,DI41-(IF(SUM($D42:DH42)&gt;0,0,IF(DH$25&gt;DH40,DH40,0))),0)&lt;0,0,(IF(SUM($D42:DH42)&gt;0,0,IF(DH$25&gt;DH40,DH40,0)))))</f>
        <v>0</v>
      </c>
      <c r="DJ42" s="115">
        <f>IF(SUM($D$35:DI35)=0,0,IF(IF(DJ41&gt;0,DJ41-(IF(SUM($D42:DI42)&gt;0,0,IF(DI$25&gt;DI40,DI40,0))),0)&lt;0,0,(IF(SUM($D42:DI42)&gt;0,0,IF(DI$25&gt;DI40,DI40,0)))))</f>
        <v>0</v>
      </c>
      <c r="DK42" s="115">
        <f>IF(SUM($D$35:DJ35)=0,0,IF(IF(DK41&gt;0,DK41-(IF(SUM($D42:DJ42)&gt;0,0,IF(DJ$25&gt;DJ40,DJ40,0))),0)&lt;0,0,(IF(SUM($D42:DJ42)&gt;0,0,IF(DJ$25&gt;DJ40,DJ40,0)))))</f>
        <v>0</v>
      </c>
      <c r="DL42" s="115">
        <f>IF(SUM($D$35:DK35)=0,0,IF(IF(DL41&gt;0,DL41-(IF(SUM($D42:DK42)&gt;0,0,IF(DK$25&gt;DK40,DK40,0))),0)&lt;0,0,(IF(SUM($D42:DK42)&gt;0,0,IF(DK$25&gt;DK40,DK40,0)))))</f>
        <v>0</v>
      </c>
      <c r="DM42" s="115">
        <f>IF(SUM($D$35:DL35)=0,0,IF(IF(DM41&gt;0,DM41-(IF(SUM($D42:DL42)&gt;0,0,IF(DL$25&gt;DL40,DL40,0))),0)&lt;0,0,(IF(SUM($D42:DL42)&gt;0,0,IF(DL$25&gt;DL40,DL40,0)))))</f>
        <v>0</v>
      </c>
      <c r="DN42" s="115">
        <f>IF(SUM($D$35:DM35)=0,0,IF(IF(DN41&gt;0,DN41-(IF(SUM($D42:DM42)&gt;0,0,IF(DM$25&gt;DM40,DM40,0))),0)&lt;0,0,(IF(SUM($D42:DM42)&gt;0,0,IF(DM$25&gt;DM40,DM40,0)))))</f>
        <v>0</v>
      </c>
      <c r="DO42" s="115">
        <f>IF(SUM($D$35:DN35)=0,0,IF(IF(DO41&gt;0,DO41-(IF(SUM($D42:DN42)&gt;0,0,IF(DN$25&gt;DN40,DN40,0))),0)&lt;0,0,(IF(SUM($D42:DN42)&gt;0,0,IF(DN$25&gt;DN40,DN40,0)))))</f>
        <v>0</v>
      </c>
      <c r="DP42" s="115">
        <f>IF(SUM($D$35:DO35)=0,0,IF(IF(DP41&gt;0,DP41-(IF(SUM($D42:DO42)&gt;0,0,IF(DO$25&gt;DO40,DO40,0))),0)&lt;0,0,(IF(SUM($D42:DO42)&gt;0,0,IF(DO$25&gt;DO40,DO40,0)))))</f>
        <v>0</v>
      </c>
      <c r="DQ42" s="115">
        <f>IF(SUM($D$35:DP35)=0,0,IF(IF(DQ41&gt;0,DQ41-(IF(SUM($D42:DP42)&gt;0,0,IF(DP$25&gt;DP40,DP40,0))),0)&lt;0,0,(IF(SUM($D42:DP42)&gt;0,0,IF(DP$25&gt;DP40,DP40,0)))))</f>
        <v>0</v>
      </c>
      <c r="DR42" s="115">
        <f>IF(SUM($D$35:DQ35)=0,0,IF(IF(DR41&gt;0,DR41-(IF(SUM($D42:DQ42)&gt;0,0,IF(DQ$25&gt;DQ40,DQ40,0))),0)&lt;0,0,(IF(SUM($D42:DQ42)&gt;0,0,IF(DQ$25&gt;DQ40,DQ40,0)))))</f>
        <v>0</v>
      </c>
      <c r="DS42" s="115">
        <f>IF(SUM($D$35:DR35)=0,0,IF(IF(DS41&gt;0,DS41-(IF(SUM($D42:DR42)&gt;0,0,IF(DR$25&gt;DR40,DR40,0))),0)&lt;0,0,(IF(SUM($D42:DR42)&gt;0,0,IF(DR$25&gt;DR40,DR40,0)))))</f>
        <v>0</v>
      </c>
      <c r="DT42" s="115">
        <f>IF(SUM($D$35:DS35)=0,0,IF(IF(DT41&gt;0,DT41-(IF(SUM($D42:DS42)&gt;0,0,IF(DS$25&gt;DS40,DS40,0))),0)&lt;0,0,(IF(SUM($D42:DS42)&gt;0,0,IF(DS$25&gt;DS40,DS40,0)))))</f>
        <v>0</v>
      </c>
      <c r="DU42" s="115">
        <f>IF(SUM($D$35:DT35)=0,0,IF(IF(DU41&gt;0,DU41-(IF(SUM($D42:DT42)&gt;0,0,IF(DT$25&gt;DT40,DT40,0))),0)&lt;0,0,(IF(SUM($D42:DT42)&gt;0,0,IF(DT$25&gt;DT40,DT40,0)))))</f>
        <v>0</v>
      </c>
      <c r="DV42" s="115">
        <f>IF(SUM($D$35:DU35)=0,0,IF(IF(DV41&gt;0,DV41-(IF(SUM($D42:DU42)&gt;0,0,IF(DU$25&gt;DU40,DU40,0))),0)&lt;0,0,(IF(SUM($D42:DU42)&gt;0,0,IF(DU$25&gt;DU40,DU40,0)))))</f>
        <v>0</v>
      </c>
      <c r="DW42" s="115">
        <f>IF(SUM($D$35:DV35)=0,0,IF(IF(DW41&gt;0,DW41-(IF(SUM($D42:DV42)&gt;0,0,IF(DV$25&gt;DV40,DV40,0))),0)&lt;0,0,(IF(SUM($D42:DV42)&gt;0,0,IF(DV$25&gt;DV40,DV40,0)))))</f>
        <v>0</v>
      </c>
      <c r="DX42" s="115">
        <f>IF(SUM($D$35:DW35)=0,0,IF(IF(DX41&gt;0,DX41-(IF(SUM($D42:DW42)&gt;0,0,IF(DW$25&gt;DW40,DW40,0))),0)&lt;0,0,(IF(SUM($D42:DW42)&gt;0,0,IF(DW$25&gt;DW40,DW40,0)))))</f>
        <v>0</v>
      </c>
      <c r="DY42" s="115">
        <f>IF(SUM($D$35:DX35)=0,0,IF(IF(DY41&gt;0,DY41-(IF(SUM($D42:DX42)&gt;0,0,IF(DX$25&gt;DX40,DX40,0))),0)&lt;0,0,(IF(SUM($D42:DX42)&gt;0,0,IF(DX$25&gt;DX40,DX40,0)))))</f>
        <v>0</v>
      </c>
      <c r="DZ42" s="115">
        <f>IF(SUM($D$35:DY35)=0,0,IF(IF(DZ41&gt;0,DZ41-(IF(SUM($D42:DY42)&gt;0,0,IF(DY$25&gt;DY40,DY40,0))),0)&lt;0,0,(IF(SUM($D42:DY42)&gt;0,0,IF(DY$25&gt;DY40,DY40,0)))))</f>
        <v>0</v>
      </c>
      <c r="EA42" s="115">
        <f>IF(SUM($D$35:DZ35)=0,0,IF(IF(EA41&gt;0,EA41-(IF(SUM($D42:DZ42)&gt;0,0,IF(DZ$25&gt;DZ40,DZ40,0))),0)&lt;0,0,(IF(SUM($D42:DZ42)&gt;0,0,IF(DZ$25&gt;DZ40,DZ40,0)))))</f>
        <v>0</v>
      </c>
      <c r="EB42" s="115">
        <f>IF(SUM($D$35:EA35)=0,0,IF(IF(EB41&gt;0,EB41-(IF(SUM($D42:EA42)&gt;0,0,IF(EA$25&gt;EA40,EA40,0))),0)&lt;0,0,(IF(SUM($D42:EA42)&gt;0,0,IF(EA$25&gt;EA40,EA40,0)))))</f>
        <v>0</v>
      </c>
      <c r="EC42" s="115">
        <f>IF(SUM($D$35:EB35)=0,0,IF(IF(EC41&gt;0,EC41-(IF(SUM($D42:EB42)&gt;0,0,IF(EB$25&gt;EB40,EB40,0))),0)&lt;0,0,(IF(SUM($D42:EB42)&gt;0,0,IF(EB$25&gt;EB40,EB40,0)))))</f>
        <v>0</v>
      </c>
      <c r="ED42" s="115">
        <f>IF(SUM($D$35:EC35)=0,0,IF(IF(ED41&gt;0,ED41-(IF(SUM($D42:EC42)&gt;0,0,IF(EC$25&gt;EC40,EC40,0))),0)&lt;0,0,(IF(SUM($D42:EC42)&gt;0,0,IF(EC$25&gt;EC40,EC40,0)))))</f>
        <v>0</v>
      </c>
      <c r="EE42" s="115">
        <f>IF(SUM($D$35:ED35)=0,0,IF(IF(EE41&gt;0,EE41-(IF(SUM($D42:ED42)&gt;0,0,IF(ED$25&gt;ED40,ED40,0))),0)&lt;0,0,(IF(SUM($D42:ED42)&gt;0,0,IF(ED$25&gt;ED40,ED40,0)))))</f>
        <v>0</v>
      </c>
      <c r="EF42" s="115">
        <f>IF(SUM($D$35:EE35)=0,0,IF(IF(EF41&gt;0,EF41-(IF(SUM($D42:EE42)&gt;0,0,IF(EE$25&gt;EE40,EE40,0))),0)&lt;0,0,(IF(SUM($D42:EE42)&gt;0,0,IF(EE$25&gt;EE40,EE40,0)))))</f>
        <v>0</v>
      </c>
      <c r="EG42" s="115">
        <f>IF(SUM($D$35:EF35)=0,0,IF(IF(EG41&gt;0,EG41-(IF(SUM($D42:EF42)&gt;0,0,IF(EF$25&gt;EF40,EF40,0))),0)&lt;0,0,(IF(SUM($D42:EF42)&gt;0,0,IF(EF$25&gt;EF40,EF40,0)))))</f>
        <v>0</v>
      </c>
      <c r="EH42" s="115">
        <f>IF(SUM($D$35:EG35)=0,0,IF(IF(EH41&gt;0,EH41-(IF(SUM($D42:EG42)&gt;0,0,IF(EG$25&gt;EG40,EG40,0))),0)&lt;0,0,(IF(SUM($D42:EG42)&gt;0,0,IF(EG$25&gt;EG40,EG40,0)))))</f>
        <v>0</v>
      </c>
      <c r="EI42" s="115">
        <f>IF(SUM($D$35:EH35)=0,0,IF(IF(EI41&gt;0,EI41-(IF(SUM($D42:EH42)&gt;0,0,IF(EH$25&gt;EH40,EH40,0))),0)&lt;0,0,(IF(SUM($D42:EH42)&gt;0,0,IF(EH$25&gt;EH40,EH40,0)))))</f>
        <v>0</v>
      </c>
      <c r="EJ42" s="115">
        <f>IF(SUM($D$35:EI35)=0,0,IF(IF(EJ41&gt;0,EJ41-(IF(SUM($D42:EI42)&gt;0,0,IF(EI$25&gt;EI40,EI40,0))),0)&lt;0,0,(IF(SUM($D42:EI42)&gt;0,0,IF(EI$25&gt;EI40,EI40,0)))))</f>
        <v>0</v>
      </c>
      <c r="EK42" s="115">
        <f>IF(SUM($D$35:EJ35)=0,0,IF(IF(EK41&gt;0,EK41-(IF(SUM($D42:EJ42)&gt;0,0,IF(EJ$25&gt;EJ40,EJ40,0))),0)&lt;0,0,(IF(SUM($D42:EJ42)&gt;0,0,IF(EJ$25&gt;EJ40,EJ40,0)))))</f>
        <v>0</v>
      </c>
      <c r="EL42" s="115">
        <f>IF(SUM($D$35:EK35)=0,0,IF(IF(EL41&gt;0,EL41-(IF(SUM($D42:EK42)&gt;0,0,IF(EK$25&gt;EK40,EK40,0))),0)&lt;0,0,(IF(SUM($D42:EK42)&gt;0,0,IF(EK$25&gt;EK40,EK40,0)))))</f>
        <v>0</v>
      </c>
      <c r="EM42" s="115">
        <f>IF(SUM($D$35:EL35)=0,0,IF(IF(EM41&gt;0,EM41-(IF(SUM($D42:EL42)&gt;0,0,IF(EL$25&gt;EL40,EL40,0))),0)&lt;0,0,(IF(SUM($D42:EL42)&gt;0,0,IF(EL$25&gt;EL40,EL40,0)))))</f>
        <v>0</v>
      </c>
      <c r="EN42" s="115">
        <f>IF(SUM($D$35:EM35)=0,0,IF(IF(EN41&gt;0,EN41-(IF(SUM($D42:EM42)&gt;0,0,IF(EM$25&gt;EM40,EM40,0))),0)&lt;0,0,(IF(SUM($D42:EM42)&gt;0,0,IF(EM$25&gt;EM40,EM40,0)))))</f>
        <v>0</v>
      </c>
      <c r="EO42" s="115">
        <f>IF(SUM($D$35:EN35)=0,0,IF(IF(EO41&gt;0,EO41-(IF(SUM($D42:EN42)&gt;0,0,IF(EN$25&gt;EN40,EN40,0))),0)&lt;0,0,(IF(SUM($D42:EN42)&gt;0,0,IF(EN$25&gt;EN40,EN40,0)))))</f>
        <v>0</v>
      </c>
      <c r="EP42" s="115">
        <f>IF(SUM($D$35:EO35)=0,0,IF(IF(EP41&gt;0,EP41-(IF(SUM($D42:EO42)&gt;0,0,IF(EO$25&gt;EO40,EO40,0))),0)&lt;0,0,(IF(SUM($D42:EO42)&gt;0,0,IF(EO$25&gt;EO40,EO40,0)))))</f>
        <v>0</v>
      </c>
      <c r="EQ42" s="115">
        <f>IF(SUM($D$35:EP35)=0,0,IF(IF(EQ41&gt;0,EQ41-(IF(SUM($D42:EP42)&gt;0,0,IF(EP$25&gt;EP40,EP40,0))),0)&lt;0,0,(IF(SUM($D42:EP42)&gt;0,0,IF(EP$25&gt;EP40,EP40,0)))))</f>
        <v>0</v>
      </c>
      <c r="ER42" s="115">
        <f>IF(SUM($D$35:EQ35)=0,0,IF(IF(ER41&gt;0,ER41-(IF(SUM($D42:EQ42)&gt;0,0,IF(EQ$25&gt;EQ40,EQ40,0))),0)&lt;0,0,(IF(SUM($D42:EQ42)&gt;0,0,IF(EQ$25&gt;EQ40,EQ40,0)))))</f>
        <v>0</v>
      </c>
      <c r="ES42" s="115">
        <f>IF(SUM($D$35:ER35)=0,0,IF(IF(ES41&gt;0,ES41-(IF(SUM($D42:ER42)&gt;0,0,IF(ER$25&gt;ER40,ER40,0))),0)&lt;0,0,(IF(SUM($D42:ER42)&gt;0,0,IF(ER$25&gt;ER40,ER40,0)))))</f>
        <v>0</v>
      </c>
      <c r="ET42" s="115">
        <f>IF(SUM($D$35:ES35)=0,0,IF(IF(ET41&gt;0,ET41-(IF(SUM($D42:ES42)&gt;0,0,IF(ES$25&gt;ES40,ES40,0))),0)&lt;0,0,(IF(SUM($D42:ES42)&gt;0,0,IF(ES$25&gt;ES40,ES40,0)))))</f>
        <v>0</v>
      </c>
      <c r="EU42" s="115">
        <f>IF(SUM($D$35:ET35)=0,0,IF(IF(EU41&gt;0,EU41-(IF(SUM($D42:ET42)&gt;0,0,IF(ET$25&gt;ET40,ET40,0))),0)&lt;0,0,(IF(SUM($D42:ET42)&gt;0,0,IF(ET$25&gt;ET40,ET40,0)))))</f>
        <v>0</v>
      </c>
      <c r="EV42" s="115">
        <f>IF(SUM($D$35:EU35)=0,0,IF(IF(EV41&gt;0,EV41-(IF(SUM($D42:EU42)&gt;0,0,IF(EU$25&gt;EU40,EU40,0))),0)&lt;0,0,(IF(SUM($D42:EU42)&gt;0,0,IF(EU$25&gt;EU40,EU40,0)))))</f>
        <v>0</v>
      </c>
      <c r="EW42" s="115">
        <f>IF(SUM($D$35:EV35)=0,0,IF(IF(EW41&gt;0,EW41-(IF(SUM($D42:EV42)&gt;0,0,IF(EV$25&gt;EV40,EV40,0))),0)&lt;0,0,(IF(SUM($D42:EV42)&gt;0,0,IF(EV$25&gt;EV40,EV40,0)))))</f>
        <v>0</v>
      </c>
      <c r="EX42" s="115">
        <f>IF(SUM($D$35:EW35)=0,0,IF(IF(EX41&gt;0,EX41-(IF(SUM($D42:EW42)&gt;0,0,IF(EW$25&gt;EW40,EW40,0))),0)&lt;0,0,(IF(SUM($D42:EW42)&gt;0,0,IF(EW$25&gt;EW40,EW40,0)))))</f>
        <v>0</v>
      </c>
      <c r="EY42" s="115">
        <f>IF(SUM($D$35:EX35)=0,0,IF(IF(EY41&gt;0,EY41-(IF(SUM($D42:EX42)&gt;0,0,IF(EX$25&gt;EX40,EX40,0))),0)&lt;0,0,(IF(SUM($D42:EX42)&gt;0,0,IF(EX$25&gt;EX40,EX40,0)))))</f>
        <v>0</v>
      </c>
      <c r="EZ42" s="115">
        <f>IF(SUM($D$35:EY35)=0,0,IF(IF(EZ41&gt;0,EZ41-(IF(SUM($D42:EY42)&gt;0,0,IF(EY$25&gt;EY40,EY40,0))),0)&lt;0,0,(IF(SUM($D42:EY42)&gt;0,0,IF(EY$25&gt;EY40,EY40,0)))))</f>
        <v>0</v>
      </c>
      <c r="FA42" s="115">
        <f>IF(SUM($D$35:EZ35)=0,0,IF(IF(FA41&gt;0,FA41-(IF(SUM($D42:EZ42)&gt;0,0,IF(EZ$25&gt;EZ40,EZ40,0))),0)&lt;0,0,(IF(SUM($D42:EZ42)&gt;0,0,IF(EZ$25&gt;EZ40,EZ40,0)))))</f>
        <v>0</v>
      </c>
      <c r="FB42" s="115">
        <f>IF(SUM($D$35:FA35)=0,0,IF(IF(FB41&gt;0,FB41-(IF(SUM($D42:FA42)&gt;0,0,IF(FA$25&gt;FA40,FA40,0))),0)&lt;0,0,(IF(SUM($D42:FA42)&gt;0,0,IF(FA$25&gt;FA40,FA40,0)))))</f>
        <v>0</v>
      </c>
      <c r="FC42" s="115">
        <f>IF(SUM($D$35:FB35)=0,0,IF(IF(FC41&gt;0,FC41-(IF(SUM($D42:FB42)&gt;0,0,IF(FB$25&gt;FB40,FB40,0))),0)&lt;0,0,(IF(SUM($D42:FB42)&gt;0,0,IF(FB$25&gt;FB40,FB40,0)))))</f>
        <v>0</v>
      </c>
      <c r="FD42" s="115">
        <f>IF(SUM($D$35:FC35)=0,0,IF(IF(FD41&gt;0,FD41-(IF(SUM($D42:FC42)&gt;0,0,IF(FC$25&gt;FC40,FC40,0))),0)&lt;0,0,(IF(SUM($D42:FC42)&gt;0,0,IF(FC$25&gt;FC40,FC40,0)))))</f>
        <v>0</v>
      </c>
      <c r="FE42" s="115">
        <f>IF(SUM($D$35:FD35)=0,0,IF(IF(FE41&gt;0,FE41-(IF(SUM($D42:FD42)&gt;0,0,IF(FD$25&gt;FD40,FD40,0))),0)&lt;0,0,(IF(SUM($D42:FD42)&gt;0,0,IF(FD$25&gt;FD40,FD40,0)))))</f>
        <v>0</v>
      </c>
      <c r="FF42" s="115">
        <f>IF(SUM($D$35:FE35)=0,0,IF(IF(FF41&gt;0,FF41-(IF(SUM($D42:FE42)&gt;0,0,IF(FE$25&gt;FE40,FE40,0))),0)&lt;0,0,(IF(SUM($D42:FE42)&gt;0,0,IF(FE$25&gt;FE40,FE40,0)))))</f>
        <v>0</v>
      </c>
      <c r="FG42" s="115">
        <f>IF(SUM($D$35:FF35)=0,0,IF(IF(FG41&gt;0,FG41-(IF(SUM($D42:FF42)&gt;0,0,IF(FF$25&gt;FF40,FF40,0))),0)&lt;0,0,(IF(SUM($D42:FF42)&gt;0,0,IF(FF$25&gt;FF40,FF40,0)))))</f>
        <v>0</v>
      </c>
      <c r="FH42" s="115">
        <f>IF(SUM($D$35:FG35)=0,0,IF(IF(FH41&gt;0,FH41-(IF(SUM($D42:FG42)&gt;0,0,IF(FG$25&gt;FG40,FG40,0))),0)&lt;0,0,(IF(SUM($D42:FG42)&gt;0,0,IF(FG$25&gt;FG40,FG40,0)))))</f>
        <v>0</v>
      </c>
      <c r="FI42" s="115">
        <f>IF(SUM($D$35:FH35)=0,0,IF(IF(FI41&gt;0,FI41-(IF(SUM($D42:FH42)&gt;0,0,IF(FH$25&gt;FH40,FH40,0))),0)&lt;0,0,(IF(SUM($D42:FH42)&gt;0,0,IF(FH$25&gt;FH40,FH40,0)))))</f>
        <v>0</v>
      </c>
      <c r="FJ42" s="115">
        <f>IF(SUM($D$35:FI35)=0,0,IF(IF(FJ41&gt;0,FJ41-(IF(SUM($D42:FI42)&gt;0,0,IF(FI$25&gt;FI40,FI40,0))),0)&lt;0,0,(IF(SUM($D42:FI42)&gt;0,0,IF(FI$25&gt;FI40,FI40,0)))))</f>
        <v>0</v>
      </c>
      <c r="FK42" s="115">
        <f>IF(SUM($D$35:FJ35)=0,0,IF(IF(FK41&gt;0,FK41-(IF(SUM($D42:FJ42)&gt;0,0,IF(FJ$25&gt;FJ40,FJ40,0))),0)&lt;0,0,(IF(SUM($D42:FJ42)&gt;0,0,IF(FJ$25&gt;FJ40,FJ40,0)))))</f>
        <v>0</v>
      </c>
      <c r="FL42" s="115">
        <f>IF(SUM($D$35:FK35)=0,0,IF(IF(FL41&gt;0,FL41-(IF(SUM($D42:FK42)&gt;0,0,IF(FK$25&gt;FK40,FK40,0))),0)&lt;0,0,(IF(SUM($D42:FK42)&gt;0,0,IF(FK$25&gt;FK40,FK40,0)))))</f>
        <v>0</v>
      </c>
      <c r="FM42" s="115">
        <f>IF(SUM($D$35:FL35)=0,0,IF(IF(FM41&gt;0,FM41-(IF(SUM($D42:FL42)&gt;0,0,IF(FL$25&gt;FL40,FL40,0))),0)&lt;0,0,(IF(SUM($D42:FL42)&gt;0,0,IF(FL$25&gt;FL40,FL40,0)))))</f>
        <v>0</v>
      </c>
      <c r="FN42" s="115">
        <f>IF(SUM($D$35:FM35)=0,0,IF(IF(FN41&gt;0,FN41-(IF(SUM($D42:FM42)&gt;0,0,IF(FM$25&gt;FM40,FM40,0))),0)&lt;0,0,(IF(SUM($D42:FM42)&gt;0,0,IF(FM$25&gt;FM40,FM40,0)))))</f>
        <v>0</v>
      </c>
      <c r="FO42" s="115">
        <f>IF(SUM($D$35:FN35)=0,0,IF(IF(FO41&gt;0,FO41-(IF(SUM($D42:FN42)&gt;0,0,IF(FN$25&gt;FN40,FN40,0))),0)&lt;0,0,(IF(SUM($D42:FN42)&gt;0,0,IF(FN$25&gt;FN40,FN40,0)))))</f>
        <v>0</v>
      </c>
      <c r="FP42" s="115">
        <f>IF(SUM($D$35:FO35)=0,0,IF(IF(FP41&gt;0,FP41-(IF(SUM($D42:FO42)&gt;0,0,IF(FO$25&gt;FO40,FO40,0))),0)&lt;0,0,(IF(SUM($D42:FO42)&gt;0,0,IF(FO$25&gt;FO40,FO40,0)))))</f>
        <v>0</v>
      </c>
      <c r="FQ42" s="115">
        <f>IF(SUM($D$35:FP35)=0,0,IF(IF(FQ41&gt;0,FQ41-(IF(SUM($D42:FP42)&gt;0,0,IF(FP$25&gt;FP40,FP40,0))),0)&lt;0,0,(IF(SUM($D42:FP42)&gt;0,0,IF(FP$25&gt;FP40,FP40,0)))))</f>
        <v>0</v>
      </c>
      <c r="FR42" s="115">
        <f>IF(SUM($D$35:FQ35)=0,0,IF(IF(FR41&gt;0,FR41-(IF(SUM($D42:FQ42)&gt;0,0,IF(FQ$25&gt;FQ40,FQ40,0))),0)&lt;0,0,(IF(SUM($D42:FQ42)&gt;0,0,IF(FQ$25&gt;FQ40,FQ40,0)))))</f>
        <v>0</v>
      </c>
      <c r="FS42" s="115">
        <f>IF(SUM($D$35:FR35)=0,0,IF(IF(FS41&gt;0,FS41-(IF(SUM($D42:FR42)&gt;0,0,IF(FR$25&gt;FR40,FR40,0))),0)&lt;0,0,(IF(SUM($D42:FR42)&gt;0,0,IF(FR$25&gt;FR40,FR40,0)))))</f>
        <v>0</v>
      </c>
      <c r="FT42" s="115">
        <f>IF(SUM($D$35:FS35)=0,0,IF(IF(FT41&gt;0,FT41-(IF(SUM($D42:FS42)&gt;0,0,IF(FS$25&gt;FS40,FS40,0))),0)&lt;0,0,(IF(SUM($D42:FS42)&gt;0,0,IF(FS$25&gt;FS40,FS40,0)))))</f>
        <v>0</v>
      </c>
      <c r="FU42" s="115">
        <f>IF(SUM($D$35:FT35)=0,0,IF(IF(FU41&gt;0,FU41-(IF(SUM($D42:FT42)&gt;0,0,IF(FT$25&gt;FT40,FT40,0))),0)&lt;0,0,(IF(SUM($D42:FT42)&gt;0,0,IF(FT$25&gt;FT40,FT40,0)))))</f>
        <v>0</v>
      </c>
      <c r="FV42" s="115">
        <f>IF(SUM($D$35:FU35)=0,0,IF(IF(FV41&gt;0,FV41-(IF(SUM($D42:FU42)&gt;0,0,IF(FU$25&gt;FU40,FU40,0))),0)&lt;0,0,(IF(SUM($D42:FU42)&gt;0,0,IF(FU$25&gt;FU40,FU40,0)))))</f>
        <v>0</v>
      </c>
      <c r="FW42" s="115">
        <f>IF(SUM($D$35:FV35)=0,0,IF(IF(FW41&gt;0,FW41-(IF(SUM($D42:FV42)&gt;0,0,IF(FV$25&gt;FV40,FV40,0))),0)&lt;0,0,(IF(SUM($D42:FV42)&gt;0,0,IF(FV$25&gt;FV40,FV40,0)))))</f>
        <v>0</v>
      </c>
      <c r="FX42" s="115">
        <f>IF(SUM($D$35:FW35)=0,0,IF(IF(FX41&gt;0,FX41-(IF(SUM($D42:FW42)&gt;0,0,IF(FW$25&gt;FW40,FW40,0))),0)&lt;0,0,(IF(SUM($D42:FW42)&gt;0,0,IF(FW$25&gt;FW40,FW40,0)))))</f>
        <v>0</v>
      </c>
      <c r="FY42" s="115">
        <f>IF(SUM($D$35:FX35)=0,0,IF(IF(FY41&gt;0,FY41-(IF(SUM($D42:FX42)&gt;0,0,IF(FX$25&gt;FX40,FX40,0))),0)&lt;0,0,(IF(SUM($D42:FX42)&gt;0,0,IF(FX$25&gt;FX40,FX40,0)))))</f>
        <v>0</v>
      </c>
      <c r="FZ42" s="115">
        <f>IF(SUM($D$35:FY35)=0,0,IF(IF(FZ41&gt;0,FZ41-(IF(SUM($D42:FY42)&gt;0,0,IF(FY$25&gt;FY40,FY40,0))),0)&lt;0,0,(IF(SUM($D42:FY42)&gt;0,0,IF(FY$25&gt;FY40,FY40,0)))))</f>
        <v>0</v>
      </c>
      <c r="GA42" s="115">
        <f>IF(SUM($D$35:FZ35)=0,0,IF(IF(GA41&gt;0,GA41-(IF(SUM($D42:FZ42)&gt;0,0,IF(FZ$25&gt;FZ40,FZ40,0))),0)&lt;0,0,(IF(SUM($D42:FZ42)&gt;0,0,IF(FZ$25&gt;FZ40,FZ40,0)))))</f>
        <v>0</v>
      </c>
      <c r="GB42" s="115">
        <f>IF(SUM($D$35:GA35)=0,0,IF(IF(GB41&gt;0,GB41-(IF(SUM($D42:GA42)&gt;0,0,IF(GA$25&gt;GA40,GA40,0))),0)&lt;0,0,(IF(SUM($D42:GA42)&gt;0,0,IF(GA$25&gt;GA40,GA40,0)))))</f>
        <v>0</v>
      </c>
      <c r="GC42" s="115">
        <f>IF(SUM($D$35:GB35)=0,0,IF(IF(GC41&gt;0,GC41-(IF(SUM($D42:GB42)&gt;0,0,IF(GB$25&gt;GB40,GB40,0))),0)&lt;0,0,(IF(SUM($D42:GB42)&gt;0,0,IF(GB$25&gt;GB40,GB40,0)))))</f>
        <v>0</v>
      </c>
      <c r="GD42" s="115">
        <f>IF(SUM($D$35:GC35)=0,0,IF(IF(GD41&gt;0,GD41-(IF(SUM($D42:GC42)&gt;0,0,IF(GC$25&gt;GC40,GC40,0))),0)&lt;0,0,(IF(SUM($D42:GC42)&gt;0,0,IF(GC$25&gt;GC40,GC40,0)))))</f>
        <v>0</v>
      </c>
      <c r="GE42" s="115">
        <f>IF(SUM($D$35:GD35)=0,0,IF(IF(GE41&gt;0,GE41-(IF(SUM($D42:GD42)&gt;0,0,IF(GD$25&gt;GD40,GD40,0))),0)&lt;0,0,(IF(SUM($D42:GD42)&gt;0,0,IF(GD$25&gt;GD40,GD40,0)))))</f>
        <v>0</v>
      </c>
      <c r="GF42" s="115">
        <f>IF(SUM($D$35:GE35)=0,0,IF(IF(GF41&gt;0,GF41-(IF(SUM($D42:GE42)&gt;0,0,IF(GE$25&gt;GE40,GE40,0))),0)&lt;0,0,(IF(SUM($D42:GE42)&gt;0,0,IF(GE$25&gt;GE40,GE40,0)))))</f>
        <v>0</v>
      </c>
      <c r="GG42" s="115">
        <f>IF(SUM($D$35:GF35)=0,0,IF(IF(GG41&gt;0,GG41-(IF(SUM($D42:GF42)&gt;0,0,IF(GF$25&gt;GF40,GF40,0))),0)&lt;0,0,(IF(SUM($D42:GF42)&gt;0,0,IF(GF$25&gt;GF40,GF40,0)))))</f>
        <v>0</v>
      </c>
      <c r="GH42" s="115">
        <f>IF(SUM($D$35:GG35)=0,0,IF(IF(GH41&gt;0,GH41-(IF(SUM($D42:GG42)&gt;0,0,IF(GG$25&gt;GG40,GG40,0))),0)&lt;0,0,(IF(SUM($D42:GG42)&gt;0,0,IF(GG$25&gt;GG40,GG40,0)))))</f>
        <v>0</v>
      </c>
      <c r="GI42" s="115">
        <f>IF(SUM($D$35:GH35)=0,0,IF(IF(GI41&gt;0,GI41-(IF(SUM($D42:GH42)&gt;0,0,IF(GH$25&gt;GH40,GH40,0))),0)&lt;0,0,(IF(SUM($D42:GH42)&gt;0,0,IF(GH$25&gt;GH40,GH40,0)))))</f>
        <v>0</v>
      </c>
      <c r="GJ42" s="115">
        <f>IF(SUM($D$35:GI35)=0,0,IF(IF(GJ41&gt;0,GJ41-(IF(SUM($D42:GI42)&gt;0,0,IF(GI$25&gt;GI40,GI40,0))),0)&lt;0,0,(IF(SUM($D42:GI42)&gt;0,0,IF(GI$25&gt;GI40,GI40,0)))))</f>
        <v>0</v>
      </c>
      <c r="GK42" s="115">
        <f>IF(SUM($D$35:GJ35)=0,0,IF(IF(GK41&gt;0,GK41-(IF(SUM($D42:GJ42)&gt;0,0,IF(GJ$25&gt;GJ40,GJ40,0))),0)&lt;0,0,(IF(SUM($D42:GJ42)&gt;0,0,IF(GJ$25&gt;GJ40,GJ40,0)))))</f>
        <v>0</v>
      </c>
      <c r="GL42" s="115">
        <f>IF(SUM($D$35:GK35)=0,0,IF(IF(GL41&gt;0,GL41-(IF(SUM($D42:GK42)&gt;0,0,IF(GK$25&gt;GK40,GK40,0))),0)&lt;0,0,(IF(SUM($D42:GK42)&gt;0,0,IF(GK$25&gt;GK40,GK40,0)))))</f>
        <v>0</v>
      </c>
      <c r="GM42" s="115">
        <f>IF(SUM($D$35:GL35)=0,0,IF(IF(GM41&gt;0,GM41-(IF(SUM($D42:GL42)&gt;0,0,IF(GL$25&gt;GL40,GL40,0))),0)&lt;0,0,(IF(SUM($D42:GL42)&gt;0,0,IF(GL$25&gt;GL40,GL40,0)))))</f>
        <v>0</v>
      </c>
      <c r="GN42" s="115">
        <f>IF(SUM($D$35:GM35)=0,0,IF(IF(GN41&gt;0,GN41-(IF(SUM($D42:GM42)&gt;0,0,IF(GM$25&gt;GM40,GM40,0))),0)&lt;0,0,(IF(SUM($D42:GM42)&gt;0,0,IF(GM$25&gt;GM40,GM40,0)))))</f>
        <v>0</v>
      </c>
      <c r="GO42" s="115">
        <f>IF(SUM($D$35:GN35)=0,0,IF(IF(GO41&gt;0,GO41-(IF(SUM($D42:GN42)&gt;0,0,IF(GN$25&gt;GN40,GN40,0))),0)&lt;0,0,(IF(SUM($D42:GN42)&gt;0,0,IF(GN$25&gt;GN40,GN40,0)))))</f>
        <v>0</v>
      </c>
      <c r="GP42" s="115">
        <f>IF(SUM($D$35:GO35)=0,0,IF(IF(GP41&gt;0,GP41-(IF(SUM($D42:GO42)&gt;0,0,IF(GO$25&gt;GO40,GO40,0))),0)&lt;0,0,(IF(SUM($D42:GO42)&gt;0,0,IF(GO$25&gt;GO40,GO40,0)))))</f>
        <v>0</v>
      </c>
      <c r="GQ42" s="115">
        <f>IF(SUM($D$35:GP35)=0,0,IF(IF(GQ41&gt;0,GQ41-(IF(SUM($D42:GP42)&gt;0,0,IF(GP$25&gt;GP40,GP40,0))),0)&lt;0,0,(IF(SUM($D42:GP42)&gt;0,0,IF(GP$25&gt;GP40,GP40,0)))))</f>
        <v>0</v>
      </c>
      <c r="GR42" s="115">
        <f>IF(SUM($D$35:GQ35)=0,0,IF(IF(GR41&gt;0,GR41-(IF(SUM($D42:GQ42)&gt;0,0,IF(GQ$25&gt;GQ40,GQ40,0))),0)&lt;0,0,(IF(SUM($D42:GQ42)&gt;0,0,IF(GQ$25&gt;GQ40,GQ40,0)))))</f>
        <v>0</v>
      </c>
      <c r="GS42" s="115">
        <f>IF(SUM($D$35:GR35)=0,0,IF(IF(GS41&gt;0,GS41-(IF(SUM($D42:GR42)&gt;0,0,IF(GR$25&gt;GR40,GR40,0))),0)&lt;0,0,(IF(SUM($D42:GR42)&gt;0,0,IF(GR$25&gt;GR40,GR40,0)))))</f>
        <v>0</v>
      </c>
      <c r="GT42" s="115">
        <f>IF(SUM($D$35:GS35)=0,0,IF(IF(GT41&gt;0,GT41-(IF(SUM($D42:GS42)&gt;0,0,IF(GS$25&gt;GS40,GS40,0))),0)&lt;0,0,(IF(SUM($D42:GS42)&gt;0,0,IF(GS$25&gt;GS40,GS40,0)))))</f>
        <v>0</v>
      </c>
      <c r="GU42" s="115">
        <f>IF(SUM($D$35:GT35)=0,0,IF(IF(GU41&gt;0,GU41-(IF(SUM($D42:GT42)&gt;0,0,IF(GT$25&gt;GT40,GT40,0))),0)&lt;0,0,(IF(SUM($D42:GT42)&gt;0,0,IF(GT$25&gt;GT40,GT40,0)))))</f>
        <v>0</v>
      </c>
      <c r="GV42" s="115">
        <f>IF(SUM($D$35:GU35)=0,0,IF(IF(GV41&gt;0,GV41-(IF(SUM($D42:GU42)&gt;0,0,IF(GU$25&gt;GU40,GU40,0))),0)&lt;0,0,(IF(SUM($D42:GU42)&gt;0,0,IF(GU$25&gt;GU40,GU40,0)))))</f>
        <v>0</v>
      </c>
      <c r="GW42" s="115">
        <f>IF(SUM($D$35:GV35)=0,0,IF(IF(GW41&gt;0,GW41-(IF(SUM($D42:GV42)&gt;0,0,IF(GV$25&gt;GV40,GV40,0))),0)&lt;0,0,(IF(SUM($D42:GV42)&gt;0,0,IF(GV$25&gt;GV40,GV40,0)))))</f>
        <v>0</v>
      </c>
      <c r="GX42" s="115">
        <f>IF(SUM($D$35:GW35)=0,0,IF(IF(GX41&gt;0,GX41-(IF(SUM($D42:GW42)&gt;0,0,IF(GW$25&gt;GW40,GW40,0))),0)&lt;0,0,(IF(SUM($D42:GW42)&gt;0,0,IF(GW$25&gt;GW40,GW40,0)))))</f>
        <v>0</v>
      </c>
      <c r="GY42" s="115">
        <f>IF(SUM($D$35:GX35)=0,0,IF(IF(GY41&gt;0,GY41-(IF(SUM($D42:GX42)&gt;0,0,IF(GX$25&gt;GX40,GX40,0))),0)&lt;0,0,(IF(SUM($D42:GX42)&gt;0,0,IF(GX$25&gt;GX40,GX40,0)))))</f>
        <v>0</v>
      </c>
      <c r="GZ42" s="115">
        <f>IF(SUM($D$35:GY35)=0,0,IF(IF(GZ41&gt;0,GZ41-(IF(SUM($D42:GY42)&gt;0,0,IF(GY$25&gt;GY40,GY40,0))),0)&lt;0,0,(IF(SUM($D42:GY42)&gt;0,0,IF(GY$25&gt;GY40,GY40,0)))))</f>
        <v>0</v>
      </c>
      <c r="HA42" s="115">
        <f>IF(SUM($D$35:GZ35)=0,0,IF(IF(HA41&gt;0,HA41-(IF(SUM($D42:GZ42)&gt;0,0,IF(GZ$25&gt;GZ40,GZ40,0))),0)&lt;0,0,(IF(SUM($D42:GZ42)&gt;0,0,IF(GZ$25&gt;GZ40,GZ40,0)))))</f>
        <v>0</v>
      </c>
      <c r="HB42" s="115">
        <f>IF(SUM($D$35:HA35)=0,0,IF(IF(HB41&gt;0,HB41-(IF(SUM($D42:HA42)&gt;0,0,IF(HA$25&gt;HA40,HA40,0))),0)&lt;0,0,(IF(SUM($D42:HA42)&gt;0,0,IF(HA$25&gt;HA40,HA40,0)))))</f>
        <v>0</v>
      </c>
      <c r="HC42" s="115">
        <f>IF(SUM($D$35:HB35)=0,0,IF(IF(HC41&gt;0,HC41-(IF(SUM($D42:HB42)&gt;0,0,IF(HB$25&gt;HB40,HB40,0))),0)&lt;0,0,(IF(SUM($D42:HB42)&gt;0,0,IF(HB$25&gt;HB40,HB40,0)))))</f>
        <v>0</v>
      </c>
      <c r="HD42" s="115">
        <f>IF(SUM($D$35:HC35)=0,0,IF(IF(HD41&gt;0,HD41-(IF(SUM($D42:HC42)&gt;0,0,IF(HC$25&gt;HC40,HC40,0))),0)&lt;0,0,(IF(SUM($D42:HC42)&gt;0,0,IF(HC$25&gt;HC40,HC40,0)))))</f>
        <v>0</v>
      </c>
      <c r="HE42" s="115">
        <f>IF(SUM($D$35:HD35)=0,0,IF(IF(HE41&gt;0,HE41-(IF(SUM($D42:HD42)&gt;0,0,IF(HD$25&gt;HD40,HD40,0))),0)&lt;0,0,(IF(SUM($D42:HD42)&gt;0,0,IF(HD$25&gt;HD40,HD40,0)))))</f>
        <v>0</v>
      </c>
      <c r="HF42" s="115">
        <f>IF(SUM($D$35:HE35)=0,0,IF(IF(HF41&gt;0,HF41-(IF(SUM($D42:HE42)&gt;0,0,IF(HE$25&gt;HE40,HE40,0))),0)&lt;0,0,(IF(SUM($D42:HE42)&gt;0,0,IF(HE$25&gt;HE40,HE40,0)))))</f>
        <v>0</v>
      </c>
      <c r="HG42" s="115">
        <f>IF(SUM($D$35:HF35)=0,0,IF(IF(HG41&gt;0,HG41-(IF(SUM($D42:HF42)&gt;0,0,IF(HF$25&gt;HF40,HF40,0))),0)&lt;0,0,(IF(SUM($D42:HF42)&gt;0,0,IF(HF$25&gt;HF40,HF40,0)))))</f>
        <v>0</v>
      </c>
      <c r="HH42" s="115">
        <f>IF(SUM($D$35:HG35)=0,0,IF(IF(HH41&gt;0,HH41-(IF(SUM($D42:HG42)&gt;0,0,IF(HG$25&gt;HG40,HG40,0))),0)&lt;0,0,(IF(SUM($D42:HG42)&gt;0,0,IF(HG$25&gt;HG40,HG40,0)))))</f>
        <v>0</v>
      </c>
      <c r="HI42" s="115">
        <f>IF(SUM($D$35:HH35)=0,0,IF(IF(HI41&gt;0,HI41-(IF(SUM($D42:HH42)&gt;0,0,IF(HH$25&gt;HH40,HH40,0))),0)&lt;0,0,(IF(SUM($D42:HH42)&gt;0,0,IF(HH$25&gt;HH40,HH40,0)))))</f>
        <v>0</v>
      </c>
      <c r="HJ42" s="115">
        <f>IF(SUM($D$35:HI35)=0,0,IF(IF(HJ41&gt;0,HJ41-(IF(SUM($D42:HI42)&gt;0,0,IF(HI$25&gt;HI40,HI40,0))),0)&lt;0,0,(IF(SUM($D42:HI42)&gt;0,0,IF(HI$25&gt;HI40,HI40,0)))))</f>
        <v>0</v>
      </c>
      <c r="HK42" s="115">
        <f>IF(SUM($D$35:HJ35)=0,0,IF(IF(HK41&gt;0,HK41-(IF(SUM($D42:HJ42)&gt;0,0,IF(HJ$25&gt;HJ40,HJ40,0))),0)&lt;0,0,(IF(SUM($D42:HJ42)&gt;0,0,IF(HJ$25&gt;HJ40,HJ40,0)))))</f>
        <v>0</v>
      </c>
      <c r="HL42" s="115">
        <f>IF(SUM($D$35:HK35)=0,0,IF(IF(HL41&gt;0,HL41-(IF(SUM($D42:HK42)&gt;0,0,IF(HK$25&gt;HK40,HK40,0))),0)&lt;0,0,(IF(SUM($D42:HK42)&gt;0,0,IF(HK$25&gt;HK40,HK40,0)))))</f>
        <v>0</v>
      </c>
      <c r="HM42" s="115">
        <f>IF(SUM($D$35:HL35)=0,0,IF(IF(HM41&gt;0,HM41-(IF(SUM($D42:HL42)&gt;0,0,IF(HL$25&gt;HL40,HL40,0))),0)&lt;0,0,(IF(SUM($D42:HL42)&gt;0,0,IF(HL$25&gt;HL40,HL40,0)))))</f>
        <v>0</v>
      </c>
      <c r="HN42" s="115">
        <f>IF(SUM($D$35:HM35)=0,0,IF(IF(HN41&gt;0,HN41-(IF(SUM($D42:HM42)&gt;0,0,IF(HM$25&gt;HM40,HM40,0))),0)&lt;0,0,(IF(SUM($D42:HM42)&gt;0,0,IF(HM$25&gt;HM40,HM40,0)))))</f>
        <v>0</v>
      </c>
      <c r="HO42" s="115">
        <f>IF(SUM($D$35:HN35)=0,0,IF(IF(HO41&gt;0,HO41-(IF(SUM($D42:HN42)&gt;0,0,IF(HN$25&gt;HN40,HN40,0))),0)&lt;0,0,(IF(SUM($D42:HN42)&gt;0,0,IF(HN$25&gt;HN40,HN40,0)))))</f>
        <v>0</v>
      </c>
      <c r="HP42" s="115">
        <f>IF(SUM($D$35:HO35)=0,0,IF(IF(HP41&gt;0,HP41-(IF(SUM($D42:HO42)&gt;0,0,IF(HO$25&gt;HO40,HO40,0))),0)&lt;0,0,(IF(SUM($D42:HO42)&gt;0,0,IF(HO$25&gt;HO40,HO40,0)))))</f>
        <v>0</v>
      </c>
      <c r="HQ42" s="115">
        <f>IF(SUM($D$35:HP35)=0,0,IF(IF(HQ41&gt;0,HQ41-(IF(SUM($D42:HP42)&gt;0,0,IF(HP$25&gt;HP40,HP40,0))),0)&lt;0,0,(IF(SUM($D42:HP42)&gt;0,0,IF(HP$25&gt;HP40,HP40,0)))))</f>
        <v>0</v>
      </c>
      <c r="HR42" s="115">
        <f>IF(SUM($D$35:HQ35)=0,0,IF(IF(HR41&gt;0,HR41-(IF(SUM($D42:HQ42)&gt;0,0,IF(HQ$25&gt;HQ40,HQ40,0))),0)&lt;0,0,(IF(SUM($D42:HQ42)&gt;0,0,IF(HQ$25&gt;HQ40,HQ40,0)))))</f>
        <v>0</v>
      </c>
      <c r="HS42" s="115">
        <f>IF(SUM($D$35:HR35)=0,0,IF(IF(HS41&gt;0,HS41-(IF(SUM($D42:HR42)&gt;0,0,IF(HR$25&gt;HR40,HR40,0))),0)&lt;0,0,(IF(SUM($D42:HR42)&gt;0,0,IF(HR$25&gt;HR40,HR40,0)))))</f>
        <v>0</v>
      </c>
      <c r="HT42" s="115">
        <f>IF(SUM($D$35:HS35)=0,0,IF(IF(HT41&gt;0,HT41-(IF(SUM($D42:HS42)&gt;0,0,IF(HS$25&gt;HS40,HS40,0))),0)&lt;0,0,(IF(SUM($D42:HS42)&gt;0,0,IF(HS$25&gt;HS40,HS40,0)))))</f>
        <v>0</v>
      </c>
      <c r="HU42" s="115">
        <f>IF(SUM($D$35:HT35)=0,0,IF(IF(HU41&gt;0,HU41-(IF(SUM($D42:HT42)&gt;0,0,IF(HT$25&gt;HT40,HT40,0))),0)&lt;0,0,(IF(SUM($D42:HT42)&gt;0,0,IF(HT$25&gt;HT40,HT40,0)))))</f>
        <v>0</v>
      </c>
      <c r="HV42" s="115">
        <f>IF(SUM($D$35:HU35)=0,0,IF(IF(HV41&gt;0,HV41-(IF(SUM($D42:HU42)&gt;0,0,IF(HU$25&gt;HU40,HU40,0))),0)&lt;0,0,(IF(SUM($D42:HU42)&gt;0,0,IF(HU$25&gt;HU40,HU40,0)))))</f>
        <v>0</v>
      </c>
      <c r="HW42" s="115">
        <f>IF(SUM($D$35:HV35)=0,0,IF(IF(HW41&gt;0,HW41-(IF(SUM($D42:HV42)&gt;0,0,IF(HV$25&gt;HV40,HV40,0))),0)&lt;0,0,(IF(SUM($D42:HV42)&gt;0,0,IF(HV$25&gt;HV40,HV40,0)))))</f>
        <v>0</v>
      </c>
      <c r="HX42" s="115">
        <f>IF(SUM($D$35:HW35)=0,0,IF(IF(HX41&gt;0,HX41-(IF(SUM($D42:HW42)&gt;0,0,IF(HW$25&gt;HW40,HW40,0))),0)&lt;0,0,(IF(SUM($D42:HW42)&gt;0,0,IF(HW$25&gt;HW40,HW40,0)))))</f>
        <v>0</v>
      </c>
      <c r="HY42" s="115">
        <f>IF(SUM($D$35:HX35)=0,0,IF(IF(HY41&gt;0,HY41-(IF(SUM($D42:HX42)&gt;0,0,IF(HX$25&gt;HX40,HX40,0))),0)&lt;0,0,(IF(SUM($D42:HX42)&gt;0,0,IF(HX$25&gt;HX40,HX40,0)))))</f>
        <v>0</v>
      </c>
      <c r="HZ42" s="115">
        <f>IF(SUM($D$35:HY35)=0,0,IF(IF(HZ41&gt;0,HZ41-(IF(SUM($D42:HY42)&gt;0,0,IF(HY$25&gt;HY40,HY40,0))),0)&lt;0,0,(IF(SUM($D42:HY42)&gt;0,0,IF(HY$25&gt;HY40,HY40,0)))))</f>
        <v>0</v>
      </c>
      <c r="IA42" s="115">
        <f>IF(SUM($D$35:HZ35)=0,0,IF(IF(IA41&gt;0,IA41-(IF(SUM($D42:HZ42)&gt;0,0,IF(HZ$25&gt;HZ40,HZ40,0))),0)&lt;0,0,(IF(SUM($D42:HZ42)&gt;0,0,IF(HZ$25&gt;HZ40,HZ40,0)))))</f>
        <v>0</v>
      </c>
      <c r="IB42" s="115">
        <f>IF(SUM($D$35:IA35)=0,0,IF(IF(IB41&gt;0,IB41-(IF(SUM($D42:IA42)&gt;0,0,IF(IA$25&gt;IA40,IA40,0))),0)&lt;0,0,(IF(SUM($D42:IA42)&gt;0,0,IF(IA$25&gt;IA40,IA40,0)))))</f>
        <v>0</v>
      </c>
      <c r="IC42" s="115">
        <f>IF(SUM($D$35:IB35)=0,0,IF(IF(IC41&gt;0,IC41-(IF(SUM($D42:IB42)&gt;0,0,IF(IB$25&gt;IB40,IB40,0))),0)&lt;0,0,(IF(SUM($D42:IB42)&gt;0,0,IF(IB$25&gt;IB40,IB40,0)))))</f>
        <v>0</v>
      </c>
      <c r="ID42" s="115">
        <f>IF(SUM($D$35:IC35)=0,0,IF(IF(ID41&gt;0,ID41-(IF(SUM($D42:IC42)&gt;0,0,IF(IC$25&gt;IC40,IC40,0))),0)&lt;0,0,(IF(SUM($D42:IC42)&gt;0,0,IF(IC$25&gt;IC40,IC40,0)))))</f>
        <v>0</v>
      </c>
      <c r="IE42" s="115">
        <f>IF(SUM($D$35:ID35)=0,0,IF(IF(IE41&gt;0,IE41-(IF(SUM($D42:ID42)&gt;0,0,IF(ID$25&gt;ID40,ID40,0))),0)&lt;0,0,(IF(SUM($D42:ID42)&gt;0,0,IF(ID$25&gt;ID40,ID40,0)))))</f>
        <v>0</v>
      </c>
      <c r="IF42" s="115">
        <f>IF(SUM($D$35:IE35)=0,0,IF(IF(IF41&gt;0,IF41-(IF(SUM($D42:IE42)&gt;0,0,IF(IE$25&gt;IE40,IE40,0))),0)&lt;0,0,(IF(SUM($D42:IE42)&gt;0,0,IF(IE$25&gt;IE40,IE40,0)))))</f>
        <v>0</v>
      </c>
      <c r="IG42" s="115">
        <f>IF(SUM($D$35:IF35)=0,0,IF(IF(IG41&gt;0,IG41-(IF(SUM($D42:IF42)&gt;0,0,IF(IF$25&gt;IF40,IF40,0))),0)&lt;0,0,(IF(SUM($D42:IF42)&gt;0,0,IF(IF$25&gt;IF40,IF40,0)))))</f>
        <v>0</v>
      </c>
      <c r="IH42" s="115">
        <f>IF(SUM($D$35:IG35)=0,0,IF(IF(IH41&gt;0,IH41-(IF(SUM($D42:IG42)&gt;0,0,IF(IG$25&gt;IG40,IG40,0))),0)&lt;0,0,(IF(SUM($D42:IG42)&gt;0,0,IF(IG$25&gt;IG40,IG40,0)))))</f>
        <v>0</v>
      </c>
      <c r="II42" s="115">
        <f>IF(SUM($D$35:IH35)=0,0,IF(IF(II41&gt;0,II41-(IF(SUM($D42:IH42)&gt;0,0,IF(IH$25&gt;IH40,IH40,0))),0)&lt;0,0,(IF(SUM($D42:IH42)&gt;0,0,IF(IH$25&gt;IH40,IH40,0)))))</f>
        <v>0</v>
      </c>
      <c r="IJ42" s="115">
        <f>IF(SUM($D$35:II35)=0,0,IF(IF(IJ41&gt;0,IJ41-(IF(SUM($D42:II42)&gt;0,0,IF(II$25&gt;II40,II40,0))),0)&lt;0,0,(IF(SUM($D42:II42)&gt;0,0,IF(II$25&gt;II40,II40,0)))))</f>
        <v>0</v>
      </c>
      <c r="IK42" s="115">
        <f>IF(SUM($D$35:IJ35)=0,0,IF(IF(IK41&gt;0,IK41-(IF(SUM($D42:IJ42)&gt;0,0,IF(IJ$25&gt;IJ40,IJ40,0))),0)&lt;0,0,(IF(SUM($D42:IJ42)&gt;0,0,IF(IJ$25&gt;IJ40,IJ40,0)))))</f>
        <v>0</v>
      </c>
      <c r="IL42" s="115">
        <f>IF(SUM($D$35:IK35)=0,0,IF(IF(IL41&gt;0,IL41-(IF(SUM($D42:IK42)&gt;0,0,IF(IK$25&gt;IK40,IK40,0))),0)&lt;0,0,(IF(SUM($D42:IK42)&gt;0,0,IF(IK$25&gt;IK40,IK40,0)))))</f>
        <v>0</v>
      </c>
      <c r="IM42" s="115">
        <f>IF(SUM($D$35:IL35)=0,0,IF(IF(IM41&gt;0,IM41-(IF(SUM($D42:IL42)&gt;0,0,IF(IL$25&gt;IL40,IL40,0))),0)&lt;0,0,(IF(SUM($D42:IL42)&gt;0,0,IF(IL$25&gt;IL40,IL40,0)))))</f>
        <v>0</v>
      </c>
      <c r="IN42" s="115">
        <f>IF(SUM($D$35:IM35)=0,0,IF(IF(IN41&gt;0,IN41-(IF(SUM($D42:IM42)&gt;0,0,IF(IM$25&gt;IM40,IM40,0))),0)&lt;0,0,(IF(SUM($D42:IM42)&gt;0,0,IF(IM$25&gt;IM40,IM40,0)))))</f>
        <v>0</v>
      </c>
      <c r="IO42" s="115">
        <f>IF(SUM($D$35:IN35)=0,0,IF(IF(IO41&gt;0,IO41-(IF(SUM($D42:IN42)&gt;0,0,IF(IN$25&gt;IN40,IN40,0))),0)&lt;0,0,(IF(SUM($D42:IN42)&gt;0,0,IF(IN$25&gt;IN40,IN40,0)))))</f>
        <v>0</v>
      </c>
      <c r="IP42" s="115">
        <f>IF(SUM($D$35:IO35)=0,0,IF(IF(IP41&gt;0,IP41-(IF(SUM($D42:IO42)&gt;0,0,IF(IO$25&gt;IO40,IO40,0))),0)&lt;0,0,(IF(SUM($D42:IO42)&gt;0,0,IF(IO$25&gt;IO40,IO40,0)))))</f>
        <v>0</v>
      </c>
      <c r="IQ42" s="115">
        <f>IF(SUM($D$35:IP35)=0,0,IF(IF(IQ41&gt;0,IQ41-(IF(SUM($D42:IP42)&gt;0,0,IF(IP$25&gt;IP40,IP40,0))),0)&lt;0,0,(IF(SUM($D42:IP42)&gt;0,0,IF(IP$25&gt;IP40,IP40,0)))))</f>
        <v>0</v>
      </c>
      <c r="IR42" s="115">
        <f>IF(SUM($D$35:IQ35)=0,0,IF(IF(IR41&gt;0,IR41-(IF(SUM($D42:IQ42)&gt;0,0,IF(IQ$25&gt;IQ40,IQ40,0))),0)&lt;0,0,(IF(SUM($D42:IQ42)&gt;0,0,IF(IQ$25&gt;IQ40,IQ40,0)))))</f>
        <v>0</v>
      </c>
      <c r="IS42" s="115">
        <f>IF(SUM($D$35:IR35)=0,0,IF(IF(IS41&gt;0,IS41-(IF(SUM($D42:IR42)&gt;0,0,IF(IR$25&gt;IR40,IR40,0))),0)&lt;0,0,(IF(SUM($D42:IR42)&gt;0,0,IF(IR$25&gt;IR40,IR40,0)))))</f>
        <v>0</v>
      </c>
      <c r="IT42" s="115">
        <f>IF(SUM($D$35:IS35)=0,0,IF(IF(IT41&gt;0,IT41-(IF(SUM($D42:IS42)&gt;0,0,IF(IS$25&gt;IS40,IS40,0))),0)&lt;0,0,(IF(SUM($D42:IS42)&gt;0,0,IF(IS$25&gt;IS40,IS40,0)))))</f>
        <v>0</v>
      </c>
      <c r="IU42" s="115">
        <f>IF(SUM($D$35:IT35)=0,0,IF(IF(IU41&gt;0,IU41-(IF(SUM($D42:IT42)&gt;0,0,IF(IT$25&gt;IT40,IT40,0))),0)&lt;0,0,(IF(SUM($D42:IT42)&gt;0,0,IF(IT$25&gt;IT40,IT40,0)))))</f>
        <v>0</v>
      </c>
      <c r="IV42" s="115">
        <f>IF(SUM($D$35:IU35)=0,0,IF(IF(IV41&gt;0,IV41-(IF(SUM($D42:IU42)&gt;0,0,IF(IU$25&gt;IU40,IU40,0))),0)&lt;0,0,(IF(SUM($D42:IU42)&gt;0,0,IF(IU$25&gt;IU40,IU40,0)))))</f>
        <v>0</v>
      </c>
      <c r="IW42" s="115">
        <f>IF(SUM($D$35:IV35)=0,0,IF(IF(IW41&gt;0,IW41-(IF(SUM($D42:IV42)&gt;0,0,IF(IV$25&gt;IV40,IV40,0))),0)&lt;0,0,(IF(SUM($D42:IV42)&gt;0,0,IF(IV$25&gt;IV40,IV40,0)))))</f>
        <v>0</v>
      </c>
      <c r="IX42" s="115">
        <f>IF(SUM($D$35:IW35)=0,0,IF(IF(IX41&gt;0,IX41-(IF(SUM($D42:IW42)&gt;0,0,IF(IW$25&gt;IW40,IW40,0))),0)&lt;0,0,(IF(SUM($D42:IW42)&gt;0,0,IF(IW$25&gt;IW40,IW40,0)))))</f>
        <v>0</v>
      </c>
      <c r="IY42" s="115">
        <f>IF(SUM($D$35:IX35)=0,0,IF(IF(IY41&gt;0,IY41-(IF(SUM($D42:IX42)&gt;0,0,IF(IX$25&gt;IX40,IX40,0))),0)&lt;0,0,(IF(SUM($D42:IX42)&gt;0,0,IF(IX$25&gt;IX40,IX40,0)))))</f>
        <v>0</v>
      </c>
      <c r="IZ42" s="115">
        <f>IF(SUM($D$35:IY35)=0,0,IF(IF(IZ41&gt;0,IZ41-(IF(SUM($D42:IY42)&gt;0,0,IF(IY$25&gt;IY40,IY40,0))),0)&lt;0,0,(IF(SUM($D42:IY42)&gt;0,0,IF(IY$25&gt;IY40,IY40,0)))))</f>
        <v>0</v>
      </c>
      <c r="JA42" s="115">
        <f>IF(SUM($D$35:IZ35)=0,0,IF(IF(JA41&gt;0,JA41-(IF(SUM($D42:IZ42)&gt;0,0,IF(IZ$25&gt;IZ40,IZ40,0))),0)&lt;0,0,(IF(SUM($D42:IZ42)&gt;0,0,IF(IZ$25&gt;IZ40,IZ40,0)))))</f>
        <v>0</v>
      </c>
      <c r="JB42" s="115">
        <f>IF(SUM($D$35:JA35)=0,0,IF(IF(JB41&gt;0,JB41-(IF(SUM($D42:JA42)&gt;0,0,IF(JA$25&gt;JA40,JA40,0))),0)&lt;0,0,(IF(SUM($D42:JA42)&gt;0,0,IF(JA$25&gt;JA40,JA40,0)))))</f>
        <v>0</v>
      </c>
      <c r="JC42" s="115">
        <f>IF(SUM($D$35:JB35)=0,0,IF(IF(JC41&gt;0,JC41-(IF(SUM($D42:JB42)&gt;0,0,IF(JB$25&gt;JB40,JB40,0))),0)&lt;0,0,(IF(SUM($D42:JB42)&gt;0,0,IF(JB$25&gt;JB40,JB40,0)))))</f>
        <v>0</v>
      </c>
      <c r="JD42" s="115">
        <f>IF(SUM($D$35:JC35)=0,0,IF(IF(JD41&gt;0,JD41-(IF(SUM($D42:JC42)&gt;0,0,IF(JC$25&gt;JC40,JC40,0))),0)&lt;0,0,(IF(SUM($D42:JC42)&gt;0,0,IF(JC$25&gt;JC40,JC40,0)))))</f>
        <v>0</v>
      </c>
      <c r="JE42" s="115">
        <f>IF(SUM($D$35:JD35)=0,0,IF(IF(JE41&gt;0,JE41-(IF(SUM($D42:JD42)&gt;0,0,IF(JD$25&gt;JD40,JD40,0))),0)&lt;0,0,(IF(SUM($D42:JD42)&gt;0,0,IF(JD$25&gt;JD40,JD40,0)))))</f>
        <v>0</v>
      </c>
      <c r="JF42" s="115">
        <f>IF(SUM($D$35:JE35)=0,0,IF(IF(JF41&gt;0,JF41-(IF(SUM($D42:JE42)&gt;0,0,IF(JE$25&gt;JE40,JE40,0))),0)&lt;0,0,(IF(SUM($D42:JE42)&gt;0,0,IF(JE$25&gt;JE40,JE40,0)))))</f>
        <v>0</v>
      </c>
      <c r="JG42" s="115">
        <f>IF(SUM($D$35:JF35)=0,0,IF(IF(JG41&gt;0,JG41-(IF(SUM($D42:JF42)&gt;0,0,IF(JF$25&gt;JF40,JF40,0))),0)&lt;0,0,(IF(SUM($D42:JF42)&gt;0,0,IF(JF$25&gt;JF40,JF40,0)))))</f>
        <v>0</v>
      </c>
      <c r="JH42" s="115">
        <f>IF(SUM($D$35:JG35)=0,0,IF(IF(JH41&gt;0,JH41-(IF(SUM($D42:JG42)&gt;0,0,IF(JG$25&gt;JG40,JG40,0))),0)&lt;0,0,(IF(SUM($D42:JG42)&gt;0,0,IF(JG$25&gt;JG40,JG40,0)))))</f>
        <v>0</v>
      </c>
      <c r="JI42" s="115">
        <f>IF(SUM($D$35:JH35)=0,0,IF(IF(JI41&gt;0,JI41-(IF(SUM($D42:JH42)&gt;0,0,IF(JH$25&gt;JH40,JH40,0))),0)&lt;0,0,(IF(SUM($D42:JH42)&gt;0,0,IF(JH$25&gt;JH40,JH40,0)))))</f>
        <v>0</v>
      </c>
      <c r="JJ42" s="115">
        <f>IF(SUM($D$35:JI35)=0,0,IF(IF(JJ41&gt;0,JJ41-(IF(SUM($D42:JI42)&gt;0,0,IF(JI$25&gt;JI40,JI40,0))),0)&lt;0,0,(IF(SUM($D42:JI42)&gt;0,0,IF(JI$25&gt;JI40,JI40,0)))))</f>
        <v>0</v>
      </c>
      <c r="JK42" s="115">
        <f>IF(SUM($D$35:JJ35)=0,0,IF(IF(JK41&gt;0,JK41-(IF(SUM($D42:JJ42)&gt;0,0,IF(JJ$25&gt;JJ40,JJ40,0))),0)&lt;0,0,(IF(SUM($D42:JJ42)&gt;0,0,IF(JJ$25&gt;JJ40,JJ40,0)))))</f>
        <v>0</v>
      </c>
      <c r="JL42" s="115">
        <f>IF(SUM($D$35:JK35)=0,0,IF(IF(JL41&gt;0,JL41-(IF(SUM($D42:JK42)&gt;0,0,IF(JK$25&gt;JK40,JK40,0))),0)&lt;0,0,(IF(SUM($D42:JK42)&gt;0,0,IF(JK$25&gt;JK40,JK40,0)))))</f>
        <v>0</v>
      </c>
      <c r="JM42" s="115">
        <f>IF(SUM($D$35:JL35)=0,0,IF(IF(JM41&gt;0,JM41-(IF(SUM($D42:JL42)&gt;0,0,IF(JL$25&gt;JL40,JL40,0))),0)&lt;0,0,(IF(SUM($D42:JL42)&gt;0,0,IF(JL$25&gt;JL40,JL40,0)))))</f>
        <v>0</v>
      </c>
      <c r="JN42" s="115">
        <f>IF(SUM($D$35:JM35)=0,0,IF(IF(JN41&gt;0,JN41-(IF(SUM($D42:JM42)&gt;0,0,IF(JM$25&gt;JM40,JM40,0))),0)&lt;0,0,(IF(SUM($D42:JM42)&gt;0,0,IF(JM$25&gt;JM40,JM40,0)))))</f>
        <v>0</v>
      </c>
      <c r="JO42" s="115">
        <f>IF(SUM($D$35:JN35)=0,0,IF(IF(JO41&gt;0,JO41-(IF(SUM($D42:JN42)&gt;0,0,IF(JN$25&gt;JN40,JN40,0))),0)&lt;0,0,(IF(SUM($D42:JN42)&gt;0,0,IF(JN$25&gt;JN40,JN40,0)))))</f>
        <v>0</v>
      </c>
      <c r="JP42" s="115">
        <f>IF(SUM($D$35:JO35)=0,0,IF(IF(JP41&gt;0,JP41-(IF(SUM($D42:JO42)&gt;0,0,IF(JO$25&gt;JO40,JO40,0))),0)&lt;0,0,(IF(SUM($D42:JO42)&gt;0,0,IF(JO$25&gt;JO40,JO40,0)))))</f>
        <v>0</v>
      </c>
      <c r="JQ42" s="115">
        <f>IF(SUM($D$35:JP35)=0,0,IF(IF(JQ41&gt;0,JQ41-(IF(SUM($D42:JP42)&gt;0,0,IF(JP$25&gt;JP40,JP40,0))),0)&lt;0,0,(IF(SUM($D42:JP42)&gt;0,0,IF(JP$25&gt;JP40,JP40,0)))))</f>
        <v>0</v>
      </c>
      <c r="JR42" s="115">
        <f>IF(SUM($D$35:JQ35)=0,0,IF(IF(JR41&gt;0,JR41-(IF(SUM($D42:JQ42)&gt;0,0,IF(JQ$25&gt;JQ40,JQ40,0))),0)&lt;0,0,(IF(SUM($D42:JQ42)&gt;0,0,IF(JQ$25&gt;JQ40,JQ40,0)))))</f>
        <v>0</v>
      </c>
      <c r="JS42" s="115">
        <f>IF(SUM($D$35:JR35)=0,0,IF(IF(JS41&gt;0,JS41-(IF(SUM($D42:JR42)&gt;0,0,IF(JR$25&gt;JR40,JR40,0))),0)&lt;0,0,(IF(SUM($D42:JR42)&gt;0,0,IF(JR$25&gt;JR40,JR40,0)))))</f>
        <v>0</v>
      </c>
      <c r="JT42" s="115">
        <f>IF(SUM($D$35:JS35)=0,0,IF(IF(JT41&gt;0,JT41-(IF(SUM($D42:JS42)&gt;0,0,IF(JS$25&gt;JS40,JS40,0))),0)&lt;0,0,(IF(SUM($D42:JS42)&gt;0,0,IF(JS$25&gt;JS40,JS40,0)))))</f>
        <v>0</v>
      </c>
      <c r="JU42" s="115">
        <f>IF(SUM($D$35:JT35)=0,0,IF(IF(JU41&gt;0,JU41-(IF(SUM($D42:JT42)&gt;0,0,IF(JT$25&gt;JT40,JT40,0))),0)&lt;0,0,(IF(SUM($D42:JT42)&gt;0,0,IF(JT$25&gt;JT40,JT40,0)))))</f>
        <v>0</v>
      </c>
      <c r="JV42" s="115">
        <f>IF(SUM($D$35:JU35)=0,0,IF(IF(JV41&gt;0,JV41-(IF(SUM($D42:JU42)&gt;0,0,IF(JU$25&gt;JU40,JU40,0))),0)&lt;0,0,(IF(SUM($D42:JU42)&gt;0,0,IF(JU$25&gt;JU40,JU40,0)))))</f>
        <v>0</v>
      </c>
      <c r="JW42" s="115">
        <f>IF(SUM($D$35:JV35)=0,0,IF(IF(JW41&gt;0,JW41-(IF(SUM($D42:JV42)&gt;0,0,IF(JV$25&gt;JV40,JV40,0))),0)&lt;0,0,(IF(SUM($D42:JV42)&gt;0,0,IF(JV$25&gt;JV40,JV40,0)))))</f>
        <v>0</v>
      </c>
      <c r="JX42" s="115">
        <f>IF(SUM($D$35:JW35)=0,0,IF(IF(JX41&gt;0,JX41-(IF(SUM($D42:JW42)&gt;0,0,IF(JW$25&gt;JW40,JW40,0))),0)&lt;0,0,(IF(SUM($D42:JW42)&gt;0,0,IF(JW$25&gt;JW40,JW40,0)))))</f>
        <v>0</v>
      </c>
      <c r="JY42" s="115">
        <f>IF(SUM($D$35:JX35)=0,0,IF(IF(JY41&gt;0,JY41-(IF(SUM($D42:JX42)&gt;0,0,IF(JX$25&gt;JX40,JX40,0))),0)&lt;0,0,(IF(SUM($D42:JX42)&gt;0,0,IF(JX$25&gt;JX40,JX40,0)))))</f>
        <v>0</v>
      </c>
      <c r="JZ42" s="115">
        <f>IF(SUM($D$35:JY35)=0,0,IF(IF(JZ41&gt;0,JZ41-(IF(SUM($D42:JY42)&gt;0,0,IF(JY$25&gt;JY40,JY40,0))),0)&lt;0,0,(IF(SUM($D42:JY42)&gt;0,0,IF(JY$25&gt;JY40,JY40,0)))))</f>
        <v>0</v>
      </c>
      <c r="KA42" s="115">
        <f>IF(SUM($D$35:JZ35)=0,0,IF(IF(KA41&gt;0,KA41-(IF(SUM($D42:JZ42)&gt;0,0,IF(JZ$25&gt;JZ40,JZ40,0))),0)&lt;0,0,(IF(SUM($D42:JZ42)&gt;0,0,IF(JZ$25&gt;JZ40,JZ40,0)))))</f>
        <v>0</v>
      </c>
      <c r="KB42" s="115">
        <f>IF(SUM($D$35:KA35)=0,0,IF(IF(KB41&gt;0,KB41-(IF(SUM($D42:KA42)&gt;0,0,IF(KA$25&gt;KA40,KA40,0))),0)&lt;0,0,(IF(SUM($D42:KA42)&gt;0,0,IF(KA$25&gt;KA40,KA40,0)))))</f>
        <v>0</v>
      </c>
      <c r="KC42" s="115">
        <f>IF(SUM($D$35:KB35)=0,0,IF(IF(KC41&gt;0,KC41-(IF(SUM($D42:KB42)&gt;0,0,IF(KB$25&gt;KB40,KB40,0))),0)&lt;0,0,(IF(SUM($D42:KB42)&gt;0,0,IF(KB$25&gt;KB40,KB40,0)))))</f>
        <v>0</v>
      </c>
      <c r="KD42" s="115">
        <f>IF(SUM($D$35:KC35)=0,0,IF(IF(KD41&gt;0,KD41-(IF(SUM($D42:KC42)&gt;0,0,IF(KC$25&gt;KC40,KC40,0))),0)&lt;0,0,(IF(SUM($D42:KC42)&gt;0,0,IF(KC$25&gt;KC40,KC40,0)))))</f>
        <v>0</v>
      </c>
      <c r="KE42" s="115">
        <f>IF(SUM($D$35:KD35)=0,0,IF(IF(KE41&gt;0,KE41-(IF(SUM($D42:KD42)&gt;0,0,IF(KD$25&gt;KD40,KD40,0))),0)&lt;0,0,(IF(SUM($D42:KD42)&gt;0,0,IF(KD$25&gt;KD40,KD40,0)))))</f>
        <v>0</v>
      </c>
      <c r="KF42" s="115">
        <f>IF(SUM($D$35:KE35)=0,0,IF(IF(KF41&gt;0,KF41-(IF(SUM($D42:KE42)&gt;0,0,IF(KE$25&gt;KE40,KE40,0))),0)&lt;0,0,(IF(SUM($D42:KE42)&gt;0,0,IF(KE$25&gt;KE40,KE40,0)))))</f>
        <v>0</v>
      </c>
      <c r="KG42" s="115">
        <f>IF(SUM($D$35:KF35)=0,0,IF(IF(KG41&gt;0,KG41-(IF(SUM($D42:KF42)&gt;0,0,IF(KF$25&gt;KF40,KF40,0))),0)&lt;0,0,(IF(SUM($D42:KF42)&gt;0,0,IF(KF$25&gt;KF40,KF40,0)))))</f>
        <v>0</v>
      </c>
      <c r="KH42" s="115">
        <f>IF(SUM($D$35:KG35)=0,0,IF(IF(KH41&gt;0,KH41-(IF(SUM($D42:KG42)&gt;0,0,IF(KG$25&gt;KG40,KG40,0))),0)&lt;0,0,(IF(SUM($D42:KG42)&gt;0,0,IF(KG$25&gt;KG40,KG40,0)))))</f>
        <v>0</v>
      </c>
      <c r="KI42" s="115">
        <f>IF(SUM($D$35:KH35)=0,0,IF(IF(KI41&gt;0,KI41-(IF(SUM($D42:KH42)&gt;0,0,IF(KH$25&gt;KH40,KH40,0))),0)&lt;0,0,(IF(SUM($D42:KH42)&gt;0,0,IF(KH$25&gt;KH40,KH40,0)))))</f>
        <v>0</v>
      </c>
      <c r="KJ42" s="115">
        <f>IF(SUM($D$35:KI35)=0,0,IF(IF(KJ41&gt;0,KJ41-(IF(SUM($D42:KI42)&gt;0,0,IF(KI$25&gt;KI40,KI40,0))),0)&lt;0,0,(IF(SUM($D42:KI42)&gt;0,0,IF(KI$25&gt;KI40,KI40,0)))))</f>
        <v>0</v>
      </c>
      <c r="KK42" s="115">
        <f>IF(SUM($D$35:KJ35)=0,0,IF(IF(KK41&gt;0,KK41-(IF(SUM($D42:KJ42)&gt;0,0,IF(KJ$25&gt;KJ40,KJ40,0))),0)&lt;0,0,(IF(SUM($D42:KJ42)&gt;0,0,IF(KJ$25&gt;KJ40,KJ40,0)))))</f>
        <v>0</v>
      </c>
      <c r="KL42" s="115">
        <f>IF(SUM($D$35:KK35)=0,0,IF(IF(KL41&gt;0,KL41-(IF(SUM($D42:KK42)&gt;0,0,IF(KK$25&gt;KK40,KK40,0))),0)&lt;0,0,(IF(SUM($D42:KK42)&gt;0,0,IF(KK$25&gt;KK40,KK40,0)))))</f>
        <v>0</v>
      </c>
      <c r="KM42" s="115">
        <f>IF(SUM($D$35:KL35)=0,0,IF(IF(KM41&gt;0,KM41-(IF(SUM($D42:KL42)&gt;0,0,IF(KL$25&gt;KL40,KL40,0))),0)&lt;0,0,(IF(SUM($D42:KL42)&gt;0,0,IF(KL$25&gt;KL40,KL40,0)))))</f>
        <v>0</v>
      </c>
      <c r="KN42" s="115">
        <f>IF(SUM($D$35:KM35)=0,0,IF(IF(KN41&gt;0,KN41-(IF(SUM($D42:KM42)&gt;0,0,IF(KM$25&gt;KM40,KM40,0))),0)&lt;0,0,(IF(SUM($D42:KM42)&gt;0,0,IF(KM$25&gt;KM40,KM40,0)))))</f>
        <v>0</v>
      </c>
      <c r="KO42" s="115">
        <f>IF(SUM($D$35:KN35)=0,0,IF(IF(KO41&gt;0,KO41-(IF(SUM($D42:KN42)&gt;0,0,IF(KN$25&gt;KN40,KN40,0))),0)&lt;0,0,(IF(SUM($D42:KN42)&gt;0,0,IF(KN$25&gt;KN40,KN40,0)))))</f>
        <v>0</v>
      </c>
      <c r="KP42" s="115">
        <f>IF(SUM($D$35:KO35)=0,0,IF(IF(KP41&gt;0,KP41-(IF(SUM($D42:KO42)&gt;0,0,IF(KO$25&gt;KO40,KO40,0))),0)&lt;0,0,(IF(SUM($D42:KO42)&gt;0,0,IF(KO$25&gt;KO40,KO40,0)))))</f>
        <v>0</v>
      </c>
      <c r="KQ42" s="115">
        <f>IF(SUM($D$35:KP35)=0,0,IF(IF(KQ41&gt;0,KQ41-(IF(SUM($D42:KP42)&gt;0,0,IF(KP$25&gt;KP40,KP40,0))),0)&lt;0,0,(IF(SUM($D42:KP42)&gt;0,0,IF(KP$25&gt;KP40,KP40,0)))))</f>
        <v>0</v>
      </c>
      <c r="KR42" s="115">
        <f>IF(SUM($D$35:KQ35)=0,0,IF(IF(KR41&gt;0,KR41-(IF(SUM($D42:KQ42)&gt;0,0,IF(KQ$25&gt;KQ40,KQ40,0))),0)&lt;0,0,(IF(SUM($D42:KQ42)&gt;0,0,IF(KQ$25&gt;KQ40,KQ40,0)))))</f>
        <v>0</v>
      </c>
      <c r="KS42" s="115">
        <f>IF(SUM($D$35:KR35)=0,0,IF(IF(KS41&gt;0,KS41-(IF(SUM($D42:KR42)&gt;0,0,IF(KR$25&gt;KR40,KR40,0))),0)&lt;0,0,(IF(SUM($D42:KR42)&gt;0,0,IF(KR$25&gt;KR40,KR40,0)))))</f>
        <v>0</v>
      </c>
      <c r="KT42" s="115">
        <f>IF(SUM($D$35:KS35)=0,0,IF(IF(KT41&gt;0,KT41-(IF(SUM($D42:KS42)&gt;0,0,IF(KS$25&gt;KS40,KS40,0))),0)&lt;0,0,(IF(SUM($D42:KS42)&gt;0,0,IF(KS$25&gt;KS40,KS40,0)))))</f>
        <v>0</v>
      </c>
      <c r="KU42" s="115">
        <f>IF(SUM($D$35:KT35)=0,0,IF(IF(KU41&gt;0,KU41-(IF(SUM($D42:KT42)&gt;0,0,IF(KT$25&gt;KT40,KT40,0))),0)&lt;0,0,(IF(SUM($D42:KT42)&gt;0,0,IF(KT$25&gt;KT40,KT40,0)))))</f>
        <v>0</v>
      </c>
      <c r="KV42" s="115">
        <f>IF(SUM($D$35:KU35)=0,0,IF(IF(KV41&gt;0,KV41-(IF(SUM($D42:KU42)&gt;0,0,IF(KU$25&gt;KU40,KU40,0))),0)&lt;0,0,(IF(SUM($D42:KU42)&gt;0,0,IF(KU$25&gt;KU40,KU40,0)))))</f>
        <v>0</v>
      </c>
      <c r="KW42" s="115">
        <f>IF(SUM($D$35:KV35)=0,0,IF(IF(KW41&gt;0,KW41-(IF(SUM($D42:KV42)&gt;0,0,IF(KV$25&gt;KV40,KV40,0))),0)&lt;0,0,(IF(SUM($D42:KV42)&gt;0,0,IF(KV$25&gt;KV40,KV40,0)))))</f>
        <v>0</v>
      </c>
      <c r="KX42" s="115">
        <f>IF(SUM($D$35:KW35)=0,0,IF(IF(KX41&gt;0,KX41-(IF(SUM($D42:KW42)&gt;0,0,IF(KW$25&gt;KW40,KW40,0))),0)&lt;0,0,(IF(SUM($D42:KW42)&gt;0,0,IF(KW$25&gt;KW40,KW40,0)))))</f>
        <v>0</v>
      </c>
      <c r="KY42" s="115">
        <f>IF(SUM($D$35:KX35)=0,0,IF(IF(KY41&gt;0,KY41-(IF(SUM($D42:KX42)&gt;0,0,IF(KX$25&gt;KX40,KX40,0))),0)&lt;0,0,(IF(SUM($D42:KX42)&gt;0,0,IF(KX$25&gt;KX40,KX40,0)))))</f>
        <v>0</v>
      </c>
      <c r="KZ42" s="115">
        <f>IF(SUM($D$35:KY35)=0,0,IF(IF(KZ41&gt;0,KZ41-(IF(SUM($D42:KY42)&gt;0,0,IF(KY$25&gt;KY40,KY40,0))),0)&lt;0,0,(IF(SUM($D42:KY42)&gt;0,0,IF(KY$25&gt;KY40,KY40,0)))))</f>
        <v>0</v>
      </c>
      <c r="LA42" s="115">
        <f>IF(SUM($D$35:KZ35)=0,0,IF(IF(LA41&gt;0,LA41-(IF(SUM($D42:KZ42)&gt;0,0,IF(KZ$25&gt;KZ40,KZ40,0))),0)&lt;0,0,(IF(SUM($D42:KZ42)&gt;0,0,IF(KZ$25&gt;KZ40,KZ40,0)))))</f>
        <v>0</v>
      </c>
      <c r="LB42" s="115">
        <f>IF(SUM($D$35:LA35)=0,0,IF(IF(LB41&gt;0,LB41-(IF(SUM($D42:LA42)&gt;0,0,IF(LA$25&gt;LA40,LA40,0))),0)&lt;0,0,(IF(SUM($D42:LA42)&gt;0,0,IF(LA$25&gt;LA40,LA40,0)))))</f>
        <v>0</v>
      </c>
      <c r="LC42" s="115">
        <f>IF(SUM($D$35:LB35)=0,0,IF(IF(LC41&gt;0,LC41-(IF(SUM($D42:LB42)&gt;0,0,IF(LB$25&gt;LB40,LB40,0))),0)&lt;0,0,(IF(SUM($D42:LB42)&gt;0,0,IF(LB$25&gt;LB40,LB40,0)))))</f>
        <v>0</v>
      </c>
      <c r="LD42" s="115">
        <f>IF(SUM($D$35:LC35)=0,0,IF(IF(LD41&gt;0,LD41-(IF(SUM($D42:LC42)&gt;0,0,IF(LC$25&gt;LC40,LC40,0))),0)&lt;0,0,(IF(SUM($D42:LC42)&gt;0,0,IF(LC$25&gt;LC40,LC40,0)))))</f>
        <v>0</v>
      </c>
      <c r="LE42" s="115">
        <f>IF(SUM($D$35:LD35)=0,0,IF(IF(LE41&gt;0,LE41-(IF(SUM($D42:LD42)&gt;0,0,IF(LD$25&gt;LD40,LD40,0))),0)&lt;0,0,(IF(SUM($D42:LD42)&gt;0,0,IF(LD$25&gt;LD40,LD40,0)))))</f>
        <v>0</v>
      </c>
      <c r="LF42" s="115">
        <f>IF(SUM($D$35:LE35)=0,0,IF(IF(LF41&gt;0,LF41-(IF(SUM($D42:LE42)&gt;0,0,IF(LE$25&gt;LE40,LE40,0))),0)&lt;0,0,(IF(SUM($D42:LE42)&gt;0,0,IF(LE$25&gt;LE40,LE40,0)))))</f>
        <v>0</v>
      </c>
      <c r="LG42" s="115">
        <f>IF(SUM($D$35:LF35)=0,0,IF(IF(LG41&gt;0,LG41-(IF(SUM($D42:LF42)&gt;0,0,IF(LF$25&gt;LF40,LF40,0))),0)&lt;0,0,(IF(SUM($D42:LF42)&gt;0,0,IF(LF$25&gt;LF40,LF40,0)))))</f>
        <v>0</v>
      </c>
      <c r="LH42" s="115">
        <f>IF(SUM($D$35:LG35)=0,0,IF(IF(LH41&gt;0,LH41-(IF(SUM($D42:LG42)&gt;0,0,IF(LG$25&gt;LG40,LG40,0))),0)&lt;0,0,(IF(SUM($D42:LG42)&gt;0,0,IF(LG$25&gt;LG40,LG40,0)))))</f>
        <v>0</v>
      </c>
      <c r="LI42" s="115">
        <f>IF(SUM($D$35:LH35)=0,0,IF(IF(LI41&gt;0,LI41-(IF(SUM($D42:LH42)&gt;0,0,IF(LH$25&gt;LH40,LH40,0))),0)&lt;0,0,(IF(SUM($D42:LH42)&gt;0,0,IF(LH$25&gt;LH40,LH40,0)))))</f>
        <v>0</v>
      </c>
      <c r="LJ42" s="115">
        <f>IF(SUM($D$35:LI35)=0,0,IF(IF(LJ41&gt;0,LJ41-(IF(SUM($D42:LI42)&gt;0,0,IF(LI$25&gt;LI40,LI40,0))),0)&lt;0,0,(IF(SUM($D42:LI42)&gt;0,0,IF(LI$25&gt;LI40,LI40,0)))))</f>
        <v>0</v>
      </c>
      <c r="LK42" s="115">
        <f>IF(SUM($D$35:LJ35)=0,0,IF(IF(LK41&gt;0,LK41-(IF(SUM($D42:LJ42)&gt;0,0,IF(LJ$25&gt;LJ40,LJ40,0))),0)&lt;0,0,(IF(SUM($D42:LJ42)&gt;0,0,IF(LJ$25&gt;LJ40,LJ40,0)))))</f>
        <v>0</v>
      </c>
      <c r="LL42" s="115">
        <f>IF(SUM($D$35:LK35)=0,0,IF(IF(LL41&gt;0,LL41-(IF(SUM($D42:LK42)&gt;0,0,IF(LK$25&gt;LK40,LK40,0))),0)&lt;0,0,(IF(SUM($D42:LK42)&gt;0,0,IF(LK$25&gt;LK40,LK40,0)))))</f>
        <v>0</v>
      </c>
      <c r="LM42" s="115">
        <f>IF(SUM($D$35:LL35)=0,0,IF(IF(LM41&gt;0,LM41-(IF(SUM($D42:LL42)&gt;0,0,IF(LL$25&gt;LL40,LL40,0))),0)&lt;0,0,(IF(SUM($D42:LL42)&gt;0,0,IF(LL$25&gt;LL40,LL40,0)))))</f>
        <v>0</v>
      </c>
      <c r="LN42" s="115">
        <f>IF(SUM($D$35:LM35)=0,0,IF(IF(LN41&gt;0,LN41-(IF(SUM($D42:LM42)&gt;0,0,IF(LM$25&gt;LM40,LM40,0))),0)&lt;0,0,(IF(SUM($D42:LM42)&gt;0,0,IF(LM$25&gt;LM40,LM40,0)))))</f>
        <v>0</v>
      </c>
      <c r="LO42" s="115">
        <f>IF(SUM($D$35:LN35)=0,0,IF(IF(LO41&gt;0,LO41-(IF(SUM($D42:LN42)&gt;0,0,IF(LN$25&gt;LN40,LN40,0))),0)&lt;0,0,(IF(SUM($D42:LN42)&gt;0,0,IF(LN$25&gt;LN40,LN40,0)))))</f>
        <v>0</v>
      </c>
      <c r="LP42" s="115">
        <f>IF(SUM($D$35:LO35)=0,0,IF(IF(LP41&gt;0,LP41-(IF(SUM($D42:LO42)&gt;0,0,IF(LO$25&gt;LO40,LO40,0))),0)&lt;0,0,(IF(SUM($D42:LO42)&gt;0,0,IF(LO$25&gt;LO40,LO40,0)))))</f>
        <v>0</v>
      </c>
      <c r="LQ42" s="115">
        <f>IF(SUM($D$35:LP35)=0,0,IF(IF(LQ41&gt;0,LQ41-(IF(SUM($D42:LP42)&gt;0,0,IF(LP$25&gt;LP40,LP40,0))),0)&lt;0,0,(IF(SUM($D42:LP42)&gt;0,0,IF(LP$25&gt;LP40,LP40,0)))))</f>
        <v>0</v>
      </c>
      <c r="LR42" s="115">
        <f>IF(SUM($D$35:LQ35)=0,0,IF(IF(LR41&gt;0,LR41-(IF(SUM($D42:LQ42)&gt;0,0,IF(LQ$25&gt;LQ40,LQ40,0))),0)&lt;0,0,(IF(SUM($D42:LQ42)&gt;0,0,IF(LQ$25&gt;LQ40,LQ40,0)))))</f>
        <v>0</v>
      </c>
      <c r="LS42" s="115">
        <f>IF(SUM($D$35:LR35)=0,0,IF(IF(LS41&gt;0,LS41-(IF(SUM($D42:LR42)&gt;0,0,IF(LR$25&gt;LR40,LR40,0))),0)&lt;0,0,(IF(SUM($D42:LR42)&gt;0,0,IF(LR$25&gt;LR40,LR40,0)))))</f>
        <v>0</v>
      </c>
      <c r="LT42" s="115">
        <f>IF(SUM($D$35:LS35)=0,0,IF(IF(LT41&gt;0,LT41-(IF(SUM($D42:LS42)&gt;0,0,IF(LS$25&gt;LS40,LS40,0))),0)&lt;0,0,(IF(SUM($D42:LS42)&gt;0,0,IF(LS$25&gt;LS40,LS40,0)))))</f>
        <v>0</v>
      </c>
      <c r="LU42" s="115">
        <f>IF(SUM($D$35:LT35)=0,0,IF(IF(LU41&gt;0,LU41-(IF(SUM($D42:LT42)&gt;0,0,IF(LT$25&gt;LT40,LT40,0))),0)&lt;0,0,(IF(SUM($D42:LT42)&gt;0,0,IF(LT$25&gt;LT40,LT40,0)))))</f>
        <v>0</v>
      </c>
      <c r="LV42" s="115">
        <f>IF(SUM($D$35:LU35)=0,0,IF(IF(LV41&gt;0,LV41-(IF(SUM($D42:LU42)&gt;0,0,IF(LU$25&gt;LU40,LU40,0))),0)&lt;0,0,(IF(SUM($D42:LU42)&gt;0,0,IF(LU$25&gt;LU40,LU40,0)))))</f>
        <v>0</v>
      </c>
      <c r="LW42" s="115">
        <f>IF(SUM($D$35:LV35)=0,0,IF(IF(LW41&gt;0,LW41-(IF(SUM($D42:LV42)&gt;0,0,IF(LV$25&gt;LV40,LV40,0))),0)&lt;0,0,(IF(SUM($D42:LV42)&gt;0,0,IF(LV$25&gt;LV40,LV40,0)))))</f>
        <v>0</v>
      </c>
      <c r="LX42" s="115">
        <f>IF(SUM($D$35:LW35)=0,0,IF(IF(LX41&gt;0,LX41-(IF(SUM($D42:LW42)&gt;0,0,IF(LW$25&gt;LW40,LW40,0))),0)&lt;0,0,(IF(SUM($D42:LW42)&gt;0,0,IF(LW$25&gt;LW40,LW40,0)))))</f>
        <v>0</v>
      </c>
      <c r="LY42" s="115">
        <f>IF(SUM($D$35:LX35)=0,0,IF(IF(LY41&gt;0,LY41-(IF(SUM($D42:LX42)&gt;0,0,IF(LX$25&gt;LX40,LX40,0))),0)&lt;0,0,(IF(SUM($D42:LX42)&gt;0,0,IF(LX$25&gt;LX40,LX40,0)))))</f>
        <v>0</v>
      </c>
      <c r="LZ42" s="115">
        <f>IF(SUM($D$35:LY35)=0,0,IF(IF(LZ41&gt;0,LZ41-(IF(SUM($D42:LY42)&gt;0,0,IF(LY$25&gt;LY40,LY40,0))),0)&lt;0,0,(IF(SUM($D42:LY42)&gt;0,0,IF(LY$25&gt;LY40,LY40,0)))))</f>
        <v>0</v>
      </c>
      <c r="MA42" s="115">
        <f>IF(SUM($D$35:LZ35)=0,0,IF(IF(MA41&gt;0,MA41-(IF(SUM($D42:LZ42)&gt;0,0,IF(LZ$25&gt;LZ40,LZ40,0))),0)&lt;0,0,(IF(SUM($D42:LZ42)&gt;0,0,IF(LZ$25&gt;LZ40,LZ40,0)))))</f>
        <v>0</v>
      </c>
      <c r="MB42" s="115">
        <f>IF(SUM($D$35:MA35)=0,0,IF(IF(MB41&gt;0,MB41-(IF(SUM($D42:MA42)&gt;0,0,IF(MA$25&gt;MA40,MA40,0))),0)&lt;0,0,(IF(SUM($D42:MA42)&gt;0,0,IF(MA$25&gt;MA40,MA40,0)))))</f>
        <v>0</v>
      </c>
      <c r="MC42" s="115">
        <f>IF(SUM($D$35:MB35)=0,0,IF(IF(MC41&gt;0,MC41-(IF(SUM($D42:MB42)&gt;0,0,IF(MB$25&gt;MB40,MB40,0))),0)&lt;0,0,(IF(SUM($D42:MB42)&gt;0,0,IF(MB$25&gt;MB40,MB40,0)))))</f>
        <v>0</v>
      </c>
      <c r="MD42" s="115">
        <f>IF(SUM($D$35:MC35)=0,0,IF(IF(MD41&gt;0,MD41-(IF(SUM($D42:MC42)&gt;0,0,IF(MC$25&gt;MC40,MC40,0))),0)&lt;0,0,(IF(SUM($D42:MC42)&gt;0,0,IF(MC$25&gt;MC40,MC40,0)))))</f>
        <v>0</v>
      </c>
      <c r="ME42" s="115">
        <f>IF(SUM($D$35:MD35)=0,0,IF(IF(ME41&gt;0,ME41-(IF(SUM($D42:MD42)&gt;0,0,IF(MD$25&gt;MD40,MD40,0))),0)&lt;0,0,(IF(SUM($D42:MD42)&gt;0,0,IF(MD$25&gt;MD40,MD40,0)))))</f>
        <v>0</v>
      </c>
      <c r="MF42" s="115">
        <f>IF(SUM($D$35:ME35)=0,0,IF(IF(MF41&gt;0,MF41-(IF(SUM($D42:ME42)&gt;0,0,IF(ME$25&gt;ME40,ME40,0))),0)&lt;0,0,(IF(SUM($D42:ME42)&gt;0,0,IF(ME$25&gt;ME40,ME40,0)))))</f>
        <v>0</v>
      </c>
      <c r="MG42" s="115">
        <f>IF(SUM($D$35:MF35)=0,0,IF(IF(MG41&gt;0,MG41-(IF(SUM($D42:MF42)&gt;0,0,IF(MF$25&gt;MF40,MF40,0))),0)&lt;0,0,(IF(SUM($D42:MF42)&gt;0,0,IF(MF$25&gt;MF40,MF40,0)))))</f>
        <v>0</v>
      </c>
      <c r="MH42" s="115">
        <f>IF(SUM($D$35:MG35)=0,0,IF(IF(MH41&gt;0,MH41-(IF(SUM($D42:MG42)&gt;0,0,IF(MG$25&gt;MG40,MG40,0))),0)&lt;0,0,(IF(SUM($D42:MG42)&gt;0,0,IF(MG$25&gt;MG40,MG40,0)))))</f>
        <v>0</v>
      </c>
      <c r="MI42" s="115">
        <f>IF(SUM($D$35:MH35)=0,0,IF(IF(MI41&gt;0,MI41-(IF(SUM($D42:MH42)&gt;0,0,IF(MH$25&gt;MH40,MH40,0))),0)&lt;0,0,(IF(SUM($D42:MH42)&gt;0,0,IF(MH$25&gt;MH40,MH40,0)))))</f>
        <v>0</v>
      </c>
      <c r="MJ42" s="115">
        <f>IF(SUM($D$35:MI35)=0,0,IF(IF(MJ41&gt;0,MJ41-(IF(SUM($D42:MI42)&gt;0,0,IF(MI$25&gt;MI40,MI40,0))),0)&lt;0,0,(IF(SUM($D42:MI42)&gt;0,0,IF(MI$25&gt;MI40,MI40,0)))))</f>
        <v>0</v>
      </c>
      <c r="MK42" s="115">
        <f>IF(SUM($D$35:MJ35)=0,0,IF(IF(MK41&gt;0,MK41-(IF(SUM($D42:MJ42)&gt;0,0,IF(MJ$25&gt;MJ40,MJ40,0))),0)&lt;0,0,(IF(SUM($D42:MJ42)&gt;0,0,IF(MJ$25&gt;MJ40,MJ40,0)))))</f>
        <v>0</v>
      </c>
      <c r="ML42" s="115">
        <f>IF(SUM($D$35:MK35)=0,0,IF(IF(ML41&gt;0,ML41-(IF(SUM($D42:MK42)&gt;0,0,IF(MK$25&gt;MK40,MK40,0))),0)&lt;0,0,(IF(SUM($D42:MK42)&gt;0,0,IF(MK$25&gt;MK40,MK40,0)))))</f>
        <v>0</v>
      </c>
      <c r="MM42" s="115">
        <f>IF(SUM($D$35:ML35)=0,0,IF(IF(MM41&gt;0,MM41-(IF(SUM($D42:ML42)&gt;0,0,IF(ML$25&gt;ML40,ML40,0))),0)&lt;0,0,(IF(SUM($D42:ML42)&gt;0,0,IF(ML$25&gt;ML40,ML40,0)))))</f>
        <v>0</v>
      </c>
      <c r="MN42" s="115">
        <f>IF(SUM($D$35:MM35)=0,0,IF(IF(MN41&gt;0,MN41-(IF(SUM($D42:MM42)&gt;0,0,IF(MM$25&gt;MM40,MM40,0))),0)&lt;0,0,(IF(SUM($D42:MM42)&gt;0,0,IF(MM$25&gt;MM40,MM40,0)))))</f>
        <v>0</v>
      </c>
      <c r="MO42" s="115">
        <f>IF(SUM($D$35:MN35)=0,0,IF(IF(MO41&gt;0,MO41-(IF(SUM($D42:MN42)&gt;0,0,IF(MN$25&gt;MN40,MN40,0))),0)&lt;0,0,(IF(SUM($D42:MN42)&gt;0,0,IF(MN$25&gt;MN40,MN40,0)))))</f>
        <v>0</v>
      </c>
      <c r="MP42" s="115">
        <f>IF(SUM($D$35:MO35)=0,0,IF(IF(MP41&gt;0,MP41-(IF(SUM($D42:MO42)&gt;0,0,IF(MO$25&gt;MO40,MO40,0))),0)&lt;0,0,(IF(SUM($D42:MO42)&gt;0,0,IF(MO$25&gt;MO40,MO40,0)))))</f>
        <v>0</v>
      </c>
      <c r="MQ42" s="115">
        <f>IF(SUM($D$35:MP35)=0,0,IF(IF(MQ41&gt;0,MQ41-(IF(SUM($D42:MP42)&gt;0,0,IF(MP$25&gt;MP40,MP40,0))),0)&lt;0,0,(IF(SUM($D42:MP42)&gt;0,0,IF(MP$25&gt;MP40,MP40,0)))))</f>
        <v>0</v>
      </c>
      <c r="MR42" s="115">
        <f>IF(SUM($D$35:MQ35)=0,0,IF(IF(MR41&gt;0,MR41-(IF(SUM($D42:MQ42)&gt;0,0,IF(MQ$25&gt;MQ40,MQ40,0))),0)&lt;0,0,(IF(SUM($D42:MQ42)&gt;0,0,IF(MQ$25&gt;MQ40,MQ40,0)))))</f>
        <v>0</v>
      </c>
      <c r="MS42" s="115">
        <f>IF(SUM($D$35:MR35)=0,0,IF(IF(MS41&gt;0,MS41-(IF(SUM($D42:MR42)&gt;0,0,IF(MR$25&gt;MR40,MR40,0))),0)&lt;0,0,(IF(SUM($D42:MR42)&gt;0,0,IF(MR$25&gt;MR40,MR40,0)))))</f>
        <v>0</v>
      </c>
      <c r="MT42" s="115">
        <f>IF(SUM($D$35:MS35)=0,0,IF(IF(MT41&gt;0,MT41-(IF(SUM($D42:MS42)&gt;0,0,IF(MS$25&gt;MS40,MS40,0))),0)&lt;0,0,(IF(SUM($D42:MS42)&gt;0,0,IF(MS$25&gt;MS40,MS40,0)))))</f>
        <v>0</v>
      </c>
      <c r="MU42" s="115">
        <f>IF(SUM($D$35:MT35)=0,0,IF(IF(MU41&gt;0,MU41-(IF(SUM($D42:MT42)&gt;0,0,IF(MT$25&gt;MT40,MT40,0))),0)&lt;0,0,(IF(SUM($D42:MT42)&gt;0,0,IF(MT$25&gt;MT40,MT40,0)))))</f>
        <v>0</v>
      </c>
      <c r="MV42" s="115">
        <f>IF(SUM($D$35:MU35)=0,0,IF(IF(MV41&gt;0,MV41-(IF(SUM($D42:MU42)&gt;0,0,IF(MU$25&gt;MU40,MU40,0))),0)&lt;0,0,(IF(SUM($D42:MU42)&gt;0,0,IF(MU$25&gt;MU40,MU40,0)))))</f>
        <v>0</v>
      </c>
      <c r="MW42" s="115">
        <f>IF(SUM($D$35:MV35)=0,0,IF(IF(MW41&gt;0,MW41-(IF(SUM($D42:MV42)&gt;0,0,IF(MV$25&gt;MV40,MV40,0))),0)&lt;0,0,(IF(SUM($D42:MV42)&gt;0,0,IF(MV$25&gt;MV40,MV40,0)))))</f>
        <v>0</v>
      </c>
      <c r="MX42" s="115">
        <f>IF(SUM($D$35:MW35)=0,0,IF(IF(MX41&gt;0,MX41-(IF(SUM($D42:MW42)&gt;0,0,IF(MW$25&gt;MW40,MW40,0))),0)&lt;0,0,(IF(SUM($D42:MW42)&gt;0,0,IF(MW$25&gt;MW40,MW40,0)))))</f>
        <v>0</v>
      </c>
      <c r="MY42" s="115">
        <f>IF(SUM($D$35:MX35)=0,0,IF(IF(MY41&gt;0,MY41-(IF(SUM($D42:MX42)&gt;0,0,IF(MX$25&gt;MX40,MX40,0))),0)&lt;0,0,(IF(SUM($D42:MX42)&gt;0,0,IF(MX$25&gt;MX40,MX40,0)))))</f>
        <v>0</v>
      </c>
      <c r="MZ42" s="115">
        <f>IF(SUM($D$35:MY35)=0,0,IF(IF(MZ41&gt;0,MZ41-(IF(SUM($D42:MY42)&gt;0,0,IF(MY$25&gt;MY40,MY40,0))),0)&lt;0,0,(IF(SUM($D42:MY42)&gt;0,0,IF(MY$25&gt;MY40,MY40,0)))))</f>
        <v>0</v>
      </c>
      <c r="NA42" s="115">
        <f>IF(SUM($D$35:MZ35)=0,0,IF(IF(NA41&gt;0,NA41-(IF(SUM($D42:MZ42)&gt;0,0,IF(MZ$25&gt;MZ40,MZ40,0))),0)&lt;0,0,(IF(SUM($D42:MZ42)&gt;0,0,IF(MZ$25&gt;MZ40,MZ40,0)))))</f>
        <v>0</v>
      </c>
      <c r="NB42" s="115">
        <f>IF(SUM($D$35:NA35)=0,0,IF(IF(NB41&gt;0,NB41-(IF(SUM($D42:NA42)&gt;0,0,IF(NA$25&gt;NA40,NA40,0))),0)&lt;0,0,(IF(SUM($D42:NA42)&gt;0,0,IF(NA$25&gt;NA40,NA40,0)))))</f>
        <v>0</v>
      </c>
      <c r="NC42" s="115">
        <f>IF(SUM($D$35:NB35)=0,0,IF(IF(NC41&gt;0,NC41-(IF(SUM($D42:NB42)&gt;0,0,IF(NB$25&gt;NB40,NB40,0))),0)&lt;0,0,(IF(SUM($D42:NB42)&gt;0,0,IF(NB$25&gt;NB40,NB40,0)))))</f>
        <v>0</v>
      </c>
      <c r="ND42" s="115">
        <f>IF(SUM($D$35:NC35)=0,0,IF(IF(ND41&gt;0,ND41-(IF(SUM($D42:NC42)&gt;0,0,IF(NC$25&gt;NC40,NC40,0))),0)&lt;0,0,(IF(SUM($D42:NC42)&gt;0,0,IF(NC$25&gt;NC40,NC40,0)))))</f>
        <v>0</v>
      </c>
      <c r="NE42" s="115">
        <f>IF(SUM($D$35:ND35)=0,0,IF(IF(NE41&gt;0,NE41-(IF(SUM($D42:ND42)&gt;0,0,IF(ND$25&gt;ND40,ND40,0))),0)&lt;0,0,(IF(SUM($D42:ND42)&gt;0,0,IF(ND$25&gt;ND40,ND40,0)))))</f>
        <v>0</v>
      </c>
      <c r="NF42" s="115">
        <f>IF(SUM($D$35:NE35)=0,0,IF(IF(NF41&gt;0,NF41-(IF(SUM($D42:NE42)&gt;0,0,IF(NE$25&gt;NE40,NE40,0))),0)&lt;0,0,(IF(SUM($D42:NE42)&gt;0,0,IF(NE$25&gt;NE40,NE40,0)))))</f>
        <v>0</v>
      </c>
      <c r="NG42" s="115">
        <f>IF(SUM($D$35:NF35)=0,0,IF(IF(NG41&gt;0,NG41-(IF(SUM($D42:NF42)&gt;0,0,IF(NF$25&gt;NF40,NF40,0))),0)&lt;0,0,(IF(SUM($D42:NF42)&gt;0,0,IF(NF$25&gt;NF40,NF40,0)))))</f>
        <v>0</v>
      </c>
      <c r="NH42" s="115">
        <f>IF(SUM($D$35:NG35)=0,0,IF(IF(NH41&gt;0,NH41-(IF(SUM($D42:NG42)&gt;0,0,IF(NG$25&gt;NG40,NG40,0))),0)&lt;0,0,(IF(SUM($D42:NG42)&gt;0,0,IF(NG$25&gt;NG40,NG40,0)))))</f>
        <v>0</v>
      </c>
      <c r="NI42" s="115">
        <f>IF(SUM($D$35:NH35)=0,0,IF(IF(NI41&gt;0,NI41-(IF(SUM($D42:NH42)&gt;0,0,IF(NH$25&gt;NH40,NH40,0))),0)&lt;0,0,(IF(SUM($D42:NH42)&gt;0,0,IF(NH$25&gt;NH40,NH40,0)))))</f>
        <v>0</v>
      </c>
      <c r="NJ42" s="115">
        <f>IF(SUM($D$35:NI35)=0,0,IF(IF(NJ41&gt;0,NJ41-(IF(SUM($D42:NI42)&gt;0,0,IF(NI$25&gt;NI40,NI40,0))),0)&lt;0,0,(IF(SUM($D42:NI42)&gt;0,0,IF(NI$25&gt;NI40,NI40,0)))))</f>
        <v>0</v>
      </c>
      <c r="NK42" s="115">
        <f>IF(SUM($D$35:NJ35)=0,0,IF(IF(NK41&gt;0,NK41-(IF(SUM($D42:NJ42)&gt;0,0,IF(NJ$25&gt;NJ40,NJ40,0))),0)&lt;0,0,(IF(SUM($D42:NJ42)&gt;0,0,IF(NJ$25&gt;NJ40,NJ40,0)))))</f>
        <v>0</v>
      </c>
      <c r="NL42" s="115">
        <f>IF(SUM($D$35:NK35)=0,0,IF(IF(NL41&gt;0,NL41-(IF(SUM($D42:NK42)&gt;0,0,IF(NK$25&gt;NK40,NK40,0))),0)&lt;0,0,(IF(SUM($D42:NK42)&gt;0,0,IF(NK$25&gt;NK40,NK40,0)))))</f>
        <v>0</v>
      </c>
      <c r="NM42" s="115">
        <f>IF(SUM($D$35:NL35)=0,0,IF(IF(NM41&gt;0,NM41-(IF(SUM($D42:NL42)&gt;0,0,IF(NL$25&gt;NL40,NL40,0))),0)&lt;0,0,(IF(SUM($D42:NL42)&gt;0,0,IF(NL$25&gt;NL40,NL40,0)))))</f>
        <v>0</v>
      </c>
      <c r="NN42" s="115">
        <f>IF(SUM($D$35:NM35)=0,0,IF(IF(NN41&gt;0,NN41-(IF(SUM($D42:NM42)&gt;0,0,IF(NM$25&gt;NM40,NM40,0))),0)&lt;0,0,(IF(SUM($D42:NM42)&gt;0,0,IF(NM$25&gt;NM40,NM40,0)))))</f>
        <v>0</v>
      </c>
      <c r="NO42" s="115">
        <f>IF(SUM($D$35:NN35)=0,0,IF(IF(NO41&gt;0,NO41-(IF(SUM($D42:NN42)&gt;0,0,IF(NN$25&gt;NN40,NN40,0))),0)&lt;0,0,(IF(SUM($D42:NN42)&gt;0,0,IF(NN$25&gt;NN40,NN40,0)))))</f>
        <v>0</v>
      </c>
      <c r="NP42" s="115">
        <f>IF(SUM($D$35:NO35)=0,0,IF(IF(NP41&gt;0,NP41-(IF(SUM($D42:NO42)&gt;0,0,IF(NO$25&gt;NO40,NO40,0))),0)&lt;0,0,(IF(SUM($D42:NO42)&gt;0,0,IF(NO$25&gt;NO40,NO40,0)))))</f>
        <v>0</v>
      </c>
      <c r="NQ42" s="115">
        <f>IF(SUM($D$35:NP35)=0,0,IF(IF(NQ41&gt;0,NQ41-(IF(SUM($D42:NP42)&gt;0,0,IF(NP$25&gt;NP40,NP40,0))),0)&lt;0,0,(IF(SUM($D42:NP42)&gt;0,0,IF(NP$25&gt;NP40,NP40,0)))))</f>
        <v>0</v>
      </c>
      <c r="NR42" s="115">
        <f>IF(SUM($D$35:NQ35)=0,0,IF(IF(NR41&gt;0,NR41-(IF(SUM($D42:NQ42)&gt;0,0,IF(NQ$25&gt;NQ40,NQ40,0))),0)&lt;0,0,(IF(SUM($D42:NQ42)&gt;0,0,IF(NQ$25&gt;NQ40,NQ40,0)))))</f>
        <v>0</v>
      </c>
      <c r="NS42" s="115">
        <f>IF(SUM($D$35:NR35)=0,0,IF(IF(NS41&gt;0,NS41-(IF(SUM($D42:NR42)&gt;0,0,IF(NR$25&gt;NR40,NR40,0))),0)&lt;0,0,(IF(SUM($D42:NR42)&gt;0,0,IF(NR$25&gt;NR40,NR40,0)))))</f>
        <v>0</v>
      </c>
      <c r="NT42" s="115">
        <f>IF(SUM($D$35:NS35)=0,0,IF(IF(NT41&gt;0,NT41-(IF(SUM($D42:NS42)&gt;0,0,IF(NS$25&gt;NS40,NS40,0))),0)&lt;0,0,(IF(SUM($D42:NS42)&gt;0,0,IF(NS$25&gt;NS40,NS40,0)))))</f>
        <v>0</v>
      </c>
      <c r="NU42" s="115">
        <f>IF(SUM($D$35:NT35)=0,0,IF(IF(NU41&gt;0,NU41-(IF(SUM($D42:NT42)&gt;0,0,IF(NT$25&gt;NT40,NT40,0))),0)&lt;0,0,(IF(SUM($D42:NT42)&gt;0,0,IF(NT$25&gt;NT40,NT40,0)))))</f>
        <v>0</v>
      </c>
      <c r="NV42" s="115">
        <f>IF(SUM($D$35:NU35)=0,0,IF(IF(NV41&gt;0,NV41-(IF(SUM($D42:NU42)&gt;0,0,IF(NU$25&gt;NU40,NU40,0))),0)&lt;0,0,(IF(SUM($D42:NU42)&gt;0,0,IF(NU$25&gt;NU40,NU40,0)))))</f>
        <v>0</v>
      </c>
      <c r="NW42" s="115">
        <f>IF(SUM($D$35:NV35)=0,0,IF(IF(NW41&gt;0,NW41-(IF(SUM($D42:NV42)&gt;0,0,IF(NV$25&gt;NV40,NV40,0))),0)&lt;0,0,(IF(SUM($D42:NV42)&gt;0,0,IF(NV$25&gt;NV40,NV40,0)))))</f>
        <v>0</v>
      </c>
      <c r="NX42" s="115">
        <f>IF(SUM($D$35:NW35)=0,0,IF(IF(NX41&gt;0,NX41-(IF(SUM($D42:NW42)&gt;0,0,IF(NW$25&gt;NW40,NW40,0))),0)&lt;0,0,(IF(SUM($D42:NW42)&gt;0,0,IF(NW$25&gt;NW40,NW40,0)))))</f>
        <v>0</v>
      </c>
      <c r="NY42" s="115">
        <f>IF(SUM($D$35:NX35)=0,0,IF(IF(NY41&gt;0,NY41-(IF(SUM($D42:NX42)&gt;0,0,IF(NX$25&gt;NX40,NX40,0))),0)&lt;0,0,(IF(SUM($D42:NX42)&gt;0,0,IF(NX$25&gt;NX40,NX40,0)))))</f>
        <v>0</v>
      </c>
      <c r="NZ42" s="115">
        <f>IF(SUM($D$35:NY35)=0,0,IF(IF(NZ41&gt;0,NZ41-(IF(SUM($D42:NY42)&gt;0,0,IF(NY$25&gt;NY40,NY40,0))),0)&lt;0,0,(IF(SUM($D42:NY42)&gt;0,0,IF(NY$25&gt;NY40,NY40,0)))))</f>
        <v>0</v>
      </c>
      <c r="OA42" s="115">
        <f>IF(SUM($D$35:NZ35)=0,0,IF(IF(OA41&gt;0,OA41-(IF(SUM($D42:NZ42)&gt;0,0,IF(NZ$25&gt;NZ40,NZ40,0))),0)&lt;0,0,(IF(SUM($D42:NZ42)&gt;0,0,IF(NZ$25&gt;NZ40,NZ40,0)))))</f>
        <v>0</v>
      </c>
      <c r="OB42" s="115">
        <f>IF(SUM($D$35:OA35)=0,0,IF(IF(OB41&gt;0,OB41-(IF(SUM($D42:OA42)&gt;0,0,IF(OA$25&gt;OA40,OA40,0))),0)&lt;0,0,(IF(SUM($D42:OA42)&gt;0,0,IF(OA$25&gt;OA40,OA40,0)))))</f>
        <v>0</v>
      </c>
      <c r="OC42" s="115">
        <f>IF(SUM($D$35:OB35)=0,0,IF(IF(OC41&gt;0,OC41-(IF(SUM($D42:OB42)&gt;0,0,IF(OB$25&gt;OB40,OB40,0))),0)&lt;0,0,(IF(SUM($D42:OB42)&gt;0,0,IF(OB$25&gt;OB40,OB40,0)))))</f>
        <v>0</v>
      </c>
      <c r="OD42" s="115">
        <f>IF(SUM($D$35:OC35)=0,0,IF(IF(OD41&gt;0,OD41-(IF(SUM($D42:OC42)&gt;0,0,IF(OC$25&gt;OC40,OC40,0))),0)&lt;0,0,(IF(SUM($D42:OC42)&gt;0,0,IF(OC$25&gt;OC40,OC40,0)))))</f>
        <v>0</v>
      </c>
      <c r="OE42" s="115">
        <f>IF(SUM($D$35:OD35)=0,0,IF(IF(OE41&gt;0,OE41-(IF(SUM($D42:OD42)&gt;0,0,IF(OD$25&gt;OD40,OD40,0))),0)&lt;0,0,(IF(SUM($D42:OD42)&gt;0,0,IF(OD$25&gt;OD40,OD40,0)))))</f>
        <v>0</v>
      </c>
      <c r="OF42" s="115">
        <f>IF(SUM($D$35:OE35)=0,0,IF(IF(OF41&gt;0,OF41-(IF(SUM($D42:OE42)&gt;0,0,IF(OE$25&gt;OE40,OE40,0))),0)&lt;0,0,(IF(SUM($D42:OE42)&gt;0,0,IF(OE$25&gt;OE40,OE40,0)))))</f>
        <v>0</v>
      </c>
      <c r="OG42" s="115">
        <f>IF(SUM($D$35:OF35)=0,0,IF(IF(OG41&gt;0,OG41-(IF(SUM($D42:OF42)&gt;0,0,IF(OF$25&gt;OF40,OF40,0))),0)&lt;0,0,(IF(SUM($D42:OF42)&gt;0,0,IF(OF$25&gt;OF40,OF40,0)))))</f>
        <v>0</v>
      </c>
      <c r="OH42" s="115">
        <f>IF(SUM($D$35:OG35)=0,0,IF(IF(OH41&gt;0,OH41-(IF(SUM($D42:OG42)&gt;0,0,IF(OG$25&gt;OG40,OG40,0))),0)&lt;0,0,(IF(SUM($D42:OG42)&gt;0,0,IF(OG$25&gt;OG40,OG40,0)))))</f>
        <v>0</v>
      </c>
      <c r="OI42" s="115">
        <f>IF(SUM($D$35:OH35)=0,0,IF(IF(OI41&gt;0,OI41-(IF(SUM($D42:OH42)&gt;0,0,IF(OH$25&gt;OH40,OH40,0))),0)&lt;0,0,(IF(SUM($D42:OH42)&gt;0,0,IF(OH$25&gt;OH40,OH40,0)))))</f>
        <v>0</v>
      </c>
      <c r="OJ42" s="115">
        <f>IF(SUM($D$35:OI35)=0,0,IF(IF(OJ41&gt;0,OJ41-(IF(SUM($D42:OI42)&gt;0,0,IF(OI$25&gt;OI40,OI40,0))),0)&lt;0,0,(IF(SUM($D42:OI42)&gt;0,0,IF(OI$25&gt;OI40,OI40,0)))))</f>
        <v>0</v>
      </c>
      <c r="OK42" s="115">
        <f>IF(SUM($D$35:OJ35)=0,0,IF(IF(OK41&gt;0,OK41-(IF(SUM($D42:OJ42)&gt;0,0,IF(OJ$25&gt;OJ40,OJ40,0))),0)&lt;0,0,(IF(SUM($D42:OJ42)&gt;0,0,IF(OJ$25&gt;OJ40,OJ40,0)))))</f>
        <v>0</v>
      </c>
      <c r="OL42" s="115">
        <f>IF(SUM($D$35:OK35)=0,0,IF(IF(OL41&gt;0,OL41-(IF(SUM($D42:OK42)&gt;0,0,IF(OK$25&gt;OK40,OK40,0))),0)&lt;0,0,(IF(SUM($D42:OK42)&gt;0,0,IF(OK$25&gt;OK40,OK40,0)))))</f>
        <v>0</v>
      </c>
      <c r="OM42" s="115">
        <f>IF(SUM($D$35:OL35)=0,0,IF(IF(OM41&gt;0,OM41-(IF(SUM($D42:OL42)&gt;0,0,IF(OL$25&gt;OL40,OL40,0))),0)&lt;0,0,(IF(SUM($D42:OL42)&gt;0,0,IF(OL$25&gt;OL40,OL40,0)))))</f>
        <v>0</v>
      </c>
      <c r="ON42" s="115">
        <f>IF(SUM($D$35:OM35)=0,0,IF(IF(ON41&gt;0,ON41-(IF(SUM($D42:OM42)&gt;0,0,IF(OM$25&gt;OM40,OM40,0))),0)&lt;0,0,(IF(SUM($D42:OM42)&gt;0,0,IF(OM$25&gt;OM40,OM40,0)))))</f>
        <v>0</v>
      </c>
      <c r="OO42" s="115">
        <f>IF(SUM($D$35:ON35)=0,0,IF(IF(OO41&gt;0,OO41-(IF(SUM($D42:ON42)&gt;0,0,IF(ON$25&gt;ON40,ON40,0))),0)&lt;0,0,(IF(SUM($D42:ON42)&gt;0,0,IF(ON$25&gt;ON40,ON40,0)))))</f>
        <v>0</v>
      </c>
      <c r="OP42" s="115">
        <f>IF(SUM($D$35:OO35)=0,0,IF(IF(OP41&gt;0,OP41-(IF(SUM($D42:OO42)&gt;0,0,IF(OO$25&gt;OO40,OO40,0))),0)&lt;0,0,(IF(SUM($D42:OO42)&gt;0,0,IF(OO$25&gt;OO40,OO40,0)))))</f>
        <v>0</v>
      </c>
      <c r="OQ42" s="115">
        <f>IF(SUM($D$35:OP35)=0,0,IF(IF(OQ41&gt;0,OQ41-(IF(SUM($D42:OP42)&gt;0,0,IF(OP$25&gt;OP40,OP40,0))),0)&lt;0,0,(IF(SUM($D42:OP42)&gt;0,0,IF(OP$25&gt;OP40,OP40,0)))))</f>
        <v>0</v>
      </c>
      <c r="OR42" s="115">
        <f>IF(SUM($D$35:OQ35)=0,0,IF(IF(OR41&gt;0,OR41-(IF(SUM($D42:OQ42)&gt;0,0,IF(OQ$25&gt;OQ40,OQ40,0))),0)&lt;0,0,(IF(SUM($D42:OQ42)&gt;0,0,IF(OQ$25&gt;OQ40,OQ40,0)))))</f>
        <v>0</v>
      </c>
      <c r="OS42" s="115">
        <f>IF(SUM($D$35:OR35)=0,0,IF(IF(OS41&gt;0,OS41-(IF(SUM($D42:OR42)&gt;0,0,IF(OR$25&gt;OR40,OR40,0))),0)&lt;0,0,(IF(SUM($D42:OR42)&gt;0,0,IF(OR$25&gt;OR40,OR40,0)))))</f>
        <v>0</v>
      </c>
      <c r="OT42" s="115">
        <f>IF(SUM($D$35:OS35)=0,0,IF(IF(OT41&gt;0,OT41-(IF(SUM($D42:OS42)&gt;0,0,IF(OS$25&gt;OS40,OS40,0))),0)&lt;0,0,(IF(SUM($D42:OS42)&gt;0,0,IF(OS$25&gt;OS40,OS40,0)))))</f>
        <v>0</v>
      </c>
      <c r="OU42" s="115">
        <f>IF(SUM($D$35:OT35)=0,0,IF(IF(OU41&gt;0,OU41-(IF(SUM($D42:OT42)&gt;0,0,IF(OT$25&gt;OT40,OT40,0))),0)&lt;0,0,(IF(SUM($D42:OT42)&gt;0,0,IF(OT$25&gt;OT40,OT40,0)))))</f>
        <v>0</v>
      </c>
      <c r="OV42" s="115">
        <f>IF(SUM($D$35:OU35)=0,0,IF(IF(OV41&gt;0,OV41-(IF(SUM($D42:OU42)&gt;0,0,IF(OU$25&gt;OU40,OU40,0))),0)&lt;0,0,(IF(SUM($D42:OU42)&gt;0,0,IF(OU$25&gt;OU40,OU40,0)))))</f>
        <v>0</v>
      </c>
      <c r="OW42" s="115">
        <f>IF(SUM($D$35:OV35)=0,0,IF(IF(OW41&gt;0,OW41-(IF(SUM($D42:OV42)&gt;0,0,IF(OV$25&gt;OV40,OV40,0))),0)&lt;0,0,(IF(SUM($D42:OV42)&gt;0,0,IF(OV$25&gt;OV40,OV40,0)))))</f>
        <v>0</v>
      </c>
      <c r="OX42" s="115">
        <f>IF(SUM($D$35:OW35)=0,0,IF(IF(OX41&gt;0,OX41-(IF(SUM($D42:OW42)&gt;0,0,IF(OW$25&gt;OW40,OW40,0))),0)&lt;0,0,(IF(SUM($D42:OW42)&gt;0,0,IF(OW$25&gt;OW40,OW40,0)))))</f>
        <v>0</v>
      </c>
      <c r="OY42" s="115">
        <f>IF(SUM($D$35:OX35)=0,0,IF(IF(OY41&gt;0,OY41-(IF(SUM($D42:OX42)&gt;0,0,IF(OX$25&gt;OX40,OX40,0))),0)&lt;0,0,(IF(SUM($D42:OX42)&gt;0,0,IF(OX$25&gt;OX40,OX40,0)))))</f>
        <v>0</v>
      </c>
      <c r="OZ42" s="115">
        <f>IF(SUM($D$35:OY35)=0,0,IF(IF(OZ41&gt;0,OZ41-(IF(SUM($D42:OY42)&gt;0,0,IF(OY$25&gt;OY40,OY40,0))),0)&lt;0,0,(IF(SUM($D42:OY42)&gt;0,0,IF(OY$25&gt;OY40,OY40,0)))))</f>
        <v>0</v>
      </c>
      <c r="PA42" s="115">
        <f>IF(SUM($D$35:OZ35)=0,0,IF(IF(PA41&gt;0,PA41-(IF(SUM($D42:OZ42)&gt;0,0,IF(OZ$25&gt;OZ40,OZ40,0))),0)&lt;0,0,(IF(SUM($D42:OZ42)&gt;0,0,IF(OZ$25&gt;OZ40,OZ40,0)))))</f>
        <v>0</v>
      </c>
      <c r="PB42" s="115">
        <f>IF(SUM($D$35:PA35)=0,0,IF(IF(PB41&gt;0,PB41-(IF(SUM($D42:PA42)&gt;0,0,IF(PA$25&gt;PA40,PA40,0))),0)&lt;0,0,(IF(SUM($D42:PA42)&gt;0,0,IF(PA$25&gt;PA40,PA40,0)))))</f>
        <v>0</v>
      </c>
      <c r="PC42" s="115">
        <f>IF(SUM($D$35:PB35)=0,0,IF(IF(PC41&gt;0,PC41-(IF(SUM($D42:PB42)&gt;0,0,IF(PB$25&gt;PB40,PB40,0))),0)&lt;0,0,(IF(SUM($D42:PB42)&gt;0,0,IF(PB$25&gt;PB40,PB40,0)))))</f>
        <v>0</v>
      </c>
      <c r="PD42" s="115">
        <f>IF(SUM($D$35:PC35)=0,0,IF(IF(PD41&gt;0,PD41-(IF(SUM($D42:PC42)&gt;0,0,IF(PC$25&gt;PC40,PC40,0))),0)&lt;0,0,(IF(SUM($D42:PC42)&gt;0,0,IF(PC$25&gt;PC40,PC40,0)))))</f>
        <v>0</v>
      </c>
      <c r="PE42" s="115">
        <f>IF(SUM($D$35:PD35)=0,0,IF(IF(PE41&gt;0,PE41-(IF(SUM($D42:PD42)&gt;0,0,IF(PD$25&gt;PD40,PD40,0))),0)&lt;0,0,(IF(SUM($D42:PD42)&gt;0,0,IF(PD$25&gt;PD40,PD40,0)))))</f>
        <v>0</v>
      </c>
      <c r="PF42" s="115">
        <f>IF(SUM($D$35:PE35)=0,0,IF(IF(PF41&gt;0,PF41-(IF(SUM($D42:PE42)&gt;0,0,IF(PE$25&gt;PE40,PE40,0))),0)&lt;0,0,(IF(SUM($D42:PE42)&gt;0,0,IF(PE$25&gt;PE40,PE40,0)))))</f>
        <v>0</v>
      </c>
      <c r="PG42" s="115">
        <f>IF(SUM($D$35:PF35)=0,0,IF(IF(PG41&gt;0,PG41-(IF(SUM($D42:PF42)&gt;0,0,IF(PF$25&gt;PF40,PF40,0))),0)&lt;0,0,(IF(SUM($D42:PF42)&gt;0,0,IF(PF$25&gt;PF40,PF40,0)))))</f>
        <v>0</v>
      </c>
      <c r="PH42" s="115">
        <f>IF(SUM($D$35:PG35)=0,0,IF(IF(PH41&gt;0,PH41-(IF(SUM($D42:PG42)&gt;0,0,IF(PG$25&gt;PG40,PG40,0))),0)&lt;0,0,(IF(SUM($D42:PG42)&gt;0,0,IF(PG$25&gt;PG40,PG40,0)))))</f>
        <v>0</v>
      </c>
      <c r="PI42" s="115">
        <f>IF(SUM($D$35:PH35)=0,0,IF(IF(PI41&gt;0,PI41-(IF(SUM($D42:PH42)&gt;0,0,IF(PH$25&gt;PH40,PH40,0))),0)&lt;0,0,(IF(SUM($D42:PH42)&gt;0,0,IF(PH$25&gt;PH40,PH40,0)))))</f>
        <v>0</v>
      </c>
      <c r="PJ42" s="115">
        <f>IF(SUM($D$35:PI35)=0,0,IF(IF(PJ41&gt;0,PJ41-(IF(SUM($D42:PI42)&gt;0,0,IF(PI$25&gt;PI40,PI40,0))),0)&lt;0,0,(IF(SUM($D42:PI42)&gt;0,0,IF(PI$25&gt;PI40,PI40,0)))))</f>
        <v>0</v>
      </c>
      <c r="PK42" s="115">
        <f>IF(SUM($D$35:PJ35)=0,0,IF(IF(PK41&gt;0,PK41-(IF(SUM($D42:PJ42)&gt;0,0,IF(PJ$25&gt;PJ40,PJ40,0))),0)&lt;0,0,(IF(SUM($D42:PJ42)&gt;0,0,IF(PJ$25&gt;PJ40,PJ40,0)))))</f>
        <v>0</v>
      </c>
      <c r="PL42" s="115">
        <f>IF(SUM($D$35:PK35)=0,0,IF(IF(PL41&gt;0,PL41-(IF(SUM($D42:PK42)&gt;0,0,IF(PK$25&gt;PK40,PK40,0))),0)&lt;0,0,(IF(SUM($D42:PK42)&gt;0,0,IF(PK$25&gt;PK40,PK40,0)))))</f>
        <v>0</v>
      </c>
      <c r="PM42" s="115">
        <f>IF(SUM($D$35:PL35)=0,0,IF(IF(PM41&gt;0,PM41-(IF(SUM($D42:PL42)&gt;0,0,IF(PL$25&gt;PL40,PL40,0))),0)&lt;0,0,(IF(SUM($D42:PL42)&gt;0,0,IF(PL$25&gt;PL40,PL40,0)))))</f>
        <v>0</v>
      </c>
      <c r="PN42" s="115">
        <f>IF(SUM($D$35:PM35)=0,0,IF(IF(PN41&gt;0,PN41-(IF(SUM($D42:PM42)&gt;0,0,IF(PM$25&gt;PM40,PM40,0))),0)&lt;0,0,(IF(SUM($D42:PM42)&gt;0,0,IF(PM$25&gt;PM40,PM40,0)))))</f>
        <v>0</v>
      </c>
      <c r="PO42" s="115">
        <f>IF(SUM($D$35:PN35)=0,0,IF(IF(PO41&gt;0,PO41-(IF(SUM($D42:PN42)&gt;0,0,IF(PN$25&gt;PN40,PN40,0))),0)&lt;0,0,(IF(SUM($D42:PN42)&gt;0,0,IF(PN$25&gt;PN40,PN40,0)))))</f>
        <v>0</v>
      </c>
      <c r="PP42" s="115">
        <f>IF(SUM($D$35:PO35)=0,0,IF(IF(PP41&gt;0,PP41-(IF(SUM($D42:PO42)&gt;0,0,IF(PO$25&gt;PO40,PO40,0))),0)&lt;0,0,(IF(SUM($D42:PO42)&gt;0,0,IF(PO$25&gt;PO40,PO40,0)))))</f>
        <v>0</v>
      </c>
      <c r="PQ42" s="115">
        <f>IF(SUM($D$35:PP35)=0,0,IF(IF(PQ41&gt;0,PQ41-(IF(SUM($D42:PP42)&gt;0,0,IF(PP$25&gt;PP40,PP40,0))),0)&lt;0,0,(IF(SUM($D42:PP42)&gt;0,0,IF(PP$25&gt;PP40,PP40,0)))))</f>
        <v>0</v>
      </c>
      <c r="PR42" s="115">
        <f>IF(SUM($D$35:PQ35)=0,0,IF(IF(PR41&gt;0,PR41-(IF(SUM($D42:PQ42)&gt;0,0,IF(PQ$25&gt;PQ40,PQ40,0))),0)&lt;0,0,(IF(SUM($D42:PQ42)&gt;0,0,IF(PQ$25&gt;PQ40,PQ40,0)))))</f>
        <v>0</v>
      </c>
      <c r="PS42" s="115">
        <f>IF(SUM($D$35:PR35)=0,0,IF(IF(PS41&gt;0,PS41-(IF(SUM($D42:PR42)&gt;0,0,IF(PR$25&gt;PR40,PR40,0))),0)&lt;0,0,(IF(SUM($D42:PR42)&gt;0,0,IF(PR$25&gt;PR40,PR40,0)))))</f>
        <v>0</v>
      </c>
      <c r="PT42" s="115">
        <f>IF(SUM($D$35:PS35)=0,0,IF(IF(PT41&gt;0,PT41-(IF(SUM($D42:PS42)&gt;0,0,IF(PS$25&gt;PS40,PS40,0))),0)&lt;0,0,(IF(SUM($D42:PS42)&gt;0,0,IF(PS$25&gt;PS40,PS40,0)))))</f>
        <v>0</v>
      </c>
      <c r="PU42" s="115">
        <f>IF(SUM($D$35:PT35)=0,0,IF(IF(PU41&gt;0,PU41-(IF(SUM($D42:PT42)&gt;0,0,IF(PT$25&gt;PT40,PT40,0))),0)&lt;0,0,(IF(SUM($D42:PT42)&gt;0,0,IF(PT$25&gt;PT40,PT40,0)))))</f>
        <v>0</v>
      </c>
      <c r="PV42" s="115">
        <f>IF(SUM($D$35:PU35)=0,0,IF(IF(PV41&gt;0,PV41-(IF(SUM($D42:PU42)&gt;0,0,IF(PU$25&gt;PU40,PU40,0))),0)&lt;0,0,(IF(SUM($D42:PU42)&gt;0,0,IF(PU$25&gt;PU40,PU40,0)))))</f>
        <v>0</v>
      </c>
      <c r="PW42" s="115">
        <f>IF(SUM($D$35:PV35)=0,0,IF(IF(PW41&gt;0,PW41-(IF(SUM($D42:PV42)&gt;0,0,IF(PV$25&gt;PV40,PV40,0))),0)&lt;0,0,(IF(SUM($D42:PV42)&gt;0,0,IF(PV$25&gt;PV40,PV40,0)))))</f>
        <v>0</v>
      </c>
      <c r="PX42" s="115">
        <f>IF(SUM($D$35:PW35)=0,0,IF(IF(PX41&gt;0,PX41-(IF(SUM($D42:PW42)&gt;0,0,IF(PW$25&gt;PW40,PW40,0))),0)&lt;0,0,(IF(SUM($D42:PW42)&gt;0,0,IF(PW$25&gt;PW40,PW40,0)))))</f>
        <v>0</v>
      </c>
      <c r="PY42" s="115">
        <f>IF(SUM($D$35:PX35)=0,0,IF(IF(PY41&gt;0,PY41-(IF(SUM($D42:PX42)&gt;0,0,IF(PX$25&gt;PX40,PX40,0))),0)&lt;0,0,(IF(SUM($D42:PX42)&gt;0,0,IF(PX$25&gt;PX40,PX40,0)))))</f>
        <v>0</v>
      </c>
      <c r="PZ42" s="115">
        <f>IF(SUM($D$35:PY35)=0,0,IF(IF(PZ41&gt;0,PZ41-(IF(SUM($D42:PY42)&gt;0,0,IF(PY$25&gt;PY40,PY40,0))),0)&lt;0,0,(IF(SUM($D42:PY42)&gt;0,0,IF(PY$25&gt;PY40,PY40,0)))))</f>
        <v>0</v>
      </c>
      <c r="QA42" s="115">
        <f>IF(SUM($D$35:PZ35)=0,0,IF(IF(QA41&gt;0,QA41-(IF(SUM($D42:PZ42)&gt;0,0,IF(PZ$25&gt;PZ40,PZ40,0))),0)&lt;0,0,(IF(SUM($D42:PZ42)&gt;0,0,IF(PZ$25&gt;PZ40,PZ40,0)))))</f>
        <v>0</v>
      </c>
      <c r="QB42" s="115">
        <f>IF(SUM($D$35:QA35)=0,0,IF(IF(QB41&gt;0,QB41-(IF(SUM($D42:QA42)&gt;0,0,IF(QA$25&gt;QA40,QA40,0))),0)&lt;0,0,(IF(SUM($D42:QA42)&gt;0,0,IF(QA$25&gt;QA40,QA40,0)))))</f>
        <v>0</v>
      </c>
      <c r="QC42" s="115">
        <f>IF(SUM($D$35:QB35)=0,0,IF(IF(QC41&gt;0,QC41-(IF(SUM($D42:QB42)&gt;0,0,IF(QB$25&gt;QB40,QB40,0))),0)&lt;0,0,(IF(SUM($D42:QB42)&gt;0,0,IF(QB$25&gt;QB40,QB40,0)))))</f>
        <v>0</v>
      </c>
      <c r="QD42" s="115">
        <f>IF(SUM($D$35:QC35)=0,0,IF(IF(QD41&gt;0,QD41-(IF(SUM($D42:QC42)&gt;0,0,IF(QC$25&gt;QC40,QC40,0))),0)&lt;0,0,(IF(SUM($D42:QC42)&gt;0,0,IF(QC$25&gt;QC40,QC40,0)))))</f>
        <v>0</v>
      </c>
      <c r="QE42" s="115">
        <f>IF(SUM($D$35:QD35)=0,0,IF(IF(QE41&gt;0,QE41-(IF(SUM($D42:QD42)&gt;0,0,IF(QD$25&gt;QD40,QD40,0))),0)&lt;0,0,(IF(SUM($D42:QD42)&gt;0,0,IF(QD$25&gt;QD40,QD40,0)))))</f>
        <v>0</v>
      </c>
      <c r="QF42" s="115">
        <f>IF(SUM($D$35:QE35)=0,0,IF(IF(QF41&gt;0,QF41-(IF(SUM($D42:QE42)&gt;0,0,IF(QE$25&gt;QE40,QE40,0))),0)&lt;0,0,(IF(SUM($D42:QE42)&gt;0,0,IF(QE$25&gt;QE40,QE40,0)))))</f>
        <v>0</v>
      </c>
      <c r="QG42" s="115">
        <f>IF(SUM($D$35:QF35)=0,0,IF(IF(QG41&gt;0,QG41-(IF(SUM($D42:QF42)&gt;0,0,IF(QF$25&gt;QF40,QF40,0))),0)&lt;0,0,(IF(SUM($D42:QF42)&gt;0,0,IF(QF$25&gt;QF40,QF40,0)))))</f>
        <v>0</v>
      </c>
      <c r="QH42" s="115">
        <f>IF(SUM($D$35:QG35)=0,0,IF(IF(QH41&gt;0,QH41-(IF(SUM($D42:QG42)&gt;0,0,IF(QG$25&gt;QG40,QG40,0))),0)&lt;0,0,(IF(SUM($D42:QG42)&gt;0,0,IF(QG$25&gt;QG40,QG40,0)))))</f>
        <v>0</v>
      </c>
      <c r="QI42" s="115">
        <f>IF(SUM($D$35:QH35)=0,0,IF(IF(QI41&gt;0,QI41-(IF(SUM($D42:QH42)&gt;0,0,IF(QH$25&gt;QH40,QH40,0))),0)&lt;0,0,(IF(SUM($D42:QH42)&gt;0,0,IF(QH$25&gt;QH40,QH40,0)))))</f>
        <v>0</v>
      </c>
      <c r="QJ42" s="115">
        <f>IF(SUM($D$35:QI35)=0,0,IF(IF(QJ41&gt;0,QJ41-(IF(SUM($D42:QI42)&gt;0,0,IF(QI$25&gt;QI40,QI40,0))),0)&lt;0,0,(IF(SUM($D42:QI42)&gt;0,0,IF(QI$25&gt;QI40,QI40,0)))))</f>
        <v>0</v>
      </c>
      <c r="QK42" s="115">
        <f>IF(SUM($D$35:QJ35)=0,0,IF(IF(QK41&gt;0,QK41-(IF(SUM($D42:QJ42)&gt;0,0,IF(QJ$25&gt;QJ40,QJ40,0))),0)&lt;0,0,(IF(SUM($D42:QJ42)&gt;0,0,IF(QJ$25&gt;QJ40,QJ40,0)))))</f>
        <v>0</v>
      </c>
      <c r="QL42" s="115">
        <f>IF(SUM($D$35:QK35)=0,0,IF(IF(QL41&gt;0,QL41-(IF(SUM($D42:QK42)&gt;0,0,IF(QK$25&gt;QK40,QK40,0))),0)&lt;0,0,(IF(SUM($D42:QK42)&gt;0,0,IF(QK$25&gt;QK40,QK40,0)))))</f>
        <v>0</v>
      </c>
      <c r="QM42" s="115">
        <f>IF(SUM($D$35:QL35)=0,0,IF(IF(QM41&gt;0,QM41-(IF(SUM($D42:QL42)&gt;0,0,IF(QL$25&gt;QL40,QL40,0))),0)&lt;0,0,(IF(SUM($D42:QL42)&gt;0,0,IF(QL$25&gt;QL40,QL40,0)))))</f>
        <v>0</v>
      </c>
      <c r="QN42" s="115">
        <f>IF(SUM($D$35:QM35)=0,0,IF(IF(QN41&gt;0,QN41-(IF(SUM($D42:QM42)&gt;0,0,IF(QM$25&gt;QM40,QM40,0))),0)&lt;0,0,(IF(SUM($D42:QM42)&gt;0,0,IF(QM$25&gt;QM40,QM40,0)))))</f>
        <v>0</v>
      </c>
      <c r="QO42" s="115">
        <f>IF(SUM($D$35:QN35)=0,0,IF(IF(QO41&gt;0,QO41-(IF(SUM($D42:QN42)&gt;0,0,IF(QN$25&gt;QN40,QN40,0))),0)&lt;0,0,(IF(SUM($D42:QN42)&gt;0,0,IF(QN$25&gt;QN40,QN40,0)))))</f>
        <v>0</v>
      </c>
      <c r="QP42" s="115">
        <f>IF(SUM($D$35:QO35)=0,0,IF(IF(QP41&gt;0,QP41-(IF(SUM($D42:QO42)&gt;0,0,IF(QO$25&gt;QO40,QO40,0))),0)&lt;0,0,(IF(SUM($D42:QO42)&gt;0,0,IF(QO$25&gt;QO40,QO40,0)))))</f>
        <v>0</v>
      </c>
      <c r="QQ42" s="115">
        <f>IF(SUM($D$35:QP35)=0,0,IF(IF(QQ41&gt;0,QQ41-(IF(SUM($D42:QP42)&gt;0,0,IF(QP$25&gt;QP40,QP40,0))),0)&lt;0,0,(IF(SUM($D42:QP42)&gt;0,0,IF(QP$25&gt;QP40,QP40,0)))))</f>
        <v>0</v>
      </c>
      <c r="QR42" s="115">
        <f>IF(SUM($D$35:QQ35)=0,0,IF(IF(QR41&gt;0,QR41-(IF(SUM($D42:QQ42)&gt;0,0,IF(QQ$25&gt;QQ40,QQ40,0))),0)&lt;0,0,(IF(SUM($D42:QQ42)&gt;0,0,IF(QQ$25&gt;QQ40,QQ40,0)))))</f>
        <v>0</v>
      </c>
      <c r="QS42" s="115">
        <f>IF(SUM($D$35:QR35)=0,0,IF(IF(QS41&gt;0,QS41-(IF(SUM($D42:QR42)&gt;0,0,IF(QR$25&gt;QR40,QR40,0))),0)&lt;0,0,(IF(SUM($D42:QR42)&gt;0,0,IF(QR$25&gt;QR40,QR40,0)))))</f>
        <v>0</v>
      </c>
      <c r="QT42" s="115">
        <f>IF(SUM($D$35:QS35)=0,0,IF(IF(QT41&gt;0,QT41-(IF(SUM($D42:QS42)&gt;0,0,IF(QS$25&gt;QS40,QS40,0))),0)&lt;0,0,(IF(SUM($D42:QS42)&gt;0,0,IF(QS$25&gt;QS40,QS40,0)))))</f>
        <v>0</v>
      </c>
      <c r="QU42" s="115">
        <f>IF(SUM($D$35:QT35)=0,0,IF(IF(QU41&gt;0,QU41-(IF(SUM($D42:QT42)&gt;0,0,IF(QT$25&gt;QT40,QT40,0))),0)&lt;0,0,(IF(SUM($D42:QT42)&gt;0,0,IF(QT$25&gt;QT40,QT40,0)))))</f>
        <v>0</v>
      </c>
      <c r="QV42" s="115">
        <f>IF(SUM($D$35:QU35)=0,0,IF(IF(QV41&gt;0,QV41-(IF(SUM($D42:QU42)&gt;0,0,IF(QU$25&gt;QU40,QU40,0))),0)&lt;0,0,(IF(SUM($D42:QU42)&gt;0,0,IF(QU$25&gt;QU40,QU40,0)))))</f>
        <v>0</v>
      </c>
      <c r="QW42" s="115">
        <f>IF(SUM($D$35:QV35)=0,0,IF(IF(QW41&gt;0,QW41-(IF(SUM($D42:QV42)&gt;0,0,IF(QV$25&gt;QV40,QV40,0))),0)&lt;0,0,(IF(SUM($D42:QV42)&gt;0,0,IF(QV$25&gt;QV40,QV40,0)))))</f>
        <v>0</v>
      </c>
      <c r="QX42" s="115">
        <f>IF(SUM($D$35:QW35)=0,0,IF(IF(QX41&gt;0,QX41-(IF(SUM($D42:QW42)&gt;0,0,IF(QW$25&gt;QW40,QW40,0))),0)&lt;0,0,(IF(SUM($D42:QW42)&gt;0,0,IF(QW$25&gt;QW40,QW40,0)))))</f>
        <v>0</v>
      </c>
      <c r="QY42" s="115">
        <f>IF(SUM($D$35:QX35)=0,0,IF(IF(QY41&gt;0,QY41-(IF(SUM($D42:QX42)&gt;0,0,IF(QX$25&gt;QX40,QX40,0))),0)&lt;0,0,(IF(SUM($D42:QX42)&gt;0,0,IF(QX$25&gt;QX40,QX40,0)))))</f>
        <v>0</v>
      </c>
      <c r="QZ42" s="115">
        <f>IF(SUM($D$35:QY35)=0,0,IF(IF(QZ41&gt;0,QZ41-(IF(SUM($D42:QY42)&gt;0,0,IF(QY$25&gt;QY40,QY40,0))),0)&lt;0,0,(IF(SUM($D42:QY42)&gt;0,0,IF(QY$25&gt;QY40,QY40,0)))))</f>
        <v>0</v>
      </c>
      <c r="RA42" s="115">
        <f>IF(SUM($D$35:QZ35)=0,0,IF(IF(RA41&gt;0,RA41-(IF(SUM($D42:QZ42)&gt;0,0,IF(QZ$25&gt;QZ40,QZ40,0))),0)&lt;0,0,(IF(SUM($D42:QZ42)&gt;0,0,IF(QZ$25&gt;QZ40,QZ40,0)))))</f>
        <v>0</v>
      </c>
      <c r="RB42" s="115">
        <f>IF(SUM($D$35:RA35)=0,0,IF(IF(RB41&gt;0,RB41-(IF(SUM($D42:RA42)&gt;0,0,IF(RA$25&gt;RA40,RA40,0))),0)&lt;0,0,(IF(SUM($D42:RA42)&gt;0,0,IF(RA$25&gt;RA40,RA40,0)))))</f>
        <v>0</v>
      </c>
      <c r="RC42" s="115">
        <f>IF(SUM($D$35:RB35)=0,0,IF(IF(RC41&gt;0,RC41-(IF(SUM($D42:RB42)&gt;0,0,IF(RB$25&gt;RB40,RB40,0))),0)&lt;0,0,(IF(SUM($D42:RB42)&gt;0,0,IF(RB$25&gt;RB40,RB40,0)))))</f>
        <v>0</v>
      </c>
      <c r="RD42" s="115">
        <f>IF(SUM($D$35:RC35)=0,0,IF(IF(RD41&gt;0,RD41-(IF(SUM($D42:RC42)&gt;0,0,IF(RC$25&gt;RC40,RC40,0))),0)&lt;0,0,(IF(SUM($D42:RC42)&gt;0,0,IF(RC$25&gt;RC40,RC40,0)))))</f>
        <v>0</v>
      </c>
      <c r="RE42" s="115">
        <f>IF(SUM($D$35:RD35)=0,0,IF(IF(RE41&gt;0,RE41-(IF(SUM($D42:RD42)&gt;0,0,IF(RD$25&gt;RD40,RD40,0))),0)&lt;0,0,(IF(SUM($D42:RD42)&gt;0,0,IF(RD$25&gt;RD40,RD40,0)))))</f>
        <v>0</v>
      </c>
      <c r="RF42" s="115">
        <f>IF(SUM($D$35:RE35)=0,0,IF(IF(RF41&gt;0,RF41-(IF(SUM($D42:RE42)&gt;0,0,IF(RE$25&gt;RE40,RE40,0))),0)&lt;0,0,(IF(SUM($D42:RE42)&gt;0,0,IF(RE$25&gt;RE40,RE40,0)))))</f>
        <v>0</v>
      </c>
      <c r="RG42" s="115">
        <f>IF(SUM($D$35:RF35)=0,0,IF(IF(RG41&gt;0,RG41-(IF(SUM($D42:RF42)&gt;0,0,IF(RF$25&gt;RF40,RF40,0))),0)&lt;0,0,(IF(SUM($D42:RF42)&gt;0,0,IF(RF$25&gt;RF40,RF40,0)))))</f>
        <v>0</v>
      </c>
      <c r="RH42" s="115">
        <f>IF(SUM($D$35:RG35)=0,0,IF(IF(RH41&gt;0,RH41-(IF(SUM($D42:RG42)&gt;0,0,IF(RG$25&gt;RG40,RG40,0))),0)&lt;0,0,(IF(SUM($D42:RG42)&gt;0,0,IF(RG$25&gt;RG40,RG40,0)))))</f>
        <v>0</v>
      </c>
      <c r="RI42" s="115">
        <f>IF(SUM($D$35:RH35)=0,0,IF(IF(RI41&gt;0,RI41-(IF(SUM($D42:RH42)&gt;0,0,IF(RH$25&gt;RH40,RH40,0))),0)&lt;0,0,(IF(SUM($D42:RH42)&gt;0,0,IF(RH$25&gt;RH40,RH40,0)))))</f>
        <v>0</v>
      </c>
      <c r="RJ42" s="115">
        <f>IF(SUM($D$35:RI35)=0,0,IF(IF(RJ41&gt;0,RJ41-(IF(SUM($D42:RI42)&gt;0,0,IF(RI$25&gt;RI40,RI40,0))),0)&lt;0,0,(IF(SUM($D42:RI42)&gt;0,0,IF(RI$25&gt;RI40,RI40,0)))))</f>
        <v>0</v>
      </c>
      <c r="RK42" s="115">
        <f>IF(SUM($D$35:RJ35)=0,0,IF(IF(RK41&gt;0,RK41-(IF(SUM($D42:RJ42)&gt;0,0,IF(RJ$25&gt;RJ40,RJ40,0))),0)&lt;0,0,(IF(SUM($D42:RJ42)&gt;0,0,IF(RJ$25&gt;RJ40,RJ40,0)))))</f>
        <v>0</v>
      </c>
      <c r="RL42" s="115">
        <f>IF(SUM($D$35:RK35)=0,0,IF(IF(RL41&gt;0,RL41-(IF(SUM($D42:RK42)&gt;0,0,IF(RK$25&gt;RK40,RK40,0))),0)&lt;0,0,(IF(SUM($D42:RK42)&gt;0,0,IF(RK$25&gt;RK40,RK40,0)))))</f>
        <v>0</v>
      </c>
      <c r="RM42" s="115">
        <f>IF(SUM($D$35:RL35)=0,0,IF(IF(RM41&gt;0,RM41-(IF(SUM($D42:RL42)&gt;0,0,IF(RL$25&gt;RL40,RL40,0))),0)&lt;0,0,(IF(SUM($D42:RL42)&gt;0,0,IF(RL$25&gt;RL40,RL40,0)))))</f>
        <v>0</v>
      </c>
      <c r="RN42" s="115">
        <f>IF(SUM($D$35:RM35)=0,0,IF(IF(RN41&gt;0,RN41-(IF(SUM($D42:RM42)&gt;0,0,IF(RM$25&gt;RM40,RM40,0))),0)&lt;0,0,(IF(SUM($D42:RM42)&gt;0,0,IF(RM$25&gt;RM40,RM40,0)))))</f>
        <v>0</v>
      </c>
      <c r="RO42" s="115">
        <f>IF(SUM($D$35:RN35)=0,0,IF(IF(RO41&gt;0,RO41-(IF(SUM($D42:RN42)&gt;0,0,IF(RN$25&gt;RN40,RN40,0))),0)&lt;0,0,(IF(SUM($D42:RN42)&gt;0,0,IF(RN$25&gt;RN40,RN40,0)))))</f>
        <v>0</v>
      </c>
      <c r="RP42" s="115">
        <f>IF(SUM($D$35:RO35)=0,0,IF(IF(RP41&gt;0,RP41-(IF(SUM($D42:RO42)&gt;0,0,IF(RO$25&gt;RO40,RO40,0))),0)&lt;0,0,(IF(SUM($D42:RO42)&gt;0,0,IF(RO$25&gt;RO40,RO40,0)))))</f>
        <v>0</v>
      </c>
      <c r="RQ42" s="115">
        <f>IF(SUM($D$35:RP35)=0,0,IF(IF(RQ41&gt;0,RQ41-(IF(SUM($D42:RP42)&gt;0,0,IF(RP$25&gt;RP40,RP40,0))),0)&lt;0,0,(IF(SUM($D42:RP42)&gt;0,0,IF(RP$25&gt;RP40,RP40,0)))))</f>
        <v>0</v>
      </c>
      <c r="RR42" s="115">
        <f>IF(SUM($D$35:RQ35)=0,0,IF(IF(RR41&gt;0,RR41-(IF(SUM($D42:RQ42)&gt;0,0,IF(RQ$25&gt;RQ40,RQ40,0))),0)&lt;0,0,(IF(SUM($D42:RQ42)&gt;0,0,IF(RQ$25&gt;RQ40,RQ40,0)))))</f>
        <v>0</v>
      </c>
      <c r="RS42" s="115">
        <f>IF(SUM($D$35:RR35)=0,0,IF(IF(RS41&gt;0,RS41-(IF(SUM($D42:RR42)&gt;0,0,IF(RR$25&gt;RR40,RR40,0))),0)&lt;0,0,(IF(SUM($D42:RR42)&gt;0,0,IF(RR$25&gt;RR40,RR40,0)))))</f>
        <v>0</v>
      </c>
      <c r="RT42" s="115">
        <f>IF(SUM($D$35:RS35)=0,0,IF(IF(RT41&gt;0,RT41-(IF(SUM($D42:RS42)&gt;0,0,IF(RS$25&gt;RS40,RS40,0))),0)&lt;0,0,(IF(SUM($D42:RS42)&gt;0,0,IF(RS$25&gt;RS40,RS40,0)))))</f>
        <v>0</v>
      </c>
      <c r="RU42" s="115">
        <f>IF(SUM($D$35:RT35)=0,0,IF(IF(RU41&gt;0,RU41-(IF(SUM($D42:RT42)&gt;0,0,IF(RT$25&gt;RT40,RT40,0))),0)&lt;0,0,(IF(SUM($D42:RT42)&gt;0,0,IF(RT$25&gt;RT40,RT40,0)))))</f>
        <v>0</v>
      </c>
      <c r="RV42" s="115">
        <f>IF(SUM($D$35:RU35)=0,0,IF(IF(RV41&gt;0,RV41-(IF(SUM($D42:RU42)&gt;0,0,IF(RU$25&gt;RU40,RU40,0))),0)&lt;0,0,(IF(SUM($D42:RU42)&gt;0,0,IF(RU$25&gt;RU40,RU40,0)))))</f>
        <v>0</v>
      </c>
      <c r="RW42" s="115">
        <f>IF(SUM($D$35:RV35)=0,0,IF(IF(RW41&gt;0,RW41-(IF(SUM($D42:RV42)&gt;0,0,IF(RV$25&gt;RV40,RV40,0))),0)&lt;0,0,(IF(SUM($D42:RV42)&gt;0,0,IF(RV$25&gt;RV40,RV40,0)))))</f>
        <v>0</v>
      </c>
      <c r="RX42" s="115">
        <f>IF(SUM($D$35:RW35)=0,0,IF(IF(RX41&gt;0,RX41-(IF(SUM($D42:RW42)&gt;0,0,IF(RW$25&gt;RW40,RW40,0))),0)&lt;0,0,(IF(SUM($D42:RW42)&gt;0,0,IF(RW$25&gt;RW40,RW40,0)))))</f>
        <v>0</v>
      </c>
      <c r="RY42" s="115">
        <f>IF(SUM($D$35:RX35)=0,0,IF(IF(RY41&gt;0,RY41-(IF(SUM($D42:RX42)&gt;0,0,IF(RX$25&gt;RX40,RX40,0))),0)&lt;0,0,(IF(SUM($D42:RX42)&gt;0,0,IF(RX$25&gt;RX40,RX40,0)))))</f>
        <v>0</v>
      </c>
      <c r="RZ42" s="115">
        <f>IF(SUM($D$35:RY35)=0,0,IF(IF(RZ41&gt;0,RZ41-(IF(SUM($D42:RY42)&gt;0,0,IF(RY$25&gt;RY40,RY40,0))),0)&lt;0,0,(IF(SUM($D42:RY42)&gt;0,0,IF(RY$25&gt;RY40,RY40,0)))))</f>
        <v>0</v>
      </c>
      <c r="SA42" s="115">
        <f>IF(SUM($D$35:RZ35)=0,0,IF(IF(SA41&gt;0,SA41-(IF(SUM($D42:RZ42)&gt;0,0,IF(RZ$25&gt;RZ40,RZ40,0))),0)&lt;0,0,(IF(SUM($D42:RZ42)&gt;0,0,IF(RZ$25&gt;RZ40,RZ40,0)))))</f>
        <v>0</v>
      </c>
      <c r="SB42" s="115">
        <f>IF(SUM($D$35:SA35)=0,0,IF(IF(SB41&gt;0,SB41-(IF(SUM($D42:SA42)&gt;0,0,IF(SA$25&gt;SA40,SA40,0))),0)&lt;0,0,(IF(SUM($D42:SA42)&gt;0,0,IF(SA$25&gt;SA40,SA40,0)))))</f>
        <v>0</v>
      </c>
      <c r="SC42" s="115">
        <f>IF(SUM($D$35:SB35)=0,0,IF(IF(SC41&gt;0,SC41-(IF(SUM($D42:SB42)&gt;0,0,IF(SB$25&gt;SB40,SB40,0))),0)&lt;0,0,(IF(SUM($D42:SB42)&gt;0,0,IF(SB$25&gt;SB40,SB40,0)))))</f>
        <v>0</v>
      </c>
      <c r="SD42" s="115">
        <f>IF(SUM($D$35:SC35)=0,0,IF(IF(SD41&gt;0,SD41-(IF(SUM($D42:SC42)&gt;0,0,IF(SC$25&gt;SC40,SC40,0))),0)&lt;0,0,(IF(SUM($D42:SC42)&gt;0,0,IF(SC$25&gt;SC40,SC40,0)))))</f>
        <v>0</v>
      </c>
      <c r="SE42" s="115">
        <f>IF(SUM($D$35:SD35)=0,0,IF(IF(SE41&gt;0,SE41-(IF(SUM($D42:SD42)&gt;0,0,IF(SD$25&gt;SD40,SD40,0))),0)&lt;0,0,(IF(SUM($D42:SD42)&gt;0,0,IF(SD$25&gt;SD40,SD40,0)))))</f>
        <v>0</v>
      </c>
      <c r="SF42" s="115">
        <f>IF(SUM($D$35:SE35)=0,0,IF(IF(SF41&gt;0,SF41-(IF(SUM($D42:SE42)&gt;0,0,IF(SE$25&gt;SE40,SE40,0))),0)&lt;0,0,(IF(SUM($D42:SE42)&gt;0,0,IF(SE$25&gt;SE40,SE40,0)))))</f>
        <v>0</v>
      </c>
      <c r="SG42" s="115">
        <f>IF(SUM($D$35:SF35)=0,0,IF(IF(SG41&gt;0,SG41-(IF(SUM($D42:SF42)&gt;0,0,IF(SF$25&gt;SF40,SF40,0))),0)&lt;0,0,(IF(SUM($D42:SF42)&gt;0,0,IF(SF$25&gt;SF40,SF40,0)))))</f>
        <v>0</v>
      </c>
      <c r="SH42" s="115">
        <f>IF(SUM($D$35:SG35)=0,0,IF(IF(SH41&gt;0,SH41-(IF(SUM($D42:SG42)&gt;0,0,IF(SG$25&gt;SG40,SG40,0))),0)&lt;0,0,(IF(SUM($D42:SG42)&gt;0,0,IF(SG$25&gt;SG40,SG40,0)))))</f>
        <v>0</v>
      </c>
      <c r="SI42" s="115">
        <f>IF(SUM($D$35:SH35)=0,0,IF(IF(SI41&gt;0,SI41-(IF(SUM($D42:SH42)&gt;0,0,IF(SH$25&gt;SH40,SH40,0))),0)&lt;0,0,(IF(SUM($D42:SH42)&gt;0,0,IF(SH$25&gt;SH40,SH40,0)))))</f>
        <v>0</v>
      </c>
      <c r="SJ42" s="115">
        <f>IF(SUM($D$35:SI35)=0,0,IF(IF(SJ41&gt;0,SJ41-(IF(SUM($D42:SI42)&gt;0,0,IF(SI$25&gt;SI40,SI40,0))),0)&lt;0,0,(IF(SUM($D42:SI42)&gt;0,0,IF(SI$25&gt;SI40,SI40,0)))))</f>
        <v>0</v>
      </c>
      <c r="SK42" s="115">
        <f>IF(SUM($D$35:SJ35)=0,0,IF(IF(SK41&gt;0,SK41-(IF(SUM($D42:SJ42)&gt;0,0,IF(SJ$25&gt;SJ40,SJ40,0))),0)&lt;0,0,(IF(SUM($D42:SJ42)&gt;0,0,IF(SJ$25&gt;SJ40,SJ40,0)))))</f>
        <v>0</v>
      </c>
      <c r="SL42" s="115">
        <f>IF(SUM($D$35:SK35)=0,0,IF(IF(SL41&gt;0,SL41-(IF(SUM($D42:SK42)&gt;0,0,IF(SK$25&gt;SK40,SK40,0))),0)&lt;0,0,(IF(SUM($D42:SK42)&gt;0,0,IF(SK$25&gt;SK40,SK40,0)))))</f>
        <v>0</v>
      </c>
      <c r="SM42" s="115">
        <f>IF(SUM($D$35:SL35)=0,0,IF(IF(SM41&gt;0,SM41-(IF(SUM($D42:SL42)&gt;0,0,IF(SL$25&gt;SL40,SL40,0))),0)&lt;0,0,(IF(SUM($D42:SL42)&gt;0,0,IF(SL$25&gt;SL40,SL40,0)))))</f>
        <v>0</v>
      </c>
      <c r="SN42" s="115">
        <f>IF(SUM($D$35:SM35)=0,0,IF(IF(SN41&gt;0,SN41-(IF(SUM($D42:SM42)&gt;0,0,IF(SM$25&gt;SM40,SM40,0))),0)&lt;0,0,(IF(SUM($D42:SM42)&gt;0,0,IF(SM$25&gt;SM40,SM40,0)))))</f>
        <v>0</v>
      </c>
      <c r="SO42" s="115">
        <f>IF(SUM($D$35:SN35)=0,0,IF(IF(SO41&gt;0,SO41-(IF(SUM($D42:SN42)&gt;0,0,IF(SN$25&gt;SN40,SN40,0))),0)&lt;0,0,(IF(SUM($D42:SN42)&gt;0,0,IF(SN$25&gt;SN40,SN40,0)))))</f>
        <v>0</v>
      </c>
      <c r="SP42" s="115">
        <f>IF(SUM($D$35:SO35)=0,0,IF(IF(SP41&gt;0,SP41-(IF(SUM($D42:SO42)&gt;0,0,IF(SO$25&gt;SO40,SO40,0))),0)&lt;0,0,(IF(SUM($D42:SO42)&gt;0,0,IF(SO$25&gt;SO40,SO40,0)))))</f>
        <v>0</v>
      </c>
      <c r="SQ42" s="115">
        <f>IF(SUM($D$35:SP35)=0,0,IF(IF(SQ41&gt;0,SQ41-(IF(SUM($D42:SP42)&gt;0,0,IF(SP$25&gt;SP40,SP40,0))),0)&lt;0,0,(IF(SUM($D42:SP42)&gt;0,0,IF(SP$25&gt;SP40,SP40,0)))))</f>
        <v>0</v>
      </c>
      <c r="SR42" s="115">
        <f>IF(SUM($D$35:SQ35)=0,0,IF(IF(SR41&gt;0,SR41-(IF(SUM($D42:SQ42)&gt;0,0,IF(SQ$25&gt;SQ40,SQ40,0))),0)&lt;0,0,(IF(SUM($D42:SQ42)&gt;0,0,IF(SQ$25&gt;SQ40,SQ40,0)))))</f>
        <v>0</v>
      </c>
      <c r="SS42" s="115">
        <f>IF(SUM($D$35:SR35)=0,0,IF(IF(SS41&gt;0,SS41-(IF(SUM($D42:SR42)&gt;0,0,IF(SR$25&gt;SR40,SR40,0))),0)&lt;0,0,(IF(SUM($D42:SR42)&gt;0,0,IF(SR$25&gt;SR40,SR40,0)))))</f>
        <v>0</v>
      </c>
      <c r="ST42" s="115">
        <f>IF(SUM($D$35:SS35)=0,0,IF(IF(ST41&gt;0,ST41-(IF(SUM($D42:SS42)&gt;0,0,IF(SS$25&gt;SS40,SS40,0))),0)&lt;0,0,(IF(SUM($D42:SS42)&gt;0,0,IF(SS$25&gt;SS40,SS40,0)))))</f>
        <v>0</v>
      </c>
      <c r="SU42" s="115">
        <f>IF(SUM($D$35:ST35)=0,0,IF(IF(SU41&gt;0,SU41-(IF(SUM($D42:ST42)&gt;0,0,IF(ST$25&gt;ST40,ST40,0))),0)&lt;0,0,(IF(SUM($D42:ST42)&gt;0,0,IF(ST$25&gt;ST40,ST40,0)))))</f>
        <v>0</v>
      </c>
      <c r="SV42" s="115">
        <f>IF(SUM($D$35:SU35)=0,0,IF(IF(SV41&gt;0,SV41-(IF(SUM($D42:SU42)&gt;0,0,IF(SU$25&gt;SU40,SU40,0))),0)&lt;0,0,(IF(SUM($D42:SU42)&gt;0,0,IF(SU$25&gt;SU40,SU40,0)))))</f>
        <v>0</v>
      </c>
      <c r="SW42" s="115">
        <f>IF(SUM($D$35:SV35)=0,0,IF(IF(SW41&gt;0,SW41-(IF(SUM($D42:SV42)&gt;0,0,IF(SV$25&gt;SV40,SV40,0))),0)&lt;0,0,(IF(SUM($D42:SV42)&gt;0,0,IF(SV$25&gt;SV40,SV40,0)))))</f>
        <v>0</v>
      </c>
      <c r="SX42" s="115">
        <f>IF(SUM($D$35:SW35)=0,0,IF(IF(SX41&gt;0,SX41-(IF(SUM($D42:SW42)&gt;0,0,IF(SW$25&gt;SW40,SW40,0))),0)&lt;0,0,(IF(SUM($D42:SW42)&gt;0,0,IF(SW$25&gt;SW40,SW40,0)))))</f>
        <v>0</v>
      </c>
      <c r="SY42" s="115">
        <f>IF(SUM($D$35:SX35)=0,0,IF(IF(SY41&gt;0,SY41-(IF(SUM($D42:SX42)&gt;0,0,IF(SX$25&gt;SX40,SX40,0))),0)&lt;0,0,(IF(SUM($D42:SX42)&gt;0,0,IF(SX$25&gt;SX40,SX40,0)))))</f>
        <v>0</v>
      </c>
      <c r="SZ42" s="115">
        <f>IF(SUM($D$35:SY35)=0,0,IF(IF(SZ41&gt;0,SZ41-(IF(SUM($D42:SY42)&gt;0,0,IF(SY$25&gt;SY40,SY40,0))),0)&lt;0,0,(IF(SUM($D42:SY42)&gt;0,0,IF(SY$25&gt;SY40,SY40,0)))))</f>
        <v>0</v>
      </c>
      <c r="TA42" s="115">
        <f>IF(SUM($D$35:SZ35)=0,0,IF(IF(TA41&gt;0,TA41-(IF(SUM($D42:SZ42)&gt;0,0,IF(SZ$25&gt;SZ40,SZ40,0))),0)&lt;0,0,(IF(SUM($D42:SZ42)&gt;0,0,IF(SZ$25&gt;SZ40,SZ40,0)))))</f>
        <v>0</v>
      </c>
      <c r="TB42" s="115">
        <f>IF(SUM($D$35:TA35)=0,0,IF(IF(TB41&gt;0,TB41-(IF(SUM($D42:TA42)&gt;0,0,IF(TA$25&gt;TA40,TA40,0))),0)&lt;0,0,(IF(SUM($D42:TA42)&gt;0,0,IF(TA$25&gt;TA40,TA40,0)))))</f>
        <v>0</v>
      </c>
      <c r="TC42" s="115">
        <f>IF(SUM($D$35:TB35)=0,0,IF(IF(TC41&gt;0,TC41-(IF(SUM($D42:TB42)&gt;0,0,IF(TB$25&gt;TB40,TB40,0))),0)&lt;0,0,(IF(SUM($D42:TB42)&gt;0,0,IF(TB$25&gt;TB40,TB40,0)))))</f>
        <v>0</v>
      </c>
      <c r="TD42" s="115">
        <f>IF(SUM($D$35:TC35)=0,0,IF(IF(TD41&gt;0,TD41-(IF(SUM($D42:TC42)&gt;0,0,IF(TC$25&gt;TC40,TC40,0))),0)&lt;0,0,(IF(SUM($D42:TC42)&gt;0,0,IF(TC$25&gt;TC40,TC40,0)))))</f>
        <v>0</v>
      </c>
      <c r="TE42" s="115">
        <f>IF(SUM($D$35:TD35)=0,0,IF(IF(TE41&gt;0,TE41-(IF(SUM($D42:TD42)&gt;0,0,IF(TD$25&gt;TD40,TD40,0))),0)&lt;0,0,(IF(SUM($D42:TD42)&gt;0,0,IF(TD$25&gt;TD40,TD40,0)))))</f>
        <v>0</v>
      </c>
      <c r="TF42" s="115">
        <f>IF(SUM($D$35:TE35)=0,0,IF(IF(TF41&gt;0,TF41-(IF(SUM($D42:TE42)&gt;0,0,IF(TE$25&gt;TE40,TE40,0))),0)&lt;0,0,(IF(SUM($D42:TE42)&gt;0,0,IF(TE$25&gt;TE40,TE40,0)))))</f>
        <v>0</v>
      </c>
      <c r="TG42" s="115">
        <f>IF(SUM($D$35:TF35)=0,0,IF(IF(TG41&gt;0,TG41-(IF(SUM($D42:TF42)&gt;0,0,IF(TF$25&gt;TF40,TF40,0))),0)&lt;0,0,(IF(SUM($D42:TF42)&gt;0,0,IF(TF$25&gt;TF40,TF40,0)))))</f>
        <v>0</v>
      </c>
      <c r="TH42" s="115">
        <f>IF(SUM($D$35:TG35)=0,0,IF(IF(TH41&gt;0,TH41-(IF(SUM($D42:TG42)&gt;0,0,IF(TG$25&gt;TG40,TG40,0))),0)&lt;0,0,(IF(SUM($D42:TG42)&gt;0,0,IF(TG$25&gt;TG40,TG40,0)))))</f>
        <v>0</v>
      </c>
      <c r="TI42" s="115">
        <f>IF(SUM($D$35:TH35)=0,0,IF(IF(TI41&gt;0,TI41-(IF(SUM($D42:TH42)&gt;0,0,IF(TH$25&gt;TH40,TH40,0))),0)&lt;0,0,(IF(SUM($D42:TH42)&gt;0,0,IF(TH$25&gt;TH40,TH40,0)))))</f>
        <v>0</v>
      </c>
      <c r="TJ42" s="115">
        <f>IF(SUM($D$35:TI35)=0,0,IF(IF(TJ41&gt;0,TJ41-(IF(SUM($D42:TI42)&gt;0,0,IF(TI$25&gt;TI40,TI40,0))),0)&lt;0,0,(IF(SUM($D42:TI42)&gt;0,0,IF(TI$25&gt;TI40,TI40,0)))))</f>
        <v>0</v>
      </c>
      <c r="TK42" s="115">
        <f>IF(SUM($D$35:TJ35)=0,0,IF(IF(TK41&gt;0,TK41-(IF(SUM($D42:TJ42)&gt;0,0,IF(TJ$25&gt;TJ40,TJ40,0))),0)&lt;0,0,(IF(SUM($D42:TJ42)&gt;0,0,IF(TJ$25&gt;TJ40,TJ40,0)))))</f>
        <v>0</v>
      </c>
      <c r="TL42" s="115">
        <f>IF(SUM($D$35:TK35)=0,0,IF(IF(TL41&gt;0,TL41-(IF(SUM($D42:TK42)&gt;0,0,IF(TK$25&gt;TK40,TK40,0))),0)&lt;0,0,(IF(SUM($D42:TK42)&gt;0,0,IF(TK$25&gt;TK40,TK40,0)))))</f>
        <v>0</v>
      </c>
      <c r="TM42" s="115">
        <f>IF(SUM($D$35:TL35)=0,0,IF(IF(TM41&gt;0,TM41-(IF(SUM($D42:TL42)&gt;0,0,IF(TL$25&gt;TL40,TL40,0))),0)&lt;0,0,(IF(SUM($D42:TL42)&gt;0,0,IF(TL$25&gt;TL40,TL40,0)))))</f>
        <v>0</v>
      </c>
      <c r="TN42" s="115">
        <f>IF(SUM($D$35:TM35)=0,0,IF(IF(TN41&gt;0,TN41-(IF(SUM($D42:TM42)&gt;0,0,IF(TM$25&gt;TM40,TM40,0))),0)&lt;0,0,(IF(SUM($D42:TM42)&gt;0,0,IF(TM$25&gt;TM40,TM40,0)))))</f>
        <v>0</v>
      </c>
      <c r="TO42" s="115">
        <f>IF(SUM($D$35:TN35)=0,0,IF(IF(TO41&gt;0,TO41-(IF(SUM($D42:TN42)&gt;0,0,IF(TN$25&gt;TN40,TN40,0))),0)&lt;0,0,(IF(SUM($D42:TN42)&gt;0,0,IF(TN$25&gt;TN40,TN40,0)))))</f>
        <v>0</v>
      </c>
      <c r="TP42" s="115">
        <f>IF(SUM($D$35:TO35)=0,0,IF(IF(TP41&gt;0,TP41-(IF(SUM($D42:TO42)&gt;0,0,IF(TO$25&gt;TO40,TO40,0))),0)&lt;0,0,(IF(SUM($D42:TO42)&gt;0,0,IF(TO$25&gt;TO40,TO40,0)))))</f>
        <v>0</v>
      </c>
      <c r="TQ42" s="115">
        <f>IF(SUM($D$35:TP35)=0,0,IF(IF(TQ41&gt;0,TQ41-(IF(SUM($D42:TP42)&gt;0,0,IF(TP$25&gt;TP40,TP40,0))),0)&lt;0,0,(IF(SUM($D42:TP42)&gt;0,0,IF(TP$25&gt;TP40,TP40,0)))))</f>
        <v>0</v>
      </c>
      <c r="TR42" s="115">
        <f>IF(SUM($D$35:TQ35)=0,0,IF(IF(TR41&gt;0,TR41-(IF(SUM($D42:TQ42)&gt;0,0,IF(TQ$25&gt;TQ40,TQ40,0))),0)&lt;0,0,(IF(SUM($D42:TQ42)&gt;0,0,IF(TQ$25&gt;TQ40,TQ40,0)))))</f>
        <v>0</v>
      </c>
      <c r="TS42" s="115">
        <f>IF(SUM($D$35:TR35)=0,0,IF(IF(TS41&gt;0,TS41-(IF(SUM($D42:TR42)&gt;0,0,IF(TR$25&gt;TR40,TR40,0))),0)&lt;0,0,(IF(SUM($D42:TR42)&gt;0,0,IF(TR$25&gt;TR40,TR40,0)))))</f>
        <v>0</v>
      </c>
      <c r="TT42" s="115">
        <f>IF(SUM($D$35:TS35)=0,0,IF(IF(TT41&gt;0,TT41-(IF(SUM($D42:TS42)&gt;0,0,IF(TS$25&gt;TS40,TS40,0))),0)&lt;0,0,(IF(SUM($D42:TS42)&gt;0,0,IF(TS$25&gt;TS40,TS40,0)))))</f>
        <v>0</v>
      </c>
      <c r="TU42" s="115">
        <f>IF(SUM($D$35:TT35)=0,0,IF(IF(TU41&gt;0,TU41-(IF(SUM($D42:TT42)&gt;0,0,IF(TT$25&gt;TT40,TT40,0))),0)&lt;0,0,(IF(SUM($D42:TT42)&gt;0,0,IF(TT$25&gt;TT40,TT40,0)))))</f>
        <v>0</v>
      </c>
      <c r="TV42" s="115">
        <f>IF(SUM($D$35:TU35)=0,0,IF(IF(TV41&gt;0,TV41-(IF(SUM($D42:TU42)&gt;0,0,IF(TU$25&gt;TU40,TU40,0))),0)&lt;0,0,(IF(SUM($D42:TU42)&gt;0,0,IF(TU$25&gt;TU40,TU40,0)))))</f>
        <v>0</v>
      </c>
      <c r="TW42" s="115">
        <f>IF(SUM($D$35:TV35)=0,0,IF(IF(TW41&gt;0,TW41-(IF(SUM($D42:TV42)&gt;0,0,IF(TV$25&gt;TV40,TV40,0))),0)&lt;0,0,(IF(SUM($D42:TV42)&gt;0,0,IF(TV$25&gt;TV40,TV40,0)))))</f>
        <v>0</v>
      </c>
      <c r="TX42" s="115">
        <f>IF(SUM($D$35:TW35)=0,0,IF(IF(TX41&gt;0,TX41-(IF(SUM($D42:TW42)&gt;0,0,IF(TW$25&gt;TW40,TW40,0))),0)&lt;0,0,(IF(SUM($D42:TW42)&gt;0,0,IF(TW$25&gt;TW40,TW40,0)))))</f>
        <v>0</v>
      </c>
      <c r="TY42" s="115">
        <f>IF(SUM($D$35:TX35)=0,0,IF(IF(TY41&gt;0,TY41-(IF(SUM($D42:TX42)&gt;0,0,IF(TX$25&gt;TX40,TX40,0))),0)&lt;0,0,(IF(SUM($D42:TX42)&gt;0,0,IF(TX$25&gt;TX40,TX40,0)))))</f>
        <v>0</v>
      </c>
      <c r="TZ42" s="115">
        <f>IF(SUM($D$35:TY35)=0,0,IF(IF(TZ41&gt;0,TZ41-(IF(SUM($D42:TY42)&gt;0,0,IF(TY$25&gt;TY40,TY40,0))),0)&lt;0,0,(IF(SUM($D42:TY42)&gt;0,0,IF(TY$25&gt;TY40,TY40,0)))))</f>
        <v>0</v>
      </c>
      <c r="UA42" s="115">
        <f>IF(SUM($D$35:TZ35)=0,0,IF(IF(UA41&gt;0,UA41-(IF(SUM($D42:TZ42)&gt;0,0,IF(TZ$25&gt;TZ40,TZ40,0))),0)&lt;0,0,(IF(SUM($D42:TZ42)&gt;0,0,IF(TZ$25&gt;TZ40,TZ40,0)))))</f>
        <v>0</v>
      </c>
      <c r="UB42" s="115">
        <f>IF(SUM($D$35:UA35)=0,0,IF(IF(UB41&gt;0,UB41-(IF(SUM($D42:UA42)&gt;0,0,IF(UA$25&gt;UA40,UA40,0))),0)&lt;0,0,(IF(SUM($D42:UA42)&gt;0,0,IF(UA$25&gt;UA40,UA40,0)))))</f>
        <v>0</v>
      </c>
      <c r="UC42" s="115">
        <f>IF(SUM($D$35:UB35)=0,0,IF(IF(UC41&gt;0,UC41-(IF(SUM($D42:UB42)&gt;0,0,IF(UB$25&gt;UB40,UB40,0))),0)&lt;0,0,(IF(SUM($D42:UB42)&gt;0,0,IF(UB$25&gt;UB40,UB40,0)))))</f>
        <v>0</v>
      </c>
      <c r="UD42" s="115">
        <f>IF(SUM($D$35:UC35)=0,0,IF(IF(UD41&gt;0,UD41-(IF(SUM($D42:UC42)&gt;0,0,IF(UC$25&gt;UC40,UC40,0))),0)&lt;0,0,(IF(SUM($D42:UC42)&gt;0,0,IF(UC$25&gt;UC40,UC40,0)))))</f>
        <v>0</v>
      </c>
      <c r="UE42" s="115">
        <f>IF(SUM($D$35:UD35)=0,0,IF(IF(UE41&gt;0,UE41-(IF(SUM($D42:UD42)&gt;0,0,IF(UD$25&gt;UD40,UD40,0))),0)&lt;0,0,(IF(SUM($D42:UD42)&gt;0,0,IF(UD$25&gt;UD40,UD40,0)))))</f>
        <v>0</v>
      </c>
      <c r="UF42" s="115">
        <f>IF(SUM($D$35:UE35)=0,0,IF(IF(UF41&gt;0,UF41-(IF(SUM($D42:UE42)&gt;0,0,IF(UE$25&gt;UE40,UE40,0))),0)&lt;0,0,(IF(SUM($D42:UE42)&gt;0,0,IF(UE$25&gt;UE40,UE40,0)))))</f>
        <v>0</v>
      </c>
      <c r="UG42" s="115">
        <f>IF(SUM($D$35:UF35)=0,0,IF(IF(UG41&gt;0,UG41-(IF(SUM($D42:UF42)&gt;0,0,IF(UF$25&gt;UF40,UF40,0))),0)&lt;0,0,(IF(SUM($D42:UF42)&gt;0,0,IF(UF$25&gt;UF40,UF40,0)))))</f>
        <v>0</v>
      </c>
      <c r="UH42" s="115">
        <f>IF(SUM($D$35:UG35)=0,0,IF(IF(UH41&gt;0,UH41-(IF(SUM($D42:UG42)&gt;0,0,IF(UG$25&gt;UG40,UG40,0))),0)&lt;0,0,(IF(SUM($D42:UG42)&gt;0,0,IF(UG$25&gt;UG40,UG40,0)))))</f>
        <v>0</v>
      </c>
      <c r="UI42" s="115">
        <f>IF(SUM($D$35:UH35)=0,0,IF(IF(UI41&gt;0,UI41-(IF(SUM($D42:UH42)&gt;0,0,IF(UH$25&gt;UH40,UH40,0))),0)&lt;0,0,(IF(SUM($D42:UH42)&gt;0,0,IF(UH$25&gt;UH40,UH40,0)))))</f>
        <v>0</v>
      </c>
      <c r="UJ42" s="115">
        <f>IF(SUM($D$35:UI35)=0,0,IF(IF(UJ41&gt;0,UJ41-(IF(SUM($D42:UI42)&gt;0,0,IF(UI$25&gt;UI40,UI40,0))),0)&lt;0,0,(IF(SUM($D42:UI42)&gt;0,0,IF(UI$25&gt;UI40,UI40,0)))))</f>
        <v>0</v>
      </c>
      <c r="UK42" s="115">
        <f>IF(SUM($D$35:UJ35)=0,0,IF(IF(UK41&gt;0,UK41-(IF(SUM($D42:UJ42)&gt;0,0,IF(UJ$25&gt;UJ40,UJ40,0))),0)&lt;0,0,(IF(SUM($D42:UJ42)&gt;0,0,IF(UJ$25&gt;UJ40,UJ40,0)))))</f>
        <v>0</v>
      </c>
      <c r="UL42" s="115">
        <f>IF(SUM($D$35:UK35)=0,0,IF(IF(UL41&gt;0,UL41-(IF(SUM($D42:UK42)&gt;0,0,IF(UK$25&gt;UK40,UK40,0))),0)&lt;0,0,(IF(SUM($D42:UK42)&gt;0,0,IF(UK$25&gt;UK40,UK40,0)))))</f>
        <v>0</v>
      </c>
      <c r="UM42" s="115">
        <f>IF(SUM($D$35:UL35)=0,0,IF(IF(UM41&gt;0,UM41-(IF(SUM($D42:UL42)&gt;0,0,IF(UL$25&gt;UL40,UL40,0))),0)&lt;0,0,(IF(SUM($D42:UL42)&gt;0,0,IF(UL$25&gt;UL40,UL40,0)))))</f>
        <v>0</v>
      </c>
      <c r="UN42" s="115">
        <f>IF(SUM($D$35:UM35)=0,0,IF(IF(UN41&gt;0,UN41-(IF(SUM($D42:UM42)&gt;0,0,IF(UM$25&gt;UM40,UM40,0))),0)&lt;0,0,(IF(SUM($D42:UM42)&gt;0,0,IF(UM$25&gt;UM40,UM40,0)))))</f>
        <v>0</v>
      </c>
      <c r="UO42" s="115">
        <f>IF(SUM($D$35:UN35)=0,0,IF(IF(UO41&gt;0,UO41-(IF(SUM($D42:UN42)&gt;0,0,IF(UN$25&gt;UN40,UN40,0))),0)&lt;0,0,(IF(SUM($D42:UN42)&gt;0,0,IF(UN$25&gt;UN40,UN40,0)))))</f>
        <v>0</v>
      </c>
      <c r="UP42" s="115">
        <f>IF(SUM($D$35:UO35)=0,0,IF(IF(UP41&gt;0,UP41-(IF(SUM($D42:UO42)&gt;0,0,IF(UO$25&gt;UO40,UO40,0))),0)&lt;0,0,(IF(SUM($D42:UO42)&gt;0,0,IF(UO$25&gt;UO40,UO40,0)))))</f>
        <v>0</v>
      </c>
      <c r="UQ42" s="115">
        <f>IF(SUM($D$35:UP35)=0,0,IF(IF(UQ41&gt;0,UQ41-(IF(SUM($D42:UP42)&gt;0,0,IF(UP$25&gt;UP40,UP40,0))),0)&lt;0,0,(IF(SUM($D42:UP42)&gt;0,0,IF(UP$25&gt;UP40,UP40,0)))))</f>
        <v>0</v>
      </c>
      <c r="UR42" s="115">
        <f>IF(SUM($D$35:UQ35)=0,0,IF(IF(UR41&gt;0,UR41-(IF(SUM($D42:UQ42)&gt;0,0,IF(UQ$25&gt;UQ40,UQ40,0))),0)&lt;0,0,(IF(SUM($D42:UQ42)&gt;0,0,IF(UQ$25&gt;UQ40,UQ40,0)))))</f>
        <v>0</v>
      </c>
      <c r="US42" s="115">
        <f>IF(SUM($D$35:UR35)=0,0,IF(IF(US41&gt;0,US41-(IF(SUM($D42:UR42)&gt;0,0,IF(UR$25&gt;UR40,UR40,0))),0)&lt;0,0,(IF(SUM($D42:UR42)&gt;0,0,IF(UR$25&gt;UR40,UR40,0)))))</f>
        <v>0</v>
      </c>
      <c r="UT42" s="115">
        <f>IF(SUM($D$35:US35)=0,0,IF(IF(UT41&gt;0,UT41-(IF(SUM($D42:US42)&gt;0,0,IF(US$25&gt;US40,US40,0))),0)&lt;0,0,(IF(SUM($D42:US42)&gt;0,0,IF(US$25&gt;US40,US40,0)))))</f>
        <v>0</v>
      </c>
      <c r="UU42" s="115">
        <f>IF(SUM($D$35:UT35)=0,0,IF(IF(UU41&gt;0,UU41-(IF(SUM($D42:UT42)&gt;0,0,IF(UT$25&gt;UT40,UT40,0))),0)&lt;0,0,(IF(SUM($D42:UT42)&gt;0,0,IF(UT$25&gt;UT40,UT40,0)))))</f>
        <v>0</v>
      </c>
      <c r="UV42" s="115">
        <f>IF(SUM($D$35:UU35)=0,0,IF(IF(UV41&gt;0,UV41-(IF(SUM($D42:UU42)&gt;0,0,IF(UU$25&gt;UU40,UU40,0))),0)&lt;0,0,(IF(SUM($D42:UU42)&gt;0,0,IF(UU$25&gt;UU40,UU40,0)))))</f>
        <v>0</v>
      </c>
      <c r="UW42" s="115">
        <f>IF(SUM($D$35:UV35)=0,0,IF(IF(UW41&gt;0,UW41-(IF(SUM($D42:UV42)&gt;0,0,IF(UV$25&gt;UV40,UV40,0))),0)&lt;0,0,(IF(SUM($D42:UV42)&gt;0,0,IF(UV$25&gt;UV40,UV40,0)))))</f>
        <v>0</v>
      </c>
      <c r="UX42" s="115">
        <f>IF(SUM($D$35:UW35)=0,0,IF(IF(UX41&gt;0,UX41-(IF(SUM($D42:UW42)&gt;0,0,IF(UW$25&gt;UW40,UW40,0))),0)&lt;0,0,(IF(SUM($D42:UW42)&gt;0,0,IF(UW$25&gt;UW40,UW40,0)))))</f>
        <v>0</v>
      </c>
      <c r="UY42" s="115">
        <f>IF(SUM($D$35:UX35)=0,0,IF(IF(UY41&gt;0,UY41-(IF(SUM($D42:UX42)&gt;0,0,IF(UX$25&gt;UX40,UX40,0))),0)&lt;0,0,(IF(SUM($D42:UX42)&gt;0,0,IF(UX$25&gt;UX40,UX40,0)))))</f>
        <v>0</v>
      </c>
      <c r="UZ42" s="115">
        <f>IF(SUM($D$35:UY35)=0,0,IF(IF(UZ41&gt;0,UZ41-(IF(SUM($D42:UY42)&gt;0,0,IF(UY$25&gt;UY40,UY40,0))),0)&lt;0,0,(IF(SUM($D42:UY42)&gt;0,0,IF(UY$25&gt;UY40,UY40,0)))))</f>
        <v>0</v>
      </c>
      <c r="VA42" s="115">
        <f>IF(SUM($D$35:UZ35)=0,0,IF(IF(VA41&gt;0,VA41-(IF(SUM($D42:UZ42)&gt;0,0,IF(UZ$25&gt;UZ40,UZ40,0))),0)&lt;0,0,(IF(SUM($D42:UZ42)&gt;0,0,IF(UZ$25&gt;UZ40,UZ40,0)))))</f>
        <v>0</v>
      </c>
      <c r="VB42" s="115">
        <f>IF(SUM($D$35:VA35)=0,0,IF(IF(VB41&gt;0,VB41-(IF(SUM($D42:VA42)&gt;0,0,IF(VA$25&gt;VA40,VA40,0))),0)&lt;0,0,(IF(SUM($D42:VA42)&gt;0,0,IF(VA$25&gt;VA40,VA40,0)))))</f>
        <v>0</v>
      </c>
      <c r="VC42" s="115">
        <f>IF(SUM($D$35:VB35)=0,0,IF(IF(VC41&gt;0,VC41-(IF(SUM($D42:VB42)&gt;0,0,IF(VB$25&gt;VB40,VB40,0))),0)&lt;0,0,(IF(SUM($D42:VB42)&gt;0,0,IF(VB$25&gt;VB40,VB40,0)))))</f>
        <v>0</v>
      </c>
      <c r="VD42" s="115">
        <f>IF(SUM($D$35:VC35)=0,0,IF(IF(VD41&gt;0,VD41-(IF(SUM($D42:VC42)&gt;0,0,IF(VC$25&gt;VC40,VC40,0))),0)&lt;0,0,(IF(SUM($D42:VC42)&gt;0,0,IF(VC$25&gt;VC40,VC40,0)))))</f>
        <v>0</v>
      </c>
      <c r="VE42" s="115">
        <f>IF(SUM($D$35:VD35)=0,0,IF(IF(VE41&gt;0,VE41-(IF(SUM($D42:VD42)&gt;0,0,IF(VD$25&gt;VD40,VD40,0))),0)&lt;0,0,(IF(SUM($D42:VD42)&gt;0,0,IF(VD$25&gt;VD40,VD40,0)))))</f>
        <v>0</v>
      </c>
      <c r="VF42" s="115">
        <f>IF(SUM($D$35:VE35)=0,0,IF(IF(VF41&gt;0,VF41-(IF(SUM($D42:VE42)&gt;0,0,IF(VE$25&gt;VE40,VE40,0))),0)&lt;0,0,(IF(SUM($D42:VE42)&gt;0,0,IF(VE$25&gt;VE40,VE40,0)))))</f>
        <v>0</v>
      </c>
      <c r="VG42" s="115">
        <f>IF(SUM($D$35:VF35)=0,0,IF(IF(VG41&gt;0,VG41-(IF(SUM($D42:VF42)&gt;0,0,IF(VF$25&gt;VF40,VF40,0))),0)&lt;0,0,(IF(SUM($D42:VF42)&gt;0,0,IF(VF$25&gt;VF40,VF40,0)))))</f>
        <v>0</v>
      </c>
      <c r="VH42" s="115">
        <f>IF(SUM($D$35:VG35)=0,0,IF(IF(VH41&gt;0,VH41-(IF(SUM($D42:VG42)&gt;0,0,IF(VG$25&gt;VG40,VG40,0))),0)&lt;0,0,(IF(SUM($D42:VG42)&gt;0,0,IF(VG$25&gt;VG40,VG40,0)))))</f>
        <v>0</v>
      </c>
      <c r="VI42" s="115">
        <f>IF(SUM($D$35:VH35)=0,0,IF(IF(VI41&gt;0,VI41-(IF(SUM($D42:VH42)&gt;0,0,IF(VH$25&gt;VH40,VH40,0))),0)&lt;0,0,(IF(SUM($D42:VH42)&gt;0,0,IF(VH$25&gt;VH40,VH40,0)))))</f>
        <v>0</v>
      </c>
      <c r="VJ42" s="115">
        <f>IF(SUM($D$35:VI35)=0,0,IF(IF(VJ41&gt;0,VJ41-(IF(SUM($D42:VI42)&gt;0,0,IF(VI$25&gt;VI40,VI40,0))),0)&lt;0,0,(IF(SUM($D42:VI42)&gt;0,0,IF(VI$25&gt;VI40,VI40,0)))))</f>
        <v>0</v>
      </c>
      <c r="VK42" s="115">
        <f>IF(SUM($D$35:VJ35)=0,0,IF(IF(VK41&gt;0,VK41-(IF(SUM($D42:VJ42)&gt;0,0,IF(VJ$25&gt;VJ40,VJ40,0))),0)&lt;0,0,(IF(SUM($D42:VJ42)&gt;0,0,IF(VJ$25&gt;VJ40,VJ40,0)))))</f>
        <v>0</v>
      </c>
      <c r="VL42" s="115">
        <f>IF(SUM($D$35:VK35)=0,0,IF(IF(VL41&gt;0,VL41-(IF(SUM($D42:VK42)&gt;0,0,IF(VK$25&gt;VK40,VK40,0))),0)&lt;0,0,(IF(SUM($D42:VK42)&gt;0,0,IF(VK$25&gt;VK40,VK40,0)))))</f>
        <v>0</v>
      </c>
      <c r="VM42" s="115">
        <f>IF(SUM($D$35:VL35)=0,0,IF(IF(VM41&gt;0,VM41-(IF(SUM($D42:VL42)&gt;0,0,IF(VL$25&gt;VL40,VL40,0))),0)&lt;0,0,(IF(SUM($D42:VL42)&gt;0,0,IF(VL$25&gt;VL40,VL40,0)))))</f>
        <v>0</v>
      </c>
      <c r="VN42" s="115">
        <f>IF(SUM($D$35:VM35)=0,0,IF(IF(VN41&gt;0,VN41-(IF(SUM($D42:VM42)&gt;0,0,IF(VM$25&gt;VM40,VM40,0))),0)&lt;0,0,(IF(SUM($D42:VM42)&gt;0,0,IF(VM$25&gt;VM40,VM40,0)))))</f>
        <v>0</v>
      </c>
      <c r="VO42" s="115">
        <f>IF(SUM($D$35:VN35)=0,0,IF(IF(VO41&gt;0,VO41-(IF(SUM($D42:VN42)&gt;0,0,IF(VN$25&gt;VN40,VN40,0))),0)&lt;0,0,(IF(SUM($D42:VN42)&gt;0,0,IF(VN$25&gt;VN40,VN40,0)))))</f>
        <v>0</v>
      </c>
      <c r="VP42" s="115">
        <f>IF(SUM($D$35:VO35)=0,0,IF(IF(VP41&gt;0,VP41-(IF(SUM($D42:VO42)&gt;0,0,IF(VO$25&gt;VO40,VO40,0))),0)&lt;0,0,(IF(SUM($D42:VO42)&gt;0,0,IF(VO$25&gt;VO40,VO40,0)))))</f>
        <v>0</v>
      </c>
      <c r="VQ42" s="115">
        <f>IF(SUM($D$35:VP35)=0,0,IF(IF(VQ41&gt;0,VQ41-(IF(SUM($D42:VP42)&gt;0,0,IF(VP$25&gt;VP40,VP40,0))),0)&lt;0,0,(IF(SUM($D42:VP42)&gt;0,0,IF(VP$25&gt;VP40,VP40,0)))))</f>
        <v>0</v>
      </c>
      <c r="VR42" s="115">
        <f>IF(SUM($D$35:VQ35)=0,0,IF(IF(VR41&gt;0,VR41-(IF(SUM($D42:VQ42)&gt;0,0,IF(VQ$25&gt;VQ40,VQ40,0))),0)&lt;0,0,(IF(SUM($D42:VQ42)&gt;0,0,IF(VQ$25&gt;VQ40,VQ40,0)))))</f>
        <v>0</v>
      </c>
      <c r="VS42" s="115">
        <f>IF(SUM($D$35:VR35)=0,0,IF(IF(VS41&gt;0,VS41-(IF(SUM($D42:VR42)&gt;0,0,IF(VR$25&gt;VR40,VR40,0))),0)&lt;0,0,(IF(SUM($D42:VR42)&gt;0,0,IF(VR$25&gt;VR40,VR40,0)))))</f>
        <v>0</v>
      </c>
      <c r="VT42" s="115">
        <f>IF(SUM($D$35:VS35)=0,0,IF(IF(VT41&gt;0,VT41-(IF(SUM($D42:VS42)&gt;0,0,IF(VS$25&gt;VS40,VS40,0))),0)&lt;0,0,(IF(SUM($D42:VS42)&gt;0,0,IF(VS$25&gt;VS40,VS40,0)))))</f>
        <v>0</v>
      </c>
      <c r="VU42" s="115">
        <f>IF(SUM($D$35:VT35)=0,0,IF(IF(VU41&gt;0,VU41-(IF(SUM($D42:VT42)&gt;0,0,IF(VT$25&gt;VT40,VT40,0))),0)&lt;0,0,(IF(SUM($D42:VT42)&gt;0,0,IF(VT$25&gt;VT40,VT40,0)))))</f>
        <v>0</v>
      </c>
      <c r="VV42" s="115">
        <f>IF(SUM($D$35:VU35)=0,0,IF(IF(VV41&gt;0,VV41-(IF(SUM($D42:VU42)&gt;0,0,IF(VU$25&gt;VU40,VU40,0))),0)&lt;0,0,(IF(SUM($D42:VU42)&gt;0,0,IF(VU$25&gt;VU40,VU40,0)))))</f>
        <v>0</v>
      </c>
      <c r="VW42" s="115">
        <f>IF(SUM($D$35:VV35)=0,0,IF(IF(VW41&gt;0,VW41-(IF(SUM($D42:VV42)&gt;0,0,IF(VV$25&gt;VV40,VV40,0))),0)&lt;0,0,(IF(SUM($D42:VV42)&gt;0,0,IF(VV$25&gt;VV40,VV40,0)))))</f>
        <v>0</v>
      </c>
      <c r="VX42" s="115">
        <f>IF(SUM($D$35:VW35)=0,0,IF(IF(VX41&gt;0,VX41-(IF(SUM($D42:VW42)&gt;0,0,IF(VW$25&gt;VW40,VW40,0))),0)&lt;0,0,(IF(SUM($D42:VW42)&gt;0,0,IF(VW$25&gt;VW40,VW40,0)))))</f>
        <v>0</v>
      </c>
      <c r="VY42" s="115">
        <f>IF(SUM($D$35:VX35)=0,0,IF(IF(VY41&gt;0,VY41-(IF(SUM($D42:VX42)&gt;0,0,IF(VX$25&gt;VX40,VX40,0))),0)&lt;0,0,(IF(SUM($D42:VX42)&gt;0,0,IF(VX$25&gt;VX40,VX40,0)))))</f>
        <v>0</v>
      </c>
      <c r="VZ42" s="115">
        <f>IF(SUM($D$35:VY35)=0,0,IF(IF(VZ41&gt;0,VZ41-(IF(SUM($D42:VY42)&gt;0,0,IF(VY$25&gt;VY40,VY40,0))),0)&lt;0,0,(IF(SUM($D42:VY42)&gt;0,0,IF(VY$25&gt;VY40,VY40,0)))))</f>
        <v>0</v>
      </c>
      <c r="WA42" s="115">
        <f>IF(SUM($D$35:VZ35)=0,0,IF(IF(WA41&gt;0,WA41-(IF(SUM($D42:VZ42)&gt;0,0,IF(VZ$25&gt;VZ40,VZ40,0))),0)&lt;0,0,(IF(SUM($D42:VZ42)&gt;0,0,IF(VZ$25&gt;VZ40,VZ40,0)))))</f>
        <v>0</v>
      </c>
      <c r="WB42" s="115">
        <f>IF(SUM($D$35:WA35)=0,0,IF(IF(WB41&gt;0,WB41-(IF(SUM($D42:WA42)&gt;0,0,IF(WA$25&gt;WA40,WA40,0))),0)&lt;0,0,(IF(SUM($D42:WA42)&gt;0,0,IF(WA$25&gt;WA40,WA40,0)))))</f>
        <v>0</v>
      </c>
      <c r="WC42" s="115">
        <f>IF(SUM($D$35:WB35)=0,0,IF(IF(WC41&gt;0,WC41-(IF(SUM($D42:WB42)&gt;0,0,IF(WB$25&gt;WB40,WB40,0))),0)&lt;0,0,(IF(SUM($D42:WB42)&gt;0,0,IF(WB$25&gt;WB40,WB40,0)))))</f>
        <v>0</v>
      </c>
      <c r="WD42" s="115">
        <f>IF(SUM($D$35:WC35)=0,0,IF(IF(WD41&gt;0,WD41-(IF(SUM($D42:WC42)&gt;0,0,IF(WC$25&gt;WC40,WC40,0))),0)&lt;0,0,(IF(SUM($D42:WC42)&gt;0,0,IF(WC$25&gt;WC40,WC40,0)))))</f>
        <v>0</v>
      </c>
      <c r="WE42" s="115">
        <f>IF(SUM($D$35:WD35)=0,0,IF(IF(WE41&gt;0,WE41-(IF(SUM($D42:WD42)&gt;0,0,IF(WD$25&gt;WD40,WD40,0))),0)&lt;0,0,(IF(SUM($D42:WD42)&gt;0,0,IF(WD$25&gt;WD40,WD40,0)))))</f>
        <v>0</v>
      </c>
      <c r="WF42" s="115">
        <f>IF(SUM($D$35:WE35)=0,0,IF(IF(WF41&gt;0,WF41-(IF(SUM($D42:WE42)&gt;0,0,IF(WE$25&gt;WE40,WE40,0))),0)&lt;0,0,(IF(SUM($D42:WE42)&gt;0,0,IF(WE$25&gt;WE40,WE40,0)))))</f>
        <v>0</v>
      </c>
      <c r="WG42" s="115">
        <f>IF(SUM($D$35:WF35)=0,0,IF(IF(WG41&gt;0,WG41-(IF(SUM($D42:WF42)&gt;0,0,IF(WF$25&gt;WF40,WF40,0))),0)&lt;0,0,(IF(SUM($D42:WF42)&gt;0,0,IF(WF$25&gt;WF40,WF40,0)))))</f>
        <v>0</v>
      </c>
      <c r="WH42" s="115">
        <f>IF(SUM($D$35:WG35)=0,0,IF(IF(WH41&gt;0,WH41-(IF(SUM($D42:WG42)&gt;0,0,IF(WG$25&gt;WG40,WG40,0))),0)&lt;0,0,(IF(SUM($D42:WG42)&gt;0,0,IF(WG$25&gt;WG40,WG40,0)))))</f>
        <v>0</v>
      </c>
      <c r="WI42" s="115">
        <f>IF(SUM($D$35:WH35)=0,0,IF(IF(WI41&gt;0,WI41-(IF(SUM($D42:WH42)&gt;0,0,IF(WH$25&gt;WH40,WH40,0))),0)&lt;0,0,(IF(SUM($D42:WH42)&gt;0,0,IF(WH$25&gt;WH40,WH40,0)))))</f>
        <v>0</v>
      </c>
      <c r="WJ42" s="115">
        <f>IF(SUM($D$35:WI35)=0,0,IF(IF(WJ41&gt;0,WJ41-(IF(SUM($D42:WI42)&gt;0,0,IF(WI$25&gt;WI40,WI40,0))),0)&lt;0,0,(IF(SUM($D42:WI42)&gt;0,0,IF(WI$25&gt;WI40,WI40,0)))))</f>
        <v>0</v>
      </c>
      <c r="WK42" s="115">
        <f>IF(SUM($D$35:WJ35)=0,0,IF(IF(WK41&gt;0,WK41-(IF(SUM($D42:WJ42)&gt;0,0,IF(WJ$25&gt;WJ40,WJ40,0))),0)&lt;0,0,(IF(SUM($D42:WJ42)&gt;0,0,IF(WJ$25&gt;WJ40,WJ40,0)))))</f>
        <v>0</v>
      </c>
      <c r="WL42" s="115">
        <f>IF(SUM($D$35:WK35)=0,0,IF(IF(WL41&gt;0,WL41-(IF(SUM($D42:WK42)&gt;0,0,IF(WK$25&gt;WK40,WK40,0))),0)&lt;0,0,(IF(SUM($D42:WK42)&gt;0,0,IF(WK$25&gt;WK40,WK40,0)))))</f>
        <v>0</v>
      </c>
      <c r="WM42" s="115">
        <f>IF(SUM($D$35:WL35)=0,0,IF(IF(WM41&gt;0,WM41-(IF(SUM($D42:WL42)&gt;0,0,IF(WL$25&gt;WL40,WL40,0))),0)&lt;0,0,(IF(SUM($D42:WL42)&gt;0,0,IF(WL$25&gt;WL40,WL40,0)))))</f>
        <v>0</v>
      </c>
      <c r="WN42" s="115">
        <f>IF(SUM($D$35:WM35)=0,0,IF(IF(WN41&gt;0,WN41-(IF(SUM($D42:WM42)&gt;0,0,IF(WM$25&gt;WM40,WM40,0))),0)&lt;0,0,(IF(SUM($D42:WM42)&gt;0,0,IF(WM$25&gt;WM40,WM40,0)))))</f>
        <v>0</v>
      </c>
      <c r="WO42" s="115">
        <f>IF(SUM($D$35:WN35)=0,0,IF(IF(WO41&gt;0,WO41-(IF(SUM($D42:WN42)&gt;0,0,IF(WN$25&gt;WN40,WN40,0))),0)&lt;0,0,(IF(SUM($D42:WN42)&gt;0,0,IF(WN$25&gt;WN40,WN40,0)))))</f>
        <v>0</v>
      </c>
      <c r="WP42" s="115">
        <f>IF(SUM($D$35:WO35)=0,0,IF(IF(WP41&gt;0,WP41-(IF(SUM($D42:WO42)&gt;0,0,IF(WO$25&gt;WO40,WO40,0))),0)&lt;0,0,(IF(SUM($D42:WO42)&gt;0,0,IF(WO$25&gt;WO40,WO40,0)))))</f>
        <v>0</v>
      </c>
      <c r="WQ42" s="115">
        <f>IF(SUM($D$35:WP35)=0,0,IF(IF(WQ41&gt;0,WQ41-(IF(SUM($D42:WP42)&gt;0,0,IF(WP$25&gt;WP40,WP40,0))),0)&lt;0,0,(IF(SUM($D42:WP42)&gt;0,0,IF(WP$25&gt;WP40,WP40,0)))))</f>
        <v>0</v>
      </c>
      <c r="WR42" s="115">
        <f>IF(SUM($D$35:WQ35)=0,0,IF(IF(WR41&gt;0,WR41-(IF(SUM($D42:WQ42)&gt;0,0,IF(WQ$25&gt;WQ40,WQ40,0))),0)&lt;0,0,(IF(SUM($D42:WQ42)&gt;0,0,IF(WQ$25&gt;WQ40,WQ40,0)))))</f>
        <v>0</v>
      </c>
      <c r="WS42" s="115">
        <f>IF(SUM($D$35:WR35)=0,0,IF(IF(WS41&gt;0,WS41-(IF(SUM($D42:WR42)&gt;0,0,IF(WR$25&gt;WR40,WR40,0))),0)&lt;0,0,(IF(SUM($D42:WR42)&gt;0,0,IF(WR$25&gt;WR40,WR40,0)))))</f>
        <v>0</v>
      </c>
      <c r="WT42" s="115">
        <f>IF(SUM($D$35:WS35)=0,0,IF(IF(WT41&gt;0,WT41-(IF(SUM($D42:WS42)&gt;0,0,IF(WS$25&gt;WS40,WS40,0))),0)&lt;0,0,(IF(SUM($D42:WS42)&gt;0,0,IF(WS$25&gt;WS40,WS40,0)))))</f>
        <v>0</v>
      </c>
      <c r="WU42" s="115">
        <f>IF(SUM($D$35:WT35)=0,0,IF(IF(WU41&gt;0,WU41-(IF(SUM($D42:WT42)&gt;0,0,IF(WT$25&gt;WT40,WT40,0))),0)&lt;0,0,(IF(SUM($D42:WT42)&gt;0,0,IF(WT$25&gt;WT40,WT40,0)))))</f>
        <v>0</v>
      </c>
      <c r="WV42" s="115">
        <f>IF(SUM($D$35:WU35)=0,0,IF(IF(WV41&gt;0,WV41-(IF(SUM($D42:WU42)&gt;0,0,IF(WU$25&gt;WU40,WU40,0))),0)&lt;0,0,(IF(SUM($D42:WU42)&gt;0,0,IF(WU$25&gt;WU40,WU40,0)))))</f>
        <v>0</v>
      </c>
      <c r="WW42" s="115">
        <f>IF(SUM($D$35:WV35)=0,0,IF(IF(WW41&gt;0,WW41-(IF(SUM($D42:WV42)&gt;0,0,IF(WV$25&gt;WV40,WV40,0))),0)&lt;0,0,(IF(SUM($D42:WV42)&gt;0,0,IF(WV$25&gt;WV40,WV40,0)))))</f>
        <v>0</v>
      </c>
      <c r="WX42" s="115">
        <f>IF(SUM($D$35:WW35)=0,0,IF(IF(WX41&gt;0,WX41-(IF(SUM($D42:WW42)&gt;0,0,IF(WW$25&gt;WW40,WW40,0))),0)&lt;0,0,(IF(SUM($D42:WW42)&gt;0,0,IF(WW$25&gt;WW40,WW40,0)))))</f>
        <v>0</v>
      </c>
      <c r="WY42" s="115">
        <f>IF(SUM($D$35:WX35)=0,0,IF(IF(WY41&gt;0,WY41-(IF(SUM($D42:WX42)&gt;0,0,IF(WX$25&gt;WX40,WX40,0))),0)&lt;0,0,(IF(SUM($D42:WX42)&gt;0,0,IF(WX$25&gt;WX40,WX40,0)))))</f>
        <v>0</v>
      </c>
      <c r="WZ42" s="115">
        <f>IF(SUM($D$35:WY35)=0,0,IF(IF(WZ41&gt;0,WZ41-(IF(SUM($D42:WY42)&gt;0,0,IF(WY$25&gt;WY40,WY40,0))),0)&lt;0,0,(IF(SUM($D42:WY42)&gt;0,0,IF(WY$25&gt;WY40,WY40,0)))))</f>
        <v>0</v>
      </c>
      <c r="XA42" s="115">
        <f>IF(SUM($D$35:WZ35)=0,0,IF(IF(XA41&gt;0,XA41-(IF(SUM($D42:WZ42)&gt;0,0,IF(WZ$25&gt;WZ40,WZ40,0))),0)&lt;0,0,(IF(SUM($D42:WZ42)&gt;0,0,IF(WZ$25&gt;WZ40,WZ40,0)))))</f>
        <v>0</v>
      </c>
      <c r="XB42" s="115">
        <f>IF(SUM($D$35:XA35)=0,0,IF(IF(XB41&gt;0,XB41-(IF(SUM($D42:XA42)&gt;0,0,IF(XA$25&gt;XA40,XA40,0))),0)&lt;0,0,(IF(SUM($D42:XA42)&gt;0,0,IF(XA$25&gt;XA40,XA40,0)))))</f>
        <v>0</v>
      </c>
      <c r="XC42" s="115">
        <f>IF(SUM($D$35:XB35)=0,0,IF(IF(XC41&gt;0,XC41-(IF(SUM($D42:XB42)&gt;0,0,IF(XB$25&gt;XB40,XB40,0))),0)&lt;0,0,(IF(SUM($D42:XB42)&gt;0,0,IF(XB$25&gt;XB40,XB40,0)))))</f>
        <v>0</v>
      </c>
      <c r="XD42" s="115">
        <f>IF(SUM($D$35:XC35)=0,0,IF(IF(XD41&gt;0,XD41-(IF(SUM($D42:XC42)&gt;0,0,IF(XC$25&gt;XC40,XC40,0))),0)&lt;0,0,(IF(SUM($D42:XC42)&gt;0,0,IF(XC$25&gt;XC40,XC40,0)))))</f>
        <v>0</v>
      </c>
      <c r="XE42" s="115">
        <f>IF(SUM($D$35:XD35)=0,0,IF(IF(XE41&gt;0,XE41-(IF(SUM($D42:XD42)&gt;0,0,IF(XD$25&gt;XD40,XD40,0))),0)&lt;0,0,(IF(SUM($D42:XD42)&gt;0,0,IF(XD$25&gt;XD40,XD40,0)))))</f>
        <v>0</v>
      </c>
      <c r="XF42" s="115">
        <f>IF(SUM($D$35:XE35)=0,0,IF(IF(XF41&gt;0,XF41-(IF(SUM($D42:XE42)&gt;0,0,IF(XE$25&gt;XE40,XE40,0))),0)&lt;0,0,(IF(SUM($D42:XE42)&gt;0,0,IF(XE$25&gt;XE40,XE40,0)))))</f>
        <v>0</v>
      </c>
      <c r="XG42" s="115">
        <f>IF(SUM($D$35:XF35)=0,0,IF(IF(XG41&gt;0,XG41-(IF(SUM($D42:XF42)&gt;0,0,IF(XF$25&gt;XF40,XF40,0))),0)&lt;0,0,(IF(SUM($D42:XF42)&gt;0,0,IF(XF$25&gt;XF40,XF40,0)))))</f>
        <v>0</v>
      </c>
      <c r="XH42" s="115">
        <f>IF(SUM($D$35:XG35)=0,0,IF(IF(XH41&gt;0,XH41-(IF(SUM($D42:XG42)&gt;0,0,IF(XG$25&gt;XG40,XG40,0))),0)&lt;0,0,(IF(SUM($D42:XG42)&gt;0,0,IF(XG$25&gt;XG40,XG40,0)))))</f>
        <v>0</v>
      </c>
      <c r="XI42" s="115">
        <f>IF(SUM($D$35:XH35)=0,0,IF(IF(XI41&gt;0,XI41-(IF(SUM($D42:XH42)&gt;0,0,IF(XH$25&gt;XH40,XH40,0))),0)&lt;0,0,(IF(SUM($D42:XH42)&gt;0,0,IF(XH$25&gt;XH40,XH40,0)))))</f>
        <v>0</v>
      </c>
      <c r="XJ42" s="115">
        <f>IF(SUM($D$35:XI35)=0,0,IF(IF(XJ41&gt;0,XJ41-(IF(SUM($D42:XI42)&gt;0,0,IF(XI$25&gt;XI40,XI40,0))),0)&lt;0,0,(IF(SUM($D42:XI42)&gt;0,0,IF(XI$25&gt;XI40,XI40,0)))))</f>
        <v>0</v>
      </c>
      <c r="XK42" s="115">
        <f>IF(SUM($D$35:XJ35)=0,0,IF(IF(XK41&gt;0,XK41-(IF(SUM($D42:XJ42)&gt;0,0,IF(XJ$25&gt;XJ40,XJ40,0))),0)&lt;0,0,(IF(SUM($D42:XJ42)&gt;0,0,IF(XJ$25&gt;XJ40,XJ40,0)))))</f>
        <v>0</v>
      </c>
      <c r="XL42" s="115">
        <f>IF(SUM($D$35:XK35)=0,0,IF(IF(XL41&gt;0,XL41-(IF(SUM($D42:XK42)&gt;0,0,IF(XK$25&gt;XK40,XK40,0))),0)&lt;0,0,(IF(SUM($D42:XK42)&gt;0,0,IF(XK$25&gt;XK40,XK40,0)))))</f>
        <v>0</v>
      </c>
      <c r="XM42" s="115">
        <f>IF(SUM($D$35:XL35)=0,0,IF(IF(XM41&gt;0,XM41-(IF(SUM($D42:XL42)&gt;0,0,IF(XL$25&gt;XL40,XL40,0))),0)&lt;0,0,(IF(SUM($D42:XL42)&gt;0,0,IF(XL$25&gt;XL40,XL40,0)))))</f>
        <v>0</v>
      </c>
      <c r="XN42" s="115">
        <f>IF(SUM($D$35:XM35)=0,0,IF(IF(XN41&gt;0,XN41-(IF(SUM($D42:XM42)&gt;0,0,IF(XM$25&gt;XM40,XM40,0))),0)&lt;0,0,(IF(SUM($D42:XM42)&gt;0,0,IF(XM$25&gt;XM40,XM40,0)))))</f>
        <v>0</v>
      </c>
      <c r="XO42" s="115">
        <f>IF(SUM($D$35:XN35)=0,0,IF(IF(XO41&gt;0,XO41-(IF(SUM($D42:XN42)&gt;0,0,IF(XN$25&gt;XN40,XN40,0))),0)&lt;0,0,(IF(SUM($D42:XN42)&gt;0,0,IF(XN$25&gt;XN40,XN40,0)))))</f>
        <v>0</v>
      </c>
      <c r="XP42" s="115">
        <f>IF(SUM($D$35:XO35)=0,0,IF(IF(XP41&gt;0,XP41-(IF(SUM($D42:XO42)&gt;0,0,IF(XO$25&gt;XO40,XO40,0))),0)&lt;0,0,(IF(SUM($D42:XO42)&gt;0,0,IF(XO$25&gt;XO40,XO40,0)))))</f>
        <v>0</v>
      </c>
      <c r="XQ42" s="115">
        <f>IF(SUM($D$35:XP35)=0,0,IF(IF(XQ41&gt;0,XQ41-(IF(SUM($D42:XP42)&gt;0,0,IF(XP$25&gt;XP40,XP40,0))),0)&lt;0,0,(IF(SUM($D42:XP42)&gt;0,0,IF(XP$25&gt;XP40,XP40,0)))))</f>
        <v>0</v>
      </c>
      <c r="XR42" s="115">
        <f>IF(SUM($D$35:XQ35)=0,0,IF(IF(XR41&gt;0,XR41-(IF(SUM($D42:XQ42)&gt;0,0,IF(XQ$25&gt;XQ40,XQ40,0))),0)&lt;0,0,(IF(SUM($D42:XQ42)&gt;0,0,IF(XQ$25&gt;XQ40,XQ40,0)))))</f>
        <v>0</v>
      </c>
      <c r="XS42" s="115">
        <f>IF(SUM($D$35:XR35)=0,0,IF(IF(XS41&gt;0,XS41-(IF(SUM($D42:XR42)&gt;0,0,IF(XR$25&gt;XR40,XR40,0))),0)&lt;0,0,(IF(SUM($D42:XR42)&gt;0,0,IF(XR$25&gt;XR40,XR40,0)))))</f>
        <v>0</v>
      </c>
      <c r="XT42" s="115">
        <f>IF(SUM($D$35:XS35)=0,0,IF(IF(XT41&gt;0,XT41-(IF(SUM($D42:XS42)&gt;0,0,IF(XS$25&gt;XS40,XS40,0))),0)&lt;0,0,(IF(SUM($D42:XS42)&gt;0,0,IF(XS$25&gt;XS40,XS40,0)))))</f>
        <v>0</v>
      </c>
      <c r="XU42" s="115">
        <f>IF(SUM($D$35:XT35)=0,0,IF(IF(XU41&gt;0,XU41-(IF(SUM($D42:XT42)&gt;0,0,IF(XT$25&gt;XT40,XT40,0))),0)&lt;0,0,(IF(SUM($D42:XT42)&gt;0,0,IF(XT$25&gt;XT40,XT40,0)))))</f>
        <v>0</v>
      </c>
      <c r="XV42" s="115">
        <f>IF(SUM($D$35:XU35)=0,0,IF(IF(XV41&gt;0,XV41-(IF(SUM($D42:XU42)&gt;0,0,IF(XU$25&gt;XU40,XU40,0))),0)&lt;0,0,(IF(SUM($D42:XU42)&gt;0,0,IF(XU$25&gt;XU40,XU40,0)))))</f>
        <v>0</v>
      </c>
      <c r="XW42" s="115">
        <f>IF(SUM($D$35:XV35)=0,0,IF(IF(XW41&gt;0,XW41-(IF(SUM($D42:XV42)&gt;0,0,IF(XV$25&gt;XV40,XV40,0))),0)&lt;0,0,(IF(SUM($D42:XV42)&gt;0,0,IF(XV$25&gt;XV40,XV40,0)))))</f>
        <v>0</v>
      </c>
      <c r="XX42" s="115">
        <f>IF(SUM($D$35:XW35)=0,0,IF(IF(XX41&gt;0,XX41-(IF(SUM($D42:XW42)&gt;0,0,IF(XW$25&gt;XW40,XW40,0))),0)&lt;0,0,(IF(SUM($D42:XW42)&gt;0,0,IF(XW$25&gt;XW40,XW40,0)))))</f>
        <v>100000</v>
      </c>
      <c r="XY42" s="115">
        <f>IF(SUM($D$35:XX35)=0,0,IF(IF(XY41&gt;0,XY41-(IF(SUM($D42:XX42)&gt;0,0,IF(XX$25&gt;XX40,XX40,0))),0)&lt;0,0,(IF(SUM($D42:XX42)&gt;0,0,IF(XX$25&gt;XX40,XX40,0)))))</f>
        <v>0</v>
      </c>
      <c r="XZ42" s="115">
        <f>IF(SUM($D$35:XY35)=0,0,IF(IF(XZ41&gt;0,XZ41-(IF(SUM($D42:XY42)&gt;0,0,IF(XY$25&gt;XY40,XY40,0))),0)&lt;0,0,(IF(SUM($D42:XY42)&gt;0,0,IF(XY$25&gt;XY40,XY40,0)))))</f>
        <v>0</v>
      </c>
      <c r="YA42" s="115">
        <f>IF(SUM($D$35:XZ35)=0,0,IF(IF(YA41&gt;0,YA41-(IF(SUM($D42:XZ42)&gt;0,0,IF(XZ$25&gt;XZ40,XZ40,0))),0)&lt;0,0,(IF(SUM($D42:XZ42)&gt;0,0,IF(XZ$25&gt;XZ40,XZ40,0)))))</f>
        <v>0</v>
      </c>
      <c r="YB42" s="115">
        <f>IF(SUM($D$35:YA35)=0,0,IF(IF(YB41&gt;0,YB41-(IF(SUM($D42:YA42)&gt;0,0,IF(YA$25&gt;YA40,YA40,0))),0)&lt;0,0,(IF(SUM($D42:YA42)&gt;0,0,IF(YA$25&gt;YA40,YA40,0)))))</f>
        <v>0</v>
      </c>
      <c r="YC42" s="115">
        <f>IF(SUM($D$35:YB35)=0,0,IF(IF(YC41&gt;0,YC41-(IF(SUM($D42:YB42)&gt;0,0,IF(YB$25&gt;YB40,YB40,0))),0)&lt;0,0,(IF(SUM($D42:YB42)&gt;0,0,IF(YB$25&gt;YB40,YB40,0)))))</f>
        <v>0</v>
      </c>
      <c r="YD42" s="115">
        <f>IF(SUM($D$35:YC35)=0,0,IF(IF(YD41&gt;0,YD41-(IF(SUM($D42:YC42)&gt;0,0,IF(YC$25&gt;YC40,YC40,0))),0)&lt;0,0,(IF(SUM($D42:YC42)&gt;0,0,IF(YC$25&gt;YC40,YC40,0)))))</f>
        <v>0</v>
      </c>
      <c r="YE42" s="115">
        <f>IF(SUM($D$35:YD35)=0,0,IF(IF(YE41&gt;0,YE41-(IF(SUM($D42:YD42)&gt;0,0,IF(YD$25&gt;YD40,YD40,0))),0)&lt;0,0,(IF(SUM($D42:YD42)&gt;0,0,IF(YD$25&gt;YD40,YD40,0)))))</f>
        <v>0</v>
      </c>
      <c r="YF42" s="115">
        <f>IF(SUM($D$35:YE35)=0,0,IF(IF(YF41&gt;0,YF41-(IF(SUM($D42:YE42)&gt;0,0,IF(YE$25&gt;YE40,YE40,0))),0)&lt;0,0,(IF(SUM($D42:YE42)&gt;0,0,IF(YE$25&gt;YE40,YE40,0)))))</f>
        <v>0</v>
      </c>
      <c r="YG42" s="115">
        <f>IF(SUM($D$35:YF35)=0,0,IF(IF(YG41&gt;0,YG41-(IF(SUM($D42:YF42)&gt;0,0,IF(YF$25&gt;YF40,YF40,0))),0)&lt;0,0,(IF(SUM($D42:YF42)&gt;0,0,IF(YF$25&gt;YF40,YF40,0)))))</f>
        <v>0</v>
      </c>
      <c r="YH42" s="115">
        <f>IF(SUM($D$35:YG35)=0,0,IF(IF(YH41&gt;0,YH41-(IF(SUM($D42:YG42)&gt;0,0,IF(YG$25&gt;YG40,YG40,0))),0)&lt;0,0,(IF(SUM($D42:YG42)&gt;0,0,IF(YG$25&gt;YG40,YG40,0)))))</f>
        <v>0</v>
      </c>
      <c r="YI42" s="115">
        <f>IF(SUM($D$35:YH35)=0,0,IF(IF(YI41&gt;0,YI41-(IF(SUM($D42:YH42)&gt;0,0,IF(YH$25&gt;YH40,YH40,0))),0)&lt;0,0,(IF(SUM($D42:YH42)&gt;0,0,IF(YH$25&gt;YH40,YH40,0)))))</f>
        <v>0</v>
      </c>
      <c r="YJ42" s="115">
        <f>IF(SUM($D$35:YI35)=0,0,IF(IF(YJ41&gt;0,YJ41-(IF(SUM($D42:YI42)&gt;0,0,IF(YI$25&gt;YI40,YI40,0))),0)&lt;0,0,(IF(SUM($D42:YI42)&gt;0,0,IF(YI$25&gt;YI40,YI40,0)))))</f>
        <v>0</v>
      </c>
      <c r="YK42" s="115">
        <f>IF(SUM($D$35:YJ35)=0,0,IF(IF(YK41&gt;0,YK41-(IF(SUM($D42:YJ42)&gt;0,0,IF(YJ$25&gt;YJ40,YJ40,0))),0)&lt;0,0,(IF(SUM($D42:YJ42)&gt;0,0,IF(YJ$25&gt;YJ40,YJ40,0)))))</f>
        <v>0</v>
      </c>
      <c r="YL42" s="115">
        <f>IF(SUM($D$35:YK35)=0,0,IF(IF(YL41&gt;0,YL41-(IF(SUM($D42:YK42)&gt;0,0,IF(YK$25&gt;YK40,YK40,0))),0)&lt;0,0,(IF(SUM($D42:YK42)&gt;0,0,IF(YK$25&gt;YK40,YK40,0)))))</f>
        <v>0</v>
      </c>
      <c r="YM42" s="115">
        <f>IF(SUM($D$35:YL35)=0,0,IF(IF(YM41&gt;0,YM41-(IF(SUM($D42:YL42)&gt;0,0,IF(YL$25&gt;YL40,YL40,0))),0)&lt;0,0,(IF(SUM($D42:YL42)&gt;0,0,IF(YL$25&gt;YL40,YL40,0)))))</f>
        <v>0</v>
      </c>
      <c r="YN42" s="115">
        <f>IF(SUM($D$35:YM35)=0,0,IF(IF(YN41&gt;0,YN41-(IF(SUM($D42:YM42)&gt;0,0,IF(YM$25&gt;YM40,YM40,0))),0)&lt;0,0,(IF(SUM($D42:YM42)&gt;0,0,IF(YM$25&gt;YM40,YM40,0)))))</f>
        <v>0</v>
      </c>
      <c r="YO42" s="115">
        <f>IF(SUM($D$35:YN35)=0,0,IF(IF(YO41&gt;0,YO41-(IF(SUM($D42:YN42)&gt;0,0,IF(YN$25&gt;YN40,YN40,0))),0)&lt;0,0,(IF(SUM($D42:YN42)&gt;0,0,IF(YN$25&gt;YN40,YN40,0)))))</f>
        <v>0</v>
      </c>
      <c r="YP42" s="115">
        <f>IF(SUM($D$35:YO35)=0,0,IF(IF(YP41&gt;0,YP41-(IF(SUM($D42:YO42)&gt;0,0,IF(YO$25&gt;YO40,YO40,0))),0)&lt;0,0,(IF(SUM($D42:YO42)&gt;0,0,IF(YO$25&gt;YO40,YO40,0)))))</f>
        <v>0</v>
      </c>
      <c r="YQ42" s="115">
        <f>IF(SUM($D$35:YP35)=0,0,IF(IF(YQ41&gt;0,YQ41-(IF(SUM($D42:YP42)&gt;0,0,IF(YP$25&gt;YP40,YP40,0))),0)&lt;0,0,(IF(SUM($D42:YP42)&gt;0,0,IF(YP$25&gt;YP40,YP40,0)))))</f>
        <v>0</v>
      </c>
      <c r="YR42" s="115">
        <f>IF(SUM($D$35:YQ35)=0,0,IF(IF(YR41&gt;0,YR41-(IF(SUM($D42:YQ42)&gt;0,0,IF(YQ$25&gt;YQ40,YQ40,0))),0)&lt;0,0,(IF(SUM($D42:YQ42)&gt;0,0,IF(YQ$25&gt;YQ40,YQ40,0)))))</f>
        <v>0</v>
      </c>
      <c r="YS42" s="115">
        <f>IF(SUM($D$35:YR35)=0,0,IF(IF(YS41&gt;0,YS41-(IF(SUM($D42:YR42)&gt;0,0,IF(YR$25&gt;YR40,YR40,0))),0)&lt;0,0,(IF(SUM($D42:YR42)&gt;0,0,IF(YR$25&gt;YR40,YR40,0)))))</f>
        <v>0</v>
      </c>
      <c r="YT42" s="115">
        <f>IF(SUM($D$35:YS35)=0,0,IF(IF(YT41&gt;0,YT41-(IF(SUM($D42:YS42)&gt;0,0,IF(YS$25&gt;YS40,YS40,0))),0)&lt;0,0,(IF(SUM($D42:YS42)&gt;0,0,IF(YS$25&gt;YS40,YS40,0)))))</f>
        <v>0</v>
      </c>
      <c r="YU42" s="115">
        <f>IF(SUM($D$35:YT35)=0,0,IF(IF(YU41&gt;0,YU41-(IF(SUM($D42:YT42)&gt;0,0,IF(YT$25&gt;YT40,YT40,0))),0)&lt;0,0,(IF(SUM($D42:YT42)&gt;0,0,IF(YT$25&gt;YT40,YT40,0)))))</f>
        <v>0</v>
      </c>
      <c r="YV42" s="115">
        <f>IF(SUM($D$35:YU35)=0,0,IF(IF(YV41&gt;0,YV41-(IF(SUM($D42:YU42)&gt;0,0,IF(YU$25&gt;YU40,YU40,0))),0)&lt;0,0,(IF(SUM($D42:YU42)&gt;0,0,IF(YU$25&gt;YU40,YU40,0)))))</f>
        <v>0</v>
      </c>
      <c r="YW42" s="115">
        <f>IF(SUM($D$35:YV35)=0,0,IF(IF(YW41&gt;0,YW41-(IF(SUM($D42:YV42)&gt;0,0,IF(YV$25&gt;YV40,YV40,0))),0)&lt;0,0,(IF(SUM($D42:YV42)&gt;0,0,IF(YV$25&gt;YV40,YV40,0)))))</f>
        <v>0</v>
      </c>
      <c r="YX42" s="115">
        <f>IF(SUM($D$35:YW35)=0,0,IF(IF(YX41&gt;0,YX41-(IF(SUM($D42:YW42)&gt;0,0,IF(YW$25&gt;YW40,YW40,0))),0)&lt;0,0,(IF(SUM($D42:YW42)&gt;0,0,IF(YW$25&gt;YW40,YW40,0)))))</f>
        <v>0</v>
      </c>
      <c r="YY42" s="115">
        <f>IF(SUM($D$35:YX35)=0,0,IF(IF(YY41&gt;0,YY41-(IF(SUM($D42:YX42)&gt;0,0,IF(YX$25&gt;YX40,YX40,0))),0)&lt;0,0,(IF(SUM($D42:YX42)&gt;0,0,IF(YX$25&gt;YX40,YX40,0)))))</f>
        <v>0</v>
      </c>
      <c r="YZ42" s="115">
        <f>IF(SUM($D$35:YY35)=0,0,IF(IF(YZ41&gt;0,YZ41-(IF(SUM($D42:YY42)&gt;0,0,IF(YY$25&gt;YY40,YY40,0))),0)&lt;0,0,(IF(SUM($D42:YY42)&gt;0,0,IF(YY$25&gt;YY40,YY40,0)))))</f>
        <v>0</v>
      </c>
      <c r="ZA42" s="115">
        <f>IF(SUM($D$35:YZ35)=0,0,IF(IF(ZA41&gt;0,ZA41-(IF(SUM($D42:YZ42)&gt;0,0,IF(YZ$25&gt;YZ40,YZ40,0))),0)&lt;0,0,(IF(SUM($D42:YZ42)&gt;0,0,IF(YZ$25&gt;YZ40,YZ40,0)))))</f>
        <v>0</v>
      </c>
      <c r="ZB42" s="115">
        <f>IF(SUM($D$35:ZA35)=0,0,IF(IF(ZB41&gt;0,ZB41-(IF(SUM($D42:ZA42)&gt;0,0,IF(ZA$25&gt;ZA40,ZA40,0))),0)&lt;0,0,(IF(SUM($D42:ZA42)&gt;0,0,IF(ZA$25&gt;ZA40,ZA40,0)))))</f>
        <v>0</v>
      </c>
      <c r="ZC42" s="115">
        <f>IF(SUM($D$35:ZB35)=0,0,IF(IF(ZC41&gt;0,ZC41-(IF(SUM($D42:ZB42)&gt;0,0,IF(ZB$25&gt;ZB40,ZB40,0))),0)&lt;0,0,(IF(SUM($D42:ZB42)&gt;0,0,IF(ZB$25&gt;ZB40,ZB40,0)))))</f>
        <v>0</v>
      </c>
      <c r="ZD42" s="115">
        <f>IF(SUM($D$35:ZC35)=0,0,IF(IF(ZD41&gt;0,ZD41-(IF(SUM($D42:ZC42)&gt;0,0,IF(ZC$25&gt;ZC40,ZC40,0))),0)&lt;0,0,(IF(SUM($D42:ZC42)&gt;0,0,IF(ZC$25&gt;ZC40,ZC40,0)))))</f>
        <v>0</v>
      </c>
      <c r="ZE42" s="115">
        <f>IF(SUM($D$35:ZD35)=0,0,IF(IF(ZE41&gt;0,ZE41-(IF(SUM($D42:ZD42)&gt;0,0,IF(ZD$25&gt;ZD40,ZD40,0))),0)&lt;0,0,(IF(SUM($D42:ZD42)&gt;0,0,IF(ZD$25&gt;ZD40,ZD40,0)))))</f>
        <v>0</v>
      </c>
      <c r="ZF42" s="115">
        <f>IF(SUM($D$35:ZE35)=0,0,IF(IF(ZF41&gt;0,ZF41-(IF(SUM($D42:ZE42)&gt;0,0,IF(ZE$25&gt;ZE40,ZE40,0))),0)&lt;0,0,(IF(SUM($D42:ZE42)&gt;0,0,IF(ZE$25&gt;ZE40,ZE40,0)))))</f>
        <v>0</v>
      </c>
      <c r="ZG42" s="115">
        <f>IF(SUM($D$35:ZF35)=0,0,IF(IF(ZG41&gt;0,ZG41-(IF(SUM($D42:ZF42)&gt;0,0,IF(ZF$25&gt;ZF40,ZF40,0))),0)&lt;0,0,(IF(SUM($D42:ZF42)&gt;0,0,IF(ZF$25&gt;ZF40,ZF40,0)))))</f>
        <v>0</v>
      </c>
      <c r="ZH42" s="115">
        <f>IF(SUM($D$35:ZG35)=0,0,IF(IF(ZH41&gt;0,ZH41-(IF(SUM($D42:ZG42)&gt;0,0,IF(ZG$25&gt;ZG40,ZG40,0))),0)&lt;0,0,(IF(SUM($D42:ZG42)&gt;0,0,IF(ZG$25&gt;ZG40,ZG40,0)))))</f>
        <v>0</v>
      </c>
      <c r="ZI42" s="115">
        <f>IF(SUM($D$35:ZH35)=0,0,IF(IF(ZI41&gt;0,ZI41-(IF(SUM($D42:ZH42)&gt;0,0,IF(ZH$25&gt;ZH40,ZH40,0))),0)&lt;0,0,(IF(SUM($D42:ZH42)&gt;0,0,IF(ZH$25&gt;ZH40,ZH40,0)))))</f>
        <v>0</v>
      </c>
      <c r="ZJ42" s="115">
        <f>IF(SUM($D$35:ZI35)=0,0,IF(IF(ZJ41&gt;0,ZJ41-(IF(SUM($D42:ZI42)&gt;0,0,IF(ZI$25&gt;ZI40,ZI40,0))),0)&lt;0,0,(IF(SUM($D42:ZI42)&gt;0,0,IF(ZI$25&gt;ZI40,ZI40,0)))))</f>
        <v>0</v>
      </c>
      <c r="ZK42" s="115">
        <f>IF(SUM($D$35:ZJ35)=0,0,IF(IF(ZK41&gt;0,ZK41-(IF(SUM($D42:ZJ42)&gt;0,0,IF(ZJ$25&gt;ZJ40,ZJ40,0))),0)&lt;0,0,(IF(SUM($D42:ZJ42)&gt;0,0,IF(ZJ$25&gt;ZJ40,ZJ40,0)))))</f>
        <v>0</v>
      </c>
      <c r="ZL42" s="115">
        <f>IF(SUM($D$35:ZK35)=0,0,IF(IF(ZL41&gt;0,ZL41-(IF(SUM($D42:ZK42)&gt;0,0,IF(ZK$25&gt;ZK40,ZK40,0))),0)&lt;0,0,(IF(SUM($D42:ZK42)&gt;0,0,IF(ZK$25&gt;ZK40,ZK40,0)))))</f>
        <v>0</v>
      </c>
      <c r="ZM42" s="115">
        <f>IF(SUM($D$35:ZL35)=0,0,IF(IF(ZM41&gt;0,ZM41-(IF(SUM($D42:ZL42)&gt;0,0,IF(ZL$25&gt;ZL40,ZL40,0))),0)&lt;0,0,(IF(SUM($D42:ZL42)&gt;0,0,IF(ZL$25&gt;ZL40,ZL40,0)))))</f>
        <v>0</v>
      </c>
      <c r="ZN42" s="115">
        <f>IF(SUM($D$35:ZM35)=0,0,IF(IF(ZN41&gt;0,ZN41-(IF(SUM($D42:ZM42)&gt;0,0,IF(ZM$25&gt;ZM40,ZM40,0))),0)&lt;0,0,(IF(SUM($D42:ZM42)&gt;0,0,IF(ZM$25&gt;ZM40,ZM40,0)))))</f>
        <v>0</v>
      </c>
      <c r="ZO42" s="115">
        <f>IF(SUM($D$35:ZN35)=0,0,IF(IF(ZO41&gt;0,ZO41-(IF(SUM($D42:ZN42)&gt;0,0,IF(ZN$25&gt;ZN40,ZN40,0))),0)&lt;0,0,(IF(SUM($D42:ZN42)&gt;0,0,IF(ZN$25&gt;ZN40,ZN40,0)))))</f>
        <v>0</v>
      </c>
      <c r="ZP42" s="115">
        <f>IF(SUM($D$35:ZO35)=0,0,IF(IF(ZP41&gt;0,ZP41-(IF(SUM($D42:ZO42)&gt;0,0,IF(ZO$25&gt;ZO40,ZO40,0))),0)&lt;0,0,(IF(SUM($D42:ZO42)&gt;0,0,IF(ZO$25&gt;ZO40,ZO40,0)))))</f>
        <v>0</v>
      </c>
      <c r="ZQ42" s="115">
        <f>IF(SUM($D$35:ZP35)=0,0,IF(IF(ZQ41&gt;0,ZQ41-(IF(SUM($D42:ZP42)&gt;0,0,IF(ZP$25&gt;ZP40,ZP40,0))),0)&lt;0,0,(IF(SUM($D42:ZP42)&gt;0,0,IF(ZP$25&gt;ZP40,ZP40,0)))))</f>
        <v>0</v>
      </c>
      <c r="ZR42" s="115">
        <f>IF(SUM($D$35:ZQ35)=0,0,IF(IF(ZR41&gt;0,ZR41-(IF(SUM($D42:ZQ42)&gt;0,0,IF(ZQ$25&gt;ZQ40,ZQ40,0))),0)&lt;0,0,(IF(SUM($D42:ZQ42)&gt;0,0,IF(ZQ$25&gt;ZQ40,ZQ40,0)))))</f>
        <v>0</v>
      </c>
      <c r="ZS42" s="115">
        <f>IF(SUM($D$35:ZR35)=0,0,IF(IF(ZS41&gt;0,ZS41-(IF(SUM($D42:ZR42)&gt;0,0,IF(ZR$25&gt;ZR40,ZR40,0))),0)&lt;0,0,(IF(SUM($D42:ZR42)&gt;0,0,IF(ZR$25&gt;ZR40,ZR40,0)))))</f>
        <v>0</v>
      </c>
      <c r="ZT42" s="115">
        <f>IF(SUM($D$35:ZS35)=0,0,IF(IF(ZT41&gt;0,ZT41-(IF(SUM($D42:ZS42)&gt;0,0,IF(ZS$25&gt;ZS40,ZS40,0))),0)&lt;0,0,(IF(SUM($D42:ZS42)&gt;0,0,IF(ZS$25&gt;ZS40,ZS40,0)))))</f>
        <v>0</v>
      </c>
      <c r="ZU42" s="115">
        <f>IF(SUM($D$35:ZT35)=0,0,IF(IF(ZU41&gt;0,ZU41-(IF(SUM($D42:ZT42)&gt;0,0,IF(ZT$25&gt;ZT40,ZT40,0))),0)&lt;0,0,(IF(SUM($D42:ZT42)&gt;0,0,IF(ZT$25&gt;ZT40,ZT40,0)))))</f>
        <v>0</v>
      </c>
      <c r="ZV42" s="115">
        <f>IF(SUM($D$35:ZU35)=0,0,IF(IF(ZV41&gt;0,ZV41-(IF(SUM($D42:ZU42)&gt;0,0,IF(ZU$25&gt;ZU40,ZU40,0))),0)&lt;0,0,(IF(SUM($D42:ZU42)&gt;0,0,IF(ZU$25&gt;ZU40,ZU40,0)))))</f>
        <v>0</v>
      </c>
      <c r="ZW42" s="115">
        <f>IF(SUM($D$35:ZV35)=0,0,IF(IF(ZW41&gt;0,ZW41-(IF(SUM($D42:ZV42)&gt;0,0,IF(ZV$25&gt;ZV40,ZV40,0))),0)&lt;0,0,(IF(SUM($D42:ZV42)&gt;0,0,IF(ZV$25&gt;ZV40,ZV40,0)))))</f>
        <v>0</v>
      </c>
      <c r="ZX42" s="115">
        <f>IF(SUM($D$35:ZW35)=0,0,IF(IF(ZX41&gt;0,ZX41-(IF(SUM($D42:ZW42)&gt;0,0,IF(ZW$25&gt;ZW40,ZW40,0))),0)&lt;0,0,(IF(SUM($D42:ZW42)&gt;0,0,IF(ZW$25&gt;ZW40,ZW40,0)))))</f>
        <v>0</v>
      </c>
      <c r="ZY42" s="115">
        <f>IF(SUM($D$35:ZX35)=0,0,IF(IF(ZY41&gt;0,ZY41-(IF(SUM($D42:ZX42)&gt;0,0,IF(ZX$25&gt;ZX40,ZX40,0))),0)&lt;0,0,(IF(SUM($D42:ZX42)&gt;0,0,IF(ZX$25&gt;ZX40,ZX40,0)))))</f>
        <v>0</v>
      </c>
      <c r="ZZ42" s="115">
        <f>IF(SUM($D$35:ZY35)=0,0,IF(IF(ZZ41&gt;0,ZZ41-(IF(SUM($D42:ZY42)&gt;0,0,IF(ZY$25&gt;ZY40,ZY40,0))),0)&lt;0,0,(IF(SUM($D42:ZY42)&gt;0,0,IF(ZY$25&gt;ZY40,ZY40,0)))))</f>
        <v>0</v>
      </c>
      <c r="AAA42" s="115">
        <f>IF(SUM($D$35:ZZ35)=0,0,IF(IF(AAA41&gt;0,AAA41-(IF(SUM($D42:ZZ42)&gt;0,0,IF(ZZ$25&gt;ZZ40,ZZ40,0))),0)&lt;0,0,(IF(SUM($D42:ZZ42)&gt;0,0,IF(ZZ$25&gt;ZZ40,ZZ40,0)))))</f>
        <v>0</v>
      </c>
      <c r="AAB42" s="115">
        <f>IF(SUM($D$35:AAA35)=0,0,IF(IF(AAB41&gt;0,AAB41-(IF(SUM($D42:AAA42)&gt;0,0,IF(AAA$25&gt;AAA40,AAA40,0))),0)&lt;0,0,(IF(SUM($D42:AAA42)&gt;0,0,IF(AAA$25&gt;AAA40,AAA40,0)))))</f>
        <v>0</v>
      </c>
      <c r="AAC42" s="115">
        <f>IF(SUM($D$35:AAB35)=0,0,IF(IF(AAC41&gt;0,AAC41-(IF(SUM($D42:AAB42)&gt;0,0,IF(AAB$25&gt;AAB40,AAB40,0))),0)&lt;0,0,(IF(SUM($D42:AAB42)&gt;0,0,IF(AAB$25&gt;AAB40,AAB40,0)))))</f>
        <v>0</v>
      </c>
      <c r="AAD42" s="115">
        <f>IF(SUM($D$35:AAC35)=0,0,IF(IF(AAD41&gt;0,AAD41-(IF(SUM($D42:AAC42)&gt;0,0,IF(AAC$25&gt;AAC40,AAC40,0))),0)&lt;0,0,(IF(SUM($D42:AAC42)&gt;0,0,IF(AAC$25&gt;AAC40,AAC40,0)))))</f>
        <v>0</v>
      </c>
      <c r="AAE42" s="115">
        <f>IF(SUM($D$35:AAD35)=0,0,IF(IF(AAE41&gt;0,AAE41-(IF(SUM($D42:AAD42)&gt;0,0,IF(AAD$25&gt;AAD40,AAD40,0))),0)&lt;0,0,(IF(SUM($D42:AAD42)&gt;0,0,IF(AAD$25&gt;AAD40,AAD40,0)))))</f>
        <v>0</v>
      </c>
      <c r="AAF42" s="115">
        <f>IF(SUM($D$35:AAE35)=0,0,IF(IF(AAF41&gt;0,AAF41-(IF(SUM($D42:AAE42)&gt;0,0,IF(AAE$25&gt;AAE40,AAE40,0))),0)&lt;0,0,(IF(SUM($D42:AAE42)&gt;0,0,IF(AAE$25&gt;AAE40,AAE40,0)))))</f>
        <v>0</v>
      </c>
      <c r="AAG42" s="115">
        <f>IF(SUM($D$35:AAF35)=0,0,IF(IF(AAG41&gt;0,AAG41-(IF(SUM($D42:AAF42)&gt;0,0,IF(AAF$25&gt;AAF40,AAF40,0))),0)&lt;0,0,(IF(SUM($D42:AAF42)&gt;0,0,IF(AAF$25&gt;AAF40,AAF40,0)))))</f>
        <v>0</v>
      </c>
      <c r="AAH42" s="115">
        <f>IF(SUM($D$35:AAG35)=0,0,IF(IF(AAH41&gt;0,AAH41-(IF(SUM($D42:AAG42)&gt;0,0,IF(AAG$25&gt;AAG40,AAG40,0))),0)&lt;0,0,(IF(SUM($D42:AAG42)&gt;0,0,IF(AAG$25&gt;AAG40,AAG40,0)))))</f>
        <v>0</v>
      </c>
      <c r="AAI42" s="115">
        <f>IF(SUM($D$35:AAH35)=0,0,IF(IF(AAI41&gt;0,AAI41-(IF(SUM($D42:AAH42)&gt;0,0,IF(AAH$25&gt;AAH40,AAH40,0))),0)&lt;0,0,(IF(SUM($D42:AAH42)&gt;0,0,IF(AAH$25&gt;AAH40,AAH40,0)))))</f>
        <v>0</v>
      </c>
      <c r="AAJ42" s="115">
        <f>IF(SUM($D$35:AAI35)=0,0,IF(IF(AAJ41&gt;0,AAJ41-(IF(SUM($D42:AAI42)&gt;0,0,IF(AAI$25&gt;AAI40,AAI40,0))),0)&lt;0,0,(IF(SUM($D42:AAI42)&gt;0,0,IF(AAI$25&gt;AAI40,AAI40,0)))))</f>
        <v>0</v>
      </c>
      <c r="AAK42" s="115">
        <f>IF(SUM($D$35:AAJ35)=0,0,IF(IF(AAK41&gt;0,AAK41-(IF(SUM($D42:AAJ42)&gt;0,0,IF(AAJ$25&gt;AAJ40,AAJ40,0))),0)&lt;0,0,(IF(SUM($D42:AAJ42)&gt;0,0,IF(AAJ$25&gt;AAJ40,AAJ40,0)))))</f>
        <v>0</v>
      </c>
      <c r="AAL42" s="115">
        <f>IF(SUM($D$35:AAK35)=0,0,IF(IF(AAL41&gt;0,AAL41-(IF(SUM($D42:AAK42)&gt;0,0,IF(AAK$25&gt;AAK40,AAK40,0))),0)&lt;0,0,(IF(SUM($D42:AAK42)&gt;0,0,IF(AAK$25&gt;AAK40,AAK40,0)))))</f>
        <v>0</v>
      </c>
      <c r="AAM42" s="115">
        <f>IF(SUM($D$35:AAL35)=0,0,IF(IF(AAM41&gt;0,AAM41-(IF(SUM($D42:AAL42)&gt;0,0,IF(AAL$25&gt;AAL40,AAL40,0))),0)&lt;0,0,(IF(SUM($D42:AAL42)&gt;0,0,IF(AAL$25&gt;AAL40,AAL40,0)))))</f>
        <v>0</v>
      </c>
      <c r="AAN42" s="115">
        <f>IF(SUM($D$35:AAM35)=0,0,IF(IF(AAN41&gt;0,AAN41-(IF(SUM($D42:AAM42)&gt;0,0,IF(AAM$25&gt;AAM40,AAM40,0))),0)&lt;0,0,(IF(SUM($D42:AAM42)&gt;0,0,IF(AAM$25&gt;AAM40,AAM40,0)))))</f>
        <v>0</v>
      </c>
      <c r="AAO42" s="115">
        <f>IF(SUM($D$35:AAN35)=0,0,IF(IF(AAO41&gt;0,AAO41-(IF(SUM($D42:AAN42)&gt;0,0,IF(AAN$25&gt;AAN40,AAN40,0))),0)&lt;0,0,(IF(SUM($D42:AAN42)&gt;0,0,IF(AAN$25&gt;AAN40,AAN40,0)))))</f>
        <v>0</v>
      </c>
      <c r="AAP42" s="115">
        <f>IF(SUM($D$35:AAO35)=0,0,IF(IF(AAP41&gt;0,AAP41-(IF(SUM($D42:AAO42)&gt;0,0,IF(AAO$25&gt;AAO40,AAO40,0))),0)&lt;0,0,(IF(SUM($D42:AAO42)&gt;0,0,IF(AAO$25&gt;AAO40,AAO40,0)))))</f>
        <v>0</v>
      </c>
      <c r="AAQ42" s="115">
        <f>IF(SUM($D$35:AAP35)=0,0,IF(IF(AAQ41&gt;0,AAQ41-(IF(SUM($D42:AAP42)&gt;0,0,IF(AAP$25&gt;AAP40,AAP40,0))),0)&lt;0,0,(IF(SUM($D42:AAP42)&gt;0,0,IF(AAP$25&gt;AAP40,AAP40,0)))))</f>
        <v>0</v>
      </c>
      <c r="AAR42" s="115">
        <f>IF(SUM($D$35:AAQ35)=0,0,IF(IF(AAR41&gt;0,AAR41-(IF(SUM($D42:AAQ42)&gt;0,0,IF(AAQ$25&gt;AAQ40,AAQ40,0))),0)&lt;0,0,(IF(SUM($D42:AAQ42)&gt;0,0,IF(AAQ$25&gt;AAQ40,AAQ40,0)))))</f>
        <v>0</v>
      </c>
      <c r="AAS42" s="115">
        <f>IF(SUM($D$35:AAR35)=0,0,IF(IF(AAS41&gt;0,AAS41-(IF(SUM($D42:AAR42)&gt;0,0,IF(AAR$25&gt;AAR40,AAR40,0))),0)&lt;0,0,(IF(SUM($D42:AAR42)&gt;0,0,IF(AAR$25&gt;AAR40,AAR40,0)))))</f>
        <v>0</v>
      </c>
      <c r="AAT42" s="115">
        <f>IF(SUM($D$35:AAS35)=0,0,IF(IF(AAT41&gt;0,AAT41-(IF(SUM($D42:AAS42)&gt;0,0,IF(AAS$25&gt;AAS40,AAS40,0))),0)&lt;0,0,(IF(SUM($D42:AAS42)&gt;0,0,IF(AAS$25&gt;AAS40,AAS40,0)))))</f>
        <v>0</v>
      </c>
      <c r="AAU42" s="115">
        <f>IF(SUM($D$35:AAT35)=0,0,IF(IF(AAU41&gt;0,AAU41-(IF(SUM($D42:AAT42)&gt;0,0,IF(AAT$25&gt;AAT40,AAT40,0))),0)&lt;0,0,(IF(SUM($D42:AAT42)&gt;0,0,IF(AAT$25&gt;AAT40,AAT40,0)))))</f>
        <v>0</v>
      </c>
      <c r="AAV42" s="115">
        <f>IF(SUM($D$35:AAU35)=0,0,IF(IF(AAV41&gt;0,AAV41-(IF(SUM($D42:AAU42)&gt;0,0,IF(AAU$25&gt;AAU40,AAU40,0))),0)&lt;0,0,(IF(SUM($D42:AAU42)&gt;0,0,IF(AAU$25&gt;AAU40,AAU40,0)))))</f>
        <v>0</v>
      </c>
      <c r="AAW42" s="115">
        <f>IF(SUM($D$35:AAV35)=0,0,IF(IF(AAW41&gt;0,AAW41-(IF(SUM($D42:AAV42)&gt;0,0,IF(AAV$25&gt;AAV40,AAV40,0))),0)&lt;0,0,(IF(SUM($D42:AAV42)&gt;0,0,IF(AAV$25&gt;AAV40,AAV40,0)))))</f>
        <v>0</v>
      </c>
      <c r="AAX42" s="115">
        <f>IF(SUM($D$35:AAW35)=0,0,IF(IF(AAX41&gt;0,AAX41-(IF(SUM($D42:AAW42)&gt;0,0,IF(AAW$25&gt;AAW40,AAW40,0))),0)&lt;0,0,(IF(SUM($D42:AAW42)&gt;0,0,IF(AAW$25&gt;AAW40,AAW40,0)))))</f>
        <v>0</v>
      </c>
      <c r="AAY42" s="115">
        <f>IF(SUM($D$35:AAX35)=0,0,IF(IF(AAY41&gt;0,AAY41-(IF(SUM($D42:AAX42)&gt;0,0,IF(AAX$25&gt;AAX40,AAX40,0))),0)&lt;0,0,(IF(SUM($D42:AAX42)&gt;0,0,IF(AAX$25&gt;AAX40,AAX40,0)))))</f>
        <v>0</v>
      </c>
      <c r="AAZ42" s="115">
        <f>IF(SUM($D$35:AAY35)=0,0,IF(IF(AAZ41&gt;0,AAZ41-(IF(SUM($D42:AAY42)&gt;0,0,IF(AAY$25&gt;AAY40,AAY40,0))),0)&lt;0,0,(IF(SUM($D42:AAY42)&gt;0,0,IF(AAY$25&gt;AAY40,AAY40,0)))))</f>
        <v>0</v>
      </c>
      <c r="ABA42" s="115">
        <f>IF(SUM($D$35:AAZ35)=0,0,IF(IF(ABA41&gt;0,ABA41-(IF(SUM($D42:AAZ42)&gt;0,0,IF(AAZ$25&gt;AAZ40,AAZ40,0))),0)&lt;0,0,(IF(SUM($D42:AAZ42)&gt;0,0,IF(AAZ$25&gt;AAZ40,AAZ40,0)))))</f>
        <v>0</v>
      </c>
      <c r="ABB42" s="115">
        <f>IF(SUM($D$35:ABA35)=0,0,IF(IF(ABB41&gt;0,ABB41-(IF(SUM($D42:ABA42)&gt;0,0,IF(ABA$25&gt;ABA40,ABA40,0))),0)&lt;0,0,(IF(SUM($D42:ABA42)&gt;0,0,IF(ABA$25&gt;ABA40,ABA40,0)))))</f>
        <v>0</v>
      </c>
      <c r="ABC42" s="115">
        <f>IF(SUM($D$35:ABB35)=0,0,IF(IF(ABC41&gt;0,ABC41-(IF(SUM($D42:ABB42)&gt;0,0,IF(ABB$25&gt;ABB40,ABB40,0))),0)&lt;0,0,(IF(SUM($D42:ABB42)&gt;0,0,IF(ABB$25&gt;ABB40,ABB40,0)))))</f>
        <v>0</v>
      </c>
      <c r="ABD42" s="115">
        <f>IF(SUM($D$35:ABC35)=0,0,IF(IF(ABD41&gt;0,ABD41-(IF(SUM($D42:ABC42)&gt;0,0,IF(ABC$25&gt;ABC40,ABC40,0))),0)&lt;0,0,(IF(SUM($D42:ABC42)&gt;0,0,IF(ABC$25&gt;ABC40,ABC40,0)))))</f>
        <v>0</v>
      </c>
      <c r="ABE42" s="115">
        <f>IF(SUM($D$35:ABD35)=0,0,IF(IF(ABE41&gt;0,ABE41-(IF(SUM($D42:ABD42)&gt;0,0,IF(ABD$25&gt;ABD40,ABD40,0))),0)&lt;0,0,(IF(SUM($D42:ABD42)&gt;0,0,IF(ABD$25&gt;ABD40,ABD40,0)))))</f>
        <v>0</v>
      </c>
      <c r="ABF42" s="115">
        <f>IF(SUM($D$35:ABE35)=0,0,IF(IF(ABF41&gt;0,ABF41-(IF(SUM($D42:ABE42)&gt;0,0,IF(ABE$25&gt;ABE40,ABE40,0))),0)&lt;0,0,(IF(SUM($D42:ABE42)&gt;0,0,IF(ABE$25&gt;ABE40,ABE40,0)))))</f>
        <v>0</v>
      </c>
      <c r="ABG42" s="115">
        <f>IF(SUM($D$35:ABF35)=0,0,IF(IF(ABG41&gt;0,ABG41-(IF(SUM($D42:ABF42)&gt;0,0,IF(ABF$25&gt;ABF40,ABF40,0))),0)&lt;0,0,(IF(SUM($D42:ABF42)&gt;0,0,IF(ABF$25&gt;ABF40,ABF40,0)))))</f>
        <v>0</v>
      </c>
      <c r="ABH42" s="115">
        <f>IF(SUM($D$35:ABG35)=0,0,IF(IF(ABH41&gt;0,ABH41-(IF(SUM($D42:ABG42)&gt;0,0,IF(ABG$25&gt;ABG40,ABG40,0))),0)&lt;0,0,(IF(SUM($D42:ABG42)&gt;0,0,IF(ABG$25&gt;ABG40,ABG40,0)))))</f>
        <v>0</v>
      </c>
      <c r="ABI42" s="115">
        <f>IF(SUM($D$35:ABH35)=0,0,IF(IF(ABI41&gt;0,ABI41-(IF(SUM($D42:ABH42)&gt;0,0,IF(ABH$25&gt;ABH40,ABH40,0))),0)&lt;0,0,(IF(SUM($D42:ABH42)&gt;0,0,IF(ABH$25&gt;ABH40,ABH40,0)))))</f>
        <v>0</v>
      </c>
      <c r="ABJ42" s="115">
        <f>IF(SUM($D$35:ABI35)=0,0,IF(IF(ABJ41&gt;0,ABJ41-(IF(SUM($D42:ABI42)&gt;0,0,IF(ABI$25&gt;ABI40,ABI40,0))),0)&lt;0,0,(IF(SUM($D42:ABI42)&gt;0,0,IF(ABI$25&gt;ABI40,ABI40,0)))))</f>
        <v>0</v>
      </c>
      <c r="ABK42" s="115">
        <f>IF(SUM($D$35:ABJ35)=0,0,IF(IF(ABK41&gt;0,ABK41-(IF(SUM($D42:ABJ42)&gt;0,0,IF(ABJ$25&gt;ABJ40,ABJ40,0))),0)&lt;0,0,(IF(SUM($D42:ABJ42)&gt;0,0,IF(ABJ$25&gt;ABJ40,ABJ40,0)))))</f>
        <v>0</v>
      </c>
      <c r="ABL42" s="115">
        <f>IF(SUM($D$35:ABK35)=0,0,IF(IF(ABL41&gt;0,ABL41-(IF(SUM($D42:ABK42)&gt;0,0,IF(ABK$25&gt;ABK40,ABK40,0))),0)&lt;0,0,(IF(SUM($D42:ABK42)&gt;0,0,IF(ABK$25&gt;ABK40,ABK40,0)))))</f>
        <v>0</v>
      </c>
      <c r="ABM42" s="115">
        <f>IF(SUM($D$35:ABL35)=0,0,IF(IF(ABM41&gt;0,ABM41-(IF(SUM($D42:ABL42)&gt;0,0,IF(ABL$25&gt;ABL40,ABL40,0))),0)&lt;0,0,(IF(SUM($D42:ABL42)&gt;0,0,IF(ABL$25&gt;ABL40,ABL40,0)))))</f>
        <v>0</v>
      </c>
      <c r="ABN42" s="115">
        <f>IF(SUM($D$35:ABM35)=0,0,IF(IF(ABN41&gt;0,ABN41-(IF(SUM($D42:ABM42)&gt;0,0,IF(ABM$25&gt;ABM40,ABM40,0))),0)&lt;0,0,(IF(SUM($D42:ABM42)&gt;0,0,IF(ABM$25&gt;ABM40,ABM40,0)))))</f>
        <v>0</v>
      </c>
      <c r="ABO42" s="115">
        <f>IF(SUM($D$35:ABN35)=0,0,IF(IF(ABO41&gt;0,ABO41-(IF(SUM($D42:ABN42)&gt;0,0,IF(ABN$25&gt;ABN40,ABN40,0))),0)&lt;0,0,(IF(SUM($D42:ABN42)&gt;0,0,IF(ABN$25&gt;ABN40,ABN40,0)))))</f>
        <v>0</v>
      </c>
      <c r="ABP42" s="115">
        <f>IF(SUM($D$35:ABO35)=0,0,IF(IF(ABP41&gt;0,ABP41-(IF(SUM($D42:ABO42)&gt;0,0,IF(ABO$25&gt;ABO40,ABO40,0))),0)&lt;0,0,(IF(SUM($D42:ABO42)&gt;0,0,IF(ABO$25&gt;ABO40,ABO40,0)))))</f>
        <v>0</v>
      </c>
      <c r="ABQ42" s="115">
        <f>IF(SUM($D$35:ABP35)=0,0,IF(IF(ABQ41&gt;0,ABQ41-(IF(SUM($D42:ABP42)&gt;0,0,IF(ABP$25&gt;ABP40,ABP40,0))),0)&lt;0,0,(IF(SUM($D42:ABP42)&gt;0,0,IF(ABP$25&gt;ABP40,ABP40,0)))))</f>
        <v>0</v>
      </c>
      <c r="ABR42" s="115">
        <f>IF(SUM($D$35:ABQ35)=0,0,IF(IF(ABR41&gt;0,ABR41-(IF(SUM($D42:ABQ42)&gt;0,0,IF(ABQ$25&gt;ABQ40,ABQ40,0))),0)&lt;0,0,(IF(SUM($D42:ABQ42)&gt;0,0,IF(ABQ$25&gt;ABQ40,ABQ40,0)))))</f>
        <v>0</v>
      </c>
      <c r="ABS42" s="115">
        <f>IF(SUM($D$35:ABR35)=0,0,IF(IF(ABS41&gt;0,ABS41-(IF(SUM($D42:ABR42)&gt;0,0,IF(ABR$25&gt;ABR40,ABR40,0))),0)&lt;0,0,(IF(SUM($D42:ABR42)&gt;0,0,IF(ABR$25&gt;ABR40,ABR40,0)))))</f>
        <v>0</v>
      </c>
      <c r="ABT42" s="115">
        <f>IF(SUM($D$35:ABS35)=0,0,IF(IF(ABT41&gt;0,ABT41-(IF(SUM($D42:ABS42)&gt;0,0,IF(ABS$25&gt;ABS40,ABS40,0))),0)&lt;0,0,(IF(SUM($D42:ABS42)&gt;0,0,IF(ABS$25&gt;ABS40,ABS40,0)))))</f>
        <v>0</v>
      </c>
      <c r="ABU42" s="115">
        <f>IF(SUM($D$35:ABT35)=0,0,IF(IF(ABU41&gt;0,ABU41-(IF(SUM($D42:ABT42)&gt;0,0,IF(ABT$25&gt;ABT40,ABT40,0))),0)&lt;0,0,(IF(SUM($D42:ABT42)&gt;0,0,IF(ABT$25&gt;ABT40,ABT40,0)))))</f>
        <v>0</v>
      </c>
      <c r="ABV42" s="115">
        <f>IF(SUM($D$35:ABU35)=0,0,IF(IF(ABV41&gt;0,ABV41-(IF(SUM($D42:ABU42)&gt;0,0,IF(ABU$25&gt;ABU40,ABU40,0))),0)&lt;0,0,(IF(SUM($D42:ABU42)&gt;0,0,IF(ABU$25&gt;ABU40,ABU40,0)))))</f>
        <v>0</v>
      </c>
      <c r="ABW42" s="115">
        <f>IF(SUM($D$35:ABV35)=0,0,IF(IF(ABW41&gt;0,ABW41-(IF(SUM($D42:ABV42)&gt;0,0,IF(ABV$25&gt;ABV40,ABV40,0))),0)&lt;0,0,(IF(SUM($D42:ABV42)&gt;0,0,IF(ABV$25&gt;ABV40,ABV40,0)))))</f>
        <v>0</v>
      </c>
      <c r="ABX42" s="115">
        <f>IF(SUM($D$35:ABW35)=0,0,IF(IF(ABX41&gt;0,ABX41-(IF(SUM($D42:ABW42)&gt;0,0,IF(ABW$25&gt;ABW40,ABW40,0))),0)&lt;0,0,(IF(SUM($D42:ABW42)&gt;0,0,IF(ABW$25&gt;ABW40,ABW40,0)))))</f>
        <v>0</v>
      </c>
      <c r="ABY42" s="115">
        <f>IF(SUM($D$35:ABX35)=0,0,IF(IF(ABY41&gt;0,ABY41-(IF(SUM($D42:ABX42)&gt;0,0,IF(ABX$25&gt;ABX40,ABX40,0))),0)&lt;0,0,(IF(SUM($D42:ABX42)&gt;0,0,IF(ABX$25&gt;ABX40,ABX40,0)))))</f>
        <v>0</v>
      </c>
      <c r="ABZ42" s="115">
        <f>IF(SUM($D$35:ABY35)=0,0,IF(IF(ABZ41&gt;0,ABZ41-(IF(SUM($D42:ABY42)&gt;0,0,IF(ABY$25&gt;ABY40,ABY40,0))),0)&lt;0,0,(IF(SUM($D42:ABY42)&gt;0,0,IF(ABY$25&gt;ABY40,ABY40,0)))))</f>
        <v>0</v>
      </c>
      <c r="ACA42" s="115">
        <f>IF(SUM($D$35:ABZ35)=0,0,IF(IF(ACA41&gt;0,ACA41-(IF(SUM($D42:ABZ42)&gt;0,0,IF(ABZ$25&gt;ABZ40,ABZ40,0))),0)&lt;0,0,(IF(SUM($D42:ABZ42)&gt;0,0,IF(ABZ$25&gt;ABZ40,ABZ40,0)))))</f>
        <v>0</v>
      </c>
      <c r="ACB42" s="115">
        <f>IF(SUM($D$35:ACA35)=0,0,IF(IF(ACB41&gt;0,ACB41-(IF(SUM($D42:ACA42)&gt;0,0,IF(ACA$25&gt;ACA40,ACA40,0))),0)&lt;0,0,(IF(SUM($D42:ACA42)&gt;0,0,IF(ACA$25&gt;ACA40,ACA40,0)))))</f>
        <v>0</v>
      </c>
      <c r="ACC42" s="115">
        <f>IF(SUM($D$35:ACB35)=0,0,IF(IF(ACC41&gt;0,ACC41-(IF(SUM($D42:ACB42)&gt;0,0,IF(ACB$25&gt;ACB40,ACB40,0))),0)&lt;0,0,(IF(SUM($D42:ACB42)&gt;0,0,IF(ACB$25&gt;ACB40,ACB40,0)))))</f>
        <v>0</v>
      </c>
      <c r="ACD42" s="115">
        <f>IF(SUM($D$35:ACC35)=0,0,IF(IF(ACD41&gt;0,ACD41-(IF(SUM($D42:ACC42)&gt;0,0,IF(ACC$25&gt;ACC40,ACC40,0))),0)&lt;0,0,(IF(SUM($D42:ACC42)&gt;0,0,IF(ACC$25&gt;ACC40,ACC40,0)))))</f>
        <v>0</v>
      </c>
      <c r="ACE42" s="115">
        <f>IF(SUM($D$35:ACD35)=0,0,IF(IF(ACE41&gt;0,ACE41-(IF(SUM($D42:ACD42)&gt;0,0,IF(ACD$25&gt;ACD40,ACD40,0))),0)&lt;0,0,(IF(SUM($D42:ACD42)&gt;0,0,IF(ACD$25&gt;ACD40,ACD40,0)))))</f>
        <v>0</v>
      </c>
      <c r="ACF42" s="115">
        <f>IF(SUM($D$35:ACE35)=0,0,IF(IF(ACF41&gt;0,ACF41-(IF(SUM($D42:ACE42)&gt;0,0,IF(ACE$25&gt;ACE40,ACE40,0))),0)&lt;0,0,(IF(SUM($D42:ACE42)&gt;0,0,IF(ACE$25&gt;ACE40,ACE40,0)))))</f>
        <v>0</v>
      </c>
      <c r="ACG42" s="115">
        <f>IF(SUM($D$35:ACF35)=0,0,IF(IF(ACG41&gt;0,ACG41-(IF(SUM($D42:ACF42)&gt;0,0,IF(ACF$25&gt;ACF40,ACF40,0))),0)&lt;0,0,(IF(SUM($D42:ACF42)&gt;0,0,IF(ACF$25&gt;ACF40,ACF40,0)))))</f>
        <v>0</v>
      </c>
      <c r="ACH42" s="115">
        <f>IF(SUM($D$35:ACG35)=0,0,IF(IF(ACH41&gt;0,ACH41-(IF(SUM($D42:ACG42)&gt;0,0,IF(ACG$25&gt;ACG40,ACG40,0))),0)&lt;0,0,(IF(SUM($D42:ACG42)&gt;0,0,IF(ACG$25&gt;ACG40,ACG40,0)))))</f>
        <v>0</v>
      </c>
      <c r="ACI42" s="115">
        <f>IF(SUM($D$35:ACH35)=0,0,IF(IF(ACI41&gt;0,ACI41-(IF(SUM($D42:ACH42)&gt;0,0,IF(ACH$25&gt;ACH40,ACH40,0))),0)&lt;0,0,(IF(SUM($D42:ACH42)&gt;0,0,IF(ACH$25&gt;ACH40,ACH40,0)))))</f>
        <v>0</v>
      </c>
      <c r="ACJ42" s="115">
        <f>IF(SUM($D$35:ACI35)=0,0,IF(IF(ACJ41&gt;0,ACJ41-(IF(SUM($D42:ACI42)&gt;0,0,IF(ACI$25&gt;ACI40,ACI40,0))),0)&lt;0,0,(IF(SUM($D42:ACI42)&gt;0,0,IF(ACI$25&gt;ACI40,ACI40,0)))))</f>
        <v>0</v>
      </c>
      <c r="ACK42" s="115">
        <f>IF(SUM($D$35:ACJ35)=0,0,IF(IF(ACK41&gt;0,ACK41-(IF(SUM($D42:ACJ42)&gt;0,0,IF(ACJ$25&gt;ACJ40,ACJ40,0))),0)&lt;0,0,(IF(SUM($D42:ACJ42)&gt;0,0,IF(ACJ$25&gt;ACJ40,ACJ40,0)))))</f>
        <v>0</v>
      </c>
      <c r="ACL42" s="115">
        <f>IF(SUM($D$35:ACK35)=0,0,IF(IF(ACL41&gt;0,ACL41-(IF(SUM($D42:ACK42)&gt;0,0,IF(ACK$25&gt;ACK40,ACK40,0))),0)&lt;0,0,(IF(SUM($D42:ACK42)&gt;0,0,IF(ACK$25&gt;ACK40,ACK40,0)))))</f>
        <v>0</v>
      </c>
      <c r="ACM42" s="115">
        <f>IF(SUM($D$35:ACL35)=0,0,IF(IF(ACM41&gt;0,ACM41-(IF(SUM($D42:ACL42)&gt;0,0,IF(ACL$25&gt;ACL40,ACL40,0))),0)&lt;0,0,(IF(SUM($D42:ACL42)&gt;0,0,IF(ACL$25&gt;ACL40,ACL40,0)))))</f>
        <v>0</v>
      </c>
      <c r="ACN42" s="115">
        <f>IF(SUM($D$35:ACM35)=0,0,IF(IF(ACN41&gt;0,ACN41-(IF(SUM($D42:ACM42)&gt;0,0,IF(ACM$25&gt;ACM40,ACM40,0))),0)&lt;0,0,(IF(SUM($D42:ACM42)&gt;0,0,IF(ACM$25&gt;ACM40,ACM40,0)))))</f>
        <v>0</v>
      </c>
      <c r="ACO42" s="115">
        <f>IF(SUM($D$35:ACN35)=0,0,IF(IF(ACO41&gt;0,ACO41-(IF(SUM($D42:ACN42)&gt;0,0,IF(ACN$25&gt;ACN40,ACN40,0))),0)&lt;0,0,(IF(SUM($D42:ACN42)&gt;0,0,IF(ACN$25&gt;ACN40,ACN40,0)))))</f>
        <v>0</v>
      </c>
      <c r="ACP42" s="115">
        <f>IF(SUM($D$35:ACO35)=0,0,IF(IF(ACP41&gt;0,ACP41-(IF(SUM($D42:ACO42)&gt;0,0,IF(ACO$25&gt;ACO40,ACO40,0))),0)&lt;0,0,(IF(SUM($D42:ACO42)&gt;0,0,IF(ACO$25&gt;ACO40,ACO40,0)))))</f>
        <v>0</v>
      </c>
      <c r="ACQ42" s="115">
        <f>IF(SUM($D$35:ACP35)=0,0,IF(IF(ACQ41&gt;0,ACQ41-(IF(SUM($D42:ACP42)&gt;0,0,IF(ACP$25&gt;ACP40,ACP40,0))),0)&lt;0,0,(IF(SUM($D42:ACP42)&gt;0,0,IF(ACP$25&gt;ACP40,ACP40,0)))))</f>
        <v>0</v>
      </c>
      <c r="ACR42" s="115">
        <f>IF(SUM($D$35:ACQ35)=0,0,IF(IF(ACR41&gt;0,ACR41-(IF(SUM($D42:ACQ42)&gt;0,0,IF(ACQ$25&gt;ACQ40,ACQ40,0))),0)&lt;0,0,(IF(SUM($D42:ACQ42)&gt;0,0,IF(ACQ$25&gt;ACQ40,ACQ40,0)))))</f>
        <v>0</v>
      </c>
      <c r="ACS42" s="115">
        <f>IF(SUM($D$35:ACR35)=0,0,IF(IF(ACS41&gt;0,ACS41-(IF(SUM($D42:ACR42)&gt;0,0,IF(ACR$25&gt;ACR40,ACR40,0))),0)&lt;0,0,(IF(SUM($D42:ACR42)&gt;0,0,IF(ACR$25&gt;ACR40,ACR40,0)))))</f>
        <v>0</v>
      </c>
      <c r="ACT42" s="115">
        <f>IF(SUM($D$35:ACS35)=0,0,IF(IF(ACT41&gt;0,ACT41-(IF(SUM($D42:ACS42)&gt;0,0,IF(ACS$25&gt;ACS40,ACS40,0))),0)&lt;0,0,(IF(SUM($D42:ACS42)&gt;0,0,IF(ACS$25&gt;ACS40,ACS40,0)))))</f>
        <v>0</v>
      </c>
      <c r="ACU42" s="115">
        <f>IF(SUM($D$35:ACT35)=0,0,IF(IF(ACU41&gt;0,ACU41-(IF(SUM($D42:ACT42)&gt;0,0,IF(ACT$25&gt;ACT40,ACT40,0))),0)&lt;0,0,(IF(SUM($D42:ACT42)&gt;0,0,IF(ACT$25&gt;ACT40,ACT40,0)))))</f>
        <v>0</v>
      </c>
      <c r="ACV42" s="115">
        <f>IF(SUM($D$35:ACU35)=0,0,IF(IF(ACV41&gt;0,ACV41-(IF(SUM($D42:ACU42)&gt;0,0,IF(ACU$25&gt;ACU40,ACU40,0))),0)&lt;0,0,(IF(SUM($D42:ACU42)&gt;0,0,IF(ACU$25&gt;ACU40,ACU40,0)))))</f>
        <v>0</v>
      </c>
      <c r="ACW42" s="115">
        <f>IF(SUM($D$35:ACV35)=0,0,IF(IF(ACW41&gt;0,ACW41-(IF(SUM($D42:ACV42)&gt;0,0,IF(ACV$25&gt;ACV40,ACV40,0))),0)&lt;0,0,(IF(SUM($D42:ACV42)&gt;0,0,IF(ACV$25&gt;ACV40,ACV40,0)))))</f>
        <v>0</v>
      </c>
      <c r="ACX42" s="115">
        <f>IF(SUM($D$35:ACW35)=0,0,IF(IF(ACX41&gt;0,ACX41-(IF(SUM($D42:ACW42)&gt;0,0,IF(ACW$25&gt;ACW40,ACW40,0))),0)&lt;0,0,(IF(SUM($D42:ACW42)&gt;0,0,IF(ACW$25&gt;ACW40,ACW40,0)))))</f>
        <v>0</v>
      </c>
      <c r="ACY42" s="115">
        <f>IF(SUM($D$35:ACX35)=0,0,IF(IF(ACY41&gt;0,ACY41-(IF(SUM($D42:ACX42)&gt;0,0,IF(ACX$25&gt;ACX40,ACX40,0))),0)&lt;0,0,(IF(SUM($D42:ACX42)&gt;0,0,IF(ACX$25&gt;ACX40,ACX40,0)))))</f>
        <v>0</v>
      </c>
      <c r="ACZ42" s="115">
        <f>IF(SUM($D$35:ACY35)=0,0,IF(IF(ACZ41&gt;0,ACZ41-(IF(SUM($D42:ACY42)&gt;0,0,IF(ACY$25&gt;ACY40,ACY40,0))),0)&lt;0,0,(IF(SUM($D42:ACY42)&gt;0,0,IF(ACY$25&gt;ACY40,ACY40,0)))))</f>
        <v>0</v>
      </c>
      <c r="ADA42" s="115">
        <f>IF(SUM($D$35:ACZ35)=0,0,IF(IF(ADA41&gt;0,ADA41-(IF(SUM($D42:ACZ42)&gt;0,0,IF(ACZ$25&gt;ACZ40,ACZ40,0))),0)&lt;0,0,(IF(SUM($D42:ACZ42)&gt;0,0,IF(ACZ$25&gt;ACZ40,ACZ40,0)))))</f>
        <v>0</v>
      </c>
      <c r="ADB42" s="115">
        <f>IF(SUM($D$35:ADA35)=0,0,IF(IF(ADB41&gt;0,ADB41-(IF(SUM($D42:ADA42)&gt;0,0,IF(ADA$25&gt;ADA40,ADA40,0))),0)&lt;0,0,(IF(SUM($D42:ADA42)&gt;0,0,IF(ADA$25&gt;ADA40,ADA40,0)))))</f>
        <v>0</v>
      </c>
      <c r="ADC42" s="115">
        <f>IF(SUM($D$35:ADB35)=0,0,IF(IF(ADC41&gt;0,ADC41-(IF(SUM($D42:ADB42)&gt;0,0,IF(ADB$25&gt;ADB40,ADB40,0))),0)&lt;0,0,(IF(SUM($D42:ADB42)&gt;0,0,IF(ADB$25&gt;ADB40,ADB40,0)))))</f>
        <v>0</v>
      </c>
      <c r="ADD42" s="115">
        <f>IF(SUM($D$35:ADC35)=0,0,IF(IF(ADD41&gt;0,ADD41-(IF(SUM($D42:ADC42)&gt;0,0,IF(ADC$25&gt;ADC40,ADC40,0))),0)&lt;0,0,(IF(SUM($D42:ADC42)&gt;0,0,IF(ADC$25&gt;ADC40,ADC40,0)))))</f>
        <v>0</v>
      </c>
      <c r="ADE42" s="115">
        <f>IF(SUM($D$35:ADD35)=0,0,IF(IF(ADE41&gt;0,ADE41-(IF(SUM($D42:ADD42)&gt;0,0,IF(ADD$25&gt;ADD40,ADD40,0))),0)&lt;0,0,(IF(SUM($D42:ADD42)&gt;0,0,IF(ADD$25&gt;ADD40,ADD40,0)))))</f>
        <v>0</v>
      </c>
      <c r="ADF42" s="115">
        <f>IF(SUM($D$35:ADE35)=0,0,IF(IF(ADF41&gt;0,ADF41-(IF(SUM($D42:ADE42)&gt;0,0,IF(ADE$25&gt;ADE40,ADE40,0))),0)&lt;0,0,(IF(SUM($D42:ADE42)&gt;0,0,IF(ADE$25&gt;ADE40,ADE40,0)))))</f>
        <v>0</v>
      </c>
      <c r="ADG42" s="115">
        <f>IF(SUM($D$35:ADF35)=0,0,IF(IF(ADG41&gt;0,ADG41-(IF(SUM($D42:ADF42)&gt;0,0,IF(ADF$25&gt;ADF40,ADF40,0))),0)&lt;0,0,(IF(SUM($D42:ADF42)&gt;0,0,IF(ADF$25&gt;ADF40,ADF40,0)))))</f>
        <v>0</v>
      </c>
      <c r="ADH42" s="115">
        <f>IF(SUM($D$35:ADG35)=0,0,IF(IF(ADH41&gt;0,ADH41-(IF(SUM($D42:ADG42)&gt;0,0,IF(ADG$25&gt;ADG40,ADG40,0))),0)&lt;0,0,(IF(SUM($D42:ADG42)&gt;0,0,IF(ADG$25&gt;ADG40,ADG40,0)))))</f>
        <v>0</v>
      </c>
      <c r="ADI42" s="115">
        <f>IF(SUM($D$35:ADH35)=0,0,IF(IF(ADI41&gt;0,ADI41-(IF(SUM($D42:ADH42)&gt;0,0,IF(ADH$25&gt;ADH40,ADH40,0))),0)&lt;0,0,(IF(SUM($D42:ADH42)&gt;0,0,IF(ADH$25&gt;ADH40,ADH40,0)))))</f>
        <v>0</v>
      </c>
      <c r="ADJ42" s="115">
        <f>IF(SUM($D$35:ADI35)=0,0,IF(IF(ADJ41&gt;0,ADJ41-(IF(SUM($D42:ADI42)&gt;0,0,IF(ADI$25&gt;ADI40,ADI40,0))),0)&lt;0,0,(IF(SUM($D42:ADI42)&gt;0,0,IF(ADI$25&gt;ADI40,ADI40,0)))))</f>
        <v>0</v>
      </c>
      <c r="ADK42" s="115">
        <f>IF(SUM($D$35:ADJ35)=0,0,IF(IF(ADK41&gt;0,ADK41-(IF(SUM($D42:ADJ42)&gt;0,0,IF(ADJ$25&gt;ADJ40,ADJ40,0))),0)&lt;0,0,(IF(SUM($D42:ADJ42)&gt;0,0,IF(ADJ$25&gt;ADJ40,ADJ40,0)))))</f>
        <v>0</v>
      </c>
      <c r="ADL42" s="115">
        <f>IF(SUM($D$35:ADK35)=0,0,IF(IF(ADL41&gt;0,ADL41-(IF(SUM($D42:ADK42)&gt;0,0,IF(ADK$25&gt;ADK40,ADK40,0))),0)&lt;0,0,(IF(SUM($D42:ADK42)&gt;0,0,IF(ADK$25&gt;ADK40,ADK40,0)))))</f>
        <v>0</v>
      </c>
      <c r="ADM42" s="115">
        <f>IF(SUM($D$35:ADL35)=0,0,IF(IF(ADM41&gt;0,ADM41-(IF(SUM($D42:ADL42)&gt;0,0,IF(ADL$25&gt;ADL40,ADL40,0))),0)&lt;0,0,(IF(SUM($D42:ADL42)&gt;0,0,IF(ADL$25&gt;ADL40,ADL40,0)))))</f>
        <v>0</v>
      </c>
      <c r="ADN42" s="115">
        <f>IF(SUM($D$35:ADM35)=0,0,IF(IF(ADN41&gt;0,ADN41-(IF(SUM($D42:ADM42)&gt;0,0,IF(ADM$25&gt;ADM40,ADM40,0))),0)&lt;0,0,(IF(SUM($D42:ADM42)&gt;0,0,IF(ADM$25&gt;ADM40,ADM40,0)))))</f>
        <v>0</v>
      </c>
      <c r="ADO42" s="115">
        <f>IF(SUM($D$35:ADN35)=0,0,IF(IF(ADO41&gt;0,ADO41-(IF(SUM($D42:ADN42)&gt;0,0,IF(ADN$25&gt;ADN40,ADN40,0))),0)&lt;0,0,(IF(SUM($D42:ADN42)&gt;0,0,IF(ADN$25&gt;ADN40,ADN40,0)))))</f>
        <v>0</v>
      </c>
      <c r="ADP42" s="115">
        <f>IF(SUM($D$35:ADO35)=0,0,IF(IF(ADP41&gt;0,ADP41-(IF(SUM($D42:ADO42)&gt;0,0,IF(ADO$25&gt;ADO40,ADO40,0))),0)&lt;0,0,(IF(SUM($D42:ADO42)&gt;0,0,IF(ADO$25&gt;ADO40,ADO40,0)))))</f>
        <v>0</v>
      </c>
      <c r="ADQ42" s="115">
        <f>IF(SUM($D$35:ADP35)=0,0,IF(IF(ADQ41&gt;0,ADQ41-(IF(SUM($D42:ADP42)&gt;0,0,IF(ADP$25&gt;ADP40,ADP40,0))),0)&lt;0,0,(IF(SUM($D42:ADP42)&gt;0,0,IF(ADP$25&gt;ADP40,ADP40,0)))))</f>
        <v>0</v>
      </c>
      <c r="ADR42" s="115">
        <f>IF(SUM($D$35:ADQ35)=0,0,IF(IF(ADR41&gt;0,ADR41-(IF(SUM($D42:ADQ42)&gt;0,0,IF(ADQ$25&gt;ADQ40,ADQ40,0))),0)&lt;0,0,(IF(SUM($D42:ADQ42)&gt;0,0,IF(ADQ$25&gt;ADQ40,ADQ40,0)))))</f>
        <v>0</v>
      </c>
      <c r="ADS42" s="115">
        <f>IF(SUM($D$35:ADR35)=0,0,IF(IF(ADS41&gt;0,ADS41-(IF(SUM($D42:ADR42)&gt;0,0,IF(ADR$25&gt;ADR40,ADR40,0))),0)&lt;0,0,(IF(SUM($D42:ADR42)&gt;0,0,IF(ADR$25&gt;ADR40,ADR40,0)))))</f>
        <v>0</v>
      </c>
      <c r="ADT42" s="115">
        <f>IF(SUM($D$35:ADS35)=0,0,IF(IF(ADT41&gt;0,ADT41-(IF(SUM($D42:ADS42)&gt;0,0,IF(ADS$25&gt;ADS40,ADS40,0))),0)&lt;0,0,(IF(SUM($D42:ADS42)&gt;0,0,IF(ADS$25&gt;ADS40,ADS40,0)))))</f>
        <v>0</v>
      </c>
      <c r="ADU42" s="115">
        <f>IF(SUM($D$35:ADT35)=0,0,IF(IF(ADU41&gt;0,ADU41-(IF(SUM($D42:ADT42)&gt;0,0,IF(ADT$25&gt;ADT40,ADT40,0))),0)&lt;0,0,(IF(SUM($D42:ADT42)&gt;0,0,IF(ADT$25&gt;ADT40,ADT40,0)))))</f>
        <v>0</v>
      </c>
      <c r="ADV42" s="115">
        <f>IF(SUM($D$35:ADU35)=0,0,IF(IF(ADV41&gt;0,ADV41-(IF(SUM($D42:ADU42)&gt;0,0,IF(ADU$25&gt;ADU40,ADU40,0))),0)&lt;0,0,(IF(SUM($D42:ADU42)&gt;0,0,IF(ADU$25&gt;ADU40,ADU40,0)))))</f>
        <v>0</v>
      </c>
      <c r="ADW42" s="115">
        <f>IF(SUM($D$35:ADV35)=0,0,IF(IF(ADW41&gt;0,ADW41-(IF(SUM($D42:ADV42)&gt;0,0,IF(ADV$25&gt;ADV40,ADV40,0))),0)&lt;0,0,(IF(SUM($D42:ADV42)&gt;0,0,IF(ADV$25&gt;ADV40,ADV40,0)))))</f>
        <v>0</v>
      </c>
      <c r="ADX42" s="115">
        <f>IF(SUM($D$35:ADW35)=0,0,IF(IF(ADX41&gt;0,ADX41-(IF(SUM($D42:ADW42)&gt;0,0,IF(ADW$25&gt;ADW40,ADW40,0))),0)&lt;0,0,(IF(SUM($D42:ADW42)&gt;0,0,IF(ADW$25&gt;ADW40,ADW40,0)))))</f>
        <v>0</v>
      </c>
      <c r="ADY42" s="115">
        <f>IF(SUM($D$35:ADX35)=0,0,IF(IF(ADY41&gt;0,ADY41-(IF(SUM($D42:ADX42)&gt;0,0,IF(ADX$25&gt;ADX40,ADX40,0))),0)&lt;0,0,(IF(SUM($D42:ADX42)&gt;0,0,IF(ADX$25&gt;ADX40,ADX40,0)))))</f>
        <v>0</v>
      </c>
      <c r="ADZ42" s="115">
        <f>IF(SUM($D$35:ADY35)=0,0,IF(IF(ADZ41&gt;0,ADZ41-(IF(SUM($D42:ADY42)&gt;0,0,IF(ADY$25&gt;ADY40,ADY40,0))),0)&lt;0,0,(IF(SUM($D42:ADY42)&gt;0,0,IF(ADY$25&gt;ADY40,ADY40,0)))))</f>
        <v>0</v>
      </c>
      <c r="AEA42" s="115">
        <f>IF(SUM($D$35:ADZ35)=0,0,IF(IF(AEA41&gt;0,AEA41-(IF(SUM($D42:ADZ42)&gt;0,0,IF(ADZ$25&gt;ADZ40,ADZ40,0))),0)&lt;0,0,(IF(SUM($D42:ADZ42)&gt;0,0,IF(ADZ$25&gt;ADZ40,ADZ40,0)))))</f>
        <v>0</v>
      </c>
      <c r="AEB42" s="115">
        <f>IF(SUM($D$35:AEA35)=0,0,IF(IF(AEB41&gt;0,AEB41-(IF(SUM($D42:AEA42)&gt;0,0,IF(AEA$25&gt;AEA40,AEA40,0))),0)&lt;0,0,(IF(SUM($D42:AEA42)&gt;0,0,IF(AEA$25&gt;AEA40,AEA40,0)))))</f>
        <v>0</v>
      </c>
      <c r="AEC42" s="115">
        <f>IF(SUM($D$35:AEB35)=0,0,IF(IF(AEC41&gt;0,AEC41-(IF(SUM($D42:AEB42)&gt;0,0,IF(AEB$25&gt;AEB40,AEB40,0))),0)&lt;0,0,(IF(SUM($D42:AEB42)&gt;0,0,IF(AEB$25&gt;AEB40,AEB40,0)))))</f>
        <v>0</v>
      </c>
      <c r="AED42" s="115">
        <f>IF(SUM($D$35:AEC35)=0,0,IF(IF(AED41&gt;0,AED41-(IF(SUM($D42:AEC42)&gt;0,0,IF(AEC$25&gt;AEC40,AEC40,0))),0)&lt;0,0,(IF(SUM($D42:AEC42)&gt;0,0,IF(AEC$25&gt;AEC40,AEC40,0)))))</f>
        <v>0</v>
      </c>
      <c r="AEE42" s="115">
        <f>IF(SUM($D$35:AED35)=0,0,IF(IF(AEE41&gt;0,AEE41-(IF(SUM($D42:AED42)&gt;0,0,IF(AED$25&gt;AED40,AED40,0))),0)&lt;0,0,(IF(SUM($D42:AED42)&gt;0,0,IF(AED$25&gt;AED40,AED40,0)))))</f>
        <v>0</v>
      </c>
      <c r="AEF42" s="115">
        <f>IF(SUM($D$35:AEE35)=0,0,IF(IF(AEF41&gt;0,AEF41-(IF(SUM($D42:AEE42)&gt;0,0,IF(AEE$25&gt;AEE40,AEE40,0))),0)&lt;0,0,(IF(SUM($D42:AEE42)&gt;0,0,IF(AEE$25&gt;AEE40,AEE40,0)))))</f>
        <v>0</v>
      </c>
      <c r="AEG42" s="115">
        <f>IF(SUM($D$35:AEF35)=0,0,IF(IF(AEG41&gt;0,AEG41-(IF(SUM($D42:AEF42)&gt;0,0,IF(AEF$25&gt;AEF40,AEF40,0))),0)&lt;0,0,(IF(SUM($D42:AEF42)&gt;0,0,IF(AEF$25&gt;AEF40,AEF40,0)))))</f>
        <v>0</v>
      </c>
      <c r="AEH42" s="115">
        <f>IF(SUM($D$35:AEG35)=0,0,IF(IF(AEH41&gt;0,AEH41-(IF(SUM($D42:AEG42)&gt;0,0,IF(AEG$25&gt;AEG40,AEG40,0))),0)&lt;0,0,(IF(SUM($D42:AEG42)&gt;0,0,IF(AEG$25&gt;AEG40,AEG40,0)))))</f>
        <v>0</v>
      </c>
      <c r="AEI42" s="115">
        <f>IF(SUM($D$35:AEH35)=0,0,IF(IF(AEI41&gt;0,AEI41-(IF(SUM($D42:AEH42)&gt;0,0,IF(AEH$25&gt;AEH40,AEH40,0))),0)&lt;0,0,(IF(SUM($D42:AEH42)&gt;0,0,IF(AEH$25&gt;AEH40,AEH40,0)))))</f>
        <v>0</v>
      </c>
      <c r="AEJ42" s="115">
        <f>IF(SUM($D$35:AEI35)=0,0,IF(IF(AEJ41&gt;0,AEJ41-(IF(SUM($D42:AEI42)&gt;0,0,IF(AEI$25&gt;AEI40,AEI40,0))),0)&lt;0,0,(IF(SUM($D42:AEI42)&gt;0,0,IF(AEI$25&gt;AEI40,AEI40,0)))))</f>
        <v>0</v>
      </c>
      <c r="AEK42" s="115">
        <f>IF(SUM($D$35:AEJ35)=0,0,IF(IF(AEK41&gt;0,AEK41-(IF(SUM($D42:AEJ42)&gt;0,0,IF(AEJ$25&gt;AEJ40,AEJ40,0))),0)&lt;0,0,(IF(SUM($D42:AEJ42)&gt;0,0,IF(AEJ$25&gt;AEJ40,AEJ40,0)))))</f>
        <v>0</v>
      </c>
      <c r="AEL42" s="115">
        <f>IF(SUM($D$35:AEK35)=0,0,IF(IF(AEL41&gt;0,AEL41-(IF(SUM($D42:AEK42)&gt;0,0,IF(AEK$25&gt;AEK40,AEK40,0))),0)&lt;0,0,(IF(SUM($D42:AEK42)&gt;0,0,IF(AEK$25&gt;AEK40,AEK40,0)))))</f>
        <v>0</v>
      </c>
      <c r="AEM42" s="115">
        <f>IF(SUM($D$35:AEL35)=0,0,IF(IF(AEM41&gt;0,AEM41-(IF(SUM($D42:AEL42)&gt;0,0,IF(AEL$25&gt;AEL40,AEL40,0))),0)&lt;0,0,(IF(SUM($D42:AEL42)&gt;0,0,IF(AEL$25&gt;AEL40,AEL40,0)))))</f>
        <v>0</v>
      </c>
      <c r="AEN42" s="115">
        <f>IF(SUM($D$35:AEM35)=0,0,IF(IF(AEN41&gt;0,AEN41-(IF(SUM($D42:AEM42)&gt;0,0,IF(AEM$25&gt;AEM40,AEM40,0))),0)&lt;0,0,(IF(SUM($D42:AEM42)&gt;0,0,IF(AEM$25&gt;AEM40,AEM40,0)))))</f>
        <v>0</v>
      </c>
      <c r="AEO42" s="115">
        <f>IF(SUM($D$35:AEN35)=0,0,IF(IF(AEO41&gt;0,AEO41-(IF(SUM($D42:AEN42)&gt;0,0,IF(AEN$25&gt;AEN40,AEN40,0))),0)&lt;0,0,(IF(SUM($D42:AEN42)&gt;0,0,IF(AEN$25&gt;AEN40,AEN40,0)))))</f>
        <v>0</v>
      </c>
      <c r="AEP42" s="115">
        <f>IF(SUM($D$35:AEO35)=0,0,IF(IF(AEP41&gt;0,AEP41-(IF(SUM($D42:AEO42)&gt;0,0,IF(AEO$25&gt;AEO40,AEO40,0))),0)&lt;0,0,(IF(SUM($D42:AEO42)&gt;0,0,IF(AEO$25&gt;AEO40,AEO40,0)))))</f>
        <v>0</v>
      </c>
      <c r="AEQ42" s="115">
        <f>IF(SUM($D$35:AEP35)=0,0,IF(IF(AEQ41&gt;0,AEQ41-(IF(SUM($D42:AEP42)&gt;0,0,IF(AEP$25&gt;AEP40,AEP40,0))),0)&lt;0,0,(IF(SUM($D42:AEP42)&gt;0,0,IF(AEP$25&gt;AEP40,AEP40,0)))))</f>
        <v>0</v>
      </c>
      <c r="AER42" s="115">
        <f>IF(SUM($D$35:AEQ35)=0,0,IF(IF(AER41&gt;0,AER41-(IF(SUM($D42:AEQ42)&gt;0,0,IF(AEQ$25&gt;AEQ40,AEQ40,0))),0)&lt;0,0,(IF(SUM($D42:AEQ42)&gt;0,0,IF(AEQ$25&gt;AEQ40,AEQ40,0)))))</f>
        <v>0</v>
      </c>
      <c r="AES42" s="115">
        <f>IF(SUM($D$35:AER35)=0,0,IF(IF(AES41&gt;0,AES41-(IF(SUM($D42:AER42)&gt;0,0,IF(AER$25&gt;AER40,AER40,0))),0)&lt;0,0,(IF(SUM($D42:AER42)&gt;0,0,IF(AER$25&gt;AER40,AER40,0)))))</f>
        <v>0</v>
      </c>
      <c r="AET42" s="115">
        <f>IF(SUM($D$35:AES35)=0,0,IF(IF(AET41&gt;0,AET41-(IF(SUM($D42:AES42)&gt;0,0,IF(AES$25&gt;AES40,AES40,0))),0)&lt;0,0,(IF(SUM($D42:AES42)&gt;0,0,IF(AES$25&gt;AES40,AES40,0)))))</f>
        <v>0</v>
      </c>
      <c r="AEU42" s="115">
        <f>IF(SUM($D$35:AET35)=0,0,IF(IF(AEU41&gt;0,AEU41-(IF(SUM($D42:AET42)&gt;0,0,IF(AET$25&gt;AET40,AET40,0))),0)&lt;0,0,(IF(SUM($D42:AET42)&gt;0,0,IF(AET$25&gt;AET40,AET40,0)))))</f>
        <v>0</v>
      </c>
      <c r="AEV42" s="115">
        <f>IF(SUM($D$35:AEU35)=0,0,IF(IF(AEV41&gt;0,AEV41-(IF(SUM($D42:AEU42)&gt;0,0,IF(AEU$25&gt;AEU40,AEU40,0))),0)&lt;0,0,(IF(SUM($D42:AEU42)&gt;0,0,IF(AEU$25&gt;AEU40,AEU40,0)))))</f>
        <v>0</v>
      </c>
      <c r="AEW42" s="115">
        <f>IF(SUM($D$35:AEV35)=0,0,IF(IF(AEW41&gt;0,AEW41-(IF(SUM($D42:AEV42)&gt;0,0,IF(AEV$25&gt;AEV40,AEV40,0))),0)&lt;0,0,(IF(SUM($D42:AEV42)&gt;0,0,IF(AEV$25&gt;AEV40,AEV40,0)))))</f>
        <v>0</v>
      </c>
      <c r="AEX42" s="115">
        <f>IF(SUM($D$35:AEW35)=0,0,IF(IF(AEX41&gt;0,AEX41-(IF(SUM($D42:AEW42)&gt;0,0,IF(AEW$25&gt;AEW40,AEW40,0))),0)&lt;0,0,(IF(SUM($D42:AEW42)&gt;0,0,IF(AEW$25&gt;AEW40,AEW40,0)))))</f>
        <v>0</v>
      </c>
      <c r="AEY42" s="115">
        <f>IF(SUM($D$35:AEX35)=0,0,IF(IF(AEY41&gt;0,AEY41-(IF(SUM($D42:AEX42)&gt;0,0,IF(AEX$25&gt;AEX40,AEX40,0))),0)&lt;0,0,(IF(SUM($D42:AEX42)&gt;0,0,IF(AEX$25&gt;AEX40,AEX40,0)))))</f>
        <v>0</v>
      </c>
      <c r="AEZ42" s="115">
        <f>IF(SUM($D$35:AEY35)=0,0,IF(IF(AEZ41&gt;0,AEZ41-(IF(SUM($D42:AEY42)&gt;0,0,IF(AEY$25&gt;AEY40,AEY40,0))),0)&lt;0,0,(IF(SUM($D42:AEY42)&gt;0,0,IF(AEY$25&gt;AEY40,AEY40,0)))))</f>
        <v>0</v>
      </c>
      <c r="AFA42" s="115">
        <f>IF(SUM($D$35:AEZ35)=0,0,IF(IF(AFA41&gt;0,AFA41-(IF(SUM($D42:AEZ42)&gt;0,0,IF(AEZ$25&gt;AEZ40,AEZ40,0))),0)&lt;0,0,(IF(SUM($D42:AEZ42)&gt;0,0,IF(AEZ$25&gt;AEZ40,AEZ40,0)))))</f>
        <v>0</v>
      </c>
      <c r="AFB42" s="115">
        <f>IF(SUM($D$35:AFA35)=0,0,IF(IF(AFB41&gt;0,AFB41-(IF(SUM($D42:AFA42)&gt;0,0,IF(AFA$25&gt;AFA40,AFA40,0))),0)&lt;0,0,(IF(SUM($D42:AFA42)&gt;0,0,IF(AFA$25&gt;AFA40,AFA40,0)))))</f>
        <v>0</v>
      </c>
      <c r="AFC42" s="115">
        <f>IF(SUM($D$35:AFB35)=0,0,IF(IF(AFC41&gt;0,AFC41-(IF(SUM($D42:AFB42)&gt;0,0,IF(AFB$25&gt;AFB40,AFB40,0))),0)&lt;0,0,(IF(SUM($D42:AFB42)&gt;0,0,IF(AFB$25&gt;AFB40,AFB40,0)))))</f>
        <v>0</v>
      </c>
      <c r="AFD42" s="115">
        <f>IF(SUM($D$35:AFC35)=0,0,IF(IF(AFD41&gt;0,AFD41-(IF(SUM($D42:AFC42)&gt;0,0,IF(AFC$25&gt;AFC40,AFC40,0))),0)&lt;0,0,(IF(SUM($D42:AFC42)&gt;0,0,IF(AFC$25&gt;AFC40,AFC40,0)))))</f>
        <v>0</v>
      </c>
      <c r="AFE42" s="115">
        <f>IF(SUM($D$35:AFD35)=0,0,IF(IF(AFE41&gt;0,AFE41-(IF(SUM($D42:AFD42)&gt;0,0,IF(AFD$25&gt;AFD40,AFD40,0))),0)&lt;0,0,(IF(SUM($D42:AFD42)&gt;0,0,IF(AFD$25&gt;AFD40,AFD40,0)))))</f>
        <v>0</v>
      </c>
      <c r="AFF42" s="115">
        <f>IF(SUM($D$35:AFE35)=0,0,IF(IF(AFF41&gt;0,AFF41-(IF(SUM($D42:AFE42)&gt;0,0,IF(AFE$25&gt;AFE40,AFE40,0))),0)&lt;0,0,(IF(SUM($D42:AFE42)&gt;0,0,IF(AFE$25&gt;AFE40,AFE40,0)))))</f>
        <v>0</v>
      </c>
      <c r="AFG42" s="115">
        <f>IF(SUM($D$35:AFF35)=0,0,IF(IF(AFG41&gt;0,AFG41-(IF(SUM($D42:AFF42)&gt;0,0,IF(AFF$25&gt;AFF40,AFF40,0))),0)&lt;0,0,(IF(SUM($D42:AFF42)&gt;0,0,IF(AFF$25&gt;AFF40,AFF40,0)))))</f>
        <v>0</v>
      </c>
      <c r="AFH42" s="115">
        <f>IF(SUM($D$35:AFG35)=0,0,IF(IF(AFH41&gt;0,AFH41-(IF(SUM($D42:AFG42)&gt;0,0,IF(AFG$25&gt;AFG40,AFG40,0))),0)&lt;0,0,(IF(SUM($D42:AFG42)&gt;0,0,IF(AFG$25&gt;AFG40,AFG40,0)))))</f>
        <v>0</v>
      </c>
      <c r="AFI42" s="115">
        <f>IF(SUM($D$35:AFH35)=0,0,IF(IF(AFI41&gt;0,AFI41-(IF(SUM($D42:AFH42)&gt;0,0,IF(AFH$25&gt;AFH40,AFH40,0))),0)&lt;0,0,(IF(SUM($D42:AFH42)&gt;0,0,IF(AFH$25&gt;AFH40,AFH40,0)))))</f>
        <v>0</v>
      </c>
      <c r="AFJ42" s="115">
        <f>IF(SUM($D$35:AFI35)=0,0,IF(IF(AFJ41&gt;0,AFJ41-(IF(SUM($D42:AFI42)&gt;0,0,IF(AFI$25&gt;AFI40,AFI40,0))),0)&lt;0,0,(IF(SUM($D42:AFI42)&gt;0,0,IF(AFI$25&gt;AFI40,AFI40,0)))))</f>
        <v>0</v>
      </c>
      <c r="AFK42" s="115">
        <f>IF(SUM($D$35:AFJ35)=0,0,IF(IF(AFK41&gt;0,AFK41-(IF(SUM($D42:AFJ42)&gt;0,0,IF(AFJ$25&gt;AFJ40,AFJ40,0))),0)&lt;0,0,(IF(SUM($D42:AFJ42)&gt;0,0,IF(AFJ$25&gt;AFJ40,AFJ40,0)))))</f>
        <v>0</v>
      </c>
      <c r="AFL42" s="115">
        <f>IF(SUM($D$35:AFK35)=0,0,IF(IF(AFL41&gt;0,AFL41-(IF(SUM($D42:AFK42)&gt;0,0,IF(AFK$25&gt;AFK40,AFK40,0))),0)&lt;0,0,(IF(SUM($D42:AFK42)&gt;0,0,IF(AFK$25&gt;AFK40,AFK40,0)))))</f>
        <v>0</v>
      </c>
      <c r="AFM42" s="115">
        <f>IF(SUM($D$35:AFL35)=0,0,IF(IF(AFM41&gt;0,AFM41-(IF(SUM($D42:AFL42)&gt;0,0,IF(AFL$25&gt;AFL40,AFL40,0))),0)&lt;0,0,(IF(SUM($D42:AFL42)&gt;0,0,IF(AFL$25&gt;AFL40,AFL40,0)))))</f>
        <v>0</v>
      </c>
      <c r="AFN42" s="115">
        <f>IF(SUM($D$35:AFM35)=0,0,IF(IF(AFN41&gt;0,AFN41-(IF(SUM($D42:AFM42)&gt;0,0,IF(AFM$25&gt;AFM40,AFM40,0))),0)&lt;0,0,(IF(SUM($D42:AFM42)&gt;0,0,IF(AFM$25&gt;AFM40,AFM40,0)))))</f>
        <v>0</v>
      </c>
      <c r="AFO42" s="115">
        <f>IF(SUM($D$35:AFN35)=0,0,IF(IF(AFO41&gt;0,AFO41-(IF(SUM($D42:AFN42)&gt;0,0,IF(AFN$25&gt;AFN40,AFN40,0))),0)&lt;0,0,(IF(SUM($D42:AFN42)&gt;0,0,IF(AFN$25&gt;AFN40,AFN40,0)))))</f>
        <v>0</v>
      </c>
      <c r="AFP42" s="115">
        <f>IF(SUM($D$35:AFO35)=0,0,IF(IF(AFP41&gt;0,AFP41-(IF(SUM($D42:AFO42)&gt;0,0,IF(AFO$25&gt;AFO40,AFO40,0))),0)&lt;0,0,(IF(SUM($D42:AFO42)&gt;0,0,IF(AFO$25&gt;AFO40,AFO40,0)))))</f>
        <v>0</v>
      </c>
      <c r="AFQ42" s="115">
        <f>IF(SUM($D$35:AFP35)=0,0,IF(IF(AFQ41&gt;0,AFQ41-(IF(SUM($D42:AFP42)&gt;0,0,IF(AFP$25&gt;AFP40,AFP40,0))),0)&lt;0,0,(IF(SUM($D42:AFP42)&gt;0,0,IF(AFP$25&gt;AFP40,AFP40,0)))))</f>
        <v>0</v>
      </c>
      <c r="AFR42" s="115">
        <f>IF(SUM($D$35:AFQ35)=0,0,IF(IF(AFR41&gt;0,AFR41-(IF(SUM($D42:AFQ42)&gt;0,0,IF(AFQ$25&gt;AFQ40,AFQ40,0))),0)&lt;0,0,(IF(SUM($D42:AFQ42)&gt;0,0,IF(AFQ$25&gt;AFQ40,AFQ40,0)))))</f>
        <v>0</v>
      </c>
      <c r="AFS42" s="115">
        <f>IF(SUM($D$35:AFR35)=0,0,IF(IF(AFS41&gt;0,AFS41-(IF(SUM($D42:AFR42)&gt;0,0,IF(AFR$25&gt;AFR40,AFR40,0))),0)&lt;0,0,(IF(SUM($D42:AFR42)&gt;0,0,IF(AFR$25&gt;AFR40,AFR40,0)))))</f>
        <v>0</v>
      </c>
      <c r="AFT42" s="115">
        <f>IF(SUM($D$35:AFS35)=0,0,IF(IF(AFT41&gt;0,AFT41-(IF(SUM($D42:AFS42)&gt;0,0,IF(AFS$25&gt;AFS40,AFS40,0))),0)&lt;0,0,(IF(SUM($D42:AFS42)&gt;0,0,IF(AFS$25&gt;AFS40,AFS40,0)))))</f>
        <v>0</v>
      </c>
      <c r="AFU42" s="115">
        <f>IF(SUM($D$35:AFT35)=0,0,IF(IF(AFU41&gt;0,AFU41-(IF(SUM($D42:AFT42)&gt;0,0,IF(AFT$25&gt;AFT40,AFT40,0))),0)&lt;0,0,(IF(SUM($D42:AFT42)&gt;0,0,IF(AFT$25&gt;AFT40,AFT40,0)))))</f>
        <v>0</v>
      </c>
      <c r="AFV42" s="115">
        <f>IF(SUM($D$35:AFU35)=0,0,IF(IF(AFV41&gt;0,AFV41-(IF(SUM($D42:AFU42)&gt;0,0,IF(AFU$25&gt;AFU40,AFU40,0))),0)&lt;0,0,(IF(SUM($D42:AFU42)&gt;0,0,IF(AFU$25&gt;AFU40,AFU40,0)))))</f>
        <v>0</v>
      </c>
      <c r="AFW42" s="115">
        <f>IF(SUM($D$35:AFV35)=0,0,IF(IF(AFW41&gt;0,AFW41-(IF(SUM($D42:AFV42)&gt;0,0,IF(AFV$25&gt;AFV40,AFV40,0))),0)&lt;0,0,(IF(SUM($D42:AFV42)&gt;0,0,IF(AFV$25&gt;AFV40,AFV40,0)))))</f>
        <v>0</v>
      </c>
      <c r="AFX42" s="115">
        <f>IF(SUM($D$35:AFW35)=0,0,IF(IF(AFX41&gt;0,AFX41-(IF(SUM($D42:AFW42)&gt;0,0,IF(AFW$25&gt;AFW40,AFW40,0))),0)&lt;0,0,(IF(SUM($D42:AFW42)&gt;0,0,IF(AFW$25&gt;AFW40,AFW40,0)))))</f>
        <v>0</v>
      </c>
      <c r="AFY42" s="115">
        <f>IF(SUM($D$35:AFX35)=0,0,IF(IF(AFY41&gt;0,AFY41-(IF(SUM($D42:AFX42)&gt;0,0,IF(AFX$25&gt;AFX40,AFX40,0))),0)&lt;0,0,(IF(SUM($D42:AFX42)&gt;0,0,IF(AFX$25&gt;AFX40,AFX40,0)))))</f>
        <v>0</v>
      </c>
      <c r="AFZ42" s="115">
        <f>IF(SUM($D$35:AFY35)=0,0,IF(IF(AFZ41&gt;0,AFZ41-(IF(SUM($D42:AFY42)&gt;0,0,IF(AFY$25&gt;AFY40,AFY40,0))),0)&lt;0,0,(IF(SUM($D42:AFY42)&gt;0,0,IF(AFY$25&gt;AFY40,AFY40,0)))))</f>
        <v>0</v>
      </c>
      <c r="AGA42" s="115">
        <f>IF(SUM($D$35:AFZ35)=0,0,IF(IF(AGA41&gt;0,AGA41-(IF(SUM($D42:AFZ42)&gt;0,0,IF(AFZ$25&gt;AFZ40,AFZ40,0))),0)&lt;0,0,(IF(SUM($D42:AFZ42)&gt;0,0,IF(AFZ$25&gt;AFZ40,AFZ40,0)))))</f>
        <v>0</v>
      </c>
      <c r="AGB42" s="115">
        <f>IF(SUM($D$35:AGA35)=0,0,IF(IF(AGB41&gt;0,AGB41-(IF(SUM($D42:AGA42)&gt;0,0,IF(AGA$25&gt;AGA40,AGA40,0))),0)&lt;0,0,(IF(SUM($D42:AGA42)&gt;0,0,IF(AGA$25&gt;AGA40,AGA40,0)))))</f>
        <v>0</v>
      </c>
      <c r="AGC42" s="115">
        <f>IF(SUM($D$35:AGB35)=0,0,IF(IF(AGC41&gt;0,AGC41-(IF(SUM($D42:AGB42)&gt;0,0,IF(AGB$25&gt;AGB40,AGB40,0))),0)&lt;0,0,(IF(SUM($D42:AGB42)&gt;0,0,IF(AGB$25&gt;AGB40,AGB40,0)))))</f>
        <v>0</v>
      </c>
      <c r="AGD42" s="115">
        <f>IF(SUM($D$35:AGC35)=0,0,IF(IF(AGD41&gt;0,AGD41-(IF(SUM($D42:AGC42)&gt;0,0,IF(AGC$25&gt;AGC40,AGC40,0))),0)&lt;0,0,(IF(SUM($D42:AGC42)&gt;0,0,IF(AGC$25&gt;AGC40,AGC40,0)))))</f>
        <v>0</v>
      </c>
      <c r="AGE42" s="115">
        <f>IF(SUM($D$35:AGD35)=0,0,IF(IF(AGE41&gt;0,AGE41-(IF(SUM($D42:AGD42)&gt;0,0,IF(AGD$25&gt;AGD40,AGD40,0))),0)&lt;0,0,(IF(SUM($D42:AGD42)&gt;0,0,IF(AGD$25&gt;AGD40,AGD40,0)))))</f>
        <v>0</v>
      </c>
      <c r="AGF42" s="115">
        <f>IF(SUM($D$35:AGE35)=0,0,IF(IF(AGF41&gt;0,AGF41-(IF(SUM($D42:AGE42)&gt;0,0,IF(AGE$25&gt;AGE40,AGE40,0))),0)&lt;0,0,(IF(SUM($D42:AGE42)&gt;0,0,IF(AGE$25&gt;AGE40,AGE40,0)))))</f>
        <v>0</v>
      </c>
      <c r="AGG42" s="115">
        <f>IF(SUM($D$35:AGF35)=0,0,IF(IF(AGG41&gt;0,AGG41-(IF(SUM($D42:AGF42)&gt;0,0,IF(AGF$25&gt;AGF40,AGF40,0))),0)&lt;0,0,(IF(SUM($D42:AGF42)&gt;0,0,IF(AGF$25&gt;AGF40,AGF40,0)))))</f>
        <v>0</v>
      </c>
      <c r="AGH42" s="115">
        <f>IF(SUM($D$35:AGG35)=0,0,IF(IF(AGH41&gt;0,AGH41-(IF(SUM($D42:AGG42)&gt;0,0,IF(AGG$25&gt;AGG40,AGG40,0))),0)&lt;0,0,(IF(SUM($D42:AGG42)&gt;0,0,IF(AGG$25&gt;AGG40,AGG40,0)))))</f>
        <v>0</v>
      </c>
      <c r="AGI42" s="115">
        <f>IF(SUM($D$35:AGH35)=0,0,IF(IF(AGI41&gt;0,AGI41-(IF(SUM($D42:AGH42)&gt;0,0,IF(AGH$25&gt;AGH40,AGH40,0))),0)&lt;0,0,(IF(SUM($D42:AGH42)&gt;0,0,IF(AGH$25&gt;AGH40,AGH40,0)))))</f>
        <v>0</v>
      </c>
      <c r="AGJ42" s="115">
        <f>IF(SUM($D$35:AGI35)=0,0,IF(IF(AGJ41&gt;0,AGJ41-(IF(SUM($D42:AGI42)&gt;0,0,IF(AGI$25&gt;AGI40,AGI40,0))),0)&lt;0,0,(IF(SUM($D42:AGI42)&gt;0,0,IF(AGI$25&gt;AGI40,AGI40,0)))))</f>
        <v>0</v>
      </c>
      <c r="AGK42" s="115">
        <f>IF(SUM($D$35:AGJ35)=0,0,IF(IF(AGK41&gt;0,AGK41-(IF(SUM($D42:AGJ42)&gt;0,0,IF(AGJ$25&gt;AGJ40,AGJ40,0))),0)&lt;0,0,(IF(SUM($D42:AGJ42)&gt;0,0,IF(AGJ$25&gt;AGJ40,AGJ40,0)))))</f>
        <v>0</v>
      </c>
      <c r="AGL42" s="115">
        <f>IF(SUM($D$35:AGK35)=0,0,IF(IF(AGL41&gt;0,AGL41-(IF(SUM($D42:AGK42)&gt;0,0,IF(AGK$25&gt;AGK40,AGK40,0))),0)&lt;0,0,(IF(SUM($D42:AGK42)&gt;0,0,IF(AGK$25&gt;AGK40,AGK40,0)))))</f>
        <v>0</v>
      </c>
      <c r="AGM42" s="115">
        <f>IF(SUM($D$35:AGL35)=0,0,IF(IF(AGM41&gt;0,AGM41-(IF(SUM($D42:AGL42)&gt;0,0,IF(AGL$25&gt;AGL40,AGL40,0))),0)&lt;0,0,(IF(SUM($D42:AGL42)&gt;0,0,IF(AGL$25&gt;AGL40,AGL40,0)))))</f>
        <v>0</v>
      </c>
      <c r="AGN42" s="115">
        <f>IF(SUM($D$35:AGM35)=0,0,IF(IF(AGN41&gt;0,AGN41-(IF(SUM($D42:AGM42)&gt;0,0,IF(AGM$25&gt;AGM40,AGM40,0))),0)&lt;0,0,(IF(SUM($D42:AGM42)&gt;0,0,IF(AGM$25&gt;AGM40,AGM40,0)))))</f>
        <v>0</v>
      </c>
      <c r="AGO42" s="115">
        <f>IF(SUM($D$35:AGN35)=0,0,IF(IF(AGO41&gt;0,AGO41-(IF(SUM($D42:AGN42)&gt;0,0,IF(AGN$25&gt;AGN40,AGN40,0))),0)&lt;0,0,(IF(SUM($D42:AGN42)&gt;0,0,IF(AGN$25&gt;AGN40,AGN40,0)))))</f>
        <v>0</v>
      </c>
      <c r="AGP42" s="115">
        <f>IF(SUM($D$35:AGO35)=0,0,IF(IF(AGP41&gt;0,AGP41-(IF(SUM($D42:AGO42)&gt;0,0,IF(AGO$25&gt;AGO40,AGO40,0))),0)&lt;0,0,(IF(SUM($D42:AGO42)&gt;0,0,IF(AGO$25&gt;AGO40,AGO40,0)))))</f>
        <v>0</v>
      </c>
      <c r="AGQ42" s="115">
        <f>IF(SUM($D$35:AGP35)=0,0,IF(IF(AGQ41&gt;0,AGQ41-(IF(SUM($D42:AGP42)&gt;0,0,IF(AGP$25&gt;AGP40,AGP40,0))),0)&lt;0,0,(IF(SUM($D42:AGP42)&gt;0,0,IF(AGP$25&gt;AGP40,AGP40,0)))))</f>
        <v>0</v>
      </c>
      <c r="AGR42" s="115">
        <f>IF(SUM($D$35:AGQ35)=0,0,IF(IF(AGR41&gt;0,AGR41-(IF(SUM($D42:AGQ42)&gt;0,0,IF(AGQ$25&gt;AGQ40,AGQ40,0))),0)&lt;0,0,(IF(SUM($D42:AGQ42)&gt;0,0,IF(AGQ$25&gt;AGQ40,AGQ40,0)))))</f>
        <v>0</v>
      </c>
      <c r="AGS42" s="115">
        <f>IF(SUM($D$35:AGR35)=0,0,IF(IF(AGS41&gt;0,AGS41-(IF(SUM($D42:AGR42)&gt;0,0,IF(AGR$25&gt;AGR40,AGR40,0))),0)&lt;0,0,(IF(SUM($D42:AGR42)&gt;0,0,IF(AGR$25&gt;AGR40,AGR40,0)))))</f>
        <v>0</v>
      </c>
      <c r="AGT42" s="115">
        <f>IF(SUM($D$35:AGS35)=0,0,IF(IF(AGT41&gt;0,AGT41-(IF(SUM($D42:AGS42)&gt;0,0,IF(AGS$25&gt;AGS40,AGS40,0))),0)&lt;0,0,(IF(SUM($D42:AGS42)&gt;0,0,IF(AGS$25&gt;AGS40,AGS40,0)))))</f>
        <v>0</v>
      </c>
      <c r="AGU42" s="115">
        <f>IF(SUM($D$35:AGT35)=0,0,IF(IF(AGU41&gt;0,AGU41-(IF(SUM($D42:AGT42)&gt;0,0,IF(AGT$25&gt;AGT40,AGT40,0))),0)&lt;0,0,(IF(SUM($D42:AGT42)&gt;0,0,IF(AGT$25&gt;AGT40,AGT40,0)))))</f>
        <v>0</v>
      </c>
      <c r="AGV42" s="115">
        <f>IF(SUM($D$35:AGU35)=0,0,IF(IF(AGV41&gt;0,AGV41-(IF(SUM($D42:AGU42)&gt;0,0,IF(AGU$25&gt;AGU40,AGU40,0))),0)&lt;0,0,(IF(SUM($D42:AGU42)&gt;0,0,IF(AGU$25&gt;AGU40,AGU40,0)))))</f>
        <v>0</v>
      </c>
      <c r="AGW42" s="115">
        <f>IF(SUM($D$35:AGV35)=0,0,IF(IF(AGW41&gt;0,AGW41-(IF(SUM($D42:AGV42)&gt;0,0,IF(AGV$25&gt;AGV40,AGV40,0))),0)&lt;0,0,(IF(SUM($D42:AGV42)&gt;0,0,IF(AGV$25&gt;AGV40,AGV40,0)))))</f>
        <v>0</v>
      </c>
      <c r="AGX42" s="115">
        <f>IF(SUM($D$35:AGW35)=0,0,IF(IF(AGX41&gt;0,AGX41-(IF(SUM($D42:AGW42)&gt;0,0,IF(AGW$25&gt;AGW40,AGW40,0))),0)&lt;0,0,(IF(SUM($D42:AGW42)&gt;0,0,IF(AGW$25&gt;AGW40,AGW40,0)))))</f>
        <v>0</v>
      </c>
      <c r="AGY42" s="115">
        <f>IF(SUM($D$35:AGX35)=0,0,IF(IF(AGY41&gt;0,AGY41-(IF(SUM($D42:AGX42)&gt;0,0,IF(AGX$25&gt;AGX40,AGX40,0))),0)&lt;0,0,(IF(SUM($D42:AGX42)&gt;0,0,IF(AGX$25&gt;AGX40,AGX40,0)))))</f>
        <v>0</v>
      </c>
      <c r="AGZ42" s="115">
        <f>IF(SUM($D$35:AGY35)=0,0,IF(IF(AGZ41&gt;0,AGZ41-(IF(SUM($D42:AGY42)&gt;0,0,IF(AGY$25&gt;AGY40,AGY40,0))),0)&lt;0,0,(IF(SUM($D42:AGY42)&gt;0,0,IF(AGY$25&gt;AGY40,AGY40,0)))))</f>
        <v>0</v>
      </c>
      <c r="AHA42" s="115">
        <f>IF(SUM($D$35:AGZ35)=0,0,IF(IF(AHA41&gt;0,AHA41-(IF(SUM($D42:AGZ42)&gt;0,0,IF(AGZ$25&gt;AGZ40,AGZ40,0))),0)&lt;0,0,(IF(SUM($D42:AGZ42)&gt;0,0,IF(AGZ$25&gt;AGZ40,AGZ40,0)))))</f>
        <v>0</v>
      </c>
      <c r="AHB42" s="115">
        <f>IF(SUM($D$35:AHA35)=0,0,IF(IF(AHB41&gt;0,AHB41-(IF(SUM($D42:AHA42)&gt;0,0,IF(AHA$25&gt;AHA40,AHA40,0))),0)&lt;0,0,(IF(SUM($D42:AHA42)&gt;0,0,IF(AHA$25&gt;AHA40,AHA40,0)))))</f>
        <v>0</v>
      </c>
      <c r="AHC42" s="115">
        <f>IF(SUM($D$35:AHB35)=0,0,IF(IF(AHC41&gt;0,AHC41-(IF(SUM($D42:AHB42)&gt;0,0,IF(AHB$25&gt;AHB40,AHB40,0))),0)&lt;0,0,(IF(SUM($D42:AHB42)&gt;0,0,IF(AHB$25&gt;AHB40,AHB40,0)))))</f>
        <v>0</v>
      </c>
      <c r="AHD42" s="115">
        <f>IF(SUM($D$35:AHC35)=0,0,IF(IF(AHD41&gt;0,AHD41-(IF(SUM($D42:AHC42)&gt;0,0,IF(AHC$25&gt;AHC40,AHC40,0))),0)&lt;0,0,(IF(SUM($D42:AHC42)&gt;0,0,IF(AHC$25&gt;AHC40,AHC40,0)))))</f>
        <v>0</v>
      </c>
      <c r="AHE42" s="115">
        <f>IF(SUM($D$35:AHD35)=0,0,IF(IF(AHE41&gt;0,AHE41-(IF(SUM($D42:AHD42)&gt;0,0,IF(AHD$25&gt;AHD40,AHD40,0))),0)&lt;0,0,(IF(SUM($D42:AHD42)&gt;0,0,IF(AHD$25&gt;AHD40,AHD40,0)))))</f>
        <v>0</v>
      </c>
      <c r="AHF42" s="115">
        <f>IF(SUM($D$35:AHE35)=0,0,IF(IF(AHF41&gt;0,AHF41-(IF(SUM($D42:AHE42)&gt;0,0,IF(AHE$25&gt;AHE40,AHE40,0))),0)&lt;0,0,(IF(SUM($D42:AHE42)&gt;0,0,IF(AHE$25&gt;AHE40,AHE40,0)))))</f>
        <v>0</v>
      </c>
      <c r="AHG42" s="115">
        <f>IF(SUM($D$35:AHF35)=0,0,IF(IF(AHG41&gt;0,AHG41-(IF(SUM($D42:AHF42)&gt;0,0,IF(AHF$25&gt;AHF40,AHF40,0))),0)&lt;0,0,(IF(SUM($D42:AHF42)&gt;0,0,IF(AHF$25&gt;AHF40,AHF40,0)))))</f>
        <v>0</v>
      </c>
      <c r="AHH42" s="115">
        <f>IF(SUM($D$35:AHG35)=0,0,IF(IF(AHH41&gt;0,AHH41-(IF(SUM($D42:AHG42)&gt;0,0,IF(AHG$25&gt;AHG40,AHG40,0))),0)&lt;0,0,(IF(SUM($D42:AHG42)&gt;0,0,IF(AHG$25&gt;AHG40,AHG40,0)))))</f>
        <v>0</v>
      </c>
      <c r="AHI42" s="115">
        <f>IF(SUM($D$35:AHH35)=0,0,IF(IF(AHI41&gt;0,AHI41-(IF(SUM($D42:AHH42)&gt;0,0,IF(AHH$25&gt;AHH40,AHH40,0))),0)&lt;0,0,(IF(SUM($D42:AHH42)&gt;0,0,IF(AHH$25&gt;AHH40,AHH40,0)))))</f>
        <v>0</v>
      </c>
      <c r="AHJ42" s="115">
        <f>IF(SUM($D$35:AHI35)=0,0,IF(IF(AHJ41&gt;0,AHJ41-(IF(SUM($D42:AHI42)&gt;0,0,IF(AHI$25&gt;AHI40,AHI40,0))),0)&lt;0,0,(IF(SUM($D42:AHI42)&gt;0,0,IF(AHI$25&gt;AHI40,AHI40,0)))))</f>
        <v>0</v>
      </c>
      <c r="AHK42" s="115">
        <f>IF(SUM($D$35:AHJ35)=0,0,IF(IF(AHK41&gt;0,AHK41-(IF(SUM($D42:AHJ42)&gt;0,0,IF(AHJ$25&gt;AHJ40,AHJ40,0))),0)&lt;0,0,(IF(SUM($D42:AHJ42)&gt;0,0,IF(AHJ$25&gt;AHJ40,AHJ40,0)))))</f>
        <v>0</v>
      </c>
      <c r="AHL42" s="115">
        <f>IF(SUM($D$35:AHK35)=0,0,IF(IF(AHL41&gt;0,AHL41-(IF(SUM($D42:AHK42)&gt;0,0,IF(AHK$25&gt;AHK40,AHK40,0))),0)&lt;0,0,(IF(SUM($D42:AHK42)&gt;0,0,IF(AHK$25&gt;AHK40,AHK40,0)))))</f>
        <v>0</v>
      </c>
      <c r="AHM42" s="115">
        <f>IF(SUM($D$35:AHL35)=0,0,IF(IF(AHM41&gt;0,AHM41-(IF(SUM($D42:AHL42)&gt;0,0,IF(AHL$25&gt;AHL40,AHL40,0))),0)&lt;0,0,(IF(SUM($D42:AHL42)&gt;0,0,IF(AHL$25&gt;AHL40,AHL40,0)))))</f>
        <v>0</v>
      </c>
      <c r="AHN42" s="115">
        <f>IF(SUM($D$35:AHM35)=0,0,IF(IF(AHN41&gt;0,AHN41-(IF(SUM($D42:AHM42)&gt;0,0,IF(AHM$25&gt;AHM40,AHM40,0))),0)&lt;0,0,(IF(SUM($D42:AHM42)&gt;0,0,IF(AHM$25&gt;AHM40,AHM40,0)))))</f>
        <v>0</v>
      </c>
      <c r="AHO42" s="115">
        <f>IF(SUM($D$35:AHN35)=0,0,IF(IF(AHO41&gt;0,AHO41-(IF(SUM($D42:AHN42)&gt;0,0,IF(AHN$25&gt;AHN40,AHN40,0))),0)&lt;0,0,(IF(SUM($D42:AHN42)&gt;0,0,IF(AHN$25&gt;AHN40,AHN40,0)))))</f>
        <v>0</v>
      </c>
      <c r="AHP42" s="115">
        <f>IF(SUM($D$35:AHO35)=0,0,IF(IF(AHP41&gt;0,AHP41-(IF(SUM($D42:AHO42)&gt;0,0,IF(AHO$25&gt;AHO40,AHO40,0))),0)&lt;0,0,(IF(SUM($D42:AHO42)&gt;0,0,IF(AHO$25&gt;AHO40,AHO40,0)))))</f>
        <v>0</v>
      </c>
      <c r="AHQ42" s="115">
        <f>IF(SUM($D$35:AHP35)=0,0,IF(IF(AHQ41&gt;0,AHQ41-(IF(SUM($D42:AHP42)&gt;0,0,IF(AHP$25&gt;AHP40,AHP40,0))),0)&lt;0,0,(IF(SUM($D42:AHP42)&gt;0,0,IF(AHP$25&gt;AHP40,AHP40,0)))))</f>
        <v>0</v>
      </c>
      <c r="AHR42" s="115">
        <f>IF(SUM($D$35:AHQ35)=0,0,IF(IF(AHR41&gt;0,AHR41-(IF(SUM($D42:AHQ42)&gt;0,0,IF(AHQ$25&gt;AHQ40,AHQ40,0))),0)&lt;0,0,(IF(SUM($D42:AHQ42)&gt;0,0,IF(AHQ$25&gt;AHQ40,AHQ40,0)))))</f>
        <v>0</v>
      </c>
      <c r="AHS42" s="115">
        <f>IF(SUM($D$35:AHR35)=0,0,IF(IF(AHS41&gt;0,AHS41-(IF(SUM($D42:AHR42)&gt;0,0,IF(AHR$25&gt;AHR40,AHR40,0))),0)&lt;0,0,(IF(SUM($D42:AHR42)&gt;0,0,IF(AHR$25&gt;AHR40,AHR40,0)))))</f>
        <v>0</v>
      </c>
      <c r="AHT42" s="115">
        <f>IF(SUM($D$35:AHS35)=0,0,IF(IF(AHT41&gt;0,AHT41-(IF(SUM($D42:AHS42)&gt;0,0,IF(AHS$25&gt;AHS40,AHS40,0))),0)&lt;0,0,(IF(SUM($D42:AHS42)&gt;0,0,IF(AHS$25&gt;AHS40,AHS40,0)))))</f>
        <v>0</v>
      </c>
      <c r="AHU42" s="115">
        <f>IF(SUM($D$35:AHT35)=0,0,IF(IF(AHU41&gt;0,AHU41-(IF(SUM($D42:AHT42)&gt;0,0,IF(AHT$25&gt;AHT40,AHT40,0))),0)&lt;0,0,(IF(SUM($D42:AHT42)&gt;0,0,IF(AHT$25&gt;AHT40,AHT40,0)))))</f>
        <v>0</v>
      </c>
      <c r="AHV42" s="115">
        <f>IF(SUM($D$35:AHU35)=0,0,IF(IF(AHV41&gt;0,AHV41-(IF(SUM($D42:AHU42)&gt;0,0,IF(AHU$25&gt;AHU40,AHU40,0))),0)&lt;0,0,(IF(SUM($D42:AHU42)&gt;0,0,IF(AHU$25&gt;AHU40,AHU40,0)))))</f>
        <v>0</v>
      </c>
      <c r="AHW42" s="115">
        <f>IF(SUM($D$35:AHV35)=0,0,IF(IF(AHW41&gt;0,AHW41-(IF(SUM($D42:AHV42)&gt;0,0,IF(AHV$25&gt;AHV40,AHV40,0))),0)&lt;0,0,(IF(SUM($D42:AHV42)&gt;0,0,IF(AHV$25&gt;AHV40,AHV40,0)))))</f>
        <v>0</v>
      </c>
      <c r="AHX42" s="115">
        <f>IF(SUM($D$35:AHW35)=0,0,IF(IF(AHX41&gt;0,AHX41-(IF(SUM($D42:AHW42)&gt;0,0,IF(AHW$25&gt;AHW40,AHW40,0))),0)&lt;0,0,(IF(SUM($D42:AHW42)&gt;0,0,IF(AHW$25&gt;AHW40,AHW40,0)))))</f>
        <v>0</v>
      </c>
      <c r="AHY42" s="115">
        <f>IF(SUM($D$35:AHX35)=0,0,IF(IF(AHY41&gt;0,AHY41-(IF(SUM($D42:AHX42)&gt;0,0,IF(AHX$25&gt;AHX40,AHX40,0))),0)&lt;0,0,(IF(SUM($D42:AHX42)&gt;0,0,IF(AHX$25&gt;AHX40,AHX40,0)))))</f>
        <v>0</v>
      </c>
      <c r="AHZ42" s="115">
        <f>IF(SUM($D$35:AHY35)=0,0,IF(IF(AHZ41&gt;0,AHZ41-(IF(SUM($D42:AHY42)&gt;0,0,IF(AHY$25&gt;AHY40,AHY40,0))),0)&lt;0,0,(IF(SUM($D42:AHY42)&gt;0,0,IF(AHY$25&gt;AHY40,AHY40,0)))))</f>
        <v>0</v>
      </c>
      <c r="AIA42" s="115">
        <f>IF(SUM($D$35:AHZ35)=0,0,IF(IF(AIA41&gt;0,AIA41-(IF(SUM($D42:AHZ42)&gt;0,0,IF(AHZ$25&gt;AHZ40,AHZ40,0))),0)&lt;0,0,(IF(SUM($D42:AHZ42)&gt;0,0,IF(AHZ$25&gt;AHZ40,AHZ40,0)))))</f>
        <v>0</v>
      </c>
      <c r="AIB42" s="115">
        <f>IF(SUM($D$35:AIA35)=0,0,IF(IF(AIB41&gt;0,AIB41-(IF(SUM($D42:AIA42)&gt;0,0,IF(AIA$25&gt;AIA40,AIA40,0))),0)&lt;0,0,(IF(SUM($D42:AIA42)&gt;0,0,IF(AIA$25&gt;AIA40,AIA40,0)))))</f>
        <v>0</v>
      </c>
      <c r="AIC42" s="115">
        <f>IF(SUM($D$35:AIB35)=0,0,IF(IF(AIC41&gt;0,AIC41-(IF(SUM($D42:AIB42)&gt;0,0,IF(AIB$25&gt;AIB40,AIB40,0))),0)&lt;0,0,(IF(SUM($D42:AIB42)&gt;0,0,IF(AIB$25&gt;AIB40,AIB40,0)))))</f>
        <v>0</v>
      </c>
      <c r="AID42" s="115">
        <f>IF(SUM($D$35:AIC35)=0,0,IF(IF(AID41&gt;0,AID41-(IF(SUM($D42:AIC42)&gt;0,0,IF(AIC$25&gt;AIC40,AIC40,0))),0)&lt;0,0,(IF(SUM($D42:AIC42)&gt;0,0,IF(AIC$25&gt;AIC40,AIC40,0)))))</f>
        <v>0</v>
      </c>
      <c r="AIE42" s="115">
        <f>IF(SUM($D$35:AID35)=0,0,IF(IF(AIE41&gt;0,AIE41-(IF(SUM($D42:AID42)&gt;0,0,IF(AID$25&gt;AID40,AID40,0))),0)&lt;0,0,(IF(SUM($D42:AID42)&gt;0,0,IF(AID$25&gt;AID40,AID40,0)))))</f>
        <v>0</v>
      </c>
      <c r="AIF42" s="115">
        <f>IF(SUM($D$35:AIE35)=0,0,IF(IF(AIF41&gt;0,AIF41-(IF(SUM($D42:AIE42)&gt;0,0,IF(AIE$25&gt;AIE40,AIE40,0))),0)&lt;0,0,(IF(SUM($D42:AIE42)&gt;0,0,IF(AIE$25&gt;AIE40,AIE40,0)))))</f>
        <v>0</v>
      </c>
      <c r="AIG42" s="115">
        <f>IF(SUM($D$35:AIF35)=0,0,IF(IF(AIG41&gt;0,AIG41-(IF(SUM($D42:AIF42)&gt;0,0,IF(AIF$25&gt;AIF40,AIF40,0))),0)&lt;0,0,(IF(SUM($D42:AIF42)&gt;0,0,IF(AIF$25&gt;AIF40,AIF40,0)))))</f>
        <v>0</v>
      </c>
      <c r="AIH42" s="115">
        <f>IF(SUM($D$35:AIG35)=0,0,IF(IF(AIH41&gt;0,AIH41-(IF(SUM($D42:AIG42)&gt;0,0,IF(AIG$25&gt;AIG40,AIG40,0))),0)&lt;0,0,(IF(SUM($D42:AIG42)&gt;0,0,IF(AIG$25&gt;AIG40,AIG40,0)))))</f>
        <v>0</v>
      </c>
      <c r="AII42" s="115">
        <f>IF(SUM($D$35:AIH35)=0,0,IF(IF(AII41&gt;0,AII41-(IF(SUM($D42:AIH42)&gt;0,0,IF(AIH$25&gt;AIH40,AIH40,0))),0)&lt;0,0,(IF(SUM($D42:AIH42)&gt;0,0,IF(AIH$25&gt;AIH40,AIH40,0)))))</f>
        <v>0</v>
      </c>
      <c r="AIJ42" s="115">
        <f>IF(SUM($D$35:AII35)=0,0,IF(IF(AIJ41&gt;0,AIJ41-(IF(SUM($D42:AII42)&gt;0,0,IF(AII$25&gt;AII40,AII40,0))),0)&lt;0,0,(IF(SUM($D42:AII42)&gt;0,0,IF(AII$25&gt;AII40,AII40,0)))))</f>
        <v>0</v>
      </c>
      <c r="AIK42" s="115">
        <f>IF(SUM($D$35:AIJ35)=0,0,IF(IF(AIK41&gt;0,AIK41-(IF(SUM($D42:AIJ42)&gt;0,0,IF(AIJ$25&gt;AIJ40,AIJ40,0))),0)&lt;0,0,(IF(SUM($D42:AIJ42)&gt;0,0,IF(AIJ$25&gt;AIJ40,AIJ40,0)))))</f>
        <v>0</v>
      </c>
      <c r="AIL42" s="115">
        <f>IF(SUM($D$35:AIK35)=0,0,IF(IF(AIL41&gt;0,AIL41-(IF(SUM($D42:AIK42)&gt;0,0,IF(AIK$25&gt;AIK40,AIK40,0))),0)&lt;0,0,(IF(SUM($D42:AIK42)&gt;0,0,IF(AIK$25&gt;AIK40,AIK40,0)))))</f>
        <v>0</v>
      </c>
      <c r="AIM42" s="115">
        <f>IF(SUM($D$35:AIL35)=0,0,IF(IF(AIM41&gt;0,AIM41-(IF(SUM($D42:AIL42)&gt;0,0,IF(AIL$25&gt;AIL40,AIL40,0))),0)&lt;0,0,(IF(SUM($D42:AIL42)&gt;0,0,IF(AIL$25&gt;AIL40,AIL40,0)))))</f>
        <v>0</v>
      </c>
      <c r="AIN42" s="115">
        <f>IF(SUM($D$35:AIM35)=0,0,IF(IF(AIN41&gt;0,AIN41-(IF(SUM($D42:AIM42)&gt;0,0,IF(AIM$25&gt;AIM40,AIM40,0))),0)&lt;0,0,(IF(SUM($D42:AIM42)&gt;0,0,IF(AIM$25&gt;AIM40,AIM40,0)))))</f>
        <v>0</v>
      </c>
      <c r="AIO42" s="115">
        <f>IF(SUM($D$35:AIN35)=0,0,IF(IF(AIO41&gt;0,AIO41-(IF(SUM($D42:AIN42)&gt;0,0,IF(AIN$25&gt;AIN40,AIN40,0))),0)&lt;0,0,(IF(SUM($D42:AIN42)&gt;0,0,IF(AIN$25&gt;AIN40,AIN40,0)))))</f>
        <v>0</v>
      </c>
      <c r="AIP42" s="115">
        <f>IF(SUM($D$35:AIO35)=0,0,IF(IF(AIP41&gt;0,AIP41-(IF(SUM($D42:AIO42)&gt;0,0,IF(AIO$25&gt;AIO40,AIO40,0))),0)&lt;0,0,(IF(SUM($D42:AIO42)&gt;0,0,IF(AIO$25&gt;AIO40,AIO40,0)))))</f>
        <v>0</v>
      </c>
      <c r="AIQ42" s="115">
        <f>IF(SUM($D$35:AIP35)=0,0,IF(IF(AIQ41&gt;0,AIQ41-(IF(SUM($D42:AIP42)&gt;0,0,IF(AIP$25&gt;AIP40,AIP40,0))),0)&lt;0,0,(IF(SUM($D42:AIP42)&gt;0,0,IF(AIP$25&gt;AIP40,AIP40,0)))))</f>
        <v>0</v>
      </c>
      <c r="AIR42" s="115">
        <f>IF(SUM($D$35:AIQ35)=0,0,IF(IF(AIR41&gt;0,AIR41-(IF(SUM($D42:AIQ42)&gt;0,0,IF(AIQ$25&gt;AIQ40,AIQ40,0))),0)&lt;0,0,(IF(SUM($D42:AIQ42)&gt;0,0,IF(AIQ$25&gt;AIQ40,AIQ40,0)))))</f>
        <v>0</v>
      </c>
      <c r="AIS42" s="115">
        <f>IF(SUM($D$35:AIR35)=0,0,IF(IF(AIS41&gt;0,AIS41-(IF(SUM($D42:AIR42)&gt;0,0,IF(AIR$25&gt;AIR40,AIR40,0))),0)&lt;0,0,(IF(SUM($D42:AIR42)&gt;0,0,IF(AIR$25&gt;AIR40,AIR40,0)))))</f>
        <v>0</v>
      </c>
      <c r="AIT42" s="115">
        <f>IF(SUM($D$35:AIS35)=0,0,IF(IF(AIT41&gt;0,AIT41-(IF(SUM($D42:AIS42)&gt;0,0,IF(AIS$25&gt;AIS40,AIS40,0))),0)&lt;0,0,(IF(SUM($D42:AIS42)&gt;0,0,IF(AIS$25&gt;AIS40,AIS40,0)))))</f>
        <v>0</v>
      </c>
      <c r="AIU42" s="115">
        <f>IF(SUM($D$35:AIT35)=0,0,IF(IF(AIU41&gt;0,AIU41-(IF(SUM($D42:AIT42)&gt;0,0,IF(AIT$25&gt;AIT40,AIT40,0))),0)&lt;0,0,(IF(SUM($D42:AIT42)&gt;0,0,IF(AIT$25&gt;AIT40,AIT40,0)))))</f>
        <v>0</v>
      </c>
      <c r="AIV42" s="115">
        <f>IF(SUM($D$35:AIU35)=0,0,IF(IF(AIV41&gt;0,AIV41-(IF(SUM($D42:AIU42)&gt;0,0,IF(AIU$25&gt;AIU40,AIU40,0))),0)&lt;0,0,(IF(SUM($D42:AIU42)&gt;0,0,IF(AIU$25&gt;AIU40,AIU40,0)))))</f>
        <v>0</v>
      </c>
      <c r="AIW42" s="115">
        <f>IF(SUM($D$35:AIV35)=0,0,IF(IF(AIW41&gt;0,AIW41-(IF(SUM($D42:AIV42)&gt;0,0,IF(AIV$25&gt;AIV40,AIV40,0))),0)&lt;0,0,(IF(SUM($D42:AIV42)&gt;0,0,IF(AIV$25&gt;AIV40,AIV40,0)))))</f>
        <v>0</v>
      </c>
      <c r="AIX42" s="115">
        <f>IF(SUM($D$35:AIW35)=0,0,IF(IF(AIX41&gt;0,AIX41-(IF(SUM($D42:AIW42)&gt;0,0,IF(AIW$25&gt;AIW40,AIW40,0))),0)&lt;0,0,(IF(SUM($D42:AIW42)&gt;0,0,IF(AIW$25&gt;AIW40,AIW40,0)))))</f>
        <v>0</v>
      </c>
      <c r="AIY42" s="115">
        <f>IF(SUM($D$35:AIX35)=0,0,IF(IF(AIY41&gt;0,AIY41-(IF(SUM($D42:AIX42)&gt;0,0,IF(AIX$25&gt;AIX40,AIX40,0))),0)&lt;0,0,(IF(SUM($D42:AIX42)&gt;0,0,IF(AIX$25&gt;AIX40,AIX40,0)))))</f>
        <v>0</v>
      </c>
      <c r="AIZ42" s="115">
        <f>IF(SUM($D$35:AIY35)=0,0,IF(IF(AIZ41&gt;0,AIZ41-(IF(SUM($D42:AIY42)&gt;0,0,IF(AIY$25&gt;AIY40,AIY40,0))),0)&lt;0,0,(IF(SUM($D42:AIY42)&gt;0,0,IF(AIY$25&gt;AIY40,AIY40,0)))))</f>
        <v>0</v>
      </c>
      <c r="AJA42" s="115">
        <f>IF(SUM($D$35:AIZ35)=0,0,IF(IF(AJA41&gt;0,AJA41-(IF(SUM($D42:AIZ42)&gt;0,0,IF(AIZ$25&gt;AIZ40,AIZ40,0))),0)&lt;0,0,(IF(SUM($D42:AIZ42)&gt;0,0,IF(AIZ$25&gt;AIZ40,AIZ40,0)))))</f>
        <v>0</v>
      </c>
      <c r="AJB42" s="115">
        <f>IF(SUM($D$35:AJA35)=0,0,IF(IF(AJB41&gt;0,AJB41-(IF(SUM($D42:AJA42)&gt;0,0,IF(AJA$25&gt;AJA40,AJA40,0))),0)&lt;0,0,(IF(SUM($D42:AJA42)&gt;0,0,IF(AJA$25&gt;AJA40,AJA40,0)))))</f>
        <v>0</v>
      </c>
      <c r="AJC42" s="115">
        <f>IF(SUM($D$35:AJB35)=0,0,IF(IF(AJC41&gt;0,AJC41-(IF(SUM($D42:AJB42)&gt;0,0,IF(AJB$25&gt;AJB40,AJB40,0))),0)&lt;0,0,(IF(SUM($D42:AJB42)&gt;0,0,IF(AJB$25&gt;AJB40,AJB40,0)))))</f>
        <v>0</v>
      </c>
      <c r="AJD42" s="115">
        <f>IF(SUM($D$35:AJC35)=0,0,IF(IF(AJD41&gt;0,AJD41-(IF(SUM($D42:AJC42)&gt;0,0,IF(AJC$25&gt;AJC40,AJC40,0))),0)&lt;0,0,(IF(SUM($D42:AJC42)&gt;0,0,IF(AJC$25&gt;AJC40,AJC40,0)))))</f>
        <v>0</v>
      </c>
      <c r="AJE42" s="115">
        <f>IF(SUM($D$35:AJD35)=0,0,IF(IF(AJE41&gt;0,AJE41-(IF(SUM($D42:AJD42)&gt;0,0,IF(AJD$25&gt;AJD40,AJD40,0))),0)&lt;0,0,(IF(SUM($D42:AJD42)&gt;0,0,IF(AJD$25&gt;AJD40,AJD40,0)))))</f>
        <v>0</v>
      </c>
      <c r="AJF42" s="115">
        <f>IF(SUM($D$35:AJE35)=0,0,IF(IF(AJF41&gt;0,AJF41-(IF(SUM($D42:AJE42)&gt;0,0,IF(AJE$25&gt;AJE40,AJE40,0))),0)&lt;0,0,(IF(SUM($D42:AJE42)&gt;0,0,IF(AJE$25&gt;AJE40,AJE40,0)))))</f>
        <v>0</v>
      </c>
      <c r="AJG42" s="115">
        <f>IF(SUM($D$35:AJF35)=0,0,IF(IF(AJG41&gt;0,AJG41-(IF(SUM($D42:AJF42)&gt;0,0,IF(AJF$25&gt;AJF40,AJF40,0))),0)&lt;0,0,(IF(SUM($D42:AJF42)&gt;0,0,IF(AJF$25&gt;AJF40,AJF40,0)))))</f>
        <v>0</v>
      </c>
      <c r="AJH42" s="115">
        <f>IF(SUM($D$35:AJG35)=0,0,IF(IF(AJH41&gt;0,AJH41-(IF(SUM($D42:AJG42)&gt;0,0,IF(AJG$25&gt;AJG40,AJG40,0))),0)&lt;0,0,(IF(SUM($D42:AJG42)&gt;0,0,IF(AJG$25&gt;AJG40,AJG40,0)))))</f>
        <v>0</v>
      </c>
      <c r="AJI42" s="115">
        <f>IF(SUM($D$35:AJH35)=0,0,IF(IF(AJI41&gt;0,AJI41-(IF(SUM($D42:AJH42)&gt;0,0,IF(AJH$25&gt;AJH40,AJH40,0))),0)&lt;0,0,(IF(SUM($D42:AJH42)&gt;0,0,IF(AJH$25&gt;AJH40,AJH40,0)))))</f>
        <v>0</v>
      </c>
      <c r="AJJ42" s="115">
        <f>IF(SUM($D$35:AJI35)=0,0,IF(IF(AJJ41&gt;0,AJJ41-(IF(SUM($D42:AJI42)&gt;0,0,IF(AJI$25&gt;AJI40,AJI40,0))),0)&lt;0,0,(IF(SUM($D42:AJI42)&gt;0,0,IF(AJI$25&gt;AJI40,AJI40,0)))))</f>
        <v>0</v>
      </c>
      <c r="AJK42" s="115">
        <f>IF(SUM($D$35:AJJ35)=0,0,IF(IF(AJK41&gt;0,AJK41-(IF(SUM($D42:AJJ42)&gt;0,0,IF(AJJ$25&gt;AJJ40,AJJ40,0))),0)&lt;0,0,(IF(SUM($D42:AJJ42)&gt;0,0,IF(AJJ$25&gt;AJJ40,AJJ40,0)))))</f>
        <v>0</v>
      </c>
      <c r="AJL42" s="115">
        <f>IF(SUM($D$35:AJK35)=0,0,IF(IF(AJL41&gt;0,AJL41-(IF(SUM($D42:AJK42)&gt;0,0,IF(AJK$25&gt;AJK40,AJK40,0))),0)&lt;0,0,(IF(SUM($D42:AJK42)&gt;0,0,IF(AJK$25&gt;AJK40,AJK40,0)))))</f>
        <v>0</v>
      </c>
      <c r="AJM42" s="115">
        <f>IF(SUM($D$35:AJL35)=0,0,IF(IF(AJM41&gt;0,AJM41-(IF(SUM($D42:AJL42)&gt;0,0,IF(AJL$25&gt;AJL40,AJL40,0))),0)&lt;0,0,(IF(SUM($D42:AJL42)&gt;0,0,IF(AJL$25&gt;AJL40,AJL40,0)))))</f>
        <v>0</v>
      </c>
      <c r="AJN42" s="115">
        <f>IF(SUM($D$35:AJM35)=0,0,IF(IF(AJN41&gt;0,AJN41-(IF(SUM($D42:AJM42)&gt;0,0,IF(AJM$25&gt;AJM40,AJM40,0))),0)&lt;0,0,(IF(SUM($D42:AJM42)&gt;0,0,IF(AJM$25&gt;AJM40,AJM40,0)))))</f>
        <v>0</v>
      </c>
      <c r="AJO42" s="115">
        <f>IF(SUM($D$35:AJN35)=0,0,IF(IF(AJO41&gt;0,AJO41-(IF(SUM($D42:AJN42)&gt;0,0,IF(AJN$25&gt;AJN40,AJN40,0))),0)&lt;0,0,(IF(SUM($D42:AJN42)&gt;0,0,IF(AJN$25&gt;AJN40,AJN40,0)))))</f>
        <v>0</v>
      </c>
      <c r="AJP42" s="115">
        <f>IF(SUM($D$35:AJO35)=0,0,IF(IF(AJP41&gt;0,AJP41-(IF(SUM($D42:AJO42)&gt;0,0,IF(AJO$25&gt;AJO40,AJO40,0))),0)&lt;0,0,(IF(SUM($D42:AJO42)&gt;0,0,IF(AJO$25&gt;AJO40,AJO40,0)))))</f>
        <v>0</v>
      </c>
      <c r="AJQ42" s="115">
        <f>IF(SUM($D$35:AJP35)=0,0,IF(IF(AJQ41&gt;0,AJQ41-(IF(SUM($D42:AJP42)&gt;0,0,IF(AJP$25&gt;AJP40,AJP40,0))),0)&lt;0,0,(IF(SUM($D42:AJP42)&gt;0,0,IF(AJP$25&gt;AJP40,AJP40,0)))))</f>
        <v>0</v>
      </c>
      <c r="AJR42" s="115">
        <f>IF(SUM($D$35:AJQ35)=0,0,IF(IF(AJR41&gt;0,AJR41-(IF(SUM($D42:AJQ42)&gt;0,0,IF(AJQ$25&gt;AJQ40,AJQ40,0))),0)&lt;0,0,(IF(SUM($D42:AJQ42)&gt;0,0,IF(AJQ$25&gt;AJQ40,AJQ40,0)))))</f>
        <v>0</v>
      </c>
      <c r="AJS42" s="115">
        <f>IF(SUM($D$35:AJR35)=0,0,IF(IF(AJS41&gt;0,AJS41-(IF(SUM($D42:AJR42)&gt;0,0,IF(AJR$25&gt;AJR40,AJR40,0))),0)&lt;0,0,(IF(SUM($D42:AJR42)&gt;0,0,IF(AJR$25&gt;AJR40,AJR40,0)))))</f>
        <v>0</v>
      </c>
      <c r="AJT42" s="115">
        <f>IF(SUM($D$35:AJS35)=0,0,IF(IF(AJT41&gt;0,AJT41-(IF(SUM($D42:AJS42)&gt;0,0,IF(AJS$25&gt;AJS40,AJS40,0))),0)&lt;0,0,(IF(SUM($D42:AJS42)&gt;0,0,IF(AJS$25&gt;AJS40,AJS40,0)))))</f>
        <v>0</v>
      </c>
      <c r="AJU42" s="115">
        <f>IF(SUM($D$35:AJT35)=0,0,IF(IF(AJU41&gt;0,AJU41-(IF(SUM($D42:AJT42)&gt;0,0,IF(AJT$25&gt;AJT40,AJT40,0))),0)&lt;0,0,(IF(SUM($D42:AJT42)&gt;0,0,IF(AJT$25&gt;AJT40,AJT40,0)))))</f>
        <v>0</v>
      </c>
      <c r="AJV42" s="115">
        <f>IF(SUM($D$35:AJU35)=0,0,IF(IF(AJV41&gt;0,AJV41-(IF(SUM($D42:AJU42)&gt;0,0,IF(AJU$25&gt;AJU40,AJU40,0))),0)&lt;0,0,(IF(SUM($D42:AJU42)&gt;0,0,IF(AJU$25&gt;AJU40,AJU40,0)))))</f>
        <v>0</v>
      </c>
      <c r="AJW42" s="115">
        <f>IF(SUM($D$35:AJV35)=0,0,IF(IF(AJW41&gt;0,AJW41-(IF(SUM($D42:AJV42)&gt;0,0,IF(AJV$25&gt;AJV40,AJV40,0))),0)&lt;0,0,(IF(SUM($D42:AJV42)&gt;0,0,IF(AJV$25&gt;AJV40,AJV40,0)))))</f>
        <v>0</v>
      </c>
      <c r="AJX42" s="115">
        <f>IF(SUM($D$35:AJW35)=0,0,IF(IF(AJX41&gt;0,AJX41-(IF(SUM($D42:AJW42)&gt;0,0,IF(AJW$25&gt;AJW40,AJW40,0))),0)&lt;0,0,(IF(SUM($D42:AJW42)&gt;0,0,IF(AJW$25&gt;AJW40,AJW40,0)))))</f>
        <v>0</v>
      </c>
      <c r="AJY42" s="115">
        <f>IF(SUM($D$35:AJX35)=0,0,IF(IF(AJY41&gt;0,AJY41-(IF(SUM($D42:AJX42)&gt;0,0,IF(AJX$25&gt;AJX40,AJX40,0))),0)&lt;0,0,(IF(SUM($D42:AJX42)&gt;0,0,IF(AJX$25&gt;AJX40,AJX40,0)))))</f>
        <v>0</v>
      </c>
      <c r="AJZ42" s="115">
        <f>IF(SUM($D$35:AJY35)=0,0,IF(IF(AJZ41&gt;0,AJZ41-(IF(SUM($D42:AJY42)&gt;0,0,IF(AJY$25&gt;AJY40,AJY40,0))),0)&lt;0,0,(IF(SUM($D42:AJY42)&gt;0,0,IF(AJY$25&gt;AJY40,AJY40,0)))))</f>
        <v>0</v>
      </c>
      <c r="AKA42" s="115">
        <f>IF(SUM($D$35:AJZ35)=0,0,IF(IF(AKA41&gt;0,AKA41-(IF(SUM($D42:AJZ42)&gt;0,0,IF(AJZ$25&gt;AJZ40,AJZ40,0))),0)&lt;0,0,(IF(SUM($D42:AJZ42)&gt;0,0,IF(AJZ$25&gt;AJZ40,AJZ40,0)))))</f>
        <v>0</v>
      </c>
      <c r="AKB42" s="115">
        <f>IF(SUM($D$35:AKA35)=0,0,IF(IF(AKB41&gt;0,AKB41-(IF(SUM($D42:AKA42)&gt;0,0,IF(AKA$25&gt;AKA40,AKA40,0))),0)&lt;0,0,(IF(SUM($D42:AKA42)&gt;0,0,IF(AKA$25&gt;AKA40,AKA40,0)))))</f>
        <v>0</v>
      </c>
      <c r="AKC42" s="115">
        <f>IF(SUM($D$35:AKB35)=0,0,IF(IF(AKC41&gt;0,AKC41-(IF(SUM($D42:AKB42)&gt;0,0,IF(AKB$25&gt;AKB40,AKB40,0))),0)&lt;0,0,(IF(SUM($D42:AKB42)&gt;0,0,IF(AKB$25&gt;AKB40,AKB40,0)))))</f>
        <v>0</v>
      </c>
      <c r="AKD42" s="115">
        <f>IF(SUM($D$35:AKC35)=0,0,IF(IF(AKD41&gt;0,AKD41-(IF(SUM($D42:AKC42)&gt;0,0,IF(AKC$25&gt;AKC40,AKC40,0))),0)&lt;0,0,(IF(SUM($D42:AKC42)&gt;0,0,IF(AKC$25&gt;AKC40,AKC40,0)))))</f>
        <v>0</v>
      </c>
      <c r="AKE42" s="115">
        <f>IF(SUM($D$35:AKD35)=0,0,IF(IF(AKE41&gt;0,AKE41-(IF(SUM($D42:AKD42)&gt;0,0,IF(AKD$25&gt;AKD40,AKD40,0))),0)&lt;0,0,(IF(SUM($D42:AKD42)&gt;0,0,IF(AKD$25&gt;AKD40,AKD40,0)))))</f>
        <v>0</v>
      </c>
      <c r="AKF42" s="115">
        <f>IF(SUM($D$35:AKE35)=0,0,IF(IF(AKF41&gt;0,AKF41-(IF(SUM($D42:AKE42)&gt;0,0,IF(AKE$25&gt;AKE40,AKE40,0))),0)&lt;0,0,(IF(SUM($D42:AKE42)&gt;0,0,IF(AKE$25&gt;AKE40,AKE40,0)))))</f>
        <v>0</v>
      </c>
      <c r="AKG42" s="115">
        <f>IF(SUM($D$35:AKF35)=0,0,IF(IF(AKG41&gt;0,AKG41-(IF(SUM($D42:AKF42)&gt;0,0,IF(AKF$25&gt;AKF40,AKF40,0))),0)&lt;0,0,(IF(SUM($D42:AKF42)&gt;0,0,IF(AKF$25&gt;AKF40,AKF40,0)))))</f>
        <v>0</v>
      </c>
      <c r="AKH42" s="115">
        <f>IF(SUM($D$35:AKG35)=0,0,IF(IF(AKH41&gt;0,AKH41-(IF(SUM($D42:AKG42)&gt;0,0,IF(AKG$25&gt;AKG40,AKG40,0))),0)&lt;0,0,(IF(SUM($D42:AKG42)&gt;0,0,IF(AKG$25&gt;AKG40,AKG40,0)))))</f>
        <v>0</v>
      </c>
      <c r="AKI42" s="115">
        <f>IF(SUM($D$35:AKH35)=0,0,IF(IF(AKI41&gt;0,AKI41-(IF(SUM($D42:AKH42)&gt;0,0,IF(AKH$25&gt;AKH40,AKH40,0))),0)&lt;0,0,(IF(SUM($D42:AKH42)&gt;0,0,IF(AKH$25&gt;AKH40,AKH40,0)))))</f>
        <v>0</v>
      </c>
      <c r="AKJ42" s="115">
        <f>IF(SUM($D$35:AKI35)=0,0,IF(IF(AKJ41&gt;0,AKJ41-(IF(SUM($D42:AKI42)&gt;0,0,IF(AKI$25&gt;AKI40,AKI40,0))),0)&lt;0,0,(IF(SUM($D42:AKI42)&gt;0,0,IF(AKI$25&gt;AKI40,AKI40,0)))))</f>
        <v>0</v>
      </c>
      <c r="AKK42" s="115">
        <f>IF(SUM($D$35:AKJ35)=0,0,IF(IF(AKK41&gt;0,AKK41-(IF(SUM($D42:AKJ42)&gt;0,0,IF(AKJ$25&gt;AKJ40,AKJ40,0))),0)&lt;0,0,(IF(SUM($D42:AKJ42)&gt;0,0,IF(AKJ$25&gt;AKJ40,AKJ40,0)))))</f>
        <v>0</v>
      </c>
      <c r="AKL42" s="115">
        <f>IF(SUM($D$35:AKK35)=0,0,IF(IF(AKL41&gt;0,AKL41-(IF(SUM($D42:AKK42)&gt;0,0,IF(AKK$25&gt;AKK40,AKK40,0))),0)&lt;0,0,(IF(SUM($D42:AKK42)&gt;0,0,IF(AKK$25&gt;AKK40,AKK40,0)))))</f>
        <v>0</v>
      </c>
      <c r="AKM42" s="115">
        <f>IF(SUM($D$35:AKL35)=0,0,IF(IF(AKM41&gt;0,AKM41-(IF(SUM($D42:AKL42)&gt;0,0,IF(AKL$25&gt;AKL40,AKL40,0))),0)&lt;0,0,(IF(SUM($D42:AKL42)&gt;0,0,IF(AKL$25&gt;AKL40,AKL40,0)))))</f>
        <v>0</v>
      </c>
      <c r="AKN42" s="115">
        <f>IF(SUM($D$35:AKM35)=0,0,IF(IF(AKN41&gt;0,AKN41-(IF(SUM($D42:AKM42)&gt;0,0,IF(AKM$25&gt;AKM40,AKM40,0))),0)&lt;0,0,(IF(SUM($D42:AKM42)&gt;0,0,IF(AKM$25&gt;AKM40,AKM40,0)))))</f>
        <v>0</v>
      </c>
      <c r="AKO42" s="115">
        <f>IF(SUM($D$35:AKN35)=0,0,IF(IF(AKO41&gt;0,AKO41-(IF(SUM($D42:AKN42)&gt;0,0,IF(AKN$25&gt;AKN40,AKN40,0))),0)&lt;0,0,(IF(SUM($D42:AKN42)&gt;0,0,IF(AKN$25&gt;AKN40,AKN40,0)))))</f>
        <v>0</v>
      </c>
      <c r="AKP42" s="115">
        <f>IF(SUM($D$35:AKO35)=0,0,IF(IF(AKP41&gt;0,AKP41-(IF(SUM($D42:AKO42)&gt;0,0,IF(AKO$25&gt;AKO40,AKO40,0))),0)&lt;0,0,(IF(SUM($D42:AKO42)&gt;0,0,IF(AKO$25&gt;AKO40,AKO40,0)))))</f>
        <v>0</v>
      </c>
      <c r="AKQ42" s="115">
        <f>IF(SUM($D$35:AKP35)=0,0,IF(IF(AKQ41&gt;0,AKQ41-(IF(SUM($D42:AKP42)&gt;0,0,IF(AKP$25&gt;AKP40,AKP40,0))),0)&lt;0,0,(IF(SUM($D42:AKP42)&gt;0,0,IF(AKP$25&gt;AKP40,AKP40,0)))))</f>
        <v>0</v>
      </c>
      <c r="AKR42" s="115">
        <f>IF(SUM($D$35:AKQ35)=0,0,IF(IF(AKR41&gt;0,AKR41-(IF(SUM($D42:AKQ42)&gt;0,0,IF(AKQ$25&gt;AKQ40,AKQ40,0))),0)&lt;0,0,(IF(SUM($D42:AKQ42)&gt;0,0,IF(AKQ$25&gt;AKQ40,AKQ40,0)))))</f>
        <v>0</v>
      </c>
      <c r="AKS42" s="115">
        <f>IF(SUM($D$35:AKR35)=0,0,IF(IF(AKS41&gt;0,AKS41-(IF(SUM($D42:AKR42)&gt;0,0,IF(AKR$25&gt;AKR40,AKR40,0))),0)&lt;0,0,(IF(SUM($D42:AKR42)&gt;0,0,IF(AKR$25&gt;AKR40,AKR40,0)))))</f>
        <v>0</v>
      </c>
      <c r="AKT42" s="115">
        <f>IF(SUM($D$35:AKS35)=0,0,IF(IF(AKT41&gt;0,AKT41-(IF(SUM($D42:AKS42)&gt;0,0,IF(AKS$25&gt;AKS40,AKS40,0))),0)&lt;0,0,(IF(SUM($D42:AKS42)&gt;0,0,IF(AKS$25&gt;AKS40,AKS40,0)))))</f>
        <v>0</v>
      </c>
      <c r="AKU42" s="115">
        <f>IF(SUM($D$35:AKT35)=0,0,IF(IF(AKU41&gt;0,AKU41-(IF(SUM($D42:AKT42)&gt;0,0,IF(AKT$25&gt;AKT40,AKT40,0))),0)&lt;0,0,(IF(SUM($D42:AKT42)&gt;0,0,IF(AKT$25&gt;AKT40,AKT40,0)))))</f>
        <v>0</v>
      </c>
      <c r="AKV42" s="115">
        <f>IF(SUM($D$35:AKU35)=0,0,IF(IF(AKV41&gt;0,AKV41-(IF(SUM($D42:AKU42)&gt;0,0,IF(AKU$25&gt;AKU40,AKU40,0))),0)&lt;0,0,(IF(SUM($D42:AKU42)&gt;0,0,IF(AKU$25&gt;AKU40,AKU40,0)))))</f>
        <v>0</v>
      </c>
      <c r="AKW42" s="115">
        <f>IF(SUM($D$35:AKV35)=0,0,IF(IF(AKW41&gt;0,AKW41-(IF(SUM($D42:AKV42)&gt;0,0,IF(AKV$25&gt;AKV40,AKV40,0))),0)&lt;0,0,(IF(SUM($D42:AKV42)&gt;0,0,IF(AKV$25&gt;AKV40,AKV40,0)))))</f>
        <v>0</v>
      </c>
      <c r="AKX42" s="115">
        <f>IF(SUM($D$35:AKW35)=0,0,IF(IF(AKX41&gt;0,AKX41-(IF(SUM($D42:AKW42)&gt;0,0,IF(AKW$25&gt;AKW40,AKW40,0))),0)&lt;0,0,(IF(SUM($D42:AKW42)&gt;0,0,IF(AKW$25&gt;AKW40,AKW40,0)))))</f>
        <v>0</v>
      </c>
      <c r="AKY42" s="115">
        <f>IF(SUM($D$35:AKX35)=0,0,IF(IF(AKY41&gt;0,AKY41-(IF(SUM($D42:AKX42)&gt;0,0,IF(AKX$25&gt;AKX40,AKX40,0))),0)&lt;0,0,(IF(SUM($D42:AKX42)&gt;0,0,IF(AKX$25&gt;AKX40,AKX40,0)))))</f>
        <v>0</v>
      </c>
      <c r="AKZ42" s="115">
        <f>IF(SUM($D$35:AKY35)=0,0,IF(IF(AKZ41&gt;0,AKZ41-(IF(SUM($D42:AKY42)&gt;0,0,IF(AKY$25&gt;AKY40,AKY40,0))),0)&lt;0,0,(IF(SUM($D42:AKY42)&gt;0,0,IF(AKY$25&gt;AKY40,AKY40,0)))))</f>
        <v>0</v>
      </c>
      <c r="ALA42" s="115">
        <f>IF(SUM($D$35:AKZ35)=0,0,IF(IF(ALA41&gt;0,ALA41-(IF(SUM($D42:AKZ42)&gt;0,0,IF(AKZ$25&gt;AKZ40,AKZ40,0))),0)&lt;0,0,(IF(SUM($D42:AKZ42)&gt;0,0,IF(AKZ$25&gt;AKZ40,AKZ40,0)))))</f>
        <v>0</v>
      </c>
      <c r="ALB42" s="115">
        <f>IF(SUM($D$35:ALA35)=0,0,IF(IF(ALB41&gt;0,ALB41-(IF(SUM($D42:ALA42)&gt;0,0,IF(ALA$25&gt;ALA40,ALA40,0))),0)&lt;0,0,(IF(SUM($D42:ALA42)&gt;0,0,IF(ALA$25&gt;ALA40,ALA40,0)))))</f>
        <v>0</v>
      </c>
      <c r="ALC42" s="115">
        <f>IF(SUM($D$35:ALB35)=0,0,IF(IF(ALC41&gt;0,ALC41-(IF(SUM($D42:ALB42)&gt;0,0,IF(ALB$25&gt;ALB40,ALB40,0))),0)&lt;0,0,(IF(SUM($D42:ALB42)&gt;0,0,IF(ALB$25&gt;ALB40,ALB40,0)))))</f>
        <v>0</v>
      </c>
      <c r="ALD42" s="115">
        <f>IF(SUM($D$35:ALC35)=0,0,IF(IF(ALD41&gt;0,ALD41-(IF(SUM($D42:ALC42)&gt;0,0,IF(ALC$25&gt;ALC40,ALC40,0))),0)&lt;0,0,(IF(SUM($D42:ALC42)&gt;0,0,IF(ALC$25&gt;ALC40,ALC40,0)))))</f>
        <v>0</v>
      </c>
      <c r="ALE42" s="115">
        <f>IF(SUM($D$35:ALD35)=0,0,IF(IF(ALE41&gt;0,ALE41-(IF(SUM($D42:ALD42)&gt;0,0,IF(ALD$25&gt;ALD40,ALD40,0))),0)&lt;0,0,(IF(SUM($D42:ALD42)&gt;0,0,IF(ALD$25&gt;ALD40,ALD40,0)))))</f>
        <v>0</v>
      </c>
      <c r="ALF42" s="115">
        <f>IF(SUM($D$35:ALE35)=0,0,IF(IF(ALF41&gt;0,ALF41-(IF(SUM($D42:ALE42)&gt;0,0,IF(ALE$25&gt;ALE40,ALE40,0))),0)&lt;0,0,(IF(SUM($D42:ALE42)&gt;0,0,IF(ALE$25&gt;ALE40,ALE40,0)))))</f>
        <v>0</v>
      </c>
      <c r="ALG42" s="115">
        <f>IF(SUM($D$35:ALF35)=0,0,IF(IF(ALG41&gt;0,ALG41-(IF(SUM($D42:ALF42)&gt;0,0,IF(ALF$25&gt;ALF40,ALF40,0))),0)&lt;0,0,(IF(SUM($D42:ALF42)&gt;0,0,IF(ALF$25&gt;ALF40,ALF40,0)))))</f>
        <v>0</v>
      </c>
      <c r="ALH42" s="115">
        <f>IF(SUM($D$35:ALG35)=0,0,IF(IF(ALH41&gt;0,ALH41-(IF(SUM($D42:ALG42)&gt;0,0,IF(ALG$25&gt;ALG40,ALG40,0))),0)&lt;0,0,(IF(SUM($D42:ALG42)&gt;0,0,IF(ALG$25&gt;ALG40,ALG40,0)))))</f>
        <v>0</v>
      </c>
      <c r="ALI42" s="115">
        <f>IF(SUM($D$35:ALH35)=0,0,IF(IF(ALI41&gt;0,ALI41-(IF(SUM($D42:ALH42)&gt;0,0,IF(ALH$25&gt;ALH40,ALH40,0))),0)&lt;0,0,(IF(SUM($D42:ALH42)&gt;0,0,IF(ALH$25&gt;ALH40,ALH40,0)))))</f>
        <v>0</v>
      </c>
      <c r="ALJ42" s="115">
        <f>IF(SUM($D$35:ALI35)=0,0,IF(IF(ALJ41&gt;0,ALJ41-(IF(SUM($D42:ALI42)&gt;0,0,IF(ALI$25&gt;ALI40,ALI40,0))),0)&lt;0,0,(IF(SUM($D42:ALI42)&gt;0,0,IF(ALI$25&gt;ALI40,ALI40,0)))))</f>
        <v>0</v>
      </c>
      <c r="ALK42" s="115">
        <f>IF(SUM($D$35:ALJ35)=0,0,IF(IF(ALK41&gt;0,ALK41-(IF(SUM($D42:ALJ42)&gt;0,0,IF(ALJ$25&gt;ALJ40,ALJ40,0))),0)&lt;0,0,(IF(SUM($D42:ALJ42)&gt;0,0,IF(ALJ$25&gt;ALJ40,ALJ40,0)))))</f>
        <v>0</v>
      </c>
      <c r="ALL42" s="115">
        <f>IF(SUM($D$35:ALK35)=0,0,IF(IF(ALL41&gt;0,ALL41-(IF(SUM($D42:ALK42)&gt;0,0,IF(ALK$25&gt;ALK40,ALK40,0))),0)&lt;0,0,(IF(SUM($D42:ALK42)&gt;0,0,IF(ALK$25&gt;ALK40,ALK40,0)))))</f>
        <v>0</v>
      </c>
      <c r="ALM42" s="115">
        <f>IF(SUM($D$35:ALL35)=0,0,IF(IF(ALM41&gt;0,ALM41-(IF(SUM($D42:ALL42)&gt;0,0,IF(ALL$25&gt;ALL40,ALL40,0))),0)&lt;0,0,(IF(SUM($D42:ALL42)&gt;0,0,IF(ALL$25&gt;ALL40,ALL40,0)))))</f>
        <v>0</v>
      </c>
      <c r="ALN42" s="115">
        <f>IF(SUM($D$35:ALM35)=0,0,IF(IF(ALN41&gt;0,ALN41-(IF(SUM($D42:ALM42)&gt;0,0,IF(ALM$25&gt;ALM40,ALM40,0))),0)&lt;0,0,(IF(SUM($D42:ALM42)&gt;0,0,IF(ALM$25&gt;ALM40,ALM40,0)))))</f>
        <v>0</v>
      </c>
      <c r="ALO42" s="115">
        <f>IF(SUM($D$35:ALN35)=0,0,IF(IF(ALO41&gt;0,ALO41-(IF(SUM($D42:ALN42)&gt;0,0,IF(ALN$25&gt;ALN40,ALN40,0))),0)&lt;0,0,(IF(SUM($D42:ALN42)&gt;0,0,IF(ALN$25&gt;ALN40,ALN40,0)))))</f>
        <v>0</v>
      </c>
      <c r="ALP42" s="115">
        <f>IF(SUM($D$35:ALO35)=0,0,IF(IF(ALP41&gt;0,ALP41-(IF(SUM($D42:ALO42)&gt;0,0,IF(ALO$25&gt;ALO40,ALO40,0))),0)&lt;0,0,(IF(SUM($D42:ALO42)&gt;0,0,IF(ALO$25&gt;ALO40,ALO40,0)))))</f>
        <v>0</v>
      </c>
      <c r="ALQ42" s="115">
        <f>IF(SUM($D$35:ALP35)=0,0,IF(IF(ALQ41&gt;0,ALQ41-(IF(SUM($D42:ALP42)&gt;0,0,IF(ALP$25&gt;ALP40,ALP40,0))),0)&lt;0,0,(IF(SUM($D42:ALP42)&gt;0,0,IF(ALP$25&gt;ALP40,ALP40,0)))))</f>
        <v>0</v>
      </c>
      <c r="ALR42" s="115">
        <f>IF(SUM($D$35:ALQ35)=0,0,IF(IF(ALR41&gt;0,ALR41-(IF(SUM($D42:ALQ42)&gt;0,0,IF(ALQ$25&gt;ALQ40,ALQ40,0))),0)&lt;0,0,(IF(SUM($D42:ALQ42)&gt;0,0,IF(ALQ$25&gt;ALQ40,ALQ40,0)))))</f>
        <v>0</v>
      </c>
      <c r="ALS42" s="115">
        <f>IF(SUM($D$35:ALR35)=0,0,IF(IF(ALS41&gt;0,ALS41-(IF(SUM($D42:ALR42)&gt;0,0,IF(ALR$25&gt;ALR40,ALR40,0))),0)&lt;0,0,(IF(SUM($D42:ALR42)&gt;0,0,IF(ALR$25&gt;ALR40,ALR40,0)))))</f>
        <v>0</v>
      </c>
      <c r="ALT42" s="115">
        <f>IF(SUM($D$35:ALS35)=0,0,IF(IF(ALT41&gt;0,ALT41-(IF(SUM($D42:ALS42)&gt;0,0,IF(ALS$25&gt;ALS40,ALS40,0))),0)&lt;0,0,(IF(SUM($D42:ALS42)&gt;0,0,IF(ALS$25&gt;ALS40,ALS40,0)))))</f>
        <v>0</v>
      </c>
      <c r="ALU42" s="115">
        <f>IF(SUM($D$35:ALT35)=0,0,IF(IF(ALU41&gt;0,ALU41-(IF(SUM($D42:ALT42)&gt;0,0,IF(ALT$25&gt;ALT40,ALT40,0))),0)&lt;0,0,(IF(SUM($D42:ALT42)&gt;0,0,IF(ALT$25&gt;ALT40,ALT40,0)))))</f>
        <v>0</v>
      </c>
      <c r="ALV42" s="115">
        <f>IF(SUM($D$35:ALU35)=0,0,IF(IF(ALV41&gt;0,ALV41-(IF(SUM($D42:ALU42)&gt;0,0,IF(ALU$25&gt;ALU40,ALU40,0))),0)&lt;0,0,(IF(SUM($D42:ALU42)&gt;0,0,IF(ALU$25&gt;ALU40,ALU40,0)))))</f>
        <v>0</v>
      </c>
      <c r="ALW42" s="115">
        <f>IF(SUM($D$35:ALV35)=0,0,IF(IF(ALW41&gt;0,ALW41-(IF(SUM($D42:ALV42)&gt;0,0,IF(ALV$25&gt;ALV40,ALV40,0))),0)&lt;0,0,(IF(SUM($D42:ALV42)&gt;0,0,IF(ALV$25&gt;ALV40,ALV40,0)))))</f>
        <v>0</v>
      </c>
      <c r="ALX42" s="115">
        <f>IF(SUM($D$35:ALW35)=0,0,IF(IF(ALX41&gt;0,ALX41-(IF(SUM($D42:ALW42)&gt;0,0,IF(ALW$25&gt;ALW40,ALW40,0))),0)&lt;0,0,(IF(SUM($D42:ALW42)&gt;0,0,IF(ALW$25&gt;ALW40,ALW40,0)))))</f>
        <v>0</v>
      </c>
      <c r="ALY42" s="115">
        <f>IF(SUM($D$35:ALX35)=0,0,IF(IF(ALY41&gt;0,ALY41-(IF(SUM($D42:ALX42)&gt;0,0,IF(ALX$25&gt;ALX40,ALX40,0))),0)&lt;0,0,(IF(SUM($D42:ALX42)&gt;0,0,IF(ALX$25&gt;ALX40,ALX40,0)))))</f>
        <v>0</v>
      </c>
      <c r="ALZ42" s="115">
        <f>IF(SUM($D$35:ALY35)=0,0,IF(IF(ALZ41&gt;0,ALZ41-(IF(SUM($D42:ALY42)&gt;0,0,IF(ALY$25&gt;ALY40,ALY40,0))),0)&lt;0,0,(IF(SUM($D42:ALY42)&gt;0,0,IF(ALY$25&gt;ALY40,ALY40,0)))))</f>
        <v>0</v>
      </c>
      <c r="AMA42" s="115">
        <f>IF(SUM($D$35:ALZ35)=0,0,IF(IF(AMA41&gt;0,AMA41-(IF(SUM($D42:ALZ42)&gt;0,0,IF(ALZ$25&gt;ALZ40,ALZ40,0))),0)&lt;0,0,(IF(SUM($D42:ALZ42)&gt;0,0,IF(ALZ$25&gt;ALZ40,ALZ40,0)))))</f>
        <v>0</v>
      </c>
      <c r="AMB42" s="115">
        <f>IF(SUM($D$35:AMA35)=0,0,IF(IF(AMB41&gt;0,AMB41-(IF(SUM($D42:AMA42)&gt;0,0,IF(AMA$25&gt;AMA40,AMA40,0))),0)&lt;0,0,(IF(SUM($D42:AMA42)&gt;0,0,IF(AMA$25&gt;AMA40,AMA40,0)))))</f>
        <v>0</v>
      </c>
      <c r="AMC42" s="115">
        <f>IF(SUM($D$35:AMB35)=0,0,IF(IF(AMC41&gt;0,AMC41-(IF(SUM($D42:AMB42)&gt;0,0,IF(AMB$25&gt;AMB40,AMB40,0))),0)&lt;0,0,(IF(SUM($D42:AMB42)&gt;0,0,IF(AMB$25&gt;AMB40,AMB40,0)))))</f>
        <v>0</v>
      </c>
      <c r="AMD42" s="115">
        <f>IF(SUM($D$35:AMC35)=0,0,IF(IF(AMD41&gt;0,AMD41-(IF(SUM($D42:AMC42)&gt;0,0,IF(AMC$25&gt;AMC40,AMC40,0))),0)&lt;0,0,(IF(SUM($D42:AMC42)&gt;0,0,IF(AMC$25&gt;AMC40,AMC40,0)))))</f>
        <v>0</v>
      </c>
      <c r="AME42" s="115">
        <f>IF(SUM($D$35:AMD35)=0,0,IF(IF(AME41&gt;0,AME41-(IF(SUM($D42:AMD42)&gt;0,0,IF(AMD$25&gt;AMD40,AMD40,0))),0)&lt;0,0,(IF(SUM($D42:AMD42)&gt;0,0,IF(AMD$25&gt;AMD40,AMD40,0)))))</f>
        <v>0</v>
      </c>
      <c r="AMF42" s="115">
        <f>IF(SUM($D$35:AME35)=0,0,IF(IF(AMF41&gt;0,AMF41-(IF(SUM($D42:AME42)&gt;0,0,IF(AME$25&gt;AME40,AME40,0))),0)&lt;0,0,(IF(SUM($D42:AME42)&gt;0,0,IF(AME$25&gt;AME40,AME40,0)))))</f>
        <v>0</v>
      </c>
      <c r="AMG42" s="115">
        <f>IF(SUM($D$35:AMF35)=0,0,IF(IF(AMG41&gt;0,AMG41-(IF(SUM($D42:AMF42)&gt;0,0,IF(AMF$25&gt;AMF40,AMF40,0))),0)&lt;0,0,(IF(SUM($D42:AMF42)&gt;0,0,IF(AMF$25&gt;AMF40,AMF40,0)))))</f>
        <v>0</v>
      </c>
      <c r="AMH42" s="115">
        <f>IF(SUM($D$35:AMG35)=0,0,IF(IF(AMH41&gt;0,AMH41-(IF(SUM($D42:AMG42)&gt;0,0,IF(AMG$25&gt;AMG40,AMG40,0))),0)&lt;0,0,(IF(SUM($D42:AMG42)&gt;0,0,IF(AMG$25&gt;AMG40,AMG40,0)))))</f>
        <v>0</v>
      </c>
      <c r="AMI42" s="115">
        <f>IF(SUM($D$35:AMH35)=0,0,IF(IF(AMI41&gt;0,AMI41-(IF(SUM($D42:AMH42)&gt;0,0,IF(AMH$25&gt;AMH40,AMH40,0))),0)&lt;0,0,(IF(SUM($D42:AMH42)&gt;0,0,IF(AMH$25&gt;AMH40,AMH40,0)))))</f>
        <v>0</v>
      </c>
      <c r="AMJ42" s="115">
        <f>IF(SUM($D$35:AMI35)=0,0,IF(IF(AMJ41&gt;0,AMJ41-(IF(SUM($D42:AMI42)&gt;0,0,IF(AMI$25&gt;AMI40,AMI40,0))),0)&lt;0,0,(IF(SUM($D42:AMI42)&gt;0,0,IF(AMI$25&gt;AMI40,AMI40,0)))))</f>
        <v>0</v>
      </c>
      <c r="AMK42" s="115">
        <f>IF(SUM($D$35:AMJ35)=0,0,IF(IF(AMK41&gt;0,AMK41-(IF(SUM($D42:AMJ42)&gt;0,0,IF(AMJ$25&gt;AMJ40,AMJ40,0))),0)&lt;0,0,(IF(SUM($D42:AMJ42)&gt;0,0,IF(AMJ$25&gt;AMJ40,AMJ40,0)))))</f>
        <v>0</v>
      </c>
      <c r="AML42" s="115">
        <f>IF(SUM($D$35:AMK35)=0,0,IF(IF(AML41&gt;0,AML41-(IF(SUM($D42:AMK42)&gt;0,0,IF(AMK$25&gt;AMK40,AMK40,0))),0)&lt;0,0,(IF(SUM($D42:AMK42)&gt;0,0,IF(AMK$25&gt;AMK40,AMK40,0)))))</f>
        <v>0</v>
      </c>
      <c r="AMM42" s="115">
        <f>IF(SUM($D$35:AML35)=0,0,IF(IF(AMM41&gt;0,AMM41-(IF(SUM($D42:AML42)&gt;0,0,IF(AML$25&gt;AML40,AML40,0))),0)&lt;0,0,(IF(SUM($D42:AML42)&gt;0,0,IF(AML$25&gt;AML40,AML40,0)))))</f>
        <v>0</v>
      </c>
      <c r="AMN42" s="115">
        <f>IF(SUM($D$35:AMM35)=0,0,IF(IF(AMN41&gt;0,AMN41-(IF(SUM($D42:AMM42)&gt;0,0,IF(AMM$25&gt;AMM40,AMM40,0))),0)&lt;0,0,(IF(SUM($D42:AMM42)&gt;0,0,IF(AMM$25&gt;AMM40,AMM40,0)))))</f>
        <v>0</v>
      </c>
      <c r="AMO42" s="115">
        <f>IF(SUM($D$35:AMN35)=0,0,IF(IF(AMO41&gt;0,AMO41-(IF(SUM($D42:AMN42)&gt;0,0,IF(AMN$25&gt;AMN40,AMN40,0))),0)&lt;0,0,(IF(SUM($D42:AMN42)&gt;0,0,IF(AMN$25&gt;AMN40,AMN40,0)))))</f>
        <v>0</v>
      </c>
      <c r="AMP42" s="115">
        <f>IF(SUM($D$35:AMO35)=0,0,IF(IF(AMP41&gt;0,AMP41-(IF(SUM($D42:AMO42)&gt;0,0,IF(AMO$25&gt;AMO40,AMO40,0))),0)&lt;0,0,(IF(SUM($D42:AMO42)&gt;0,0,IF(AMO$25&gt;AMO40,AMO40,0)))))</f>
        <v>0</v>
      </c>
      <c r="AMQ42" s="115">
        <f>IF(SUM($D$35:AMP35)=0,0,IF(IF(AMQ41&gt;0,AMQ41-(IF(SUM($D42:AMP42)&gt;0,0,IF(AMP$25&gt;AMP40,AMP40,0))),0)&lt;0,0,(IF(SUM($D42:AMP42)&gt;0,0,IF(AMP$25&gt;AMP40,AMP40,0)))))</f>
        <v>0</v>
      </c>
      <c r="AMR42" s="115">
        <f>IF(SUM($D$35:AMQ35)=0,0,IF(IF(AMR41&gt;0,AMR41-(IF(SUM($D42:AMQ42)&gt;0,0,IF(AMQ$25&gt;AMQ40,AMQ40,0))),0)&lt;0,0,(IF(SUM($D42:AMQ42)&gt;0,0,IF(AMQ$25&gt;AMQ40,AMQ40,0)))))</f>
        <v>0</v>
      </c>
      <c r="AMS42" s="115">
        <f>IF(SUM($D$35:AMR35)=0,0,IF(IF(AMS41&gt;0,AMS41-(IF(SUM($D42:AMR42)&gt;0,0,IF(AMR$25&gt;AMR40,AMR40,0))),0)&lt;0,0,(IF(SUM($D42:AMR42)&gt;0,0,IF(AMR$25&gt;AMR40,AMR40,0)))))</f>
        <v>0</v>
      </c>
      <c r="AMT42" s="115">
        <f>IF(SUM($D$35:AMS35)=0,0,IF(IF(AMT41&gt;0,AMT41-(IF(SUM($D42:AMS42)&gt;0,0,IF(AMS$25&gt;AMS40,AMS40,0))),0)&lt;0,0,(IF(SUM($D42:AMS42)&gt;0,0,IF(AMS$25&gt;AMS40,AMS40,0)))))</f>
        <v>0</v>
      </c>
      <c r="AMU42" s="115">
        <f>IF(SUM($D$35:AMT35)=0,0,IF(IF(AMU41&gt;0,AMU41-(IF(SUM($D42:AMT42)&gt;0,0,IF(AMT$25&gt;AMT40,AMT40,0))),0)&lt;0,0,(IF(SUM($D42:AMT42)&gt;0,0,IF(AMT$25&gt;AMT40,AMT40,0)))))</f>
        <v>0</v>
      </c>
      <c r="AMV42" s="115">
        <f>IF(SUM($D$35:AMU35)=0,0,IF(IF(AMV41&gt;0,AMV41-(IF(SUM($D42:AMU42)&gt;0,0,IF(AMU$25&gt;AMU40,AMU40,0))),0)&lt;0,0,(IF(SUM($D42:AMU42)&gt;0,0,IF(AMU$25&gt;AMU40,AMU40,0)))))</f>
        <v>0</v>
      </c>
      <c r="AMW42" s="115">
        <f>IF(SUM($D$35:AMV35)=0,0,IF(IF(AMW41&gt;0,AMW41-(IF(SUM($D42:AMV42)&gt;0,0,IF(AMV$25&gt;AMV40,AMV40,0))),0)&lt;0,0,(IF(SUM($D42:AMV42)&gt;0,0,IF(AMV$25&gt;AMV40,AMV40,0)))))</f>
        <v>0</v>
      </c>
      <c r="AMX42" s="115">
        <f>IF(SUM($D$35:AMW35)=0,0,IF(IF(AMX41&gt;0,AMX41-(IF(SUM($D42:AMW42)&gt;0,0,IF(AMW$25&gt;AMW40,AMW40,0))),0)&lt;0,0,(IF(SUM($D42:AMW42)&gt;0,0,IF(AMW$25&gt;AMW40,AMW40,0)))))</f>
        <v>0</v>
      </c>
      <c r="AMY42" s="115">
        <f>IF(SUM($D$35:AMX35)=0,0,IF(IF(AMY41&gt;0,AMY41-(IF(SUM($D42:AMX42)&gt;0,0,IF(AMX$25&gt;AMX40,AMX40,0))),0)&lt;0,0,(IF(SUM($D42:AMX42)&gt;0,0,IF(AMX$25&gt;AMX40,AMX40,0)))))</f>
        <v>0</v>
      </c>
      <c r="AMZ42" s="115">
        <f>IF(SUM($D$35:AMY35)=0,0,IF(IF(AMZ41&gt;0,AMZ41-(IF(SUM($D42:AMY42)&gt;0,0,IF(AMY$25&gt;AMY40,AMY40,0))),0)&lt;0,0,(IF(SUM($D42:AMY42)&gt;0,0,IF(AMY$25&gt;AMY40,AMY40,0)))))</f>
        <v>0</v>
      </c>
      <c r="ANA42" s="115">
        <f>IF(SUM($D$35:AMZ35)=0,0,IF(IF(ANA41&gt;0,ANA41-(IF(SUM($D42:AMZ42)&gt;0,0,IF(AMZ$25&gt;AMZ40,AMZ40,0))),0)&lt;0,0,(IF(SUM($D42:AMZ42)&gt;0,0,IF(AMZ$25&gt;AMZ40,AMZ40,0)))))</f>
        <v>0</v>
      </c>
      <c r="ANB42" s="115">
        <f>IF(SUM($D$35:ANA35)=0,0,IF(IF(ANB41&gt;0,ANB41-(IF(SUM($D42:ANA42)&gt;0,0,IF(ANA$25&gt;ANA40,ANA40,0))),0)&lt;0,0,(IF(SUM($D42:ANA42)&gt;0,0,IF(ANA$25&gt;ANA40,ANA40,0)))))</f>
        <v>0</v>
      </c>
      <c r="ANC42" s="115">
        <f>IF(SUM($D$35:ANB35)=0,0,IF(IF(ANC41&gt;0,ANC41-(IF(SUM($D42:ANB42)&gt;0,0,IF(ANB$25&gt;ANB40,ANB40,0))),0)&lt;0,0,(IF(SUM($D42:ANB42)&gt;0,0,IF(ANB$25&gt;ANB40,ANB40,0)))))</f>
        <v>0</v>
      </c>
      <c r="AND42" s="115">
        <f>IF(SUM($D$35:ANC35)=0,0,IF(IF(AND41&gt;0,AND41-(IF(SUM($D42:ANC42)&gt;0,0,IF(ANC$25&gt;ANC40,ANC40,0))),0)&lt;0,0,(IF(SUM($D42:ANC42)&gt;0,0,IF(ANC$25&gt;ANC40,ANC40,0)))))</f>
        <v>0</v>
      </c>
      <c r="ANE42" s="115">
        <f>IF(SUM($D$35:AND35)=0,0,IF(IF(ANE41&gt;0,ANE41-(IF(SUM($D42:AND42)&gt;0,0,IF(AND$25&gt;AND40,AND40,0))),0)&lt;0,0,(IF(SUM($D42:AND42)&gt;0,0,IF(AND$25&gt;AND40,AND40,0)))))</f>
        <v>0</v>
      </c>
      <c r="ANF42" s="115">
        <f>IF(SUM($D$35:ANE35)=0,0,IF(IF(ANF41&gt;0,ANF41-(IF(SUM($D42:ANE42)&gt;0,0,IF(ANE$25&gt;ANE40,ANE40,0))),0)&lt;0,0,(IF(SUM($D42:ANE42)&gt;0,0,IF(ANE$25&gt;ANE40,ANE40,0)))))</f>
        <v>0</v>
      </c>
      <c r="ANG42" s="115">
        <f>IF(SUM($D$35:ANF35)=0,0,IF(IF(ANG41&gt;0,ANG41-(IF(SUM($D42:ANF42)&gt;0,0,IF(ANF$25&gt;ANF40,ANF40,0))),0)&lt;0,0,(IF(SUM($D42:ANF42)&gt;0,0,IF(ANF$25&gt;ANF40,ANF40,0)))))</f>
        <v>0</v>
      </c>
      <c r="ANH42" s="115">
        <f>IF(SUM($D$35:ANG35)=0,0,IF(IF(ANH41&gt;0,ANH41-(IF(SUM($D42:ANG42)&gt;0,0,IF(ANG$25&gt;ANG40,ANG40,0))),0)&lt;0,0,(IF(SUM($D42:ANG42)&gt;0,0,IF(ANG$25&gt;ANG40,ANG40,0)))))</f>
        <v>0</v>
      </c>
      <c r="ANI42" s="115">
        <f>IF(SUM($D$35:ANH35)=0,0,IF(IF(ANI41&gt;0,ANI41-(IF(SUM($D42:ANH42)&gt;0,0,IF(ANH$25&gt;ANH40,ANH40,0))),0)&lt;0,0,(IF(SUM($D42:ANH42)&gt;0,0,IF(ANH$25&gt;ANH40,ANH40,0)))))</f>
        <v>0</v>
      </c>
      <c r="ANJ42" s="115">
        <f>IF(SUM($D$35:ANI35)=0,0,IF(IF(ANJ41&gt;0,ANJ41-(IF(SUM($D42:ANI42)&gt;0,0,IF(ANI$25&gt;ANI40,ANI40,0))),0)&lt;0,0,(IF(SUM($D42:ANI42)&gt;0,0,IF(ANI$25&gt;ANI40,ANI40,0)))))</f>
        <v>0</v>
      </c>
      <c r="ANK42" s="115">
        <f>IF(SUM($D$35:ANJ35)=0,0,IF(IF(ANK41&gt;0,ANK41-(IF(SUM($D42:ANJ42)&gt;0,0,IF(ANJ$25&gt;ANJ40,ANJ40,0))),0)&lt;0,0,(IF(SUM($D42:ANJ42)&gt;0,0,IF(ANJ$25&gt;ANJ40,ANJ40,0)))))</f>
        <v>0</v>
      </c>
      <c r="ANL42" s="115">
        <f>IF(SUM($D$35:ANK35)=0,0,IF(IF(ANL41&gt;0,ANL41-(IF(SUM($D42:ANK42)&gt;0,0,IF(ANK$25&gt;ANK40,ANK40,0))),0)&lt;0,0,(IF(SUM($D42:ANK42)&gt;0,0,IF(ANK$25&gt;ANK40,ANK40,0)))))</f>
        <v>0</v>
      </c>
      <c r="ANM42" s="115">
        <f>IF(SUM($D$35:ANL35)=0,0,IF(IF(ANM41&gt;0,ANM41-(IF(SUM($D42:ANL42)&gt;0,0,IF(ANL$25&gt;ANL40,ANL40,0))),0)&lt;0,0,(IF(SUM($D42:ANL42)&gt;0,0,IF(ANL$25&gt;ANL40,ANL40,0)))))</f>
        <v>0</v>
      </c>
      <c r="ANN42" s="115">
        <f>IF(SUM($D$35:ANM35)=0,0,IF(IF(ANN41&gt;0,ANN41-(IF(SUM($D42:ANM42)&gt;0,0,IF(ANM$25&gt;ANM40,ANM40,0))),0)&lt;0,0,(IF(SUM($D42:ANM42)&gt;0,0,IF(ANM$25&gt;ANM40,ANM40,0)))))</f>
        <v>0</v>
      </c>
      <c r="ANO42" s="115">
        <f>IF(SUM($D$35:ANN35)=0,0,IF(IF(ANO41&gt;0,ANO41-(IF(SUM($D42:ANN42)&gt;0,0,IF(ANN$25&gt;ANN40,ANN40,0))),0)&lt;0,0,(IF(SUM($D42:ANN42)&gt;0,0,IF(ANN$25&gt;ANN40,ANN40,0)))))</f>
        <v>0</v>
      </c>
      <c r="ANP42" s="115">
        <f>IF(SUM($D$35:ANO35)=0,0,IF(IF(ANP41&gt;0,ANP41-(IF(SUM($D42:ANO42)&gt;0,0,IF(ANO$25&gt;ANO40,ANO40,0))),0)&lt;0,0,(IF(SUM($D42:ANO42)&gt;0,0,IF(ANO$25&gt;ANO40,ANO40,0)))))</f>
        <v>0</v>
      </c>
      <c r="ANQ42" s="115">
        <f>IF(SUM($D$35:ANP35)=0,0,IF(IF(ANQ41&gt;0,ANQ41-(IF(SUM($D42:ANP42)&gt;0,0,IF(ANP$25&gt;ANP40,ANP40,0))),0)&lt;0,0,(IF(SUM($D42:ANP42)&gt;0,0,IF(ANP$25&gt;ANP40,ANP40,0)))))</f>
        <v>0</v>
      </c>
      <c r="ANR42" s="115">
        <f>IF(SUM($D$35:ANQ35)=0,0,IF(IF(ANR41&gt;0,ANR41-(IF(SUM($D42:ANQ42)&gt;0,0,IF(ANQ$25&gt;ANQ40,ANQ40,0))),0)&lt;0,0,(IF(SUM($D42:ANQ42)&gt;0,0,IF(ANQ$25&gt;ANQ40,ANQ40,0)))))</f>
        <v>0</v>
      </c>
      <c r="ANS42" s="115">
        <f>IF(SUM($D$35:ANR35)=0,0,IF(IF(ANS41&gt;0,ANS41-(IF(SUM($D42:ANR42)&gt;0,0,IF(ANR$25&gt;ANR40,ANR40,0))),0)&lt;0,0,(IF(SUM($D42:ANR42)&gt;0,0,IF(ANR$25&gt;ANR40,ANR40,0)))))</f>
        <v>0</v>
      </c>
      <c r="ANT42" s="115">
        <f>IF(SUM($D$35:ANS35)=0,0,IF(IF(ANT41&gt;0,ANT41-(IF(SUM($D42:ANS42)&gt;0,0,IF(ANS$25&gt;ANS40,ANS40,0))),0)&lt;0,0,(IF(SUM($D42:ANS42)&gt;0,0,IF(ANS$25&gt;ANS40,ANS40,0)))))</f>
        <v>0</v>
      </c>
      <c r="ANU42" s="115">
        <f>IF(SUM($D$35:ANT35)=0,0,IF(IF(ANU41&gt;0,ANU41-(IF(SUM($D42:ANT42)&gt;0,0,IF(ANT$25&gt;ANT40,ANT40,0))),0)&lt;0,0,(IF(SUM($D42:ANT42)&gt;0,0,IF(ANT$25&gt;ANT40,ANT40,0)))))</f>
        <v>0</v>
      </c>
      <c r="ANV42" s="115">
        <f>IF(SUM($D$35:ANU35)=0,0,IF(IF(ANV41&gt;0,ANV41-(IF(SUM($D42:ANU42)&gt;0,0,IF(ANU$25&gt;ANU40,ANU40,0))),0)&lt;0,0,(IF(SUM($D42:ANU42)&gt;0,0,IF(ANU$25&gt;ANU40,ANU40,0)))))</f>
        <v>0</v>
      </c>
      <c r="ANW42" s="115">
        <f>IF(SUM($D$35:ANV35)=0,0,IF(IF(ANW41&gt;0,ANW41-(IF(SUM($D42:ANV42)&gt;0,0,IF(ANV$25&gt;ANV40,ANV40,0))),0)&lt;0,0,(IF(SUM($D42:ANV42)&gt;0,0,IF(ANV$25&gt;ANV40,ANV40,0)))))</f>
        <v>0</v>
      </c>
      <c r="ANX42" s="115">
        <f>IF(SUM($D$35:ANW35)=0,0,IF(IF(ANX41&gt;0,ANX41-(IF(SUM($D42:ANW42)&gt;0,0,IF(ANW$25&gt;ANW40,ANW40,0))),0)&lt;0,0,(IF(SUM($D42:ANW42)&gt;0,0,IF(ANW$25&gt;ANW40,ANW40,0)))))</f>
        <v>0</v>
      </c>
      <c r="ANY42" s="115">
        <f>IF(SUM($D$35:ANX35)=0,0,IF(IF(ANY41&gt;0,ANY41-(IF(SUM($D42:ANX42)&gt;0,0,IF(ANX$25&gt;ANX40,ANX40,0))),0)&lt;0,0,(IF(SUM($D42:ANX42)&gt;0,0,IF(ANX$25&gt;ANX40,ANX40,0)))))</f>
        <v>0</v>
      </c>
      <c r="ANZ42" s="115">
        <f>IF(SUM($D$35:ANY35)=0,0,IF(IF(ANZ41&gt;0,ANZ41-(IF(SUM($D42:ANY42)&gt;0,0,IF(ANY$25&gt;ANY40,ANY40,0))),0)&lt;0,0,(IF(SUM($D42:ANY42)&gt;0,0,IF(ANY$25&gt;ANY40,ANY40,0)))))</f>
        <v>0</v>
      </c>
      <c r="AOA42" s="115">
        <f>IF(SUM($D$35:ANZ35)=0,0,IF(IF(AOA41&gt;0,AOA41-(IF(SUM($D42:ANZ42)&gt;0,0,IF(ANZ$25&gt;ANZ40,ANZ40,0))),0)&lt;0,0,(IF(SUM($D42:ANZ42)&gt;0,0,IF(ANZ$25&gt;ANZ40,ANZ40,0)))))</f>
        <v>0</v>
      </c>
      <c r="AOB42" s="115">
        <f>IF(SUM($D$35:AOA35)=0,0,IF(IF(AOB41&gt;0,AOB41-(IF(SUM($D42:AOA42)&gt;0,0,IF(AOA$25&gt;AOA40,AOA40,0))),0)&lt;0,0,(IF(SUM($D42:AOA42)&gt;0,0,IF(AOA$25&gt;AOA40,AOA40,0)))))</f>
        <v>0</v>
      </c>
      <c r="AOC42" s="115">
        <f>IF(SUM($D$35:AOB35)=0,0,IF(IF(AOC41&gt;0,AOC41-(IF(SUM($D42:AOB42)&gt;0,0,IF(AOB$25&gt;AOB40,AOB40,0))),0)&lt;0,0,(IF(SUM($D42:AOB42)&gt;0,0,IF(AOB$25&gt;AOB40,AOB40,0)))))</f>
        <v>0</v>
      </c>
      <c r="AOD42" s="115">
        <f>IF(SUM($D$35:AOC35)=0,0,IF(IF(AOD41&gt;0,AOD41-(IF(SUM($D42:AOC42)&gt;0,0,IF(AOC$25&gt;AOC40,AOC40,0))),0)&lt;0,0,(IF(SUM($D42:AOC42)&gt;0,0,IF(AOC$25&gt;AOC40,AOC40,0)))))</f>
        <v>0</v>
      </c>
      <c r="AOE42" s="115">
        <f>IF(SUM($D$35:AOD35)=0,0,IF(IF(AOE41&gt;0,AOE41-(IF(SUM($D42:AOD42)&gt;0,0,IF(AOD$25&gt;AOD40,AOD40,0))),0)&lt;0,0,(IF(SUM($D42:AOD42)&gt;0,0,IF(AOD$25&gt;AOD40,AOD40,0)))))</f>
        <v>0</v>
      </c>
      <c r="AOF42" s="115">
        <f>IF(SUM($D$35:AOE35)=0,0,IF(IF(AOF41&gt;0,AOF41-(IF(SUM($D42:AOE42)&gt;0,0,IF(AOE$25&gt;AOE40,AOE40,0))),0)&lt;0,0,(IF(SUM($D42:AOE42)&gt;0,0,IF(AOE$25&gt;AOE40,AOE40,0)))))</f>
        <v>0</v>
      </c>
      <c r="AOG42" s="115">
        <f>IF(SUM($D$35:AOF35)=0,0,IF(IF(AOG41&gt;0,AOG41-(IF(SUM($D42:AOF42)&gt;0,0,IF(AOF$25&gt;AOF40,AOF40,0))),0)&lt;0,0,(IF(SUM($D42:AOF42)&gt;0,0,IF(AOF$25&gt;AOF40,AOF40,0)))))</f>
        <v>0</v>
      </c>
      <c r="AOH42" s="115">
        <f>IF(SUM($D$35:AOG35)=0,0,IF(IF(AOH41&gt;0,AOH41-(IF(SUM($D42:AOG42)&gt;0,0,IF(AOG$25&gt;AOG40,AOG40,0))),0)&lt;0,0,(IF(SUM($D42:AOG42)&gt;0,0,IF(AOG$25&gt;AOG40,AOG40,0)))))</f>
        <v>0</v>
      </c>
      <c r="AOI42" s="115">
        <f>IF(SUM($D$35:AOH35)=0,0,IF(IF(AOI41&gt;0,AOI41-(IF(SUM($D42:AOH42)&gt;0,0,IF(AOH$25&gt;AOH40,AOH40,0))),0)&lt;0,0,(IF(SUM($D42:AOH42)&gt;0,0,IF(AOH$25&gt;AOH40,AOH40,0)))))</f>
        <v>0</v>
      </c>
      <c r="AOJ42" s="115">
        <f>IF(SUM($D$35:AOI35)=0,0,IF(IF(AOJ41&gt;0,AOJ41-(IF(SUM($D42:AOI42)&gt;0,0,IF(AOI$25&gt;AOI40,AOI40,0))),0)&lt;0,0,(IF(SUM($D42:AOI42)&gt;0,0,IF(AOI$25&gt;AOI40,AOI40,0)))))</f>
        <v>0</v>
      </c>
      <c r="AOK42" s="115">
        <f>IF(SUM($D$35:AOJ35)=0,0,IF(IF(AOK41&gt;0,AOK41-(IF(SUM($D42:AOJ42)&gt;0,0,IF(AOJ$25&gt;AOJ40,AOJ40,0))),0)&lt;0,0,(IF(SUM($D42:AOJ42)&gt;0,0,IF(AOJ$25&gt;AOJ40,AOJ40,0)))))</f>
        <v>0</v>
      </c>
      <c r="AOL42" s="115">
        <f>IF(SUM($D$35:AOK35)=0,0,IF(IF(AOL41&gt;0,AOL41-(IF(SUM($D42:AOK42)&gt;0,0,IF(AOK$25&gt;AOK40,AOK40,0))),0)&lt;0,0,(IF(SUM($D42:AOK42)&gt;0,0,IF(AOK$25&gt;AOK40,AOK40,0)))))</f>
        <v>0</v>
      </c>
      <c r="AOM42" s="115">
        <f>IF(SUM($D$35:AOL35)=0,0,IF(IF(AOM41&gt;0,AOM41-(IF(SUM($D42:AOL42)&gt;0,0,IF(AOL$25&gt;AOL40,AOL40,0))),0)&lt;0,0,(IF(SUM($D42:AOL42)&gt;0,0,IF(AOL$25&gt;AOL40,AOL40,0)))))</f>
        <v>0</v>
      </c>
      <c r="AON42" s="115">
        <f>IF(SUM($D$35:AOM35)=0,0,IF(IF(AON41&gt;0,AON41-(IF(SUM($D42:AOM42)&gt;0,0,IF(AOM$25&gt;AOM40,AOM40,0))),0)&lt;0,0,(IF(SUM($D42:AOM42)&gt;0,0,IF(AOM$25&gt;AOM40,AOM40,0)))))</f>
        <v>0</v>
      </c>
      <c r="AOO42" s="115">
        <f>IF(SUM($D$35:AON35)=0,0,IF(IF(AOO41&gt;0,AOO41-(IF(SUM($D42:AON42)&gt;0,0,IF(AON$25&gt;AON40,AON40,0))),0)&lt;0,0,(IF(SUM($D42:AON42)&gt;0,0,IF(AON$25&gt;AON40,AON40,0)))))</f>
        <v>0</v>
      </c>
      <c r="AOP42" s="115">
        <f>IF(SUM($D$35:AOO35)=0,0,IF(IF(AOP41&gt;0,AOP41-(IF(SUM($D42:AOO42)&gt;0,0,IF(AOO$25&gt;AOO40,AOO40,0))),0)&lt;0,0,(IF(SUM($D42:AOO42)&gt;0,0,IF(AOO$25&gt;AOO40,AOO40,0)))))</f>
        <v>0</v>
      </c>
      <c r="AOQ42" s="115">
        <f>IF(SUM($D$35:AOP35)=0,0,IF(IF(AOQ41&gt;0,AOQ41-(IF(SUM($D42:AOP42)&gt;0,0,IF(AOP$25&gt;AOP40,AOP40,0))),0)&lt;0,0,(IF(SUM($D42:AOP42)&gt;0,0,IF(AOP$25&gt;AOP40,AOP40,0)))))</f>
        <v>0</v>
      </c>
    </row>
    <row r="43" spans="1:1083" x14ac:dyDescent="0.25">
      <c r="B43" s="116" t="s">
        <v>299</v>
      </c>
      <c r="C43" s="115">
        <f>SUM(D43:AOQ43)</f>
        <v>645</v>
      </c>
      <c r="D43" s="115">
        <f>IF(D42&gt;0,D$17,0)</f>
        <v>0</v>
      </c>
      <c r="E43" s="115">
        <f t="shared" ref="E43" si="1436">IF(E42&gt;0,E$17,0)</f>
        <v>0</v>
      </c>
      <c r="F43" s="115">
        <f t="shared" ref="F43" si="1437">IF(F42&gt;0,F$17,0)</f>
        <v>0</v>
      </c>
      <c r="G43" s="115">
        <f t="shared" ref="G43" si="1438">IF(G42&gt;0,G$17,0)</f>
        <v>0</v>
      </c>
      <c r="H43" s="115">
        <f t="shared" ref="H43" si="1439">IF(H42&gt;0,H$17,0)</f>
        <v>0</v>
      </c>
      <c r="I43" s="115">
        <f t="shared" ref="I43" si="1440">IF(I42&gt;0,I$17,0)</f>
        <v>0</v>
      </c>
      <c r="J43" s="115">
        <f t="shared" ref="J43" si="1441">IF(J42&gt;0,J$17,0)</f>
        <v>0</v>
      </c>
      <c r="K43" s="115">
        <f t="shared" ref="K43" si="1442">IF(K42&gt;0,K$17,0)</f>
        <v>0</v>
      </c>
      <c r="L43" s="115">
        <f t="shared" ref="L43" si="1443">IF(L42&gt;0,L$17,0)</f>
        <v>0</v>
      </c>
      <c r="M43" s="115">
        <f t="shared" ref="M43" si="1444">IF(M42&gt;0,M$17,0)</f>
        <v>0</v>
      </c>
      <c r="N43" s="115">
        <f t="shared" ref="N43" si="1445">IF(N42&gt;0,N$17,0)</f>
        <v>0</v>
      </c>
      <c r="O43" s="115">
        <f t="shared" ref="O43" si="1446">IF(O42&gt;0,O$17,0)</f>
        <v>0</v>
      </c>
      <c r="P43" s="115">
        <f t="shared" ref="P43" si="1447">IF(P42&gt;0,P$17,0)</f>
        <v>0</v>
      </c>
      <c r="Q43" s="115">
        <f t="shared" ref="Q43" si="1448">IF(Q42&gt;0,Q$17,0)</f>
        <v>0</v>
      </c>
      <c r="R43" s="115">
        <f t="shared" ref="R43" si="1449">IF(R42&gt;0,R$17,0)</f>
        <v>0</v>
      </c>
      <c r="S43" s="115">
        <f t="shared" ref="S43" si="1450">IF(S42&gt;0,S$17,0)</f>
        <v>0</v>
      </c>
      <c r="T43" s="115">
        <f t="shared" ref="T43" si="1451">IF(T42&gt;0,T$17,0)</f>
        <v>0</v>
      </c>
      <c r="U43" s="115">
        <f t="shared" ref="U43" si="1452">IF(U42&gt;0,U$17,0)</f>
        <v>0</v>
      </c>
      <c r="V43" s="115">
        <f t="shared" ref="V43" si="1453">IF(V42&gt;0,V$17,0)</f>
        <v>0</v>
      </c>
      <c r="W43" s="115">
        <f t="shared" ref="W43" si="1454">IF(W42&gt;0,W$17,0)</f>
        <v>0</v>
      </c>
      <c r="X43" s="115">
        <f t="shared" ref="X43" si="1455">IF(X42&gt;0,X$17,0)</f>
        <v>0</v>
      </c>
      <c r="Y43" s="115">
        <f t="shared" ref="Y43" si="1456">IF(Y42&gt;0,Y$17,0)</f>
        <v>0</v>
      </c>
      <c r="Z43" s="115">
        <f t="shared" ref="Z43" si="1457">IF(Z42&gt;0,Z$17,0)</f>
        <v>0</v>
      </c>
      <c r="AA43" s="115">
        <f t="shared" ref="AA43" si="1458">IF(AA42&gt;0,AA$17,0)</f>
        <v>0</v>
      </c>
      <c r="AB43" s="115">
        <f t="shared" ref="AB43" si="1459">IF(AB42&gt;0,AB$17,0)</f>
        <v>0</v>
      </c>
      <c r="AC43" s="115">
        <f t="shared" ref="AC43" si="1460">IF(AC42&gt;0,AC$17,0)</f>
        <v>0</v>
      </c>
      <c r="AD43" s="115">
        <f t="shared" ref="AD43" si="1461">IF(AD42&gt;0,AD$17,0)</f>
        <v>0</v>
      </c>
      <c r="AE43" s="115">
        <f t="shared" ref="AE43" si="1462">IF(AE42&gt;0,AE$17,0)</f>
        <v>0</v>
      </c>
      <c r="AF43" s="115">
        <f t="shared" ref="AF43" si="1463">IF(AF42&gt;0,AF$17,0)</f>
        <v>0</v>
      </c>
      <c r="AG43" s="115">
        <f t="shared" ref="AG43" si="1464">IF(AG42&gt;0,AG$17,0)</f>
        <v>0</v>
      </c>
      <c r="AH43" s="115">
        <f t="shared" ref="AH43" si="1465">IF(AH42&gt;0,AH$17,0)</f>
        <v>0</v>
      </c>
      <c r="AI43" s="115">
        <f t="shared" ref="AI43" si="1466">IF(AI42&gt;0,AI$17,0)</f>
        <v>0</v>
      </c>
      <c r="AJ43" s="115">
        <f t="shared" ref="AJ43" si="1467">IF(AJ42&gt;0,AJ$17,0)</f>
        <v>0</v>
      </c>
      <c r="AK43" s="115">
        <f t="shared" ref="AK43" si="1468">IF(AK42&gt;0,AK$17,0)</f>
        <v>0</v>
      </c>
      <c r="AL43" s="115">
        <f t="shared" ref="AL43" si="1469">IF(AL42&gt;0,AL$17,0)</f>
        <v>0</v>
      </c>
      <c r="AM43" s="115">
        <f t="shared" ref="AM43" si="1470">IF(AM42&gt;0,AM$17,0)</f>
        <v>0</v>
      </c>
      <c r="AN43" s="115">
        <f t="shared" ref="AN43" si="1471">IF(AN42&gt;0,AN$17,0)</f>
        <v>0</v>
      </c>
      <c r="AO43" s="115">
        <f t="shared" ref="AO43" si="1472">IF(AO42&gt;0,AO$17,0)</f>
        <v>0</v>
      </c>
      <c r="AP43" s="115">
        <f t="shared" ref="AP43" si="1473">IF(AP42&gt;0,AP$17,0)</f>
        <v>0</v>
      </c>
      <c r="AQ43" s="115">
        <f t="shared" ref="AQ43" si="1474">IF(AQ42&gt;0,AQ$17,0)</f>
        <v>0</v>
      </c>
      <c r="AR43" s="115">
        <f t="shared" ref="AR43" si="1475">IF(AR42&gt;0,AR$17,0)</f>
        <v>0</v>
      </c>
      <c r="AS43" s="115">
        <f t="shared" ref="AS43" si="1476">IF(AS42&gt;0,AS$17,0)</f>
        <v>0</v>
      </c>
      <c r="AT43" s="115">
        <f t="shared" ref="AT43" si="1477">IF(AT42&gt;0,AT$17,0)</f>
        <v>0</v>
      </c>
      <c r="AU43" s="115">
        <f t="shared" ref="AU43" si="1478">IF(AU42&gt;0,AU$17,0)</f>
        <v>0</v>
      </c>
      <c r="AV43" s="115">
        <f t="shared" ref="AV43" si="1479">IF(AV42&gt;0,AV$17,0)</f>
        <v>0</v>
      </c>
      <c r="AW43" s="115">
        <f t="shared" ref="AW43" si="1480">IF(AW42&gt;0,AW$17,0)</f>
        <v>0</v>
      </c>
      <c r="AX43" s="115">
        <f t="shared" ref="AX43" si="1481">IF(AX42&gt;0,AX$17,0)</f>
        <v>0</v>
      </c>
      <c r="AY43" s="115">
        <f t="shared" ref="AY43" si="1482">IF(AY42&gt;0,AY$17,0)</f>
        <v>0</v>
      </c>
      <c r="AZ43" s="115">
        <f t="shared" ref="AZ43" si="1483">IF(AZ42&gt;0,AZ$17,0)</f>
        <v>0</v>
      </c>
      <c r="BA43" s="115">
        <f t="shared" ref="BA43" si="1484">IF(BA42&gt;0,BA$17,0)</f>
        <v>0</v>
      </c>
      <c r="BB43" s="115">
        <f t="shared" ref="BB43" si="1485">IF(BB42&gt;0,BB$17,0)</f>
        <v>0</v>
      </c>
      <c r="BC43" s="115">
        <f t="shared" ref="BC43" si="1486">IF(BC42&gt;0,BC$17,0)</f>
        <v>0</v>
      </c>
      <c r="BD43" s="115">
        <f t="shared" ref="BD43" si="1487">IF(BD42&gt;0,BD$17,0)</f>
        <v>0</v>
      </c>
      <c r="BE43" s="115">
        <f t="shared" ref="BE43" si="1488">IF(BE42&gt;0,BE$17,0)</f>
        <v>0</v>
      </c>
      <c r="BF43" s="115">
        <f t="shared" ref="BF43" si="1489">IF(BF42&gt;0,BF$17,0)</f>
        <v>0</v>
      </c>
      <c r="BG43" s="115">
        <f t="shared" ref="BG43" si="1490">IF(BG42&gt;0,BG$17,0)</f>
        <v>0</v>
      </c>
      <c r="BH43" s="115">
        <f t="shared" ref="BH43" si="1491">IF(BH42&gt;0,BH$17,0)</f>
        <v>0</v>
      </c>
      <c r="BI43" s="115">
        <f t="shared" ref="BI43" si="1492">IF(BI42&gt;0,BI$17,0)</f>
        <v>0</v>
      </c>
      <c r="BJ43" s="115">
        <f t="shared" ref="BJ43" si="1493">IF(BJ42&gt;0,BJ$17,0)</f>
        <v>0</v>
      </c>
      <c r="BK43" s="115">
        <f t="shared" ref="BK43" si="1494">IF(BK42&gt;0,BK$17,0)</f>
        <v>0</v>
      </c>
      <c r="BL43" s="115">
        <f t="shared" ref="BL43" si="1495">IF(BL42&gt;0,BL$17,0)</f>
        <v>0</v>
      </c>
      <c r="BM43" s="115">
        <f t="shared" ref="BM43" si="1496">IF(BM42&gt;0,BM$17,0)</f>
        <v>0</v>
      </c>
      <c r="BN43" s="115">
        <f t="shared" ref="BN43" si="1497">IF(BN42&gt;0,BN$17,0)</f>
        <v>0</v>
      </c>
      <c r="BO43" s="115">
        <f t="shared" ref="BO43" si="1498">IF(BO42&gt;0,BO$17,0)</f>
        <v>0</v>
      </c>
      <c r="BP43" s="115">
        <f t="shared" ref="BP43" si="1499">IF(BP42&gt;0,BP$17,0)</f>
        <v>0</v>
      </c>
      <c r="BQ43" s="115">
        <f t="shared" ref="BQ43" si="1500">IF(BQ42&gt;0,BQ$17,0)</f>
        <v>0</v>
      </c>
      <c r="BR43" s="115">
        <f t="shared" ref="BR43" si="1501">IF(BR42&gt;0,BR$17,0)</f>
        <v>0</v>
      </c>
      <c r="BS43" s="115">
        <f t="shared" ref="BS43" si="1502">IF(BS42&gt;0,BS$17,0)</f>
        <v>0</v>
      </c>
      <c r="BT43" s="115">
        <f t="shared" ref="BT43" si="1503">IF(BT42&gt;0,BT$17,0)</f>
        <v>0</v>
      </c>
      <c r="BU43" s="115">
        <f t="shared" ref="BU43" si="1504">IF(BU42&gt;0,BU$17,0)</f>
        <v>0</v>
      </c>
      <c r="BV43" s="115">
        <f t="shared" ref="BV43" si="1505">IF(BV42&gt;0,BV$17,0)</f>
        <v>0</v>
      </c>
      <c r="BW43" s="115">
        <f t="shared" ref="BW43" si="1506">IF(BW42&gt;0,BW$17,0)</f>
        <v>0</v>
      </c>
      <c r="BX43" s="115">
        <f t="shared" ref="BX43" si="1507">IF(BX42&gt;0,BX$17,0)</f>
        <v>0</v>
      </c>
      <c r="BY43" s="115">
        <f t="shared" ref="BY43" si="1508">IF(BY42&gt;0,BY$17,0)</f>
        <v>0</v>
      </c>
      <c r="BZ43" s="115">
        <f t="shared" ref="BZ43" si="1509">IF(BZ42&gt;0,BZ$17,0)</f>
        <v>0</v>
      </c>
      <c r="CA43" s="115">
        <f t="shared" ref="CA43" si="1510">IF(CA42&gt;0,CA$17,0)</f>
        <v>0</v>
      </c>
      <c r="CB43" s="115">
        <f t="shared" ref="CB43" si="1511">IF(CB42&gt;0,CB$17,0)</f>
        <v>0</v>
      </c>
      <c r="CC43" s="115">
        <f t="shared" ref="CC43" si="1512">IF(CC42&gt;0,CC$17,0)</f>
        <v>0</v>
      </c>
      <c r="CD43" s="115">
        <f t="shared" ref="CD43" si="1513">IF(CD42&gt;0,CD$17,0)</f>
        <v>0</v>
      </c>
      <c r="CE43" s="115">
        <f t="shared" ref="CE43" si="1514">IF(CE42&gt;0,CE$17,0)</f>
        <v>0</v>
      </c>
      <c r="CF43" s="115">
        <f t="shared" ref="CF43" si="1515">IF(CF42&gt;0,CF$17,0)</f>
        <v>0</v>
      </c>
      <c r="CG43" s="115">
        <f t="shared" ref="CG43" si="1516">IF(CG42&gt;0,CG$17,0)</f>
        <v>0</v>
      </c>
      <c r="CH43" s="115">
        <f t="shared" ref="CH43" si="1517">IF(CH42&gt;0,CH$17,0)</f>
        <v>0</v>
      </c>
      <c r="CI43" s="115">
        <f t="shared" ref="CI43" si="1518">IF(CI42&gt;0,CI$17,0)</f>
        <v>0</v>
      </c>
      <c r="CJ43" s="115">
        <f t="shared" ref="CJ43" si="1519">IF(CJ42&gt;0,CJ$17,0)</f>
        <v>0</v>
      </c>
      <c r="CK43" s="115">
        <f t="shared" ref="CK43" si="1520">IF(CK42&gt;0,CK$17,0)</f>
        <v>0</v>
      </c>
      <c r="CL43" s="115">
        <f t="shared" ref="CL43" si="1521">IF(CL42&gt;0,CL$17,0)</f>
        <v>0</v>
      </c>
      <c r="CM43" s="115">
        <f t="shared" ref="CM43" si="1522">IF(CM42&gt;0,CM$17,0)</f>
        <v>0</v>
      </c>
      <c r="CN43" s="115">
        <f t="shared" ref="CN43" si="1523">IF(CN42&gt;0,CN$17,0)</f>
        <v>0</v>
      </c>
      <c r="CO43" s="115">
        <f t="shared" ref="CO43" si="1524">IF(CO42&gt;0,CO$17,0)</f>
        <v>0</v>
      </c>
      <c r="CP43" s="115">
        <f t="shared" ref="CP43" si="1525">IF(CP42&gt;0,CP$17,0)</f>
        <v>0</v>
      </c>
      <c r="CQ43" s="115">
        <f t="shared" ref="CQ43" si="1526">IF(CQ42&gt;0,CQ$17,0)</f>
        <v>0</v>
      </c>
      <c r="CR43" s="115">
        <f t="shared" ref="CR43" si="1527">IF(CR42&gt;0,CR$17,0)</f>
        <v>0</v>
      </c>
      <c r="CS43" s="115">
        <f t="shared" ref="CS43" si="1528">IF(CS42&gt;0,CS$17,0)</f>
        <v>0</v>
      </c>
      <c r="CT43" s="115">
        <f t="shared" ref="CT43" si="1529">IF(CT42&gt;0,CT$17,0)</f>
        <v>0</v>
      </c>
      <c r="CU43" s="115">
        <f t="shared" ref="CU43" si="1530">IF(CU42&gt;0,CU$17,0)</f>
        <v>0</v>
      </c>
      <c r="CV43" s="115">
        <f t="shared" ref="CV43" si="1531">IF(CV42&gt;0,CV$17,0)</f>
        <v>0</v>
      </c>
      <c r="CW43" s="115">
        <f t="shared" ref="CW43" si="1532">IF(CW42&gt;0,CW$17,0)</f>
        <v>0</v>
      </c>
      <c r="CX43" s="115">
        <f t="shared" ref="CX43" si="1533">IF(CX42&gt;0,CX$17,0)</f>
        <v>0</v>
      </c>
      <c r="CY43" s="115">
        <f t="shared" ref="CY43" si="1534">IF(CY42&gt;0,CY$17,0)</f>
        <v>0</v>
      </c>
      <c r="CZ43" s="115">
        <f t="shared" ref="CZ43" si="1535">IF(CZ42&gt;0,CZ$17,0)</f>
        <v>0</v>
      </c>
      <c r="DA43" s="115">
        <f t="shared" ref="DA43" si="1536">IF(DA42&gt;0,DA$17,0)</f>
        <v>0</v>
      </c>
      <c r="DB43" s="115">
        <f t="shared" ref="DB43" si="1537">IF(DB42&gt;0,DB$17,0)</f>
        <v>0</v>
      </c>
      <c r="DC43" s="115">
        <f t="shared" ref="DC43" si="1538">IF(DC42&gt;0,DC$17,0)</f>
        <v>0</v>
      </c>
      <c r="DD43" s="115">
        <f t="shared" ref="DD43" si="1539">IF(DD42&gt;0,DD$17,0)</f>
        <v>0</v>
      </c>
      <c r="DE43" s="115">
        <f t="shared" ref="DE43" si="1540">IF(DE42&gt;0,DE$17,0)</f>
        <v>0</v>
      </c>
      <c r="DF43" s="115">
        <f t="shared" ref="DF43" si="1541">IF(DF42&gt;0,DF$17,0)</f>
        <v>0</v>
      </c>
      <c r="DG43" s="115">
        <f t="shared" ref="DG43" si="1542">IF(DG42&gt;0,DG$17,0)</f>
        <v>0</v>
      </c>
      <c r="DH43" s="115">
        <f t="shared" ref="DH43" si="1543">IF(DH42&gt;0,DH$17,0)</f>
        <v>0</v>
      </c>
      <c r="DI43" s="115">
        <f t="shared" ref="DI43" si="1544">IF(DI42&gt;0,DI$17,0)</f>
        <v>0</v>
      </c>
      <c r="DJ43" s="115">
        <f t="shared" ref="DJ43" si="1545">IF(DJ42&gt;0,DJ$17,0)</f>
        <v>0</v>
      </c>
      <c r="DK43" s="115">
        <f t="shared" ref="DK43" si="1546">IF(DK42&gt;0,DK$17,0)</f>
        <v>0</v>
      </c>
      <c r="DL43" s="115">
        <f t="shared" ref="DL43" si="1547">IF(DL42&gt;0,DL$17,0)</f>
        <v>0</v>
      </c>
      <c r="DM43" s="115">
        <f t="shared" ref="DM43" si="1548">IF(DM42&gt;0,DM$17,0)</f>
        <v>0</v>
      </c>
      <c r="DN43" s="115">
        <f t="shared" ref="DN43" si="1549">IF(DN42&gt;0,DN$17,0)</f>
        <v>0</v>
      </c>
      <c r="DO43" s="115">
        <f t="shared" ref="DO43" si="1550">IF(DO42&gt;0,DO$17,0)</f>
        <v>0</v>
      </c>
      <c r="DP43" s="115">
        <f t="shared" ref="DP43" si="1551">IF(DP42&gt;0,DP$17,0)</f>
        <v>0</v>
      </c>
      <c r="DQ43" s="115">
        <f t="shared" ref="DQ43" si="1552">IF(DQ42&gt;0,DQ$17,0)</f>
        <v>0</v>
      </c>
      <c r="DR43" s="115">
        <f t="shared" ref="DR43" si="1553">IF(DR42&gt;0,DR$17,0)</f>
        <v>0</v>
      </c>
      <c r="DS43" s="115">
        <f t="shared" ref="DS43" si="1554">IF(DS42&gt;0,DS$17,0)</f>
        <v>0</v>
      </c>
      <c r="DT43" s="115">
        <f t="shared" ref="DT43" si="1555">IF(DT42&gt;0,DT$17,0)</f>
        <v>0</v>
      </c>
      <c r="DU43" s="115">
        <f t="shared" ref="DU43" si="1556">IF(DU42&gt;0,DU$17,0)</f>
        <v>0</v>
      </c>
      <c r="DV43" s="115">
        <f t="shared" ref="DV43" si="1557">IF(DV42&gt;0,DV$17,0)</f>
        <v>0</v>
      </c>
      <c r="DW43" s="115">
        <f t="shared" ref="DW43" si="1558">IF(DW42&gt;0,DW$17,0)</f>
        <v>0</v>
      </c>
      <c r="DX43" s="115">
        <f t="shared" ref="DX43" si="1559">IF(DX42&gt;0,DX$17,0)</f>
        <v>0</v>
      </c>
      <c r="DY43" s="115">
        <f t="shared" ref="DY43" si="1560">IF(DY42&gt;0,DY$17,0)</f>
        <v>0</v>
      </c>
      <c r="DZ43" s="115">
        <f t="shared" ref="DZ43" si="1561">IF(DZ42&gt;0,DZ$17,0)</f>
        <v>0</v>
      </c>
      <c r="EA43" s="115">
        <f t="shared" ref="EA43" si="1562">IF(EA42&gt;0,EA$17,0)</f>
        <v>0</v>
      </c>
      <c r="EB43" s="115">
        <f t="shared" ref="EB43" si="1563">IF(EB42&gt;0,EB$17,0)</f>
        <v>0</v>
      </c>
      <c r="EC43" s="115">
        <f t="shared" ref="EC43" si="1564">IF(EC42&gt;0,EC$17,0)</f>
        <v>0</v>
      </c>
      <c r="ED43" s="115">
        <f t="shared" ref="ED43" si="1565">IF(ED42&gt;0,ED$17,0)</f>
        <v>0</v>
      </c>
      <c r="EE43" s="115">
        <f t="shared" ref="EE43" si="1566">IF(EE42&gt;0,EE$17,0)</f>
        <v>0</v>
      </c>
      <c r="EF43" s="115">
        <f t="shared" ref="EF43" si="1567">IF(EF42&gt;0,EF$17,0)</f>
        <v>0</v>
      </c>
      <c r="EG43" s="115">
        <f t="shared" ref="EG43" si="1568">IF(EG42&gt;0,EG$17,0)</f>
        <v>0</v>
      </c>
      <c r="EH43" s="115">
        <f t="shared" ref="EH43" si="1569">IF(EH42&gt;0,EH$17,0)</f>
        <v>0</v>
      </c>
      <c r="EI43" s="115">
        <f t="shared" ref="EI43" si="1570">IF(EI42&gt;0,EI$17,0)</f>
        <v>0</v>
      </c>
      <c r="EJ43" s="115">
        <f t="shared" ref="EJ43" si="1571">IF(EJ42&gt;0,EJ$17,0)</f>
        <v>0</v>
      </c>
      <c r="EK43" s="115">
        <f t="shared" ref="EK43" si="1572">IF(EK42&gt;0,EK$17,0)</f>
        <v>0</v>
      </c>
      <c r="EL43" s="115">
        <f t="shared" ref="EL43" si="1573">IF(EL42&gt;0,EL$17,0)</f>
        <v>0</v>
      </c>
      <c r="EM43" s="115">
        <f t="shared" ref="EM43" si="1574">IF(EM42&gt;0,EM$17,0)</f>
        <v>0</v>
      </c>
      <c r="EN43" s="115">
        <f t="shared" ref="EN43" si="1575">IF(EN42&gt;0,EN$17,0)</f>
        <v>0</v>
      </c>
      <c r="EO43" s="115">
        <f t="shared" ref="EO43" si="1576">IF(EO42&gt;0,EO$17,0)</f>
        <v>0</v>
      </c>
      <c r="EP43" s="115">
        <f t="shared" ref="EP43" si="1577">IF(EP42&gt;0,EP$17,0)</f>
        <v>0</v>
      </c>
      <c r="EQ43" s="115">
        <f t="shared" ref="EQ43" si="1578">IF(EQ42&gt;0,EQ$17,0)</f>
        <v>0</v>
      </c>
      <c r="ER43" s="115">
        <f t="shared" ref="ER43" si="1579">IF(ER42&gt;0,ER$17,0)</f>
        <v>0</v>
      </c>
      <c r="ES43" s="115">
        <f t="shared" ref="ES43" si="1580">IF(ES42&gt;0,ES$17,0)</f>
        <v>0</v>
      </c>
      <c r="ET43" s="115">
        <f t="shared" ref="ET43" si="1581">IF(ET42&gt;0,ET$17,0)</f>
        <v>0</v>
      </c>
      <c r="EU43" s="115">
        <f t="shared" ref="EU43" si="1582">IF(EU42&gt;0,EU$17,0)</f>
        <v>0</v>
      </c>
      <c r="EV43" s="115">
        <f t="shared" ref="EV43" si="1583">IF(EV42&gt;0,EV$17,0)</f>
        <v>0</v>
      </c>
      <c r="EW43" s="115">
        <f t="shared" ref="EW43" si="1584">IF(EW42&gt;0,EW$17,0)</f>
        <v>0</v>
      </c>
      <c r="EX43" s="115">
        <f t="shared" ref="EX43" si="1585">IF(EX42&gt;0,EX$17,0)</f>
        <v>0</v>
      </c>
      <c r="EY43" s="115">
        <f t="shared" ref="EY43" si="1586">IF(EY42&gt;0,EY$17,0)</f>
        <v>0</v>
      </c>
      <c r="EZ43" s="115">
        <f t="shared" ref="EZ43" si="1587">IF(EZ42&gt;0,EZ$17,0)</f>
        <v>0</v>
      </c>
      <c r="FA43" s="115">
        <f t="shared" ref="FA43" si="1588">IF(FA42&gt;0,FA$17,0)</f>
        <v>0</v>
      </c>
      <c r="FB43" s="115">
        <f t="shared" ref="FB43" si="1589">IF(FB42&gt;0,FB$17,0)</f>
        <v>0</v>
      </c>
      <c r="FC43" s="115">
        <f t="shared" ref="FC43" si="1590">IF(FC42&gt;0,FC$17,0)</f>
        <v>0</v>
      </c>
      <c r="FD43" s="115">
        <f t="shared" ref="FD43" si="1591">IF(FD42&gt;0,FD$17,0)</f>
        <v>0</v>
      </c>
      <c r="FE43" s="115">
        <f t="shared" ref="FE43" si="1592">IF(FE42&gt;0,FE$17,0)</f>
        <v>0</v>
      </c>
      <c r="FF43" s="115">
        <f t="shared" ref="FF43" si="1593">IF(FF42&gt;0,FF$17,0)</f>
        <v>0</v>
      </c>
      <c r="FG43" s="115">
        <f t="shared" ref="FG43" si="1594">IF(FG42&gt;0,FG$17,0)</f>
        <v>0</v>
      </c>
      <c r="FH43" s="115">
        <f t="shared" ref="FH43" si="1595">IF(FH42&gt;0,FH$17,0)</f>
        <v>0</v>
      </c>
      <c r="FI43" s="115">
        <f t="shared" ref="FI43" si="1596">IF(FI42&gt;0,FI$17,0)</f>
        <v>0</v>
      </c>
      <c r="FJ43" s="115">
        <f t="shared" ref="FJ43" si="1597">IF(FJ42&gt;0,FJ$17,0)</f>
        <v>0</v>
      </c>
      <c r="FK43" s="115">
        <f t="shared" ref="FK43" si="1598">IF(FK42&gt;0,FK$17,0)</f>
        <v>0</v>
      </c>
      <c r="FL43" s="115">
        <f t="shared" ref="FL43" si="1599">IF(FL42&gt;0,FL$17,0)</f>
        <v>0</v>
      </c>
      <c r="FM43" s="115">
        <f t="shared" ref="FM43" si="1600">IF(FM42&gt;0,FM$17,0)</f>
        <v>0</v>
      </c>
      <c r="FN43" s="115">
        <f t="shared" ref="FN43" si="1601">IF(FN42&gt;0,FN$17,0)</f>
        <v>0</v>
      </c>
      <c r="FO43" s="115">
        <f t="shared" ref="FO43" si="1602">IF(FO42&gt;0,FO$17,0)</f>
        <v>0</v>
      </c>
      <c r="FP43" s="115">
        <f t="shared" ref="FP43" si="1603">IF(FP42&gt;0,FP$17,0)</f>
        <v>0</v>
      </c>
      <c r="FQ43" s="115">
        <f t="shared" ref="FQ43" si="1604">IF(FQ42&gt;0,FQ$17,0)</f>
        <v>0</v>
      </c>
      <c r="FR43" s="115">
        <f t="shared" ref="FR43" si="1605">IF(FR42&gt;0,FR$17,0)</f>
        <v>0</v>
      </c>
      <c r="FS43" s="115">
        <f t="shared" ref="FS43" si="1606">IF(FS42&gt;0,FS$17,0)</f>
        <v>0</v>
      </c>
      <c r="FT43" s="115">
        <f t="shared" ref="FT43" si="1607">IF(FT42&gt;0,FT$17,0)</f>
        <v>0</v>
      </c>
      <c r="FU43" s="115">
        <f t="shared" ref="FU43" si="1608">IF(FU42&gt;0,FU$17,0)</f>
        <v>0</v>
      </c>
      <c r="FV43" s="115">
        <f t="shared" ref="FV43" si="1609">IF(FV42&gt;0,FV$17,0)</f>
        <v>0</v>
      </c>
      <c r="FW43" s="115">
        <f t="shared" ref="FW43" si="1610">IF(FW42&gt;0,FW$17,0)</f>
        <v>0</v>
      </c>
      <c r="FX43" s="115">
        <f t="shared" ref="FX43" si="1611">IF(FX42&gt;0,FX$17,0)</f>
        <v>0</v>
      </c>
      <c r="FY43" s="115">
        <f t="shared" ref="FY43" si="1612">IF(FY42&gt;0,FY$17,0)</f>
        <v>0</v>
      </c>
      <c r="FZ43" s="115">
        <f t="shared" ref="FZ43" si="1613">IF(FZ42&gt;0,FZ$17,0)</f>
        <v>0</v>
      </c>
      <c r="GA43" s="115">
        <f t="shared" ref="GA43" si="1614">IF(GA42&gt;0,GA$17,0)</f>
        <v>0</v>
      </c>
      <c r="GB43" s="115">
        <f t="shared" ref="GB43" si="1615">IF(GB42&gt;0,GB$17,0)</f>
        <v>0</v>
      </c>
      <c r="GC43" s="115">
        <f t="shared" ref="GC43" si="1616">IF(GC42&gt;0,GC$17,0)</f>
        <v>0</v>
      </c>
      <c r="GD43" s="115">
        <f t="shared" ref="GD43" si="1617">IF(GD42&gt;0,GD$17,0)</f>
        <v>0</v>
      </c>
      <c r="GE43" s="115">
        <f t="shared" ref="GE43" si="1618">IF(GE42&gt;0,GE$17,0)</f>
        <v>0</v>
      </c>
      <c r="GF43" s="115">
        <f t="shared" ref="GF43" si="1619">IF(GF42&gt;0,GF$17,0)</f>
        <v>0</v>
      </c>
      <c r="GG43" s="115">
        <f t="shared" ref="GG43" si="1620">IF(GG42&gt;0,GG$17,0)</f>
        <v>0</v>
      </c>
      <c r="GH43" s="115">
        <f t="shared" ref="GH43" si="1621">IF(GH42&gt;0,GH$17,0)</f>
        <v>0</v>
      </c>
      <c r="GI43" s="115">
        <f t="shared" ref="GI43" si="1622">IF(GI42&gt;0,GI$17,0)</f>
        <v>0</v>
      </c>
      <c r="GJ43" s="115">
        <f t="shared" ref="GJ43" si="1623">IF(GJ42&gt;0,GJ$17,0)</f>
        <v>0</v>
      </c>
      <c r="GK43" s="115">
        <f t="shared" ref="GK43" si="1624">IF(GK42&gt;0,GK$17,0)</f>
        <v>0</v>
      </c>
      <c r="GL43" s="115">
        <f t="shared" ref="GL43" si="1625">IF(GL42&gt;0,GL$17,0)</f>
        <v>0</v>
      </c>
      <c r="GM43" s="115">
        <f t="shared" ref="GM43" si="1626">IF(GM42&gt;0,GM$17,0)</f>
        <v>0</v>
      </c>
      <c r="GN43" s="115">
        <f t="shared" ref="GN43" si="1627">IF(GN42&gt;0,GN$17,0)</f>
        <v>0</v>
      </c>
      <c r="GO43" s="115">
        <f t="shared" ref="GO43" si="1628">IF(GO42&gt;0,GO$17,0)</f>
        <v>0</v>
      </c>
      <c r="GP43" s="115">
        <f t="shared" ref="GP43" si="1629">IF(GP42&gt;0,GP$17,0)</f>
        <v>0</v>
      </c>
      <c r="GQ43" s="115">
        <f t="shared" ref="GQ43" si="1630">IF(GQ42&gt;0,GQ$17,0)</f>
        <v>0</v>
      </c>
      <c r="GR43" s="115">
        <f t="shared" ref="GR43" si="1631">IF(GR42&gt;0,GR$17,0)</f>
        <v>0</v>
      </c>
      <c r="GS43" s="115">
        <f t="shared" ref="GS43" si="1632">IF(GS42&gt;0,GS$17,0)</f>
        <v>0</v>
      </c>
      <c r="GT43" s="115">
        <f t="shared" ref="GT43" si="1633">IF(GT42&gt;0,GT$17,0)</f>
        <v>0</v>
      </c>
      <c r="GU43" s="115">
        <f t="shared" ref="GU43" si="1634">IF(GU42&gt;0,GU$17,0)</f>
        <v>0</v>
      </c>
      <c r="GV43" s="115">
        <f t="shared" ref="GV43" si="1635">IF(GV42&gt;0,GV$17,0)</f>
        <v>0</v>
      </c>
      <c r="GW43" s="115">
        <f t="shared" ref="GW43" si="1636">IF(GW42&gt;0,GW$17,0)</f>
        <v>0</v>
      </c>
      <c r="GX43" s="115">
        <f t="shared" ref="GX43" si="1637">IF(GX42&gt;0,GX$17,0)</f>
        <v>0</v>
      </c>
      <c r="GY43" s="115">
        <f t="shared" ref="GY43" si="1638">IF(GY42&gt;0,GY$17,0)</f>
        <v>0</v>
      </c>
      <c r="GZ43" s="115">
        <f t="shared" ref="GZ43" si="1639">IF(GZ42&gt;0,GZ$17,0)</f>
        <v>0</v>
      </c>
      <c r="HA43" s="115">
        <f t="shared" ref="HA43" si="1640">IF(HA42&gt;0,HA$17,0)</f>
        <v>0</v>
      </c>
      <c r="HB43" s="115">
        <f t="shared" ref="HB43" si="1641">IF(HB42&gt;0,HB$17,0)</f>
        <v>0</v>
      </c>
      <c r="HC43" s="115">
        <f t="shared" ref="HC43" si="1642">IF(HC42&gt;0,HC$17,0)</f>
        <v>0</v>
      </c>
      <c r="HD43" s="115">
        <f t="shared" ref="HD43" si="1643">IF(HD42&gt;0,HD$17,0)</f>
        <v>0</v>
      </c>
      <c r="HE43" s="115">
        <f t="shared" ref="HE43" si="1644">IF(HE42&gt;0,HE$17,0)</f>
        <v>0</v>
      </c>
      <c r="HF43" s="115">
        <f t="shared" ref="HF43" si="1645">IF(HF42&gt;0,HF$17,0)</f>
        <v>0</v>
      </c>
      <c r="HG43" s="115">
        <f t="shared" ref="HG43" si="1646">IF(HG42&gt;0,HG$17,0)</f>
        <v>0</v>
      </c>
      <c r="HH43" s="115">
        <f t="shared" ref="HH43" si="1647">IF(HH42&gt;0,HH$17,0)</f>
        <v>0</v>
      </c>
      <c r="HI43" s="115">
        <f t="shared" ref="HI43" si="1648">IF(HI42&gt;0,HI$17,0)</f>
        <v>0</v>
      </c>
      <c r="HJ43" s="115">
        <f t="shared" ref="HJ43" si="1649">IF(HJ42&gt;0,HJ$17,0)</f>
        <v>0</v>
      </c>
      <c r="HK43" s="115">
        <f t="shared" ref="HK43" si="1650">IF(HK42&gt;0,HK$17,0)</f>
        <v>0</v>
      </c>
      <c r="HL43" s="115">
        <f t="shared" ref="HL43" si="1651">IF(HL42&gt;0,HL$17,0)</f>
        <v>0</v>
      </c>
      <c r="HM43" s="115">
        <f t="shared" ref="HM43" si="1652">IF(HM42&gt;0,HM$17,0)</f>
        <v>0</v>
      </c>
      <c r="HN43" s="115">
        <f t="shared" ref="HN43" si="1653">IF(HN42&gt;0,HN$17,0)</f>
        <v>0</v>
      </c>
      <c r="HO43" s="115">
        <f t="shared" ref="HO43" si="1654">IF(HO42&gt;0,HO$17,0)</f>
        <v>0</v>
      </c>
      <c r="HP43" s="115">
        <f t="shared" ref="HP43" si="1655">IF(HP42&gt;0,HP$17,0)</f>
        <v>0</v>
      </c>
      <c r="HQ43" s="115">
        <f t="shared" ref="HQ43" si="1656">IF(HQ42&gt;0,HQ$17,0)</f>
        <v>0</v>
      </c>
      <c r="HR43" s="115">
        <f t="shared" ref="HR43" si="1657">IF(HR42&gt;0,HR$17,0)</f>
        <v>0</v>
      </c>
      <c r="HS43" s="115">
        <f t="shared" ref="HS43" si="1658">IF(HS42&gt;0,HS$17,0)</f>
        <v>0</v>
      </c>
      <c r="HT43" s="115">
        <f t="shared" ref="HT43" si="1659">IF(HT42&gt;0,HT$17,0)</f>
        <v>0</v>
      </c>
      <c r="HU43" s="115">
        <f t="shared" ref="HU43" si="1660">IF(HU42&gt;0,HU$17,0)</f>
        <v>0</v>
      </c>
      <c r="HV43" s="115">
        <f t="shared" ref="HV43" si="1661">IF(HV42&gt;0,HV$17,0)</f>
        <v>0</v>
      </c>
      <c r="HW43" s="115">
        <f t="shared" ref="HW43" si="1662">IF(HW42&gt;0,HW$17,0)</f>
        <v>0</v>
      </c>
      <c r="HX43" s="115">
        <f t="shared" ref="HX43" si="1663">IF(HX42&gt;0,HX$17,0)</f>
        <v>0</v>
      </c>
      <c r="HY43" s="115">
        <f t="shared" ref="HY43" si="1664">IF(HY42&gt;0,HY$17,0)</f>
        <v>0</v>
      </c>
      <c r="HZ43" s="115">
        <f t="shared" ref="HZ43" si="1665">IF(HZ42&gt;0,HZ$17,0)</f>
        <v>0</v>
      </c>
      <c r="IA43" s="115">
        <f t="shared" ref="IA43" si="1666">IF(IA42&gt;0,IA$17,0)</f>
        <v>0</v>
      </c>
      <c r="IB43" s="115">
        <f t="shared" ref="IB43" si="1667">IF(IB42&gt;0,IB$17,0)</f>
        <v>0</v>
      </c>
      <c r="IC43" s="115">
        <f t="shared" ref="IC43" si="1668">IF(IC42&gt;0,IC$17,0)</f>
        <v>0</v>
      </c>
      <c r="ID43" s="115">
        <f t="shared" ref="ID43" si="1669">IF(ID42&gt;0,ID$17,0)</f>
        <v>0</v>
      </c>
      <c r="IE43" s="115">
        <f t="shared" ref="IE43" si="1670">IF(IE42&gt;0,IE$17,0)</f>
        <v>0</v>
      </c>
      <c r="IF43" s="115">
        <f t="shared" ref="IF43" si="1671">IF(IF42&gt;0,IF$17,0)</f>
        <v>0</v>
      </c>
      <c r="IG43" s="115">
        <f t="shared" ref="IG43" si="1672">IF(IG42&gt;0,IG$17,0)</f>
        <v>0</v>
      </c>
      <c r="IH43" s="115">
        <f t="shared" ref="IH43" si="1673">IF(IH42&gt;0,IH$17,0)</f>
        <v>0</v>
      </c>
      <c r="II43" s="115">
        <f t="shared" ref="II43" si="1674">IF(II42&gt;0,II$17,0)</f>
        <v>0</v>
      </c>
      <c r="IJ43" s="115">
        <f t="shared" ref="IJ43" si="1675">IF(IJ42&gt;0,IJ$17,0)</f>
        <v>0</v>
      </c>
      <c r="IK43" s="115">
        <f t="shared" ref="IK43" si="1676">IF(IK42&gt;0,IK$17,0)</f>
        <v>0</v>
      </c>
      <c r="IL43" s="115">
        <f t="shared" ref="IL43" si="1677">IF(IL42&gt;0,IL$17,0)</f>
        <v>0</v>
      </c>
      <c r="IM43" s="115">
        <f t="shared" ref="IM43" si="1678">IF(IM42&gt;0,IM$17,0)</f>
        <v>0</v>
      </c>
      <c r="IN43" s="115">
        <f t="shared" ref="IN43" si="1679">IF(IN42&gt;0,IN$17,0)</f>
        <v>0</v>
      </c>
      <c r="IO43" s="115">
        <f t="shared" ref="IO43" si="1680">IF(IO42&gt;0,IO$17,0)</f>
        <v>0</v>
      </c>
      <c r="IP43" s="115">
        <f t="shared" ref="IP43" si="1681">IF(IP42&gt;0,IP$17,0)</f>
        <v>0</v>
      </c>
      <c r="IQ43" s="115">
        <f t="shared" ref="IQ43" si="1682">IF(IQ42&gt;0,IQ$17,0)</f>
        <v>0</v>
      </c>
      <c r="IR43" s="115">
        <f t="shared" ref="IR43" si="1683">IF(IR42&gt;0,IR$17,0)</f>
        <v>0</v>
      </c>
      <c r="IS43" s="115">
        <f t="shared" ref="IS43" si="1684">IF(IS42&gt;0,IS$17,0)</f>
        <v>0</v>
      </c>
      <c r="IT43" s="115">
        <f t="shared" ref="IT43" si="1685">IF(IT42&gt;0,IT$17,0)</f>
        <v>0</v>
      </c>
      <c r="IU43" s="115">
        <f t="shared" ref="IU43" si="1686">IF(IU42&gt;0,IU$17,0)</f>
        <v>0</v>
      </c>
      <c r="IV43" s="115">
        <f t="shared" ref="IV43" si="1687">IF(IV42&gt;0,IV$17,0)</f>
        <v>0</v>
      </c>
      <c r="IW43" s="115">
        <f t="shared" ref="IW43" si="1688">IF(IW42&gt;0,IW$17,0)</f>
        <v>0</v>
      </c>
      <c r="IX43" s="115">
        <f t="shared" ref="IX43" si="1689">IF(IX42&gt;0,IX$17,0)</f>
        <v>0</v>
      </c>
      <c r="IY43" s="115">
        <f t="shared" ref="IY43" si="1690">IF(IY42&gt;0,IY$17,0)</f>
        <v>0</v>
      </c>
      <c r="IZ43" s="115">
        <f t="shared" ref="IZ43" si="1691">IF(IZ42&gt;0,IZ$17,0)</f>
        <v>0</v>
      </c>
      <c r="JA43" s="115">
        <f t="shared" ref="JA43" si="1692">IF(JA42&gt;0,JA$17,0)</f>
        <v>0</v>
      </c>
      <c r="JB43" s="115">
        <f t="shared" ref="JB43" si="1693">IF(JB42&gt;0,JB$17,0)</f>
        <v>0</v>
      </c>
      <c r="JC43" s="115">
        <f t="shared" ref="JC43" si="1694">IF(JC42&gt;0,JC$17,0)</f>
        <v>0</v>
      </c>
      <c r="JD43" s="115">
        <f t="shared" ref="JD43" si="1695">IF(JD42&gt;0,JD$17,0)</f>
        <v>0</v>
      </c>
      <c r="JE43" s="115">
        <f t="shared" ref="JE43" si="1696">IF(JE42&gt;0,JE$17,0)</f>
        <v>0</v>
      </c>
      <c r="JF43" s="115">
        <f t="shared" ref="JF43" si="1697">IF(JF42&gt;0,JF$17,0)</f>
        <v>0</v>
      </c>
      <c r="JG43" s="115">
        <f t="shared" ref="JG43" si="1698">IF(JG42&gt;0,JG$17,0)</f>
        <v>0</v>
      </c>
      <c r="JH43" s="115">
        <f t="shared" ref="JH43" si="1699">IF(JH42&gt;0,JH$17,0)</f>
        <v>0</v>
      </c>
      <c r="JI43" s="115">
        <f t="shared" ref="JI43" si="1700">IF(JI42&gt;0,JI$17,0)</f>
        <v>0</v>
      </c>
      <c r="JJ43" s="115">
        <f t="shared" ref="JJ43" si="1701">IF(JJ42&gt;0,JJ$17,0)</f>
        <v>0</v>
      </c>
      <c r="JK43" s="115">
        <f t="shared" ref="JK43" si="1702">IF(JK42&gt;0,JK$17,0)</f>
        <v>0</v>
      </c>
      <c r="JL43" s="115">
        <f t="shared" ref="JL43" si="1703">IF(JL42&gt;0,JL$17,0)</f>
        <v>0</v>
      </c>
      <c r="JM43" s="115">
        <f t="shared" ref="JM43" si="1704">IF(JM42&gt;0,JM$17,0)</f>
        <v>0</v>
      </c>
      <c r="JN43" s="115">
        <f t="shared" ref="JN43" si="1705">IF(JN42&gt;0,JN$17,0)</f>
        <v>0</v>
      </c>
      <c r="JO43" s="115">
        <f t="shared" ref="JO43" si="1706">IF(JO42&gt;0,JO$17,0)</f>
        <v>0</v>
      </c>
      <c r="JP43" s="115">
        <f t="shared" ref="JP43" si="1707">IF(JP42&gt;0,JP$17,0)</f>
        <v>0</v>
      </c>
      <c r="JQ43" s="115">
        <f t="shared" ref="JQ43" si="1708">IF(JQ42&gt;0,JQ$17,0)</f>
        <v>0</v>
      </c>
      <c r="JR43" s="115">
        <f t="shared" ref="JR43" si="1709">IF(JR42&gt;0,JR$17,0)</f>
        <v>0</v>
      </c>
      <c r="JS43" s="115">
        <f t="shared" ref="JS43" si="1710">IF(JS42&gt;0,JS$17,0)</f>
        <v>0</v>
      </c>
      <c r="JT43" s="115">
        <f t="shared" ref="JT43" si="1711">IF(JT42&gt;0,JT$17,0)</f>
        <v>0</v>
      </c>
      <c r="JU43" s="115">
        <f t="shared" ref="JU43" si="1712">IF(JU42&gt;0,JU$17,0)</f>
        <v>0</v>
      </c>
      <c r="JV43" s="115">
        <f t="shared" ref="JV43" si="1713">IF(JV42&gt;0,JV$17,0)</f>
        <v>0</v>
      </c>
      <c r="JW43" s="115">
        <f t="shared" ref="JW43" si="1714">IF(JW42&gt;0,JW$17,0)</f>
        <v>0</v>
      </c>
      <c r="JX43" s="115">
        <f t="shared" ref="JX43" si="1715">IF(JX42&gt;0,JX$17,0)</f>
        <v>0</v>
      </c>
      <c r="JY43" s="115">
        <f t="shared" ref="JY43" si="1716">IF(JY42&gt;0,JY$17,0)</f>
        <v>0</v>
      </c>
      <c r="JZ43" s="115">
        <f t="shared" ref="JZ43" si="1717">IF(JZ42&gt;0,JZ$17,0)</f>
        <v>0</v>
      </c>
      <c r="KA43" s="115">
        <f t="shared" ref="KA43" si="1718">IF(KA42&gt;0,KA$17,0)</f>
        <v>0</v>
      </c>
      <c r="KB43" s="115">
        <f t="shared" ref="KB43" si="1719">IF(KB42&gt;0,KB$17,0)</f>
        <v>0</v>
      </c>
      <c r="KC43" s="115">
        <f t="shared" ref="KC43" si="1720">IF(KC42&gt;0,KC$17,0)</f>
        <v>0</v>
      </c>
      <c r="KD43" s="115">
        <f t="shared" ref="KD43" si="1721">IF(KD42&gt;0,KD$17,0)</f>
        <v>0</v>
      </c>
      <c r="KE43" s="115">
        <f t="shared" ref="KE43" si="1722">IF(KE42&gt;0,KE$17,0)</f>
        <v>0</v>
      </c>
      <c r="KF43" s="115">
        <f t="shared" ref="KF43" si="1723">IF(KF42&gt;0,KF$17,0)</f>
        <v>0</v>
      </c>
      <c r="KG43" s="115">
        <f t="shared" ref="KG43" si="1724">IF(KG42&gt;0,KG$17,0)</f>
        <v>0</v>
      </c>
      <c r="KH43" s="115">
        <f t="shared" ref="KH43" si="1725">IF(KH42&gt;0,KH$17,0)</f>
        <v>0</v>
      </c>
      <c r="KI43" s="115">
        <f t="shared" ref="KI43" si="1726">IF(KI42&gt;0,KI$17,0)</f>
        <v>0</v>
      </c>
      <c r="KJ43" s="115">
        <f t="shared" ref="KJ43" si="1727">IF(KJ42&gt;0,KJ$17,0)</f>
        <v>0</v>
      </c>
      <c r="KK43" s="115">
        <f t="shared" ref="KK43" si="1728">IF(KK42&gt;0,KK$17,0)</f>
        <v>0</v>
      </c>
      <c r="KL43" s="115">
        <f t="shared" ref="KL43" si="1729">IF(KL42&gt;0,KL$17,0)</f>
        <v>0</v>
      </c>
      <c r="KM43" s="115">
        <f t="shared" ref="KM43" si="1730">IF(KM42&gt;0,KM$17,0)</f>
        <v>0</v>
      </c>
      <c r="KN43" s="115">
        <f t="shared" ref="KN43" si="1731">IF(KN42&gt;0,KN$17,0)</f>
        <v>0</v>
      </c>
      <c r="KO43" s="115">
        <f t="shared" ref="KO43" si="1732">IF(KO42&gt;0,KO$17,0)</f>
        <v>0</v>
      </c>
      <c r="KP43" s="115">
        <f t="shared" ref="KP43" si="1733">IF(KP42&gt;0,KP$17,0)</f>
        <v>0</v>
      </c>
      <c r="KQ43" s="115">
        <f t="shared" ref="KQ43" si="1734">IF(KQ42&gt;0,KQ$17,0)</f>
        <v>0</v>
      </c>
      <c r="KR43" s="115">
        <f t="shared" ref="KR43" si="1735">IF(KR42&gt;0,KR$17,0)</f>
        <v>0</v>
      </c>
      <c r="KS43" s="115">
        <f t="shared" ref="KS43" si="1736">IF(KS42&gt;0,KS$17,0)</f>
        <v>0</v>
      </c>
      <c r="KT43" s="115">
        <f t="shared" ref="KT43" si="1737">IF(KT42&gt;0,KT$17,0)</f>
        <v>0</v>
      </c>
      <c r="KU43" s="115">
        <f t="shared" ref="KU43" si="1738">IF(KU42&gt;0,KU$17,0)</f>
        <v>0</v>
      </c>
      <c r="KV43" s="115">
        <f t="shared" ref="KV43" si="1739">IF(KV42&gt;0,KV$17,0)</f>
        <v>0</v>
      </c>
      <c r="KW43" s="115">
        <f t="shared" ref="KW43" si="1740">IF(KW42&gt;0,KW$17,0)</f>
        <v>0</v>
      </c>
      <c r="KX43" s="115">
        <f t="shared" ref="KX43" si="1741">IF(KX42&gt;0,KX$17,0)</f>
        <v>0</v>
      </c>
      <c r="KY43" s="115">
        <f t="shared" ref="KY43" si="1742">IF(KY42&gt;0,KY$17,0)</f>
        <v>0</v>
      </c>
      <c r="KZ43" s="115">
        <f t="shared" ref="KZ43" si="1743">IF(KZ42&gt;0,KZ$17,0)</f>
        <v>0</v>
      </c>
      <c r="LA43" s="115">
        <f t="shared" ref="LA43" si="1744">IF(LA42&gt;0,LA$17,0)</f>
        <v>0</v>
      </c>
      <c r="LB43" s="115">
        <f t="shared" ref="LB43" si="1745">IF(LB42&gt;0,LB$17,0)</f>
        <v>0</v>
      </c>
      <c r="LC43" s="115">
        <f t="shared" ref="LC43" si="1746">IF(LC42&gt;0,LC$17,0)</f>
        <v>0</v>
      </c>
      <c r="LD43" s="115">
        <f t="shared" ref="LD43" si="1747">IF(LD42&gt;0,LD$17,0)</f>
        <v>0</v>
      </c>
      <c r="LE43" s="115">
        <f t="shared" ref="LE43" si="1748">IF(LE42&gt;0,LE$17,0)</f>
        <v>0</v>
      </c>
      <c r="LF43" s="115">
        <f t="shared" ref="LF43" si="1749">IF(LF42&gt;0,LF$17,0)</f>
        <v>0</v>
      </c>
      <c r="LG43" s="115">
        <f t="shared" ref="LG43" si="1750">IF(LG42&gt;0,LG$17,0)</f>
        <v>0</v>
      </c>
      <c r="LH43" s="115">
        <f t="shared" ref="LH43" si="1751">IF(LH42&gt;0,LH$17,0)</f>
        <v>0</v>
      </c>
      <c r="LI43" s="115">
        <f t="shared" ref="LI43" si="1752">IF(LI42&gt;0,LI$17,0)</f>
        <v>0</v>
      </c>
      <c r="LJ43" s="115">
        <f t="shared" ref="LJ43" si="1753">IF(LJ42&gt;0,LJ$17,0)</f>
        <v>0</v>
      </c>
      <c r="LK43" s="115">
        <f t="shared" ref="LK43" si="1754">IF(LK42&gt;0,LK$17,0)</f>
        <v>0</v>
      </c>
      <c r="LL43" s="115">
        <f t="shared" ref="LL43" si="1755">IF(LL42&gt;0,LL$17,0)</f>
        <v>0</v>
      </c>
      <c r="LM43" s="115">
        <f t="shared" ref="LM43" si="1756">IF(LM42&gt;0,LM$17,0)</f>
        <v>0</v>
      </c>
      <c r="LN43" s="115">
        <f t="shared" ref="LN43" si="1757">IF(LN42&gt;0,LN$17,0)</f>
        <v>0</v>
      </c>
      <c r="LO43" s="115">
        <f t="shared" ref="LO43" si="1758">IF(LO42&gt;0,LO$17,0)</f>
        <v>0</v>
      </c>
      <c r="LP43" s="115">
        <f t="shared" ref="LP43" si="1759">IF(LP42&gt;0,LP$17,0)</f>
        <v>0</v>
      </c>
      <c r="LQ43" s="115">
        <f t="shared" ref="LQ43" si="1760">IF(LQ42&gt;0,LQ$17,0)</f>
        <v>0</v>
      </c>
      <c r="LR43" s="115">
        <f t="shared" ref="LR43" si="1761">IF(LR42&gt;0,LR$17,0)</f>
        <v>0</v>
      </c>
      <c r="LS43" s="115">
        <f t="shared" ref="LS43" si="1762">IF(LS42&gt;0,LS$17,0)</f>
        <v>0</v>
      </c>
      <c r="LT43" s="115">
        <f t="shared" ref="LT43" si="1763">IF(LT42&gt;0,LT$17,0)</f>
        <v>0</v>
      </c>
      <c r="LU43" s="115">
        <f t="shared" ref="LU43" si="1764">IF(LU42&gt;0,LU$17,0)</f>
        <v>0</v>
      </c>
      <c r="LV43" s="115">
        <f t="shared" ref="LV43" si="1765">IF(LV42&gt;0,LV$17,0)</f>
        <v>0</v>
      </c>
      <c r="LW43" s="115">
        <f t="shared" ref="LW43" si="1766">IF(LW42&gt;0,LW$17,0)</f>
        <v>0</v>
      </c>
      <c r="LX43" s="115">
        <f t="shared" ref="LX43" si="1767">IF(LX42&gt;0,LX$17,0)</f>
        <v>0</v>
      </c>
      <c r="LY43" s="115">
        <f t="shared" ref="LY43" si="1768">IF(LY42&gt;0,LY$17,0)</f>
        <v>0</v>
      </c>
      <c r="LZ43" s="115">
        <f t="shared" ref="LZ43" si="1769">IF(LZ42&gt;0,LZ$17,0)</f>
        <v>0</v>
      </c>
      <c r="MA43" s="115">
        <f t="shared" ref="MA43" si="1770">IF(MA42&gt;0,MA$17,0)</f>
        <v>0</v>
      </c>
      <c r="MB43" s="115">
        <f t="shared" ref="MB43" si="1771">IF(MB42&gt;0,MB$17,0)</f>
        <v>0</v>
      </c>
      <c r="MC43" s="115">
        <f t="shared" ref="MC43" si="1772">IF(MC42&gt;0,MC$17,0)</f>
        <v>0</v>
      </c>
      <c r="MD43" s="115">
        <f t="shared" ref="MD43" si="1773">IF(MD42&gt;0,MD$17,0)</f>
        <v>0</v>
      </c>
      <c r="ME43" s="115">
        <f t="shared" ref="ME43" si="1774">IF(ME42&gt;0,ME$17,0)</f>
        <v>0</v>
      </c>
      <c r="MF43" s="115">
        <f t="shared" ref="MF43" si="1775">IF(MF42&gt;0,MF$17,0)</f>
        <v>0</v>
      </c>
      <c r="MG43" s="115">
        <f t="shared" ref="MG43" si="1776">IF(MG42&gt;0,MG$17,0)</f>
        <v>0</v>
      </c>
      <c r="MH43" s="115">
        <f t="shared" ref="MH43" si="1777">IF(MH42&gt;0,MH$17,0)</f>
        <v>0</v>
      </c>
      <c r="MI43" s="115">
        <f t="shared" ref="MI43" si="1778">IF(MI42&gt;0,MI$17,0)</f>
        <v>0</v>
      </c>
      <c r="MJ43" s="115">
        <f t="shared" ref="MJ43" si="1779">IF(MJ42&gt;0,MJ$17,0)</f>
        <v>0</v>
      </c>
      <c r="MK43" s="115">
        <f t="shared" ref="MK43" si="1780">IF(MK42&gt;0,MK$17,0)</f>
        <v>0</v>
      </c>
      <c r="ML43" s="115">
        <f t="shared" ref="ML43" si="1781">IF(ML42&gt;0,ML$17,0)</f>
        <v>0</v>
      </c>
      <c r="MM43" s="115">
        <f t="shared" ref="MM43" si="1782">IF(MM42&gt;0,MM$17,0)</f>
        <v>0</v>
      </c>
      <c r="MN43" s="115">
        <f t="shared" ref="MN43" si="1783">IF(MN42&gt;0,MN$17,0)</f>
        <v>0</v>
      </c>
      <c r="MO43" s="115">
        <f t="shared" ref="MO43" si="1784">IF(MO42&gt;0,MO$17,0)</f>
        <v>0</v>
      </c>
      <c r="MP43" s="115">
        <f t="shared" ref="MP43" si="1785">IF(MP42&gt;0,MP$17,0)</f>
        <v>0</v>
      </c>
      <c r="MQ43" s="115">
        <f t="shared" ref="MQ43" si="1786">IF(MQ42&gt;0,MQ$17,0)</f>
        <v>0</v>
      </c>
      <c r="MR43" s="115">
        <f t="shared" ref="MR43" si="1787">IF(MR42&gt;0,MR$17,0)</f>
        <v>0</v>
      </c>
      <c r="MS43" s="115">
        <f t="shared" ref="MS43" si="1788">IF(MS42&gt;0,MS$17,0)</f>
        <v>0</v>
      </c>
      <c r="MT43" s="115">
        <f t="shared" ref="MT43" si="1789">IF(MT42&gt;0,MT$17,0)</f>
        <v>0</v>
      </c>
      <c r="MU43" s="115">
        <f t="shared" ref="MU43" si="1790">IF(MU42&gt;0,MU$17,0)</f>
        <v>0</v>
      </c>
      <c r="MV43" s="115">
        <f t="shared" ref="MV43" si="1791">IF(MV42&gt;0,MV$17,0)</f>
        <v>0</v>
      </c>
      <c r="MW43" s="115">
        <f t="shared" ref="MW43" si="1792">IF(MW42&gt;0,MW$17,0)</f>
        <v>0</v>
      </c>
      <c r="MX43" s="115">
        <f t="shared" ref="MX43" si="1793">IF(MX42&gt;0,MX$17,0)</f>
        <v>0</v>
      </c>
      <c r="MY43" s="115">
        <f t="shared" ref="MY43" si="1794">IF(MY42&gt;0,MY$17,0)</f>
        <v>0</v>
      </c>
      <c r="MZ43" s="115">
        <f t="shared" ref="MZ43" si="1795">IF(MZ42&gt;0,MZ$17,0)</f>
        <v>0</v>
      </c>
      <c r="NA43" s="115">
        <f t="shared" ref="NA43" si="1796">IF(NA42&gt;0,NA$17,0)</f>
        <v>0</v>
      </c>
      <c r="NB43" s="115">
        <f t="shared" ref="NB43" si="1797">IF(NB42&gt;0,NB$17,0)</f>
        <v>0</v>
      </c>
      <c r="NC43" s="115">
        <f t="shared" ref="NC43" si="1798">IF(NC42&gt;0,NC$17,0)</f>
        <v>0</v>
      </c>
      <c r="ND43" s="115">
        <f t="shared" ref="ND43" si="1799">IF(ND42&gt;0,ND$17,0)</f>
        <v>0</v>
      </c>
      <c r="NE43" s="115">
        <f t="shared" ref="NE43" si="1800">IF(NE42&gt;0,NE$17,0)</f>
        <v>0</v>
      </c>
      <c r="NF43" s="115">
        <f t="shared" ref="NF43" si="1801">IF(NF42&gt;0,NF$17,0)</f>
        <v>0</v>
      </c>
      <c r="NG43" s="115">
        <f t="shared" ref="NG43" si="1802">IF(NG42&gt;0,NG$17,0)</f>
        <v>0</v>
      </c>
      <c r="NH43" s="115">
        <f t="shared" ref="NH43" si="1803">IF(NH42&gt;0,NH$17,0)</f>
        <v>0</v>
      </c>
      <c r="NI43" s="115">
        <f t="shared" ref="NI43" si="1804">IF(NI42&gt;0,NI$17,0)</f>
        <v>0</v>
      </c>
      <c r="NJ43" s="115">
        <f t="shared" ref="NJ43" si="1805">IF(NJ42&gt;0,NJ$17,0)</f>
        <v>0</v>
      </c>
      <c r="NK43" s="115">
        <f t="shared" ref="NK43" si="1806">IF(NK42&gt;0,NK$17,0)</f>
        <v>0</v>
      </c>
      <c r="NL43" s="115">
        <f t="shared" ref="NL43" si="1807">IF(NL42&gt;0,NL$17,0)</f>
        <v>0</v>
      </c>
      <c r="NM43" s="115">
        <f t="shared" ref="NM43" si="1808">IF(NM42&gt;0,NM$17,0)</f>
        <v>0</v>
      </c>
      <c r="NN43" s="115">
        <f t="shared" ref="NN43" si="1809">IF(NN42&gt;0,NN$17,0)</f>
        <v>0</v>
      </c>
      <c r="NO43" s="115">
        <f t="shared" ref="NO43" si="1810">IF(NO42&gt;0,NO$17,0)</f>
        <v>0</v>
      </c>
      <c r="NP43" s="115">
        <f t="shared" ref="NP43" si="1811">IF(NP42&gt;0,NP$17,0)</f>
        <v>0</v>
      </c>
      <c r="NQ43" s="115">
        <f t="shared" ref="NQ43" si="1812">IF(NQ42&gt;0,NQ$17,0)</f>
        <v>0</v>
      </c>
      <c r="NR43" s="115">
        <f t="shared" ref="NR43" si="1813">IF(NR42&gt;0,NR$17,0)</f>
        <v>0</v>
      </c>
      <c r="NS43" s="115">
        <f t="shared" ref="NS43" si="1814">IF(NS42&gt;0,NS$17,0)</f>
        <v>0</v>
      </c>
      <c r="NT43" s="115">
        <f t="shared" ref="NT43" si="1815">IF(NT42&gt;0,NT$17,0)</f>
        <v>0</v>
      </c>
      <c r="NU43" s="115">
        <f t="shared" ref="NU43" si="1816">IF(NU42&gt;0,NU$17,0)</f>
        <v>0</v>
      </c>
      <c r="NV43" s="115">
        <f t="shared" ref="NV43" si="1817">IF(NV42&gt;0,NV$17,0)</f>
        <v>0</v>
      </c>
      <c r="NW43" s="115">
        <f t="shared" ref="NW43" si="1818">IF(NW42&gt;0,NW$17,0)</f>
        <v>0</v>
      </c>
      <c r="NX43" s="115">
        <f t="shared" ref="NX43" si="1819">IF(NX42&gt;0,NX$17,0)</f>
        <v>0</v>
      </c>
      <c r="NY43" s="115">
        <f t="shared" ref="NY43" si="1820">IF(NY42&gt;0,NY$17,0)</f>
        <v>0</v>
      </c>
      <c r="NZ43" s="115">
        <f t="shared" ref="NZ43" si="1821">IF(NZ42&gt;0,NZ$17,0)</f>
        <v>0</v>
      </c>
      <c r="OA43" s="115">
        <f t="shared" ref="OA43" si="1822">IF(OA42&gt;0,OA$17,0)</f>
        <v>0</v>
      </c>
      <c r="OB43" s="115">
        <f t="shared" ref="OB43" si="1823">IF(OB42&gt;0,OB$17,0)</f>
        <v>0</v>
      </c>
      <c r="OC43" s="115">
        <f t="shared" ref="OC43" si="1824">IF(OC42&gt;0,OC$17,0)</f>
        <v>0</v>
      </c>
      <c r="OD43" s="115">
        <f t="shared" ref="OD43" si="1825">IF(OD42&gt;0,OD$17,0)</f>
        <v>0</v>
      </c>
      <c r="OE43" s="115">
        <f t="shared" ref="OE43" si="1826">IF(OE42&gt;0,OE$17,0)</f>
        <v>0</v>
      </c>
      <c r="OF43" s="115">
        <f t="shared" ref="OF43" si="1827">IF(OF42&gt;0,OF$17,0)</f>
        <v>0</v>
      </c>
      <c r="OG43" s="115">
        <f t="shared" ref="OG43" si="1828">IF(OG42&gt;0,OG$17,0)</f>
        <v>0</v>
      </c>
      <c r="OH43" s="115">
        <f t="shared" ref="OH43" si="1829">IF(OH42&gt;0,OH$17,0)</f>
        <v>0</v>
      </c>
      <c r="OI43" s="115">
        <f t="shared" ref="OI43" si="1830">IF(OI42&gt;0,OI$17,0)</f>
        <v>0</v>
      </c>
      <c r="OJ43" s="115">
        <f t="shared" ref="OJ43" si="1831">IF(OJ42&gt;0,OJ$17,0)</f>
        <v>0</v>
      </c>
      <c r="OK43" s="115">
        <f t="shared" ref="OK43" si="1832">IF(OK42&gt;0,OK$17,0)</f>
        <v>0</v>
      </c>
      <c r="OL43" s="115">
        <f t="shared" ref="OL43" si="1833">IF(OL42&gt;0,OL$17,0)</f>
        <v>0</v>
      </c>
      <c r="OM43" s="115">
        <f t="shared" ref="OM43" si="1834">IF(OM42&gt;0,OM$17,0)</f>
        <v>0</v>
      </c>
      <c r="ON43" s="115">
        <f t="shared" ref="ON43" si="1835">IF(ON42&gt;0,ON$17,0)</f>
        <v>0</v>
      </c>
      <c r="OO43" s="115">
        <f t="shared" ref="OO43" si="1836">IF(OO42&gt;0,OO$17,0)</f>
        <v>0</v>
      </c>
      <c r="OP43" s="115">
        <f t="shared" ref="OP43" si="1837">IF(OP42&gt;0,OP$17,0)</f>
        <v>0</v>
      </c>
      <c r="OQ43" s="115">
        <f t="shared" ref="OQ43" si="1838">IF(OQ42&gt;0,OQ$17,0)</f>
        <v>0</v>
      </c>
      <c r="OR43" s="115">
        <f t="shared" ref="OR43" si="1839">IF(OR42&gt;0,OR$17,0)</f>
        <v>0</v>
      </c>
      <c r="OS43" s="115">
        <f t="shared" ref="OS43" si="1840">IF(OS42&gt;0,OS$17,0)</f>
        <v>0</v>
      </c>
      <c r="OT43" s="115">
        <f t="shared" ref="OT43" si="1841">IF(OT42&gt;0,OT$17,0)</f>
        <v>0</v>
      </c>
      <c r="OU43" s="115">
        <f t="shared" ref="OU43" si="1842">IF(OU42&gt;0,OU$17,0)</f>
        <v>0</v>
      </c>
      <c r="OV43" s="115">
        <f t="shared" ref="OV43" si="1843">IF(OV42&gt;0,OV$17,0)</f>
        <v>0</v>
      </c>
      <c r="OW43" s="115">
        <f t="shared" ref="OW43" si="1844">IF(OW42&gt;0,OW$17,0)</f>
        <v>0</v>
      </c>
      <c r="OX43" s="115">
        <f t="shared" ref="OX43" si="1845">IF(OX42&gt;0,OX$17,0)</f>
        <v>0</v>
      </c>
      <c r="OY43" s="115">
        <f t="shared" ref="OY43" si="1846">IF(OY42&gt;0,OY$17,0)</f>
        <v>0</v>
      </c>
      <c r="OZ43" s="115">
        <f t="shared" ref="OZ43" si="1847">IF(OZ42&gt;0,OZ$17,0)</f>
        <v>0</v>
      </c>
      <c r="PA43" s="115">
        <f t="shared" ref="PA43" si="1848">IF(PA42&gt;0,PA$17,0)</f>
        <v>0</v>
      </c>
      <c r="PB43" s="115">
        <f t="shared" ref="PB43" si="1849">IF(PB42&gt;0,PB$17,0)</f>
        <v>0</v>
      </c>
      <c r="PC43" s="115">
        <f t="shared" ref="PC43" si="1850">IF(PC42&gt;0,PC$17,0)</f>
        <v>0</v>
      </c>
      <c r="PD43" s="115">
        <f t="shared" ref="PD43" si="1851">IF(PD42&gt;0,PD$17,0)</f>
        <v>0</v>
      </c>
      <c r="PE43" s="115">
        <f t="shared" ref="PE43" si="1852">IF(PE42&gt;0,PE$17,0)</f>
        <v>0</v>
      </c>
      <c r="PF43" s="115">
        <f t="shared" ref="PF43" si="1853">IF(PF42&gt;0,PF$17,0)</f>
        <v>0</v>
      </c>
      <c r="PG43" s="115">
        <f t="shared" ref="PG43" si="1854">IF(PG42&gt;0,PG$17,0)</f>
        <v>0</v>
      </c>
      <c r="PH43" s="115">
        <f t="shared" ref="PH43" si="1855">IF(PH42&gt;0,PH$17,0)</f>
        <v>0</v>
      </c>
      <c r="PI43" s="115">
        <f t="shared" ref="PI43" si="1856">IF(PI42&gt;0,PI$17,0)</f>
        <v>0</v>
      </c>
      <c r="PJ43" s="115">
        <f t="shared" ref="PJ43" si="1857">IF(PJ42&gt;0,PJ$17,0)</f>
        <v>0</v>
      </c>
      <c r="PK43" s="115">
        <f t="shared" ref="PK43" si="1858">IF(PK42&gt;0,PK$17,0)</f>
        <v>0</v>
      </c>
      <c r="PL43" s="115">
        <f t="shared" ref="PL43" si="1859">IF(PL42&gt;0,PL$17,0)</f>
        <v>0</v>
      </c>
      <c r="PM43" s="115">
        <f t="shared" ref="PM43" si="1860">IF(PM42&gt;0,PM$17,0)</f>
        <v>0</v>
      </c>
      <c r="PN43" s="115">
        <f t="shared" ref="PN43" si="1861">IF(PN42&gt;0,PN$17,0)</f>
        <v>0</v>
      </c>
      <c r="PO43" s="115">
        <f t="shared" ref="PO43" si="1862">IF(PO42&gt;0,PO$17,0)</f>
        <v>0</v>
      </c>
      <c r="PP43" s="115">
        <f t="shared" ref="PP43" si="1863">IF(PP42&gt;0,PP$17,0)</f>
        <v>0</v>
      </c>
      <c r="PQ43" s="115">
        <f t="shared" ref="PQ43" si="1864">IF(PQ42&gt;0,PQ$17,0)</f>
        <v>0</v>
      </c>
      <c r="PR43" s="115">
        <f t="shared" ref="PR43" si="1865">IF(PR42&gt;0,PR$17,0)</f>
        <v>0</v>
      </c>
      <c r="PS43" s="115">
        <f t="shared" ref="PS43" si="1866">IF(PS42&gt;0,PS$17,0)</f>
        <v>0</v>
      </c>
      <c r="PT43" s="115">
        <f t="shared" ref="PT43" si="1867">IF(PT42&gt;0,PT$17,0)</f>
        <v>0</v>
      </c>
      <c r="PU43" s="115">
        <f t="shared" ref="PU43" si="1868">IF(PU42&gt;0,PU$17,0)</f>
        <v>0</v>
      </c>
      <c r="PV43" s="115">
        <f t="shared" ref="PV43" si="1869">IF(PV42&gt;0,PV$17,0)</f>
        <v>0</v>
      </c>
      <c r="PW43" s="115">
        <f t="shared" ref="PW43" si="1870">IF(PW42&gt;0,PW$17,0)</f>
        <v>0</v>
      </c>
      <c r="PX43" s="115">
        <f t="shared" ref="PX43" si="1871">IF(PX42&gt;0,PX$17,0)</f>
        <v>0</v>
      </c>
      <c r="PY43" s="115">
        <f t="shared" ref="PY43" si="1872">IF(PY42&gt;0,PY$17,0)</f>
        <v>0</v>
      </c>
      <c r="PZ43" s="115">
        <f t="shared" ref="PZ43" si="1873">IF(PZ42&gt;0,PZ$17,0)</f>
        <v>0</v>
      </c>
      <c r="QA43" s="115">
        <f t="shared" ref="QA43" si="1874">IF(QA42&gt;0,QA$17,0)</f>
        <v>0</v>
      </c>
      <c r="QB43" s="115">
        <f t="shared" ref="QB43" si="1875">IF(QB42&gt;0,QB$17,0)</f>
        <v>0</v>
      </c>
      <c r="QC43" s="115">
        <f t="shared" ref="QC43" si="1876">IF(QC42&gt;0,QC$17,0)</f>
        <v>0</v>
      </c>
      <c r="QD43" s="115">
        <f t="shared" ref="QD43" si="1877">IF(QD42&gt;0,QD$17,0)</f>
        <v>0</v>
      </c>
      <c r="QE43" s="115">
        <f t="shared" ref="QE43" si="1878">IF(QE42&gt;0,QE$17,0)</f>
        <v>0</v>
      </c>
      <c r="QF43" s="115">
        <f t="shared" ref="QF43" si="1879">IF(QF42&gt;0,QF$17,0)</f>
        <v>0</v>
      </c>
      <c r="QG43" s="115">
        <f t="shared" ref="QG43" si="1880">IF(QG42&gt;0,QG$17,0)</f>
        <v>0</v>
      </c>
      <c r="QH43" s="115">
        <f t="shared" ref="QH43" si="1881">IF(QH42&gt;0,QH$17,0)</f>
        <v>0</v>
      </c>
      <c r="QI43" s="115">
        <f t="shared" ref="QI43" si="1882">IF(QI42&gt;0,QI$17,0)</f>
        <v>0</v>
      </c>
      <c r="QJ43" s="115">
        <f t="shared" ref="QJ43" si="1883">IF(QJ42&gt;0,QJ$17,0)</f>
        <v>0</v>
      </c>
      <c r="QK43" s="115">
        <f t="shared" ref="QK43" si="1884">IF(QK42&gt;0,QK$17,0)</f>
        <v>0</v>
      </c>
      <c r="QL43" s="115">
        <f t="shared" ref="QL43" si="1885">IF(QL42&gt;0,QL$17,0)</f>
        <v>0</v>
      </c>
      <c r="QM43" s="115">
        <f t="shared" ref="QM43" si="1886">IF(QM42&gt;0,QM$17,0)</f>
        <v>0</v>
      </c>
      <c r="QN43" s="115">
        <f t="shared" ref="QN43" si="1887">IF(QN42&gt;0,QN$17,0)</f>
        <v>0</v>
      </c>
      <c r="QO43" s="115">
        <f t="shared" ref="QO43" si="1888">IF(QO42&gt;0,QO$17,0)</f>
        <v>0</v>
      </c>
      <c r="QP43" s="115">
        <f t="shared" ref="QP43" si="1889">IF(QP42&gt;0,QP$17,0)</f>
        <v>0</v>
      </c>
      <c r="QQ43" s="115">
        <f t="shared" ref="QQ43" si="1890">IF(QQ42&gt;0,QQ$17,0)</f>
        <v>0</v>
      </c>
      <c r="QR43" s="115">
        <f t="shared" ref="QR43" si="1891">IF(QR42&gt;0,QR$17,0)</f>
        <v>0</v>
      </c>
      <c r="QS43" s="115">
        <f t="shared" ref="QS43" si="1892">IF(QS42&gt;0,QS$17,0)</f>
        <v>0</v>
      </c>
      <c r="QT43" s="115">
        <f t="shared" ref="QT43" si="1893">IF(QT42&gt;0,QT$17,0)</f>
        <v>0</v>
      </c>
      <c r="QU43" s="115">
        <f t="shared" ref="QU43" si="1894">IF(QU42&gt;0,QU$17,0)</f>
        <v>0</v>
      </c>
      <c r="QV43" s="115">
        <f t="shared" ref="QV43" si="1895">IF(QV42&gt;0,QV$17,0)</f>
        <v>0</v>
      </c>
      <c r="QW43" s="115">
        <f t="shared" ref="QW43" si="1896">IF(QW42&gt;0,QW$17,0)</f>
        <v>0</v>
      </c>
      <c r="QX43" s="115">
        <f t="shared" ref="QX43" si="1897">IF(QX42&gt;0,QX$17,0)</f>
        <v>0</v>
      </c>
      <c r="QY43" s="115">
        <f t="shared" ref="QY43" si="1898">IF(QY42&gt;0,QY$17,0)</f>
        <v>0</v>
      </c>
      <c r="QZ43" s="115">
        <f t="shared" ref="QZ43" si="1899">IF(QZ42&gt;0,QZ$17,0)</f>
        <v>0</v>
      </c>
      <c r="RA43" s="115">
        <f t="shared" ref="RA43" si="1900">IF(RA42&gt;0,RA$17,0)</f>
        <v>0</v>
      </c>
      <c r="RB43" s="115">
        <f t="shared" ref="RB43" si="1901">IF(RB42&gt;0,RB$17,0)</f>
        <v>0</v>
      </c>
      <c r="RC43" s="115">
        <f t="shared" ref="RC43" si="1902">IF(RC42&gt;0,RC$17,0)</f>
        <v>0</v>
      </c>
      <c r="RD43" s="115">
        <f t="shared" ref="RD43" si="1903">IF(RD42&gt;0,RD$17,0)</f>
        <v>0</v>
      </c>
      <c r="RE43" s="115">
        <f t="shared" ref="RE43" si="1904">IF(RE42&gt;0,RE$17,0)</f>
        <v>0</v>
      </c>
      <c r="RF43" s="115">
        <f t="shared" ref="RF43" si="1905">IF(RF42&gt;0,RF$17,0)</f>
        <v>0</v>
      </c>
      <c r="RG43" s="115">
        <f t="shared" ref="RG43" si="1906">IF(RG42&gt;0,RG$17,0)</f>
        <v>0</v>
      </c>
      <c r="RH43" s="115">
        <f t="shared" ref="RH43" si="1907">IF(RH42&gt;0,RH$17,0)</f>
        <v>0</v>
      </c>
      <c r="RI43" s="115">
        <f t="shared" ref="RI43" si="1908">IF(RI42&gt;0,RI$17,0)</f>
        <v>0</v>
      </c>
      <c r="RJ43" s="115">
        <f t="shared" ref="RJ43" si="1909">IF(RJ42&gt;0,RJ$17,0)</f>
        <v>0</v>
      </c>
      <c r="RK43" s="115">
        <f t="shared" ref="RK43" si="1910">IF(RK42&gt;0,RK$17,0)</f>
        <v>0</v>
      </c>
      <c r="RL43" s="115">
        <f t="shared" ref="RL43" si="1911">IF(RL42&gt;0,RL$17,0)</f>
        <v>0</v>
      </c>
      <c r="RM43" s="115">
        <f t="shared" ref="RM43" si="1912">IF(RM42&gt;0,RM$17,0)</f>
        <v>0</v>
      </c>
      <c r="RN43" s="115">
        <f t="shared" ref="RN43" si="1913">IF(RN42&gt;0,RN$17,0)</f>
        <v>0</v>
      </c>
      <c r="RO43" s="115">
        <f t="shared" ref="RO43" si="1914">IF(RO42&gt;0,RO$17,0)</f>
        <v>0</v>
      </c>
      <c r="RP43" s="115">
        <f t="shared" ref="RP43" si="1915">IF(RP42&gt;0,RP$17,0)</f>
        <v>0</v>
      </c>
      <c r="RQ43" s="115">
        <f t="shared" ref="RQ43" si="1916">IF(RQ42&gt;0,RQ$17,0)</f>
        <v>0</v>
      </c>
      <c r="RR43" s="115">
        <f t="shared" ref="RR43" si="1917">IF(RR42&gt;0,RR$17,0)</f>
        <v>0</v>
      </c>
      <c r="RS43" s="115">
        <f t="shared" ref="RS43" si="1918">IF(RS42&gt;0,RS$17,0)</f>
        <v>0</v>
      </c>
      <c r="RT43" s="115">
        <f t="shared" ref="RT43" si="1919">IF(RT42&gt;0,RT$17,0)</f>
        <v>0</v>
      </c>
      <c r="RU43" s="115">
        <f t="shared" ref="RU43" si="1920">IF(RU42&gt;0,RU$17,0)</f>
        <v>0</v>
      </c>
      <c r="RV43" s="115">
        <f t="shared" ref="RV43" si="1921">IF(RV42&gt;0,RV$17,0)</f>
        <v>0</v>
      </c>
      <c r="RW43" s="115">
        <f t="shared" ref="RW43" si="1922">IF(RW42&gt;0,RW$17,0)</f>
        <v>0</v>
      </c>
      <c r="RX43" s="115">
        <f t="shared" ref="RX43" si="1923">IF(RX42&gt;0,RX$17,0)</f>
        <v>0</v>
      </c>
      <c r="RY43" s="115">
        <f t="shared" ref="RY43" si="1924">IF(RY42&gt;0,RY$17,0)</f>
        <v>0</v>
      </c>
      <c r="RZ43" s="115">
        <f t="shared" ref="RZ43" si="1925">IF(RZ42&gt;0,RZ$17,0)</f>
        <v>0</v>
      </c>
      <c r="SA43" s="115">
        <f t="shared" ref="SA43" si="1926">IF(SA42&gt;0,SA$17,0)</f>
        <v>0</v>
      </c>
      <c r="SB43" s="115">
        <f t="shared" ref="SB43" si="1927">IF(SB42&gt;0,SB$17,0)</f>
        <v>0</v>
      </c>
      <c r="SC43" s="115">
        <f t="shared" ref="SC43" si="1928">IF(SC42&gt;0,SC$17,0)</f>
        <v>0</v>
      </c>
      <c r="SD43" s="115">
        <f t="shared" ref="SD43" si="1929">IF(SD42&gt;0,SD$17,0)</f>
        <v>0</v>
      </c>
      <c r="SE43" s="115">
        <f t="shared" ref="SE43" si="1930">IF(SE42&gt;0,SE$17,0)</f>
        <v>0</v>
      </c>
      <c r="SF43" s="115">
        <f t="shared" ref="SF43" si="1931">IF(SF42&gt;0,SF$17,0)</f>
        <v>0</v>
      </c>
      <c r="SG43" s="115">
        <f t="shared" ref="SG43" si="1932">IF(SG42&gt;0,SG$17,0)</f>
        <v>0</v>
      </c>
      <c r="SH43" s="115">
        <f t="shared" ref="SH43" si="1933">IF(SH42&gt;0,SH$17,0)</f>
        <v>0</v>
      </c>
      <c r="SI43" s="115">
        <f t="shared" ref="SI43" si="1934">IF(SI42&gt;0,SI$17,0)</f>
        <v>0</v>
      </c>
      <c r="SJ43" s="115">
        <f t="shared" ref="SJ43" si="1935">IF(SJ42&gt;0,SJ$17,0)</f>
        <v>0</v>
      </c>
      <c r="SK43" s="115">
        <f t="shared" ref="SK43" si="1936">IF(SK42&gt;0,SK$17,0)</f>
        <v>0</v>
      </c>
      <c r="SL43" s="115">
        <f t="shared" ref="SL43" si="1937">IF(SL42&gt;0,SL$17,0)</f>
        <v>0</v>
      </c>
      <c r="SM43" s="115">
        <f t="shared" ref="SM43" si="1938">IF(SM42&gt;0,SM$17,0)</f>
        <v>0</v>
      </c>
      <c r="SN43" s="115">
        <f t="shared" ref="SN43" si="1939">IF(SN42&gt;0,SN$17,0)</f>
        <v>0</v>
      </c>
      <c r="SO43" s="115">
        <f t="shared" ref="SO43" si="1940">IF(SO42&gt;0,SO$17,0)</f>
        <v>0</v>
      </c>
      <c r="SP43" s="115">
        <f t="shared" ref="SP43" si="1941">IF(SP42&gt;0,SP$17,0)</f>
        <v>0</v>
      </c>
      <c r="SQ43" s="115">
        <f t="shared" ref="SQ43" si="1942">IF(SQ42&gt;0,SQ$17,0)</f>
        <v>0</v>
      </c>
      <c r="SR43" s="115">
        <f t="shared" ref="SR43" si="1943">IF(SR42&gt;0,SR$17,0)</f>
        <v>0</v>
      </c>
      <c r="SS43" s="115">
        <f t="shared" ref="SS43" si="1944">IF(SS42&gt;0,SS$17,0)</f>
        <v>0</v>
      </c>
      <c r="ST43" s="115">
        <f t="shared" ref="ST43" si="1945">IF(ST42&gt;0,ST$17,0)</f>
        <v>0</v>
      </c>
      <c r="SU43" s="115">
        <f t="shared" ref="SU43" si="1946">IF(SU42&gt;0,SU$17,0)</f>
        <v>0</v>
      </c>
      <c r="SV43" s="115">
        <f t="shared" ref="SV43" si="1947">IF(SV42&gt;0,SV$17,0)</f>
        <v>0</v>
      </c>
      <c r="SW43" s="115">
        <f t="shared" ref="SW43" si="1948">IF(SW42&gt;0,SW$17,0)</f>
        <v>0</v>
      </c>
      <c r="SX43" s="115">
        <f t="shared" ref="SX43" si="1949">IF(SX42&gt;0,SX$17,0)</f>
        <v>0</v>
      </c>
      <c r="SY43" s="115">
        <f t="shared" ref="SY43" si="1950">IF(SY42&gt;0,SY$17,0)</f>
        <v>0</v>
      </c>
      <c r="SZ43" s="115">
        <f t="shared" ref="SZ43" si="1951">IF(SZ42&gt;0,SZ$17,0)</f>
        <v>0</v>
      </c>
      <c r="TA43" s="115">
        <f t="shared" ref="TA43" si="1952">IF(TA42&gt;0,TA$17,0)</f>
        <v>0</v>
      </c>
      <c r="TB43" s="115">
        <f t="shared" ref="TB43" si="1953">IF(TB42&gt;0,TB$17,0)</f>
        <v>0</v>
      </c>
      <c r="TC43" s="115">
        <f t="shared" ref="TC43" si="1954">IF(TC42&gt;0,TC$17,0)</f>
        <v>0</v>
      </c>
      <c r="TD43" s="115">
        <f t="shared" ref="TD43" si="1955">IF(TD42&gt;0,TD$17,0)</f>
        <v>0</v>
      </c>
      <c r="TE43" s="115">
        <f t="shared" ref="TE43" si="1956">IF(TE42&gt;0,TE$17,0)</f>
        <v>0</v>
      </c>
      <c r="TF43" s="115">
        <f t="shared" ref="TF43" si="1957">IF(TF42&gt;0,TF$17,0)</f>
        <v>0</v>
      </c>
      <c r="TG43" s="115">
        <f t="shared" ref="TG43" si="1958">IF(TG42&gt;0,TG$17,0)</f>
        <v>0</v>
      </c>
      <c r="TH43" s="115">
        <f t="shared" ref="TH43" si="1959">IF(TH42&gt;0,TH$17,0)</f>
        <v>0</v>
      </c>
      <c r="TI43" s="115">
        <f t="shared" ref="TI43" si="1960">IF(TI42&gt;0,TI$17,0)</f>
        <v>0</v>
      </c>
      <c r="TJ43" s="115">
        <f t="shared" ref="TJ43" si="1961">IF(TJ42&gt;0,TJ$17,0)</f>
        <v>0</v>
      </c>
      <c r="TK43" s="115">
        <f t="shared" ref="TK43" si="1962">IF(TK42&gt;0,TK$17,0)</f>
        <v>0</v>
      </c>
      <c r="TL43" s="115">
        <f t="shared" ref="TL43" si="1963">IF(TL42&gt;0,TL$17,0)</f>
        <v>0</v>
      </c>
      <c r="TM43" s="115">
        <f t="shared" ref="TM43" si="1964">IF(TM42&gt;0,TM$17,0)</f>
        <v>0</v>
      </c>
      <c r="TN43" s="115">
        <f t="shared" ref="TN43" si="1965">IF(TN42&gt;0,TN$17,0)</f>
        <v>0</v>
      </c>
      <c r="TO43" s="115">
        <f t="shared" ref="TO43" si="1966">IF(TO42&gt;0,TO$17,0)</f>
        <v>0</v>
      </c>
      <c r="TP43" s="115">
        <f t="shared" ref="TP43" si="1967">IF(TP42&gt;0,TP$17,0)</f>
        <v>0</v>
      </c>
      <c r="TQ43" s="115">
        <f t="shared" ref="TQ43" si="1968">IF(TQ42&gt;0,TQ$17,0)</f>
        <v>0</v>
      </c>
      <c r="TR43" s="115">
        <f t="shared" ref="TR43" si="1969">IF(TR42&gt;0,TR$17,0)</f>
        <v>0</v>
      </c>
      <c r="TS43" s="115">
        <f t="shared" ref="TS43" si="1970">IF(TS42&gt;0,TS$17,0)</f>
        <v>0</v>
      </c>
      <c r="TT43" s="115">
        <f t="shared" ref="TT43" si="1971">IF(TT42&gt;0,TT$17,0)</f>
        <v>0</v>
      </c>
      <c r="TU43" s="115">
        <f t="shared" ref="TU43" si="1972">IF(TU42&gt;0,TU$17,0)</f>
        <v>0</v>
      </c>
      <c r="TV43" s="115">
        <f t="shared" ref="TV43" si="1973">IF(TV42&gt;0,TV$17,0)</f>
        <v>0</v>
      </c>
      <c r="TW43" s="115">
        <f t="shared" ref="TW43" si="1974">IF(TW42&gt;0,TW$17,0)</f>
        <v>0</v>
      </c>
      <c r="TX43" s="115">
        <f t="shared" ref="TX43" si="1975">IF(TX42&gt;0,TX$17,0)</f>
        <v>0</v>
      </c>
      <c r="TY43" s="115">
        <f t="shared" ref="TY43" si="1976">IF(TY42&gt;0,TY$17,0)</f>
        <v>0</v>
      </c>
      <c r="TZ43" s="115">
        <f t="shared" ref="TZ43" si="1977">IF(TZ42&gt;0,TZ$17,0)</f>
        <v>0</v>
      </c>
      <c r="UA43" s="115">
        <f t="shared" ref="UA43" si="1978">IF(UA42&gt;0,UA$17,0)</f>
        <v>0</v>
      </c>
      <c r="UB43" s="115">
        <f t="shared" ref="UB43" si="1979">IF(UB42&gt;0,UB$17,0)</f>
        <v>0</v>
      </c>
      <c r="UC43" s="115">
        <f t="shared" ref="UC43" si="1980">IF(UC42&gt;0,UC$17,0)</f>
        <v>0</v>
      </c>
      <c r="UD43" s="115">
        <f t="shared" ref="UD43" si="1981">IF(UD42&gt;0,UD$17,0)</f>
        <v>0</v>
      </c>
      <c r="UE43" s="115">
        <f t="shared" ref="UE43" si="1982">IF(UE42&gt;0,UE$17,0)</f>
        <v>0</v>
      </c>
      <c r="UF43" s="115">
        <f t="shared" ref="UF43" si="1983">IF(UF42&gt;0,UF$17,0)</f>
        <v>0</v>
      </c>
      <c r="UG43" s="115">
        <f t="shared" ref="UG43" si="1984">IF(UG42&gt;0,UG$17,0)</f>
        <v>0</v>
      </c>
      <c r="UH43" s="115">
        <f t="shared" ref="UH43" si="1985">IF(UH42&gt;0,UH$17,0)</f>
        <v>0</v>
      </c>
      <c r="UI43" s="115">
        <f t="shared" ref="UI43" si="1986">IF(UI42&gt;0,UI$17,0)</f>
        <v>0</v>
      </c>
      <c r="UJ43" s="115">
        <f t="shared" ref="UJ43" si="1987">IF(UJ42&gt;0,UJ$17,0)</f>
        <v>0</v>
      </c>
      <c r="UK43" s="115">
        <f t="shared" ref="UK43" si="1988">IF(UK42&gt;0,UK$17,0)</f>
        <v>0</v>
      </c>
      <c r="UL43" s="115">
        <f t="shared" ref="UL43" si="1989">IF(UL42&gt;0,UL$17,0)</f>
        <v>0</v>
      </c>
      <c r="UM43" s="115">
        <f t="shared" ref="UM43" si="1990">IF(UM42&gt;0,UM$17,0)</f>
        <v>0</v>
      </c>
      <c r="UN43" s="115">
        <f t="shared" ref="UN43" si="1991">IF(UN42&gt;0,UN$17,0)</f>
        <v>0</v>
      </c>
      <c r="UO43" s="115">
        <f t="shared" ref="UO43" si="1992">IF(UO42&gt;0,UO$17,0)</f>
        <v>0</v>
      </c>
      <c r="UP43" s="115">
        <f t="shared" ref="UP43" si="1993">IF(UP42&gt;0,UP$17,0)</f>
        <v>0</v>
      </c>
      <c r="UQ43" s="115">
        <f t="shared" ref="UQ43" si="1994">IF(UQ42&gt;0,UQ$17,0)</f>
        <v>0</v>
      </c>
      <c r="UR43" s="115">
        <f t="shared" ref="UR43" si="1995">IF(UR42&gt;0,UR$17,0)</f>
        <v>0</v>
      </c>
      <c r="US43" s="115">
        <f t="shared" ref="US43" si="1996">IF(US42&gt;0,US$17,0)</f>
        <v>0</v>
      </c>
      <c r="UT43" s="115">
        <f t="shared" ref="UT43" si="1997">IF(UT42&gt;0,UT$17,0)</f>
        <v>0</v>
      </c>
      <c r="UU43" s="115">
        <f t="shared" ref="UU43" si="1998">IF(UU42&gt;0,UU$17,0)</f>
        <v>0</v>
      </c>
      <c r="UV43" s="115">
        <f t="shared" ref="UV43" si="1999">IF(UV42&gt;0,UV$17,0)</f>
        <v>0</v>
      </c>
      <c r="UW43" s="115">
        <f t="shared" ref="UW43" si="2000">IF(UW42&gt;0,UW$17,0)</f>
        <v>0</v>
      </c>
      <c r="UX43" s="115">
        <f t="shared" ref="UX43" si="2001">IF(UX42&gt;0,UX$17,0)</f>
        <v>0</v>
      </c>
      <c r="UY43" s="115">
        <f t="shared" ref="UY43" si="2002">IF(UY42&gt;0,UY$17,0)</f>
        <v>0</v>
      </c>
      <c r="UZ43" s="115">
        <f t="shared" ref="UZ43" si="2003">IF(UZ42&gt;0,UZ$17,0)</f>
        <v>0</v>
      </c>
      <c r="VA43" s="115">
        <f t="shared" ref="VA43" si="2004">IF(VA42&gt;0,VA$17,0)</f>
        <v>0</v>
      </c>
      <c r="VB43" s="115">
        <f t="shared" ref="VB43" si="2005">IF(VB42&gt;0,VB$17,0)</f>
        <v>0</v>
      </c>
      <c r="VC43" s="115">
        <f t="shared" ref="VC43" si="2006">IF(VC42&gt;0,VC$17,0)</f>
        <v>0</v>
      </c>
      <c r="VD43" s="115">
        <f t="shared" ref="VD43" si="2007">IF(VD42&gt;0,VD$17,0)</f>
        <v>0</v>
      </c>
      <c r="VE43" s="115">
        <f t="shared" ref="VE43" si="2008">IF(VE42&gt;0,VE$17,0)</f>
        <v>0</v>
      </c>
      <c r="VF43" s="115">
        <f t="shared" ref="VF43" si="2009">IF(VF42&gt;0,VF$17,0)</f>
        <v>0</v>
      </c>
      <c r="VG43" s="115">
        <f t="shared" ref="VG43" si="2010">IF(VG42&gt;0,VG$17,0)</f>
        <v>0</v>
      </c>
      <c r="VH43" s="115">
        <f t="shared" ref="VH43" si="2011">IF(VH42&gt;0,VH$17,0)</f>
        <v>0</v>
      </c>
      <c r="VI43" s="115">
        <f t="shared" ref="VI43" si="2012">IF(VI42&gt;0,VI$17,0)</f>
        <v>0</v>
      </c>
      <c r="VJ43" s="115">
        <f t="shared" ref="VJ43" si="2013">IF(VJ42&gt;0,VJ$17,0)</f>
        <v>0</v>
      </c>
      <c r="VK43" s="115">
        <f t="shared" ref="VK43" si="2014">IF(VK42&gt;0,VK$17,0)</f>
        <v>0</v>
      </c>
      <c r="VL43" s="115">
        <f t="shared" ref="VL43" si="2015">IF(VL42&gt;0,VL$17,0)</f>
        <v>0</v>
      </c>
      <c r="VM43" s="115">
        <f t="shared" ref="VM43" si="2016">IF(VM42&gt;0,VM$17,0)</f>
        <v>0</v>
      </c>
      <c r="VN43" s="115">
        <f t="shared" ref="VN43" si="2017">IF(VN42&gt;0,VN$17,0)</f>
        <v>0</v>
      </c>
      <c r="VO43" s="115">
        <f t="shared" ref="VO43" si="2018">IF(VO42&gt;0,VO$17,0)</f>
        <v>0</v>
      </c>
      <c r="VP43" s="115">
        <f t="shared" ref="VP43" si="2019">IF(VP42&gt;0,VP$17,0)</f>
        <v>0</v>
      </c>
      <c r="VQ43" s="115">
        <f t="shared" ref="VQ43" si="2020">IF(VQ42&gt;0,VQ$17,0)</f>
        <v>0</v>
      </c>
      <c r="VR43" s="115">
        <f t="shared" ref="VR43" si="2021">IF(VR42&gt;0,VR$17,0)</f>
        <v>0</v>
      </c>
      <c r="VS43" s="115">
        <f t="shared" ref="VS43" si="2022">IF(VS42&gt;0,VS$17,0)</f>
        <v>0</v>
      </c>
      <c r="VT43" s="115">
        <f t="shared" ref="VT43" si="2023">IF(VT42&gt;0,VT$17,0)</f>
        <v>0</v>
      </c>
      <c r="VU43" s="115">
        <f t="shared" ref="VU43" si="2024">IF(VU42&gt;0,VU$17,0)</f>
        <v>0</v>
      </c>
      <c r="VV43" s="115">
        <f t="shared" ref="VV43" si="2025">IF(VV42&gt;0,VV$17,0)</f>
        <v>0</v>
      </c>
      <c r="VW43" s="115">
        <f t="shared" ref="VW43" si="2026">IF(VW42&gt;0,VW$17,0)</f>
        <v>0</v>
      </c>
      <c r="VX43" s="115">
        <f t="shared" ref="VX43" si="2027">IF(VX42&gt;0,VX$17,0)</f>
        <v>0</v>
      </c>
      <c r="VY43" s="115">
        <f t="shared" ref="VY43" si="2028">IF(VY42&gt;0,VY$17,0)</f>
        <v>0</v>
      </c>
      <c r="VZ43" s="115">
        <f t="shared" ref="VZ43" si="2029">IF(VZ42&gt;0,VZ$17,0)</f>
        <v>0</v>
      </c>
      <c r="WA43" s="115">
        <f t="shared" ref="WA43" si="2030">IF(WA42&gt;0,WA$17,0)</f>
        <v>0</v>
      </c>
      <c r="WB43" s="115">
        <f t="shared" ref="WB43" si="2031">IF(WB42&gt;0,WB$17,0)</f>
        <v>0</v>
      </c>
      <c r="WC43" s="115">
        <f t="shared" ref="WC43" si="2032">IF(WC42&gt;0,WC$17,0)</f>
        <v>0</v>
      </c>
      <c r="WD43" s="115">
        <f t="shared" ref="WD43" si="2033">IF(WD42&gt;0,WD$17,0)</f>
        <v>0</v>
      </c>
      <c r="WE43" s="115">
        <f t="shared" ref="WE43" si="2034">IF(WE42&gt;0,WE$17,0)</f>
        <v>0</v>
      </c>
      <c r="WF43" s="115">
        <f t="shared" ref="WF43" si="2035">IF(WF42&gt;0,WF$17,0)</f>
        <v>0</v>
      </c>
      <c r="WG43" s="115">
        <f t="shared" ref="WG43" si="2036">IF(WG42&gt;0,WG$17,0)</f>
        <v>0</v>
      </c>
      <c r="WH43" s="115">
        <f t="shared" ref="WH43" si="2037">IF(WH42&gt;0,WH$17,0)</f>
        <v>0</v>
      </c>
      <c r="WI43" s="115">
        <f t="shared" ref="WI43" si="2038">IF(WI42&gt;0,WI$17,0)</f>
        <v>0</v>
      </c>
      <c r="WJ43" s="115">
        <f t="shared" ref="WJ43" si="2039">IF(WJ42&gt;0,WJ$17,0)</f>
        <v>0</v>
      </c>
      <c r="WK43" s="115">
        <f t="shared" ref="WK43" si="2040">IF(WK42&gt;0,WK$17,0)</f>
        <v>0</v>
      </c>
      <c r="WL43" s="115">
        <f t="shared" ref="WL43" si="2041">IF(WL42&gt;0,WL$17,0)</f>
        <v>0</v>
      </c>
      <c r="WM43" s="115">
        <f t="shared" ref="WM43" si="2042">IF(WM42&gt;0,WM$17,0)</f>
        <v>0</v>
      </c>
      <c r="WN43" s="115">
        <f t="shared" ref="WN43" si="2043">IF(WN42&gt;0,WN$17,0)</f>
        <v>0</v>
      </c>
      <c r="WO43" s="115">
        <f t="shared" ref="WO43" si="2044">IF(WO42&gt;0,WO$17,0)</f>
        <v>0</v>
      </c>
      <c r="WP43" s="115">
        <f t="shared" ref="WP43" si="2045">IF(WP42&gt;0,WP$17,0)</f>
        <v>0</v>
      </c>
      <c r="WQ43" s="115">
        <f t="shared" ref="WQ43" si="2046">IF(WQ42&gt;0,WQ$17,0)</f>
        <v>0</v>
      </c>
      <c r="WR43" s="115">
        <f t="shared" ref="WR43" si="2047">IF(WR42&gt;0,WR$17,0)</f>
        <v>0</v>
      </c>
      <c r="WS43" s="115">
        <f t="shared" ref="WS43" si="2048">IF(WS42&gt;0,WS$17,0)</f>
        <v>0</v>
      </c>
      <c r="WT43" s="115">
        <f t="shared" ref="WT43" si="2049">IF(WT42&gt;0,WT$17,0)</f>
        <v>0</v>
      </c>
      <c r="WU43" s="115">
        <f t="shared" ref="WU43" si="2050">IF(WU42&gt;0,WU$17,0)</f>
        <v>0</v>
      </c>
      <c r="WV43" s="115">
        <f t="shared" ref="WV43" si="2051">IF(WV42&gt;0,WV$17,0)</f>
        <v>0</v>
      </c>
      <c r="WW43" s="115">
        <f t="shared" ref="WW43" si="2052">IF(WW42&gt;0,WW$17,0)</f>
        <v>0</v>
      </c>
      <c r="WX43" s="115">
        <f t="shared" ref="WX43" si="2053">IF(WX42&gt;0,WX$17,0)</f>
        <v>0</v>
      </c>
      <c r="WY43" s="115">
        <f t="shared" ref="WY43" si="2054">IF(WY42&gt;0,WY$17,0)</f>
        <v>0</v>
      </c>
      <c r="WZ43" s="115">
        <f t="shared" ref="WZ43" si="2055">IF(WZ42&gt;0,WZ$17,0)</f>
        <v>0</v>
      </c>
      <c r="XA43" s="115">
        <f t="shared" ref="XA43" si="2056">IF(XA42&gt;0,XA$17,0)</f>
        <v>0</v>
      </c>
      <c r="XB43" s="115">
        <f t="shared" ref="XB43" si="2057">IF(XB42&gt;0,XB$17,0)</f>
        <v>0</v>
      </c>
      <c r="XC43" s="115">
        <f t="shared" ref="XC43" si="2058">IF(XC42&gt;0,XC$17,0)</f>
        <v>0</v>
      </c>
      <c r="XD43" s="115">
        <f t="shared" ref="XD43" si="2059">IF(XD42&gt;0,XD$17,0)</f>
        <v>0</v>
      </c>
      <c r="XE43" s="115">
        <f t="shared" ref="XE43" si="2060">IF(XE42&gt;0,XE$17,0)</f>
        <v>0</v>
      </c>
      <c r="XF43" s="115">
        <f t="shared" ref="XF43" si="2061">IF(XF42&gt;0,XF$17,0)</f>
        <v>0</v>
      </c>
      <c r="XG43" s="115">
        <f t="shared" ref="XG43" si="2062">IF(XG42&gt;0,XG$17,0)</f>
        <v>0</v>
      </c>
      <c r="XH43" s="115">
        <f t="shared" ref="XH43" si="2063">IF(XH42&gt;0,XH$17,0)</f>
        <v>0</v>
      </c>
      <c r="XI43" s="115">
        <f t="shared" ref="XI43" si="2064">IF(XI42&gt;0,XI$17,0)</f>
        <v>0</v>
      </c>
      <c r="XJ43" s="115">
        <f t="shared" ref="XJ43" si="2065">IF(XJ42&gt;0,XJ$17,0)</f>
        <v>0</v>
      </c>
      <c r="XK43" s="115">
        <f t="shared" ref="XK43" si="2066">IF(XK42&gt;0,XK$17,0)</f>
        <v>0</v>
      </c>
      <c r="XL43" s="115">
        <f t="shared" ref="XL43" si="2067">IF(XL42&gt;0,XL$17,0)</f>
        <v>0</v>
      </c>
      <c r="XM43" s="115">
        <f t="shared" ref="XM43" si="2068">IF(XM42&gt;0,XM$17,0)</f>
        <v>0</v>
      </c>
      <c r="XN43" s="115">
        <f t="shared" ref="XN43" si="2069">IF(XN42&gt;0,XN$17,0)</f>
        <v>0</v>
      </c>
      <c r="XO43" s="115">
        <f t="shared" ref="XO43" si="2070">IF(XO42&gt;0,XO$17,0)</f>
        <v>0</v>
      </c>
      <c r="XP43" s="115">
        <f t="shared" ref="XP43" si="2071">IF(XP42&gt;0,XP$17,0)</f>
        <v>0</v>
      </c>
      <c r="XQ43" s="115">
        <f t="shared" ref="XQ43" si="2072">IF(XQ42&gt;0,XQ$17,0)</f>
        <v>0</v>
      </c>
      <c r="XR43" s="115">
        <f t="shared" ref="XR43" si="2073">IF(XR42&gt;0,XR$17,0)</f>
        <v>0</v>
      </c>
      <c r="XS43" s="115">
        <f t="shared" ref="XS43" si="2074">IF(XS42&gt;0,XS$17,0)</f>
        <v>0</v>
      </c>
      <c r="XT43" s="115">
        <f t="shared" ref="XT43" si="2075">IF(XT42&gt;0,XT$17,0)</f>
        <v>0</v>
      </c>
      <c r="XU43" s="115">
        <f t="shared" ref="XU43" si="2076">IF(XU42&gt;0,XU$17,0)</f>
        <v>0</v>
      </c>
      <c r="XV43" s="115">
        <f t="shared" ref="XV43" si="2077">IF(XV42&gt;0,XV$17,0)</f>
        <v>0</v>
      </c>
      <c r="XW43" s="115">
        <f t="shared" ref="XW43" si="2078">IF(XW42&gt;0,XW$17,0)</f>
        <v>0</v>
      </c>
      <c r="XX43" s="115">
        <f t="shared" ref="XX43" si="2079">IF(XX42&gt;0,XX$17,0)</f>
        <v>645</v>
      </c>
      <c r="XY43" s="115">
        <f t="shared" ref="XY43" si="2080">IF(XY42&gt;0,XY$17,0)</f>
        <v>0</v>
      </c>
      <c r="XZ43" s="115">
        <f t="shared" ref="XZ43" si="2081">IF(XZ42&gt;0,XZ$17,0)</f>
        <v>0</v>
      </c>
      <c r="YA43" s="115">
        <f t="shared" ref="YA43" si="2082">IF(YA42&gt;0,YA$17,0)</f>
        <v>0</v>
      </c>
      <c r="YB43" s="115">
        <f t="shared" ref="YB43" si="2083">IF(YB42&gt;0,YB$17,0)</f>
        <v>0</v>
      </c>
      <c r="YC43" s="115">
        <f t="shared" ref="YC43" si="2084">IF(YC42&gt;0,YC$17,0)</f>
        <v>0</v>
      </c>
      <c r="YD43" s="115">
        <f t="shared" ref="YD43" si="2085">IF(YD42&gt;0,YD$17,0)</f>
        <v>0</v>
      </c>
      <c r="YE43" s="115">
        <f t="shared" ref="YE43" si="2086">IF(YE42&gt;0,YE$17,0)</f>
        <v>0</v>
      </c>
      <c r="YF43" s="115">
        <f t="shared" ref="YF43" si="2087">IF(YF42&gt;0,YF$17,0)</f>
        <v>0</v>
      </c>
      <c r="YG43" s="115">
        <f t="shared" ref="YG43" si="2088">IF(YG42&gt;0,YG$17,0)</f>
        <v>0</v>
      </c>
      <c r="YH43" s="115">
        <f t="shared" ref="YH43" si="2089">IF(YH42&gt;0,YH$17,0)</f>
        <v>0</v>
      </c>
      <c r="YI43" s="115">
        <f t="shared" ref="YI43" si="2090">IF(YI42&gt;0,YI$17,0)</f>
        <v>0</v>
      </c>
      <c r="YJ43" s="115">
        <f t="shared" ref="YJ43" si="2091">IF(YJ42&gt;0,YJ$17,0)</f>
        <v>0</v>
      </c>
      <c r="YK43" s="115">
        <f t="shared" ref="YK43" si="2092">IF(YK42&gt;0,YK$17,0)</f>
        <v>0</v>
      </c>
      <c r="YL43" s="115">
        <f t="shared" ref="YL43" si="2093">IF(YL42&gt;0,YL$17,0)</f>
        <v>0</v>
      </c>
      <c r="YM43" s="115">
        <f t="shared" ref="YM43" si="2094">IF(YM42&gt;0,YM$17,0)</f>
        <v>0</v>
      </c>
      <c r="YN43" s="115">
        <f t="shared" ref="YN43" si="2095">IF(YN42&gt;0,YN$17,0)</f>
        <v>0</v>
      </c>
      <c r="YO43" s="115">
        <f t="shared" ref="YO43" si="2096">IF(YO42&gt;0,YO$17,0)</f>
        <v>0</v>
      </c>
      <c r="YP43" s="115">
        <f t="shared" ref="YP43" si="2097">IF(YP42&gt;0,YP$17,0)</f>
        <v>0</v>
      </c>
      <c r="YQ43" s="115">
        <f t="shared" ref="YQ43" si="2098">IF(YQ42&gt;0,YQ$17,0)</f>
        <v>0</v>
      </c>
      <c r="YR43" s="115">
        <f t="shared" ref="YR43" si="2099">IF(YR42&gt;0,YR$17,0)</f>
        <v>0</v>
      </c>
      <c r="YS43" s="115">
        <f t="shared" ref="YS43" si="2100">IF(YS42&gt;0,YS$17,0)</f>
        <v>0</v>
      </c>
      <c r="YT43" s="115">
        <f t="shared" ref="YT43" si="2101">IF(YT42&gt;0,YT$17,0)</f>
        <v>0</v>
      </c>
      <c r="YU43" s="115">
        <f t="shared" ref="YU43" si="2102">IF(YU42&gt;0,YU$17,0)</f>
        <v>0</v>
      </c>
      <c r="YV43" s="115">
        <f t="shared" ref="YV43" si="2103">IF(YV42&gt;0,YV$17,0)</f>
        <v>0</v>
      </c>
      <c r="YW43" s="115">
        <f t="shared" ref="YW43" si="2104">IF(YW42&gt;0,YW$17,0)</f>
        <v>0</v>
      </c>
      <c r="YX43" s="115">
        <f t="shared" ref="YX43" si="2105">IF(YX42&gt;0,YX$17,0)</f>
        <v>0</v>
      </c>
      <c r="YY43" s="115">
        <f t="shared" ref="YY43" si="2106">IF(YY42&gt;0,YY$17,0)</f>
        <v>0</v>
      </c>
      <c r="YZ43" s="115">
        <f t="shared" ref="YZ43" si="2107">IF(YZ42&gt;0,YZ$17,0)</f>
        <v>0</v>
      </c>
      <c r="ZA43" s="115">
        <f t="shared" ref="ZA43" si="2108">IF(ZA42&gt;0,ZA$17,0)</f>
        <v>0</v>
      </c>
      <c r="ZB43" s="115">
        <f t="shared" ref="ZB43" si="2109">IF(ZB42&gt;0,ZB$17,0)</f>
        <v>0</v>
      </c>
      <c r="ZC43" s="115">
        <f t="shared" ref="ZC43" si="2110">IF(ZC42&gt;0,ZC$17,0)</f>
        <v>0</v>
      </c>
      <c r="ZD43" s="115">
        <f t="shared" ref="ZD43" si="2111">IF(ZD42&gt;0,ZD$17,0)</f>
        <v>0</v>
      </c>
      <c r="ZE43" s="115">
        <f t="shared" ref="ZE43" si="2112">IF(ZE42&gt;0,ZE$17,0)</f>
        <v>0</v>
      </c>
      <c r="ZF43" s="115">
        <f t="shared" ref="ZF43" si="2113">IF(ZF42&gt;0,ZF$17,0)</f>
        <v>0</v>
      </c>
      <c r="ZG43" s="115">
        <f t="shared" ref="ZG43" si="2114">IF(ZG42&gt;0,ZG$17,0)</f>
        <v>0</v>
      </c>
      <c r="ZH43" s="115">
        <f t="shared" ref="ZH43" si="2115">IF(ZH42&gt;0,ZH$17,0)</f>
        <v>0</v>
      </c>
      <c r="ZI43" s="115">
        <f t="shared" ref="ZI43" si="2116">IF(ZI42&gt;0,ZI$17,0)</f>
        <v>0</v>
      </c>
      <c r="ZJ43" s="115">
        <f t="shared" ref="ZJ43" si="2117">IF(ZJ42&gt;0,ZJ$17,0)</f>
        <v>0</v>
      </c>
      <c r="ZK43" s="115">
        <f t="shared" ref="ZK43" si="2118">IF(ZK42&gt;0,ZK$17,0)</f>
        <v>0</v>
      </c>
      <c r="ZL43" s="115">
        <f t="shared" ref="ZL43" si="2119">IF(ZL42&gt;0,ZL$17,0)</f>
        <v>0</v>
      </c>
      <c r="ZM43" s="115">
        <f t="shared" ref="ZM43" si="2120">IF(ZM42&gt;0,ZM$17,0)</f>
        <v>0</v>
      </c>
      <c r="ZN43" s="115">
        <f t="shared" ref="ZN43" si="2121">IF(ZN42&gt;0,ZN$17,0)</f>
        <v>0</v>
      </c>
      <c r="ZO43" s="115">
        <f t="shared" ref="ZO43" si="2122">IF(ZO42&gt;0,ZO$17,0)</f>
        <v>0</v>
      </c>
      <c r="ZP43" s="115">
        <f t="shared" ref="ZP43" si="2123">IF(ZP42&gt;0,ZP$17,0)</f>
        <v>0</v>
      </c>
      <c r="ZQ43" s="115">
        <f t="shared" ref="ZQ43" si="2124">IF(ZQ42&gt;0,ZQ$17,0)</f>
        <v>0</v>
      </c>
      <c r="ZR43" s="115">
        <f t="shared" ref="ZR43" si="2125">IF(ZR42&gt;0,ZR$17,0)</f>
        <v>0</v>
      </c>
      <c r="ZS43" s="115">
        <f t="shared" ref="ZS43" si="2126">IF(ZS42&gt;0,ZS$17,0)</f>
        <v>0</v>
      </c>
      <c r="ZT43" s="115">
        <f t="shared" ref="ZT43" si="2127">IF(ZT42&gt;0,ZT$17,0)</f>
        <v>0</v>
      </c>
      <c r="ZU43" s="115">
        <f t="shared" ref="ZU43" si="2128">IF(ZU42&gt;0,ZU$17,0)</f>
        <v>0</v>
      </c>
      <c r="ZV43" s="115">
        <f t="shared" ref="ZV43" si="2129">IF(ZV42&gt;0,ZV$17,0)</f>
        <v>0</v>
      </c>
      <c r="ZW43" s="115">
        <f t="shared" ref="ZW43" si="2130">IF(ZW42&gt;0,ZW$17,0)</f>
        <v>0</v>
      </c>
      <c r="ZX43" s="115">
        <f t="shared" ref="ZX43" si="2131">IF(ZX42&gt;0,ZX$17,0)</f>
        <v>0</v>
      </c>
      <c r="ZY43" s="115">
        <f t="shared" ref="ZY43" si="2132">IF(ZY42&gt;0,ZY$17,0)</f>
        <v>0</v>
      </c>
      <c r="ZZ43" s="115">
        <f t="shared" ref="ZZ43" si="2133">IF(ZZ42&gt;0,ZZ$17,0)</f>
        <v>0</v>
      </c>
      <c r="AAA43" s="115">
        <f t="shared" ref="AAA43" si="2134">IF(AAA42&gt;0,AAA$17,0)</f>
        <v>0</v>
      </c>
      <c r="AAB43" s="115">
        <f t="shared" ref="AAB43" si="2135">IF(AAB42&gt;0,AAB$17,0)</f>
        <v>0</v>
      </c>
      <c r="AAC43" s="115">
        <f t="shared" ref="AAC43" si="2136">IF(AAC42&gt;0,AAC$17,0)</f>
        <v>0</v>
      </c>
      <c r="AAD43" s="115">
        <f t="shared" ref="AAD43" si="2137">IF(AAD42&gt;0,AAD$17,0)</f>
        <v>0</v>
      </c>
      <c r="AAE43" s="115">
        <f t="shared" ref="AAE43" si="2138">IF(AAE42&gt;0,AAE$17,0)</f>
        <v>0</v>
      </c>
      <c r="AAF43" s="115">
        <f t="shared" ref="AAF43" si="2139">IF(AAF42&gt;0,AAF$17,0)</f>
        <v>0</v>
      </c>
      <c r="AAG43" s="115">
        <f t="shared" ref="AAG43" si="2140">IF(AAG42&gt;0,AAG$17,0)</f>
        <v>0</v>
      </c>
      <c r="AAH43" s="115">
        <f t="shared" ref="AAH43" si="2141">IF(AAH42&gt;0,AAH$17,0)</f>
        <v>0</v>
      </c>
      <c r="AAI43" s="115">
        <f t="shared" ref="AAI43" si="2142">IF(AAI42&gt;0,AAI$17,0)</f>
        <v>0</v>
      </c>
      <c r="AAJ43" s="115">
        <f t="shared" ref="AAJ43" si="2143">IF(AAJ42&gt;0,AAJ$17,0)</f>
        <v>0</v>
      </c>
      <c r="AAK43" s="115">
        <f t="shared" ref="AAK43" si="2144">IF(AAK42&gt;0,AAK$17,0)</f>
        <v>0</v>
      </c>
      <c r="AAL43" s="115">
        <f t="shared" ref="AAL43" si="2145">IF(AAL42&gt;0,AAL$17,0)</f>
        <v>0</v>
      </c>
      <c r="AAM43" s="115">
        <f t="shared" ref="AAM43" si="2146">IF(AAM42&gt;0,AAM$17,0)</f>
        <v>0</v>
      </c>
      <c r="AAN43" s="115">
        <f t="shared" ref="AAN43" si="2147">IF(AAN42&gt;0,AAN$17,0)</f>
        <v>0</v>
      </c>
      <c r="AAO43" s="115">
        <f t="shared" ref="AAO43" si="2148">IF(AAO42&gt;0,AAO$17,0)</f>
        <v>0</v>
      </c>
      <c r="AAP43" s="115">
        <f t="shared" ref="AAP43" si="2149">IF(AAP42&gt;0,AAP$17,0)</f>
        <v>0</v>
      </c>
      <c r="AAQ43" s="115">
        <f t="shared" ref="AAQ43" si="2150">IF(AAQ42&gt;0,AAQ$17,0)</f>
        <v>0</v>
      </c>
      <c r="AAR43" s="115">
        <f t="shared" ref="AAR43" si="2151">IF(AAR42&gt;0,AAR$17,0)</f>
        <v>0</v>
      </c>
      <c r="AAS43" s="115">
        <f t="shared" ref="AAS43" si="2152">IF(AAS42&gt;0,AAS$17,0)</f>
        <v>0</v>
      </c>
      <c r="AAT43" s="115">
        <f t="shared" ref="AAT43" si="2153">IF(AAT42&gt;0,AAT$17,0)</f>
        <v>0</v>
      </c>
      <c r="AAU43" s="115">
        <f t="shared" ref="AAU43" si="2154">IF(AAU42&gt;0,AAU$17,0)</f>
        <v>0</v>
      </c>
      <c r="AAV43" s="115">
        <f t="shared" ref="AAV43" si="2155">IF(AAV42&gt;0,AAV$17,0)</f>
        <v>0</v>
      </c>
      <c r="AAW43" s="115">
        <f t="shared" ref="AAW43" si="2156">IF(AAW42&gt;0,AAW$17,0)</f>
        <v>0</v>
      </c>
      <c r="AAX43" s="115">
        <f t="shared" ref="AAX43" si="2157">IF(AAX42&gt;0,AAX$17,0)</f>
        <v>0</v>
      </c>
      <c r="AAY43" s="115">
        <f t="shared" ref="AAY43" si="2158">IF(AAY42&gt;0,AAY$17,0)</f>
        <v>0</v>
      </c>
      <c r="AAZ43" s="115">
        <f t="shared" ref="AAZ43" si="2159">IF(AAZ42&gt;0,AAZ$17,0)</f>
        <v>0</v>
      </c>
      <c r="ABA43" s="115">
        <f t="shared" ref="ABA43" si="2160">IF(ABA42&gt;0,ABA$17,0)</f>
        <v>0</v>
      </c>
      <c r="ABB43" s="115">
        <f t="shared" ref="ABB43" si="2161">IF(ABB42&gt;0,ABB$17,0)</f>
        <v>0</v>
      </c>
      <c r="ABC43" s="115">
        <f t="shared" ref="ABC43" si="2162">IF(ABC42&gt;0,ABC$17,0)</f>
        <v>0</v>
      </c>
      <c r="ABD43" s="115">
        <f t="shared" ref="ABD43" si="2163">IF(ABD42&gt;0,ABD$17,0)</f>
        <v>0</v>
      </c>
      <c r="ABE43" s="115">
        <f t="shared" ref="ABE43" si="2164">IF(ABE42&gt;0,ABE$17,0)</f>
        <v>0</v>
      </c>
      <c r="ABF43" s="115">
        <f t="shared" ref="ABF43" si="2165">IF(ABF42&gt;0,ABF$17,0)</f>
        <v>0</v>
      </c>
      <c r="ABG43" s="115">
        <f t="shared" ref="ABG43" si="2166">IF(ABG42&gt;0,ABG$17,0)</f>
        <v>0</v>
      </c>
      <c r="ABH43" s="115">
        <f t="shared" ref="ABH43" si="2167">IF(ABH42&gt;0,ABH$17,0)</f>
        <v>0</v>
      </c>
      <c r="ABI43" s="115">
        <f t="shared" ref="ABI43" si="2168">IF(ABI42&gt;0,ABI$17,0)</f>
        <v>0</v>
      </c>
      <c r="ABJ43" s="115">
        <f t="shared" ref="ABJ43" si="2169">IF(ABJ42&gt;0,ABJ$17,0)</f>
        <v>0</v>
      </c>
      <c r="ABK43" s="115">
        <f t="shared" ref="ABK43" si="2170">IF(ABK42&gt;0,ABK$17,0)</f>
        <v>0</v>
      </c>
      <c r="ABL43" s="115">
        <f t="shared" ref="ABL43" si="2171">IF(ABL42&gt;0,ABL$17,0)</f>
        <v>0</v>
      </c>
      <c r="ABM43" s="115">
        <f t="shared" ref="ABM43" si="2172">IF(ABM42&gt;0,ABM$17,0)</f>
        <v>0</v>
      </c>
      <c r="ABN43" s="115">
        <f t="shared" ref="ABN43" si="2173">IF(ABN42&gt;0,ABN$17,0)</f>
        <v>0</v>
      </c>
      <c r="ABO43" s="115">
        <f t="shared" ref="ABO43" si="2174">IF(ABO42&gt;0,ABO$17,0)</f>
        <v>0</v>
      </c>
      <c r="ABP43" s="115">
        <f t="shared" ref="ABP43" si="2175">IF(ABP42&gt;0,ABP$17,0)</f>
        <v>0</v>
      </c>
      <c r="ABQ43" s="115">
        <f t="shared" ref="ABQ43" si="2176">IF(ABQ42&gt;0,ABQ$17,0)</f>
        <v>0</v>
      </c>
      <c r="ABR43" s="115">
        <f t="shared" ref="ABR43" si="2177">IF(ABR42&gt;0,ABR$17,0)</f>
        <v>0</v>
      </c>
      <c r="ABS43" s="115">
        <f t="shared" ref="ABS43" si="2178">IF(ABS42&gt;0,ABS$17,0)</f>
        <v>0</v>
      </c>
      <c r="ABT43" s="115">
        <f t="shared" ref="ABT43" si="2179">IF(ABT42&gt;0,ABT$17,0)</f>
        <v>0</v>
      </c>
      <c r="ABU43" s="115">
        <f t="shared" ref="ABU43" si="2180">IF(ABU42&gt;0,ABU$17,0)</f>
        <v>0</v>
      </c>
      <c r="ABV43" s="115">
        <f t="shared" ref="ABV43" si="2181">IF(ABV42&gt;0,ABV$17,0)</f>
        <v>0</v>
      </c>
      <c r="ABW43" s="115">
        <f t="shared" ref="ABW43" si="2182">IF(ABW42&gt;0,ABW$17,0)</f>
        <v>0</v>
      </c>
      <c r="ABX43" s="115">
        <f t="shared" ref="ABX43" si="2183">IF(ABX42&gt;0,ABX$17,0)</f>
        <v>0</v>
      </c>
      <c r="ABY43" s="115">
        <f t="shared" ref="ABY43" si="2184">IF(ABY42&gt;0,ABY$17,0)</f>
        <v>0</v>
      </c>
      <c r="ABZ43" s="115">
        <f t="shared" ref="ABZ43" si="2185">IF(ABZ42&gt;0,ABZ$17,0)</f>
        <v>0</v>
      </c>
      <c r="ACA43" s="115">
        <f t="shared" ref="ACA43" si="2186">IF(ACA42&gt;0,ACA$17,0)</f>
        <v>0</v>
      </c>
      <c r="ACB43" s="115">
        <f t="shared" ref="ACB43" si="2187">IF(ACB42&gt;0,ACB$17,0)</f>
        <v>0</v>
      </c>
      <c r="ACC43" s="115">
        <f t="shared" ref="ACC43" si="2188">IF(ACC42&gt;0,ACC$17,0)</f>
        <v>0</v>
      </c>
      <c r="ACD43" s="115">
        <f t="shared" ref="ACD43" si="2189">IF(ACD42&gt;0,ACD$17,0)</f>
        <v>0</v>
      </c>
      <c r="ACE43" s="115">
        <f t="shared" ref="ACE43" si="2190">IF(ACE42&gt;0,ACE$17,0)</f>
        <v>0</v>
      </c>
      <c r="ACF43" s="115">
        <f t="shared" ref="ACF43" si="2191">IF(ACF42&gt;0,ACF$17,0)</f>
        <v>0</v>
      </c>
      <c r="ACG43" s="115">
        <f t="shared" ref="ACG43" si="2192">IF(ACG42&gt;0,ACG$17,0)</f>
        <v>0</v>
      </c>
      <c r="ACH43" s="115">
        <f t="shared" ref="ACH43" si="2193">IF(ACH42&gt;0,ACH$17,0)</f>
        <v>0</v>
      </c>
      <c r="ACI43" s="115">
        <f t="shared" ref="ACI43" si="2194">IF(ACI42&gt;0,ACI$17,0)</f>
        <v>0</v>
      </c>
      <c r="ACJ43" s="115">
        <f t="shared" ref="ACJ43" si="2195">IF(ACJ42&gt;0,ACJ$17,0)</f>
        <v>0</v>
      </c>
      <c r="ACK43" s="115">
        <f t="shared" ref="ACK43" si="2196">IF(ACK42&gt;0,ACK$17,0)</f>
        <v>0</v>
      </c>
      <c r="ACL43" s="115">
        <f t="shared" ref="ACL43" si="2197">IF(ACL42&gt;0,ACL$17,0)</f>
        <v>0</v>
      </c>
      <c r="ACM43" s="115">
        <f t="shared" ref="ACM43" si="2198">IF(ACM42&gt;0,ACM$17,0)</f>
        <v>0</v>
      </c>
      <c r="ACN43" s="115">
        <f t="shared" ref="ACN43" si="2199">IF(ACN42&gt;0,ACN$17,0)</f>
        <v>0</v>
      </c>
      <c r="ACO43" s="115">
        <f t="shared" ref="ACO43" si="2200">IF(ACO42&gt;0,ACO$17,0)</f>
        <v>0</v>
      </c>
      <c r="ACP43" s="115">
        <f t="shared" ref="ACP43" si="2201">IF(ACP42&gt;0,ACP$17,0)</f>
        <v>0</v>
      </c>
      <c r="ACQ43" s="115">
        <f t="shared" ref="ACQ43" si="2202">IF(ACQ42&gt;0,ACQ$17,0)</f>
        <v>0</v>
      </c>
      <c r="ACR43" s="115">
        <f t="shared" ref="ACR43" si="2203">IF(ACR42&gt;0,ACR$17,0)</f>
        <v>0</v>
      </c>
      <c r="ACS43" s="115">
        <f t="shared" ref="ACS43" si="2204">IF(ACS42&gt;0,ACS$17,0)</f>
        <v>0</v>
      </c>
      <c r="ACT43" s="115">
        <f t="shared" ref="ACT43" si="2205">IF(ACT42&gt;0,ACT$17,0)</f>
        <v>0</v>
      </c>
      <c r="ACU43" s="115">
        <f t="shared" ref="ACU43" si="2206">IF(ACU42&gt;0,ACU$17,0)</f>
        <v>0</v>
      </c>
      <c r="ACV43" s="115">
        <f t="shared" ref="ACV43" si="2207">IF(ACV42&gt;0,ACV$17,0)</f>
        <v>0</v>
      </c>
      <c r="ACW43" s="115">
        <f t="shared" ref="ACW43" si="2208">IF(ACW42&gt;0,ACW$17,0)</f>
        <v>0</v>
      </c>
      <c r="ACX43" s="115">
        <f t="shared" ref="ACX43" si="2209">IF(ACX42&gt;0,ACX$17,0)</f>
        <v>0</v>
      </c>
      <c r="ACY43" s="115">
        <f t="shared" ref="ACY43" si="2210">IF(ACY42&gt;0,ACY$17,0)</f>
        <v>0</v>
      </c>
      <c r="ACZ43" s="115">
        <f t="shared" ref="ACZ43" si="2211">IF(ACZ42&gt;0,ACZ$17,0)</f>
        <v>0</v>
      </c>
      <c r="ADA43" s="115">
        <f t="shared" ref="ADA43" si="2212">IF(ADA42&gt;0,ADA$17,0)</f>
        <v>0</v>
      </c>
      <c r="ADB43" s="115">
        <f t="shared" ref="ADB43" si="2213">IF(ADB42&gt;0,ADB$17,0)</f>
        <v>0</v>
      </c>
      <c r="ADC43" s="115">
        <f t="shared" ref="ADC43" si="2214">IF(ADC42&gt;0,ADC$17,0)</f>
        <v>0</v>
      </c>
      <c r="ADD43" s="115">
        <f t="shared" ref="ADD43" si="2215">IF(ADD42&gt;0,ADD$17,0)</f>
        <v>0</v>
      </c>
      <c r="ADE43" s="115">
        <f t="shared" ref="ADE43" si="2216">IF(ADE42&gt;0,ADE$17,0)</f>
        <v>0</v>
      </c>
      <c r="ADF43" s="115">
        <f t="shared" ref="ADF43" si="2217">IF(ADF42&gt;0,ADF$17,0)</f>
        <v>0</v>
      </c>
      <c r="ADG43" s="115">
        <f t="shared" ref="ADG43" si="2218">IF(ADG42&gt;0,ADG$17,0)</f>
        <v>0</v>
      </c>
      <c r="ADH43" s="115">
        <f t="shared" ref="ADH43" si="2219">IF(ADH42&gt;0,ADH$17,0)</f>
        <v>0</v>
      </c>
      <c r="ADI43" s="115">
        <f t="shared" ref="ADI43" si="2220">IF(ADI42&gt;0,ADI$17,0)</f>
        <v>0</v>
      </c>
      <c r="ADJ43" s="115">
        <f t="shared" ref="ADJ43" si="2221">IF(ADJ42&gt;0,ADJ$17,0)</f>
        <v>0</v>
      </c>
      <c r="ADK43" s="115">
        <f t="shared" ref="ADK43" si="2222">IF(ADK42&gt;0,ADK$17,0)</f>
        <v>0</v>
      </c>
      <c r="ADL43" s="115">
        <f t="shared" ref="ADL43" si="2223">IF(ADL42&gt;0,ADL$17,0)</f>
        <v>0</v>
      </c>
      <c r="ADM43" s="115">
        <f t="shared" ref="ADM43" si="2224">IF(ADM42&gt;0,ADM$17,0)</f>
        <v>0</v>
      </c>
      <c r="ADN43" s="115">
        <f t="shared" ref="ADN43" si="2225">IF(ADN42&gt;0,ADN$17,0)</f>
        <v>0</v>
      </c>
      <c r="ADO43" s="115">
        <f t="shared" ref="ADO43" si="2226">IF(ADO42&gt;0,ADO$17,0)</f>
        <v>0</v>
      </c>
      <c r="ADP43" s="115">
        <f t="shared" ref="ADP43" si="2227">IF(ADP42&gt;0,ADP$17,0)</f>
        <v>0</v>
      </c>
      <c r="ADQ43" s="115">
        <f t="shared" ref="ADQ43" si="2228">IF(ADQ42&gt;0,ADQ$17,0)</f>
        <v>0</v>
      </c>
      <c r="ADR43" s="115">
        <f t="shared" ref="ADR43" si="2229">IF(ADR42&gt;0,ADR$17,0)</f>
        <v>0</v>
      </c>
      <c r="ADS43" s="115">
        <f t="shared" ref="ADS43" si="2230">IF(ADS42&gt;0,ADS$17,0)</f>
        <v>0</v>
      </c>
      <c r="ADT43" s="115">
        <f t="shared" ref="ADT43" si="2231">IF(ADT42&gt;0,ADT$17,0)</f>
        <v>0</v>
      </c>
      <c r="ADU43" s="115">
        <f t="shared" ref="ADU43" si="2232">IF(ADU42&gt;0,ADU$17,0)</f>
        <v>0</v>
      </c>
      <c r="ADV43" s="115">
        <f t="shared" ref="ADV43" si="2233">IF(ADV42&gt;0,ADV$17,0)</f>
        <v>0</v>
      </c>
      <c r="ADW43" s="115">
        <f t="shared" ref="ADW43" si="2234">IF(ADW42&gt;0,ADW$17,0)</f>
        <v>0</v>
      </c>
      <c r="ADX43" s="115">
        <f t="shared" ref="ADX43" si="2235">IF(ADX42&gt;0,ADX$17,0)</f>
        <v>0</v>
      </c>
      <c r="ADY43" s="115">
        <f t="shared" ref="ADY43" si="2236">IF(ADY42&gt;0,ADY$17,0)</f>
        <v>0</v>
      </c>
      <c r="ADZ43" s="115">
        <f t="shared" ref="ADZ43" si="2237">IF(ADZ42&gt;0,ADZ$17,0)</f>
        <v>0</v>
      </c>
      <c r="AEA43" s="115">
        <f t="shared" ref="AEA43" si="2238">IF(AEA42&gt;0,AEA$17,0)</f>
        <v>0</v>
      </c>
      <c r="AEB43" s="115">
        <f t="shared" ref="AEB43" si="2239">IF(AEB42&gt;0,AEB$17,0)</f>
        <v>0</v>
      </c>
      <c r="AEC43" s="115">
        <f t="shared" ref="AEC43" si="2240">IF(AEC42&gt;0,AEC$17,0)</f>
        <v>0</v>
      </c>
      <c r="AED43" s="115">
        <f t="shared" ref="AED43" si="2241">IF(AED42&gt;0,AED$17,0)</f>
        <v>0</v>
      </c>
      <c r="AEE43" s="115">
        <f t="shared" ref="AEE43" si="2242">IF(AEE42&gt;0,AEE$17,0)</f>
        <v>0</v>
      </c>
      <c r="AEF43" s="115">
        <f t="shared" ref="AEF43" si="2243">IF(AEF42&gt;0,AEF$17,0)</f>
        <v>0</v>
      </c>
      <c r="AEG43" s="115">
        <f t="shared" ref="AEG43" si="2244">IF(AEG42&gt;0,AEG$17,0)</f>
        <v>0</v>
      </c>
      <c r="AEH43" s="115">
        <f t="shared" ref="AEH43" si="2245">IF(AEH42&gt;0,AEH$17,0)</f>
        <v>0</v>
      </c>
      <c r="AEI43" s="115">
        <f t="shared" ref="AEI43" si="2246">IF(AEI42&gt;0,AEI$17,0)</f>
        <v>0</v>
      </c>
      <c r="AEJ43" s="115">
        <f t="shared" ref="AEJ43" si="2247">IF(AEJ42&gt;0,AEJ$17,0)</f>
        <v>0</v>
      </c>
      <c r="AEK43" s="115">
        <f t="shared" ref="AEK43" si="2248">IF(AEK42&gt;0,AEK$17,0)</f>
        <v>0</v>
      </c>
      <c r="AEL43" s="115">
        <f t="shared" ref="AEL43" si="2249">IF(AEL42&gt;0,AEL$17,0)</f>
        <v>0</v>
      </c>
      <c r="AEM43" s="115">
        <f t="shared" ref="AEM43" si="2250">IF(AEM42&gt;0,AEM$17,0)</f>
        <v>0</v>
      </c>
      <c r="AEN43" s="115">
        <f t="shared" ref="AEN43" si="2251">IF(AEN42&gt;0,AEN$17,0)</f>
        <v>0</v>
      </c>
      <c r="AEO43" s="115">
        <f t="shared" ref="AEO43" si="2252">IF(AEO42&gt;0,AEO$17,0)</f>
        <v>0</v>
      </c>
      <c r="AEP43" s="115">
        <f t="shared" ref="AEP43" si="2253">IF(AEP42&gt;0,AEP$17,0)</f>
        <v>0</v>
      </c>
      <c r="AEQ43" s="115">
        <f t="shared" ref="AEQ43" si="2254">IF(AEQ42&gt;0,AEQ$17,0)</f>
        <v>0</v>
      </c>
      <c r="AER43" s="115">
        <f t="shared" ref="AER43" si="2255">IF(AER42&gt;0,AER$17,0)</f>
        <v>0</v>
      </c>
      <c r="AES43" s="115">
        <f t="shared" ref="AES43" si="2256">IF(AES42&gt;0,AES$17,0)</f>
        <v>0</v>
      </c>
      <c r="AET43" s="115">
        <f t="shared" ref="AET43" si="2257">IF(AET42&gt;0,AET$17,0)</f>
        <v>0</v>
      </c>
      <c r="AEU43" s="115">
        <f t="shared" ref="AEU43" si="2258">IF(AEU42&gt;0,AEU$17,0)</f>
        <v>0</v>
      </c>
      <c r="AEV43" s="115">
        <f t="shared" ref="AEV43" si="2259">IF(AEV42&gt;0,AEV$17,0)</f>
        <v>0</v>
      </c>
      <c r="AEW43" s="115">
        <f t="shared" ref="AEW43" si="2260">IF(AEW42&gt;0,AEW$17,0)</f>
        <v>0</v>
      </c>
      <c r="AEX43" s="115">
        <f t="shared" ref="AEX43" si="2261">IF(AEX42&gt;0,AEX$17,0)</f>
        <v>0</v>
      </c>
      <c r="AEY43" s="115">
        <f t="shared" ref="AEY43" si="2262">IF(AEY42&gt;0,AEY$17,0)</f>
        <v>0</v>
      </c>
      <c r="AEZ43" s="115">
        <f t="shared" ref="AEZ43" si="2263">IF(AEZ42&gt;0,AEZ$17,0)</f>
        <v>0</v>
      </c>
      <c r="AFA43" s="115">
        <f t="shared" ref="AFA43" si="2264">IF(AFA42&gt;0,AFA$17,0)</f>
        <v>0</v>
      </c>
      <c r="AFB43" s="115">
        <f t="shared" ref="AFB43" si="2265">IF(AFB42&gt;0,AFB$17,0)</f>
        <v>0</v>
      </c>
      <c r="AFC43" s="115">
        <f t="shared" ref="AFC43" si="2266">IF(AFC42&gt;0,AFC$17,0)</f>
        <v>0</v>
      </c>
      <c r="AFD43" s="115">
        <f t="shared" ref="AFD43" si="2267">IF(AFD42&gt;0,AFD$17,0)</f>
        <v>0</v>
      </c>
      <c r="AFE43" s="115">
        <f t="shared" ref="AFE43" si="2268">IF(AFE42&gt;0,AFE$17,0)</f>
        <v>0</v>
      </c>
      <c r="AFF43" s="115">
        <f t="shared" ref="AFF43" si="2269">IF(AFF42&gt;0,AFF$17,0)</f>
        <v>0</v>
      </c>
      <c r="AFG43" s="115">
        <f t="shared" ref="AFG43" si="2270">IF(AFG42&gt;0,AFG$17,0)</f>
        <v>0</v>
      </c>
      <c r="AFH43" s="115">
        <f t="shared" ref="AFH43" si="2271">IF(AFH42&gt;0,AFH$17,0)</f>
        <v>0</v>
      </c>
      <c r="AFI43" s="115">
        <f t="shared" ref="AFI43" si="2272">IF(AFI42&gt;0,AFI$17,0)</f>
        <v>0</v>
      </c>
      <c r="AFJ43" s="115">
        <f t="shared" ref="AFJ43" si="2273">IF(AFJ42&gt;0,AFJ$17,0)</f>
        <v>0</v>
      </c>
      <c r="AFK43" s="115">
        <f t="shared" ref="AFK43" si="2274">IF(AFK42&gt;0,AFK$17,0)</f>
        <v>0</v>
      </c>
      <c r="AFL43" s="115">
        <f t="shared" ref="AFL43" si="2275">IF(AFL42&gt;0,AFL$17,0)</f>
        <v>0</v>
      </c>
      <c r="AFM43" s="115">
        <f t="shared" ref="AFM43" si="2276">IF(AFM42&gt;0,AFM$17,0)</f>
        <v>0</v>
      </c>
      <c r="AFN43" s="115">
        <f t="shared" ref="AFN43" si="2277">IF(AFN42&gt;0,AFN$17,0)</f>
        <v>0</v>
      </c>
      <c r="AFO43" s="115">
        <f t="shared" ref="AFO43" si="2278">IF(AFO42&gt;0,AFO$17,0)</f>
        <v>0</v>
      </c>
      <c r="AFP43" s="115">
        <f t="shared" ref="AFP43" si="2279">IF(AFP42&gt;0,AFP$17,0)</f>
        <v>0</v>
      </c>
      <c r="AFQ43" s="115">
        <f t="shared" ref="AFQ43" si="2280">IF(AFQ42&gt;0,AFQ$17,0)</f>
        <v>0</v>
      </c>
      <c r="AFR43" s="115">
        <f t="shared" ref="AFR43" si="2281">IF(AFR42&gt;0,AFR$17,0)</f>
        <v>0</v>
      </c>
      <c r="AFS43" s="115">
        <f t="shared" ref="AFS43" si="2282">IF(AFS42&gt;0,AFS$17,0)</f>
        <v>0</v>
      </c>
      <c r="AFT43" s="115">
        <f t="shared" ref="AFT43" si="2283">IF(AFT42&gt;0,AFT$17,0)</f>
        <v>0</v>
      </c>
      <c r="AFU43" s="115">
        <f t="shared" ref="AFU43" si="2284">IF(AFU42&gt;0,AFU$17,0)</f>
        <v>0</v>
      </c>
      <c r="AFV43" s="115">
        <f t="shared" ref="AFV43" si="2285">IF(AFV42&gt;0,AFV$17,0)</f>
        <v>0</v>
      </c>
      <c r="AFW43" s="115">
        <f t="shared" ref="AFW43" si="2286">IF(AFW42&gt;0,AFW$17,0)</f>
        <v>0</v>
      </c>
      <c r="AFX43" s="115">
        <f t="shared" ref="AFX43" si="2287">IF(AFX42&gt;0,AFX$17,0)</f>
        <v>0</v>
      </c>
      <c r="AFY43" s="115">
        <f t="shared" ref="AFY43" si="2288">IF(AFY42&gt;0,AFY$17,0)</f>
        <v>0</v>
      </c>
      <c r="AFZ43" s="115">
        <f t="shared" ref="AFZ43" si="2289">IF(AFZ42&gt;0,AFZ$17,0)</f>
        <v>0</v>
      </c>
      <c r="AGA43" s="115">
        <f t="shared" ref="AGA43" si="2290">IF(AGA42&gt;0,AGA$17,0)</f>
        <v>0</v>
      </c>
      <c r="AGB43" s="115">
        <f t="shared" ref="AGB43" si="2291">IF(AGB42&gt;0,AGB$17,0)</f>
        <v>0</v>
      </c>
      <c r="AGC43" s="115">
        <f t="shared" ref="AGC43" si="2292">IF(AGC42&gt;0,AGC$17,0)</f>
        <v>0</v>
      </c>
      <c r="AGD43" s="115">
        <f t="shared" ref="AGD43" si="2293">IF(AGD42&gt;0,AGD$17,0)</f>
        <v>0</v>
      </c>
      <c r="AGE43" s="115">
        <f t="shared" ref="AGE43" si="2294">IF(AGE42&gt;0,AGE$17,0)</f>
        <v>0</v>
      </c>
      <c r="AGF43" s="115">
        <f t="shared" ref="AGF43" si="2295">IF(AGF42&gt;0,AGF$17,0)</f>
        <v>0</v>
      </c>
      <c r="AGG43" s="115">
        <f t="shared" ref="AGG43" si="2296">IF(AGG42&gt;0,AGG$17,0)</f>
        <v>0</v>
      </c>
      <c r="AGH43" s="115">
        <f t="shared" ref="AGH43" si="2297">IF(AGH42&gt;0,AGH$17,0)</f>
        <v>0</v>
      </c>
      <c r="AGI43" s="115">
        <f t="shared" ref="AGI43" si="2298">IF(AGI42&gt;0,AGI$17,0)</f>
        <v>0</v>
      </c>
      <c r="AGJ43" s="115">
        <f t="shared" ref="AGJ43" si="2299">IF(AGJ42&gt;0,AGJ$17,0)</f>
        <v>0</v>
      </c>
      <c r="AGK43" s="115">
        <f t="shared" ref="AGK43" si="2300">IF(AGK42&gt;0,AGK$17,0)</f>
        <v>0</v>
      </c>
      <c r="AGL43" s="115">
        <f t="shared" ref="AGL43" si="2301">IF(AGL42&gt;0,AGL$17,0)</f>
        <v>0</v>
      </c>
      <c r="AGM43" s="115">
        <f t="shared" ref="AGM43" si="2302">IF(AGM42&gt;0,AGM$17,0)</f>
        <v>0</v>
      </c>
      <c r="AGN43" s="115">
        <f t="shared" ref="AGN43" si="2303">IF(AGN42&gt;0,AGN$17,0)</f>
        <v>0</v>
      </c>
      <c r="AGO43" s="115">
        <f t="shared" ref="AGO43" si="2304">IF(AGO42&gt;0,AGO$17,0)</f>
        <v>0</v>
      </c>
      <c r="AGP43" s="115">
        <f t="shared" ref="AGP43" si="2305">IF(AGP42&gt;0,AGP$17,0)</f>
        <v>0</v>
      </c>
      <c r="AGQ43" s="115">
        <f t="shared" ref="AGQ43" si="2306">IF(AGQ42&gt;0,AGQ$17,0)</f>
        <v>0</v>
      </c>
      <c r="AGR43" s="115">
        <f t="shared" ref="AGR43" si="2307">IF(AGR42&gt;0,AGR$17,0)</f>
        <v>0</v>
      </c>
      <c r="AGS43" s="115">
        <f t="shared" ref="AGS43" si="2308">IF(AGS42&gt;0,AGS$17,0)</f>
        <v>0</v>
      </c>
      <c r="AGT43" s="115">
        <f t="shared" ref="AGT43" si="2309">IF(AGT42&gt;0,AGT$17,0)</f>
        <v>0</v>
      </c>
      <c r="AGU43" s="115">
        <f t="shared" ref="AGU43" si="2310">IF(AGU42&gt;0,AGU$17,0)</f>
        <v>0</v>
      </c>
      <c r="AGV43" s="115">
        <f t="shared" ref="AGV43" si="2311">IF(AGV42&gt;0,AGV$17,0)</f>
        <v>0</v>
      </c>
      <c r="AGW43" s="115">
        <f t="shared" ref="AGW43" si="2312">IF(AGW42&gt;0,AGW$17,0)</f>
        <v>0</v>
      </c>
      <c r="AGX43" s="115">
        <f t="shared" ref="AGX43" si="2313">IF(AGX42&gt;0,AGX$17,0)</f>
        <v>0</v>
      </c>
      <c r="AGY43" s="115">
        <f t="shared" ref="AGY43" si="2314">IF(AGY42&gt;0,AGY$17,0)</f>
        <v>0</v>
      </c>
      <c r="AGZ43" s="115">
        <f t="shared" ref="AGZ43" si="2315">IF(AGZ42&gt;0,AGZ$17,0)</f>
        <v>0</v>
      </c>
      <c r="AHA43" s="115">
        <f t="shared" ref="AHA43" si="2316">IF(AHA42&gt;0,AHA$17,0)</f>
        <v>0</v>
      </c>
      <c r="AHB43" s="115">
        <f t="shared" ref="AHB43" si="2317">IF(AHB42&gt;0,AHB$17,0)</f>
        <v>0</v>
      </c>
      <c r="AHC43" s="115">
        <f t="shared" ref="AHC43" si="2318">IF(AHC42&gt;0,AHC$17,0)</f>
        <v>0</v>
      </c>
      <c r="AHD43" s="115">
        <f t="shared" ref="AHD43" si="2319">IF(AHD42&gt;0,AHD$17,0)</f>
        <v>0</v>
      </c>
      <c r="AHE43" s="115">
        <f t="shared" ref="AHE43" si="2320">IF(AHE42&gt;0,AHE$17,0)</f>
        <v>0</v>
      </c>
      <c r="AHF43" s="115">
        <f t="shared" ref="AHF43" si="2321">IF(AHF42&gt;0,AHF$17,0)</f>
        <v>0</v>
      </c>
      <c r="AHG43" s="115">
        <f t="shared" ref="AHG43" si="2322">IF(AHG42&gt;0,AHG$17,0)</f>
        <v>0</v>
      </c>
      <c r="AHH43" s="115">
        <f t="shared" ref="AHH43" si="2323">IF(AHH42&gt;0,AHH$17,0)</f>
        <v>0</v>
      </c>
      <c r="AHI43" s="115">
        <f t="shared" ref="AHI43" si="2324">IF(AHI42&gt;0,AHI$17,0)</f>
        <v>0</v>
      </c>
      <c r="AHJ43" s="115">
        <f t="shared" ref="AHJ43" si="2325">IF(AHJ42&gt;0,AHJ$17,0)</f>
        <v>0</v>
      </c>
      <c r="AHK43" s="115">
        <f t="shared" ref="AHK43" si="2326">IF(AHK42&gt;0,AHK$17,0)</f>
        <v>0</v>
      </c>
      <c r="AHL43" s="115">
        <f t="shared" ref="AHL43" si="2327">IF(AHL42&gt;0,AHL$17,0)</f>
        <v>0</v>
      </c>
      <c r="AHM43" s="115">
        <f t="shared" ref="AHM43" si="2328">IF(AHM42&gt;0,AHM$17,0)</f>
        <v>0</v>
      </c>
      <c r="AHN43" s="115">
        <f t="shared" ref="AHN43" si="2329">IF(AHN42&gt;0,AHN$17,0)</f>
        <v>0</v>
      </c>
      <c r="AHO43" s="115">
        <f t="shared" ref="AHO43" si="2330">IF(AHO42&gt;0,AHO$17,0)</f>
        <v>0</v>
      </c>
      <c r="AHP43" s="115">
        <f t="shared" ref="AHP43" si="2331">IF(AHP42&gt;0,AHP$17,0)</f>
        <v>0</v>
      </c>
      <c r="AHQ43" s="115">
        <f t="shared" ref="AHQ43" si="2332">IF(AHQ42&gt;0,AHQ$17,0)</f>
        <v>0</v>
      </c>
      <c r="AHR43" s="115">
        <f t="shared" ref="AHR43" si="2333">IF(AHR42&gt;0,AHR$17,0)</f>
        <v>0</v>
      </c>
      <c r="AHS43" s="115">
        <f t="shared" ref="AHS43" si="2334">IF(AHS42&gt;0,AHS$17,0)</f>
        <v>0</v>
      </c>
      <c r="AHT43" s="115">
        <f t="shared" ref="AHT43" si="2335">IF(AHT42&gt;0,AHT$17,0)</f>
        <v>0</v>
      </c>
      <c r="AHU43" s="115">
        <f t="shared" ref="AHU43" si="2336">IF(AHU42&gt;0,AHU$17,0)</f>
        <v>0</v>
      </c>
      <c r="AHV43" s="115">
        <f t="shared" ref="AHV43" si="2337">IF(AHV42&gt;0,AHV$17,0)</f>
        <v>0</v>
      </c>
      <c r="AHW43" s="115">
        <f t="shared" ref="AHW43" si="2338">IF(AHW42&gt;0,AHW$17,0)</f>
        <v>0</v>
      </c>
      <c r="AHX43" s="115">
        <f t="shared" ref="AHX43" si="2339">IF(AHX42&gt;0,AHX$17,0)</f>
        <v>0</v>
      </c>
      <c r="AHY43" s="115">
        <f t="shared" ref="AHY43" si="2340">IF(AHY42&gt;0,AHY$17,0)</f>
        <v>0</v>
      </c>
      <c r="AHZ43" s="115">
        <f t="shared" ref="AHZ43" si="2341">IF(AHZ42&gt;0,AHZ$17,0)</f>
        <v>0</v>
      </c>
      <c r="AIA43" s="115">
        <f t="shared" ref="AIA43" si="2342">IF(AIA42&gt;0,AIA$17,0)</f>
        <v>0</v>
      </c>
      <c r="AIB43" s="115">
        <f t="shared" ref="AIB43" si="2343">IF(AIB42&gt;0,AIB$17,0)</f>
        <v>0</v>
      </c>
      <c r="AIC43" s="115">
        <f t="shared" ref="AIC43" si="2344">IF(AIC42&gt;0,AIC$17,0)</f>
        <v>0</v>
      </c>
      <c r="AID43" s="115">
        <f t="shared" ref="AID43" si="2345">IF(AID42&gt;0,AID$17,0)</f>
        <v>0</v>
      </c>
      <c r="AIE43" s="115">
        <f t="shared" ref="AIE43" si="2346">IF(AIE42&gt;0,AIE$17,0)</f>
        <v>0</v>
      </c>
      <c r="AIF43" s="115">
        <f t="shared" ref="AIF43" si="2347">IF(AIF42&gt;0,AIF$17,0)</f>
        <v>0</v>
      </c>
      <c r="AIG43" s="115">
        <f t="shared" ref="AIG43" si="2348">IF(AIG42&gt;0,AIG$17,0)</f>
        <v>0</v>
      </c>
      <c r="AIH43" s="115">
        <f t="shared" ref="AIH43" si="2349">IF(AIH42&gt;0,AIH$17,0)</f>
        <v>0</v>
      </c>
      <c r="AII43" s="115">
        <f t="shared" ref="AII43" si="2350">IF(AII42&gt;0,AII$17,0)</f>
        <v>0</v>
      </c>
      <c r="AIJ43" s="115">
        <f t="shared" ref="AIJ43" si="2351">IF(AIJ42&gt;0,AIJ$17,0)</f>
        <v>0</v>
      </c>
      <c r="AIK43" s="115">
        <f t="shared" ref="AIK43" si="2352">IF(AIK42&gt;0,AIK$17,0)</f>
        <v>0</v>
      </c>
      <c r="AIL43" s="115">
        <f t="shared" ref="AIL43" si="2353">IF(AIL42&gt;0,AIL$17,0)</f>
        <v>0</v>
      </c>
      <c r="AIM43" s="115">
        <f t="shared" ref="AIM43" si="2354">IF(AIM42&gt;0,AIM$17,0)</f>
        <v>0</v>
      </c>
      <c r="AIN43" s="115">
        <f t="shared" ref="AIN43" si="2355">IF(AIN42&gt;0,AIN$17,0)</f>
        <v>0</v>
      </c>
      <c r="AIO43" s="115">
        <f t="shared" ref="AIO43" si="2356">IF(AIO42&gt;0,AIO$17,0)</f>
        <v>0</v>
      </c>
      <c r="AIP43" s="115">
        <f t="shared" ref="AIP43" si="2357">IF(AIP42&gt;0,AIP$17,0)</f>
        <v>0</v>
      </c>
      <c r="AIQ43" s="115">
        <f t="shared" ref="AIQ43" si="2358">IF(AIQ42&gt;0,AIQ$17,0)</f>
        <v>0</v>
      </c>
      <c r="AIR43" s="115">
        <f t="shared" ref="AIR43" si="2359">IF(AIR42&gt;0,AIR$17,0)</f>
        <v>0</v>
      </c>
      <c r="AIS43" s="115">
        <f t="shared" ref="AIS43" si="2360">IF(AIS42&gt;0,AIS$17,0)</f>
        <v>0</v>
      </c>
      <c r="AIT43" s="115">
        <f t="shared" ref="AIT43" si="2361">IF(AIT42&gt;0,AIT$17,0)</f>
        <v>0</v>
      </c>
      <c r="AIU43" s="115">
        <f t="shared" ref="AIU43" si="2362">IF(AIU42&gt;0,AIU$17,0)</f>
        <v>0</v>
      </c>
      <c r="AIV43" s="115">
        <f t="shared" ref="AIV43" si="2363">IF(AIV42&gt;0,AIV$17,0)</f>
        <v>0</v>
      </c>
      <c r="AIW43" s="115">
        <f t="shared" ref="AIW43" si="2364">IF(AIW42&gt;0,AIW$17,0)</f>
        <v>0</v>
      </c>
      <c r="AIX43" s="115">
        <f t="shared" ref="AIX43" si="2365">IF(AIX42&gt;0,AIX$17,0)</f>
        <v>0</v>
      </c>
      <c r="AIY43" s="115">
        <f t="shared" ref="AIY43" si="2366">IF(AIY42&gt;0,AIY$17,0)</f>
        <v>0</v>
      </c>
      <c r="AIZ43" s="115">
        <f t="shared" ref="AIZ43" si="2367">IF(AIZ42&gt;0,AIZ$17,0)</f>
        <v>0</v>
      </c>
      <c r="AJA43" s="115">
        <f t="shared" ref="AJA43" si="2368">IF(AJA42&gt;0,AJA$17,0)</f>
        <v>0</v>
      </c>
      <c r="AJB43" s="115">
        <f t="shared" ref="AJB43" si="2369">IF(AJB42&gt;0,AJB$17,0)</f>
        <v>0</v>
      </c>
      <c r="AJC43" s="115">
        <f t="shared" ref="AJC43" si="2370">IF(AJC42&gt;0,AJC$17,0)</f>
        <v>0</v>
      </c>
      <c r="AJD43" s="115">
        <f t="shared" ref="AJD43" si="2371">IF(AJD42&gt;0,AJD$17,0)</f>
        <v>0</v>
      </c>
      <c r="AJE43" s="115">
        <f t="shared" ref="AJE43" si="2372">IF(AJE42&gt;0,AJE$17,0)</f>
        <v>0</v>
      </c>
      <c r="AJF43" s="115">
        <f t="shared" ref="AJF43" si="2373">IF(AJF42&gt;0,AJF$17,0)</f>
        <v>0</v>
      </c>
      <c r="AJG43" s="115">
        <f t="shared" ref="AJG43" si="2374">IF(AJG42&gt;0,AJG$17,0)</f>
        <v>0</v>
      </c>
      <c r="AJH43" s="115">
        <f t="shared" ref="AJH43" si="2375">IF(AJH42&gt;0,AJH$17,0)</f>
        <v>0</v>
      </c>
      <c r="AJI43" s="115">
        <f t="shared" ref="AJI43" si="2376">IF(AJI42&gt;0,AJI$17,0)</f>
        <v>0</v>
      </c>
      <c r="AJJ43" s="115">
        <f t="shared" ref="AJJ43" si="2377">IF(AJJ42&gt;0,AJJ$17,0)</f>
        <v>0</v>
      </c>
      <c r="AJK43" s="115">
        <f t="shared" ref="AJK43" si="2378">IF(AJK42&gt;0,AJK$17,0)</f>
        <v>0</v>
      </c>
      <c r="AJL43" s="115">
        <f t="shared" ref="AJL43" si="2379">IF(AJL42&gt;0,AJL$17,0)</f>
        <v>0</v>
      </c>
      <c r="AJM43" s="115">
        <f t="shared" ref="AJM43" si="2380">IF(AJM42&gt;0,AJM$17,0)</f>
        <v>0</v>
      </c>
      <c r="AJN43" s="115">
        <f t="shared" ref="AJN43" si="2381">IF(AJN42&gt;0,AJN$17,0)</f>
        <v>0</v>
      </c>
      <c r="AJO43" s="115">
        <f t="shared" ref="AJO43" si="2382">IF(AJO42&gt;0,AJO$17,0)</f>
        <v>0</v>
      </c>
      <c r="AJP43" s="115">
        <f t="shared" ref="AJP43" si="2383">IF(AJP42&gt;0,AJP$17,0)</f>
        <v>0</v>
      </c>
      <c r="AJQ43" s="115">
        <f t="shared" ref="AJQ43" si="2384">IF(AJQ42&gt;0,AJQ$17,0)</f>
        <v>0</v>
      </c>
      <c r="AJR43" s="115">
        <f t="shared" ref="AJR43" si="2385">IF(AJR42&gt;0,AJR$17,0)</f>
        <v>0</v>
      </c>
      <c r="AJS43" s="115">
        <f t="shared" ref="AJS43" si="2386">IF(AJS42&gt;0,AJS$17,0)</f>
        <v>0</v>
      </c>
      <c r="AJT43" s="115">
        <f t="shared" ref="AJT43" si="2387">IF(AJT42&gt;0,AJT$17,0)</f>
        <v>0</v>
      </c>
      <c r="AJU43" s="115">
        <f t="shared" ref="AJU43" si="2388">IF(AJU42&gt;0,AJU$17,0)</f>
        <v>0</v>
      </c>
      <c r="AJV43" s="115">
        <f t="shared" ref="AJV43" si="2389">IF(AJV42&gt;0,AJV$17,0)</f>
        <v>0</v>
      </c>
      <c r="AJW43" s="115">
        <f t="shared" ref="AJW43" si="2390">IF(AJW42&gt;0,AJW$17,0)</f>
        <v>0</v>
      </c>
      <c r="AJX43" s="115">
        <f t="shared" ref="AJX43" si="2391">IF(AJX42&gt;0,AJX$17,0)</f>
        <v>0</v>
      </c>
      <c r="AJY43" s="115">
        <f t="shared" ref="AJY43" si="2392">IF(AJY42&gt;0,AJY$17,0)</f>
        <v>0</v>
      </c>
      <c r="AJZ43" s="115">
        <f t="shared" ref="AJZ43" si="2393">IF(AJZ42&gt;0,AJZ$17,0)</f>
        <v>0</v>
      </c>
      <c r="AKA43" s="115">
        <f t="shared" ref="AKA43" si="2394">IF(AKA42&gt;0,AKA$17,0)</f>
        <v>0</v>
      </c>
      <c r="AKB43" s="115">
        <f t="shared" ref="AKB43" si="2395">IF(AKB42&gt;0,AKB$17,0)</f>
        <v>0</v>
      </c>
      <c r="AKC43" s="115">
        <f t="shared" ref="AKC43" si="2396">IF(AKC42&gt;0,AKC$17,0)</f>
        <v>0</v>
      </c>
      <c r="AKD43" s="115">
        <f t="shared" ref="AKD43" si="2397">IF(AKD42&gt;0,AKD$17,0)</f>
        <v>0</v>
      </c>
      <c r="AKE43" s="115">
        <f t="shared" ref="AKE43" si="2398">IF(AKE42&gt;0,AKE$17,0)</f>
        <v>0</v>
      </c>
      <c r="AKF43" s="115">
        <f t="shared" ref="AKF43" si="2399">IF(AKF42&gt;0,AKF$17,0)</f>
        <v>0</v>
      </c>
      <c r="AKG43" s="115">
        <f t="shared" ref="AKG43" si="2400">IF(AKG42&gt;0,AKG$17,0)</f>
        <v>0</v>
      </c>
      <c r="AKH43" s="115">
        <f t="shared" ref="AKH43" si="2401">IF(AKH42&gt;0,AKH$17,0)</f>
        <v>0</v>
      </c>
      <c r="AKI43" s="115">
        <f t="shared" ref="AKI43" si="2402">IF(AKI42&gt;0,AKI$17,0)</f>
        <v>0</v>
      </c>
      <c r="AKJ43" s="115">
        <f t="shared" ref="AKJ43" si="2403">IF(AKJ42&gt;0,AKJ$17,0)</f>
        <v>0</v>
      </c>
      <c r="AKK43" s="115">
        <f t="shared" ref="AKK43" si="2404">IF(AKK42&gt;0,AKK$17,0)</f>
        <v>0</v>
      </c>
      <c r="AKL43" s="115">
        <f t="shared" ref="AKL43" si="2405">IF(AKL42&gt;0,AKL$17,0)</f>
        <v>0</v>
      </c>
      <c r="AKM43" s="115">
        <f t="shared" ref="AKM43" si="2406">IF(AKM42&gt;0,AKM$17,0)</f>
        <v>0</v>
      </c>
      <c r="AKN43" s="115">
        <f t="shared" ref="AKN43" si="2407">IF(AKN42&gt;0,AKN$17,0)</f>
        <v>0</v>
      </c>
      <c r="AKO43" s="115">
        <f t="shared" ref="AKO43" si="2408">IF(AKO42&gt;0,AKO$17,0)</f>
        <v>0</v>
      </c>
      <c r="AKP43" s="115">
        <f t="shared" ref="AKP43" si="2409">IF(AKP42&gt;0,AKP$17,0)</f>
        <v>0</v>
      </c>
      <c r="AKQ43" s="115">
        <f t="shared" ref="AKQ43" si="2410">IF(AKQ42&gt;0,AKQ$17,0)</f>
        <v>0</v>
      </c>
      <c r="AKR43" s="115">
        <f t="shared" ref="AKR43" si="2411">IF(AKR42&gt;0,AKR$17,0)</f>
        <v>0</v>
      </c>
      <c r="AKS43" s="115">
        <f t="shared" ref="AKS43" si="2412">IF(AKS42&gt;0,AKS$17,0)</f>
        <v>0</v>
      </c>
      <c r="AKT43" s="115">
        <f t="shared" ref="AKT43" si="2413">IF(AKT42&gt;0,AKT$17,0)</f>
        <v>0</v>
      </c>
      <c r="AKU43" s="115">
        <f t="shared" ref="AKU43" si="2414">IF(AKU42&gt;0,AKU$17,0)</f>
        <v>0</v>
      </c>
      <c r="AKV43" s="115">
        <f t="shared" ref="AKV43" si="2415">IF(AKV42&gt;0,AKV$17,0)</f>
        <v>0</v>
      </c>
      <c r="AKW43" s="115">
        <f t="shared" ref="AKW43" si="2416">IF(AKW42&gt;0,AKW$17,0)</f>
        <v>0</v>
      </c>
      <c r="AKX43" s="115">
        <f t="shared" ref="AKX43" si="2417">IF(AKX42&gt;0,AKX$17,0)</f>
        <v>0</v>
      </c>
      <c r="AKY43" s="115">
        <f t="shared" ref="AKY43" si="2418">IF(AKY42&gt;0,AKY$17,0)</f>
        <v>0</v>
      </c>
      <c r="AKZ43" s="115">
        <f t="shared" ref="AKZ43" si="2419">IF(AKZ42&gt;0,AKZ$17,0)</f>
        <v>0</v>
      </c>
      <c r="ALA43" s="115">
        <f t="shared" ref="ALA43" si="2420">IF(ALA42&gt;0,ALA$17,0)</f>
        <v>0</v>
      </c>
      <c r="ALB43" s="115">
        <f t="shared" ref="ALB43" si="2421">IF(ALB42&gt;0,ALB$17,0)</f>
        <v>0</v>
      </c>
      <c r="ALC43" s="115">
        <f t="shared" ref="ALC43" si="2422">IF(ALC42&gt;0,ALC$17,0)</f>
        <v>0</v>
      </c>
      <c r="ALD43" s="115">
        <f t="shared" ref="ALD43" si="2423">IF(ALD42&gt;0,ALD$17,0)</f>
        <v>0</v>
      </c>
      <c r="ALE43" s="115">
        <f t="shared" ref="ALE43" si="2424">IF(ALE42&gt;0,ALE$17,0)</f>
        <v>0</v>
      </c>
      <c r="ALF43" s="115">
        <f t="shared" ref="ALF43" si="2425">IF(ALF42&gt;0,ALF$17,0)</f>
        <v>0</v>
      </c>
      <c r="ALG43" s="115">
        <f t="shared" ref="ALG43" si="2426">IF(ALG42&gt;0,ALG$17,0)</f>
        <v>0</v>
      </c>
      <c r="ALH43" s="115">
        <f t="shared" ref="ALH43" si="2427">IF(ALH42&gt;0,ALH$17,0)</f>
        <v>0</v>
      </c>
      <c r="ALI43" s="115">
        <f t="shared" ref="ALI43" si="2428">IF(ALI42&gt;0,ALI$17,0)</f>
        <v>0</v>
      </c>
      <c r="ALJ43" s="115">
        <f t="shared" ref="ALJ43" si="2429">IF(ALJ42&gt;0,ALJ$17,0)</f>
        <v>0</v>
      </c>
      <c r="ALK43" s="115">
        <f t="shared" ref="ALK43" si="2430">IF(ALK42&gt;0,ALK$17,0)</f>
        <v>0</v>
      </c>
      <c r="ALL43" s="115">
        <f t="shared" ref="ALL43" si="2431">IF(ALL42&gt;0,ALL$17,0)</f>
        <v>0</v>
      </c>
      <c r="ALM43" s="115">
        <f t="shared" ref="ALM43" si="2432">IF(ALM42&gt;0,ALM$17,0)</f>
        <v>0</v>
      </c>
      <c r="ALN43" s="115">
        <f t="shared" ref="ALN43" si="2433">IF(ALN42&gt;0,ALN$17,0)</f>
        <v>0</v>
      </c>
      <c r="ALO43" s="115">
        <f t="shared" ref="ALO43" si="2434">IF(ALO42&gt;0,ALO$17,0)</f>
        <v>0</v>
      </c>
      <c r="ALP43" s="115">
        <f t="shared" ref="ALP43" si="2435">IF(ALP42&gt;0,ALP$17,0)</f>
        <v>0</v>
      </c>
      <c r="ALQ43" s="115">
        <f t="shared" ref="ALQ43" si="2436">IF(ALQ42&gt;0,ALQ$17,0)</f>
        <v>0</v>
      </c>
      <c r="ALR43" s="115">
        <f t="shared" ref="ALR43" si="2437">IF(ALR42&gt;0,ALR$17,0)</f>
        <v>0</v>
      </c>
      <c r="ALS43" s="115">
        <f t="shared" ref="ALS43" si="2438">IF(ALS42&gt;0,ALS$17,0)</f>
        <v>0</v>
      </c>
      <c r="ALT43" s="115">
        <f t="shared" ref="ALT43" si="2439">IF(ALT42&gt;0,ALT$17,0)</f>
        <v>0</v>
      </c>
      <c r="ALU43" s="115">
        <f t="shared" ref="ALU43" si="2440">IF(ALU42&gt;0,ALU$17,0)</f>
        <v>0</v>
      </c>
      <c r="ALV43" s="115">
        <f t="shared" ref="ALV43" si="2441">IF(ALV42&gt;0,ALV$17,0)</f>
        <v>0</v>
      </c>
      <c r="ALW43" s="115">
        <f t="shared" ref="ALW43" si="2442">IF(ALW42&gt;0,ALW$17,0)</f>
        <v>0</v>
      </c>
      <c r="ALX43" s="115">
        <f t="shared" ref="ALX43" si="2443">IF(ALX42&gt;0,ALX$17,0)</f>
        <v>0</v>
      </c>
      <c r="ALY43" s="115">
        <f t="shared" ref="ALY43" si="2444">IF(ALY42&gt;0,ALY$17,0)</f>
        <v>0</v>
      </c>
      <c r="ALZ43" s="115">
        <f t="shared" ref="ALZ43" si="2445">IF(ALZ42&gt;0,ALZ$17,0)</f>
        <v>0</v>
      </c>
      <c r="AMA43" s="115">
        <f t="shared" ref="AMA43" si="2446">IF(AMA42&gt;0,AMA$17,0)</f>
        <v>0</v>
      </c>
      <c r="AMB43" s="115">
        <f t="shared" ref="AMB43" si="2447">IF(AMB42&gt;0,AMB$17,0)</f>
        <v>0</v>
      </c>
      <c r="AMC43" s="115">
        <f t="shared" ref="AMC43" si="2448">IF(AMC42&gt;0,AMC$17,0)</f>
        <v>0</v>
      </c>
      <c r="AMD43" s="115">
        <f t="shared" ref="AMD43" si="2449">IF(AMD42&gt;0,AMD$17,0)</f>
        <v>0</v>
      </c>
      <c r="AME43" s="115">
        <f t="shared" ref="AME43" si="2450">IF(AME42&gt;0,AME$17,0)</f>
        <v>0</v>
      </c>
      <c r="AMF43" s="115">
        <f t="shared" ref="AMF43" si="2451">IF(AMF42&gt;0,AMF$17,0)</f>
        <v>0</v>
      </c>
      <c r="AMG43" s="115">
        <f t="shared" ref="AMG43" si="2452">IF(AMG42&gt;0,AMG$17,0)</f>
        <v>0</v>
      </c>
      <c r="AMH43" s="115">
        <f t="shared" ref="AMH43" si="2453">IF(AMH42&gt;0,AMH$17,0)</f>
        <v>0</v>
      </c>
      <c r="AMI43" s="115">
        <f t="shared" ref="AMI43" si="2454">IF(AMI42&gt;0,AMI$17,0)</f>
        <v>0</v>
      </c>
      <c r="AMJ43" s="115">
        <f t="shared" ref="AMJ43" si="2455">IF(AMJ42&gt;0,AMJ$17,0)</f>
        <v>0</v>
      </c>
      <c r="AMK43" s="115">
        <f t="shared" ref="AMK43" si="2456">IF(AMK42&gt;0,AMK$17,0)</f>
        <v>0</v>
      </c>
      <c r="AML43" s="115">
        <f t="shared" ref="AML43" si="2457">IF(AML42&gt;0,AML$17,0)</f>
        <v>0</v>
      </c>
      <c r="AMM43" s="115">
        <f t="shared" ref="AMM43" si="2458">IF(AMM42&gt;0,AMM$17,0)</f>
        <v>0</v>
      </c>
      <c r="AMN43" s="115">
        <f t="shared" ref="AMN43" si="2459">IF(AMN42&gt;0,AMN$17,0)</f>
        <v>0</v>
      </c>
      <c r="AMO43" s="115">
        <f t="shared" ref="AMO43" si="2460">IF(AMO42&gt;0,AMO$17,0)</f>
        <v>0</v>
      </c>
      <c r="AMP43" s="115">
        <f t="shared" ref="AMP43" si="2461">IF(AMP42&gt;0,AMP$17,0)</f>
        <v>0</v>
      </c>
      <c r="AMQ43" s="115">
        <f t="shared" ref="AMQ43" si="2462">IF(AMQ42&gt;0,AMQ$17,0)</f>
        <v>0</v>
      </c>
      <c r="AMR43" s="115">
        <f t="shared" ref="AMR43" si="2463">IF(AMR42&gt;0,AMR$17,0)</f>
        <v>0</v>
      </c>
      <c r="AMS43" s="115">
        <f t="shared" ref="AMS43" si="2464">IF(AMS42&gt;0,AMS$17,0)</f>
        <v>0</v>
      </c>
      <c r="AMT43" s="115">
        <f t="shared" ref="AMT43" si="2465">IF(AMT42&gt;0,AMT$17,0)</f>
        <v>0</v>
      </c>
      <c r="AMU43" s="115">
        <f t="shared" ref="AMU43" si="2466">IF(AMU42&gt;0,AMU$17,0)</f>
        <v>0</v>
      </c>
      <c r="AMV43" s="115">
        <f t="shared" ref="AMV43" si="2467">IF(AMV42&gt;0,AMV$17,0)</f>
        <v>0</v>
      </c>
      <c r="AMW43" s="115">
        <f t="shared" ref="AMW43" si="2468">IF(AMW42&gt;0,AMW$17,0)</f>
        <v>0</v>
      </c>
      <c r="AMX43" s="115">
        <f t="shared" ref="AMX43" si="2469">IF(AMX42&gt;0,AMX$17,0)</f>
        <v>0</v>
      </c>
      <c r="AMY43" s="115">
        <f t="shared" ref="AMY43" si="2470">IF(AMY42&gt;0,AMY$17,0)</f>
        <v>0</v>
      </c>
      <c r="AMZ43" s="115">
        <f t="shared" ref="AMZ43" si="2471">IF(AMZ42&gt;0,AMZ$17,0)</f>
        <v>0</v>
      </c>
      <c r="ANA43" s="115">
        <f t="shared" ref="ANA43" si="2472">IF(ANA42&gt;0,ANA$17,0)</f>
        <v>0</v>
      </c>
      <c r="ANB43" s="115">
        <f t="shared" ref="ANB43" si="2473">IF(ANB42&gt;0,ANB$17,0)</f>
        <v>0</v>
      </c>
      <c r="ANC43" s="115">
        <f t="shared" ref="ANC43" si="2474">IF(ANC42&gt;0,ANC$17,0)</f>
        <v>0</v>
      </c>
      <c r="AND43" s="115">
        <f t="shared" ref="AND43" si="2475">IF(AND42&gt;0,AND$17,0)</f>
        <v>0</v>
      </c>
      <c r="ANE43" s="115">
        <f t="shared" ref="ANE43" si="2476">IF(ANE42&gt;0,ANE$17,0)</f>
        <v>0</v>
      </c>
      <c r="ANF43" s="115">
        <f t="shared" ref="ANF43" si="2477">IF(ANF42&gt;0,ANF$17,0)</f>
        <v>0</v>
      </c>
      <c r="ANG43" s="115">
        <f t="shared" ref="ANG43" si="2478">IF(ANG42&gt;0,ANG$17,0)</f>
        <v>0</v>
      </c>
      <c r="ANH43" s="115">
        <f t="shared" ref="ANH43" si="2479">IF(ANH42&gt;0,ANH$17,0)</f>
        <v>0</v>
      </c>
      <c r="ANI43" s="115">
        <f t="shared" ref="ANI43" si="2480">IF(ANI42&gt;0,ANI$17,0)</f>
        <v>0</v>
      </c>
      <c r="ANJ43" s="115">
        <f t="shared" ref="ANJ43" si="2481">IF(ANJ42&gt;0,ANJ$17,0)</f>
        <v>0</v>
      </c>
      <c r="ANK43" s="115">
        <f t="shared" ref="ANK43" si="2482">IF(ANK42&gt;0,ANK$17,0)</f>
        <v>0</v>
      </c>
      <c r="ANL43" s="115">
        <f t="shared" ref="ANL43" si="2483">IF(ANL42&gt;0,ANL$17,0)</f>
        <v>0</v>
      </c>
      <c r="ANM43" s="115">
        <f t="shared" ref="ANM43" si="2484">IF(ANM42&gt;0,ANM$17,0)</f>
        <v>0</v>
      </c>
      <c r="ANN43" s="115">
        <f t="shared" ref="ANN43" si="2485">IF(ANN42&gt;0,ANN$17,0)</f>
        <v>0</v>
      </c>
      <c r="ANO43" s="115">
        <f t="shared" ref="ANO43" si="2486">IF(ANO42&gt;0,ANO$17,0)</f>
        <v>0</v>
      </c>
      <c r="ANP43" s="115">
        <f t="shared" ref="ANP43" si="2487">IF(ANP42&gt;0,ANP$17,0)</f>
        <v>0</v>
      </c>
      <c r="ANQ43" s="115">
        <f t="shared" ref="ANQ43" si="2488">IF(ANQ42&gt;0,ANQ$17,0)</f>
        <v>0</v>
      </c>
      <c r="ANR43" s="115">
        <f t="shared" ref="ANR43" si="2489">IF(ANR42&gt;0,ANR$17,0)</f>
        <v>0</v>
      </c>
      <c r="ANS43" s="115">
        <f t="shared" ref="ANS43" si="2490">IF(ANS42&gt;0,ANS$17,0)</f>
        <v>0</v>
      </c>
      <c r="ANT43" s="115">
        <f t="shared" ref="ANT43" si="2491">IF(ANT42&gt;0,ANT$17,0)</f>
        <v>0</v>
      </c>
      <c r="ANU43" s="115">
        <f t="shared" ref="ANU43" si="2492">IF(ANU42&gt;0,ANU$17,0)</f>
        <v>0</v>
      </c>
      <c r="ANV43" s="115">
        <f t="shared" ref="ANV43" si="2493">IF(ANV42&gt;0,ANV$17,0)</f>
        <v>0</v>
      </c>
      <c r="ANW43" s="115">
        <f t="shared" ref="ANW43" si="2494">IF(ANW42&gt;0,ANW$17,0)</f>
        <v>0</v>
      </c>
      <c r="ANX43" s="115">
        <f t="shared" ref="ANX43" si="2495">IF(ANX42&gt;0,ANX$17,0)</f>
        <v>0</v>
      </c>
      <c r="ANY43" s="115">
        <f t="shared" ref="ANY43" si="2496">IF(ANY42&gt;0,ANY$17,0)</f>
        <v>0</v>
      </c>
      <c r="ANZ43" s="115">
        <f t="shared" ref="ANZ43" si="2497">IF(ANZ42&gt;0,ANZ$17,0)</f>
        <v>0</v>
      </c>
      <c r="AOA43" s="115">
        <f t="shared" ref="AOA43" si="2498">IF(AOA42&gt;0,AOA$17,0)</f>
        <v>0</v>
      </c>
      <c r="AOB43" s="115">
        <f t="shared" ref="AOB43" si="2499">IF(AOB42&gt;0,AOB$17,0)</f>
        <v>0</v>
      </c>
      <c r="AOC43" s="115">
        <f t="shared" ref="AOC43" si="2500">IF(AOC42&gt;0,AOC$17,0)</f>
        <v>0</v>
      </c>
      <c r="AOD43" s="115">
        <f t="shared" ref="AOD43" si="2501">IF(AOD42&gt;0,AOD$17,0)</f>
        <v>0</v>
      </c>
      <c r="AOE43" s="115">
        <f t="shared" ref="AOE43" si="2502">IF(AOE42&gt;0,AOE$17,0)</f>
        <v>0</v>
      </c>
      <c r="AOF43" s="115">
        <f t="shared" ref="AOF43" si="2503">IF(AOF42&gt;0,AOF$17,0)</f>
        <v>0</v>
      </c>
      <c r="AOG43" s="115">
        <f t="shared" ref="AOG43" si="2504">IF(AOG42&gt;0,AOG$17,0)</f>
        <v>0</v>
      </c>
      <c r="AOH43" s="115">
        <f t="shared" ref="AOH43" si="2505">IF(AOH42&gt;0,AOH$17,0)</f>
        <v>0</v>
      </c>
      <c r="AOI43" s="115">
        <f t="shared" ref="AOI43" si="2506">IF(AOI42&gt;0,AOI$17,0)</f>
        <v>0</v>
      </c>
      <c r="AOJ43" s="115">
        <f t="shared" ref="AOJ43" si="2507">IF(AOJ42&gt;0,AOJ$17,0)</f>
        <v>0</v>
      </c>
      <c r="AOK43" s="115">
        <f t="shared" ref="AOK43" si="2508">IF(AOK42&gt;0,AOK$17,0)</f>
        <v>0</v>
      </c>
      <c r="AOL43" s="115">
        <f t="shared" ref="AOL43" si="2509">IF(AOL42&gt;0,AOL$17,0)</f>
        <v>0</v>
      </c>
      <c r="AOM43" s="115">
        <f t="shared" ref="AOM43" si="2510">IF(AOM42&gt;0,AOM$17,0)</f>
        <v>0</v>
      </c>
      <c r="AON43" s="115">
        <f t="shared" ref="AON43" si="2511">IF(AON42&gt;0,AON$17,0)</f>
        <v>0</v>
      </c>
      <c r="AOO43" s="115">
        <f t="shared" ref="AOO43" si="2512">IF(AOO42&gt;0,AOO$17,0)</f>
        <v>0</v>
      </c>
      <c r="AOP43" s="115">
        <f t="shared" ref="AOP43" si="2513">IF(AOP42&gt;0,AOP$17,0)</f>
        <v>0</v>
      </c>
      <c r="AOQ43" s="115">
        <f t="shared" ref="AOQ43" si="2514">IF(AOQ42&gt;0,AOQ$17,0)</f>
        <v>0</v>
      </c>
    </row>
    <row r="44" spans="1:1083" x14ac:dyDescent="0.25">
      <c r="B44" s="116" t="s">
        <v>298</v>
      </c>
      <c r="C44" s="115">
        <f>SUM(D44:AOQ44)</f>
        <v>56</v>
      </c>
      <c r="D44" s="115">
        <v>0</v>
      </c>
      <c r="E44" s="115">
        <f>IF(E42&gt;0,SUM($D$18:D18),0)</f>
        <v>0</v>
      </c>
      <c r="F44" s="115">
        <f>IF(F42&gt;0,SUM($D$18:E18),0)</f>
        <v>0</v>
      </c>
      <c r="G44" s="115">
        <f>IF(G42&gt;0,SUM($D$18:F18),0)</f>
        <v>0</v>
      </c>
      <c r="H44" s="115">
        <f>IF(H42&gt;0,SUM($D$18:G18),0)</f>
        <v>0</v>
      </c>
      <c r="I44" s="115">
        <f>IF(I42&gt;0,SUM($D$18:H18),0)</f>
        <v>0</v>
      </c>
      <c r="J44" s="115">
        <f>IF(J42&gt;0,SUM($D$18:I18),0)</f>
        <v>0</v>
      </c>
      <c r="K44" s="115">
        <f>IF(K42&gt;0,SUM($D$18:J18),0)</f>
        <v>0</v>
      </c>
      <c r="L44" s="115">
        <f>IF(L42&gt;0,SUM($D$18:K18),0)</f>
        <v>0</v>
      </c>
      <c r="M44" s="115">
        <f>IF(M42&gt;0,SUM($D$18:L18),0)</f>
        <v>0</v>
      </c>
      <c r="N44" s="115">
        <f>IF(N42&gt;0,SUM($D$18:M18),0)</f>
        <v>0</v>
      </c>
      <c r="O44" s="115">
        <f>IF(O42&gt;0,SUM($D$18:N18),0)</f>
        <v>0</v>
      </c>
      <c r="P44" s="115">
        <f>IF(P42&gt;0,SUM($D$18:O18),0)</f>
        <v>0</v>
      </c>
      <c r="Q44" s="115">
        <f>IF(Q42&gt;0,SUM($D$18:P18),0)</f>
        <v>0</v>
      </c>
      <c r="R44" s="115">
        <f>IF(R42&gt;0,SUM($D$18:Q18),0)</f>
        <v>0</v>
      </c>
      <c r="S44" s="115">
        <f>IF(S42&gt;0,SUM($D$18:R18),0)</f>
        <v>0</v>
      </c>
      <c r="T44" s="115">
        <f>IF(T42&gt;0,SUM($D$18:S18),0)</f>
        <v>0</v>
      </c>
      <c r="U44" s="115">
        <f>IF(U42&gt;0,SUM($D$18:T18),0)</f>
        <v>0</v>
      </c>
      <c r="V44" s="115">
        <f>IF(V42&gt;0,SUM($D$18:U18),0)</f>
        <v>0</v>
      </c>
      <c r="W44" s="115">
        <f>IF(W42&gt;0,SUM($D$18:V18),0)</f>
        <v>0</v>
      </c>
      <c r="X44" s="115">
        <f>IF(X42&gt;0,SUM($D$18:W18),0)</f>
        <v>0</v>
      </c>
      <c r="Y44" s="115">
        <f>IF(Y42&gt;0,SUM($D$18:X18),0)</f>
        <v>0</v>
      </c>
      <c r="Z44" s="115">
        <f>IF(Z42&gt;0,SUM($D$18:Y18),0)</f>
        <v>0</v>
      </c>
      <c r="AA44" s="115">
        <f>IF(AA42&gt;0,SUM($D$18:Z18),0)</f>
        <v>0</v>
      </c>
      <c r="AB44" s="115">
        <f>IF(AB42&gt;0,SUM($D$18:AA18),0)</f>
        <v>0</v>
      </c>
      <c r="AC44" s="115">
        <f>IF(AC42&gt;0,SUM($D$18:AB18),0)</f>
        <v>0</v>
      </c>
      <c r="AD44" s="115">
        <f>IF(AD42&gt;0,SUM($D$18:AC18),0)</f>
        <v>0</v>
      </c>
      <c r="AE44" s="115">
        <f>IF(AE42&gt;0,SUM($D$18:AD18),0)</f>
        <v>0</v>
      </c>
      <c r="AF44" s="115">
        <f>IF(AF42&gt;0,SUM($D$18:AE18),0)</f>
        <v>0</v>
      </c>
      <c r="AG44" s="115">
        <f>IF(AG42&gt;0,SUM($D$18:AF18),0)</f>
        <v>0</v>
      </c>
      <c r="AH44" s="115">
        <f>IF(AH42&gt;0,SUM($D$18:AG18),0)</f>
        <v>0</v>
      </c>
      <c r="AI44" s="115">
        <f>IF(AI42&gt;0,SUM($D$18:AH18),0)</f>
        <v>0</v>
      </c>
      <c r="AJ44" s="115">
        <f>IF(AJ42&gt;0,SUM($D$18:AI18),0)</f>
        <v>0</v>
      </c>
      <c r="AK44" s="115">
        <f>IF(AK42&gt;0,SUM($D$18:AJ18),0)</f>
        <v>0</v>
      </c>
      <c r="AL44" s="115">
        <f>IF(AL42&gt;0,SUM($D$18:AK18),0)</f>
        <v>0</v>
      </c>
      <c r="AM44" s="115">
        <f>IF(AM42&gt;0,SUM($D$18:AL18),0)</f>
        <v>0</v>
      </c>
      <c r="AN44" s="115">
        <f>IF(AN42&gt;0,SUM($D$18:AM18),0)</f>
        <v>0</v>
      </c>
      <c r="AO44" s="115">
        <f>IF(AO42&gt;0,SUM($D$18:AN18),0)</f>
        <v>0</v>
      </c>
      <c r="AP44" s="115">
        <f>IF(AP42&gt;0,SUM($D$18:AO18),0)</f>
        <v>0</v>
      </c>
      <c r="AQ44" s="115">
        <f>IF(AQ42&gt;0,SUM($D$18:AP18),0)</f>
        <v>0</v>
      </c>
      <c r="AR44" s="115">
        <f>IF(AR42&gt;0,SUM($D$18:AQ18),0)</f>
        <v>0</v>
      </c>
      <c r="AS44" s="115">
        <f>IF(AS42&gt;0,SUM($D$18:AR18),0)</f>
        <v>0</v>
      </c>
      <c r="AT44" s="115">
        <f>IF(AT42&gt;0,SUM($D$18:AS18),0)</f>
        <v>0</v>
      </c>
      <c r="AU44" s="115">
        <f>IF(AU42&gt;0,SUM($D$18:AT18),0)</f>
        <v>0</v>
      </c>
      <c r="AV44" s="115">
        <f>IF(AV42&gt;0,SUM($D$18:AU18),0)</f>
        <v>0</v>
      </c>
      <c r="AW44" s="115">
        <f>IF(AW42&gt;0,SUM($D$18:AV18),0)</f>
        <v>0</v>
      </c>
      <c r="AX44" s="115">
        <f>IF(AX42&gt;0,SUM($D$18:AW18),0)</f>
        <v>0</v>
      </c>
      <c r="AY44" s="115">
        <f>IF(AY42&gt;0,SUM($D$18:AX18),0)</f>
        <v>0</v>
      </c>
      <c r="AZ44" s="115">
        <f>IF(AZ42&gt;0,SUM($D$18:AY18),0)</f>
        <v>0</v>
      </c>
      <c r="BA44" s="115">
        <f>IF(BA42&gt;0,SUM($D$18:AZ18),0)</f>
        <v>0</v>
      </c>
      <c r="BB44" s="115">
        <f>IF(BB42&gt;0,SUM($D$18:BA18),0)</f>
        <v>0</v>
      </c>
      <c r="BC44" s="115">
        <f>IF(BC42&gt;0,SUM($D$18:BB18),0)</f>
        <v>0</v>
      </c>
      <c r="BD44" s="115">
        <f>IF(BD42&gt;0,SUM($D$18:BC18),0)</f>
        <v>0</v>
      </c>
      <c r="BE44" s="115">
        <f>IF(BE42&gt;0,SUM($D$18:BD18),0)</f>
        <v>0</v>
      </c>
      <c r="BF44" s="115">
        <f>IF(BF42&gt;0,SUM($D$18:BE18),0)</f>
        <v>0</v>
      </c>
      <c r="BG44" s="115">
        <f>IF(BG42&gt;0,SUM($D$18:BF18),0)</f>
        <v>0</v>
      </c>
      <c r="BH44" s="115">
        <f>IF(BH42&gt;0,SUM($D$18:BG18),0)</f>
        <v>0</v>
      </c>
      <c r="BI44" s="115">
        <f>IF(BI42&gt;0,SUM($D$18:BH18),0)</f>
        <v>0</v>
      </c>
      <c r="BJ44" s="115">
        <f>IF(BJ42&gt;0,SUM($D$18:BI18),0)</f>
        <v>0</v>
      </c>
      <c r="BK44" s="115">
        <f>IF(BK42&gt;0,SUM($D$18:BJ18),0)</f>
        <v>0</v>
      </c>
      <c r="BL44" s="115">
        <f>IF(BL42&gt;0,SUM($D$18:BK18),0)</f>
        <v>0</v>
      </c>
      <c r="BM44" s="115">
        <f>IF(BM42&gt;0,SUM($D$18:BL18),0)</f>
        <v>0</v>
      </c>
      <c r="BN44" s="115">
        <f>IF(BN42&gt;0,SUM($D$18:BM18),0)</f>
        <v>0</v>
      </c>
      <c r="BO44" s="115">
        <f>IF(BO42&gt;0,SUM($D$18:BN18),0)</f>
        <v>0</v>
      </c>
      <c r="BP44" s="115">
        <f>IF(BP42&gt;0,SUM($D$18:BO18),0)</f>
        <v>0</v>
      </c>
      <c r="BQ44" s="115">
        <f>IF(BQ42&gt;0,SUM($D$18:BP18),0)</f>
        <v>0</v>
      </c>
      <c r="BR44" s="115">
        <f>IF(BR42&gt;0,SUM($D$18:BQ18),0)</f>
        <v>0</v>
      </c>
      <c r="BS44" s="115">
        <f>IF(BS42&gt;0,SUM($D$18:BR18),0)</f>
        <v>0</v>
      </c>
      <c r="BT44" s="115">
        <f>IF(BT42&gt;0,SUM($D$18:BS18),0)</f>
        <v>0</v>
      </c>
      <c r="BU44" s="115">
        <f>IF(BU42&gt;0,SUM($D$18:BT18),0)</f>
        <v>0</v>
      </c>
      <c r="BV44" s="115">
        <f>IF(BV42&gt;0,SUM($D$18:BU18),0)</f>
        <v>0</v>
      </c>
      <c r="BW44" s="115">
        <f>IF(BW42&gt;0,SUM($D$18:BV18),0)</f>
        <v>0</v>
      </c>
      <c r="BX44" s="115">
        <f>IF(BX42&gt;0,SUM($D$18:BW18),0)</f>
        <v>0</v>
      </c>
      <c r="BY44" s="115">
        <f>IF(BY42&gt;0,SUM($D$18:BX18),0)</f>
        <v>0</v>
      </c>
      <c r="BZ44" s="115">
        <f>IF(BZ42&gt;0,SUM($D$18:BY18),0)</f>
        <v>0</v>
      </c>
      <c r="CA44" s="115">
        <f>IF(CA42&gt;0,SUM($D$18:BZ18),0)</f>
        <v>0</v>
      </c>
      <c r="CB44" s="115">
        <f>IF(CB42&gt;0,SUM($D$18:CA18),0)</f>
        <v>0</v>
      </c>
      <c r="CC44" s="115">
        <f>IF(CC42&gt;0,SUM($D$18:CB18),0)</f>
        <v>0</v>
      </c>
      <c r="CD44" s="115">
        <f>IF(CD42&gt;0,SUM($D$18:CC18),0)</f>
        <v>0</v>
      </c>
      <c r="CE44" s="115">
        <f>IF(CE42&gt;0,SUM($D$18:CD18),0)</f>
        <v>0</v>
      </c>
      <c r="CF44" s="115">
        <f>IF(CF42&gt;0,SUM($D$18:CE18),0)</f>
        <v>0</v>
      </c>
      <c r="CG44" s="115">
        <f>IF(CG42&gt;0,SUM($D$18:CF18),0)</f>
        <v>0</v>
      </c>
      <c r="CH44" s="115">
        <f>IF(CH42&gt;0,SUM($D$18:CG18),0)</f>
        <v>0</v>
      </c>
      <c r="CI44" s="115">
        <f>IF(CI42&gt;0,SUM($D$18:CH18),0)</f>
        <v>0</v>
      </c>
      <c r="CJ44" s="115">
        <f>IF(CJ42&gt;0,SUM($D$18:CI18),0)</f>
        <v>0</v>
      </c>
      <c r="CK44" s="115">
        <f>IF(CK42&gt;0,SUM($D$18:CJ18),0)</f>
        <v>0</v>
      </c>
      <c r="CL44" s="115">
        <f>IF(CL42&gt;0,SUM($D$18:CK18),0)</f>
        <v>0</v>
      </c>
      <c r="CM44" s="115">
        <f>IF(CM42&gt;0,SUM($D$18:CL18),0)</f>
        <v>0</v>
      </c>
      <c r="CN44" s="115">
        <f>IF(CN42&gt;0,SUM($D$18:CM18),0)</f>
        <v>0</v>
      </c>
      <c r="CO44" s="115">
        <f>IF(CO42&gt;0,SUM($D$18:CN18),0)</f>
        <v>0</v>
      </c>
      <c r="CP44" s="115">
        <f>IF(CP42&gt;0,SUM($D$18:CO18),0)</f>
        <v>0</v>
      </c>
      <c r="CQ44" s="115">
        <f>IF(CQ42&gt;0,SUM($D$18:CP18),0)</f>
        <v>0</v>
      </c>
      <c r="CR44" s="115">
        <f>IF(CR42&gt;0,SUM($D$18:CQ18),0)</f>
        <v>0</v>
      </c>
      <c r="CS44" s="115">
        <f>IF(CS42&gt;0,SUM($D$18:CR18),0)</f>
        <v>0</v>
      </c>
      <c r="CT44" s="115">
        <f>IF(CT42&gt;0,SUM($D$18:CS18),0)</f>
        <v>0</v>
      </c>
      <c r="CU44" s="115">
        <f>IF(CU42&gt;0,SUM($D$18:CT18),0)</f>
        <v>0</v>
      </c>
      <c r="CV44" s="115">
        <f>IF(CV42&gt;0,SUM($D$18:CU18),0)</f>
        <v>0</v>
      </c>
      <c r="CW44" s="115">
        <f>IF(CW42&gt;0,SUM($D$18:CV18),0)</f>
        <v>0</v>
      </c>
      <c r="CX44" s="115">
        <f>IF(CX42&gt;0,SUM($D$18:CW18),0)</f>
        <v>0</v>
      </c>
      <c r="CY44" s="115">
        <f>IF(CY42&gt;0,SUM($D$18:CX18),0)</f>
        <v>0</v>
      </c>
      <c r="CZ44" s="115">
        <f>IF(CZ42&gt;0,SUM($D$18:CY18),0)</f>
        <v>0</v>
      </c>
      <c r="DA44" s="115">
        <f>IF(DA42&gt;0,SUM($D$18:CZ18),0)</f>
        <v>0</v>
      </c>
      <c r="DB44" s="115">
        <f>IF(DB42&gt;0,SUM($D$18:DA18),0)</f>
        <v>0</v>
      </c>
      <c r="DC44" s="115">
        <f>IF(DC42&gt;0,SUM($D$18:DB18),0)</f>
        <v>0</v>
      </c>
      <c r="DD44" s="115">
        <f>IF(DD42&gt;0,SUM($D$18:DC18),0)</f>
        <v>0</v>
      </c>
      <c r="DE44" s="115">
        <f>IF(DE42&gt;0,SUM($D$18:DD18),0)</f>
        <v>0</v>
      </c>
      <c r="DF44" s="115">
        <f>IF(DF42&gt;0,SUM($D$18:DE18),0)</f>
        <v>0</v>
      </c>
      <c r="DG44" s="115">
        <f>IF(DG42&gt;0,SUM($D$18:DF18),0)</f>
        <v>0</v>
      </c>
      <c r="DH44" s="115">
        <f>IF(DH42&gt;0,SUM($D$18:DG18),0)</f>
        <v>0</v>
      </c>
      <c r="DI44" s="115">
        <f>IF(DI42&gt;0,SUM($D$18:DH18),0)</f>
        <v>0</v>
      </c>
      <c r="DJ44" s="115">
        <f>IF(DJ42&gt;0,SUM($D$18:DI18),0)</f>
        <v>0</v>
      </c>
      <c r="DK44" s="115">
        <f>IF(DK42&gt;0,SUM($D$18:DJ18),0)</f>
        <v>0</v>
      </c>
      <c r="DL44" s="115">
        <f>IF(DL42&gt;0,SUM($D$18:DK18),0)</f>
        <v>0</v>
      </c>
      <c r="DM44" s="115">
        <f>IF(DM42&gt;0,SUM($D$18:DL18),0)</f>
        <v>0</v>
      </c>
      <c r="DN44" s="115">
        <f>IF(DN42&gt;0,SUM($D$18:DM18),0)</f>
        <v>0</v>
      </c>
      <c r="DO44" s="115">
        <f>IF(DO42&gt;0,SUM($D$18:DN18),0)</f>
        <v>0</v>
      </c>
      <c r="DP44" s="115">
        <f>IF(DP42&gt;0,SUM($D$18:DO18),0)</f>
        <v>0</v>
      </c>
      <c r="DQ44" s="115">
        <f>IF(DQ42&gt;0,SUM($D$18:DP18),0)</f>
        <v>0</v>
      </c>
      <c r="DR44" s="115">
        <f>IF(DR42&gt;0,SUM($D$18:DQ18),0)</f>
        <v>0</v>
      </c>
      <c r="DS44" s="115">
        <f>IF(DS42&gt;0,SUM($D$18:DR18),0)</f>
        <v>0</v>
      </c>
      <c r="DT44" s="115">
        <f>IF(DT42&gt;0,SUM($D$18:DS18),0)</f>
        <v>0</v>
      </c>
      <c r="DU44" s="115">
        <f>IF(DU42&gt;0,SUM($D$18:DT18),0)</f>
        <v>0</v>
      </c>
      <c r="DV44" s="115">
        <f>IF(DV42&gt;0,SUM($D$18:DU18),0)</f>
        <v>0</v>
      </c>
      <c r="DW44" s="115">
        <f>IF(DW42&gt;0,SUM($D$18:DV18),0)</f>
        <v>0</v>
      </c>
      <c r="DX44" s="115">
        <f>IF(DX42&gt;0,SUM($D$18:DW18),0)</f>
        <v>0</v>
      </c>
      <c r="DY44" s="115">
        <f>IF(DY42&gt;0,SUM($D$18:DX18),0)</f>
        <v>0</v>
      </c>
      <c r="DZ44" s="115">
        <f>IF(DZ42&gt;0,SUM($D$18:DY18),0)</f>
        <v>0</v>
      </c>
      <c r="EA44" s="115">
        <f>IF(EA42&gt;0,SUM($D$18:DZ18),0)</f>
        <v>0</v>
      </c>
      <c r="EB44" s="115">
        <f>IF(EB42&gt;0,SUM($D$18:EA18),0)</f>
        <v>0</v>
      </c>
      <c r="EC44" s="115">
        <f>IF(EC42&gt;0,SUM($D$18:EB18),0)</f>
        <v>0</v>
      </c>
      <c r="ED44" s="115">
        <f>IF(ED42&gt;0,SUM($D$18:EC18),0)</f>
        <v>0</v>
      </c>
      <c r="EE44" s="115">
        <f>IF(EE42&gt;0,SUM($D$18:ED18),0)</f>
        <v>0</v>
      </c>
      <c r="EF44" s="115">
        <f>IF(EF42&gt;0,SUM($D$18:EE18),0)</f>
        <v>0</v>
      </c>
      <c r="EG44" s="115">
        <f>IF(EG42&gt;0,SUM($D$18:EF18),0)</f>
        <v>0</v>
      </c>
      <c r="EH44" s="115">
        <f>IF(EH42&gt;0,SUM($D$18:EG18),0)</f>
        <v>0</v>
      </c>
      <c r="EI44" s="115">
        <f>IF(EI42&gt;0,SUM($D$18:EH18),0)</f>
        <v>0</v>
      </c>
      <c r="EJ44" s="115">
        <f>IF(EJ42&gt;0,SUM($D$18:EI18),0)</f>
        <v>0</v>
      </c>
      <c r="EK44" s="115">
        <f>IF(EK42&gt;0,SUM($D$18:EJ18),0)</f>
        <v>0</v>
      </c>
      <c r="EL44" s="115">
        <f>IF(EL42&gt;0,SUM($D$18:EK18),0)</f>
        <v>0</v>
      </c>
      <c r="EM44" s="115">
        <f>IF(EM42&gt;0,SUM($D$18:EL18),0)</f>
        <v>0</v>
      </c>
      <c r="EN44" s="115">
        <f>IF(EN42&gt;0,SUM($D$18:EM18),0)</f>
        <v>0</v>
      </c>
      <c r="EO44" s="115">
        <f>IF(EO42&gt;0,SUM($D$18:EN18),0)</f>
        <v>0</v>
      </c>
      <c r="EP44" s="115">
        <f>IF(EP42&gt;0,SUM($D$18:EO18),0)</f>
        <v>0</v>
      </c>
      <c r="EQ44" s="115">
        <f>IF(EQ42&gt;0,SUM($D$18:EP18),0)</f>
        <v>0</v>
      </c>
      <c r="ER44" s="115">
        <f>IF(ER42&gt;0,SUM($D$18:EQ18),0)</f>
        <v>0</v>
      </c>
      <c r="ES44" s="115">
        <f>IF(ES42&gt;0,SUM($D$18:ER18),0)</f>
        <v>0</v>
      </c>
      <c r="ET44" s="115">
        <f>IF(ET42&gt;0,SUM($D$18:ES18),0)</f>
        <v>0</v>
      </c>
      <c r="EU44" s="115">
        <f>IF(EU42&gt;0,SUM($D$18:ET18),0)</f>
        <v>0</v>
      </c>
      <c r="EV44" s="115">
        <f>IF(EV42&gt;0,SUM($D$18:EU18),0)</f>
        <v>0</v>
      </c>
      <c r="EW44" s="115">
        <f>IF(EW42&gt;0,SUM($D$18:EV18),0)</f>
        <v>0</v>
      </c>
      <c r="EX44" s="115">
        <f>IF(EX42&gt;0,SUM($D$18:EW18),0)</f>
        <v>0</v>
      </c>
      <c r="EY44" s="115">
        <f>IF(EY42&gt;0,SUM($D$18:EX18),0)</f>
        <v>0</v>
      </c>
      <c r="EZ44" s="115">
        <f>IF(EZ42&gt;0,SUM($D$18:EY18),0)</f>
        <v>0</v>
      </c>
      <c r="FA44" s="115">
        <f>IF(FA42&gt;0,SUM($D$18:EZ18),0)</f>
        <v>0</v>
      </c>
      <c r="FB44" s="115">
        <f>IF(FB42&gt;0,SUM($D$18:FA18),0)</f>
        <v>0</v>
      </c>
      <c r="FC44" s="115">
        <f>IF(FC42&gt;0,SUM($D$18:FB18),0)</f>
        <v>0</v>
      </c>
      <c r="FD44" s="115">
        <f>IF(FD42&gt;0,SUM($D$18:FC18),0)</f>
        <v>0</v>
      </c>
      <c r="FE44" s="115">
        <f>IF(FE42&gt;0,SUM($D$18:FD18),0)</f>
        <v>0</v>
      </c>
      <c r="FF44" s="115">
        <f>IF(FF42&gt;0,SUM($D$18:FE18),0)</f>
        <v>0</v>
      </c>
      <c r="FG44" s="115">
        <f>IF(FG42&gt;0,SUM($D$18:FF18),0)</f>
        <v>0</v>
      </c>
      <c r="FH44" s="115">
        <f>IF(FH42&gt;0,SUM($D$18:FG18),0)</f>
        <v>0</v>
      </c>
      <c r="FI44" s="115">
        <f>IF(FI42&gt;0,SUM($D$18:FH18),0)</f>
        <v>0</v>
      </c>
      <c r="FJ44" s="115">
        <f>IF(FJ42&gt;0,SUM($D$18:FI18),0)</f>
        <v>0</v>
      </c>
      <c r="FK44" s="115">
        <f>IF(FK42&gt;0,SUM($D$18:FJ18),0)</f>
        <v>0</v>
      </c>
      <c r="FL44" s="115">
        <f>IF(FL42&gt;0,SUM($D$18:FK18),0)</f>
        <v>0</v>
      </c>
      <c r="FM44" s="115">
        <f>IF(FM42&gt;0,SUM($D$18:FL18),0)</f>
        <v>0</v>
      </c>
      <c r="FN44" s="115">
        <f>IF(FN42&gt;0,SUM($D$18:FM18),0)</f>
        <v>0</v>
      </c>
      <c r="FO44" s="115">
        <f>IF(FO42&gt;0,SUM($D$18:FN18),0)</f>
        <v>0</v>
      </c>
      <c r="FP44" s="115">
        <f>IF(FP42&gt;0,SUM($D$18:FO18),0)</f>
        <v>0</v>
      </c>
      <c r="FQ44" s="115">
        <f>IF(FQ42&gt;0,SUM($D$18:FP18),0)</f>
        <v>0</v>
      </c>
      <c r="FR44" s="115">
        <f>IF(FR42&gt;0,SUM($D$18:FQ18),0)</f>
        <v>0</v>
      </c>
      <c r="FS44" s="115">
        <f>IF(FS42&gt;0,SUM($D$18:FR18),0)</f>
        <v>0</v>
      </c>
      <c r="FT44" s="115">
        <f>IF(FT42&gt;0,SUM($D$18:FS18),0)</f>
        <v>0</v>
      </c>
      <c r="FU44" s="115">
        <f>IF(FU42&gt;0,SUM($D$18:FT18),0)</f>
        <v>0</v>
      </c>
      <c r="FV44" s="115">
        <f>IF(FV42&gt;0,SUM($D$18:FU18),0)</f>
        <v>0</v>
      </c>
      <c r="FW44" s="115">
        <f>IF(FW42&gt;0,SUM($D$18:FV18),0)</f>
        <v>0</v>
      </c>
      <c r="FX44" s="115">
        <f>IF(FX42&gt;0,SUM($D$18:FW18),0)</f>
        <v>0</v>
      </c>
      <c r="FY44" s="115">
        <f>IF(FY42&gt;0,SUM($D$18:FX18),0)</f>
        <v>0</v>
      </c>
      <c r="FZ44" s="115">
        <f>IF(FZ42&gt;0,SUM($D$18:FY18),0)</f>
        <v>0</v>
      </c>
      <c r="GA44" s="115">
        <f>IF(GA42&gt;0,SUM($D$18:FZ18),0)</f>
        <v>0</v>
      </c>
      <c r="GB44" s="115">
        <f>IF(GB42&gt;0,SUM($D$18:GA18),0)</f>
        <v>0</v>
      </c>
      <c r="GC44" s="115">
        <f>IF(GC42&gt;0,SUM($D$18:GB18),0)</f>
        <v>0</v>
      </c>
      <c r="GD44" s="115">
        <f>IF(GD42&gt;0,SUM($D$18:GC18),0)</f>
        <v>0</v>
      </c>
      <c r="GE44" s="115">
        <f>IF(GE42&gt;0,SUM($D$18:GD18),0)</f>
        <v>0</v>
      </c>
      <c r="GF44" s="115">
        <f>IF(GF42&gt;0,SUM($D$18:GE18),0)</f>
        <v>0</v>
      </c>
      <c r="GG44" s="115">
        <f>IF(GG42&gt;0,SUM($D$18:GF18),0)</f>
        <v>0</v>
      </c>
      <c r="GH44" s="115">
        <f>IF(GH42&gt;0,SUM($D$18:GG18),0)</f>
        <v>0</v>
      </c>
      <c r="GI44" s="115">
        <f>IF(GI42&gt;0,SUM($D$18:GH18),0)</f>
        <v>0</v>
      </c>
      <c r="GJ44" s="115">
        <f>IF(GJ42&gt;0,SUM($D$18:GI18),0)</f>
        <v>0</v>
      </c>
      <c r="GK44" s="115">
        <f>IF(GK42&gt;0,SUM($D$18:GJ18),0)</f>
        <v>0</v>
      </c>
      <c r="GL44" s="115">
        <f>IF(GL42&gt;0,SUM($D$18:GK18),0)</f>
        <v>0</v>
      </c>
      <c r="GM44" s="115">
        <f>IF(GM42&gt;0,SUM($D$18:GL18),0)</f>
        <v>0</v>
      </c>
      <c r="GN44" s="115">
        <f>IF(GN42&gt;0,SUM($D$18:GM18),0)</f>
        <v>0</v>
      </c>
      <c r="GO44" s="115">
        <f>IF(GO42&gt;0,SUM($D$18:GN18),0)</f>
        <v>0</v>
      </c>
      <c r="GP44" s="115">
        <f>IF(GP42&gt;0,SUM($D$18:GO18),0)</f>
        <v>0</v>
      </c>
      <c r="GQ44" s="115">
        <f>IF(GQ42&gt;0,SUM($D$18:GP18),0)</f>
        <v>0</v>
      </c>
      <c r="GR44" s="115">
        <f>IF(GR42&gt;0,SUM($D$18:GQ18),0)</f>
        <v>0</v>
      </c>
      <c r="GS44" s="115">
        <f>IF(GS42&gt;0,SUM($D$18:GR18),0)</f>
        <v>0</v>
      </c>
      <c r="GT44" s="115">
        <f>IF(GT42&gt;0,SUM($D$18:GS18),0)</f>
        <v>0</v>
      </c>
      <c r="GU44" s="115">
        <f>IF(GU42&gt;0,SUM($D$18:GT18),0)</f>
        <v>0</v>
      </c>
      <c r="GV44" s="115">
        <f>IF(GV42&gt;0,SUM($D$18:GU18),0)</f>
        <v>0</v>
      </c>
      <c r="GW44" s="115">
        <f>IF(GW42&gt;0,SUM($D$18:GV18),0)</f>
        <v>0</v>
      </c>
      <c r="GX44" s="115">
        <f>IF(GX42&gt;0,SUM($D$18:GW18),0)</f>
        <v>0</v>
      </c>
      <c r="GY44" s="115">
        <f>IF(GY42&gt;0,SUM($D$18:GX18),0)</f>
        <v>0</v>
      </c>
      <c r="GZ44" s="115">
        <f>IF(GZ42&gt;0,SUM($D$18:GY18),0)</f>
        <v>0</v>
      </c>
      <c r="HA44" s="115">
        <f>IF(HA42&gt;0,SUM($D$18:GZ18),0)</f>
        <v>0</v>
      </c>
      <c r="HB44" s="115">
        <f>IF(HB42&gt;0,SUM($D$18:HA18),0)</f>
        <v>0</v>
      </c>
      <c r="HC44" s="115">
        <f>IF(HC42&gt;0,SUM($D$18:HB18),0)</f>
        <v>0</v>
      </c>
      <c r="HD44" s="115">
        <f>IF(HD42&gt;0,SUM($D$18:HC18),0)</f>
        <v>0</v>
      </c>
      <c r="HE44" s="115">
        <f>IF(HE42&gt;0,SUM($D$18:HD18),0)</f>
        <v>0</v>
      </c>
      <c r="HF44" s="115">
        <f>IF(HF42&gt;0,SUM($D$18:HE18),0)</f>
        <v>0</v>
      </c>
      <c r="HG44" s="115">
        <f>IF(HG42&gt;0,SUM($D$18:HF18),0)</f>
        <v>0</v>
      </c>
      <c r="HH44" s="115">
        <f>IF(HH42&gt;0,SUM($D$18:HG18),0)</f>
        <v>0</v>
      </c>
      <c r="HI44" s="115">
        <f>IF(HI42&gt;0,SUM($D$18:HH18),0)</f>
        <v>0</v>
      </c>
      <c r="HJ44" s="115">
        <f>IF(HJ42&gt;0,SUM($D$18:HI18),0)</f>
        <v>0</v>
      </c>
      <c r="HK44" s="115">
        <f>IF(HK42&gt;0,SUM($D$18:HJ18),0)</f>
        <v>0</v>
      </c>
      <c r="HL44" s="115">
        <f>IF(HL42&gt;0,SUM($D$18:HK18),0)</f>
        <v>0</v>
      </c>
      <c r="HM44" s="115">
        <f>IF(HM42&gt;0,SUM($D$18:HL18),0)</f>
        <v>0</v>
      </c>
      <c r="HN44" s="115">
        <f>IF(HN42&gt;0,SUM($D$18:HM18),0)</f>
        <v>0</v>
      </c>
      <c r="HO44" s="115">
        <f>IF(HO42&gt;0,SUM($D$18:HN18),0)</f>
        <v>0</v>
      </c>
      <c r="HP44" s="115">
        <f>IF(HP42&gt;0,SUM($D$18:HO18),0)</f>
        <v>0</v>
      </c>
      <c r="HQ44" s="115">
        <f>IF(HQ42&gt;0,SUM($D$18:HP18),0)</f>
        <v>0</v>
      </c>
      <c r="HR44" s="115">
        <f>IF(HR42&gt;0,SUM($D$18:HQ18),0)</f>
        <v>0</v>
      </c>
      <c r="HS44" s="115">
        <f>IF(HS42&gt;0,SUM($D$18:HR18),0)</f>
        <v>0</v>
      </c>
      <c r="HT44" s="115">
        <f>IF(HT42&gt;0,SUM($D$18:HS18),0)</f>
        <v>0</v>
      </c>
      <c r="HU44" s="115">
        <f>IF(HU42&gt;0,SUM($D$18:HT18),0)</f>
        <v>0</v>
      </c>
      <c r="HV44" s="115">
        <f>IF(HV42&gt;0,SUM($D$18:HU18),0)</f>
        <v>0</v>
      </c>
      <c r="HW44" s="115">
        <f>IF(HW42&gt;0,SUM($D$18:HV18),0)</f>
        <v>0</v>
      </c>
      <c r="HX44" s="115">
        <f>IF(HX42&gt;0,SUM($D$18:HW18),0)</f>
        <v>0</v>
      </c>
      <c r="HY44" s="115">
        <f>IF(HY42&gt;0,SUM($D$18:HX18),0)</f>
        <v>0</v>
      </c>
      <c r="HZ44" s="115">
        <f>IF(HZ42&gt;0,SUM($D$18:HY18),0)</f>
        <v>0</v>
      </c>
      <c r="IA44" s="115">
        <f>IF(IA42&gt;0,SUM($D$18:HZ18),0)</f>
        <v>0</v>
      </c>
      <c r="IB44" s="115">
        <f>IF(IB42&gt;0,SUM($D$18:IA18),0)</f>
        <v>0</v>
      </c>
      <c r="IC44" s="115">
        <f>IF(IC42&gt;0,SUM($D$18:IB18),0)</f>
        <v>0</v>
      </c>
      <c r="ID44" s="115">
        <f>IF(ID42&gt;0,SUM($D$18:IC18),0)</f>
        <v>0</v>
      </c>
      <c r="IE44" s="115">
        <f>IF(IE42&gt;0,SUM($D$18:ID18),0)</f>
        <v>0</v>
      </c>
      <c r="IF44" s="115">
        <f>IF(IF42&gt;0,SUM($D$18:IE18),0)</f>
        <v>0</v>
      </c>
      <c r="IG44" s="115">
        <f>IF(IG42&gt;0,SUM($D$18:IF18),0)</f>
        <v>0</v>
      </c>
      <c r="IH44" s="115">
        <f>IF(IH42&gt;0,SUM($D$18:IG18),0)</f>
        <v>0</v>
      </c>
      <c r="II44" s="115">
        <f>IF(II42&gt;0,SUM($D$18:IH18),0)</f>
        <v>0</v>
      </c>
      <c r="IJ44" s="115">
        <f>IF(IJ42&gt;0,SUM($D$18:II18),0)</f>
        <v>0</v>
      </c>
      <c r="IK44" s="115">
        <f>IF(IK42&gt;0,SUM($D$18:IJ18),0)</f>
        <v>0</v>
      </c>
      <c r="IL44" s="115">
        <f>IF(IL42&gt;0,SUM($D$18:IK18),0)</f>
        <v>0</v>
      </c>
      <c r="IM44" s="115">
        <f>IF(IM42&gt;0,SUM($D$18:IL18),0)</f>
        <v>0</v>
      </c>
      <c r="IN44" s="115">
        <f>IF(IN42&gt;0,SUM($D$18:IM18),0)</f>
        <v>0</v>
      </c>
      <c r="IO44" s="115">
        <f>IF(IO42&gt;0,SUM($D$18:IN18),0)</f>
        <v>0</v>
      </c>
      <c r="IP44" s="115">
        <f>IF(IP42&gt;0,SUM($D$18:IO18),0)</f>
        <v>0</v>
      </c>
      <c r="IQ44" s="115">
        <f>IF(IQ42&gt;0,SUM($D$18:IP18),0)</f>
        <v>0</v>
      </c>
      <c r="IR44" s="115">
        <f>IF(IR42&gt;0,SUM($D$18:IQ18),0)</f>
        <v>0</v>
      </c>
      <c r="IS44" s="115">
        <f>IF(IS42&gt;0,SUM($D$18:IR18),0)</f>
        <v>0</v>
      </c>
      <c r="IT44" s="115">
        <f>IF(IT42&gt;0,SUM($D$18:IS18),0)</f>
        <v>0</v>
      </c>
      <c r="IU44" s="115">
        <f>IF(IU42&gt;0,SUM($D$18:IT18),0)</f>
        <v>0</v>
      </c>
      <c r="IV44" s="115">
        <f>IF(IV42&gt;0,SUM($D$18:IU18),0)</f>
        <v>0</v>
      </c>
      <c r="IW44" s="115">
        <f>IF(IW42&gt;0,SUM($D$18:IV18),0)</f>
        <v>0</v>
      </c>
      <c r="IX44" s="115">
        <f>IF(IX42&gt;0,SUM($D$18:IW18),0)</f>
        <v>0</v>
      </c>
      <c r="IY44" s="115">
        <f>IF(IY42&gt;0,SUM($D$18:IX18),0)</f>
        <v>0</v>
      </c>
      <c r="IZ44" s="115">
        <f>IF(IZ42&gt;0,SUM($D$18:IY18),0)</f>
        <v>0</v>
      </c>
      <c r="JA44" s="115">
        <f>IF(JA42&gt;0,SUM($D$18:IZ18),0)</f>
        <v>0</v>
      </c>
      <c r="JB44" s="115">
        <f>IF(JB42&gt;0,SUM($D$18:JA18),0)</f>
        <v>0</v>
      </c>
      <c r="JC44" s="115">
        <f>IF(JC42&gt;0,SUM($D$18:JB18),0)</f>
        <v>0</v>
      </c>
      <c r="JD44" s="115">
        <f>IF(JD42&gt;0,SUM($D$18:JC18),0)</f>
        <v>0</v>
      </c>
      <c r="JE44" s="115">
        <f>IF(JE42&gt;0,SUM($D$18:JD18),0)</f>
        <v>0</v>
      </c>
      <c r="JF44" s="115">
        <f>IF(JF42&gt;0,SUM($D$18:JE18),0)</f>
        <v>0</v>
      </c>
      <c r="JG44" s="115">
        <f>IF(JG42&gt;0,SUM($D$18:JF18),0)</f>
        <v>0</v>
      </c>
      <c r="JH44" s="115">
        <f>IF(JH42&gt;0,SUM($D$18:JG18),0)</f>
        <v>0</v>
      </c>
      <c r="JI44" s="115">
        <f>IF(JI42&gt;0,SUM($D$18:JH18),0)</f>
        <v>0</v>
      </c>
      <c r="JJ44" s="115">
        <f>IF(JJ42&gt;0,SUM($D$18:JI18),0)</f>
        <v>0</v>
      </c>
      <c r="JK44" s="115">
        <f>IF(JK42&gt;0,SUM($D$18:JJ18),0)</f>
        <v>0</v>
      </c>
      <c r="JL44" s="115">
        <f>IF(JL42&gt;0,SUM($D$18:JK18),0)</f>
        <v>0</v>
      </c>
      <c r="JM44" s="115">
        <f>IF(JM42&gt;0,SUM($D$18:JL18),0)</f>
        <v>0</v>
      </c>
      <c r="JN44" s="115">
        <f>IF(JN42&gt;0,SUM($D$18:JM18),0)</f>
        <v>0</v>
      </c>
      <c r="JO44" s="115">
        <f>IF(JO42&gt;0,SUM($D$18:JN18),0)</f>
        <v>0</v>
      </c>
      <c r="JP44" s="115">
        <f>IF(JP42&gt;0,SUM($D$18:JO18),0)</f>
        <v>0</v>
      </c>
      <c r="JQ44" s="115">
        <f>IF(JQ42&gt;0,SUM($D$18:JP18),0)</f>
        <v>0</v>
      </c>
      <c r="JR44" s="115">
        <f>IF(JR42&gt;0,SUM($D$18:JQ18),0)</f>
        <v>0</v>
      </c>
      <c r="JS44" s="115">
        <f>IF(JS42&gt;0,SUM($D$18:JR18),0)</f>
        <v>0</v>
      </c>
      <c r="JT44" s="115">
        <f>IF(JT42&gt;0,SUM($D$18:JS18),0)</f>
        <v>0</v>
      </c>
      <c r="JU44" s="115">
        <f>IF(JU42&gt;0,SUM($D$18:JT18),0)</f>
        <v>0</v>
      </c>
      <c r="JV44" s="115">
        <f>IF(JV42&gt;0,SUM($D$18:JU18),0)</f>
        <v>0</v>
      </c>
      <c r="JW44" s="115">
        <f>IF(JW42&gt;0,SUM($D$18:JV18),0)</f>
        <v>0</v>
      </c>
      <c r="JX44" s="115">
        <f>IF(JX42&gt;0,SUM($D$18:JW18),0)</f>
        <v>0</v>
      </c>
      <c r="JY44" s="115">
        <f>IF(JY42&gt;0,SUM($D$18:JX18),0)</f>
        <v>0</v>
      </c>
      <c r="JZ44" s="115">
        <f>IF(JZ42&gt;0,SUM($D$18:JY18),0)</f>
        <v>0</v>
      </c>
      <c r="KA44" s="115">
        <f>IF(KA42&gt;0,SUM($D$18:JZ18),0)</f>
        <v>0</v>
      </c>
      <c r="KB44" s="115">
        <f>IF(KB42&gt;0,SUM($D$18:KA18),0)</f>
        <v>0</v>
      </c>
      <c r="KC44" s="115">
        <f>IF(KC42&gt;0,SUM($D$18:KB18),0)</f>
        <v>0</v>
      </c>
      <c r="KD44" s="115">
        <f>IF(KD42&gt;0,SUM($D$18:KC18),0)</f>
        <v>0</v>
      </c>
      <c r="KE44" s="115">
        <f>IF(KE42&gt;0,SUM($D$18:KD18),0)</f>
        <v>0</v>
      </c>
      <c r="KF44" s="115">
        <f>IF(KF42&gt;0,SUM($D$18:KE18),0)</f>
        <v>0</v>
      </c>
      <c r="KG44" s="115">
        <f>IF(KG42&gt;0,SUM($D$18:KF18),0)</f>
        <v>0</v>
      </c>
      <c r="KH44" s="115">
        <f>IF(KH42&gt;0,SUM($D$18:KG18),0)</f>
        <v>0</v>
      </c>
      <c r="KI44" s="115">
        <f>IF(KI42&gt;0,SUM($D$18:KH18),0)</f>
        <v>0</v>
      </c>
      <c r="KJ44" s="115">
        <f>IF(KJ42&gt;0,SUM($D$18:KI18),0)</f>
        <v>0</v>
      </c>
      <c r="KK44" s="115">
        <f>IF(KK42&gt;0,SUM($D$18:KJ18),0)</f>
        <v>0</v>
      </c>
      <c r="KL44" s="115">
        <f>IF(KL42&gt;0,SUM($D$18:KK18),0)</f>
        <v>0</v>
      </c>
      <c r="KM44" s="115">
        <f>IF(KM42&gt;0,SUM($D$18:KL18),0)</f>
        <v>0</v>
      </c>
      <c r="KN44" s="115">
        <f>IF(KN42&gt;0,SUM($D$18:KM18),0)</f>
        <v>0</v>
      </c>
      <c r="KO44" s="115">
        <f>IF(KO42&gt;0,SUM($D$18:KN18),0)</f>
        <v>0</v>
      </c>
      <c r="KP44" s="115">
        <f>IF(KP42&gt;0,SUM($D$18:KO18),0)</f>
        <v>0</v>
      </c>
      <c r="KQ44" s="115">
        <f>IF(KQ42&gt;0,SUM($D$18:KP18),0)</f>
        <v>0</v>
      </c>
      <c r="KR44" s="115">
        <f>IF(KR42&gt;0,SUM($D$18:KQ18),0)</f>
        <v>0</v>
      </c>
      <c r="KS44" s="115">
        <f>IF(KS42&gt;0,SUM($D$18:KR18),0)</f>
        <v>0</v>
      </c>
      <c r="KT44" s="115">
        <f>IF(KT42&gt;0,SUM($D$18:KS18),0)</f>
        <v>0</v>
      </c>
      <c r="KU44" s="115">
        <f>IF(KU42&gt;0,SUM($D$18:KT18),0)</f>
        <v>0</v>
      </c>
      <c r="KV44" s="115">
        <f>IF(KV42&gt;0,SUM($D$18:KU18),0)</f>
        <v>0</v>
      </c>
      <c r="KW44" s="115">
        <f>IF(KW42&gt;0,SUM($D$18:KV18),0)</f>
        <v>0</v>
      </c>
      <c r="KX44" s="115">
        <f>IF(KX42&gt;0,SUM($D$18:KW18),0)</f>
        <v>0</v>
      </c>
      <c r="KY44" s="115">
        <f>IF(KY42&gt;0,SUM($D$18:KX18),0)</f>
        <v>0</v>
      </c>
      <c r="KZ44" s="115">
        <f>IF(KZ42&gt;0,SUM($D$18:KY18),0)</f>
        <v>0</v>
      </c>
      <c r="LA44" s="115">
        <f>IF(LA42&gt;0,SUM($D$18:KZ18),0)</f>
        <v>0</v>
      </c>
      <c r="LB44" s="115">
        <f>IF(LB42&gt;0,SUM($D$18:LA18),0)</f>
        <v>0</v>
      </c>
      <c r="LC44" s="115">
        <f>IF(LC42&gt;0,SUM($D$18:LB18),0)</f>
        <v>0</v>
      </c>
      <c r="LD44" s="115">
        <f>IF(LD42&gt;0,SUM($D$18:LC18),0)</f>
        <v>0</v>
      </c>
      <c r="LE44" s="115">
        <f>IF(LE42&gt;0,SUM($D$18:LD18),0)</f>
        <v>0</v>
      </c>
      <c r="LF44" s="115">
        <f>IF(LF42&gt;0,SUM($D$18:LE18),0)</f>
        <v>0</v>
      </c>
      <c r="LG44" s="115">
        <f>IF(LG42&gt;0,SUM($D$18:LF18),0)</f>
        <v>0</v>
      </c>
      <c r="LH44" s="115">
        <f>IF(LH42&gt;0,SUM($D$18:LG18),0)</f>
        <v>0</v>
      </c>
      <c r="LI44" s="115">
        <f>IF(LI42&gt;0,SUM($D$18:LH18),0)</f>
        <v>0</v>
      </c>
      <c r="LJ44" s="115">
        <f>IF(LJ42&gt;0,SUM($D$18:LI18),0)</f>
        <v>0</v>
      </c>
      <c r="LK44" s="115">
        <f>IF(LK42&gt;0,SUM($D$18:LJ18),0)</f>
        <v>0</v>
      </c>
      <c r="LL44" s="115">
        <f>IF(LL42&gt;0,SUM($D$18:LK18),0)</f>
        <v>0</v>
      </c>
      <c r="LM44" s="115">
        <f>IF(LM42&gt;0,SUM($D$18:LL18),0)</f>
        <v>0</v>
      </c>
      <c r="LN44" s="115">
        <f>IF(LN42&gt;0,SUM($D$18:LM18),0)</f>
        <v>0</v>
      </c>
      <c r="LO44" s="115">
        <f>IF(LO42&gt;0,SUM($D$18:LN18),0)</f>
        <v>0</v>
      </c>
      <c r="LP44" s="115">
        <f>IF(LP42&gt;0,SUM($D$18:LO18),0)</f>
        <v>0</v>
      </c>
      <c r="LQ44" s="115">
        <f>IF(LQ42&gt;0,SUM($D$18:LP18),0)</f>
        <v>0</v>
      </c>
      <c r="LR44" s="115">
        <f>IF(LR42&gt;0,SUM($D$18:LQ18),0)</f>
        <v>0</v>
      </c>
      <c r="LS44" s="115">
        <f>IF(LS42&gt;0,SUM($D$18:LR18),0)</f>
        <v>0</v>
      </c>
      <c r="LT44" s="115">
        <f>IF(LT42&gt;0,SUM($D$18:LS18),0)</f>
        <v>0</v>
      </c>
      <c r="LU44" s="115">
        <f>IF(LU42&gt;0,SUM($D$18:LT18),0)</f>
        <v>0</v>
      </c>
      <c r="LV44" s="115">
        <f>IF(LV42&gt;0,SUM($D$18:LU18),0)</f>
        <v>0</v>
      </c>
      <c r="LW44" s="115">
        <f>IF(LW42&gt;0,SUM($D$18:LV18),0)</f>
        <v>0</v>
      </c>
      <c r="LX44" s="115">
        <f>IF(LX42&gt;0,SUM($D$18:LW18),0)</f>
        <v>0</v>
      </c>
      <c r="LY44" s="115">
        <f>IF(LY42&gt;0,SUM($D$18:LX18),0)</f>
        <v>0</v>
      </c>
      <c r="LZ44" s="115">
        <f>IF(LZ42&gt;0,SUM($D$18:LY18),0)</f>
        <v>0</v>
      </c>
      <c r="MA44" s="115">
        <f>IF(MA42&gt;0,SUM($D$18:LZ18),0)</f>
        <v>0</v>
      </c>
      <c r="MB44" s="115">
        <f>IF(MB42&gt;0,SUM($D$18:MA18),0)</f>
        <v>0</v>
      </c>
      <c r="MC44" s="115">
        <f>IF(MC42&gt;0,SUM($D$18:MB18),0)</f>
        <v>0</v>
      </c>
      <c r="MD44" s="115">
        <f>IF(MD42&gt;0,SUM($D$18:MC18),0)</f>
        <v>0</v>
      </c>
      <c r="ME44" s="115">
        <f>IF(ME42&gt;0,SUM($D$18:MD18),0)</f>
        <v>0</v>
      </c>
      <c r="MF44" s="115">
        <f>IF(MF42&gt;0,SUM($D$18:ME18),0)</f>
        <v>0</v>
      </c>
      <c r="MG44" s="115">
        <f>IF(MG42&gt;0,SUM($D$18:MF18),0)</f>
        <v>0</v>
      </c>
      <c r="MH44" s="115">
        <f>IF(MH42&gt;0,SUM($D$18:MG18),0)</f>
        <v>0</v>
      </c>
      <c r="MI44" s="115">
        <f>IF(MI42&gt;0,SUM($D$18:MH18),0)</f>
        <v>0</v>
      </c>
      <c r="MJ44" s="115">
        <f>IF(MJ42&gt;0,SUM($D$18:MI18),0)</f>
        <v>0</v>
      </c>
      <c r="MK44" s="115">
        <f>IF(MK42&gt;0,SUM($D$18:MJ18),0)</f>
        <v>0</v>
      </c>
      <c r="ML44" s="115">
        <f>IF(ML42&gt;0,SUM($D$18:MK18),0)</f>
        <v>0</v>
      </c>
      <c r="MM44" s="115">
        <f>IF(MM42&gt;0,SUM($D$18:ML18),0)</f>
        <v>0</v>
      </c>
      <c r="MN44" s="115">
        <f>IF(MN42&gt;0,SUM($D$18:MM18),0)</f>
        <v>0</v>
      </c>
      <c r="MO44" s="115">
        <f>IF(MO42&gt;0,SUM($D$18:MN18),0)</f>
        <v>0</v>
      </c>
      <c r="MP44" s="115">
        <f>IF(MP42&gt;0,SUM($D$18:MO18),0)</f>
        <v>0</v>
      </c>
      <c r="MQ44" s="115">
        <f>IF(MQ42&gt;0,SUM($D$18:MP18),0)</f>
        <v>0</v>
      </c>
      <c r="MR44" s="115">
        <f>IF(MR42&gt;0,SUM($D$18:MQ18),0)</f>
        <v>0</v>
      </c>
      <c r="MS44" s="115">
        <f>IF(MS42&gt;0,SUM($D$18:MR18),0)</f>
        <v>0</v>
      </c>
      <c r="MT44" s="115">
        <f>IF(MT42&gt;0,SUM($D$18:MS18),0)</f>
        <v>0</v>
      </c>
      <c r="MU44" s="115">
        <f>IF(MU42&gt;0,SUM($D$18:MT18),0)</f>
        <v>0</v>
      </c>
      <c r="MV44" s="115">
        <f>IF(MV42&gt;0,SUM($D$18:MU18),0)</f>
        <v>0</v>
      </c>
      <c r="MW44" s="115">
        <f>IF(MW42&gt;0,SUM($D$18:MV18),0)</f>
        <v>0</v>
      </c>
      <c r="MX44" s="115">
        <f>IF(MX42&gt;0,SUM($D$18:MW18),0)</f>
        <v>0</v>
      </c>
      <c r="MY44" s="115">
        <f>IF(MY42&gt;0,SUM($D$18:MX18),0)</f>
        <v>0</v>
      </c>
      <c r="MZ44" s="115">
        <f>IF(MZ42&gt;0,SUM($D$18:MY18),0)</f>
        <v>0</v>
      </c>
      <c r="NA44" s="115">
        <f>IF(NA42&gt;0,SUM($D$18:MZ18),0)</f>
        <v>0</v>
      </c>
      <c r="NB44" s="115">
        <f>IF(NB42&gt;0,SUM($D$18:NA18),0)</f>
        <v>0</v>
      </c>
      <c r="NC44" s="115">
        <f>IF(NC42&gt;0,SUM($D$18:NB18),0)</f>
        <v>0</v>
      </c>
      <c r="ND44" s="115">
        <f>IF(ND42&gt;0,SUM($D$18:NC18),0)</f>
        <v>0</v>
      </c>
      <c r="NE44" s="115">
        <f>IF(NE42&gt;0,SUM($D$18:ND18),0)</f>
        <v>0</v>
      </c>
      <c r="NF44" s="115">
        <f>IF(NF42&gt;0,SUM($D$18:NE18),0)</f>
        <v>0</v>
      </c>
      <c r="NG44" s="115">
        <f>IF(NG42&gt;0,SUM($D$18:NF18),0)</f>
        <v>0</v>
      </c>
      <c r="NH44" s="115">
        <f>IF(NH42&gt;0,SUM($D$18:NG18),0)</f>
        <v>0</v>
      </c>
      <c r="NI44" s="115">
        <f>IF(NI42&gt;0,SUM($D$18:NH18),0)</f>
        <v>0</v>
      </c>
      <c r="NJ44" s="115">
        <f>IF(NJ42&gt;0,SUM($D$18:NI18),0)</f>
        <v>0</v>
      </c>
      <c r="NK44" s="115">
        <f>IF(NK42&gt;0,SUM($D$18:NJ18),0)</f>
        <v>0</v>
      </c>
      <c r="NL44" s="115">
        <f>IF(NL42&gt;0,SUM($D$18:NK18),0)</f>
        <v>0</v>
      </c>
      <c r="NM44" s="115">
        <f>IF(NM42&gt;0,SUM($D$18:NL18),0)</f>
        <v>0</v>
      </c>
      <c r="NN44" s="115">
        <f>IF(NN42&gt;0,SUM($D$18:NM18),0)</f>
        <v>0</v>
      </c>
      <c r="NO44" s="115">
        <f>IF(NO42&gt;0,SUM($D$18:NN18),0)</f>
        <v>0</v>
      </c>
      <c r="NP44" s="115">
        <f>IF(NP42&gt;0,SUM($D$18:NO18),0)</f>
        <v>0</v>
      </c>
      <c r="NQ44" s="115">
        <f>IF(NQ42&gt;0,SUM($D$18:NP18),0)</f>
        <v>0</v>
      </c>
      <c r="NR44" s="115">
        <f>IF(NR42&gt;0,SUM($D$18:NQ18),0)</f>
        <v>0</v>
      </c>
      <c r="NS44" s="115">
        <f>IF(NS42&gt;0,SUM($D$18:NR18),0)</f>
        <v>0</v>
      </c>
      <c r="NT44" s="115">
        <f>IF(NT42&gt;0,SUM($D$18:NS18),0)</f>
        <v>0</v>
      </c>
      <c r="NU44" s="115">
        <f>IF(NU42&gt;0,SUM($D$18:NT18),0)</f>
        <v>0</v>
      </c>
      <c r="NV44" s="115">
        <f>IF(NV42&gt;0,SUM($D$18:NU18),0)</f>
        <v>0</v>
      </c>
      <c r="NW44" s="115">
        <f>IF(NW42&gt;0,SUM($D$18:NV18),0)</f>
        <v>0</v>
      </c>
      <c r="NX44" s="115">
        <f>IF(NX42&gt;0,SUM($D$18:NW18),0)</f>
        <v>0</v>
      </c>
      <c r="NY44" s="115">
        <f>IF(NY42&gt;0,SUM($D$18:NX18),0)</f>
        <v>0</v>
      </c>
      <c r="NZ44" s="115">
        <f>IF(NZ42&gt;0,SUM($D$18:NY18),0)</f>
        <v>0</v>
      </c>
      <c r="OA44" s="115">
        <f>IF(OA42&gt;0,SUM($D$18:NZ18),0)</f>
        <v>0</v>
      </c>
      <c r="OB44" s="115">
        <f>IF(OB42&gt;0,SUM($D$18:OA18),0)</f>
        <v>0</v>
      </c>
      <c r="OC44" s="115">
        <f>IF(OC42&gt;0,SUM($D$18:OB18),0)</f>
        <v>0</v>
      </c>
      <c r="OD44" s="115">
        <f>IF(OD42&gt;0,SUM($D$18:OC18),0)</f>
        <v>0</v>
      </c>
      <c r="OE44" s="115">
        <f>IF(OE42&gt;0,SUM($D$18:OD18),0)</f>
        <v>0</v>
      </c>
      <c r="OF44" s="115">
        <f>IF(OF42&gt;0,SUM($D$18:OE18),0)</f>
        <v>0</v>
      </c>
      <c r="OG44" s="115">
        <f>IF(OG42&gt;0,SUM($D$18:OF18),0)</f>
        <v>0</v>
      </c>
      <c r="OH44" s="115">
        <f>IF(OH42&gt;0,SUM($D$18:OG18),0)</f>
        <v>0</v>
      </c>
      <c r="OI44" s="115">
        <f>IF(OI42&gt;0,SUM($D$18:OH18),0)</f>
        <v>0</v>
      </c>
      <c r="OJ44" s="115">
        <f>IF(OJ42&gt;0,SUM($D$18:OI18),0)</f>
        <v>0</v>
      </c>
      <c r="OK44" s="115">
        <f>IF(OK42&gt;0,SUM($D$18:OJ18),0)</f>
        <v>0</v>
      </c>
      <c r="OL44" s="115">
        <f>IF(OL42&gt;0,SUM($D$18:OK18),0)</f>
        <v>0</v>
      </c>
      <c r="OM44" s="115">
        <f>IF(OM42&gt;0,SUM($D$18:OL18),0)</f>
        <v>0</v>
      </c>
      <c r="ON44" s="115">
        <f>IF(ON42&gt;0,SUM($D$18:OM18),0)</f>
        <v>0</v>
      </c>
      <c r="OO44" s="115">
        <f>IF(OO42&gt;0,SUM($D$18:ON18),0)</f>
        <v>0</v>
      </c>
      <c r="OP44" s="115">
        <f>IF(OP42&gt;0,SUM($D$18:OO18),0)</f>
        <v>0</v>
      </c>
      <c r="OQ44" s="115">
        <f>IF(OQ42&gt;0,SUM($D$18:OP18),0)</f>
        <v>0</v>
      </c>
      <c r="OR44" s="115">
        <f>IF(OR42&gt;0,SUM($D$18:OQ18),0)</f>
        <v>0</v>
      </c>
      <c r="OS44" s="115">
        <f>IF(OS42&gt;0,SUM($D$18:OR18),0)</f>
        <v>0</v>
      </c>
      <c r="OT44" s="115">
        <f>IF(OT42&gt;0,SUM($D$18:OS18),0)</f>
        <v>0</v>
      </c>
      <c r="OU44" s="115">
        <f>IF(OU42&gt;0,SUM($D$18:OT18),0)</f>
        <v>0</v>
      </c>
      <c r="OV44" s="115">
        <f>IF(OV42&gt;0,SUM($D$18:OU18),0)</f>
        <v>0</v>
      </c>
      <c r="OW44" s="115">
        <f>IF(OW42&gt;0,SUM($D$18:OV18),0)</f>
        <v>0</v>
      </c>
      <c r="OX44" s="115">
        <f>IF(OX42&gt;0,SUM($D$18:OW18),0)</f>
        <v>0</v>
      </c>
      <c r="OY44" s="115">
        <f>IF(OY42&gt;0,SUM($D$18:OX18),0)</f>
        <v>0</v>
      </c>
      <c r="OZ44" s="115">
        <f>IF(OZ42&gt;0,SUM($D$18:OY18),0)</f>
        <v>0</v>
      </c>
      <c r="PA44" s="115">
        <f>IF(PA42&gt;0,SUM($D$18:OZ18),0)</f>
        <v>0</v>
      </c>
      <c r="PB44" s="115">
        <f>IF(PB42&gt;0,SUM($D$18:PA18),0)</f>
        <v>0</v>
      </c>
      <c r="PC44" s="115">
        <f>IF(PC42&gt;0,SUM($D$18:PB18),0)</f>
        <v>0</v>
      </c>
      <c r="PD44" s="115">
        <f>IF(PD42&gt;0,SUM($D$18:PC18),0)</f>
        <v>0</v>
      </c>
      <c r="PE44" s="115">
        <f>IF(PE42&gt;0,SUM($D$18:PD18),0)</f>
        <v>0</v>
      </c>
      <c r="PF44" s="115">
        <f>IF(PF42&gt;0,SUM($D$18:PE18),0)</f>
        <v>0</v>
      </c>
      <c r="PG44" s="115">
        <f>IF(PG42&gt;0,SUM($D$18:PF18),0)</f>
        <v>0</v>
      </c>
      <c r="PH44" s="115">
        <f>IF(PH42&gt;0,SUM($D$18:PG18),0)</f>
        <v>0</v>
      </c>
      <c r="PI44" s="115">
        <f>IF(PI42&gt;0,SUM($D$18:PH18),0)</f>
        <v>0</v>
      </c>
      <c r="PJ44" s="115">
        <f>IF(PJ42&gt;0,SUM($D$18:PI18),0)</f>
        <v>0</v>
      </c>
      <c r="PK44" s="115">
        <f>IF(PK42&gt;0,SUM($D$18:PJ18),0)</f>
        <v>0</v>
      </c>
      <c r="PL44" s="115">
        <f>IF(PL42&gt;0,SUM($D$18:PK18),0)</f>
        <v>0</v>
      </c>
      <c r="PM44" s="115">
        <f>IF(PM42&gt;0,SUM($D$18:PL18),0)</f>
        <v>0</v>
      </c>
      <c r="PN44" s="115">
        <f>IF(PN42&gt;0,SUM($D$18:PM18),0)</f>
        <v>0</v>
      </c>
      <c r="PO44" s="115">
        <f>IF(PO42&gt;0,SUM($D$18:PN18),0)</f>
        <v>0</v>
      </c>
      <c r="PP44" s="115">
        <f>IF(PP42&gt;0,SUM($D$18:PO18),0)</f>
        <v>0</v>
      </c>
      <c r="PQ44" s="115">
        <f>IF(PQ42&gt;0,SUM($D$18:PP18),0)</f>
        <v>0</v>
      </c>
      <c r="PR44" s="115">
        <f>IF(PR42&gt;0,SUM($D$18:PQ18),0)</f>
        <v>0</v>
      </c>
      <c r="PS44" s="115">
        <f>IF(PS42&gt;0,SUM($D$18:PR18),0)</f>
        <v>0</v>
      </c>
      <c r="PT44" s="115">
        <f>IF(PT42&gt;0,SUM($D$18:PS18),0)</f>
        <v>0</v>
      </c>
      <c r="PU44" s="115">
        <f>IF(PU42&gt;0,SUM($D$18:PT18),0)</f>
        <v>0</v>
      </c>
      <c r="PV44" s="115">
        <f>IF(PV42&gt;0,SUM($D$18:PU18),0)</f>
        <v>0</v>
      </c>
      <c r="PW44" s="115">
        <f>IF(PW42&gt;0,SUM($D$18:PV18),0)</f>
        <v>0</v>
      </c>
      <c r="PX44" s="115">
        <f>IF(PX42&gt;0,SUM($D$18:PW18),0)</f>
        <v>0</v>
      </c>
      <c r="PY44" s="115">
        <f>IF(PY42&gt;0,SUM($D$18:PX18),0)</f>
        <v>0</v>
      </c>
      <c r="PZ44" s="115">
        <f>IF(PZ42&gt;0,SUM($D$18:PY18),0)</f>
        <v>0</v>
      </c>
      <c r="QA44" s="115">
        <f>IF(QA42&gt;0,SUM($D$18:PZ18),0)</f>
        <v>0</v>
      </c>
      <c r="QB44" s="115">
        <f>IF(QB42&gt;0,SUM($D$18:QA18),0)</f>
        <v>0</v>
      </c>
      <c r="QC44" s="115">
        <f>IF(QC42&gt;0,SUM($D$18:QB18),0)</f>
        <v>0</v>
      </c>
      <c r="QD44" s="115">
        <f>IF(QD42&gt;0,SUM($D$18:QC18),0)</f>
        <v>0</v>
      </c>
      <c r="QE44" s="115">
        <f>IF(QE42&gt;0,SUM($D$18:QD18),0)</f>
        <v>0</v>
      </c>
      <c r="QF44" s="115">
        <f>IF(QF42&gt;0,SUM($D$18:QE18),0)</f>
        <v>0</v>
      </c>
      <c r="QG44" s="115">
        <f>IF(QG42&gt;0,SUM($D$18:QF18),0)</f>
        <v>0</v>
      </c>
      <c r="QH44" s="115">
        <f>IF(QH42&gt;0,SUM($D$18:QG18),0)</f>
        <v>0</v>
      </c>
      <c r="QI44" s="115">
        <f>IF(QI42&gt;0,SUM($D$18:QH18),0)</f>
        <v>0</v>
      </c>
      <c r="QJ44" s="115">
        <f>IF(QJ42&gt;0,SUM($D$18:QI18),0)</f>
        <v>0</v>
      </c>
      <c r="QK44" s="115">
        <f>IF(QK42&gt;0,SUM($D$18:QJ18),0)</f>
        <v>0</v>
      </c>
      <c r="QL44" s="115">
        <f>IF(QL42&gt;0,SUM($D$18:QK18),0)</f>
        <v>0</v>
      </c>
      <c r="QM44" s="115">
        <f>IF(QM42&gt;0,SUM($D$18:QL18),0)</f>
        <v>0</v>
      </c>
      <c r="QN44" s="115">
        <f>IF(QN42&gt;0,SUM($D$18:QM18),0)</f>
        <v>0</v>
      </c>
      <c r="QO44" s="115">
        <f>IF(QO42&gt;0,SUM($D$18:QN18),0)</f>
        <v>0</v>
      </c>
      <c r="QP44" s="115">
        <f>IF(QP42&gt;0,SUM($D$18:QO18),0)</f>
        <v>0</v>
      </c>
      <c r="QQ44" s="115">
        <f>IF(QQ42&gt;0,SUM($D$18:QP18),0)</f>
        <v>0</v>
      </c>
      <c r="QR44" s="115">
        <f>IF(QR42&gt;0,SUM($D$18:QQ18),0)</f>
        <v>0</v>
      </c>
      <c r="QS44" s="115">
        <f>IF(QS42&gt;0,SUM($D$18:QR18),0)</f>
        <v>0</v>
      </c>
      <c r="QT44" s="115">
        <f>IF(QT42&gt;0,SUM($D$18:QS18),0)</f>
        <v>0</v>
      </c>
      <c r="QU44" s="115">
        <f>IF(QU42&gt;0,SUM($D$18:QT18),0)</f>
        <v>0</v>
      </c>
      <c r="QV44" s="115">
        <f>IF(QV42&gt;0,SUM($D$18:QU18),0)</f>
        <v>0</v>
      </c>
      <c r="QW44" s="115">
        <f>IF(QW42&gt;0,SUM($D$18:QV18),0)</f>
        <v>0</v>
      </c>
      <c r="QX44" s="115">
        <f>IF(QX42&gt;0,SUM($D$18:QW18),0)</f>
        <v>0</v>
      </c>
      <c r="QY44" s="115">
        <f>IF(QY42&gt;0,SUM($D$18:QX18),0)</f>
        <v>0</v>
      </c>
      <c r="QZ44" s="115">
        <f>IF(QZ42&gt;0,SUM($D$18:QY18),0)</f>
        <v>0</v>
      </c>
      <c r="RA44" s="115">
        <f>IF(RA42&gt;0,SUM($D$18:QZ18),0)</f>
        <v>0</v>
      </c>
      <c r="RB44" s="115">
        <f>IF(RB42&gt;0,SUM($D$18:RA18),0)</f>
        <v>0</v>
      </c>
      <c r="RC44" s="115">
        <f>IF(RC42&gt;0,SUM($D$18:RB18),0)</f>
        <v>0</v>
      </c>
      <c r="RD44" s="115">
        <f>IF(RD42&gt;0,SUM($D$18:RC18),0)</f>
        <v>0</v>
      </c>
      <c r="RE44" s="115">
        <f>IF(RE42&gt;0,SUM($D$18:RD18),0)</f>
        <v>0</v>
      </c>
      <c r="RF44" s="115">
        <f>IF(RF42&gt;0,SUM($D$18:RE18),0)</f>
        <v>0</v>
      </c>
      <c r="RG44" s="115">
        <f>IF(RG42&gt;0,SUM($D$18:RF18),0)</f>
        <v>0</v>
      </c>
      <c r="RH44" s="115">
        <f>IF(RH42&gt;0,SUM($D$18:RG18),0)</f>
        <v>0</v>
      </c>
      <c r="RI44" s="115">
        <f>IF(RI42&gt;0,SUM($D$18:RH18),0)</f>
        <v>0</v>
      </c>
      <c r="RJ44" s="115">
        <f>IF(RJ42&gt;0,SUM($D$18:RI18),0)</f>
        <v>0</v>
      </c>
      <c r="RK44" s="115">
        <f>IF(RK42&gt;0,SUM($D$18:RJ18),0)</f>
        <v>0</v>
      </c>
      <c r="RL44" s="115">
        <f>IF(RL42&gt;0,SUM($D$18:RK18),0)</f>
        <v>0</v>
      </c>
      <c r="RM44" s="115">
        <f>IF(RM42&gt;0,SUM($D$18:RL18),0)</f>
        <v>0</v>
      </c>
      <c r="RN44" s="115">
        <f>IF(RN42&gt;0,SUM($D$18:RM18),0)</f>
        <v>0</v>
      </c>
      <c r="RO44" s="115">
        <f>IF(RO42&gt;0,SUM($D$18:RN18),0)</f>
        <v>0</v>
      </c>
      <c r="RP44" s="115">
        <f>IF(RP42&gt;0,SUM($D$18:RO18),0)</f>
        <v>0</v>
      </c>
      <c r="RQ44" s="115">
        <f>IF(RQ42&gt;0,SUM($D$18:RP18),0)</f>
        <v>0</v>
      </c>
      <c r="RR44" s="115">
        <f>IF(RR42&gt;0,SUM($D$18:RQ18),0)</f>
        <v>0</v>
      </c>
      <c r="RS44" s="115">
        <f>IF(RS42&gt;0,SUM($D$18:RR18),0)</f>
        <v>0</v>
      </c>
      <c r="RT44" s="115">
        <f>IF(RT42&gt;0,SUM($D$18:RS18),0)</f>
        <v>0</v>
      </c>
      <c r="RU44" s="115">
        <f>IF(RU42&gt;0,SUM($D$18:RT18),0)</f>
        <v>0</v>
      </c>
      <c r="RV44" s="115">
        <f>IF(RV42&gt;0,SUM($D$18:RU18),0)</f>
        <v>0</v>
      </c>
      <c r="RW44" s="115">
        <f>IF(RW42&gt;0,SUM($D$18:RV18),0)</f>
        <v>0</v>
      </c>
      <c r="RX44" s="115">
        <f>IF(RX42&gt;0,SUM($D$18:RW18),0)</f>
        <v>0</v>
      </c>
      <c r="RY44" s="115">
        <f>IF(RY42&gt;0,SUM($D$18:RX18),0)</f>
        <v>0</v>
      </c>
      <c r="RZ44" s="115">
        <f>IF(RZ42&gt;0,SUM($D$18:RY18),0)</f>
        <v>0</v>
      </c>
      <c r="SA44" s="115">
        <f>IF(SA42&gt;0,SUM($D$18:RZ18),0)</f>
        <v>0</v>
      </c>
      <c r="SB44" s="115">
        <f>IF(SB42&gt;0,SUM($D$18:SA18),0)</f>
        <v>0</v>
      </c>
      <c r="SC44" s="115">
        <f>IF(SC42&gt;0,SUM($D$18:SB18),0)</f>
        <v>0</v>
      </c>
      <c r="SD44" s="115">
        <f>IF(SD42&gt;0,SUM($D$18:SC18),0)</f>
        <v>0</v>
      </c>
      <c r="SE44" s="115">
        <f>IF(SE42&gt;0,SUM($D$18:SD18),0)</f>
        <v>0</v>
      </c>
      <c r="SF44" s="115">
        <f>IF(SF42&gt;0,SUM($D$18:SE18),0)</f>
        <v>0</v>
      </c>
      <c r="SG44" s="115">
        <f>IF(SG42&gt;0,SUM($D$18:SF18),0)</f>
        <v>0</v>
      </c>
      <c r="SH44" s="115">
        <f>IF(SH42&gt;0,SUM($D$18:SG18),0)</f>
        <v>0</v>
      </c>
      <c r="SI44" s="115">
        <f>IF(SI42&gt;0,SUM($D$18:SH18),0)</f>
        <v>0</v>
      </c>
      <c r="SJ44" s="115">
        <f>IF(SJ42&gt;0,SUM($D$18:SI18),0)</f>
        <v>0</v>
      </c>
      <c r="SK44" s="115">
        <f>IF(SK42&gt;0,SUM($D$18:SJ18),0)</f>
        <v>0</v>
      </c>
      <c r="SL44" s="115">
        <f>IF(SL42&gt;0,SUM($D$18:SK18),0)</f>
        <v>0</v>
      </c>
      <c r="SM44" s="115">
        <f>IF(SM42&gt;0,SUM($D$18:SL18),0)</f>
        <v>0</v>
      </c>
      <c r="SN44" s="115">
        <f>IF(SN42&gt;0,SUM($D$18:SM18),0)</f>
        <v>0</v>
      </c>
      <c r="SO44" s="115">
        <f>IF(SO42&gt;0,SUM($D$18:SN18),0)</f>
        <v>0</v>
      </c>
      <c r="SP44" s="115">
        <f>IF(SP42&gt;0,SUM($D$18:SO18),0)</f>
        <v>0</v>
      </c>
      <c r="SQ44" s="115">
        <f>IF(SQ42&gt;0,SUM($D$18:SP18),0)</f>
        <v>0</v>
      </c>
      <c r="SR44" s="115">
        <f>IF(SR42&gt;0,SUM($D$18:SQ18),0)</f>
        <v>0</v>
      </c>
      <c r="SS44" s="115">
        <f>IF(SS42&gt;0,SUM($D$18:SR18),0)</f>
        <v>0</v>
      </c>
      <c r="ST44" s="115">
        <f>IF(ST42&gt;0,SUM($D$18:SS18),0)</f>
        <v>0</v>
      </c>
      <c r="SU44" s="115">
        <f>IF(SU42&gt;0,SUM($D$18:ST18),0)</f>
        <v>0</v>
      </c>
      <c r="SV44" s="115">
        <f>IF(SV42&gt;0,SUM($D$18:SU18),0)</f>
        <v>0</v>
      </c>
      <c r="SW44" s="115">
        <f>IF(SW42&gt;0,SUM($D$18:SV18),0)</f>
        <v>0</v>
      </c>
      <c r="SX44" s="115">
        <f>IF(SX42&gt;0,SUM($D$18:SW18),0)</f>
        <v>0</v>
      </c>
      <c r="SY44" s="115">
        <f>IF(SY42&gt;0,SUM($D$18:SX18),0)</f>
        <v>0</v>
      </c>
      <c r="SZ44" s="115">
        <f>IF(SZ42&gt;0,SUM($D$18:SY18),0)</f>
        <v>0</v>
      </c>
      <c r="TA44" s="115">
        <f>IF(TA42&gt;0,SUM($D$18:SZ18),0)</f>
        <v>0</v>
      </c>
      <c r="TB44" s="115">
        <f>IF(TB42&gt;0,SUM($D$18:TA18),0)</f>
        <v>0</v>
      </c>
      <c r="TC44" s="115">
        <f>IF(TC42&gt;0,SUM($D$18:TB18),0)</f>
        <v>0</v>
      </c>
      <c r="TD44" s="115">
        <f>IF(TD42&gt;0,SUM($D$18:TC18),0)</f>
        <v>0</v>
      </c>
      <c r="TE44" s="115">
        <f>IF(TE42&gt;0,SUM($D$18:TD18),0)</f>
        <v>0</v>
      </c>
      <c r="TF44" s="115">
        <f>IF(TF42&gt;0,SUM($D$18:TE18),0)</f>
        <v>0</v>
      </c>
      <c r="TG44" s="115">
        <f>IF(TG42&gt;0,SUM($D$18:TF18),0)</f>
        <v>0</v>
      </c>
      <c r="TH44" s="115">
        <f>IF(TH42&gt;0,SUM($D$18:TG18),0)</f>
        <v>0</v>
      </c>
      <c r="TI44" s="115">
        <f>IF(TI42&gt;0,SUM($D$18:TH18),0)</f>
        <v>0</v>
      </c>
      <c r="TJ44" s="115">
        <f>IF(TJ42&gt;0,SUM($D$18:TI18),0)</f>
        <v>0</v>
      </c>
      <c r="TK44" s="115">
        <f>IF(TK42&gt;0,SUM($D$18:TJ18),0)</f>
        <v>0</v>
      </c>
      <c r="TL44" s="115">
        <f>IF(TL42&gt;0,SUM($D$18:TK18),0)</f>
        <v>0</v>
      </c>
      <c r="TM44" s="115">
        <f>IF(TM42&gt;0,SUM($D$18:TL18),0)</f>
        <v>0</v>
      </c>
      <c r="TN44" s="115">
        <f>IF(TN42&gt;0,SUM($D$18:TM18),0)</f>
        <v>0</v>
      </c>
      <c r="TO44" s="115">
        <f>IF(TO42&gt;0,SUM($D$18:TN18),0)</f>
        <v>0</v>
      </c>
      <c r="TP44" s="115">
        <f>IF(TP42&gt;0,SUM($D$18:TO18),0)</f>
        <v>0</v>
      </c>
      <c r="TQ44" s="115">
        <f>IF(TQ42&gt;0,SUM($D$18:TP18),0)</f>
        <v>0</v>
      </c>
      <c r="TR44" s="115">
        <f>IF(TR42&gt;0,SUM($D$18:TQ18),0)</f>
        <v>0</v>
      </c>
      <c r="TS44" s="115">
        <f>IF(TS42&gt;0,SUM($D$18:TR18),0)</f>
        <v>0</v>
      </c>
      <c r="TT44" s="115">
        <f>IF(TT42&gt;0,SUM($D$18:TS18),0)</f>
        <v>0</v>
      </c>
      <c r="TU44" s="115">
        <f>IF(TU42&gt;0,SUM($D$18:TT18),0)</f>
        <v>0</v>
      </c>
      <c r="TV44" s="115">
        <f>IF(TV42&gt;0,SUM($D$18:TU18),0)</f>
        <v>0</v>
      </c>
      <c r="TW44" s="115">
        <f>IF(TW42&gt;0,SUM($D$18:TV18),0)</f>
        <v>0</v>
      </c>
      <c r="TX44" s="115">
        <f>IF(TX42&gt;0,SUM($D$18:TW18),0)</f>
        <v>0</v>
      </c>
      <c r="TY44" s="115">
        <f>IF(TY42&gt;0,SUM($D$18:TX18),0)</f>
        <v>0</v>
      </c>
      <c r="TZ44" s="115">
        <f>IF(TZ42&gt;0,SUM($D$18:TY18),0)</f>
        <v>0</v>
      </c>
      <c r="UA44" s="115">
        <f>IF(UA42&gt;0,SUM($D$18:TZ18),0)</f>
        <v>0</v>
      </c>
      <c r="UB44" s="115">
        <f>IF(UB42&gt;0,SUM($D$18:UA18),0)</f>
        <v>0</v>
      </c>
      <c r="UC44" s="115">
        <f>IF(UC42&gt;0,SUM($D$18:UB18),0)</f>
        <v>0</v>
      </c>
      <c r="UD44" s="115">
        <f>IF(UD42&gt;0,SUM($D$18:UC18),0)</f>
        <v>0</v>
      </c>
      <c r="UE44" s="115">
        <f>IF(UE42&gt;0,SUM($D$18:UD18),0)</f>
        <v>0</v>
      </c>
      <c r="UF44" s="115">
        <f>IF(UF42&gt;0,SUM($D$18:UE18),0)</f>
        <v>0</v>
      </c>
      <c r="UG44" s="115">
        <f>IF(UG42&gt;0,SUM($D$18:UF18),0)</f>
        <v>0</v>
      </c>
      <c r="UH44" s="115">
        <f>IF(UH42&gt;0,SUM($D$18:UG18),0)</f>
        <v>0</v>
      </c>
      <c r="UI44" s="115">
        <f>IF(UI42&gt;0,SUM($D$18:UH18),0)</f>
        <v>0</v>
      </c>
      <c r="UJ44" s="115">
        <f>IF(UJ42&gt;0,SUM($D$18:UI18),0)</f>
        <v>0</v>
      </c>
      <c r="UK44" s="115">
        <f>IF(UK42&gt;0,SUM($D$18:UJ18),0)</f>
        <v>0</v>
      </c>
      <c r="UL44" s="115">
        <f>IF(UL42&gt;0,SUM($D$18:UK18),0)</f>
        <v>0</v>
      </c>
      <c r="UM44" s="115">
        <f>IF(UM42&gt;0,SUM($D$18:UL18),0)</f>
        <v>0</v>
      </c>
      <c r="UN44" s="115">
        <f>IF(UN42&gt;0,SUM($D$18:UM18),0)</f>
        <v>0</v>
      </c>
      <c r="UO44" s="115">
        <f>IF(UO42&gt;0,SUM($D$18:UN18),0)</f>
        <v>0</v>
      </c>
      <c r="UP44" s="115">
        <f>IF(UP42&gt;0,SUM($D$18:UO18),0)</f>
        <v>0</v>
      </c>
      <c r="UQ44" s="115">
        <f>IF(UQ42&gt;0,SUM($D$18:UP18),0)</f>
        <v>0</v>
      </c>
      <c r="UR44" s="115">
        <f>IF(UR42&gt;0,SUM($D$18:UQ18),0)</f>
        <v>0</v>
      </c>
      <c r="US44" s="115">
        <f>IF(US42&gt;0,SUM($D$18:UR18),0)</f>
        <v>0</v>
      </c>
      <c r="UT44" s="115">
        <f>IF(UT42&gt;0,SUM($D$18:US18),0)</f>
        <v>0</v>
      </c>
      <c r="UU44" s="115">
        <f>IF(UU42&gt;0,SUM($D$18:UT18),0)</f>
        <v>0</v>
      </c>
      <c r="UV44" s="115">
        <f>IF(UV42&gt;0,SUM($D$18:UU18),0)</f>
        <v>0</v>
      </c>
      <c r="UW44" s="115">
        <f>IF(UW42&gt;0,SUM($D$18:UV18),0)</f>
        <v>0</v>
      </c>
      <c r="UX44" s="115">
        <f>IF(UX42&gt;0,SUM($D$18:UW18),0)</f>
        <v>0</v>
      </c>
      <c r="UY44" s="115">
        <f>IF(UY42&gt;0,SUM($D$18:UX18),0)</f>
        <v>0</v>
      </c>
      <c r="UZ44" s="115">
        <f>IF(UZ42&gt;0,SUM($D$18:UY18),0)</f>
        <v>0</v>
      </c>
      <c r="VA44" s="115">
        <f>IF(VA42&gt;0,SUM($D$18:UZ18),0)</f>
        <v>0</v>
      </c>
      <c r="VB44" s="115">
        <f>IF(VB42&gt;0,SUM($D$18:VA18),0)</f>
        <v>0</v>
      </c>
      <c r="VC44" s="115">
        <f>IF(VC42&gt;0,SUM($D$18:VB18),0)</f>
        <v>0</v>
      </c>
      <c r="VD44" s="115">
        <f>IF(VD42&gt;0,SUM($D$18:VC18),0)</f>
        <v>0</v>
      </c>
      <c r="VE44" s="115">
        <f>IF(VE42&gt;0,SUM($D$18:VD18),0)</f>
        <v>0</v>
      </c>
      <c r="VF44" s="115">
        <f>IF(VF42&gt;0,SUM($D$18:VE18),0)</f>
        <v>0</v>
      </c>
      <c r="VG44" s="115">
        <f>IF(VG42&gt;0,SUM($D$18:VF18),0)</f>
        <v>0</v>
      </c>
      <c r="VH44" s="115">
        <f>IF(VH42&gt;0,SUM($D$18:VG18),0)</f>
        <v>0</v>
      </c>
      <c r="VI44" s="115">
        <f>IF(VI42&gt;0,SUM($D$18:VH18),0)</f>
        <v>0</v>
      </c>
      <c r="VJ44" s="115">
        <f>IF(VJ42&gt;0,SUM($D$18:VI18),0)</f>
        <v>0</v>
      </c>
      <c r="VK44" s="115">
        <f>IF(VK42&gt;0,SUM($D$18:VJ18),0)</f>
        <v>0</v>
      </c>
      <c r="VL44" s="115">
        <f>IF(VL42&gt;0,SUM($D$18:VK18),0)</f>
        <v>0</v>
      </c>
      <c r="VM44" s="115">
        <f>IF(VM42&gt;0,SUM($D$18:VL18),0)</f>
        <v>0</v>
      </c>
      <c r="VN44" s="115">
        <f>IF(VN42&gt;0,SUM($D$18:VM18),0)</f>
        <v>0</v>
      </c>
      <c r="VO44" s="115">
        <f>IF(VO42&gt;0,SUM($D$18:VN18),0)</f>
        <v>0</v>
      </c>
      <c r="VP44" s="115">
        <f>IF(VP42&gt;0,SUM($D$18:VO18),0)</f>
        <v>0</v>
      </c>
      <c r="VQ44" s="115">
        <f>IF(VQ42&gt;0,SUM($D$18:VP18),0)</f>
        <v>0</v>
      </c>
      <c r="VR44" s="115">
        <f>IF(VR42&gt;0,SUM($D$18:VQ18),0)</f>
        <v>0</v>
      </c>
      <c r="VS44" s="115">
        <f>IF(VS42&gt;0,SUM($D$18:VR18),0)</f>
        <v>0</v>
      </c>
      <c r="VT44" s="115">
        <f>IF(VT42&gt;0,SUM($D$18:VS18),0)</f>
        <v>0</v>
      </c>
      <c r="VU44" s="115">
        <f>IF(VU42&gt;0,SUM($D$18:VT18),0)</f>
        <v>0</v>
      </c>
      <c r="VV44" s="115">
        <f>IF(VV42&gt;0,SUM($D$18:VU18),0)</f>
        <v>0</v>
      </c>
      <c r="VW44" s="115">
        <f>IF(VW42&gt;0,SUM($D$18:VV18),0)</f>
        <v>0</v>
      </c>
      <c r="VX44" s="115">
        <f>IF(VX42&gt;0,SUM($D$18:VW18),0)</f>
        <v>0</v>
      </c>
      <c r="VY44" s="115">
        <f>IF(VY42&gt;0,SUM($D$18:VX18),0)</f>
        <v>0</v>
      </c>
      <c r="VZ44" s="115">
        <f>IF(VZ42&gt;0,SUM($D$18:VY18),0)</f>
        <v>0</v>
      </c>
      <c r="WA44" s="115">
        <f>IF(WA42&gt;0,SUM($D$18:VZ18),0)</f>
        <v>0</v>
      </c>
      <c r="WB44" s="115">
        <f>IF(WB42&gt;0,SUM($D$18:WA18),0)</f>
        <v>0</v>
      </c>
      <c r="WC44" s="115">
        <f>IF(WC42&gt;0,SUM($D$18:WB18),0)</f>
        <v>0</v>
      </c>
      <c r="WD44" s="115">
        <f>IF(WD42&gt;0,SUM($D$18:WC18),0)</f>
        <v>0</v>
      </c>
      <c r="WE44" s="115">
        <f>IF(WE42&gt;0,SUM($D$18:WD18),0)</f>
        <v>0</v>
      </c>
      <c r="WF44" s="115">
        <f>IF(WF42&gt;0,SUM($D$18:WE18),0)</f>
        <v>0</v>
      </c>
      <c r="WG44" s="115">
        <f>IF(WG42&gt;0,SUM($D$18:WF18),0)</f>
        <v>0</v>
      </c>
      <c r="WH44" s="115">
        <f>IF(WH42&gt;0,SUM($D$18:WG18),0)</f>
        <v>0</v>
      </c>
      <c r="WI44" s="115">
        <f>IF(WI42&gt;0,SUM($D$18:WH18),0)</f>
        <v>0</v>
      </c>
      <c r="WJ44" s="115">
        <f>IF(WJ42&gt;0,SUM($D$18:WI18),0)</f>
        <v>0</v>
      </c>
      <c r="WK44" s="115">
        <f>IF(WK42&gt;0,SUM($D$18:WJ18),0)</f>
        <v>0</v>
      </c>
      <c r="WL44" s="115">
        <f>IF(WL42&gt;0,SUM($D$18:WK18),0)</f>
        <v>0</v>
      </c>
      <c r="WM44" s="115">
        <f>IF(WM42&gt;0,SUM($D$18:WL18),0)</f>
        <v>0</v>
      </c>
      <c r="WN44" s="115">
        <f>IF(WN42&gt;0,SUM($D$18:WM18),0)</f>
        <v>0</v>
      </c>
      <c r="WO44" s="115">
        <f>IF(WO42&gt;0,SUM($D$18:WN18),0)</f>
        <v>0</v>
      </c>
      <c r="WP44" s="115">
        <f>IF(WP42&gt;0,SUM($D$18:WO18),0)</f>
        <v>0</v>
      </c>
      <c r="WQ44" s="115">
        <f>IF(WQ42&gt;0,SUM($D$18:WP18),0)</f>
        <v>0</v>
      </c>
      <c r="WR44" s="115">
        <f>IF(WR42&gt;0,SUM($D$18:WQ18),0)</f>
        <v>0</v>
      </c>
      <c r="WS44" s="115">
        <f>IF(WS42&gt;0,SUM($D$18:WR18),0)</f>
        <v>0</v>
      </c>
      <c r="WT44" s="115">
        <f>IF(WT42&gt;0,SUM($D$18:WS18),0)</f>
        <v>0</v>
      </c>
      <c r="WU44" s="115">
        <f>IF(WU42&gt;0,SUM($D$18:WT18),0)</f>
        <v>0</v>
      </c>
      <c r="WV44" s="115">
        <f>IF(WV42&gt;0,SUM($D$18:WU18),0)</f>
        <v>0</v>
      </c>
      <c r="WW44" s="115">
        <f>IF(WW42&gt;0,SUM($D$18:WV18),0)</f>
        <v>0</v>
      </c>
      <c r="WX44" s="115">
        <f>IF(WX42&gt;0,SUM($D$18:WW18),0)</f>
        <v>0</v>
      </c>
      <c r="WY44" s="115">
        <f>IF(WY42&gt;0,SUM($D$18:WX18),0)</f>
        <v>0</v>
      </c>
      <c r="WZ44" s="115">
        <f>IF(WZ42&gt;0,SUM($D$18:WY18),0)</f>
        <v>0</v>
      </c>
      <c r="XA44" s="115">
        <f>IF(XA42&gt;0,SUM($D$18:WZ18),0)</f>
        <v>0</v>
      </c>
      <c r="XB44" s="115">
        <f>IF(XB42&gt;0,SUM($D$18:XA18),0)</f>
        <v>0</v>
      </c>
      <c r="XC44" s="115">
        <f>IF(XC42&gt;0,SUM($D$18:XB18),0)</f>
        <v>0</v>
      </c>
      <c r="XD44" s="115">
        <f>IF(XD42&gt;0,SUM($D$18:XC18),0)</f>
        <v>0</v>
      </c>
      <c r="XE44" s="115">
        <f>IF(XE42&gt;0,SUM($D$18:XD18),0)</f>
        <v>0</v>
      </c>
      <c r="XF44" s="115">
        <f>IF(XF42&gt;0,SUM($D$18:XE18),0)</f>
        <v>0</v>
      </c>
      <c r="XG44" s="115">
        <f>IF(XG42&gt;0,SUM($D$18:XF18),0)</f>
        <v>0</v>
      </c>
      <c r="XH44" s="115">
        <f>IF(XH42&gt;0,SUM($D$18:XG18),0)</f>
        <v>0</v>
      </c>
      <c r="XI44" s="115">
        <f>IF(XI42&gt;0,SUM($D$18:XH18),0)</f>
        <v>0</v>
      </c>
      <c r="XJ44" s="115">
        <f>IF(XJ42&gt;0,SUM($D$18:XI18),0)</f>
        <v>0</v>
      </c>
      <c r="XK44" s="115">
        <f>IF(XK42&gt;0,SUM($D$18:XJ18),0)</f>
        <v>0</v>
      </c>
      <c r="XL44" s="115">
        <f>IF(XL42&gt;0,SUM($D$18:XK18),0)</f>
        <v>0</v>
      </c>
      <c r="XM44" s="115">
        <f>IF(XM42&gt;0,SUM($D$18:XL18),0)</f>
        <v>0</v>
      </c>
      <c r="XN44" s="115">
        <f>IF(XN42&gt;0,SUM($D$18:XM18),0)</f>
        <v>0</v>
      </c>
      <c r="XO44" s="115">
        <f>IF(XO42&gt;0,SUM($D$18:XN18),0)</f>
        <v>0</v>
      </c>
      <c r="XP44" s="115">
        <f>IF(XP42&gt;0,SUM($D$18:XO18),0)</f>
        <v>0</v>
      </c>
      <c r="XQ44" s="115">
        <f>IF(XQ42&gt;0,SUM($D$18:XP18),0)</f>
        <v>0</v>
      </c>
      <c r="XR44" s="115">
        <f>IF(XR42&gt;0,SUM($D$18:XQ18),0)</f>
        <v>0</v>
      </c>
      <c r="XS44" s="115">
        <f>IF(XS42&gt;0,SUM($D$18:XR18),0)</f>
        <v>0</v>
      </c>
      <c r="XT44" s="115">
        <f>IF(XT42&gt;0,SUM($D$18:XS18),0)</f>
        <v>0</v>
      </c>
      <c r="XU44" s="115">
        <f>IF(XU42&gt;0,SUM($D$18:XT18),0)</f>
        <v>0</v>
      </c>
      <c r="XV44" s="115">
        <f>IF(XV42&gt;0,SUM($D$18:XU18),0)</f>
        <v>0</v>
      </c>
      <c r="XW44" s="115">
        <f>IF(XW42&gt;0,SUM($D$18:XV18),0)</f>
        <v>0</v>
      </c>
      <c r="XX44" s="115">
        <f>IF(XX42&gt;0,SUM($D$18:XW18),0)</f>
        <v>56</v>
      </c>
      <c r="XY44" s="115">
        <f>IF(XY42&gt;0,SUM($D$18:XX18),0)</f>
        <v>0</v>
      </c>
      <c r="XZ44" s="115">
        <f>IF(XZ42&gt;0,SUM($D$18:XY18),0)</f>
        <v>0</v>
      </c>
      <c r="YA44" s="115">
        <f>IF(YA42&gt;0,SUM($D$18:XZ18),0)</f>
        <v>0</v>
      </c>
      <c r="YB44" s="115">
        <f>IF(YB42&gt;0,SUM($D$18:YA18),0)</f>
        <v>0</v>
      </c>
      <c r="YC44" s="115">
        <f>IF(YC42&gt;0,SUM($D$18:YB18),0)</f>
        <v>0</v>
      </c>
      <c r="YD44" s="115">
        <f>IF(YD42&gt;0,SUM($D$18:YC18),0)</f>
        <v>0</v>
      </c>
      <c r="YE44" s="115">
        <f>IF(YE42&gt;0,SUM($D$18:YD18),0)</f>
        <v>0</v>
      </c>
      <c r="YF44" s="115">
        <f>IF(YF42&gt;0,SUM($D$18:YE18),0)</f>
        <v>0</v>
      </c>
      <c r="YG44" s="115">
        <f>IF(YG42&gt;0,SUM($D$18:YF18),0)</f>
        <v>0</v>
      </c>
      <c r="YH44" s="115">
        <f>IF(YH42&gt;0,SUM($D$18:YG18),0)</f>
        <v>0</v>
      </c>
      <c r="YI44" s="115">
        <f>IF(YI42&gt;0,SUM($D$18:YH18),0)</f>
        <v>0</v>
      </c>
      <c r="YJ44" s="115">
        <f>IF(YJ42&gt;0,SUM($D$18:YI18),0)</f>
        <v>0</v>
      </c>
      <c r="YK44" s="115">
        <f>IF(YK42&gt;0,SUM($D$18:YJ18),0)</f>
        <v>0</v>
      </c>
      <c r="YL44" s="115">
        <f>IF(YL42&gt;0,SUM($D$18:YK18),0)</f>
        <v>0</v>
      </c>
      <c r="YM44" s="115">
        <f>IF(YM42&gt;0,SUM($D$18:YL18),0)</f>
        <v>0</v>
      </c>
      <c r="YN44" s="115">
        <f>IF(YN42&gt;0,SUM($D$18:YM18),0)</f>
        <v>0</v>
      </c>
      <c r="YO44" s="115">
        <f>IF(YO42&gt;0,SUM($D$18:YN18),0)</f>
        <v>0</v>
      </c>
      <c r="YP44" s="115">
        <f>IF(YP42&gt;0,SUM($D$18:YO18),0)</f>
        <v>0</v>
      </c>
      <c r="YQ44" s="115">
        <f>IF(YQ42&gt;0,SUM($D$18:YP18),0)</f>
        <v>0</v>
      </c>
      <c r="YR44" s="115">
        <f>IF(YR42&gt;0,SUM($D$18:YQ18),0)</f>
        <v>0</v>
      </c>
      <c r="YS44" s="115">
        <f>IF(YS42&gt;0,SUM($D$18:YR18),0)</f>
        <v>0</v>
      </c>
      <c r="YT44" s="115">
        <f>IF(YT42&gt;0,SUM($D$18:YS18),0)</f>
        <v>0</v>
      </c>
      <c r="YU44" s="115">
        <f>IF(YU42&gt;0,SUM($D$18:YT18),0)</f>
        <v>0</v>
      </c>
      <c r="YV44" s="115">
        <f>IF(YV42&gt;0,SUM($D$18:YU18),0)</f>
        <v>0</v>
      </c>
      <c r="YW44" s="115">
        <f>IF(YW42&gt;0,SUM($D$18:YV18),0)</f>
        <v>0</v>
      </c>
      <c r="YX44" s="115">
        <f>IF(YX42&gt;0,SUM($D$18:YW18),0)</f>
        <v>0</v>
      </c>
      <c r="YY44" s="115">
        <f>IF(YY42&gt;0,SUM($D$18:YX18),0)</f>
        <v>0</v>
      </c>
      <c r="YZ44" s="115">
        <f>IF(YZ42&gt;0,SUM($D$18:YY18),0)</f>
        <v>0</v>
      </c>
      <c r="ZA44" s="115">
        <f>IF(ZA42&gt;0,SUM($D$18:YZ18),0)</f>
        <v>0</v>
      </c>
      <c r="ZB44" s="115">
        <f>IF(ZB42&gt;0,SUM($D$18:ZA18),0)</f>
        <v>0</v>
      </c>
      <c r="ZC44" s="115">
        <f>IF(ZC42&gt;0,SUM($D$18:ZB18),0)</f>
        <v>0</v>
      </c>
      <c r="ZD44" s="115">
        <f>IF(ZD42&gt;0,SUM($D$18:ZC18),0)</f>
        <v>0</v>
      </c>
      <c r="ZE44" s="115">
        <f>IF(ZE42&gt;0,SUM($D$18:ZD18),0)</f>
        <v>0</v>
      </c>
      <c r="ZF44" s="115">
        <f>IF(ZF42&gt;0,SUM($D$18:ZE18),0)</f>
        <v>0</v>
      </c>
      <c r="ZG44" s="115">
        <f>IF(ZG42&gt;0,SUM($D$18:ZF18),0)</f>
        <v>0</v>
      </c>
      <c r="ZH44" s="115">
        <f>IF(ZH42&gt;0,SUM($D$18:ZG18),0)</f>
        <v>0</v>
      </c>
      <c r="ZI44" s="115">
        <f>IF(ZI42&gt;0,SUM($D$18:ZH18),0)</f>
        <v>0</v>
      </c>
      <c r="ZJ44" s="115">
        <f>IF(ZJ42&gt;0,SUM($D$18:ZI18),0)</f>
        <v>0</v>
      </c>
      <c r="ZK44" s="115">
        <f>IF(ZK42&gt;0,SUM($D$18:ZJ18),0)</f>
        <v>0</v>
      </c>
      <c r="ZL44" s="115">
        <f>IF(ZL42&gt;0,SUM($D$18:ZK18),0)</f>
        <v>0</v>
      </c>
      <c r="ZM44" s="115">
        <f>IF(ZM42&gt;0,SUM($D$18:ZL18),0)</f>
        <v>0</v>
      </c>
      <c r="ZN44" s="115">
        <f>IF(ZN42&gt;0,SUM($D$18:ZM18),0)</f>
        <v>0</v>
      </c>
      <c r="ZO44" s="115">
        <f>IF(ZO42&gt;0,SUM($D$18:ZN18),0)</f>
        <v>0</v>
      </c>
      <c r="ZP44" s="115">
        <f>IF(ZP42&gt;0,SUM($D$18:ZO18),0)</f>
        <v>0</v>
      </c>
      <c r="ZQ44" s="115">
        <f>IF(ZQ42&gt;0,SUM($D$18:ZP18),0)</f>
        <v>0</v>
      </c>
      <c r="ZR44" s="115">
        <f>IF(ZR42&gt;0,SUM($D$18:ZQ18),0)</f>
        <v>0</v>
      </c>
      <c r="ZS44" s="115">
        <f>IF(ZS42&gt;0,SUM($D$18:ZR18),0)</f>
        <v>0</v>
      </c>
      <c r="ZT44" s="115">
        <f>IF(ZT42&gt;0,SUM($D$18:ZS18),0)</f>
        <v>0</v>
      </c>
      <c r="ZU44" s="115">
        <f>IF(ZU42&gt;0,SUM($D$18:ZT18),0)</f>
        <v>0</v>
      </c>
      <c r="ZV44" s="115">
        <f>IF(ZV42&gt;0,SUM($D$18:ZU18),0)</f>
        <v>0</v>
      </c>
      <c r="ZW44" s="115">
        <f>IF(ZW42&gt;0,SUM($D$18:ZV18),0)</f>
        <v>0</v>
      </c>
      <c r="ZX44" s="115">
        <f>IF(ZX42&gt;0,SUM($D$18:ZW18),0)</f>
        <v>0</v>
      </c>
      <c r="ZY44" s="115">
        <f>IF(ZY42&gt;0,SUM($D$18:ZX18),0)</f>
        <v>0</v>
      </c>
      <c r="ZZ44" s="115">
        <f>IF(ZZ42&gt;0,SUM($D$18:ZY18),0)</f>
        <v>0</v>
      </c>
      <c r="AAA44" s="115">
        <f>IF(AAA42&gt;0,SUM($D$18:ZZ18),0)</f>
        <v>0</v>
      </c>
      <c r="AAB44" s="115">
        <f>IF(AAB42&gt;0,SUM($D$18:AAA18),0)</f>
        <v>0</v>
      </c>
      <c r="AAC44" s="115">
        <f>IF(AAC42&gt;0,SUM($D$18:AAB18),0)</f>
        <v>0</v>
      </c>
      <c r="AAD44" s="115">
        <f>IF(AAD42&gt;0,SUM($D$18:AAC18),0)</f>
        <v>0</v>
      </c>
      <c r="AAE44" s="115">
        <f>IF(AAE42&gt;0,SUM($D$18:AAD18),0)</f>
        <v>0</v>
      </c>
      <c r="AAF44" s="115">
        <f>IF(AAF42&gt;0,SUM($D$18:AAE18),0)</f>
        <v>0</v>
      </c>
      <c r="AAG44" s="115">
        <f>IF(AAG42&gt;0,SUM($D$18:AAF18),0)</f>
        <v>0</v>
      </c>
      <c r="AAH44" s="115">
        <f>IF(AAH42&gt;0,SUM($D$18:AAG18),0)</f>
        <v>0</v>
      </c>
      <c r="AAI44" s="115">
        <f>IF(AAI42&gt;0,SUM($D$18:AAH18),0)</f>
        <v>0</v>
      </c>
      <c r="AAJ44" s="115">
        <f>IF(AAJ42&gt;0,SUM($D$18:AAI18),0)</f>
        <v>0</v>
      </c>
      <c r="AAK44" s="115">
        <f>IF(AAK42&gt;0,SUM($D$18:AAJ18),0)</f>
        <v>0</v>
      </c>
      <c r="AAL44" s="115">
        <f>IF(AAL42&gt;0,SUM($D$18:AAK18),0)</f>
        <v>0</v>
      </c>
      <c r="AAM44" s="115">
        <f>IF(AAM42&gt;0,SUM($D$18:AAL18),0)</f>
        <v>0</v>
      </c>
      <c r="AAN44" s="115">
        <f>IF(AAN42&gt;0,SUM($D$18:AAM18),0)</f>
        <v>0</v>
      </c>
      <c r="AAO44" s="115">
        <f>IF(AAO42&gt;0,SUM($D$18:AAN18),0)</f>
        <v>0</v>
      </c>
      <c r="AAP44" s="115">
        <f>IF(AAP42&gt;0,SUM($D$18:AAO18),0)</f>
        <v>0</v>
      </c>
      <c r="AAQ44" s="115">
        <f>IF(AAQ42&gt;0,SUM($D$18:AAP18),0)</f>
        <v>0</v>
      </c>
      <c r="AAR44" s="115">
        <f>IF(AAR42&gt;0,SUM($D$18:AAQ18),0)</f>
        <v>0</v>
      </c>
      <c r="AAS44" s="115">
        <f>IF(AAS42&gt;0,SUM($D$18:AAR18),0)</f>
        <v>0</v>
      </c>
      <c r="AAT44" s="115">
        <f>IF(AAT42&gt;0,SUM($D$18:AAS18),0)</f>
        <v>0</v>
      </c>
      <c r="AAU44" s="115">
        <f>IF(AAU42&gt;0,SUM($D$18:AAT18),0)</f>
        <v>0</v>
      </c>
      <c r="AAV44" s="115">
        <f>IF(AAV42&gt;0,SUM($D$18:AAU18),0)</f>
        <v>0</v>
      </c>
      <c r="AAW44" s="115">
        <f>IF(AAW42&gt;0,SUM($D$18:AAV18),0)</f>
        <v>0</v>
      </c>
      <c r="AAX44" s="115">
        <f>IF(AAX42&gt;0,SUM($D$18:AAW18),0)</f>
        <v>0</v>
      </c>
      <c r="AAY44" s="115">
        <f>IF(AAY42&gt;0,SUM($D$18:AAX18),0)</f>
        <v>0</v>
      </c>
      <c r="AAZ44" s="115">
        <f>IF(AAZ42&gt;0,SUM($D$18:AAY18),0)</f>
        <v>0</v>
      </c>
      <c r="ABA44" s="115">
        <f>IF(ABA42&gt;0,SUM($D$18:AAZ18),0)</f>
        <v>0</v>
      </c>
      <c r="ABB44" s="115">
        <f>IF(ABB42&gt;0,SUM($D$18:ABA18),0)</f>
        <v>0</v>
      </c>
      <c r="ABC44" s="115">
        <f>IF(ABC42&gt;0,SUM($D$18:ABB18),0)</f>
        <v>0</v>
      </c>
      <c r="ABD44" s="115">
        <f>IF(ABD42&gt;0,SUM($D$18:ABC18),0)</f>
        <v>0</v>
      </c>
      <c r="ABE44" s="115">
        <f>IF(ABE42&gt;0,SUM($D$18:ABD18),0)</f>
        <v>0</v>
      </c>
      <c r="ABF44" s="115">
        <f>IF(ABF42&gt;0,SUM($D$18:ABE18),0)</f>
        <v>0</v>
      </c>
      <c r="ABG44" s="115">
        <f>IF(ABG42&gt;0,SUM($D$18:ABF18),0)</f>
        <v>0</v>
      </c>
      <c r="ABH44" s="115">
        <f>IF(ABH42&gt;0,SUM($D$18:ABG18),0)</f>
        <v>0</v>
      </c>
      <c r="ABI44" s="115">
        <f>IF(ABI42&gt;0,SUM($D$18:ABH18),0)</f>
        <v>0</v>
      </c>
      <c r="ABJ44" s="115">
        <f>IF(ABJ42&gt;0,SUM($D$18:ABI18),0)</f>
        <v>0</v>
      </c>
      <c r="ABK44" s="115">
        <f>IF(ABK42&gt;0,SUM($D$18:ABJ18),0)</f>
        <v>0</v>
      </c>
      <c r="ABL44" s="115">
        <f>IF(ABL42&gt;0,SUM($D$18:ABK18),0)</f>
        <v>0</v>
      </c>
      <c r="ABM44" s="115">
        <f>IF(ABM42&gt;0,SUM($D$18:ABL18),0)</f>
        <v>0</v>
      </c>
      <c r="ABN44" s="115">
        <f>IF(ABN42&gt;0,SUM($D$18:ABM18),0)</f>
        <v>0</v>
      </c>
      <c r="ABO44" s="115">
        <f>IF(ABO42&gt;0,SUM($D$18:ABN18),0)</f>
        <v>0</v>
      </c>
      <c r="ABP44" s="115">
        <f>IF(ABP42&gt;0,SUM($D$18:ABO18),0)</f>
        <v>0</v>
      </c>
      <c r="ABQ44" s="115">
        <f>IF(ABQ42&gt;0,SUM($D$18:ABP18),0)</f>
        <v>0</v>
      </c>
      <c r="ABR44" s="115">
        <f>IF(ABR42&gt;0,SUM($D$18:ABQ18),0)</f>
        <v>0</v>
      </c>
      <c r="ABS44" s="115">
        <f>IF(ABS42&gt;0,SUM($D$18:ABR18),0)</f>
        <v>0</v>
      </c>
      <c r="ABT44" s="115">
        <f>IF(ABT42&gt;0,SUM($D$18:ABS18),0)</f>
        <v>0</v>
      </c>
      <c r="ABU44" s="115">
        <f>IF(ABU42&gt;0,SUM($D$18:ABT18),0)</f>
        <v>0</v>
      </c>
      <c r="ABV44" s="115">
        <f>IF(ABV42&gt;0,SUM($D$18:ABU18),0)</f>
        <v>0</v>
      </c>
      <c r="ABW44" s="115">
        <f>IF(ABW42&gt;0,SUM($D$18:ABV18),0)</f>
        <v>0</v>
      </c>
      <c r="ABX44" s="115">
        <f>IF(ABX42&gt;0,SUM($D$18:ABW18),0)</f>
        <v>0</v>
      </c>
      <c r="ABY44" s="115">
        <f>IF(ABY42&gt;0,SUM($D$18:ABX18),0)</f>
        <v>0</v>
      </c>
      <c r="ABZ44" s="115">
        <f>IF(ABZ42&gt;0,SUM($D$18:ABY18),0)</f>
        <v>0</v>
      </c>
      <c r="ACA44" s="115">
        <f>IF(ACA42&gt;0,SUM($D$18:ABZ18),0)</f>
        <v>0</v>
      </c>
      <c r="ACB44" s="115">
        <f>IF(ACB42&gt;0,SUM($D$18:ACA18),0)</f>
        <v>0</v>
      </c>
      <c r="ACC44" s="115">
        <f>IF(ACC42&gt;0,SUM($D$18:ACB18),0)</f>
        <v>0</v>
      </c>
      <c r="ACD44" s="115">
        <f>IF(ACD42&gt;0,SUM($D$18:ACC18),0)</f>
        <v>0</v>
      </c>
      <c r="ACE44" s="115">
        <f>IF(ACE42&gt;0,SUM($D$18:ACD18),0)</f>
        <v>0</v>
      </c>
      <c r="ACF44" s="115">
        <f>IF(ACF42&gt;0,SUM($D$18:ACE18),0)</f>
        <v>0</v>
      </c>
      <c r="ACG44" s="115">
        <f>IF(ACG42&gt;0,SUM($D$18:ACF18),0)</f>
        <v>0</v>
      </c>
      <c r="ACH44" s="115">
        <f>IF(ACH42&gt;0,SUM($D$18:ACG18),0)</f>
        <v>0</v>
      </c>
      <c r="ACI44" s="115">
        <f>IF(ACI42&gt;0,SUM($D$18:ACH18),0)</f>
        <v>0</v>
      </c>
      <c r="ACJ44" s="115">
        <f>IF(ACJ42&gt;0,SUM($D$18:ACI18),0)</f>
        <v>0</v>
      </c>
      <c r="ACK44" s="115">
        <f>IF(ACK42&gt;0,SUM($D$18:ACJ18),0)</f>
        <v>0</v>
      </c>
      <c r="ACL44" s="115">
        <f>IF(ACL42&gt;0,SUM($D$18:ACK18),0)</f>
        <v>0</v>
      </c>
      <c r="ACM44" s="115">
        <f>IF(ACM42&gt;0,SUM($D$18:ACL18),0)</f>
        <v>0</v>
      </c>
      <c r="ACN44" s="115">
        <f>IF(ACN42&gt;0,SUM($D$18:ACM18),0)</f>
        <v>0</v>
      </c>
      <c r="ACO44" s="115">
        <f>IF(ACO42&gt;0,SUM($D$18:ACN18),0)</f>
        <v>0</v>
      </c>
      <c r="ACP44" s="115">
        <f>IF(ACP42&gt;0,SUM($D$18:ACO18),0)</f>
        <v>0</v>
      </c>
      <c r="ACQ44" s="115">
        <f>IF(ACQ42&gt;0,SUM($D$18:ACP18),0)</f>
        <v>0</v>
      </c>
      <c r="ACR44" s="115">
        <f>IF(ACR42&gt;0,SUM($D$18:ACQ18),0)</f>
        <v>0</v>
      </c>
      <c r="ACS44" s="115">
        <f>IF(ACS42&gt;0,SUM($D$18:ACR18),0)</f>
        <v>0</v>
      </c>
      <c r="ACT44" s="115">
        <f>IF(ACT42&gt;0,SUM($D$18:ACS18),0)</f>
        <v>0</v>
      </c>
      <c r="ACU44" s="115">
        <f>IF(ACU42&gt;0,SUM($D$18:ACT18),0)</f>
        <v>0</v>
      </c>
      <c r="ACV44" s="115">
        <f>IF(ACV42&gt;0,SUM($D$18:ACU18),0)</f>
        <v>0</v>
      </c>
      <c r="ACW44" s="115">
        <f>IF(ACW42&gt;0,SUM($D$18:ACV18),0)</f>
        <v>0</v>
      </c>
      <c r="ACX44" s="115">
        <f>IF(ACX42&gt;0,SUM($D$18:ACW18),0)</f>
        <v>0</v>
      </c>
      <c r="ACY44" s="115">
        <f>IF(ACY42&gt;0,SUM($D$18:ACX18),0)</f>
        <v>0</v>
      </c>
      <c r="ACZ44" s="115">
        <f>IF(ACZ42&gt;0,SUM($D$18:ACY18),0)</f>
        <v>0</v>
      </c>
      <c r="ADA44" s="115">
        <f>IF(ADA42&gt;0,SUM($D$18:ACZ18),0)</f>
        <v>0</v>
      </c>
      <c r="ADB44" s="115">
        <f>IF(ADB42&gt;0,SUM($D$18:ADA18),0)</f>
        <v>0</v>
      </c>
      <c r="ADC44" s="115">
        <f>IF(ADC42&gt;0,SUM($D$18:ADB18),0)</f>
        <v>0</v>
      </c>
      <c r="ADD44" s="115">
        <f>IF(ADD42&gt;0,SUM($D$18:ADC18),0)</f>
        <v>0</v>
      </c>
      <c r="ADE44" s="115">
        <f>IF(ADE42&gt;0,SUM($D$18:ADD18),0)</f>
        <v>0</v>
      </c>
      <c r="ADF44" s="115">
        <f>IF(ADF42&gt;0,SUM($D$18:ADE18),0)</f>
        <v>0</v>
      </c>
      <c r="ADG44" s="115">
        <f>IF(ADG42&gt;0,SUM($D$18:ADF18),0)</f>
        <v>0</v>
      </c>
      <c r="ADH44" s="115">
        <f>IF(ADH42&gt;0,SUM($D$18:ADG18),0)</f>
        <v>0</v>
      </c>
      <c r="ADI44" s="115">
        <f>IF(ADI42&gt;0,SUM($D$18:ADH18),0)</f>
        <v>0</v>
      </c>
      <c r="ADJ44" s="115">
        <f>IF(ADJ42&gt;0,SUM($D$18:ADI18),0)</f>
        <v>0</v>
      </c>
      <c r="ADK44" s="115">
        <f>IF(ADK42&gt;0,SUM($D$18:ADJ18),0)</f>
        <v>0</v>
      </c>
      <c r="ADL44" s="115">
        <f>IF(ADL42&gt;0,SUM($D$18:ADK18),0)</f>
        <v>0</v>
      </c>
      <c r="ADM44" s="115">
        <f>IF(ADM42&gt;0,SUM($D$18:ADL18),0)</f>
        <v>0</v>
      </c>
      <c r="ADN44" s="115">
        <f>IF(ADN42&gt;0,SUM($D$18:ADM18),0)</f>
        <v>0</v>
      </c>
      <c r="ADO44" s="115">
        <f>IF(ADO42&gt;0,SUM($D$18:ADN18),0)</f>
        <v>0</v>
      </c>
      <c r="ADP44" s="115">
        <f>IF(ADP42&gt;0,SUM($D$18:ADO18),0)</f>
        <v>0</v>
      </c>
      <c r="ADQ44" s="115">
        <f>IF(ADQ42&gt;0,SUM($D$18:ADP18),0)</f>
        <v>0</v>
      </c>
      <c r="ADR44" s="115">
        <f>IF(ADR42&gt;0,SUM($D$18:ADQ18),0)</f>
        <v>0</v>
      </c>
      <c r="ADS44" s="115">
        <f>IF(ADS42&gt;0,SUM($D$18:ADR18),0)</f>
        <v>0</v>
      </c>
      <c r="ADT44" s="115">
        <f>IF(ADT42&gt;0,SUM($D$18:ADS18),0)</f>
        <v>0</v>
      </c>
      <c r="ADU44" s="115">
        <f>IF(ADU42&gt;0,SUM($D$18:ADT18),0)</f>
        <v>0</v>
      </c>
      <c r="ADV44" s="115">
        <f>IF(ADV42&gt;0,SUM($D$18:ADU18),0)</f>
        <v>0</v>
      </c>
      <c r="ADW44" s="115">
        <f>IF(ADW42&gt;0,SUM($D$18:ADV18),0)</f>
        <v>0</v>
      </c>
      <c r="ADX44" s="115">
        <f>IF(ADX42&gt;0,SUM($D$18:ADW18),0)</f>
        <v>0</v>
      </c>
      <c r="ADY44" s="115">
        <f>IF(ADY42&gt;0,SUM($D$18:ADX18),0)</f>
        <v>0</v>
      </c>
      <c r="ADZ44" s="115">
        <f>IF(ADZ42&gt;0,SUM($D$18:ADY18),0)</f>
        <v>0</v>
      </c>
      <c r="AEA44" s="115">
        <f>IF(AEA42&gt;0,SUM($D$18:ADZ18),0)</f>
        <v>0</v>
      </c>
      <c r="AEB44" s="115">
        <f>IF(AEB42&gt;0,SUM($D$18:AEA18),0)</f>
        <v>0</v>
      </c>
      <c r="AEC44" s="115">
        <f>IF(AEC42&gt;0,SUM($D$18:AEB18),0)</f>
        <v>0</v>
      </c>
      <c r="AED44" s="115">
        <f>IF(AED42&gt;0,SUM($D$18:AEC18),0)</f>
        <v>0</v>
      </c>
      <c r="AEE44" s="115">
        <f>IF(AEE42&gt;0,SUM($D$18:AED18),0)</f>
        <v>0</v>
      </c>
      <c r="AEF44" s="115">
        <f>IF(AEF42&gt;0,SUM($D$18:AEE18),0)</f>
        <v>0</v>
      </c>
      <c r="AEG44" s="115">
        <f>IF(AEG42&gt;0,SUM($D$18:AEF18),0)</f>
        <v>0</v>
      </c>
      <c r="AEH44" s="115">
        <f>IF(AEH42&gt;0,SUM($D$18:AEG18),0)</f>
        <v>0</v>
      </c>
      <c r="AEI44" s="115">
        <f>IF(AEI42&gt;0,SUM($D$18:AEH18),0)</f>
        <v>0</v>
      </c>
      <c r="AEJ44" s="115">
        <f>IF(AEJ42&gt;0,SUM($D$18:AEI18),0)</f>
        <v>0</v>
      </c>
      <c r="AEK44" s="115">
        <f>IF(AEK42&gt;0,SUM($D$18:AEJ18),0)</f>
        <v>0</v>
      </c>
      <c r="AEL44" s="115">
        <f>IF(AEL42&gt;0,SUM($D$18:AEK18),0)</f>
        <v>0</v>
      </c>
      <c r="AEM44" s="115">
        <f>IF(AEM42&gt;0,SUM($D$18:AEL18),0)</f>
        <v>0</v>
      </c>
      <c r="AEN44" s="115">
        <f>IF(AEN42&gt;0,SUM($D$18:AEM18),0)</f>
        <v>0</v>
      </c>
      <c r="AEO44" s="115">
        <f>IF(AEO42&gt;0,SUM($D$18:AEN18),0)</f>
        <v>0</v>
      </c>
      <c r="AEP44" s="115">
        <f>IF(AEP42&gt;0,SUM($D$18:AEO18),0)</f>
        <v>0</v>
      </c>
      <c r="AEQ44" s="115">
        <f>IF(AEQ42&gt;0,SUM($D$18:AEP18),0)</f>
        <v>0</v>
      </c>
      <c r="AER44" s="115">
        <f>IF(AER42&gt;0,SUM($D$18:AEQ18),0)</f>
        <v>0</v>
      </c>
      <c r="AES44" s="115">
        <f>IF(AES42&gt;0,SUM($D$18:AER18),0)</f>
        <v>0</v>
      </c>
      <c r="AET44" s="115">
        <f>IF(AET42&gt;0,SUM($D$18:AES18),0)</f>
        <v>0</v>
      </c>
      <c r="AEU44" s="115">
        <f>IF(AEU42&gt;0,SUM($D$18:AET18),0)</f>
        <v>0</v>
      </c>
      <c r="AEV44" s="115">
        <f>IF(AEV42&gt;0,SUM($D$18:AEU18),0)</f>
        <v>0</v>
      </c>
      <c r="AEW44" s="115">
        <f>IF(AEW42&gt;0,SUM($D$18:AEV18),0)</f>
        <v>0</v>
      </c>
      <c r="AEX44" s="115">
        <f>IF(AEX42&gt;0,SUM($D$18:AEW18),0)</f>
        <v>0</v>
      </c>
      <c r="AEY44" s="115">
        <f>IF(AEY42&gt;0,SUM($D$18:AEX18),0)</f>
        <v>0</v>
      </c>
      <c r="AEZ44" s="115">
        <f>IF(AEZ42&gt;0,SUM($D$18:AEY18),0)</f>
        <v>0</v>
      </c>
      <c r="AFA44" s="115">
        <f>IF(AFA42&gt;0,SUM($D$18:AEZ18),0)</f>
        <v>0</v>
      </c>
      <c r="AFB44" s="115">
        <f>IF(AFB42&gt;0,SUM($D$18:AFA18),0)</f>
        <v>0</v>
      </c>
      <c r="AFC44" s="115">
        <f>IF(AFC42&gt;0,SUM($D$18:AFB18),0)</f>
        <v>0</v>
      </c>
      <c r="AFD44" s="115">
        <f>IF(AFD42&gt;0,SUM($D$18:AFC18),0)</f>
        <v>0</v>
      </c>
      <c r="AFE44" s="115">
        <f>IF(AFE42&gt;0,SUM($D$18:AFD18),0)</f>
        <v>0</v>
      </c>
      <c r="AFF44" s="115">
        <f>IF(AFF42&gt;0,SUM($D$18:AFE18),0)</f>
        <v>0</v>
      </c>
      <c r="AFG44" s="115">
        <f>IF(AFG42&gt;0,SUM($D$18:AFF18),0)</f>
        <v>0</v>
      </c>
      <c r="AFH44" s="115">
        <f>IF(AFH42&gt;0,SUM($D$18:AFG18),0)</f>
        <v>0</v>
      </c>
      <c r="AFI44" s="115">
        <f>IF(AFI42&gt;0,SUM($D$18:AFH18),0)</f>
        <v>0</v>
      </c>
      <c r="AFJ44" s="115">
        <f>IF(AFJ42&gt;0,SUM($D$18:AFI18),0)</f>
        <v>0</v>
      </c>
      <c r="AFK44" s="115">
        <f>IF(AFK42&gt;0,SUM($D$18:AFJ18),0)</f>
        <v>0</v>
      </c>
      <c r="AFL44" s="115">
        <f>IF(AFL42&gt;0,SUM($D$18:AFK18),0)</f>
        <v>0</v>
      </c>
      <c r="AFM44" s="115">
        <f>IF(AFM42&gt;0,SUM($D$18:AFL18),0)</f>
        <v>0</v>
      </c>
      <c r="AFN44" s="115">
        <f>IF(AFN42&gt;0,SUM($D$18:AFM18),0)</f>
        <v>0</v>
      </c>
      <c r="AFO44" s="115">
        <f>IF(AFO42&gt;0,SUM($D$18:AFN18),0)</f>
        <v>0</v>
      </c>
      <c r="AFP44" s="115">
        <f>IF(AFP42&gt;0,SUM($D$18:AFO18),0)</f>
        <v>0</v>
      </c>
      <c r="AFQ44" s="115">
        <f>IF(AFQ42&gt;0,SUM($D$18:AFP18),0)</f>
        <v>0</v>
      </c>
      <c r="AFR44" s="115">
        <f>IF(AFR42&gt;0,SUM($D$18:AFQ18),0)</f>
        <v>0</v>
      </c>
      <c r="AFS44" s="115">
        <f>IF(AFS42&gt;0,SUM($D$18:AFR18),0)</f>
        <v>0</v>
      </c>
      <c r="AFT44" s="115">
        <f>IF(AFT42&gt;0,SUM($D$18:AFS18),0)</f>
        <v>0</v>
      </c>
      <c r="AFU44" s="115">
        <f>IF(AFU42&gt;0,SUM($D$18:AFT18),0)</f>
        <v>0</v>
      </c>
      <c r="AFV44" s="115">
        <f>IF(AFV42&gt;0,SUM($D$18:AFU18),0)</f>
        <v>0</v>
      </c>
      <c r="AFW44" s="115">
        <f>IF(AFW42&gt;0,SUM($D$18:AFV18),0)</f>
        <v>0</v>
      </c>
      <c r="AFX44" s="115">
        <f>IF(AFX42&gt;0,SUM($D$18:AFW18),0)</f>
        <v>0</v>
      </c>
      <c r="AFY44" s="115">
        <f>IF(AFY42&gt;0,SUM($D$18:AFX18),0)</f>
        <v>0</v>
      </c>
      <c r="AFZ44" s="115">
        <f>IF(AFZ42&gt;0,SUM($D$18:AFY18),0)</f>
        <v>0</v>
      </c>
      <c r="AGA44" s="115">
        <f>IF(AGA42&gt;0,SUM($D$18:AFZ18),0)</f>
        <v>0</v>
      </c>
      <c r="AGB44" s="115">
        <f>IF(AGB42&gt;0,SUM($D$18:AGA18),0)</f>
        <v>0</v>
      </c>
      <c r="AGC44" s="115">
        <f>IF(AGC42&gt;0,SUM($D$18:AGB18),0)</f>
        <v>0</v>
      </c>
      <c r="AGD44" s="115">
        <f>IF(AGD42&gt;0,SUM($D$18:AGC18),0)</f>
        <v>0</v>
      </c>
      <c r="AGE44" s="115">
        <f>IF(AGE42&gt;0,SUM($D$18:AGD18),0)</f>
        <v>0</v>
      </c>
      <c r="AGF44" s="115">
        <f>IF(AGF42&gt;0,SUM($D$18:AGE18),0)</f>
        <v>0</v>
      </c>
      <c r="AGG44" s="115">
        <f>IF(AGG42&gt;0,SUM($D$18:AGF18),0)</f>
        <v>0</v>
      </c>
      <c r="AGH44" s="115">
        <f>IF(AGH42&gt;0,SUM($D$18:AGG18),0)</f>
        <v>0</v>
      </c>
      <c r="AGI44" s="115">
        <f>IF(AGI42&gt;0,SUM($D$18:AGH18),0)</f>
        <v>0</v>
      </c>
      <c r="AGJ44" s="115">
        <f>IF(AGJ42&gt;0,SUM($D$18:AGI18),0)</f>
        <v>0</v>
      </c>
      <c r="AGK44" s="115">
        <f>IF(AGK42&gt;0,SUM($D$18:AGJ18),0)</f>
        <v>0</v>
      </c>
      <c r="AGL44" s="115">
        <f>IF(AGL42&gt;0,SUM($D$18:AGK18),0)</f>
        <v>0</v>
      </c>
      <c r="AGM44" s="115">
        <f>IF(AGM42&gt;0,SUM($D$18:AGL18),0)</f>
        <v>0</v>
      </c>
      <c r="AGN44" s="115">
        <f>IF(AGN42&gt;0,SUM($D$18:AGM18),0)</f>
        <v>0</v>
      </c>
      <c r="AGO44" s="115">
        <f>IF(AGO42&gt;0,SUM($D$18:AGN18),0)</f>
        <v>0</v>
      </c>
      <c r="AGP44" s="115">
        <f>IF(AGP42&gt;0,SUM($D$18:AGO18),0)</f>
        <v>0</v>
      </c>
      <c r="AGQ44" s="115">
        <f>IF(AGQ42&gt;0,SUM($D$18:AGP18),0)</f>
        <v>0</v>
      </c>
      <c r="AGR44" s="115">
        <f>IF(AGR42&gt;0,SUM($D$18:AGQ18),0)</f>
        <v>0</v>
      </c>
      <c r="AGS44" s="115">
        <f>IF(AGS42&gt;0,SUM($D$18:AGR18),0)</f>
        <v>0</v>
      </c>
      <c r="AGT44" s="115">
        <f>IF(AGT42&gt;0,SUM($D$18:AGS18),0)</f>
        <v>0</v>
      </c>
      <c r="AGU44" s="115">
        <f>IF(AGU42&gt;0,SUM($D$18:AGT18),0)</f>
        <v>0</v>
      </c>
      <c r="AGV44" s="115">
        <f>IF(AGV42&gt;0,SUM($D$18:AGU18),0)</f>
        <v>0</v>
      </c>
      <c r="AGW44" s="115">
        <f>IF(AGW42&gt;0,SUM($D$18:AGV18),0)</f>
        <v>0</v>
      </c>
      <c r="AGX44" s="115">
        <f>IF(AGX42&gt;0,SUM($D$18:AGW18),0)</f>
        <v>0</v>
      </c>
      <c r="AGY44" s="115">
        <f>IF(AGY42&gt;0,SUM($D$18:AGX18),0)</f>
        <v>0</v>
      </c>
      <c r="AGZ44" s="115">
        <f>IF(AGZ42&gt;0,SUM($D$18:AGY18),0)</f>
        <v>0</v>
      </c>
      <c r="AHA44" s="115">
        <f>IF(AHA42&gt;0,SUM($D$18:AGZ18),0)</f>
        <v>0</v>
      </c>
      <c r="AHB44" s="115">
        <f>IF(AHB42&gt;0,SUM($D$18:AHA18),0)</f>
        <v>0</v>
      </c>
      <c r="AHC44" s="115">
        <f>IF(AHC42&gt;0,SUM($D$18:AHB18),0)</f>
        <v>0</v>
      </c>
      <c r="AHD44" s="115">
        <f>IF(AHD42&gt;0,SUM($D$18:AHC18),0)</f>
        <v>0</v>
      </c>
      <c r="AHE44" s="115">
        <f>IF(AHE42&gt;0,SUM($D$18:AHD18),0)</f>
        <v>0</v>
      </c>
      <c r="AHF44" s="115">
        <f>IF(AHF42&gt;0,SUM($D$18:AHE18),0)</f>
        <v>0</v>
      </c>
      <c r="AHG44" s="115">
        <f>IF(AHG42&gt;0,SUM($D$18:AHF18),0)</f>
        <v>0</v>
      </c>
      <c r="AHH44" s="115">
        <f>IF(AHH42&gt;0,SUM($D$18:AHG18),0)</f>
        <v>0</v>
      </c>
      <c r="AHI44" s="115">
        <f>IF(AHI42&gt;0,SUM($D$18:AHH18),0)</f>
        <v>0</v>
      </c>
      <c r="AHJ44" s="115">
        <f>IF(AHJ42&gt;0,SUM($D$18:AHI18),0)</f>
        <v>0</v>
      </c>
      <c r="AHK44" s="115">
        <f>IF(AHK42&gt;0,SUM($D$18:AHJ18),0)</f>
        <v>0</v>
      </c>
      <c r="AHL44" s="115">
        <f>IF(AHL42&gt;0,SUM($D$18:AHK18),0)</f>
        <v>0</v>
      </c>
      <c r="AHM44" s="115">
        <f>IF(AHM42&gt;0,SUM($D$18:AHL18),0)</f>
        <v>0</v>
      </c>
      <c r="AHN44" s="115">
        <f>IF(AHN42&gt;0,SUM($D$18:AHM18),0)</f>
        <v>0</v>
      </c>
      <c r="AHO44" s="115">
        <f>IF(AHO42&gt;0,SUM($D$18:AHN18),0)</f>
        <v>0</v>
      </c>
      <c r="AHP44" s="115">
        <f>IF(AHP42&gt;0,SUM($D$18:AHO18),0)</f>
        <v>0</v>
      </c>
      <c r="AHQ44" s="115">
        <f>IF(AHQ42&gt;0,SUM($D$18:AHP18),0)</f>
        <v>0</v>
      </c>
      <c r="AHR44" s="115">
        <f>IF(AHR42&gt;0,SUM($D$18:AHQ18),0)</f>
        <v>0</v>
      </c>
      <c r="AHS44" s="115">
        <f>IF(AHS42&gt;0,SUM($D$18:AHR18),0)</f>
        <v>0</v>
      </c>
      <c r="AHT44" s="115">
        <f>IF(AHT42&gt;0,SUM($D$18:AHS18),0)</f>
        <v>0</v>
      </c>
      <c r="AHU44" s="115">
        <f>IF(AHU42&gt;0,SUM($D$18:AHT18),0)</f>
        <v>0</v>
      </c>
      <c r="AHV44" s="115">
        <f>IF(AHV42&gt;0,SUM($D$18:AHU18),0)</f>
        <v>0</v>
      </c>
      <c r="AHW44" s="115">
        <f>IF(AHW42&gt;0,SUM($D$18:AHV18),0)</f>
        <v>0</v>
      </c>
      <c r="AHX44" s="115">
        <f>IF(AHX42&gt;0,SUM($D$18:AHW18),0)</f>
        <v>0</v>
      </c>
      <c r="AHY44" s="115">
        <f>IF(AHY42&gt;0,SUM($D$18:AHX18),0)</f>
        <v>0</v>
      </c>
      <c r="AHZ44" s="115">
        <f>IF(AHZ42&gt;0,SUM($D$18:AHY18),0)</f>
        <v>0</v>
      </c>
      <c r="AIA44" s="115">
        <f>IF(AIA42&gt;0,SUM($D$18:AHZ18),0)</f>
        <v>0</v>
      </c>
      <c r="AIB44" s="115">
        <f>IF(AIB42&gt;0,SUM($D$18:AIA18),0)</f>
        <v>0</v>
      </c>
      <c r="AIC44" s="115">
        <f>IF(AIC42&gt;0,SUM($D$18:AIB18),0)</f>
        <v>0</v>
      </c>
      <c r="AID44" s="115">
        <f>IF(AID42&gt;0,SUM($D$18:AIC18),0)</f>
        <v>0</v>
      </c>
      <c r="AIE44" s="115">
        <f>IF(AIE42&gt;0,SUM($D$18:AID18),0)</f>
        <v>0</v>
      </c>
      <c r="AIF44" s="115">
        <f>IF(AIF42&gt;0,SUM($D$18:AIE18),0)</f>
        <v>0</v>
      </c>
      <c r="AIG44" s="115">
        <f>IF(AIG42&gt;0,SUM($D$18:AIF18),0)</f>
        <v>0</v>
      </c>
      <c r="AIH44" s="115">
        <f>IF(AIH42&gt;0,SUM($D$18:AIG18),0)</f>
        <v>0</v>
      </c>
      <c r="AII44" s="115">
        <f>IF(AII42&gt;0,SUM($D$18:AIH18),0)</f>
        <v>0</v>
      </c>
      <c r="AIJ44" s="115">
        <f>IF(AIJ42&gt;0,SUM($D$18:AII18),0)</f>
        <v>0</v>
      </c>
      <c r="AIK44" s="115">
        <f>IF(AIK42&gt;0,SUM($D$18:AIJ18),0)</f>
        <v>0</v>
      </c>
      <c r="AIL44" s="115">
        <f>IF(AIL42&gt;0,SUM($D$18:AIK18),0)</f>
        <v>0</v>
      </c>
      <c r="AIM44" s="115">
        <f>IF(AIM42&gt;0,SUM($D$18:AIL18),0)</f>
        <v>0</v>
      </c>
      <c r="AIN44" s="115">
        <f>IF(AIN42&gt;0,SUM($D$18:AIM18),0)</f>
        <v>0</v>
      </c>
      <c r="AIO44" s="115">
        <f>IF(AIO42&gt;0,SUM($D$18:AIN18),0)</f>
        <v>0</v>
      </c>
      <c r="AIP44" s="115">
        <f>IF(AIP42&gt;0,SUM($D$18:AIO18),0)</f>
        <v>0</v>
      </c>
      <c r="AIQ44" s="115">
        <f>IF(AIQ42&gt;0,SUM($D$18:AIP18),0)</f>
        <v>0</v>
      </c>
      <c r="AIR44" s="115">
        <f>IF(AIR42&gt;0,SUM($D$18:AIQ18),0)</f>
        <v>0</v>
      </c>
      <c r="AIS44" s="115">
        <f>IF(AIS42&gt;0,SUM($D$18:AIR18),0)</f>
        <v>0</v>
      </c>
      <c r="AIT44" s="115">
        <f>IF(AIT42&gt;0,SUM($D$18:AIS18),0)</f>
        <v>0</v>
      </c>
      <c r="AIU44" s="115">
        <f>IF(AIU42&gt;0,SUM($D$18:AIT18),0)</f>
        <v>0</v>
      </c>
      <c r="AIV44" s="115">
        <f>IF(AIV42&gt;0,SUM($D$18:AIU18),0)</f>
        <v>0</v>
      </c>
      <c r="AIW44" s="115">
        <f>IF(AIW42&gt;0,SUM($D$18:AIV18),0)</f>
        <v>0</v>
      </c>
      <c r="AIX44" s="115">
        <f>IF(AIX42&gt;0,SUM($D$18:AIW18),0)</f>
        <v>0</v>
      </c>
      <c r="AIY44" s="115">
        <f>IF(AIY42&gt;0,SUM($D$18:AIX18),0)</f>
        <v>0</v>
      </c>
      <c r="AIZ44" s="115">
        <f>IF(AIZ42&gt;0,SUM($D$18:AIY18),0)</f>
        <v>0</v>
      </c>
      <c r="AJA44" s="115">
        <f>IF(AJA42&gt;0,SUM($D$18:AIZ18),0)</f>
        <v>0</v>
      </c>
      <c r="AJB44" s="115">
        <f>IF(AJB42&gt;0,SUM($D$18:AJA18),0)</f>
        <v>0</v>
      </c>
      <c r="AJC44" s="115">
        <f>IF(AJC42&gt;0,SUM($D$18:AJB18),0)</f>
        <v>0</v>
      </c>
      <c r="AJD44" s="115">
        <f>IF(AJD42&gt;0,SUM($D$18:AJC18),0)</f>
        <v>0</v>
      </c>
      <c r="AJE44" s="115">
        <f>IF(AJE42&gt;0,SUM($D$18:AJD18),0)</f>
        <v>0</v>
      </c>
      <c r="AJF44" s="115">
        <f>IF(AJF42&gt;0,SUM($D$18:AJE18),0)</f>
        <v>0</v>
      </c>
      <c r="AJG44" s="115">
        <f>IF(AJG42&gt;0,SUM($D$18:AJF18),0)</f>
        <v>0</v>
      </c>
      <c r="AJH44" s="115">
        <f>IF(AJH42&gt;0,SUM($D$18:AJG18),0)</f>
        <v>0</v>
      </c>
      <c r="AJI44" s="115">
        <f>IF(AJI42&gt;0,SUM($D$18:AJH18),0)</f>
        <v>0</v>
      </c>
      <c r="AJJ44" s="115">
        <f>IF(AJJ42&gt;0,SUM($D$18:AJI18),0)</f>
        <v>0</v>
      </c>
      <c r="AJK44" s="115">
        <f>IF(AJK42&gt;0,SUM($D$18:AJJ18),0)</f>
        <v>0</v>
      </c>
      <c r="AJL44" s="115">
        <f>IF(AJL42&gt;0,SUM($D$18:AJK18),0)</f>
        <v>0</v>
      </c>
      <c r="AJM44" s="115">
        <f>IF(AJM42&gt;0,SUM($D$18:AJL18),0)</f>
        <v>0</v>
      </c>
      <c r="AJN44" s="115">
        <f>IF(AJN42&gt;0,SUM($D$18:AJM18),0)</f>
        <v>0</v>
      </c>
      <c r="AJO44" s="115">
        <f>IF(AJO42&gt;0,SUM($D$18:AJN18),0)</f>
        <v>0</v>
      </c>
      <c r="AJP44" s="115">
        <f>IF(AJP42&gt;0,SUM($D$18:AJO18),0)</f>
        <v>0</v>
      </c>
      <c r="AJQ44" s="115">
        <f>IF(AJQ42&gt;0,SUM($D$18:AJP18),0)</f>
        <v>0</v>
      </c>
      <c r="AJR44" s="115">
        <f>IF(AJR42&gt;0,SUM($D$18:AJQ18),0)</f>
        <v>0</v>
      </c>
      <c r="AJS44" s="115">
        <f>IF(AJS42&gt;0,SUM($D$18:AJR18),0)</f>
        <v>0</v>
      </c>
      <c r="AJT44" s="115">
        <f>IF(AJT42&gt;0,SUM($D$18:AJS18),0)</f>
        <v>0</v>
      </c>
      <c r="AJU44" s="115">
        <f>IF(AJU42&gt;0,SUM($D$18:AJT18),0)</f>
        <v>0</v>
      </c>
      <c r="AJV44" s="115">
        <f>IF(AJV42&gt;0,SUM($D$18:AJU18),0)</f>
        <v>0</v>
      </c>
      <c r="AJW44" s="115">
        <f>IF(AJW42&gt;0,SUM($D$18:AJV18),0)</f>
        <v>0</v>
      </c>
      <c r="AJX44" s="115">
        <f>IF(AJX42&gt;0,SUM($D$18:AJW18),0)</f>
        <v>0</v>
      </c>
      <c r="AJY44" s="115">
        <f>IF(AJY42&gt;0,SUM($D$18:AJX18),0)</f>
        <v>0</v>
      </c>
      <c r="AJZ44" s="115">
        <f>IF(AJZ42&gt;0,SUM($D$18:AJY18),0)</f>
        <v>0</v>
      </c>
      <c r="AKA44" s="115">
        <f>IF(AKA42&gt;0,SUM($D$18:AJZ18),0)</f>
        <v>0</v>
      </c>
      <c r="AKB44" s="115">
        <f>IF(AKB42&gt;0,SUM($D$18:AKA18),0)</f>
        <v>0</v>
      </c>
      <c r="AKC44" s="115">
        <f>IF(AKC42&gt;0,SUM($D$18:AKB18),0)</f>
        <v>0</v>
      </c>
      <c r="AKD44" s="115">
        <f>IF(AKD42&gt;0,SUM($D$18:AKC18),0)</f>
        <v>0</v>
      </c>
      <c r="AKE44" s="115">
        <f>IF(AKE42&gt;0,SUM($D$18:AKD18),0)</f>
        <v>0</v>
      </c>
      <c r="AKF44" s="115">
        <f>IF(AKF42&gt;0,SUM($D$18:AKE18),0)</f>
        <v>0</v>
      </c>
      <c r="AKG44" s="115">
        <f>IF(AKG42&gt;0,SUM($D$18:AKF18),0)</f>
        <v>0</v>
      </c>
      <c r="AKH44" s="115">
        <f>IF(AKH42&gt;0,SUM($D$18:AKG18),0)</f>
        <v>0</v>
      </c>
      <c r="AKI44" s="115">
        <f>IF(AKI42&gt;0,SUM($D$18:AKH18),0)</f>
        <v>0</v>
      </c>
      <c r="AKJ44" s="115">
        <f>IF(AKJ42&gt;0,SUM($D$18:AKI18),0)</f>
        <v>0</v>
      </c>
      <c r="AKK44" s="115">
        <f>IF(AKK42&gt;0,SUM($D$18:AKJ18),0)</f>
        <v>0</v>
      </c>
      <c r="AKL44" s="115">
        <f>IF(AKL42&gt;0,SUM($D$18:AKK18),0)</f>
        <v>0</v>
      </c>
      <c r="AKM44" s="115">
        <f>IF(AKM42&gt;0,SUM($D$18:AKL18),0)</f>
        <v>0</v>
      </c>
      <c r="AKN44" s="115">
        <f>IF(AKN42&gt;0,SUM($D$18:AKM18),0)</f>
        <v>0</v>
      </c>
      <c r="AKO44" s="115">
        <f>IF(AKO42&gt;0,SUM($D$18:AKN18),0)</f>
        <v>0</v>
      </c>
      <c r="AKP44" s="115">
        <f>IF(AKP42&gt;0,SUM($D$18:AKO18),0)</f>
        <v>0</v>
      </c>
      <c r="AKQ44" s="115">
        <f>IF(AKQ42&gt;0,SUM($D$18:AKP18),0)</f>
        <v>0</v>
      </c>
      <c r="AKR44" s="115">
        <f>IF(AKR42&gt;0,SUM($D$18:AKQ18),0)</f>
        <v>0</v>
      </c>
      <c r="AKS44" s="115">
        <f>IF(AKS42&gt;0,SUM($D$18:AKR18),0)</f>
        <v>0</v>
      </c>
      <c r="AKT44" s="115">
        <f>IF(AKT42&gt;0,SUM($D$18:AKS18),0)</f>
        <v>0</v>
      </c>
      <c r="AKU44" s="115">
        <f>IF(AKU42&gt;0,SUM($D$18:AKT18),0)</f>
        <v>0</v>
      </c>
      <c r="AKV44" s="115">
        <f>IF(AKV42&gt;0,SUM($D$18:AKU18),0)</f>
        <v>0</v>
      </c>
      <c r="AKW44" s="115">
        <f>IF(AKW42&gt;0,SUM($D$18:AKV18),0)</f>
        <v>0</v>
      </c>
      <c r="AKX44" s="115">
        <f>IF(AKX42&gt;0,SUM($D$18:AKW18),0)</f>
        <v>0</v>
      </c>
      <c r="AKY44" s="115">
        <f>IF(AKY42&gt;0,SUM($D$18:AKX18),0)</f>
        <v>0</v>
      </c>
      <c r="AKZ44" s="115">
        <f>IF(AKZ42&gt;0,SUM($D$18:AKY18),0)</f>
        <v>0</v>
      </c>
      <c r="ALA44" s="115">
        <f>IF(ALA42&gt;0,SUM($D$18:AKZ18),0)</f>
        <v>0</v>
      </c>
      <c r="ALB44" s="115">
        <f>IF(ALB42&gt;0,SUM($D$18:ALA18),0)</f>
        <v>0</v>
      </c>
      <c r="ALC44" s="115">
        <f>IF(ALC42&gt;0,SUM($D$18:ALB18),0)</f>
        <v>0</v>
      </c>
      <c r="ALD44" s="115">
        <f>IF(ALD42&gt;0,SUM($D$18:ALC18),0)</f>
        <v>0</v>
      </c>
      <c r="ALE44" s="115">
        <f>IF(ALE42&gt;0,SUM($D$18:ALD18),0)</f>
        <v>0</v>
      </c>
      <c r="ALF44" s="115">
        <f>IF(ALF42&gt;0,SUM($D$18:ALE18),0)</f>
        <v>0</v>
      </c>
      <c r="ALG44" s="115">
        <f>IF(ALG42&gt;0,SUM($D$18:ALF18),0)</f>
        <v>0</v>
      </c>
      <c r="ALH44" s="115">
        <f>IF(ALH42&gt;0,SUM($D$18:ALG18),0)</f>
        <v>0</v>
      </c>
      <c r="ALI44" s="115">
        <f>IF(ALI42&gt;0,SUM($D$18:ALH18),0)</f>
        <v>0</v>
      </c>
      <c r="ALJ44" s="115">
        <f>IF(ALJ42&gt;0,SUM($D$18:ALI18),0)</f>
        <v>0</v>
      </c>
      <c r="ALK44" s="115">
        <f>IF(ALK42&gt;0,SUM($D$18:ALJ18),0)</f>
        <v>0</v>
      </c>
      <c r="ALL44" s="115">
        <f>IF(ALL42&gt;0,SUM($D$18:ALK18),0)</f>
        <v>0</v>
      </c>
      <c r="ALM44" s="115">
        <f>IF(ALM42&gt;0,SUM($D$18:ALL18),0)</f>
        <v>0</v>
      </c>
      <c r="ALN44" s="115">
        <f>IF(ALN42&gt;0,SUM($D$18:ALM18),0)</f>
        <v>0</v>
      </c>
      <c r="ALO44" s="115">
        <f>IF(ALO42&gt;0,SUM($D$18:ALN18),0)</f>
        <v>0</v>
      </c>
      <c r="ALP44" s="115">
        <f>IF(ALP42&gt;0,SUM($D$18:ALO18),0)</f>
        <v>0</v>
      </c>
      <c r="ALQ44" s="115">
        <f>IF(ALQ42&gt;0,SUM($D$18:ALP18),0)</f>
        <v>0</v>
      </c>
      <c r="ALR44" s="115">
        <f>IF(ALR42&gt;0,SUM($D$18:ALQ18),0)</f>
        <v>0</v>
      </c>
      <c r="ALS44" s="115">
        <f>IF(ALS42&gt;0,SUM($D$18:ALR18),0)</f>
        <v>0</v>
      </c>
      <c r="ALT44" s="115">
        <f>IF(ALT42&gt;0,SUM($D$18:ALS18),0)</f>
        <v>0</v>
      </c>
      <c r="ALU44" s="115">
        <f>IF(ALU42&gt;0,SUM($D$18:ALT18),0)</f>
        <v>0</v>
      </c>
      <c r="ALV44" s="115">
        <f>IF(ALV42&gt;0,SUM($D$18:ALU18),0)</f>
        <v>0</v>
      </c>
      <c r="ALW44" s="115">
        <f>IF(ALW42&gt;0,SUM($D$18:ALV18),0)</f>
        <v>0</v>
      </c>
      <c r="ALX44" s="115">
        <f>IF(ALX42&gt;0,SUM($D$18:ALW18),0)</f>
        <v>0</v>
      </c>
      <c r="ALY44" s="115">
        <f>IF(ALY42&gt;0,SUM($D$18:ALX18),0)</f>
        <v>0</v>
      </c>
      <c r="ALZ44" s="115">
        <f>IF(ALZ42&gt;0,SUM($D$18:ALY18),0)</f>
        <v>0</v>
      </c>
      <c r="AMA44" s="115">
        <f>IF(AMA42&gt;0,SUM($D$18:ALZ18),0)</f>
        <v>0</v>
      </c>
      <c r="AMB44" s="115">
        <f>IF(AMB42&gt;0,SUM($D$18:AMA18),0)</f>
        <v>0</v>
      </c>
      <c r="AMC44" s="115">
        <f>IF(AMC42&gt;0,SUM($D$18:AMB18),0)</f>
        <v>0</v>
      </c>
      <c r="AMD44" s="115">
        <f>IF(AMD42&gt;0,SUM($D$18:AMC18),0)</f>
        <v>0</v>
      </c>
      <c r="AME44" s="115">
        <f>IF(AME42&gt;0,SUM($D$18:AMD18),0)</f>
        <v>0</v>
      </c>
      <c r="AMF44" s="115">
        <f>IF(AMF42&gt;0,SUM($D$18:AME18),0)</f>
        <v>0</v>
      </c>
      <c r="AMG44" s="115">
        <f>IF(AMG42&gt;0,SUM($D$18:AMF18),0)</f>
        <v>0</v>
      </c>
      <c r="AMH44" s="115">
        <f>IF(AMH42&gt;0,SUM($D$18:AMG18),0)</f>
        <v>0</v>
      </c>
      <c r="AMI44" s="115">
        <f>IF(AMI42&gt;0,SUM($D$18:AMH18),0)</f>
        <v>0</v>
      </c>
      <c r="AMJ44" s="115">
        <f>IF(AMJ42&gt;0,SUM($D$18:AMI18),0)</f>
        <v>0</v>
      </c>
      <c r="AMK44" s="115">
        <f>IF(AMK42&gt;0,SUM($D$18:AMJ18),0)</f>
        <v>0</v>
      </c>
      <c r="AML44" s="115">
        <f>IF(AML42&gt;0,SUM($D$18:AMK18),0)</f>
        <v>0</v>
      </c>
      <c r="AMM44" s="115">
        <f>IF(AMM42&gt;0,SUM($D$18:AML18),0)</f>
        <v>0</v>
      </c>
      <c r="AMN44" s="115">
        <f>IF(AMN42&gt;0,SUM($D$18:AMM18),0)</f>
        <v>0</v>
      </c>
      <c r="AMO44" s="115">
        <f>IF(AMO42&gt;0,SUM($D$18:AMN18),0)</f>
        <v>0</v>
      </c>
      <c r="AMP44" s="115">
        <f>IF(AMP42&gt;0,SUM($D$18:AMO18),0)</f>
        <v>0</v>
      </c>
      <c r="AMQ44" s="115">
        <f>IF(AMQ42&gt;0,SUM($D$18:AMP18),0)</f>
        <v>0</v>
      </c>
      <c r="AMR44" s="115">
        <f>IF(AMR42&gt;0,SUM($D$18:AMQ18),0)</f>
        <v>0</v>
      </c>
      <c r="AMS44" s="115">
        <f>IF(AMS42&gt;0,SUM($D$18:AMR18),0)</f>
        <v>0</v>
      </c>
      <c r="AMT44" s="115">
        <f>IF(AMT42&gt;0,SUM($D$18:AMS18),0)</f>
        <v>0</v>
      </c>
      <c r="AMU44" s="115">
        <f>IF(AMU42&gt;0,SUM($D$18:AMT18),0)</f>
        <v>0</v>
      </c>
      <c r="AMV44" s="115">
        <f>IF(AMV42&gt;0,SUM($D$18:AMU18),0)</f>
        <v>0</v>
      </c>
      <c r="AMW44" s="115">
        <f>IF(AMW42&gt;0,SUM($D$18:AMV18),0)</f>
        <v>0</v>
      </c>
      <c r="AMX44" s="115">
        <f>IF(AMX42&gt;0,SUM($D$18:AMW18),0)</f>
        <v>0</v>
      </c>
      <c r="AMY44" s="115">
        <f>IF(AMY42&gt;0,SUM($D$18:AMX18),0)</f>
        <v>0</v>
      </c>
      <c r="AMZ44" s="115">
        <f>IF(AMZ42&gt;0,SUM($D$18:AMY18),0)</f>
        <v>0</v>
      </c>
      <c r="ANA44" s="115">
        <f>IF(ANA42&gt;0,SUM($D$18:AMZ18),0)</f>
        <v>0</v>
      </c>
      <c r="ANB44" s="115">
        <f>IF(ANB42&gt;0,SUM($D$18:ANA18),0)</f>
        <v>0</v>
      </c>
      <c r="ANC44" s="115">
        <f>IF(ANC42&gt;0,SUM($D$18:ANB18),0)</f>
        <v>0</v>
      </c>
      <c r="AND44" s="115">
        <f>IF(AND42&gt;0,SUM($D$18:ANC18),0)</f>
        <v>0</v>
      </c>
      <c r="ANE44" s="115">
        <f>IF(ANE42&gt;0,SUM($D$18:AND18),0)</f>
        <v>0</v>
      </c>
      <c r="ANF44" s="115">
        <f>IF(ANF42&gt;0,SUM($D$18:ANE18),0)</f>
        <v>0</v>
      </c>
      <c r="ANG44" s="115">
        <f>IF(ANG42&gt;0,SUM($D$18:ANF18),0)</f>
        <v>0</v>
      </c>
      <c r="ANH44" s="115">
        <f>IF(ANH42&gt;0,SUM($D$18:ANG18),0)</f>
        <v>0</v>
      </c>
      <c r="ANI44" s="115">
        <f>IF(ANI42&gt;0,SUM($D$18:ANH18),0)</f>
        <v>0</v>
      </c>
      <c r="ANJ44" s="115">
        <f>IF(ANJ42&gt;0,SUM($D$18:ANI18),0)</f>
        <v>0</v>
      </c>
      <c r="ANK44" s="115">
        <f>IF(ANK42&gt;0,SUM($D$18:ANJ18),0)</f>
        <v>0</v>
      </c>
      <c r="ANL44" s="115">
        <f>IF(ANL42&gt;0,SUM($D$18:ANK18),0)</f>
        <v>0</v>
      </c>
      <c r="ANM44" s="115">
        <f>IF(ANM42&gt;0,SUM($D$18:ANL18),0)</f>
        <v>0</v>
      </c>
      <c r="ANN44" s="115">
        <f>IF(ANN42&gt;0,SUM($D$18:ANM18),0)</f>
        <v>0</v>
      </c>
      <c r="ANO44" s="115">
        <f>IF(ANO42&gt;0,SUM($D$18:ANN18),0)</f>
        <v>0</v>
      </c>
      <c r="ANP44" s="115">
        <f>IF(ANP42&gt;0,SUM($D$18:ANO18),0)</f>
        <v>0</v>
      </c>
      <c r="ANQ44" s="115">
        <f>IF(ANQ42&gt;0,SUM($D$18:ANP18),0)</f>
        <v>0</v>
      </c>
      <c r="ANR44" s="115">
        <f>IF(ANR42&gt;0,SUM($D$18:ANQ18),0)</f>
        <v>0</v>
      </c>
      <c r="ANS44" s="115">
        <f>IF(ANS42&gt;0,SUM($D$18:ANR18),0)</f>
        <v>0</v>
      </c>
      <c r="ANT44" s="115">
        <f>IF(ANT42&gt;0,SUM($D$18:ANS18),0)</f>
        <v>0</v>
      </c>
      <c r="ANU44" s="115">
        <f>IF(ANU42&gt;0,SUM($D$18:ANT18),0)</f>
        <v>0</v>
      </c>
      <c r="ANV44" s="115">
        <f>IF(ANV42&gt;0,SUM($D$18:ANU18),0)</f>
        <v>0</v>
      </c>
      <c r="ANW44" s="115">
        <f>IF(ANW42&gt;0,SUM($D$18:ANV18),0)</f>
        <v>0</v>
      </c>
      <c r="ANX44" s="115">
        <f>IF(ANX42&gt;0,SUM($D$18:ANW18),0)</f>
        <v>0</v>
      </c>
      <c r="ANY44" s="115">
        <f>IF(ANY42&gt;0,SUM($D$18:ANX18),0)</f>
        <v>0</v>
      </c>
      <c r="ANZ44" s="115">
        <f>IF(ANZ42&gt;0,SUM($D$18:ANY18),0)</f>
        <v>0</v>
      </c>
      <c r="AOA44" s="115">
        <f>IF(AOA42&gt;0,SUM($D$18:ANZ18),0)</f>
        <v>0</v>
      </c>
      <c r="AOB44" s="115">
        <f>IF(AOB42&gt;0,SUM($D$18:AOA18),0)</f>
        <v>0</v>
      </c>
      <c r="AOC44" s="115">
        <f>IF(AOC42&gt;0,SUM($D$18:AOB18),0)</f>
        <v>0</v>
      </c>
      <c r="AOD44" s="115">
        <f>IF(AOD42&gt;0,SUM($D$18:AOC18),0)</f>
        <v>0</v>
      </c>
      <c r="AOE44" s="115">
        <f>IF(AOE42&gt;0,SUM($D$18:AOD18),0)</f>
        <v>0</v>
      </c>
      <c r="AOF44" s="115">
        <f>IF(AOF42&gt;0,SUM($D$18:AOE18),0)</f>
        <v>0</v>
      </c>
      <c r="AOG44" s="115">
        <f>IF(AOG42&gt;0,SUM($D$18:AOF18),0)</f>
        <v>0</v>
      </c>
      <c r="AOH44" s="115">
        <f>IF(AOH42&gt;0,SUM($D$18:AOG18),0)</f>
        <v>0</v>
      </c>
      <c r="AOI44" s="115">
        <f>IF(AOI42&gt;0,SUM($D$18:AOH18),0)</f>
        <v>0</v>
      </c>
      <c r="AOJ44" s="115">
        <f>IF(AOJ42&gt;0,SUM($D$18:AOI18),0)</f>
        <v>0</v>
      </c>
      <c r="AOK44" s="115">
        <f>IF(AOK42&gt;0,SUM($D$18:AOJ18),0)</f>
        <v>0</v>
      </c>
      <c r="AOL44" s="115">
        <f>IF(AOL42&gt;0,SUM($D$18:AOK18),0)</f>
        <v>0</v>
      </c>
      <c r="AOM44" s="115">
        <f>IF(AOM42&gt;0,SUM($D$18:AOL18),0)</f>
        <v>0</v>
      </c>
      <c r="AON44" s="115">
        <f>IF(AON42&gt;0,SUM($D$18:AOM18),0)</f>
        <v>0</v>
      </c>
      <c r="AOO44" s="115">
        <f>IF(AOO42&gt;0,SUM($D$18:AON18),0)</f>
        <v>0</v>
      </c>
      <c r="AOP44" s="115">
        <f>IF(AOP42&gt;0,SUM($D$18:AOO18),0)</f>
        <v>0</v>
      </c>
      <c r="AOQ44" s="115">
        <f>IF(AOQ42&gt;0,SUM($D$18:AOP18),0)</f>
        <v>0</v>
      </c>
    </row>
    <row r="45" spans="1:1083" x14ac:dyDescent="0.25">
      <c r="B45" s="116" t="s">
        <v>300</v>
      </c>
      <c r="C45" s="115">
        <f>IFERROR(MAX(IF(AND(MAX(IF(C43=C36,C44,C44-C37),0)=0,C40&gt;0),"Saldo Insuficiente",IF(C43=C36,C44,C44-C37)),0),"Saldo Insuficiente")</f>
        <v>7</v>
      </c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  <c r="BP45" s="115"/>
      <c r="BQ45" s="115"/>
      <c r="BR45" s="115"/>
      <c r="BS45" s="115"/>
      <c r="BT45" s="115"/>
      <c r="BU45" s="115"/>
      <c r="BV45" s="115"/>
      <c r="BW45" s="115"/>
      <c r="BX45" s="115"/>
      <c r="BY45" s="115"/>
      <c r="BZ45" s="115"/>
      <c r="CA45" s="115"/>
      <c r="CB45" s="115"/>
      <c r="CC45" s="115"/>
      <c r="CD45" s="115"/>
      <c r="CE45" s="115"/>
      <c r="CF45" s="115"/>
      <c r="CG45" s="115"/>
      <c r="CH45" s="115"/>
      <c r="CI45" s="115"/>
      <c r="CJ45" s="115"/>
      <c r="CK45" s="115"/>
      <c r="CL45" s="115"/>
      <c r="CM45" s="115"/>
      <c r="CN45" s="115"/>
      <c r="CO45" s="115"/>
      <c r="CP45" s="115"/>
      <c r="CQ45" s="115"/>
      <c r="CR45" s="115"/>
      <c r="CS45" s="115"/>
      <c r="CT45" s="115"/>
      <c r="CU45" s="115"/>
      <c r="CV45" s="115"/>
      <c r="CW45" s="115"/>
      <c r="CX45" s="115"/>
      <c r="CY45" s="115"/>
      <c r="CZ45" s="115"/>
      <c r="DA45" s="115"/>
      <c r="DB45" s="115"/>
      <c r="DC45" s="115"/>
      <c r="DD45" s="115"/>
      <c r="DE45" s="115"/>
      <c r="DF45" s="115"/>
      <c r="DG45" s="115"/>
      <c r="DH45" s="115"/>
      <c r="DI45" s="115"/>
      <c r="DJ45" s="115"/>
      <c r="DK45" s="115"/>
      <c r="DL45" s="115"/>
      <c r="DM45" s="115"/>
      <c r="DN45" s="115"/>
      <c r="DO45" s="115"/>
      <c r="DP45" s="115"/>
      <c r="DQ45" s="115"/>
      <c r="DR45" s="115"/>
      <c r="DS45" s="115"/>
      <c r="DT45" s="115"/>
      <c r="DU45" s="115"/>
      <c r="DV45" s="115"/>
      <c r="DW45" s="115"/>
      <c r="DX45" s="115"/>
      <c r="DY45" s="115"/>
      <c r="DZ45" s="115"/>
      <c r="EA45" s="115"/>
      <c r="EB45" s="115"/>
      <c r="EC45" s="115"/>
      <c r="ED45" s="115"/>
      <c r="EE45" s="115"/>
      <c r="EF45" s="115"/>
      <c r="EG45" s="115"/>
      <c r="EH45" s="115"/>
      <c r="EI45" s="115"/>
      <c r="EJ45" s="115"/>
      <c r="EK45" s="115"/>
      <c r="EL45" s="115"/>
      <c r="EM45" s="115"/>
      <c r="EN45" s="115"/>
      <c r="EO45" s="115"/>
      <c r="EP45" s="115"/>
      <c r="EQ45" s="115"/>
      <c r="ER45" s="115"/>
      <c r="ES45" s="115"/>
      <c r="ET45" s="115"/>
      <c r="EU45" s="115"/>
      <c r="EV45" s="115"/>
      <c r="EW45" s="115"/>
      <c r="EX45" s="115"/>
      <c r="EY45" s="115"/>
      <c r="EZ45" s="115"/>
      <c r="FA45" s="115"/>
      <c r="FB45" s="115"/>
      <c r="FC45" s="115"/>
      <c r="FD45" s="115"/>
      <c r="FE45" s="115"/>
      <c r="FF45" s="115"/>
      <c r="FG45" s="115"/>
      <c r="FH45" s="115"/>
      <c r="FI45" s="115"/>
      <c r="FJ45" s="115"/>
      <c r="FK45" s="115"/>
      <c r="FL45" s="115"/>
      <c r="FM45" s="115"/>
      <c r="FN45" s="115"/>
      <c r="FO45" s="115"/>
      <c r="FP45" s="115"/>
      <c r="FQ45" s="115"/>
      <c r="FR45" s="115"/>
      <c r="FS45" s="115"/>
      <c r="FT45" s="115"/>
      <c r="FU45" s="115"/>
      <c r="FV45" s="115"/>
      <c r="FW45" s="115"/>
      <c r="FX45" s="115"/>
      <c r="FY45" s="115"/>
      <c r="FZ45" s="115"/>
      <c r="GA45" s="115"/>
      <c r="GB45" s="115"/>
      <c r="GC45" s="115"/>
      <c r="GD45" s="115"/>
      <c r="GE45" s="115"/>
      <c r="GF45" s="115"/>
      <c r="GG45" s="115"/>
      <c r="GH45" s="115"/>
      <c r="GI45" s="115"/>
      <c r="GJ45" s="115"/>
      <c r="GK45" s="115"/>
      <c r="GL45" s="115"/>
      <c r="GM45" s="115"/>
      <c r="GN45" s="115"/>
      <c r="GO45" s="115"/>
      <c r="GP45" s="115"/>
      <c r="GQ45" s="115"/>
      <c r="GR45" s="115"/>
      <c r="GS45" s="115"/>
      <c r="GT45" s="115"/>
      <c r="GU45" s="115"/>
      <c r="GV45" s="115"/>
      <c r="GW45" s="115"/>
      <c r="GX45" s="115"/>
      <c r="GY45" s="115"/>
      <c r="GZ45" s="115"/>
      <c r="HA45" s="115"/>
      <c r="HB45" s="115"/>
      <c r="HC45" s="115"/>
      <c r="HD45" s="115"/>
      <c r="HE45" s="115"/>
      <c r="HF45" s="115"/>
      <c r="HG45" s="115"/>
      <c r="HH45" s="115"/>
      <c r="HI45" s="115"/>
      <c r="HJ45" s="115"/>
      <c r="HK45" s="115"/>
      <c r="HL45" s="115"/>
      <c r="HM45" s="115"/>
      <c r="HN45" s="115"/>
      <c r="HO45" s="115"/>
      <c r="HP45" s="115"/>
      <c r="HQ45" s="115"/>
      <c r="HR45" s="115"/>
      <c r="HS45" s="115"/>
      <c r="HT45" s="115"/>
      <c r="HU45" s="115"/>
      <c r="HV45" s="115"/>
      <c r="HW45" s="115"/>
      <c r="HX45" s="115"/>
      <c r="HY45" s="115"/>
      <c r="HZ45" s="115"/>
      <c r="IA45" s="115"/>
      <c r="IB45" s="115"/>
      <c r="IC45" s="115"/>
      <c r="ID45" s="115"/>
      <c r="IE45" s="115"/>
      <c r="IF45" s="115"/>
      <c r="IG45" s="115"/>
      <c r="IH45" s="115"/>
      <c r="II45" s="115"/>
      <c r="IJ45" s="115"/>
      <c r="IK45" s="115"/>
      <c r="IL45" s="115"/>
      <c r="IM45" s="115"/>
      <c r="IN45" s="115"/>
      <c r="IO45" s="115"/>
      <c r="IP45" s="115"/>
      <c r="IQ45" s="115"/>
      <c r="IR45" s="115"/>
      <c r="IS45" s="115"/>
      <c r="IT45" s="115"/>
      <c r="IU45" s="115"/>
      <c r="IV45" s="115"/>
      <c r="IW45" s="115"/>
      <c r="IX45" s="115"/>
      <c r="IY45" s="115"/>
      <c r="IZ45" s="115"/>
      <c r="JA45" s="115"/>
      <c r="JB45" s="115"/>
      <c r="JC45" s="115"/>
      <c r="JD45" s="115"/>
      <c r="JE45" s="115"/>
      <c r="JF45" s="115"/>
      <c r="JG45" s="115"/>
      <c r="JH45" s="115"/>
      <c r="JI45" s="115"/>
      <c r="JJ45" s="115"/>
      <c r="JK45" s="115"/>
      <c r="JL45" s="115"/>
      <c r="JM45" s="115"/>
      <c r="JN45" s="115"/>
      <c r="JO45" s="115"/>
      <c r="JP45" s="115"/>
      <c r="JQ45" s="115"/>
      <c r="JR45" s="115"/>
      <c r="JS45" s="115"/>
      <c r="JT45" s="115"/>
      <c r="JU45" s="115"/>
      <c r="JV45" s="115"/>
      <c r="JW45" s="115"/>
      <c r="JX45" s="115"/>
      <c r="JY45" s="115"/>
      <c r="JZ45" s="115"/>
      <c r="KA45" s="115"/>
      <c r="KB45" s="115"/>
      <c r="KC45" s="115"/>
      <c r="KD45" s="115"/>
      <c r="KE45" s="115"/>
      <c r="KF45" s="115"/>
      <c r="KG45" s="115"/>
      <c r="KH45" s="115"/>
      <c r="KI45" s="115"/>
      <c r="KJ45" s="115"/>
      <c r="KK45" s="115"/>
      <c r="KL45" s="115"/>
      <c r="KM45" s="115"/>
      <c r="KN45" s="115"/>
      <c r="KO45" s="115"/>
      <c r="KP45" s="115"/>
      <c r="KQ45" s="115"/>
      <c r="KR45" s="115"/>
      <c r="KS45" s="115"/>
      <c r="KT45" s="115"/>
      <c r="KU45" s="115"/>
      <c r="KV45" s="115"/>
      <c r="KW45" s="115"/>
      <c r="KX45" s="115"/>
      <c r="KY45" s="115"/>
      <c r="KZ45" s="115"/>
      <c r="LA45" s="115"/>
      <c r="LB45" s="115"/>
      <c r="LC45" s="115"/>
      <c r="LD45" s="115"/>
      <c r="LE45" s="115"/>
      <c r="LF45" s="115"/>
      <c r="LG45" s="115"/>
      <c r="LH45" s="115"/>
      <c r="LI45" s="115"/>
      <c r="LJ45" s="115"/>
      <c r="LK45" s="115"/>
      <c r="LL45" s="115"/>
      <c r="LM45" s="115"/>
      <c r="LN45" s="115"/>
      <c r="LO45" s="115"/>
      <c r="LP45" s="115"/>
      <c r="LQ45" s="115"/>
      <c r="LR45" s="115"/>
      <c r="LS45" s="115"/>
      <c r="LT45" s="115"/>
      <c r="LU45" s="115"/>
      <c r="LV45" s="115"/>
      <c r="LW45" s="115"/>
      <c r="LX45" s="115"/>
      <c r="LY45" s="115"/>
      <c r="LZ45" s="115"/>
      <c r="MA45" s="115"/>
      <c r="MB45" s="115"/>
      <c r="MC45" s="115"/>
      <c r="MD45" s="115"/>
      <c r="ME45" s="115"/>
      <c r="MF45" s="115"/>
      <c r="MG45" s="115"/>
      <c r="MH45" s="115"/>
      <c r="MI45" s="115"/>
      <c r="MJ45" s="115"/>
      <c r="MK45" s="115"/>
      <c r="ML45" s="115"/>
      <c r="MM45" s="115"/>
      <c r="MN45" s="115"/>
      <c r="MO45" s="115"/>
      <c r="MP45" s="115"/>
      <c r="MQ45" s="115"/>
      <c r="MR45" s="115"/>
      <c r="MS45" s="115"/>
      <c r="MT45" s="115"/>
      <c r="MU45" s="115"/>
      <c r="MV45" s="115"/>
      <c r="MW45" s="115"/>
      <c r="MX45" s="115"/>
      <c r="MY45" s="115"/>
      <c r="MZ45" s="115"/>
      <c r="NA45" s="115"/>
      <c r="NB45" s="115"/>
      <c r="NC45" s="115"/>
      <c r="ND45" s="115"/>
      <c r="NE45" s="115"/>
      <c r="NF45" s="115"/>
      <c r="NG45" s="115"/>
      <c r="NH45" s="115"/>
      <c r="NI45" s="115"/>
      <c r="NJ45" s="115"/>
      <c r="NK45" s="115"/>
      <c r="NL45" s="115"/>
      <c r="NM45" s="115"/>
      <c r="NN45" s="115"/>
      <c r="NO45" s="115"/>
      <c r="NP45" s="115"/>
      <c r="NQ45" s="115"/>
      <c r="NR45" s="115"/>
      <c r="NS45" s="115"/>
      <c r="NT45" s="115"/>
      <c r="NU45" s="115"/>
      <c r="NV45" s="115"/>
      <c r="NW45" s="115"/>
      <c r="NX45" s="115"/>
      <c r="NY45" s="115"/>
      <c r="NZ45" s="115"/>
      <c r="OA45" s="115"/>
      <c r="OB45" s="115"/>
      <c r="OC45" s="115"/>
      <c r="OD45" s="115"/>
      <c r="OE45" s="115"/>
      <c r="OF45" s="115"/>
      <c r="OG45" s="115"/>
      <c r="OH45" s="115"/>
      <c r="OI45" s="115"/>
      <c r="OJ45" s="115"/>
      <c r="OK45" s="115"/>
      <c r="OL45" s="115"/>
      <c r="OM45" s="115"/>
      <c r="ON45" s="115"/>
      <c r="OO45" s="115"/>
      <c r="OP45" s="115"/>
      <c r="OQ45" s="115"/>
      <c r="OR45" s="115"/>
      <c r="OS45" s="115"/>
      <c r="OT45" s="115"/>
      <c r="OU45" s="115"/>
      <c r="OV45" s="115"/>
      <c r="OW45" s="115"/>
      <c r="OX45" s="115"/>
      <c r="OY45" s="115"/>
      <c r="OZ45" s="115"/>
      <c r="PA45" s="115"/>
      <c r="PB45" s="115"/>
      <c r="PC45" s="115"/>
      <c r="PD45" s="115"/>
      <c r="PE45" s="115"/>
      <c r="PF45" s="115"/>
      <c r="PG45" s="115"/>
      <c r="PH45" s="115"/>
      <c r="PI45" s="115"/>
      <c r="PJ45" s="115"/>
      <c r="PK45" s="115"/>
      <c r="PL45" s="115"/>
      <c r="PM45" s="115"/>
      <c r="PN45" s="115"/>
      <c r="PO45" s="115"/>
      <c r="PP45" s="115"/>
      <c r="PQ45" s="115"/>
      <c r="PR45" s="115"/>
      <c r="PS45" s="115"/>
      <c r="PT45" s="115"/>
      <c r="PU45" s="115"/>
      <c r="PV45" s="115"/>
      <c r="PW45" s="115"/>
      <c r="PX45" s="115"/>
      <c r="PY45" s="115"/>
      <c r="PZ45" s="115"/>
      <c r="QA45" s="115"/>
      <c r="QB45" s="115"/>
      <c r="QC45" s="115"/>
      <c r="QD45" s="115"/>
      <c r="QE45" s="115"/>
      <c r="QF45" s="115"/>
      <c r="QG45" s="115"/>
      <c r="QH45" s="115"/>
      <c r="QI45" s="115"/>
      <c r="QJ45" s="115"/>
      <c r="QK45" s="115"/>
      <c r="QL45" s="115"/>
      <c r="QM45" s="115"/>
      <c r="QN45" s="115"/>
      <c r="QO45" s="115"/>
      <c r="QP45" s="115"/>
      <c r="QQ45" s="115"/>
      <c r="QR45" s="115"/>
      <c r="QS45" s="115"/>
      <c r="QT45" s="115"/>
      <c r="QU45" s="115"/>
      <c r="QV45" s="115"/>
      <c r="QW45" s="115"/>
      <c r="QX45" s="115"/>
      <c r="QY45" s="115"/>
      <c r="QZ45" s="115"/>
      <c r="RA45" s="115"/>
      <c r="RB45" s="115"/>
      <c r="RC45" s="115"/>
      <c r="RD45" s="115"/>
      <c r="RE45" s="115"/>
      <c r="RF45" s="115"/>
      <c r="RG45" s="115"/>
      <c r="RH45" s="115"/>
      <c r="RI45" s="115"/>
      <c r="RJ45" s="115"/>
      <c r="RK45" s="115"/>
      <c r="RL45" s="115"/>
      <c r="RM45" s="115"/>
      <c r="RN45" s="115"/>
      <c r="RO45" s="115"/>
      <c r="RP45" s="115"/>
      <c r="RQ45" s="115"/>
      <c r="RR45" s="115"/>
      <c r="RS45" s="115"/>
      <c r="RT45" s="115"/>
      <c r="RU45" s="115"/>
      <c r="RV45" s="115"/>
      <c r="RW45" s="115"/>
      <c r="RX45" s="115"/>
      <c r="RY45" s="115"/>
      <c r="RZ45" s="115"/>
      <c r="SA45" s="115"/>
      <c r="SB45" s="115"/>
      <c r="SC45" s="115"/>
      <c r="SD45" s="115"/>
      <c r="SE45" s="115"/>
      <c r="SF45" s="115"/>
      <c r="SG45" s="115"/>
      <c r="SH45" s="115"/>
      <c r="SI45" s="115"/>
      <c r="SJ45" s="115"/>
      <c r="SK45" s="115"/>
      <c r="SL45" s="115"/>
      <c r="SM45" s="115"/>
      <c r="SN45" s="115"/>
      <c r="SO45" s="115"/>
      <c r="SP45" s="115"/>
      <c r="SQ45" s="115"/>
      <c r="SR45" s="115"/>
      <c r="SS45" s="115"/>
      <c r="ST45" s="115"/>
      <c r="SU45" s="115"/>
      <c r="SV45" s="115"/>
      <c r="SW45" s="115"/>
      <c r="SX45" s="115"/>
      <c r="SY45" s="115"/>
      <c r="SZ45" s="115"/>
      <c r="TA45" s="115"/>
      <c r="TB45" s="115"/>
      <c r="TC45" s="115"/>
      <c r="TD45" s="115"/>
      <c r="TE45" s="115"/>
      <c r="TF45" s="115"/>
      <c r="TG45" s="115"/>
      <c r="TH45" s="115"/>
      <c r="TI45" s="115"/>
      <c r="TJ45" s="115"/>
      <c r="TK45" s="115"/>
      <c r="TL45" s="115"/>
      <c r="TM45" s="115"/>
      <c r="TN45" s="115"/>
      <c r="TO45" s="115"/>
      <c r="TP45" s="115"/>
      <c r="TQ45" s="115"/>
      <c r="TR45" s="115"/>
      <c r="TS45" s="115"/>
      <c r="TT45" s="115"/>
      <c r="TU45" s="115"/>
      <c r="TV45" s="115"/>
      <c r="TW45" s="115"/>
      <c r="TX45" s="115"/>
      <c r="TY45" s="115"/>
      <c r="TZ45" s="115"/>
      <c r="UA45" s="115"/>
      <c r="UB45" s="115"/>
      <c r="UC45" s="115"/>
      <c r="UD45" s="115"/>
      <c r="UE45" s="115"/>
      <c r="UF45" s="115"/>
      <c r="UG45" s="115"/>
      <c r="UH45" s="115"/>
      <c r="UI45" s="115"/>
      <c r="UJ45" s="115"/>
      <c r="UK45" s="115"/>
      <c r="UL45" s="115"/>
      <c r="UM45" s="115"/>
      <c r="UN45" s="115"/>
      <c r="UO45" s="115"/>
      <c r="UP45" s="115"/>
      <c r="UQ45" s="115"/>
      <c r="UR45" s="115"/>
      <c r="US45" s="115"/>
      <c r="UT45" s="115"/>
      <c r="UU45" s="115"/>
      <c r="UV45" s="115"/>
      <c r="UW45" s="115"/>
      <c r="UX45" s="115"/>
      <c r="UY45" s="115"/>
      <c r="UZ45" s="115"/>
      <c r="VA45" s="115"/>
      <c r="VB45" s="115"/>
      <c r="VC45" s="115"/>
      <c r="VD45" s="115"/>
      <c r="VE45" s="115"/>
      <c r="VF45" s="115"/>
      <c r="VG45" s="115"/>
      <c r="VH45" s="115"/>
      <c r="VI45" s="115"/>
      <c r="VJ45" s="115"/>
      <c r="VK45" s="115"/>
      <c r="VL45" s="115"/>
      <c r="VM45" s="115"/>
      <c r="VN45" s="115"/>
      <c r="VO45" s="115"/>
      <c r="VP45" s="115"/>
      <c r="VQ45" s="115"/>
      <c r="VR45" s="115"/>
      <c r="VS45" s="115"/>
      <c r="VT45" s="115"/>
      <c r="VU45" s="115"/>
      <c r="VV45" s="115"/>
      <c r="VW45" s="115"/>
      <c r="VX45" s="115"/>
      <c r="VY45" s="115"/>
      <c r="VZ45" s="115"/>
      <c r="WA45" s="115"/>
      <c r="WB45" s="115"/>
      <c r="WC45" s="115"/>
      <c r="WD45" s="115"/>
      <c r="WE45" s="115"/>
      <c r="WF45" s="115"/>
      <c r="WG45" s="115"/>
      <c r="WH45" s="115"/>
      <c r="WI45" s="115"/>
      <c r="WJ45" s="115"/>
      <c r="WK45" s="115"/>
      <c r="WL45" s="115"/>
      <c r="WM45" s="115"/>
      <c r="WN45" s="115"/>
      <c r="WO45" s="115"/>
      <c r="WP45" s="115"/>
      <c r="WQ45" s="115"/>
      <c r="WR45" s="115"/>
      <c r="WS45" s="115"/>
      <c r="WT45" s="115"/>
      <c r="WU45" s="115"/>
      <c r="WV45" s="115"/>
      <c r="WW45" s="115"/>
      <c r="WX45" s="115"/>
      <c r="WY45" s="115"/>
      <c r="WZ45" s="115"/>
      <c r="XA45" s="115"/>
      <c r="XB45" s="115"/>
      <c r="XC45" s="115"/>
      <c r="XD45" s="115"/>
      <c r="XE45" s="115"/>
      <c r="XF45" s="115"/>
      <c r="XG45" s="115"/>
      <c r="XH45" s="115"/>
      <c r="XI45" s="115"/>
      <c r="XJ45" s="115"/>
      <c r="XK45" s="115"/>
      <c r="XL45" s="115"/>
      <c r="XM45" s="115"/>
      <c r="XN45" s="115"/>
      <c r="XO45" s="115"/>
      <c r="XP45" s="115"/>
      <c r="XQ45" s="115"/>
      <c r="XR45" s="115"/>
      <c r="XS45" s="115"/>
      <c r="XT45" s="115"/>
      <c r="XU45" s="115"/>
      <c r="XV45" s="115"/>
      <c r="XW45" s="115"/>
      <c r="XX45" s="115"/>
      <c r="XY45" s="115"/>
      <c r="XZ45" s="115"/>
      <c r="YA45" s="115"/>
      <c r="YB45" s="115"/>
      <c r="YC45" s="115"/>
      <c r="YD45" s="115"/>
      <c r="YE45" s="115"/>
      <c r="YF45" s="115"/>
      <c r="YG45" s="115"/>
      <c r="YH45" s="115"/>
      <c r="YI45" s="115"/>
      <c r="YJ45" s="115"/>
      <c r="YK45" s="115"/>
      <c r="YL45" s="115"/>
      <c r="YM45" s="115"/>
      <c r="YN45" s="115"/>
      <c r="YO45" s="115"/>
      <c r="YP45" s="115"/>
      <c r="YQ45" s="115"/>
      <c r="YR45" s="115"/>
      <c r="YS45" s="115"/>
      <c r="YT45" s="115"/>
      <c r="YU45" s="115"/>
      <c r="YV45" s="115"/>
      <c r="YW45" s="115"/>
      <c r="YX45" s="115"/>
      <c r="YY45" s="115"/>
      <c r="YZ45" s="115"/>
      <c r="ZA45" s="115"/>
      <c r="ZB45" s="115"/>
      <c r="ZC45" s="115"/>
      <c r="ZD45" s="115"/>
      <c r="ZE45" s="115"/>
      <c r="ZF45" s="115"/>
      <c r="ZG45" s="115"/>
      <c r="ZH45" s="115"/>
      <c r="ZI45" s="115"/>
      <c r="ZJ45" s="115"/>
      <c r="ZK45" s="115"/>
      <c r="ZL45" s="115"/>
      <c r="ZM45" s="115"/>
      <c r="ZN45" s="115"/>
      <c r="ZO45" s="115"/>
      <c r="ZP45" s="115"/>
      <c r="ZQ45" s="115"/>
      <c r="ZR45" s="115"/>
      <c r="ZS45" s="115"/>
      <c r="ZT45" s="115"/>
      <c r="ZU45" s="115"/>
      <c r="ZV45" s="115"/>
      <c r="ZW45" s="115"/>
      <c r="ZX45" s="115"/>
      <c r="ZY45" s="115"/>
      <c r="ZZ45" s="115"/>
      <c r="AAA45" s="115"/>
      <c r="AAB45" s="115"/>
      <c r="AAC45" s="115"/>
      <c r="AAD45" s="115"/>
      <c r="AAE45" s="115"/>
      <c r="AAF45" s="115"/>
      <c r="AAG45" s="115"/>
      <c r="AAH45" s="115"/>
      <c r="AAI45" s="115"/>
      <c r="AAJ45" s="115"/>
      <c r="AAK45" s="115"/>
      <c r="AAL45" s="115"/>
      <c r="AAM45" s="115"/>
      <c r="AAN45" s="115"/>
      <c r="AAO45" s="115"/>
      <c r="AAP45" s="115"/>
      <c r="AAQ45" s="115"/>
      <c r="AAR45" s="115"/>
      <c r="AAS45" s="115"/>
      <c r="AAT45" s="115"/>
      <c r="AAU45" s="115"/>
      <c r="AAV45" s="115"/>
      <c r="AAW45" s="115"/>
      <c r="AAX45" s="115"/>
      <c r="AAY45" s="115"/>
      <c r="AAZ45" s="115"/>
      <c r="ABA45" s="115"/>
      <c r="ABB45" s="115"/>
      <c r="ABC45" s="115"/>
      <c r="ABD45" s="115"/>
      <c r="ABE45" s="115"/>
      <c r="ABF45" s="115"/>
      <c r="ABG45" s="115"/>
      <c r="ABH45" s="115"/>
      <c r="ABI45" s="115"/>
      <c r="ABJ45" s="115"/>
      <c r="ABK45" s="115"/>
      <c r="ABL45" s="115"/>
      <c r="ABM45" s="115"/>
      <c r="ABN45" s="115"/>
      <c r="ABO45" s="115"/>
      <c r="ABP45" s="115"/>
      <c r="ABQ45" s="115"/>
      <c r="ABR45" s="115"/>
      <c r="ABS45" s="115"/>
      <c r="ABT45" s="115"/>
      <c r="ABU45" s="115"/>
      <c r="ABV45" s="115"/>
      <c r="ABW45" s="115"/>
      <c r="ABX45" s="115"/>
      <c r="ABY45" s="115"/>
      <c r="ABZ45" s="115"/>
      <c r="ACA45" s="115"/>
      <c r="ACB45" s="115"/>
      <c r="ACC45" s="115"/>
      <c r="ACD45" s="115"/>
      <c r="ACE45" s="115"/>
      <c r="ACF45" s="115"/>
      <c r="ACG45" s="115"/>
      <c r="ACH45" s="115"/>
      <c r="ACI45" s="115"/>
      <c r="ACJ45" s="115"/>
      <c r="ACK45" s="115"/>
      <c r="ACL45" s="115"/>
      <c r="ACM45" s="115"/>
      <c r="ACN45" s="115"/>
      <c r="ACO45" s="115"/>
      <c r="ACP45" s="115"/>
      <c r="ACQ45" s="115"/>
      <c r="ACR45" s="115"/>
      <c r="ACS45" s="115"/>
      <c r="ACT45" s="115"/>
      <c r="ACU45" s="115"/>
      <c r="ACV45" s="115"/>
      <c r="ACW45" s="115"/>
      <c r="ACX45" s="115"/>
      <c r="ACY45" s="115"/>
      <c r="ACZ45" s="115"/>
      <c r="ADA45" s="115"/>
      <c r="ADB45" s="115"/>
      <c r="ADC45" s="115"/>
      <c r="ADD45" s="115"/>
      <c r="ADE45" s="115"/>
      <c r="ADF45" s="115"/>
      <c r="ADG45" s="115"/>
      <c r="ADH45" s="115"/>
      <c r="ADI45" s="115"/>
      <c r="ADJ45" s="115"/>
      <c r="ADK45" s="115"/>
      <c r="ADL45" s="115"/>
      <c r="ADM45" s="115"/>
      <c r="ADN45" s="115"/>
      <c r="ADO45" s="115"/>
      <c r="ADP45" s="115"/>
      <c r="ADQ45" s="115"/>
      <c r="ADR45" s="115"/>
      <c r="ADS45" s="115"/>
      <c r="ADT45" s="115"/>
      <c r="ADU45" s="115"/>
      <c r="ADV45" s="115"/>
      <c r="ADW45" s="115"/>
      <c r="ADX45" s="115"/>
      <c r="ADY45" s="115"/>
      <c r="ADZ45" s="115"/>
      <c r="AEA45" s="115"/>
      <c r="AEB45" s="115"/>
      <c r="AEC45" s="115"/>
      <c r="AED45" s="115"/>
      <c r="AEE45" s="115"/>
      <c r="AEF45" s="115"/>
      <c r="AEG45" s="115"/>
      <c r="AEH45" s="115"/>
      <c r="AEI45" s="115"/>
      <c r="AEJ45" s="115"/>
      <c r="AEK45" s="115"/>
      <c r="AEL45" s="115"/>
      <c r="AEM45" s="115"/>
      <c r="AEN45" s="115"/>
      <c r="AEO45" s="115"/>
      <c r="AEP45" s="115"/>
      <c r="AEQ45" s="115"/>
      <c r="AER45" s="115"/>
      <c r="AES45" s="115"/>
      <c r="AET45" s="115"/>
      <c r="AEU45" s="115"/>
      <c r="AEV45" s="115"/>
      <c r="AEW45" s="115"/>
      <c r="AEX45" s="115"/>
      <c r="AEY45" s="115"/>
      <c r="AEZ45" s="115"/>
      <c r="AFA45" s="115"/>
      <c r="AFB45" s="115"/>
      <c r="AFC45" s="115"/>
      <c r="AFD45" s="115"/>
      <c r="AFE45" s="115"/>
      <c r="AFF45" s="115"/>
      <c r="AFG45" s="115"/>
      <c r="AFH45" s="115"/>
      <c r="AFI45" s="115"/>
      <c r="AFJ45" s="115"/>
      <c r="AFK45" s="115"/>
      <c r="AFL45" s="115"/>
      <c r="AFM45" s="115"/>
      <c r="AFN45" s="115"/>
      <c r="AFO45" s="115"/>
      <c r="AFP45" s="115"/>
      <c r="AFQ45" s="115"/>
      <c r="AFR45" s="115"/>
      <c r="AFS45" s="115"/>
      <c r="AFT45" s="115"/>
      <c r="AFU45" s="115"/>
      <c r="AFV45" s="115"/>
      <c r="AFW45" s="115"/>
      <c r="AFX45" s="115"/>
      <c r="AFY45" s="115"/>
      <c r="AFZ45" s="115"/>
      <c r="AGA45" s="115"/>
      <c r="AGB45" s="115"/>
      <c r="AGC45" s="115"/>
      <c r="AGD45" s="115"/>
      <c r="AGE45" s="115"/>
      <c r="AGF45" s="115"/>
      <c r="AGG45" s="115"/>
      <c r="AGH45" s="115"/>
      <c r="AGI45" s="115"/>
      <c r="AGJ45" s="115"/>
      <c r="AGK45" s="115"/>
      <c r="AGL45" s="115"/>
      <c r="AGM45" s="115"/>
      <c r="AGN45" s="115"/>
      <c r="AGO45" s="115"/>
      <c r="AGP45" s="115"/>
      <c r="AGQ45" s="115"/>
      <c r="AGR45" s="115"/>
      <c r="AGS45" s="115"/>
      <c r="AGT45" s="115"/>
      <c r="AGU45" s="115"/>
      <c r="AGV45" s="115"/>
      <c r="AGW45" s="115"/>
      <c r="AGX45" s="115"/>
      <c r="AGY45" s="115"/>
      <c r="AGZ45" s="115"/>
      <c r="AHA45" s="115"/>
      <c r="AHB45" s="115"/>
      <c r="AHC45" s="115"/>
      <c r="AHD45" s="115"/>
      <c r="AHE45" s="115"/>
      <c r="AHF45" s="115"/>
      <c r="AHG45" s="115"/>
      <c r="AHH45" s="115"/>
      <c r="AHI45" s="115"/>
      <c r="AHJ45" s="115"/>
      <c r="AHK45" s="115"/>
      <c r="AHL45" s="115"/>
      <c r="AHM45" s="115"/>
      <c r="AHN45" s="115"/>
      <c r="AHO45" s="115"/>
      <c r="AHP45" s="115"/>
      <c r="AHQ45" s="115"/>
      <c r="AHR45" s="115"/>
      <c r="AHS45" s="115"/>
      <c r="AHT45" s="115"/>
      <c r="AHU45" s="115"/>
      <c r="AHV45" s="115"/>
      <c r="AHW45" s="115"/>
      <c r="AHX45" s="115"/>
      <c r="AHY45" s="115"/>
      <c r="AHZ45" s="115"/>
      <c r="AIA45" s="115"/>
      <c r="AIB45" s="115"/>
      <c r="AIC45" s="115"/>
      <c r="AID45" s="115"/>
      <c r="AIE45" s="115"/>
      <c r="AIF45" s="115"/>
      <c r="AIG45" s="115"/>
      <c r="AIH45" s="115"/>
      <c r="AII45" s="115"/>
      <c r="AIJ45" s="115"/>
      <c r="AIK45" s="115"/>
      <c r="AIL45" s="115"/>
      <c r="AIM45" s="115"/>
      <c r="AIN45" s="115"/>
      <c r="AIO45" s="115"/>
      <c r="AIP45" s="115"/>
      <c r="AIQ45" s="115"/>
      <c r="AIR45" s="115"/>
      <c r="AIS45" s="115"/>
      <c r="AIT45" s="115"/>
      <c r="AIU45" s="115"/>
      <c r="AIV45" s="115"/>
      <c r="AIW45" s="115"/>
      <c r="AIX45" s="115"/>
      <c r="AIY45" s="115"/>
      <c r="AIZ45" s="115"/>
      <c r="AJA45" s="115"/>
      <c r="AJB45" s="115"/>
      <c r="AJC45" s="115"/>
      <c r="AJD45" s="115"/>
      <c r="AJE45" s="115"/>
      <c r="AJF45" s="115"/>
      <c r="AJG45" s="115"/>
      <c r="AJH45" s="115"/>
      <c r="AJI45" s="115"/>
      <c r="AJJ45" s="115"/>
      <c r="AJK45" s="115"/>
      <c r="AJL45" s="115"/>
      <c r="AJM45" s="115"/>
      <c r="AJN45" s="115"/>
      <c r="AJO45" s="115"/>
      <c r="AJP45" s="115"/>
      <c r="AJQ45" s="115"/>
      <c r="AJR45" s="115"/>
      <c r="AJS45" s="115"/>
      <c r="AJT45" s="115"/>
      <c r="AJU45" s="115"/>
      <c r="AJV45" s="115"/>
      <c r="AJW45" s="115"/>
      <c r="AJX45" s="115"/>
      <c r="AJY45" s="115"/>
      <c r="AJZ45" s="115"/>
      <c r="AKA45" s="115"/>
      <c r="AKB45" s="115"/>
      <c r="AKC45" s="115"/>
      <c r="AKD45" s="115"/>
      <c r="AKE45" s="115"/>
      <c r="AKF45" s="115"/>
      <c r="AKG45" s="115"/>
      <c r="AKH45" s="115"/>
      <c r="AKI45" s="115"/>
      <c r="AKJ45" s="115"/>
      <c r="AKK45" s="115"/>
      <c r="AKL45" s="115"/>
      <c r="AKM45" s="115"/>
      <c r="AKN45" s="115"/>
      <c r="AKO45" s="115"/>
      <c r="AKP45" s="115"/>
      <c r="AKQ45" s="115"/>
      <c r="AKR45" s="115"/>
      <c r="AKS45" s="115"/>
      <c r="AKT45" s="115"/>
      <c r="AKU45" s="115"/>
      <c r="AKV45" s="115"/>
      <c r="AKW45" s="115"/>
      <c r="AKX45" s="115"/>
      <c r="AKY45" s="115"/>
      <c r="AKZ45" s="115"/>
      <c r="ALA45" s="115"/>
      <c r="ALB45" s="115"/>
      <c r="ALC45" s="115"/>
      <c r="ALD45" s="115"/>
      <c r="ALE45" s="115"/>
      <c r="ALF45" s="115"/>
      <c r="ALG45" s="115"/>
      <c r="ALH45" s="115"/>
      <c r="ALI45" s="115"/>
      <c r="ALJ45" s="115"/>
      <c r="ALK45" s="115"/>
      <c r="ALL45" s="115"/>
      <c r="ALM45" s="115"/>
      <c r="ALN45" s="115"/>
      <c r="ALO45" s="115"/>
      <c r="ALP45" s="115"/>
      <c r="ALQ45" s="115"/>
      <c r="ALR45" s="115"/>
      <c r="ALS45" s="115"/>
      <c r="ALT45" s="115"/>
      <c r="ALU45" s="115"/>
      <c r="ALV45" s="115"/>
      <c r="ALW45" s="115"/>
      <c r="ALX45" s="115"/>
      <c r="ALY45" s="115"/>
      <c r="ALZ45" s="115"/>
      <c r="AMA45" s="115"/>
      <c r="AMB45" s="115"/>
      <c r="AMC45" s="115"/>
      <c r="AMD45" s="115"/>
      <c r="AME45" s="115"/>
      <c r="AMF45" s="115"/>
      <c r="AMG45" s="115"/>
      <c r="AMH45" s="115"/>
      <c r="AMI45" s="115"/>
      <c r="AMJ45" s="115"/>
      <c r="AMK45" s="115"/>
      <c r="AML45" s="115"/>
      <c r="AMM45" s="115"/>
      <c r="AMN45" s="115"/>
      <c r="AMO45" s="115"/>
      <c r="AMP45" s="115"/>
      <c r="AMQ45" s="115"/>
      <c r="AMR45" s="115"/>
      <c r="AMS45" s="115"/>
      <c r="AMT45" s="115"/>
      <c r="AMU45" s="115"/>
      <c r="AMV45" s="115"/>
      <c r="AMW45" s="115"/>
      <c r="AMX45" s="115"/>
      <c r="AMY45" s="115"/>
      <c r="AMZ45" s="115"/>
      <c r="ANA45" s="115"/>
      <c r="ANB45" s="115"/>
      <c r="ANC45" s="115"/>
      <c r="AND45" s="115"/>
      <c r="ANE45" s="115"/>
      <c r="ANF45" s="115"/>
      <c r="ANG45" s="115"/>
      <c r="ANH45" s="115"/>
      <c r="ANI45" s="115"/>
      <c r="ANJ45" s="115"/>
      <c r="ANK45" s="115"/>
      <c r="ANL45" s="115"/>
      <c r="ANM45" s="115"/>
      <c r="ANN45" s="115"/>
      <c r="ANO45" s="115"/>
      <c r="ANP45" s="115"/>
      <c r="ANQ45" s="115"/>
      <c r="ANR45" s="115"/>
      <c r="ANS45" s="115"/>
      <c r="ANT45" s="115"/>
      <c r="ANU45" s="115"/>
      <c r="ANV45" s="115"/>
      <c r="ANW45" s="115"/>
      <c r="ANX45" s="115"/>
      <c r="ANY45" s="115"/>
      <c r="ANZ45" s="115"/>
      <c r="AOA45" s="115"/>
      <c r="AOB45" s="115"/>
      <c r="AOC45" s="115"/>
      <c r="AOD45" s="115"/>
      <c r="AOE45" s="115"/>
      <c r="AOF45" s="115"/>
      <c r="AOG45" s="115"/>
      <c r="AOH45" s="115"/>
      <c r="AOI45" s="115"/>
      <c r="AOJ45" s="115"/>
      <c r="AOK45" s="115"/>
      <c r="AOL45" s="115"/>
      <c r="AOM45" s="115"/>
      <c r="AON45" s="115"/>
      <c r="AOO45" s="115"/>
      <c r="AOP45" s="115"/>
      <c r="AOQ45" s="115"/>
    </row>
    <row r="46" spans="1:1083" x14ac:dyDescent="0.25">
      <c r="A46" s="42"/>
    </row>
    <row r="47" spans="1:1083" x14ac:dyDescent="0.25">
      <c r="B47" s="42" t="str">
        <f>'Patrimonio Financiero'!BH206</f>
        <v>Objetivo 4</v>
      </c>
      <c r="C47" s="57">
        <f>'Patrimonio Financiero'!CB206</f>
        <v>5000000</v>
      </c>
      <c r="D47" s="57">
        <f t="shared" ref="D47:BO47" si="2515">$C47</f>
        <v>5000000</v>
      </c>
      <c r="E47" s="57">
        <f t="shared" si="2515"/>
        <v>5000000</v>
      </c>
      <c r="F47" s="57">
        <f t="shared" si="2515"/>
        <v>5000000</v>
      </c>
      <c r="G47" s="57">
        <f t="shared" si="2515"/>
        <v>5000000</v>
      </c>
      <c r="H47" s="57">
        <f t="shared" si="2515"/>
        <v>5000000</v>
      </c>
      <c r="I47" s="57">
        <f t="shared" si="2515"/>
        <v>5000000</v>
      </c>
      <c r="J47" s="57">
        <f t="shared" si="2515"/>
        <v>5000000</v>
      </c>
      <c r="K47" s="57">
        <f t="shared" si="2515"/>
        <v>5000000</v>
      </c>
      <c r="L47" s="57">
        <f t="shared" si="2515"/>
        <v>5000000</v>
      </c>
      <c r="M47" s="57">
        <f t="shared" si="2515"/>
        <v>5000000</v>
      </c>
      <c r="N47" s="57">
        <f t="shared" si="2515"/>
        <v>5000000</v>
      </c>
      <c r="O47" s="57">
        <f t="shared" si="2515"/>
        <v>5000000</v>
      </c>
      <c r="P47" s="57">
        <f t="shared" si="2515"/>
        <v>5000000</v>
      </c>
      <c r="Q47" s="57">
        <f t="shared" si="2515"/>
        <v>5000000</v>
      </c>
      <c r="R47" s="57">
        <f t="shared" si="2515"/>
        <v>5000000</v>
      </c>
      <c r="S47" s="57">
        <f t="shared" si="2515"/>
        <v>5000000</v>
      </c>
      <c r="T47" s="57">
        <f t="shared" si="2515"/>
        <v>5000000</v>
      </c>
      <c r="U47" s="57">
        <f t="shared" si="2515"/>
        <v>5000000</v>
      </c>
      <c r="V47" s="57">
        <f t="shared" si="2515"/>
        <v>5000000</v>
      </c>
      <c r="W47" s="57">
        <f t="shared" si="2515"/>
        <v>5000000</v>
      </c>
      <c r="X47" s="57">
        <f t="shared" si="2515"/>
        <v>5000000</v>
      </c>
      <c r="Y47" s="57">
        <f t="shared" si="2515"/>
        <v>5000000</v>
      </c>
      <c r="Z47" s="57">
        <f t="shared" si="2515"/>
        <v>5000000</v>
      </c>
      <c r="AA47" s="57">
        <f t="shared" si="2515"/>
        <v>5000000</v>
      </c>
      <c r="AB47" s="57">
        <f t="shared" si="2515"/>
        <v>5000000</v>
      </c>
      <c r="AC47" s="57">
        <f t="shared" si="2515"/>
        <v>5000000</v>
      </c>
      <c r="AD47" s="57">
        <f t="shared" si="2515"/>
        <v>5000000</v>
      </c>
      <c r="AE47" s="57">
        <f t="shared" si="2515"/>
        <v>5000000</v>
      </c>
      <c r="AF47" s="57">
        <f t="shared" si="2515"/>
        <v>5000000</v>
      </c>
      <c r="AG47" s="57">
        <f t="shared" si="2515"/>
        <v>5000000</v>
      </c>
      <c r="AH47" s="57">
        <f t="shared" si="2515"/>
        <v>5000000</v>
      </c>
      <c r="AI47" s="57">
        <f t="shared" si="2515"/>
        <v>5000000</v>
      </c>
      <c r="AJ47" s="57">
        <f t="shared" si="2515"/>
        <v>5000000</v>
      </c>
      <c r="AK47" s="57">
        <f t="shared" si="2515"/>
        <v>5000000</v>
      </c>
      <c r="AL47" s="57">
        <f t="shared" si="2515"/>
        <v>5000000</v>
      </c>
      <c r="AM47" s="57">
        <f t="shared" si="2515"/>
        <v>5000000</v>
      </c>
      <c r="AN47" s="57">
        <f t="shared" si="2515"/>
        <v>5000000</v>
      </c>
      <c r="AO47" s="57">
        <f t="shared" si="2515"/>
        <v>5000000</v>
      </c>
      <c r="AP47" s="57">
        <f t="shared" si="2515"/>
        <v>5000000</v>
      </c>
      <c r="AQ47" s="57">
        <f t="shared" si="2515"/>
        <v>5000000</v>
      </c>
      <c r="AR47" s="57">
        <f t="shared" si="2515"/>
        <v>5000000</v>
      </c>
      <c r="AS47" s="57">
        <f t="shared" si="2515"/>
        <v>5000000</v>
      </c>
      <c r="AT47" s="57">
        <f t="shared" si="2515"/>
        <v>5000000</v>
      </c>
      <c r="AU47" s="57">
        <f t="shared" si="2515"/>
        <v>5000000</v>
      </c>
      <c r="AV47" s="57">
        <f t="shared" si="2515"/>
        <v>5000000</v>
      </c>
      <c r="AW47" s="57">
        <f t="shared" si="2515"/>
        <v>5000000</v>
      </c>
      <c r="AX47" s="57">
        <f t="shared" si="2515"/>
        <v>5000000</v>
      </c>
      <c r="AY47" s="57">
        <f t="shared" si="2515"/>
        <v>5000000</v>
      </c>
      <c r="AZ47" s="57">
        <f t="shared" si="2515"/>
        <v>5000000</v>
      </c>
      <c r="BA47" s="57">
        <f t="shared" si="2515"/>
        <v>5000000</v>
      </c>
      <c r="BB47" s="57">
        <f t="shared" si="2515"/>
        <v>5000000</v>
      </c>
      <c r="BC47" s="57">
        <f t="shared" si="2515"/>
        <v>5000000</v>
      </c>
      <c r="BD47" s="57">
        <f t="shared" si="2515"/>
        <v>5000000</v>
      </c>
      <c r="BE47" s="57">
        <f t="shared" si="2515"/>
        <v>5000000</v>
      </c>
      <c r="BF47" s="57">
        <f t="shared" si="2515"/>
        <v>5000000</v>
      </c>
      <c r="BG47" s="57">
        <f t="shared" si="2515"/>
        <v>5000000</v>
      </c>
      <c r="BH47" s="57">
        <f t="shared" si="2515"/>
        <v>5000000</v>
      </c>
      <c r="BI47" s="57">
        <f t="shared" si="2515"/>
        <v>5000000</v>
      </c>
      <c r="BJ47" s="57">
        <f t="shared" si="2515"/>
        <v>5000000</v>
      </c>
      <c r="BK47" s="57">
        <f t="shared" si="2515"/>
        <v>5000000</v>
      </c>
      <c r="BL47" s="57">
        <f t="shared" si="2515"/>
        <v>5000000</v>
      </c>
      <c r="BM47" s="57">
        <f t="shared" si="2515"/>
        <v>5000000</v>
      </c>
      <c r="BN47" s="57">
        <f t="shared" si="2515"/>
        <v>5000000</v>
      </c>
      <c r="BO47" s="57">
        <f t="shared" si="2515"/>
        <v>5000000</v>
      </c>
      <c r="BP47" s="57">
        <f t="shared" ref="BP47:EA47" si="2516">$C47</f>
        <v>5000000</v>
      </c>
      <c r="BQ47" s="57">
        <f t="shared" si="2516"/>
        <v>5000000</v>
      </c>
      <c r="BR47" s="57">
        <f t="shared" si="2516"/>
        <v>5000000</v>
      </c>
      <c r="BS47" s="57">
        <f t="shared" si="2516"/>
        <v>5000000</v>
      </c>
      <c r="BT47" s="57">
        <f t="shared" si="2516"/>
        <v>5000000</v>
      </c>
      <c r="BU47" s="57">
        <f t="shared" si="2516"/>
        <v>5000000</v>
      </c>
      <c r="BV47" s="57">
        <f t="shared" si="2516"/>
        <v>5000000</v>
      </c>
      <c r="BW47" s="57">
        <f t="shared" si="2516"/>
        <v>5000000</v>
      </c>
      <c r="BX47" s="57">
        <f t="shared" si="2516"/>
        <v>5000000</v>
      </c>
      <c r="BY47" s="57">
        <f t="shared" si="2516"/>
        <v>5000000</v>
      </c>
      <c r="BZ47" s="57">
        <f t="shared" si="2516"/>
        <v>5000000</v>
      </c>
      <c r="CA47" s="57">
        <f t="shared" si="2516"/>
        <v>5000000</v>
      </c>
      <c r="CB47" s="57">
        <f t="shared" si="2516"/>
        <v>5000000</v>
      </c>
      <c r="CC47" s="57">
        <f t="shared" si="2516"/>
        <v>5000000</v>
      </c>
      <c r="CD47" s="57">
        <f t="shared" si="2516"/>
        <v>5000000</v>
      </c>
      <c r="CE47" s="57">
        <f t="shared" si="2516"/>
        <v>5000000</v>
      </c>
      <c r="CF47" s="57">
        <f t="shared" si="2516"/>
        <v>5000000</v>
      </c>
      <c r="CG47" s="57">
        <f t="shared" si="2516"/>
        <v>5000000</v>
      </c>
      <c r="CH47" s="57">
        <f t="shared" si="2516"/>
        <v>5000000</v>
      </c>
      <c r="CI47" s="57">
        <f t="shared" si="2516"/>
        <v>5000000</v>
      </c>
      <c r="CJ47" s="57">
        <f t="shared" si="2516"/>
        <v>5000000</v>
      </c>
      <c r="CK47" s="57">
        <f t="shared" si="2516"/>
        <v>5000000</v>
      </c>
      <c r="CL47" s="57">
        <f t="shared" si="2516"/>
        <v>5000000</v>
      </c>
      <c r="CM47" s="57">
        <f t="shared" si="2516"/>
        <v>5000000</v>
      </c>
      <c r="CN47" s="57">
        <f t="shared" si="2516"/>
        <v>5000000</v>
      </c>
      <c r="CO47" s="57">
        <f t="shared" si="2516"/>
        <v>5000000</v>
      </c>
      <c r="CP47" s="57">
        <f t="shared" si="2516"/>
        <v>5000000</v>
      </c>
      <c r="CQ47" s="57">
        <f t="shared" si="2516"/>
        <v>5000000</v>
      </c>
      <c r="CR47" s="57">
        <f t="shared" si="2516"/>
        <v>5000000</v>
      </c>
      <c r="CS47" s="57">
        <f t="shared" si="2516"/>
        <v>5000000</v>
      </c>
      <c r="CT47" s="57">
        <f t="shared" si="2516"/>
        <v>5000000</v>
      </c>
      <c r="CU47" s="57">
        <f t="shared" si="2516"/>
        <v>5000000</v>
      </c>
      <c r="CV47" s="57">
        <f t="shared" si="2516"/>
        <v>5000000</v>
      </c>
      <c r="CW47" s="57">
        <f t="shared" si="2516"/>
        <v>5000000</v>
      </c>
      <c r="CX47" s="57">
        <f t="shared" si="2516"/>
        <v>5000000</v>
      </c>
      <c r="CY47" s="57">
        <f t="shared" si="2516"/>
        <v>5000000</v>
      </c>
      <c r="CZ47" s="57">
        <f t="shared" si="2516"/>
        <v>5000000</v>
      </c>
      <c r="DA47" s="57">
        <f t="shared" si="2516"/>
        <v>5000000</v>
      </c>
      <c r="DB47" s="57">
        <f t="shared" si="2516"/>
        <v>5000000</v>
      </c>
      <c r="DC47" s="57">
        <f t="shared" si="2516"/>
        <v>5000000</v>
      </c>
      <c r="DD47" s="57">
        <f t="shared" si="2516"/>
        <v>5000000</v>
      </c>
      <c r="DE47" s="57">
        <f t="shared" si="2516"/>
        <v>5000000</v>
      </c>
      <c r="DF47" s="57">
        <f t="shared" si="2516"/>
        <v>5000000</v>
      </c>
      <c r="DG47" s="57">
        <f t="shared" si="2516"/>
        <v>5000000</v>
      </c>
      <c r="DH47" s="57">
        <f t="shared" si="2516"/>
        <v>5000000</v>
      </c>
      <c r="DI47" s="57">
        <f t="shared" si="2516"/>
        <v>5000000</v>
      </c>
      <c r="DJ47" s="57">
        <f t="shared" si="2516"/>
        <v>5000000</v>
      </c>
      <c r="DK47" s="57">
        <f t="shared" si="2516"/>
        <v>5000000</v>
      </c>
      <c r="DL47" s="57">
        <f t="shared" si="2516"/>
        <v>5000000</v>
      </c>
      <c r="DM47" s="57">
        <f t="shared" si="2516"/>
        <v>5000000</v>
      </c>
      <c r="DN47" s="57">
        <f t="shared" si="2516"/>
        <v>5000000</v>
      </c>
      <c r="DO47" s="57">
        <f t="shared" si="2516"/>
        <v>5000000</v>
      </c>
      <c r="DP47" s="57">
        <f t="shared" si="2516"/>
        <v>5000000</v>
      </c>
      <c r="DQ47" s="57">
        <f t="shared" si="2516"/>
        <v>5000000</v>
      </c>
      <c r="DR47" s="57">
        <f t="shared" si="2516"/>
        <v>5000000</v>
      </c>
      <c r="DS47" s="57">
        <f t="shared" si="2516"/>
        <v>5000000</v>
      </c>
      <c r="DT47" s="57">
        <f t="shared" si="2516"/>
        <v>5000000</v>
      </c>
      <c r="DU47" s="57">
        <f t="shared" si="2516"/>
        <v>5000000</v>
      </c>
      <c r="DV47" s="57">
        <f t="shared" si="2516"/>
        <v>5000000</v>
      </c>
      <c r="DW47" s="57">
        <f t="shared" si="2516"/>
        <v>5000000</v>
      </c>
      <c r="DX47" s="57">
        <f t="shared" si="2516"/>
        <v>5000000</v>
      </c>
      <c r="DY47" s="57">
        <f t="shared" si="2516"/>
        <v>5000000</v>
      </c>
      <c r="DZ47" s="57">
        <f t="shared" si="2516"/>
        <v>5000000</v>
      </c>
      <c r="EA47" s="57">
        <f t="shared" si="2516"/>
        <v>5000000</v>
      </c>
      <c r="EB47" s="57">
        <f t="shared" ref="EB47:GM47" si="2517">$C47</f>
        <v>5000000</v>
      </c>
      <c r="EC47" s="57">
        <f t="shared" si="2517"/>
        <v>5000000</v>
      </c>
      <c r="ED47" s="57">
        <f t="shared" si="2517"/>
        <v>5000000</v>
      </c>
      <c r="EE47" s="57">
        <f t="shared" si="2517"/>
        <v>5000000</v>
      </c>
      <c r="EF47" s="57">
        <f t="shared" si="2517"/>
        <v>5000000</v>
      </c>
      <c r="EG47" s="57">
        <f t="shared" si="2517"/>
        <v>5000000</v>
      </c>
      <c r="EH47" s="57">
        <f t="shared" si="2517"/>
        <v>5000000</v>
      </c>
      <c r="EI47" s="57">
        <f t="shared" si="2517"/>
        <v>5000000</v>
      </c>
      <c r="EJ47" s="57">
        <f t="shared" si="2517"/>
        <v>5000000</v>
      </c>
      <c r="EK47" s="57">
        <f t="shared" si="2517"/>
        <v>5000000</v>
      </c>
      <c r="EL47" s="57">
        <f t="shared" si="2517"/>
        <v>5000000</v>
      </c>
      <c r="EM47" s="57">
        <f t="shared" si="2517"/>
        <v>5000000</v>
      </c>
      <c r="EN47" s="57">
        <f t="shared" si="2517"/>
        <v>5000000</v>
      </c>
      <c r="EO47" s="57">
        <f t="shared" si="2517"/>
        <v>5000000</v>
      </c>
      <c r="EP47" s="57">
        <f t="shared" si="2517"/>
        <v>5000000</v>
      </c>
      <c r="EQ47" s="57">
        <f t="shared" si="2517"/>
        <v>5000000</v>
      </c>
      <c r="ER47" s="57">
        <f t="shared" si="2517"/>
        <v>5000000</v>
      </c>
      <c r="ES47" s="57">
        <f t="shared" si="2517"/>
        <v>5000000</v>
      </c>
      <c r="ET47" s="57">
        <f t="shared" si="2517"/>
        <v>5000000</v>
      </c>
      <c r="EU47" s="57">
        <f t="shared" si="2517"/>
        <v>5000000</v>
      </c>
      <c r="EV47" s="57">
        <f t="shared" si="2517"/>
        <v>5000000</v>
      </c>
      <c r="EW47" s="57">
        <f t="shared" si="2517"/>
        <v>5000000</v>
      </c>
      <c r="EX47" s="57">
        <f t="shared" si="2517"/>
        <v>5000000</v>
      </c>
      <c r="EY47" s="57">
        <f t="shared" si="2517"/>
        <v>5000000</v>
      </c>
      <c r="EZ47" s="57">
        <f t="shared" si="2517"/>
        <v>5000000</v>
      </c>
      <c r="FA47" s="57">
        <f t="shared" si="2517"/>
        <v>5000000</v>
      </c>
      <c r="FB47" s="57">
        <f t="shared" si="2517"/>
        <v>5000000</v>
      </c>
      <c r="FC47" s="57">
        <f t="shared" si="2517"/>
        <v>5000000</v>
      </c>
      <c r="FD47" s="57">
        <f t="shared" si="2517"/>
        <v>5000000</v>
      </c>
      <c r="FE47" s="57">
        <f t="shared" si="2517"/>
        <v>5000000</v>
      </c>
      <c r="FF47" s="57">
        <f t="shared" si="2517"/>
        <v>5000000</v>
      </c>
      <c r="FG47" s="57">
        <f t="shared" si="2517"/>
        <v>5000000</v>
      </c>
      <c r="FH47" s="57">
        <f t="shared" si="2517"/>
        <v>5000000</v>
      </c>
      <c r="FI47" s="57">
        <f t="shared" si="2517"/>
        <v>5000000</v>
      </c>
      <c r="FJ47" s="57">
        <f t="shared" si="2517"/>
        <v>5000000</v>
      </c>
      <c r="FK47" s="57">
        <f t="shared" si="2517"/>
        <v>5000000</v>
      </c>
      <c r="FL47" s="57">
        <f t="shared" si="2517"/>
        <v>5000000</v>
      </c>
      <c r="FM47" s="57">
        <f t="shared" si="2517"/>
        <v>5000000</v>
      </c>
      <c r="FN47" s="57">
        <f t="shared" si="2517"/>
        <v>5000000</v>
      </c>
      <c r="FO47" s="57">
        <f t="shared" si="2517"/>
        <v>5000000</v>
      </c>
      <c r="FP47" s="57">
        <f t="shared" si="2517"/>
        <v>5000000</v>
      </c>
      <c r="FQ47" s="57">
        <f t="shared" si="2517"/>
        <v>5000000</v>
      </c>
      <c r="FR47" s="57">
        <f t="shared" si="2517"/>
        <v>5000000</v>
      </c>
      <c r="FS47" s="57">
        <f t="shared" si="2517"/>
        <v>5000000</v>
      </c>
      <c r="FT47" s="57">
        <f t="shared" si="2517"/>
        <v>5000000</v>
      </c>
      <c r="FU47" s="57">
        <f t="shared" si="2517"/>
        <v>5000000</v>
      </c>
      <c r="FV47" s="57">
        <f t="shared" si="2517"/>
        <v>5000000</v>
      </c>
      <c r="FW47" s="57">
        <f t="shared" si="2517"/>
        <v>5000000</v>
      </c>
      <c r="FX47" s="57">
        <f t="shared" si="2517"/>
        <v>5000000</v>
      </c>
      <c r="FY47" s="57">
        <f t="shared" si="2517"/>
        <v>5000000</v>
      </c>
      <c r="FZ47" s="57">
        <f t="shared" si="2517"/>
        <v>5000000</v>
      </c>
      <c r="GA47" s="57">
        <f t="shared" si="2517"/>
        <v>5000000</v>
      </c>
      <c r="GB47" s="57">
        <f t="shared" si="2517"/>
        <v>5000000</v>
      </c>
      <c r="GC47" s="57">
        <f t="shared" si="2517"/>
        <v>5000000</v>
      </c>
      <c r="GD47" s="57">
        <f t="shared" si="2517"/>
        <v>5000000</v>
      </c>
      <c r="GE47" s="57">
        <f t="shared" si="2517"/>
        <v>5000000</v>
      </c>
      <c r="GF47" s="57">
        <f t="shared" si="2517"/>
        <v>5000000</v>
      </c>
      <c r="GG47" s="57">
        <f t="shared" si="2517"/>
        <v>5000000</v>
      </c>
      <c r="GH47" s="57">
        <f t="shared" si="2517"/>
        <v>5000000</v>
      </c>
      <c r="GI47" s="57">
        <f t="shared" si="2517"/>
        <v>5000000</v>
      </c>
      <c r="GJ47" s="57">
        <f t="shared" si="2517"/>
        <v>5000000</v>
      </c>
      <c r="GK47" s="57">
        <f t="shared" si="2517"/>
        <v>5000000</v>
      </c>
      <c r="GL47" s="57">
        <f t="shared" si="2517"/>
        <v>5000000</v>
      </c>
      <c r="GM47" s="57">
        <f t="shared" si="2517"/>
        <v>5000000</v>
      </c>
      <c r="GN47" s="57">
        <f t="shared" ref="GN47:IY47" si="2518">$C47</f>
        <v>5000000</v>
      </c>
      <c r="GO47" s="57">
        <f t="shared" si="2518"/>
        <v>5000000</v>
      </c>
      <c r="GP47" s="57">
        <f t="shared" si="2518"/>
        <v>5000000</v>
      </c>
      <c r="GQ47" s="57">
        <f t="shared" si="2518"/>
        <v>5000000</v>
      </c>
      <c r="GR47" s="57">
        <f t="shared" si="2518"/>
        <v>5000000</v>
      </c>
      <c r="GS47" s="57">
        <f t="shared" si="2518"/>
        <v>5000000</v>
      </c>
      <c r="GT47" s="57">
        <f t="shared" si="2518"/>
        <v>5000000</v>
      </c>
      <c r="GU47" s="57">
        <f t="shared" si="2518"/>
        <v>5000000</v>
      </c>
      <c r="GV47" s="57">
        <f t="shared" si="2518"/>
        <v>5000000</v>
      </c>
      <c r="GW47" s="57">
        <f t="shared" si="2518"/>
        <v>5000000</v>
      </c>
      <c r="GX47" s="57">
        <f t="shared" si="2518"/>
        <v>5000000</v>
      </c>
      <c r="GY47" s="57">
        <f t="shared" si="2518"/>
        <v>5000000</v>
      </c>
      <c r="GZ47" s="57">
        <f t="shared" si="2518"/>
        <v>5000000</v>
      </c>
      <c r="HA47" s="57">
        <f t="shared" si="2518"/>
        <v>5000000</v>
      </c>
      <c r="HB47" s="57">
        <f t="shared" si="2518"/>
        <v>5000000</v>
      </c>
      <c r="HC47" s="57">
        <f t="shared" si="2518"/>
        <v>5000000</v>
      </c>
      <c r="HD47" s="57">
        <f t="shared" si="2518"/>
        <v>5000000</v>
      </c>
      <c r="HE47" s="57">
        <f t="shared" si="2518"/>
        <v>5000000</v>
      </c>
      <c r="HF47" s="57">
        <f t="shared" si="2518"/>
        <v>5000000</v>
      </c>
      <c r="HG47" s="57">
        <f t="shared" si="2518"/>
        <v>5000000</v>
      </c>
      <c r="HH47" s="57">
        <f t="shared" si="2518"/>
        <v>5000000</v>
      </c>
      <c r="HI47" s="57">
        <f t="shared" si="2518"/>
        <v>5000000</v>
      </c>
      <c r="HJ47" s="57">
        <f t="shared" si="2518"/>
        <v>5000000</v>
      </c>
      <c r="HK47" s="57">
        <f t="shared" si="2518"/>
        <v>5000000</v>
      </c>
      <c r="HL47" s="57">
        <f t="shared" si="2518"/>
        <v>5000000</v>
      </c>
      <c r="HM47" s="57">
        <f t="shared" si="2518"/>
        <v>5000000</v>
      </c>
      <c r="HN47" s="57">
        <f t="shared" si="2518"/>
        <v>5000000</v>
      </c>
      <c r="HO47" s="57">
        <f t="shared" si="2518"/>
        <v>5000000</v>
      </c>
      <c r="HP47" s="57">
        <f t="shared" si="2518"/>
        <v>5000000</v>
      </c>
      <c r="HQ47" s="57">
        <f t="shared" si="2518"/>
        <v>5000000</v>
      </c>
      <c r="HR47" s="57">
        <f t="shared" si="2518"/>
        <v>5000000</v>
      </c>
      <c r="HS47" s="57">
        <f t="shared" si="2518"/>
        <v>5000000</v>
      </c>
      <c r="HT47" s="57">
        <f t="shared" si="2518"/>
        <v>5000000</v>
      </c>
      <c r="HU47" s="57">
        <f t="shared" si="2518"/>
        <v>5000000</v>
      </c>
      <c r="HV47" s="57">
        <f t="shared" si="2518"/>
        <v>5000000</v>
      </c>
      <c r="HW47" s="57">
        <f t="shared" si="2518"/>
        <v>5000000</v>
      </c>
      <c r="HX47" s="57">
        <f t="shared" si="2518"/>
        <v>5000000</v>
      </c>
      <c r="HY47" s="57">
        <f t="shared" si="2518"/>
        <v>5000000</v>
      </c>
      <c r="HZ47" s="57">
        <f t="shared" si="2518"/>
        <v>5000000</v>
      </c>
      <c r="IA47" s="57">
        <f t="shared" si="2518"/>
        <v>5000000</v>
      </c>
      <c r="IB47" s="57">
        <f t="shared" si="2518"/>
        <v>5000000</v>
      </c>
      <c r="IC47" s="57">
        <f t="shared" si="2518"/>
        <v>5000000</v>
      </c>
      <c r="ID47" s="57">
        <f t="shared" si="2518"/>
        <v>5000000</v>
      </c>
      <c r="IE47" s="57">
        <f t="shared" si="2518"/>
        <v>5000000</v>
      </c>
      <c r="IF47" s="57">
        <f t="shared" si="2518"/>
        <v>5000000</v>
      </c>
      <c r="IG47" s="57">
        <f t="shared" si="2518"/>
        <v>5000000</v>
      </c>
      <c r="IH47" s="57">
        <f t="shared" si="2518"/>
        <v>5000000</v>
      </c>
      <c r="II47" s="57">
        <f t="shared" si="2518"/>
        <v>5000000</v>
      </c>
      <c r="IJ47" s="57">
        <f t="shared" si="2518"/>
        <v>5000000</v>
      </c>
      <c r="IK47" s="57">
        <f t="shared" si="2518"/>
        <v>5000000</v>
      </c>
      <c r="IL47" s="57">
        <f t="shared" si="2518"/>
        <v>5000000</v>
      </c>
      <c r="IM47" s="57">
        <f t="shared" si="2518"/>
        <v>5000000</v>
      </c>
      <c r="IN47" s="57">
        <f t="shared" si="2518"/>
        <v>5000000</v>
      </c>
      <c r="IO47" s="57">
        <f t="shared" si="2518"/>
        <v>5000000</v>
      </c>
      <c r="IP47" s="57">
        <f t="shared" si="2518"/>
        <v>5000000</v>
      </c>
      <c r="IQ47" s="57">
        <f t="shared" si="2518"/>
        <v>5000000</v>
      </c>
      <c r="IR47" s="57">
        <f t="shared" si="2518"/>
        <v>5000000</v>
      </c>
      <c r="IS47" s="57">
        <f t="shared" si="2518"/>
        <v>5000000</v>
      </c>
      <c r="IT47" s="57">
        <f t="shared" si="2518"/>
        <v>5000000</v>
      </c>
      <c r="IU47" s="57">
        <f t="shared" si="2518"/>
        <v>5000000</v>
      </c>
      <c r="IV47" s="57">
        <f t="shared" si="2518"/>
        <v>5000000</v>
      </c>
      <c r="IW47" s="57">
        <f t="shared" si="2518"/>
        <v>5000000</v>
      </c>
      <c r="IX47" s="57">
        <f t="shared" si="2518"/>
        <v>5000000</v>
      </c>
      <c r="IY47" s="57">
        <f t="shared" si="2518"/>
        <v>5000000</v>
      </c>
      <c r="IZ47" s="57">
        <f t="shared" ref="IZ47:LK47" si="2519">$C47</f>
        <v>5000000</v>
      </c>
      <c r="JA47" s="57">
        <f t="shared" si="2519"/>
        <v>5000000</v>
      </c>
      <c r="JB47" s="57">
        <f t="shared" si="2519"/>
        <v>5000000</v>
      </c>
      <c r="JC47" s="57">
        <f t="shared" si="2519"/>
        <v>5000000</v>
      </c>
      <c r="JD47" s="57">
        <f t="shared" si="2519"/>
        <v>5000000</v>
      </c>
      <c r="JE47" s="57">
        <f t="shared" si="2519"/>
        <v>5000000</v>
      </c>
      <c r="JF47" s="57">
        <f t="shared" si="2519"/>
        <v>5000000</v>
      </c>
      <c r="JG47" s="57">
        <f t="shared" si="2519"/>
        <v>5000000</v>
      </c>
      <c r="JH47" s="57">
        <f t="shared" si="2519"/>
        <v>5000000</v>
      </c>
      <c r="JI47" s="57">
        <f t="shared" si="2519"/>
        <v>5000000</v>
      </c>
      <c r="JJ47" s="57">
        <f t="shared" si="2519"/>
        <v>5000000</v>
      </c>
      <c r="JK47" s="57">
        <f t="shared" si="2519"/>
        <v>5000000</v>
      </c>
      <c r="JL47" s="57">
        <f t="shared" si="2519"/>
        <v>5000000</v>
      </c>
      <c r="JM47" s="57">
        <f t="shared" si="2519"/>
        <v>5000000</v>
      </c>
      <c r="JN47" s="57">
        <f t="shared" si="2519"/>
        <v>5000000</v>
      </c>
      <c r="JO47" s="57">
        <f t="shared" si="2519"/>
        <v>5000000</v>
      </c>
      <c r="JP47" s="57">
        <f t="shared" si="2519"/>
        <v>5000000</v>
      </c>
      <c r="JQ47" s="57">
        <f t="shared" si="2519"/>
        <v>5000000</v>
      </c>
      <c r="JR47" s="57">
        <f t="shared" si="2519"/>
        <v>5000000</v>
      </c>
      <c r="JS47" s="57">
        <f t="shared" si="2519"/>
        <v>5000000</v>
      </c>
      <c r="JT47" s="57">
        <f t="shared" si="2519"/>
        <v>5000000</v>
      </c>
      <c r="JU47" s="57">
        <f t="shared" si="2519"/>
        <v>5000000</v>
      </c>
      <c r="JV47" s="57">
        <f t="shared" si="2519"/>
        <v>5000000</v>
      </c>
      <c r="JW47" s="57">
        <f t="shared" si="2519"/>
        <v>5000000</v>
      </c>
      <c r="JX47" s="57">
        <f t="shared" si="2519"/>
        <v>5000000</v>
      </c>
      <c r="JY47" s="57">
        <f t="shared" si="2519"/>
        <v>5000000</v>
      </c>
      <c r="JZ47" s="57">
        <f t="shared" si="2519"/>
        <v>5000000</v>
      </c>
      <c r="KA47" s="57">
        <f t="shared" si="2519"/>
        <v>5000000</v>
      </c>
      <c r="KB47" s="57">
        <f t="shared" si="2519"/>
        <v>5000000</v>
      </c>
      <c r="KC47" s="57">
        <f t="shared" si="2519"/>
        <v>5000000</v>
      </c>
      <c r="KD47" s="57">
        <f t="shared" si="2519"/>
        <v>5000000</v>
      </c>
      <c r="KE47" s="57">
        <f t="shared" si="2519"/>
        <v>5000000</v>
      </c>
      <c r="KF47" s="57">
        <f t="shared" si="2519"/>
        <v>5000000</v>
      </c>
      <c r="KG47" s="57">
        <f t="shared" si="2519"/>
        <v>5000000</v>
      </c>
      <c r="KH47" s="57">
        <f t="shared" si="2519"/>
        <v>5000000</v>
      </c>
      <c r="KI47" s="57">
        <f t="shared" si="2519"/>
        <v>5000000</v>
      </c>
      <c r="KJ47" s="57">
        <f t="shared" si="2519"/>
        <v>5000000</v>
      </c>
      <c r="KK47" s="57">
        <f t="shared" si="2519"/>
        <v>5000000</v>
      </c>
      <c r="KL47" s="57">
        <f t="shared" si="2519"/>
        <v>5000000</v>
      </c>
      <c r="KM47" s="57">
        <f t="shared" si="2519"/>
        <v>5000000</v>
      </c>
      <c r="KN47" s="57">
        <f t="shared" si="2519"/>
        <v>5000000</v>
      </c>
      <c r="KO47" s="57">
        <f t="shared" si="2519"/>
        <v>5000000</v>
      </c>
      <c r="KP47" s="57">
        <f t="shared" si="2519"/>
        <v>5000000</v>
      </c>
      <c r="KQ47" s="57">
        <f t="shared" si="2519"/>
        <v>5000000</v>
      </c>
      <c r="KR47" s="57">
        <f t="shared" si="2519"/>
        <v>5000000</v>
      </c>
      <c r="KS47" s="57">
        <f t="shared" si="2519"/>
        <v>5000000</v>
      </c>
      <c r="KT47" s="57">
        <f t="shared" si="2519"/>
        <v>5000000</v>
      </c>
      <c r="KU47" s="57">
        <f t="shared" si="2519"/>
        <v>5000000</v>
      </c>
      <c r="KV47" s="57">
        <f t="shared" si="2519"/>
        <v>5000000</v>
      </c>
      <c r="KW47" s="57">
        <f t="shared" si="2519"/>
        <v>5000000</v>
      </c>
      <c r="KX47" s="57">
        <f t="shared" si="2519"/>
        <v>5000000</v>
      </c>
      <c r="KY47" s="57">
        <f t="shared" si="2519"/>
        <v>5000000</v>
      </c>
      <c r="KZ47" s="57">
        <f t="shared" si="2519"/>
        <v>5000000</v>
      </c>
      <c r="LA47" s="57">
        <f t="shared" si="2519"/>
        <v>5000000</v>
      </c>
      <c r="LB47" s="57">
        <f t="shared" si="2519"/>
        <v>5000000</v>
      </c>
      <c r="LC47" s="57">
        <f t="shared" si="2519"/>
        <v>5000000</v>
      </c>
      <c r="LD47" s="57">
        <f t="shared" si="2519"/>
        <v>5000000</v>
      </c>
      <c r="LE47" s="57">
        <f t="shared" si="2519"/>
        <v>5000000</v>
      </c>
      <c r="LF47" s="57">
        <f t="shared" si="2519"/>
        <v>5000000</v>
      </c>
      <c r="LG47" s="57">
        <f t="shared" si="2519"/>
        <v>5000000</v>
      </c>
      <c r="LH47" s="57">
        <f t="shared" si="2519"/>
        <v>5000000</v>
      </c>
      <c r="LI47" s="57">
        <f t="shared" si="2519"/>
        <v>5000000</v>
      </c>
      <c r="LJ47" s="57">
        <f t="shared" si="2519"/>
        <v>5000000</v>
      </c>
      <c r="LK47" s="57">
        <f t="shared" si="2519"/>
        <v>5000000</v>
      </c>
      <c r="LL47" s="57">
        <f t="shared" ref="LL47:NW47" si="2520">$C47</f>
        <v>5000000</v>
      </c>
      <c r="LM47" s="57">
        <f t="shared" si="2520"/>
        <v>5000000</v>
      </c>
      <c r="LN47" s="57">
        <f t="shared" si="2520"/>
        <v>5000000</v>
      </c>
      <c r="LO47" s="57">
        <f t="shared" si="2520"/>
        <v>5000000</v>
      </c>
      <c r="LP47" s="57">
        <f t="shared" si="2520"/>
        <v>5000000</v>
      </c>
      <c r="LQ47" s="57">
        <f t="shared" si="2520"/>
        <v>5000000</v>
      </c>
      <c r="LR47" s="57">
        <f t="shared" si="2520"/>
        <v>5000000</v>
      </c>
      <c r="LS47" s="57">
        <f t="shared" si="2520"/>
        <v>5000000</v>
      </c>
      <c r="LT47" s="57">
        <f t="shared" si="2520"/>
        <v>5000000</v>
      </c>
      <c r="LU47" s="57">
        <f t="shared" si="2520"/>
        <v>5000000</v>
      </c>
      <c r="LV47" s="57">
        <f t="shared" si="2520"/>
        <v>5000000</v>
      </c>
      <c r="LW47" s="57">
        <f t="shared" si="2520"/>
        <v>5000000</v>
      </c>
      <c r="LX47" s="57">
        <f t="shared" si="2520"/>
        <v>5000000</v>
      </c>
      <c r="LY47" s="57">
        <f t="shared" si="2520"/>
        <v>5000000</v>
      </c>
      <c r="LZ47" s="57">
        <f t="shared" si="2520"/>
        <v>5000000</v>
      </c>
      <c r="MA47" s="57">
        <f t="shared" si="2520"/>
        <v>5000000</v>
      </c>
      <c r="MB47" s="57">
        <f t="shared" si="2520"/>
        <v>5000000</v>
      </c>
      <c r="MC47" s="57">
        <f t="shared" si="2520"/>
        <v>5000000</v>
      </c>
      <c r="MD47" s="57">
        <f t="shared" si="2520"/>
        <v>5000000</v>
      </c>
      <c r="ME47" s="57">
        <f t="shared" si="2520"/>
        <v>5000000</v>
      </c>
      <c r="MF47" s="57">
        <f t="shared" si="2520"/>
        <v>5000000</v>
      </c>
      <c r="MG47" s="57">
        <f t="shared" si="2520"/>
        <v>5000000</v>
      </c>
      <c r="MH47" s="57">
        <f t="shared" si="2520"/>
        <v>5000000</v>
      </c>
      <c r="MI47" s="57">
        <f t="shared" si="2520"/>
        <v>5000000</v>
      </c>
      <c r="MJ47" s="57">
        <f t="shared" si="2520"/>
        <v>5000000</v>
      </c>
      <c r="MK47" s="57">
        <f t="shared" si="2520"/>
        <v>5000000</v>
      </c>
      <c r="ML47" s="57">
        <f t="shared" si="2520"/>
        <v>5000000</v>
      </c>
      <c r="MM47" s="57">
        <f t="shared" si="2520"/>
        <v>5000000</v>
      </c>
      <c r="MN47" s="57">
        <f t="shared" si="2520"/>
        <v>5000000</v>
      </c>
      <c r="MO47" s="57">
        <f t="shared" si="2520"/>
        <v>5000000</v>
      </c>
      <c r="MP47" s="57">
        <f t="shared" si="2520"/>
        <v>5000000</v>
      </c>
      <c r="MQ47" s="57">
        <f t="shared" si="2520"/>
        <v>5000000</v>
      </c>
      <c r="MR47" s="57">
        <f t="shared" si="2520"/>
        <v>5000000</v>
      </c>
      <c r="MS47" s="57">
        <f t="shared" si="2520"/>
        <v>5000000</v>
      </c>
      <c r="MT47" s="57">
        <f t="shared" si="2520"/>
        <v>5000000</v>
      </c>
      <c r="MU47" s="57">
        <f t="shared" si="2520"/>
        <v>5000000</v>
      </c>
      <c r="MV47" s="57">
        <f t="shared" si="2520"/>
        <v>5000000</v>
      </c>
      <c r="MW47" s="57">
        <f t="shared" si="2520"/>
        <v>5000000</v>
      </c>
      <c r="MX47" s="57">
        <f t="shared" si="2520"/>
        <v>5000000</v>
      </c>
      <c r="MY47" s="57">
        <f t="shared" si="2520"/>
        <v>5000000</v>
      </c>
      <c r="MZ47" s="57">
        <f t="shared" si="2520"/>
        <v>5000000</v>
      </c>
      <c r="NA47" s="57">
        <f t="shared" si="2520"/>
        <v>5000000</v>
      </c>
      <c r="NB47" s="57">
        <f t="shared" si="2520"/>
        <v>5000000</v>
      </c>
      <c r="NC47" s="57">
        <f t="shared" si="2520"/>
        <v>5000000</v>
      </c>
      <c r="ND47" s="57">
        <f t="shared" si="2520"/>
        <v>5000000</v>
      </c>
      <c r="NE47" s="57">
        <f t="shared" si="2520"/>
        <v>5000000</v>
      </c>
      <c r="NF47" s="57">
        <f t="shared" si="2520"/>
        <v>5000000</v>
      </c>
      <c r="NG47" s="57">
        <f t="shared" si="2520"/>
        <v>5000000</v>
      </c>
      <c r="NH47" s="57">
        <f t="shared" si="2520"/>
        <v>5000000</v>
      </c>
      <c r="NI47" s="57">
        <f t="shared" si="2520"/>
        <v>5000000</v>
      </c>
      <c r="NJ47" s="57">
        <f t="shared" si="2520"/>
        <v>5000000</v>
      </c>
      <c r="NK47" s="57">
        <f t="shared" si="2520"/>
        <v>5000000</v>
      </c>
      <c r="NL47" s="57">
        <f t="shared" si="2520"/>
        <v>5000000</v>
      </c>
      <c r="NM47" s="57">
        <f t="shared" si="2520"/>
        <v>5000000</v>
      </c>
      <c r="NN47" s="57">
        <f t="shared" si="2520"/>
        <v>5000000</v>
      </c>
      <c r="NO47" s="57">
        <f t="shared" si="2520"/>
        <v>5000000</v>
      </c>
      <c r="NP47" s="57">
        <f t="shared" si="2520"/>
        <v>5000000</v>
      </c>
      <c r="NQ47" s="57">
        <f t="shared" si="2520"/>
        <v>5000000</v>
      </c>
      <c r="NR47" s="57">
        <f t="shared" si="2520"/>
        <v>5000000</v>
      </c>
      <c r="NS47" s="57">
        <f t="shared" si="2520"/>
        <v>5000000</v>
      </c>
      <c r="NT47" s="57">
        <f t="shared" si="2520"/>
        <v>5000000</v>
      </c>
      <c r="NU47" s="57">
        <f t="shared" si="2520"/>
        <v>5000000</v>
      </c>
      <c r="NV47" s="57">
        <f t="shared" si="2520"/>
        <v>5000000</v>
      </c>
      <c r="NW47" s="57">
        <f t="shared" si="2520"/>
        <v>5000000</v>
      </c>
      <c r="NX47" s="57">
        <f t="shared" ref="NX47:QI47" si="2521">$C47</f>
        <v>5000000</v>
      </c>
      <c r="NY47" s="57">
        <f t="shared" si="2521"/>
        <v>5000000</v>
      </c>
      <c r="NZ47" s="57">
        <f t="shared" si="2521"/>
        <v>5000000</v>
      </c>
      <c r="OA47" s="57">
        <f t="shared" si="2521"/>
        <v>5000000</v>
      </c>
      <c r="OB47" s="57">
        <f t="shared" si="2521"/>
        <v>5000000</v>
      </c>
      <c r="OC47" s="57">
        <f t="shared" si="2521"/>
        <v>5000000</v>
      </c>
      <c r="OD47" s="57">
        <f t="shared" si="2521"/>
        <v>5000000</v>
      </c>
      <c r="OE47" s="57">
        <f t="shared" si="2521"/>
        <v>5000000</v>
      </c>
      <c r="OF47" s="57">
        <f t="shared" si="2521"/>
        <v>5000000</v>
      </c>
      <c r="OG47" s="57">
        <f t="shared" si="2521"/>
        <v>5000000</v>
      </c>
      <c r="OH47" s="57">
        <f t="shared" si="2521"/>
        <v>5000000</v>
      </c>
      <c r="OI47" s="57">
        <f t="shared" si="2521"/>
        <v>5000000</v>
      </c>
      <c r="OJ47" s="57">
        <f t="shared" si="2521"/>
        <v>5000000</v>
      </c>
      <c r="OK47" s="57">
        <f t="shared" si="2521"/>
        <v>5000000</v>
      </c>
      <c r="OL47" s="57">
        <f t="shared" si="2521"/>
        <v>5000000</v>
      </c>
      <c r="OM47" s="57">
        <f t="shared" si="2521"/>
        <v>5000000</v>
      </c>
      <c r="ON47" s="57">
        <f t="shared" si="2521"/>
        <v>5000000</v>
      </c>
      <c r="OO47" s="57">
        <f t="shared" si="2521"/>
        <v>5000000</v>
      </c>
      <c r="OP47" s="57">
        <f t="shared" si="2521"/>
        <v>5000000</v>
      </c>
      <c r="OQ47" s="57">
        <f t="shared" si="2521"/>
        <v>5000000</v>
      </c>
      <c r="OR47" s="57">
        <f t="shared" si="2521"/>
        <v>5000000</v>
      </c>
      <c r="OS47" s="57">
        <f t="shared" si="2521"/>
        <v>5000000</v>
      </c>
      <c r="OT47" s="57">
        <f t="shared" si="2521"/>
        <v>5000000</v>
      </c>
      <c r="OU47" s="57">
        <f t="shared" si="2521"/>
        <v>5000000</v>
      </c>
      <c r="OV47" s="57">
        <f t="shared" si="2521"/>
        <v>5000000</v>
      </c>
      <c r="OW47" s="57">
        <f t="shared" si="2521"/>
        <v>5000000</v>
      </c>
      <c r="OX47" s="57">
        <f t="shared" si="2521"/>
        <v>5000000</v>
      </c>
      <c r="OY47" s="57">
        <f t="shared" si="2521"/>
        <v>5000000</v>
      </c>
      <c r="OZ47" s="57">
        <f t="shared" si="2521"/>
        <v>5000000</v>
      </c>
      <c r="PA47" s="57">
        <f t="shared" si="2521"/>
        <v>5000000</v>
      </c>
      <c r="PB47" s="57">
        <f t="shared" si="2521"/>
        <v>5000000</v>
      </c>
      <c r="PC47" s="57">
        <f t="shared" si="2521"/>
        <v>5000000</v>
      </c>
      <c r="PD47" s="57">
        <f t="shared" si="2521"/>
        <v>5000000</v>
      </c>
      <c r="PE47" s="57">
        <f t="shared" si="2521"/>
        <v>5000000</v>
      </c>
      <c r="PF47" s="57">
        <f t="shared" si="2521"/>
        <v>5000000</v>
      </c>
      <c r="PG47" s="57">
        <f t="shared" si="2521"/>
        <v>5000000</v>
      </c>
      <c r="PH47" s="57">
        <f t="shared" si="2521"/>
        <v>5000000</v>
      </c>
      <c r="PI47" s="57">
        <f t="shared" si="2521"/>
        <v>5000000</v>
      </c>
      <c r="PJ47" s="57">
        <f t="shared" si="2521"/>
        <v>5000000</v>
      </c>
      <c r="PK47" s="57">
        <f t="shared" si="2521"/>
        <v>5000000</v>
      </c>
      <c r="PL47" s="57">
        <f t="shared" si="2521"/>
        <v>5000000</v>
      </c>
      <c r="PM47" s="57">
        <f t="shared" si="2521"/>
        <v>5000000</v>
      </c>
      <c r="PN47" s="57">
        <f t="shared" si="2521"/>
        <v>5000000</v>
      </c>
      <c r="PO47" s="57">
        <f t="shared" si="2521"/>
        <v>5000000</v>
      </c>
      <c r="PP47" s="57">
        <f t="shared" si="2521"/>
        <v>5000000</v>
      </c>
      <c r="PQ47" s="57">
        <f t="shared" si="2521"/>
        <v>5000000</v>
      </c>
      <c r="PR47" s="57">
        <f t="shared" si="2521"/>
        <v>5000000</v>
      </c>
      <c r="PS47" s="57">
        <f t="shared" si="2521"/>
        <v>5000000</v>
      </c>
      <c r="PT47" s="57">
        <f t="shared" si="2521"/>
        <v>5000000</v>
      </c>
      <c r="PU47" s="57">
        <f t="shared" si="2521"/>
        <v>5000000</v>
      </c>
      <c r="PV47" s="57">
        <f t="shared" si="2521"/>
        <v>5000000</v>
      </c>
      <c r="PW47" s="57">
        <f t="shared" si="2521"/>
        <v>5000000</v>
      </c>
      <c r="PX47" s="57">
        <f t="shared" si="2521"/>
        <v>5000000</v>
      </c>
      <c r="PY47" s="57">
        <f t="shared" si="2521"/>
        <v>5000000</v>
      </c>
      <c r="PZ47" s="57">
        <f t="shared" si="2521"/>
        <v>5000000</v>
      </c>
      <c r="QA47" s="57">
        <f t="shared" si="2521"/>
        <v>5000000</v>
      </c>
      <c r="QB47" s="57">
        <f t="shared" si="2521"/>
        <v>5000000</v>
      </c>
      <c r="QC47" s="57">
        <f t="shared" si="2521"/>
        <v>5000000</v>
      </c>
      <c r="QD47" s="57">
        <f t="shared" si="2521"/>
        <v>5000000</v>
      </c>
      <c r="QE47" s="57">
        <f t="shared" si="2521"/>
        <v>5000000</v>
      </c>
      <c r="QF47" s="57">
        <f t="shared" si="2521"/>
        <v>5000000</v>
      </c>
      <c r="QG47" s="57">
        <f t="shared" si="2521"/>
        <v>5000000</v>
      </c>
      <c r="QH47" s="57">
        <f t="shared" si="2521"/>
        <v>5000000</v>
      </c>
      <c r="QI47" s="57">
        <f t="shared" si="2521"/>
        <v>5000000</v>
      </c>
      <c r="QJ47" s="57">
        <f t="shared" ref="QJ47:SU47" si="2522">$C47</f>
        <v>5000000</v>
      </c>
      <c r="QK47" s="57">
        <f t="shared" si="2522"/>
        <v>5000000</v>
      </c>
      <c r="QL47" s="57">
        <f t="shared" si="2522"/>
        <v>5000000</v>
      </c>
      <c r="QM47" s="57">
        <f t="shared" si="2522"/>
        <v>5000000</v>
      </c>
      <c r="QN47" s="57">
        <f t="shared" si="2522"/>
        <v>5000000</v>
      </c>
      <c r="QO47" s="57">
        <f t="shared" si="2522"/>
        <v>5000000</v>
      </c>
      <c r="QP47" s="57">
        <f t="shared" si="2522"/>
        <v>5000000</v>
      </c>
      <c r="QQ47" s="57">
        <f t="shared" si="2522"/>
        <v>5000000</v>
      </c>
      <c r="QR47" s="57">
        <f t="shared" si="2522"/>
        <v>5000000</v>
      </c>
      <c r="QS47" s="57">
        <f t="shared" si="2522"/>
        <v>5000000</v>
      </c>
      <c r="QT47" s="57">
        <f t="shared" si="2522"/>
        <v>5000000</v>
      </c>
      <c r="QU47" s="57">
        <f t="shared" si="2522"/>
        <v>5000000</v>
      </c>
      <c r="QV47" s="57">
        <f t="shared" si="2522"/>
        <v>5000000</v>
      </c>
      <c r="QW47" s="57">
        <f t="shared" si="2522"/>
        <v>5000000</v>
      </c>
      <c r="QX47" s="57">
        <f t="shared" si="2522"/>
        <v>5000000</v>
      </c>
      <c r="QY47" s="57">
        <f t="shared" si="2522"/>
        <v>5000000</v>
      </c>
      <c r="QZ47" s="57">
        <f t="shared" si="2522"/>
        <v>5000000</v>
      </c>
      <c r="RA47" s="57">
        <f t="shared" si="2522"/>
        <v>5000000</v>
      </c>
      <c r="RB47" s="57">
        <f t="shared" si="2522"/>
        <v>5000000</v>
      </c>
      <c r="RC47" s="57">
        <f t="shared" si="2522"/>
        <v>5000000</v>
      </c>
      <c r="RD47" s="57">
        <f t="shared" si="2522"/>
        <v>5000000</v>
      </c>
      <c r="RE47" s="57">
        <f t="shared" si="2522"/>
        <v>5000000</v>
      </c>
      <c r="RF47" s="57">
        <f t="shared" si="2522"/>
        <v>5000000</v>
      </c>
      <c r="RG47" s="57">
        <f t="shared" si="2522"/>
        <v>5000000</v>
      </c>
      <c r="RH47" s="57">
        <f t="shared" si="2522"/>
        <v>5000000</v>
      </c>
      <c r="RI47" s="57">
        <f t="shared" si="2522"/>
        <v>5000000</v>
      </c>
      <c r="RJ47" s="57">
        <f t="shared" si="2522"/>
        <v>5000000</v>
      </c>
      <c r="RK47" s="57">
        <f t="shared" si="2522"/>
        <v>5000000</v>
      </c>
      <c r="RL47" s="57">
        <f t="shared" si="2522"/>
        <v>5000000</v>
      </c>
      <c r="RM47" s="57">
        <f t="shared" si="2522"/>
        <v>5000000</v>
      </c>
      <c r="RN47" s="57">
        <f t="shared" si="2522"/>
        <v>5000000</v>
      </c>
      <c r="RO47" s="57">
        <f t="shared" si="2522"/>
        <v>5000000</v>
      </c>
      <c r="RP47" s="57">
        <f t="shared" si="2522"/>
        <v>5000000</v>
      </c>
      <c r="RQ47" s="57">
        <f t="shared" si="2522"/>
        <v>5000000</v>
      </c>
      <c r="RR47" s="57">
        <f t="shared" si="2522"/>
        <v>5000000</v>
      </c>
      <c r="RS47" s="57">
        <f t="shared" si="2522"/>
        <v>5000000</v>
      </c>
      <c r="RT47" s="57">
        <f t="shared" si="2522"/>
        <v>5000000</v>
      </c>
      <c r="RU47" s="57">
        <f t="shared" si="2522"/>
        <v>5000000</v>
      </c>
      <c r="RV47" s="57">
        <f t="shared" si="2522"/>
        <v>5000000</v>
      </c>
      <c r="RW47" s="57">
        <f t="shared" si="2522"/>
        <v>5000000</v>
      </c>
      <c r="RX47" s="57">
        <f t="shared" si="2522"/>
        <v>5000000</v>
      </c>
      <c r="RY47" s="57">
        <f t="shared" si="2522"/>
        <v>5000000</v>
      </c>
      <c r="RZ47" s="57">
        <f t="shared" si="2522"/>
        <v>5000000</v>
      </c>
      <c r="SA47" s="57">
        <f t="shared" si="2522"/>
        <v>5000000</v>
      </c>
      <c r="SB47" s="57">
        <f t="shared" si="2522"/>
        <v>5000000</v>
      </c>
      <c r="SC47" s="57">
        <f t="shared" si="2522"/>
        <v>5000000</v>
      </c>
      <c r="SD47" s="57">
        <f t="shared" si="2522"/>
        <v>5000000</v>
      </c>
      <c r="SE47" s="57">
        <f t="shared" si="2522"/>
        <v>5000000</v>
      </c>
      <c r="SF47" s="57">
        <f t="shared" si="2522"/>
        <v>5000000</v>
      </c>
      <c r="SG47" s="57">
        <f t="shared" si="2522"/>
        <v>5000000</v>
      </c>
      <c r="SH47" s="57">
        <f t="shared" si="2522"/>
        <v>5000000</v>
      </c>
      <c r="SI47" s="57">
        <f t="shared" si="2522"/>
        <v>5000000</v>
      </c>
      <c r="SJ47" s="57">
        <f t="shared" si="2522"/>
        <v>5000000</v>
      </c>
      <c r="SK47" s="57">
        <f t="shared" si="2522"/>
        <v>5000000</v>
      </c>
      <c r="SL47" s="57">
        <f t="shared" si="2522"/>
        <v>5000000</v>
      </c>
      <c r="SM47" s="57">
        <f t="shared" si="2522"/>
        <v>5000000</v>
      </c>
      <c r="SN47" s="57">
        <f t="shared" si="2522"/>
        <v>5000000</v>
      </c>
      <c r="SO47" s="57">
        <f t="shared" si="2522"/>
        <v>5000000</v>
      </c>
      <c r="SP47" s="57">
        <f t="shared" si="2522"/>
        <v>5000000</v>
      </c>
      <c r="SQ47" s="57">
        <f t="shared" si="2522"/>
        <v>5000000</v>
      </c>
      <c r="SR47" s="57">
        <f t="shared" si="2522"/>
        <v>5000000</v>
      </c>
      <c r="SS47" s="57">
        <f t="shared" si="2522"/>
        <v>5000000</v>
      </c>
      <c r="ST47" s="57">
        <f t="shared" si="2522"/>
        <v>5000000</v>
      </c>
      <c r="SU47" s="57">
        <f t="shared" si="2522"/>
        <v>5000000</v>
      </c>
      <c r="SV47" s="57">
        <f t="shared" ref="SV47:VG47" si="2523">$C47</f>
        <v>5000000</v>
      </c>
      <c r="SW47" s="57">
        <f t="shared" si="2523"/>
        <v>5000000</v>
      </c>
      <c r="SX47" s="57">
        <f t="shared" si="2523"/>
        <v>5000000</v>
      </c>
      <c r="SY47" s="57">
        <f t="shared" si="2523"/>
        <v>5000000</v>
      </c>
      <c r="SZ47" s="57">
        <f t="shared" si="2523"/>
        <v>5000000</v>
      </c>
      <c r="TA47" s="57">
        <f t="shared" si="2523"/>
        <v>5000000</v>
      </c>
      <c r="TB47" s="57">
        <f t="shared" si="2523"/>
        <v>5000000</v>
      </c>
      <c r="TC47" s="57">
        <f t="shared" si="2523"/>
        <v>5000000</v>
      </c>
      <c r="TD47" s="57">
        <f t="shared" si="2523"/>
        <v>5000000</v>
      </c>
      <c r="TE47" s="57">
        <f t="shared" si="2523"/>
        <v>5000000</v>
      </c>
      <c r="TF47" s="57">
        <f t="shared" si="2523"/>
        <v>5000000</v>
      </c>
      <c r="TG47" s="57">
        <f t="shared" si="2523"/>
        <v>5000000</v>
      </c>
      <c r="TH47" s="57">
        <f t="shared" si="2523"/>
        <v>5000000</v>
      </c>
      <c r="TI47" s="57">
        <f t="shared" si="2523"/>
        <v>5000000</v>
      </c>
      <c r="TJ47" s="57">
        <f t="shared" si="2523"/>
        <v>5000000</v>
      </c>
      <c r="TK47" s="57">
        <f t="shared" si="2523"/>
        <v>5000000</v>
      </c>
      <c r="TL47" s="57">
        <f t="shared" si="2523"/>
        <v>5000000</v>
      </c>
      <c r="TM47" s="57">
        <f t="shared" si="2523"/>
        <v>5000000</v>
      </c>
      <c r="TN47" s="57">
        <f t="shared" si="2523"/>
        <v>5000000</v>
      </c>
      <c r="TO47" s="57">
        <f t="shared" si="2523"/>
        <v>5000000</v>
      </c>
      <c r="TP47" s="57">
        <f t="shared" si="2523"/>
        <v>5000000</v>
      </c>
      <c r="TQ47" s="57">
        <f t="shared" si="2523"/>
        <v>5000000</v>
      </c>
      <c r="TR47" s="57">
        <f t="shared" si="2523"/>
        <v>5000000</v>
      </c>
      <c r="TS47" s="57">
        <f t="shared" si="2523"/>
        <v>5000000</v>
      </c>
      <c r="TT47" s="57">
        <f t="shared" si="2523"/>
        <v>5000000</v>
      </c>
      <c r="TU47" s="57">
        <f t="shared" si="2523"/>
        <v>5000000</v>
      </c>
      <c r="TV47" s="57">
        <f t="shared" si="2523"/>
        <v>5000000</v>
      </c>
      <c r="TW47" s="57">
        <f t="shared" si="2523"/>
        <v>5000000</v>
      </c>
      <c r="TX47" s="57">
        <f t="shared" si="2523"/>
        <v>5000000</v>
      </c>
      <c r="TY47" s="57">
        <f t="shared" si="2523"/>
        <v>5000000</v>
      </c>
      <c r="TZ47" s="57">
        <f t="shared" si="2523"/>
        <v>5000000</v>
      </c>
      <c r="UA47" s="57">
        <f t="shared" si="2523"/>
        <v>5000000</v>
      </c>
      <c r="UB47" s="57">
        <f t="shared" si="2523"/>
        <v>5000000</v>
      </c>
      <c r="UC47" s="57">
        <f t="shared" si="2523"/>
        <v>5000000</v>
      </c>
      <c r="UD47" s="57">
        <f t="shared" si="2523"/>
        <v>5000000</v>
      </c>
      <c r="UE47" s="57">
        <f t="shared" si="2523"/>
        <v>5000000</v>
      </c>
      <c r="UF47" s="57">
        <f t="shared" si="2523"/>
        <v>5000000</v>
      </c>
      <c r="UG47" s="57">
        <f t="shared" si="2523"/>
        <v>5000000</v>
      </c>
      <c r="UH47" s="57">
        <f t="shared" si="2523"/>
        <v>5000000</v>
      </c>
      <c r="UI47" s="57">
        <f t="shared" si="2523"/>
        <v>5000000</v>
      </c>
      <c r="UJ47" s="57">
        <f t="shared" si="2523"/>
        <v>5000000</v>
      </c>
      <c r="UK47" s="57">
        <f t="shared" si="2523"/>
        <v>5000000</v>
      </c>
      <c r="UL47" s="57">
        <f t="shared" si="2523"/>
        <v>5000000</v>
      </c>
      <c r="UM47" s="57">
        <f t="shared" si="2523"/>
        <v>5000000</v>
      </c>
      <c r="UN47" s="57">
        <f t="shared" si="2523"/>
        <v>5000000</v>
      </c>
      <c r="UO47" s="57">
        <f t="shared" si="2523"/>
        <v>5000000</v>
      </c>
      <c r="UP47" s="57">
        <f t="shared" si="2523"/>
        <v>5000000</v>
      </c>
      <c r="UQ47" s="57">
        <f t="shared" si="2523"/>
        <v>5000000</v>
      </c>
      <c r="UR47" s="57">
        <f t="shared" si="2523"/>
        <v>5000000</v>
      </c>
      <c r="US47" s="57">
        <f t="shared" si="2523"/>
        <v>5000000</v>
      </c>
      <c r="UT47" s="57">
        <f t="shared" si="2523"/>
        <v>5000000</v>
      </c>
      <c r="UU47" s="57">
        <f t="shared" si="2523"/>
        <v>5000000</v>
      </c>
      <c r="UV47" s="57">
        <f t="shared" si="2523"/>
        <v>5000000</v>
      </c>
      <c r="UW47" s="57">
        <f t="shared" si="2523"/>
        <v>5000000</v>
      </c>
      <c r="UX47" s="57">
        <f t="shared" si="2523"/>
        <v>5000000</v>
      </c>
      <c r="UY47" s="57">
        <f t="shared" si="2523"/>
        <v>5000000</v>
      </c>
      <c r="UZ47" s="57">
        <f t="shared" si="2523"/>
        <v>5000000</v>
      </c>
      <c r="VA47" s="57">
        <f t="shared" si="2523"/>
        <v>5000000</v>
      </c>
      <c r="VB47" s="57">
        <f t="shared" si="2523"/>
        <v>5000000</v>
      </c>
      <c r="VC47" s="57">
        <f t="shared" si="2523"/>
        <v>5000000</v>
      </c>
      <c r="VD47" s="57">
        <f t="shared" si="2523"/>
        <v>5000000</v>
      </c>
      <c r="VE47" s="57">
        <f t="shared" si="2523"/>
        <v>5000000</v>
      </c>
      <c r="VF47" s="57">
        <f t="shared" si="2523"/>
        <v>5000000</v>
      </c>
      <c r="VG47" s="57">
        <f t="shared" si="2523"/>
        <v>5000000</v>
      </c>
      <c r="VH47" s="57">
        <f t="shared" ref="VH47:XS47" si="2524">$C47</f>
        <v>5000000</v>
      </c>
      <c r="VI47" s="57">
        <f t="shared" si="2524"/>
        <v>5000000</v>
      </c>
      <c r="VJ47" s="57">
        <f t="shared" si="2524"/>
        <v>5000000</v>
      </c>
      <c r="VK47" s="57">
        <f t="shared" si="2524"/>
        <v>5000000</v>
      </c>
      <c r="VL47" s="57">
        <f t="shared" si="2524"/>
        <v>5000000</v>
      </c>
      <c r="VM47" s="57">
        <f t="shared" si="2524"/>
        <v>5000000</v>
      </c>
      <c r="VN47" s="57">
        <f t="shared" si="2524"/>
        <v>5000000</v>
      </c>
      <c r="VO47" s="57">
        <f t="shared" si="2524"/>
        <v>5000000</v>
      </c>
      <c r="VP47" s="57">
        <f t="shared" si="2524"/>
        <v>5000000</v>
      </c>
      <c r="VQ47" s="57">
        <f t="shared" si="2524"/>
        <v>5000000</v>
      </c>
      <c r="VR47" s="57">
        <f t="shared" si="2524"/>
        <v>5000000</v>
      </c>
      <c r="VS47" s="57">
        <f t="shared" si="2524"/>
        <v>5000000</v>
      </c>
      <c r="VT47" s="57">
        <f t="shared" si="2524"/>
        <v>5000000</v>
      </c>
      <c r="VU47" s="57">
        <f t="shared" si="2524"/>
        <v>5000000</v>
      </c>
      <c r="VV47" s="57">
        <f t="shared" si="2524"/>
        <v>5000000</v>
      </c>
      <c r="VW47" s="57">
        <f t="shared" si="2524"/>
        <v>5000000</v>
      </c>
      <c r="VX47" s="57">
        <f t="shared" si="2524"/>
        <v>5000000</v>
      </c>
      <c r="VY47" s="57">
        <f t="shared" si="2524"/>
        <v>5000000</v>
      </c>
      <c r="VZ47" s="57">
        <f t="shared" si="2524"/>
        <v>5000000</v>
      </c>
      <c r="WA47" s="57">
        <f t="shared" si="2524"/>
        <v>5000000</v>
      </c>
      <c r="WB47" s="57">
        <f t="shared" si="2524"/>
        <v>5000000</v>
      </c>
      <c r="WC47" s="57">
        <f t="shared" si="2524"/>
        <v>5000000</v>
      </c>
      <c r="WD47" s="57">
        <f t="shared" si="2524"/>
        <v>5000000</v>
      </c>
      <c r="WE47" s="57">
        <f t="shared" si="2524"/>
        <v>5000000</v>
      </c>
      <c r="WF47" s="57">
        <f t="shared" si="2524"/>
        <v>5000000</v>
      </c>
      <c r="WG47" s="57">
        <f t="shared" si="2524"/>
        <v>5000000</v>
      </c>
      <c r="WH47" s="57">
        <f t="shared" si="2524"/>
        <v>5000000</v>
      </c>
      <c r="WI47" s="57">
        <f t="shared" si="2524"/>
        <v>5000000</v>
      </c>
      <c r="WJ47" s="57">
        <f t="shared" si="2524"/>
        <v>5000000</v>
      </c>
      <c r="WK47" s="57">
        <f t="shared" si="2524"/>
        <v>5000000</v>
      </c>
      <c r="WL47" s="57">
        <f t="shared" si="2524"/>
        <v>5000000</v>
      </c>
      <c r="WM47" s="57">
        <f t="shared" si="2524"/>
        <v>5000000</v>
      </c>
      <c r="WN47" s="57">
        <f t="shared" si="2524"/>
        <v>5000000</v>
      </c>
      <c r="WO47" s="57">
        <f t="shared" si="2524"/>
        <v>5000000</v>
      </c>
      <c r="WP47" s="57">
        <f t="shared" si="2524"/>
        <v>5000000</v>
      </c>
      <c r="WQ47" s="57">
        <f t="shared" si="2524"/>
        <v>5000000</v>
      </c>
      <c r="WR47" s="57">
        <f t="shared" si="2524"/>
        <v>5000000</v>
      </c>
      <c r="WS47" s="57">
        <f t="shared" si="2524"/>
        <v>5000000</v>
      </c>
      <c r="WT47" s="57">
        <f t="shared" si="2524"/>
        <v>5000000</v>
      </c>
      <c r="WU47" s="57">
        <f t="shared" si="2524"/>
        <v>5000000</v>
      </c>
      <c r="WV47" s="57">
        <f t="shared" si="2524"/>
        <v>5000000</v>
      </c>
      <c r="WW47" s="57">
        <f t="shared" si="2524"/>
        <v>5000000</v>
      </c>
      <c r="WX47" s="57">
        <f t="shared" si="2524"/>
        <v>5000000</v>
      </c>
      <c r="WY47" s="57">
        <f t="shared" si="2524"/>
        <v>5000000</v>
      </c>
      <c r="WZ47" s="57">
        <f t="shared" si="2524"/>
        <v>5000000</v>
      </c>
      <c r="XA47" s="57">
        <f t="shared" si="2524"/>
        <v>5000000</v>
      </c>
      <c r="XB47" s="57">
        <f t="shared" si="2524"/>
        <v>5000000</v>
      </c>
      <c r="XC47" s="57">
        <f t="shared" si="2524"/>
        <v>5000000</v>
      </c>
      <c r="XD47" s="57">
        <f t="shared" si="2524"/>
        <v>5000000</v>
      </c>
      <c r="XE47" s="57">
        <f t="shared" si="2524"/>
        <v>5000000</v>
      </c>
      <c r="XF47" s="57">
        <f t="shared" si="2524"/>
        <v>5000000</v>
      </c>
      <c r="XG47" s="57">
        <f t="shared" si="2524"/>
        <v>5000000</v>
      </c>
      <c r="XH47" s="57">
        <f t="shared" si="2524"/>
        <v>5000000</v>
      </c>
      <c r="XI47" s="57">
        <f t="shared" si="2524"/>
        <v>5000000</v>
      </c>
      <c r="XJ47" s="57">
        <f t="shared" si="2524"/>
        <v>5000000</v>
      </c>
      <c r="XK47" s="57">
        <f t="shared" si="2524"/>
        <v>5000000</v>
      </c>
      <c r="XL47" s="57">
        <f t="shared" si="2524"/>
        <v>5000000</v>
      </c>
      <c r="XM47" s="57">
        <f t="shared" si="2524"/>
        <v>5000000</v>
      </c>
      <c r="XN47" s="57">
        <f t="shared" si="2524"/>
        <v>5000000</v>
      </c>
      <c r="XO47" s="57">
        <f t="shared" si="2524"/>
        <v>5000000</v>
      </c>
      <c r="XP47" s="57">
        <f t="shared" si="2524"/>
        <v>5000000</v>
      </c>
      <c r="XQ47" s="57">
        <f t="shared" si="2524"/>
        <v>5000000</v>
      </c>
      <c r="XR47" s="57">
        <f t="shared" si="2524"/>
        <v>5000000</v>
      </c>
      <c r="XS47" s="57">
        <f t="shared" si="2524"/>
        <v>5000000</v>
      </c>
      <c r="XT47" s="57">
        <f t="shared" ref="XT47:AAE47" si="2525">$C47</f>
        <v>5000000</v>
      </c>
      <c r="XU47" s="57">
        <f t="shared" si="2525"/>
        <v>5000000</v>
      </c>
      <c r="XV47" s="57">
        <f t="shared" si="2525"/>
        <v>5000000</v>
      </c>
      <c r="XW47" s="57">
        <f t="shared" si="2525"/>
        <v>5000000</v>
      </c>
      <c r="XX47" s="57">
        <f t="shared" si="2525"/>
        <v>5000000</v>
      </c>
      <c r="XY47" s="57">
        <f t="shared" si="2525"/>
        <v>5000000</v>
      </c>
      <c r="XZ47" s="57">
        <f t="shared" si="2525"/>
        <v>5000000</v>
      </c>
      <c r="YA47" s="57">
        <f t="shared" si="2525"/>
        <v>5000000</v>
      </c>
      <c r="YB47" s="57">
        <f t="shared" si="2525"/>
        <v>5000000</v>
      </c>
      <c r="YC47" s="57">
        <f t="shared" si="2525"/>
        <v>5000000</v>
      </c>
      <c r="YD47" s="57">
        <f t="shared" si="2525"/>
        <v>5000000</v>
      </c>
      <c r="YE47" s="57">
        <f t="shared" si="2525"/>
        <v>5000000</v>
      </c>
      <c r="YF47" s="57">
        <f t="shared" si="2525"/>
        <v>5000000</v>
      </c>
      <c r="YG47" s="57">
        <f t="shared" si="2525"/>
        <v>5000000</v>
      </c>
      <c r="YH47" s="57">
        <f t="shared" si="2525"/>
        <v>5000000</v>
      </c>
      <c r="YI47" s="57">
        <f t="shared" si="2525"/>
        <v>5000000</v>
      </c>
      <c r="YJ47" s="57">
        <f t="shared" si="2525"/>
        <v>5000000</v>
      </c>
      <c r="YK47" s="57">
        <f t="shared" si="2525"/>
        <v>5000000</v>
      </c>
      <c r="YL47" s="57">
        <f t="shared" si="2525"/>
        <v>5000000</v>
      </c>
      <c r="YM47" s="57">
        <f t="shared" si="2525"/>
        <v>5000000</v>
      </c>
      <c r="YN47" s="57">
        <f t="shared" si="2525"/>
        <v>5000000</v>
      </c>
      <c r="YO47" s="57">
        <f t="shared" si="2525"/>
        <v>5000000</v>
      </c>
      <c r="YP47" s="57">
        <f t="shared" si="2525"/>
        <v>5000000</v>
      </c>
      <c r="YQ47" s="57">
        <f t="shared" si="2525"/>
        <v>5000000</v>
      </c>
      <c r="YR47" s="57">
        <f t="shared" si="2525"/>
        <v>5000000</v>
      </c>
      <c r="YS47" s="57">
        <f t="shared" si="2525"/>
        <v>5000000</v>
      </c>
      <c r="YT47" s="57">
        <f t="shared" si="2525"/>
        <v>5000000</v>
      </c>
      <c r="YU47" s="57">
        <f t="shared" si="2525"/>
        <v>5000000</v>
      </c>
      <c r="YV47" s="57">
        <f t="shared" si="2525"/>
        <v>5000000</v>
      </c>
      <c r="YW47" s="57">
        <f t="shared" si="2525"/>
        <v>5000000</v>
      </c>
      <c r="YX47" s="57">
        <f t="shared" si="2525"/>
        <v>5000000</v>
      </c>
      <c r="YY47" s="57">
        <f t="shared" si="2525"/>
        <v>5000000</v>
      </c>
      <c r="YZ47" s="57">
        <f t="shared" si="2525"/>
        <v>5000000</v>
      </c>
      <c r="ZA47" s="57">
        <f t="shared" si="2525"/>
        <v>5000000</v>
      </c>
      <c r="ZB47" s="57">
        <f t="shared" si="2525"/>
        <v>5000000</v>
      </c>
      <c r="ZC47" s="57">
        <f t="shared" si="2525"/>
        <v>5000000</v>
      </c>
      <c r="ZD47" s="57">
        <f t="shared" si="2525"/>
        <v>5000000</v>
      </c>
      <c r="ZE47" s="57">
        <f t="shared" si="2525"/>
        <v>5000000</v>
      </c>
      <c r="ZF47" s="57">
        <f t="shared" si="2525"/>
        <v>5000000</v>
      </c>
      <c r="ZG47" s="57">
        <f t="shared" si="2525"/>
        <v>5000000</v>
      </c>
      <c r="ZH47" s="57">
        <f t="shared" si="2525"/>
        <v>5000000</v>
      </c>
      <c r="ZI47" s="57">
        <f t="shared" si="2525"/>
        <v>5000000</v>
      </c>
      <c r="ZJ47" s="57">
        <f t="shared" si="2525"/>
        <v>5000000</v>
      </c>
      <c r="ZK47" s="57">
        <f t="shared" si="2525"/>
        <v>5000000</v>
      </c>
      <c r="ZL47" s="57">
        <f t="shared" si="2525"/>
        <v>5000000</v>
      </c>
      <c r="ZM47" s="57">
        <f t="shared" si="2525"/>
        <v>5000000</v>
      </c>
      <c r="ZN47" s="57">
        <f t="shared" si="2525"/>
        <v>5000000</v>
      </c>
      <c r="ZO47" s="57">
        <f t="shared" si="2525"/>
        <v>5000000</v>
      </c>
      <c r="ZP47" s="57">
        <f t="shared" si="2525"/>
        <v>5000000</v>
      </c>
      <c r="ZQ47" s="57">
        <f t="shared" si="2525"/>
        <v>5000000</v>
      </c>
      <c r="ZR47" s="57">
        <f t="shared" si="2525"/>
        <v>5000000</v>
      </c>
      <c r="ZS47" s="57">
        <f t="shared" si="2525"/>
        <v>5000000</v>
      </c>
      <c r="ZT47" s="57">
        <f t="shared" si="2525"/>
        <v>5000000</v>
      </c>
      <c r="ZU47" s="57">
        <f t="shared" si="2525"/>
        <v>5000000</v>
      </c>
      <c r="ZV47" s="57">
        <f t="shared" si="2525"/>
        <v>5000000</v>
      </c>
      <c r="ZW47" s="57">
        <f t="shared" si="2525"/>
        <v>5000000</v>
      </c>
      <c r="ZX47" s="57">
        <f t="shared" si="2525"/>
        <v>5000000</v>
      </c>
      <c r="ZY47" s="57">
        <f t="shared" si="2525"/>
        <v>5000000</v>
      </c>
      <c r="ZZ47" s="57">
        <f t="shared" si="2525"/>
        <v>5000000</v>
      </c>
      <c r="AAA47" s="57">
        <f t="shared" si="2525"/>
        <v>5000000</v>
      </c>
      <c r="AAB47" s="57">
        <f t="shared" si="2525"/>
        <v>5000000</v>
      </c>
      <c r="AAC47" s="57">
        <f t="shared" si="2525"/>
        <v>5000000</v>
      </c>
      <c r="AAD47" s="57">
        <f t="shared" si="2525"/>
        <v>5000000</v>
      </c>
      <c r="AAE47" s="57">
        <f t="shared" si="2525"/>
        <v>5000000</v>
      </c>
      <c r="AAF47" s="57">
        <f t="shared" ref="AAF47:ACQ47" si="2526">$C47</f>
        <v>5000000</v>
      </c>
      <c r="AAG47" s="57">
        <f t="shared" si="2526"/>
        <v>5000000</v>
      </c>
      <c r="AAH47" s="57">
        <f t="shared" si="2526"/>
        <v>5000000</v>
      </c>
      <c r="AAI47" s="57">
        <f t="shared" si="2526"/>
        <v>5000000</v>
      </c>
      <c r="AAJ47" s="57">
        <f t="shared" si="2526"/>
        <v>5000000</v>
      </c>
      <c r="AAK47" s="57">
        <f t="shared" si="2526"/>
        <v>5000000</v>
      </c>
      <c r="AAL47" s="57">
        <f t="shared" si="2526"/>
        <v>5000000</v>
      </c>
      <c r="AAM47" s="57">
        <f t="shared" si="2526"/>
        <v>5000000</v>
      </c>
      <c r="AAN47" s="57">
        <f t="shared" si="2526"/>
        <v>5000000</v>
      </c>
      <c r="AAO47" s="57">
        <f t="shared" si="2526"/>
        <v>5000000</v>
      </c>
      <c r="AAP47" s="57">
        <f t="shared" si="2526"/>
        <v>5000000</v>
      </c>
      <c r="AAQ47" s="57">
        <f t="shared" si="2526"/>
        <v>5000000</v>
      </c>
      <c r="AAR47" s="57">
        <f t="shared" si="2526"/>
        <v>5000000</v>
      </c>
      <c r="AAS47" s="57">
        <f t="shared" si="2526"/>
        <v>5000000</v>
      </c>
      <c r="AAT47" s="57">
        <f t="shared" si="2526"/>
        <v>5000000</v>
      </c>
      <c r="AAU47" s="57">
        <f t="shared" si="2526"/>
        <v>5000000</v>
      </c>
      <c r="AAV47" s="57">
        <f t="shared" si="2526"/>
        <v>5000000</v>
      </c>
      <c r="AAW47" s="57">
        <f t="shared" si="2526"/>
        <v>5000000</v>
      </c>
      <c r="AAX47" s="57">
        <f t="shared" si="2526"/>
        <v>5000000</v>
      </c>
      <c r="AAY47" s="57">
        <f t="shared" si="2526"/>
        <v>5000000</v>
      </c>
      <c r="AAZ47" s="57">
        <f t="shared" si="2526"/>
        <v>5000000</v>
      </c>
      <c r="ABA47" s="57">
        <f t="shared" si="2526"/>
        <v>5000000</v>
      </c>
      <c r="ABB47" s="57">
        <f t="shared" si="2526"/>
        <v>5000000</v>
      </c>
      <c r="ABC47" s="57">
        <f t="shared" si="2526"/>
        <v>5000000</v>
      </c>
      <c r="ABD47" s="57">
        <f t="shared" si="2526"/>
        <v>5000000</v>
      </c>
      <c r="ABE47" s="57">
        <f t="shared" si="2526"/>
        <v>5000000</v>
      </c>
      <c r="ABF47" s="57">
        <f t="shared" si="2526"/>
        <v>5000000</v>
      </c>
      <c r="ABG47" s="57">
        <f t="shared" si="2526"/>
        <v>5000000</v>
      </c>
      <c r="ABH47" s="57">
        <f t="shared" si="2526"/>
        <v>5000000</v>
      </c>
      <c r="ABI47" s="57">
        <f t="shared" si="2526"/>
        <v>5000000</v>
      </c>
      <c r="ABJ47" s="57">
        <f t="shared" si="2526"/>
        <v>5000000</v>
      </c>
      <c r="ABK47" s="57">
        <f t="shared" si="2526"/>
        <v>5000000</v>
      </c>
      <c r="ABL47" s="57">
        <f t="shared" si="2526"/>
        <v>5000000</v>
      </c>
      <c r="ABM47" s="57">
        <f t="shared" si="2526"/>
        <v>5000000</v>
      </c>
      <c r="ABN47" s="57">
        <f t="shared" si="2526"/>
        <v>5000000</v>
      </c>
      <c r="ABO47" s="57">
        <f t="shared" si="2526"/>
        <v>5000000</v>
      </c>
      <c r="ABP47" s="57">
        <f t="shared" si="2526"/>
        <v>5000000</v>
      </c>
      <c r="ABQ47" s="57">
        <f t="shared" si="2526"/>
        <v>5000000</v>
      </c>
      <c r="ABR47" s="57">
        <f t="shared" si="2526"/>
        <v>5000000</v>
      </c>
      <c r="ABS47" s="57">
        <f t="shared" si="2526"/>
        <v>5000000</v>
      </c>
      <c r="ABT47" s="57">
        <f t="shared" si="2526"/>
        <v>5000000</v>
      </c>
      <c r="ABU47" s="57">
        <f t="shared" si="2526"/>
        <v>5000000</v>
      </c>
      <c r="ABV47" s="57">
        <f t="shared" si="2526"/>
        <v>5000000</v>
      </c>
      <c r="ABW47" s="57">
        <f t="shared" si="2526"/>
        <v>5000000</v>
      </c>
      <c r="ABX47" s="57">
        <f t="shared" si="2526"/>
        <v>5000000</v>
      </c>
      <c r="ABY47" s="57">
        <f t="shared" si="2526"/>
        <v>5000000</v>
      </c>
      <c r="ABZ47" s="57">
        <f t="shared" si="2526"/>
        <v>5000000</v>
      </c>
      <c r="ACA47" s="57">
        <f t="shared" si="2526"/>
        <v>5000000</v>
      </c>
      <c r="ACB47" s="57">
        <f t="shared" si="2526"/>
        <v>5000000</v>
      </c>
      <c r="ACC47" s="57">
        <f t="shared" si="2526"/>
        <v>5000000</v>
      </c>
      <c r="ACD47" s="57">
        <f t="shared" si="2526"/>
        <v>5000000</v>
      </c>
      <c r="ACE47" s="57">
        <f t="shared" si="2526"/>
        <v>5000000</v>
      </c>
      <c r="ACF47" s="57">
        <f t="shared" si="2526"/>
        <v>5000000</v>
      </c>
      <c r="ACG47" s="57">
        <f t="shared" si="2526"/>
        <v>5000000</v>
      </c>
      <c r="ACH47" s="57">
        <f t="shared" si="2526"/>
        <v>5000000</v>
      </c>
      <c r="ACI47" s="57">
        <f t="shared" si="2526"/>
        <v>5000000</v>
      </c>
      <c r="ACJ47" s="57">
        <f t="shared" si="2526"/>
        <v>5000000</v>
      </c>
      <c r="ACK47" s="57">
        <f t="shared" si="2526"/>
        <v>5000000</v>
      </c>
      <c r="ACL47" s="57">
        <f t="shared" si="2526"/>
        <v>5000000</v>
      </c>
      <c r="ACM47" s="57">
        <f t="shared" si="2526"/>
        <v>5000000</v>
      </c>
      <c r="ACN47" s="57">
        <f t="shared" si="2526"/>
        <v>5000000</v>
      </c>
      <c r="ACO47" s="57">
        <f t="shared" si="2526"/>
        <v>5000000</v>
      </c>
      <c r="ACP47" s="57">
        <f t="shared" si="2526"/>
        <v>5000000</v>
      </c>
      <c r="ACQ47" s="57">
        <f t="shared" si="2526"/>
        <v>5000000</v>
      </c>
      <c r="ACR47" s="57">
        <f t="shared" ref="ACR47:AFC47" si="2527">$C47</f>
        <v>5000000</v>
      </c>
      <c r="ACS47" s="57">
        <f t="shared" si="2527"/>
        <v>5000000</v>
      </c>
      <c r="ACT47" s="57">
        <f t="shared" si="2527"/>
        <v>5000000</v>
      </c>
      <c r="ACU47" s="57">
        <f t="shared" si="2527"/>
        <v>5000000</v>
      </c>
      <c r="ACV47" s="57">
        <f t="shared" si="2527"/>
        <v>5000000</v>
      </c>
      <c r="ACW47" s="57">
        <f t="shared" si="2527"/>
        <v>5000000</v>
      </c>
      <c r="ACX47" s="57">
        <f t="shared" si="2527"/>
        <v>5000000</v>
      </c>
      <c r="ACY47" s="57">
        <f t="shared" si="2527"/>
        <v>5000000</v>
      </c>
      <c r="ACZ47" s="57">
        <f t="shared" si="2527"/>
        <v>5000000</v>
      </c>
      <c r="ADA47" s="57">
        <f t="shared" si="2527"/>
        <v>5000000</v>
      </c>
      <c r="ADB47" s="57">
        <f t="shared" si="2527"/>
        <v>5000000</v>
      </c>
      <c r="ADC47" s="57">
        <f t="shared" si="2527"/>
        <v>5000000</v>
      </c>
      <c r="ADD47" s="57">
        <f t="shared" si="2527"/>
        <v>5000000</v>
      </c>
      <c r="ADE47" s="57">
        <f t="shared" si="2527"/>
        <v>5000000</v>
      </c>
      <c r="ADF47" s="57">
        <f t="shared" si="2527"/>
        <v>5000000</v>
      </c>
      <c r="ADG47" s="57">
        <f t="shared" si="2527"/>
        <v>5000000</v>
      </c>
      <c r="ADH47" s="57">
        <f t="shared" si="2527"/>
        <v>5000000</v>
      </c>
      <c r="ADI47" s="57">
        <f t="shared" si="2527"/>
        <v>5000000</v>
      </c>
      <c r="ADJ47" s="57">
        <f t="shared" si="2527"/>
        <v>5000000</v>
      </c>
      <c r="ADK47" s="57">
        <f t="shared" si="2527"/>
        <v>5000000</v>
      </c>
      <c r="ADL47" s="57">
        <f t="shared" si="2527"/>
        <v>5000000</v>
      </c>
      <c r="ADM47" s="57">
        <f t="shared" si="2527"/>
        <v>5000000</v>
      </c>
      <c r="ADN47" s="57">
        <f t="shared" si="2527"/>
        <v>5000000</v>
      </c>
      <c r="ADO47" s="57">
        <f t="shared" si="2527"/>
        <v>5000000</v>
      </c>
      <c r="ADP47" s="57">
        <f t="shared" si="2527"/>
        <v>5000000</v>
      </c>
      <c r="ADQ47" s="57">
        <f t="shared" si="2527"/>
        <v>5000000</v>
      </c>
      <c r="ADR47" s="57">
        <f t="shared" si="2527"/>
        <v>5000000</v>
      </c>
      <c r="ADS47" s="57">
        <f t="shared" si="2527"/>
        <v>5000000</v>
      </c>
      <c r="ADT47" s="57">
        <f t="shared" si="2527"/>
        <v>5000000</v>
      </c>
      <c r="ADU47" s="57">
        <f t="shared" si="2527"/>
        <v>5000000</v>
      </c>
      <c r="ADV47" s="57">
        <f t="shared" si="2527"/>
        <v>5000000</v>
      </c>
      <c r="ADW47" s="57">
        <f t="shared" si="2527"/>
        <v>5000000</v>
      </c>
      <c r="ADX47" s="57">
        <f t="shared" si="2527"/>
        <v>5000000</v>
      </c>
      <c r="ADY47" s="57">
        <f t="shared" si="2527"/>
        <v>5000000</v>
      </c>
      <c r="ADZ47" s="57">
        <f t="shared" si="2527"/>
        <v>5000000</v>
      </c>
      <c r="AEA47" s="57">
        <f t="shared" si="2527"/>
        <v>5000000</v>
      </c>
      <c r="AEB47" s="57">
        <f t="shared" si="2527"/>
        <v>5000000</v>
      </c>
      <c r="AEC47" s="57">
        <f t="shared" si="2527"/>
        <v>5000000</v>
      </c>
      <c r="AED47" s="57">
        <f t="shared" si="2527"/>
        <v>5000000</v>
      </c>
      <c r="AEE47" s="57">
        <f t="shared" si="2527"/>
        <v>5000000</v>
      </c>
      <c r="AEF47" s="57">
        <f t="shared" si="2527"/>
        <v>5000000</v>
      </c>
      <c r="AEG47" s="57">
        <f t="shared" si="2527"/>
        <v>5000000</v>
      </c>
      <c r="AEH47" s="57">
        <f t="shared" si="2527"/>
        <v>5000000</v>
      </c>
      <c r="AEI47" s="57">
        <f t="shared" si="2527"/>
        <v>5000000</v>
      </c>
      <c r="AEJ47" s="57">
        <f t="shared" si="2527"/>
        <v>5000000</v>
      </c>
      <c r="AEK47" s="57">
        <f t="shared" si="2527"/>
        <v>5000000</v>
      </c>
      <c r="AEL47" s="57">
        <f t="shared" si="2527"/>
        <v>5000000</v>
      </c>
      <c r="AEM47" s="57">
        <f t="shared" si="2527"/>
        <v>5000000</v>
      </c>
      <c r="AEN47" s="57">
        <f t="shared" si="2527"/>
        <v>5000000</v>
      </c>
      <c r="AEO47" s="57">
        <f t="shared" si="2527"/>
        <v>5000000</v>
      </c>
      <c r="AEP47" s="57">
        <f t="shared" si="2527"/>
        <v>5000000</v>
      </c>
      <c r="AEQ47" s="57">
        <f t="shared" si="2527"/>
        <v>5000000</v>
      </c>
      <c r="AER47" s="57">
        <f t="shared" si="2527"/>
        <v>5000000</v>
      </c>
      <c r="AES47" s="57">
        <f t="shared" si="2527"/>
        <v>5000000</v>
      </c>
      <c r="AET47" s="57">
        <f t="shared" si="2527"/>
        <v>5000000</v>
      </c>
      <c r="AEU47" s="57">
        <f t="shared" si="2527"/>
        <v>5000000</v>
      </c>
      <c r="AEV47" s="57">
        <f t="shared" si="2527"/>
        <v>5000000</v>
      </c>
      <c r="AEW47" s="57">
        <f t="shared" si="2527"/>
        <v>5000000</v>
      </c>
      <c r="AEX47" s="57">
        <f t="shared" si="2527"/>
        <v>5000000</v>
      </c>
      <c r="AEY47" s="57">
        <f t="shared" si="2527"/>
        <v>5000000</v>
      </c>
      <c r="AEZ47" s="57">
        <f t="shared" si="2527"/>
        <v>5000000</v>
      </c>
      <c r="AFA47" s="57">
        <f t="shared" si="2527"/>
        <v>5000000</v>
      </c>
      <c r="AFB47" s="57">
        <f t="shared" si="2527"/>
        <v>5000000</v>
      </c>
      <c r="AFC47" s="57">
        <f t="shared" si="2527"/>
        <v>5000000</v>
      </c>
      <c r="AFD47" s="57">
        <f t="shared" ref="AFD47:AHO47" si="2528">$C47</f>
        <v>5000000</v>
      </c>
      <c r="AFE47" s="57">
        <f t="shared" si="2528"/>
        <v>5000000</v>
      </c>
      <c r="AFF47" s="57">
        <f t="shared" si="2528"/>
        <v>5000000</v>
      </c>
      <c r="AFG47" s="57">
        <f t="shared" si="2528"/>
        <v>5000000</v>
      </c>
      <c r="AFH47" s="57">
        <f t="shared" si="2528"/>
        <v>5000000</v>
      </c>
      <c r="AFI47" s="57">
        <f t="shared" si="2528"/>
        <v>5000000</v>
      </c>
      <c r="AFJ47" s="57">
        <f t="shared" si="2528"/>
        <v>5000000</v>
      </c>
      <c r="AFK47" s="57">
        <f t="shared" si="2528"/>
        <v>5000000</v>
      </c>
      <c r="AFL47" s="57">
        <f t="shared" si="2528"/>
        <v>5000000</v>
      </c>
      <c r="AFM47" s="57">
        <f t="shared" si="2528"/>
        <v>5000000</v>
      </c>
      <c r="AFN47" s="57">
        <f t="shared" si="2528"/>
        <v>5000000</v>
      </c>
      <c r="AFO47" s="57">
        <f t="shared" si="2528"/>
        <v>5000000</v>
      </c>
      <c r="AFP47" s="57">
        <f t="shared" si="2528"/>
        <v>5000000</v>
      </c>
      <c r="AFQ47" s="57">
        <f t="shared" si="2528"/>
        <v>5000000</v>
      </c>
      <c r="AFR47" s="57">
        <f t="shared" si="2528"/>
        <v>5000000</v>
      </c>
      <c r="AFS47" s="57">
        <f t="shared" si="2528"/>
        <v>5000000</v>
      </c>
      <c r="AFT47" s="57">
        <f t="shared" si="2528"/>
        <v>5000000</v>
      </c>
      <c r="AFU47" s="57">
        <f t="shared" si="2528"/>
        <v>5000000</v>
      </c>
      <c r="AFV47" s="57">
        <f t="shared" si="2528"/>
        <v>5000000</v>
      </c>
      <c r="AFW47" s="57">
        <f t="shared" si="2528"/>
        <v>5000000</v>
      </c>
      <c r="AFX47" s="57">
        <f t="shared" si="2528"/>
        <v>5000000</v>
      </c>
      <c r="AFY47" s="57">
        <f t="shared" si="2528"/>
        <v>5000000</v>
      </c>
      <c r="AFZ47" s="57">
        <f t="shared" si="2528"/>
        <v>5000000</v>
      </c>
      <c r="AGA47" s="57">
        <f t="shared" si="2528"/>
        <v>5000000</v>
      </c>
      <c r="AGB47" s="57">
        <f t="shared" si="2528"/>
        <v>5000000</v>
      </c>
      <c r="AGC47" s="57">
        <f t="shared" si="2528"/>
        <v>5000000</v>
      </c>
      <c r="AGD47" s="57">
        <f t="shared" si="2528"/>
        <v>5000000</v>
      </c>
      <c r="AGE47" s="57">
        <f t="shared" si="2528"/>
        <v>5000000</v>
      </c>
      <c r="AGF47" s="57">
        <f t="shared" si="2528"/>
        <v>5000000</v>
      </c>
      <c r="AGG47" s="57">
        <f t="shared" si="2528"/>
        <v>5000000</v>
      </c>
      <c r="AGH47" s="57">
        <f t="shared" si="2528"/>
        <v>5000000</v>
      </c>
      <c r="AGI47" s="57">
        <f t="shared" si="2528"/>
        <v>5000000</v>
      </c>
      <c r="AGJ47" s="57">
        <f t="shared" si="2528"/>
        <v>5000000</v>
      </c>
      <c r="AGK47" s="57">
        <f t="shared" si="2528"/>
        <v>5000000</v>
      </c>
      <c r="AGL47" s="57">
        <f t="shared" si="2528"/>
        <v>5000000</v>
      </c>
      <c r="AGM47" s="57">
        <f t="shared" si="2528"/>
        <v>5000000</v>
      </c>
      <c r="AGN47" s="57">
        <f t="shared" si="2528"/>
        <v>5000000</v>
      </c>
      <c r="AGO47" s="57">
        <f t="shared" si="2528"/>
        <v>5000000</v>
      </c>
      <c r="AGP47" s="57">
        <f t="shared" si="2528"/>
        <v>5000000</v>
      </c>
      <c r="AGQ47" s="57">
        <f t="shared" si="2528"/>
        <v>5000000</v>
      </c>
      <c r="AGR47" s="57">
        <f t="shared" si="2528"/>
        <v>5000000</v>
      </c>
      <c r="AGS47" s="57">
        <f t="shared" si="2528"/>
        <v>5000000</v>
      </c>
      <c r="AGT47" s="57">
        <f t="shared" si="2528"/>
        <v>5000000</v>
      </c>
      <c r="AGU47" s="57">
        <f t="shared" si="2528"/>
        <v>5000000</v>
      </c>
      <c r="AGV47" s="57">
        <f t="shared" si="2528"/>
        <v>5000000</v>
      </c>
      <c r="AGW47" s="57">
        <f t="shared" si="2528"/>
        <v>5000000</v>
      </c>
      <c r="AGX47" s="57">
        <f t="shared" si="2528"/>
        <v>5000000</v>
      </c>
      <c r="AGY47" s="57">
        <f t="shared" si="2528"/>
        <v>5000000</v>
      </c>
      <c r="AGZ47" s="57">
        <f t="shared" si="2528"/>
        <v>5000000</v>
      </c>
      <c r="AHA47" s="57">
        <f t="shared" si="2528"/>
        <v>5000000</v>
      </c>
      <c r="AHB47" s="57">
        <f t="shared" si="2528"/>
        <v>5000000</v>
      </c>
      <c r="AHC47" s="57">
        <f t="shared" si="2528"/>
        <v>5000000</v>
      </c>
      <c r="AHD47" s="57">
        <f t="shared" si="2528"/>
        <v>5000000</v>
      </c>
      <c r="AHE47" s="57">
        <f t="shared" si="2528"/>
        <v>5000000</v>
      </c>
      <c r="AHF47" s="57">
        <f t="shared" si="2528"/>
        <v>5000000</v>
      </c>
      <c r="AHG47" s="57">
        <f t="shared" si="2528"/>
        <v>5000000</v>
      </c>
      <c r="AHH47" s="57">
        <f t="shared" si="2528"/>
        <v>5000000</v>
      </c>
      <c r="AHI47" s="57">
        <f t="shared" si="2528"/>
        <v>5000000</v>
      </c>
      <c r="AHJ47" s="57">
        <f t="shared" si="2528"/>
        <v>5000000</v>
      </c>
      <c r="AHK47" s="57">
        <f t="shared" si="2528"/>
        <v>5000000</v>
      </c>
      <c r="AHL47" s="57">
        <f t="shared" si="2528"/>
        <v>5000000</v>
      </c>
      <c r="AHM47" s="57">
        <f t="shared" si="2528"/>
        <v>5000000</v>
      </c>
      <c r="AHN47" s="57">
        <f t="shared" si="2528"/>
        <v>5000000</v>
      </c>
      <c r="AHO47" s="57">
        <f t="shared" si="2528"/>
        <v>5000000</v>
      </c>
      <c r="AHP47" s="57">
        <f t="shared" ref="AHP47:AKA47" si="2529">$C47</f>
        <v>5000000</v>
      </c>
      <c r="AHQ47" s="57">
        <f t="shared" si="2529"/>
        <v>5000000</v>
      </c>
      <c r="AHR47" s="57">
        <f t="shared" si="2529"/>
        <v>5000000</v>
      </c>
      <c r="AHS47" s="57">
        <f t="shared" si="2529"/>
        <v>5000000</v>
      </c>
      <c r="AHT47" s="57">
        <f t="shared" si="2529"/>
        <v>5000000</v>
      </c>
      <c r="AHU47" s="57">
        <f t="shared" si="2529"/>
        <v>5000000</v>
      </c>
      <c r="AHV47" s="57">
        <f t="shared" si="2529"/>
        <v>5000000</v>
      </c>
      <c r="AHW47" s="57">
        <f t="shared" si="2529"/>
        <v>5000000</v>
      </c>
      <c r="AHX47" s="57">
        <f t="shared" si="2529"/>
        <v>5000000</v>
      </c>
      <c r="AHY47" s="57">
        <f t="shared" si="2529"/>
        <v>5000000</v>
      </c>
      <c r="AHZ47" s="57">
        <f t="shared" si="2529"/>
        <v>5000000</v>
      </c>
      <c r="AIA47" s="57">
        <f t="shared" si="2529"/>
        <v>5000000</v>
      </c>
      <c r="AIB47" s="57">
        <f t="shared" si="2529"/>
        <v>5000000</v>
      </c>
      <c r="AIC47" s="57">
        <f t="shared" si="2529"/>
        <v>5000000</v>
      </c>
      <c r="AID47" s="57">
        <f t="shared" si="2529"/>
        <v>5000000</v>
      </c>
      <c r="AIE47" s="57">
        <f t="shared" si="2529"/>
        <v>5000000</v>
      </c>
      <c r="AIF47" s="57">
        <f t="shared" si="2529"/>
        <v>5000000</v>
      </c>
      <c r="AIG47" s="57">
        <f t="shared" si="2529"/>
        <v>5000000</v>
      </c>
      <c r="AIH47" s="57">
        <f t="shared" si="2529"/>
        <v>5000000</v>
      </c>
      <c r="AII47" s="57">
        <f t="shared" si="2529"/>
        <v>5000000</v>
      </c>
      <c r="AIJ47" s="57">
        <f t="shared" si="2529"/>
        <v>5000000</v>
      </c>
      <c r="AIK47" s="57">
        <f t="shared" si="2529"/>
        <v>5000000</v>
      </c>
      <c r="AIL47" s="57">
        <f t="shared" si="2529"/>
        <v>5000000</v>
      </c>
      <c r="AIM47" s="57">
        <f t="shared" si="2529"/>
        <v>5000000</v>
      </c>
      <c r="AIN47" s="57">
        <f t="shared" si="2529"/>
        <v>5000000</v>
      </c>
      <c r="AIO47" s="57">
        <f t="shared" si="2529"/>
        <v>5000000</v>
      </c>
      <c r="AIP47" s="57">
        <f t="shared" si="2529"/>
        <v>5000000</v>
      </c>
      <c r="AIQ47" s="57">
        <f t="shared" si="2529"/>
        <v>5000000</v>
      </c>
      <c r="AIR47" s="57">
        <f t="shared" si="2529"/>
        <v>5000000</v>
      </c>
      <c r="AIS47" s="57">
        <f t="shared" si="2529"/>
        <v>5000000</v>
      </c>
      <c r="AIT47" s="57">
        <f t="shared" si="2529"/>
        <v>5000000</v>
      </c>
      <c r="AIU47" s="57">
        <f t="shared" si="2529"/>
        <v>5000000</v>
      </c>
      <c r="AIV47" s="57">
        <f t="shared" si="2529"/>
        <v>5000000</v>
      </c>
      <c r="AIW47" s="57">
        <f t="shared" si="2529"/>
        <v>5000000</v>
      </c>
      <c r="AIX47" s="57">
        <f t="shared" si="2529"/>
        <v>5000000</v>
      </c>
      <c r="AIY47" s="57">
        <f t="shared" si="2529"/>
        <v>5000000</v>
      </c>
      <c r="AIZ47" s="57">
        <f t="shared" si="2529"/>
        <v>5000000</v>
      </c>
      <c r="AJA47" s="57">
        <f t="shared" si="2529"/>
        <v>5000000</v>
      </c>
      <c r="AJB47" s="57">
        <f t="shared" si="2529"/>
        <v>5000000</v>
      </c>
      <c r="AJC47" s="57">
        <f t="shared" si="2529"/>
        <v>5000000</v>
      </c>
      <c r="AJD47" s="57">
        <f t="shared" si="2529"/>
        <v>5000000</v>
      </c>
      <c r="AJE47" s="57">
        <f t="shared" si="2529"/>
        <v>5000000</v>
      </c>
      <c r="AJF47" s="57">
        <f t="shared" si="2529"/>
        <v>5000000</v>
      </c>
      <c r="AJG47" s="57">
        <f t="shared" si="2529"/>
        <v>5000000</v>
      </c>
      <c r="AJH47" s="57">
        <f t="shared" si="2529"/>
        <v>5000000</v>
      </c>
      <c r="AJI47" s="57">
        <f t="shared" si="2529"/>
        <v>5000000</v>
      </c>
      <c r="AJJ47" s="57">
        <f t="shared" si="2529"/>
        <v>5000000</v>
      </c>
      <c r="AJK47" s="57">
        <f t="shared" si="2529"/>
        <v>5000000</v>
      </c>
      <c r="AJL47" s="57">
        <f t="shared" si="2529"/>
        <v>5000000</v>
      </c>
      <c r="AJM47" s="57">
        <f t="shared" si="2529"/>
        <v>5000000</v>
      </c>
      <c r="AJN47" s="57">
        <f t="shared" si="2529"/>
        <v>5000000</v>
      </c>
      <c r="AJO47" s="57">
        <f t="shared" si="2529"/>
        <v>5000000</v>
      </c>
      <c r="AJP47" s="57">
        <f t="shared" si="2529"/>
        <v>5000000</v>
      </c>
      <c r="AJQ47" s="57">
        <f t="shared" si="2529"/>
        <v>5000000</v>
      </c>
      <c r="AJR47" s="57">
        <f t="shared" si="2529"/>
        <v>5000000</v>
      </c>
      <c r="AJS47" s="57">
        <f t="shared" si="2529"/>
        <v>5000000</v>
      </c>
      <c r="AJT47" s="57">
        <f t="shared" si="2529"/>
        <v>5000000</v>
      </c>
      <c r="AJU47" s="57">
        <f t="shared" si="2529"/>
        <v>5000000</v>
      </c>
      <c r="AJV47" s="57">
        <f t="shared" si="2529"/>
        <v>5000000</v>
      </c>
      <c r="AJW47" s="57">
        <f t="shared" si="2529"/>
        <v>5000000</v>
      </c>
      <c r="AJX47" s="57">
        <f t="shared" si="2529"/>
        <v>5000000</v>
      </c>
      <c r="AJY47" s="57">
        <f t="shared" si="2529"/>
        <v>5000000</v>
      </c>
      <c r="AJZ47" s="57">
        <f t="shared" si="2529"/>
        <v>5000000</v>
      </c>
      <c r="AKA47" s="57">
        <f t="shared" si="2529"/>
        <v>5000000</v>
      </c>
      <c r="AKB47" s="57">
        <f t="shared" ref="AKB47:AMM47" si="2530">$C47</f>
        <v>5000000</v>
      </c>
      <c r="AKC47" s="57">
        <f t="shared" si="2530"/>
        <v>5000000</v>
      </c>
      <c r="AKD47" s="57">
        <f t="shared" si="2530"/>
        <v>5000000</v>
      </c>
      <c r="AKE47" s="57">
        <f t="shared" si="2530"/>
        <v>5000000</v>
      </c>
      <c r="AKF47" s="57">
        <f t="shared" si="2530"/>
        <v>5000000</v>
      </c>
      <c r="AKG47" s="57">
        <f t="shared" si="2530"/>
        <v>5000000</v>
      </c>
      <c r="AKH47" s="57">
        <f t="shared" si="2530"/>
        <v>5000000</v>
      </c>
      <c r="AKI47" s="57">
        <f t="shared" si="2530"/>
        <v>5000000</v>
      </c>
      <c r="AKJ47" s="57">
        <f t="shared" si="2530"/>
        <v>5000000</v>
      </c>
      <c r="AKK47" s="57">
        <f t="shared" si="2530"/>
        <v>5000000</v>
      </c>
      <c r="AKL47" s="57">
        <f t="shared" si="2530"/>
        <v>5000000</v>
      </c>
      <c r="AKM47" s="57">
        <f t="shared" si="2530"/>
        <v>5000000</v>
      </c>
      <c r="AKN47" s="57">
        <f t="shared" si="2530"/>
        <v>5000000</v>
      </c>
      <c r="AKO47" s="57">
        <f t="shared" si="2530"/>
        <v>5000000</v>
      </c>
      <c r="AKP47" s="57">
        <f t="shared" si="2530"/>
        <v>5000000</v>
      </c>
      <c r="AKQ47" s="57">
        <f t="shared" si="2530"/>
        <v>5000000</v>
      </c>
      <c r="AKR47" s="57">
        <f t="shared" si="2530"/>
        <v>5000000</v>
      </c>
      <c r="AKS47" s="57">
        <f t="shared" si="2530"/>
        <v>5000000</v>
      </c>
      <c r="AKT47" s="57">
        <f t="shared" si="2530"/>
        <v>5000000</v>
      </c>
      <c r="AKU47" s="57">
        <f t="shared" si="2530"/>
        <v>5000000</v>
      </c>
      <c r="AKV47" s="57">
        <f t="shared" si="2530"/>
        <v>5000000</v>
      </c>
      <c r="AKW47" s="57">
        <f t="shared" si="2530"/>
        <v>5000000</v>
      </c>
      <c r="AKX47" s="57">
        <f t="shared" si="2530"/>
        <v>5000000</v>
      </c>
      <c r="AKY47" s="57">
        <f t="shared" si="2530"/>
        <v>5000000</v>
      </c>
      <c r="AKZ47" s="57">
        <f t="shared" si="2530"/>
        <v>5000000</v>
      </c>
      <c r="ALA47" s="57">
        <f t="shared" si="2530"/>
        <v>5000000</v>
      </c>
      <c r="ALB47" s="57">
        <f t="shared" si="2530"/>
        <v>5000000</v>
      </c>
      <c r="ALC47" s="57">
        <f t="shared" si="2530"/>
        <v>5000000</v>
      </c>
      <c r="ALD47" s="57">
        <f t="shared" si="2530"/>
        <v>5000000</v>
      </c>
      <c r="ALE47" s="57">
        <f t="shared" si="2530"/>
        <v>5000000</v>
      </c>
      <c r="ALF47" s="57">
        <f t="shared" si="2530"/>
        <v>5000000</v>
      </c>
      <c r="ALG47" s="57">
        <f t="shared" si="2530"/>
        <v>5000000</v>
      </c>
      <c r="ALH47" s="57">
        <f t="shared" si="2530"/>
        <v>5000000</v>
      </c>
      <c r="ALI47" s="57">
        <f t="shared" si="2530"/>
        <v>5000000</v>
      </c>
      <c r="ALJ47" s="57">
        <f t="shared" si="2530"/>
        <v>5000000</v>
      </c>
      <c r="ALK47" s="57">
        <f t="shared" si="2530"/>
        <v>5000000</v>
      </c>
      <c r="ALL47" s="57">
        <f t="shared" si="2530"/>
        <v>5000000</v>
      </c>
      <c r="ALM47" s="57">
        <f t="shared" si="2530"/>
        <v>5000000</v>
      </c>
      <c r="ALN47" s="57">
        <f t="shared" si="2530"/>
        <v>5000000</v>
      </c>
      <c r="ALO47" s="57">
        <f t="shared" si="2530"/>
        <v>5000000</v>
      </c>
      <c r="ALP47" s="57">
        <f t="shared" si="2530"/>
        <v>5000000</v>
      </c>
      <c r="ALQ47" s="57">
        <f t="shared" si="2530"/>
        <v>5000000</v>
      </c>
      <c r="ALR47" s="57">
        <f t="shared" si="2530"/>
        <v>5000000</v>
      </c>
      <c r="ALS47" s="57">
        <f t="shared" si="2530"/>
        <v>5000000</v>
      </c>
      <c r="ALT47" s="57">
        <f t="shared" si="2530"/>
        <v>5000000</v>
      </c>
      <c r="ALU47" s="57">
        <f t="shared" si="2530"/>
        <v>5000000</v>
      </c>
      <c r="ALV47" s="57">
        <f t="shared" si="2530"/>
        <v>5000000</v>
      </c>
      <c r="ALW47" s="57">
        <f t="shared" si="2530"/>
        <v>5000000</v>
      </c>
      <c r="ALX47" s="57">
        <f t="shared" si="2530"/>
        <v>5000000</v>
      </c>
      <c r="ALY47" s="57">
        <f t="shared" si="2530"/>
        <v>5000000</v>
      </c>
      <c r="ALZ47" s="57">
        <f t="shared" si="2530"/>
        <v>5000000</v>
      </c>
      <c r="AMA47" s="57">
        <f t="shared" si="2530"/>
        <v>5000000</v>
      </c>
      <c r="AMB47" s="57">
        <f t="shared" si="2530"/>
        <v>5000000</v>
      </c>
      <c r="AMC47" s="57">
        <f t="shared" si="2530"/>
        <v>5000000</v>
      </c>
      <c r="AMD47" s="57">
        <f t="shared" si="2530"/>
        <v>5000000</v>
      </c>
      <c r="AME47" s="57">
        <f t="shared" si="2530"/>
        <v>5000000</v>
      </c>
      <c r="AMF47" s="57">
        <f t="shared" si="2530"/>
        <v>5000000</v>
      </c>
      <c r="AMG47" s="57">
        <f t="shared" si="2530"/>
        <v>5000000</v>
      </c>
      <c r="AMH47" s="57">
        <f t="shared" si="2530"/>
        <v>5000000</v>
      </c>
      <c r="AMI47" s="57">
        <f t="shared" si="2530"/>
        <v>5000000</v>
      </c>
      <c r="AMJ47" s="57">
        <f t="shared" si="2530"/>
        <v>5000000</v>
      </c>
      <c r="AMK47" s="57">
        <f t="shared" si="2530"/>
        <v>5000000</v>
      </c>
      <c r="AML47" s="57">
        <f t="shared" si="2530"/>
        <v>5000000</v>
      </c>
      <c r="AMM47" s="57">
        <f t="shared" si="2530"/>
        <v>5000000</v>
      </c>
      <c r="AMN47" s="57">
        <f t="shared" ref="AMN47:AOQ47" si="2531">$C47</f>
        <v>5000000</v>
      </c>
      <c r="AMO47" s="57">
        <f t="shared" si="2531"/>
        <v>5000000</v>
      </c>
      <c r="AMP47" s="57">
        <f t="shared" si="2531"/>
        <v>5000000</v>
      </c>
      <c r="AMQ47" s="57">
        <f t="shared" si="2531"/>
        <v>5000000</v>
      </c>
      <c r="AMR47" s="57">
        <f t="shared" si="2531"/>
        <v>5000000</v>
      </c>
      <c r="AMS47" s="57">
        <f t="shared" si="2531"/>
        <v>5000000</v>
      </c>
      <c r="AMT47" s="57">
        <f t="shared" si="2531"/>
        <v>5000000</v>
      </c>
      <c r="AMU47" s="57">
        <f t="shared" si="2531"/>
        <v>5000000</v>
      </c>
      <c r="AMV47" s="57">
        <f t="shared" si="2531"/>
        <v>5000000</v>
      </c>
      <c r="AMW47" s="57">
        <f t="shared" si="2531"/>
        <v>5000000</v>
      </c>
      <c r="AMX47" s="57">
        <f t="shared" si="2531"/>
        <v>5000000</v>
      </c>
      <c r="AMY47" s="57">
        <f t="shared" si="2531"/>
        <v>5000000</v>
      </c>
      <c r="AMZ47" s="57">
        <f t="shared" si="2531"/>
        <v>5000000</v>
      </c>
      <c r="ANA47" s="57">
        <f t="shared" si="2531"/>
        <v>5000000</v>
      </c>
      <c r="ANB47" s="57">
        <f t="shared" si="2531"/>
        <v>5000000</v>
      </c>
      <c r="ANC47" s="57">
        <f t="shared" si="2531"/>
        <v>5000000</v>
      </c>
      <c r="AND47" s="57">
        <f t="shared" si="2531"/>
        <v>5000000</v>
      </c>
      <c r="ANE47" s="57">
        <f t="shared" si="2531"/>
        <v>5000000</v>
      </c>
      <c r="ANF47" s="57">
        <f t="shared" si="2531"/>
        <v>5000000</v>
      </c>
      <c r="ANG47" s="57">
        <f t="shared" si="2531"/>
        <v>5000000</v>
      </c>
      <c r="ANH47" s="57">
        <f t="shared" si="2531"/>
        <v>5000000</v>
      </c>
      <c r="ANI47" s="57">
        <f t="shared" si="2531"/>
        <v>5000000</v>
      </c>
      <c r="ANJ47" s="57">
        <f t="shared" si="2531"/>
        <v>5000000</v>
      </c>
      <c r="ANK47" s="57">
        <f t="shared" si="2531"/>
        <v>5000000</v>
      </c>
      <c r="ANL47" s="57">
        <f t="shared" si="2531"/>
        <v>5000000</v>
      </c>
      <c r="ANM47" s="57">
        <f t="shared" si="2531"/>
        <v>5000000</v>
      </c>
      <c r="ANN47" s="57">
        <f t="shared" si="2531"/>
        <v>5000000</v>
      </c>
      <c r="ANO47" s="57">
        <f t="shared" si="2531"/>
        <v>5000000</v>
      </c>
      <c r="ANP47" s="57">
        <f t="shared" si="2531"/>
        <v>5000000</v>
      </c>
      <c r="ANQ47" s="57">
        <f t="shared" si="2531"/>
        <v>5000000</v>
      </c>
      <c r="ANR47" s="57">
        <f t="shared" si="2531"/>
        <v>5000000</v>
      </c>
      <c r="ANS47" s="57">
        <f t="shared" si="2531"/>
        <v>5000000</v>
      </c>
      <c r="ANT47" s="57">
        <f t="shared" si="2531"/>
        <v>5000000</v>
      </c>
      <c r="ANU47" s="57">
        <f t="shared" si="2531"/>
        <v>5000000</v>
      </c>
      <c r="ANV47" s="57">
        <f t="shared" si="2531"/>
        <v>5000000</v>
      </c>
      <c r="ANW47" s="57">
        <f t="shared" si="2531"/>
        <v>5000000</v>
      </c>
      <c r="ANX47" s="57">
        <f t="shared" si="2531"/>
        <v>5000000</v>
      </c>
      <c r="ANY47" s="57">
        <f t="shared" si="2531"/>
        <v>5000000</v>
      </c>
      <c r="ANZ47" s="57">
        <f t="shared" si="2531"/>
        <v>5000000</v>
      </c>
      <c r="AOA47" s="57">
        <f t="shared" si="2531"/>
        <v>5000000</v>
      </c>
      <c r="AOB47" s="57">
        <f t="shared" si="2531"/>
        <v>5000000</v>
      </c>
      <c r="AOC47" s="57">
        <f t="shared" si="2531"/>
        <v>5000000</v>
      </c>
      <c r="AOD47" s="57">
        <f t="shared" si="2531"/>
        <v>5000000</v>
      </c>
      <c r="AOE47" s="57">
        <f t="shared" si="2531"/>
        <v>5000000</v>
      </c>
      <c r="AOF47" s="57">
        <f t="shared" si="2531"/>
        <v>5000000</v>
      </c>
      <c r="AOG47" s="57">
        <f t="shared" si="2531"/>
        <v>5000000</v>
      </c>
      <c r="AOH47" s="57">
        <f t="shared" si="2531"/>
        <v>5000000</v>
      </c>
      <c r="AOI47" s="57">
        <f t="shared" si="2531"/>
        <v>5000000</v>
      </c>
      <c r="AOJ47" s="57">
        <f t="shared" si="2531"/>
        <v>5000000</v>
      </c>
      <c r="AOK47" s="57">
        <f t="shared" si="2531"/>
        <v>5000000</v>
      </c>
      <c r="AOL47" s="57">
        <f t="shared" si="2531"/>
        <v>5000000</v>
      </c>
      <c r="AOM47" s="57">
        <f t="shared" si="2531"/>
        <v>5000000</v>
      </c>
      <c r="AON47" s="57">
        <f t="shared" si="2531"/>
        <v>5000000</v>
      </c>
      <c r="AOO47" s="57">
        <f t="shared" si="2531"/>
        <v>5000000</v>
      </c>
      <c r="AOP47" s="57">
        <f t="shared" si="2531"/>
        <v>5000000</v>
      </c>
      <c r="AOQ47" s="57">
        <f t="shared" si="2531"/>
        <v>5000000</v>
      </c>
    </row>
    <row r="48" spans="1:1083" x14ac:dyDescent="0.25">
      <c r="B48" s="116" t="s">
        <v>292</v>
      </c>
      <c r="C48" s="115"/>
      <c r="D48" s="115">
        <f t="shared" ref="D48:BO48" si="2532">IF(D28+D35+D42&gt;0,C25-D28-D35-D42,0)</f>
        <v>0</v>
      </c>
      <c r="E48" s="115">
        <f t="shared" si="2532"/>
        <v>0</v>
      </c>
      <c r="F48" s="115">
        <f t="shared" si="2532"/>
        <v>0</v>
      </c>
      <c r="G48" s="115">
        <f t="shared" si="2532"/>
        <v>0</v>
      </c>
      <c r="H48" s="115">
        <f t="shared" si="2532"/>
        <v>0</v>
      </c>
      <c r="I48" s="115">
        <f t="shared" si="2532"/>
        <v>0</v>
      </c>
      <c r="J48" s="115">
        <f t="shared" si="2532"/>
        <v>0</v>
      </c>
      <c r="K48" s="115">
        <f t="shared" si="2532"/>
        <v>0</v>
      </c>
      <c r="L48" s="115">
        <f t="shared" si="2532"/>
        <v>0</v>
      </c>
      <c r="M48" s="115">
        <f t="shared" si="2532"/>
        <v>0</v>
      </c>
      <c r="N48" s="115">
        <f t="shared" si="2532"/>
        <v>0</v>
      </c>
      <c r="O48" s="115">
        <f t="shared" si="2532"/>
        <v>0</v>
      </c>
      <c r="P48" s="115">
        <f t="shared" si="2532"/>
        <v>0</v>
      </c>
      <c r="Q48" s="115">
        <f t="shared" si="2532"/>
        <v>0</v>
      </c>
      <c r="R48" s="115">
        <f t="shared" si="2532"/>
        <v>0</v>
      </c>
      <c r="S48" s="115">
        <f t="shared" si="2532"/>
        <v>0</v>
      </c>
      <c r="T48" s="115">
        <f t="shared" si="2532"/>
        <v>0</v>
      </c>
      <c r="U48" s="115">
        <f t="shared" si="2532"/>
        <v>0</v>
      </c>
      <c r="V48" s="115">
        <f t="shared" si="2532"/>
        <v>0</v>
      </c>
      <c r="W48" s="115">
        <f t="shared" si="2532"/>
        <v>0</v>
      </c>
      <c r="X48" s="115">
        <f t="shared" si="2532"/>
        <v>0</v>
      </c>
      <c r="Y48" s="115">
        <f t="shared" si="2532"/>
        <v>0</v>
      </c>
      <c r="Z48" s="115">
        <f t="shared" si="2532"/>
        <v>0</v>
      </c>
      <c r="AA48" s="115">
        <f t="shared" si="2532"/>
        <v>0</v>
      </c>
      <c r="AB48" s="115">
        <f t="shared" si="2532"/>
        <v>0</v>
      </c>
      <c r="AC48" s="115">
        <f t="shared" si="2532"/>
        <v>0</v>
      </c>
      <c r="AD48" s="115">
        <f t="shared" si="2532"/>
        <v>0</v>
      </c>
      <c r="AE48" s="115">
        <f t="shared" si="2532"/>
        <v>0</v>
      </c>
      <c r="AF48" s="115">
        <f t="shared" si="2532"/>
        <v>0</v>
      </c>
      <c r="AG48" s="115">
        <f t="shared" si="2532"/>
        <v>0</v>
      </c>
      <c r="AH48" s="115">
        <f t="shared" si="2532"/>
        <v>0</v>
      </c>
      <c r="AI48" s="115">
        <f t="shared" si="2532"/>
        <v>0</v>
      </c>
      <c r="AJ48" s="115">
        <f t="shared" si="2532"/>
        <v>0</v>
      </c>
      <c r="AK48" s="115">
        <f t="shared" si="2532"/>
        <v>0</v>
      </c>
      <c r="AL48" s="115">
        <f t="shared" si="2532"/>
        <v>0</v>
      </c>
      <c r="AM48" s="115">
        <f t="shared" si="2532"/>
        <v>0</v>
      </c>
      <c r="AN48" s="115">
        <f t="shared" si="2532"/>
        <v>0</v>
      </c>
      <c r="AO48" s="115">
        <f t="shared" si="2532"/>
        <v>0</v>
      </c>
      <c r="AP48" s="115">
        <f t="shared" si="2532"/>
        <v>0</v>
      </c>
      <c r="AQ48" s="115">
        <f t="shared" si="2532"/>
        <v>0</v>
      </c>
      <c r="AR48" s="115">
        <f t="shared" si="2532"/>
        <v>0</v>
      </c>
      <c r="AS48" s="115">
        <f t="shared" si="2532"/>
        <v>0</v>
      </c>
      <c r="AT48" s="115">
        <f t="shared" si="2532"/>
        <v>0</v>
      </c>
      <c r="AU48" s="115">
        <f t="shared" si="2532"/>
        <v>0</v>
      </c>
      <c r="AV48" s="115">
        <f t="shared" si="2532"/>
        <v>0</v>
      </c>
      <c r="AW48" s="115">
        <f t="shared" si="2532"/>
        <v>0</v>
      </c>
      <c r="AX48" s="115">
        <f t="shared" si="2532"/>
        <v>0</v>
      </c>
      <c r="AY48" s="115">
        <f t="shared" si="2532"/>
        <v>0</v>
      </c>
      <c r="AZ48" s="115">
        <f t="shared" si="2532"/>
        <v>0</v>
      </c>
      <c r="BA48" s="115">
        <f t="shared" si="2532"/>
        <v>0</v>
      </c>
      <c r="BB48" s="115">
        <f t="shared" si="2532"/>
        <v>0</v>
      </c>
      <c r="BC48" s="115">
        <f t="shared" si="2532"/>
        <v>0</v>
      </c>
      <c r="BD48" s="115">
        <f t="shared" si="2532"/>
        <v>0</v>
      </c>
      <c r="BE48" s="115">
        <f t="shared" si="2532"/>
        <v>0</v>
      </c>
      <c r="BF48" s="115">
        <f t="shared" si="2532"/>
        <v>0</v>
      </c>
      <c r="BG48" s="115">
        <f t="shared" si="2532"/>
        <v>0</v>
      </c>
      <c r="BH48" s="115">
        <f t="shared" si="2532"/>
        <v>0</v>
      </c>
      <c r="BI48" s="115">
        <f t="shared" si="2532"/>
        <v>0</v>
      </c>
      <c r="BJ48" s="115">
        <f t="shared" si="2532"/>
        <v>0</v>
      </c>
      <c r="BK48" s="115">
        <f t="shared" si="2532"/>
        <v>0</v>
      </c>
      <c r="BL48" s="115">
        <f t="shared" si="2532"/>
        <v>0</v>
      </c>
      <c r="BM48" s="115">
        <f t="shared" si="2532"/>
        <v>0</v>
      </c>
      <c r="BN48" s="115">
        <f t="shared" si="2532"/>
        <v>0</v>
      </c>
      <c r="BO48" s="115">
        <f t="shared" si="2532"/>
        <v>0</v>
      </c>
      <c r="BP48" s="115">
        <f t="shared" ref="BP48:EA48" si="2533">IF(BP28+BP35+BP42&gt;0,BO25-BP28-BP35-BP42,0)</f>
        <v>0</v>
      </c>
      <c r="BQ48" s="115">
        <f t="shared" si="2533"/>
        <v>0</v>
      </c>
      <c r="BR48" s="115">
        <f t="shared" si="2533"/>
        <v>0</v>
      </c>
      <c r="BS48" s="115">
        <f t="shared" si="2533"/>
        <v>0</v>
      </c>
      <c r="BT48" s="115">
        <f t="shared" si="2533"/>
        <v>0</v>
      </c>
      <c r="BU48" s="115">
        <f t="shared" si="2533"/>
        <v>0</v>
      </c>
      <c r="BV48" s="115">
        <f t="shared" si="2533"/>
        <v>0</v>
      </c>
      <c r="BW48" s="115">
        <f t="shared" si="2533"/>
        <v>0</v>
      </c>
      <c r="BX48" s="115">
        <f t="shared" si="2533"/>
        <v>0</v>
      </c>
      <c r="BY48" s="115">
        <f t="shared" si="2533"/>
        <v>0</v>
      </c>
      <c r="BZ48" s="115">
        <f t="shared" si="2533"/>
        <v>0</v>
      </c>
      <c r="CA48" s="115">
        <f t="shared" si="2533"/>
        <v>0</v>
      </c>
      <c r="CB48" s="115">
        <f t="shared" si="2533"/>
        <v>0</v>
      </c>
      <c r="CC48" s="115">
        <f t="shared" si="2533"/>
        <v>0</v>
      </c>
      <c r="CD48" s="115">
        <f t="shared" si="2533"/>
        <v>0</v>
      </c>
      <c r="CE48" s="115">
        <f t="shared" si="2533"/>
        <v>0</v>
      </c>
      <c r="CF48" s="115">
        <f t="shared" si="2533"/>
        <v>0</v>
      </c>
      <c r="CG48" s="115">
        <f t="shared" si="2533"/>
        <v>0</v>
      </c>
      <c r="CH48" s="115">
        <f t="shared" si="2533"/>
        <v>0</v>
      </c>
      <c r="CI48" s="115">
        <f t="shared" si="2533"/>
        <v>0</v>
      </c>
      <c r="CJ48" s="115">
        <f t="shared" si="2533"/>
        <v>0</v>
      </c>
      <c r="CK48" s="115">
        <f t="shared" si="2533"/>
        <v>0</v>
      </c>
      <c r="CL48" s="115">
        <f t="shared" si="2533"/>
        <v>0</v>
      </c>
      <c r="CM48" s="115">
        <f t="shared" si="2533"/>
        <v>0</v>
      </c>
      <c r="CN48" s="115">
        <f t="shared" si="2533"/>
        <v>0</v>
      </c>
      <c r="CO48" s="115">
        <f t="shared" si="2533"/>
        <v>0</v>
      </c>
      <c r="CP48" s="115">
        <f t="shared" si="2533"/>
        <v>0</v>
      </c>
      <c r="CQ48" s="115">
        <f t="shared" si="2533"/>
        <v>0</v>
      </c>
      <c r="CR48" s="115">
        <f t="shared" si="2533"/>
        <v>0</v>
      </c>
      <c r="CS48" s="115">
        <f t="shared" si="2533"/>
        <v>0</v>
      </c>
      <c r="CT48" s="115">
        <f t="shared" si="2533"/>
        <v>0</v>
      </c>
      <c r="CU48" s="115">
        <f t="shared" si="2533"/>
        <v>0</v>
      </c>
      <c r="CV48" s="115">
        <f t="shared" si="2533"/>
        <v>0</v>
      </c>
      <c r="CW48" s="115">
        <f t="shared" si="2533"/>
        <v>0</v>
      </c>
      <c r="CX48" s="115">
        <f t="shared" si="2533"/>
        <v>0</v>
      </c>
      <c r="CY48" s="115">
        <f t="shared" si="2533"/>
        <v>0</v>
      </c>
      <c r="CZ48" s="115">
        <f t="shared" si="2533"/>
        <v>0</v>
      </c>
      <c r="DA48" s="115">
        <f t="shared" si="2533"/>
        <v>0</v>
      </c>
      <c r="DB48" s="115">
        <f t="shared" si="2533"/>
        <v>0</v>
      </c>
      <c r="DC48" s="115">
        <f t="shared" si="2533"/>
        <v>0</v>
      </c>
      <c r="DD48" s="115">
        <f t="shared" si="2533"/>
        <v>0</v>
      </c>
      <c r="DE48" s="115">
        <f t="shared" si="2533"/>
        <v>0</v>
      </c>
      <c r="DF48" s="115">
        <f t="shared" si="2533"/>
        <v>0</v>
      </c>
      <c r="DG48" s="115">
        <f t="shared" si="2533"/>
        <v>0</v>
      </c>
      <c r="DH48" s="115">
        <f t="shared" si="2533"/>
        <v>0</v>
      </c>
      <c r="DI48" s="115">
        <f t="shared" si="2533"/>
        <v>0</v>
      </c>
      <c r="DJ48" s="115">
        <f t="shared" si="2533"/>
        <v>0</v>
      </c>
      <c r="DK48" s="115">
        <f t="shared" si="2533"/>
        <v>0</v>
      </c>
      <c r="DL48" s="115">
        <f t="shared" si="2533"/>
        <v>0</v>
      </c>
      <c r="DM48" s="115">
        <f t="shared" si="2533"/>
        <v>0</v>
      </c>
      <c r="DN48" s="115">
        <f t="shared" si="2533"/>
        <v>0</v>
      </c>
      <c r="DO48" s="115">
        <f t="shared" si="2533"/>
        <v>0</v>
      </c>
      <c r="DP48" s="115">
        <f t="shared" si="2533"/>
        <v>0</v>
      </c>
      <c r="DQ48" s="115">
        <f t="shared" si="2533"/>
        <v>0</v>
      </c>
      <c r="DR48" s="115">
        <f t="shared" si="2533"/>
        <v>0</v>
      </c>
      <c r="DS48" s="115">
        <f t="shared" si="2533"/>
        <v>0</v>
      </c>
      <c r="DT48" s="115">
        <f t="shared" si="2533"/>
        <v>0</v>
      </c>
      <c r="DU48" s="115">
        <f t="shared" si="2533"/>
        <v>0</v>
      </c>
      <c r="DV48" s="115">
        <f t="shared" si="2533"/>
        <v>0</v>
      </c>
      <c r="DW48" s="115">
        <f t="shared" si="2533"/>
        <v>0</v>
      </c>
      <c r="DX48" s="115">
        <f t="shared" si="2533"/>
        <v>0</v>
      </c>
      <c r="DY48" s="115">
        <f t="shared" si="2533"/>
        <v>0</v>
      </c>
      <c r="DZ48" s="115">
        <f t="shared" si="2533"/>
        <v>0</v>
      </c>
      <c r="EA48" s="115">
        <f t="shared" si="2533"/>
        <v>0</v>
      </c>
      <c r="EB48" s="115">
        <f t="shared" ref="EB48:GM48" si="2534">IF(EB28+EB35+EB42&gt;0,EA25-EB28-EB35-EB42,0)</f>
        <v>0</v>
      </c>
      <c r="EC48" s="115">
        <f t="shared" si="2534"/>
        <v>0</v>
      </c>
      <c r="ED48" s="115">
        <f t="shared" si="2534"/>
        <v>0</v>
      </c>
      <c r="EE48" s="115">
        <f t="shared" si="2534"/>
        <v>0</v>
      </c>
      <c r="EF48" s="115">
        <f t="shared" si="2534"/>
        <v>0</v>
      </c>
      <c r="EG48" s="115">
        <f t="shared" si="2534"/>
        <v>0</v>
      </c>
      <c r="EH48" s="115">
        <f t="shared" si="2534"/>
        <v>0</v>
      </c>
      <c r="EI48" s="115">
        <f t="shared" si="2534"/>
        <v>0</v>
      </c>
      <c r="EJ48" s="115">
        <f t="shared" si="2534"/>
        <v>0</v>
      </c>
      <c r="EK48" s="115">
        <f t="shared" si="2534"/>
        <v>0</v>
      </c>
      <c r="EL48" s="115">
        <f t="shared" si="2534"/>
        <v>0</v>
      </c>
      <c r="EM48" s="115">
        <f t="shared" si="2534"/>
        <v>0</v>
      </c>
      <c r="EN48" s="115">
        <f t="shared" si="2534"/>
        <v>0</v>
      </c>
      <c r="EO48" s="115">
        <f t="shared" si="2534"/>
        <v>0</v>
      </c>
      <c r="EP48" s="115">
        <f t="shared" si="2534"/>
        <v>0</v>
      </c>
      <c r="EQ48" s="115">
        <f t="shared" si="2534"/>
        <v>0</v>
      </c>
      <c r="ER48" s="115">
        <f t="shared" si="2534"/>
        <v>0</v>
      </c>
      <c r="ES48" s="115">
        <f t="shared" si="2534"/>
        <v>0</v>
      </c>
      <c r="ET48" s="115">
        <f t="shared" si="2534"/>
        <v>0</v>
      </c>
      <c r="EU48" s="115">
        <f t="shared" si="2534"/>
        <v>0</v>
      </c>
      <c r="EV48" s="115">
        <f t="shared" si="2534"/>
        <v>0</v>
      </c>
      <c r="EW48" s="115">
        <f t="shared" si="2534"/>
        <v>0</v>
      </c>
      <c r="EX48" s="115">
        <f t="shared" si="2534"/>
        <v>0</v>
      </c>
      <c r="EY48" s="115">
        <f t="shared" si="2534"/>
        <v>0</v>
      </c>
      <c r="EZ48" s="115">
        <f t="shared" si="2534"/>
        <v>0</v>
      </c>
      <c r="FA48" s="115">
        <f t="shared" si="2534"/>
        <v>0</v>
      </c>
      <c r="FB48" s="115">
        <f t="shared" si="2534"/>
        <v>0</v>
      </c>
      <c r="FC48" s="115">
        <f t="shared" si="2534"/>
        <v>0</v>
      </c>
      <c r="FD48" s="115">
        <f t="shared" si="2534"/>
        <v>0</v>
      </c>
      <c r="FE48" s="115">
        <f t="shared" si="2534"/>
        <v>0</v>
      </c>
      <c r="FF48" s="115">
        <f t="shared" si="2534"/>
        <v>0</v>
      </c>
      <c r="FG48" s="115">
        <f t="shared" si="2534"/>
        <v>0</v>
      </c>
      <c r="FH48" s="115">
        <f t="shared" si="2534"/>
        <v>0</v>
      </c>
      <c r="FI48" s="115">
        <f t="shared" si="2534"/>
        <v>0</v>
      </c>
      <c r="FJ48" s="115">
        <f t="shared" si="2534"/>
        <v>0</v>
      </c>
      <c r="FK48" s="115">
        <f t="shared" si="2534"/>
        <v>0</v>
      </c>
      <c r="FL48" s="115">
        <f t="shared" si="2534"/>
        <v>0</v>
      </c>
      <c r="FM48" s="115">
        <f t="shared" si="2534"/>
        <v>0</v>
      </c>
      <c r="FN48" s="115">
        <f t="shared" si="2534"/>
        <v>0</v>
      </c>
      <c r="FO48" s="115">
        <f t="shared" si="2534"/>
        <v>0</v>
      </c>
      <c r="FP48" s="115">
        <f t="shared" si="2534"/>
        <v>0</v>
      </c>
      <c r="FQ48" s="115">
        <f t="shared" si="2534"/>
        <v>0</v>
      </c>
      <c r="FR48" s="115">
        <f t="shared" si="2534"/>
        <v>0</v>
      </c>
      <c r="FS48" s="115">
        <f t="shared" si="2534"/>
        <v>0</v>
      </c>
      <c r="FT48" s="115">
        <f t="shared" si="2534"/>
        <v>0</v>
      </c>
      <c r="FU48" s="115">
        <f t="shared" si="2534"/>
        <v>0</v>
      </c>
      <c r="FV48" s="115">
        <f t="shared" si="2534"/>
        <v>0</v>
      </c>
      <c r="FW48" s="115">
        <f t="shared" si="2534"/>
        <v>0</v>
      </c>
      <c r="FX48" s="115">
        <f t="shared" si="2534"/>
        <v>0</v>
      </c>
      <c r="FY48" s="115">
        <f t="shared" si="2534"/>
        <v>0</v>
      </c>
      <c r="FZ48" s="115">
        <f t="shared" si="2534"/>
        <v>0</v>
      </c>
      <c r="GA48" s="115">
        <f t="shared" si="2534"/>
        <v>0</v>
      </c>
      <c r="GB48" s="115">
        <f t="shared" si="2534"/>
        <v>0</v>
      </c>
      <c r="GC48" s="115">
        <f t="shared" si="2534"/>
        <v>0</v>
      </c>
      <c r="GD48" s="115">
        <f t="shared" si="2534"/>
        <v>0</v>
      </c>
      <c r="GE48" s="115">
        <f t="shared" si="2534"/>
        <v>0</v>
      </c>
      <c r="GF48" s="115">
        <f t="shared" si="2534"/>
        <v>0</v>
      </c>
      <c r="GG48" s="115">
        <f t="shared" si="2534"/>
        <v>0</v>
      </c>
      <c r="GH48" s="115">
        <f t="shared" si="2534"/>
        <v>0</v>
      </c>
      <c r="GI48" s="115">
        <f t="shared" si="2534"/>
        <v>0</v>
      </c>
      <c r="GJ48" s="115">
        <f t="shared" si="2534"/>
        <v>0</v>
      </c>
      <c r="GK48" s="115">
        <f t="shared" si="2534"/>
        <v>0</v>
      </c>
      <c r="GL48" s="115">
        <f t="shared" si="2534"/>
        <v>0</v>
      </c>
      <c r="GM48" s="115">
        <f t="shared" si="2534"/>
        <v>0</v>
      </c>
      <c r="GN48" s="115">
        <f t="shared" ref="GN48:IY48" si="2535">IF(GN28+GN35+GN42&gt;0,GM25-GN28-GN35-GN42,0)</f>
        <v>0</v>
      </c>
      <c r="GO48" s="115">
        <f t="shared" si="2535"/>
        <v>0</v>
      </c>
      <c r="GP48" s="115">
        <f t="shared" si="2535"/>
        <v>0</v>
      </c>
      <c r="GQ48" s="115">
        <f t="shared" si="2535"/>
        <v>0</v>
      </c>
      <c r="GR48" s="115">
        <f t="shared" si="2535"/>
        <v>0</v>
      </c>
      <c r="GS48" s="115">
        <f t="shared" si="2535"/>
        <v>0</v>
      </c>
      <c r="GT48" s="115">
        <f t="shared" si="2535"/>
        <v>0</v>
      </c>
      <c r="GU48" s="115">
        <f t="shared" si="2535"/>
        <v>0</v>
      </c>
      <c r="GV48" s="115">
        <f t="shared" si="2535"/>
        <v>0</v>
      </c>
      <c r="GW48" s="115">
        <f t="shared" si="2535"/>
        <v>0</v>
      </c>
      <c r="GX48" s="115">
        <f t="shared" si="2535"/>
        <v>0</v>
      </c>
      <c r="GY48" s="115">
        <f t="shared" si="2535"/>
        <v>0</v>
      </c>
      <c r="GZ48" s="115">
        <f t="shared" si="2535"/>
        <v>0</v>
      </c>
      <c r="HA48" s="115">
        <f t="shared" si="2535"/>
        <v>0</v>
      </c>
      <c r="HB48" s="115">
        <f t="shared" si="2535"/>
        <v>0</v>
      </c>
      <c r="HC48" s="115">
        <f t="shared" si="2535"/>
        <v>0</v>
      </c>
      <c r="HD48" s="115">
        <f t="shared" si="2535"/>
        <v>0</v>
      </c>
      <c r="HE48" s="115">
        <f t="shared" si="2535"/>
        <v>0</v>
      </c>
      <c r="HF48" s="115">
        <f t="shared" si="2535"/>
        <v>0</v>
      </c>
      <c r="HG48" s="115">
        <f t="shared" si="2535"/>
        <v>0</v>
      </c>
      <c r="HH48" s="115">
        <f t="shared" si="2535"/>
        <v>0</v>
      </c>
      <c r="HI48" s="115">
        <f t="shared" si="2535"/>
        <v>0</v>
      </c>
      <c r="HJ48" s="115">
        <f t="shared" si="2535"/>
        <v>0</v>
      </c>
      <c r="HK48" s="115">
        <f t="shared" si="2535"/>
        <v>0</v>
      </c>
      <c r="HL48" s="115">
        <f t="shared" si="2535"/>
        <v>0</v>
      </c>
      <c r="HM48" s="115">
        <f t="shared" si="2535"/>
        <v>0</v>
      </c>
      <c r="HN48" s="115">
        <f t="shared" si="2535"/>
        <v>0</v>
      </c>
      <c r="HO48" s="115">
        <f t="shared" si="2535"/>
        <v>0</v>
      </c>
      <c r="HP48" s="115">
        <f t="shared" si="2535"/>
        <v>0</v>
      </c>
      <c r="HQ48" s="115">
        <f t="shared" si="2535"/>
        <v>0</v>
      </c>
      <c r="HR48" s="115">
        <f t="shared" si="2535"/>
        <v>0</v>
      </c>
      <c r="HS48" s="115">
        <f t="shared" si="2535"/>
        <v>0</v>
      </c>
      <c r="HT48" s="115">
        <f t="shared" si="2535"/>
        <v>0</v>
      </c>
      <c r="HU48" s="115">
        <f t="shared" si="2535"/>
        <v>0</v>
      </c>
      <c r="HV48" s="115">
        <f t="shared" si="2535"/>
        <v>0</v>
      </c>
      <c r="HW48" s="115">
        <f t="shared" si="2535"/>
        <v>0</v>
      </c>
      <c r="HX48" s="115">
        <f t="shared" si="2535"/>
        <v>0</v>
      </c>
      <c r="HY48" s="115">
        <f t="shared" si="2535"/>
        <v>0</v>
      </c>
      <c r="HZ48" s="115">
        <f t="shared" si="2535"/>
        <v>0</v>
      </c>
      <c r="IA48" s="115">
        <f t="shared" si="2535"/>
        <v>0</v>
      </c>
      <c r="IB48" s="115">
        <f t="shared" si="2535"/>
        <v>0</v>
      </c>
      <c r="IC48" s="115">
        <f t="shared" si="2535"/>
        <v>0</v>
      </c>
      <c r="ID48" s="115">
        <f t="shared" si="2535"/>
        <v>0</v>
      </c>
      <c r="IE48" s="115">
        <f t="shared" si="2535"/>
        <v>0</v>
      </c>
      <c r="IF48" s="115">
        <f t="shared" si="2535"/>
        <v>0</v>
      </c>
      <c r="IG48" s="115">
        <f t="shared" si="2535"/>
        <v>0</v>
      </c>
      <c r="IH48" s="115">
        <f t="shared" si="2535"/>
        <v>0</v>
      </c>
      <c r="II48" s="115">
        <f t="shared" si="2535"/>
        <v>0</v>
      </c>
      <c r="IJ48" s="115">
        <f t="shared" si="2535"/>
        <v>0</v>
      </c>
      <c r="IK48" s="115">
        <f t="shared" si="2535"/>
        <v>0</v>
      </c>
      <c r="IL48" s="115">
        <f t="shared" si="2535"/>
        <v>0</v>
      </c>
      <c r="IM48" s="115">
        <f t="shared" si="2535"/>
        <v>0</v>
      </c>
      <c r="IN48" s="115">
        <f t="shared" si="2535"/>
        <v>0</v>
      </c>
      <c r="IO48" s="115">
        <f t="shared" si="2535"/>
        <v>0</v>
      </c>
      <c r="IP48" s="115">
        <f t="shared" si="2535"/>
        <v>0</v>
      </c>
      <c r="IQ48" s="115">
        <f t="shared" si="2535"/>
        <v>0</v>
      </c>
      <c r="IR48" s="115">
        <f t="shared" si="2535"/>
        <v>0</v>
      </c>
      <c r="IS48" s="115">
        <f t="shared" si="2535"/>
        <v>0</v>
      </c>
      <c r="IT48" s="115">
        <f t="shared" si="2535"/>
        <v>0</v>
      </c>
      <c r="IU48" s="115">
        <f t="shared" si="2535"/>
        <v>0</v>
      </c>
      <c r="IV48" s="115">
        <f t="shared" si="2535"/>
        <v>0</v>
      </c>
      <c r="IW48" s="115">
        <f t="shared" si="2535"/>
        <v>0</v>
      </c>
      <c r="IX48" s="115">
        <f t="shared" si="2535"/>
        <v>0</v>
      </c>
      <c r="IY48" s="115">
        <f t="shared" si="2535"/>
        <v>0</v>
      </c>
      <c r="IZ48" s="115">
        <f t="shared" ref="IZ48:LK48" si="2536">IF(IZ28+IZ35+IZ42&gt;0,IY25-IZ28-IZ35-IZ42,0)</f>
        <v>0</v>
      </c>
      <c r="JA48" s="115">
        <f t="shared" si="2536"/>
        <v>0</v>
      </c>
      <c r="JB48" s="115">
        <f t="shared" si="2536"/>
        <v>0</v>
      </c>
      <c r="JC48" s="115">
        <f t="shared" si="2536"/>
        <v>0</v>
      </c>
      <c r="JD48" s="115">
        <f t="shared" si="2536"/>
        <v>0</v>
      </c>
      <c r="JE48" s="115">
        <f t="shared" si="2536"/>
        <v>0</v>
      </c>
      <c r="JF48" s="115">
        <f t="shared" si="2536"/>
        <v>0</v>
      </c>
      <c r="JG48" s="115">
        <f t="shared" si="2536"/>
        <v>0</v>
      </c>
      <c r="JH48" s="115">
        <f t="shared" si="2536"/>
        <v>0</v>
      </c>
      <c r="JI48" s="115">
        <f t="shared" si="2536"/>
        <v>0</v>
      </c>
      <c r="JJ48" s="115">
        <f t="shared" si="2536"/>
        <v>0</v>
      </c>
      <c r="JK48" s="115">
        <f t="shared" si="2536"/>
        <v>0</v>
      </c>
      <c r="JL48" s="115">
        <f t="shared" si="2536"/>
        <v>0</v>
      </c>
      <c r="JM48" s="115">
        <f t="shared" si="2536"/>
        <v>0</v>
      </c>
      <c r="JN48" s="115">
        <f t="shared" si="2536"/>
        <v>0</v>
      </c>
      <c r="JO48" s="115">
        <f t="shared" si="2536"/>
        <v>0</v>
      </c>
      <c r="JP48" s="115">
        <f t="shared" si="2536"/>
        <v>0</v>
      </c>
      <c r="JQ48" s="115">
        <f t="shared" si="2536"/>
        <v>0</v>
      </c>
      <c r="JR48" s="115">
        <f t="shared" si="2536"/>
        <v>0</v>
      </c>
      <c r="JS48" s="115">
        <f t="shared" si="2536"/>
        <v>0</v>
      </c>
      <c r="JT48" s="115">
        <f t="shared" si="2536"/>
        <v>0</v>
      </c>
      <c r="JU48" s="115">
        <f t="shared" si="2536"/>
        <v>0</v>
      </c>
      <c r="JV48" s="115">
        <f t="shared" si="2536"/>
        <v>0</v>
      </c>
      <c r="JW48" s="115">
        <f t="shared" si="2536"/>
        <v>0</v>
      </c>
      <c r="JX48" s="115">
        <f t="shared" si="2536"/>
        <v>0</v>
      </c>
      <c r="JY48" s="115">
        <f t="shared" si="2536"/>
        <v>0</v>
      </c>
      <c r="JZ48" s="115">
        <f t="shared" si="2536"/>
        <v>0</v>
      </c>
      <c r="KA48" s="115">
        <f t="shared" si="2536"/>
        <v>0</v>
      </c>
      <c r="KB48" s="115">
        <f t="shared" si="2536"/>
        <v>0</v>
      </c>
      <c r="KC48" s="115">
        <f t="shared" si="2536"/>
        <v>0</v>
      </c>
      <c r="KD48" s="115">
        <f t="shared" si="2536"/>
        <v>0</v>
      </c>
      <c r="KE48" s="115">
        <f t="shared" si="2536"/>
        <v>0</v>
      </c>
      <c r="KF48" s="115">
        <f t="shared" si="2536"/>
        <v>0</v>
      </c>
      <c r="KG48" s="115">
        <f t="shared" si="2536"/>
        <v>0</v>
      </c>
      <c r="KH48" s="115">
        <f t="shared" si="2536"/>
        <v>0</v>
      </c>
      <c r="KI48" s="115">
        <f t="shared" si="2536"/>
        <v>0</v>
      </c>
      <c r="KJ48" s="115">
        <f t="shared" si="2536"/>
        <v>0</v>
      </c>
      <c r="KK48" s="115">
        <f t="shared" si="2536"/>
        <v>0</v>
      </c>
      <c r="KL48" s="115">
        <f t="shared" si="2536"/>
        <v>0</v>
      </c>
      <c r="KM48" s="115">
        <f t="shared" si="2536"/>
        <v>0</v>
      </c>
      <c r="KN48" s="115">
        <f t="shared" si="2536"/>
        <v>0</v>
      </c>
      <c r="KO48" s="115">
        <f t="shared" si="2536"/>
        <v>0</v>
      </c>
      <c r="KP48" s="115">
        <f t="shared" si="2536"/>
        <v>0</v>
      </c>
      <c r="KQ48" s="115">
        <f t="shared" si="2536"/>
        <v>0</v>
      </c>
      <c r="KR48" s="115">
        <f t="shared" si="2536"/>
        <v>0</v>
      </c>
      <c r="KS48" s="115">
        <f t="shared" si="2536"/>
        <v>0</v>
      </c>
      <c r="KT48" s="115">
        <f t="shared" si="2536"/>
        <v>0</v>
      </c>
      <c r="KU48" s="115">
        <f t="shared" si="2536"/>
        <v>0</v>
      </c>
      <c r="KV48" s="115">
        <f t="shared" si="2536"/>
        <v>0</v>
      </c>
      <c r="KW48" s="115">
        <f t="shared" si="2536"/>
        <v>0</v>
      </c>
      <c r="KX48" s="115">
        <f t="shared" si="2536"/>
        <v>0</v>
      </c>
      <c r="KY48" s="115">
        <f t="shared" si="2536"/>
        <v>0</v>
      </c>
      <c r="KZ48" s="115">
        <f t="shared" si="2536"/>
        <v>0</v>
      </c>
      <c r="LA48" s="115">
        <f t="shared" si="2536"/>
        <v>0</v>
      </c>
      <c r="LB48" s="115">
        <f t="shared" si="2536"/>
        <v>0</v>
      </c>
      <c r="LC48" s="115">
        <f t="shared" si="2536"/>
        <v>0</v>
      </c>
      <c r="LD48" s="115">
        <f t="shared" si="2536"/>
        <v>0</v>
      </c>
      <c r="LE48" s="115">
        <f t="shared" si="2536"/>
        <v>0</v>
      </c>
      <c r="LF48" s="115">
        <f t="shared" si="2536"/>
        <v>0</v>
      </c>
      <c r="LG48" s="115">
        <f t="shared" si="2536"/>
        <v>0</v>
      </c>
      <c r="LH48" s="115">
        <f t="shared" si="2536"/>
        <v>0</v>
      </c>
      <c r="LI48" s="115">
        <f t="shared" si="2536"/>
        <v>0</v>
      </c>
      <c r="LJ48" s="115">
        <f t="shared" si="2536"/>
        <v>0</v>
      </c>
      <c r="LK48" s="115">
        <f t="shared" si="2536"/>
        <v>0</v>
      </c>
      <c r="LL48" s="115">
        <f t="shared" ref="LL48:NW48" si="2537">IF(LL28+LL35+LL42&gt;0,LK25-LL28-LL35-LL42,0)</f>
        <v>0</v>
      </c>
      <c r="LM48" s="115">
        <f t="shared" si="2537"/>
        <v>0</v>
      </c>
      <c r="LN48" s="115">
        <f t="shared" si="2537"/>
        <v>0</v>
      </c>
      <c r="LO48" s="115">
        <f t="shared" si="2537"/>
        <v>0</v>
      </c>
      <c r="LP48" s="115">
        <f t="shared" si="2537"/>
        <v>0</v>
      </c>
      <c r="LQ48" s="115">
        <f t="shared" si="2537"/>
        <v>0</v>
      </c>
      <c r="LR48" s="115">
        <f t="shared" si="2537"/>
        <v>0</v>
      </c>
      <c r="LS48" s="115">
        <f t="shared" si="2537"/>
        <v>0</v>
      </c>
      <c r="LT48" s="115">
        <f t="shared" si="2537"/>
        <v>0</v>
      </c>
      <c r="LU48" s="115">
        <f t="shared" si="2537"/>
        <v>0</v>
      </c>
      <c r="LV48" s="115">
        <f t="shared" si="2537"/>
        <v>0</v>
      </c>
      <c r="LW48" s="115">
        <f t="shared" si="2537"/>
        <v>0</v>
      </c>
      <c r="LX48" s="115">
        <f t="shared" si="2537"/>
        <v>0</v>
      </c>
      <c r="LY48" s="115">
        <f t="shared" si="2537"/>
        <v>0</v>
      </c>
      <c r="LZ48" s="115">
        <f t="shared" si="2537"/>
        <v>0</v>
      </c>
      <c r="MA48" s="115">
        <f t="shared" si="2537"/>
        <v>0</v>
      </c>
      <c r="MB48" s="115">
        <f t="shared" si="2537"/>
        <v>0</v>
      </c>
      <c r="MC48" s="115">
        <f t="shared" si="2537"/>
        <v>0</v>
      </c>
      <c r="MD48" s="115">
        <f t="shared" si="2537"/>
        <v>0</v>
      </c>
      <c r="ME48" s="115">
        <f t="shared" si="2537"/>
        <v>0</v>
      </c>
      <c r="MF48" s="115">
        <f t="shared" si="2537"/>
        <v>0</v>
      </c>
      <c r="MG48" s="115">
        <f t="shared" si="2537"/>
        <v>0</v>
      </c>
      <c r="MH48" s="115">
        <f t="shared" si="2537"/>
        <v>0</v>
      </c>
      <c r="MI48" s="115">
        <f t="shared" si="2537"/>
        <v>0</v>
      </c>
      <c r="MJ48" s="115">
        <f t="shared" si="2537"/>
        <v>0</v>
      </c>
      <c r="MK48" s="115">
        <f t="shared" si="2537"/>
        <v>0</v>
      </c>
      <c r="ML48" s="115">
        <f t="shared" si="2537"/>
        <v>0</v>
      </c>
      <c r="MM48" s="115">
        <f t="shared" si="2537"/>
        <v>0</v>
      </c>
      <c r="MN48" s="115">
        <f t="shared" si="2537"/>
        <v>0</v>
      </c>
      <c r="MO48" s="115">
        <f t="shared" si="2537"/>
        <v>0</v>
      </c>
      <c r="MP48" s="115">
        <f t="shared" si="2537"/>
        <v>0</v>
      </c>
      <c r="MQ48" s="115">
        <f t="shared" si="2537"/>
        <v>0</v>
      </c>
      <c r="MR48" s="115">
        <f t="shared" si="2537"/>
        <v>0</v>
      </c>
      <c r="MS48" s="115">
        <f t="shared" si="2537"/>
        <v>0</v>
      </c>
      <c r="MT48" s="115">
        <f t="shared" si="2537"/>
        <v>0</v>
      </c>
      <c r="MU48" s="115">
        <f t="shared" si="2537"/>
        <v>0</v>
      </c>
      <c r="MV48" s="115">
        <f t="shared" si="2537"/>
        <v>0</v>
      </c>
      <c r="MW48" s="115">
        <f t="shared" si="2537"/>
        <v>0</v>
      </c>
      <c r="MX48" s="115">
        <f t="shared" si="2537"/>
        <v>0</v>
      </c>
      <c r="MY48" s="115">
        <f t="shared" si="2537"/>
        <v>0</v>
      </c>
      <c r="MZ48" s="115">
        <f t="shared" si="2537"/>
        <v>0</v>
      </c>
      <c r="NA48" s="115">
        <f t="shared" si="2537"/>
        <v>0</v>
      </c>
      <c r="NB48" s="115">
        <f t="shared" si="2537"/>
        <v>0</v>
      </c>
      <c r="NC48" s="115">
        <f t="shared" si="2537"/>
        <v>0</v>
      </c>
      <c r="ND48" s="115">
        <f t="shared" si="2537"/>
        <v>0</v>
      </c>
      <c r="NE48" s="115">
        <f t="shared" si="2537"/>
        <v>0</v>
      </c>
      <c r="NF48" s="115">
        <f t="shared" si="2537"/>
        <v>0</v>
      </c>
      <c r="NG48" s="115">
        <f t="shared" si="2537"/>
        <v>0</v>
      </c>
      <c r="NH48" s="115">
        <f t="shared" si="2537"/>
        <v>0</v>
      </c>
      <c r="NI48" s="115">
        <f t="shared" si="2537"/>
        <v>0</v>
      </c>
      <c r="NJ48" s="115">
        <f t="shared" si="2537"/>
        <v>0</v>
      </c>
      <c r="NK48" s="115">
        <f t="shared" si="2537"/>
        <v>0</v>
      </c>
      <c r="NL48" s="115">
        <f t="shared" si="2537"/>
        <v>0</v>
      </c>
      <c r="NM48" s="115">
        <f t="shared" si="2537"/>
        <v>0</v>
      </c>
      <c r="NN48" s="115">
        <f t="shared" si="2537"/>
        <v>0</v>
      </c>
      <c r="NO48" s="115">
        <f t="shared" si="2537"/>
        <v>0</v>
      </c>
      <c r="NP48" s="115">
        <f t="shared" si="2537"/>
        <v>0</v>
      </c>
      <c r="NQ48" s="115">
        <f t="shared" si="2537"/>
        <v>0</v>
      </c>
      <c r="NR48" s="115">
        <f t="shared" si="2537"/>
        <v>0</v>
      </c>
      <c r="NS48" s="115">
        <f t="shared" si="2537"/>
        <v>0</v>
      </c>
      <c r="NT48" s="115">
        <f t="shared" si="2537"/>
        <v>0</v>
      </c>
      <c r="NU48" s="115">
        <f t="shared" si="2537"/>
        <v>0</v>
      </c>
      <c r="NV48" s="115">
        <f t="shared" si="2537"/>
        <v>0</v>
      </c>
      <c r="NW48" s="115">
        <f t="shared" si="2537"/>
        <v>0</v>
      </c>
      <c r="NX48" s="115">
        <f t="shared" ref="NX48:QI48" si="2538">IF(NX28+NX35+NX42&gt;0,NW25-NX28-NX35-NX42,0)</f>
        <v>0</v>
      </c>
      <c r="NY48" s="115">
        <f t="shared" si="2538"/>
        <v>0</v>
      </c>
      <c r="NZ48" s="115">
        <f t="shared" si="2538"/>
        <v>0</v>
      </c>
      <c r="OA48" s="115">
        <f t="shared" si="2538"/>
        <v>0</v>
      </c>
      <c r="OB48" s="115">
        <f t="shared" si="2538"/>
        <v>0</v>
      </c>
      <c r="OC48" s="115">
        <f t="shared" si="2538"/>
        <v>0</v>
      </c>
      <c r="OD48" s="115">
        <f t="shared" si="2538"/>
        <v>0</v>
      </c>
      <c r="OE48" s="115">
        <f t="shared" si="2538"/>
        <v>0</v>
      </c>
      <c r="OF48" s="115">
        <f t="shared" si="2538"/>
        <v>0</v>
      </c>
      <c r="OG48" s="115">
        <f t="shared" si="2538"/>
        <v>0</v>
      </c>
      <c r="OH48" s="115">
        <f t="shared" si="2538"/>
        <v>0</v>
      </c>
      <c r="OI48" s="115">
        <f t="shared" si="2538"/>
        <v>0</v>
      </c>
      <c r="OJ48" s="115">
        <f t="shared" si="2538"/>
        <v>0</v>
      </c>
      <c r="OK48" s="115">
        <f t="shared" si="2538"/>
        <v>0</v>
      </c>
      <c r="OL48" s="115">
        <f t="shared" si="2538"/>
        <v>0</v>
      </c>
      <c r="OM48" s="115">
        <f t="shared" si="2538"/>
        <v>0</v>
      </c>
      <c r="ON48" s="115">
        <f t="shared" si="2538"/>
        <v>0</v>
      </c>
      <c r="OO48" s="115">
        <f t="shared" si="2538"/>
        <v>0</v>
      </c>
      <c r="OP48" s="115">
        <f t="shared" si="2538"/>
        <v>0</v>
      </c>
      <c r="OQ48" s="115">
        <f t="shared" si="2538"/>
        <v>0</v>
      </c>
      <c r="OR48" s="115">
        <f t="shared" si="2538"/>
        <v>0</v>
      </c>
      <c r="OS48" s="115">
        <f t="shared" si="2538"/>
        <v>0</v>
      </c>
      <c r="OT48" s="115">
        <f t="shared" si="2538"/>
        <v>0</v>
      </c>
      <c r="OU48" s="115">
        <f t="shared" si="2538"/>
        <v>0</v>
      </c>
      <c r="OV48" s="115">
        <f t="shared" si="2538"/>
        <v>0</v>
      </c>
      <c r="OW48" s="115">
        <f t="shared" si="2538"/>
        <v>0</v>
      </c>
      <c r="OX48" s="115">
        <f t="shared" si="2538"/>
        <v>0</v>
      </c>
      <c r="OY48" s="115">
        <f t="shared" si="2538"/>
        <v>0</v>
      </c>
      <c r="OZ48" s="115">
        <f t="shared" si="2538"/>
        <v>0</v>
      </c>
      <c r="PA48" s="115">
        <f t="shared" si="2538"/>
        <v>0</v>
      </c>
      <c r="PB48" s="115">
        <f t="shared" si="2538"/>
        <v>0</v>
      </c>
      <c r="PC48" s="115">
        <f t="shared" si="2538"/>
        <v>0</v>
      </c>
      <c r="PD48" s="115">
        <f t="shared" si="2538"/>
        <v>0</v>
      </c>
      <c r="PE48" s="115">
        <f t="shared" si="2538"/>
        <v>0</v>
      </c>
      <c r="PF48" s="115">
        <f t="shared" si="2538"/>
        <v>0</v>
      </c>
      <c r="PG48" s="115">
        <f t="shared" si="2538"/>
        <v>0</v>
      </c>
      <c r="PH48" s="115">
        <f t="shared" si="2538"/>
        <v>0</v>
      </c>
      <c r="PI48" s="115">
        <f t="shared" si="2538"/>
        <v>0</v>
      </c>
      <c r="PJ48" s="115">
        <f t="shared" si="2538"/>
        <v>0</v>
      </c>
      <c r="PK48" s="115">
        <f t="shared" si="2538"/>
        <v>0</v>
      </c>
      <c r="PL48" s="115">
        <f t="shared" si="2538"/>
        <v>0</v>
      </c>
      <c r="PM48" s="115">
        <f t="shared" si="2538"/>
        <v>0</v>
      </c>
      <c r="PN48" s="115">
        <f t="shared" si="2538"/>
        <v>0</v>
      </c>
      <c r="PO48" s="115">
        <f t="shared" si="2538"/>
        <v>0</v>
      </c>
      <c r="PP48" s="115">
        <f t="shared" si="2538"/>
        <v>0</v>
      </c>
      <c r="PQ48" s="115">
        <f t="shared" si="2538"/>
        <v>0</v>
      </c>
      <c r="PR48" s="115">
        <f t="shared" si="2538"/>
        <v>0</v>
      </c>
      <c r="PS48" s="115">
        <f t="shared" si="2538"/>
        <v>0</v>
      </c>
      <c r="PT48" s="115">
        <f t="shared" si="2538"/>
        <v>0</v>
      </c>
      <c r="PU48" s="115">
        <f t="shared" si="2538"/>
        <v>0</v>
      </c>
      <c r="PV48" s="115">
        <f t="shared" si="2538"/>
        <v>0</v>
      </c>
      <c r="PW48" s="115">
        <f t="shared" si="2538"/>
        <v>0</v>
      </c>
      <c r="PX48" s="115">
        <f t="shared" si="2538"/>
        <v>0</v>
      </c>
      <c r="PY48" s="115">
        <f t="shared" si="2538"/>
        <v>0</v>
      </c>
      <c r="PZ48" s="115">
        <f t="shared" si="2538"/>
        <v>0</v>
      </c>
      <c r="QA48" s="115">
        <f t="shared" si="2538"/>
        <v>0</v>
      </c>
      <c r="QB48" s="115">
        <f t="shared" si="2538"/>
        <v>0</v>
      </c>
      <c r="QC48" s="115">
        <f t="shared" si="2538"/>
        <v>0</v>
      </c>
      <c r="QD48" s="115">
        <f t="shared" si="2538"/>
        <v>0</v>
      </c>
      <c r="QE48" s="115">
        <f t="shared" si="2538"/>
        <v>0</v>
      </c>
      <c r="QF48" s="115">
        <f t="shared" si="2538"/>
        <v>0</v>
      </c>
      <c r="QG48" s="115">
        <f t="shared" si="2538"/>
        <v>0</v>
      </c>
      <c r="QH48" s="115">
        <f t="shared" si="2538"/>
        <v>0</v>
      </c>
      <c r="QI48" s="115">
        <f t="shared" si="2538"/>
        <v>0</v>
      </c>
      <c r="QJ48" s="115">
        <f t="shared" ref="QJ48:SU48" si="2539">IF(QJ28+QJ35+QJ42&gt;0,QI25-QJ28-QJ35-QJ42,0)</f>
        <v>0</v>
      </c>
      <c r="QK48" s="115">
        <f t="shared" si="2539"/>
        <v>0</v>
      </c>
      <c r="QL48" s="115">
        <f t="shared" si="2539"/>
        <v>0</v>
      </c>
      <c r="QM48" s="115">
        <f t="shared" si="2539"/>
        <v>0</v>
      </c>
      <c r="QN48" s="115">
        <f t="shared" si="2539"/>
        <v>0</v>
      </c>
      <c r="QO48" s="115">
        <f t="shared" si="2539"/>
        <v>0</v>
      </c>
      <c r="QP48" s="115">
        <f t="shared" si="2539"/>
        <v>0</v>
      </c>
      <c r="QQ48" s="115">
        <f t="shared" si="2539"/>
        <v>0</v>
      </c>
      <c r="QR48" s="115">
        <f t="shared" si="2539"/>
        <v>0</v>
      </c>
      <c r="QS48" s="115">
        <f t="shared" si="2539"/>
        <v>0</v>
      </c>
      <c r="QT48" s="115">
        <f t="shared" si="2539"/>
        <v>0</v>
      </c>
      <c r="QU48" s="115">
        <f t="shared" si="2539"/>
        <v>0</v>
      </c>
      <c r="QV48" s="115">
        <f t="shared" si="2539"/>
        <v>0</v>
      </c>
      <c r="QW48" s="115">
        <f t="shared" si="2539"/>
        <v>0</v>
      </c>
      <c r="QX48" s="115">
        <f t="shared" si="2539"/>
        <v>0</v>
      </c>
      <c r="QY48" s="115">
        <f t="shared" si="2539"/>
        <v>0</v>
      </c>
      <c r="QZ48" s="115">
        <f t="shared" si="2539"/>
        <v>0</v>
      </c>
      <c r="RA48" s="115">
        <f t="shared" si="2539"/>
        <v>0</v>
      </c>
      <c r="RB48" s="115">
        <f t="shared" si="2539"/>
        <v>0</v>
      </c>
      <c r="RC48" s="115">
        <f t="shared" si="2539"/>
        <v>0</v>
      </c>
      <c r="RD48" s="115">
        <f t="shared" si="2539"/>
        <v>0</v>
      </c>
      <c r="RE48" s="115">
        <f t="shared" si="2539"/>
        <v>0</v>
      </c>
      <c r="RF48" s="115">
        <f t="shared" si="2539"/>
        <v>0</v>
      </c>
      <c r="RG48" s="115">
        <f t="shared" si="2539"/>
        <v>0</v>
      </c>
      <c r="RH48" s="115">
        <f t="shared" si="2539"/>
        <v>0</v>
      </c>
      <c r="RI48" s="115">
        <f t="shared" si="2539"/>
        <v>0</v>
      </c>
      <c r="RJ48" s="115">
        <f t="shared" si="2539"/>
        <v>0</v>
      </c>
      <c r="RK48" s="115">
        <f t="shared" si="2539"/>
        <v>0</v>
      </c>
      <c r="RL48" s="115">
        <f t="shared" si="2539"/>
        <v>0</v>
      </c>
      <c r="RM48" s="115">
        <f t="shared" si="2539"/>
        <v>0</v>
      </c>
      <c r="RN48" s="115">
        <f t="shared" si="2539"/>
        <v>0</v>
      </c>
      <c r="RO48" s="115">
        <f t="shared" si="2539"/>
        <v>0</v>
      </c>
      <c r="RP48" s="115">
        <f t="shared" si="2539"/>
        <v>0</v>
      </c>
      <c r="RQ48" s="115">
        <f t="shared" si="2539"/>
        <v>0</v>
      </c>
      <c r="RR48" s="115">
        <f t="shared" si="2539"/>
        <v>0</v>
      </c>
      <c r="RS48" s="115">
        <f t="shared" si="2539"/>
        <v>0</v>
      </c>
      <c r="RT48" s="115">
        <f t="shared" si="2539"/>
        <v>0</v>
      </c>
      <c r="RU48" s="115">
        <f t="shared" si="2539"/>
        <v>0</v>
      </c>
      <c r="RV48" s="115">
        <f t="shared" si="2539"/>
        <v>0</v>
      </c>
      <c r="RW48" s="115">
        <f t="shared" si="2539"/>
        <v>0</v>
      </c>
      <c r="RX48" s="115">
        <f t="shared" si="2539"/>
        <v>0</v>
      </c>
      <c r="RY48" s="115">
        <f t="shared" si="2539"/>
        <v>0</v>
      </c>
      <c r="RZ48" s="115">
        <f t="shared" si="2539"/>
        <v>0</v>
      </c>
      <c r="SA48" s="115">
        <f t="shared" si="2539"/>
        <v>0</v>
      </c>
      <c r="SB48" s="115">
        <f t="shared" si="2539"/>
        <v>0</v>
      </c>
      <c r="SC48" s="115">
        <f t="shared" si="2539"/>
        <v>0</v>
      </c>
      <c r="SD48" s="115">
        <f t="shared" si="2539"/>
        <v>0</v>
      </c>
      <c r="SE48" s="115">
        <f t="shared" si="2539"/>
        <v>0</v>
      </c>
      <c r="SF48" s="115">
        <f t="shared" si="2539"/>
        <v>0</v>
      </c>
      <c r="SG48" s="115">
        <f t="shared" si="2539"/>
        <v>0</v>
      </c>
      <c r="SH48" s="115">
        <f t="shared" si="2539"/>
        <v>0</v>
      </c>
      <c r="SI48" s="115">
        <f t="shared" si="2539"/>
        <v>0</v>
      </c>
      <c r="SJ48" s="115">
        <f t="shared" si="2539"/>
        <v>0</v>
      </c>
      <c r="SK48" s="115">
        <f t="shared" si="2539"/>
        <v>0</v>
      </c>
      <c r="SL48" s="115">
        <f t="shared" si="2539"/>
        <v>0</v>
      </c>
      <c r="SM48" s="115">
        <f t="shared" si="2539"/>
        <v>0</v>
      </c>
      <c r="SN48" s="115">
        <f t="shared" si="2539"/>
        <v>0</v>
      </c>
      <c r="SO48" s="115">
        <f t="shared" si="2539"/>
        <v>0</v>
      </c>
      <c r="SP48" s="115">
        <f t="shared" si="2539"/>
        <v>0</v>
      </c>
      <c r="SQ48" s="115">
        <f t="shared" si="2539"/>
        <v>0</v>
      </c>
      <c r="SR48" s="115">
        <f t="shared" si="2539"/>
        <v>0</v>
      </c>
      <c r="SS48" s="115">
        <f t="shared" si="2539"/>
        <v>0</v>
      </c>
      <c r="ST48" s="115">
        <f t="shared" si="2539"/>
        <v>0</v>
      </c>
      <c r="SU48" s="115">
        <f t="shared" si="2539"/>
        <v>0</v>
      </c>
      <c r="SV48" s="115">
        <f t="shared" ref="SV48:VG48" si="2540">IF(SV28+SV35+SV42&gt;0,SU25-SV28-SV35-SV42,0)</f>
        <v>0</v>
      </c>
      <c r="SW48" s="115">
        <f t="shared" si="2540"/>
        <v>0</v>
      </c>
      <c r="SX48" s="115">
        <f t="shared" si="2540"/>
        <v>0</v>
      </c>
      <c r="SY48" s="115">
        <f t="shared" si="2540"/>
        <v>0</v>
      </c>
      <c r="SZ48" s="115">
        <f t="shared" si="2540"/>
        <v>0</v>
      </c>
      <c r="TA48" s="115">
        <f t="shared" si="2540"/>
        <v>0</v>
      </c>
      <c r="TB48" s="115">
        <f t="shared" si="2540"/>
        <v>0</v>
      </c>
      <c r="TC48" s="115">
        <f t="shared" si="2540"/>
        <v>0</v>
      </c>
      <c r="TD48" s="115">
        <f t="shared" si="2540"/>
        <v>0</v>
      </c>
      <c r="TE48" s="115">
        <f t="shared" si="2540"/>
        <v>0</v>
      </c>
      <c r="TF48" s="115">
        <f t="shared" si="2540"/>
        <v>0</v>
      </c>
      <c r="TG48" s="115">
        <f t="shared" si="2540"/>
        <v>0</v>
      </c>
      <c r="TH48" s="115">
        <f t="shared" si="2540"/>
        <v>0</v>
      </c>
      <c r="TI48" s="115">
        <f t="shared" si="2540"/>
        <v>0</v>
      </c>
      <c r="TJ48" s="115">
        <f t="shared" si="2540"/>
        <v>0</v>
      </c>
      <c r="TK48" s="115">
        <f t="shared" si="2540"/>
        <v>0</v>
      </c>
      <c r="TL48" s="115">
        <f t="shared" si="2540"/>
        <v>0</v>
      </c>
      <c r="TM48" s="115">
        <f t="shared" si="2540"/>
        <v>0</v>
      </c>
      <c r="TN48" s="115">
        <f t="shared" si="2540"/>
        <v>0</v>
      </c>
      <c r="TO48" s="115">
        <f t="shared" si="2540"/>
        <v>0</v>
      </c>
      <c r="TP48" s="115">
        <f t="shared" si="2540"/>
        <v>0</v>
      </c>
      <c r="TQ48" s="115">
        <f t="shared" si="2540"/>
        <v>0</v>
      </c>
      <c r="TR48" s="115">
        <f t="shared" si="2540"/>
        <v>0</v>
      </c>
      <c r="TS48" s="115">
        <f t="shared" si="2540"/>
        <v>0</v>
      </c>
      <c r="TT48" s="115">
        <f t="shared" si="2540"/>
        <v>0</v>
      </c>
      <c r="TU48" s="115">
        <f t="shared" si="2540"/>
        <v>0</v>
      </c>
      <c r="TV48" s="115">
        <f t="shared" si="2540"/>
        <v>0</v>
      </c>
      <c r="TW48" s="115">
        <f t="shared" si="2540"/>
        <v>0</v>
      </c>
      <c r="TX48" s="115">
        <f t="shared" si="2540"/>
        <v>0</v>
      </c>
      <c r="TY48" s="115">
        <f t="shared" si="2540"/>
        <v>0</v>
      </c>
      <c r="TZ48" s="115">
        <f t="shared" si="2540"/>
        <v>0</v>
      </c>
      <c r="UA48" s="115">
        <f t="shared" si="2540"/>
        <v>0</v>
      </c>
      <c r="UB48" s="115">
        <f t="shared" si="2540"/>
        <v>0</v>
      </c>
      <c r="UC48" s="115">
        <f t="shared" si="2540"/>
        <v>0</v>
      </c>
      <c r="UD48" s="115">
        <f t="shared" si="2540"/>
        <v>0</v>
      </c>
      <c r="UE48" s="115">
        <f t="shared" si="2540"/>
        <v>0</v>
      </c>
      <c r="UF48" s="115">
        <f t="shared" si="2540"/>
        <v>0</v>
      </c>
      <c r="UG48" s="115">
        <f t="shared" si="2540"/>
        <v>0</v>
      </c>
      <c r="UH48" s="115">
        <f t="shared" si="2540"/>
        <v>0</v>
      </c>
      <c r="UI48" s="115">
        <f t="shared" si="2540"/>
        <v>0</v>
      </c>
      <c r="UJ48" s="115">
        <f t="shared" si="2540"/>
        <v>0</v>
      </c>
      <c r="UK48" s="115">
        <f t="shared" si="2540"/>
        <v>0</v>
      </c>
      <c r="UL48" s="115">
        <f t="shared" si="2540"/>
        <v>0</v>
      </c>
      <c r="UM48" s="115">
        <f t="shared" si="2540"/>
        <v>0</v>
      </c>
      <c r="UN48" s="115">
        <f t="shared" si="2540"/>
        <v>0</v>
      </c>
      <c r="UO48" s="115">
        <f t="shared" si="2540"/>
        <v>0</v>
      </c>
      <c r="UP48" s="115">
        <f t="shared" si="2540"/>
        <v>0</v>
      </c>
      <c r="UQ48" s="115">
        <f t="shared" si="2540"/>
        <v>0</v>
      </c>
      <c r="UR48" s="115">
        <f t="shared" si="2540"/>
        <v>0</v>
      </c>
      <c r="US48" s="115">
        <f t="shared" si="2540"/>
        <v>0</v>
      </c>
      <c r="UT48" s="115">
        <f t="shared" si="2540"/>
        <v>0</v>
      </c>
      <c r="UU48" s="115">
        <f t="shared" si="2540"/>
        <v>0</v>
      </c>
      <c r="UV48" s="115">
        <f t="shared" si="2540"/>
        <v>0</v>
      </c>
      <c r="UW48" s="115">
        <f t="shared" si="2540"/>
        <v>0</v>
      </c>
      <c r="UX48" s="115">
        <f t="shared" si="2540"/>
        <v>0</v>
      </c>
      <c r="UY48" s="115">
        <f t="shared" si="2540"/>
        <v>0</v>
      </c>
      <c r="UZ48" s="115">
        <f t="shared" si="2540"/>
        <v>0</v>
      </c>
      <c r="VA48" s="115">
        <f t="shared" si="2540"/>
        <v>0</v>
      </c>
      <c r="VB48" s="115">
        <f t="shared" si="2540"/>
        <v>0</v>
      </c>
      <c r="VC48" s="115">
        <f t="shared" si="2540"/>
        <v>0</v>
      </c>
      <c r="VD48" s="115">
        <f t="shared" si="2540"/>
        <v>0</v>
      </c>
      <c r="VE48" s="115">
        <f t="shared" si="2540"/>
        <v>0</v>
      </c>
      <c r="VF48" s="115">
        <f t="shared" si="2540"/>
        <v>0</v>
      </c>
      <c r="VG48" s="115">
        <f t="shared" si="2540"/>
        <v>0</v>
      </c>
      <c r="VH48" s="115">
        <f t="shared" ref="VH48:XS48" si="2541">IF(VH28+VH35+VH42&gt;0,VG25-VH28-VH35-VH42,0)</f>
        <v>0</v>
      </c>
      <c r="VI48" s="115">
        <f t="shared" si="2541"/>
        <v>0</v>
      </c>
      <c r="VJ48" s="115">
        <f t="shared" si="2541"/>
        <v>0</v>
      </c>
      <c r="VK48" s="115">
        <f t="shared" si="2541"/>
        <v>0</v>
      </c>
      <c r="VL48" s="115">
        <f t="shared" si="2541"/>
        <v>0</v>
      </c>
      <c r="VM48" s="115">
        <f t="shared" si="2541"/>
        <v>0</v>
      </c>
      <c r="VN48" s="115">
        <f t="shared" si="2541"/>
        <v>0</v>
      </c>
      <c r="VO48" s="115">
        <f t="shared" si="2541"/>
        <v>0</v>
      </c>
      <c r="VP48" s="115">
        <f t="shared" si="2541"/>
        <v>0</v>
      </c>
      <c r="VQ48" s="115">
        <f t="shared" si="2541"/>
        <v>0</v>
      </c>
      <c r="VR48" s="115">
        <f t="shared" si="2541"/>
        <v>0</v>
      </c>
      <c r="VS48" s="115">
        <f t="shared" si="2541"/>
        <v>0</v>
      </c>
      <c r="VT48" s="115">
        <f t="shared" si="2541"/>
        <v>0</v>
      </c>
      <c r="VU48" s="115">
        <f t="shared" si="2541"/>
        <v>0</v>
      </c>
      <c r="VV48" s="115">
        <f t="shared" si="2541"/>
        <v>0</v>
      </c>
      <c r="VW48" s="115">
        <f t="shared" si="2541"/>
        <v>0</v>
      </c>
      <c r="VX48" s="115">
        <f t="shared" si="2541"/>
        <v>0</v>
      </c>
      <c r="VY48" s="115">
        <f t="shared" si="2541"/>
        <v>0</v>
      </c>
      <c r="VZ48" s="115">
        <f t="shared" si="2541"/>
        <v>0</v>
      </c>
      <c r="WA48" s="115">
        <f t="shared" si="2541"/>
        <v>0</v>
      </c>
      <c r="WB48" s="115">
        <f t="shared" si="2541"/>
        <v>0</v>
      </c>
      <c r="WC48" s="115">
        <f t="shared" si="2541"/>
        <v>0</v>
      </c>
      <c r="WD48" s="115">
        <f t="shared" si="2541"/>
        <v>0</v>
      </c>
      <c r="WE48" s="115">
        <f t="shared" si="2541"/>
        <v>0</v>
      </c>
      <c r="WF48" s="115">
        <f t="shared" si="2541"/>
        <v>0</v>
      </c>
      <c r="WG48" s="115">
        <f t="shared" si="2541"/>
        <v>0</v>
      </c>
      <c r="WH48" s="115">
        <f t="shared" si="2541"/>
        <v>0</v>
      </c>
      <c r="WI48" s="115">
        <f t="shared" si="2541"/>
        <v>0</v>
      </c>
      <c r="WJ48" s="115">
        <f t="shared" si="2541"/>
        <v>0</v>
      </c>
      <c r="WK48" s="115">
        <f t="shared" si="2541"/>
        <v>0</v>
      </c>
      <c r="WL48" s="115">
        <f t="shared" si="2541"/>
        <v>0</v>
      </c>
      <c r="WM48" s="115">
        <f t="shared" si="2541"/>
        <v>0</v>
      </c>
      <c r="WN48" s="115">
        <f t="shared" si="2541"/>
        <v>12881.428047016263</v>
      </c>
      <c r="WO48" s="115">
        <f t="shared" si="2541"/>
        <v>0</v>
      </c>
      <c r="WP48" s="115">
        <f t="shared" si="2541"/>
        <v>0</v>
      </c>
      <c r="WQ48" s="115">
        <f t="shared" si="2541"/>
        <v>0</v>
      </c>
      <c r="WR48" s="115">
        <f t="shared" si="2541"/>
        <v>0</v>
      </c>
      <c r="WS48" s="115">
        <f t="shared" si="2541"/>
        <v>0</v>
      </c>
      <c r="WT48" s="115">
        <f t="shared" si="2541"/>
        <v>0</v>
      </c>
      <c r="WU48" s="115">
        <f t="shared" si="2541"/>
        <v>0</v>
      </c>
      <c r="WV48" s="115">
        <f t="shared" si="2541"/>
        <v>0</v>
      </c>
      <c r="WW48" s="115">
        <f t="shared" si="2541"/>
        <v>0</v>
      </c>
      <c r="WX48" s="115">
        <f t="shared" si="2541"/>
        <v>0</v>
      </c>
      <c r="WY48" s="115">
        <f t="shared" si="2541"/>
        <v>0</v>
      </c>
      <c r="WZ48" s="115">
        <f t="shared" si="2541"/>
        <v>0</v>
      </c>
      <c r="XA48" s="115">
        <f t="shared" si="2541"/>
        <v>0</v>
      </c>
      <c r="XB48" s="115">
        <f t="shared" si="2541"/>
        <v>0</v>
      </c>
      <c r="XC48" s="115">
        <f t="shared" si="2541"/>
        <v>0</v>
      </c>
      <c r="XD48" s="115">
        <f t="shared" si="2541"/>
        <v>0</v>
      </c>
      <c r="XE48" s="115">
        <f t="shared" si="2541"/>
        <v>0</v>
      </c>
      <c r="XF48" s="115">
        <f t="shared" si="2541"/>
        <v>0</v>
      </c>
      <c r="XG48" s="115">
        <f t="shared" si="2541"/>
        <v>0</v>
      </c>
      <c r="XH48" s="115">
        <f t="shared" si="2541"/>
        <v>0</v>
      </c>
      <c r="XI48" s="115">
        <f t="shared" si="2541"/>
        <v>0</v>
      </c>
      <c r="XJ48" s="115">
        <f t="shared" si="2541"/>
        <v>0</v>
      </c>
      <c r="XK48" s="115">
        <f t="shared" si="2541"/>
        <v>0</v>
      </c>
      <c r="XL48" s="115">
        <f t="shared" si="2541"/>
        <v>0</v>
      </c>
      <c r="XM48" s="115">
        <f t="shared" si="2541"/>
        <v>0</v>
      </c>
      <c r="XN48" s="115">
        <f t="shared" si="2541"/>
        <v>0</v>
      </c>
      <c r="XO48" s="115">
        <f t="shared" si="2541"/>
        <v>0</v>
      </c>
      <c r="XP48" s="115">
        <f t="shared" si="2541"/>
        <v>0</v>
      </c>
      <c r="XQ48" s="115">
        <f t="shared" si="2541"/>
        <v>8591.0194999008672</v>
      </c>
      <c r="XR48" s="115">
        <f t="shared" si="2541"/>
        <v>0</v>
      </c>
      <c r="XS48" s="115">
        <f t="shared" si="2541"/>
        <v>0</v>
      </c>
      <c r="XT48" s="115">
        <f t="shared" ref="XT48:AAE48" si="2542">IF(XT28+XT35+XT42&gt;0,XS25-XT28-XT35-XT42,0)</f>
        <v>0</v>
      </c>
      <c r="XU48" s="115">
        <f t="shared" si="2542"/>
        <v>0</v>
      </c>
      <c r="XV48" s="115">
        <f t="shared" si="2542"/>
        <v>0</v>
      </c>
      <c r="XW48" s="115">
        <f t="shared" si="2542"/>
        <v>0</v>
      </c>
      <c r="XX48" s="115">
        <f t="shared" si="2542"/>
        <v>13991.84318154848</v>
      </c>
      <c r="XY48" s="115">
        <f t="shared" si="2542"/>
        <v>0</v>
      </c>
      <c r="XZ48" s="115">
        <f t="shared" si="2542"/>
        <v>0</v>
      </c>
      <c r="YA48" s="115">
        <f t="shared" si="2542"/>
        <v>0</v>
      </c>
      <c r="YB48" s="115">
        <f t="shared" si="2542"/>
        <v>0</v>
      </c>
      <c r="YC48" s="115">
        <f t="shared" si="2542"/>
        <v>0</v>
      </c>
      <c r="YD48" s="115">
        <f t="shared" si="2542"/>
        <v>0</v>
      </c>
      <c r="YE48" s="115">
        <f t="shared" si="2542"/>
        <v>0</v>
      </c>
      <c r="YF48" s="115">
        <f t="shared" si="2542"/>
        <v>0</v>
      </c>
      <c r="YG48" s="115">
        <f t="shared" si="2542"/>
        <v>0</v>
      </c>
      <c r="YH48" s="115">
        <f t="shared" si="2542"/>
        <v>0</v>
      </c>
      <c r="YI48" s="115">
        <f t="shared" si="2542"/>
        <v>0</v>
      </c>
      <c r="YJ48" s="115">
        <f t="shared" si="2542"/>
        <v>0</v>
      </c>
      <c r="YK48" s="115">
        <f t="shared" si="2542"/>
        <v>0</v>
      </c>
      <c r="YL48" s="115">
        <f t="shared" si="2542"/>
        <v>0</v>
      </c>
      <c r="YM48" s="115">
        <f t="shared" si="2542"/>
        <v>0</v>
      </c>
      <c r="YN48" s="115">
        <f t="shared" si="2542"/>
        <v>0</v>
      </c>
      <c r="YO48" s="115">
        <f t="shared" si="2542"/>
        <v>0</v>
      </c>
      <c r="YP48" s="115">
        <f t="shared" si="2542"/>
        <v>0</v>
      </c>
      <c r="YQ48" s="115">
        <f t="shared" si="2542"/>
        <v>0</v>
      </c>
      <c r="YR48" s="115">
        <f t="shared" si="2542"/>
        <v>0</v>
      </c>
      <c r="YS48" s="115">
        <f t="shared" si="2542"/>
        <v>0</v>
      </c>
      <c r="YT48" s="115">
        <f t="shared" si="2542"/>
        <v>0</v>
      </c>
      <c r="YU48" s="115">
        <f t="shared" si="2542"/>
        <v>0</v>
      </c>
      <c r="YV48" s="115">
        <f t="shared" si="2542"/>
        <v>0</v>
      </c>
      <c r="YW48" s="115">
        <f t="shared" si="2542"/>
        <v>0</v>
      </c>
      <c r="YX48" s="115">
        <f t="shared" si="2542"/>
        <v>0</v>
      </c>
      <c r="YY48" s="115">
        <f t="shared" si="2542"/>
        <v>0</v>
      </c>
      <c r="YZ48" s="115">
        <f t="shared" si="2542"/>
        <v>0</v>
      </c>
      <c r="ZA48" s="115">
        <f t="shared" si="2542"/>
        <v>0</v>
      </c>
      <c r="ZB48" s="115">
        <f t="shared" si="2542"/>
        <v>0</v>
      </c>
      <c r="ZC48" s="115">
        <f t="shared" si="2542"/>
        <v>0</v>
      </c>
      <c r="ZD48" s="115">
        <f t="shared" si="2542"/>
        <v>0</v>
      </c>
      <c r="ZE48" s="115">
        <f t="shared" si="2542"/>
        <v>0</v>
      </c>
      <c r="ZF48" s="115">
        <f t="shared" si="2542"/>
        <v>0</v>
      </c>
      <c r="ZG48" s="115">
        <f t="shared" si="2542"/>
        <v>0</v>
      </c>
      <c r="ZH48" s="115">
        <f t="shared" si="2542"/>
        <v>0</v>
      </c>
      <c r="ZI48" s="115">
        <f t="shared" si="2542"/>
        <v>0</v>
      </c>
      <c r="ZJ48" s="115">
        <f t="shared" si="2542"/>
        <v>0</v>
      </c>
      <c r="ZK48" s="115">
        <f t="shared" si="2542"/>
        <v>0</v>
      </c>
      <c r="ZL48" s="115">
        <f t="shared" si="2542"/>
        <v>0</v>
      </c>
      <c r="ZM48" s="115">
        <f t="shared" si="2542"/>
        <v>0</v>
      </c>
      <c r="ZN48" s="115">
        <f t="shared" si="2542"/>
        <v>0</v>
      </c>
      <c r="ZO48" s="115">
        <f t="shared" si="2542"/>
        <v>0</v>
      </c>
      <c r="ZP48" s="115">
        <f t="shared" si="2542"/>
        <v>0</v>
      </c>
      <c r="ZQ48" s="115">
        <f t="shared" si="2542"/>
        <v>0</v>
      </c>
      <c r="ZR48" s="115">
        <f t="shared" si="2542"/>
        <v>0</v>
      </c>
      <c r="ZS48" s="115">
        <f t="shared" si="2542"/>
        <v>0</v>
      </c>
      <c r="ZT48" s="115">
        <f t="shared" si="2542"/>
        <v>0</v>
      </c>
      <c r="ZU48" s="115">
        <f t="shared" si="2542"/>
        <v>0</v>
      </c>
      <c r="ZV48" s="115">
        <f t="shared" si="2542"/>
        <v>0</v>
      </c>
      <c r="ZW48" s="115">
        <f t="shared" si="2542"/>
        <v>0</v>
      </c>
      <c r="ZX48" s="115">
        <f t="shared" si="2542"/>
        <v>0</v>
      </c>
      <c r="ZY48" s="115">
        <f t="shared" si="2542"/>
        <v>0</v>
      </c>
      <c r="ZZ48" s="115">
        <f t="shared" si="2542"/>
        <v>0</v>
      </c>
      <c r="AAA48" s="115">
        <f t="shared" si="2542"/>
        <v>0</v>
      </c>
      <c r="AAB48" s="115">
        <f t="shared" si="2542"/>
        <v>0</v>
      </c>
      <c r="AAC48" s="115">
        <f t="shared" si="2542"/>
        <v>0</v>
      </c>
      <c r="AAD48" s="115">
        <f t="shared" si="2542"/>
        <v>0</v>
      </c>
      <c r="AAE48" s="115">
        <f t="shared" si="2542"/>
        <v>0</v>
      </c>
      <c r="AAF48" s="115">
        <f t="shared" ref="AAF48:ACQ48" si="2543">IF(AAF28+AAF35+AAF42&gt;0,AAE25-AAF28-AAF35-AAF42,0)</f>
        <v>0</v>
      </c>
      <c r="AAG48" s="115">
        <f t="shared" si="2543"/>
        <v>0</v>
      </c>
      <c r="AAH48" s="115">
        <f t="shared" si="2543"/>
        <v>0</v>
      </c>
      <c r="AAI48" s="115">
        <f t="shared" si="2543"/>
        <v>0</v>
      </c>
      <c r="AAJ48" s="115">
        <f t="shared" si="2543"/>
        <v>0</v>
      </c>
      <c r="AAK48" s="115">
        <f t="shared" si="2543"/>
        <v>0</v>
      </c>
      <c r="AAL48" s="115">
        <f t="shared" si="2543"/>
        <v>0</v>
      </c>
      <c r="AAM48" s="115">
        <f t="shared" si="2543"/>
        <v>0</v>
      </c>
      <c r="AAN48" s="115">
        <f t="shared" si="2543"/>
        <v>0</v>
      </c>
      <c r="AAO48" s="115">
        <f t="shared" si="2543"/>
        <v>0</v>
      </c>
      <c r="AAP48" s="115">
        <f t="shared" si="2543"/>
        <v>0</v>
      </c>
      <c r="AAQ48" s="115">
        <f t="shared" si="2543"/>
        <v>0</v>
      </c>
      <c r="AAR48" s="115">
        <f t="shared" si="2543"/>
        <v>0</v>
      </c>
      <c r="AAS48" s="115">
        <f t="shared" si="2543"/>
        <v>0</v>
      </c>
      <c r="AAT48" s="115">
        <f t="shared" si="2543"/>
        <v>0</v>
      </c>
      <c r="AAU48" s="115">
        <f t="shared" si="2543"/>
        <v>0</v>
      </c>
      <c r="AAV48" s="115">
        <f t="shared" si="2543"/>
        <v>0</v>
      </c>
      <c r="AAW48" s="115">
        <f t="shared" si="2543"/>
        <v>0</v>
      </c>
      <c r="AAX48" s="115">
        <f t="shared" si="2543"/>
        <v>0</v>
      </c>
      <c r="AAY48" s="115">
        <f t="shared" si="2543"/>
        <v>0</v>
      </c>
      <c r="AAZ48" s="115">
        <f t="shared" si="2543"/>
        <v>0</v>
      </c>
      <c r="ABA48" s="115">
        <f t="shared" si="2543"/>
        <v>0</v>
      </c>
      <c r="ABB48" s="115">
        <f t="shared" si="2543"/>
        <v>0</v>
      </c>
      <c r="ABC48" s="115">
        <f t="shared" si="2543"/>
        <v>0</v>
      </c>
      <c r="ABD48" s="115">
        <f t="shared" si="2543"/>
        <v>0</v>
      </c>
      <c r="ABE48" s="115">
        <f t="shared" si="2543"/>
        <v>0</v>
      </c>
      <c r="ABF48" s="115">
        <f t="shared" si="2543"/>
        <v>0</v>
      </c>
      <c r="ABG48" s="115">
        <f t="shared" si="2543"/>
        <v>0</v>
      </c>
      <c r="ABH48" s="115">
        <f t="shared" si="2543"/>
        <v>0</v>
      </c>
      <c r="ABI48" s="115">
        <f t="shared" si="2543"/>
        <v>0</v>
      </c>
      <c r="ABJ48" s="115">
        <f t="shared" si="2543"/>
        <v>0</v>
      </c>
      <c r="ABK48" s="115">
        <f t="shared" si="2543"/>
        <v>0</v>
      </c>
      <c r="ABL48" s="115">
        <f t="shared" si="2543"/>
        <v>0</v>
      </c>
      <c r="ABM48" s="115">
        <f t="shared" si="2543"/>
        <v>0</v>
      </c>
      <c r="ABN48" s="115">
        <f t="shared" si="2543"/>
        <v>0</v>
      </c>
      <c r="ABO48" s="115">
        <f t="shared" si="2543"/>
        <v>0</v>
      </c>
      <c r="ABP48" s="115">
        <f t="shared" si="2543"/>
        <v>0</v>
      </c>
      <c r="ABQ48" s="115">
        <f t="shared" si="2543"/>
        <v>0</v>
      </c>
      <c r="ABR48" s="115">
        <f t="shared" si="2543"/>
        <v>0</v>
      </c>
      <c r="ABS48" s="115">
        <f t="shared" si="2543"/>
        <v>0</v>
      </c>
      <c r="ABT48" s="115">
        <f t="shared" si="2543"/>
        <v>0</v>
      </c>
      <c r="ABU48" s="115">
        <f t="shared" si="2543"/>
        <v>0</v>
      </c>
      <c r="ABV48" s="115">
        <f t="shared" si="2543"/>
        <v>0</v>
      </c>
      <c r="ABW48" s="115">
        <f t="shared" si="2543"/>
        <v>0</v>
      </c>
      <c r="ABX48" s="115">
        <f t="shared" si="2543"/>
        <v>0</v>
      </c>
      <c r="ABY48" s="115">
        <f t="shared" si="2543"/>
        <v>0</v>
      </c>
      <c r="ABZ48" s="115">
        <f t="shared" si="2543"/>
        <v>0</v>
      </c>
      <c r="ACA48" s="115">
        <f t="shared" si="2543"/>
        <v>0</v>
      </c>
      <c r="ACB48" s="115">
        <f t="shared" si="2543"/>
        <v>0</v>
      </c>
      <c r="ACC48" s="115">
        <f t="shared" si="2543"/>
        <v>0</v>
      </c>
      <c r="ACD48" s="115">
        <f t="shared" si="2543"/>
        <v>0</v>
      </c>
      <c r="ACE48" s="115">
        <f t="shared" si="2543"/>
        <v>0</v>
      </c>
      <c r="ACF48" s="115">
        <f t="shared" si="2543"/>
        <v>0</v>
      </c>
      <c r="ACG48" s="115">
        <f t="shared" si="2543"/>
        <v>0</v>
      </c>
      <c r="ACH48" s="115">
        <f t="shared" si="2543"/>
        <v>0</v>
      </c>
      <c r="ACI48" s="115">
        <f t="shared" si="2543"/>
        <v>0</v>
      </c>
      <c r="ACJ48" s="115">
        <f t="shared" si="2543"/>
        <v>0</v>
      </c>
      <c r="ACK48" s="115">
        <f t="shared" si="2543"/>
        <v>0</v>
      </c>
      <c r="ACL48" s="115">
        <f t="shared" si="2543"/>
        <v>0</v>
      </c>
      <c r="ACM48" s="115">
        <f t="shared" si="2543"/>
        <v>0</v>
      </c>
      <c r="ACN48" s="115">
        <f t="shared" si="2543"/>
        <v>0</v>
      </c>
      <c r="ACO48" s="115">
        <f t="shared" si="2543"/>
        <v>0</v>
      </c>
      <c r="ACP48" s="115">
        <f t="shared" si="2543"/>
        <v>0</v>
      </c>
      <c r="ACQ48" s="115">
        <f t="shared" si="2543"/>
        <v>0</v>
      </c>
      <c r="ACR48" s="115">
        <f t="shared" ref="ACR48:AFC48" si="2544">IF(ACR28+ACR35+ACR42&gt;0,ACQ25-ACR28-ACR35-ACR42,0)</f>
        <v>0</v>
      </c>
      <c r="ACS48" s="115">
        <f t="shared" si="2544"/>
        <v>0</v>
      </c>
      <c r="ACT48" s="115">
        <f t="shared" si="2544"/>
        <v>0</v>
      </c>
      <c r="ACU48" s="115">
        <f t="shared" si="2544"/>
        <v>0</v>
      </c>
      <c r="ACV48" s="115">
        <f t="shared" si="2544"/>
        <v>0</v>
      </c>
      <c r="ACW48" s="115">
        <f t="shared" si="2544"/>
        <v>0</v>
      </c>
      <c r="ACX48" s="115">
        <f t="shared" si="2544"/>
        <v>0</v>
      </c>
      <c r="ACY48" s="115">
        <f t="shared" si="2544"/>
        <v>0</v>
      </c>
      <c r="ACZ48" s="115">
        <f t="shared" si="2544"/>
        <v>0</v>
      </c>
      <c r="ADA48" s="115">
        <f t="shared" si="2544"/>
        <v>0</v>
      </c>
      <c r="ADB48" s="115">
        <f t="shared" si="2544"/>
        <v>0</v>
      </c>
      <c r="ADC48" s="115">
        <f t="shared" si="2544"/>
        <v>0</v>
      </c>
      <c r="ADD48" s="115">
        <f t="shared" si="2544"/>
        <v>0</v>
      </c>
      <c r="ADE48" s="115">
        <f t="shared" si="2544"/>
        <v>0</v>
      </c>
      <c r="ADF48" s="115">
        <f t="shared" si="2544"/>
        <v>0</v>
      </c>
      <c r="ADG48" s="115">
        <f t="shared" si="2544"/>
        <v>0</v>
      </c>
      <c r="ADH48" s="115">
        <f t="shared" si="2544"/>
        <v>0</v>
      </c>
      <c r="ADI48" s="115">
        <f t="shared" si="2544"/>
        <v>0</v>
      </c>
      <c r="ADJ48" s="115">
        <f t="shared" si="2544"/>
        <v>0</v>
      </c>
      <c r="ADK48" s="115">
        <f t="shared" si="2544"/>
        <v>0</v>
      </c>
      <c r="ADL48" s="115">
        <f t="shared" si="2544"/>
        <v>0</v>
      </c>
      <c r="ADM48" s="115">
        <f t="shared" si="2544"/>
        <v>0</v>
      </c>
      <c r="ADN48" s="115">
        <f t="shared" si="2544"/>
        <v>0</v>
      </c>
      <c r="ADO48" s="115">
        <f t="shared" si="2544"/>
        <v>0</v>
      </c>
      <c r="ADP48" s="115">
        <f t="shared" si="2544"/>
        <v>0</v>
      </c>
      <c r="ADQ48" s="115">
        <f t="shared" si="2544"/>
        <v>0</v>
      </c>
      <c r="ADR48" s="115">
        <f t="shared" si="2544"/>
        <v>0</v>
      </c>
      <c r="ADS48" s="115">
        <f t="shared" si="2544"/>
        <v>0</v>
      </c>
      <c r="ADT48" s="115">
        <f t="shared" si="2544"/>
        <v>0</v>
      </c>
      <c r="ADU48" s="115">
        <f t="shared" si="2544"/>
        <v>0</v>
      </c>
      <c r="ADV48" s="115">
        <f t="shared" si="2544"/>
        <v>0</v>
      </c>
      <c r="ADW48" s="115">
        <f t="shared" si="2544"/>
        <v>0</v>
      </c>
      <c r="ADX48" s="115">
        <f t="shared" si="2544"/>
        <v>0</v>
      </c>
      <c r="ADY48" s="115">
        <f t="shared" si="2544"/>
        <v>0</v>
      </c>
      <c r="ADZ48" s="115">
        <f t="shared" si="2544"/>
        <v>0</v>
      </c>
      <c r="AEA48" s="115">
        <f t="shared" si="2544"/>
        <v>0</v>
      </c>
      <c r="AEB48" s="115">
        <f t="shared" si="2544"/>
        <v>0</v>
      </c>
      <c r="AEC48" s="115">
        <f t="shared" si="2544"/>
        <v>0</v>
      </c>
      <c r="AED48" s="115">
        <f t="shared" si="2544"/>
        <v>0</v>
      </c>
      <c r="AEE48" s="115">
        <f t="shared" si="2544"/>
        <v>0</v>
      </c>
      <c r="AEF48" s="115">
        <f t="shared" si="2544"/>
        <v>0</v>
      </c>
      <c r="AEG48" s="115">
        <f t="shared" si="2544"/>
        <v>0</v>
      </c>
      <c r="AEH48" s="115">
        <f t="shared" si="2544"/>
        <v>0</v>
      </c>
      <c r="AEI48" s="115">
        <f t="shared" si="2544"/>
        <v>0</v>
      </c>
      <c r="AEJ48" s="115">
        <f t="shared" si="2544"/>
        <v>0</v>
      </c>
      <c r="AEK48" s="115">
        <f t="shared" si="2544"/>
        <v>0</v>
      </c>
      <c r="AEL48" s="115">
        <f t="shared" si="2544"/>
        <v>0</v>
      </c>
      <c r="AEM48" s="115">
        <f t="shared" si="2544"/>
        <v>0</v>
      </c>
      <c r="AEN48" s="115">
        <f t="shared" si="2544"/>
        <v>0</v>
      </c>
      <c r="AEO48" s="115">
        <f t="shared" si="2544"/>
        <v>0</v>
      </c>
      <c r="AEP48" s="115">
        <f t="shared" si="2544"/>
        <v>0</v>
      </c>
      <c r="AEQ48" s="115">
        <f t="shared" si="2544"/>
        <v>0</v>
      </c>
      <c r="AER48" s="115">
        <f t="shared" si="2544"/>
        <v>0</v>
      </c>
      <c r="AES48" s="115">
        <f t="shared" si="2544"/>
        <v>0</v>
      </c>
      <c r="AET48" s="115">
        <f t="shared" si="2544"/>
        <v>0</v>
      </c>
      <c r="AEU48" s="115">
        <f t="shared" si="2544"/>
        <v>0</v>
      </c>
      <c r="AEV48" s="115">
        <f t="shared" si="2544"/>
        <v>0</v>
      </c>
      <c r="AEW48" s="115">
        <f t="shared" si="2544"/>
        <v>0</v>
      </c>
      <c r="AEX48" s="115">
        <f t="shared" si="2544"/>
        <v>0</v>
      </c>
      <c r="AEY48" s="115">
        <f t="shared" si="2544"/>
        <v>0</v>
      </c>
      <c r="AEZ48" s="115">
        <f t="shared" si="2544"/>
        <v>0</v>
      </c>
      <c r="AFA48" s="115">
        <f t="shared" si="2544"/>
        <v>0</v>
      </c>
      <c r="AFB48" s="115">
        <f t="shared" si="2544"/>
        <v>0</v>
      </c>
      <c r="AFC48" s="115">
        <f t="shared" si="2544"/>
        <v>0</v>
      </c>
      <c r="AFD48" s="115">
        <f t="shared" ref="AFD48:AHO48" si="2545">IF(AFD28+AFD35+AFD42&gt;0,AFC25-AFD28-AFD35-AFD42,0)</f>
        <v>0</v>
      </c>
      <c r="AFE48" s="115">
        <f t="shared" si="2545"/>
        <v>0</v>
      </c>
      <c r="AFF48" s="115">
        <f t="shared" si="2545"/>
        <v>0</v>
      </c>
      <c r="AFG48" s="115">
        <f t="shared" si="2545"/>
        <v>0</v>
      </c>
      <c r="AFH48" s="115">
        <f t="shared" si="2545"/>
        <v>0</v>
      </c>
      <c r="AFI48" s="115">
        <f t="shared" si="2545"/>
        <v>0</v>
      </c>
      <c r="AFJ48" s="115">
        <f t="shared" si="2545"/>
        <v>0</v>
      </c>
      <c r="AFK48" s="115">
        <f t="shared" si="2545"/>
        <v>0</v>
      </c>
      <c r="AFL48" s="115">
        <f t="shared" si="2545"/>
        <v>0</v>
      </c>
      <c r="AFM48" s="115">
        <f t="shared" si="2545"/>
        <v>0</v>
      </c>
      <c r="AFN48" s="115">
        <f t="shared" si="2545"/>
        <v>0</v>
      </c>
      <c r="AFO48" s="115">
        <f t="shared" si="2545"/>
        <v>0</v>
      </c>
      <c r="AFP48" s="115">
        <f t="shared" si="2545"/>
        <v>0</v>
      </c>
      <c r="AFQ48" s="115">
        <f t="shared" si="2545"/>
        <v>0</v>
      </c>
      <c r="AFR48" s="115">
        <f t="shared" si="2545"/>
        <v>0</v>
      </c>
      <c r="AFS48" s="115">
        <f t="shared" si="2545"/>
        <v>0</v>
      </c>
      <c r="AFT48" s="115">
        <f t="shared" si="2545"/>
        <v>0</v>
      </c>
      <c r="AFU48" s="115">
        <f t="shared" si="2545"/>
        <v>0</v>
      </c>
      <c r="AFV48" s="115">
        <f t="shared" si="2545"/>
        <v>0</v>
      </c>
      <c r="AFW48" s="115">
        <f t="shared" si="2545"/>
        <v>0</v>
      </c>
      <c r="AFX48" s="115">
        <f t="shared" si="2545"/>
        <v>0</v>
      </c>
      <c r="AFY48" s="115">
        <f t="shared" si="2545"/>
        <v>0</v>
      </c>
      <c r="AFZ48" s="115">
        <f t="shared" si="2545"/>
        <v>0</v>
      </c>
      <c r="AGA48" s="115">
        <f t="shared" si="2545"/>
        <v>0</v>
      </c>
      <c r="AGB48" s="115">
        <f t="shared" si="2545"/>
        <v>0</v>
      </c>
      <c r="AGC48" s="115">
        <f t="shared" si="2545"/>
        <v>0</v>
      </c>
      <c r="AGD48" s="115">
        <f t="shared" si="2545"/>
        <v>0</v>
      </c>
      <c r="AGE48" s="115">
        <f t="shared" si="2545"/>
        <v>0</v>
      </c>
      <c r="AGF48" s="115">
        <f t="shared" si="2545"/>
        <v>0</v>
      </c>
      <c r="AGG48" s="115">
        <f t="shared" si="2545"/>
        <v>0</v>
      </c>
      <c r="AGH48" s="115">
        <f t="shared" si="2545"/>
        <v>0</v>
      </c>
      <c r="AGI48" s="115">
        <f t="shared" si="2545"/>
        <v>0</v>
      </c>
      <c r="AGJ48" s="115">
        <f t="shared" si="2545"/>
        <v>0</v>
      </c>
      <c r="AGK48" s="115">
        <f t="shared" si="2545"/>
        <v>0</v>
      </c>
      <c r="AGL48" s="115">
        <f t="shared" si="2545"/>
        <v>0</v>
      </c>
      <c r="AGM48" s="115">
        <f t="shared" si="2545"/>
        <v>0</v>
      </c>
      <c r="AGN48" s="115">
        <f t="shared" si="2545"/>
        <v>0</v>
      </c>
      <c r="AGO48" s="115">
        <f t="shared" si="2545"/>
        <v>0</v>
      </c>
      <c r="AGP48" s="115">
        <f t="shared" si="2545"/>
        <v>0</v>
      </c>
      <c r="AGQ48" s="115">
        <f t="shared" si="2545"/>
        <v>0</v>
      </c>
      <c r="AGR48" s="115">
        <f t="shared" si="2545"/>
        <v>0</v>
      </c>
      <c r="AGS48" s="115">
        <f t="shared" si="2545"/>
        <v>0</v>
      </c>
      <c r="AGT48" s="115">
        <f t="shared" si="2545"/>
        <v>0</v>
      </c>
      <c r="AGU48" s="115">
        <f t="shared" si="2545"/>
        <v>0</v>
      </c>
      <c r="AGV48" s="115">
        <f t="shared" si="2545"/>
        <v>0</v>
      </c>
      <c r="AGW48" s="115">
        <f t="shared" si="2545"/>
        <v>0</v>
      </c>
      <c r="AGX48" s="115">
        <f t="shared" si="2545"/>
        <v>0</v>
      </c>
      <c r="AGY48" s="115">
        <f t="shared" si="2545"/>
        <v>0</v>
      </c>
      <c r="AGZ48" s="115">
        <f t="shared" si="2545"/>
        <v>0</v>
      </c>
      <c r="AHA48" s="115">
        <f t="shared" si="2545"/>
        <v>0</v>
      </c>
      <c r="AHB48" s="115">
        <f t="shared" si="2545"/>
        <v>0</v>
      </c>
      <c r="AHC48" s="115">
        <f t="shared" si="2545"/>
        <v>0</v>
      </c>
      <c r="AHD48" s="115">
        <f t="shared" si="2545"/>
        <v>0</v>
      </c>
      <c r="AHE48" s="115">
        <f t="shared" si="2545"/>
        <v>0</v>
      </c>
      <c r="AHF48" s="115">
        <f t="shared" si="2545"/>
        <v>0</v>
      </c>
      <c r="AHG48" s="115">
        <f t="shared" si="2545"/>
        <v>0</v>
      </c>
      <c r="AHH48" s="115">
        <f t="shared" si="2545"/>
        <v>0</v>
      </c>
      <c r="AHI48" s="115">
        <f t="shared" si="2545"/>
        <v>0</v>
      </c>
      <c r="AHJ48" s="115">
        <f t="shared" si="2545"/>
        <v>0</v>
      </c>
      <c r="AHK48" s="115">
        <f t="shared" si="2545"/>
        <v>0</v>
      </c>
      <c r="AHL48" s="115">
        <f t="shared" si="2545"/>
        <v>0</v>
      </c>
      <c r="AHM48" s="115">
        <f t="shared" si="2545"/>
        <v>0</v>
      </c>
      <c r="AHN48" s="115">
        <f t="shared" si="2545"/>
        <v>0</v>
      </c>
      <c r="AHO48" s="115">
        <f t="shared" si="2545"/>
        <v>0</v>
      </c>
      <c r="AHP48" s="115">
        <f t="shared" ref="AHP48:AKA48" si="2546">IF(AHP28+AHP35+AHP42&gt;0,AHO25-AHP28-AHP35-AHP42,0)</f>
        <v>0</v>
      </c>
      <c r="AHQ48" s="115">
        <f t="shared" si="2546"/>
        <v>0</v>
      </c>
      <c r="AHR48" s="115">
        <f t="shared" si="2546"/>
        <v>0</v>
      </c>
      <c r="AHS48" s="115">
        <f t="shared" si="2546"/>
        <v>0</v>
      </c>
      <c r="AHT48" s="115">
        <f t="shared" si="2546"/>
        <v>0</v>
      </c>
      <c r="AHU48" s="115">
        <f t="shared" si="2546"/>
        <v>0</v>
      </c>
      <c r="AHV48" s="115">
        <f t="shared" si="2546"/>
        <v>0</v>
      </c>
      <c r="AHW48" s="115">
        <f t="shared" si="2546"/>
        <v>0</v>
      </c>
      <c r="AHX48" s="115">
        <f t="shared" si="2546"/>
        <v>0</v>
      </c>
      <c r="AHY48" s="115">
        <f t="shared" si="2546"/>
        <v>0</v>
      </c>
      <c r="AHZ48" s="115">
        <f t="shared" si="2546"/>
        <v>0</v>
      </c>
      <c r="AIA48" s="115">
        <f t="shared" si="2546"/>
        <v>0</v>
      </c>
      <c r="AIB48" s="115">
        <f t="shared" si="2546"/>
        <v>0</v>
      </c>
      <c r="AIC48" s="115">
        <f t="shared" si="2546"/>
        <v>0</v>
      </c>
      <c r="AID48" s="115">
        <f t="shared" si="2546"/>
        <v>0</v>
      </c>
      <c r="AIE48" s="115">
        <f t="shared" si="2546"/>
        <v>0</v>
      </c>
      <c r="AIF48" s="115">
        <f t="shared" si="2546"/>
        <v>0</v>
      </c>
      <c r="AIG48" s="115">
        <f t="shared" si="2546"/>
        <v>0</v>
      </c>
      <c r="AIH48" s="115">
        <f t="shared" si="2546"/>
        <v>0</v>
      </c>
      <c r="AII48" s="115">
        <f t="shared" si="2546"/>
        <v>0</v>
      </c>
      <c r="AIJ48" s="115">
        <f t="shared" si="2546"/>
        <v>0</v>
      </c>
      <c r="AIK48" s="115">
        <f t="shared" si="2546"/>
        <v>0</v>
      </c>
      <c r="AIL48" s="115">
        <f t="shared" si="2546"/>
        <v>0</v>
      </c>
      <c r="AIM48" s="115">
        <f t="shared" si="2546"/>
        <v>0</v>
      </c>
      <c r="AIN48" s="115">
        <f t="shared" si="2546"/>
        <v>0</v>
      </c>
      <c r="AIO48" s="115">
        <f t="shared" si="2546"/>
        <v>0</v>
      </c>
      <c r="AIP48" s="115">
        <f t="shared" si="2546"/>
        <v>0</v>
      </c>
      <c r="AIQ48" s="115">
        <f t="shared" si="2546"/>
        <v>0</v>
      </c>
      <c r="AIR48" s="115">
        <f t="shared" si="2546"/>
        <v>0</v>
      </c>
      <c r="AIS48" s="115">
        <f t="shared" si="2546"/>
        <v>0</v>
      </c>
      <c r="AIT48" s="115">
        <f t="shared" si="2546"/>
        <v>0</v>
      </c>
      <c r="AIU48" s="115">
        <f t="shared" si="2546"/>
        <v>0</v>
      </c>
      <c r="AIV48" s="115">
        <f t="shared" si="2546"/>
        <v>0</v>
      </c>
      <c r="AIW48" s="115">
        <f t="shared" si="2546"/>
        <v>0</v>
      </c>
      <c r="AIX48" s="115">
        <f t="shared" si="2546"/>
        <v>0</v>
      </c>
      <c r="AIY48" s="115">
        <f t="shared" si="2546"/>
        <v>0</v>
      </c>
      <c r="AIZ48" s="115">
        <f t="shared" si="2546"/>
        <v>0</v>
      </c>
      <c r="AJA48" s="115">
        <f t="shared" si="2546"/>
        <v>0</v>
      </c>
      <c r="AJB48" s="115">
        <f t="shared" si="2546"/>
        <v>0</v>
      </c>
      <c r="AJC48" s="115">
        <f t="shared" si="2546"/>
        <v>0</v>
      </c>
      <c r="AJD48" s="115">
        <f t="shared" si="2546"/>
        <v>0</v>
      </c>
      <c r="AJE48" s="115">
        <f t="shared" si="2546"/>
        <v>0</v>
      </c>
      <c r="AJF48" s="115">
        <f t="shared" si="2546"/>
        <v>0</v>
      </c>
      <c r="AJG48" s="115">
        <f t="shared" si="2546"/>
        <v>0</v>
      </c>
      <c r="AJH48" s="115">
        <f t="shared" si="2546"/>
        <v>0</v>
      </c>
      <c r="AJI48" s="115">
        <f t="shared" si="2546"/>
        <v>0</v>
      </c>
      <c r="AJJ48" s="115">
        <f t="shared" si="2546"/>
        <v>0</v>
      </c>
      <c r="AJK48" s="115">
        <f t="shared" si="2546"/>
        <v>0</v>
      </c>
      <c r="AJL48" s="115">
        <f t="shared" si="2546"/>
        <v>0</v>
      </c>
      <c r="AJM48" s="115">
        <f t="shared" si="2546"/>
        <v>0</v>
      </c>
      <c r="AJN48" s="115">
        <f t="shared" si="2546"/>
        <v>0</v>
      </c>
      <c r="AJO48" s="115">
        <f t="shared" si="2546"/>
        <v>0</v>
      </c>
      <c r="AJP48" s="115">
        <f t="shared" si="2546"/>
        <v>0</v>
      </c>
      <c r="AJQ48" s="115">
        <f t="shared" si="2546"/>
        <v>0</v>
      </c>
      <c r="AJR48" s="115">
        <f t="shared" si="2546"/>
        <v>0</v>
      </c>
      <c r="AJS48" s="115">
        <f t="shared" si="2546"/>
        <v>0</v>
      </c>
      <c r="AJT48" s="115">
        <f t="shared" si="2546"/>
        <v>0</v>
      </c>
      <c r="AJU48" s="115">
        <f t="shared" si="2546"/>
        <v>0</v>
      </c>
      <c r="AJV48" s="115">
        <f t="shared" si="2546"/>
        <v>0</v>
      </c>
      <c r="AJW48" s="115">
        <f t="shared" si="2546"/>
        <v>0</v>
      </c>
      <c r="AJX48" s="115">
        <f t="shared" si="2546"/>
        <v>0</v>
      </c>
      <c r="AJY48" s="115">
        <f t="shared" si="2546"/>
        <v>0</v>
      </c>
      <c r="AJZ48" s="115">
        <f t="shared" si="2546"/>
        <v>0</v>
      </c>
      <c r="AKA48" s="115">
        <f t="shared" si="2546"/>
        <v>0</v>
      </c>
      <c r="AKB48" s="115">
        <f t="shared" ref="AKB48:AMM48" si="2547">IF(AKB28+AKB35+AKB42&gt;0,AKA25-AKB28-AKB35-AKB42,0)</f>
        <v>0</v>
      </c>
      <c r="AKC48" s="115">
        <f t="shared" si="2547"/>
        <v>0</v>
      </c>
      <c r="AKD48" s="115">
        <f t="shared" si="2547"/>
        <v>0</v>
      </c>
      <c r="AKE48" s="115">
        <f t="shared" si="2547"/>
        <v>0</v>
      </c>
      <c r="AKF48" s="115">
        <f t="shared" si="2547"/>
        <v>0</v>
      </c>
      <c r="AKG48" s="115">
        <f t="shared" si="2547"/>
        <v>0</v>
      </c>
      <c r="AKH48" s="115">
        <f t="shared" si="2547"/>
        <v>0</v>
      </c>
      <c r="AKI48" s="115">
        <f t="shared" si="2547"/>
        <v>0</v>
      </c>
      <c r="AKJ48" s="115">
        <f t="shared" si="2547"/>
        <v>0</v>
      </c>
      <c r="AKK48" s="115">
        <f t="shared" si="2547"/>
        <v>0</v>
      </c>
      <c r="AKL48" s="115">
        <f t="shared" si="2547"/>
        <v>0</v>
      </c>
      <c r="AKM48" s="115">
        <f t="shared" si="2547"/>
        <v>0</v>
      </c>
      <c r="AKN48" s="115">
        <f t="shared" si="2547"/>
        <v>0</v>
      </c>
      <c r="AKO48" s="115">
        <f t="shared" si="2547"/>
        <v>0</v>
      </c>
      <c r="AKP48" s="115">
        <f t="shared" si="2547"/>
        <v>0</v>
      </c>
      <c r="AKQ48" s="115">
        <f t="shared" si="2547"/>
        <v>0</v>
      </c>
      <c r="AKR48" s="115">
        <f t="shared" si="2547"/>
        <v>0</v>
      </c>
      <c r="AKS48" s="115">
        <f t="shared" si="2547"/>
        <v>0</v>
      </c>
      <c r="AKT48" s="115">
        <f t="shared" si="2547"/>
        <v>0</v>
      </c>
      <c r="AKU48" s="115">
        <f t="shared" si="2547"/>
        <v>0</v>
      </c>
      <c r="AKV48" s="115">
        <f t="shared" si="2547"/>
        <v>0</v>
      </c>
      <c r="AKW48" s="115">
        <f t="shared" si="2547"/>
        <v>0</v>
      </c>
      <c r="AKX48" s="115">
        <f t="shared" si="2547"/>
        <v>0</v>
      </c>
      <c r="AKY48" s="115">
        <f t="shared" si="2547"/>
        <v>0</v>
      </c>
      <c r="AKZ48" s="115">
        <f t="shared" si="2547"/>
        <v>0</v>
      </c>
      <c r="ALA48" s="115">
        <f t="shared" si="2547"/>
        <v>0</v>
      </c>
      <c r="ALB48" s="115">
        <f t="shared" si="2547"/>
        <v>0</v>
      </c>
      <c r="ALC48" s="115">
        <f t="shared" si="2547"/>
        <v>0</v>
      </c>
      <c r="ALD48" s="115">
        <f t="shared" si="2547"/>
        <v>0</v>
      </c>
      <c r="ALE48" s="115">
        <f t="shared" si="2547"/>
        <v>0</v>
      </c>
      <c r="ALF48" s="115">
        <f t="shared" si="2547"/>
        <v>0</v>
      </c>
      <c r="ALG48" s="115">
        <f t="shared" si="2547"/>
        <v>0</v>
      </c>
      <c r="ALH48" s="115">
        <f t="shared" si="2547"/>
        <v>0</v>
      </c>
      <c r="ALI48" s="115">
        <f t="shared" si="2547"/>
        <v>0</v>
      </c>
      <c r="ALJ48" s="115">
        <f t="shared" si="2547"/>
        <v>0</v>
      </c>
      <c r="ALK48" s="115">
        <f t="shared" si="2547"/>
        <v>0</v>
      </c>
      <c r="ALL48" s="115">
        <f t="shared" si="2547"/>
        <v>0</v>
      </c>
      <c r="ALM48" s="115">
        <f t="shared" si="2547"/>
        <v>0</v>
      </c>
      <c r="ALN48" s="115">
        <f t="shared" si="2547"/>
        <v>0</v>
      </c>
      <c r="ALO48" s="115">
        <f t="shared" si="2547"/>
        <v>0</v>
      </c>
      <c r="ALP48" s="115">
        <f t="shared" si="2547"/>
        <v>0</v>
      </c>
      <c r="ALQ48" s="115">
        <f t="shared" si="2547"/>
        <v>0</v>
      </c>
      <c r="ALR48" s="115">
        <f t="shared" si="2547"/>
        <v>0</v>
      </c>
      <c r="ALS48" s="115">
        <f t="shared" si="2547"/>
        <v>0</v>
      </c>
      <c r="ALT48" s="115">
        <f t="shared" si="2547"/>
        <v>0</v>
      </c>
      <c r="ALU48" s="115">
        <f t="shared" si="2547"/>
        <v>0</v>
      </c>
      <c r="ALV48" s="115">
        <f t="shared" si="2547"/>
        <v>0</v>
      </c>
      <c r="ALW48" s="115">
        <f t="shared" si="2547"/>
        <v>0</v>
      </c>
      <c r="ALX48" s="115">
        <f t="shared" si="2547"/>
        <v>0</v>
      </c>
      <c r="ALY48" s="115">
        <f t="shared" si="2547"/>
        <v>0</v>
      </c>
      <c r="ALZ48" s="115">
        <f t="shared" si="2547"/>
        <v>0</v>
      </c>
      <c r="AMA48" s="115">
        <f t="shared" si="2547"/>
        <v>0</v>
      </c>
      <c r="AMB48" s="115">
        <f t="shared" si="2547"/>
        <v>0</v>
      </c>
      <c r="AMC48" s="115">
        <f t="shared" si="2547"/>
        <v>0</v>
      </c>
      <c r="AMD48" s="115">
        <f t="shared" si="2547"/>
        <v>0</v>
      </c>
      <c r="AME48" s="115">
        <f t="shared" si="2547"/>
        <v>0</v>
      </c>
      <c r="AMF48" s="115">
        <f t="shared" si="2547"/>
        <v>0</v>
      </c>
      <c r="AMG48" s="115">
        <f t="shared" si="2547"/>
        <v>0</v>
      </c>
      <c r="AMH48" s="115">
        <f t="shared" si="2547"/>
        <v>0</v>
      </c>
      <c r="AMI48" s="115">
        <f t="shared" si="2547"/>
        <v>0</v>
      </c>
      <c r="AMJ48" s="115">
        <f t="shared" si="2547"/>
        <v>0</v>
      </c>
      <c r="AMK48" s="115">
        <f t="shared" si="2547"/>
        <v>0</v>
      </c>
      <c r="AML48" s="115">
        <f t="shared" si="2547"/>
        <v>0</v>
      </c>
      <c r="AMM48" s="115">
        <f t="shared" si="2547"/>
        <v>0</v>
      </c>
      <c r="AMN48" s="115">
        <f t="shared" ref="AMN48:AOQ48" si="2548">IF(AMN28+AMN35+AMN42&gt;0,AMM25-AMN28-AMN35-AMN42,0)</f>
        <v>0</v>
      </c>
      <c r="AMO48" s="115">
        <f t="shared" si="2548"/>
        <v>0</v>
      </c>
      <c r="AMP48" s="115">
        <f t="shared" si="2548"/>
        <v>0</v>
      </c>
      <c r="AMQ48" s="115">
        <f t="shared" si="2548"/>
        <v>0</v>
      </c>
      <c r="AMR48" s="115">
        <f t="shared" si="2548"/>
        <v>0</v>
      </c>
      <c r="AMS48" s="115">
        <f t="shared" si="2548"/>
        <v>0</v>
      </c>
      <c r="AMT48" s="115">
        <f t="shared" si="2548"/>
        <v>0</v>
      </c>
      <c r="AMU48" s="115">
        <f t="shared" si="2548"/>
        <v>0</v>
      </c>
      <c r="AMV48" s="115">
        <f t="shared" si="2548"/>
        <v>0</v>
      </c>
      <c r="AMW48" s="115">
        <f t="shared" si="2548"/>
        <v>0</v>
      </c>
      <c r="AMX48" s="115">
        <f t="shared" si="2548"/>
        <v>0</v>
      </c>
      <c r="AMY48" s="115">
        <f t="shared" si="2548"/>
        <v>0</v>
      </c>
      <c r="AMZ48" s="115">
        <f t="shared" si="2548"/>
        <v>0</v>
      </c>
      <c r="ANA48" s="115">
        <f t="shared" si="2548"/>
        <v>0</v>
      </c>
      <c r="ANB48" s="115">
        <f t="shared" si="2548"/>
        <v>0</v>
      </c>
      <c r="ANC48" s="115">
        <f t="shared" si="2548"/>
        <v>0</v>
      </c>
      <c r="AND48" s="115">
        <f t="shared" si="2548"/>
        <v>0</v>
      </c>
      <c r="ANE48" s="115">
        <f t="shared" si="2548"/>
        <v>0</v>
      </c>
      <c r="ANF48" s="115">
        <f t="shared" si="2548"/>
        <v>0</v>
      </c>
      <c r="ANG48" s="115">
        <f t="shared" si="2548"/>
        <v>0</v>
      </c>
      <c r="ANH48" s="115">
        <f t="shared" si="2548"/>
        <v>0</v>
      </c>
      <c r="ANI48" s="115">
        <f t="shared" si="2548"/>
        <v>0</v>
      </c>
      <c r="ANJ48" s="115">
        <f t="shared" si="2548"/>
        <v>0</v>
      </c>
      <c r="ANK48" s="115">
        <f t="shared" si="2548"/>
        <v>0</v>
      </c>
      <c r="ANL48" s="115">
        <f t="shared" si="2548"/>
        <v>0</v>
      </c>
      <c r="ANM48" s="115">
        <f t="shared" si="2548"/>
        <v>0</v>
      </c>
      <c r="ANN48" s="115">
        <f t="shared" si="2548"/>
        <v>0</v>
      </c>
      <c r="ANO48" s="115">
        <f t="shared" si="2548"/>
        <v>0</v>
      </c>
      <c r="ANP48" s="115">
        <f t="shared" si="2548"/>
        <v>0</v>
      </c>
      <c r="ANQ48" s="115">
        <f t="shared" si="2548"/>
        <v>0</v>
      </c>
      <c r="ANR48" s="115">
        <f t="shared" si="2548"/>
        <v>0</v>
      </c>
      <c r="ANS48" s="115">
        <f t="shared" si="2548"/>
        <v>0</v>
      </c>
      <c r="ANT48" s="115">
        <f t="shared" si="2548"/>
        <v>0</v>
      </c>
      <c r="ANU48" s="115">
        <f t="shared" si="2548"/>
        <v>0</v>
      </c>
      <c r="ANV48" s="115">
        <f t="shared" si="2548"/>
        <v>0</v>
      </c>
      <c r="ANW48" s="115">
        <f t="shared" si="2548"/>
        <v>0</v>
      </c>
      <c r="ANX48" s="115">
        <f t="shared" si="2548"/>
        <v>0</v>
      </c>
      <c r="ANY48" s="115">
        <f t="shared" si="2548"/>
        <v>0</v>
      </c>
      <c r="ANZ48" s="115">
        <f t="shared" si="2548"/>
        <v>0</v>
      </c>
      <c r="AOA48" s="115">
        <f t="shared" si="2548"/>
        <v>0</v>
      </c>
      <c r="AOB48" s="115">
        <f t="shared" si="2548"/>
        <v>0</v>
      </c>
      <c r="AOC48" s="115">
        <f t="shared" si="2548"/>
        <v>0</v>
      </c>
      <c r="AOD48" s="115">
        <f t="shared" si="2548"/>
        <v>0</v>
      </c>
      <c r="AOE48" s="115">
        <f t="shared" si="2548"/>
        <v>0</v>
      </c>
      <c r="AOF48" s="115">
        <f t="shared" si="2548"/>
        <v>0</v>
      </c>
      <c r="AOG48" s="115">
        <f t="shared" si="2548"/>
        <v>0</v>
      </c>
      <c r="AOH48" s="115">
        <f t="shared" si="2548"/>
        <v>0</v>
      </c>
      <c r="AOI48" s="115">
        <f t="shared" si="2548"/>
        <v>0</v>
      </c>
      <c r="AOJ48" s="115">
        <f t="shared" si="2548"/>
        <v>0</v>
      </c>
      <c r="AOK48" s="115">
        <f t="shared" si="2548"/>
        <v>0</v>
      </c>
      <c r="AOL48" s="115">
        <f t="shared" si="2548"/>
        <v>0</v>
      </c>
      <c r="AOM48" s="115">
        <f t="shared" si="2548"/>
        <v>0</v>
      </c>
      <c r="AON48" s="115">
        <f t="shared" si="2548"/>
        <v>0</v>
      </c>
      <c r="AOO48" s="115">
        <f t="shared" si="2548"/>
        <v>0</v>
      </c>
      <c r="AOP48" s="115">
        <f t="shared" si="2548"/>
        <v>0</v>
      </c>
      <c r="AOQ48" s="115">
        <f t="shared" si="2548"/>
        <v>0</v>
      </c>
    </row>
    <row r="49" spans="1:1083" x14ac:dyDescent="0.25">
      <c r="B49" s="116" t="s">
        <v>269</v>
      </c>
      <c r="C49" s="115">
        <f>SUM(D49:AOQ49)</f>
        <v>0</v>
      </c>
      <c r="D49" s="115">
        <v>0</v>
      </c>
      <c r="E49" s="115">
        <f>IF(SUM($D$42:D42)=0,0,IF(IF(E48&gt;0,E48-(IF(SUM($D49:D49)&gt;0,0,IF(D$25&gt;D47,D47,0))),0)&lt;0,0,(IF(SUM($D49:D49)&gt;0,0,IF(D$25&gt;D47,D47,0)))))</f>
        <v>0</v>
      </c>
      <c r="F49" s="115">
        <f>IF(SUM($D$42:E42)=0,0,IF(IF(F48&gt;0,F48-(IF(SUM($D49:E49)&gt;0,0,IF(E$25&gt;E47,E47,0))),0)&lt;0,0,(IF(SUM($D49:E49)&gt;0,0,IF(E$25&gt;E47,E47,0)))))</f>
        <v>0</v>
      </c>
      <c r="G49" s="115">
        <f>IF(SUM($D$42:F42)=0,0,IF(IF(G48&gt;0,G48-(IF(SUM($D49:F49)&gt;0,0,IF(F$25&gt;F47,F47,0))),0)&lt;0,0,(IF(SUM($D49:F49)&gt;0,0,IF(F$25&gt;F47,F47,0)))))</f>
        <v>0</v>
      </c>
      <c r="H49" s="115">
        <f>IF(SUM($D$42:G42)=0,0,IF(IF(H48&gt;0,H48-(IF(SUM($D49:G49)&gt;0,0,IF(G$25&gt;G47,G47,0))),0)&lt;0,0,(IF(SUM($D49:G49)&gt;0,0,IF(G$25&gt;G47,G47,0)))))</f>
        <v>0</v>
      </c>
      <c r="I49" s="115">
        <f>IF(SUM($D$42:H42)=0,0,IF(IF(I48&gt;0,I48-(IF(SUM($D49:H49)&gt;0,0,IF(H$25&gt;H47,H47,0))),0)&lt;0,0,(IF(SUM($D49:H49)&gt;0,0,IF(H$25&gt;H47,H47,0)))))</f>
        <v>0</v>
      </c>
      <c r="J49" s="115">
        <f>IF(SUM($D$42:I42)=0,0,IF(IF(J48&gt;0,J48-(IF(SUM($D49:I49)&gt;0,0,IF(I$25&gt;I47,I47,0))),0)&lt;0,0,(IF(SUM($D49:I49)&gt;0,0,IF(I$25&gt;I47,I47,0)))))</f>
        <v>0</v>
      </c>
      <c r="K49" s="115">
        <f>IF(SUM($D$42:J42)=0,0,IF(IF(K48&gt;0,K48-(IF(SUM($D49:J49)&gt;0,0,IF(J$25&gt;J47,J47,0))),0)&lt;0,0,(IF(SUM($D49:J49)&gt;0,0,IF(J$25&gt;J47,J47,0)))))</f>
        <v>0</v>
      </c>
      <c r="L49" s="115">
        <f>IF(SUM($D$42:K42)=0,0,IF(IF(L48&gt;0,L48-(IF(SUM($D49:K49)&gt;0,0,IF(K$25&gt;K47,K47,0))),0)&lt;0,0,(IF(SUM($D49:K49)&gt;0,0,IF(K$25&gt;K47,K47,0)))))</f>
        <v>0</v>
      </c>
      <c r="M49" s="115">
        <f>IF(SUM($D$42:L42)=0,0,IF(IF(M48&gt;0,M48-(IF(SUM($D49:L49)&gt;0,0,IF(L$25&gt;L47,L47,0))),0)&lt;0,0,(IF(SUM($D49:L49)&gt;0,0,IF(L$25&gt;L47,L47,0)))))</f>
        <v>0</v>
      </c>
      <c r="N49" s="115">
        <f>IF(SUM($D$42:M42)=0,0,IF(IF(N48&gt;0,N48-(IF(SUM($D49:M49)&gt;0,0,IF(M$25&gt;M47,M47,0))),0)&lt;0,0,(IF(SUM($D49:M49)&gt;0,0,IF(M$25&gt;M47,M47,0)))))</f>
        <v>0</v>
      </c>
      <c r="O49" s="115">
        <f>IF(SUM($D$42:N42)=0,0,IF(IF(O48&gt;0,O48-(IF(SUM($D49:N49)&gt;0,0,IF(N$25&gt;N47,N47,0))),0)&lt;0,0,(IF(SUM($D49:N49)&gt;0,0,IF(N$25&gt;N47,N47,0)))))</f>
        <v>0</v>
      </c>
      <c r="P49" s="115">
        <f>IF(SUM($D$42:O42)=0,0,IF(IF(P48&gt;0,P48-(IF(SUM($D49:O49)&gt;0,0,IF(O$25&gt;O47,O47,0))),0)&lt;0,0,(IF(SUM($D49:O49)&gt;0,0,IF(O$25&gt;O47,O47,0)))))</f>
        <v>0</v>
      </c>
      <c r="Q49" s="115">
        <f>IF(SUM($D$42:P42)=0,0,IF(IF(Q48&gt;0,Q48-(IF(SUM($D49:P49)&gt;0,0,IF(P$25&gt;P47,P47,0))),0)&lt;0,0,(IF(SUM($D49:P49)&gt;0,0,IF(P$25&gt;P47,P47,0)))))</f>
        <v>0</v>
      </c>
      <c r="R49" s="115">
        <f>IF(SUM($D$42:Q42)=0,0,IF(IF(R48&gt;0,R48-(IF(SUM($D49:Q49)&gt;0,0,IF(Q$25&gt;Q47,Q47,0))),0)&lt;0,0,(IF(SUM($D49:Q49)&gt;0,0,IF(Q$25&gt;Q47,Q47,0)))))</f>
        <v>0</v>
      </c>
      <c r="S49" s="115">
        <f>IF(SUM($D$42:R42)=0,0,IF(IF(S48&gt;0,S48-(IF(SUM($D49:R49)&gt;0,0,IF(R$25&gt;R47,R47,0))),0)&lt;0,0,(IF(SUM($D49:R49)&gt;0,0,IF(R$25&gt;R47,R47,0)))))</f>
        <v>0</v>
      </c>
      <c r="T49" s="115">
        <f>IF(SUM($D$42:S42)=0,0,IF(IF(T48&gt;0,T48-(IF(SUM($D49:S49)&gt;0,0,IF(S$25&gt;S47,S47,0))),0)&lt;0,0,(IF(SUM($D49:S49)&gt;0,0,IF(S$25&gt;S47,S47,0)))))</f>
        <v>0</v>
      </c>
      <c r="U49" s="115">
        <f>IF(SUM($D$42:T42)=0,0,IF(IF(U48&gt;0,U48-(IF(SUM($D49:T49)&gt;0,0,IF(T$25&gt;T47,T47,0))),0)&lt;0,0,(IF(SUM($D49:T49)&gt;0,0,IF(T$25&gt;T47,T47,0)))))</f>
        <v>0</v>
      </c>
      <c r="V49" s="115">
        <f>IF(SUM($D$42:U42)=0,0,IF(IF(V48&gt;0,V48-(IF(SUM($D49:U49)&gt;0,0,IF(U$25&gt;U47,U47,0))),0)&lt;0,0,(IF(SUM($D49:U49)&gt;0,0,IF(U$25&gt;U47,U47,0)))))</f>
        <v>0</v>
      </c>
      <c r="W49" s="115">
        <f>IF(SUM($D$42:V42)=0,0,IF(IF(W48&gt;0,W48-(IF(SUM($D49:V49)&gt;0,0,IF(V$25&gt;V47,V47,0))),0)&lt;0,0,(IF(SUM($D49:V49)&gt;0,0,IF(V$25&gt;V47,V47,0)))))</f>
        <v>0</v>
      </c>
      <c r="X49" s="115">
        <f>IF(SUM($D$42:W42)=0,0,IF(IF(X48&gt;0,X48-(IF(SUM($D49:W49)&gt;0,0,IF(W$25&gt;W47,W47,0))),0)&lt;0,0,(IF(SUM($D49:W49)&gt;0,0,IF(W$25&gt;W47,W47,0)))))</f>
        <v>0</v>
      </c>
      <c r="Y49" s="115">
        <f>IF(SUM($D$42:X42)=0,0,IF(IF(Y48&gt;0,Y48-(IF(SUM($D49:X49)&gt;0,0,IF(X$25&gt;X47,X47,0))),0)&lt;0,0,(IF(SUM($D49:X49)&gt;0,0,IF(X$25&gt;X47,X47,0)))))</f>
        <v>0</v>
      </c>
      <c r="Z49" s="115">
        <f>IF(SUM($D$42:Y42)=0,0,IF(IF(Z48&gt;0,Z48-(IF(SUM($D49:Y49)&gt;0,0,IF(Y$25&gt;Y47,Y47,0))),0)&lt;0,0,(IF(SUM($D49:Y49)&gt;0,0,IF(Y$25&gt;Y47,Y47,0)))))</f>
        <v>0</v>
      </c>
      <c r="AA49" s="115">
        <f>IF(SUM($D$42:Z42)=0,0,IF(IF(AA48&gt;0,AA48-(IF(SUM($D49:Z49)&gt;0,0,IF(Z$25&gt;Z47,Z47,0))),0)&lt;0,0,(IF(SUM($D49:Z49)&gt;0,0,IF(Z$25&gt;Z47,Z47,0)))))</f>
        <v>0</v>
      </c>
      <c r="AB49" s="115">
        <f>IF(SUM($D$42:AA42)=0,0,IF(IF(AB48&gt;0,AB48-(IF(SUM($D49:AA49)&gt;0,0,IF(AA$25&gt;AA47,AA47,0))),0)&lt;0,0,(IF(SUM($D49:AA49)&gt;0,0,IF(AA$25&gt;AA47,AA47,0)))))</f>
        <v>0</v>
      </c>
      <c r="AC49" s="115">
        <f>IF(SUM($D$42:AB42)=0,0,IF(IF(AC48&gt;0,AC48-(IF(SUM($D49:AB49)&gt;0,0,IF(AB$25&gt;AB47,AB47,0))),0)&lt;0,0,(IF(SUM($D49:AB49)&gt;0,0,IF(AB$25&gt;AB47,AB47,0)))))</f>
        <v>0</v>
      </c>
      <c r="AD49" s="115">
        <f>IF(SUM($D$42:AC42)=0,0,IF(IF(AD48&gt;0,AD48-(IF(SUM($D49:AC49)&gt;0,0,IF(AC$25&gt;AC47,AC47,0))),0)&lt;0,0,(IF(SUM($D49:AC49)&gt;0,0,IF(AC$25&gt;AC47,AC47,0)))))</f>
        <v>0</v>
      </c>
      <c r="AE49" s="115">
        <f>IF(SUM($D$42:AD42)=0,0,IF(IF(AE48&gt;0,AE48-(IF(SUM($D49:AD49)&gt;0,0,IF(AD$25&gt;AD47,AD47,0))),0)&lt;0,0,(IF(SUM($D49:AD49)&gt;0,0,IF(AD$25&gt;AD47,AD47,0)))))</f>
        <v>0</v>
      </c>
      <c r="AF49" s="115">
        <f>IF(SUM($D$42:AE42)=0,0,IF(IF(AF48&gt;0,AF48-(IF(SUM($D49:AE49)&gt;0,0,IF(AE$25&gt;AE47,AE47,0))),0)&lt;0,0,(IF(SUM($D49:AE49)&gt;0,0,IF(AE$25&gt;AE47,AE47,0)))))</f>
        <v>0</v>
      </c>
      <c r="AG49" s="115">
        <f>IF(SUM($D$42:AF42)=0,0,IF(IF(AG48&gt;0,AG48-(IF(SUM($D49:AF49)&gt;0,0,IF(AF$25&gt;AF47,AF47,0))),0)&lt;0,0,(IF(SUM($D49:AF49)&gt;0,0,IF(AF$25&gt;AF47,AF47,0)))))</f>
        <v>0</v>
      </c>
      <c r="AH49" s="115">
        <f>IF(SUM($D$42:AG42)=0,0,IF(IF(AH48&gt;0,AH48-(IF(SUM($D49:AG49)&gt;0,0,IF(AG$25&gt;AG47,AG47,0))),0)&lt;0,0,(IF(SUM($D49:AG49)&gt;0,0,IF(AG$25&gt;AG47,AG47,0)))))</f>
        <v>0</v>
      </c>
      <c r="AI49" s="115">
        <f>IF(SUM($D$42:AH42)=0,0,IF(IF(AI48&gt;0,AI48-(IF(SUM($D49:AH49)&gt;0,0,IF(AH$25&gt;AH47,AH47,0))),0)&lt;0,0,(IF(SUM($D49:AH49)&gt;0,0,IF(AH$25&gt;AH47,AH47,0)))))</f>
        <v>0</v>
      </c>
      <c r="AJ49" s="115">
        <f>IF(SUM($D$42:AI42)=0,0,IF(IF(AJ48&gt;0,AJ48-(IF(SUM($D49:AI49)&gt;0,0,IF(AI$25&gt;AI47,AI47,0))),0)&lt;0,0,(IF(SUM($D49:AI49)&gt;0,0,IF(AI$25&gt;AI47,AI47,0)))))</f>
        <v>0</v>
      </c>
      <c r="AK49" s="115">
        <f>IF(SUM($D$42:AJ42)=0,0,IF(IF(AK48&gt;0,AK48-(IF(SUM($D49:AJ49)&gt;0,0,IF(AJ$25&gt;AJ47,AJ47,0))),0)&lt;0,0,(IF(SUM($D49:AJ49)&gt;0,0,IF(AJ$25&gt;AJ47,AJ47,0)))))</f>
        <v>0</v>
      </c>
      <c r="AL49" s="115">
        <f>IF(SUM($D$42:AK42)=0,0,IF(IF(AL48&gt;0,AL48-(IF(SUM($D49:AK49)&gt;0,0,IF(AK$25&gt;AK47,AK47,0))),0)&lt;0,0,(IF(SUM($D49:AK49)&gt;0,0,IF(AK$25&gt;AK47,AK47,0)))))</f>
        <v>0</v>
      </c>
      <c r="AM49" s="115">
        <f>IF(SUM($D$42:AL42)=0,0,IF(IF(AM48&gt;0,AM48-(IF(SUM($D49:AL49)&gt;0,0,IF(AL$25&gt;AL47,AL47,0))),0)&lt;0,0,(IF(SUM($D49:AL49)&gt;0,0,IF(AL$25&gt;AL47,AL47,0)))))</f>
        <v>0</v>
      </c>
      <c r="AN49" s="115">
        <f>IF(SUM($D$42:AM42)=0,0,IF(IF(AN48&gt;0,AN48-(IF(SUM($D49:AM49)&gt;0,0,IF(AM$25&gt;AM47,AM47,0))),0)&lt;0,0,(IF(SUM($D49:AM49)&gt;0,0,IF(AM$25&gt;AM47,AM47,0)))))</f>
        <v>0</v>
      </c>
      <c r="AO49" s="115">
        <f>IF(SUM($D$42:AN42)=0,0,IF(IF(AO48&gt;0,AO48-(IF(SUM($D49:AN49)&gt;0,0,IF(AN$25&gt;AN47,AN47,0))),0)&lt;0,0,(IF(SUM($D49:AN49)&gt;0,0,IF(AN$25&gt;AN47,AN47,0)))))</f>
        <v>0</v>
      </c>
      <c r="AP49" s="115">
        <f>IF(SUM($D$42:AO42)=0,0,IF(IF(AP48&gt;0,AP48-(IF(SUM($D49:AO49)&gt;0,0,IF(AO$25&gt;AO47,AO47,0))),0)&lt;0,0,(IF(SUM($D49:AO49)&gt;0,0,IF(AO$25&gt;AO47,AO47,0)))))</f>
        <v>0</v>
      </c>
      <c r="AQ49" s="115">
        <f>IF(SUM($D$42:AP42)=0,0,IF(IF(AQ48&gt;0,AQ48-(IF(SUM($D49:AP49)&gt;0,0,IF(AP$25&gt;AP47,AP47,0))),0)&lt;0,0,(IF(SUM($D49:AP49)&gt;0,0,IF(AP$25&gt;AP47,AP47,0)))))</f>
        <v>0</v>
      </c>
      <c r="AR49" s="115">
        <f>IF(SUM($D$42:AQ42)=0,0,IF(IF(AR48&gt;0,AR48-(IF(SUM($D49:AQ49)&gt;0,0,IF(AQ$25&gt;AQ47,AQ47,0))),0)&lt;0,0,(IF(SUM($D49:AQ49)&gt;0,0,IF(AQ$25&gt;AQ47,AQ47,0)))))</f>
        <v>0</v>
      </c>
      <c r="AS49" s="115">
        <f>IF(SUM($D$42:AR42)=0,0,IF(IF(AS48&gt;0,AS48-(IF(SUM($D49:AR49)&gt;0,0,IF(AR$25&gt;AR47,AR47,0))),0)&lt;0,0,(IF(SUM($D49:AR49)&gt;0,0,IF(AR$25&gt;AR47,AR47,0)))))</f>
        <v>0</v>
      </c>
      <c r="AT49" s="115">
        <f>IF(SUM($D$42:AS42)=0,0,IF(IF(AT48&gt;0,AT48-(IF(SUM($D49:AS49)&gt;0,0,IF(AS$25&gt;AS47,AS47,0))),0)&lt;0,0,(IF(SUM($D49:AS49)&gt;0,0,IF(AS$25&gt;AS47,AS47,0)))))</f>
        <v>0</v>
      </c>
      <c r="AU49" s="115">
        <f>IF(SUM($D$42:AT42)=0,0,IF(IF(AU48&gt;0,AU48-(IF(SUM($D49:AT49)&gt;0,0,IF(AT$25&gt;AT47,AT47,0))),0)&lt;0,0,(IF(SUM($D49:AT49)&gt;0,0,IF(AT$25&gt;AT47,AT47,0)))))</f>
        <v>0</v>
      </c>
      <c r="AV49" s="115">
        <f>IF(SUM($D$42:AU42)=0,0,IF(IF(AV48&gt;0,AV48-(IF(SUM($D49:AU49)&gt;0,0,IF(AU$25&gt;AU47,AU47,0))),0)&lt;0,0,(IF(SUM($D49:AU49)&gt;0,0,IF(AU$25&gt;AU47,AU47,0)))))</f>
        <v>0</v>
      </c>
      <c r="AW49" s="115">
        <f>IF(SUM($D$42:AV42)=0,0,IF(IF(AW48&gt;0,AW48-(IF(SUM($D49:AV49)&gt;0,0,IF(AV$25&gt;AV47,AV47,0))),0)&lt;0,0,(IF(SUM($D49:AV49)&gt;0,0,IF(AV$25&gt;AV47,AV47,0)))))</f>
        <v>0</v>
      </c>
      <c r="AX49" s="115">
        <f>IF(SUM($D$42:AW42)=0,0,IF(IF(AX48&gt;0,AX48-(IF(SUM($D49:AW49)&gt;0,0,IF(AW$25&gt;AW47,AW47,0))),0)&lt;0,0,(IF(SUM($D49:AW49)&gt;0,0,IF(AW$25&gt;AW47,AW47,0)))))</f>
        <v>0</v>
      </c>
      <c r="AY49" s="115">
        <f>IF(SUM($D$42:AX42)=0,0,IF(IF(AY48&gt;0,AY48-(IF(SUM($D49:AX49)&gt;0,0,IF(AX$25&gt;AX47,AX47,0))),0)&lt;0,0,(IF(SUM($D49:AX49)&gt;0,0,IF(AX$25&gt;AX47,AX47,0)))))</f>
        <v>0</v>
      </c>
      <c r="AZ49" s="115">
        <f>IF(SUM($D$42:AY42)=0,0,IF(IF(AZ48&gt;0,AZ48-(IF(SUM($D49:AY49)&gt;0,0,IF(AY$25&gt;AY47,AY47,0))),0)&lt;0,0,(IF(SUM($D49:AY49)&gt;0,0,IF(AY$25&gt;AY47,AY47,0)))))</f>
        <v>0</v>
      </c>
      <c r="BA49" s="115">
        <f>IF(SUM($D$42:AZ42)=0,0,IF(IF(BA48&gt;0,BA48-(IF(SUM($D49:AZ49)&gt;0,0,IF(AZ$25&gt;AZ47,AZ47,0))),0)&lt;0,0,(IF(SUM($D49:AZ49)&gt;0,0,IF(AZ$25&gt;AZ47,AZ47,0)))))</f>
        <v>0</v>
      </c>
      <c r="BB49" s="115">
        <f>IF(SUM($D$42:BA42)=0,0,IF(IF(BB48&gt;0,BB48-(IF(SUM($D49:BA49)&gt;0,0,IF(BA$25&gt;BA47,BA47,0))),0)&lt;0,0,(IF(SUM($D49:BA49)&gt;0,0,IF(BA$25&gt;BA47,BA47,0)))))</f>
        <v>0</v>
      </c>
      <c r="BC49" s="115">
        <f>IF(SUM($D$42:BB42)=0,0,IF(IF(BC48&gt;0,BC48-(IF(SUM($D49:BB49)&gt;0,0,IF(BB$25&gt;BB47,BB47,0))),0)&lt;0,0,(IF(SUM($D49:BB49)&gt;0,0,IF(BB$25&gt;BB47,BB47,0)))))</f>
        <v>0</v>
      </c>
      <c r="BD49" s="115">
        <f>IF(SUM($D$42:BC42)=0,0,IF(IF(BD48&gt;0,BD48-(IF(SUM($D49:BC49)&gt;0,0,IF(BC$25&gt;BC47,BC47,0))),0)&lt;0,0,(IF(SUM($D49:BC49)&gt;0,0,IF(BC$25&gt;BC47,BC47,0)))))</f>
        <v>0</v>
      </c>
      <c r="BE49" s="115">
        <f>IF(SUM($D$42:BD42)=0,0,IF(IF(BE48&gt;0,BE48-(IF(SUM($D49:BD49)&gt;0,0,IF(BD$25&gt;BD47,BD47,0))),0)&lt;0,0,(IF(SUM($D49:BD49)&gt;0,0,IF(BD$25&gt;BD47,BD47,0)))))</f>
        <v>0</v>
      </c>
      <c r="BF49" s="115">
        <f>IF(SUM($D$42:BE42)=0,0,IF(IF(BF48&gt;0,BF48-(IF(SUM($D49:BE49)&gt;0,0,IF(BE$25&gt;BE47,BE47,0))),0)&lt;0,0,(IF(SUM($D49:BE49)&gt;0,0,IF(BE$25&gt;BE47,BE47,0)))))</f>
        <v>0</v>
      </c>
      <c r="BG49" s="115">
        <f>IF(SUM($D$42:BF42)=0,0,IF(IF(BG48&gt;0,BG48-(IF(SUM($D49:BF49)&gt;0,0,IF(BF$25&gt;BF47,BF47,0))),0)&lt;0,0,(IF(SUM($D49:BF49)&gt;0,0,IF(BF$25&gt;BF47,BF47,0)))))</f>
        <v>0</v>
      </c>
      <c r="BH49" s="115">
        <f>IF(SUM($D$42:BG42)=0,0,IF(IF(BH48&gt;0,BH48-(IF(SUM($D49:BG49)&gt;0,0,IF(BG$25&gt;BG47,BG47,0))),0)&lt;0,0,(IF(SUM($D49:BG49)&gt;0,0,IF(BG$25&gt;BG47,BG47,0)))))</f>
        <v>0</v>
      </c>
      <c r="BI49" s="115">
        <f>IF(SUM($D$42:BH42)=0,0,IF(IF(BI48&gt;0,BI48-(IF(SUM($D49:BH49)&gt;0,0,IF(BH$25&gt;BH47,BH47,0))),0)&lt;0,0,(IF(SUM($D49:BH49)&gt;0,0,IF(BH$25&gt;BH47,BH47,0)))))</f>
        <v>0</v>
      </c>
      <c r="BJ49" s="115">
        <f>IF(SUM($D$42:BI42)=0,0,IF(IF(BJ48&gt;0,BJ48-(IF(SUM($D49:BI49)&gt;0,0,IF(BI$25&gt;BI47,BI47,0))),0)&lt;0,0,(IF(SUM($D49:BI49)&gt;0,0,IF(BI$25&gt;BI47,BI47,0)))))</f>
        <v>0</v>
      </c>
      <c r="BK49" s="115">
        <f>IF(SUM($D$42:BJ42)=0,0,IF(IF(BK48&gt;0,BK48-(IF(SUM($D49:BJ49)&gt;0,0,IF(BJ$25&gt;BJ47,BJ47,0))),0)&lt;0,0,(IF(SUM($D49:BJ49)&gt;0,0,IF(BJ$25&gt;BJ47,BJ47,0)))))</f>
        <v>0</v>
      </c>
      <c r="BL49" s="115">
        <f>IF(SUM($D$42:BK42)=0,0,IF(IF(BL48&gt;0,BL48-(IF(SUM($D49:BK49)&gt;0,0,IF(BK$25&gt;BK47,BK47,0))),0)&lt;0,0,(IF(SUM($D49:BK49)&gt;0,0,IF(BK$25&gt;BK47,BK47,0)))))</f>
        <v>0</v>
      </c>
      <c r="BM49" s="115">
        <f>IF(SUM($D$42:BL42)=0,0,IF(IF(BM48&gt;0,BM48-(IF(SUM($D49:BL49)&gt;0,0,IF(BL$25&gt;BL47,BL47,0))),0)&lt;0,0,(IF(SUM($D49:BL49)&gt;0,0,IF(BL$25&gt;BL47,BL47,0)))))</f>
        <v>0</v>
      </c>
      <c r="BN49" s="115">
        <f>IF(SUM($D$42:BM42)=0,0,IF(IF(BN48&gt;0,BN48-(IF(SUM($D49:BM49)&gt;0,0,IF(BM$25&gt;BM47,BM47,0))),0)&lt;0,0,(IF(SUM($D49:BM49)&gt;0,0,IF(BM$25&gt;BM47,BM47,0)))))</f>
        <v>0</v>
      </c>
      <c r="BO49" s="115">
        <f>IF(SUM($D$42:BN42)=0,0,IF(IF(BO48&gt;0,BO48-(IF(SUM($D49:BN49)&gt;0,0,IF(BN$25&gt;BN47,BN47,0))),0)&lt;0,0,(IF(SUM($D49:BN49)&gt;0,0,IF(BN$25&gt;BN47,BN47,0)))))</f>
        <v>0</v>
      </c>
      <c r="BP49" s="115">
        <f>IF(SUM($D$42:BO42)=0,0,IF(IF(BP48&gt;0,BP48-(IF(SUM($D49:BO49)&gt;0,0,IF(BO$25&gt;BO47,BO47,0))),0)&lt;0,0,(IF(SUM($D49:BO49)&gt;0,0,IF(BO$25&gt;BO47,BO47,0)))))</f>
        <v>0</v>
      </c>
      <c r="BQ49" s="115">
        <f>IF(SUM($D$42:BP42)=0,0,IF(IF(BQ48&gt;0,BQ48-(IF(SUM($D49:BP49)&gt;0,0,IF(BP$25&gt;BP47,BP47,0))),0)&lt;0,0,(IF(SUM($D49:BP49)&gt;0,0,IF(BP$25&gt;BP47,BP47,0)))))</f>
        <v>0</v>
      </c>
      <c r="BR49" s="115">
        <f>IF(SUM($D$42:BQ42)=0,0,IF(IF(BR48&gt;0,BR48-(IF(SUM($D49:BQ49)&gt;0,0,IF(BQ$25&gt;BQ47,BQ47,0))),0)&lt;0,0,(IF(SUM($D49:BQ49)&gt;0,0,IF(BQ$25&gt;BQ47,BQ47,0)))))</f>
        <v>0</v>
      </c>
      <c r="BS49" s="115">
        <f>IF(SUM($D$42:BR42)=0,0,IF(IF(BS48&gt;0,BS48-(IF(SUM($D49:BR49)&gt;0,0,IF(BR$25&gt;BR47,BR47,0))),0)&lt;0,0,(IF(SUM($D49:BR49)&gt;0,0,IF(BR$25&gt;BR47,BR47,0)))))</f>
        <v>0</v>
      </c>
      <c r="BT49" s="115">
        <f>IF(SUM($D$42:BS42)=0,0,IF(IF(BT48&gt;0,BT48-(IF(SUM($D49:BS49)&gt;0,0,IF(BS$25&gt;BS47,BS47,0))),0)&lt;0,0,(IF(SUM($D49:BS49)&gt;0,0,IF(BS$25&gt;BS47,BS47,0)))))</f>
        <v>0</v>
      </c>
      <c r="BU49" s="115">
        <f>IF(SUM($D$42:BT42)=0,0,IF(IF(BU48&gt;0,BU48-(IF(SUM($D49:BT49)&gt;0,0,IF(BT$25&gt;BT47,BT47,0))),0)&lt;0,0,(IF(SUM($D49:BT49)&gt;0,0,IF(BT$25&gt;BT47,BT47,0)))))</f>
        <v>0</v>
      </c>
      <c r="BV49" s="115">
        <f>IF(SUM($D$42:BU42)=0,0,IF(IF(BV48&gt;0,BV48-(IF(SUM($D49:BU49)&gt;0,0,IF(BU$25&gt;BU47,BU47,0))),0)&lt;0,0,(IF(SUM($D49:BU49)&gt;0,0,IF(BU$25&gt;BU47,BU47,0)))))</f>
        <v>0</v>
      </c>
      <c r="BW49" s="115">
        <f>IF(SUM($D$42:BV42)=0,0,IF(IF(BW48&gt;0,BW48-(IF(SUM($D49:BV49)&gt;0,0,IF(BV$25&gt;BV47,BV47,0))),0)&lt;0,0,(IF(SUM($D49:BV49)&gt;0,0,IF(BV$25&gt;BV47,BV47,0)))))</f>
        <v>0</v>
      </c>
      <c r="BX49" s="115">
        <f>IF(SUM($D$42:BW42)=0,0,IF(IF(BX48&gt;0,BX48-(IF(SUM($D49:BW49)&gt;0,0,IF(BW$25&gt;BW47,BW47,0))),0)&lt;0,0,(IF(SUM($D49:BW49)&gt;0,0,IF(BW$25&gt;BW47,BW47,0)))))</f>
        <v>0</v>
      </c>
      <c r="BY49" s="115">
        <f>IF(SUM($D$42:BX42)=0,0,IF(IF(BY48&gt;0,BY48-(IF(SUM($D49:BX49)&gt;0,0,IF(BX$25&gt;BX47,BX47,0))),0)&lt;0,0,(IF(SUM($D49:BX49)&gt;0,0,IF(BX$25&gt;BX47,BX47,0)))))</f>
        <v>0</v>
      </c>
      <c r="BZ49" s="115">
        <f>IF(SUM($D$42:BY42)=0,0,IF(IF(BZ48&gt;0,BZ48-(IF(SUM($D49:BY49)&gt;0,0,IF(BY$25&gt;BY47,BY47,0))),0)&lt;0,0,(IF(SUM($D49:BY49)&gt;0,0,IF(BY$25&gt;BY47,BY47,0)))))</f>
        <v>0</v>
      </c>
      <c r="CA49" s="115">
        <f>IF(SUM($D$42:BZ42)=0,0,IF(IF(CA48&gt;0,CA48-(IF(SUM($D49:BZ49)&gt;0,0,IF(BZ$25&gt;BZ47,BZ47,0))),0)&lt;0,0,(IF(SUM($D49:BZ49)&gt;0,0,IF(BZ$25&gt;BZ47,BZ47,0)))))</f>
        <v>0</v>
      </c>
      <c r="CB49" s="115">
        <f>IF(SUM($D$42:CA42)=0,0,IF(IF(CB48&gt;0,CB48-(IF(SUM($D49:CA49)&gt;0,0,IF(CA$25&gt;CA47,CA47,0))),0)&lt;0,0,(IF(SUM($D49:CA49)&gt;0,0,IF(CA$25&gt;CA47,CA47,0)))))</f>
        <v>0</v>
      </c>
      <c r="CC49" s="115">
        <f>IF(SUM($D$42:CB42)=0,0,IF(IF(CC48&gt;0,CC48-(IF(SUM($D49:CB49)&gt;0,0,IF(CB$25&gt;CB47,CB47,0))),0)&lt;0,0,(IF(SUM($D49:CB49)&gt;0,0,IF(CB$25&gt;CB47,CB47,0)))))</f>
        <v>0</v>
      </c>
      <c r="CD49" s="115">
        <f>IF(SUM($D$42:CC42)=0,0,IF(IF(CD48&gt;0,CD48-(IF(SUM($D49:CC49)&gt;0,0,IF(CC$25&gt;CC47,CC47,0))),0)&lt;0,0,(IF(SUM($D49:CC49)&gt;0,0,IF(CC$25&gt;CC47,CC47,0)))))</f>
        <v>0</v>
      </c>
      <c r="CE49" s="115">
        <f>IF(SUM($D$42:CD42)=0,0,IF(IF(CE48&gt;0,CE48-(IF(SUM($D49:CD49)&gt;0,0,IF(CD$25&gt;CD47,CD47,0))),0)&lt;0,0,(IF(SUM($D49:CD49)&gt;0,0,IF(CD$25&gt;CD47,CD47,0)))))</f>
        <v>0</v>
      </c>
      <c r="CF49" s="115">
        <f>IF(SUM($D$42:CE42)=0,0,IF(IF(CF48&gt;0,CF48-(IF(SUM($D49:CE49)&gt;0,0,IF(CE$25&gt;CE47,CE47,0))),0)&lt;0,0,(IF(SUM($D49:CE49)&gt;0,0,IF(CE$25&gt;CE47,CE47,0)))))</f>
        <v>0</v>
      </c>
      <c r="CG49" s="115">
        <f>IF(SUM($D$42:CF42)=0,0,IF(IF(CG48&gt;0,CG48-(IF(SUM($D49:CF49)&gt;0,0,IF(CF$25&gt;CF47,CF47,0))),0)&lt;0,0,(IF(SUM($D49:CF49)&gt;0,0,IF(CF$25&gt;CF47,CF47,0)))))</f>
        <v>0</v>
      </c>
      <c r="CH49" s="115">
        <f>IF(SUM($D$42:CG42)=0,0,IF(IF(CH48&gt;0,CH48-(IF(SUM($D49:CG49)&gt;0,0,IF(CG$25&gt;CG47,CG47,0))),0)&lt;0,0,(IF(SUM($D49:CG49)&gt;0,0,IF(CG$25&gt;CG47,CG47,0)))))</f>
        <v>0</v>
      </c>
      <c r="CI49" s="115">
        <f>IF(SUM($D$42:CH42)=0,0,IF(IF(CI48&gt;0,CI48-(IF(SUM($D49:CH49)&gt;0,0,IF(CH$25&gt;CH47,CH47,0))),0)&lt;0,0,(IF(SUM($D49:CH49)&gt;0,0,IF(CH$25&gt;CH47,CH47,0)))))</f>
        <v>0</v>
      </c>
      <c r="CJ49" s="115">
        <f>IF(SUM($D$42:CI42)=0,0,IF(IF(CJ48&gt;0,CJ48-(IF(SUM($D49:CI49)&gt;0,0,IF(CI$25&gt;CI47,CI47,0))),0)&lt;0,0,(IF(SUM($D49:CI49)&gt;0,0,IF(CI$25&gt;CI47,CI47,0)))))</f>
        <v>0</v>
      </c>
      <c r="CK49" s="115">
        <f>IF(SUM($D$42:CJ42)=0,0,IF(IF(CK48&gt;0,CK48-(IF(SUM($D49:CJ49)&gt;0,0,IF(CJ$25&gt;CJ47,CJ47,0))),0)&lt;0,0,(IF(SUM($D49:CJ49)&gt;0,0,IF(CJ$25&gt;CJ47,CJ47,0)))))</f>
        <v>0</v>
      </c>
      <c r="CL49" s="115">
        <f>IF(SUM($D$42:CK42)=0,0,IF(IF(CL48&gt;0,CL48-(IF(SUM($D49:CK49)&gt;0,0,IF(CK$25&gt;CK47,CK47,0))),0)&lt;0,0,(IF(SUM($D49:CK49)&gt;0,0,IF(CK$25&gt;CK47,CK47,0)))))</f>
        <v>0</v>
      </c>
      <c r="CM49" s="115">
        <f>IF(SUM($D$42:CL42)=0,0,IF(IF(CM48&gt;0,CM48-(IF(SUM($D49:CL49)&gt;0,0,IF(CL$25&gt;CL47,CL47,0))),0)&lt;0,0,(IF(SUM($D49:CL49)&gt;0,0,IF(CL$25&gt;CL47,CL47,0)))))</f>
        <v>0</v>
      </c>
      <c r="CN49" s="115">
        <f>IF(SUM($D$42:CM42)=0,0,IF(IF(CN48&gt;0,CN48-(IF(SUM($D49:CM49)&gt;0,0,IF(CM$25&gt;CM47,CM47,0))),0)&lt;0,0,(IF(SUM($D49:CM49)&gt;0,0,IF(CM$25&gt;CM47,CM47,0)))))</f>
        <v>0</v>
      </c>
      <c r="CO49" s="115">
        <f>IF(SUM($D$42:CN42)=0,0,IF(IF(CO48&gt;0,CO48-(IF(SUM($D49:CN49)&gt;0,0,IF(CN$25&gt;CN47,CN47,0))),0)&lt;0,0,(IF(SUM($D49:CN49)&gt;0,0,IF(CN$25&gt;CN47,CN47,0)))))</f>
        <v>0</v>
      </c>
      <c r="CP49" s="115">
        <f>IF(SUM($D$42:CO42)=0,0,IF(IF(CP48&gt;0,CP48-(IF(SUM($D49:CO49)&gt;0,0,IF(CO$25&gt;CO47,CO47,0))),0)&lt;0,0,(IF(SUM($D49:CO49)&gt;0,0,IF(CO$25&gt;CO47,CO47,0)))))</f>
        <v>0</v>
      </c>
      <c r="CQ49" s="115">
        <f>IF(SUM($D$42:CP42)=0,0,IF(IF(CQ48&gt;0,CQ48-(IF(SUM($D49:CP49)&gt;0,0,IF(CP$25&gt;CP47,CP47,0))),0)&lt;0,0,(IF(SUM($D49:CP49)&gt;0,0,IF(CP$25&gt;CP47,CP47,0)))))</f>
        <v>0</v>
      </c>
      <c r="CR49" s="115">
        <f>IF(SUM($D$42:CQ42)=0,0,IF(IF(CR48&gt;0,CR48-(IF(SUM($D49:CQ49)&gt;0,0,IF(CQ$25&gt;CQ47,CQ47,0))),0)&lt;0,0,(IF(SUM($D49:CQ49)&gt;0,0,IF(CQ$25&gt;CQ47,CQ47,0)))))</f>
        <v>0</v>
      </c>
      <c r="CS49" s="115">
        <f>IF(SUM($D$42:CR42)=0,0,IF(IF(CS48&gt;0,CS48-(IF(SUM($D49:CR49)&gt;0,0,IF(CR$25&gt;CR47,CR47,0))),0)&lt;0,0,(IF(SUM($D49:CR49)&gt;0,0,IF(CR$25&gt;CR47,CR47,0)))))</f>
        <v>0</v>
      </c>
      <c r="CT49" s="115">
        <f>IF(SUM($D$42:CS42)=0,0,IF(IF(CT48&gt;0,CT48-(IF(SUM($D49:CS49)&gt;0,0,IF(CS$25&gt;CS47,CS47,0))),0)&lt;0,0,(IF(SUM($D49:CS49)&gt;0,0,IF(CS$25&gt;CS47,CS47,0)))))</f>
        <v>0</v>
      </c>
      <c r="CU49" s="115">
        <f>IF(SUM($D$42:CT42)=0,0,IF(IF(CU48&gt;0,CU48-(IF(SUM($D49:CT49)&gt;0,0,IF(CT$25&gt;CT47,CT47,0))),0)&lt;0,0,(IF(SUM($D49:CT49)&gt;0,0,IF(CT$25&gt;CT47,CT47,0)))))</f>
        <v>0</v>
      </c>
      <c r="CV49" s="115">
        <f>IF(SUM($D$42:CU42)=0,0,IF(IF(CV48&gt;0,CV48-(IF(SUM($D49:CU49)&gt;0,0,IF(CU$25&gt;CU47,CU47,0))),0)&lt;0,0,(IF(SUM($D49:CU49)&gt;0,0,IF(CU$25&gt;CU47,CU47,0)))))</f>
        <v>0</v>
      </c>
      <c r="CW49" s="115">
        <f>IF(SUM($D$42:CV42)=0,0,IF(IF(CW48&gt;0,CW48-(IF(SUM($D49:CV49)&gt;0,0,IF(CV$25&gt;CV47,CV47,0))),0)&lt;0,0,(IF(SUM($D49:CV49)&gt;0,0,IF(CV$25&gt;CV47,CV47,0)))))</f>
        <v>0</v>
      </c>
      <c r="CX49" s="115">
        <f>IF(SUM($D$42:CW42)=0,0,IF(IF(CX48&gt;0,CX48-(IF(SUM($D49:CW49)&gt;0,0,IF(CW$25&gt;CW47,CW47,0))),0)&lt;0,0,(IF(SUM($D49:CW49)&gt;0,0,IF(CW$25&gt;CW47,CW47,0)))))</f>
        <v>0</v>
      </c>
      <c r="CY49" s="115">
        <f>IF(SUM($D$42:CX42)=0,0,IF(IF(CY48&gt;0,CY48-(IF(SUM($D49:CX49)&gt;0,0,IF(CX$25&gt;CX47,CX47,0))),0)&lt;0,0,(IF(SUM($D49:CX49)&gt;0,0,IF(CX$25&gt;CX47,CX47,0)))))</f>
        <v>0</v>
      </c>
      <c r="CZ49" s="115">
        <f>IF(SUM($D$42:CY42)=0,0,IF(IF(CZ48&gt;0,CZ48-(IF(SUM($D49:CY49)&gt;0,0,IF(CY$25&gt;CY47,CY47,0))),0)&lt;0,0,(IF(SUM($D49:CY49)&gt;0,0,IF(CY$25&gt;CY47,CY47,0)))))</f>
        <v>0</v>
      </c>
      <c r="DA49" s="115">
        <f>IF(SUM($D$42:CZ42)=0,0,IF(IF(DA48&gt;0,DA48-(IF(SUM($D49:CZ49)&gt;0,0,IF(CZ$25&gt;CZ47,CZ47,0))),0)&lt;0,0,(IF(SUM($D49:CZ49)&gt;0,0,IF(CZ$25&gt;CZ47,CZ47,0)))))</f>
        <v>0</v>
      </c>
      <c r="DB49" s="115">
        <f>IF(SUM($D$42:DA42)=0,0,IF(IF(DB48&gt;0,DB48-(IF(SUM($D49:DA49)&gt;0,0,IF(DA$25&gt;DA47,DA47,0))),0)&lt;0,0,(IF(SUM($D49:DA49)&gt;0,0,IF(DA$25&gt;DA47,DA47,0)))))</f>
        <v>0</v>
      </c>
      <c r="DC49" s="115">
        <f>IF(SUM($D$42:DB42)=0,0,IF(IF(DC48&gt;0,DC48-(IF(SUM($D49:DB49)&gt;0,0,IF(DB$25&gt;DB47,DB47,0))),0)&lt;0,0,(IF(SUM($D49:DB49)&gt;0,0,IF(DB$25&gt;DB47,DB47,0)))))</f>
        <v>0</v>
      </c>
      <c r="DD49" s="115">
        <f>IF(SUM($D$42:DC42)=0,0,IF(IF(DD48&gt;0,DD48-(IF(SUM($D49:DC49)&gt;0,0,IF(DC$25&gt;DC47,DC47,0))),0)&lt;0,0,(IF(SUM($D49:DC49)&gt;0,0,IF(DC$25&gt;DC47,DC47,0)))))</f>
        <v>0</v>
      </c>
      <c r="DE49" s="115">
        <f>IF(SUM($D$42:DD42)=0,0,IF(IF(DE48&gt;0,DE48-(IF(SUM($D49:DD49)&gt;0,0,IF(DD$25&gt;DD47,DD47,0))),0)&lt;0,0,(IF(SUM($D49:DD49)&gt;0,0,IF(DD$25&gt;DD47,DD47,0)))))</f>
        <v>0</v>
      </c>
      <c r="DF49" s="115">
        <f>IF(SUM($D$42:DE42)=0,0,IF(IF(DF48&gt;0,DF48-(IF(SUM($D49:DE49)&gt;0,0,IF(DE$25&gt;DE47,DE47,0))),0)&lt;0,0,(IF(SUM($D49:DE49)&gt;0,0,IF(DE$25&gt;DE47,DE47,0)))))</f>
        <v>0</v>
      </c>
      <c r="DG49" s="115">
        <f>IF(SUM($D$42:DF42)=0,0,IF(IF(DG48&gt;0,DG48-(IF(SUM($D49:DF49)&gt;0,0,IF(DF$25&gt;DF47,DF47,0))),0)&lt;0,0,(IF(SUM($D49:DF49)&gt;0,0,IF(DF$25&gt;DF47,DF47,0)))))</f>
        <v>0</v>
      </c>
      <c r="DH49" s="115">
        <f>IF(SUM($D$42:DG42)=0,0,IF(IF(DH48&gt;0,DH48-(IF(SUM($D49:DG49)&gt;0,0,IF(DG$25&gt;DG47,DG47,0))),0)&lt;0,0,(IF(SUM($D49:DG49)&gt;0,0,IF(DG$25&gt;DG47,DG47,0)))))</f>
        <v>0</v>
      </c>
      <c r="DI49" s="115">
        <f>IF(SUM($D$42:DH42)=0,0,IF(IF(DI48&gt;0,DI48-(IF(SUM($D49:DH49)&gt;0,0,IF(DH$25&gt;DH47,DH47,0))),0)&lt;0,0,(IF(SUM($D49:DH49)&gt;0,0,IF(DH$25&gt;DH47,DH47,0)))))</f>
        <v>0</v>
      </c>
      <c r="DJ49" s="115">
        <f>IF(SUM($D$42:DI42)=0,0,IF(IF(DJ48&gt;0,DJ48-(IF(SUM($D49:DI49)&gt;0,0,IF(DI$25&gt;DI47,DI47,0))),0)&lt;0,0,(IF(SUM($D49:DI49)&gt;0,0,IF(DI$25&gt;DI47,DI47,0)))))</f>
        <v>0</v>
      </c>
      <c r="DK49" s="115">
        <f>IF(SUM($D$42:DJ42)=0,0,IF(IF(DK48&gt;0,DK48-(IF(SUM($D49:DJ49)&gt;0,0,IF(DJ$25&gt;DJ47,DJ47,0))),0)&lt;0,0,(IF(SUM($D49:DJ49)&gt;0,0,IF(DJ$25&gt;DJ47,DJ47,0)))))</f>
        <v>0</v>
      </c>
      <c r="DL49" s="115">
        <f>IF(SUM($D$42:DK42)=0,0,IF(IF(DL48&gt;0,DL48-(IF(SUM($D49:DK49)&gt;0,0,IF(DK$25&gt;DK47,DK47,0))),0)&lt;0,0,(IF(SUM($D49:DK49)&gt;0,0,IF(DK$25&gt;DK47,DK47,0)))))</f>
        <v>0</v>
      </c>
      <c r="DM49" s="115">
        <f>IF(SUM($D$42:DL42)=0,0,IF(IF(DM48&gt;0,DM48-(IF(SUM($D49:DL49)&gt;0,0,IF(DL$25&gt;DL47,DL47,0))),0)&lt;0,0,(IF(SUM($D49:DL49)&gt;0,0,IF(DL$25&gt;DL47,DL47,0)))))</f>
        <v>0</v>
      </c>
      <c r="DN49" s="115">
        <f>IF(SUM($D$42:DM42)=0,0,IF(IF(DN48&gt;0,DN48-(IF(SUM($D49:DM49)&gt;0,0,IF(DM$25&gt;DM47,DM47,0))),0)&lt;0,0,(IF(SUM($D49:DM49)&gt;0,0,IF(DM$25&gt;DM47,DM47,0)))))</f>
        <v>0</v>
      </c>
      <c r="DO49" s="115">
        <f>IF(SUM($D$42:DN42)=0,0,IF(IF(DO48&gt;0,DO48-(IF(SUM($D49:DN49)&gt;0,0,IF(DN$25&gt;DN47,DN47,0))),0)&lt;0,0,(IF(SUM($D49:DN49)&gt;0,0,IF(DN$25&gt;DN47,DN47,0)))))</f>
        <v>0</v>
      </c>
      <c r="DP49" s="115">
        <f>IF(SUM($D$42:DO42)=0,0,IF(IF(DP48&gt;0,DP48-(IF(SUM($D49:DO49)&gt;0,0,IF(DO$25&gt;DO47,DO47,0))),0)&lt;0,0,(IF(SUM($D49:DO49)&gt;0,0,IF(DO$25&gt;DO47,DO47,0)))))</f>
        <v>0</v>
      </c>
      <c r="DQ49" s="115">
        <f>IF(SUM($D$42:DP42)=0,0,IF(IF(DQ48&gt;0,DQ48-(IF(SUM($D49:DP49)&gt;0,0,IF(DP$25&gt;DP47,DP47,0))),0)&lt;0,0,(IF(SUM($D49:DP49)&gt;0,0,IF(DP$25&gt;DP47,DP47,0)))))</f>
        <v>0</v>
      </c>
      <c r="DR49" s="115">
        <f>IF(SUM($D$42:DQ42)=0,0,IF(IF(DR48&gt;0,DR48-(IF(SUM($D49:DQ49)&gt;0,0,IF(DQ$25&gt;DQ47,DQ47,0))),0)&lt;0,0,(IF(SUM($D49:DQ49)&gt;0,0,IF(DQ$25&gt;DQ47,DQ47,0)))))</f>
        <v>0</v>
      </c>
      <c r="DS49" s="115">
        <f>IF(SUM($D$42:DR42)=0,0,IF(IF(DS48&gt;0,DS48-(IF(SUM($D49:DR49)&gt;0,0,IF(DR$25&gt;DR47,DR47,0))),0)&lt;0,0,(IF(SUM($D49:DR49)&gt;0,0,IF(DR$25&gt;DR47,DR47,0)))))</f>
        <v>0</v>
      </c>
      <c r="DT49" s="115">
        <f>IF(SUM($D$42:DS42)=0,0,IF(IF(DT48&gt;0,DT48-(IF(SUM($D49:DS49)&gt;0,0,IF(DS$25&gt;DS47,DS47,0))),0)&lt;0,0,(IF(SUM($D49:DS49)&gt;0,0,IF(DS$25&gt;DS47,DS47,0)))))</f>
        <v>0</v>
      </c>
      <c r="DU49" s="115">
        <f>IF(SUM($D$42:DT42)=0,0,IF(IF(DU48&gt;0,DU48-(IF(SUM($D49:DT49)&gt;0,0,IF(DT$25&gt;DT47,DT47,0))),0)&lt;0,0,(IF(SUM($D49:DT49)&gt;0,0,IF(DT$25&gt;DT47,DT47,0)))))</f>
        <v>0</v>
      </c>
      <c r="DV49" s="115">
        <f>IF(SUM($D$42:DU42)=0,0,IF(IF(DV48&gt;0,DV48-(IF(SUM($D49:DU49)&gt;0,0,IF(DU$25&gt;DU47,DU47,0))),0)&lt;0,0,(IF(SUM($D49:DU49)&gt;0,0,IF(DU$25&gt;DU47,DU47,0)))))</f>
        <v>0</v>
      </c>
      <c r="DW49" s="115">
        <f>IF(SUM($D$42:DV42)=0,0,IF(IF(DW48&gt;0,DW48-(IF(SUM($D49:DV49)&gt;0,0,IF(DV$25&gt;DV47,DV47,0))),0)&lt;0,0,(IF(SUM($D49:DV49)&gt;0,0,IF(DV$25&gt;DV47,DV47,0)))))</f>
        <v>0</v>
      </c>
      <c r="DX49" s="115">
        <f>IF(SUM($D$42:DW42)=0,0,IF(IF(DX48&gt;0,DX48-(IF(SUM($D49:DW49)&gt;0,0,IF(DW$25&gt;DW47,DW47,0))),0)&lt;0,0,(IF(SUM($D49:DW49)&gt;0,0,IF(DW$25&gt;DW47,DW47,0)))))</f>
        <v>0</v>
      </c>
      <c r="DY49" s="115">
        <f>IF(SUM($D$42:DX42)=0,0,IF(IF(DY48&gt;0,DY48-(IF(SUM($D49:DX49)&gt;0,0,IF(DX$25&gt;DX47,DX47,0))),0)&lt;0,0,(IF(SUM($D49:DX49)&gt;0,0,IF(DX$25&gt;DX47,DX47,0)))))</f>
        <v>0</v>
      </c>
      <c r="DZ49" s="115">
        <f>IF(SUM($D$42:DY42)=0,0,IF(IF(DZ48&gt;0,DZ48-(IF(SUM($D49:DY49)&gt;0,0,IF(DY$25&gt;DY47,DY47,0))),0)&lt;0,0,(IF(SUM($D49:DY49)&gt;0,0,IF(DY$25&gt;DY47,DY47,0)))))</f>
        <v>0</v>
      </c>
      <c r="EA49" s="115">
        <f>IF(SUM($D$42:DZ42)=0,0,IF(IF(EA48&gt;0,EA48-(IF(SUM($D49:DZ49)&gt;0,0,IF(DZ$25&gt;DZ47,DZ47,0))),0)&lt;0,0,(IF(SUM($D49:DZ49)&gt;0,0,IF(DZ$25&gt;DZ47,DZ47,0)))))</f>
        <v>0</v>
      </c>
      <c r="EB49" s="115">
        <f>IF(SUM($D$42:EA42)=0,0,IF(IF(EB48&gt;0,EB48-(IF(SUM($D49:EA49)&gt;0,0,IF(EA$25&gt;EA47,EA47,0))),0)&lt;0,0,(IF(SUM($D49:EA49)&gt;0,0,IF(EA$25&gt;EA47,EA47,0)))))</f>
        <v>0</v>
      </c>
      <c r="EC49" s="115">
        <f>IF(SUM($D$42:EB42)=0,0,IF(IF(EC48&gt;0,EC48-(IF(SUM($D49:EB49)&gt;0,0,IF(EB$25&gt;EB47,EB47,0))),0)&lt;0,0,(IF(SUM($D49:EB49)&gt;0,0,IF(EB$25&gt;EB47,EB47,0)))))</f>
        <v>0</v>
      </c>
      <c r="ED49" s="115">
        <f>IF(SUM($D$42:EC42)=0,0,IF(IF(ED48&gt;0,ED48-(IF(SUM($D49:EC49)&gt;0,0,IF(EC$25&gt;EC47,EC47,0))),0)&lt;0,0,(IF(SUM($D49:EC49)&gt;0,0,IF(EC$25&gt;EC47,EC47,0)))))</f>
        <v>0</v>
      </c>
      <c r="EE49" s="115">
        <f>IF(SUM($D$42:ED42)=0,0,IF(IF(EE48&gt;0,EE48-(IF(SUM($D49:ED49)&gt;0,0,IF(ED$25&gt;ED47,ED47,0))),0)&lt;0,0,(IF(SUM($D49:ED49)&gt;0,0,IF(ED$25&gt;ED47,ED47,0)))))</f>
        <v>0</v>
      </c>
      <c r="EF49" s="115">
        <f>IF(SUM($D$42:EE42)=0,0,IF(IF(EF48&gt;0,EF48-(IF(SUM($D49:EE49)&gt;0,0,IF(EE$25&gt;EE47,EE47,0))),0)&lt;0,0,(IF(SUM($D49:EE49)&gt;0,0,IF(EE$25&gt;EE47,EE47,0)))))</f>
        <v>0</v>
      </c>
      <c r="EG49" s="115">
        <f>IF(SUM($D$42:EF42)=0,0,IF(IF(EG48&gt;0,EG48-(IF(SUM($D49:EF49)&gt;0,0,IF(EF$25&gt;EF47,EF47,0))),0)&lt;0,0,(IF(SUM($D49:EF49)&gt;0,0,IF(EF$25&gt;EF47,EF47,0)))))</f>
        <v>0</v>
      </c>
      <c r="EH49" s="115">
        <f>IF(SUM($D$42:EG42)=0,0,IF(IF(EH48&gt;0,EH48-(IF(SUM($D49:EG49)&gt;0,0,IF(EG$25&gt;EG47,EG47,0))),0)&lt;0,0,(IF(SUM($D49:EG49)&gt;0,0,IF(EG$25&gt;EG47,EG47,0)))))</f>
        <v>0</v>
      </c>
      <c r="EI49" s="115">
        <f>IF(SUM($D$42:EH42)=0,0,IF(IF(EI48&gt;0,EI48-(IF(SUM($D49:EH49)&gt;0,0,IF(EH$25&gt;EH47,EH47,0))),0)&lt;0,0,(IF(SUM($D49:EH49)&gt;0,0,IF(EH$25&gt;EH47,EH47,0)))))</f>
        <v>0</v>
      </c>
      <c r="EJ49" s="115">
        <f>IF(SUM($D$42:EI42)=0,0,IF(IF(EJ48&gt;0,EJ48-(IF(SUM($D49:EI49)&gt;0,0,IF(EI$25&gt;EI47,EI47,0))),0)&lt;0,0,(IF(SUM($D49:EI49)&gt;0,0,IF(EI$25&gt;EI47,EI47,0)))))</f>
        <v>0</v>
      </c>
      <c r="EK49" s="115">
        <f>IF(SUM($D$42:EJ42)=0,0,IF(IF(EK48&gt;0,EK48-(IF(SUM($D49:EJ49)&gt;0,0,IF(EJ$25&gt;EJ47,EJ47,0))),0)&lt;0,0,(IF(SUM($D49:EJ49)&gt;0,0,IF(EJ$25&gt;EJ47,EJ47,0)))))</f>
        <v>0</v>
      </c>
      <c r="EL49" s="115">
        <f>IF(SUM($D$42:EK42)=0,0,IF(IF(EL48&gt;0,EL48-(IF(SUM($D49:EK49)&gt;0,0,IF(EK$25&gt;EK47,EK47,0))),0)&lt;0,0,(IF(SUM($D49:EK49)&gt;0,0,IF(EK$25&gt;EK47,EK47,0)))))</f>
        <v>0</v>
      </c>
      <c r="EM49" s="115">
        <f>IF(SUM($D$42:EL42)=0,0,IF(IF(EM48&gt;0,EM48-(IF(SUM($D49:EL49)&gt;0,0,IF(EL$25&gt;EL47,EL47,0))),0)&lt;0,0,(IF(SUM($D49:EL49)&gt;0,0,IF(EL$25&gt;EL47,EL47,0)))))</f>
        <v>0</v>
      </c>
      <c r="EN49" s="115">
        <f>IF(SUM($D$42:EM42)=0,0,IF(IF(EN48&gt;0,EN48-(IF(SUM($D49:EM49)&gt;0,0,IF(EM$25&gt;EM47,EM47,0))),0)&lt;0,0,(IF(SUM($D49:EM49)&gt;0,0,IF(EM$25&gt;EM47,EM47,0)))))</f>
        <v>0</v>
      </c>
      <c r="EO49" s="115">
        <f>IF(SUM($D$42:EN42)=0,0,IF(IF(EO48&gt;0,EO48-(IF(SUM($D49:EN49)&gt;0,0,IF(EN$25&gt;EN47,EN47,0))),0)&lt;0,0,(IF(SUM($D49:EN49)&gt;0,0,IF(EN$25&gt;EN47,EN47,0)))))</f>
        <v>0</v>
      </c>
      <c r="EP49" s="115">
        <f>IF(SUM($D$42:EO42)=0,0,IF(IF(EP48&gt;0,EP48-(IF(SUM($D49:EO49)&gt;0,0,IF(EO$25&gt;EO47,EO47,0))),0)&lt;0,0,(IF(SUM($D49:EO49)&gt;0,0,IF(EO$25&gt;EO47,EO47,0)))))</f>
        <v>0</v>
      </c>
      <c r="EQ49" s="115">
        <f>IF(SUM($D$42:EP42)=0,0,IF(IF(EQ48&gt;0,EQ48-(IF(SUM($D49:EP49)&gt;0,0,IF(EP$25&gt;EP47,EP47,0))),0)&lt;0,0,(IF(SUM($D49:EP49)&gt;0,0,IF(EP$25&gt;EP47,EP47,0)))))</f>
        <v>0</v>
      </c>
      <c r="ER49" s="115">
        <f>IF(SUM($D$42:EQ42)=0,0,IF(IF(ER48&gt;0,ER48-(IF(SUM($D49:EQ49)&gt;0,0,IF(EQ$25&gt;EQ47,EQ47,0))),0)&lt;0,0,(IF(SUM($D49:EQ49)&gt;0,0,IF(EQ$25&gt;EQ47,EQ47,0)))))</f>
        <v>0</v>
      </c>
      <c r="ES49" s="115">
        <f>IF(SUM($D$42:ER42)=0,0,IF(IF(ES48&gt;0,ES48-(IF(SUM($D49:ER49)&gt;0,0,IF(ER$25&gt;ER47,ER47,0))),0)&lt;0,0,(IF(SUM($D49:ER49)&gt;0,0,IF(ER$25&gt;ER47,ER47,0)))))</f>
        <v>0</v>
      </c>
      <c r="ET49" s="115">
        <f>IF(SUM($D$42:ES42)=0,0,IF(IF(ET48&gt;0,ET48-(IF(SUM($D49:ES49)&gt;0,0,IF(ES$25&gt;ES47,ES47,0))),0)&lt;0,0,(IF(SUM($D49:ES49)&gt;0,0,IF(ES$25&gt;ES47,ES47,0)))))</f>
        <v>0</v>
      </c>
      <c r="EU49" s="115">
        <f>IF(SUM($D$42:ET42)=0,0,IF(IF(EU48&gt;0,EU48-(IF(SUM($D49:ET49)&gt;0,0,IF(ET$25&gt;ET47,ET47,0))),0)&lt;0,0,(IF(SUM($D49:ET49)&gt;0,0,IF(ET$25&gt;ET47,ET47,0)))))</f>
        <v>0</v>
      </c>
      <c r="EV49" s="115">
        <f>IF(SUM($D$42:EU42)=0,0,IF(IF(EV48&gt;0,EV48-(IF(SUM($D49:EU49)&gt;0,0,IF(EU$25&gt;EU47,EU47,0))),0)&lt;0,0,(IF(SUM($D49:EU49)&gt;0,0,IF(EU$25&gt;EU47,EU47,0)))))</f>
        <v>0</v>
      </c>
      <c r="EW49" s="115">
        <f>IF(SUM($D$42:EV42)=0,0,IF(IF(EW48&gt;0,EW48-(IF(SUM($D49:EV49)&gt;0,0,IF(EV$25&gt;EV47,EV47,0))),0)&lt;0,0,(IF(SUM($D49:EV49)&gt;0,0,IF(EV$25&gt;EV47,EV47,0)))))</f>
        <v>0</v>
      </c>
      <c r="EX49" s="115">
        <f>IF(SUM($D$42:EW42)=0,0,IF(IF(EX48&gt;0,EX48-(IF(SUM($D49:EW49)&gt;0,0,IF(EW$25&gt;EW47,EW47,0))),0)&lt;0,0,(IF(SUM($D49:EW49)&gt;0,0,IF(EW$25&gt;EW47,EW47,0)))))</f>
        <v>0</v>
      </c>
      <c r="EY49" s="115">
        <f>IF(SUM($D$42:EX42)=0,0,IF(IF(EY48&gt;0,EY48-(IF(SUM($D49:EX49)&gt;0,0,IF(EX$25&gt;EX47,EX47,0))),0)&lt;0,0,(IF(SUM($D49:EX49)&gt;0,0,IF(EX$25&gt;EX47,EX47,0)))))</f>
        <v>0</v>
      </c>
      <c r="EZ49" s="115">
        <f>IF(SUM($D$42:EY42)=0,0,IF(IF(EZ48&gt;0,EZ48-(IF(SUM($D49:EY49)&gt;0,0,IF(EY$25&gt;EY47,EY47,0))),0)&lt;0,0,(IF(SUM($D49:EY49)&gt;0,0,IF(EY$25&gt;EY47,EY47,0)))))</f>
        <v>0</v>
      </c>
      <c r="FA49" s="115">
        <f>IF(SUM($D$42:EZ42)=0,0,IF(IF(FA48&gt;0,FA48-(IF(SUM($D49:EZ49)&gt;0,0,IF(EZ$25&gt;EZ47,EZ47,0))),0)&lt;0,0,(IF(SUM($D49:EZ49)&gt;0,0,IF(EZ$25&gt;EZ47,EZ47,0)))))</f>
        <v>0</v>
      </c>
      <c r="FB49" s="115">
        <f>IF(SUM($D$42:FA42)=0,0,IF(IF(FB48&gt;0,FB48-(IF(SUM($D49:FA49)&gt;0,0,IF(FA$25&gt;FA47,FA47,0))),0)&lt;0,0,(IF(SUM($D49:FA49)&gt;0,0,IF(FA$25&gt;FA47,FA47,0)))))</f>
        <v>0</v>
      </c>
      <c r="FC49" s="115">
        <f>IF(SUM($D$42:FB42)=0,0,IF(IF(FC48&gt;0,FC48-(IF(SUM($D49:FB49)&gt;0,0,IF(FB$25&gt;FB47,FB47,0))),0)&lt;0,0,(IF(SUM($D49:FB49)&gt;0,0,IF(FB$25&gt;FB47,FB47,0)))))</f>
        <v>0</v>
      </c>
      <c r="FD49" s="115">
        <f>IF(SUM($D$42:FC42)=0,0,IF(IF(FD48&gt;0,FD48-(IF(SUM($D49:FC49)&gt;0,0,IF(FC$25&gt;FC47,FC47,0))),0)&lt;0,0,(IF(SUM($D49:FC49)&gt;0,0,IF(FC$25&gt;FC47,FC47,0)))))</f>
        <v>0</v>
      </c>
      <c r="FE49" s="115">
        <f>IF(SUM($D$42:FD42)=0,0,IF(IF(FE48&gt;0,FE48-(IF(SUM($D49:FD49)&gt;0,0,IF(FD$25&gt;FD47,FD47,0))),0)&lt;0,0,(IF(SUM($D49:FD49)&gt;0,0,IF(FD$25&gt;FD47,FD47,0)))))</f>
        <v>0</v>
      </c>
      <c r="FF49" s="115">
        <f>IF(SUM($D$42:FE42)=0,0,IF(IF(FF48&gt;0,FF48-(IF(SUM($D49:FE49)&gt;0,0,IF(FE$25&gt;FE47,FE47,0))),0)&lt;0,0,(IF(SUM($D49:FE49)&gt;0,0,IF(FE$25&gt;FE47,FE47,0)))))</f>
        <v>0</v>
      </c>
      <c r="FG49" s="115">
        <f>IF(SUM($D$42:FF42)=0,0,IF(IF(FG48&gt;0,FG48-(IF(SUM($D49:FF49)&gt;0,0,IF(FF$25&gt;FF47,FF47,0))),0)&lt;0,0,(IF(SUM($D49:FF49)&gt;0,0,IF(FF$25&gt;FF47,FF47,0)))))</f>
        <v>0</v>
      </c>
      <c r="FH49" s="115">
        <f>IF(SUM($D$42:FG42)=0,0,IF(IF(FH48&gt;0,FH48-(IF(SUM($D49:FG49)&gt;0,0,IF(FG$25&gt;FG47,FG47,0))),0)&lt;0,0,(IF(SUM($D49:FG49)&gt;0,0,IF(FG$25&gt;FG47,FG47,0)))))</f>
        <v>0</v>
      </c>
      <c r="FI49" s="115">
        <f>IF(SUM($D$42:FH42)=0,0,IF(IF(FI48&gt;0,FI48-(IF(SUM($D49:FH49)&gt;0,0,IF(FH$25&gt;FH47,FH47,0))),0)&lt;0,0,(IF(SUM($D49:FH49)&gt;0,0,IF(FH$25&gt;FH47,FH47,0)))))</f>
        <v>0</v>
      </c>
      <c r="FJ49" s="115">
        <f>IF(SUM($D$42:FI42)=0,0,IF(IF(FJ48&gt;0,FJ48-(IF(SUM($D49:FI49)&gt;0,0,IF(FI$25&gt;FI47,FI47,0))),0)&lt;0,0,(IF(SUM($D49:FI49)&gt;0,0,IF(FI$25&gt;FI47,FI47,0)))))</f>
        <v>0</v>
      </c>
      <c r="FK49" s="115">
        <f>IF(SUM($D$42:FJ42)=0,0,IF(IF(FK48&gt;0,FK48-(IF(SUM($D49:FJ49)&gt;0,0,IF(FJ$25&gt;FJ47,FJ47,0))),0)&lt;0,0,(IF(SUM($D49:FJ49)&gt;0,0,IF(FJ$25&gt;FJ47,FJ47,0)))))</f>
        <v>0</v>
      </c>
      <c r="FL49" s="115">
        <f>IF(SUM($D$42:FK42)=0,0,IF(IF(FL48&gt;0,FL48-(IF(SUM($D49:FK49)&gt;0,0,IF(FK$25&gt;FK47,FK47,0))),0)&lt;0,0,(IF(SUM($D49:FK49)&gt;0,0,IF(FK$25&gt;FK47,FK47,0)))))</f>
        <v>0</v>
      </c>
      <c r="FM49" s="115">
        <f>IF(SUM($D$42:FL42)=0,0,IF(IF(FM48&gt;0,FM48-(IF(SUM($D49:FL49)&gt;0,0,IF(FL$25&gt;FL47,FL47,0))),0)&lt;0,0,(IF(SUM($D49:FL49)&gt;0,0,IF(FL$25&gt;FL47,FL47,0)))))</f>
        <v>0</v>
      </c>
      <c r="FN49" s="115">
        <f>IF(SUM($D$42:FM42)=0,0,IF(IF(FN48&gt;0,FN48-(IF(SUM($D49:FM49)&gt;0,0,IF(FM$25&gt;FM47,FM47,0))),0)&lt;0,0,(IF(SUM($D49:FM49)&gt;0,0,IF(FM$25&gt;FM47,FM47,0)))))</f>
        <v>0</v>
      </c>
      <c r="FO49" s="115">
        <f>IF(SUM($D$42:FN42)=0,0,IF(IF(FO48&gt;0,FO48-(IF(SUM($D49:FN49)&gt;0,0,IF(FN$25&gt;FN47,FN47,0))),0)&lt;0,0,(IF(SUM($D49:FN49)&gt;0,0,IF(FN$25&gt;FN47,FN47,0)))))</f>
        <v>0</v>
      </c>
      <c r="FP49" s="115">
        <f>IF(SUM($D$42:FO42)=0,0,IF(IF(FP48&gt;0,FP48-(IF(SUM($D49:FO49)&gt;0,0,IF(FO$25&gt;FO47,FO47,0))),0)&lt;0,0,(IF(SUM($D49:FO49)&gt;0,0,IF(FO$25&gt;FO47,FO47,0)))))</f>
        <v>0</v>
      </c>
      <c r="FQ49" s="115">
        <f>IF(SUM($D$42:FP42)=0,0,IF(IF(FQ48&gt;0,FQ48-(IF(SUM($D49:FP49)&gt;0,0,IF(FP$25&gt;FP47,FP47,0))),0)&lt;0,0,(IF(SUM($D49:FP49)&gt;0,0,IF(FP$25&gt;FP47,FP47,0)))))</f>
        <v>0</v>
      </c>
      <c r="FR49" s="115">
        <f>IF(SUM($D$42:FQ42)=0,0,IF(IF(FR48&gt;0,FR48-(IF(SUM($D49:FQ49)&gt;0,0,IF(FQ$25&gt;FQ47,FQ47,0))),0)&lt;0,0,(IF(SUM($D49:FQ49)&gt;0,0,IF(FQ$25&gt;FQ47,FQ47,0)))))</f>
        <v>0</v>
      </c>
      <c r="FS49" s="115">
        <f>IF(SUM($D$42:FR42)=0,0,IF(IF(FS48&gt;0,FS48-(IF(SUM($D49:FR49)&gt;0,0,IF(FR$25&gt;FR47,FR47,0))),0)&lt;0,0,(IF(SUM($D49:FR49)&gt;0,0,IF(FR$25&gt;FR47,FR47,0)))))</f>
        <v>0</v>
      </c>
      <c r="FT49" s="115">
        <f>IF(SUM($D$42:FS42)=0,0,IF(IF(FT48&gt;0,FT48-(IF(SUM($D49:FS49)&gt;0,0,IF(FS$25&gt;FS47,FS47,0))),0)&lt;0,0,(IF(SUM($D49:FS49)&gt;0,0,IF(FS$25&gt;FS47,FS47,0)))))</f>
        <v>0</v>
      </c>
      <c r="FU49" s="115">
        <f>IF(SUM($D$42:FT42)=0,0,IF(IF(FU48&gt;0,FU48-(IF(SUM($D49:FT49)&gt;0,0,IF(FT$25&gt;FT47,FT47,0))),0)&lt;0,0,(IF(SUM($D49:FT49)&gt;0,0,IF(FT$25&gt;FT47,FT47,0)))))</f>
        <v>0</v>
      </c>
      <c r="FV49" s="115">
        <f>IF(SUM($D$42:FU42)=0,0,IF(IF(FV48&gt;0,FV48-(IF(SUM($D49:FU49)&gt;0,0,IF(FU$25&gt;FU47,FU47,0))),0)&lt;0,0,(IF(SUM($D49:FU49)&gt;0,0,IF(FU$25&gt;FU47,FU47,0)))))</f>
        <v>0</v>
      </c>
      <c r="FW49" s="115">
        <f>IF(SUM($D$42:FV42)=0,0,IF(IF(FW48&gt;0,FW48-(IF(SUM($D49:FV49)&gt;0,0,IF(FV$25&gt;FV47,FV47,0))),0)&lt;0,0,(IF(SUM($D49:FV49)&gt;0,0,IF(FV$25&gt;FV47,FV47,0)))))</f>
        <v>0</v>
      </c>
      <c r="FX49" s="115">
        <f>IF(SUM($D$42:FW42)=0,0,IF(IF(FX48&gt;0,FX48-(IF(SUM($D49:FW49)&gt;0,0,IF(FW$25&gt;FW47,FW47,0))),0)&lt;0,0,(IF(SUM($D49:FW49)&gt;0,0,IF(FW$25&gt;FW47,FW47,0)))))</f>
        <v>0</v>
      </c>
      <c r="FY49" s="115">
        <f>IF(SUM($D$42:FX42)=0,0,IF(IF(FY48&gt;0,FY48-(IF(SUM($D49:FX49)&gt;0,0,IF(FX$25&gt;FX47,FX47,0))),0)&lt;0,0,(IF(SUM($D49:FX49)&gt;0,0,IF(FX$25&gt;FX47,FX47,0)))))</f>
        <v>0</v>
      </c>
      <c r="FZ49" s="115">
        <f>IF(SUM($D$42:FY42)=0,0,IF(IF(FZ48&gt;0,FZ48-(IF(SUM($D49:FY49)&gt;0,0,IF(FY$25&gt;FY47,FY47,0))),0)&lt;0,0,(IF(SUM($D49:FY49)&gt;0,0,IF(FY$25&gt;FY47,FY47,0)))))</f>
        <v>0</v>
      </c>
      <c r="GA49" s="115">
        <f>IF(SUM($D$42:FZ42)=0,0,IF(IF(GA48&gt;0,GA48-(IF(SUM($D49:FZ49)&gt;0,0,IF(FZ$25&gt;FZ47,FZ47,0))),0)&lt;0,0,(IF(SUM($D49:FZ49)&gt;0,0,IF(FZ$25&gt;FZ47,FZ47,0)))))</f>
        <v>0</v>
      </c>
      <c r="GB49" s="115">
        <f>IF(SUM($D$42:GA42)=0,0,IF(IF(GB48&gt;0,GB48-(IF(SUM($D49:GA49)&gt;0,0,IF(GA$25&gt;GA47,GA47,0))),0)&lt;0,0,(IF(SUM($D49:GA49)&gt;0,0,IF(GA$25&gt;GA47,GA47,0)))))</f>
        <v>0</v>
      </c>
      <c r="GC49" s="115">
        <f>IF(SUM($D$42:GB42)=0,0,IF(IF(GC48&gt;0,GC48-(IF(SUM($D49:GB49)&gt;0,0,IF(GB$25&gt;GB47,GB47,0))),0)&lt;0,0,(IF(SUM($D49:GB49)&gt;0,0,IF(GB$25&gt;GB47,GB47,0)))))</f>
        <v>0</v>
      </c>
      <c r="GD49" s="115">
        <f>IF(SUM($D$42:GC42)=0,0,IF(IF(GD48&gt;0,GD48-(IF(SUM($D49:GC49)&gt;0,0,IF(GC$25&gt;GC47,GC47,0))),0)&lt;0,0,(IF(SUM($D49:GC49)&gt;0,0,IF(GC$25&gt;GC47,GC47,0)))))</f>
        <v>0</v>
      </c>
      <c r="GE49" s="115">
        <f>IF(SUM($D$42:GD42)=0,0,IF(IF(GE48&gt;0,GE48-(IF(SUM($D49:GD49)&gt;0,0,IF(GD$25&gt;GD47,GD47,0))),0)&lt;0,0,(IF(SUM($D49:GD49)&gt;0,0,IF(GD$25&gt;GD47,GD47,0)))))</f>
        <v>0</v>
      </c>
      <c r="GF49" s="115">
        <f>IF(SUM($D$42:GE42)=0,0,IF(IF(GF48&gt;0,GF48-(IF(SUM($D49:GE49)&gt;0,0,IF(GE$25&gt;GE47,GE47,0))),0)&lt;0,0,(IF(SUM($D49:GE49)&gt;0,0,IF(GE$25&gt;GE47,GE47,0)))))</f>
        <v>0</v>
      </c>
      <c r="GG49" s="115">
        <f>IF(SUM($D$42:GF42)=0,0,IF(IF(GG48&gt;0,GG48-(IF(SUM($D49:GF49)&gt;0,0,IF(GF$25&gt;GF47,GF47,0))),0)&lt;0,0,(IF(SUM($D49:GF49)&gt;0,0,IF(GF$25&gt;GF47,GF47,0)))))</f>
        <v>0</v>
      </c>
      <c r="GH49" s="115">
        <f>IF(SUM($D$42:GG42)=0,0,IF(IF(GH48&gt;0,GH48-(IF(SUM($D49:GG49)&gt;0,0,IF(GG$25&gt;GG47,GG47,0))),0)&lt;0,0,(IF(SUM($D49:GG49)&gt;0,0,IF(GG$25&gt;GG47,GG47,0)))))</f>
        <v>0</v>
      </c>
      <c r="GI49" s="115">
        <f>IF(SUM($D$42:GH42)=0,0,IF(IF(GI48&gt;0,GI48-(IF(SUM($D49:GH49)&gt;0,0,IF(GH$25&gt;GH47,GH47,0))),0)&lt;0,0,(IF(SUM($D49:GH49)&gt;0,0,IF(GH$25&gt;GH47,GH47,0)))))</f>
        <v>0</v>
      </c>
      <c r="GJ49" s="115">
        <f>IF(SUM($D$42:GI42)=0,0,IF(IF(GJ48&gt;0,GJ48-(IF(SUM($D49:GI49)&gt;0,0,IF(GI$25&gt;GI47,GI47,0))),0)&lt;0,0,(IF(SUM($D49:GI49)&gt;0,0,IF(GI$25&gt;GI47,GI47,0)))))</f>
        <v>0</v>
      </c>
      <c r="GK49" s="115">
        <f>IF(SUM($D$42:GJ42)=0,0,IF(IF(GK48&gt;0,GK48-(IF(SUM($D49:GJ49)&gt;0,0,IF(GJ$25&gt;GJ47,GJ47,0))),0)&lt;0,0,(IF(SUM($D49:GJ49)&gt;0,0,IF(GJ$25&gt;GJ47,GJ47,0)))))</f>
        <v>0</v>
      </c>
      <c r="GL49" s="115">
        <f>IF(SUM($D$42:GK42)=0,0,IF(IF(GL48&gt;0,GL48-(IF(SUM($D49:GK49)&gt;0,0,IF(GK$25&gt;GK47,GK47,0))),0)&lt;0,0,(IF(SUM($D49:GK49)&gt;0,0,IF(GK$25&gt;GK47,GK47,0)))))</f>
        <v>0</v>
      </c>
      <c r="GM49" s="115">
        <f>IF(SUM($D$42:GL42)=0,0,IF(IF(GM48&gt;0,GM48-(IF(SUM($D49:GL49)&gt;0,0,IF(GL$25&gt;GL47,GL47,0))),0)&lt;0,0,(IF(SUM($D49:GL49)&gt;0,0,IF(GL$25&gt;GL47,GL47,0)))))</f>
        <v>0</v>
      </c>
      <c r="GN49" s="115">
        <f>IF(SUM($D$42:GM42)=0,0,IF(IF(GN48&gt;0,GN48-(IF(SUM($D49:GM49)&gt;0,0,IF(GM$25&gt;GM47,GM47,0))),0)&lt;0,0,(IF(SUM($D49:GM49)&gt;0,0,IF(GM$25&gt;GM47,GM47,0)))))</f>
        <v>0</v>
      </c>
      <c r="GO49" s="115">
        <f>IF(SUM($D$42:GN42)=0,0,IF(IF(GO48&gt;0,GO48-(IF(SUM($D49:GN49)&gt;0,0,IF(GN$25&gt;GN47,GN47,0))),0)&lt;0,0,(IF(SUM($D49:GN49)&gt;0,0,IF(GN$25&gt;GN47,GN47,0)))))</f>
        <v>0</v>
      </c>
      <c r="GP49" s="115">
        <f>IF(SUM($D$42:GO42)=0,0,IF(IF(GP48&gt;0,GP48-(IF(SUM($D49:GO49)&gt;0,0,IF(GO$25&gt;GO47,GO47,0))),0)&lt;0,0,(IF(SUM($D49:GO49)&gt;0,0,IF(GO$25&gt;GO47,GO47,0)))))</f>
        <v>0</v>
      </c>
      <c r="GQ49" s="115">
        <f>IF(SUM($D$42:GP42)=0,0,IF(IF(GQ48&gt;0,GQ48-(IF(SUM($D49:GP49)&gt;0,0,IF(GP$25&gt;GP47,GP47,0))),0)&lt;0,0,(IF(SUM($D49:GP49)&gt;0,0,IF(GP$25&gt;GP47,GP47,0)))))</f>
        <v>0</v>
      </c>
      <c r="GR49" s="115">
        <f>IF(SUM($D$42:GQ42)=0,0,IF(IF(GR48&gt;0,GR48-(IF(SUM($D49:GQ49)&gt;0,0,IF(GQ$25&gt;GQ47,GQ47,0))),0)&lt;0,0,(IF(SUM($D49:GQ49)&gt;0,0,IF(GQ$25&gt;GQ47,GQ47,0)))))</f>
        <v>0</v>
      </c>
      <c r="GS49" s="115">
        <f>IF(SUM($D$42:GR42)=0,0,IF(IF(GS48&gt;0,GS48-(IF(SUM($D49:GR49)&gt;0,0,IF(GR$25&gt;GR47,GR47,0))),0)&lt;0,0,(IF(SUM($D49:GR49)&gt;0,0,IF(GR$25&gt;GR47,GR47,0)))))</f>
        <v>0</v>
      </c>
      <c r="GT49" s="115">
        <f>IF(SUM($D$42:GS42)=0,0,IF(IF(GT48&gt;0,GT48-(IF(SUM($D49:GS49)&gt;0,0,IF(GS$25&gt;GS47,GS47,0))),0)&lt;0,0,(IF(SUM($D49:GS49)&gt;0,0,IF(GS$25&gt;GS47,GS47,0)))))</f>
        <v>0</v>
      </c>
      <c r="GU49" s="115">
        <f>IF(SUM($D$42:GT42)=0,0,IF(IF(GU48&gt;0,GU48-(IF(SUM($D49:GT49)&gt;0,0,IF(GT$25&gt;GT47,GT47,0))),0)&lt;0,0,(IF(SUM($D49:GT49)&gt;0,0,IF(GT$25&gt;GT47,GT47,0)))))</f>
        <v>0</v>
      </c>
      <c r="GV49" s="115">
        <f>IF(SUM($D$42:GU42)=0,0,IF(IF(GV48&gt;0,GV48-(IF(SUM($D49:GU49)&gt;0,0,IF(GU$25&gt;GU47,GU47,0))),0)&lt;0,0,(IF(SUM($D49:GU49)&gt;0,0,IF(GU$25&gt;GU47,GU47,0)))))</f>
        <v>0</v>
      </c>
      <c r="GW49" s="115">
        <f>IF(SUM($D$42:GV42)=0,0,IF(IF(GW48&gt;0,GW48-(IF(SUM($D49:GV49)&gt;0,0,IF(GV$25&gt;GV47,GV47,0))),0)&lt;0,0,(IF(SUM($D49:GV49)&gt;0,0,IF(GV$25&gt;GV47,GV47,0)))))</f>
        <v>0</v>
      </c>
      <c r="GX49" s="115">
        <f>IF(SUM($D$42:GW42)=0,0,IF(IF(GX48&gt;0,GX48-(IF(SUM($D49:GW49)&gt;0,0,IF(GW$25&gt;GW47,GW47,0))),0)&lt;0,0,(IF(SUM($D49:GW49)&gt;0,0,IF(GW$25&gt;GW47,GW47,0)))))</f>
        <v>0</v>
      </c>
      <c r="GY49" s="115">
        <f>IF(SUM($D$42:GX42)=0,0,IF(IF(GY48&gt;0,GY48-(IF(SUM($D49:GX49)&gt;0,0,IF(GX$25&gt;GX47,GX47,0))),0)&lt;0,0,(IF(SUM($D49:GX49)&gt;0,0,IF(GX$25&gt;GX47,GX47,0)))))</f>
        <v>0</v>
      </c>
      <c r="GZ49" s="115">
        <f>IF(SUM($D$42:GY42)=0,0,IF(IF(GZ48&gt;0,GZ48-(IF(SUM($D49:GY49)&gt;0,0,IF(GY$25&gt;GY47,GY47,0))),0)&lt;0,0,(IF(SUM($D49:GY49)&gt;0,0,IF(GY$25&gt;GY47,GY47,0)))))</f>
        <v>0</v>
      </c>
      <c r="HA49" s="115">
        <f>IF(SUM($D$42:GZ42)=0,0,IF(IF(HA48&gt;0,HA48-(IF(SUM($D49:GZ49)&gt;0,0,IF(GZ$25&gt;GZ47,GZ47,0))),0)&lt;0,0,(IF(SUM($D49:GZ49)&gt;0,0,IF(GZ$25&gt;GZ47,GZ47,0)))))</f>
        <v>0</v>
      </c>
      <c r="HB49" s="115">
        <f>IF(SUM($D$42:HA42)=0,0,IF(IF(HB48&gt;0,HB48-(IF(SUM($D49:HA49)&gt;0,0,IF(HA$25&gt;HA47,HA47,0))),0)&lt;0,0,(IF(SUM($D49:HA49)&gt;0,0,IF(HA$25&gt;HA47,HA47,0)))))</f>
        <v>0</v>
      </c>
      <c r="HC49" s="115">
        <f>IF(SUM($D$42:HB42)=0,0,IF(IF(HC48&gt;0,HC48-(IF(SUM($D49:HB49)&gt;0,0,IF(HB$25&gt;HB47,HB47,0))),0)&lt;0,0,(IF(SUM($D49:HB49)&gt;0,0,IF(HB$25&gt;HB47,HB47,0)))))</f>
        <v>0</v>
      </c>
      <c r="HD49" s="115">
        <f>IF(SUM($D$42:HC42)=0,0,IF(IF(HD48&gt;0,HD48-(IF(SUM($D49:HC49)&gt;0,0,IF(HC$25&gt;HC47,HC47,0))),0)&lt;0,0,(IF(SUM($D49:HC49)&gt;0,0,IF(HC$25&gt;HC47,HC47,0)))))</f>
        <v>0</v>
      </c>
      <c r="HE49" s="115">
        <f>IF(SUM($D$42:HD42)=0,0,IF(IF(HE48&gt;0,HE48-(IF(SUM($D49:HD49)&gt;0,0,IF(HD$25&gt;HD47,HD47,0))),0)&lt;0,0,(IF(SUM($D49:HD49)&gt;0,0,IF(HD$25&gt;HD47,HD47,0)))))</f>
        <v>0</v>
      </c>
      <c r="HF49" s="115">
        <f>IF(SUM($D$42:HE42)=0,0,IF(IF(HF48&gt;0,HF48-(IF(SUM($D49:HE49)&gt;0,0,IF(HE$25&gt;HE47,HE47,0))),0)&lt;0,0,(IF(SUM($D49:HE49)&gt;0,0,IF(HE$25&gt;HE47,HE47,0)))))</f>
        <v>0</v>
      </c>
      <c r="HG49" s="115">
        <f>IF(SUM($D$42:HF42)=0,0,IF(IF(HG48&gt;0,HG48-(IF(SUM($D49:HF49)&gt;0,0,IF(HF$25&gt;HF47,HF47,0))),0)&lt;0,0,(IF(SUM($D49:HF49)&gt;0,0,IF(HF$25&gt;HF47,HF47,0)))))</f>
        <v>0</v>
      </c>
      <c r="HH49" s="115">
        <f>IF(SUM($D$42:HG42)=0,0,IF(IF(HH48&gt;0,HH48-(IF(SUM($D49:HG49)&gt;0,0,IF(HG$25&gt;HG47,HG47,0))),0)&lt;0,0,(IF(SUM($D49:HG49)&gt;0,0,IF(HG$25&gt;HG47,HG47,0)))))</f>
        <v>0</v>
      </c>
      <c r="HI49" s="115">
        <f>IF(SUM($D$42:HH42)=0,0,IF(IF(HI48&gt;0,HI48-(IF(SUM($D49:HH49)&gt;0,0,IF(HH$25&gt;HH47,HH47,0))),0)&lt;0,0,(IF(SUM($D49:HH49)&gt;0,0,IF(HH$25&gt;HH47,HH47,0)))))</f>
        <v>0</v>
      </c>
      <c r="HJ49" s="115">
        <f>IF(SUM($D$42:HI42)=0,0,IF(IF(HJ48&gt;0,HJ48-(IF(SUM($D49:HI49)&gt;0,0,IF(HI$25&gt;HI47,HI47,0))),0)&lt;0,0,(IF(SUM($D49:HI49)&gt;0,0,IF(HI$25&gt;HI47,HI47,0)))))</f>
        <v>0</v>
      </c>
      <c r="HK49" s="115">
        <f>IF(SUM($D$42:HJ42)=0,0,IF(IF(HK48&gt;0,HK48-(IF(SUM($D49:HJ49)&gt;0,0,IF(HJ$25&gt;HJ47,HJ47,0))),0)&lt;0,0,(IF(SUM($D49:HJ49)&gt;0,0,IF(HJ$25&gt;HJ47,HJ47,0)))))</f>
        <v>0</v>
      </c>
      <c r="HL49" s="115">
        <f>IF(SUM($D$42:HK42)=0,0,IF(IF(HL48&gt;0,HL48-(IF(SUM($D49:HK49)&gt;0,0,IF(HK$25&gt;HK47,HK47,0))),0)&lt;0,0,(IF(SUM($D49:HK49)&gt;0,0,IF(HK$25&gt;HK47,HK47,0)))))</f>
        <v>0</v>
      </c>
      <c r="HM49" s="115">
        <f>IF(SUM($D$42:HL42)=0,0,IF(IF(HM48&gt;0,HM48-(IF(SUM($D49:HL49)&gt;0,0,IF(HL$25&gt;HL47,HL47,0))),0)&lt;0,0,(IF(SUM($D49:HL49)&gt;0,0,IF(HL$25&gt;HL47,HL47,0)))))</f>
        <v>0</v>
      </c>
      <c r="HN49" s="115">
        <f>IF(SUM($D$42:HM42)=0,0,IF(IF(HN48&gt;0,HN48-(IF(SUM($D49:HM49)&gt;0,0,IF(HM$25&gt;HM47,HM47,0))),0)&lt;0,0,(IF(SUM($D49:HM49)&gt;0,0,IF(HM$25&gt;HM47,HM47,0)))))</f>
        <v>0</v>
      </c>
      <c r="HO49" s="115">
        <f>IF(SUM($D$42:HN42)=0,0,IF(IF(HO48&gt;0,HO48-(IF(SUM($D49:HN49)&gt;0,0,IF(HN$25&gt;HN47,HN47,0))),0)&lt;0,0,(IF(SUM($D49:HN49)&gt;0,0,IF(HN$25&gt;HN47,HN47,0)))))</f>
        <v>0</v>
      </c>
      <c r="HP49" s="115">
        <f>IF(SUM($D$42:HO42)=0,0,IF(IF(HP48&gt;0,HP48-(IF(SUM($D49:HO49)&gt;0,0,IF(HO$25&gt;HO47,HO47,0))),0)&lt;0,0,(IF(SUM($D49:HO49)&gt;0,0,IF(HO$25&gt;HO47,HO47,0)))))</f>
        <v>0</v>
      </c>
      <c r="HQ49" s="115">
        <f>IF(SUM($D$42:HP42)=0,0,IF(IF(HQ48&gt;0,HQ48-(IF(SUM($D49:HP49)&gt;0,0,IF(HP$25&gt;HP47,HP47,0))),0)&lt;0,0,(IF(SUM($D49:HP49)&gt;0,0,IF(HP$25&gt;HP47,HP47,0)))))</f>
        <v>0</v>
      </c>
      <c r="HR49" s="115">
        <f>IF(SUM($D$42:HQ42)=0,0,IF(IF(HR48&gt;0,HR48-(IF(SUM($D49:HQ49)&gt;0,0,IF(HQ$25&gt;HQ47,HQ47,0))),0)&lt;0,0,(IF(SUM($D49:HQ49)&gt;0,0,IF(HQ$25&gt;HQ47,HQ47,0)))))</f>
        <v>0</v>
      </c>
      <c r="HS49" s="115">
        <f>IF(SUM($D$42:HR42)=0,0,IF(IF(HS48&gt;0,HS48-(IF(SUM($D49:HR49)&gt;0,0,IF(HR$25&gt;HR47,HR47,0))),0)&lt;0,0,(IF(SUM($D49:HR49)&gt;0,0,IF(HR$25&gt;HR47,HR47,0)))))</f>
        <v>0</v>
      </c>
      <c r="HT49" s="115">
        <f>IF(SUM($D$42:HS42)=0,0,IF(IF(HT48&gt;0,HT48-(IF(SUM($D49:HS49)&gt;0,0,IF(HS$25&gt;HS47,HS47,0))),0)&lt;0,0,(IF(SUM($D49:HS49)&gt;0,0,IF(HS$25&gt;HS47,HS47,0)))))</f>
        <v>0</v>
      </c>
      <c r="HU49" s="115">
        <f>IF(SUM($D$42:HT42)=0,0,IF(IF(HU48&gt;0,HU48-(IF(SUM($D49:HT49)&gt;0,0,IF(HT$25&gt;HT47,HT47,0))),0)&lt;0,0,(IF(SUM($D49:HT49)&gt;0,0,IF(HT$25&gt;HT47,HT47,0)))))</f>
        <v>0</v>
      </c>
      <c r="HV49" s="115">
        <f>IF(SUM($D$42:HU42)=0,0,IF(IF(HV48&gt;0,HV48-(IF(SUM($D49:HU49)&gt;0,0,IF(HU$25&gt;HU47,HU47,0))),0)&lt;0,0,(IF(SUM($D49:HU49)&gt;0,0,IF(HU$25&gt;HU47,HU47,0)))))</f>
        <v>0</v>
      </c>
      <c r="HW49" s="115">
        <f>IF(SUM($D$42:HV42)=0,0,IF(IF(HW48&gt;0,HW48-(IF(SUM($D49:HV49)&gt;0,0,IF(HV$25&gt;HV47,HV47,0))),0)&lt;0,0,(IF(SUM($D49:HV49)&gt;0,0,IF(HV$25&gt;HV47,HV47,0)))))</f>
        <v>0</v>
      </c>
      <c r="HX49" s="115">
        <f>IF(SUM($D$42:HW42)=0,0,IF(IF(HX48&gt;0,HX48-(IF(SUM($D49:HW49)&gt;0,0,IF(HW$25&gt;HW47,HW47,0))),0)&lt;0,0,(IF(SUM($D49:HW49)&gt;0,0,IF(HW$25&gt;HW47,HW47,0)))))</f>
        <v>0</v>
      </c>
      <c r="HY49" s="115">
        <f>IF(SUM($D$42:HX42)=0,0,IF(IF(HY48&gt;0,HY48-(IF(SUM($D49:HX49)&gt;0,0,IF(HX$25&gt;HX47,HX47,0))),0)&lt;0,0,(IF(SUM($D49:HX49)&gt;0,0,IF(HX$25&gt;HX47,HX47,0)))))</f>
        <v>0</v>
      </c>
      <c r="HZ49" s="115">
        <f>IF(SUM($D$42:HY42)=0,0,IF(IF(HZ48&gt;0,HZ48-(IF(SUM($D49:HY49)&gt;0,0,IF(HY$25&gt;HY47,HY47,0))),0)&lt;0,0,(IF(SUM($D49:HY49)&gt;0,0,IF(HY$25&gt;HY47,HY47,0)))))</f>
        <v>0</v>
      </c>
      <c r="IA49" s="115">
        <f>IF(SUM($D$42:HZ42)=0,0,IF(IF(IA48&gt;0,IA48-(IF(SUM($D49:HZ49)&gt;0,0,IF(HZ$25&gt;HZ47,HZ47,0))),0)&lt;0,0,(IF(SUM($D49:HZ49)&gt;0,0,IF(HZ$25&gt;HZ47,HZ47,0)))))</f>
        <v>0</v>
      </c>
      <c r="IB49" s="115">
        <f>IF(SUM($D$42:IA42)=0,0,IF(IF(IB48&gt;0,IB48-(IF(SUM($D49:IA49)&gt;0,0,IF(IA$25&gt;IA47,IA47,0))),0)&lt;0,0,(IF(SUM($D49:IA49)&gt;0,0,IF(IA$25&gt;IA47,IA47,0)))))</f>
        <v>0</v>
      </c>
      <c r="IC49" s="115">
        <f>IF(SUM($D$42:IB42)=0,0,IF(IF(IC48&gt;0,IC48-(IF(SUM($D49:IB49)&gt;0,0,IF(IB$25&gt;IB47,IB47,0))),0)&lt;0,0,(IF(SUM($D49:IB49)&gt;0,0,IF(IB$25&gt;IB47,IB47,0)))))</f>
        <v>0</v>
      </c>
      <c r="ID49" s="115">
        <f>IF(SUM($D$42:IC42)=0,0,IF(IF(ID48&gt;0,ID48-(IF(SUM($D49:IC49)&gt;0,0,IF(IC$25&gt;IC47,IC47,0))),0)&lt;0,0,(IF(SUM($D49:IC49)&gt;0,0,IF(IC$25&gt;IC47,IC47,0)))))</f>
        <v>0</v>
      </c>
      <c r="IE49" s="115">
        <f>IF(SUM($D$42:ID42)=0,0,IF(IF(IE48&gt;0,IE48-(IF(SUM($D49:ID49)&gt;0,0,IF(ID$25&gt;ID47,ID47,0))),0)&lt;0,0,(IF(SUM($D49:ID49)&gt;0,0,IF(ID$25&gt;ID47,ID47,0)))))</f>
        <v>0</v>
      </c>
      <c r="IF49" s="115">
        <f>IF(SUM($D$42:IE42)=0,0,IF(IF(IF48&gt;0,IF48-(IF(SUM($D49:IE49)&gt;0,0,IF(IE$25&gt;IE47,IE47,0))),0)&lt;0,0,(IF(SUM($D49:IE49)&gt;0,0,IF(IE$25&gt;IE47,IE47,0)))))</f>
        <v>0</v>
      </c>
      <c r="IG49" s="115">
        <f>IF(SUM($D$42:IF42)=0,0,IF(IF(IG48&gt;0,IG48-(IF(SUM($D49:IF49)&gt;0,0,IF(IF$25&gt;IF47,IF47,0))),0)&lt;0,0,(IF(SUM($D49:IF49)&gt;0,0,IF(IF$25&gt;IF47,IF47,0)))))</f>
        <v>0</v>
      </c>
      <c r="IH49" s="115">
        <f>IF(SUM($D$42:IG42)=0,0,IF(IF(IH48&gt;0,IH48-(IF(SUM($D49:IG49)&gt;0,0,IF(IG$25&gt;IG47,IG47,0))),0)&lt;0,0,(IF(SUM($D49:IG49)&gt;0,0,IF(IG$25&gt;IG47,IG47,0)))))</f>
        <v>0</v>
      </c>
      <c r="II49" s="115">
        <f>IF(SUM($D$42:IH42)=0,0,IF(IF(II48&gt;0,II48-(IF(SUM($D49:IH49)&gt;0,0,IF(IH$25&gt;IH47,IH47,0))),0)&lt;0,0,(IF(SUM($D49:IH49)&gt;0,0,IF(IH$25&gt;IH47,IH47,0)))))</f>
        <v>0</v>
      </c>
      <c r="IJ49" s="115">
        <f>IF(SUM($D$42:II42)=0,0,IF(IF(IJ48&gt;0,IJ48-(IF(SUM($D49:II49)&gt;0,0,IF(II$25&gt;II47,II47,0))),0)&lt;0,0,(IF(SUM($D49:II49)&gt;0,0,IF(II$25&gt;II47,II47,0)))))</f>
        <v>0</v>
      </c>
      <c r="IK49" s="115">
        <f>IF(SUM($D$42:IJ42)=0,0,IF(IF(IK48&gt;0,IK48-(IF(SUM($D49:IJ49)&gt;0,0,IF(IJ$25&gt;IJ47,IJ47,0))),0)&lt;0,0,(IF(SUM($D49:IJ49)&gt;0,0,IF(IJ$25&gt;IJ47,IJ47,0)))))</f>
        <v>0</v>
      </c>
      <c r="IL49" s="115">
        <f>IF(SUM($D$42:IK42)=0,0,IF(IF(IL48&gt;0,IL48-(IF(SUM($D49:IK49)&gt;0,0,IF(IK$25&gt;IK47,IK47,0))),0)&lt;0,0,(IF(SUM($D49:IK49)&gt;0,0,IF(IK$25&gt;IK47,IK47,0)))))</f>
        <v>0</v>
      </c>
      <c r="IM49" s="115">
        <f>IF(SUM($D$42:IL42)=0,0,IF(IF(IM48&gt;0,IM48-(IF(SUM($D49:IL49)&gt;0,0,IF(IL$25&gt;IL47,IL47,0))),0)&lt;0,0,(IF(SUM($D49:IL49)&gt;0,0,IF(IL$25&gt;IL47,IL47,0)))))</f>
        <v>0</v>
      </c>
      <c r="IN49" s="115">
        <f>IF(SUM($D$42:IM42)=0,0,IF(IF(IN48&gt;0,IN48-(IF(SUM($D49:IM49)&gt;0,0,IF(IM$25&gt;IM47,IM47,0))),0)&lt;0,0,(IF(SUM($D49:IM49)&gt;0,0,IF(IM$25&gt;IM47,IM47,0)))))</f>
        <v>0</v>
      </c>
      <c r="IO49" s="115">
        <f>IF(SUM($D$42:IN42)=0,0,IF(IF(IO48&gt;0,IO48-(IF(SUM($D49:IN49)&gt;0,0,IF(IN$25&gt;IN47,IN47,0))),0)&lt;0,0,(IF(SUM($D49:IN49)&gt;0,0,IF(IN$25&gt;IN47,IN47,0)))))</f>
        <v>0</v>
      </c>
      <c r="IP49" s="115">
        <f>IF(SUM($D$42:IO42)=0,0,IF(IF(IP48&gt;0,IP48-(IF(SUM($D49:IO49)&gt;0,0,IF(IO$25&gt;IO47,IO47,0))),0)&lt;0,0,(IF(SUM($D49:IO49)&gt;0,0,IF(IO$25&gt;IO47,IO47,0)))))</f>
        <v>0</v>
      </c>
      <c r="IQ49" s="115">
        <f>IF(SUM($D$42:IP42)=0,0,IF(IF(IQ48&gt;0,IQ48-(IF(SUM($D49:IP49)&gt;0,0,IF(IP$25&gt;IP47,IP47,0))),0)&lt;0,0,(IF(SUM($D49:IP49)&gt;0,0,IF(IP$25&gt;IP47,IP47,0)))))</f>
        <v>0</v>
      </c>
      <c r="IR49" s="115">
        <f>IF(SUM($D$42:IQ42)=0,0,IF(IF(IR48&gt;0,IR48-(IF(SUM($D49:IQ49)&gt;0,0,IF(IQ$25&gt;IQ47,IQ47,0))),0)&lt;0,0,(IF(SUM($D49:IQ49)&gt;0,0,IF(IQ$25&gt;IQ47,IQ47,0)))))</f>
        <v>0</v>
      </c>
      <c r="IS49" s="115">
        <f>IF(SUM($D$42:IR42)=0,0,IF(IF(IS48&gt;0,IS48-(IF(SUM($D49:IR49)&gt;0,0,IF(IR$25&gt;IR47,IR47,0))),0)&lt;0,0,(IF(SUM($D49:IR49)&gt;0,0,IF(IR$25&gt;IR47,IR47,0)))))</f>
        <v>0</v>
      </c>
      <c r="IT49" s="115">
        <f>IF(SUM($D$42:IS42)=0,0,IF(IF(IT48&gt;0,IT48-(IF(SUM($D49:IS49)&gt;0,0,IF(IS$25&gt;IS47,IS47,0))),0)&lt;0,0,(IF(SUM($D49:IS49)&gt;0,0,IF(IS$25&gt;IS47,IS47,0)))))</f>
        <v>0</v>
      </c>
      <c r="IU49" s="115">
        <f>IF(SUM($D$42:IT42)=0,0,IF(IF(IU48&gt;0,IU48-(IF(SUM($D49:IT49)&gt;0,0,IF(IT$25&gt;IT47,IT47,0))),0)&lt;0,0,(IF(SUM($D49:IT49)&gt;0,0,IF(IT$25&gt;IT47,IT47,0)))))</f>
        <v>0</v>
      </c>
      <c r="IV49" s="115">
        <f>IF(SUM($D$42:IU42)=0,0,IF(IF(IV48&gt;0,IV48-(IF(SUM($D49:IU49)&gt;0,0,IF(IU$25&gt;IU47,IU47,0))),0)&lt;0,0,(IF(SUM($D49:IU49)&gt;0,0,IF(IU$25&gt;IU47,IU47,0)))))</f>
        <v>0</v>
      </c>
      <c r="IW49" s="115">
        <f>IF(SUM($D$42:IV42)=0,0,IF(IF(IW48&gt;0,IW48-(IF(SUM($D49:IV49)&gt;0,0,IF(IV$25&gt;IV47,IV47,0))),0)&lt;0,0,(IF(SUM($D49:IV49)&gt;0,0,IF(IV$25&gt;IV47,IV47,0)))))</f>
        <v>0</v>
      </c>
      <c r="IX49" s="115">
        <f>IF(SUM($D$42:IW42)=0,0,IF(IF(IX48&gt;0,IX48-(IF(SUM($D49:IW49)&gt;0,0,IF(IW$25&gt;IW47,IW47,0))),0)&lt;0,0,(IF(SUM($D49:IW49)&gt;0,0,IF(IW$25&gt;IW47,IW47,0)))))</f>
        <v>0</v>
      </c>
      <c r="IY49" s="115">
        <f>IF(SUM($D$42:IX42)=0,0,IF(IF(IY48&gt;0,IY48-(IF(SUM($D49:IX49)&gt;0,0,IF(IX$25&gt;IX47,IX47,0))),0)&lt;0,0,(IF(SUM($D49:IX49)&gt;0,0,IF(IX$25&gt;IX47,IX47,0)))))</f>
        <v>0</v>
      </c>
      <c r="IZ49" s="115">
        <f>IF(SUM($D$42:IY42)=0,0,IF(IF(IZ48&gt;0,IZ48-(IF(SUM($D49:IY49)&gt;0,0,IF(IY$25&gt;IY47,IY47,0))),0)&lt;0,0,(IF(SUM($D49:IY49)&gt;0,0,IF(IY$25&gt;IY47,IY47,0)))))</f>
        <v>0</v>
      </c>
      <c r="JA49" s="115">
        <f>IF(SUM($D$42:IZ42)=0,0,IF(IF(JA48&gt;0,JA48-(IF(SUM($D49:IZ49)&gt;0,0,IF(IZ$25&gt;IZ47,IZ47,0))),0)&lt;0,0,(IF(SUM($D49:IZ49)&gt;0,0,IF(IZ$25&gt;IZ47,IZ47,0)))))</f>
        <v>0</v>
      </c>
      <c r="JB49" s="115">
        <f>IF(SUM($D$42:JA42)=0,0,IF(IF(JB48&gt;0,JB48-(IF(SUM($D49:JA49)&gt;0,0,IF(JA$25&gt;JA47,JA47,0))),0)&lt;0,0,(IF(SUM($D49:JA49)&gt;0,0,IF(JA$25&gt;JA47,JA47,0)))))</f>
        <v>0</v>
      </c>
      <c r="JC49" s="115">
        <f>IF(SUM($D$42:JB42)=0,0,IF(IF(JC48&gt;0,JC48-(IF(SUM($D49:JB49)&gt;0,0,IF(JB$25&gt;JB47,JB47,0))),0)&lt;0,0,(IF(SUM($D49:JB49)&gt;0,0,IF(JB$25&gt;JB47,JB47,0)))))</f>
        <v>0</v>
      </c>
      <c r="JD49" s="115">
        <f>IF(SUM($D$42:JC42)=0,0,IF(IF(JD48&gt;0,JD48-(IF(SUM($D49:JC49)&gt;0,0,IF(JC$25&gt;JC47,JC47,0))),0)&lt;0,0,(IF(SUM($D49:JC49)&gt;0,0,IF(JC$25&gt;JC47,JC47,0)))))</f>
        <v>0</v>
      </c>
      <c r="JE49" s="115">
        <f>IF(SUM($D$42:JD42)=0,0,IF(IF(JE48&gt;0,JE48-(IF(SUM($D49:JD49)&gt;0,0,IF(JD$25&gt;JD47,JD47,0))),0)&lt;0,0,(IF(SUM($D49:JD49)&gt;0,0,IF(JD$25&gt;JD47,JD47,0)))))</f>
        <v>0</v>
      </c>
      <c r="JF49" s="115">
        <f>IF(SUM($D$42:JE42)=0,0,IF(IF(JF48&gt;0,JF48-(IF(SUM($D49:JE49)&gt;0,0,IF(JE$25&gt;JE47,JE47,0))),0)&lt;0,0,(IF(SUM($D49:JE49)&gt;0,0,IF(JE$25&gt;JE47,JE47,0)))))</f>
        <v>0</v>
      </c>
      <c r="JG49" s="115">
        <f>IF(SUM($D$42:JF42)=0,0,IF(IF(JG48&gt;0,JG48-(IF(SUM($D49:JF49)&gt;0,0,IF(JF$25&gt;JF47,JF47,0))),0)&lt;0,0,(IF(SUM($D49:JF49)&gt;0,0,IF(JF$25&gt;JF47,JF47,0)))))</f>
        <v>0</v>
      </c>
      <c r="JH49" s="115">
        <f>IF(SUM($D$42:JG42)=0,0,IF(IF(JH48&gt;0,JH48-(IF(SUM($D49:JG49)&gt;0,0,IF(JG$25&gt;JG47,JG47,0))),0)&lt;0,0,(IF(SUM($D49:JG49)&gt;0,0,IF(JG$25&gt;JG47,JG47,0)))))</f>
        <v>0</v>
      </c>
      <c r="JI49" s="115">
        <f>IF(SUM($D$42:JH42)=0,0,IF(IF(JI48&gt;0,JI48-(IF(SUM($D49:JH49)&gt;0,0,IF(JH$25&gt;JH47,JH47,0))),0)&lt;0,0,(IF(SUM($D49:JH49)&gt;0,0,IF(JH$25&gt;JH47,JH47,0)))))</f>
        <v>0</v>
      </c>
      <c r="JJ49" s="115">
        <f>IF(SUM($D$42:JI42)=0,0,IF(IF(JJ48&gt;0,JJ48-(IF(SUM($D49:JI49)&gt;0,0,IF(JI$25&gt;JI47,JI47,0))),0)&lt;0,0,(IF(SUM($D49:JI49)&gt;0,0,IF(JI$25&gt;JI47,JI47,0)))))</f>
        <v>0</v>
      </c>
      <c r="JK49" s="115">
        <f>IF(SUM($D$42:JJ42)=0,0,IF(IF(JK48&gt;0,JK48-(IF(SUM($D49:JJ49)&gt;0,0,IF(JJ$25&gt;JJ47,JJ47,0))),0)&lt;0,0,(IF(SUM($D49:JJ49)&gt;0,0,IF(JJ$25&gt;JJ47,JJ47,0)))))</f>
        <v>0</v>
      </c>
      <c r="JL49" s="115">
        <f>IF(SUM($D$42:JK42)=0,0,IF(IF(JL48&gt;0,JL48-(IF(SUM($D49:JK49)&gt;0,0,IF(JK$25&gt;JK47,JK47,0))),0)&lt;0,0,(IF(SUM($D49:JK49)&gt;0,0,IF(JK$25&gt;JK47,JK47,0)))))</f>
        <v>0</v>
      </c>
      <c r="JM49" s="115">
        <f>IF(SUM($D$42:JL42)=0,0,IF(IF(JM48&gt;0,JM48-(IF(SUM($D49:JL49)&gt;0,0,IF(JL$25&gt;JL47,JL47,0))),0)&lt;0,0,(IF(SUM($D49:JL49)&gt;0,0,IF(JL$25&gt;JL47,JL47,0)))))</f>
        <v>0</v>
      </c>
      <c r="JN49" s="115">
        <f>IF(SUM($D$42:JM42)=0,0,IF(IF(JN48&gt;0,JN48-(IF(SUM($D49:JM49)&gt;0,0,IF(JM$25&gt;JM47,JM47,0))),0)&lt;0,0,(IF(SUM($D49:JM49)&gt;0,0,IF(JM$25&gt;JM47,JM47,0)))))</f>
        <v>0</v>
      </c>
      <c r="JO49" s="115">
        <f>IF(SUM($D$42:JN42)=0,0,IF(IF(JO48&gt;0,JO48-(IF(SUM($D49:JN49)&gt;0,0,IF(JN$25&gt;JN47,JN47,0))),0)&lt;0,0,(IF(SUM($D49:JN49)&gt;0,0,IF(JN$25&gt;JN47,JN47,0)))))</f>
        <v>0</v>
      </c>
      <c r="JP49" s="115">
        <f>IF(SUM($D$42:JO42)=0,0,IF(IF(JP48&gt;0,JP48-(IF(SUM($D49:JO49)&gt;0,0,IF(JO$25&gt;JO47,JO47,0))),0)&lt;0,0,(IF(SUM($D49:JO49)&gt;0,0,IF(JO$25&gt;JO47,JO47,0)))))</f>
        <v>0</v>
      </c>
      <c r="JQ49" s="115">
        <f>IF(SUM($D$42:JP42)=0,0,IF(IF(JQ48&gt;0,JQ48-(IF(SUM($D49:JP49)&gt;0,0,IF(JP$25&gt;JP47,JP47,0))),0)&lt;0,0,(IF(SUM($D49:JP49)&gt;0,0,IF(JP$25&gt;JP47,JP47,0)))))</f>
        <v>0</v>
      </c>
      <c r="JR49" s="115">
        <f>IF(SUM($D$42:JQ42)=0,0,IF(IF(JR48&gt;0,JR48-(IF(SUM($D49:JQ49)&gt;0,0,IF(JQ$25&gt;JQ47,JQ47,0))),0)&lt;0,0,(IF(SUM($D49:JQ49)&gt;0,0,IF(JQ$25&gt;JQ47,JQ47,0)))))</f>
        <v>0</v>
      </c>
      <c r="JS49" s="115">
        <f>IF(SUM($D$42:JR42)=0,0,IF(IF(JS48&gt;0,JS48-(IF(SUM($D49:JR49)&gt;0,0,IF(JR$25&gt;JR47,JR47,0))),0)&lt;0,0,(IF(SUM($D49:JR49)&gt;0,0,IF(JR$25&gt;JR47,JR47,0)))))</f>
        <v>0</v>
      </c>
      <c r="JT49" s="115">
        <f>IF(SUM($D$42:JS42)=0,0,IF(IF(JT48&gt;0,JT48-(IF(SUM($D49:JS49)&gt;0,0,IF(JS$25&gt;JS47,JS47,0))),0)&lt;0,0,(IF(SUM($D49:JS49)&gt;0,0,IF(JS$25&gt;JS47,JS47,0)))))</f>
        <v>0</v>
      </c>
      <c r="JU49" s="115">
        <f>IF(SUM($D$42:JT42)=0,0,IF(IF(JU48&gt;0,JU48-(IF(SUM($D49:JT49)&gt;0,0,IF(JT$25&gt;JT47,JT47,0))),0)&lt;0,0,(IF(SUM($D49:JT49)&gt;0,0,IF(JT$25&gt;JT47,JT47,0)))))</f>
        <v>0</v>
      </c>
      <c r="JV49" s="115">
        <f>IF(SUM($D$42:JU42)=0,0,IF(IF(JV48&gt;0,JV48-(IF(SUM($D49:JU49)&gt;0,0,IF(JU$25&gt;JU47,JU47,0))),0)&lt;0,0,(IF(SUM($D49:JU49)&gt;0,0,IF(JU$25&gt;JU47,JU47,0)))))</f>
        <v>0</v>
      </c>
      <c r="JW49" s="115">
        <f>IF(SUM($D$42:JV42)=0,0,IF(IF(JW48&gt;0,JW48-(IF(SUM($D49:JV49)&gt;0,0,IF(JV$25&gt;JV47,JV47,0))),0)&lt;0,0,(IF(SUM($D49:JV49)&gt;0,0,IF(JV$25&gt;JV47,JV47,0)))))</f>
        <v>0</v>
      </c>
      <c r="JX49" s="115">
        <f>IF(SUM($D$42:JW42)=0,0,IF(IF(JX48&gt;0,JX48-(IF(SUM($D49:JW49)&gt;0,0,IF(JW$25&gt;JW47,JW47,0))),0)&lt;0,0,(IF(SUM($D49:JW49)&gt;0,0,IF(JW$25&gt;JW47,JW47,0)))))</f>
        <v>0</v>
      </c>
      <c r="JY49" s="115">
        <f>IF(SUM($D$42:JX42)=0,0,IF(IF(JY48&gt;0,JY48-(IF(SUM($D49:JX49)&gt;0,0,IF(JX$25&gt;JX47,JX47,0))),0)&lt;0,0,(IF(SUM($D49:JX49)&gt;0,0,IF(JX$25&gt;JX47,JX47,0)))))</f>
        <v>0</v>
      </c>
      <c r="JZ49" s="115">
        <f>IF(SUM($D$42:JY42)=0,0,IF(IF(JZ48&gt;0,JZ48-(IF(SUM($D49:JY49)&gt;0,0,IF(JY$25&gt;JY47,JY47,0))),0)&lt;0,0,(IF(SUM($D49:JY49)&gt;0,0,IF(JY$25&gt;JY47,JY47,0)))))</f>
        <v>0</v>
      </c>
      <c r="KA49" s="115">
        <f>IF(SUM($D$42:JZ42)=0,0,IF(IF(KA48&gt;0,KA48-(IF(SUM($D49:JZ49)&gt;0,0,IF(JZ$25&gt;JZ47,JZ47,0))),0)&lt;0,0,(IF(SUM($D49:JZ49)&gt;0,0,IF(JZ$25&gt;JZ47,JZ47,0)))))</f>
        <v>0</v>
      </c>
      <c r="KB49" s="115">
        <f>IF(SUM($D$42:KA42)=0,0,IF(IF(KB48&gt;0,KB48-(IF(SUM($D49:KA49)&gt;0,0,IF(KA$25&gt;KA47,KA47,0))),0)&lt;0,0,(IF(SUM($D49:KA49)&gt;0,0,IF(KA$25&gt;KA47,KA47,0)))))</f>
        <v>0</v>
      </c>
      <c r="KC49" s="115">
        <f>IF(SUM($D$42:KB42)=0,0,IF(IF(KC48&gt;0,KC48-(IF(SUM($D49:KB49)&gt;0,0,IF(KB$25&gt;KB47,KB47,0))),0)&lt;0,0,(IF(SUM($D49:KB49)&gt;0,0,IF(KB$25&gt;KB47,KB47,0)))))</f>
        <v>0</v>
      </c>
      <c r="KD49" s="115">
        <f>IF(SUM($D$42:KC42)=0,0,IF(IF(KD48&gt;0,KD48-(IF(SUM($D49:KC49)&gt;0,0,IF(KC$25&gt;KC47,KC47,0))),0)&lt;0,0,(IF(SUM($D49:KC49)&gt;0,0,IF(KC$25&gt;KC47,KC47,0)))))</f>
        <v>0</v>
      </c>
      <c r="KE49" s="115">
        <f>IF(SUM($D$42:KD42)=0,0,IF(IF(KE48&gt;0,KE48-(IF(SUM($D49:KD49)&gt;0,0,IF(KD$25&gt;KD47,KD47,0))),0)&lt;0,0,(IF(SUM($D49:KD49)&gt;0,0,IF(KD$25&gt;KD47,KD47,0)))))</f>
        <v>0</v>
      </c>
      <c r="KF49" s="115">
        <f>IF(SUM($D$42:KE42)=0,0,IF(IF(KF48&gt;0,KF48-(IF(SUM($D49:KE49)&gt;0,0,IF(KE$25&gt;KE47,KE47,0))),0)&lt;0,0,(IF(SUM($D49:KE49)&gt;0,0,IF(KE$25&gt;KE47,KE47,0)))))</f>
        <v>0</v>
      </c>
      <c r="KG49" s="115">
        <f>IF(SUM($D$42:KF42)=0,0,IF(IF(KG48&gt;0,KG48-(IF(SUM($D49:KF49)&gt;0,0,IF(KF$25&gt;KF47,KF47,0))),0)&lt;0,0,(IF(SUM($D49:KF49)&gt;0,0,IF(KF$25&gt;KF47,KF47,0)))))</f>
        <v>0</v>
      </c>
      <c r="KH49" s="115">
        <f>IF(SUM($D$42:KG42)=0,0,IF(IF(KH48&gt;0,KH48-(IF(SUM($D49:KG49)&gt;0,0,IF(KG$25&gt;KG47,KG47,0))),0)&lt;0,0,(IF(SUM($D49:KG49)&gt;0,0,IF(KG$25&gt;KG47,KG47,0)))))</f>
        <v>0</v>
      </c>
      <c r="KI49" s="115">
        <f>IF(SUM($D$42:KH42)=0,0,IF(IF(KI48&gt;0,KI48-(IF(SUM($D49:KH49)&gt;0,0,IF(KH$25&gt;KH47,KH47,0))),0)&lt;0,0,(IF(SUM($D49:KH49)&gt;0,0,IF(KH$25&gt;KH47,KH47,0)))))</f>
        <v>0</v>
      </c>
      <c r="KJ49" s="115">
        <f>IF(SUM($D$42:KI42)=0,0,IF(IF(KJ48&gt;0,KJ48-(IF(SUM($D49:KI49)&gt;0,0,IF(KI$25&gt;KI47,KI47,0))),0)&lt;0,0,(IF(SUM($D49:KI49)&gt;0,0,IF(KI$25&gt;KI47,KI47,0)))))</f>
        <v>0</v>
      </c>
      <c r="KK49" s="115">
        <f>IF(SUM($D$42:KJ42)=0,0,IF(IF(KK48&gt;0,KK48-(IF(SUM($D49:KJ49)&gt;0,0,IF(KJ$25&gt;KJ47,KJ47,0))),0)&lt;0,0,(IF(SUM($D49:KJ49)&gt;0,0,IF(KJ$25&gt;KJ47,KJ47,0)))))</f>
        <v>0</v>
      </c>
      <c r="KL49" s="115">
        <f>IF(SUM($D$42:KK42)=0,0,IF(IF(KL48&gt;0,KL48-(IF(SUM($D49:KK49)&gt;0,0,IF(KK$25&gt;KK47,KK47,0))),0)&lt;0,0,(IF(SUM($D49:KK49)&gt;0,0,IF(KK$25&gt;KK47,KK47,0)))))</f>
        <v>0</v>
      </c>
      <c r="KM49" s="115">
        <f>IF(SUM($D$42:KL42)=0,0,IF(IF(KM48&gt;0,KM48-(IF(SUM($D49:KL49)&gt;0,0,IF(KL$25&gt;KL47,KL47,0))),0)&lt;0,0,(IF(SUM($D49:KL49)&gt;0,0,IF(KL$25&gt;KL47,KL47,0)))))</f>
        <v>0</v>
      </c>
      <c r="KN49" s="115">
        <f>IF(SUM($D$42:KM42)=0,0,IF(IF(KN48&gt;0,KN48-(IF(SUM($D49:KM49)&gt;0,0,IF(KM$25&gt;KM47,KM47,0))),0)&lt;0,0,(IF(SUM($D49:KM49)&gt;0,0,IF(KM$25&gt;KM47,KM47,0)))))</f>
        <v>0</v>
      </c>
      <c r="KO49" s="115">
        <f>IF(SUM($D$42:KN42)=0,0,IF(IF(KO48&gt;0,KO48-(IF(SUM($D49:KN49)&gt;0,0,IF(KN$25&gt;KN47,KN47,0))),0)&lt;0,0,(IF(SUM($D49:KN49)&gt;0,0,IF(KN$25&gt;KN47,KN47,0)))))</f>
        <v>0</v>
      </c>
      <c r="KP49" s="115">
        <f>IF(SUM($D$42:KO42)=0,0,IF(IF(KP48&gt;0,KP48-(IF(SUM($D49:KO49)&gt;0,0,IF(KO$25&gt;KO47,KO47,0))),0)&lt;0,0,(IF(SUM($D49:KO49)&gt;0,0,IF(KO$25&gt;KO47,KO47,0)))))</f>
        <v>0</v>
      </c>
      <c r="KQ49" s="115">
        <f>IF(SUM($D$42:KP42)=0,0,IF(IF(KQ48&gt;0,KQ48-(IF(SUM($D49:KP49)&gt;0,0,IF(KP$25&gt;KP47,KP47,0))),0)&lt;0,0,(IF(SUM($D49:KP49)&gt;0,0,IF(KP$25&gt;KP47,KP47,0)))))</f>
        <v>0</v>
      </c>
      <c r="KR49" s="115">
        <f>IF(SUM($D$42:KQ42)=0,0,IF(IF(KR48&gt;0,KR48-(IF(SUM($D49:KQ49)&gt;0,0,IF(KQ$25&gt;KQ47,KQ47,0))),0)&lt;0,0,(IF(SUM($D49:KQ49)&gt;0,0,IF(KQ$25&gt;KQ47,KQ47,0)))))</f>
        <v>0</v>
      </c>
      <c r="KS49" s="115">
        <f>IF(SUM($D$42:KR42)=0,0,IF(IF(KS48&gt;0,KS48-(IF(SUM($D49:KR49)&gt;0,0,IF(KR$25&gt;KR47,KR47,0))),0)&lt;0,0,(IF(SUM($D49:KR49)&gt;0,0,IF(KR$25&gt;KR47,KR47,0)))))</f>
        <v>0</v>
      </c>
      <c r="KT49" s="115">
        <f>IF(SUM($D$42:KS42)=0,0,IF(IF(KT48&gt;0,KT48-(IF(SUM($D49:KS49)&gt;0,0,IF(KS$25&gt;KS47,KS47,0))),0)&lt;0,0,(IF(SUM($D49:KS49)&gt;0,0,IF(KS$25&gt;KS47,KS47,0)))))</f>
        <v>0</v>
      </c>
      <c r="KU49" s="115">
        <f>IF(SUM($D$42:KT42)=0,0,IF(IF(KU48&gt;0,KU48-(IF(SUM($D49:KT49)&gt;0,0,IF(KT$25&gt;KT47,KT47,0))),0)&lt;0,0,(IF(SUM($D49:KT49)&gt;0,0,IF(KT$25&gt;KT47,KT47,0)))))</f>
        <v>0</v>
      </c>
      <c r="KV49" s="115">
        <f>IF(SUM($D$42:KU42)=0,0,IF(IF(KV48&gt;0,KV48-(IF(SUM($D49:KU49)&gt;0,0,IF(KU$25&gt;KU47,KU47,0))),0)&lt;0,0,(IF(SUM($D49:KU49)&gt;0,0,IF(KU$25&gt;KU47,KU47,0)))))</f>
        <v>0</v>
      </c>
      <c r="KW49" s="115">
        <f>IF(SUM($D$42:KV42)=0,0,IF(IF(KW48&gt;0,KW48-(IF(SUM($D49:KV49)&gt;0,0,IF(KV$25&gt;KV47,KV47,0))),0)&lt;0,0,(IF(SUM($D49:KV49)&gt;0,0,IF(KV$25&gt;KV47,KV47,0)))))</f>
        <v>0</v>
      </c>
      <c r="KX49" s="115">
        <f>IF(SUM($D$42:KW42)=0,0,IF(IF(KX48&gt;0,KX48-(IF(SUM($D49:KW49)&gt;0,0,IF(KW$25&gt;KW47,KW47,0))),0)&lt;0,0,(IF(SUM($D49:KW49)&gt;0,0,IF(KW$25&gt;KW47,KW47,0)))))</f>
        <v>0</v>
      </c>
      <c r="KY49" s="115">
        <f>IF(SUM($D$42:KX42)=0,0,IF(IF(KY48&gt;0,KY48-(IF(SUM($D49:KX49)&gt;0,0,IF(KX$25&gt;KX47,KX47,0))),0)&lt;0,0,(IF(SUM($D49:KX49)&gt;0,0,IF(KX$25&gt;KX47,KX47,0)))))</f>
        <v>0</v>
      </c>
      <c r="KZ49" s="115">
        <f>IF(SUM($D$42:KY42)=0,0,IF(IF(KZ48&gt;0,KZ48-(IF(SUM($D49:KY49)&gt;0,0,IF(KY$25&gt;KY47,KY47,0))),0)&lt;0,0,(IF(SUM($D49:KY49)&gt;0,0,IF(KY$25&gt;KY47,KY47,0)))))</f>
        <v>0</v>
      </c>
      <c r="LA49" s="115">
        <f>IF(SUM($D$42:KZ42)=0,0,IF(IF(LA48&gt;0,LA48-(IF(SUM($D49:KZ49)&gt;0,0,IF(KZ$25&gt;KZ47,KZ47,0))),0)&lt;0,0,(IF(SUM($D49:KZ49)&gt;0,0,IF(KZ$25&gt;KZ47,KZ47,0)))))</f>
        <v>0</v>
      </c>
      <c r="LB49" s="115">
        <f>IF(SUM($D$42:LA42)=0,0,IF(IF(LB48&gt;0,LB48-(IF(SUM($D49:LA49)&gt;0,0,IF(LA$25&gt;LA47,LA47,0))),0)&lt;0,0,(IF(SUM($D49:LA49)&gt;0,0,IF(LA$25&gt;LA47,LA47,0)))))</f>
        <v>0</v>
      </c>
      <c r="LC49" s="115">
        <f>IF(SUM($D$42:LB42)=0,0,IF(IF(LC48&gt;0,LC48-(IF(SUM($D49:LB49)&gt;0,0,IF(LB$25&gt;LB47,LB47,0))),0)&lt;0,0,(IF(SUM($D49:LB49)&gt;0,0,IF(LB$25&gt;LB47,LB47,0)))))</f>
        <v>0</v>
      </c>
      <c r="LD49" s="115">
        <f>IF(SUM($D$42:LC42)=0,0,IF(IF(LD48&gt;0,LD48-(IF(SUM($D49:LC49)&gt;0,0,IF(LC$25&gt;LC47,LC47,0))),0)&lt;0,0,(IF(SUM($D49:LC49)&gt;0,0,IF(LC$25&gt;LC47,LC47,0)))))</f>
        <v>0</v>
      </c>
      <c r="LE49" s="115">
        <f>IF(SUM($D$42:LD42)=0,0,IF(IF(LE48&gt;0,LE48-(IF(SUM($D49:LD49)&gt;0,0,IF(LD$25&gt;LD47,LD47,0))),0)&lt;0,0,(IF(SUM($D49:LD49)&gt;0,0,IF(LD$25&gt;LD47,LD47,0)))))</f>
        <v>0</v>
      </c>
      <c r="LF49" s="115">
        <f>IF(SUM($D$42:LE42)=0,0,IF(IF(LF48&gt;0,LF48-(IF(SUM($D49:LE49)&gt;0,0,IF(LE$25&gt;LE47,LE47,0))),0)&lt;0,0,(IF(SUM($D49:LE49)&gt;0,0,IF(LE$25&gt;LE47,LE47,0)))))</f>
        <v>0</v>
      </c>
      <c r="LG49" s="115">
        <f>IF(SUM($D$42:LF42)=0,0,IF(IF(LG48&gt;0,LG48-(IF(SUM($D49:LF49)&gt;0,0,IF(LF$25&gt;LF47,LF47,0))),0)&lt;0,0,(IF(SUM($D49:LF49)&gt;0,0,IF(LF$25&gt;LF47,LF47,0)))))</f>
        <v>0</v>
      </c>
      <c r="LH49" s="115">
        <f>IF(SUM($D$42:LG42)=0,0,IF(IF(LH48&gt;0,LH48-(IF(SUM($D49:LG49)&gt;0,0,IF(LG$25&gt;LG47,LG47,0))),0)&lt;0,0,(IF(SUM($D49:LG49)&gt;0,0,IF(LG$25&gt;LG47,LG47,0)))))</f>
        <v>0</v>
      </c>
      <c r="LI49" s="115">
        <f>IF(SUM($D$42:LH42)=0,0,IF(IF(LI48&gt;0,LI48-(IF(SUM($D49:LH49)&gt;0,0,IF(LH$25&gt;LH47,LH47,0))),0)&lt;0,0,(IF(SUM($D49:LH49)&gt;0,0,IF(LH$25&gt;LH47,LH47,0)))))</f>
        <v>0</v>
      </c>
      <c r="LJ49" s="115">
        <f>IF(SUM($D$42:LI42)=0,0,IF(IF(LJ48&gt;0,LJ48-(IF(SUM($D49:LI49)&gt;0,0,IF(LI$25&gt;LI47,LI47,0))),0)&lt;0,0,(IF(SUM($D49:LI49)&gt;0,0,IF(LI$25&gt;LI47,LI47,0)))))</f>
        <v>0</v>
      </c>
      <c r="LK49" s="115">
        <f>IF(SUM($D$42:LJ42)=0,0,IF(IF(LK48&gt;0,LK48-(IF(SUM($D49:LJ49)&gt;0,0,IF(LJ$25&gt;LJ47,LJ47,0))),0)&lt;0,0,(IF(SUM($D49:LJ49)&gt;0,0,IF(LJ$25&gt;LJ47,LJ47,0)))))</f>
        <v>0</v>
      </c>
      <c r="LL49" s="115">
        <f>IF(SUM($D$42:LK42)=0,0,IF(IF(LL48&gt;0,LL48-(IF(SUM($D49:LK49)&gt;0,0,IF(LK$25&gt;LK47,LK47,0))),0)&lt;0,0,(IF(SUM($D49:LK49)&gt;0,0,IF(LK$25&gt;LK47,LK47,0)))))</f>
        <v>0</v>
      </c>
      <c r="LM49" s="115">
        <f>IF(SUM($D$42:LL42)=0,0,IF(IF(LM48&gt;0,LM48-(IF(SUM($D49:LL49)&gt;0,0,IF(LL$25&gt;LL47,LL47,0))),0)&lt;0,0,(IF(SUM($D49:LL49)&gt;0,0,IF(LL$25&gt;LL47,LL47,0)))))</f>
        <v>0</v>
      </c>
      <c r="LN49" s="115">
        <f>IF(SUM($D$42:LM42)=0,0,IF(IF(LN48&gt;0,LN48-(IF(SUM($D49:LM49)&gt;0,0,IF(LM$25&gt;LM47,LM47,0))),0)&lt;0,0,(IF(SUM($D49:LM49)&gt;0,0,IF(LM$25&gt;LM47,LM47,0)))))</f>
        <v>0</v>
      </c>
      <c r="LO49" s="115">
        <f>IF(SUM($D$42:LN42)=0,0,IF(IF(LO48&gt;0,LO48-(IF(SUM($D49:LN49)&gt;0,0,IF(LN$25&gt;LN47,LN47,0))),0)&lt;0,0,(IF(SUM($D49:LN49)&gt;0,0,IF(LN$25&gt;LN47,LN47,0)))))</f>
        <v>0</v>
      </c>
      <c r="LP49" s="115">
        <f>IF(SUM($D$42:LO42)=0,0,IF(IF(LP48&gt;0,LP48-(IF(SUM($D49:LO49)&gt;0,0,IF(LO$25&gt;LO47,LO47,0))),0)&lt;0,0,(IF(SUM($D49:LO49)&gt;0,0,IF(LO$25&gt;LO47,LO47,0)))))</f>
        <v>0</v>
      </c>
      <c r="LQ49" s="115">
        <f>IF(SUM($D$42:LP42)=0,0,IF(IF(LQ48&gt;0,LQ48-(IF(SUM($D49:LP49)&gt;0,0,IF(LP$25&gt;LP47,LP47,0))),0)&lt;0,0,(IF(SUM($D49:LP49)&gt;0,0,IF(LP$25&gt;LP47,LP47,0)))))</f>
        <v>0</v>
      </c>
      <c r="LR49" s="115">
        <f>IF(SUM($D$42:LQ42)=0,0,IF(IF(LR48&gt;0,LR48-(IF(SUM($D49:LQ49)&gt;0,0,IF(LQ$25&gt;LQ47,LQ47,0))),0)&lt;0,0,(IF(SUM($D49:LQ49)&gt;0,0,IF(LQ$25&gt;LQ47,LQ47,0)))))</f>
        <v>0</v>
      </c>
      <c r="LS49" s="115">
        <f>IF(SUM($D$42:LR42)=0,0,IF(IF(LS48&gt;0,LS48-(IF(SUM($D49:LR49)&gt;0,0,IF(LR$25&gt;LR47,LR47,0))),0)&lt;0,0,(IF(SUM($D49:LR49)&gt;0,0,IF(LR$25&gt;LR47,LR47,0)))))</f>
        <v>0</v>
      </c>
      <c r="LT49" s="115">
        <f>IF(SUM($D$42:LS42)=0,0,IF(IF(LT48&gt;0,LT48-(IF(SUM($D49:LS49)&gt;0,0,IF(LS$25&gt;LS47,LS47,0))),0)&lt;0,0,(IF(SUM($D49:LS49)&gt;0,0,IF(LS$25&gt;LS47,LS47,0)))))</f>
        <v>0</v>
      </c>
      <c r="LU49" s="115">
        <f>IF(SUM($D$42:LT42)=0,0,IF(IF(LU48&gt;0,LU48-(IF(SUM($D49:LT49)&gt;0,0,IF(LT$25&gt;LT47,LT47,0))),0)&lt;0,0,(IF(SUM($D49:LT49)&gt;0,0,IF(LT$25&gt;LT47,LT47,0)))))</f>
        <v>0</v>
      </c>
      <c r="LV49" s="115">
        <f>IF(SUM($D$42:LU42)=0,0,IF(IF(LV48&gt;0,LV48-(IF(SUM($D49:LU49)&gt;0,0,IF(LU$25&gt;LU47,LU47,0))),0)&lt;0,0,(IF(SUM($D49:LU49)&gt;0,0,IF(LU$25&gt;LU47,LU47,0)))))</f>
        <v>0</v>
      </c>
      <c r="LW49" s="115">
        <f>IF(SUM($D$42:LV42)=0,0,IF(IF(LW48&gt;0,LW48-(IF(SUM($D49:LV49)&gt;0,0,IF(LV$25&gt;LV47,LV47,0))),0)&lt;0,0,(IF(SUM($D49:LV49)&gt;0,0,IF(LV$25&gt;LV47,LV47,0)))))</f>
        <v>0</v>
      </c>
      <c r="LX49" s="115">
        <f>IF(SUM($D$42:LW42)=0,0,IF(IF(LX48&gt;0,LX48-(IF(SUM($D49:LW49)&gt;0,0,IF(LW$25&gt;LW47,LW47,0))),0)&lt;0,0,(IF(SUM($D49:LW49)&gt;0,0,IF(LW$25&gt;LW47,LW47,0)))))</f>
        <v>0</v>
      </c>
      <c r="LY49" s="115">
        <f>IF(SUM($D$42:LX42)=0,0,IF(IF(LY48&gt;0,LY48-(IF(SUM($D49:LX49)&gt;0,0,IF(LX$25&gt;LX47,LX47,0))),0)&lt;0,0,(IF(SUM($D49:LX49)&gt;0,0,IF(LX$25&gt;LX47,LX47,0)))))</f>
        <v>0</v>
      </c>
      <c r="LZ49" s="115">
        <f>IF(SUM($D$42:LY42)=0,0,IF(IF(LZ48&gt;0,LZ48-(IF(SUM($D49:LY49)&gt;0,0,IF(LY$25&gt;LY47,LY47,0))),0)&lt;0,0,(IF(SUM($D49:LY49)&gt;0,0,IF(LY$25&gt;LY47,LY47,0)))))</f>
        <v>0</v>
      </c>
      <c r="MA49" s="115">
        <f>IF(SUM($D$42:LZ42)=0,0,IF(IF(MA48&gt;0,MA48-(IF(SUM($D49:LZ49)&gt;0,0,IF(LZ$25&gt;LZ47,LZ47,0))),0)&lt;0,0,(IF(SUM($D49:LZ49)&gt;0,0,IF(LZ$25&gt;LZ47,LZ47,0)))))</f>
        <v>0</v>
      </c>
      <c r="MB49" s="115">
        <f>IF(SUM($D$42:MA42)=0,0,IF(IF(MB48&gt;0,MB48-(IF(SUM($D49:MA49)&gt;0,0,IF(MA$25&gt;MA47,MA47,0))),0)&lt;0,0,(IF(SUM($D49:MA49)&gt;0,0,IF(MA$25&gt;MA47,MA47,0)))))</f>
        <v>0</v>
      </c>
      <c r="MC49" s="115">
        <f>IF(SUM($D$42:MB42)=0,0,IF(IF(MC48&gt;0,MC48-(IF(SUM($D49:MB49)&gt;0,0,IF(MB$25&gt;MB47,MB47,0))),0)&lt;0,0,(IF(SUM($D49:MB49)&gt;0,0,IF(MB$25&gt;MB47,MB47,0)))))</f>
        <v>0</v>
      </c>
      <c r="MD49" s="115">
        <f>IF(SUM($D$42:MC42)=0,0,IF(IF(MD48&gt;0,MD48-(IF(SUM($D49:MC49)&gt;0,0,IF(MC$25&gt;MC47,MC47,0))),0)&lt;0,0,(IF(SUM($D49:MC49)&gt;0,0,IF(MC$25&gt;MC47,MC47,0)))))</f>
        <v>0</v>
      </c>
      <c r="ME49" s="115">
        <f>IF(SUM($D$42:MD42)=0,0,IF(IF(ME48&gt;0,ME48-(IF(SUM($D49:MD49)&gt;0,0,IF(MD$25&gt;MD47,MD47,0))),0)&lt;0,0,(IF(SUM($D49:MD49)&gt;0,0,IF(MD$25&gt;MD47,MD47,0)))))</f>
        <v>0</v>
      </c>
      <c r="MF49" s="115">
        <f>IF(SUM($D$42:ME42)=0,0,IF(IF(MF48&gt;0,MF48-(IF(SUM($D49:ME49)&gt;0,0,IF(ME$25&gt;ME47,ME47,0))),0)&lt;0,0,(IF(SUM($D49:ME49)&gt;0,0,IF(ME$25&gt;ME47,ME47,0)))))</f>
        <v>0</v>
      </c>
      <c r="MG49" s="115">
        <f>IF(SUM($D$42:MF42)=0,0,IF(IF(MG48&gt;0,MG48-(IF(SUM($D49:MF49)&gt;0,0,IF(MF$25&gt;MF47,MF47,0))),0)&lt;0,0,(IF(SUM($D49:MF49)&gt;0,0,IF(MF$25&gt;MF47,MF47,0)))))</f>
        <v>0</v>
      </c>
      <c r="MH49" s="115">
        <f>IF(SUM($D$42:MG42)=0,0,IF(IF(MH48&gt;0,MH48-(IF(SUM($D49:MG49)&gt;0,0,IF(MG$25&gt;MG47,MG47,0))),0)&lt;0,0,(IF(SUM($D49:MG49)&gt;0,0,IF(MG$25&gt;MG47,MG47,0)))))</f>
        <v>0</v>
      </c>
      <c r="MI49" s="115">
        <f>IF(SUM($D$42:MH42)=0,0,IF(IF(MI48&gt;0,MI48-(IF(SUM($D49:MH49)&gt;0,0,IF(MH$25&gt;MH47,MH47,0))),0)&lt;0,0,(IF(SUM($D49:MH49)&gt;0,0,IF(MH$25&gt;MH47,MH47,0)))))</f>
        <v>0</v>
      </c>
      <c r="MJ49" s="115">
        <f>IF(SUM($D$42:MI42)=0,0,IF(IF(MJ48&gt;0,MJ48-(IF(SUM($D49:MI49)&gt;0,0,IF(MI$25&gt;MI47,MI47,0))),0)&lt;0,0,(IF(SUM($D49:MI49)&gt;0,0,IF(MI$25&gt;MI47,MI47,0)))))</f>
        <v>0</v>
      </c>
      <c r="MK49" s="115">
        <f>IF(SUM($D$42:MJ42)=0,0,IF(IF(MK48&gt;0,MK48-(IF(SUM($D49:MJ49)&gt;0,0,IF(MJ$25&gt;MJ47,MJ47,0))),0)&lt;0,0,(IF(SUM($D49:MJ49)&gt;0,0,IF(MJ$25&gt;MJ47,MJ47,0)))))</f>
        <v>0</v>
      </c>
      <c r="ML49" s="115">
        <f>IF(SUM($D$42:MK42)=0,0,IF(IF(ML48&gt;0,ML48-(IF(SUM($D49:MK49)&gt;0,0,IF(MK$25&gt;MK47,MK47,0))),0)&lt;0,0,(IF(SUM($D49:MK49)&gt;0,0,IF(MK$25&gt;MK47,MK47,0)))))</f>
        <v>0</v>
      </c>
      <c r="MM49" s="115">
        <f>IF(SUM($D$42:ML42)=0,0,IF(IF(MM48&gt;0,MM48-(IF(SUM($D49:ML49)&gt;0,0,IF(ML$25&gt;ML47,ML47,0))),0)&lt;0,0,(IF(SUM($D49:ML49)&gt;0,0,IF(ML$25&gt;ML47,ML47,0)))))</f>
        <v>0</v>
      </c>
      <c r="MN49" s="115">
        <f>IF(SUM($D$42:MM42)=0,0,IF(IF(MN48&gt;0,MN48-(IF(SUM($D49:MM49)&gt;0,0,IF(MM$25&gt;MM47,MM47,0))),0)&lt;0,0,(IF(SUM($D49:MM49)&gt;0,0,IF(MM$25&gt;MM47,MM47,0)))))</f>
        <v>0</v>
      </c>
      <c r="MO49" s="115">
        <f>IF(SUM($D$42:MN42)=0,0,IF(IF(MO48&gt;0,MO48-(IF(SUM($D49:MN49)&gt;0,0,IF(MN$25&gt;MN47,MN47,0))),0)&lt;0,0,(IF(SUM($D49:MN49)&gt;0,0,IF(MN$25&gt;MN47,MN47,0)))))</f>
        <v>0</v>
      </c>
      <c r="MP49" s="115">
        <f>IF(SUM($D$42:MO42)=0,0,IF(IF(MP48&gt;0,MP48-(IF(SUM($D49:MO49)&gt;0,0,IF(MO$25&gt;MO47,MO47,0))),0)&lt;0,0,(IF(SUM($D49:MO49)&gt;0,0,IF(MO$25&gt;MO47,MO47,0)))))</f>
        <v>0</v>
      </c>
      <c r="MQ49" s="115">
        <f>IF(SUM($D$42:MP42)=0,0,IF(IF(MQ48&gt;0,MQ48-(IF(SUM($D49:MP49)&gt;0,0,IF(MP$25&gt;MP47,MP47,0))),0)&lt;0,0,(IF(SUM($D49:MP49)&gt;0,0,IF(MP$25&gt;MP47,MP47,0)))))</f>
        <v>0</v>
      </c>
      <c r="MR49" s="115">
        <f>IF(SUM($D$42:MQ42)=0,0,IF(IF(MR48&gt;0,MR48-(IF(SUM($D49:MQ49)&gt;0,0,IF(MQ$25&gt;MQ47,MQ47,0))),0)&lt;0,0,(IF(SUM($D49:MQ49)&gt;0,0,IF(MQ$25&gt;MQ47,MQ47,0)))))</f>
        <v>0</v>
      </c>
      <c r="MS49" s="115">
        <f>IF(SUM($D$42:MR42)=0,0,IF(IF(MS48&gt;0,MS48-(IF(SUM($D49:MR49)&gt;0,0,IF(MR$25&gt;MR47,MR47,0))),0)&lt;0,0,(IF(SUM($D49:MR49)&gt;0,0,IF(MR$25&gt;MR47,MR47,0)))))</f>
        <v>0</v>
      </c>
      <c r="MT49" s="115">
        <f>IF(SUM($D$42:MS42)=0,0,IF(IF(MT48&gt;0,MT48-(IF(SUM($D49:MS49)&gt;0,0,IF(MS$25&gt;MS47,MS47,0))),0)&lt;0,0,(IF(SUM($D49:MS49)&gt;0,0,IF(MS$25&gt;MS47,MS47,0)))))</f>
        <v>0</v>
      </c>
      <c r="MU49" s="115">
        <f>IF(SUM($D$42:MT42)=0,0,IF(IF(MU48&gt;0,MU48-(IF(SUM($D49:MT49)&gt;0,0,IF(MT$25&gt;MT47,MT47,0))),0)&lt;0,0,(IF(SUM($D49:MT49)&gt;0,0,IF(MT$25&gt;MT47,MT47,0)))))</f>
        <v>0</v>
      </c>
      <c r="MV49" s="115">
        <f>IF(SUM($D$42:MU42)=0,0,IF(IF(MV48&gt;0,MV48-(IF(SUM($D49:MU49)&gt;0,0,IF(MU$25&gt;MU47,MU47,0))),0)&lt;0,0,(IF(SUM($D49:MU49)&gt;0,0,IF(MU$25&gt;MU47,MU47,0)))))</f>
        <v>0</v>
      </c>
      <c r="MW49" s="115">
        <f>IF(SUM($D$42:MV42)=0,0,IF(IF(MW48&gt;0,MW48-(IF(SUM($D49:MV49)&gt;0,0,IF(MV$25&gt;MV47,MV47,0))),0)&lt;0,0,(IF(SUM($D49:MV49)&gt;0,0,IF(MV$25&gt;MV47,MV47,0)))))</f>
        <v>0</v>
      </c>
      <c r="MX49" s="115">
        <f>IF(SUM($D$42:MW42)=0,0,IF(IF(MX48&gt;0,MX48-(IF(SUM($D49:MW49)&gt;0,0,IF(MW$25&gt;MW47,MW47,0))),0)&lt;0,0,(IF(SUM($D49:MW49)&gt;0,0,IF(MW$25&gt;MW47,MW47,0)))))</f>
        <v>0</v>
      </c>
      <c r="MY49" s="115">
        <f>IF(SUM($D$42:MX42)=0,0,IF(IF(MY48&gt;0,MY48-(IF(SUM($D49:MX49)&gt;0,0,IF(MX$25&gt;MX47,MX47,0))),0)&lt;0,0,(IF(SUM($D49:MX49)&gt;0,0,IF(MX$25&gt;MX47,MX47,0)))))</f>
        <v>0</v>
      </c>
      <c r="MZ49" s="115">
        <f>IF(SUM($D$42:MY42)=0,0,IF(IF(MZ48&gt;0,MZ48-(IF(SUM($D49:MY49)&gt;0,0,IF(MY$25&gt;MY47,MY47,0))),0)&lt;0,0,(IF(SUM($D49:MY49)&gt;0,0,IF(MY$25&gt;MY47,MY47,0)))))</f>
        <v>0</v>
      </c>
      <c r="NA49" s="115">
        <f>IF(SUM($D$42:MZ42)=0,0,IF(IF(NA48&gt;0,NA48-(IF(SUM($D49:MZ49)&gt;0,0,IF(MZ$25&gt;MZ47,MZ47,0))),0)&lt;0,0,(IF(SUM($D49:MZ49)&gt;0,0,IF(MZ$25&gt;MZ47,MZ47,0)))))</f>
        <v>0</v>
      </c>
      <c r="NB49" s="115">
        <f>IF(SUM($D$42:NA42)=0,0,IF(IF(NB48&gt;0,NB48-(IF(SUM($D49:NA49)&gt;0,0,IF(NA$25&gt;NA47,NA47,0))),0)&lt;0,0,(IF(SUM($D49:NA49)&gt;0,0,IF(NA$25&gt;NA47,NA47,0)))))</f>
        <v>0</v>
      </c>
      <c r="NC49" s="115">
        <f>IF(SUM($D$42:NB42)=0,0,IF(IF(NC48&gt;0,NC48-(IF(SUM($D49:NB49)&gt;0,0,IF(NB$25&gt;NB47,NB47,0))),0)&lt;0,0,(IF(SUM($D49:NB49)&gt;0,0,IF(NB$25&gt;NB47,NB47,0)))))</f>
        <v>0</v>
      </c>
      <c r="ND49" s="115">
        <f>IF(SUM($D$42:NC42)=0,0,IF(IF(ND48&gt;0,ND48-(IF(SUM($D49:NC49)&gt;0,0,IF(NC$25&gt;NC47,NC47,0))),0)&lt;0,0,(IF(SUM($D49:NC49)&gt;0,0,IF(NC$25&gt;NC47,NC47,0)))))</f>
        <v>0</v>
      </c>
      <c r="NE49" s="115">
        <f>IF(SUM($D$42:ND42)=0,0,IF(IF(NE48&gt;0,NE48-(IF(SUM($D49:ND49)&gt;0,0,IF(ND$25&gt;ND47,ND47,0))),0)&lt;0,0,(IF(SUM($D49:ND49)&gt;0,0,IF(ND$25&gt;ND47,ND47,0)))))</f>
        <v>0</v>
      </c>
      <c r="NF49" s="115">
        <f>IF(SUM($D$42:NE42)=0,0,IF(IF(NF48&gt;0,NF48-(IF(SUM($D49:NE49)&gt;0,0,IF(NE$25&gt;NE47,NE47,0))),0)&lt;0,0,(IF(SUM($D49:NE49)&gt;0,0,IF(NE$25&gt;NE47,NE47,0)))))</f>
        <v>0</v>
      </c>
      <c r="NG49" s="115">
        <f>IF(SUM($D$42:NF42)=0,0,IF(IF(NG48&gt;0,NG48-(IF(SUM($D49:NF49)&gt;0,0,IF(NF$25&gt;NF47,NF47,0))),0)&lt;0,0,(IF(SUM($D49:NF49)&gt;0,0,IF(NF$25&gt;NF47,NF47,0)))))</f>
        <v>0</v>
      </c>
      <c r="NH49" s="115">
        <f>IF(SUM($D$42:NG42)=0,0,IF(IF(NH48&gt;0,NH48-(IF(SUM($D49:NG49)&gt;0,0,IF(NG$25&gt;NG47,NG47,0))),0)&lt;0,0,(IF(SUM($D49:NG49)&gt;0,0,IF(NG$25&gt;NG47,NG47,0)))))</f>
        <v>0</v>
      </c>
      <c r="NI49" s="115">
        <f>IF(SUM($D$42:NH42)=0,0,IF(IF(NI48&gt;0,NI48-(IF(SUM($D49:NH49)&gt;0,0,IF(NH$25&gt;NH47,NH47,0))),0)&lt;0,0,(IF(SUM($D49:NH49)&gt;0,0,IF(NH$25&gt;NH47,NH47,0)))))</f>
        <v>0</v>
      </c>
      <c r="NJ49" s="115">
        <f>IF(SUM($D$42:NI42)=0,0,IF(IF(NJ48&gt;0,NJ48-(IF(SUM($D49:NI49)&gt;0,0,IF(NI$25&gt;NI47,NI47,0))),0)&lt;0,0,(IF(SUM($D49:NI49)&gt;0,0,IF(NI$25&gt;NI47,NI47,0)))))</f>
        <v>0</v>
      </c>
      <c r="NK49" s="115">
        <f>IF(SUM($D$42:NJ42)=0,0,IF(IF(NK48&gt;0,NK48-(IF(SUM($D49:NJ49)&gt;0,0,IF(NJ$25&gt;NJ47,NJ47,0))),0)&lt;0,0,(IF(SUM($D49:NJ49)&gt;0,0,IF(NJ$25&gt;NJ47,NJ47,0)))))</f>
        <v>0</v>
      </c>
      <c r="NL49" s="115">
        <f>IF(SUM($D$42:NK42)=0,0,IF(IF(NL48&gt;0,NL48-(IF(SUM($D49:NK49)&gt;0,0,IF(NK$25&gt;NK47,NK47,0))),0)&lt;0,0,(IF(SUM($D49:NK49)&gt;0,0,IF(NK$25&gt;NK47,NK47,0)))))</f>
        <v>0</v>
      </c>
      <c r="NM49" s="115">
        <f>IF(SUM($D$42:NL42)=0,0,IF(IF(NM48&gt;0,NM48-(IF(SUM($D49:NL49)&gt;0,0,IF(NL$25&gt;NL47,NL47,0))),0)&lt;0,0,(IF(SUM($D49:NL49)&gt;0,0,IF(NL$25&gt;NL47,NL47,0)))))</f>
        <v>0</v>
      </c>
      <c r="NN49" s="115">
        <f>IF(SUM($D$42:NM42)=0,0,IF(IF(NN48&gt;0,NN48-(IF(SUM($D49:NM49)&gt;0,0,IF(NM$25&gt;NM47,NM47,0))),0)&lt;0,0,(IF(SUM($D49:NM49)&gt;0,0,IF(NM$25&gt;NM47,NM47,0)))))</f>
        <v>0</v>
      </c>
      <c r="NO49" s="115">
        <f>IF(SUM($D$42:NN42)=0,0,IF(IF(NO48&gt;0,NO48-(IF(SUM($D49:NN49)&gt;0,0,IF(NN$25&gt;NN47,NN47,0))),0)&lt;0,0,(IF(SUM($D49:NN49)&gt;0,0,IF(NN$25&gt;NN47,NN47,0)))))</f>
        <v>0</v>
      </c>
      <c r="NP49" s="115">
        <f>IF(SUM($D$42:NO42)=0,0,IF(IF(NP48&gt;0,NP48-(IF(SUM($D49:NO49)&gt;0,0,IF(NO$25&gt;NO47,NO47,0))),0)&lt;0,0,(IF(SUM($D49:NO49)&gt;0,0,IF(NO$25&gt;NO47,NO47,0)))))</f>
        <v>0</v>
      </c>
      <c r="NQ49" s="115">
        <f>IF(SUM($D$42:NP42)=0,0,IF(IF(NQ48&gt;0,NQ48-(IF(SUM($D49:NP49)&gt;0,0,IF(NP$25&gt;NP47,NP47,0))),0)&lt;0,0,(IF(SUM($D49:NP49)&gt;0,0,IF(NP$25&gt;NP47,NP47,0)))))</f>
        <v>0</v>
      </c>
      <c r="NR49" s="115">
        <f>IF(SUM($D$42:NQ42)=0,0,IF(IF(NR48&gt;0,NR48-(IF(SUM($D49:NQ49)&gt;0,0,IF(NQ$25&gt;NQ47,NQ47,0))),0)&lt;0,0,(IF(SUM($D49:NQ49)&gt;0,0,IF(NQ$25&gt;NQ47,NQ47,0)))))</f>
        <v>0</v>
      </c>
      <c r="NS49" s="115">
        <f>IF(SUM($D$42:NR42)=0,0,IF(IF(NS48&gt;0,NS48-(IF(SUM($D49:NR49)&gt;0,0,IF(NR$25&gt;NR47,NR47,0))),0)&lt;0,0,(IF(SUM($D49:NR49)&gt;0,0,IF(NR$25&gt;NR47,NR47,0)))))</f>
        <v>0</v>
      </c>
      <c r="NT49" s="115">
        <f>IF(SUM($D$42:NS42)=0,0,IF(IF(NT48&gt;0,NT48-(IF(SUM($D49:NS49)&gt;0,0,IF(NS$25&gt;NS47,NS47,0))),0)&lt;0,0,(IF(SUM($D49:NS49)&gt;0,0,IF(NS$25&gt;NS47,NS47,0)))))</f>
        <v>0</v>
      </c>
      <c r="NU49" s="115">
        <f>IF(SUM($D$42:NT42)=0,0,IF(IF(NU48&gt;0,NU48-(IF(SUM($D49:NT49)&gt;0,0,IF(NT$25&gt;NT47,NT47,0))),0)&lt;0,0,(IF(SUM($D49:NT49)&gt;0,0,IF(NT$25&gt;NT47,NT47,0)))))</f>
        <v>0</v>
      </c>
      <c r="NV49" s="115">
        <f>IF(SUM($D$42:NU42)=0,0,IF(IF(NV48&gt;0,NV48-(IF(SUM($D49:NU49)&gt;0,0,IF(NU$25&gt;NU47,NU47,0))),0)&lt;0,0,(IF(SUM($D49:NU49)&gt;0,0,IF(NU$25&gt;NU47,NU47,0)))))</f>
        <v>0</v>
      </c>
      <c r="NW49" s="115">
        <f>IF(SUM($D$42:NV42)=0,0,IF(IF(NW48&gt;0,NW48-(IF(SUM($D49:NV49)&gt;0,0,IF(NV$25&gt;NV47,NV47,0))),0)&lt;0,0,(IF(SUM($D49:NV49)&gt;0,0,IF(NV$25&gt;NV47,NV47,0)))))</f>
        <v>0</v>
      </c>
      <c r="NX49" s="115">
        <f>IF(SUM($D$42:NW42)=0,0,IF(IF(NX48&gt;0,NX48-(IF(SUM($D49:NW49)&gt;0,0,IF(NW$25&gt;NW47,NW47,0))),0)&lt;0,0,(IF(SUM($D49:NW49)&gt;0,0,IF(NW$25&gt;NW47,NW47,0)))))</f>
        <v>0</v>
      </c>
      <c r="NY49" s="115">
        <f>IF(SUM($D$42:NX42)=0,0,IF(IF(NY48&gt;0,NY48-(IF(SUM($D49:NX49)&gt;0,0,IF(NX$25&gt;NX47,NX47,0))),0)&lt;0,0,(IF(SUM($D49:NX49)&gt;0,0,IF(NX$25&gt;NX47,NX47,0)))))</f>
        <v>0</v>
      </c>
      <c r="NZ49" s="115">
        <f>IF(SUM($D$42:NY42)=0,0,IF(IF(NZ48&gt;0,NZ48-(IF(SUM($D49:NY49)&gt;0,0,IF(NY$25&gt;NY47,NY47,0))),0)&lt;0,0,(IF(SUM($D49:NY49)&gt;0,0,IF(NY$25&gt;NY47,NY47,0)))))</f>
        <v>0</v>
      </c>
      <c r="OA49" s="115">
        <f>IF(SUM($D$42:NZ42)=0,0,IF(IF(OA48&gt;0,OA48-(IF(SUM($D49:NZ49)&gt;0,0,IF(NZ$25&gt;NZ47,NZ47,0))),0)&lt;0,0,(IF(SUM($D49:NZ49)&gt;0,0,IF(NZ$25&gt;NZ47,NZ47,0)))))</f>
        <v>0</v>
      </c>
      <c r="OB49" s="115">
        <f>IF(SUM($D$42:OA42)=0,0,IF(IF(OB48&gt;0,OB48-(IF(SUM($D49:OA49)&gt;0,0,IF(OA$25&gt;OA47,OA47,0))),0)&lt;0,0,(IF(SUM($D49:OA49)&gt;0,0,IF(OA$25&gt;OA47,OA47,0)))))</f>
        <v>0</v>
      </c>
      <c r="OC49" s="115">
        <f>IF(SUM($D$42:OB42)=0,0,IF(IF(OC48&gt;0,OC48-(IF(SUM($D49:OB49)&gt;0,0,IF(OB$25&gt;OB47,OB47,0))),0)&lt;0,0,(IF(SUM($D49:OB49)&gt;0,0,IF(OB$25&gt;OB47,OB47,0)))))</f>
        <v>0</v>
      </c>
      <c r="OD49" s="115">
        <f>IF(SUM($D$42:OC42)=0,0,IF(IF(OD48&gt;0,OD48-(IF(SUM($D49:OC49)&gt;0,0,IF(OC$25&gt;OC47,OC47,0))),0)&lt;0,0,(IF(SUM($D49:OC49)&gt;0,0,IF(OC$25&gt;OC47,OC47,0)))))</f>
        <v>0</v>
      </c>
      <c r="OE49" s="115">
        <f>IF(SUM($D$42:OD42)=0,0,IF(IF(OE48&gt;0,OE48-(IF(SUM($D49:OD49)&gt;0,0,IF(OD$25&gt;OD47,OD47,0))),0)&lt;0,0,(IF(SUM($D49:OD49)&gt;0,0,IF(OD$25&gt;OD47,OD47,0)))))</f>
        <v>0</v>
      </c>
      <c r="OF49" s="115">
        <f>IF(SUM($D$42:OE42)=0,0,IF(IF(OF48&gt;0,OF48-(IF(SUM($D49:OE49)&gt;0,0,IF(OE$25&gt;OE47,OE47,0))),0)&lt;0,0,(IF(SUM($D49:OE49)&gt;0,0,IF(OE$25&gt;OE47,OE47,0)))))</f>
        <v>0</v>
      </c>
      <c r="OG49" s="115">
        <f>IF(SUM($D$42:OF42)=0,0,IF(IF(OG48&gt;0,OG48-(IF(SUM($D49:OF49)&gt;0,0,IF(OF$25&gt;OF47,OF47,0))),0)&lt;0,0,(IF(SUM($D49:OF49)&gt;0,0,IF(OF$25&gt;OF47,OF47,0)))))</f>
        <v>0</v>
      </c>
      <c r="OH49" s="115">
        <f>IF(SUM($D$42:OG42)=0,0,IF(IF(OH48&gt;0,OH48-(IF(SUM($D49:OG49)&gt;0,0,IF(OG$25&gt;OG47,OG47,0))),0)&lt;0,0,(IF(SUM($D49:OG49)&gt;0,0,IF(OG$25&gt;OG47,OG47,0)))))</f>
        <v>0</v>
      </c>
      <c r="OI49" s="115">
        <f>IF(SUM($D$42:OH42)=0,0,IF(IF(OI48&gt;0,OI48-(IF(SUM($D49:OH49)&gt;0,0,IF(OH$25&gt;OH47,OH47,0))),0)&lt;0,0,(IF(SUM($D49:OH49)&gt;0,0,IF(OH$25&gt;OH47,OH47,0)))))</f>
        <v>0</v>
      </c>
      <c r="OJ49" s="115">
        <f>IF(SUM($D$42:OI42)=0,0,IF(IF(OJ48&gt;0,OJ48-(IF(SUM($D49:OI49)&gt;0,0,IF(OI$25&gt;OI47,OI47,0))),0)&lt;0,0,(IF(SUM($D49:OI49)&gt;0,0,IF(OI$25&gt;OI47,OI47,0)))))</f>
        <v>0</v>
      </c>
      <c r="OK49" s="115">
        <f>IF(SUM($D$42:OJ42)=0,0,IF(IF(OK48&gt;0,OK48-(IF(SUM($D49:OJ49)&gt;0,0,IF(OJ$25&gt;OJ47,OJ47,0))),0)&lt;0,0,(IF(SUM($D49:OJ49)&gt;0,0,IF(OJ$25&gt;OJ47,OJ47,0)))))</f>
        <v>0</v>
      </c>
      <c r="OL49" s="115">
        <f>IF(SUM($D$42:OK42)=0,0,IF(IF(OL48&gt;0,OL48-(IF(SUM($D49:OK49)&gt;0,0,IF(OK$25&gt;OK47,OK47,0))),0)&lt;0,0,(IF(SUM($D49:OK49)&gt;0,0,IF(OK$25&gt;OK47,OK47,0)))))</f>
        <v>0</v>
      </c>
      <c r="OM49" s="115">
        <f>IF(SUM($D$42:OL42)=0,0,IF(IF(OM48&gt;0,OM48-(IF(SUM($D49:OL49)&gt;0,0,IF(OL$25&gt;OL47,OL47,0))),0)&lt;0,0,(IF(SUM($D49:OL49)&gt;0,0,IF(OL$25&gt;OL47,OL47,0)))))</f>
        <v>0</v>
      </c>
      <c r="ON49" s="115">
        <f>IF(SUM($D$42:OM42)=0,0,IF(IF(ON48&gt;0,ON48-(IF(SUM($D49:OM49)&gt;0,0,IF(OM$25&gt;OM47,OM47,0))),0)&lt;0,0,(IF(SUM($D49:OM49)&gt;0,0,IF(OM$25&gt;OM47,OM47,0)))))</f>
        <v>0</v>
      </c>
      <c r="OO49" s="115">
        <f>IF(SUM($D$42:ON42)=0,0,IF(IF(OO48&gt;0,OO48-(IF(SUM($D49:ON49)&gt;0,0,IF(ON$25&gt;ON47,ON47,0))),0)&lt;0,0,(IF(SUM($D49:ON49)&gt;0,0,IF(ON$25&gt;ON47,ON47,0)))))</f>
        <v>0</v>
      </c>
      <c r="OP49" s="115">
        <f>IF(SUM($D$42:OO42)=0,0,IF(IF(OP48&gt;0,OP48-(IF(SUM($D49:OO49)&gt;0,0,IF(OO$25&gt;OO47,OO47,0))),0)&lt;0,0,(IF(SUM($D49:OO49)&gt;0,0,IF(OO$25&gt;OO47,OO47,0)))))</f>
        <v>0</v>
      </c>
      <c r="OQ49" s="115">
        <f>IF(SUM($D$42:OP42)=0,0,IF(IF(OQ48&gt;0,OQ48-(IF(SUM($D49:OP49)&gt;0,0,IF(OP$25&gt;OP47,OP47,0))),0)&lt;0,0,(IF(SUM($D49:OP49)&gt;0,0,IF(OP$25&gt;OP47,OP47,0)))))</f>
        <v>0</v>
      </c>
      <c r="OR49" s="115">
        <f>IF(SUM($D$42:OQ42)=0,0,IF(IF(OR48&gt;0,OR48-(IF(SUM($D49:OQ49)&gt;0,0,IF(OQ$25&gt;OQ47,OQ47,0))),0)&lt;0,0,(IF(SUM($D49:OQ49)&gt;0,0,IF(OQ$25&gt;OQ47,OQ47,0)))))</f>
        <v>0</v>
      </c>
      <c r="OS49" s="115">
        <f>IF(SUM($D$42:OR42)=0,0,IF(IF(OS48&gt;0,OS48-(IF(SUM($D49:OR49)&gt;0,0,IF(OR$25&gt;OR47,OR47,0))),0)&lt;0,0,(IF(SUM($D49:OR49)&gt;0,0,IF(OR$25&gt;OR47,OR47,0)))))</f>
        <v>0</v>
      </c>
      <c r="OT49" s="115">
        <f>IF(SUM($D$42:OS42)=0,0,IF(IF(OT48&gt;0,OT48-(IF(SUM($D49:OS49)&gt;0,0,IF(OS$25&gt;OS47,OS47,0))),0)&lt;0,0,(IF(SUM($D49:OS49)&gt;0,0,IF(OS$25&gt;OS47,OS47,0)))))</f>
        <v>0</v>
      </c>
      <c r="OU49" s="115">
        <f>IF(SUM($D$42:OT42)=0,0,IF(IF(OU48&gt;0,OU48-(IF(SUM($D49:OT49)&gt;0,0,IF(OT$25&gt;OT47,OT47,0))),0)&lt;0,0,(IF(SUM($D49:OT49)&gt;0,0,IF(OT$25&gt;OT47,OT47,0)))))</f>
        <v>0</v>
      </c>
      <c r="OV49" s="115">
        <f>IF(SUM($D$42:OU42)=0,0,IF(IF(OV48&gt;0,OV48-(IF(SUM($D49:OU49)&gt;0,0,IF(OU$25&gt;OU47,OU47,0))),0)&lt;0,0,(IF(SUM($D49:OU49)&gt;0,0,IF(OU$25&gt;OU47,OU47,0)))))</f>
        <v>0</v>
      </c>
      <c r="OW49" s="115">
        <f>IF(SUM($D$42:OV42)=0,0,IF(IF(OW48&gt;0,OW48-(IF(SUM($D49:OV49)&gt;0,0,IF(OV$25&gt;OV47,OV47,0))),0)&lt;0,0,(IF(SUM($D49:OV49)&gt;0,0,IF(OV$25&gt;OV47,OV47,0)))))</f>
        <v>0</v>
      </c>
      <c r="OX49" s="115">
        <f>IF(SUM($D$42:OW42)=0,0,IF(IF(OX48&gt;0,OX48-(IF(SUM($D49:OW49)&gt;0,0,IF(OW$25&gt;OW47,OW47,0))),0)&lt;0,0,(IF(SUM($D49:OW49)&gt;0,0,IF(OW$25&gt;OW47,OW47,0)))))</f>
        <v>0</v>
      </c>
      <c r="OY49" s="115">
        <f>IF(SUM($D$42:OX42)=0,0,IF(IF(OY48&gt;0,OY48-(IF(SUM($D49:OX49)&gt;0,0,IF(OX$25&gt;OX47,OX47,0))),0)&lt;0,0,(IF(SUM($D49:OX49)&gt;0,0,IF(OX$25&gt;OX47,OX47,0)))))</f>
        <v>0</v>
      </c>
      <c r="OZ49" s="115">
        <f>IF(SUM($D$42:OY42)=0,0,IF(IF(OZ48&gt;0,OZ48-(IF(SUM($D49:OY49)&gt;0,0,IF(OY$25&gt;OY47,OY47,0))),0)&lt;0,0,(IF(SUM($D49:OY49)&gt;0,0,IF(OY$25&gt;OY47,OY47,0)))))</f>
        <v>0</v>
      </c>
      <c r="PA49" s="115">
        <f>IF(SUM($D$42:OZ42)=0,0,IF(IF(PA48&gt;0,PA48-(IF(SUM($D49:OZ49)&gt;0,0,IF(OZ$25&gt;OZ47,OZ47,0))),0)&lt;0,0,(IF(SUM($D49:OZ49)&gt;0,0,IF(OZ$25&gt;OZ47,OZ47,0)))))</f>
        <v>0</v>
      </c>
      <c r="PB49" s="115">
        <f>IF(SUM($D$42:PA42)=0,0,IF(IF(PB48&gt;0,PB48-(IF(SUM($D49:PA49)&gt;0,0,IF(PA$25&gt;PA47,PA47,0))),0)&lt;0,0,(IF(SUM($D49:PA49)&gt;0,0,IF(PA$25&gt;PA47,PA47,0)))))</f>
        <v>0</v>
      </c>
      <c r="PC49" s="115">
        <f>IF(SUM($D$42:PB42)=0,0,IF(IF(PC48&gt;0,PC48-(IF(SUM($D49:PB49)&gt;0,0,IF(PB$25&gt;PB47,PB47,0))),0)&lt;0,0,(IF(SUM($D49:PB49)&gt;0,0,IF(PB$25&gt;PB47,PB47,0)))))</f>
        <v>0</v>
      </c>
      <c r="PD49" s="115">
        <f>IF(SUM($D$42:PC42)=0,0,IF(IF(PD48&gt;0,PD48-(IF(SUM($D49:PC49)&gt;0,0,IF(PC$25&gt;PC47,PC47,0))),0)&lt;0,0,(IF(SUM($D49:PC49)&gt;0,0,IF(PC$25&gt;PC47,PC47,0)))))</f>
        <v>0</v>
      </c>
      <c r="PE49" s="115">
        <f>IF(SUM($D$42:PD42)=0,0,IF(IF(PE48&gt;0,PE48-(IF(SUM($D49:PD49)&gt;0,0,IF(PD$25&gt;PD47,PD47,0))),0)&lt;0,0,(IF(SUM($D49:PD49)&gt;0,0,IF(PD$25&gt;PD47,PD47,0)))))</f>
        <v>0</v>
      </c>
      <c r="PF49" s="115">
        <f>IF(SUM($D$42:PE42)=0,0,IF(IF(PF48&gt;0,PF48-(IF(SUM($D49:PE49)&gt;0,0,IF(PE$25&gt;PE47,PE47,0))),0)&lt;0,0,(IF(SUM($D49:PE49)&gt;0,0,IF(PE$25&gt;PE47,PE47,0)))))</f>
        <v>0</v>
      </c>
      <c r="PG49" s="115">
        <f>IF(SUM($D$42:PF42)=0,0,IF(IF(PG48&gt;0,PG48-(IF(SUM($D49:PF49)&gt;0,0,IF(PF$25&gt;PF47,PF47,0))),0)&lt;0,0,(IF(SUM($D49:PF49)&gt;0,0,IF(PF$25&gt;PF47,PF47,0)))))</f>
        <v>0</v>
      </c>
      <c r="PH49" s="115">
        <f>IF(SUM($D$42:PG42)=0,0,IF(IF(PH48&gt;0,PH48-(IF(SUM($D49:PG49)&gt;0,0,IF(PG$25&gt;PG47,PG47,0))),0)&lt;0,0,(IF(SUM($D49:PG49)&gt;0,0,IF(PG$25&gt;PG47,PG47,0)))))</f>
        <v>0</v>
      </c>
      <c r="PI49" s="115">
        <f>IF(SUM($D$42:PH42)=0,0,IF(IF(PI48&gt;0,PI48-(IF(SUM($D49:PH49)&gt;0,0,IF(PH$25&gt;PH47,PH47,0))),0)&lt;0,0,(IF(SUM($D49:PH49)&gt;0,0,IF(PH$25&gt;PH47,PH47,0)))))</f>
        <v>0</v>
      </c>
      <c r="PJ49" s="115">
        <f>IF(SUM($D$42:PI42)=0,0,IF(IF(PJ48&gt;0,PJ48-(IF(SUM($D49:PI49)&gt;0,0,IF(PI$25&gt;PI47,PI47,0))),0)&lt;0,0,(IF(SUM($D49:PI49)&gt;0,0,IF(PI$25&gt;PI47,PI47,0)))))</f>
        <v>0</v>
      </c>
      <c r="PK49" s="115">
        <f>IF(SUM($D$42:PJ42)=0,0,IF(IF(PK48&gt;0,PK48-(IF(SUM($D49:PJ49)&gt;0,0,IF(PJ$25&gt;PJ47,PJ47,0))),0)&lt;0,0,(IF(SUM($D49:PJ49)&gt;0,0,IF(PJ$25&gt;PJ47,PJ47,0)))))</f>
        <v>0</v>
      </c>
      <c r="PL49" s="115">
        <f>IF(SUM($D$42:PK42)=0,0,IF(IF(PL48&gt;0,PL48-(IF(SUM($D49:PK49)&gt;0,0,IF(PK$25&gt;PK47,PK47,0))),0)&lt;0,0,(IF(SUM($D49:PK49)&gt;0,0,IF(PK$25&gt;PK47,PK47,0)))))</f>
        <v>0</v>
      </c>
      <c r="PM49" s="115">
        <f>IF(SUM($D$42:PL42)=0,0,IF(IF(PM48&gt;0,PM48-(IF(SUM($D49:PL49)&gt;0,0,IF(PL$25&gt;PL47,PL47,0))),0)&lt;0,0,(IF(SUM($D49:PL49)&gt;0,0,IF(PL$25&gt;PL47,PL47,0)))))</f>
        <v>0</v>
      </c>
      <c r="PN49" s="115">
        <f>IF(SUM($D$42:PM42)=0,0,IF(IF(PN48&gt;0,PN48-(IF(SUM($D49:PM49)&gt;0,0,IF(PM$25&gt;PM47,PM47,0))),0)&lt;0,0,(IF(SUM($D49:PM49)&gt;0,0,IF(PM$25&gt;PM47,PM47,0)))))</f>
        <v>0</v>
      </c>
      <c r="PO49" s="115">
        <f>IF(SUM($D$42:PN42)=0,0,IF(IF(PO48&gt;0,PO48-(IF(SUM($D49:PN49)&gt;0,0,IF(PN$25&gt;PN47,PN47,0))),0)&lt;0,0,(IF(SUM($D49:PN49)&gt;0,0,IF(PN$25&gt;PN47,PN47,0)))))</f>
        <v>0</v>
      </c>
      <c r="PP49" s="115">
        <f>IF(SUM($D$42:PO42)=0,0,IF(IF(PP48&gt;0,PP48-(IF(SUM($D49:PO49)&gt;0,0,IF(PO$25&gt;PO47,PO47,0))),0)&lt;0,0,(IF(SUM($D49:PO49)&gt;0,0,IF(PO$25&gt;PO47,PO47,0)))))</f>
        <v>0</v>
      </c>
      <c r="PQ49" s="115">
        <f>IF(SUM($D$42:PP42)=0,0,IF(IF(PQ48&gt;0,PQ48-(IF(SUM($D49:PP49)&gt;0,0,IF(PP$25&gt;PP47,PP47,0))),0)&lt;0,0,(IF(SUM($D49:PP49)&gt;0,0,IF(PP$25&gt;PP47,PP47,0)))))</f>
        <v>0</v>
      </c>
      <c r="PR49" s="115">
        <f>IF(SUM($D$42:PQ42)=0,0,IF(IF(PR48&gt;0,PR48-(IF(SUM($D49:PQ49)&gt;0,0,IF(PQ$25&gt;PQ47,PQ47,0))),0)&lt;0,0,(IF(SUM($D49:PQ49)&gt;0,0,IF(PQ$25&gt;PQ47,PQ47,0)))))</f>
        <v>0</v>
      </c>
      <c r="PS49" s="115">
        <f>IF(SUM($D$42:PR42)=0,0,IF(IF(PS48&gt;0,PS48-(IF(SUM($D49:PR49)&gt;0,0,IF(PR$25&gt;PR47,PR47,0))),0)&lt;0,0,(IF(SUM($D49:PR49)&gt;0,0,IF(PR$25&gt;PR47,PR47,0)))))</f>
        <v>0</v>
      </c>
      <c r="PT49" s="115">
        <f>IF(SUM($D$42:PS42)=0,0,IF(IF(PT48&gt;0,PT48-(IF(SUM($D49:PS49)&gt;0,0,IF(PS$25&gt;PS47,PS47,0))),0)&lt;0,0,(IF(SUM($D49:PS49)&gt;0,0,IF(PS$25&gt;PS47,PS47,0)))))</f>
        <v>0</v>
      </c>
      <c r="PU49" s="115">
        <f>IF(SUM($D$42:PT42)=0,0,IF(IF(PU48&gt;0,PU48-(IF(SUM($D49:PT49)&gt;0,0,IF(PT$25&gt;PT47,PT47,0))),0)&lt;0,0,(IF(SUM($D49:PT49)&gt;0,0,IF(PT$25&gt;PT47,PT47,0)))))</f>
        <v>0</v>
      </c>
      <c r="PV49" s="115">
        <f>IF(SUM($D$42:PU42)=0,0,IF(IF(PV48&gt;0,PV48-(IF(SUM($D49:PU49)&gt;0,0,IF(PU$25&gt;PU47,PU47,0))),0)&lt;0,0,(IF(SUM($D49:PU49)&gt;0,0,IF(PU$25&gt;PU47,PU47,0)))))</f>
        <v>0</v>
      </c>
      <c r="PW49" s="115">
        <f>IF(SUM($D$42:PV42)=0,0,IF(IF(PW48&gt;0,PW48-(IF(SUM($D49:PV49)&gt;0,0,IF(PV$25&gt;PV47,PV47,0))),0)&lt;0,0,(IF(SUM($D49:PV49)&gt;0,0,IF(PV$25&gt;PV47,PV47,0)))))</f>
        <v>0</v>
      </c>
      <c r="PX49" s="115">
        <f>IF(SUM($D$42:PW42)=0,0,IF(IF(PX48&gt;0,PX48-(IF(SUM($D49:PW49)&gt;0,0,IF(PW$25&gt;PW47,PW47,0))),0)&lt;0,0,(IF(SUM($D49:PW49)&gt;0,0,IF(PW$25&gt;PW47,PW47,0)))))</f>
        <v>0</v>
      </c>
      <c r="PY49" s="115">
        <f>IF(SUM($D$42:PX42)=0,0,IF(IF(PY48&gt;0,PY48-(IF(SUM($D49:PX49)&gt;0,0,IF(PX$25&gt;PX47,PX47,0))),0)&lt;0,0,(IF(SUM($D49:PX49)&gt;0,0,IF(PX$25&gt;PX47,PX47,0)))))</f>
        <v>0</v>
      </c>
      <c r="PZ49" s="115">
        <f>IF(SUM($D$42:PY42)=0,0,IF(IF(PZ48&gt;0,PZ48-(IF(SUM($D49:PY49)&gt;0,0,IF(PY$25&gt;PY47,PY47,0))),0)&lt;0,0,(IF(SUM($D49:PY49)&gt;0,0,IF(PY$25&gt;PY47,PY47,0)))))</f>
        <v>0</v>
      </c>
      <c r="QA49" s="115">
        <f>IF(SUM($D$42:PZ42)=0,0,IF(IF(QA48&gt;0,QA48-(IF(SUM($D49:PZ49)&gt;0,0,IF(PZ$25&gt;PZ47,PZ47,0))),0)&lt;0,0,(IF(SUM($D49:PZ49)&gt;0,0,IF(PZ$25&gt;PZ47,PZ47,0)))))</f>
        <v>0</v>
      </c>
      <c r="QB49" s="115">
        <f>IF(SUM($D$42:QA42)=0,0,IF(IF(QB48&gt;0,QB48-(IF(SUM($D49:QA49)&gt;0,0,IF(QA$25&gt;QA47,QA47,0))),0)&lt;0,0,(IF(SUM($D49:QA49)&gt;0,0,IF(QA$25&gt;QA47,QA47,0)))))</f>
        <v>0</v>
      </c>
      <c r="QC49" s="115">
        <f>IF(SUM($D$42:QB42)=0,0,IF(IF(QC48&gt;0,QC48-(IF(SUM($D49:QB49)&gt;0,0,IF(QB$25&gt;QB47,QB47,0))),0)&lt;0,0,(IF(SUM($D49:QB49)&gt;0,0,IF(QB$25&gt;QB47,QB47,0)))))</f>
        <v>0</v>
      </c>
      <c r="QD49" s="115">
        <f>IF(SUM($D$42:QC42)=0,0,IF(IF(QD48&gt;0,QD48-(IF(SUM($D49:QC49)&gt;0,0,IF(QC$25&gt;QC47,QC47,0))),0)&lt;0,0,(IF(SUM($D49:QC49)&gt;0,0,IF(QC$25&gt;QC47,QC47,0)))))</f>
        <v>0</v>
      </c>
      <c r="QE49" s="115">
        <f>IF(SUM($D$42:QD42)=0,0,IF(IF(QE48&gt;0,QE48-(IF(SUM($D49:QD49)&gt;0,0,IF(QD$25&gt;QD47,QD47,0))),0)&lt;0,0,(IF(SUM($D49:QD49)&gt;0,0,IF(QD$25&gt;QD47,QD47,0)))))</f>
        <v>0</v>
      </c>
      <c r="QF49" s="115">
        <f>IF(SUM($D$42:QE42)=0,0,IF(IF(QF48&gt;0,QF48-(IF(SUM($D49:QE49)&gt;0,0,IF(QE$25&gt;QE47,QE47,0))),0)&lt;0,0,(IF(SUM($D49:QE49)&gt;0,0,IF(QE$25&gt;QE47,QE47,0)))))</f>
        <v>0</v>
      </c>
      <c r="QG49" s="115">
        <f>IF(SUM($D$42:QF42)=0,0,IF(IF(QG48&gt;0,QG48-(IF(SUM($D49:QF49)&gt;0,0,IF(QF$25&gt;QF47,QF47,0))),0)&lt;0,0,(IF(SUM($D49:QF49)&gt;0,0,IF(QF$25&gt;QF47,QF47,0)))))</f>
        <v>0</v>
      </c>
      <c r="QH49" s="115">
        <f>IF(SUM($D$42:QG42)=0,0,IF(IF(QH48&gt;0,QH48-(IF(SUM($D49:QG49)&gt;0,0,IF(QG$25&gt;QG47,QG47,0))),0)&lt;0,0,(IF(SUM($D49:QG49)&gt;0,0,IF(QG$25&gt;QG47,QG47,0)))))</f>
        <v>0</v>
      </c>
      <c r="QI49" s="115">
        <f>IF(SUM($D$42:QH42)=0,0,IF(IF(QI48&gt;0,QI48-(IF(SUM($D49:QH49)&gt;0,0,IF(QH$25&gt;QH47,QH47,0))),0)&lt;0,0,(IF(SUM($D49:QH49)&gt;0,0,IF(QH$25&gt;QH47,QH47,0)))))</f>
        <v>0</v>
      </c>
      <c r="QJ49" s="115">
        <f>IF(SUM($D$42:QI42)=0,0,IF(IF(QJ48&gt;0,QJ48-(IF(SUM($D49:QI49)&gt;0,0,IF(QI$25&gt;QI47,QI47,0))),0)&lt;0,0,(IF(SUM($D49:QI49)&gt;0,0,IF(QI$25&gt;QI47,QI47,0)))))</f>
        <v>0</v>
      </c>
      <c r="QK49" s="115">
        <f>IF(SUM($D$42:QJ42)=0,0,IF(IF(QK48&gt;0,QK48-(IF(SUM($D49:QJ49)&gt;0,0,IF(QJ$25&gt;QJ47,QJ47,0))),0)&lt;0,0,(IF(SUM($D49:QJ49)&gt;0,0,IF(QJ$25&gt;QJ47,QJ47,0)))))</f>
        <v>0</v>
      </c>
      <c r="QL49" s="115">
        <f>IF(SUM($D$42:QK42)=0,0,IF(IF(QL48&gt;0,QL48-(IF(SUM($D49:QK49)&gt;0,0,IF(QK$25&gt;QK47,QK47,0))),0)&lt;0,0,(IF(SUM($D49:QK49)&gt;0,0,IF(QK$25&gt;QK47,QK47,0)))))</f>
        <v>0</v>
      </c>
      <c r="QM49" s="115">
        <f>IF(SUM($D$42:QL42)=0,0,IF(IF(QM48&gt;0,QM48-(IF(SUM($D49:QL49)&gt;0,0,IF(QL$25&gt;QL47,QL47,0))),0)&lt;0,0,(IF(SUM($D49:QL49)&gt;0,0,IF(QL$25&gt;QL47,QL47,0)))))</f>
        <v>0</v>
      </c>
      <c r="QN49" s="115">
        <f>IF(SUM($D$42:QM42)=0,0,IF(IF(QN48&gt;0,QN48-(IF(SUM($D49:QM49)&gt;0,0,IF(QM$25&gt;QM47,QM47,0))),0)&lt;0,0,(IF(SUM($D49:QM49)&gt;0,0,IF(QM$25&gt;QM47,QM47,0)))))</f>
        <v>0</v>
      </c>
      <c r="QO49" s="115">
        <f>IF(SUM($D$42:QN42)=0,0,IF(IF(QO48&gt;0,QO48-(IF(SUM($D49:QN49)&gt;0,0,IF(QN$25&gt;QN47,QN47,0))),0)&lt;0,0,(IF(SUM($D49:QN49)&gt;0,0,IF(QN$25&gt;QN47,QN47,0)))))</f>
        <v>0</v>
      </c>
      <c r="QP49" s="115">
        <f>IF(SUM($D$42:QO42)=0,0,IF(IF(QP48&gt;0,QP48-(IF(SUM($D49:QO49)&gt;0,0,IF(QO$25&gt;QO47,QO47,0))),0)&lt;0,0,(IF(SUM($D49:QO49)&gt;0,0,IF(QO$25&gt;QO47,QO47,0)))))</f>
        <v>0</v>
      </c>
      <c r="QQ49" s="115">
        <f>IF(SUM($D$42:QP42)=0,0,IF(IF(QQ48&gt;0,QQ48-(IF(SUM($D49:QP49)&gt;0,0,IF(QP$25&gt;QP47,QP47,0))),0)&lt;0,0,(IF(SUM($D49:QP49)&gt;0,0,IF(QP$25&gt;QP47,QP47,0)))))</f>
        <v>0</v>
      </c>
      <c r="QR49" s="115">
        <f>IF(SUM($D$42:QQ42)=0,0,IF(IF(QR48&gt;0,QR48-(IF(SUM($D49:QQ49)&gt;0,0,IF(QQ$25&gt;QQ47,QQ47,0))),0)&lt;0,0,(IF(SUM($D49:QQ49)&gt;0,0,IF(QQ$25&gt;QQ47,QQ47,0)))))</f>
        <v>0</v>
      </c>
      <c r="QS49" s="115">
        <f>IF(SUM($D$42:QR42)=0,0,IF(IF(QS48&gt;0,QS48-(IF(SUM($D49:QR49)&gt;0,0,IF(QR$25&gt;QR47,QR47,0))),0)&lt;0,0,(IF(SUM($D49:QR49)&gt;0,0,IF(QR$25&gt;QR47,QR47,0)))))</f>
        <v>0</v>
      </c>
      <c r="QT49" s="115">
        <f>IF(SUM($D$42:QS42)=0,0,IF(IF(QT48&gt;0,QT48-(IF(SUM($D49:QS49)&gt;0,0,IF(QS$25&gt;QS47,QS47,0))),0)&lt;0,0,(IF(SUM($D49:QS49)&gt;0,0,IF(QS$25&gt;QS47,QS47,0)))))</f>
        <v>0</v>
      </c>
      <c r="QU49" s="115">
        <f>IF(SUM($D$42:QT42)=0,0,IF(IF(QU48&gt;0,QU48-(IF(SUM($D49:QT49)&gt;0,0,IF(QT$25&gt;QT47,QT47,0))),0)&lt;0,0,(IF(SUM($D49:QT49)&gt;0,0,IF(QT$25&gt;QT47,QT47,0)))))</f>
        <v>0</v>
      </c>
      <c r="QV49" s="115">
        <f>IF(SUM($D$42:QU42)=0,0,IF(IF(QV48&gt;0,QV48-(IF(SUM($D49:QU49)&gt;0,0,IF(QU$25&gt;QU47,QU47,0))),0)&lt;0,0,(IF(SUM($D49:QU49)&gt;0,0,IF(QU$25&gt;QU47,QU47,0)))))</f>
        <v>0</v>
      </c>
      <c r="QW49" s="115">
        <f>IF(SUM($D$42:QV42)=0,0,IF(IF(QW48&gt;0,QW48-(IF(SUM($D49:QV49)&gt;0,0,IF(QV$25&gt;QV47,QV47,0))),0)&lt;0,0,(IF(SUM($D49:QV49)&gt;0,0,IF(QV$25&gt;QV47,QV47,0)))))</f>
        <v>0</v>
      </c>
      <c r="QX49" s="115">
        <f>IF(SUM($D$42:QW42)=0,0,IF(IF(QX48&gt;0,QX48-(IF(SUM($D49:QW49)&gt;0,0,IF(QW$25&gt;QW47,QW47,0))),0)&lt;0,0,(IF(SUM($D49:QW49)&gt;0,0,IF(QW$25&gt;QW47,QW47,0)))))</f>
        <v>0</v>
      </c>
      <c r="QY49" s="115">
        <f>IF(SUM($D$42:QX42)=0,0,IF(IF(QY48&gt;0,QY48-(IF(SUM($D49:QX49)&gt;0,0,IF(QX$25&gt;QX47,QX47,0))),0)&lt;0,0,(IF(SUM($D49:QX49)&gt;0,0,IF(QX$25&gt;QX47,QX47,0)))))</f>
        <v>0</v>
      </c>
      <c r="QZ49" s="115">
        <f>IF(SUM($D$42:QY42)=0,0,IF(IF(QZ48&gt;0,QZ48-(IF(SUM($D49:QY49)&gt;0,0,IF(QY$25&gt;QY47,QY47,0))),0)&lt;0,0,(IF(SUM($D49:QY49)&gt;0,0,IF(QY$25&gt;QY47,QY47,0)))))</f>
        <v>0</v>
      </c>
      <c r="RA49" s="115">
        <f>IF(SUM($D$42:QZ42)=0,0,IF(IF(RA48&gt;0,RA48-(IF(SUM($D49:QZ49)&gt;0,0,IF(QZ$25&gt;QZ47,QZ47,0))),0)&lt;0,0,(IF(SUM($D49:QZ49)&gt;0,0,IF(QZ$25&gt;QZ47,QZ47,0)))))</f>
        <v>0</v>
      </c>
      <c r="RB49" s="115">
        <f>IF(SUM($D$42:RA42)=0,0,IF(IF(RB48&gt;0,RB48-(IF(SUM($D49:RA49)&gt;0,0,IF(RA$25&gt;RA47,RA47,0))),0)&lt;0,0,(IF(SUM($D49:RA49)&gt;0,0,IF(RA$25&gt;RA47,RA47,0)))))</f>
        <v>0</v>
      </c>
      <c r="RC49" s="115">
        <f>IF(SUM($D$42:RB42)=0,0,IF(IF(RC48&gt;0,RC48-(IF(SUM($D49:RB49)&gt;0,0,IF(RB$25&gt;RB47,RB47,0))),0)&lt;0,0,(IF(SUM($D49:RB49)&gt;0,0,IF(RB$25&gt;RB47,RB47,0)))))</f>
        <v>0</v>
      </c>
      <c r="RD49" s="115">
        <f>IF(SUM($D$42:RC42)=0,0,IF(IF(RD48&gt;0,RD48-(IF(SUM($D49:RC49)&gt;0,0,IF(RC$25&gt;RC47,RC47,0))),0)&lt;0,0,(IF(SUM($D49:RC49)&gt;0,0,IF(RC$25&gt;RC47,RC47,0)))))</f>
        <v>0</v>
      </c>
      <c r="RE49" s="115">
        <f>IF(SUM($D$42:RD42)=0,0,IF(IF(RE48&gt;0,RE48-(IF(SUM($D49:RD49)&gt;0,0,IF(RD$25&gt;RD47,RD47,0))),0)&lt;0,0,(IF(SUM($D49:RD49)&gt;0,0,IF(RD$25&gt;RD47,RD47,0)))))</f>
        <v>0</v>
      </c>
      <c r="RF49" s="115">
        <f>IF(SUM($D$42:RE42)=0,0,IF(IF(RF48&gt;0,RF48-(IF(SUM($D49:RE49)&gt;0,0,IF(RE$25&gt;RE47,RE47,0))),0)&lt;0,0,(IF(SUM($D49:RE49)&gt;0,0,IF(RE$25&gt;RE47,RE47,0)))))</f>
        <v>0</v>
      </c>
      <c r="RG49" s="115">
        <f>IF(SUM($D$42:RF42)=0,0,IF(IF(RG48&gt;0,RG48-(IF(SUM($D49:RF49)&gt;0,0,IF(RF$25&gt;RF47,RF47,0))),0)&lt;0,0,(IF(SUM($D49:RF49)&gt;0,0,IF(RF$25&gt;RF47,RF47,0)))))</f>
        <v>0</v>
      </c>
      <c r="RH49" s="115">
        <f>IF(SUM($D$42:RG42)=0,0,IF(IF(RH48&gt;0,RH48-(IF(SUM($D49:RG49)&gt;0,0,IF(RG$25&gt;RG47,RG47,0))),0)&lt;0,0,(IF(SUM($D49:RG49)&gt;0,0,IF(RG$25&gt;RG47,RG47,0)))))</f>
        <v>0</v>
      </c>
      <c r="RI49" s="115">
        <f>IF(SUM($D$42:RH42)=0,0,IF(IF(RI48&gt;0,RI48-(IF(SUM($D49:RH49)&gt;0,0,IF(RH$25&gt;RH47,RH47,0))),0)&lt;0,0,(IF(SUM($D49:RH49)&gt;0,0,IF(RH$25&gt;RH47,RH47,0)))))</f>
        <v>0</v>
      </c>
      <c r="RJ49" s="115">
        <f>IF(SUM($D$42:RI42)=0,0,IF(IF(RJ48&gt;0,RJ48-(IF(SUM($D49:RI49)&gt;0,0,IF(RI$25&gt;RI47,RI47,0))),0)&lt;0,0,(IF(SUM($D49:RI49)&gt;0,0,IF(RI$25&gt;RI47,RI47,0)))))</f>
        <v>0</v>
      </c>
      <c r="RK49" s="115">
        <f>IF(SUM($D$42:RJ42)=0,0,IF(IF(RK48&gt;0,RK48-(IF(SUM($D49:RJ49)&gt;0,0,IF(RJ$25&gt;RJ47,RJ47,0))),0)&lt;0,0,(IF(SUM($D49:RJ49)&gt;0,0,IF(RJ$25&gt;RJ47,RJ47,0)))))</f>
        <v>0</v>
      </c>
      <c r="RL49" s="115">
        <f>IF(SUM($D$42:RK42)=0,0,IF(IF(RL48&gt;0,RL48-(IF(SUM($D49:RK49)&gt;0,0,IF(RK$25&gt;RK47,RK47,0))),0)&lt;0,0,(IF(SUM($D49:RK49)&gt;0,0,IF(RK$25&gt;RK47,RK47,0)))))</f>
        <v>0</v>
      </c>
      <c r="RM49" s="115">
        <f>IF(SUM($D$42:RL42)=0,0,IF(IF(RM48&gt;0,RM48-(IF(SUM($D49:RL49)&gt;0,0,IF(RL$25&gt;RL47,RL47,0))),0)&lt;0,0,(IF(SUM($D49:RL49)&gt;0,0,IF(RL$25&gt;RL47,RL47,0)))))</f>
        <v>0</v>
      </c>
      <c r="RN49" s="115">
        <f>IF(SUM($D$42:RM42)=0,0,IF(IF(RN48&gt;0,RN48-(IF(SUM($D49:RM49)&gt;0,0,IF(RM$25&gt;RM47,RM47,0))),0)&lt;0,0,(IF(SUM($D49:RM49)&gt;0,0,IF(RM$25&gt;RM47,RM47,0)))))</f>
        <v>0</v>
      </c>
      <c r="RO49" s="115">
        <f>IF(SUM($D$42:RN42)=0,0,IF(IF(RO48&gt;0,RO48-(IF(SUM($D49:RN49)&gt;0,0,IF(RN$25&gt;RN47,RN47,0))),0)&lt;0,0,(IF(SUM($D49:RN49)&gt;0,0,IF(RN$25&gt;RN47,RN47,0)))))</f>
        <v>0</v>
      </c>
      <c r="RP49" s="115">
        <f>IF(SUM($D$42:RO42)=0,0,IF(IF(RP48&gt;0,RP48-(IF(SUM($D49:RO49)&gt;0,0,IF(RO$25&gt;RO47,RO47,0))),0)&lt;0,0,(IF(SUM($D49:RO49)&gt;0,0,IF(RO$25&gt;RO47,RO47,0)))))</f>
        <v>0</v>
      </c>
      <c r="RQ49" s="115">
        <f>IF(SUM($D$42:RP42)=0,0,IF(IF(RQ48&gt;0,RQ48-(IF(SUM($D49:RP49)&gt;0,0,IF(RP$25&gt;RP47,RP47,0))),0)&lt;0,0,(IF(SUM($D49:RP49)&gt;0,0,IF(RP$25&gt;RP47,RP47,0)))))</f>
        <v>0</v>
      </c>
      <c r="RR49" s="115">
        <f>IF(SUM($D$42:RQ42)=0,0,IF(IF(RR48&gt;0,RR48-(IF(SUM($D49:RQ49)&gt;0,0,IF(RQ$25&gt;RQ47,RQ47,0))),0)&lt;0,0,(IF(SUM($D49:RQ49)&gt;0,0,IF(RQ$25&gt;RQ47,RQ47,0)))))</f>
        <v>0</v>
      </c>
      <c r="RS49" s="115">
        <f>IF(SUM($D$42:RR42)=0,0,IF(IF(RS48&gt;0,RS48-(IF(SUM($D49:RR49)&gt;0,0,IF(RR$25&gt;RR47,RR47,0))),0)&lt;0,0,(IF(SUM($D49:RR49)&gt;0,0,IF(RR$25&gt;RR47,RR47,0)))))</f>
        <v>0</v>
      </c>
      <c r="RT49" s="115">
        <f>IF(SUM($D$42:RS42)=0,0,IF(IF(RT48&gt;0,RT48-(IF(SUM($D49:RS49)&gt;0,0,IF(RS$25&gt;RS47,RS47,0))),0)&lt;0,0,(IF(SUM($D49:RS49)&gt;0,0,IF(RS$25&gt;RS47,RS47,0)))))</f>
        <v>0</v>
      </c>
      <c r="RU49" s="115">
        <f>IF(SUM($D$42:RT42)=0,0,IF(IF(RU48&gt;0,RU48-(IF(SUM($D49:RT49)&gt;0,0,IF(RT$25&gt;RT47,RT47,0))),0)&lt;0,0,(IF(SUM($D49:RT49)&gt;0,0,IF(RT$25&gt;RT47,RT47,0)))))</f>
        <v>0</v>
      </c>
      <c r="RV49" s="115">
        <f>IF(SUM($D$42:RU42)=0,0,IF(IF(RV48&gt;0,RV48-(IF(SUM($D49:RU49)&gt;0,0,IF(RU$25&gt;RU47,RU47,0))),0)&lt;0,0,(IF(SUM($D49:RU49)&gt;0,0,IF(RU$25&gt;RU47,RU47,0)))))</f>
        <v>0</v>
      </c>
      <c r="RW49" s="115">
        <f>IF(SUM($D$42:RV42)=0,0,IF(IF(RW48&gt;0,RW48-(IF(SUM($D49:RV49)&gt;0,0,IF(RV$25&gt;RV47,RV47,0))),0)&lt;0,0,(IF(SUM($D49:RV49)&gt;0,0,IF(RV$25&gt;RV47,RV47,0)))))</f>
        <v>0</v>
      </c>
      <c r="RX49" s="115">
        <f>IF(SUM($D$42:RW42)=0,0,IF(IF(RX48&gt;0,RX48-(IF(SUM($D49:RW49)&gt;0,0,IF(RW$25&gt;RW47,RW47,0))),0)&lt;0,0,(IF(SUM($D49:RW49)&gt;0,0,IF(RW$25&gt;RW47,RW47,0)))))</f>
        <v>0</v>
      </c>
      <c r="RY49" s="115">
        <f>IF(SUM($D$42:RX42)=0,0,IF(IF(RY48&gt;0,RY48-(IF(SUM($D49:RX49)&gt;0,0,IF(RX$25&gt;RX47,RX47,0))),0)&lt;0,0,(IF(SUM($D49:RX49)&gt;0,0,IF(RX$25&gt;RX47,RX47,0)))))</f>
        <v>0</v>
      </c>
      <c r="RZ49" s="115">
        <f>IF(SUM($D$42:RY42)=0,0,IF(IF(RZ48&gt;0,RZ48-(IF(SUM($D49:RY49)&gt;0,0,IF(RY$25&gt;RY47,RY47,0))),0)&lt;0,0,(IF(SUM($D49:RY49)&gt;0,0,IF(RY$25&gt;RY47,RY47,0)))))</f>
        <v>0</v>
      </c>
      <c r="SA49" s="115">
        <f>IF(SUM($D$42:RZ42)=0,0,IF(IF(SA48&gt;0,SA48-(IF(SUM($D49:RZ49)&gt;0,0,IF(RZ$25&gt;RZ47,RZ47,0))),0)&lt;0,0,(IF(SUM($D49:RZ49)&gt;0,0,IF(RZ$25&gt;RZ47,RZ47,0)))))</f>
        <v>0</v>
      </c>
      <c r="SB49" s="115">
        <f>IF(SUM($D$42:SA42)=0,0,IF(IF(SB48&gt;0,SB48-(IF(SUM($D49:SA49)&gt;0,0,IF(SA$25&gt;SA47,SA47,0))),0)&lt;0,0,(IF(SUM($D49:SA49)&gt;0,0,IF(SA$25&gt;SA47,SA47,0)))))</f>
        <v>0</v>
      </c>
      <c r="SC49" s="115">
        <f>IF(SUM($D$42:SB42)=0,0,IF(IF(SC48&gt;0,SC48-(IF(SUM($D49:SB49)&gt;0,0,IF(SB$25&gt;SB47,SB47,0))),0)&lt;0,0,(IF(SUM($D49:SB49)&gt;0,0,IF(SB$25&gt;SB47,SB47,0)))))</f>
        <v>0</v>
      </c>
      <c r="SD49" s="115">
        <f>IF(SUM($D$42:SC42)=0,0,IF(IF(SD48&gt;0,SD48-(IF(SUM($D49:SC49)&gt;0,0,IF(SC$25&gt;SC47,SC47,0))),0)&lt;0,0,(IF(SUM($D49:SC49)&gt;0,0,IF(SC$25&gt;SC47,SC47,0)))))</f>
        <v>0</v>
      </c>
      <c r="SE49" s="115">
        <f>IF(SUM($D$42:SD42)=0,0,IF(IF(SE48&gt;0,SE48-(IF(SUM($D49:SD49)&gt;0,0,IF(SD$25&gt;SD47,SD47,0))),0)&lt;0,0,(IF(SUM($D49:SD49)&gt;0,0,IF(SD$25&gt;SD47,SD47,0)))))</f>
        <v>0</v>
      </c>
      <c r="SF49" s="115">
        <f>IF(SUM($D$42:SE42)=0,0,IF(IF(SF48&gt;0,SF48-(IF(SUM($D49:SE49)&gt;0,0,IF(SE$25&gt;SE47,SE47,0))),0)&lt;0,0,(IF(SUM($D49:SE49)&gt;0,0,IF(SE$25&gt;SE47,SE47,0)))))</f>
        <v>0</v>
      </c>
      <c r="SG49" s="115">
        <f>IF(SUM($D$42:SF42)=0,0,IF(IF(SG48&gt;0,SG48-(IF(SUM($D49:SF49)&gt;0,0,IF(SF$25&gt;SF47,SF47,0))),0)&lt;0,0,(IF(SUM($D49:SF49)&gt;0,0,IF(SF$25&gt;SF47,SF47,0)))))</f>
        <v>0</v>
      </c>
      <c r="SH49" s="115">
        <f>IF(SUM($D$42:SG42)=0,0,IF(IF(SH48&gt;0,SH48-(IF(SUM($D49:SG49)&gt;0,0,IF(SG$25&gt;SG47,SG47,0))),0)&lt;0,0,(IF(SUM($D49:SG49)&gt;0,0,IF(SG$25&gt;SG47,SG47,0)))))</f>
        <v>0</v>
      </c>
      <c r="SI49" s="115">
        <f>IF(SUM($D$42:SH42)=0,0,IF(IF(SI48&gt;0,SI48-(IF(SUM($D49:SH49)&gt;0,0,IF(SH$25&gt;SH47,SH47,0))),0)&lt;0,0,(IF(SUM($D49:SH49)&gt;0,0,IF(SH$25&gt;SH47,SH47,0)))))</f>
        <v>0</v>
      </c>
      <c r="SJ49" s="115">
        <f>IF(SUM($D$42:SI42)=0,0,IF(IF(SJ48&gt;0,SJ48-(IF(SUM($D49:SI49)&gt;0,0,IF(SI$25&gt;SI47,SI47,0))),0)&lt;0,0,(IF(SUM($D49:SI49)&gt;0,0,IF(SI$25&gt;SI47,SI47,0)))))</f>
        <v>0</v>
      </c>
      <c r="SK49" s="115">
        <f>IF(SUM($D$42:SJ42)=0,0,IF(IF(SK48&gt;0,SK48-(IF(SUM($D49:SJ49)&gt;0,0,IF(SJ$25&gt;SJ47,SJ47,0))),0)&lt;0,0,(IF(SUM($D49:SJ49)&gt;0,0,IF(SJ$25&gt;SJ47,SJ47,0)))))</f>
        <v>0</v>
      </c>
      <c r="SL49" s="115">
        <f>IF(SUM($D$42:SK42)=0,0,IF(IF(SL48&gt;0,SL48-(IF(SUM($D49:SK49)&gt;0,0,IF(SK$25&gt;SK47,SK47,0))),0)&lt;0,0,(IF(SUM($D49:SK49)&gt;0,0,IF(SK$25&gt;SK47,SK47,0)))))</f>
        <v>0</v>
      </c>
      <c r="SM49" s="115">
        <f>IF(SUM($D$42:SL42)=0,0,IF(IF(SM48&gt;0,SM48-(IF(SUM($D49:SL49)&gt;0,0,IF(SL$25&gt;SL47,SL47,0))),0)&lt;0,0,(IF(SUM($D49:SL49)&gt;0,0,IF(SL$25&gt;SL47,SL47,0)))))</f>
        <v>0</v>
      </c>
      <c r="SN49" s="115">
        <f>IF(SUM($D$42:SM42)=0,0,IF(IF(SN48&gt;0,SN48-(IF(SUM($D49:SM49)&gt;0,0,IF(SM$25&gt;SM47,SM47,0))),0)&lt;0,0,(IF(SUM($D49:SM49)&gt;0,0,IF(SM$25&gt;SM47,SM47,0)))))</f>
        <v>0</v>
      </c>
      <c r="SO49" s="115">
        <f>IF(SUM($D$42:SN42)=0,0,IF(IF(SO48&gt;0,SO48-(IF(SUM($D49:SN49)&gt;0,0,IF(SN$25&gt;SN47,SN47,0))),0)&lt;0,0,(IF(SUM($D49:SN49)&gt;0,0,IF(SN$25&gt;SN47,SN47,0)))))</f>
        <v>0</v>
      </c>
      <c r="SP49" s="115">
        <f>IF(SUM($D$42:SO42)=0,0,IF(IF(SP48&gt;0,SP48-(IF(SUM($D49:SO49)&gt;0,0,IF(SO$25&gt;SO47,SO47,0))),0)&lt;0,0,(IF(SUM($D49:SO49)&gt;0,0,IF(SO$25&gt;SO47,SO47,0)))))</f>
        <v>0</v>
      </c>
      <c r="SQ49" s="115">
        <f>IF(SUM($D$42:SP42)=0,0,IF(IF(SQ48&gt;0,SQ48-(IF(SUM($D49:SP49)&gt;0,0,IF(SP$25&gt;SP47,SP47,0))),0)&lt;0,0,(IF(SUM($D49:SP49)&gt;0,0,IF(SP$25&gt;SP47,SP47,0)))))</f>
        <v>0</v>
      </c>
      <c r="SR49" s="115">
        <f>IF(SUM($D$42:SQ42)=0,0,IF(IF(SR48&gt;0,SR48-(IF(SUM($D49:SQ49)&gt;0,0,IF(SQ$25&gt;SQ47,SQ47,0))),0)&lt;0,0,(IF(SUM($D49:SQ49)&gt;0,0,IF(SQ$25&gt;SQ47,SQ47,0)))))</f>
        <v>0</v>
      </c>
      <c r="SS49" s="115">
        <f>IF(SUM($D$42:SR42)=0,0,IF(IF(SS48&gt;0,SS48-(IF(SUM($D49:SR49)&gt;0,0,IF(SR$25&gt;SR47,SR47,0))),0)&lt;0,0,(IF(SUM($D49:SR49)&gt;0,0,IF(SR$25&gt;SR47,SR47,0)))))</f>
        <v>0</v>
      </c>
      <c r="ST49" s="115">
        <f>IF(SUM($D$42:SS42)=0,0,IF(IF(ST48&gt;0,ST48-(IF(SUM($D49:SS49)&gt;0,0,IF(SS$25&gt;SS47,SS47,0))),0)&lt;0,0,(IF(SUM($D49:SS49)&gt;0,0,IF(SS$25&gt;SS47,SS47,0)))))</f>
        <v>0</v>
      </c>
      <c r="SU49" s="115">
        <f>IF(SUM($D$42:ST42)=0,0,IF(IF(SU48&gt;0,SU48-(IF(SUM($D49:ST49)&gt;0,0,IF(ST$25&gt;ST47,ST47,0))),0)&lt;0,0,(IF(SUM($D49:ST49)&gt;0,0,IF(ST$25&gt;ST47,ST47,0)))))</f>
        <v>0</v>
      </c>
      <c r="SV49" s="115">
        <f>IF(SUM($D$42:SU42)=0,0,IF(IF(SV48&gt;0,SV48-(IF(SUM($D49:SU49)&gt;0,0,IF(SU$25&gt;SU47,SU47,0))),0)&lt;0,0,(IF(SUM($D49:SU49)&gt;0,0,IF(SU$25&gt;SU47,SU47,0)))))</f>
        <v>0</v>
      </c>
      <c r="SW49" s="115">
        <f>IF(SUM($D$42:SV42)=0,0,IF(IF(SW48&gt;0,SW48-(IF(SUM($D49:SV49)&gt;0,0,IF(SV$25&gt;SV47,SV47,0))),0)&lt;0,0,(IF(SUM($D49:SV49)&gt;0,0,IF(SV$25&gt;SV47,SV47,0)))))</f>
        <v>0</v>
      </c>
      <c r="SX49" s="115">
        <f>IF(SUM($D$42:SW42)=0,0,IF(IF(SX48&gt;0,SX48-(IF(SUM($D49:SW49)&gt;0,0,IF(SW$25&gt;SW47,SW47,0))),0)&lt;0,0,(IF(SUM($D49:SW49)&gt;0,0,IF(SW$25&gt;SW47,SW47,0)))))</f>
        <v>0</v>
      </c>
      <c r="SY49" s="115">
        <f>IF(SUM($D$42:SX42)=0,0,IF(IF(SY48&gt;0,SY48-(IF(SUM($D49:SX49)&gt;0,0,IF(SX$25&gt;SX47,SX47,0))),0)&lt;0,0,(IF(SUM($D49:SX49)&gt;0,0,IF(SX$25&gt;SX47,SX47,0)))))</f>
        <v>0</v>
      </c>
      <c r="SZ49" s="115">
        <f>IF(SUM($D$42:SY42)=0,0,IF(IF(SZ48&gt;0,SZ48-(IF(SUM($D49:SY49)&gt;0,0,IF(SY$25&gt;SY47,SY47,0))),0)&lt;0,0,(IF(SUM($D49:SY49)&gt;0,0,IF(SY$25&gt;SY47,SY47,0)))))</f>
        <v>0</v>
      </c>
      <c r="TA49" s="115">
        <f>IF(SUM($D$42:SZ42)=0,0,IF(IF(TA48&gt;0,TA48-(IF(SUM($D49:SZ49)&gt;0,0,IF(SZ$25&gt;SZ47,SZ47,0))),0)&lt;0,0,(IF(SUM($D49:SZ49)&gt;0,0,IF(SZ$25&gt;SZ47,SZ47,0)))))</f>
        <v>0</v>
      </c>
      <c r="TB49" s="115">
        <f>IF(SUM($D$42:TA42)=0,0,IF(IF(TB48&gt;0,TB48-(IF(SUM($D49:TA49)&gt;0,0,IF(TA$25&gt;TA47,TA47,0))),0)&lt;0,0,(IF(SUM($D49:TA49)&gt;0,0,IF(TA$25&gt;TA47,TA47,0)))))</f>
        <v>0</v>
      </c>
      <c r="TC49" s="115">
        <f>IF(SUM($D$42:TB42)=0,0,IF(IF(TC48&gt;0,TC48-(IF(SUM($D49:TB49)&gt;0,0,IF(TB$25&gt;TB47,TB47,0))),0)&lt;0,0,(IF(SUM($D49:TB49)&gt;0,0,IF(TB$25&gt;TB47,TB47,0)))))</f>
        <v>0</v>
      </c>
      <c r="TD49" s="115">
        <f>IF(SUM($D$42:TC42)=0,0,IF(IF(TD48&gt;0,TD48-(IF(SUM($D49:TC49)&gt;0,0,IF(TC$25&gt;TC47,TC47,0))),0)&lt;0,0,(IF(SUM($D49:TC49)&gt;0,0,IF(TC$25&gt;TC47,TC47,0)))))</f>
        <v>0</v>
      </c>
      <c r="TE49" s="115">
        <f>IF(SUM($D$42:TD42)=0,0,IF(IF(TE48&gt;0,TE48-(IF(SUM($D49:TD49)&gt;0,0,IF(TD$25&gt;TD47,TD47,0))),0)&lt;0,0,(IF(SUM($D49:TD49)&gt;0,0,IF(TD$25&gt;TD47,TD47,0)))))</f>
        <v>0</v>
      </c>
      <c r="TF49" s="115">
        <f>IF(SUM($D$42:TE42)=0,0,IF(IF(TF48&gt;0,TF48-(IF(SUM($D49:TE49)&gt;0,0,IF(TE$25&gt;TE47,TE47,0))),0)&lt;0,0,(IF(SUM($D49:TE49)&gt;0,0,IF(TE$25&gt;TE47,TE47,0)))))</f>
        <v>0</v>
      </c>
      <c r="TG49" s="115">
        <f>IF(SUM($D$42:TF42)=0,0,IF(IF(TG48&gt;0,TG48-(IF(SUM($D49:TF49)&gt;0,0,IF(TF$25&gt;TF47,TF47,0))),0)&lt;0,0,(IF(SUM($D49:TF49)&gt;0,0,IF(TF$25&gt;TF47,TF47,0)))))</f>
        <v>0</v>
      </c>
      <c r="TH49" s="115">
        <f>IF(SUM($D$42:TG42)=0,0,IF(IF(TH48&gt;0,TH48-(IF(SUM($D49:TG49)&gt;0,0,IF(TG$25&gt;TG47,TG47,0))),0)&lt;0,0,(IF(SUM($D49:TG49)&gt;0,0,IF(TG$25&gt;TG47,TG47,0)))))</f>
        <v>0</v>
      </c>
      <c r="TI49" s="115">
        <f>IF(SUM($D$42:TH42)=0,0,IF(IF(TI48&gt;0,TI48-(IF(SUM($D49:TH49)&gt;0,0,IF(TH$25&gt;TH47,TH47,0))),0)&lt;0,0,(IF(SUM($D49:TH49)&gt;0,0,IF(TH$25&gt;TH47,TH47,0)))))</f>
        <v>0</v>
      </c>
      <c r="TJ49" s="115">
        <f>IF(SUM($D$42:TI42)=0,0,IF(IF(TJ48&gt;0,TJ48-(IF(SUM($D49:TI49)&gt;0,0,IF(TI$25&gt;TI47,TI47,0))),0)&lt;0,0,(IF(SUM($D49:TI49)&gt;0,0,IF(TI$25&gt;TI47,TI47,0)))))</f>
        <v>0</v>
      </c>
      <c r="TK49" s="115">
        <f>IF(SUM($D$42:TJ42)=0,0,IF(IF(TK48&gt;0,TK48-(IF(SUM($D49:TJ49)&gt;0,0,IF(TJ$25&gt;TJ47,TJ47,0))),0)&lt;0,0,(IF(SUM($D49:TJ49)&gt;0,0,IF(TJ$25&gt;TJ47,TJ47,0)))))</f>
        <v>0</v>
      </c>
      <c r="TL49" s="115">
        <f>IF(SUM($D$42:TK42)=0,0,IF(IF(TL48&gt;0,TL48-(IF(SUM($D49:TK49)&gt;0,0,IF(TK$25&gt;TK47,TK47,0))),0)&lt;0,0,(IF(SUM($D49:TK49)&gt;0,0,IF(TK$25&gt;TK47,TK47,0)))))</f>
        <v>0</v>
      </c>
      <c r="TM49" s="115">
        <f>IF(SUM($D$42:TL42)=0,0,IF(IF(TM48&gt;0,TM48-(IF(SUM($D49:TL49)&gt;0,0,IF(TL$25&gt;TL47,TL47,0))),0)&lt;0,0,(IF(SUM($D49:TL49)&gt;0,0,IF(TL$25&gt;TL47,TL47,0)))))</f>
        <v>0</v>
      </c>
      <c r="TN49" s="115">
        <f>IF(SUM($D$42:TM42)=0,0,IF(IF(TN48&gt;0,TN48-(IF(SUM($D49:TM49)&gt;0,0,IF(TM$25&gt;TM47,TM47,0))),0)&lt;0,0,(IF(SUM($D49:TM49)&gt;0,0,IF(TM$25&gt;TM47,TM47,0)))))</f>
        <v>0</v>
      </c>
      <c r="TO49" s="115">
        <f>IF(SUM($D$42:TN42)=0,0,IF(IF(TO48&gt;0,TO48-(IF(SUM($D49:TN49)&gt;0,0,IF(TN$25&gt;TN47,TN47,0))),0)&lt;0,0,(IF(SUM($D49:TN49)&gt;0,0,IF(TN$25&gt;TN47,TN47,0)))))</f>
        <v>0</v>
      </c>
      <c r="TP49" s="115">
        <f>IF(SUM($D$42:TO42)=0,0,IF(IF(TP48&gt;0,TP48-(IF(SUM($D49:TO49)&gt;0,0,IF(TO$25&gt;TO47,TO47,0))),0)&lt;0,0,(IF(SUM($D49:TO49)&gt;0,0,IF(TO$25&gt;TO47,TO47,0)))))</f>
        <v>0</v>
      </c>
      <c r="TQ49" s="115">
        <f>IF(SUM($D$42:TP42)=0,0,IF(IF(TQ48&gt;0,TQ48-(IF(SUM($D49:TP49)&gt;0,0,IF(TP$25&gt;TP47,TP47,0))),0)&lt;0,0,(IF(SUM($D49:TP49)&gt;0,0,IF(TP$25&gt;TP47,TP47,0)))))</f>
        <v>0</v>
      </c>
      <c r="TR49" s="115">
        <f>IF(SUM($D$42:TQ42)=0,0,IF(IF(TR48&gt;0,TR48-(IF(SUM($D49:TQ49)&gt;0,0,IF(TQ$25&gt;TQ47,TQ47,0))),0)&lt;0,0,(IF(SUM($D49:TQ49)&gt;0,0,IF(TQ$25&gt;TQ47,TQ47,0)))))</f>
        <v>0</v>
      </c>
      <c r="TS49" s="115">
        <f>IF(SUM($D$42:TR42)=0,0,IF(IF(TS48&gt;0,TS48-(IF(SUM($D49:TR49)&gt;0,0,IF(TR$25&gt;TR47,TR47,0))),0)&lt;0,0,(IF(SUM($D49:TR49)&gt;0,0,IF(TR$25&gt;TR47,TR47,0)))))</f>
        <v>0</v>
      </c>
      <c r="TT49" s="115">
        <f>IF(SUM($D$42:TS42)=0,0,IF(IF(TT48&gt;0,TT48-(IF(SUM($D49:TS49)&gt;0,0,IF(TS$25&gt;TS47,TS47,0))),0)&lt;0,0,(IF(SUM($D49:TS49)&gt;0,0,IF(TS$25&gt;TS47,TS47,0)))))</f>
        <v>0</v>
      </c>
      <c r="TU49" s="115">
        <f>IF(SUM($D$42:TT42)=0,0,IF(IF(TU48&gt;0,TU48-(IF(SUM($D49:TT49)&gt;0,0,IF(TT$25&gt;TT47,TT47,0))),0)&lt;0,0,(IF(SUM($D49:TT49)&gt;0,0,IF(TT$25&gt;TT47,TT47,0)))))</f>
        <v>0</v>
      </c>
      <c r="TV49" s="115">
        <f>IF(SUM($D$42:TU42)=0,0,IF(IF(TV48&gt;0,TV48-(IF(SUM($D49:TU49)&gt;0,0,IF(TU$25&gt;TU47,TU47,0))),0)&lt;0,0,(IF(SUM($D49:TU49)&gt;0,0,IF(TU$25&gt;TU47,TU47,0)))))</f>
        <v>0</v>
      </c>
      <c r="TW49" s="115">
        <f>IF(SUM($D$42:TV42)=0,0,IF(IF(TW48&gt;0,TW48-(IF(SUM($D49:TV49)&gt;0,0,IF(TV$25&gt;TV47,TV47,0))),0)&lt;0,0,(IF(SUM($D49:TV49)&gt;0,0,IF(TV$25&gt;TV47,TV47,0)))))</f>
        <v>0</v>
      </c>
      <c r="TX49" s="115">
        <f>IF(SUM($D$42:TW42)=0,0,IF(IF(TX48&gt;0,TX48-(IF(SUM($D49:TW49)&gt;0,0,IF(TW$25&gt;TW47,TW47,0))),0)&lt;0,0,(IF(SUM($D49:TW49)&gt;0,0,IF(TW$25&gt;TW47,TW47,0)))))</f>
        <v>0</v>
      </c>
      <c r="TY49" s="115">
        <f>IF(SUM($D$42:TX42)=0,0,IF(IF(TY48&gt;0,TY48-(IF(SUM($D49:TX49)&gt;0,0,IF(TX$25&gt;TX47,TX47,0))),0)&lt;0,0,(IF(SUM($D49:TX49)&gt;0,0,IF(TX$25&gt;TX47,TX47,0)))))</f>
        <v>0</v>
      </c>
      <c r="TZ49" s="115">
        <f>IF(SUM($D$42:TY42)=0,0,IF(IF(TZ48&gt;0,TZ48-(IF(SUM($D49:TY49)&gt;0,0,IF(TY$25&gt;TY47,TY47,0))),0)&lt;0,0,(IF(SUM($D49:TY49)&gt;0,0,IF(TY$25&gt;TY47,TY47,0)))))</f>
        <v>0</v>
      </c>
      <c r="UA49" s="115">
        <f>IF(SUM($D$42:TZ42)=0,0,IF(IF(UA48&gt;0,UA48-(IF(SUM($D49:TZ49)&gt;0,0,IF(TZ$25&gt;TZ47,TZ47,0))),0)&lt;0,0,(IF(SUM($D49:TZ49)&gt;0,0,IF(TZ$25&gt;TZ47,TZ47,0)))))</f>
        <v>0</v>
      </c>
      <c r="UB49" s="115">
        <f>IF(SUM($D$42:UA42)=0,0,IF(IF(UB48&gt;0,UB48-(IF(SUM($D49:UA49)&gt;0,0,IF(UA$25&gt;UA47,UA47,0))),0)&lt;0,0,(IF(SUM($D49:UA49)&gt;0,0,IF(UA$25&gt;UA47,UA47,0)))))</f>
        <v>0</v>
      </c>
      <c r="UC49" s="115">
        <f>IF(SUM($D$42:UB42)=0,0,IF(IF(UC48&gt;0,UC48-(IF(SUM($D49:UB49)&gt;0,0,IF(UB$25&gt;UB47,UB47,0))),0)&lt;0,0,(IF(SUM($D49:UB49)&gt;0,0,IF(UB$25&gt;UB47,UB47,0)))))</f>
        <v>0</v>
      </c>
      <c r="UD49" s="115">
        <f>IF(SUM($D$42:UC42)=0,0,IF(IF(UD48&gt;0,UD48-(IF(SUM($D49:UC49)&gt;0,0,IF(UC$25&gt;UC47,UC47,0))),0)&lt;0,0,(IF(SUM($D49:UC49)&gt;0,0,IF(UC$25&gt;UC47,UC47,0)))))</f>
        <v>0</v>
      </c>
      <c r="UE49" s="115">
        <f>IF(SUM($D$42:UD42)=0,0,IF(IF(UE48&gt;0,UE48-(IF(SUM($D49:UD49)&gt;0,0,IF(UD$25&gt;UD47,UD47,0))),0)&lt;0,0,(IF(SUM($D49:UD49)&gt;0,0,IF(UD$25&gt;UD47,UD47,0)))))</f>
        <v>0</v>
      </c>
      <c r="UF49" s="115">
        <f>IF(SUM($D$42:UE42)=0,0,IF(IF(UF48&gt;0,UF48-(IF(SUM($D49:UE49)&gt;0,0,IF(UE$25&gt;UE47,UE47,0))),0)&lt;0,0,(IF(SUM($D49:UE49)&gt;0,0,IF(UE$25&gt;UE47,UE47,0)))))</f>
        <v>0</v>
      </c>
      <c r="UG49" s="115">
        <f>IF(SUM($D$42:UF42)=0,0,IF(IF(UG48&gt;0,UG48-(IF(SUM($D49:UF49)&gt;0,0,IF(UF$25&gt;UF47,UF47,0))),0)&lt;0,0,(IF(SUM($D49:UF49)&gt;0,0,IF(UF$25&gt;UF47,UF47,0)))))</f>
        <v>0</v>
      </c>
      <c r="UH49" s="115">
        <f>IF(SUM($D$42:UG42)=0,0,IF(IF(UH48&gt;0,UH48-(IF(SUM($D49:UG49)&gt;0,0,IF(UG$25&gt;UG47,UG47,0))),0)&lt;0,0,(IF(SUM($D49:UG49)&gt;0,0,IF(UG$25&gt;UG47,UG47,0)))))</f>
        <v>0</v>
      </c>
      <c r="UI49" s="115">
        <f>IF(SUM($D$42:UH42)=0,0,IF(IF(UI48&gt;0,UI48-(IF(SUM($D49:UH49)&gt;0,0,IF(UH$25&gt;UH47,UH47,0))),0)&lt;0,0,(IF(SUM($D49:UH49)&gt;0,0,IF(UH$25&gt;UH47,UH47,0)))))</f>
        <v>0</v>
      </c>
      <c r="UJ49" s="115">
        <f>IF(SUM($D$42:UI42)=0,0,IF(IF(UJ48&gt;0,UJ48-(IF(SUM($D49:UI49)&gt;0,0,IF(UI$25&gt;UI47,UI47,0))),0)&lt;0,0,(IF(SUM($D49:UI49)&gt;0,0,IF(UI$25&gt;UI47,UI47,0)))))</f>
        <v>0</v>
      </c>
      <c r="UK49" s="115">
        <f>IF(SUM($D$42:UJ42)=0,0,IF(IF(UK48&gt;0,UK48-(IF(SUM($D49:UJ49)&gt;0,0,IF(UJ$25&gt;UJ47,UJ47,0))),0)&lt;0,0,(IF(SUM($D49:UJ49)&gt;0,0,IF(UJ$25&gt;UJ47,UJ47,0)))))</f>
        <v>0</v>
      </c>
      <c r="UL49" s="115">
        <f>IF(SUM($D$42:UK42)=0,0,IF(IF(UL48&gt;0,UL48-(IF(SUM($D49:UK49)&gt;0,0,IF(UK$25&gt;UK47,UK47,0))),0)&lt;0,0,(IF(SUM($D49:UK49)&gt;0,0,IF(UK$25&gt;UK47,UK47,0)))))</f>
        <v>0</v>
      </c>
      <c r="UM49" s="115">
        <f>IF(SUM($D$42:UL42)=0,0,IF(IF(UM48&gt;0,UM48-(IF(SUM($D49:UL49)&gt;0,0,IF(UL$25&gt;UL47,UL47,0))),0)&lt;0,0,(IF(SUM($D49:UL49)&gt;0,0,IF(UL$25&gt;UL47,UL47,0)))))</f>
        <v>0</v>
      </c>
      <c r="UN49" s="115">
        <f>IF(SUM($D$42:UM42)=0,0,IF(IF(UN48&gt;0,UN48-(IF(SUM($D49:UM49)&gt;0,0,IF(UM$25&gt;UM47,UM47,0))),0)&lt;0,0,(IF(SUM($D49:UM49)&gt;0,0,IF(UM$25&gt;UM47,UM47,0)))))</f>
        <v>0</v>
      </c>
      <c r="UO49" s="115">
        <f>IF(SUM($D$42:UN42)=0,0,IF(IF(UO48&gt;0,UO48-(IF(SUM($D49:UN49)&gt;0,0,IF(UN$25&gt;UN47,UN47,0))),0)&lt;0,0,(IF(SUM($D49:UN49)&gt;0,0,IF(UN$25&gt;UN47,UN47,0)))))</f>
        <v>0</v>
      </c>
      <c r="UP49" s="115">
        <f>IF(SUM($D$42:UO42)=0,0,IF(IF(UP48&gt;0,UP48-(IF(SUM($D49:UO49)&gt;0,0,IF(UO$25&gt;UO47,UO47,0))),0)&lt;0,0,(IF(SUM($D49:UO49)&gt;0,0,IF(UO$25&gt;UO47,UO47,0)))))</f>
        <v>0</v>
      </c>
      <c r="UQ49" s="115">
        <f>IF(SUM($D$42:UP42)=0,0,IF(IF(UQ48&gt;0,UQ48-(IF(SUM($D49:UP49)&gt;0,0,IF(UP$25&gt;UP47,UP47,0))),0)&lt;0,0,(IF(SUM($D49:UP49)&gt;0,0,IF(UP$25&gt;UP47,UP47,0)))))</f>
        <v>0</v>
      </c>
      <c r="UR49" s="115">
        <f>IF(SUM($D$42:UQ42)=0,0,IF(IF(UR48&gt;0,UR48-(IF(SUM($D49:UQ49)&gt;0,0,IF(UQ$25&gt;UQ47,UQ47,0))),0)&lt;0,0,(IF(SUM($D49:UQ49)&gt;0,0,IF(UQ$25&gt;UQ47,UQ47,0)))))</f>
        <v>0</v>
      </c>
      <c r="US49" s="115">
        <f>IF(SUM($D$42:UR42)=0,0,IF(IF(US48&gt;0,US48-(IF(SUM($D49:UR49)&gt;0,0,IF(UR$25&gt;UR47,UR47,0))),0)&lt;0,0,(IF(SUM($D49:UR49)&gt;0,0,IF(UR$25&gt;UR47,UR47,0)))))</f>
        <v>0</v>
      </c>
      <c r="UT49" s="115">
        <f>IF(SUM($D$42:US42)=0,0,IF(IF(UT48&gt;0,UT48-(IF(SUM($D49:US49)&gt;0,0,IF(US$25&gt;US47,US47,0))),0)&lt;0,0,(IF(SUM($D49:US49)&gt;0,0,IF(US$25&gt;US47,US47,0)))))</f>
        <v>0</v>
      </c>
      <c r="UU49" s="115">
        <f>IF(SUM($D$42:UT42)=0,0,IF(IF(UU48&gt;0,UU48-(IF(SUM($D49:UT49)&gt;0,0,IF(UT$25&gt;UT47,UT47,0))),0)&lt;0,0,(IF(SUM($D49:UT49)&gt;0,0,IF(UT$25&gt;UT47,UT47,0)))))</f>
        <v>0</v>
      </c>
      <c r="UV49" s="115">
        <f>IF(SUM($D$42:UU42)=0,0,IF(IF(UV48&gt;0,UV48-(IF(SUM($D49:UU49)&gt;0,0,IF(UU$25&gt;UU47,UU47,0))),0)&lt;0,0,(IF(SUM($D49:UU49)&gt;0,0,IF(UU$25&gt;UU47,UU47,0)))))</f>
        <v>0</v>
      </c>
      <c r="UW49" s="115">
        <f>IF(SUM($D$42:UV42)=0,0,IF(IF(UW48&gt;0,UW48-(IF(SUM($D49:UV49)&gt;0,0,IF(UV$25&gt;UV47,UV47,0))),0)&lt;0,0,(IF(SUM($D49:UV49)&gt;0,0,IF(UV$25&gt;UV47,UV47,0)))))</f>
        <v>0</v>
      </c>
      <c r="UX49" s="115">
        <f>IF(SUM($D$42:UW42)=0,0,IF(IF(UX48&gt;0,UX48-(IF(SUM($D49:UW49)&gt;0,0,IF(UW$25&gt;UW47,UW47,0))),0)&lt;0,0,(IF(SUM($D49:UW49)&gt;0,0,IF(UW$25&gt;UW47,UW47,0)))))</f>
        <v>0</v>
      </c>
      <c r="UY49" s="115">
        <f>IF(SUM($D$42:UX42)=0,0,IF(IF(UY48&gt;0,UY48-(IF(SUM($D49:UX49)&gt;0,0,IF(UX$25&gt;UX47,UX47,0))),0)&lt;0,0,(IF(SUM($D49:UX49)&gt;0,0,IF(UX$25&gt;UX47,UX47,0)))))</f>
        <v>0</v>
      </c>
      <c r="UZ49" s="115">
        <f>IF(SUM($D$42:UY42)=0,0,IF(IF(UZ48&gt;0,UZ48-(IF(SUM($D49:UY49)&gt;0,0,IF(UY$25&gt;UY47,UY47,0))),0)&lt;0,0,(IF(SUM($D49:UY49)&gt;0,0,IF(UY$25&gt;UY47,UY47,0)))))</f>
        <v>0</v>
      </c>
      <c r="VA49" s="115">
        <f>IF(SUM($D$42:UZ42)=0,0,IF(IF(VA48&gt;0,VA48-(IF(SUM($D49:UZ49)&gt;0,0,IF(UZ$25&gt;UZ47,UZ47,0))),0)&lt;0,0,(IF(SUM($D49:UZ49)&gt;0,0,IF(UZ$25&gt;UZ47,UZ47,0)))))</f>
        <v>0</v>
      </c>
      <c r="VB49" s="115">
        <f>IF(SUM($D$42:VA42)=0,0,IF(IF(VB48&gt;0,VB48-(IF(SUM($D49:VA49)&gt;0,0,IF(VA$25&gt;VA47,VA47,0))),0)&lt;0,0,(IF(SUM($D49:VA49)&gt;0,0,IF(VA$25&gt;VA47,VA47,0)))))</f>
        <v>0</v>
      </c>
      <c r="VC49" s="115">
        <f>IF(SUM($D$42:VB42)=0,0,IF(IF(VC48&gt;0,VC48-(IF(SUM($D49:VB49)&gt;0,0,IF(VB$25&gt;VB47,VB47,0))),0)&lt;0,0,(IF(SUM($D49:VB49)&gt;0,0,IF(VB$25&gt;VB47,VB47,0)))))</f>
        <v>0</v>
      </c>
      <c r="VD49" s="115">
        <f>IF(SUM($D$42:VC42)=0,0,IF(IF(VD48&gt;0,VD48-(IF(SUM($D49:VC49)&gt;0,0,IF(VC$25&gt;VC47,VC47,0))),0)&lt;0,0,(IF(SUM($D49:VC49)&gt;0,0,IF(VC$25&gt;VC47,VC47,0)))))</f>
        <v>0</v>
      </c>
      <c r="VE49" s="115">
        <f>IF(SUM($D$42:VD42)=0,0,IF(IF(VE48&gt;0,VE48-(IF(SUM($D49:VD49)&gt;0,0,IF(VD$25&gt;VD47,VD47,0))),0)&lt;0,0,(IF(SUM($D49:VD49)&gt;0,0,IF(VD$25&gt;VD47,VD47,0)))))</f>
        <v>0</v>
      </c>
      <c r="VF49" s="115">
        <f>IF(SUM($D$42:VE42)=0,0,IF(IF(VF48&gt;0,VF48-(IF(SUM($D49:VE49)&gt;0,0,IF(VE$25&gt;VE47,VE47,0))),0)&lt;0,0,(IF(SUM($D49:VE49)&gt;0,0,IF(VE$25&gt;VE47,VE47,0)))))</f>
        <v>0</v>
      </c>
      <c r="VG49" s="115">
        <f>IF(SUM($D$42:VF42)=0,0,IF(IF(VG48&gt;0,VG48-(IF(SUM($D49:VF49)&gt;0,0,IF(VF$25&gt;VF47,VF47,0))),0)&lt;0,0,(IF(SUM($D49:VF49)&gt;0,0,IF(VF$25&gt;VF47,VF47,0)))))</f>
        <v>0</v>
      </c>
      <c r="VH49" s="115">
        <f>IF(SUM($D$42:VG42)=0,0,IF(IF(VH48&gt;0,VH48-(IF(SUM($D49:VG49)&gt;0,0,IF(VG$25&gt;VG47,VG47,0))),0)&lt;0,0,(IF(SUM($D49:VG49)&gt;0,0,IF(VG$25&gt;VG47,VG47,0)))))</f>
        <v>0</v>
      </c>
      <c r="VI49" s="115">
        <f>IF(SUM($D$42:VH42)=0,0,IF(IF(VI48&gt;0,VI48-(IF(SUM($D49:VH49)&gt;0,0,IF(VH$25&gt;VH47,VH47,0))),0)&lt;0,0,(IF(SUM($D49:VH49)&gt;0,0,IF(VH$25&gt;VH47,VH47,0)))))</f>
        <v>0</v>
      </c>
      <c r="VJ49" s="115">
        <f>IF(SUM($D$42:VI42)=0,0,IF(IF(VJ48&gt;0,VJ48-(IF(SUM($D49:VI49)&gt;0,0,IF(VI$25&gt;VI47,VI47,0))),0)&lt;0,0,(IF(SUM($D49:VI49)&gt;0,0,IF(VI$25&gt;VI47,VI47,0)))))</f>
        <v>0</v>
      </c>
      <c r="VK49" s="115">
        <f>IF(SUM($D$42:VJ42)=0,0,IF(IF(VK48&gt;0,VK48-(IF(SUM($D49:VJ49)&gt;0,0,IF(VJ$25&gt;VJ47,VJ47,0))),0)&lt;0,0,(IF(SUM($D49:VJ49)&gt;0,0,IF(VJ$25&gt;VJ47,VJ47,0)))))</f>
        <v>0</v>
      </c>
      <c r="VL49" s="115">
        <f>IF(SUM($D$42:VK42)=0,0,IF(IF(VL48&gt;0,VL48-(IF(SUM($D49:VK49)&gt;0,0,IF(VK$25&gt;VK47,VK47,0))),0)&lt;0,0,(IF(SUM($D49:VK49)&gt;0,0,IF(VK$25&gt;VK47,VK47,0)))))</f>
        <v>0</v>
      </c>
      <c r="VM49" s="115">
        <f>IF(SUM($D$42:VL42)=0,0,IF(IF(VM48&gt;0,VM48-(IF(SUM($D49:VL49)&gt;0,0,IF(VL$25&gt;VL47,VL47,0))),0)&lt;0,0,(IF(SUM($D49:VL49)&gt;0,0,IF(VL$25&gt;VL47,VL47,0)))))</f>
        <v>0</v>
      </c>
      <c r="VN49" s="115">
        <f>IF(SUM($D$42:VM42)=0,0,IF(IF(VN48&gt;0,VN48-(IF(SUM($D49:VM49)&gt;0,0,IF(VM$25&gt;VM47,VM47,0))),0)&lt;0,0,(IF(SUM($D49:VM49)&gt;0,0,IF(VM$25&gt;VM47,VM47,0)))))</f>
        <v>0</v>
      </c>
      <c r="VO49" s="115">
        <f>IF(SUM($D$42:VN42)=0,0,IF(IF(VO48&gt;0,VO48-(IF(SUM($D49:VN49)&gt;0,0,IF(VN$25&gt;VN47,VN47,0))),0)&lt;0,0,(IF(SUM($D49:VN49)&gt;0,0,IF(VN$25&gt;VN47,VN47,0)))))</f>
        <v>0</v>
      </c>
      <c r="VP49" s="115">
        <f>IF(SUM($D$42:VO42)=0,0,IF(IF(VP48&gt;0,VP48-(IF(SUM($D49:VO49)&gt;0,0,IF(VO$25&gt;VO47,VO47,0))),0)&lt;0,0,(IF(SUM($D49:VO49)&gt;0,0,IF(VO$25&gt;VO47,VO47,0)))))</f>
        <v>0</v>
      </c>
      <c r="VQ49" s="115">
        <f>IF(SUM($D$42:VP42)=0,0,IF(IF(VQ48&gt;0,VQ48-(IF(SUM($D49:VP49)&gt;0,0,IF(VP$25&gt;VP47,VP47,0))),0)&lt;0,0,(IF(SUM($D49:VP49)&gt;0,0,IF(VP$25&gt;VP47,VP47,0)))))</f>
        <v>0</v>
      </c>
      <c r="VR49" s="115">
        <f>IF(SUM($D$42:VQ42)=0,0,IF(IF(VR48&gt;0,VR48-(IF(SUM($D49:VQ49)&gt;0,0,IF(VQ$25&gt;VQ47,VQ47,0))),0)&lt;0,0,(IF(SUM($D49:VQ49)&gt;0,0,IF(VQ$25&gt;VQ47,VQ47,0)))))</f>
        <v>0</v>
      </c>
      <c r="VS49" s="115">
        <f>IF(SUM($D$42:VR42)=0,0,IF(IF(VS48&gt;0,VS48-(IF(SUM($D49:VR49)&gt;0,0,IF(VR$25&gt;VR47,VR47,0))),0)&lt;0,0,(IF(SUM($D49:VR49)&gt;0,0,IF(VR$25&gt;VR47,VR47,0)))))</f>
        <v>0</v>
      </c>
      <c r="VT49" s="115">
        <f>IF(SUM($D$42:VS42)=0,0,IF(IF(VT48&gt;0,VT48-(IF(SUM($D49:VS49)&gt;0,0,IF(VS$25&gt;VS47,VS47,0))),0)&lt;0,0,(IF(SUM($D49:VS49)&gt;0,0,IF(VS$25&gt;VS47,VS47,0)))))</f>
        <v>0</v>
      </c>
      <c r="VU49" s="115">
        <f>IF(SUM($D$42:VT42)=0,0,IF(IF(VU48&gt;0,VU48-(IF(SUM($D49:VT49)&gt;0,0,IF(VT$25&gt;VT47,VT47,0))),0)&lt;0,0,(IF(SUM($D49:VT49)&gt;0,0,IF(VT$25&gt;VT47,VT47,0)))))</f>
        <v>0</v>
      </c>
      <c r="VV49" s="115">
        <f>IF(SUM($D$42:VU42)=0,0,IF(IF(VV48&gt;0,VV48-(IF(SUM($D49:VU49)&gt;0,0,IF(VU$25&gt;VU47,VU47,0))),0)&lt;0,0,(IF(SUM($D49:VU49)&gt;0,0,IF(VU$25&gt;VU47,VU47,0)))))</f>
        <v>0</v>
      </c>
      <c r="VW49" s="115">
        <f>IF(SUM($D$42:VV42)=0,0,IF(IF(VW48&gt;0,VW48-(IF(SUM($D49:VV49)&gt;0,0,IF(VV$25&gt;VV47,VV47,0))),0)&lt;0,0,(IF(SUM($D49:VV49)&gt;0,0,IF(VV$25&gt;VV47,VV47,0)))))</f>
        <v>0</v>
      </c>
      <c r="VX49" s="115">
        <f>IF(SUM($D$42:VW42)=0,0,IF(IF(VX48&gt;0,VX48-(IF(SUM($D49:VW49)&gt;0,0,IF(VW$25&gt;VW47,VW47,0))),0)&lt;0,0,(IF(SUM($D49:VW49)&gt;0,0,IF(VW$25&gt;VW47,VW47,0)))))</f>
        <v>0</v>
      </c>
      <c r="VY49" s="115">
        <f>IF(SUM($D$42:VX42)=0,0,IF(IF(VY48&gt;0,VY48-(IF(SUM($D49:VX49)&gt;0,0,IF(VX$25&gt;VX47,VX47,0))),0)&lt;0,0,(IF(SUM($D49:VX49)&gt;0,0,IF(VX$25&gt;VX47,VX47,0)))))</f>
        <v>0</v>
      </c>
      <c r="VZ49" s="115">
        <f>IF(SUM($D$42:VY42)=0,0,IF(IF(VZ48&gt;0,VZ48-(IF(SUM($D49:VY49)&gt;0,0,IF(VY$25&gt;VY47,VY47,0))),0)&lt;0,0,(IF(SUM($D49:VY49)&gt;0,0,IF(VY$25&gt;VY47,VY47,0)))))</f>
        <v>0</v>
      </c>
      <c r="WA49" s="115">
        <f>IF(SUM($D$42:VZ42)=0,0,IF(IF(WA48&gt;0,WA48-(IF(SUM($D49:VZ49)&gt;0,0,IF(VZ$25&gt;VZ47,VZ47,0))),0)&lt;0,0,(IF(SUM($D49:VZ49)&gt;0,0,IF(VZ$25&gt;VZ47,VZ47,0)))))</f>
        <v>0</v>
      </c>
      <c r="WB49" s="115">
        <f>IF(SUM($D$42:WA42)=0,0,IF(IF(WB48&gt;0,WB48-(IF(SUM($D49:WA49)&gt;0,0,IF(WA$25&gt;WA47,WA47,0))),0)&lt;0,0,(IF(SUM($D49:WA49)&gt;0,0,IF(WA$25&gt;WA47,WA47,0)))))</f>
        <v>0</v>
      </c>
      <c r="WC49" s="115">
        <f>IF(SUM($D$42:WB42)=0,0,IF(IF(WC48&gt;0,WC48-(IF(SUM($D49:WB49)&gt;0,0,IF(WB$25&gt;WB47,WB47,0))),0)&lt;0,0,(IF(SUM($D49:WB49)&gt;0,0,IF(WB$25&gt;WB47,WB47,0)))))</f>
        <v>0</v>
      </c>
      <c r="WD49" s="115">
        <f>IF(SUM($D$42:WC42)=0,0,IF(IF(WD48&gt;0,WD48-(IF(SUM($D49:WC49)&gt;0,0,IF(WC$25&gt;WC47,WC47,0))),0)&lt;0,0,(IF(SUM($D49:WC49)&gt;0,0,IF(WC$25&gt;WC47,WC47,0)))))</f>
        <v>0</v>
      </c>
      <c r="WE49" s="115">
        <f>IF(SUM($D$42:WD42)=0,0,IF(IF(WE48&gt;0,WE48-(IF(SUM($D49:WD49)&gt;0,0,IF(WD$25&gt;WD47,WD47,0))),0)&lt;0,0,(IF(SUM($D49:WD49)&gt;0,0,IF(WD$25&gt;WD47,WD47,0)))))</f>
        <v>0</v>
      </c>
      <c r="WF49" s="115">
        <f>IF(SUM($D$42:WE42)=0,0,IF(IF(WF48&gt;0,WF48-(IF(SUM($D49:WE49)&gt;0,0,IF(WE$25&gt;WE47,WE47,0))),0)&lt;0,0,(IF(SUM($D49:WE49)&gt;0,0,IF(WE$25&gt;WE47,WE47,0)))))</f>
        <v>0</v>
      </c>
      <c r="WG49" s="115">
        <f>IF(SUM($D$42:WF42)=0,0,IF(IF(WG48&gt;0,WG48-(IF(SUM($D49:WF49)&gt;0,0,IF(WF$25&gt;WF47,WF47,0))),0)&lt;0,0,(IF(SUM($D49:WF49)&gt;0,0,IF(WF$25&gt;WF47,WF47,0)))))</f>
        <v>0</v>
      </c>
      <c r="WH49" s="115">
        <f>IF(SUM($D$42:WG42)=0,0,IF(IF(WH48&gt;0,WH48-(IF(SUM($D49:WG49)&gt;0,0,IF(WG$25&gt;WG47,WG47,0))),0)&lt;0,0,(IF(SUM($D49:WG49)&gt;0,0,IF(WG$25&gt;WG47,WG47,0)))))</f>
        <v>0</v>
      </c>
      <c r="WI49" s="115">
        <f>IF(SUM($D$42:WH42)=0,0,IF(IF(WI48&gt;0,WI48-(IF(SUM($D49:WH49)&gt;0,0,IF(WH$25&gt;WH47,WH47,0))),0)&lt;0,0,(IF(SUM($D49:WH49)&gt;0,0,IF(WH$25&gt;WH47,WH47,0)))))</f>
        <v>0</v>
      </c>
      <c r="WJ49" s="115">
        <f>IF(SUM($D$42:WI42)=0,0,IF(IF(WJ48&gt;0,WJ48-(IF(SUM($D49:WI49)&gt;0,0,IF(WI$25&gt;WI47,WI47,0))),0)&lt;0,0,(IF(SUM($D49:WI49)&gt;0,0,IF(WI$25&gt;WI47,WI47,0)))))</f>
        <v>0</v>
      </c>
      <c r="WK49" s="115">
        <f>IF(SUM($D$42:WJ42)=0,0,IF(IF(WK48&gt;0,WK48-(IF(SUM($D49:WJ49)&gt;0,0,IF(WJ$25&gt;WJ47,WJ47,0))),0)&lt;0,0,(IF(SUM($D49:WJ49)&gt;0,0,IF(WJ$25&gt;WJ47,WJ47,0)))))</f>
        <v>0</v>
      </c>
      <c r="WL49" s="115">
        <f>IF(SUM($D$42:WK42)=0,0,IF(IF(WL48&gt;0,WL48-(IF(SUM($D49:WK49)&gt;0,0,IF(WK$25&gt;WK47,WK47,0))),0)&lt;0,0,(IF(SUM($D49:WK49)&gt;0,0,IF(WK$25&gt;WK47,WK47,0)))))</f>
        <v>0</v>
      </c>
      <c r="WM49" s="115">
        <f>IF(SUM($D$42:WL42)=0,0,IF(IF(WM48&gt;0,WM48-(IF(SUM($D49:WL49)&gt;0,0,IF(WL$25&gt;WL47,WL47,0))),0)&lt;0,0,(IF(SUM($D49:WL49)&gt;0,0,IF(WL$25&gt;WL47,WL47,0)))))</f>
        <v>0</v>
      </c>
      <c r="WN49" s="115">
        <f>IF(SUM($D$42:WM42)=0,0,IF(IF(WN48&gt;0,WN48-(IF(SUM($D49:WM49)&gt;0,0,IF(WM$25&gt;WM47,WM47,0))),0)&lt;0,0,(IF(SUM($D49:WM49)&gt;0,0,IF(WM$25&gt;WM47,WM47,0)))))</f>
        <v>0</v>
      </c>
      <c r="WO49" s="115">
        <f>IF(SUM($D$42:WN42)=0,0,IF(IF(WO48&gt;0,WO48-(IF(SUM($D49:WN49)&gt;0,0,IF(WN$25&gt;WN47,WN47,0))),0)&lt;0,0,(IF(SUM($D49:WN49)&gt;0,0,IF(WN$25&gt;WN47,WN47,0)))))</f>
        <v>0</v>
      </c>
      <c r="WP49" s="115">
        <f>IF(SUM($D$42:WO42)=0,0,IF(IF(WP48&gt;0,WP48-(IF(SUM($D49:WO49)&gt;0,0,IF(WO$25&gt;WO47,WO47,0))),0)&lt;0,0,(IF(SUM($D49:WO49)&gt;0,0,IF(WO$25&gt;WO47,WO47,0)))))</f>
        <v>0</v>
      </c>
      <c r="WQ49" s="115">
        <f>IF(SUM($D$42:WP42)=0,0,IF(IF(WQ48&gt;0,WQ48-(IF(SUM($D49:WP49)&gt;0,0,IF(WP$25&gt;WP47,WP47,0))),0)&lt;0,0,(IF(SUM($D49:WP49)&gt;0,0,IF(WP$25&gt;WP47,WP47,0)))))</f>
        <v>0</v>
      </c>
      <c r="WR49" s="115">
        <f>IF(SUM($D$42:WQ42)=0,0,IF(IF(WR48&gt;0,WR48-(IF(SUM($D49:WQ49)&gt;0,0,IF(WQ$25&gt;WQ47,WQ47,0))),0)&lt;0,0,(IF(SUM($D49:WQ49)&gt;0,0,IF(WQ$25&gt;WQ47,WQ47,0)))))</f>
        <v>0</v>
      </c>
      <c r="WS49" s="115">
        <f>IF(SUM($D$42:WR42)=0,0,IF(IF(WS48&gt;0,WS48-(IF(SUM($D49:WR49)&gt;0,0,IF(WR$25&gt;WR47,WR47,0))),0)&lt;0,0,(IF(SUM($D49:WR49)&gt;0,0,IF(WR$25&gt;WR47,WR47,0)))))</f>
        <v>0</v>
      </c>
      <c r="WT49" s="115">
        <f>IF(SUM($D$42:WS42)=0,0,IF(IF(WT48&gt;0,WT48-(IF(SUM($D49:WS49)&gt;0,0,IF(WS$25&gt;WS47,WS47,0))),0)&lt;0,0,(IF(SUM($D49:WS49)&gt;0,0,IF(WS$25&gt;WS47,WS47,0)))))</f>
        <v>0</v>
      </c>
      <c r="WU49" s="115">
        <f>IF(SUM($D$42:WT42)=0,0,IF(IF(WU48&gt;0,WU48-(IF(SUM($D49:WT49)&gt;0,0,IF(WT$25&gt;WT47,WT47,0))),0)&lt;0,0,(IF(SUM($D49:WT49)&gt;0,0,IF(WT$25&gt;WT47,WT47,0)))))</f>
        <v>0</v>
      </c>
      <c r="WV49" s="115">
        <f>IF(SUM($D$42:WU42)=0,0,IF(IF(WV48&gt;0,WV48-(IF(SUM($D49:WU49)&gt;0,0,IF(WU$25&gt;WU47,WU47,0))),0)&lt;0,0,(IF(SUM($D49:WU49)&gt;0,0,IF(WU$25&gt;WU47,WU47,0)))))</f>
        <v>0</v>
      </c>
      <c r="WW49" s="115">
        <f>IF(SUM($D$42:WV42)=0,0,IF(IF(WW48&gt;0,WW48-(IF(SUM($D49:WV49)&gt;0,0,IF(WV$25&gt;WV47,WV47,0))),0)&lt;0,0,(IF(SUM($D49:WV49)&gt;0,0,IF(WV$25&gt;WV47,WV47,0)))))</f>
        <v>0</v>
      </c>
      <c r="WX49" s="115">
        <f>IF(SUM($D$42:WW42)=0,0,IF(IF(WX48&gt;0,WX48-(IF(SUM($D49:WW49)&gt;0,0,IF(WW$25&gt;WW47,WW47,0))),0)&lt;0,0,(IF(SUM($D49:WW49)&gt;0,0,IF(WW$25&gt;WW47,WW47,0)))))</f>
        <v>0</v>
      </c>
      <c r="WY49" s="115">
        <f>IF(SUM($D$42:WX42)=0,0,IF(IF(WY48&gt;0,WY48-(IF(SUM($D49:WX49)&gt;0,0,IF(WX$25&gt;WX47,WX47,0))),0)&lt;0,0,(IF(SUM($D49:WX49)&gt;0,0,IF(WX$25&gt;WX47,WX47,0)))))</f>
        <v>0</v>
      </c>
      <c r="WZ49" s="115">
        <f>IF(SUM($D$42:WY42)=0,0,IF(IF(WZ48&gt;0,WZ48-(IF(SUM($D49:WY49)&gt;0,0,IF(WY$25&gt;WY47,WY47,0))),0)&lt;0,0,(IF(SUM($D49:WY49)&gt;0,0,IF(WY$25&gt;WY47,WY47,0)))))</f>
        <v>0</v>
      </c>
      <c r="XA49" s="115">
        <f>IF(SUM($D$42:WZ42)=0,0,IF(IF(XA48&gt;0,XA48-(IF(SUM($D49:WZ49)&gt;0,0,IF(WZ$25&gt;WZ47,WZ47,0))),0)&lt;0,0,(IF(SUM($D49:WZ49)&gt;0,0,IF(WZ$25&gt;WZ47,WZ47,0)))))</f>
        <v>0</v>
      </c>
      <c r="XB49" s="115">
        <f>IF(SUM($D$42:XA42)=0,0,IF(IF(XB48&gt;0,XB48-(IF(SUM($D49:XA49)&gt;0,0,IF(XA$25&gt;XA47,XA47,0))),0)&lt;0,0,(IF(SUM($D49:XA49)&gt;0,0,IF(XA$25&gt;XA47,XA47,0)))))</f>
        <v>0</v>
      </c>
      <c r="XC49" s="115">
        <f>IF(SUM($D$42:XB42)=0,0,IF(IF(XC48&gt;0,XC48-(IF(SUM($D49:XB49)&gt;0,0,IF(XB$25&gt;XB47,XB47,0))),0)&lt;0,0,(IF(SUM($D49:XB49)&gt;0,0,IF(XB$25&gt;XB47,XB47,0)))))</f>
        <v>0</v>
      </c>
      <c r="XD49" s="115">
        <f>IF(SUM($D$42:XC42)=0,0,IF(IF(XD48&gt;0,XD48-(IF(SUM($D49:XC49)&gt;0,0,IF(XC$25&gt;XC47,XC47,0))),0)&lt;0,0,(IF(SUM($D49:XC49)&gt;0,0,IF(XC$25&gt;XC47,XC47,0)))))</f>
        <v>0</v>
      </c>
      <c r="XE49" s="115">
        <f>IF(SUM($D$42:XD42)=0,0,IF(IF(XE48&gt;0,XE48-(IF(SUM($D49:XD49)&gt;0,0,IF(XD$25&gt;XD47,XD47,0))),0)&lt;0,0,(IF(SUM($D49:XD49)&gt;0,0,IF(XD$25&gt;XD47,XD47,0)))))</f>
        <v>0</v>
      </c>
      <c r="XF49" s="115">
        <f>IF(SUM($D$42:XE42)=0,0,IF(IF(XF48&gt;0,XF48-(IF(SUM($D49:XE49)&gt;0,0,IF(XE$25&gt;XE47,XE47,0))),0)&lt;0,0,(IF(SUM($D49:XE49)&gt;0,0,IF(XE$25&gt;XE47,XE47,0)))))</f>
        <v>0</v>
      </c>
      <c r="XG49" s="115">
        <f>IF(SUM($D$42:XF42)=0,0,IF(IF(XG48&gt;0,XG48-(IF(SUM($D49:XF49)&gt;0,0,IF(XF$25&gt;XF47,XF47,0))),0)&lt;0,0,(IF(SUM($D49:XF49)&gt;0,0,IF(XF$25&gt;XF47,XF47,0)))))</f>
        <v>0</v>
      </c>
      <c r="XH49" s="115">
        <f>IF(SUM($D$42:XG42)=0,0,IF(IF(XH48&gt;0,XH48-(IF(SUM($D49:XG49)&gt;0,0,IF(XG$25&gt;XG47,XG47,0))),0)&lt;0,0,(IF(SUM($D49:XG49)&gt;0,0,IF(XG$25&gt;XG47,XG47,0)))))</f>
        <v>0</v>
      </c>
      <c r="XI49" s="115">
        <f>IF(SUM($D$42:XH42)=0,0,IF(IF(XI48&gt;0,XI48-(IF(SUM($D49:XH49)&gt;0,0,IF(XH$25&gt;XH47,XH47,0))),0)&lt;0,0,(IF(SUM($D49:XH49)&gt;0,0,IF(XH$25&gt;XH47,XH47,0)))))</f>
        <v>0</v>
      </c>
      <c r="XJ49" s="115">
        <f>IF(SUM($D$42:XI42)=0,0,IF(IF(XJ48&gt;0,XJ48-(IF(SUM($D49:XI49)&gt;0,0,IF(XI$25&gt;XI47,XI47,0))),0)&lt;0,0,(IF(SUM($D49:XI49)&gt;0,0,IF(XI$25&gt;XI47,XI47,0)))))</f>
        <v>0</v>
      </c>
      <c r="XK49" s="115">
        <f>IF(SUM($D$42:XJ42)=0,0,IF(IF(XK48&gt;0,XK48-(IF(SUM($D49:XJ49)&gt;0,0,IF(XJ$25&gt;XJ47,XJ47,0))),0)&lt;0,0,(IF(SUM($D49:XJ49)&gt;0,0,IF(XJ$25&gt;XJ47,XJ47,0)))))</f>
        <v>0</v>
      </c>
      <c r="XL49" s="115">
        <f>IF(SUM($D$42:XK42)=0,0,IF(IF(XL48&gt;0,XL48-(IF(SUM($D49:XK49)&gt;0,0,IF(XK$25&gt;XK47,XK47,0))),0)&lt;0,0,(IF(SUM($D49:XK49)&gt;0,0,IF(XK$25&gt;XK47,XK47,0)))))</f>
        <v>0</v>
      </c>
      <c r="XM49" s="115">
        <f>IF(SUM($D$42:XL42)=0,0,IF(IF(XM48&gt;0,XM48-(IF(SUM($D49:XL49)&gt;0,0,IF(XL$25&gt;XL47,XL47,0))),0)&lt;0,0,(IF(SUM($D49:XL49)&gt;0,0,IF(XL$25&gt;XL47,XL47,0)))))</f>
        <v>0</v>
      </c>
      <c r="XN49" s="115">
        <f>IF(SUM($D$42:XM42)=0,0,IF(IF(XN48&gt;0,XN48-(IF(SUM($D49:XM49)&gt;0,0,IF(XM$25&gt;XM47,XM47,0))),0)&lt;0,0,(IF(SUM($D49:XM49)&gt;0,0,IF(XM$25&gt;XM47,XM47,0)))))</f>
        <v>0</v>
      </c>
      <c r="XO49" s="115">
        <f>IF(SUM($D$42:XN42)=0,0,IF(IF(XO48&gt;0,XO48-(IF(SUM($D49:XN49)&gt;0,0,IF(XN$25&gt;XN47,XN47,0))),0)&lt;0,0,(IF(SUM($D49:XN49)&gt;0,0,IF(XN$25&gt;XN47,XN47,0)))))</f>
        <v>0</v>
      </c>
      <c r="XP49" s="115">
        <f>IF(SUM($D$42:XO42)=0,0,IF(IF(XP48&gt;0,XP48-(IF(SUM($D49:XO49)&gt;0,0,IF(XO$25&gt;XO47,XO47,0))),0)&lt;0,0,(IF(SUM($D49:XO49)&gt;0,0,IF(XO$25&gt;XO47,XO47,0)))))</f>
        <v>0</v>
      </c>
      <c r="XQ49" s="115">
        <f>IF(SUM($D$42:XP42)=0,0,IF(IF(XQ48&gt;0,XQ48-(IF(SUM($D49:XP49)&gt;0,0,IF(XP$25&gt;XP47,XP47,0))),0)&lt;0,0,(IF(SUM($D49:XP49)&gt;0,0,IF(XP$25&gt;XP47,XP47,0)))))</f>
        <v>0</v>
      </c>
      <c r="XR49" s="115">
        <f>IF(SUM($D$42:XQ42)=0,0,IF(IF(XR48&gt;0,XR48-(IF(SUM($D49:XQ49)&gt;0,0,IF(XQ$25&gt;XQ47,XQ47,0))),0)&lt;0,0,(IF(SUM($D49:XQ49)&gt;0,0,IF(XQ$25&gt;XQ47,XQ47,0)))))</f>
        <v>0</v>
      </c>
      <c r="XS49" s="115">
        <f>IF(SUM($D$42:XR42)=0,0,IF(IF(XS48&gt;0,XS48-(IF(SUM($D49:XR49)&gt;0,0,IF(XR$25&gt;XR47,XR47,0))),0)&lt;0,0,(IF(SUM($D49:XR49)&gt;0,0,IF(XR$25&gt;XR47,XR47,0)))))</f>
        <v>0</v>
      </c>
      <c r="XT49" s="115">
        <f>IF(SUM($D$42:XS42)=0,0,IF(IF(XT48&gt;0,XT48-(IF(SUM($D49:XS49)&gt;0,0,IF(XS$25&gt;XS47,XS47,0))),0)&lt;0,0,(IF(SUM($D49:XS49)&gt;0,0,IF(XS$25&gt;XS47,XS47,0)))))</f>
        <v>0</v>
      </c>
      <c r="XU49" s="115">
        <f>IF(SUM($D$42:XT42)=0,0,IF(IF(XU48&gt;0,XU48-(IF(SUM($D49:XT49)&gt;0,0,IF(XT$25&gt;XT47,XT47,0))),0)&lt;0,0,(IF(SUM($D49:XT49)&gt;0,0,IF(XT$25&gt;XT47,XT47,0)))))</f>
        <v>0</v>
      </c>
      <c r="XV49" s="115">
        <f>IF(SUM($D$42:XU42)=0,0,IF(IF(XV48&gt;0,XV48-(IF(SUM($D49:XU49)&gt;0,0,IF(XU$25&gt;XU47,XU47,0))),0)&lt;0,0,(IF(SUM($D49:XU49)&gt;0,0,IF(XU$25&gt;XU47,XU47,0)))))</f>
        <v>0</v>
      </c>
      <c r="XW49" s="115">
        <f>IF(SUM($D$42:XV42)=0,0,IF(IF(XW48&gt;0,XW48-(IF(SUM($D49:XV49)&gt;0,0,IF(XV$25&gt;XV47,XV47,0))),0)&lt;0,0,(IF(SUM($D49:XV49)&gt;0,0,IF(XV$25&gt;XV47,XV47,0)))))</f>
        <v>0</v>
      </c>
      <c r="XX49" s="115">
        <f>IF(SUM($D$42:XW42)=0,0,IF(IF(XX48&gt;0,XX48-(IF(SUM($D49:XW49)&gt;0,0,IF(XW$25&gt;XW47,XW47,0))),0)&lt;0,0,(IF(SUM($D49:XW49)&gt;0,0,IF(XW$25&gt;XW47,XW47,0)))))</f>
        <v>0</v>
      </c>
      <c r="XY49" s="115">
        <f>IF(SUM($D$42:XX42)=0,0,IF(IF(XY48&gt;0,XY48-(IF(SUM($D49:XX49)&gt;0,0,IF(XX$25&gt;XX47,XX47,0))),0)&lt;0,0,(IF(SUM($D49:XX49)&gt;0,0,IF(XX$25&gt;XX47,XX47,0)))))</f>
        <v>0</v>
      </c>
      <c r="XZ49" s="115">
        <f>IF(SUM($D$42:XY42)=0,0,IF(IF(XZ48&gt;0,XZ48-(IF(SUM($D49:XY49)&gt;0,0,IF(XY$25&gt;XY47,XY47,0))),0)&lt;0,0,(IF(SUM($D49:XY49)&gt;0,0,IF(XY$25&gt;XY47,XY47,0)))))</f>
        <v>0</v>
      </c>
      <c r="YA49" s="115">
        <f>IF(SUM($D$42:XZ42)=0,0,IF(IF(YA48&gt;0,YA48-(IF(SUM($D49:XZ49)&gt;0,0,IF(XZ$25&gt;XZ47,XZ47,0))),0)&lt;0,0,(IF(SUM($D49:XZ49)&gt;0,0,IF(XZ$25&gt;XZ47,XZ47,0)))))</f>
        <v>0</v>
      </c>
      <c r="YB49" s="115">
        <f>IF(SUM($D$42:YA42)=0,0,IF(IF(YB48&gt;0,YB48-(IF(SUM($D49:YA49)&gt;0,0,IF(YA$25&gt;YA47,YA47,0))),0)&lt;0,0,(IF(SUM($D49:YA49)&gt;0,0,IF(YA$25&gt;YA47,YA47,0)))))</f>
        <v>0</v>
      </c>
      <c r="YC49" s="115">
        <f>IF(SUM($D$42:YB42)=0,0,IF(IF(YC48&gt;0,YC48-(IF(SUM($D49:YB49)&gt;0,0,IF(YB$25&gt;YB47,YB47,0))),0)&lt;0,0,(IF(SUM($D49:YB49)&gt;0,0,IF(YB$25&gt;YB47,YB47,0)))))</f>
        <v>0</v>
      </c>
      <c r="YD49" s="115">
        <f>IF(SUM($D$42:YC42)=0,0,IF(IF(YD48&gt;0,YD48-(IF(SUM($D49:YC49)&gt;0,0,IF(YC$25&gt;YC47,YC47,0))),0)&lt;0,0,(IF(SUM($D49:YC49)&gt;0,0,IF(YC$25&gt;YC47,YC47,0)))))</f>
        <v>0</v>
      </c>
      <c r="YE49" s="115">
        <f>IF(SUM($D$42:YD42)=0,0,IF(IF(YE48&gt;0,YE48-(IF(SUM($D49:YD49)&gt;0,0,IF(YD$25&gt;YD47,YD47,0))),0)&lt;0,0,(IF(SUM($D49:YD49)&gt;0,0,IF(YD$25&gt;YD47,YD47,0)))))</f>
        <v>0</v>
      </c>
      <c r="YF49" s="115">
        <f>IF(SUM($D$42:YE42)=0,0,IF(IF(YF48&gt;0,YF48-(IF(SUM($D49:YE49)&gt;0,0,IF(YE$25&gt;YE47,YE47,0))),0)&lt;0,0,(IF(SUM($D49:YE49)&gt;0,0,IF(YE$25&gt;YE47,YE47,0)))))</f>
        <v>0</v>
      </c>
      <c r="YG49" s="115">
        <f>IF(SUM($D$42:YF42)=0,0,IF(IF(YG48&gt;0,YG48-(IF(SUM($D49:YF49)&gt;0,0,IF(YF$25&gt;YF47,YF47,0))),0)&lt;0,0,(IF(SUM($D49:YF49)&gt;0,0,IF(YF$25&gt;YF47,YF47,0)))))</f>
        <v>0</v>
      </c>
      <c r="YH49" s="115">
        <f>IF(SUM($D$42:YG42)=0,0,IF(IF(YH48&gt;0,YH48-(IF(SUM($D49:YG49)&gt;0,0,IF(YG$25&gt;YG47,YG47,0))),0)&lt;0,0,(IF(SUM($D49:YG49)&gt;0,0,IF(YG$25&gt;YG47,YG47,0)))))</f>
        <v>0</v>
      </c>
      <c r="YI49" s="115">
        <f>IF(SUM($D$42:YH42)=0,0,IF(IF(YI48&gt;0,YI48-(IF(SUM($D49:YH49)&gt;0,0,IF(YH$25&gt;YH47,YH47,0))),0)&lt;0,0,(IF(SUM($D49:YH49)&gt;0,0,IF(YH$25&gt;YH47,YH47,0)))))</f>
        <v>0</v>
      </c>
      <c r="YJ49" s="115">
        <f>IF(SUM($D$42:YI42)=0,0,IF(IF(YJ48&gt;0,YJ48-(IF(SUM($D49:YI49)&gt;0,0,IF(YI$25&gt;YI47,YI47,0))),0)&lt;0,0,(IF(SUM($D49:YI49)&gt;0,0,IF(YI$25&gt;YI47,YI47,0)))))</f>
        <v>0</v>
      </c>
      <c r="YK49" s="115">
        <f>IF(SUM($D$42:YJ42)=0,0,IF(IF(YK48&gt;0,YK48-(IF(SUM($D49:YJ49)&gt;0,0,IF(YJ$25&gt;YJ47,YJ47,0))),0)&lt;0,0,(IF(SUM($D49:YJ49)&gt;0,0,IF(YJ$25&gt;YJ47,YJ47,0)))))</f>
        <v>0</v>
      </c>
      <c r="YL49" s="115">
        <f>IF(SUM($D$42:YK42)=0,0,IF(IF(YL48&gt;0,YL48-(IF(SUM($D49:YK49)&gt;0,0,IF(YK$25&gt;YK47,YK47,0))),0)&lt;0,0,(IF(SUM($D49:YK49)&gt;0,0,IF(YK$25&gt;YK47,YK47,0)))))</f>
        <v>0</v>
      </c>
      <c r="YM49" s="115">
        <f>IF(SUM($D$42:YL42)=0,0,IF(IF(YM48&gt;0,YM48-(IF(SUM($D49:YL49)&gt;0,0,IF(YL$25&gt;YL47,YL47,0))),0)&lt;0,0,(IF(SUM($D49:YL49)&gt;0,0,IF(YL$25&gt;YL47,YL47,0)))))</f>
        <v>0</v>
      </c>
      <c r="YN49" s="115">
        <f>IF(SUM($D$42:YM42)=0,0,IF(IF(YN48&gt;0,YN48-(IF(SUM($D49:YM49)&gt;0,0,IF(YM$25&gt;YM47,YM47,0))),0)&lt;0,0,(IF(SUM($D49:YM49)&gt;0,0,IF(YM$25&gt;YM47,YM47,0)))))</f>
        <v>0</v>
      </c>
      <c r="YO49" s="115">
        <f>IF(SUM($D$42:YN42)=0,0,IF(IF(YO48&gt;0,YO48-(IF(SUM($D49:YN49)&gt;0,0,IF(YN$25&gt;YN47,YN47,0))),0)&lt;0,0,(IF(SUM($D49:YN49)&gt;0,0,IF(YN$25&gt;YN47,YN47,0)))))</f>
        <v>0</v>
      </c>
      <c r="YP49" s="115">
        <f>IF(SUM($D$42:YO42)=0,0,IF(IF(YP48&gt;0,YP48-(IF(SUM($D49:YO49)&gt;0,0,IF(YO$25&gt;YO47,YO47,0))),0)&lt;0,0,(IF(SUM($D49:YO49)&gt;0,0,IF(YO$25&gt;YO47,YO47,0)))))</f>
        <v>0</v>
      </c>
      <c r="YQ49" s="115">
        <f>IF(SUM($D$42:YP42)=0,0,IF(IF(YQ48&gt;0,YQ48-(IF(SUM($D49:YP49)&gt;0,0,IF(YP$25&gt;YP47,YP47,0))),0)&lt;0,0,(IF(SUM($D49:YP49)&gt;0,0,IF(YP$25&gt;YP47,YP47,0)))))</f>
        <v>0</v>
      </c>
      <c r="YR49" s="115">
        <f>IF(SUM($D$42:YQ42)=0,0,IF(IF(YR48&gt;0,YR48-(IF(SUM($D49:YQ49)&gt;0,0,IF(YQ$25&gt;YQ47,YQ47,0))),0)&lt;0,0,(IF(SUM($D49:YQ49)&gt;0,0,IF(YQ$25&gt;YQ47,YQ47,0)))))</f>
        <v>0</v>
      </c>
      <c r="YS49" s="115">
        <f>IF(SUM($D$42:YR42)=0,0,IF(IF(YS48&gt;0,YS48-(IF(SUM($D49:YR49)&gt;0,0,IF(YR$25&gt;YR47,YR47,0))),0)&lt;0,0,(IF(SUM($D49:YR49)&gt;0,0,IF(YR$25&gt;YR47,YR47,0)))))</f>
        <v>0</v>
      </c>
      <c r="YT49" s="115">
        <f>IF(SUM($D$42:YS42)=0,0,IF(IF(YT48&gt;0,YT48-(IF(SUM($D49:YS49)&gt;0,0,IF(YS$25&gt;YS47,YS47,0))),0)&lt;0,0,(IF(SUM($D49:YS49)&gt;0,0,IF(YS$25&gt;YS47,YS47,0)))))</f>
        <v>0</v>
      </c>
      <c r="YU49" s="115">
        <f>IF(SUM($D$42:YT42)=0,0,IF(IF(YU48&gt;0,YU48-(IF(SUM($D49:YT49)&gt;0,0,IF(YT$25&gt;YT47,YT47,0))),0)&lt;0,0,(IF(SUM($D49:YT49)&gt;0,0,IF(YT$25&gt;YT47,YT47,0)))))</f>
        <v>0</v>
      </c>
      <c r="YV49" s="115">
        <f>IF(SUM($D$42:YU42)=0,0,IF(IF(YV48&gt;0,YV48-(IF(SUM($D49:YU49)&gt;0,0,IF(YU$25&gt;YU47,YU47,0))),0)&lt;0,0,(IF(SUM($D49:YU49)&gt;0,0,IF(YU$25&gt;YU47,YU47,0)))))</f>
        <v>0</v>
      </c>
      <c r="YW49" s="115">
        <f>IF(SUM($D$42:YV42)=0,0,IF(IF(YW48&gt;0,YW48-(IF(SUM($D49:YV49)&gt;0,0,IF(YV$25&gt;YV47,YV47,0))),0)&lt;0,0,(IF(SUM($D49:YV49)&gt;0,0,IF(YV$25&gt;YV47,YV47,0)))))</f>
        <v>0</v>
      </c>
      <c r="YX49" s="115">
        <f>IF(SUM($D$42:YW42)=0,0,IF(IF(YX48&gt;0,YX48-(IF(SUM($D49:YW49)&gt;0,0,IF(YW$25&gt;YW47,YW47,0))),0)&lt;0,0,(IF(SUM($D49:YW49)&gt;0,0,IF(YW$25&gt;YW47,YW47,0)))))</f>
        <v>0</v>
      </c>
      <c r="YY49" s="115">
        <f>IF(SUM($D$42:YX42)=0,0,IF(IF(YY48&gt;0,YY48-(IF(SUM($D49:YX49)&gt;0,0,IF(YX$25&gt;YX47,YX47,0))),0)&lt;0,0,(IF(SUM($D49:YX49)&gt;0,0,IF(YX$25&gt;YX47,YX47,0)))))</f>
        <v>0</v>
      </c>
      <c r="YZ49" s="115">
        <f>IF(SUM($D$42:YY42)=0,0,IF(IF(YZ48&gt;0,YZ48-(IF(SUM($D49:YY49)&gt;0,0,IF(YY$25&gt;YY47,YY47,0))),0)&lt;0,0,(IF(SUM($D49:YY49)&gt;0,0,IF(YY$25&gt;YY47,YY47,0)))))</f>
        <v>0</v>
      </c>
      <c r="ZA49" s="115">
        <f>IF(SUM($D$42:YZ42)=0,0,IF(IF(ZA48&gt;0,ZA48-(IF(SUM($D49:YZ49)&gt;0,0,IF(YZ$25&gt;YZ47,YZ47,0))),0)&lt;0,0,(IF(SUM($D49:YZ49)&gt;0,0,IF(YZ$25&gt;YZ47,YZ47,0)))))</f>
        <v>0</v>
      </c>
      <c r="ZB49" s="115">
        <f>IF(SUM($D$42:ZA42)=0,0,IF(IF(ZB48&gt;0,ZB48-(IF(SUM($D49:ZA49)&gt;0,0,IF(ZA$25&gt;ZA47,ZA47,0))),0)&lt;0,0,(IF(SUM($D49:ZA49)&gt;0,0,IF(ZA$25&gt;ZA47,ZA47,0)))))</f>
        <v>0</v>
      </c>
      <c r="ZC49" s="115">
        <f>IF(SUM($D$42:ZB42)=0,0,IF(IF(ZC48&gt;0,ZC48-(IF(SUM($D49:ZB49)&gt;0,0,IF(ZB$25&gt;ZB47,ZB47,0))),0)&lt;0,0,(IF(SUM($D49:ZB49)&gt;0,0,IF(ZB$25&gt;ZB47,ZB47,0)))))</f>
        <v>0</v>
      </c>
      <c r="ZD49" s="115">
        <f>IF(SUM($D$42:ZC42)=0,0,IF(IF(ZD48&gt;0,ZD48-(IF(SUM($D49:ZC49)&gt;0,0,IF(ZC$25&gt;ZC47,ZC47,0))),0)&lt;0,0,(IF(SUM($D49:ZC49)&gt;0,0,IF(ZC$25&gt;ZC47,ZC47,0)))))</f>
        <v>0</v>
      </c>
      <c r="ZE49" s="115">
        <f>IF(SUM($D$42:ZD42)=0,0,IF(IF(ZE48&gt;0,ZE48-(IF(SUM($D49:ZD49)&gt;0,0,IF(ZD$25&gt;ZD47,ZD47,0))),0)&lt;0,0,(IF(SUM($D49:ZD49)&gt;0,0,IF(ZD$25&gt;ZD47,ZD47,0)))))</f>
        <v>0</v>
      </c>
      <c r="ZF49" s="115">
        <f>IF(SUM($D$42:ZE42)=0,0,IF(IF(ZF48&gt;0,ZF48-(IF(SUM($D49:ZE49)&gt;0,0,IF(ZE$25&gt;ZE47,ZE47,0))),0)&lt;0,0,(IF(SUM($D49:ZE49)&gt;0,0,IF(ZE$25&gt;ZE47,ZE47,0)))))</f>
        <v>0</v>
      </c>
      <c r="ZG49" s="115">
        <f>IF(SUM($D$42:ZF42)=0,0,IF(IF(ZG48&gt;0,ZG48-(IF(SUM($D49:ZF49)&gt;0,0,IF(ZF$25&gt;ZF47,ZF47,0))),0)&lt;0,0,(IF(SUM($D49:ZF49)&gt;0,0,IF(ZF$25&gt;ZF47,ZF47,0)))))</f>
        <v>0</v>
      </c>
      <c r="ZH49" s="115">
        <f>IF(SUM($D$42:ZG42)=0,0,IF(IF(ZH48&gt;0,ZH48-(IF(SUM($D49:ZG49)&gt;0,0,IF(ZG$25&gt;ZG47,ZG47,0))),0)&lt;0,0,(IF(SUM($D49:ZG49)&gt;0,0,IF(ZG$25&gt;ZG47,ZG47,0)))))</f>
        <v>0</v>
      </c>
      <c r="ZI49" s="115">
        <f>IF(SUM($D$42:ZH42)=0,0,IF(IF(ZI48&gt;0,ZI48-(IF(SUM($D49:ZH49)&gt;0,0,IF(ZH$25&gt;ZH47,ZH47,0))),0)&lt;0,0,(IF(SUM($D49:ZH49)&gt;0,0,IF(ZH$25&gt;ZH47,ZH47,0)))))</f>
        <v>0</v>
      </c>
      <c r="ZJ49" s="115">
        <f>IF(SUM($D$42:ZI42)=0,0,IF(IF(ZJ48&gt;0,ZJ48-(IF(SUM($D49:ZI49)&gt;0,0,IF(ZI$25&gt;ZI47,ZI47,0))),0)&lt;0,0,(IF(SUM($D49:ZI49)&gt;0,0,IF(ZI$25&gt;ZI47,ZI47,0)))))</f>
        <v>0</v>
      </c>
      <c r="ZK49" s="115">
        <f>IF(SUM($D$42:ZJ42)=0,0,IF(IF(ZK48&gt;0,ZK48-(IF(SUM($D49:ZJ49)&gt;0,0,IF(ZJ$25&gt;ZJ47,ZJ47,0))),0)&lt;0,0,(IF(SUM($D49:ZJ49)&gt;0,0,IF(ZJ$25&gt;ZJ47,ZJ47,0)))))</f>
        <v>0</v>
      </c>
      <c r="ZL49" s="115">
        <f>IF(SUM($D$42:ZK42)=0,0,IF(IF(ZL48&gt;0,ZL48-(IF(SUM($D49:ZK49)&gt;0,0,IF(ZK$25&gt;ZK47,ZK47,0))),0)&lt;0,0,(IF(SUM($D49:ZK49)&gt;0,0,IF(ZK$25&gt;ZK47,ZK47,0)))))</f>
        <v>0</v>
      </c>
      <c r="ZM49" s="115">
        <f>IF(SUM($D$42:ZL42)=0,0,IF(IF(ZM48&gt;0,ZM48-(IF(SUM($D49:ZL49)&gt;0,0,IF(ZL$25&gt;ZL47,ZL47,0))),0)&lt;0,0,(IF(SUM($D49:ZL49)&gt;0,0,IF(ZL$25&gt;ZL47,ZL47,0)))))</f>
        <v>0</v>
      </c>
      <c r="ZN49" s="115">
        <f>IF(SUM($D$42:ZM42)=0,0,IF(IF(ZN48&gt;0,ZN48-(IF(SUM($D49:ZM49)&gt;0,0,IF(ZM$25&gt;ZM47,ZM47,0))),0)&lt;0,0,(IF(SUM($D49:ZM49)&gt;0,0,IF(ZM$25&gt;ZM47,ZM47,0)))))</f>
        <v>0</v>
      </c>
      <c r="ZO49" s="115">
        <f>IF(SUM($D$42:ZN42)=0,0,IF(IF(ZO48&gt;0,ZO48-(IF(SUM($D49:ZN49)&gt;0,0,IF(ZN$25&gt;ZN47,ZN47,0))),0)&lt;0,0,(IF(SUM($D49:ZN49)&gt;0,0,IF(ZN$25&gt;ZN47,ZN47,0)))))</f>
        <v>0</v>
      </c>
      <c r="ZP49" s="115">
        <f>IF(SUM($D$42:ZO42)=0,0,IF(IF(ZP48&gt;0,ZP48-(IF(SUM($D49:ZO49)&gt;0,0,IF(ZO$25&gt;ZO47,ZO47,0))),0)&lt;0,0,(IF(SUM($D49:ZO49)&gt;0,0,IF(ZO$25&gt;ZO47,ZO47,0)))))</f>
        <v>0</v>
      </c>
      <c r="ZQ49" s="115">
        <f>IF(SUM($D$42:ZP42)=0,0,IF(IF(ZQ48&gt;0,ZQ48-(IF(SUM($D49:ZP49)&gt;0,0,IF(ZP$25&gt;ZP47,ZP47,0))),0)&lt;0,0,(IF(SUM($D49:ZP49)&gt;0,0,IF(ZP$25&gt;ZP47,ZP47,0)))))</f>
        <v>0</v>
      </c>
      <c r="ZR49" s="115">
        <f>IF(SUM($D$42:ZQ42)=0,0,IF(IF(ZR48&gt;0,ZR48-(IF(SUM($D49:ZQ49)&gt;0,0,IF(ZQ$25&gt;ZQ47,ZQ47,0))),0)&lt;0,0,(IF(SUM($D49:ZQ49)&gt;0,0,IF(ZQ$25&gt;ZQ47,ZQ47,0)))))</f>
        <v>0</v>
      </c>
      <c r="ZS49" s="115">
        <f>IF(SUM($D$42:ZR42)=0,0,IF(IF(ZS48&gt;0,ZS48-(IF(SUM($D49:ZR49)&gt;0,0,IF(ZR$25&gt;ZR47,ZR47,0))),0)&lt;0,0,(IF(SUM($D49:ZR49)&gt;0,0,IF(ZR$25&gt;ZR47,ZR47,0)))))</f>
        <v>0</v>
      </c>
      <c r="ZT49" s="115">
        <f>IF(SUM($D$42:ZS42)=0,0,IF(IF(ZT48&gt;0,ZT48-(IF(SUM($D49:ZS49)&gt;0,0,IF(ZS$25&gt;ZS47,ZS47,0))),0)&lt;0,0,(IF(SUM($D49:ZS49)&gt;0,0,IF(ZS$25&gt;ZS47,ZS47,0)))))</f>
        <v>0</v>
      </c>
      <c r="ZU49" s="115">
        <f>IF(SUM($D$42:ZT42)=0,0,IF(IF(ZU48&gt;0,ZU48-(IF(SUM($D49:ZT49)&gt;0,0,IF(ZT$25&gt;ZT47,ZT47,0))),0)&lt;0,0,(IF(SUM($D49:ZT49)&gt;0,0,IF(ZT$25&gt;ZT47,ZT47,0)))))</f>
        <v>0</v>
      </c>
      <c r="ZV49" s="115">
        <f>IF(SUM($D$42:ZU42)=0,0,IF(IF(ZV48&gt;0,ZV48-(IF(SUM($D49:ZU49)&gt;0,0,IF(ZU$25&gt;ZU47,ZU47,0))),0)&lt;0,0,(IF(SUM($D49:ZU49)&gt;0,0,IF(ZU$25&gt;ZU47,ZU47,0)))))</f>
        <v>0</v>
      </c>
      <c r="ZW49" s="115">
        <f>IF(SUM($D$42:ZV42)=0,0,IF(IF(ZW48&gt;0,ZW48-(IF(SUM($D49:ZV49)&gt;0,0,IF(ZV$25&gt;ZV47,ZV47,0))),0)&lt;0,0,(IF(SUM($D49:ZV49)&gt;0,0,IF(ZV$25&gt;ZV47,ZV47,0)))))</f>
        <v>0</v>
      </c>
      <c r="ZX49" s="115">
        <f>IF(SUM($D$42:ZW42)=0,0,IF(IF(ZX48&gt;0,ZX48-(IF(SUM($D49:ZW49)&gt;0,0,IF(ZW$25&gt;ZW47,ZW47,0))),0)&lt;0,0,(IF(SUM($D49:ZW49)&gt;0,0,IF(ZW$25&gt;ZW47,ZW47,0)))))</f>
        <v>0</v>
      </c>
      <c r="ZY49" s="115">
        <f>IF(SUM($D$42:ZX42)=0,0,IF(IF(ZY48&gt;0,ZY48-(IF(SUM($D49:ZX49)&gt;0,0,IF(ZX$25&gt;ZX47,ZX47,0))),0)&lt;0,0,(IF(SUM($D49:ZX49)&gt;0,0,IF(ZX$25&gt;ZX47,ZX47,0)))))</f>
        <v>0</v>
      </c>
      <c r="ZZ49" s="115">
        <f>IF(SUM($D$42:ZY42)=0,0,IF(IF(ZZ48&gt;0,ZZ48-(IF(SUM($D49:ZY49)&gt;0,0,IF(ZY$25&gt;ZY47,ZY47,0))),0)&lt;0,0,(IF(SUM($D49:ZY49)&gt;0,0,IF(ZY$25&gt;ZY47,ZY47,0)))))</f>
        <v>0</v>
      </c>
      <c r="AAA49" s="115">
        <f>IF(SUM($D$42:ZZ42)=0,0,IF(IF(AAA48&gt;0,AAA48-(IF(SUM($D49:ZZ49)&gt;0,0,IF(ZZ$25&gt;ZZ47,ZZ47,0))),0)&lt;0,0,(IF(SUM($D49:ZZ49)&gt;0,0,IF(ZZ$25&gt;ZZ47,ZZ47,0)))))</f>
        <v>0</v>
      </c>
      <c r="AAB49" s="115">
        <f>IF(SUM($D$42:AAA42)=0,0,IF(IF(AAB48&gt;0,AAB48-(IF(SUM($D49:AAA49)&gt;0,0,IF(AAA$25&gt;AAA47,AAA47,0))),0)&lt;0,0,(IF(SUM($D49:AAA49)&gt;0,0,IF(AAA$25&gt;AAA47,AAA47,0)))))</f>
        <v>0</v>
      </c>
      <c r="AAC49" s="115">
        <f>IF(SUM($D$42:AAB42)=0,0,IF(IF(AAC48&gt;0,AAC48-(IF(SUM($D49:AAB49)&gt;0,0,IF(AAB$25&gt;AAB47,AAB47,0))),0)&lt;0,0,(IF(SUM($D49:AAB49)&gt;0,0,IF(AAB$25&gt;AAB47,AAB47,0)))))</f>
        <v>0</v>
      </c>
      <c r="AAD49" s="115">
        <f>IF(SUM($D$42:AAC42)=0,0,IF(IF(AAD48&gt;0,AAD48-(IF(SUM($D49:AAC49)&gt;0,0,IF(AAC$25&gt;AAC47,AAC47,0))),0)&lt;0,0,(IF(SUM($D49:AAC49)&gt;0,0,IF(AAC$25&gt;AAC47,AAC47,0)))))</f>
        <v>0</v>
      </c>
      <c r="AAE49" s="115">
        <f>IF(SUM($D$42:AAD42)=0,0,IF(IF(AAE48&gt;0,AAE48-(IF(SUM($D49:AAD49)&gt;0,0,IF(AAD$25&gt;AAD47,AAD47,0))),0)&lt;0,0,(IF(SUM($D49:AAD49)&gt;0,0,IF(AAD$25&gt;AAD47,AAD47,0)))))</f>
        <v>0</v>
      </c>
      <c r="AAF49" s="115">
        <f>IF(SUM($D$42:AAE42)=0,0,IF(IF(AAF48&gt;0,AAF48-(IF(SUM($D49:AAE49)&gt;0,0,IF(AAE$25&gt;AAE47,AAE47,0))),0)&lt;0,0,(IF(SUM($D49:AAE49)&gt;0,0,IF(AAE$25&gt;AAE47,AAE47,0)))))</f>
        <v>0</v>
      </c>
      <c r="AAG49" s="115">
        <f>IF(SUM($D$42:AAF42)=0,0,IF(IF(AAG48&gt;0,AAG48-(IF(SUM($D49:AAF49)&gt;0,0,IF(AAF$25&gt;AAF47,AAF47,0))),0)&lt;0,0,(IF(SUM($D49:AAF49)&gt;0,0,IF(AAF$25&gt;AAF47,AAF47,0)))))</f>
        <v>0</v>
      </c>
      <c r="AAH49" s="115">
        <f>IF(SUM($D$42:AAG42)=0,0,IF(IF(AAH48&gt;0,AAH48-(IF(SUM($D49:AAG49)&gt;0,0,IF(AAG$25&gt;AAG47,AAG47,0))),0)&lt;0,0,(IF(SUM($D49:AAG49)&gt;0,0,IF(AAG$25&gt;AAG47,AAG47,0)))))</f>
        <v>0</v>
      </c>
      <c r="AAI49" s="115">
        <f>IF(SUM($D$42:AAH42)=0,0,IF(IF(AAI48&gt;0,AAI48-(IF(SUM($D49:AAH49)&gt;0,0,IF(AAH$25&gt;AAH47,AAH47,0))),0)&lt;0,0,(IF(SUM($D49:AAH49)&gt;0,0,IF(AAH$25&gt;AAH47,AAH47,0)))))</f>
        <v>0</v>
      </c>
      <c r="AAJ49" s="115">
        <f>IF(SUM($D$42:AAI42)=0,0,IF(IF(AAJ48&gt;0,AAJ48-(IF(SUM($D49:AAI49)&gt;0,0,IF(AAI$25&gt;AAI47,AAI47,0))),0)&lt;0,0,(IF(SUM($D49:AAI49)&gt;0,0,IF(AAI$25&gt;AAI47,AAI47,0)))))</f>
        <v>0</v>
      </c>
      <c r="AAK49" s="115">
        <f>IF(SUM($D$42:AAJ42)=0,0,IF(IF(AAK48&gt;0,AAK48-(IF(SUM($D49:AAJ49)&gt;0,0,IF(AAJ$25&gt;AAJ47,AAJ47,0))),0)&lt;0,0,(IF(SUM($D49:AAJ49)&gt;0,0,IF(AAJ$25&gt;AAJ47,AAJ47,0)))))</f>
        <v>0</v>
      </c>
      <c r="AAL49" s="115">
        <f>IF(SUM($D$42:AAK42)=0,0,IF(IF(AAL48&gt;0,AAL48-(IF(SUM($D49:AAK49)&gt;0,0,IF(AAK$25&gt;AAK47,AAK47,0))),0)&lt;0,0,(IF(SUM($D49:AAK49)&gt;0,0,IF(AAK$25&gt;AAK47,AAK47,0)))))</f>
        <v>0</v>
      </c>
      <c r="AAM49" s="115">
        <f>IF(SUM($D$42:AAL42)=0,0,IF(IF(AAM48&gt;0,AAM48-(IF(SUM($D49:AAL49)&gt;0,0,IF(AAL$25&gt;AAL47,AAL47,0))),0)&lt;0,0,(IF(SUM($D49:AAL49)&gt;0,0,IF(AAL$25&gt;AAL47,AAL47,0)))))</f>
        <v>0</v>
      </c>
      <c r="AAN49" s="115">
        <f>IF(SUM($D$42:AAM42)=0,0,IF(IF(AAN48&gt;0,AAN48-(IF(SUM($D49:AAM49)&gt;0,0,IF(AAM$25&gt;AAM47,AAM47,0))),0)&lt;0,0,(IF(SUM($D49:AAM49)&gt;0,0,IF(AAM$25&gt;AAM47,AAM47,0)))))</f>
        <v>0</v>
      </c>
      <c r="AAO49" s="115">
        <f>IF(SUM($D$42:AAN42)=0,0,IF(IF(AAO48&gt;0,AAO48-(IF(SUM($D49:AAN49)&gt;0,0,IF(AAN$25&gt;AAN47,AAN47,0))),0)&lt;0,0,(IF(SUM($D49:AAN49)&gt;0,0,IF(AAN$25&gt;AAN47,AAN47,0)))))</f>
        <v>0</v>
      </c>
      <c r="AAP49" s="115">
        <f>IF(SUM($D$42:AAO42)=0,0,IF(IF(AAP48&gt;0,AAP48-(IF(SUM($D49:AAO49)&gt;0,0,IF(AAO$25&gt;AAO47,AAO47,0))),0)&lt;0,0,(IF(SUM($D49:AAO49)&gt;0,0,IF(AAO$25&gt;AAO47,AAO47,0)))))</f>
        <v>0</v>
      </c>
      <c r="AAQ49" s="115">
        <f>IF(SUM($D$42:AAP42)=0,0,IF(IF(AAQ48&gt;0,AAQ48-(IF(SUM($D49:AAP49)&gt;0,0,IF(AAP$25&gt;AAP47,AAP47,0))),0)&lt;0,0,(IF(SUM($D49:AAP49)&gt;0,0,IF(AAP$25&gt;AAP47,AAP47,0)))))</f>
        <v>0</v>
      </c>
      <c r="AAR49" s="115">
        <f>IF(SUM($D$42:AAQ42)=0,0,IF(IF(AAR48&gt;0,AAR48-(IF(SUM($D49:AAQ49)&gt;0,0,IF(AAQ$25&gt;AAQ47,AAQ47,0))),0)&lt;0,0,(IF(SUM($D49:AAQ49)&gt;0,0,IF(AAQ$25&gt;AAQ47,AAQ47,0)))))</f>
        <v>0</v>
      </c>
      <c r="AAS49" s="115">
        <f>IF(SUM($D$42:AAR42)=0,0,IF(IF(AAS48&gt;0,AAS48-(IF(SUM($D49:AAR49)&gt;0,0,IF(AAR$25&gt;AAR47,AAR47,0))),0)&lt;0,0,(IF(SUM($D49:AAR49)&gt;0,0,IF(AAR$25&gt;AAR47,AAR47,0)))))</f>
        <v>0</v>
      </c>
      <c r="AAT49" s="115">
        <f>IF(SUM($D$42:AAS42)=0,0,IF(IF(AAT48&gt;0,AAT48-(IF(SUM($D49:AAS49)&gt;0,0,IF(AAS$25&gt;AAS47,AAS47,0))),0)&lt;0,0,(IF(SUM($D49:AAS49)&gt;0,0,IF(AAS$25&gt;AAS47,AAS47,0)))))</f>
        <v>0</v>
      </c>
      <c r="AAU49" s="115">
        <f>IF(SUM($D$42:AAT42)=0,0,IF(IF(AAU48&gt;0,AAU48-(IF(SUM($D49:AAT49)&gt;0,0,IF(AAT$25&gt;AAT47,AAT47,0))),0)&lt;0,0,(IF(SUM($D49:AAT49)&gt;0,0,IF(AAT$25&gt;AAT47,AAT47,0)))))</f>
        <v>0</v>
      </c>
      <c r="AAV49" s="115">
        <f>IF(SUM($D$42:AAU42)=0,0,IF(IF(AAV48&gt;0,AAV48-(IF(SUM($D49:AAU49)&gt;0,0,IF(AAU$25&gt;AAU47,AAU47,0))),0)&lt;0,0,(IF(SUM($D49:AAU49)&gt;0,0,IF(AAU$25&gt;AAU47,AAU47,0)))))</f>
        <v>0</v>
      </c>
      <c r="AAW49" s="115">
        <f>IF(SUM($D$42:AAV42)=0,0,IF(IF(AAW48&gt;0,AAW48-(IF(SUM($D49:AAV49)&gt;0,0,IF(AAV$25&gt;AAV47,AAV47,0))),0)&lt;0,0,(IF(SUM($D49:AAV49)&gt;0,0,IF(AAV$25&gt;AAV47,AAV47,0)))))</f>
        <v>0</v>
      </c>
      <c r="AAX49" s="115">
        <f>IF(SUM($D$42:AAW42)=0,0,IF(IF(AAX48&gt;0,AAX48-(IF(SUM($D49:AAW49)&gt;0,0,IF(AAW$25&gt;AAW47,AAW47,0))),0)&lt;0,0,(IF(SUM($D49:AAW49)&gt;0,0,IF(AAW$25&gt;AAW47,AAW47,0)))))</f>
        <v>0</v>
      </c>
      <c r="AAY49" s="115">
        <f>IF(SUM($D$42:AAX42)=0,0,IF(IF(AAY48&gt;0,AAY48-(IF(SUM($D49:AAX49)&gt;0,0,IF(AAX$25&gt;AAX47,AAX47,0))),0)&lt;0,0,(IF(SUM($D49:AAX49)&gt;0,0,IF(AAX$25&gt;AAX47,AAX47,0)))))</f>
        <v>0</v>
      </c>
      <c r="AAZ49" s="115">
        <f>IF(SUM($D$42:AAY42)=0,0,IF(IF(AAZ48&gt;0,AAZ48-(IF(SUM($D49:AAY49)&gt;0,0,IF(AAY$25&gt;AAY47,AAY47,0))),0)&lt;0,0,(IF(SUM($D49:AAY49)&gt;0,0,IF(AAY$25&gt;AAY47,AAY47,0)))))</f>
        <v>0</v>
      </c>
      <c r="ABA49" s="115">
        <f>IF(SUM($D$42:AAZ42)=0,0,IF(IF(ABA48&gt;0,ABA48-(IF(SUM($D49:AAZ49)&gt;0,0,IF(AAZ$25&gt;AAZ47,AAZ47,0))),0)&lt;0,0,(IF(SUM($D49:AAZ49)&gt;0,0,IF(AAZ$25&gt;AAZ47,AAZ47,0)))))</f>
        <v>0</v>
      </c>
      <c r="ABB49" s="115">
        <f>IF(SUM($D$42:ABA42)=0,0,IF(IF(ABB48&gt;0,ABB48-(IF(SUM($D49:ABA49)&gt;0,0,IF(ABA$25&gt;ABA47,ABA47,0))),0)&lt;0,0,(IF(SUM($D49:ABA49)&gt;0,0,IF(ABA$25&gt;ABA47,ABA47,0)))))</f>
        <v>0</v>
      </c>
      <c r="ABC49" s="115">
        <f>IF(SUM($D$42:ABB42)=0,0,IF(IF(ABC48&gt;0,ABC48-(IF(SUM($D49:ABB49)&gt;0,0,IF(ABB$25&gt;ABB47,ABB47,0))),0)&lt;0,0,(IF(SUM($D49:ABB49)&gt;0,0,IF(ABB$25&gt;ABB47,ABB47,0)))))</f>
        <v>0</v>
      </c>
      <c r="ABD49" s="115">
        <f>IF(SUM($D$42:ABC42)=0,0,IF(IF(ABD48&gt;0,ABD48-(IF(SUM($D49:ABC49)&gt;0,0,IF(ABC$25&gt;ABC47,ABC47,0))),0)&lt;0,0,(IF(SUM($D49:ABC49)&gt;0,0,IF(ABC$25&gt;ABC47,ABC47,0)))))</f>
        <v>0</v>
      </c>
      <c r="ABE49" s="115">
        <f>IF(SUM($D$42:ABD42)=0,0,IF(IF(ABE48&gt;0,ABE48-(IF(SUM($D49:ABD49)&gt;0,0,IF(ABD$25&gt;ABD47,ABD47,0))),0)&lt;0,0,(IF(SUM($D49:ABD49)&gt;0,0,IF(ABD$25&gt;ABD47,ABD47,0)))))</f>
        <v>0</v>
      </c>
      <c r="ABF49" s="115">
        <f>IF(SUM($D$42:ABE42)=0,0,IF(IF(ABF48&gt;0,ABF48-(IF(SUM($D49:ABE49)&gt;0,0,IF(ABE$25&gt;ABE47,ABE47,0))),0)&lt;0,0,(IF(SUM($D49:ABE49)&gt;0,0,IF(ABE$25&gt;ABE47,ABE47,0)))))</f>
        <v>0</v>
      </c>
      <c r="ABG49" s="115">
        <f>IF(SUM($D$42:ABF42)=0,0,IF(IF(ABG48&gt;0,ABG48-(IF(SUM($D49:ABF49)&gt;0,0,IF(ABF$25&gt;ABF47,ABF47,0))),0)&lt;0,0,(IF(SUM($D49:ABF49)&gt;0,0,IF(ABF$25&gt;ABF47,ABF47,0)))))</f>
        <v>0</v>
      </c>
      <c r="ABH49" s="115">
        <f>IF(SUM($D$42:ABG42)=0,0,IF(IF(ABH48&gt;0,ABH48-(IF(SUM($D49:ABG49)&gt;0,0,IF(ABG$25&gt;ABG47,ABG47,0))),0)&lt;0,0,(IF(SUM($D49:ABG49)&gt;0,0,IF(ABG$25&gt;ABG47,ABG47,0)))))</f>
        <v>0</v>
      </c>
      <c r="ABI49" s="115">
        <f>IF(SUM($D$42:ABH42)=0,0,IF(IF(ABI48&gt;0,ABI48-(IF(SUM($D49:ABH49)&gt;0,0,IF(ABH$25&gt;ABH47,ABH47,0))),0)&lt;0,0,(IF(SUM($D49:ABH49)&gt;0,0,IF(ABH$25&gt;ABH47,ABH47,0)))))</f>
        <v>0</v>
      </c>
      <c r="ABJ49" s="115">
        <f>IF(SUM($D$42:ABI42)=0,0,IF(IF(ABJ48&gt;0,ABJ48-(IF(SUM($D49:ABI49)&gt;0,0,IF(ABI$25&gt;ABI47,ABI47,0))),0)&lt;0,0,(IF(SUM($D49:ABI49)&gt;0,0,IF(ABI$25&gt;ABI47,ABI47,0)))))</f>
        <v>0</v>
      </c>
      <c r="ABK49" s="115">
        <f>IF(SUM($D$42:ABJ42)=0,0,IF(IF(ABK48&gt;0,ABK48-(IF(SUM($D49:ABJ49)&gt;0,0,IF(ABJ$25&gt;ABJ47,ABJ47,0))),0)&lt;0,0,(IF(SUM($D49:ABJ49)&gt;0,0,IF(ABJ$25&gt;ABJ47,ABJ47,0)))))</f>
        <v>0</v>
      </c>
      <c r="ABL49" s="115">
        <f>IF(SUM($D$42:ABK42)=0,0,IF(IF(ABL48&gt;0,ABL48-(IF(SUM($D49:ABK49)&gt;0,0,IF(ABK$25&gt;ABK47,ABK47,0))),0)&lt;0,0,(IF(SUM($D49:ABK49)&gt;0,0,IF(ABK$25&gt;ABK47,ABK47,0)))))</f>
        <v>0</v>
      </c>
      <c r="ABM49" s="115">
        <f>IF(SUM($D$42:ABL42)=0,0,IF(IF(ABM48&gt;0,ABM48-(IF(SUM($D49:ABL49)&gt;0,0,IF(ABL$25&gt;ABL47,ABL47,0))),0)&lt;0,0,(IF(SUM($D49:ABL49)&gt;0,0,IF(ABL$25&gt;ABL47,ABL47,0)))))</f>
        <v>0</v>
      </c>
      <c r="ABN49" s="115">
        <f>IF(SUM($D$42:ABM42)=0,0,IF(IF(ABN48&gt;0,ABN48-(IF(SUM($D49:ABM49)&gt;0,0,IF(ABM$25&gt;ABM47,ABM47,0))),0)&lt;0,0,(IF(SUM($D49:ABM49)&gt;0,0,IF(ABM$25&gt;ABM47,ABM47,0)))))</f>
        <v>0</v>
      </c>
      <c r="ABO49" s="115">
        <f>IF(SUM($D$42:ABN42)=0,0,IF(IF(ABO48&gt;0,ABO48-(IF(SUM($D49:ABN49)&gt;0,0,IF(ABN$25&gt;ABN47,ABN47,0))),0)&lt;0,0,(IF(SUM($D49:ABN49)&gt;0,0,IF(ABN$25&gt;ABN47,ABN47,0)))))</f>
        <v>0</v>
      </c>
      <c r="ABP49" s="115">
        <f>IF(SUM($D$42:ABO42)=0,0,IF(IF(ABP48&gt;0,ABP48-(IF(SUM($D49:ABO49)&gt;0,0,IF(ABO$25&gt;ABO47,ABO47,0))),0)&lt;0,0,(IF(SUM($D49:ABO49)&gt;0,0,IF(ABO$25&gt;ABO47,ABO47,0)))))</f>
        <v>0</v>
      </c>
      <c r="ABQ49" s="115">
        <f>IF(SUM($D$42:ABP42)=0,0,IF(IF(ABQ48&gt;0,ABQ48-(IF(SUM($D49:ABP49)&gt;0,0,IF(ABP$25&gt;ABP47,ABP47,0))),0)&lt;0,0,(IF(SUM($D49:ABP49)&gt;0,0,IF(ABP$25&gt;ABP47,ABP47,0)))))</f>
        <v>0</v>
      </c>
      <c r="ABR49" s="115">
        <f>IF(SUM($D$42:ABQ42)=0,0,IF(IF(ABR48&gt;0,ABR48-(IF(SUM($D49:ABQ49)&gt;0,0,IF(ABQ$25&gt;ABQ47,ABQ47,0))),0)&lt;0,0,(IF(SUM($D49:ABQ49)&gt;0,0,IF(ABQ$25&gt;ABQ47,ABQ47,0)))))</f>
        <v>0</v>
      </c>
      <c r="ABS49" s="115">
        <f>IF(SUM($D$42:ABR42)=0,0,IF(IF(ABS48&gt;0,ABS48-(IF(SUM($D49:ABR49)&gt;0,0,IF(ABR$25&gt;ABR47,ABR47,0))),0)&lt;0,0,(IF(SUM($D49:ABR49)&gt;0,0,IF(ABR$25&gt;ABR47,ABR47,0)))))</f>
        <v>0</v>
      </c>
      <c r="ABT49" s="115">
        <f>IF(SUM($D$42:ABS42)=0,0,IF(IF(ABT48&gt;0,ABT48-(IF(SUM($D49:ABS49)&gt;0,0,IF(ABS$25&gt;ABS47,ABS47,0))),0)&lt;0,0,(IF(SUM($D49:ABS49)&gt;0,0,IF(ABS$25&gt;ABS47,ABS47,0)))))</f>
        <v>0</v>
      </c>
      <c r="ABU49" s="115">
        <f>IF(SUM($D$42:ABT42)=0,0,IF(IF(ABU48&gt;0,ABU48-(IF(SUM($D49:ABT49)&gt;0,0,IF(ABT$25&gt;ABT47,ABT47,0))),0)&lt;0,0,(IF(SUM($D49:ABT49)&gt;0,0,IF(ABT$25&gt;ABT47,ABT47,0)))))</f>
        <v>0</v>
      </c>
      <c r="ABV49" s="115">
        <f>IF(SUM($D$42:ABU42)=0,0,IF(IF(ABV48&gt;0,ABV48-(IF(SUM($D49:ABU49)&gt;0,0,IF(ABU$25&gt;ABU47,ABU47,0))),0)&lt;0,0,(IF(SUM($D49:ABU49)&gt;0,0,IF(ABU$25&gt;ABU47,ABU47,0)))))</f>
        <v>0</v>
      </c>
      <c r="ABW49" s="115">
        <f>IF(SUM($D$42:ABV42)=0,0,IF(IF(ABW48&gt;0,ABW48-(IF(SUM($D49:ABV49)&gt;0,0,IF(ABV$25&gt;ABV47,ABV47,0))),0)&lt;0,0,(IF(SUM($D49:ABV49)&gt;0,0,IF(ABV$25&gt;ABV47,ABV47,0)))))</f>
        <v>0</v>
      </c>
      <c r="ABX49" s="115">
        <f>IF(SUM($D$42:ABW42)=0,0,IF(IF(ABX48&gt;0,ABX48-(IF(SUM($D49:ABW49)&gt;0,0,IF(ABW$25&gt;ABW47,ABW47,0))),0)&lt;0,0,(IF(SUM($D49:ABW49)&gt;0,0,IF(ABW$25&gt;ABW47,ABW47,0)))))</f>
        <v>0</v>
      </c>
      <c r="ABY49" s="115">
        <f>IF(SUM($D$42:ABX42)=0,0,IF(IF(ABY48&gt;0,ABY48-(IF(SUM($D49:ABX49)&gt;0,0,IF(ABX$25&gt;ABX47,ABX47,0))),0)&lt;0,0,(IF(SUM($D49:ABX49)&gt;0,0,IF(ABX$25&gt;ABX47,ABX47,0)))))</f>
        <v>0</v>
      </c>
      <c r="ABZ49" s="115">
        <f>IF(SUM($D$42:ABY42)=0,0,IF(IF(ABZ48&gt;0,ABZ48-(IF(SUM($D49:ABY49)&gt;0,0,IF(ABY$25&gt;ABY47,ABY47,0))),0)&lt;0,0,(IF(SUM($D49:ABY49)&gt;0,0,IF(ABY$25&gt;ABY47,ABY47,0)))))</f>
        <v>0</v>
      </c>
      <c r="ACA49" s="115">
        <f>IF(SUM($D$42:ABZ42)=0,0,IF(IF(ACA48&gt;0,ACA48-(IF(SUM($D49:ABZ49)&gt;0,0,IF(ABZ$25&gt;ABZ47,ABZ47,0))),0)&lt;0,0,(IF(SUM($D49:ABZ49)&gt;0,0,IF(ABZ$25&gt;ABZ47,ABZ47,0)))))</f>
        <v>0</v>
      </c>
      <c r="ACB49" s="115">
        <f>IF(SUM($D$42:ACA42)=0,0,IF(IF(ACB48&gt;0,ACB48-(IF(SUM($D49:ACA49)&gt;0,0,IF(ACA$25&gt;ACA47,ACA47,0))),0)&lt;0,0,(IF(SUM($D49:ACA49)&gt;0,0,IF(ACA$25&gt;ACA47,ACA47,0)))))</f>
        <v>0</v>
      </c>
      <c r="ACC49" s="115">
        <f>IF(SUM($D$42:ACB42)=0,0,IF(IF(ACC48&gt;0,ACC48-(IF(SUM($D49:ACB49)&gt;0,0,IF(ACB$25&gt;ACB47,ACB47,0))),0)&lt;0,0,(IF(SUM($D49:ACB49)&gt;0,0,IF(ACB$25&gt;ACB47,ACB47,0)))))</f>
        <v>0</v>
      </c>
      <c r="ACD49" s="115">
        <f>IF(SUM($D$42:ACC42)=0,0,IF(IF(ACD48&gt;0,ACD48-(IF(SUM($D49:ACC49)&gt;0,0,IF(ACC$25&gt;ACC47,ACC47,0))),0)&lt;0,0,(IF(SUM($D49:ACC49)&gt;0,0,IF(ACC$25&gt;ACC47,ACC47,0)))))</f>
        <v>0</v>
      </c>
      <c r="ACE49" s="115">
        <f>IF(SUM($D$42:ACD42)=0,0,IF(IF(ACE48&gt;0,ACE48-(IF(SUM($D49:ACD49)&gt;0,0,IF(ACD$25&gt;ACD47,ACD47,0))),0)&lt;0,0,(IF(SUM($D49:ACD49)&gt;0,0,IF(ACD$25&gt;ACD47,ACD47,0)))))</f>
        <v>0</v>
      </c>
      <c r="ACF49" s="115">
        <f>IF(SUM($D$42:ACE42)=0,0,IF(IF(ACF48&gt;0,ACF48-(IF(SUM($D49:ACE49)&gt;0,0,IF(ACE$25&gt;ACE47,ACE47,0))),0)&lt;0,0,(IF(SUM($D49:ACE49)&gt;0,0,IF(ACE$25&gt;ACE47,ACE47,0)))))</f>
        <v>0</v>
      </c>
      <c r="ACG49" s="115">
        <f>IF(SUM($D$42:ACF42)=0,0,IF(IF(ACG48&gt;0,ACG48-(IF(SUM($D49:ACF49)&gt;0,0,IF(ACF$25&gt;ACF47,ACF47,0))),0)&lt;0,0,(IF(SUM($D49:ACF49)&gt;0,0,IF(ACF$25&gt;ACF47,ACF47,0)))))</f>
        <v>0</v>
      </c>
      <c r="ACH49" s="115">
        <f>IF(SUM($D$42:ACG42)=0,0,IF(IF(ACH48&gt;0,ACH48-(IF(SUM($D49:ACG49)&gt;0,0,IF(ACG$25&gt;ACG47,ACG47,0))),0)&lt;0,0,(IF(SUM($D49:ACG49)&gt;0,0,IF(ACG$25&gt;ACG47,ACG47,0)))))</f>
        <v>0</v>
      </c>
      <c r="ACI49" s="115">
        <f>IF(SUM($D$42:ACH42)=0,0,IF(IF(ACI48&gt;0,ACI48-(IF(SUM($D49:ACH49)&gt;0,0,IF(ACH$25&gt;ACH47,ACH47,0))),0)&lt;0,0,(IF(SUM($D49:ACH49)&gt;0,0,IF(ACH$25&gt;ACH47,ACH47,0)))))</f>
        <v>0</v>
      </c>
      <c r="ACJ49" s="115">
        <f>IF(SUM($D$42:ACI42)=0,0,IF(IF(ACJ48&gt;0,ACJ48-(IF(SUM($D49:ACI49)&gt;0,0,IF(ACI$25&gt;ACI47,ACI47,0))),0)&lt;0,0,(IF(SUM($D49:ACI49)&gt;0,0,IF(ACI$25&gt;ACI47,ACI47,0)))))</f>
        <v>0</v>
      </c>
      <c r="ACK49" s="115">
        <f>IF(SUM($D$42:ACJ42)=0,0,IF(IF(ACK48&gt;0,ACK48-(IF(SUM($D49:ACJ49)&gt;0,0,IF(ACJ$25&gt;ACJ47,ACJ47,0))),0)&lt;0,0,(IF(SUM($D49:ACJ49)&gt;0,0,IF(ACJ$25&gt;ACJ47,ACJ47,0)))))</f>
        <v>0</v>
      </c>
      <c r="ACL49" s="115">
        <f>IF(SUM($D$42:ACK42)=0,0,IF(IF(ACL48&gt;0,ACL48-(IF(SUM($D49:ACK49)&gt;0,0,IF(ACK$25&gt;ACK47,ACK47,0))),0)&lt;0,0,(IF(SUM($D49:ACK49)&gt;0,0,IF(ACK$25&gt;ACK47,ACK47,0)))))</f>
        <v>0</v>
      </c>
      <c r="ACM49" s="115">
        <f>IF(SUM($D$42:ACL42)=0,0,IF(IF(ACM48&gt;0,ACM48-(IF(SUM($D49:ACL49)&gt;0,0,IF(ACL$25&gt;ACL47,ACL47,0))),0)&lt;0,0,(IF(SUM($D49:ACL49)&gt;0,0,IF(ACL$25&gt;ACL47,ACL47,0)))))</f>
        <v>0</v>
      </c>
      <c r="ACN49" s="115">
        <f>IF(SUM($D$42:ACM42)=0,0,IF(IF(ACN48&gt;0,ACN48-(IF(SUM($D49:ACM49)&gt;0,0,IF(ACM$25&gt;ACM47,ACM47,0))),0)&lt;0,0,(IF(SUM($D49:ACM49)&gt;0,0,IF(ACM$25&gt;ACM47,ACM47,0)))))</f>
        <v>0</v>
      </c>
      <c r="ACO49" s="115">
        <f>IF(SUM($D$42:ACN42)=0,0,IF(IF(ACO48&gt;0,ACO48-(IF(SUM($D49:ACN49)&gt;0,0,IF(ACN$25&gt;ACN47,ACN47,0))),0)&lt;0,0,(IF(SUM($D49:ACN49)&gt;0,0,IF(ACN$25&gt;ACN47,ACN47,0)))))</f>
        <v>0</v>
      </c>
      <c r="ACP49" s="115">
        <f>IF(SUM($D$42:ACO42)=0,0,IF(IF(ACP48&gt;0,ACP48-(IF(SUM($D49:ACO49)&gt;0,0,IF(ACO$25&gt;ACO47,ACO47,0))),0)&lt;0,0,(IF(SUM($D49:ACO49)&gt;0,0,IF(ACO$25&gt;ACO47,ACO47,0)))))</f>
        <v>0</v>
      </c>
      <c r="ACQ49" s="115">
        <f>IF(SUM($D$42:ACP42)=0,0,IF(IF(ACQ48&gt;0,ACQ48-(IF(SUM($D49:ACP49)&gt;0,0,IF(ACP$25&gt;ACP47,ACP47,0))),0)&lt;0,0,(IF(SUM($D49:ACP49)&gt;0,0,IF(ACP$25&gt;ACP47,ACP47,0)))))</f>
        <v>0</v>
      </c>
      <c r="ACR49" s="115">
        <f>IF(SUM($D$42:ACQ42)=0,0,IF(IF(ACR48&gt;0,ACR48-(IF(SUM($D49:ACQ49)&gt;0,0,IF(ACQ$25&gt;ACQ47,ACQ47,0))),0)&lt;0,0,(IF(SUM($D49:ACQ49)&gt;0,0,IF(ACQ$25&gt;ACQ47,ACQ47,0)))))</f>
        <v>0</v>
      </c>
      <c r="ACS49" s="115">
        <f>IF(SUM($D$42:ACR42)=0,0,IF(IF(ACS48&gt;0,ACS48-(IF(SUM($D49:ACR49)&gt;0,0,IF(ACR$25&gt;ACR47,ACR47,0))),0)&lt;0,0,(IF(SUM($D49:ACR49)&gt;0,0,IF(ACR$25&gt;ACR47,ACR47,0)))))</f>
        <v>0</v>
      </c>
      <c r="ACT49" s="115">
        <f>IF(SUM($D$42:ACS42)=0,0,IF(IF(ACT48&gt;0,ACT48-(IF(SUM($D49:ACS49)&gt;0,0,IF(ACS$25&gt;ACS47,ACS47,0))),0)&lt;0,0,(IF(SUM($D49:ACS49)&gt;0,0,IF(ACS$25&gt;ACS47,ACS47,0)))))</f>
        <v>0</v>
      </c>
      <c r="ACU49" s="115">
        <f>IF(SUM($D$42:ACT42)=0,0,IF(IF(ACU48&gt;0,ACU48-(IF(SUM($D49:ACT49)&gt;0,0,IF(ACT$25&gt;ACT47,ACT47,0))),0)&lt;0,0,(IF(SUM($D49:ACT49)&gt;0,0,IF(ACT$25&gt;ACT47,ACT47,0)))))</f>
        <v>0</v>
      </c>
      <c r="ACV49" s="115">
        <f>IF(SUM($D$42:ACU42)=0,0,IF(IF(ACV48&gt;0,ACV48-(IF(SUM($D49:ACU49)&gt;0,0,IF(ACU$25&gt;ACU47,ACU47,0))),0)&lt;0,0,(IF(SUM($D49:ACU49)&gt;0,0,IF(ACU$25&gt;ACU47,ACU47,0)))))</f>
        <v>0</v>
      </c>
      <c r="ACW49" s="115">
        <f>IF(SUM($D$42:ACV42)=0,0,IF(IF(ACW48&gt;0,ACW48-(IF(SUM($D49:ACV49)&gt;0,0,IF(ACV$25&gt;ACV47,ACV47,0))),0)&lt;0,0,(IF(SUM($D49:ACV49)&gt;0,0,IF(ACV$25&gt;ACV47,ACV47,0)))))</f>
        <v>0</v>
      </c>
      <c r="ACX49" s="115">
        <f>IF(SUM($D$42:ACW42)=0,0,IF(IF(ACX48&gt;0,ACX48-(IF(SUM($D49:ACW49)&gt;0,0,IF(ACW$25&gt;ACW47,ACW47,0))),0)&lt;0,0,(IF(SUM($D49:ACW49)&gt;0,0,IF(ACW$25&gt;ACW47,ACW47,0)))))</f>
        <v>0</v>
      </c>
      <c r="ACY49" s="115">
        <f>IF(SUM($D$42:ACX42)=0,0,IF(IF(ACY48&gt;0,ACY48-(IF(SUM($D49:ACX49)&gt;0,0,IF(ACX$25&gt;ACX47,ACX47,0))),0)&lt;0,0,(IF(SUM($D49:ACX49)&gt;0,0,IF(ACX$25&gt;ACX47,ACX47,0)))))</f>
        <v>0</v>
      </c>
      <c r="ACZ49" s="115">
        <f>IF(SUM($D$42:ACY42)=0,0,IF(IF(ACZ48&gt;0,ACZ48-(IF(SUM($D49:ACY49)&gt;0,0,IF(ACY$25&gt;ACY47,ACY47,0))),0)&lt;0,0,(IF(SUM($D49:ACY49)&gt;0,0,IF(ACY$25&gt;ACY47,ACY47,0)))))</f>
        <v>0</v>
      </c>
      <c r="ADA49" s="115">
        <f>IF(SUM($D$42:ACZ42)=0,0,IF(IF(ADA48&gt;0,ADA48-(IF(SUM($D49:ACZ49)&gt;0,0,IF(ACZ$25&gt;ACZ47,ACZ47,0))),0)&lt;0,0,(IF(SUM($D49:ACZ49)&gt;0,0,IF(ACZ$25&gt;ACZ47,ACZ47,0)))))</f>
        <v>0</v>
      </c>
      <c r="ADB49" s="115">
        <f>IF(SUM($D$42:ADA42)=0,0,IF(IF(ADB48&gt;0,ADB48-(IF(SUM($D49:ADA49)&gt;0,0,IF(ADA$25&gt;ADA47,ADA47,0))),0)&lt;0,0,(IF(SUM($D49:ADA49)&gt;0,0,IF(ADA$25&gt;ADA47,ADA47,0)))))</f>
        <v>0</v>
      </c>
      <c r="ADC49" s="115">
        <f>IF(SUM($D$42:ADB42)=0,0,IF(IF(ADC48&gt;0,ADC48-(IF(SUM($D49:ADB49)&gt;0,0,IF(ADB$25&gt;ADB47,ADB47,0))),0)&lt;0,0,(IF(SUM($D49:ADB49)&gt;0,0,IF(ADB$25&gt;ADB47,ADB47,0)))))</f>
        <v>0</v>
      </c>
      <c r="ADD49" s="115">
        <f>IF(SUM($D$42:ADC42)=0,0,IF(IF(ADD48&gt;0,ADD48-(IF(SUM($D49:ADC49)&gt;0,0,IF(ADC$25&gt;ADC47,ADC47,0))),0)&lt;0,0,(IF(SUM($D49:ADC49)&gt;0,0,IF(ADC$25&gt;ADC47,ADC47,0)))))</f>
        <v>0</v>
      </c>
      <c r="ADE49" s="115">
        <f>IF(SUM($D$42:ADD42)=0,0,IF(IF(ADE48&gt;0,ADE48-(IF(SUM($D49:ADD49)&gt;0,0,IF(ADD$25&gt;ADD47,ADD47,0))),0)&lt;0,0,(IF(SUM($D49:ADD49)&gt;0,0,IF(ADD$25&gt;ADD47,ADD47,0)))))</f>
        <v>0</v>
      </c>
      <c r="ADF49" s="115">
        <f>IF(SUM($D$42:ADE42)=0,0,IF(IF(ADF48&gt;0,ADF48-(IF(SUM($D49:ADE49)&gt;0,0,IF(ADE$25&gt;ADE47,ADE47,0))),0)&lt;0,0,(IF(SUM($D49:ADE49)&gt;0,0,IF(ADE$25&gt;ADE47,ADE47,0)))))</f>
        <v>0</v>
      </c>
      <c r="ADG49" s="115">
        <f>IF(SUM($D$42:ADF42)=0,0,IF(IF(ADG48&gt;0,ADG48-(IF(SUM($D49:ADF49)&gt;0,0,IF(ADF$25&gt;ADF47,ADF47,0))),0)&lt;0,0,(IF(SUM($D49:ADF49)&gt;0,0,IF(ADF$25&gt;ADF47,ADF47,0)))))</f>
        <v>0</v>
      </c>
      <c r="ADH49" s="115">
        <f>IF(SUM($D$42:ADG42)=0,0,IF(IF(ADH48&gt;0,ADH48-(IF(SUM($D49:ADG49)&gt;0,0,IF(ADG$25&gt;ADG47,ADG47,0))),0)&lt;0,0,(IF(SUM($D49:ADG49)&gt;0,0,IF(ADG$25&gt;ADG47,ADG47,0)))))</f>
        <v>0</v>
      </c>
      <c r="ADI49" s="115">
        <f>IF(SUM($D$42:ADH42)=0,0,IF(IF(ADI48&gt;0,ADI48-(IF(SUM($D49:ADH49)&gt;0,0,IF(ADH$25&gt;ADH47,ADH47,0))),0)&lt;0,0,(IF(SUM($D49:ADH49)&gt;0,0,IF(ADH$25&gt;ADH47,ADH47,0)))))</f>
        <v>0</v>
      </c>
      <c r="ADJ49" s="115">
        <f>IF(SUM($D$42:ADI42)=0,0,IF(IF(ADJ48&gt;0,ADJ48-(IF(SUM($D49:ADI49)&gt;0,0,IF(ADI$25&gt;ADI47,ADI47,0))),0)&lt;0,0,(IF(SUM($D49:ADI49)&gt;0,0,IF(ADI$25&gt;ADI47,ADI47,0)))))</f>
        <v>0</v>
      </c>
      <c r="ADK49" s="115">
        <f>IF(SUM($D$42:ADJ42)=0,0,IF(IF(ADK48&gt;0,ADK48-(IF(SUM($D49:ADJ49)&gt;0,0,IF(ADJ$25&gt;ADJ47,ADJ47,0))),0)&lt;0,0,(IF(SUM($D49:ADJ49)&gt;0,0,IF(ADJ$25&gt;ADJ47,ADJ47,0)))))</f>
        <v>0</v>
      </c>
      <c r="ADL49" s="115">
        <f>IF(SUM($D$42:ADK42)=0,0,IF(IF(ADL48&gt;0,ADL48-(IF(SUM($D49:ADK49)&gt;0,0,IF(ADK$25&gt;ADK47,ADK47,0))),0)&lt;0,0,(IF(SUM($D49:ADK49)&gt;0,0,IF(ADK$25&gt;ADK47,ADK47,0)))))</f>
        <v>0</v>
      </c>
      <c r="ADM49" s="115">
        <f>IF(SUM($D$42:ADL42)=0,0,IF(IF(ADM48&gt;0,ADM48-(IF(SUM($D49:ADL49)&gt;0,0,IF(ADL$25&gt;ADL47,ADL47,0))),0)&lt;0,0,(IF(SUM($D49:ADL49)&gt;0,0,IF(ADL$25&gt;ADL47,ADL47,0)))))</f>
        <v>0</v>
      </c>
      <c r="ADN49" s="115">
        <f>IF(SUM($D$42:ADM42)=0,0,IF(IF(ADN48&gt;0,ADN48-(IF(SUM($D49:ADM49)&gt;0,0,IF(ADM$25&gt;ADM47,ADM47,0))),0)&lt;0,0,(IF(SUM($D49:ADM49)&gt;0,0,IF(ADM$25&gt;ADM47,ADM47,0)))))</f>
        <v>0</v>
      </c>
      <c r="ADO49" s="115">
        <f>IF(SUM($D$42:ADN42)=0,0,IF(IF(ADO48&gt;0,ADO48-(IF(SUM($D49:ADN49)&gt;0,0,IF(ADN$25&gt;ADN47,ADN47,0))),0)&lt;0,0,(IF(SUM($D49:ADN49)&gt;0,0,IF(ADN$25&gt;ADN47,ADN47,0)))))</f>
        <v>0</v>
      </c>
      <c r="ADP49" s="115">
        <f>IF(SUM($D$42:ADO42)=0,0,IF(IF(ADP48&gt;0,ADP48-(IF(SUM($D49:ADO49)&gt;0,0,IF(ADO$25&gt;ADO47,ADO47,0))),0)&lt;0,0,(IF(SUM($D49:ADO49)&gt;0,0,IF(ADO$25&gt;ADO47,ADO47,0)))))</f>
        <v>0</v>
      </c>
      <c r="ADQ49" s="115">
        <f>IF(SUM($D$42:ADP42)=0,0,IF(IF(ADQ48&gt;0,ADQ48-(IF(SUM($D49:ADP49)&gt;0,0,IF(ADP$25&gt;ADP47,ADP47,0))),0)&lt;0,0,(IF(SUM($D49:ADP49)&gt;0,0,IF(ADP$25&gt;ADP47,ADP47,0)))))</f>
        <v>0</v>
      </c>
      <c r="ADR49" s="115">
        <f>IF(SUM($D$42:ADQ42)=0,0,IF(IF(ADR48&gt;0,ADR48-(IF(SUM($D49:ADQ49)&gt;0,0,IF(ADQ$25&gt;ADQ47,ADQ47,0))),0)&lt;0,0,(IF(SUM($D49:ADQ49)&gt;0,0,IF(ADQ$25&gt;ADQ47,ADQ47,0)))))</f>
        <v>0</v>
      </c>
      <c r="ADS49" s="115">
        <f>IF(SUM($D$42:ADR42)=0,0,IF(IF(ADS48&gt;0,ADS48-(IF(SUM($D49:ADR49)&gt;0,0,IF(ADR$25&gt;ADR47,ADR47,0))),0)&lt;0,0,(IF(SUM($D49:ADR49)&gt;0,0,IF(ADR$25&gt;ADR47,ADR47,0)))))</f>
        <v>0</v>
      </c>
      <c r="ADT49" s="115">
        <f>IF(SUM($D$42:ADS42)=0,0,IF(IF(ADT48&gt;0,ADT48-(IF(SUM($D49:ADS49)&gt;0,0,IF(ADS$25&gt;ADS47,ADS47,0))),0)&lt;0,0,(IF(SUM($D49:ADS49)&gt;0,0,IF(ADS$25&gt;ADS47,ADS47,0)))))</f>
        <v>0</v>
      </c>
      <c r="ADU49" s="115">
        <f>IF(SUM($D$42:ADT42)=0,0,IF(IF(ADU48&gt;0,ADU48-(IF(SUM($D49:ADT49)&gt;0,0,IF(ADT$25&gt;ADT47,ADT47,0))),0)&lt;0,0,(IF(SUM($D49:ADT49)&gt;0,0,IF(ADT$25&gt;ADT47,ADT47,0)))))</f>
        <v>0</v>
      </c>
      <c r="ADV49" s="115">
        <f>IF(SUM($D$42:ADU42)=0,0,IF(IF(ADV48&gt;0,ADV48-(IF(SUM($D49:ADU49)&gt;0,0,IF(ADU$25&gt;ADU47,ADU47,0))),0)&lt;0,0,(IF(SUM($D49:ADU49)&gt;0,0,IF(ADU$25&gt;ADU47,ADU47,0)))))</f>
        <v>0</v>
      </c>
      <c r="ADW49" s="115">
        <f>IF(SUM($D$42:ADV42)=0,0,IF(IF(ADW48&gt;0,ADW48-(IF(SUM($D49:ADV49)&gt;0,0,IF(ADV$25&gt;ADV47,ADV47,0))),0)&lt;0,0,(IF(SUM($D49:ADV49)&gt;0,0,IF(ADV$25&gt;ADV47,ADV47,0)))))</f>
        <v>0</v>
      </c>
      <c r="ADX49" s="115">
        <f>IF(SUM($D$42:ADW42)=0,0,IF(IF(ADX48&gt;0,ADX48-(IF(SUM($D49:ADW49)&gt;0,0,IF(ADW$25&gt;ADW47,ADW47,0))),0)&lt;0,0,(IF(SUM($D49:ADW49)&gt;0,0,IF(ADW$25&gt;ADW47,ADW47,0)))))</f>
        <v>0</v>
      </c>
      <c r="ADY49" s="115">
        <f>IF(SUM($D$42:ADX42)=0,0,IF(IF(ADY48&gt;0,ADY48-(IF(SUM($D49:ADX49)&gt;0,0,IF(ADX$25&gt;ADX47,ADX47,0))),0)&lt;0,0,(IF(SUM($D49:ADX49)&gt;0,0,IF(ADX$25&gt;ADX47,ADX47,0)))))</f>
        <v>0</v>
      </c>
      <c r="ADZ49" s="115">
        <f>IF(SUM($D$42:ADY42)=0,0,IF(IF(ADZ48&gt;0,ADZ48-(IF(SUM($D49:ADY49)&gt;0,0,IF(ADY$25&gt;ADY47,ADY47,0))),0)&lt;0,0,(IF(SUM($D49:ADY49)&gt;0,0,IF(ADY$25&gt;ADY47,ADY47,0)))))</f>
        <v>0</v>
      </c>
      <c r="AEA49" s="115">
        <f>IF(SUM($D$42:ADZ42)=0,0,IF(IF(AEA48&gt;0,AEA48-(IF(SUM($D49:ADZ49)&gt;0,0,IF(ADZ$25&gt;ADZ47,ADZ47,0))),0)&lt;0,0,(IF(SUM($D49:ADZ49)&gt;0,0,IF(ADZ$25&gt;ADZ47,ADZ47,0)))))</f>
        <v>0</v>
      </c>
      <c r="AEB49" s="115">
        <f>IF(SUM($D$42:AEA42)=0,0,IF(IF(AEB48&gt;0,AEB48-(IF(SUM($D49:AEA49)&gt;0,0,IF(AEA$25&gt;AEA47,AEA47,0))),0)&lt;0,0,(IF(SUM($D49:AEA49)&gt;0,0,IF(AEA$25&gt;AEA47,AEA47,0)))))</f>
        <v>0</v>
      </c>
      <c r="AEC49" s="115">
        <f>IF(SUM($D$42:AEB42)=0,0,IF(IF(AEC48&gt;0,AEC48-(IF(SUM($D49:AEB49)&gt;0,0,IF(AEB$25&gt;AEB47,AEB47,0))),0)&lt;0,0,(IF(SUM($D49:AEB49)&gt;0,0,IF(AEB$25&gt;AEB47,AEB47,0)))))</f>
        <v>0</v>
      </c>
      <c r="AED49" s="115">
        <f>IF(SUM($D$42:AEC42)=0,0,IF(IF(AED48&gt;0,AED48-(IF(SUM($D49:AEC49)&gt;0,0,IF(AEC$25&gt;AEC47,AEC47,0))),0)&lt;0,0,(IF(SUM($D49:AEC49)&gt;0,0,IF(AEC$25&gt;AEC47,AEC47,0)))))</f>
        <v>0</v>
      </c>
      <c r="AEE49" s="115">
        <f>IF(SUM($D$42:AED42)=0,0,IF(IF(AEE48&gt;0,AEE48-(IF(SUM($D49:AED49)&gt;0,0,IF(AED$25&gt;AED47,AED47,0))),0)&lt;0,0,(IF(SUM($D49:AED49)&gt;0,0,IF(AED$25&gt;AED47,AED47,0)))))</f>
        <v>0</v>
      </c>
      <c r="AEF49" s="115">
        <f>IF(SUM($D$42:AEE42)=0,0,IF(IF(AEF48&gt;0,AEF48-(IF(SUM($D49:AEE49)&gt;0,0,IF(AEE$25&gt;AEE47,AEE47,0))),0)&lt;0,0,(IF(SUM($D49:AEE49)&gt;0,0,IF(AEE$25&gt;AEE47,AEE47,0)))))</f>
        <v>0</v>
      </c>
      <c r="AEG49" s="115">
        <f>IF(SUM($D$42:AEF42)=0,0,IF(IF(AEG48&gt;0,AEG48-(IF(SUM($D49:AEF49)&gt;0,0,IF(AEF$25&gt;AEF47,AEF47,0))),0)&lt;0,0,(IF(SUM($D49:AEF49)&gt;0,0,IF(AEF$25&gt;AEF47,AEF47,0)))))</f>
        <v>0</v>
      </c>
      <c r="AEH49" s="115">
        <f>IF(SUM($D$42:AEG42)=0,0,IF(IF(AEH48&gt;0,AEH48-(IF(SUM($D49:AEG49)&gt;0,0,IF(AEG$25&gt;AEG47,AEG47,0))),0)&lt;0,0,(IF(SUM($D49:AEG49)&gt;0,0,IF(AEG$25&gt;AEG47,AEG47,0)))))</f>
        <v>0</v>
      </c>
      <c r="AEI49" s="115">
        <f>IF(SUM($D$42:AEH42)=0,0,IF(IF(AEI48&gt;0,AEI48-(IF(SUM($D49:AEH49)&gt;0,0,IF(AEH$25&gt;AEH47,AEH47,0))),0)&lt;0,0,(IF(SUM($D49:AEH49)&gt;0,0,IF(AEH$25&gt;AEH47,AEH47,0)))))</f>
        <v>0</v>
      </c>
      <c r="AEJ49" s="115">
        <f>IF(SUM($D$42:AEI42)=0,0,IF(IF(AEJ48&gt;0,AEJ48-(IF(SUM($D49:AEI49)&gt;0,0,IF(AEI$25&gt;AEI47,AEI47,0))),0)&lt;0,0,(IF(SUM($D49:AEI49)&gt;0,0,IF(AEI$25&gt;AEI47,AEI47,0)))))</f>
        <v>0</v>
      </c>
      <c r="AEK49" s="115">
        <f>IF(SUM($D$42:AEJ42)=0,0,IF(IF(AEK48&gt;0,AEK48-(IF(SUM($D49:AEJ49)&gt;0,0,IF(AEJ$25&gt;AEJ47,AEJ47,0))),0)&lt;0,0,(IF(SUM($D49:AEJ49)&gt;0,0,IF(AEJ$25&gt;AEJ47,AEJ47,0)))))</f>
        <v>0</v>
      </c>
      <c r="AEL49" s="115">
        <f>IF(SUM($D$42:AEK42)=0,0,IF(IF(AEL48&gt;0,AEL48-(IF(SUM($D49:AEK49)&gt;0,0,IF(AEK$25&gt;AEK47,AEK47,0))),0)&lt;0,0,(IF(SUM($D49:AEK49)&gt;0,0,IF(AEK$25&gt;AEK47,AEK47,0)))))</f>
        <v>0</v>
      </c>
      <c r="AEM49" s="115">
        <f>IF(SUM($D$42:AEL42)=0,0,IF(IF(AEM48&gt;0,AEM48-(IF(SUM($D49:AEL49)&gt;0,0,IF(AEL$25&gt;AEL47,AEL47,0))),0)&lt;0,0,(IF(SUM($D49:AEL49)&gt;0,0,IF(AEL$25&gt;AEL47,AEL47,0)))))</f>
        <v>0</v>
      </c>
      <c r="AEN49" s="115">
        <f>IF(SUM($D$42:AEM42)=0,0,IF(IF(AEN48&gt;0,AEN48-(IF(SUM($D49:AEM49)&gt;0,0,IF(AEM$25&gt;AEM47,AEM47,0))),0)&lt;0,0,(IF(SUM($D49:AEM49)&gt;0,0,IF(AEM$25&gt;AEM47,AEM47,0)))))</f>
        <v>0</v>
      </c>
      <c r="AEO49" s="115">
        <f>IF(SUM($D$42:AEN42)=0,0,IF(IF(AEO48&gt;0,AEO48-(IF(SUM($D49:AEN49)&gt;0,0,IF(AEN$25&gt;AEN47,AEN47,0))),0)&lt;0,0,(IF(SUM($D49:AEN49)&gt;0,0,IF(AEN$25&gt;AEN47,AEN47,0)))))</f>
        <v>0</v>
      </c>
      <c r="AEP49" s="115">
        <f>IF(SUM($D$42:AEO42)=0,0,IF(IF(AEP48&gt;0,AEP48-(IF(SUM($D49:AEO49)&gt;0,0,IF(AEO$25&gt;AEO47,AEO47,0))),0)&lt;0,0,(IF(SUM($D49:AEO49)&gt;0,0,IF(AEO$25&gt;AEO47,AEO47,0)))))</f>
        <v>0</v>
      </c>
      <c r="AEQ49" s="115">
        <f>IF(SUM($D$42:AEP42)=0,0,IF(IF(AEQ48&gt;0,AEQ48-(IF(SUM($D49:AEP49)&gt;0,0,IF(AEP$25&gt;AEP47,AEP47,0))),0)&lt;0,0,(IF(SUM($D49:AEP49)&gt;0,0,IF(AEP$25&gt;AEP47,AEP47,0)))))</f>
        <v>0</v>
      </c>
      <c r="AER49" s="115">
        <f>IF(SUM($D$42:AEQ42)=0,0,IF(IF(AER48&gt;0,AER48-(IF(SUM($D49:AEQ49)&gt;0,0,IF(AEQ$25&gt;AEQ47,AEQ47,0))),0)&lt;0,0,(IF(SUM($D49:AEQ49)&gt;0,0,IF(AEQ$25&gt;AEQ47,AEQ47,0)))))</f>
        <v>0</v>
      </c>
      <c r="AES49" s="115">
        <f>IF(SUM($D$42:AER42)=0,0,IF(IF(AES48&gt;0,AES48-(IF(SUM($D49:AER49)&gt;0,0,IF(AER$25&gt;AER47,AER47,0))),0)&lt;0,0,(IF(SUM($D49:AER49)&gt;0,0,IF(AER$25&gt;AER47,AER47,0)))))</f>
        <v>0</v>
      </c>
      <c r="AET49" s="115">
        <f>IF(SUM($D$42:AES42)=0,0,IF(IF(AET48&gt;0,AET48-(IF(SUM($D49:AES49)&gt;0,0,IF(AES$25&gt;AES47,AES47,0))),0)&lt;0,0,(IF(SUM($D49:AES49)&gt;0,0,IF(AES$25&gt;AES47,AES47,0)))))</f>
        <v>0</v>
      </c>
      <c r="AEU49" s="115">
        <f>IF(SUM($D$42:AET42)=0,0,IF(IF(AEU48&gt;0,AEU48-(IF(SUM($D49:AET49)&gt;0,0,IF(AET$25&gt;AET47,AET47,0))),0)&lt;0,0,(IF(SUM($D49:AET49)&gt;0,0,IF(AET$25&gt;AET47,AET47,0)))))</f>
        <v>0</v>
      </c>
      <c r="AEV49" s="115">
        <f>IF(SUM($D$42:AEU42)=0,0,IF(IF(AEV48&gt;0,AEV48-(IF(SUM($D49:AEU49)&gt;0,0,IF(AEU$25&gt;AEU47,AEU47,0))),0)&lt;0,0,(IF(SUM($D49:AEU49)&gt;0,0,IF(AEU$25&gt;AEU47,AEU47,0)))))</f>
        <v>0</v>
      </c>
      <c r="AEW49" s="115">
        <f>IF(SUM($D$42:AEV42)=0,0,IF(IF(AEW48&gt;0,AEW48-(IF(SUM($D49:AEV49)&gt;0,0,IF(AEV$25&gt;AEV47,AEV47,0))),0)&lt;0,0,(IF(SUM($D49:AEV49)&gt;0,0,IF(AEV$25&gt;AEV47,AEV47,0)))))</f>
        <v>0</v>
      </c>
      <c r="AEX49" s="115">
        <f>IF(SUM($D$42:AEW42)=0,0,IF(IF(AEX48&gt;0,AEX48-(IF(SUM($D49:AEW49)&gt;0,0,IF(AEW$25&gt;AEW47,AEW47,0))),0)&lt;0,0,(IF(SUM($D49:AEW49)&gt;0,0,IF(AEW$25&gt;AEW47,AEW47,0)))))</f>
        <v>0</v>
      </c>
      <c r="AEY49" s="115">
        <f>IF(SUM($D$42:AEX42)=0,0,IF(IF(AEY48&gt;0,AEY48-(IF(SUM($D49:AEX49)&gt;0,0,IF(AEX$25&gt;AEX47,AEX47,0))),0)&lt;0,0,(IF(SUM($D49:AEX49)&gt;0,0,IF(AEX$25&gt;AEX47,AEX47,0)))))</f>
        <v>0</v>
      </c>
      <c r="AEZ49" s="115">
        <f>IF(SUM($D$42:AEY42)=0,0,IF(IF(AEZ48&gt;0,AEZ48-(IF(SUM($D49:AEY49)&gt;0,0,IF(AEY$25&gt;AEY47,AEY47,0))),0)&lt;0,0,(IF(SUM($D49:AEY49)&gt;0,0,IF(AEY$25&gt;AEY47,AEY47,0)))))</f>
        <v>0</v>
      </c>
      <c r="AFA49" s="115">
        <f>IF(SUM($D$42:AEZ42)=0,0,IF(IF(AFA48&gt;0,AFA48-(IF(SUM($D49:AEZ49)&gt;0,0,IF(AEZ$25&gt;AEZ47,AEZ47,0))),0)&lt;0,0,(IF(SUM($D49:AEZ49)&gt;0,0,IF(AEZ$25&gt;AEZ47,AEZ47,0)))))</f>
        <v>0</v>
      </c>
      <c r="AFB49" s="115">
        <f>IF(SUM($D$42:AFA42)=0,0,IF(IF(AFB48&gt;0,AFB48-(IF(SUM($D49:AFA49)&gt;0,0,IF(AFA$25&gt;AFA47,AFA47,0))),0)&lt;0,0,(IF(SUM($D49:AFA49)&gt;0,0,IF(AFA$25&gt;AFA47,AFA47,0)))))</f>
        <v>0</v>
      </c>
      <c r="AFC49" s="115">
        <f>IF(SUM($D$42:AFB42)=0,0,IF(IF(AFC48&gt;0,AFC48-(IF(SUM($D49:AFB49)&gt;0,0,IF(AFB$25&gt;AFB47,AFB47,0))),0)&lt;0,0,(IF(SUM($D49:AFB49)&gt;0,0,IF(AFB$25&gt;AFB47,AFB47,0)))))</f>
        <v>0</v>
      </c>
      <c r="AFD49" s="115">
        <f>IF(SUM($D$42:AFC42)=0,0,IF(IF(AFD48&gt;0,AFD48-(IF(SUM($D49:AFC49)&gt;0,0,IF(AFC$25&gt;AFC47,AFC47,0))),0)&lt;0,0,(IF(SUM($D49:AFC49)&gt;0,0,IF(AFC$25&gt;AFC47,AFC47,0)))))</f>
        <v>0</v>
      </c>
      <c r="AFE49" s="115">
        <f>IF(SUM($D$42:AFD42)=0,0,IF(IF(AFE48&gt;0,AFE48-(IF(SUM($D49:AFD49)&gt;0,0,IF(AFD$25&gt;AFD47,AFD47,0))),0)&lt;0,0,(IF(SUM($D49:AFD49)&gt;0,0,IF(AFD$25&gt;AFD47,AFD47,0)))))</f>
        <v>0</v>
      </c>
      <c r="AFF49" s="115">
        <f>IF(SUM($D$42:AFE42)=0,0,IF(IF(AFF48&gt;0,AFF48-(IF(SUM($D49:AFE49)&gt;0,0,IF(AFE$25&gt;AFE47,AFE47,0))),0)&lt;0,0,(IF(SUM($D49:AFE49)&gt;0,0,IF(AFE$25&gt;AFE47,AFE47,0)))))</f>
        <v>0</v>
      </c>
      <c r="AFG49" s="115">
        <f>IF(SUM($D$42:AFF42)=0,0,IF(IF(AFG48&gt;0,AFG48-(IF(SUM($D49:AFF49)&gt;0,0,IF(AFF$25&gt;AFF47,AFF47,0))),0)&lt;0,0,(IF(SUM($D49:AFF49)&gt;0,0,IF(AFF$25&gt;AFF47,AFF47,0)))))</f>
        <v>0</v>
      </c>
      <c r="AFH49" s="115">
        <f>IF(SUM($D$42:AFG42)=0,0,IF(IF(AFH48&gt;0,AFH48-(IF(SUM($D49:AFG49)&gt;0,0,IF(AFG$25&gt;AFG47,AFG47,0))),0)&lt;0,0,(IF(SUM($D49:AFG49)&gt;0,0,IF(AFG$25&gt;AFG47,AFG47,0)))))</f>
        <v>0</v>
      </c>
      <c r="AFI49" s="115">
        <f>IF(SUM($D$42:AFH42)=0,0,IF(IF(AFI48&gt;0,AFI48-(IF(SUM($D49:AFH49)&gt;0,0,IF(AFH$25&gt;AFH47,AFH47,0))),0)&lt;0,0,(IF(SUM($D49:AFH49)&gt;0,0,IF(AFH$25&gt;AFH47,AFH47,0)))))</f>
        <v>0</v>
      </c>
      <c r="AFJ49" s="115">
        <f>IF(SUM($D$42:AFI42)=0,0,IF(IF(AFJ48&gt;0,AFJ48-(IF(SUM($D49:AFI49)&gt;0,0,IF(AFI$25&gt;AFI47,AFI47,0))),0)&lt;0,0,(IF(SUM($D49:AFI49)&gt;0,0,IF(AFI$25&gt;AFI47,AFI47,0)))))</f>
        <v>0</v>
      </c>
      <c r="AFK49" s="115">
        <f>IF(SUM($D$42:AFJ42)=0,0,IF(IF(AFK48&gt;0,AFK48-(IF(SUM($D49:AFJ49)&gt;0,0,IF(AFJ$25&gt;AFJ47,AFJ47,0))),0)&lt;0,0,(IF(SUM($D49:AFJ49)&gt;0,0,IF(AFJ$25&gt;AFJ47,AFJ47,0)))))</f>
        <v>0</v>
      </c>
      <c r="AFL49" s="115">
        <f>IF(SUM($D$42:AFK42)=0,0,IF(IF(AFL48&gt;0,AFL48-(IF(SUM($D49:AFK49)&gt;0,0,IF(AFK$25&gt;AFK47,AFK47,0))),0)&lt;0,0,(IF(SUM($D49:AFK49)&gt;0,0,IF(AFK$25&gt;AFK47,AFK47,0)))))</f>
        <v>0</v>
      </c>
      <c r="AFM49" s="115">
        <f>IF(SUM($D$42:AFL42)=0,0,IF(IF(AFM48&gt;0,AFM48-(IF(SUM($D49:AFL49)&gt;0,0,IF(AFL$25&gt;AFL47,AFL47,0))),0)&lt;0,0,(IF(SUM($D49:AFL49)&gt;0,0,IF(AFL$25&gt;AFL47,AFL47,0)))))</f>
        <v>0</v>
      </c>
      <c r="AFN49" s="115">
        <f>IF(SUM($D$42:AFM42)=0,0,IF(IF(AFN48&gt;0,AFN48-(IF(SUM($D49:AFM49)&gt;0,0,IF(AFM$25&gt;AFM47,AFM47,0))),0)&lt;0,0,(IF(SUM($D49:AFM49)&gt;0,0,IF(AFM$25&gt;AFM47,AFM47,0)))))</f>
        <v>0</v>
      </c>
      <c r="AFO49" s="115">
        <f>IF(SUM($D$42:AFN42)=0,0,IF(IF(AFO48&gt;0,AFO48-(IF(SUM($D49:AFN49)&gt;0,0,IF(AFN$25&gt;AFN47,AFN47,0))),0)&lt;0,0,(IF(SUM($D49:AFN49)&gt;0,0,IF(AFN$25&gt;AFN47,AFN47,0)))))</f>
        <v>0</v>
      </c>
      <c r="AFP49" s="115">
        <f>IF(SUM($D$42:AFO42)=0,0,IF(IF(AFP48&gt;0,AFP48-(IF(SUM($D49:AFO49)&gt;0,0,IF(AFO$25&gt;AFO47,AFO47,0))),0)&lt;0,0,(IF(SUM($D49:AFO49)&gt;0,0,IF(AFO$25&gt;AFO47,AFO47,0)))))</f>
        <v>0</v>
      </c>
      <c r="AFQ49" s="115">
        <f>IF(SUM($D$42:AFP42)=0,0,IF(IF(AFQ48&gt;0,AFQ48-(IF(SUM($D49:AFP49)&gt;0,0,IF(AFP$25&gt;AFP47,AFP47,0))),0)&lt;0,0,(IF(SUM($D49:AFP49)&gt;0,0,IF(AFP$25&gt;AFP47,AFP47,0)))))</f>
        <v>0</v>
      </c>
      <c r="AFR49" s="115">
        <f>IF(SUM($D$42:AFQ42)=0,0,IF(IF(AFR48&gt;0,AFR48-(IF(SUM($D49:AFQ49)&gt;0,0,IF(AFQ$25&gt;AFQ47,AFQ47,0))),0)&lt;0,0,(IF(SUM($D49:AFQ49)&gt;0,0,IF(AFQ$25&gt;AFQ47,AFQ47,0)))))</f>
        <v>0</v>
      </c>
      <c r="AFS49" s="115">
        <f>IF(SUM($D$42:AFR42)=0,0,IF(IF(AFS48&gt;0,AFS48-(IF(SUM($D49:AFR49)&gt;0,0,IF(AFR$25&gt;AFR47,AFR47,0))),0)&lt;0,0,(IF(SUM($D49:AFR49)&gt;0,0,IF(AFR$25&gt;AFR47,AFR47,0)))))</f>
        <v>0</v>
      </c>
      <c r="AFT49" s="115">
        <f>IF(SUM($D$42:AFS42)=0,0,IF(IF(AFT48&gt;0,AFT48-(IF(SUM($D49:AFS49)&gt;0,0,IF(AFS$25&gt;AFS47,AFS47,0))),0)&lt;0,0,(IF(SUM($D49:AFS49)&gt;0,0,IF(AFS$25&gt;AFS47,AFS47,0)))))</f>
        <v>0</v>
      </c>
      <c r="AFU49" s="115">
        <f>IF(SUM($D$42:AFT42)=0,0,IF(IF(AFU48&gt;0,AFU48-(IF(SUM($D49:AFT49)&gt;0,0,IF(AFT$25&gt;AFT47,AFT47,0))),0)&lt;0,0,(IF(SUM($D49:AFT49)&gt;0,0,IF(AFT$25&gt;AFT47,AFT47,0)))))</f>
        <v>0</v>
      </c>
      <c r="AFV49" s="115">
        <f>IF(SUM($D$42:AFU42)=0,0,IF(IF(AFV48&gt;0,AFV48-(IF(SUM($D49:AFU49)&gt;0,0,IF(AFU$25&gt;AFU47,AFU47,0))),0)&lt;0,0,(IF(SUM($D49:AFU49)&gt;0,0,IF(AFU$25&gt;AFU47,AFU47,0)))))</f>
        <v>0</v>
      </c>
      <c r="AFW49" s="115">
        <f>IF(SUM($D$42:AFV42)=0,0,IF(IF(AFW48&gt;0,AFW48-(IF(SUM($D49:AFV49)&gt;0,0,IF(AFV$25&gt;AFV47,AFV47,0))),0)&lt;0,0,(IF(SUM($D49:AFV49)&gt;0,0,IF(AFV$25&gt;AFV47,AFV47,0)))))</f>
        <v>0</v>
      </c>
      <c r="AFX49" s="115">
        <f>IF(SUM($D$42:AFW42)=0,0,IF(IF(AFX48&gt;0,AFX48-(IF(SUM($D49:AFW49)&gt;0,0,IF(AFW$25&gt;AFW47,AFW47,0))),0)&lt;0,0,(IF(SUM($D49:AFW49)&gt;0,0,IF(AFW$25&gt;AFW47,AFW47,0)))))</f>
        <v>0</v>
      </c>
      <c r="AFY49" s="115">
        <f>IF(SUM($D$42:AFX42)=0,0,IF(IF(AFY48&gt;0,AFY48-(IF(SUM($D49:AFX49)&gt;0,0,IF(AFX$25&gt;AFX47,AFX47,0))),0)&lt;0,0,(IF(SUM($D49:AFX49)&gt;0,0,IF(AFX$25&gt;AFX47,AFX47,0)))))</f>
        <v>0</v>
      </c>
      <c r="AFZ49" s="115">
        <f>IF(SUM($D$42:AFY42)=0,0,IF(IF(AFZ48&gt;0,AFZ48-(IF(SUM($D49:AFY49)&gt;0,0,IF(AFY$25&gt;AFY47,AFY47,0))),0)&lt;0,0,(IF(SUM($D49:AFY49)&gt;0,0,IF(AFY$25&gt;AFY47,AFY47,0)))))</f>
        <v>0</v>
      </c>
      <c r="AGA49" s="115">
        <f>IF(SUM($D$42:AFZ42)=0,0,IF(IF(AGA48&gt;0,AGA48-(IF(SUM($D49:AFZ49)&gt;0,0,IF(AFZ$25&gt;AFZ47,AFZ47,0))),0)&lt;0,0,(IF(SUM($D49:AFZ49)&gt;0,0,IF(AFZ$25&gt;AFZ47,AFZ47,0)))))</f>
        <v>0</v>
      </c>
      <c r="AGB49" s="115">
        <f>IF(SUM($D$42:AGA42)=0,0,IF(IF(AGB48&gt;0,AGB48-(IF(SUM($D49:AGA49)&gt;0,0,IF(AGA$25&gt;AGA47,AGA47,0))),0)&lt;0,0,(IF(SUM($D49:AGA49)&gt;0,0,IF(AGA$25&gt;AGA47,AGA47,0)))))</f>
        <v>0</v>
      </c>
      <c r="AGC49" s="115">
        <f>IF(SUM($D$42:AGB42)=0,0,IF(IF(AGC48&gt;0,AGC48-(IF(SUM($D49:AGB49)&gt;0,0,IF(AGB$25&gt;AGB47,AGB47,0))),0)&lt;0,0,(IF(SUM($D49:AGB49)&gt;0,0,IF(AGB$25&gt;AGB47,AGB47,0)))))</f>
        <v>0</v>
      </c>
      <c r="AGD49" s="115">
        <f>IF(SUM($D$42:AGC42)=0,0,IF(IF(AGD48&gt;0,AGD48-(IF(SUM($D49:AGC49)&gt;0,0,IF(AGC$25&gt;AGC47,AGC47,0))),0)&lt;0,0,(IF(SUM($D49:AGC49)&gt;0,0,IF(AGC$25&gt;AGC47,AGC47,0)))))</f>
        <v>0</v>
      </c>
      <c r="AGE49" s="115">
        <f>IF(SUM($D$42:AGD42)=0,0,IF(IF(AGE48&gt;0,AGE48-(IF(SUM($D49:AGD49)&gt;0,0,IF(AGD$25&gt;AGD47,AGD47,0))),0)&lt;0,0,(IF(SUM($D49:AGD49)&gt;0,0,IF(AGD$25&gt;AGD47,AGD47,0)))))</f>
        <v>0</v>
      </c>
      <c r="AGF49" s="115">
        <f>IF(SUM($D$42:AGE42)=0,0,IF(IF(AGF48&gt;0,AGF48-(IF(SUM($D49:AGE49)&gt;0,0,IF(AGE$25&gt;AGE47,AGE47,0))),0)&lt;0,0,(IF(SUM($D49:AGE49)&gt;0,0,IF(AGE$25&gt;AGE47,AGE47,0)))))</f>
        <v>0</v>
      </c>
      <c r="AGG49" s="115">
        <f>IF(SUM($D$42:AGF42)=0,0,IF(IF(AGG48&gt;0,AGG48-(IF(SUM($D49:AGF49)&gt;0,0,IF(AGF$25&gt;AGF47,AGF47,0))),0)&lt;0,0,(IF(SUM($D49:AGF49)&gt;0,0,IF(AGF$25&gt;AGF47,AGF47,0)))))</f>
        <v>0</v>
      </c>
      <c r="AGH49" s="115">
        <f>IF(SUM($D$42:AGG42)=0,0,IF(IF(AGH48&gt;0,AGH48-(IF(SUM($D49:AGG49)&gt;0,0,IF(AGG$25&gt;AGG47,AGG47,0))),0)&lt;0,0,(IF(SUM($D49:AGG49)&gt;0,0,IF(AGG$25&gt;AGG47,AGG47,0)))))</f>
        <v>0</v>
      </c>
      <c r="AGI49" s="115">
        <f>IF(SUM($D$42:AGH42)=0,0,IF(IF(AGI48&gt;0,AGI48-(IF(SUM($D49:AGH49)&gt;0,0,IF(AGH$25&gt;AGH47,AGH47,0))),0)&lt;0,0,(IF(SUM($D49:AGH49)&gt;0,0,IF(AGH$25&gt;AGH47,AGH47,0)))))</f>
        <v>0</v>
      </c>
      <c r="AGJ49" s="115">
        <f>IF(SUM($D$42:AGI42)=0,0,IF(IF(AGJ48&gt;0,AGJ48-(IF(SUM($D49:AGI49)&gt;0,0,IF(AGI$25&gt;AGI47,AGI47,0))),0)&lt;0,0,(IF(SUM($D49:AGI49)&gt;0,0,IF(AGI$25&gt;AGI47,AGI47,0)))))</f>
        <v>0</v>
      </c>
      <c r="AGK49" s="115">
        <f>IF(SUM($D$42:AGJ42)=0,0,IF(IF(AGK48&gt;0,AGK48-(IF(SUM($D49:AGJ49)&gt;0,0,IF(AGJ$25&gt;AGJ47,AGJ47,0))),0)&lt;0,0,(IF(SUM($D49:AGJ49)&gt;0,0,IF(AGJ$25&gt;AGJ47,AGJ47,0)))))</f>
        <v>0</v>
      </c>
      <c r="AGL49" s="115">
        <f>IF(SUM($D$42:AGK42)=0,0,IF(IF(AGL48&gt;0,AGL48-(IF(SUM($D49:AGK49)&gt;0,0,IF(AGK$25&gt;AGK47,AGK47,0))),0)&lt;0,0,(IF(SUM($D49:AGK49)&gt;0,0,IF(AGK$25&gt;AGK47,AGK47,0)))))</f>
        <v>0</v>
      </c>
      <c r="AGM49" s="115">
        <f>IF(SUM($D$42:AGL42)=0,0,IF(IF(AGM48&gt;0,AGM48-(IF(SUM($D49:AGL49)&gt;0,0,IF(AGL$25&gt;AGL47,AGL47,0))),0)&lt;0,0,(IF(SUM($D49:AGL49)&gt;0,0,IF(AGL$25&gt;AGL47,AGL47,0)))))</f>
        <v>0</v>
      </c>
      <c r="AGN49" s="115">
        <f>IF(SUM($D$42:AGM42)=0,0,IF(IF(AGN48&gt;0,AGN48-(IF(SUM($D49:AGM49)&gt;0,0,IF(AGM$25&gt;AGM47,AGM47,0))),0)&lt;0,0,(IF(SUM($D49:AGM49)&gt;0,0,IF(AGM$25&gt;AGM47,AGM47,0)))))</f>
        <v>0</v>
      </c>
      <c r="AGO49" s="115">
        <f>IF(SUM($D$42:AGN42)=0,0,IF(IF(AGO48&gt;0,AGO48-(IF(SUM($D49:AGN49)&gt;0,0,IF(AGN$25&gt;AGN47,AGN47,0))),0)&lt;0,0,(IF(SUM($D49:AGN49)&gt;0,0,IF(AGN$25&gt;AGN47,AGN47,0)))))</f>
        <v>0</v>
      </c>
      <c r="AGP49" s="115">
        <f>IF(SUM($D$42:AGO42)=0,0,IF(IF(AGP48&gt;0,AGP48-(IF(SUM($D49:AGO49)&gt;0,0,IF(AGO$25&gt;AGO47,AGO47,0))),0)&lt;0,0,(IF(SUM($D49:AGO49)&gt;0,0,IF(AGO$25&gt;AGO47,AGO47,0)))))</f>
        <v>0</v>
      </c>
      <c r="AGQ49" s="115">
        <f>IF(SUM($D$42:AGP42)=0,0,IF(IF(AGQ48&gt;0,AGQ48-(IF(SUM($D49:AGP49)&gt;0,0,IF(AGP$25&gt;AGP47,AGP47,0))),0)&lt;0,0,(IF(SUM($D49:AGP49)&gt;0,0,IF(AGP$25&gt;AGP47,AGP47,0)))))</f>
        <v>0</v>
      </c>
      <c r="AGR49" s="115">
        <f>IF(SUM($D$42:AGQ42)=0,0,IF(IF(AGR48&gt;0,AGR48-(IF(SUM($D49:AGQ49)&gt;0,0,IF(AGQ$25&gt;AGQ47,AGQ47,0))),0)&lt;0,0,(IF(SUM($D49:AGQ49)&gt;0,0,IF(AGQ$25&gt;AGQ47,AGQ47,0)))))</f>
        <v>0</v>
      </c>
      <c r="AGS49" s="115">
        <f>IF(SUM($D$42:AGR42)=0,0,IF(IF(AGS48&gt;0,AGS48-(IF(SUM($D49:AGR49)&gt;0,0,IF(AGR$25&gt;AGR47,AGR47,0))),0)&lt;0,0,(IF(SUM($D49:AGR49)&gt;0,0,IF(AGR$25&gt;AGR47,AGR47,0)))))</f>
        <v>0</v>
      </c>
      <c r="AGT49" s="115">
        <f>IF(SUM($D$42:AGS42)=0,0,IF(IF(AGT48&gt;0,AGT48-(IF(SUM($D49:AGS49)&gt;0,0,IF(AGS$25&gt;AGS47,AGS47,0))),0)&lt;0,0,(IF(SUM($D49:AGS49)&gt;0,0,IF(AGS$25&gt;AGS47,AGS47,0)))))</f>
        <v>0</v>
      </c>
      <c r="AGU49" s="115">
        <f>IF(SUM($D$42:AGT42)=0,0,IF(IF(AGU48&gt;0,AGU48-(IF(SUM($D49:AGT49)&gt;0,0,IF(AGT$25&gt;AGT47,AGT47,0))),0)&lt;0,0,(IF(SUM($D49:AGT49)&gt;0,0,IF(AGT$25&gt;AGT47,AGT47,0)))))</f>
        <v>0</v>
      </c>
      <c r="AGV49" s="115">
        <f>IF(SUM($D$42:AGU42)=0,0,IF(IF(AGV48&gt;0,AGV48-(IF(SUM($D49:AGU49)&gt;0,0,IF(AGU$25&gt;AGU47,AGU47,0))),0)&lt;0,0,(IF(SUM($D49:AGU49)&gt;0,0,IF(AGU$25&gt;AGU47,AGU47,0)))))</f>
        <v>0</v>
      </c>
      <c r="AGW49" s="115">
        <f>IF(SUM($D$42:AGV42)=0,0,IF(IF(AGW48&gt;0,AGW48-(IF(SUM($D49:AGV49)&gt;0,0,IF(AGV$25&gt;AGV47,AGV47,0))),0)&lt;0,0,(IF(SUM($D49:AGV49)&gt;0,0,IF(AGV$25&gt;AGV47,AGV47,0)))))</f>
        <v>0</v>
      </c>
      <c r="AGX49" s="115">
        <f>IF(SUM($D$42:AGW42)=0,0,IF(IF(AGX48&gt;0,AGX48-(IF(SUM($D49:AGW49)&gt;0,0,IF(AGW$25&gt;AGW47,AGW47,0))),0)&lt;0,0,(IF(SUM($D49:AGW49)&gt;0,0,IF(AGW$25&gt;AGW47,AGW47,0)))))</f>
        <v>0</v>
      </c>
      <c r="AGY49" s="115">
        <f>IF(SUM($D$42:AGX42)=0,0,IF(IF(AGY48&gt;0,AGY48-(IF(SUM($D49:AGX49)&gt;0,0,IF(AGX$25&gt;AGX47,AGX47,0))),0)&lt;0,0,(IF(SUM($D49:AGX49)&gt;0,0,IF(AGX$25&gt;AGX47,AGX47,0)))))</f>
        <v>0</v>
      </c>
      <c r="AGZ49" s="115">
        <f>IF(SUM($D$42:AGY42)=0,0,IF(IF(AGZ48&gt;0,AGZ48-(IF(SUM($D49:AGY49)&gt;0,0,IF(AGY$25&gt;AGY47,AGY47,0))),0)&lt;0,0,(IF(SUM($D49:AGY49)&gt;0,0,IF(AGY$25&gt;AGY47,AGY47,0)))))</f>
        <v>0</v>
      </c>
      <c r="AHA49" s="115">
        <f>IF(SUM($D$42:AGZ42)=0,0,IF(IF(AHA48&gt;0,AHA48-(IF(SUM($D49:AGZ49)&gt;0,0,IF(AGZ$25&gt;AGZ47,AGZ47,0))),0)&lt;0,0,(IF(SUM($D49:AGZ49)&gt;0,0,IF(AGZ$25&gt;AGZ47,AGZ47,0)))))</f>
        <v>0</v>
      </c>
      <c r="AHB49" s="115">
        <f>IF(SUM($D$42:AHA42)=0,0,IF(IF(AHB48&gt;0,AHB48-(IF(SUM($D49:AHA49)&gt;0,0,IF(AHA$25&gt;AHA47,AHA47,0))),0)&lt;0,0,(IF(SUM($D49:AHA49)&gt;0,0,IF(AHA$25&gt;AHA47,AHA47,0)))))</f>
        <v>0</v>
      </c>
      <c r="AHC49" s="115">
        <f>IF(SUM($D$42:AHB42)=0,0,IF(IF(AHC48&gt;0,AHC48-(IF(SUM($D49:AHB49)&gt;0,0,IF(AHB$25&gt;AHB47,AHB47,0))),0)&lt;0,0,(IF(SUM($D49:AHB49)&gt;0,0,IF(AHB$25&gt;AHB47,AHB47,0)))))</f>
        <v>0</v>
      </c>
      <c r="AHD49" s="115">
        <f>IF(SUM($D$42:AHC42)=0,0,IF(IF(AHD48&gt;0,AHD48-(IF(SUM($D49:AHC49)&gt;0,0,IF(AHC$25&gt;AHC47,AHC47,0))),0)&lt;0,0,(IF(SUM($D49:AHC49)&gt;0,0,IF(AHC$25&gt;AHC47,AHC47,0)))))</f>
        <v>0</v>
      </c>
      <c r="AHE49" s="115">
        <f>IF(SUM($D$42:AHD42)=0,0,IF(IF(AHE48&gt;0,AHE48-(IF(SUM($D49:AHD49)&gt;0,0,IF(AHD$25&gt;AHD47,AHD47,0))),0)&lt;0,0,(IF(SUM($D49:AHD49)&gt;0,0,IF(AHD$25&gt;AHD47,AHD47,0)))))</f>
        <v>0</v>
      </c>
      <c r="AHF49" s="115">
        <f>IF(SUM($D$42:AHE42)=0,0,IF(IF(AHF48&gt;0,AHF48-(IF(SUM($D49:AHE49)&gt;0,0,IF(AHE$25&gt;AHE47,AHE47,0))),0)&lt;0,0,(IF(SUM($D49:AHE49)&gt;0,0,IF(AHE$25&gt;AHE47,AHE47,0)))))</f>
        <v>0</v>
      </c>
      <c r="AHG49" s="115">
        <f>IF(SUM($D$42:AHF42)=0,0,IF(IF(AHG48&gt;0,AHG48-(IF(SUM($D49:AHF49)&gt;0,0,IF(AHF$25&gt;AHF47,AHF47,0))),0)&lt;0,0,(IF(SUM($D49:AHF49)&gt;0,0,IF(AHF$25&gt;AHF47,AHF47,0)))))</f>
        <v>0</v>
      </c>
      <c r="AHH49" s="115">
        <f>IF(SUM($D$42:AHG42)=0,0,IF(IF(AHH48&gt;0,AHH48-(IF(SUM($D49:AHG49)&gt;0,0,IF(AHG$25&gt;AHG47,AHG47,0))),0)&lt;0,0,(IF(SUM($D49:AHG49)&gt;0,0,IF(AHG$25&gt;AHG47,AHG47,0)))))</f>
        <v>0</v>
      </c>
      <c r="AHI49" s="115">
        <f>IF(SUM($D$42:AHH42)=0,0,IF(IF(AHI48&gt;0,AHI48-(IF(SUM($D49:AHH49)&gt;0,0,IF(AHH$25&gt;AHH47,AHH47,0))),0)&lt;0,0,(IF(SUM($D49:AHH49)&gt;0,0,IF(AHH$25&gt;AHH47,AHH47,0)))))</f>
        <v>0</v>
      </c>
      <c r="AHJ49" s="115">
        <f>IF(SUM($D$42:AHI42)=0,0,IF(IF(AHJ48&gt;0,AHJ48-(IF(SUM($D49:AHI49)&gt;0,0,IF(AHI$25&gt;AHI47,AHI47,0))),0)&lt;0,0,(IF(SUM($D49:AHI49)&gt;0,0,IF(AHI$25&gt;AHI47,AHI47,0)))))</f>
        <v>0</v>
      </c>
      <c r="AHK49" s="115">
        <f>IF(SUM($D$42:AHJ42)=0,0,IF(IF(AHK48&gt;0,AHK48-(IF(SUM($D49:AHJ49)&gt;0,0,IF(AHJ$25&gt;AHJ47,AHJ47,0))),0)&lt;0,0,(IF(SUM($D49:AHJ49)&gt;0,0,IF(AHJ$25&gt;AHJ47,AHJ47,0)))))</f>
        <v>0</v>
      </c>
      <c r="AHL49" s="115">
        <f>IF(SUM($D$42:AHK42)=0,0,IF(IF(AHL48&gt;0,AHL48-(IF(SUM($D49:AHK49)&gt;0,0,IF(AHK$25&gt;AHK47,AHK47,0))),0)&lt;0,0,(IF(SUM($D49:AHK49)&gt;0,0,IF(AHK$25&gt;AHK47,AHK47,0)))))</f>
        <v>0</v>
      </c>
      <c r="AHM49" s="115">
        <f>IF(SUM($D$42:AHL42)=0,0,IF(IF(AHM48&gt;0,AHM48-(IF(SUM($D49:AHL49)&gt;0,0,IF(AHL$25&gt;AHL47,AHL47,0))),0)&lt;0,0,(IF(SUM($D49:AHL49)&gt;0,0,IF(AHL$25&gt;AHL47,AHL47,0)))))</f>
        <v>0</v>
      </c>
      <c r="AHN49" s="115">
        <f>IF(SUM($D$42:AHM42)=0,0,IF(IF(AHN48&gt;0,AHN48-(IF(SUM($D49:AHM49)&gt;0,0,IF(AHM$25&gt;AHM47,AHM47,0))),0)&lt;0,0,(IF(SUM($D49:AHM49)&gt;0,0,IF(AHM$25&gt;AHM47,AHM47,0)))))</f>
        <v>0</v>
      </c>
      <c r="AHO49" s="115">
        <f>IF(SUM($D$42:AHN42)=0,0,IF(IF(AHO48&gt;0,AHO48-(IF(SUM($D49:AHN49)&gt;0,0,IF(AHN$25&gt;AHN47,AHN47,0))),0)&lt;0,0,(IF(SUM($D49:AHN49)&gt;0,0,IF(AHN$25&gt;AHN47,AHN47,0)))))</f>
        <v>0</v>
      </c>
      <c r="AHP49" s="115">
        <f>IF(SUM($D$42:AHO42)=0,0,IF(IF(AHP48&gt;0,AHP48-(IF(SUM($D49:AHO49)&gt;0,0,IF(AHO$25&gt;AHO47,AHO47,0))),0)&lt;0,0,(IF(SUM($D49:AHO49)&gt;0,0,IF(AHO$25&gt;AHO47,AHO47,0)))))</f>
        <v>0</v>
      </c>
      <c r="AHQ49" s="115">
        <f>IF(SUM($D$42:AHP42)=0,0,IF(IF(AHQ48&gt;0,AHQ48-(IF(SUM($D49:AHP49)&gt;0,0,IF(AHP$25&gt;AHP47,AHP47,0))),0)&lt;0,0,(IF(SUM($D49:AHP49)&gt;0,0,IF(AHP$25&gt;AHP47,AHP47,0)))))</f>
        <v>0</v>
      </c>
      <c r="AHR49" s="115">
        <f>IF(SUM($D$42:AHQ42)=0,0,IF(IF(AHR48&gt;0,AHR48-(IF(SUM($D49:AHQ49)&gt;0,0,IF(AHQ$25&gt;AHQ47,AHQ47,0))),0)&lt;0,0,(IF(SUM($D49:AHQ49)&gt;0,0,IF(AHQ$25&gt;AHQ47,AHQ47,0)))))</f>
        <v>0</v>
      </c>
      <c r="AHS49" s="115">
        <f>IF(SUM($D$42:AHR42)=0,0,IF(IF(AHS48&gt;0,AHS48-(IF(SUM($D49:AHR49)&gt;0,0,IF(AHR$25&gt;AHR47,AHR47,0))),0)&lt;0,0,(IF(SUM($D49:AHR49)&gt;0,0,IF(AHR$25&gt;AHR47,AHR47,0)))))</f>
        <v>0</v>
      </c>
      <c r="AHT49" s="115">
        <f>IF(SUM($D$42:AHS42)=0,0,IF(IF(AHT48&gt;0,AHT48-(IF(SUM($D49:AHS49)&gt;0,0,IF(AHS$25&gt;AHS47,AHS47,0))),0)&lt;0,0,(IF(SUM($D49:AHS49)&gt;0,0,IF(AHS$25&gt;AHS47,AHS47,0)))))</f>
        <v>0</v>
      </c>
      <c r="AHU49" s="115">
        <f>IF(SUM($D$42:AHT42)=0,0,IF(IF(AHU48&gt;0,AHU48-(IF(SUM($D49:AHT49)&gt;0,0,IF(AHT$25&gt;AHT47,AHT47,0))),0)&lt;0,0,(IF(SUM($D49:AHT49)&gt;0,0,IF(AHT$25&gt;AHT47,AHT47,0)))))</f>
        <v>0</v>
      </c>
      <c r="AHV49" s="115">
        <f>IF(SUM($D$42:AHU42)=0,0,IF(IF(AHV48&gt;0,AHV48-(IF(SUM($D49:AHU49)&gt;0,0,IF(AHU$25&gt;AHU47,AHU47,0))),0)&lt;0,0,(IF(SUM($D49:AHU49)&gt;0,0,IF(AHU$25&gt;AHU47,AHU47,0)))))</f>
        <v>0</v>
      </c>
      <c r="AHW49" s="115">
        <f>IF(SUM($D$42:AHV42)=0,0,IF(IF(AHW48&gt;0,AHW48-(IF(SUM($D49:AHV49)&gt;0,0,IF(AHV$25&gt;AHV47,AHV47,0))),0)&lt;0,0,(IF(SUM($D49:AHV49)&gt;0,0,IF(AHV$25&gt;AHV47,AHV47,0)))))</f>
        <v>0</v>
      </c>
      <c r="AHX49" s="115">
        <f>IF(SUM($D$42:AHW42)=0,0,IF(IF(AHX48&gt;0,AHX48-(IF(SUM($D49:AHW49)&gt;0,0,IF(AHW$25&gt;AHW47,AHW47,0))),0)&lt;0,0,(IF(SUM($D49:AHW49)&gt;0,0,IF(AHW$25&gt;AHW47,AHW47,0)))))</f>
        <v>0</v>
      </c>
      <c r="AHY49" s="115">
        <f>IF(SUM($D$42:AHX42)=0,0,IF(IF(AHY48&gt;0,AHY48-(IF(SUM($D49:AHX49)&gt;0,0,IF(AHX$25&gt;AHX47,AHX47,0))),0)&lt;0,0,(IF(SUM($D49:AHX49)&gt;0,0,IF(AHX$25&gt;AHX47,AHX47,0)))))</f>
        <v>0</v>
      </c>
      <c r="AHZ49" s="115">
        <f>IF(SUM($D$42:AHY42)=0,0,IF(IF(AHZ48&gt;0,AHZ48-(IF(SUM($D49:AHY49)&gt;0,0,IF(AHY$25&gt;AHY47,AHY47,0))),0)&lt;0,0,(IF(SUM($D49:AHY49)&gt;0,0,IF(AHY$25&gt;AHY47,AHY47,0)))))</f>
        <v>0</v>
      </c>
      <c r="AIA49" s="115">
        <f>IF(SUM($D$42:AHZ42)=0,0,IF(IF(AIA48&gt;0,AIA48-(IF(SUM($D49:AHZ49)&gt;0,0,IF(AHZ$25&gt;AHZ47,AHZ47,0))),0)&lt;0,0,(IF(SUM($D49:AHZ49)&gt;0,0,IF(AHZ$25&gt;AHZ47,AHZ47,0)))))</f>
        <v>0</v>
      </c>
      <c r="AIB49" s="115">
        <f>IF(SUM($D$42:AIA42)=0,0,IF(IF(AIB48&gt;0,AIB48-(IF(SUM($D49:AIA49)&gt;0,0,IF(AIA$25&gt;AIA47,AIA47,0))),0)&lt;0,0,(IF(SUM($D49:AIA49)&gt;0,0,IF(AIA$25&gt;AIA47,AIA47,0)))))</f>
        <v>0</v>
      </c>
      <c r="AIC49" s="115">
        <f>IF(SUM($D$42:AIB42)=0,0,IF(IF(AIC48&gt;0,AIC48-(IF(SUM($D49:AIB49)&gt;0,0,IF(AIB$25&gt;AIB47,AIB47,0))),0)&lt;0,0,(IF(SUM($D49:AIB49)&gt;0,0,IF(AIB$25&gt;AIB47,AIB47,0)))))</f>
        <v>0</v>
      </c>
      <c r="AID49" s="115">
        <f>IF(SUM($D$42:AIC42)=0,0,IF(IF(AID48&gt;0,AID48-(IF(SUM($D49:AIC49)&gt;0,0,IF(AIC$25&gt;AIC47,AIC47,0))),0)&lt;0,0,(IF(SUM($D49:AIC49)&gt;0,0,IF(AIC$25&gt;AIC47,AIC47,0)))))</f>
        <v>0</v>
      </c>
      <c r="AIE49" s="115">
        <f>IF(SUM($D$42:AID42)=0,0,IF(IF(AIE48&gt;0,AIE48-(IF(SUM($D49:AID49)&gt;0,0,IF(AID$25&gt;AID47,AID47,0))),0)&lt;0,0,(IF(SUM($D49:AID49)&gt;0,0,IF(AID$25&gt;AID47,AID47,0)))))</f>
        <v>0</v>
      </c>
      <c r="AIF49" s="115">
        <f>IF(SUM($D$42:AIE42)=0,0,IF(IF(AIF48&gt;0,AIF48-(IF(SUM($D49:AIE49)&gt;0,0,IF(AIE$25&gt;AIE47,AIE47,0))),0)&lt;0,0,(IF(SUM($D49:AIE49)&gt;0,0,IF(AIE$25&gt;AIE47,AIE47,0)))))</f>
        <v>0</v>
      </c>
      <c r="AIG49" s="115">
        <f>IF(SUM($D$42:AIF42)=0,0,IF(IF(AIG48&gt;0,AIG48-(IF(SUM($D49:AIF49)&gt;0,0,IF(AIF$25&gt;AIF47,AIF47,0))),0)&lt;0,0,(IF(SUM($D49:AIF49)&gt;0,0,IF(AIF$25&gt;AIF47,AIF47,0)))))</f>
        <v>0</v>
      </c>
      <c r="AIH49" s="115">
        <f>IF(SUM($D$42:AIG42)=0,0,IF(IF(AIH48&gt;0,AIH48-(IF(SUM($D49:AIG49)&gt;0,0,IF(AIG$25&gt;AIG47,AIG47,0))),0)&lt;0,0,(IF(SUM($D49:AIG49)&gt;0,0,IF(AIG$25&gt;AIG47,AIG47,0)))))</f>
        <v>0</v>
      </c>
      <c r="AII49" s="115">
        <f>IF(SUM($D$42:AIH42)=0,0,IF(IF(AII48&gt;0,AII48-(IF(SUM($D49:AIH49)&gt;0,0,IF(AIH$25&gt;AIH47,AIH47,0))),0)&lt;0,0,(IF(SUM($D49:AIH49)&gt;0,0,IF(AIH$25&gt;AIH47,AIH47,0)))))</f>
        <v>0</v>
      </c>
      <c r="AIJ49" s="115">
        <f>IF(SUM($D$42:AII42)=0,0,IF(IF(AIJ48&gt;0,AIJ48-(IF(SUM($D49:AII49)&gt;0,0,IF(AII$25&gt;AII47,AII47,0))),0)&lt;0,0,(IF(SUM($D49:AII49)&gt;0,0,IF(AII$25&gt;AII47,AII47,0)))))</f>
        <v>0</v>
      </c>
      <c r="AIK49" s="115">
        <f>IF(SUM($D$42:AIJ42)=0,0,IF(IF(AIK48&gt;0,AIK48-(IF(SUM($D49:AIJ49)&gt;0,0,IF(AIJ$25&gt;AIJ47,AIJ47,0))),0)&lt;0,0,(IF(SUM($D49:AIJ49)&gt;0,0,IF(AIJ$25&gt;AIJ47,AIJ47,0)))))</f>
        <v>0</v>
      </c>
      <c r="AIL49" s="115">
        <f>IF(SUM($D$42:AIK42)=0,0,IF(IF(AIL48&gt;0,AIL48-(IF(SUM($D49:AIK49)&gt;0,0,IF(AIK$25&gt;AIK47,AIK47,0))),0)&lt;0,0,(IF(SUM($D49:AIK49)&gt;0,0,IF(AIK$25&gt;AIK47,AIK47,0)))))</f>
        <v>0</v>
      </c>
      <c r="AIM49" s="115">
        <f>IF(SUM($D$42:AIL42)=0,0,IF(IF(AIM48&gt;0,AIM48-(IF(SUM($D49:AIL49)&gt;0,0,IF(AIL$25&gt;AIL47,AIL47,0))),0)&lt;0,0,(IF(SUM($D49:AIL49)&gt;0,0,IF(AIL$25&gt;AIL47,AIL47,0)))))</f>
        <v>0</v>
      </c>
      <c r="AIN49" s="115">
        <f>IF(SUM($D$42:AIM42)=0,0,IF(IF(AIN48&gt;0,AIN48-(IF(SUM($D49:AIM49)&gt;0,0,IF(AIM$25&gt;AIM47,AIM47,0))),0)&lt;0,0,(IF(SUM($D49:AIM49)&gt;0,0,IF(AIM$25&gt;AIM47,AIM47,0)))))</f>
        <v>0</v>
      </c>
      <c r="AIO49" s="115">
        <f>IF(SUM($D$42:AIN42)=0,0,IF(IF(AIO48&gt;0,AIO48-(IF(SUM($D49:AIN49)&gt;0,0,IF(AIN$25&gt;AIN47,AIN47,0))),0)&lt;0,0,(IF(SUM($D49:AIN49)&gt;0,0,IF(AIN$25&gt;AIN47,AIN47,0)))))</f>
        <v>0</v>
      </c>
      <c r="AIP49" s="115">
        <f>IF(SUM($D$42:AIO42)=0,0,IF(IF(AIP48&gt;0,AIP48-(IF(SUM($D49:AIO49)&gt;0,0,IF(AIO$25&gt;AIO47,AIO47,0))),0)&lt;0,0,(IF(SUM($D49:AIO49)&gt;0,0,IF(AIO$25&gt;AIO47,AIO47,0)))))</f>
        <v>0</v>
      </c>
      <c r="AIQ49" s="115">
        <f>IF(SUM($D$42:AIP42)=0,0,IF(IF(AIQ48&gt;0,AIQ48-(IF(SUM($D49:AIP49)&gt;0,0,IF(AIP$25&gt;AIP47,AIP47,0))),0)&lt;0,0,(IF(SUM($D49:AIP49)&gt;0,0,IF(AIP$25&gt;AIP47,AIP47,0)))))</f>
        <v>0</v>
      </c>
      <c r="AIR49" s="115">
        <f>IF(SUM($D$42:AIQ42)=0,0,IF(IF(AIR48&gt;0,AIR48-(IF(SUM($D49:AIQ49)&gt;0,0,IF(AIQ$25&gt;AIQ47,AIQ47,0))),0)&lt;0,0,(IF(SUM($D49:AIQ49)&gt;0,0,IF(AIQ$25&gt;AIQ47,AIQ47,0)))))</f>
        <v>0</v>
      </c>
      <c r="AIS49" s="115">
        <f>IF(SUM($D$42:AIR42)=0,0,IF(IF(AIS48&gt;0,AIS48-(IF(SUM($D49:AIR49)&gt;0,0,IF(AIR$25&gt;AIR47,AIR47,0))),0)&lt;0,0,(IF(SUM($D49:AIR49)&gt;0,0,IF(AIR$25&gt;AIR47,AIR47,0)))))</f>
        <v>0</v>
      </c>
      <c r="AIT49" s="115">
        <f>IF(SUM($D$42:AIS42)=0,0,IF(IF(AIT48&gt;0,AIT48-(IF(SUM($D49:AIS49)&gt;0,0,IF(AIS$25&gt;AIS47,AIS47,0))),0)&lt;0,0,(IF(SUM($D49:AIS49)&gt;0,0,IF(AIS$25&gt;AIS47,AIS47,0)))))</f>
        <v>0</v>
      </c>
      <c r="AIU49" s="115">
        <f>IF(SUM($D$42:AIT42)=0,0,IF(IF(AIU48&gt;0,AIU48-(IF(SUM($D49:AIT49)&gt;0,0,IF(AIT$25&gt;AIT47,AIT47,0))),0)&lt;0,0,(IF(SUM($D49:AIT49)&gt;0,0,IF(AIT$25&gt;AIT47,AIT47,0)))))</f>
        <v>0</v>
      </c>
      <c r="AIV49" s="115">
        <f>IF(SUM($D$42:AIU42)=0,0,IF(IF(AIV48&gt;0,AIV48-(IF(SUM($D49:AIU49)&gt;0,0,IF(AIU$25&gt;AIU47,AIU47,0))),0)&lt;0,0,(IF(SUM($D49:AIU49)&gt;0,0,IF(AIU$25&gt;AIU47,AIU47,0)))))</f>
        <v>0</v>
      </c>
      <c r="AIW49" s="115">
        <f>IF(SUM($D$42:AIV42)=0,0,IF(IF(AIW48&gt;0,AIW48-(IF(SUM($D49:AIV49)&gt;0,0,IF(AIV$25&gt;AIV47,AIV47,0))),0)&lt;0,0,(IF(SUM($D49:AIV49)&gt;0,0,IF(AIV$25&gt;AIV47,AIV47,0)))))</f>
        <v>0</v>
      </c>
      <c r="AIX49" s="115">
        <f>IF(SUM($D$42:AIW42)=0,0,IF(IF(AIX48&gt;0,AIX48-(IF(SUM($D49:AIW49)&gt;0,0,IF(AIW$25&gt;AIW47,AIW47,0))),0)&lt;0,0,(IF(SUM($D49:AIW49)&gt;0,0,IF(AIW$25&gt;AIW47,AIW47,0)))))</f>
        <v>0</v>
      </c>
      <c r="AIY49" s="115">
        <f>IF(SUM($D$42:AIX42)=0,0,IF(IF(AIY48&gt;0,AIY48-(IF(SUM($D49:AIX49)&gt;0,0,IF(AIX$25&gt;AIX47,AIX47,0))),0)&lt;0,0,(IF(SUM($D49:AIX49)&gt;0,0,IF(AIX$25&gt;AIX47,AIX47,0)))))</f>
        <v>0</v>
      </c>
      <c r="AIZ49" s="115">
        <f>IF(SUM($D$42:AIY42)=0,0,IF(IF(AIZ48&gt;0,AIZ48-(IF(SUM($D49:AIY49)&gt;0,0,IF(AIY$25&gt;AIY47,AIY47,0))),0)&lt;0,0,(IF(SUM($D49:AIY49)&gt;0,0,IF(AIY$25&gt;AIY47,AIY47,0)))))</f>
        <v>0</v>
      </c>
      <c r="AJA49" s="115">
        <f>IF(SUM($D$42:AIZ42)=0,0,IF(IF(AJA48&gt;0,AJA48-(IF(SUM($D49:AIZ49)&gt;0,0,IF(AIZ$25&gt;AIZ47,AIZ47,0))),0)&lt;0,0,(IF(SUM($D49:AIZ49)&gt;0,0,IF(AIZ$25&gt;AIZ47,AIZ47,0)))))</f>
        <v>0</v>
      </c>
      <c r="AJB49" s="115">
        <f>IF(SUM($D$42:AJA42)=0,0,IF(IF(AJB48&gt;0,AJB48-(IF(SUM($D49:AJA49)&gt;0,0,IF(AJA$25&gt;AJA47,AJA47,0))),0)&lt;0,0,(IF(SUM($D49:AJA49)&gt;0,0,IF(AJA$25&gt;AJA47,AJA47,0)))))</f>
        <v>0</v>
      </c>
      <c r="AJC49" s="115">
        <f>IF(SUM($D$42:AJB42)=0,0,IF(IF(AJC48&gt;0,AJC48-(IF(SUM($D49:AJB49)&gt;0,0,IF(AJB$25&gt;AJB47,AJB47,0))),0)&lt;0,0,(IF(SUM($D49:AJB49)&gt;0,0,IF(AJB$25&gt;AJB47,AJB47,0)))))</f>
        <v>0</v>
      </c>
      <c r="AJD49" s="115">
        <f>IF(SUM($D$42:AJC42)=0,0,IF(IF(AJD48&gt;0,AJD48-(IF(SUM($D49:AJC49)&gt;0,0,IF(AJC$25&gt;AJC47,AJC47,0))),0)&lt;0,0,(IF(SUM($D49:AJC49)&gt;0,0,IF(AJC$25&gt;AJC47,AJC47,0)))))</f>
        <v>0</v>
      </c>
      <c r="AJE49" s="115">
        <f>IF(SUM($D$42:AJD42)=0,0,IF(IF(AJE48&gt;0,AJE48-(IF(SUM($D49:AJD49)&gt;0,0,IF(AJD$25&gt;AJD47,AJD47,0))),0)&lt;0,0,(IF(SUM($D49:AJD49)&gt;0,0,IF(AJD$25&gt;AJD47,AJD47,0)))))</f>
        <v>0</v>
      </c>
      <c r="AJF49" s="115">
        <f>IF(SUM($D$42:AJE42)=0,0,IF(IF(AJF48&gt;0,AJF48-(IF(SUM($D49:AJE49)&gt;0,0,IF(AJE$25&gt;AJE47,AJE47,0))),0)&lt;0,0,(IF(SUM($D49:AJE49)&gt;0,0,IF(AJE$25&gt;AJE47,AJE47,0)))))</f>
        <v>0</v>
      </c>
      <c r="AJG49" s="115">
        <f>IF(SUM($D$42:AJF42)=0,0,IF(IF(AJG48&gt;0,AJG48-(IF(SUM($D49:AJF49)&gt;0,0,IF(AJF$25&gt;AJF47,AJF47,0))),0)&lt;0,0,(IF(SUM($D49:AJF49)&gt;0,0,IF(AJF$25&gt;AJF47,AJF47,0)))))</f>
        <v>0</v>
      </c>
      <c r="AJH49" s="115">
        <f>IF(SUM($D$42:AJG42)=0,0,IF(IF(AJH48&gt;0,AJH48-(IF(SUM($D49:AJG49)&gt;0,0,IF(AJG$25&gt;AJG47,AJG47,0))),0)&lt;0,0,(IF(SUM($D49:AJG49)&gt;0,0,IF(AJG$25&gt;AJG47,AJG47,0)))))</f>
        <v>0</v>
      </c>
      <c r="AJI49" s="115">
        <f>IF(SUM($D$42:AJH42)=0,0,IF(IF(AJI48&gt;0,AJI48-(IF(SUM($D49:AJH49)&gt;0,0,IF(AJH$25&gt;AJH47,AJH47,0))),0)&lt;0,0,(IF(SUM($D49:AJH49)&gt;0,0,IF(AJH$25&gt;AJH47,AJH47,0)))))</f>
        <v>0</v>
      </c>
      <c r="AJJ49" s="115">
        <f>IF(SUM($D$42:AJI42)=0,0,IF(IF(AJJ48&gt;0,AJJ48-(IF(SUM($D49:AJI49)&gt;0,0,IF(AJI$25&gt;AJI47,AJI47,0))),0)&lt;0,0,(IF(SUM($D49:AJI49)&gt;0,0,IF(AJI$25&gt;AJI47,AJI47,0)))))</f>
        <v>0</v>
      </c>
      <c r="AJK49" s="115">
        <f>IF(SUM($D$42:AJJ42)=0,0,IF(IF(AJK48&gt;0,AJK48-(IF(SUM($D49:AJJ49)&gt;0,0,IF(AJJ$25&gt;AJJ47,AJJ47,0))),0)&lt;0,0,(IF(SUM($D49:AJJ49)&gt;0,0,IF(AJJ$25&gt;AJJ47,AJJ47,0)))))</f>
        <v>0</v>
      </c>
      <c r="AJL49" s="115">
        <f>IF(SUM($D$42:AJK42)=0,0,IF(IF(AJL48&gt;0,AJL48-(IF(SUM($D49:AJK49)&gt;0,0,IF(AJK$25&gt;AJK47,AJK47,0))),0)&lt;0,0,(IF(SUM($D49:AJK49)&gt;0,0,IF(AJK$25&gt;AJK47,AJK47,0)))))</f>
        <v>0</v>
      </c>
      <c r="AJM49" s="115">
        <f>IF(SUM($D$42:AJL42)=0,0,IF(IF(AJM48&gt;0,AJM48-(IF(SUM($D49:AJL49)&gt;0,0,IF(AJL$25&gt;AJL47,AJL47,0))),0)&lt;0,0,(IF(SUM($D49:AJL49)&gt;0,0,IF(AJL$25&gt;AJL47,AJL47,0)))))</f>
        <v>0</v>
      </c>
      <c r="AJN49" s="115">
        <f>IF(SUM($D$42:AJM42)=0,0,IF(IF(AJN48&gt;0,AJN48-(IF(SUM($D49:AJM49)&gt;0,0,IF(AJM$25&gt;AJM47,AJM47,0))),0)&lt;0,0,(IF(SUM($D49:AJM49)&gt;0,0,IF(AJM$25&gt;AJM47,AJM47,0)))))</f>
        <v>0</v>
      </c>
      <c r="AJO49" s="115">
        <f>IF(SUM($D$42:AJN42)=0,0,IF(IF(AJO48&gt;0,AJO48-(IF(SUM($D49:AJN49)&gt;0,0,IF(AJN$25&gt;AJN47,AJN47,0))),0)&lt;0,0,(IF(SUM($D49:AJN49)&gt;0,0,IF(AJN$25&gt;AJN47,AJN47,0)))))</f>
        <v>0</v>
      </c>
      <c r="AJP49" s="115">
        <f>IF(SUM($D$42:AJO42)=0,0,IF(IF(AJP48&gt;0,AJP48-(IF(SUM($D49:AJO49)&gt;0,0,IF(AJO$25&gt;AJO47,AJO47,0))),0)&lt;0,0,(IF(SUM($D49:AJO49)&gt;0,0,IF(AJO$25&gt;AJO47,AJO47,0)))))</f>
        <v>0</v>
      </c>
      <c r="AJQ49" s="115">
        <f>IF(SUM($D$42:AJP42)=0,0,IF(IF(AJQ48&gt;0,AJQ48-(IF(SUM($D49:AJP49)&gt;0,0,IF(AJP$25&gt;AJP47,AJP47,0))),0)&lt;0,0,(IF(SUM($D49:AJP49)&gt;0,0,IF(AJP$25&gt;AJP47,AJP47,0)))))</f>
        <v>0</v>
      </c>
      <c r="AJR49" s="115">
        <f>IF(SUM($D$42:AJQ42)=0,0,IF(IF(AJR48&gt;0,AJR48-(IF(SUM($D49:AJQ49)&gt;0,0,IF(AJQ$25&gt;AJQ47,AJQ47,0))),0)&lt;0,0,(IF(SUM($D49:AJQ49)&gt;0,0,IF(AJQ$25&gt;AJQ47,AJQ47,0)))))</f>
        <v>0</v>
      </c>
      <c r="AJS49" s="115">
        <f>IF(SUM($D$42:AJR42)=0,0,IF(IF(AJS48&gt;0,AJS48-(IF(SUM($D49:AJR49)&gt;0,0,IF(AJR$25&gt;AJR47,AJR47,0))),0)&lt;0,0,(IF(SUM($D49:AJR49)&gt;0,0,IF(AJR$25&gt;AJR47,AJR47,0)))))</f>
        <v>0</v>
      </c>
      <c r="AJT49" s="115">
        <f>IF(SUM($D$42:AJS42)=0,0,IF(IF(AJT48&gt;0,AJT48-(IF(SUM($D49:AJS49)&gt;0,0,IF(AJS$25&gt;AJS47,AJS47,0))),0)&lt;0,0,(IF(SUM($D49:AJS49)&gt;0,0,IF(AJS$25&gt;AJS47,AJS47,0)))))</f>
        <v>0</v>
      </c>
      <c r="AJU49" s="115">
        <f>IF(SUM($D$42:AJT42)=0,0,IF(IF(AJU48&gt;0,AJU48-(IF(SUM($D49:AJT49)&gt;0,0,IF(AJT$25&gt;AJT47,AJT47,0))),0)&lt;0,0,(IF(SUM($D49:AJT49)&gt;0,0,IF(AJT$25&gt;AJT47,AJT47,0)))))</f>
        <v>0</v>
      </c>
      <c r="AJV49" s="115">
        <f>IF(SUM($D$42:AJU42)=0,0,IF(IF(AJV48&gt;0,AJV48-(IF(SUM($D49:AJU49)&gt;0,0,IF(AJU$25&gt;AJU47,AJU47,0))),0)&lt;0,0,(IF(SUM($D49:AJU49)&gt;0,0,IF(AJU$25&gt;AJU47,AJU47,0)))))</f>
        <v>0</v>
      </c>
      <c r="AJW49" s="115">
        <f>IF(SUM($D$42:AJV42)=0,0,IF(IF(AJW48&gt;0,AJW48-(IF(SUM($D49:AJV49)&gt;0,0,IF(AJV$25&gt;AJV47,AJV47,0))),0)&lt;0,0,(IF(SUM($D49:AJV49)&gt;0,0,IF(AJV$25&gt;AJV47,AJV47,0)))))</f>
        <v>0</v>
      </c>
      <c r="AJX49" s="115">
        <f>IF(SUM($D$42:AJW42)=0,0,IF(IF(AJX48&gt;0,AJX48-(IF(SUM($D49:AJW49)&gt;0,0,IF(AJW$25&gt;AJW47,AJW47,0))),0)&lt;0,0,(IF(SUM($D49:AJW49)&gt;0,0,IF(AJW$25&gt;AJW47,AJW47,0)))))</f>
        <v>0</v>
      </c>
      <c r="AJY49" s="115">
        <f>IF(SUM($D$42:AJX42)=0,0,IF(IF(AJY48&gt;0,AJY48-(IF(SUM($D49:AJX49)&gt;0,0,IF(AJX$25&gt;AJX47,AJX47,0))),0)&lt;0,0,(IF(SUM($D49:AJX49)&gt;0,0,IF(AJX$25&gt;AJX47,AJX47,0)))))</f>
        <v>0</v>
      </c>
      <c r="AJZ49" s="115">
        <f>IF(SUM($D$42:AJY42)=0,0,IF(IF(AJZ48&gt;0,AJZ48-(IF(SUM($D49:AJY49)&gt;0,0,IF(AJY$25&gt;AJY47,AJY47,0))),0)&lt;0,0,(IF(SUM($D49:AJY49)&gt;0,0,IF(AJY$25&gt;AJY47,AJY47,0)))))</f>
        <v>0</v>
      </c>
      <c r="AKA49" s="115">
        <f>IF(SUM($D$42:AJZ42)=0,0,IF(IF(AKA48&gt;0,AKA48-(IF(SUM($D49:AJZ49)&gt;0,0,IF(AJZ$25&gt;AJZ47,AJZ47,0))),0)&lt;0,0,(IF(SUM($D49:AJZ49)&gt;0,0,IF(AJZ$25&gt;AJZ47,AJZ47,0)))))</f>
        <v>0</v>
      </c>
      <c r="AKB49" s="115">
        <f>IF(SUM($D$42:AKA42)=0,0,IF(IF(AKB48&gt;0,AKB48-(IF(SUM($D49:AKA49)&gt;0,0,IF(AKA$25&gt;AKA47,AKA47,0))),0)&lt;0,0,(IF(SUM($D49:AKA49)&gt;0,0,IF(AKA$25&gt;AKA47,AKA47,0)))))</f>
        <v>0</v>
      </c>
      <c r="AKC49" s="115">
        <f>IF(SUM($D$42:AKB42)=0,0,IF(IF(AKC48&gt;0,AKC48-(IF(SUM($D49:AKB49)&gt;0,0,IF(AKB$25&gt;AKB47,AKB47,0))),0)&lt;0,0,(IF(SUM($D49:AKB49)&gt;0,0,IF(AKB$25&gt;AKB47,AKB47,0)))))</f>
        <v>0</v>
      </c>
      <c r="AKD49" s="115">
        <f>IF(SUM($D$42:AKC42)=0,0,IF(IF(AKD48&gt;0,AKD48-(IF(SUM($D49:AKC49)&gt;0,0,IF(AKC$25&gt;AKC47,AKC47,0))),0)&lt;0,0,(IF(SUM($D49:AKC49)&gt;0,0,IF(AKC$25&gt;AKC47,AKC47,0)))))</f>
        <v>0</v>
      </c>
      <c r="AKE49" s="115">
        <f>IF(SUM($D$42:AKD42)=0,0,IF(IF(AKE48&gt;0,AKE48-(IF(SUM($D49:AKD49)&gt;0,0,IF(AKD$25&gt;AKD47,AKD47,0))),0)&lt;0,0,(IF(SUM($D49:AKD49)&gt;0,0,IF(AKD$25&gt;AKD47,AKD47,0)))))</f>
        <v>0</v>
      </c>
      <c r="AKF49" s="115">
        <f>IF(SUM($D$42:AKE42)=0,0,IF(IF(AKF48&gt;0,AKF48-(IF(SUM($D49:AKE49)&gt;0,0,IF(AKE$25&gt;AKE47,AKE47,0))),0)&lt;0,0,(IF(SUM($D49:AKE49)&gt;0,0,IF(AKE$25&gt;AKE47,AKE47,0)))))</f>
        <v>0</v>
      </c>
      <c r="AKG49" s="115">
        <f>IF(SUM($D$42:AKF42)=0,0,IF(IF(AKG48&gt;0,AKG48-(IF(SUM($D49:AKF49)&gt;0,0,IF(AKF$25&gt;AKF47,AKF47,0))),0)&lt;0,0,(IF(SUM($D49:AKF49)&gt;0,0,IF(AKF$25&gt;AKF47,AKF47,0)))))</f>
        <v>0</v>
      </c>
      <c r="AKH49" s="115">
        <f>IF(SUM($D$42:AKG42)=0,0,IF(IF(AKH48&gt;0,AKH48-(IF(SUM($D49:AKG49)&gt;0,0,IF(AKG$25&gt;AKG47,AKG47,0))),0)&lt;0,0,(IF(SUM($D49:AKG49)&gt;0,0,IF(AKG$25&gt;AKG47,AKG47,0)))))</f>
        <v>0</v>
      </c>
      <c r="AKI49" s="115">
        <f>IF(SUM($D$42:AKH42)=0,0,IF(IF(AKI48&gt;0,AKI48-(IF(SUM($D49:AKH49)&gt;0,0,IF(AKH$25&gt;AKH47,AKH47,0))),0)&lt;0,0,(IF(SUM($D49:AKH49)&gt;0,0,IF(AKH$25&gt;AKH47,AKH47,0)))))</f>
        <v>0</v>
      </c>
      <c r="AKJ49" s="115">
        <f>IF(SUM($D$42:AKI42)=0,0,IF(IF(AKJ48&gt;0,AKJ48-(IF(SUM($D49:AKI49)&gt;0,0,IF(AKI$25&gt;AKI47,AKI47,0))),0)&lt;0,0,(IF(SUM($D49:AKI49)&gt;0,0,IF(AKI$25&gt;AKI47,AKI47,0)))))</f>
        <v>0</v>
      </c>
      <c r="AKK49" s="115">
        <f>IF(SUM($D$42:AKJ42)=0,0,IF(IF(AKK48&gt;0,AKK48-(IF(SUM($D49:AKJ49)&gt;0,0,IF(AKJ$25&gt;AKJ47,AKJ47,0))),0)&lt;0,0,(IF(SUM($D49:AKJ49)&gt;0,0,IF(AKJ$25&gt;AKJ47,AKJ47,0)))))</f>
        <v>0</v>
      </c>
      <c r="AKL49" s="115">
        <f>IF(SUM($D$42:AKK42)=0,0,IF(IF(AKL48&gt;0,AKL48-(IF(SUM($D49:AKK49)&gt;0,0,IF(AKK$25&gt;AKK47,AKK47,0))),0)&lt;0,0,(IF(SUM($D49:AKK49)&gt;0,0,IF(AKK$25&gt;AKK47,AKK47,0)))))</f>
        <v>0</v>
      </c>
      <c r="AKM49" s="115">
        <f>IF(SUM($D$42:AKL42)=0,0,IF(IF(AKM48&gt;0,AKM48-(IF(SUM($D49:AKL49)&gt;0,0,IF(AKL$25&gt;AKL47,AKL47,0))),0)&lt;0,0,(IF(SUM($D49:AKL49)&gt;0,0,IF(AKL$25&gt;AKL47,AKL47,0)))))</f>
        <v>0</v>
      </c>
      <c r="AKN49" s="115">
        <f>IF(SUM($D$42:AKM42)=0,0,IF(IF(AKN48&gt;0,AKN48-(IF(SUM($D49:AKM49)&gt;0,0,IF(AKM$25&gt;AKM47,AKM47,0))),0)&lt;0,0,(IF(SUM($D49:AKM49)&gt;0,0,IF(AKM$25&gt;AKM47,AKM47,0)))))</f>
        <v>0</v>
      </c>
      <c r="AKO49" s="115">
        <f>IF(SUM($D$42:AKN42)=0,0,IF(IF(AKO48&gt;0,AKO48-(IF(SUM($D49:AKN49)&gt;0,0,IF(AKN$25&gt;AKN47,AKN47,0))),0)&lt;0,0,(IF(SUM($D49:AKN49)&gt;0,0,IF(AKN$25&gt;AKN47,AKN47,0)))))</f>
        <v>0</v>
      </c>
      <c r="AKP49" s="115">
        <f>IF(SUM($D$42:AKO42)=0,0,IF(IF(AKP48&gt;0,AKP48-(IF(SUM($D49:AKO49)&gt;0,0,IF(AKO$25&gt;AKO47,AKO47,0))),0)&lt;0,0,(IF(SUM($D49:AKO49)&gt;0,0,IF(AKO$25&gt;AKO47,AKO47,0)))))</f>
        <v>0</v>
      </c>
      <c r="AKQ49" s="115">
        <f>IF(SUM($D$42:AKP42)=0,0,IF(IF(AKQ48&gt;0,AKQ48-(IF(SUM($D49:AKP49)&gt;0,0,IF(AKP$25&gt;AKP47,AKP47,0))),0)&lt;0,0,(IF(SUM($D49:AKP49)&gt;0,0,IF(AKP$25&gt;AKP47,AKP47,0)))))</f>
        <v>0</v>
      </c>
      <c r="AKR49" s="115">
        <f>IF(SUM($D$42:AKQ42)=0,0,IF(IF(AKR48&gt;0,AKR48-(IF(SUM($D49:AKQ49)&gt;0,0,IF(AKQ$25&gt;AKQ47,AKQ47,0))),0)&lt;0,0,(IF(SUM($D49:AKQ49)&gt;0,0,IF(AKQ$25&gt;AKQ47,AKQ47,0)))))</f>
        <v>0</v>
      </c>
      <c r="AKS49" s="115">
        <f>IF(SUM($D$42:AKR42)=0,0,IF(IF(AKS48&gt;0,AKS48-(IF(SUM($D49:AKR49)&gt;0,0,IF(AKR$25&gt;AKR47,AKR47,0))),0)&lt;0,0,(IF(SUM($D49:AKR49)&gt;0,0,IF(AKR$25&gt;AKR47,AKR47,0)))))</f>
        <v>0</v>
      </c>
      <c r="AKT49" s="115">
        <f>IF(SUM($D$42:AKS42)=0,0,IF(IF(AKT48&gt;0,AKT48-(IF(SUM($D49:AKS49)&gt;0,0,IF(AKS$25&gt;AKS47,AKS47,0))),0)&lt;0,0,(IF(SUM($D49:AKS49)&gt;0,0,IF(AKS$25&gt;AKS47,AKS47,0)))))</f>
        <v>0</v>
      </c>
      <c r="AKU49" s="115">
        <f>IF(SUM($D$42:AKT42)=0,0,IF(IF(AKU48&gt;0,AKU48-(IF(SUM($D49:AKT49)&gt;0,0,IF(AKT$25&gt;AKT47,AKT47,0))),0)&lt;0,0,(IF(SUM($D49:AKT49)&gt;0,0,IF(AKT$25&gt;AKT47,AKT47,0)))))</f>
        <v>0</v>
      </c>
      <c r="AKV49" s="115">
        <f>IF(SUM($D$42:AKU42)=0,0,IF(IF(AKV48&gt;0,AKV48-(IF(SUM($D49:AKU49)&gt;0,0,IF(AKU$25&gt;AKU47,AKU47,0))),0)&lt;0,0,(IF(SUM($D49:AKU49)&gt;0,0,IF(AKU$25&gt;AKU47,AKU47,0)))))</f>
        <v>0</v>
      </c>
      <c r="AKW49" s="115">
        <f>IF(SUM($D$42:AKV42)=0,0,IF(IF(AKW48&gt;0,AKW48-(IF(SUM($D49:AKV49)&gt;0,0,IF(AKV$25&gt;AKV47,AKV47,0))),0)&lt;0,0,(IF(SUM($D49:AKV49)&gt;0,0,IF(AKV$25&gt;AKV47,AKV47,0)))))</f>
        <v>0</v>
      </c>
      <c r="AKX49" s="115">
        <f>IF(SUM($D$42:AKW42)=0,0,IF(IF(AKX48&gt;0,AKX48-(IF(SUM($D49:AKW49)&gt;0,0,IF(AKW$25&gt;AKW47,AKW47,0))),0)&lt;0,0,(IF(SUM($D49:AKW49)&gt;0,0,IF(AKW$25&gt;AKW47,AKW47,0)))))</f>
        <v>0</v>
      </c>
      <c r="AKY49" s="115">
        <f>IF(SUM($D$42:AKX42)=0,0,IF(IF(AKY48&gt;0,AKY48-(IF(SUM($D49:AKX49)&gt;0,0,IF(AKX$25&gt;AKX47,AKX47,0))),0)&lt;0,0,(IF(SUM($D49:AKX49)&gt;0,0,IF(AKX$25&gt;AKX47,AKX47,0)))))</f>
        <v>0</v>
      </c>
      <c r="AKZ49" s="115">
        <f>IF(SUM($D$42:AKY42)=0,0,IF(IF(AKZ48&gt;0,AKZ48-(IF(SUM($D49:AKY49)&gt;0,0,IF(AKY$25&gt;AKY47,AKY47,0))),0)&lt;0,0,(IF(SUM($D49:AKY49)&gt;0,0,IF(AKY$25&gt;AKY47,AKY47,0)))))</f>
        <v>0</v>
      </c>
      <c r="ALA49" s="115">
        <f>IF(SUM($D$42:AKZ42)=0,0,IF(IF(ALA48&gt;0,ALA48-(IF(SUM($D49:AKZ49)&gt;0,0,IF(AKZ$25&gt;AKZ47,AKZ47,0))),0)&lt;0,0,(IF(SUM($D49:AKZ49)&gt;0,0,IF(AKZ$25&gt;AKZ47,AKZ47,0)))))</f>
        <v>0</v>
      </c>
      <c r="ALB49" s="115">
        <f>IF(SUM($D$42:ALA42)=0,0,IF(IF(ALB48&gt;0,ALB48-(IF(SUM($D49:ALA49)&gt;0,0,IF(ALA$25&gt;ALA47,ALA47,0))),0)&lt;0,0,(IF(SUM($D49:ALA49)&gt;0,0,IF(ALA$25&gt;ALA47,ALA47,0)))))</f>
        <v>0</v>
      </c>
      <c r="ALC49" s="115">
        <f>IF(SUM($D$42:ALB42)=0,0,IF(IF(ALC48&gt;0,ALC48-(IF(SUM($D49:ALB49)&gt;0,0,IF(ALB$25&gt;ALB47,ALB47,0))),0)&lt;0,0,(IF(SUM($D49:ALB49)&gt;0,0,IF(ALB$25&gt;ALB47,ALB47,0)))))</f>
        <v>0</v>
      </c>
      <c r="ALD49" s="115">
        <f>IF(SUM($D$42:ALC42)=0,0,IF(IF(ALD48&gt;0,ALD48-(IF(SUM($D49:ALC49)&gt;0,0,IF(ALC$25&gt;ALC47,ALC47,0))),0)&lt;0,0,(IF(SUM($D49:ALC49)&gt;0,0,IF(ALC$25&gt;ALC47,ALC47,0)))))</f>
        <v>0</v>
      </c>
      <c r="ALE49" s="115">
        <f>IF(SUM($D$42:ALD42)=0,0,IF(IF(ALE48&gt;0,ALE48-(IF(SUM($D49:ALD49)&gt;0,0,IF(ALD$25&gt;ALD47,ALD47,0))),0)&lt;0,0,(IF(SUM($D49:ALD49)&gt;0,0,IF(ALD$25&gt;ALD47,ALD47,0)))))</f>
        <v>0</v>
      </c>
      <c r="ALF49" s="115">
        <f>IF(SUM($D$42:ALE42)=0,0,IF(IF(ALF48&gt;0,ALF48-(IF(SUM($D49:ALE49)&gt;0,0,IF(ALE$25&gt;ALE47,ALE47,0))),0)&lt;0,0,(IF(SUM($D49:ALE49)&gt;0,0,IF(ALE$25&gt;ALE47,ALE47,0)))))</f>
        <v>0</v>
      </c>
      <c r="ALG49" s="115">
        <f>IF(SUM($D$42:ALF42)=0,0,IF(IF(ALG48&gt;0,ALG48-(IF(SUM($D49:ALF49)&gt;0,0,IF(ALF$25&gt;ALF47,ALF47,0))),0)&lt;0,0,(IF(SUM($D49:ALF49)&gt;0,0,IF(ALF$25&gt;ALF47,ALF47,0)))))</f>
        <v>0</v>
      </c>
      <c r="ALH49" s="115">
        <f>IF(SUM($D$42:ALG42)=0,0,IF(IF(ALH48&gt;0,ALH48-(IF(SUM($D49:ALG49)&gt;0,0,IF(ALG$25&gt;ALG47,ALG47,0))),0)&lt;0,0,(IF(SUM($D49:ALG49)&gt;0,0,IF(ALG$25&gt;ALG47,ALG47,0)))))</f>
        <v>0</v>
      </c>
      <c r="ALI49" s="115">
        <f>IF(SUM($D$42:ALH42)=0,0,IF(IF(ALI48&gt;0,ALI48-(IF(SUM($D49:ALH49)&gt;0,0,IF(ALH$25&gt;ALH47,ALH47,0))),0)&lt;0,0,(IF(SUM($D49:ALH49)&gt;0,0,IF(ALH$25&gt;ALH47,ALH47,0)))))</f>
        <v>0</v>
      </c>
      <c r="ALJ49" s="115">
        <f>IF(SUM($D$42:ALI42)=0,0,IF(IF(ALJ48&gt;0,ALJ48-(IF(SUM($D49:ALI49)&gt;0,0,IF(ALI$25&gt;ALI47,ALI47,0))),0)&lt;0,0,(IF(SUM($D49:ALI49)&gt;0,0,IF(ALI$25&gt;ALI47,ALI47,0)))))</f>
        <v>0</v>
      </c>
      <c r="ALK49" s="115">
        <f>IF(SUM($D$42:ALJ42)=0,0,IF(IF(ALK48&gt;0,ALK48-(IF(SUM($D49:ALJ49)&gt;0,0,IF(ALJ$25&gt;ALJ47,ALJ47,0))),0)&lt;0,0,(IF(SUM($D49:ALJ49)&gt;0,0,IF(ALJ$25&gt;ALJ47,ALJ47,0)))))</f>
        <v>0</v>
      </c>
      <c r="ALL49" s="115">
        <f>IF(SUM($D$42:ALK42)=0,0,IF(IF(ALL48&gt;0,ALL48-(IF(SUM($D49:ALK49)&gt;0,0,IF(ALK$25&gt;ALK47,ALK47,0))),0)&lt;0,0,(IF(SUM($D49:ALK49)&gt;0,0,IF(ALK$25&gt;ALK47,ALK47,0)))))</f>
        <v>0</v>
      </c>
      <c r="ALM49" s="115">
        <f>IF(SUM($D$42:ALL42)=0,0,IF(IF(ALM48&gt;0,ALM48-(IF(SUM($D49:ALL49)&gt;0,0,IF(ALL$25&gt;ALL47,ALL47,0))),0)&lt;0,0,(IF(SUM($D49:ALL49)&gt;0,0,IF(ALL$25&gt;ALL47,ALL47,0)))))</f>
        <v>0</v>
      </c>
      <c r="ALN49" s="115">
        <f>IF(SUM($D$42:ALM42)=0,0,IF(IF(ALN48&gt;0,ALN48-(IF(SUM($D49:ALM49)&gt;0,0,IF(ALM$25&gt;ALM47,ALM47,0))),0)&lt;0,0,(IF(SUM($D49:ALM49)&gt;0,0,IF(ALM$25&gt;ALM47,ALM47,0)))))</f>
        <v>0</v>
      </c>
      <c r="ALO49" s="115">
        <f>IF(SUM($D$42:ALN42)=0,0,IF(IF(ALO48&gt;0,ALO48-(IF(SUM($D49:ALN49)&gt;0,0,IF(ALN$25&gt;ALN47,ALN47,0))),0)&lt;0,0,(IF(SUM($D49:ALN49)&gt;0,0,IF(ALN$25&gt;ALN47,ALN47,0)))))</f>
        <v>0</v>
      </c>
      <c r="ALP49" s="115">
        <f>IF(SUM($D$42:ALO42)=0,0,IF(IF(ALP48&gt;0,ALP48-(IF(SUM($D49:ALO49)&gt;0,0,IF(ALO$25&gt;ALO47,ALO47,0))),0)&lt;0,0,(IF(SUM($D49:ALO49)&gt;0,0,IF(ALO$25&gt;ALO47,ALO47,0)))))</f>
        <v>0</v>
      </c>
      <c r="ALQ49" s="115">
        <f>IF(SUM($D$42:ALP42)=0,0,IF(IF(ALQ48&gt;0,ALQ48-(IF(SUM($D49:ALP49)&gt;0,0,IF(ALP$25&gt;ALP47,ALP47,0))),0)&lt;0,0,(IF(SUM($D49:ALP49)&gt;0,0,IF(ALP$25&gt;ALP47,ALP47,0)))))</f>
        <v>0</v>
      </c>
      <c r="ALR49" s="115">
        <f>IF(SUM($D$42:ALQ42)=0,0,IF(IF(ALR48&gt;0,ALR48-(IF(SUM($D49:ALQ49)&gt;0,0,IF(ALQ$25&gt;ALQ47,ALQ47,0))),0)&lt;0,0,(IF(SUM($D49:ALQ49)&gt;0,0,IF(ALQ$25&gt;ALQ47,ALQ47,0)))))</f>
        <v>0</v>
      </c>
      <c r="ALS49" s="115">
        <f>IF(SUM($D$42:ALR42)=0,0,IF(IF(ALS48&gt;0,ALS48-(IF(SUM($D49:ALR49)&gt;0,0,IF(ALR$25&gt;ALR47,ALR47,0))),0)&lt;0,0,(IF(SUM($D49:ALR49)&gt;0,0,IF(ALR$25&gt;ALR47,ALR47,0)))))</f>
        <v>0</v>
      </c>
      <c r="ALT49" s="115">
        <f>IF(SUM($D$42:ALS42)=0,0,IF(IF(ALT48&gt;0,ALT48-(IF(SUM($D49:ALS49)&gt;0,0,IF(ALS$25&gt;ALS47,ALS47,0))),0)&lt;0,0,(IF(SUM($D49:ALS49)&gt;0,0,IF(ALS$25&gt;ALS47,ALS47,0)))))</f>
        <v>0</v>
      </c>
      <c r="ALU49" s="115">
        <f>IF(SUM($D$42:ALT42)=0,0,IF(IF(ALU48&gt;0,ALU48-(IF(SUM($D49:ALT49)&gt;0,0,IF(ALT$25&gt;ALT47,ALT47,0))),0)&lt;0,0,(IF(SUM($D49:ALT49)&gt;0,0,IF(ALT$25&gt;ALT47,ALT47,0)))))</f>
        <v>0</v>
      </c>
      <c r="ALV49" s="115">
        <f>IF(SUM($D$42:ALU42)=0,0,IF(IF(ALV48&gt;0,ALV48-(IF(SUM($D49:ALU49)&gt;0,0,IF(ALU$25&gt;ALU47,ALU47,0))),0)&lt;0,0,(IF(SUM($D49:ALU49)&gt;0,0,IF(ALU$25&gt;ALU47,ALU47,0)))))</f>
        <v>0</v>
      </c>
      <c r="ALW49" s="115">
        <f>IF(SUM($D$42:ALV42)=0,0,IF(IF(ALW48&gt;0,ALW48-(IF(SUM($D49:ALV49)&gt;0,0,IF(ALV$25&gt;ALV47,ALV47,0))),0)&lt;0,0,(IF(SUM($D49:ALV49)&gt;0,0,IF(ALV$25&gt;ALV47,ALV47,0)))))</f>
        <v>0</v>
      </c>
      <c r="ALX49" s="115">
        <f>IF(SUM($D$42:ALW42)=0,0,IF(IF(ALX48&gt;0,ALX48-(IF(SUM($D49:ALW49)&gt;0,0,IF(ALW$25&gt;ALW47,ALW47,0))),0)&lt;0,0,(IF(SUM($D49:ALW49)&gt;0,0,IF(ALW$25&gt;ALW47,ALW47,0)))))</f>
        <v>0</v>
      </c>
      <c r="ALY49" s="115">
        <f>IF(SUM($D$42:ALX42)=0,0,IF(IF(ALY48&gt;0,ALY48-(IF(SUM($D49:ALX49)&gt;0,0,IF(ALX$25&gt;ALX47,ALX47,0))),0)&lt;0,0,(IF(SUM($D49:ALX49)&gt;0,0,IF(ALX$25&gt;ALX47,ALX47,0)))))</f>
        <v>0</v>
      </c>
      <c r="ALZ49" s="115">
        <f>IF(SUM($D$42:ALY42)=0,0,IF(IF(ALZ48&gt;0,ALZ48-(IF(SUM($D49:ALY49)&gt;0,0,IF(ALY$25&gt;ALY47,ALY47,0))),0)&lt;0,0,(IF(SUM($D49:ALY49)&gt;0,0,IF(ALY$25&gt;ALY47,ALY47,0)))))</f>
        <v>0</v>
      </c>
      <c r="AMA49" s="115">
        <f>IF(SUM($D$42:ALZ42)=0,0,IF(IF(AMA48&gt;0,AMA48-(IF(SUM($D49:ALZ49)&gt;0,0,IF(ALZ$25&gt;ALZ47,ALZ47,0))),0)&lt;0,0,(IF(SUM($D49:ALZ49)&gt;0,0,IF(ALZ$25&gt;ALZ47,ALZ47,0)))))</f>
        <v>0</v>
      </c>
      <c r="AMB49" s="115">
        <f>IF(SUM($D$42:AMA42)=0,0,IF(IF(AMB48&gt;0,AMB48-(IF(SUM($D49:AMA49)&gt;0,0,IF(AMA$25&gt;AMA47,AMA47,0))),0)&lt;0,0,(IF(SUM($D49:AMA49)&gt;0,0,IF(AMA$25&gt;AMA47,AMA47,0)))))</f>
        <v>0</v>
      </c>
      <c r="AMC49" s="115">
        <f>IF(SUM($D$42:AMB42)=0,0,IF(IF(AMC48&gt;0,AMC48-(IF(SUM($D49:AMB49)&gt;0,0,IF(AMB$25&gt;AMB47,AMB47,0))),0)&lt;0,0,(IF(SUM($D49:AMB49)&gt;0,0,IF(AMB$25&gt;AMB47,AMB47,0)))))</f>
        <v>0</v>
      </c>
      <c r="AMD49" s="115">
        <f>IF(SUM($D$42:AMC42)=0,0,IF(IF(AMD48&gt;0,AMD48-(IF(SUM($D49:AMC49)&gt;0,0,IF(AMC$25&gt;AMC47,AMC47,0))),0)&lt;0,0,(IF(SUM($D49:AMC49)&gt;0,0,IF(AMC$25&gt;AMC47,AMC47,0)))))</f>
        <v>0</v>
      </c>
      <c r="AME49" s="115">
        <f>IF(SUM($D$42:AMD42)=0,0,IF(IF(AME48&gt;0,AME48-(IF(SUM($D49:AMD49)&gt;0,0,IF(AMD$25&gt;AMD47,AMD47,0))),0)&lt;0,0,(IF(SUM($D49:AMD49)&gt;0,0,IF(AMD$25&gt;AMD47,AMD47,0)))))</f>
        <v>0</v>
      </c>
      <c r="AMF49" s="115">
        <f>IF(SUM($D$42:AME42)=0,0,IF(IF(AMF48&gt;0,AMF48-(IF(SUM($D49:AME49)&gt;0,0,IF(AME$25&gt;AME47,AME47,0))),0)&lt;0,0,(IF(SUM($D49:AME49)&gt;0,0,IF(AME$25&gt;AME47,AME47,0)))))</f>
        <v>0</v>
      </c>
      <c r="AMG49" s="115">
        <f>IF(SUM($D$42:AMF42)=0,0,IF(IF(AMG48&gt;0,AMG48-(IF(SUM($D49:AMF49)&gt;0,0,IF(AMF$25&gt;AMF47,AMF47,0))),0)&lt;0,0,(IF(SUM($D49:AMF49)&gt;0,0,IF(AMF$25&gt;AMF47,AMF47,0)))))</f>
        <v>0</v>
      </c>
      <c r="AMH49" s="115">
        <f>IF(SUM($D$42:AMG42)=0,0,IF(IF(AMH48&gt;0,AMH48-(IF(SUM($D49:AMG49)&gt;0,0,IF(AMG$25&gt;AMG47,AMG47,0))),0)&lt;0,0,(IF(SUM($D49:AMG49)&gt;0,0,IF(AMG$25&gt;AMG47,AMG47,0)))))</f>
        <v>0</v>
      </c>
      <c r="AMI49" s="115">
        <f>IF(SUM($D$42:AMH42)=0,0,IF(IF(AMI48&gt;0,AMI48-(IF(SUM($D49:AMH49)&gt;0,0,IF(AMH$25&gt;AMH47,AMH47,0))),0)&lt;0,0,(IF(SUM($D49:AMH49)&gt;0,0,IF(AMH$25&gt;AMH47,AMH47,0)))))</f>
        <v>0</v>
      </c>
      <c r="AMJ49" s="115">
        <f>IF(SUM($D$42:AMI42)=0,0,IF(IF(AMJ48&gt;0,AMJ48-(IF(SUM($D49:AMI49)&gt;0,0,IF(AMI$25&gt;AMI47,AMI47,0))),0)&lt;0,0,(IF(SUM($D49:AMI49)&gt;0,0,IF(AMI$25&gt;AMI47,AMI47,0)))))</f>
        <v>0</v>
      </c>
      <c r="AMK49" s="115">
        <f>IF(SUM($D$42:AMJ42)=0,0,IF(IF(AMK48&gt;0,AMK48-(IF(SUM($D49:AMJ49)&gt;0,0,IF(AMJ$25&gt;AMJ47,AMJ47,0))),0)&lt;0,0,(IF(SUM($D49:AMJ49)&gt;0,0,IF(AMJ$25&gt;AMJ47,AMJ47,0)))))</f>
        <v>0</v>
      </c>
      <c r="AML49" s="115">
        <f>IF(SUM($D$42:AMK42)=0,0,IF(IF(AML48&gt;0,AML48-(IF(SUM($D49:AMK49)&gt;0,0,IF(AMK$25&gt;AMK47,AMK47,0))),0)&lt;0,0,(IF(SUM($D49:AMK49)&gt;0,0,IF(AMK$25&gt;AMK47,AMK47,0)))))</f>
        <v>0</v>
      </c>
      <c r="AMM49" s="115">
        <f>IF(SUM($D$42:AML42)=0,0,IF(IF(AMM48&gt;0,AMM48-(IF(SUM($D49:AML49)&gt;0,0,IF(AML$25&gt;AML47,AML47,0))),0)&lt;0,0,(IF(SUM($D49:AML49)&gt;0,0,IF(AML$25&gt;AML47,AML47,0)))))</f>
        <v>0</v>
      </c>
      <c r="AMN49" s="115">
        <f>IF(SUM($D$42:AMM42)=0,0,IF(IF(AMN48&gt;0,AMN48-(IF(SUM($D49:AMM49)&gt;0,0,IF(AMM$25&gt;AMM47,AMM47,0))),0)&lt;0,0,(IF(SUM($D49:AMM49)&gt;0,0,IF(AMM$25&gt;AMM47,AMM47,0)))))</f>
        <v>0</v>
      </c>
      <c r="AMO49" s="115">
        <f>IF(SUM($D$42:AMN42)=0,0,IF(IF(AMO48&gt;0,AMO48-(IF(SUM($D49:AMN49)&gt;0,0,IF(AMN$25&gt;AMN47,AMN47,0))),0)&lt;0,0,(IF(SUM($D49:AMN49)&gt;0,0,IF(AMN$25&gt;AMN47,AMN47,0)))))</f>
        <v>0</v>
      </c>
      <c r="AMP49" s="115">
        <f>IF(SUM($D$42:AMO42)=0,0,IF(IF(AMP48&gt;0,AMP48-(IF(SUM($D49:AMO49)&gt;0,0,IF(AMO$25&gt;AMO47,AMO47,0))),0)&lt;0,0,(IF(SUM($D49:AMO49)&gt;0,0,IF(AMO$25&gt;AMO47,AMO47,0)))))</f>
        <v>0</v>
      </c>
      <c r="AMQ49" s="115">
        <f>IF(SUM($D$42:AMP42)=0,0,IF(IF(AMQ48&gt;0,AMQ48-(IF(SUM($D49:AMP49)&gt;0,0,IF(AMP$25&gt;AMP47,AMP47,0))),0)&lt;0,0,(IF(SUM($D49:AMP49)&gt;0,0,IF(AMP$25&gt;AMP47,AMP47,0)))))</f>
        <v>0</v>
      </c>
      <c r="AMR49" s="115">
        <f>IF(SUM($D$42:AMQ42)=0,0,IF(IF(AMR48&gt;0,AMR48-(IF(SUM($D49:AMQ49)&gt;0,0,IF(AMQ$25&gt;AMQ47,AMQ47,0))),0)&lt;0,0,(IF(SUM($D49:AMQ49)&gt;0,0,IF(AMQ$25&gt;AMQ47,AMQ47,0)))))</f>
        <v>0</v>
      </c>
      <c r="AMS49" s="115">
        <f>IF(SUM($D$42:AMR42)=0,0,IF(IF(AMS48&gt;0,AMS48-(IF(SUM($D49:AMR49)&gt;0,0,IF(AMR$25&gt;AMR47,AMR47,0))),0)&lt;0,0,(IF(SUM($D49:AMR49)&gt;0,0,IF(AMR$25&gt;AMR47,AMR47,0)))))</f>
        <v>0</v>
      </c>
      <c r="AMT49" s="115">
        <f>IF(SUM($D$42:AMS42)=0,0,IF(IF(AMT48&gt;0,AMT48-(IF(SUM($D49:AMS49)&gt;0,0,IF(AMS$25&gt;AMS47,AMS47,0))),0)&lt;0,0,(IF(SUM($D49:AMS49)&gt;0,0,IF(AMS$25&gt;AMS47,AMS47,0)))))</f>
        <v>0</v>
      </c>
      <c r="AMU49" s="115">
        <f>IF(SUM($D$42:AMT42)=0,0,IF(IF(AMU48&gt;0,AMU48-(IF(SUM($D49:AMT49)&gt;0,0,IF(AMT$25&gt;AMT47,AMT47,0))),0)&lt;0,0,(IF(SUM($D49:AMT49)&gt;0,0,IF(AMT$25&gt;AMT47,AMT47,0)))))</f>
        <v>0</v>
      </c>
      <c r="AMV49" s="115">
        <f>IF(SUM($D$42:AMU42)=0,0,IF(IF(AMV48&gt;0,AMV48-(IF(SUM($D49:AMU49)&gt;0,0,IF(AMU$25&gt;AMU47,AMU47,0))),0)&lt;0,0,(IF(SUM($D49:AMU49)&gt;0,0,IF(AMU$25&gt;AMU47,AMU47,0)))))</f>
        <v>0</v>
      </c>
      <c r="AMW49" s="115">
        <f>IF(SUM($D$42:AMV42)=0,0,IF(IF(AMW48&gt;0,AMW48-(IF(SUM($D49:AMV49)&gt;0,0,IF(AMV$25&gt;AMV47,AMV47,0))),0)&lt;0,0,(IF(SUM($D49:AMV49)&gt;0,0,IF(AMV$25&gt;AMV47,AMV47,0)))))</f>
        <v>0</v>
      </c>
      <c r="AMX49" s="115">
        <f>IF(SUM($D$42:AMW42)=0,0,IF(IF(AMX48&gt;0,AMX48-(IF(SUM($D49:AMW49)&gt;0,0,IF(AMW$25&gt;AMW47,AMW47,0))),0)&lt;0,0,(IF(SUM($D49:AMW49)&gt;0,0,IF(AMW$25&gt;AMW47,AMW47,0)))))</f>
        <v>0</v>
      </c>
      <c r="AMY49" s="115">
        <f>IF(SUM($D$42:AMX42)=0,0,IF(IF(AMY48&gt;0,AMY48-(IF(SUM($D49:AMX49)&gt;0,0,IF(AMX$25&gt;AMX47,AMX47,0))),0)&lt;0,0,(IF(SUM($D49:AMX49)&gt;0,0,IF(AMX$25&gt;AMX47,AMX47,0)))))</f>
        <v>0</v>
      </c>
      <c r="AMZ49" s="115">
        <f>IF(SUM($D$42:AMY42)=0,0,IF(IF(AMZ48&gt;0,AMZ48-(IF(SUM($D49:AMY49)&gt;0,0,IF(AMY$25&gt;AMY47,AMY47,0))),0)&lt;0,0,(IF(SUM($D49:AMY49)&gt;0,0,IF(AMY$25&gt;AMY47,AMY47,0)))))</f>
        <v>0</v>
      </c>
      <c r="ANA49" s="115">
        <f>IF(SUM($D$42:AMZ42)=0,0,IF(IF(ANA48&gt;0,ANA48-(IF(SUM($D49:AMZ49)&gt;0,0,IF(AMZ$25&gt;AMZ47,AMZ47,0))),0)&lt;0,0,(IF(SUM($D49:AMZ49)&gt;0,0,IF(AMZ$25&gt;AMZ47,AMZ47,0)))))</f>
        <v>0</v>
      </c>
      <c r="ANB49" s="115">
        <f>IF(SUM($D$42:ANA42)=0,0,IF(IF(ANB48&gt;0,ANB48-(IF(SUM($D49:ANA49)&gt;0,0,IF(ANA$25&gt;ANA47,ANA47,0))),0)&lt;0,0,(IF(SUM($D49:ANA49)&gt;0,0,IF(ANA$25&gt;ANA47,ANA47,0)))))</f>
        <v>0</v>
      </c>
      <c r="ANC49" s="115">
        <f>IF(SUM($D$42:ANB42)=0,0,IF(IF(ANC48&gt;0,ANC48-(IF(SUM($D49:ANB49)&gt;0,0,IF(ANB$25&gt;ANB47,ANB47,0))),0)&lt;0,0,(IF(SUM($D49:ANB49)&gt;0,0,IF(ANB$25&gt;ANB47,ANB47,0)))))</f>
        <v>0</v>
      </c>
      <c r="AND49" s="115">
        <f>IF(SUM($D$42:ANC42)=0,0,IF(IF(AND48&gt;0,AND48-(IF(SUM($D49:ANC49)&gt;0,0,IF(ANC$25&gt;ANC47,ANC47,0))),0)&lt;0,0,(IF(SUM($D49:ANC49)&gt;0,0,IF(ANC$25&gt;ANC47,ANC47,0)))))</f>
        <v>0</v>
      </c>
      <c r="ANE49" s="115">
        <f>IF(SUM($D$42:AND42)=0,0,IF(IF(ANE48&gt;0,ANE48-(IF(SUM($D49:AND49)&gt;0,0,IF(AND$25&gt;AND47,AND47,0))),0)&lt;0,0,(IF(SUM($D49:AND49)&gt;0,0,IF(AND$25&gt;AND47,AND47,0)))))</f>
        <v>0</v>
      </c>
      <c r="ANF49" s="115">
        <f>IF(SUM($D$42:ANE42)=0,0,IF(IF(ANF48&gt;0,ANF48-(IF(SUM($D49:ANE49)&gt;0,0,IF(ANE$25&gt;ANE47,ANE47,0))),0)&lt;0,0,(IF(SUM($D49:ANE49)&gt;0,0,IF(ANE$25&gt;ANE47,ANE47,0)))))</f>
        <v>0</v>
      </c>
      <c r="ANG49" s="115">
        <f>IF(SUM($D$42:ANF42)=0,0,IF(IF(ANG48&gt;0,ANG48-(IF(SUM($D49:ANF49)&gt;0,0,IF(ANF$25&gt;ANF47,ANF47,0))),0)&lt;0,0,(IF(SUM($D49:ANF49)&gt;0,0,IF(ANF$25&gt;ANF47,ANF47,0)))))</f>
        <v>0</v>
      </c>
      <c r="ANH49" s="115">
        <f>IF(SUM($D$42:ANG42)=0,0,IF(IF(ANH48&gt;0,ANH48-(IF(SUM($D49:ANG49)&gt;0,0,IF(ANG$25&gt;ANG47,ANG47,0))),0)&lt;0,0,(IF(SUM($D49:ANG49)&gt;0,0,IF(ANG$25&gt;ANG47,ANG47,0)))))</f>
        <v>0</v>
      </c>
      <c r="ANI49" s="115">
        <f>IF(SUM($D$42:ANH42)=0,0,IF(IF(ANI48&gt;0,ANI48-(IF(SUM($D49:ANH49)&gt;0,0,IF(ANH$25&gt;ANH47,ANH47,0))),0)&lt;0,0,(IF(SUM($D49:ANH49)&gt;0,0,IF(ANH$25&gt;ANH47,ANH47,0)))))</f>
        <v>0</v>
      </c>
      <c r="ANJ49" s="115">
        <f>IF(SUM($D$42:ANI42)=0,0,IF(IF(ANJ48&gt;0,ANJ48-(IF(SUM($D49:ANI49)&gt;0,0,IF(ANI$25&gt;ANI47,ANI47,0))),0)&lt;0,0,(IF(SUM($D49:ANI49)&gt;0,0,IF(ANI$25&gt;ANI47,ANI47,0)))))</f>
        <v>0</v>
      </c>
      <c r="ANK49" s="115">
        <f>IF(SUM($D$42:ANJ42)=0,0,IF(IF(ANK48&gt;0,ANK48-(IF(SUM($D49:ANJ49)&gt;0,0,IF(ANJ$25&gt;ANJ47,ANJ47,0))),0)&lt;0,0,(IF(SUM($D49:ANJ49)&gt;0,0,IF(ANJ$25&gt;ANJ47,ANJ47,0)))))</f>
        <v>0</v>
      </c>
      <c r="ANL49" s="115">
        <f>IF(SUM($D$42:ANK42)=0,0,IF(IF(ANL48&gt;0,ANL48-(IF(SUM($D49:ANK49)&gt;0,0,IF(ANK$25&gt;ANK47,ANK47,0))),0)&lt;0,0,(IF(SUM($D49:ANK49)&gt;0,0,IF(ANK$25&gt;ANK47,ANK47,0)))))</f>
        <v>0</v>
      </c>
      <c r="ANM49" s="115">
        <f>IF(SUM($D$42:ANL42)=0,0,IF(IF(ANM48&gt;0,ANM48-(IF(SUM($D49:ANL49)&gt;0,0,IF(ANL$25&gt;ANL47,ANL47,0))),0)&lt;0,0,(IF(SUM($D49:ANL49)&gt;0,0,IF(ANL$25&gt;ANL47,ANL47,0)))))</f>
        <v>0</v>
      </c>
      <c r="ANN49" s="115">
        <f>IF(SUM($D$42:ANM42)=0,0,IF(IF(ANN48&gt;0,ANN48-(IF(SUM($D49:ANM49)&gt;0,0,IF(ANM$25&gt;ANM47,ANM47,0))),0)&lt;0,0,(IF(SUM($D49:ANM49)&gt;0,0,IF(ANM$25&gt;ANM47,ANM47,0)))))</f>
        <v>0</v>
      </c>
      <c r="ANO49" s="115">
        <f>IF(SUM($D$42:ANN42)=0,0,IF(IF(ANO48&gt;0,ANO48-(IF(SUM($D49:ANN49)&gt;0,0,IF(ANN$25&gt;ANN47,ANN47,0))),0)&lt;0,0,(IF(SUM($D49:ANN49)&gt;0,0,IF(ANN$25&gt;ANN47,ANN47,0)))))</f>
        <v>0</v>
      </c>
      <c r="ANP49" s="115">
        <f>IF(SUM($D$42:ANO42)=0,0,IF(IF(ANP48&gt;0,ANP48-(IF(SUM($D49:ANO49)&gt;0,0,IF(ANO$25&gt;ANO47,ANO47,0))),0)&lt;0,0,(IF(SUM($D49:ANO49)&gt;0,0,IF(ANO$25&gt;ANO47,ANO47,0)))))</f>
        <v>0</v>
      </c>
      <c r="ANQ49" s="115">
        <f>IF(SUM($D$42:ANP42)=0,0,IF(IF(ANQ48&gt;0,ANQ48-(IF(SUM($D49:ANP49)&gt;0,0,IF(ANP$25&gt;ANP47,ANP47,0))),0)&lt;0,0,(IF(SUM($D49:ANP49)&gt;0,0,IF(ANP$25&gt;ANP47,ANP47,0)))))</f>
        <v>0</v>
      </c>
      <c r="ANR49" s="115">
        <f>IF(SUM($D$42:ANQ42)=0,0,IF(IF(ANR48&gt;0,ANR48-(IF(SUM($D49:ANQ49)&gt;0,0,IF(ANQ$25&gt;ANQ47,ANQ47,0))),0)&lt;0,0,(IF(SUM($D49:ANQ49)&gt;0,0,IF(ANQ$25&gt;ANQ47,ANQ47,0)))))</f>
        <v>0</v>
      </c>
      <c r="ANS49" s="115">
        <f>IF(SUM($D$42:ANR42)=0,0,IF(IF(ANS48&gt;0,ANS48-(IF(SUM($D49:ANR49)&gt;0,0,IF(ANR$25&gt;ANR47,ANR47,0))),0)&lt;0,0,(IF(SUM($D49:ANR49)&gt;0,0,IF(ANR$25&gt;ANR47,ANR47,0)))))</f>
        <v>0</v>
      </c>
      <c r="ANT49" s="115">
        <f>IF(SUM($D$42:ANS42)=0,0,IF(IF(ANT48&gt;0,ANT48-(IF(SUM($D49:ANS49)&gt;0,0,IF(ANS$25&gt;ANS47,ANS47,0))),0)&lt;0,0,(IF(SUM($D49:ANS49)&gt;0,0,IF(ANS$25&gt;ANS47,ANS47,0)))))</f>
        <v>0</v>
      </c>
      <c r="ANU49" s="115">
        <f>IF(SUM($D$42:ANT42)=0,0,IF(IF(ANU48&gt;0,ANU48-(IF(SUM($D49:ANT49)&gt;0,0,IF(ANT$25&gt;ANT47,ANT47,0))),0)&lt;0,0,(IF(SUM($D49:ANT49)&gt;0,0,IF(ANT$25&gt;ANT47,ANT47,0)))))</f>
        <v>0</v>
      </c>
      <c r="ANV49" s="115">
        <f>IF(SUM($D$42:ANU42)=0,0,IF(IF(ANV48&gt;0,ANV48-(IF(SUM($D49:ANU49)&gt;0,0,IF(ANU$25&gt;ANU47,ANU47,0))),0)&lt;0,0,(IF(SUM($D49:ANU49)&gt;0,0,IF(ANU$25&gt;ANU47,ANU47,0)))))</f>
        <v>0</v>
      </c>
      <c r="ANW49" s="115">
        <f>IF(SUM($D$42:ANV42)=0,0,IF(IF(ANW48&gt;0,ANW48-(IF(SUM($D49:ANV49)&gt;0,0,IF(ANV$25&gt;ANV47,ANV47,0))),0)&lt;0,0,(IF(SUM($D49:ANV49)&gt;0,0,IF(ANV$25&gt;ANV47,ANV47,0)))))</f>
        <v>0</v>
      </c>
      <c r="ANX49" s="115">
        <f>IF(SUM($D$42:ANW42)=0,0,IF(IF(ANX48&gt;0,ANX48-(IF(SUM($D49:ANW49)&gt;0,0,IF(ANW$25&gt;ANW47,ANW47,0))),0)&lt;0,0,(IF(SUM($D49:ANW49)&gt;0,0,IF(ANW$25&gt;ANW47,ANW47,0)))))</f>
        <v>0</v>
      </c>
      <c r="ANY49" s="115">
        <f>IF(SUM($D$42:ANX42)=0,0,IF(IF(ANY48&gt;0,ANY48-(IF(SUM($D49:ANX49)&gt;0,0,IF(ANX$25&gt;ANX47,ANX47,0))),0)&lt;0,0,(IF(SUM($D49:ANX49)&gt;0,0,IF(ANX$25&gt;ANX47,ANX47,0)))))</f>
        <v>0</v>
      </c>
      <c r="ANZ49" s="115">
        <f>IF(SUM($D$42:ANY42)=0,0,IF(IF(ANZ48&gt;0,ANZ48-(IF(SUM($D49:ANY49)&gt;0,0,IF(ANY$25&gt;ANY47,ANY47,0))),0)&lt;0,0,(IF(SUM($D49:ANY49)&gt;0,0,IF(ANY$25&gt;ANY47,ANY47,0)))))</f>
        <v>0</v>
      </c>
      <c r="AOA49" s="115">
        <f>IF(SUM($D$42:ANZ42)=0,0,IF(IF(AOA48&gt;0,AOA48-(IF(SUM($D49:ANZ49)&gt;0,0,IF(ANZ$25&gt;ANZ47,ANZ47,0))),0)&lt;0,0,(IF(SUM($D49:ANZ49)&gt;0,0,IF(ANZ$25&gt;ANZ47,ANZ47,0)))))</f>
        <v>0</v>
      </c>
      <c r="AOB49" s="115">
        <f>IF(SUM($D$42:AOA42)=0,0,IF(IF(AOB48&gt;0,AOB48-(IF(SUM($D49:AOA49)&gt;0,0,IF(AOA$25&gt;AOA47,AOA47,0))),0)&lt;0,0,(IF(SUM($D49:AOA49)&gt;0,0,IF(AOA$25&gt;AOA47,AOA47,0)))))</f>
        <v>0</v>
      </c>
      <c r="AOC49" s="115">
        <f>IF(SUM($D$42:AOB42)=0,0,IF(IF(AOC48&gt;0,AOC48-(IF(SUM($D49:AOB49)&gt;0,0,IF(AOB$25&gt;AOB47,AOB47,0))),0)&lt;0,0,(IF(SUM($D49:AOB49)&gt;0,0,IF(AOB$25&gt;AOB47,AOB47,0)))))</f>
        <v>0</v>
      </c>
      <c r="AOD49" s="115">
        <f>IF(SUM($D$42:AOC42)=0,0,IF(IF(AOD48&gt;0,AOD48-(IF(SUM($D49:AOC49)&gt;0,0,IF(AOC$25&gt;AOC47,AOC47,0))),0)&lt;0,0,(IF(SUM($D49:AOC49)&gt;0,0,IF(AOC$25&gt;AOC47,AOC47,0)))))</f>
        <v>0</v>
      </c>
      <c r="AOE49" s="115">
        <f>IF(SUM($D$42:AOD42)=0,0,IF(IF(AOE48&gt;0,AOE48-(IF(SUM($D49:AOD49)&gt;0,0,IF(AOD$25&gt;AOD47,AOD47,0))),0)&lt;0,0,(IF(SUM($D49:AOD49)&gt;0,0,IF(AOD$25&gt;AOD47,AOD47,0)))))</f>
        <v>0</v>
      </c>
      <c r="AOF49" s="115">
        <f>IF(SUM($D$42:AOE42)=0,0,IF(IF(AOF48&gt;0,AOF48-(IF(SUM($D49:AOE49)&gt;0,0,IF(AOE$25&gt;AOE47,AOE47,0))),0)&lt;0,0,(IF(SUM($D49:AOE49)&gt;0,0,IF(AOE$25&gt;AOE47,AOE47,0)))))</f>
        <v>0</v>
      </c>
      <c r="AOG49" s="115">
        <f>IF(SUM($D$42:AOF42)=0,0,IF(IF(AOG48&gt;0,AOG48-(IF(SUM($D49:AOF49)&gt;0,0,IF(AOF$25&gt;AOF47,AOF47,0))),0)&lt;0,0,(IF(SUM($D49:AOF49)&gt;0,0,IF(AOF$25&gt;AOF47,AOF47,0)))))</f>
        <v>0</v>
      </c>
      <c r="AOH49" s="115">
        <f>IF(SUM($D$42:AOG42)=0,0,IF(IF(AOH48&gt;0,AOH48-(IF(SUM($D49:AOG49)&gt;0,0,IF(AOG$25&gt;AOG47,AOG47,0))),0)&lt;0,0,(IF(SUM($D49:AOG49)&gt;0,0,IF(AOG$25&gt;AOG47,AOG47,0)))))</f>
        <v>0</v>
      </c>
      <c r="AOI49" s="115">
        <f>IF(SUM($D$42:AOH42)=0,0,IF(IF(AOI48&gt;0,AOI48-(IF(SUM($D49:AOH49)&gt;0,0,IF(AOH$25&gt;AOH47,AOH47,0))),0)&lt;0,0,(IF(SUM($D49:AOH49)&gt;0,0,IF(AOH$25&gt;AOH47,AOH47,0)))))</f>
        <v>0</v>
      </c>
      <c r="AOJ49" s="115">
        <f>IF(SUM($D$42:AOI42)=0,0,IF(IF(AOJ48&gt;0,AOJ48-(IF(SUM($D49:AOI49)&gt;0,0,IF(AOI$25&gt;AOI47,AOI47,0))),0)&lt;0,0,(IF(SUM($D49:AOI49)&gt;0,0,IF(AOI$25&gt;AOI47,AOI47,0)))))</f>
        <v>0</v>
      </c>
      <c r="AOK49" s="115">
        <f>IF(SUM($D$42:AOJ42)=0,0,IF(IF(AOK48&gt;0,AOK48-(IF(SUM($D49:AOJ49)&gt;0,0,IF(AOJ$25&gt;AOJ47,AOJ47,0))),0)&lt;0,0,(IF(SUM($D49:AOJ49)&gt;0,0,IF(AOJ$25&gt;AOJ47,AOJ47,0)))))</f>
        <v>0</v>
      </c>
      <c r="AOL49" s="115">
        <f>IF(SUM($D$42:AOK42)=0,0,IF(IF(AOL48&gt;0,AOL48-(IF(SUM($D49:AOK49)&gt;0,0,IF(AOK$25&gt;AOK47,AOK47,0))),0)&lt;0,0,(IF(SUM($D49:AOK49)&gt;0,0,IF(AOK$25&gt;AOK47,AOK47,0)))))</f>
        <v>0</v>
      </c>
      <c r="AOM49" s="115">
        <f>IF(SUM($D$42:AOL42)=0,0,IF(IF(AOM48&gt;0,AOM48-(IF(SUM($D49:AOL49)&gt;0,0,IF(AOL$25&gt;AOL47,AOL47,0))),0)&lt;0,0,(IF(SUM($D49:AOL49)&gt;0,0,IF(AOL$25&gt;AOL47,AOL47,0)))))</f>
        <v>0</v>
      </c>
      <c r="AON49" s="115">
        <f>IF(SUM($D$42:AOM42)=0,0,IF(IF(AON48&gt;0,AON48-(IF(SUM($D49:AOM49)&gt;0,0,IF(AOM$25&gt;AOM47,AOM47,0))),0)&lt;0,0,(IF(SUM($D49:AOM49)&gt;0,0,IF(AOM$25&gt;AOM47,AOM47,0)))))</f>
        <v>0</v>
      </c>
      <c r="AOO49" s="115">
        <f>IF(SUM($D$42:AON42)=0,0,IF(IF(AOO48&gt;0,AOO48-(IF(SUM($D49:AON49)&gt;0,0,IF(AON$25&gt;AON47,AON47,0))),0)&lt;0,0,(IF(SUM($D49:AON49)&gt;0,0,IF(AON$25&gt;AON47,AON47,0)))))</f>
        <v>0</v>
      </c>
      <c r="AOP49" s="115">
        <f>IF(SUM($D$42:AOO42)=0,0,IF(IF(AOP48&gt;0,AOP48-(IF(SUM($D49:AOO49)&gt;0,0,IF(AOO$25&gt;AOO47,AOO47,0))),0)&lt;0,0,(IF(SUM($D49:AOO49)&gt;0,0,IF(AOO$25&gt;AOO47,AOO47,0)))))</f>
        <v>0</v>
      </c>
      <c r="AOQ49" s="115">
        <f>IF(SUM($D$42:AOP42)=0,0,IF(IF(AOQ48&gt;0,AOQ48-(IF(SUM($D49:AOP49)&gt;0,0,IF(AOP$25&gt;AOP47,AOP47,0))),0)&lt;0,0,(IF(SUM($D49:AOP49)&gt;0,0,IF(AOP$25&gt;AOP47,AOP47,0)))))</f>
        <v>0</v>
      </c>
    </row>
    <row r="50" spans="1:1083" x14ac:dyDescent="0.25">
      <c r="B50" s="116" t="s">
        <v>299</v>
      </c>
      <c r="C50" s="115">
        <f>SUM(D50:AOQ50)</f>
        <v>0</v>
      </c>
      <c r="D50" s="115">
        <f>IF(D49&gt;0,D$17,0)</f>
        <v>0</v>
      </c>
      <c r="E50" s="115">
        <f t="shared" ref="E50" si="2549">IF(E49&gt;0,E$17,0)</f>
        <v>0</v>
      </c>
      <c r="F50" s="115">
        <f t="shared" ref="F50" si="2550">IF(F49&gt;0,F$17,0)</f>
        <v>0</v>
      </c>
      <c r="G50" s="115">
        <f t="shared" ref="G50" si="2551">IF(G49&gt;0,G$17,0)</f>
        <v>0</v>
      </c>
      <c r="H50" s="115">
        <f t="shared" ref="H50" si="2552">IF(H49&gt;0,H$17,0)</f>
        <v>0</v>
      </c>
      <c r="I50" s="115">
        <f t="shared" ref="I50" si="2553">IF(I49&gt;0,I$17,0)</f>
        <v>0</v>
      </c>
      <c r="J50" s="115">
        <f t="shared" ref="J50" si="2554">IF(J49&gt;0,J$17,0)</f>
        <v>0</v>
      </c>
      <c r="K50" s="115">
        <f t="shared" ref="K50" si="2555">IF(K49&gt;0,K$17,0)</f>
        <v>0</v>
      </c>
      <c r="L50" s="115">
        <f t="shared" ref="L50" si="2556">IF(L49&gt;0,L$17,0)</f>
        <v>0</v>
      </c>
      <c r="M50" s="115">
        <f t="shared" ref="M50" si="2557">IF(M49&gt;0,M$17,0)</f>
        <v>0</v>
      </c>
      <c r="N50" s="115">
        <f t="shared" ref="N50" si="2558">IF(N49&gt;0,N$17,0)</f>
        <v>0</v>
      </c>
      <c r="O50" s="115">
        <f t="shared" ref="O50" si="2559">IF(O49&gt;0,O$17,0)</f>
        <v>0</v>
      </c>
      <c r="P50" s="115">
        <f t="shared" ref="P50" si="2560">IF(P49&gt;0,P$17,0)</f>
        <v>0</v>
      </c>
      <c r="Q50" s="115">
        <f t="shared" ref="Q50" si="2561">IF(Q49&gt;0,Q$17,0)</f>
        <v>0</v>
      </c>
      <c r="R50" s="115">
        <f t="shared" ref="R50" si="2562">IF(R49&gt;0,R$17,0)</f>
        <v>0</v>
      </c>
      <c r="S50" s="115">
        <f t="shared" ref="S50" si="2563">IF(S49&gt;0,S$17,0)</f>
        <v>0</v>
      </c>
      <c r="T50" s="115">
        <f t="shared" ref="T50" si="2564">IF(T49&gt;0,T$17,0)</f>
        <v>0</v>
      </c>
      <c r="U50" s="115">
        <f t="shared" ref="U50" si="2565">IF(U49&gt;0,U$17,0)</f>
        <v>0</v>
      </c>
      <c r="V50" s="115">
        <f t="shared" ref="V50" si="2566">IF(V49&gt;0,V$17,0)</f>
        <v>0</v>
      </c>
      <c r="W50" s="115">
        <f t="shared" ref="W50" si="2567">IF(W49&gt;0,W$17,0)</f>
        <v>0</v>
      </c>
      <c r="X50" s="115">
        <f t="shared" ref="X50" si="2568">IF(X49&gt;0,X$17,0)</f>
        <v>0</v>
      </c>
      <c r="Y50" s="115">
        <f t="shared" ref="Y50" si="2569">IF(Y49&gt;0,Y$17,0)</f>
        <v>0</v>
      </c>
      <c r="Z50" s="115">
        <f t="shared" ref="Z50" si="2570">IF(Z49&gt;0,Z$17,0)</f>
        <v>0</v>
      </c>
      <c r="AA50" s="115">
        <f t="shared" ref="AA50" si="2571">IF(AA49&gt;0,AA$17,0)</f>
        <v>0</v>
      </c>
      <c r="AB50" s="115">
        <f t="shared" ref="AB50" si="2572">IF(AB49&gt;0,AB$17,0)</f>
        <v>0</v>
      </c>
      <c r="AC50" s="115">
        <f t="shared" ref="AC50" si="2573">IF(AC49&gt;0,AC$17,0)</f>
        <v>0</v>
      </c>
      <c r="AD50" s="115">
        <f t="shared" ref="AD50" si="2574">IF(AD49&gt;0,AD$17,0)</f>
        <v>0</v>
      </c>
      <c r="AE50" s="115">
        <f t="shared" ref="AE50" si="2575">IF(AE49&gt;0,AE$17,0)</f>
        <v>0</v>
      </c>
      <c r="AF50" s="115">
        <f t="shared" ref="AF50" si="2576">IF(AF49&gt;0,AF$17,0)</f>
        <v>0</v>
      </c>
      <c r="AG50" s="115">
        <f t="shared" ref="AG50" si="2577">IF(AG49&gt;0,AG$17,0)</f>
        <v>0</v>
      </c>
      <c r="AH50" s="115">
        <f t="shared" ref="AH50" si="2578">IF(AH49&gt;0,AH$17,0)</f>
        <v>0</v>
      </c>
      <c r="AI50" s="115">
        <f t="shared" ref="AI50" si="2579">IF(AI49&gt;0,AI$17,0)</f>
        <v>0</v>
      </c>
      <c r="AJ50" s="115">
        <f t="shared" ref="AJ50" si="2580">IF(AJ49&gt;0,AJ$17,0)</f>
        <v>0</v>
      </c>
      <c r="AK50" s="115">
        <f t="shared" ref="AK50" si="2581">IF(AK49&gt;0,AK$17,0)</f>
        <v>0</v>
      </c>
      <c r="AL50" s="115">
        <f t="shared" ref="AL50" si="2582">IF(AL49&gt;0,AL$17,0)</f>
        <v>0</v>
      </c>
      <c r="AM50" s="115">
        <f t="shared" ref="AM50" si="2583">IF(AM49&gt;0,AM$17,0)</f>
        <v>0</v>
      </c>
      <c r="AN50" s="115">
        <f t="shared" ref="AN50" si="2584">IF(AN49&gt;0,AN$17,0)</f>
        <v>0</v>
      </c>
      <c r="AO50" s="115">
        <f t="shared" ref="AO50" si="2585">IF(AO49&gt;0,AO$17,0)</f>
        <v>0</v>
      </c>
      <c r="AP50" s="115">
        <f t="shared" ref="AP50" si="2586">IF(AP49&gt;0,AP$17,0)</f>
        <v>0</v>
      </c>
      <c r="AQ50" s="115">
        <f t="shared" ref="AQ50" si="2587">IF(AQ49&gt;0,AQ$17,0)</f>
        <v>0</v>
      </c>
      <c r="AR50" s="115">
        <f t="shared" ref="AR50" si="2588">IF(AR49&gt;0,AR$17,0)</f>
        <v>0</v>
      </c>
      <c r="AS50" s="115">
        <f t="shared" ref="AS50" si="2589">IF(AS49&gt;0,AS$17,0)</f>
        <v>0</v>
      </c>
      <c r="AT50" s="115">
        <f t="shared" ref="AT50" si="2590">IF(AT49&gt;0,AT$17,0)</f>
        <v>0</v>
      </c>
      <c r="AU50" s="115">
        <f t="shared" ref="AU50" si="2591">IF(AU49&gt;0,AU$17,0)</f>
        <v>0</v>
      </c>
      <c r="AV50" s="115">
        <f t="shared" ref="AV50" si="2592">IF(AV49&gt;0,AV$17,0)</f>
        <v>0</v>
      </c>
      <c r="AW50" s="115">
        <f t="shared" ref="AW50" si="2593">IF(AW49&gt;0,AW$17,0)</f>
        <v>0</v>
      </c>
      <c r="AX50" s="115">
        <f t="shared" ref="AX50" si="2594">IF(AX49&gt;0,AX$17,0)</f>
        <v>0</v>
      </c>
      <c r="AY50" s="115">
        <f t="shared" ref="AY50" si="2595">IF(AY49&gt;0,AY$17,0)</f>
        <v>0</v>
      </c>
      <c r="AZ50" s="115">
        <f t="shared" ref="AZ50" si="2596">IF(AZ49&gt;0,AZ$17,0)</f>
        <v>0</v>
      </c>
      <c r="BA50" s="115">
        <f t="shared" ref="BA50" si="2597">IF(BA49&gt;0,BA$17,0)</f>
        <v>0</v>
      </c>
      <c r="BB50" s="115">
        <f t="shared" ref="BB50" si="2598">IF(BB49&gt;0,BB$17,0)</f>
        <v>0</v>
      </c>
      <c r="BC50" s="115">
        <f t="shared" ref="BC50" si="2599">IF(BC49&gt;0,BC$17,0)</f>
        <v>0</v>
      </c>
      <c r="BD50" s="115">
        <f t="shared" ref="BD50" si="2600">IF(BD49&gt;0,BD$17,0)</f>
        <v>0</v>
      </c>
      <c r="BE50" s="115">
        <f t="shared" ref="BE50" si="2601">IF(BE49&gt;0,BE$17,0)</f>
        <v>0</v>
      </c>
      <c r="BF50" s="115">
        <f t="shared" ref="BF50" si="2602">IF(BF49&gt;0,BF$17,0)</f>
        <v>0</v>
      </c>
      <c r="BG50" s="115">
        <f t="shared" ref="BG50" si="2603">IF(BG49&gt;0,BG$17,0)</f>
        <v>0</v>
      </c>
      <c r="BH50" s="115">
        <f t="shared" ref="BH50" si="2604">IF(BH49&gt;0,BH$17,0)</f>
        <v>0</v>
      </c>
      <c r="BI50" s="115">
        <f t="shared" ref="BI50" si="2605">IF(BI49&gt;0,BI$17,0)</f>
        <v>0</v>
      </c>
      <c r="BJ50" s="115">
        <f t="shared" ref="BJ50" si="2606">IF(BJ49&gt;0,BJ$17,0)</f>
        <v>0</v>
      </c>
      <c r="BK50" s="115">
        <f t="shared" ref="BK50" si="2607">IF(BK49&gt;0,BK$17,0)</f>
        <v>0</v>
      </c>
      <c r="BL50" s="115">
        <f t="shared" ref="BL50" si="2608">IF(BL49&gt;0,BL$17,0)</f>
        <v>0</v>
      </c>
      <c r="BM50" s="115">
        <f t="shared" ref="BM50" si="2609">IF(BM49&gt;0,BM$17,0)</f>
        <v>0</v>
      </c>
      <c r="BN50" s="115">
        <f t="shared" ref="BN50" si="2610">IF(BN49&gt;0,BN$17,0)</f>
        <v>0</v>
      </c>
      <c r="BO50" s="115">
        <f t="shared" ref="BO50" si="2611">IF(BO49&gt;0,BO$17,0)</f>
        <v>0</v>
      </c>
      <c r="BP50" s="115">
        <f t="shared" ref="BP50" si="2612">IF(BP49&gt;0,BP$17,0)</f>
        <v>0</v>
      </c>
      <c r="BQ50" s="115">
        <f t="shared" ref="BQ50" si="2613">IF(BQ49&gt;0,BQ$17,0)</f>
        <v>0</v>
      </c>
      <c r="BR50" s="115">
        <f t="shared" ref="BR50" si="2614">IF(BR49&gt;0,BR$17,0)</f>
        <v>0</v>
      </c>
      <c r="BS50" s="115">
        <f t="shared" ref="BS50" si="2615">IF(BS49&gt;0,BS$17,0)</f>
        <v>0</v>
      </c>
      <c r="BT50" s="115">
        <f t="shared" ref="BT50" si="2616">IF(BT49&gt;0,BT$17,0)</f>
        <v>0</v>
      </c>
      <c r="BU50" s="115">
        <f t="shared" ref="BU50" si="2617">IF(BU49&gt;0,BU$17,0)</f>
        <v>0</v>
      </c>
      <c r="BV50" s="115">
        <f t="shared" ref="BV50" si="2618">IF(BV49&gt;0,BV$17,0)</f>
        <v>0</v>
      </c>
      <c r="BW50" s="115">
        <f t="shared" ref="BW50" si="2619">IF(BW49&gt;0,BW$17,0)</f>
        <v>0</v>
      </c>
      <c r="BX50" s="115">
        <f t="shared" ref="BX50" si="2620">IF(BX49&gt;0,BX$17,0)</f>
        <v>0</v>
      </c>
      <c r="BY50" s="115">
        <f t="shared" ref="BY50" si="2621">IF(BY49&gt;0,BY$17,0)</f>
        <v>0</v>
      </c>
      <c r="BZ50" s="115">
        <f t="shared" ref="BZ50" si="2622">IF(BZ49&gt;0,BZ$17,0)</f>
        <v>0</v>
      </c>
      <c r="CA50" s="115">
        <f t="shared" ref="CA50" si="2623">IF(CA49&gt;0,CA$17,0)</f>
        <v>0</v>
      </c>
      <c r="CB50" s="115">
        <f t="shared" ref="CB50" si="2624">IF(CB49&gt;0,CB$17,0)</f>
        <v>0</v>
      </c>
      <c r="CC50" s="115">
        <f t="shared" ref="CC50" si="2625">IF(CC49&gt;0,CC$17,0)</f>
        <v>0</v>
      </c>
      <c r="CD50" s="115">
        <f t="shared" ref="CD50" si="2626">IF(CD49&gt;0,CD$17,0)</f>
        <v>0</v>
      </c>
      <c r="CE50" s="115">
        <f t="shared" ref="CE50" si="2627">IF(CE49&gt;0,CE$17,0)</f>
        <v>0</v>
      </c>
      <c r="CF50" s="115">
        <f t="shared" ref="CF50" si="2628">IF(CF49&gt;0,CF$17,0)</f>
        <v>0</v>
      </c>
      <c r="CG50" s="115">
        <f t="shared" ref="CG50" si="2629">IF(CG49&gt;0,CG$17,0)</f>
        <v>0</v>
      </c>
      <c r="CH50" s="115">
        <f t="shared" ref="CH50" si="2630">IF(CH49&gt;0,CH$17,0)</f>
        <v>0</v>
      </c>
      <c r="CI50" s="115">
        <f t="shared" ref="CI50" si="2631">IF(CI49&gt;0,CI$17,0)</f>
        <v>0</v>
      </c>
      <c r="CJ50" s="115">
        <f t="shared" ref="CJ50" si="2632">IF(CJ49&gt;0,CJ$17,0)</f>
        <v>0</v>
      </c>
      <c r="CK50" s="115">
        <f t="shared" ref="CK50" si="2633">IF(CK49&gt;0,CK$17,0)</f>
        <v>0</v>
      </c>
      <c r="CL50" s="115">
        <f t="shared" ref="CL50" si="2634">IF(CL49&gt;0,CL$17,0)</f>
        <v>0</v>
      </c>
      <c r="CM50" s="115">
        <f t="shared" ref="CM50" si="2635">IF(CM49&gt;0,CM$17,0)</f>
        <v>0</v>
      </c>
      <c r="CN50" s="115">
        <f t="shared" ref="CN50" si="2636">IF(CN49&gt;0,CN$17,0)</f>
        <v>0</v>
      </c>
      <c r="CO50" s="115">
        <f t="shared" ref="CO50" si="2637">IF(CO49&gt;0,CO$17,0)</f>
        <v>0</v>
      </c>
      <c r="CP50" s="115">
        <f t="shared" ref="CP50" si="2638">IF(CP49&gt;0,CP$17,0)</f>
        <v>0</v>
      </c>
      <c r="CQ50" s="115">
        <f t="shared" ref="CQ50" si="2639">IF(CQ49&gt;0,CQ$17,0)</f>
        <v>0</v>
      </c>
      <c r="CR50" s="115">
        <f t="shared" ref="CR50" si="2640">IF(CR49&gt;0,CR$17,0)</f>
        <v>0</v>
      </c>
      <c r="CS50" s="115">
        <f t="shared" ref="CS50" si="2641">IF(CS49&gt;0,CS$17,0)</f>
        <v>0</v>
      </c>
      <c r="CT50" s="115">
        <f t="shared" ref="CT50" si="2642">IF(CT49&gt;0,CT$17,0)</f>
        <v>0</v>
      </c>
      <c r="CU50" s="115">
        <f t="shared" ref="CU50" si="2643">IF(CU49&gt;0,CU$17,0)</f>
        <v>0</v>
      </c>
      <c r="CV50" s="115">
        <f t="shared" ref="CV50" si="2644">IF(CV49&gt;0,CV$17,0)</f>
        <v>0</v>
      </c>
      <c r="CW50" s="115">
        <f t="shared" ref="CW50" si="2645">IF(CW49&gt;0,CW$17,0)</f>
        <v>0</v>
      </c>
      <c r="CX50" s="115">
        <f t="shared" ref="CX50" si="2646">IF(CX49&gt;0,CX$17,0)</f>
        <v>0</v>
      </c>
      <c r="CY50" s="115">
        <f t="shared" ref="CY50" si="2647">IF(CY49&gt;0,CY$17,0)</f>
        <v>0</v>
      </c>
      <c r="CZ50" s="115">
        <f t="shared" ref="CZ50" si="2648">IF(CZ49&gt;0,CZ$17,0)</f>
        <v>0</v>
      </c>
      <c r="DA50" s="115">
        <f t="shared" ref="DA50" si="2649">IF(DA49&gt;0,DA$17,0)</f>
        <v>0</v>
      </c>
      <c r="DB50" s="115">
        <f t="shared" ref="DB50" si="2650">IF(DB49&gt;0,DB$17,0)</f>
        <v>0</v>
      </c>
      <c r="DC50" s="115">
        <f t="shared" ref="DC50" si="2651">IF(DC49&gt;0,DC$17,0)</f>
        <v>0</v>
      </c>
      <c r="DD50" s="115">
        <f t="shared" ref="DD50" si="2652">IF(DD49&gt;0,DD$17,0)</f>
        <v>0</v>
      </c>
      <c r="DE50" s="115">
        <f t="shared" ref="DE50" si="2653">IF(DE49&gt;0,DE$17,0)</f>
        <v>0</v>
      </c>
      <c r="DF50" s="115">
        <f t="shared" ref="DF50" si="2654">IF(DF49&gt;0,DF$17,0)</f>
        <v>0</v>
      </c>
      <c r="DG50" s="115">
        <f t="shared" ref="DG50" si="2655">IF(DG49&gt;0,DG$17,0)</f>
        <v>0</v>
      </c>
      <c r="DH50" s="115">
        <f t="shared" ref="DH50" si="2656">IF(DH49&gt;0,DH$17,0)</f>
        <v>0</v>
      </c>
      <c r="DI50" s="115">
        <f t="shared" ref="DI50" si="2657">IF(DI49&gt;0,DI$17,0)</f>
        <v>0</v>
      </c>
      <c r="DJ50" s="115">
        <f t="shared" ref="DJ50" si="2658">IF(DJ49&gt;0,DJ$17,0)</f>
        <v>0</v>
      </c>
      <c r="DK50" s="115">
        <f t="shared" ref="DK50" si="2659">IF(DK49&gt;0,DK$17,0)</f>
        <v>0</v>
      </c>
      <c r="DL50" s="115">
        <f t="shared" ref="DL50" si="2660">IF(DL49&gt;0,DL$17,0)</f>
        <v>0</v>
      </c>
      <c r="DM50" s="115">
        <f t="shared" ref="DM50" si="2661">IF(DM49&gt;0,DM$17,0)</f>
        <v>0</v>
      </c>
      <c r="DN50" s="115">
        <f t="shared" ref="DN50" si="2662">IF(DN49&gt;0,DN$17,0)</f>
        <v>0</v>
      </c>
      <c r="DO50" s="115">
        <f t="shared" ref="DO50" si="2663">IF(DO49&gt;0,DO$17,0)</f>
        <v>0</v>
      </c>
      <c r="DP50" s="115">
        <f t="shared" ref="DP50" si="2664">IF(DP49&gt;0,DP$17,0)</f>
        <v>0</v>
      </c>
      <c r="DQ50" s="115">
        <f t="shared" ref="DQ50" si="2665">IF(DQ49&gt;0,DQ$17,0)</f>
        <v>0</v>
      </c>
      <c r="DR50" s="115">
        <f t="shared" ref="DR50" si="2666">IF(DR49&gt;0,DR$17,0)</f>
        <v>0</v>
      </c>
      <c r="DS50" s="115">
        <f t="shared" ref="DS50" si="2667">IF(DS49&gt;0,DS$17,0)</f>
        <v>0</v>
      </c>
      <c r="DT50" s="115">
        <f t="shared" ref="DT50" si="2668">IF(DT49&gt;0,DT$17,0)</f>
        <v>0</v>
      </c>
      <c r="DU50" s="115">
        <f t="shared" ref="DU50" si="2669">IF(DU49&gt;0,DU$17,0)</f>
        <v>0</v>
      </c>
      <c r="DV50" s="115">
        <f t="shared" ref="DV50" si="2670">IF(DV49&gt;0,DV$17,0)</f>
        <v>0</v>
      </c>
      <c r="DW50" s="115">
        <f t="shared" ref="DW50" si="2671">IF(DW49&gt;0,DW$17,0)</f>
        <v>0</v>
      </c>
      <c r="DX50" s="115">
        <f t="shared" ref="DX50" si="2672">IF(DX49&gt;0,DX$17,0)</f>
        <v>0</v>
      </c>
      <c r="DY50" s="115">
        <f t="shared" ref="DY50" si="2673">IF(DY49&gt;0,DY$17,0)</f>
        <v>0</v>
      </c>
      <c r="DZ50" s="115">
        <f t="shared" ref="DZ50" si="2674">IF(DZ49&gt;0,DZ$17,0)</f>
        <v>0</v>
      </c>
      <c r="EA50" s="115">
        <f t="shared" ref="EA50" si="2675">IF(EA49&gt;0,EA$17,0)</f>
        <v>0</v>
      </c>
      <c r="EB50" s="115">
        <f t="shared" ref="EB50" si="2676">IF(EB49&gt;0,EB$17,0)</f>
        <v>0</v>
      </c>
      <c r="EC50" s="115">
        <f t="shared" ref="EC50" si="2677">IF(EC49&gt;0,EC$17,0)</f>
        <v>0</v>
      </c>
      <c r="ED50" s="115">
        <f t="shared" ref="ED50" si="2678">IF(ED49&gt;0,ED$17,0)</f>
        <v>0</v>
      </c>
      <c r="EE50" s="115">
        <f t="shared" ref="EE50" si="2679">IF(EE49&gt;0,EE$17,0)</f>
        <v>0</v>
      </c>
      <c r="EF50" s="115">
        <f t="shared" ref="EF50" si="2680">IF(EF49&gt;0,EF$17,0)</f>
        <v>0</v>
      </c>
      <c r="EG50" s="115">
        <f t="shared" ref="EG50" si="2681">IF(EG49&gt;0,EG$17,0)</f>
        <v>0</v>
      </c>
      <c r="EH50" s="115">
        <f t="shared" ref="EH50" si="2682">IF(EH49&gt;0,EH$17,0)</f>
        <v>0</v>
      </c>
      <c r="EI50" s="115">
        <f t="shared" ref="EI50" si="2683">IF(EI49&gt;0,EI$17,0)</f>
        <v>0</v>
      </c>
      <c r="EJ50" s="115">
        <f t="shared" ref="EJ50" si="2684">IF(EJ49&gt;0,EJ$17,0)</f>
        <v>0</v>
      </c>
      <c r="EK50" s="115">
        <f t="shared" ref="EK50" si="2685">IF(EK49&gt;0,EK$17,0)</f>
        <v>0</v>
      </c>
      <c r="EL50" s="115">
        <f t="shared" ref="EL50" si="2686">IF(EL49&gt;0,EL$17,0)</f>
        <v>0</v>
      </c>
      <c r="EM50" s="115">
        <f t="shared" ref="EM50" si="2687">IF(EM49&gt;0,EM$17,0)</f>
        <v>0</v>
      </c>
      <c r="EN50" s="115">
        <f t="shared" ref="EN50" si="2688">IF(EN49&gt;0,EN$17,0)</f>
        <v>0</v>
      </c>
      <c r="EO50" s="115">
        <f t="shared" ref="EO50" si="2689">IF(EO49&gt;0,EO$17,0)</f>
        <v>0</v>
      </c>
      <c r="EP50" s="115">
        <f t="shared" ref="EP50" si="2690">IF(EP49&gt;0,EP$17,0)</f>
        <v>0</v>
      </c>
      <c r="EQ50" s="115">
        <f t="shared" ref="EQ50" si="2691">IF(EQ49&gt;0,EQ$17,0)</f>
        <v>0</v>
      </c>
      <c r="ER50" s="115">
        <f t="shared" ref="ER50" si="2692">IF(ER49&gt;0,ER$17,0)</f>
        <v>0</v>
      </c>
      <c r="ES50" s="115">
        <f t="shared" ref="ES50" si="2693">IF(ES49&gt;0,ES$17,0)</f>
        <v>0</v>
      </c>
      <c r="ET50" s="115">
        <f t="shared" ref="ET50" si="2694">IF(ET49&gt;0,ET$17,0)</f>
        <v>0</v>
      </c>
      <c r="EU50" s="115">
        <f t="shared" ref="EU50" si="2695">IF(EU49&gt;0,EU$17,0)</f>
        <v>0</v>
      </c>
      <c r="EV50" s="115">
        <f t="shared" ref="EV50" si="2696">IF(EV49&gt;0,EV$17,0)</f>
        <v>0</v>
      </c>
      <c r="EW50" s="115">
        <f t="shared" ref="EW50" si="2697">IF(EW49&gt;0,EW$17,0)</f>
        <v>0</v>
      </c>
      <c r="EX50" s="115">
        <f t="shared" ref="EX50" si="2698">IF(EX49&gt;0,EX$17,0)</f>
        <v>0</v>
      </c>
      <c r="EY50" s="115">
        <f t="shared" ref="EY50" si="2699">IF(EY49&gt;0,EY$17,0)</f>
        <v>0</v>
      </c>
      <c r="EZ50" s="115">
        <f t="shared" ref="EZ50" si="2700">IF(EZ49&gt;0,EZ$17,0)</f>
        <v>0</v>
      </c>
      <c r="FA50" s="115">
        <f t="shared" ref="FA50" si="2701">IF(FA49&gt;0,FA$17,0)</f>
        <v>0</v>
      </c>
      <c r="FB50" s="115">
        <f t="shared" ref="FB50" si="2702">IF(FB49&gt;0,FB$17,0)</f>
        <v>0</v>
      </c>
      <c r="FC50" s="115">
        <f t="shared" ref="FC50" si="2703">IF(FC49&gt;0,FC$17,0)</f>
        <v>0</v>
      </c>
      <c r="FD50" s="115">
        <f t="shared" ref="FD50" si="2704">IF(FD49&gt;0,FD$17,0)</f>
        <v>0</v>
      </c>
      <c r="FE50" s="115">
        <f t="shared" ref="FE50" si="2705">IF(FE49&gt;0,FE$17,0)</f>
        <v>0</v>
      </c>
      <c r="FF50" s="115">
        <f t="shared" ref="FF50" si="2706">IF(FF49&gt;0,FF$17,0)</f>
        <v>0</v>
      </c>
      <c r="FG50" s="115">
        <f t="shared" ref="FG50" si="2707">IF(FG49&gt;0,FG$17,0)</f>
        <v>0</v>
      </c>
      <c r="FH50" s="115">
        <f t="shared" ref="FH50" si="2708">IF(FH49&gt;0,FH$17,0)</f>
        <v>0</v>
      </c>
      <c r="FI50" s="115">
        <f t="shared" ref="FI50" si="2709">IF(FI49&gt;0,FI$17,0)</f>
        <v>0</v>
      </c>
      <c r="FJ50" s="115">
        <f t="shared" ref="FJ50" si="2710">IF(FJ49&gt;0,FJ$17,0)</f>
        <v>0</v>
      </c>
      <c r="FK50" s="115">
        <f t="shared" ref="FK50" si="2711">IF(FK49&gt;0,FK$17,0)</f>
        <v>0</v>
      </c>
      <c r="FL50" s="115">
        <f t="shared" ref="FL50" si="2712">IF(FL49&gt;0,FL$17,0)</f>
        <v>0</v>
      </c>
      <c r="FM50" s="115">
        <f t="shared" ref="FM50" si="2713">IF(FM49&gt;0,FM$17,0)</f>
        <v>0</v>
      </c>
      <c r="FN50" s="115">
        <f t="shared" ref="FN50" si="2714">IF(FN49&gt;0,FN$17,0)</f>
        <v>0</v>
      </c>
      <c r="FO50" s="115">
        <f t="shared" ref="FO50" si="2715">IF(FO49&gt;0,FO$17,0)</f>
        <v>0</v>
      </c>
      <c r="FP50" s="115">
        <f t="shared" ref="FP50" si="2716">IF(FP49&gt;0,FP$17,0)</f>
        <v>0</v>
      </c>
      <c r="FQ50" s="115">
        <f t="shared" ref="FQ50" si="2717">IF(FQ49&gt;0,FQ$17,0)</f>
        <v>0</v>
      </c>
      <c r="FR50" s="115">
        <f t="shared" ref="FR50" si="2718">IF(FR49&gt;0,FR$17,0)</f>
        <v>0</v>
      </c>
      <c r="FS50" s="115">
        <f t="shared" ref="FS50" si="2719">IF(FS49&gt;0,FS$17,0)</f>
        <v>0</v>
      </c>
      <c r="FT50" s="115">
        <f t="shared" ref="FT50" si="2720">IF(FT49&gt;0,FT$17,0)</f>
        <v>0</v>
      </c>
      <c r="FU50" s="115">
        <f t="shared" ref="FU50" si="2721">IF(FU49&gt;0,FU$17,0)</f>
        <v>0</v>
      </c>
      <c r="FV50" s="115">
        <f t="shared" ref="FV50" si="2722">IF(FV49&gt;0,FV$17,0)</f>
        <v>0</v>
      </c>
      <c r="FW50" s="115">
        <f t="shared" ref="FW50" si="2723">IF(FW49&gt;0,FW$17,0)</f>
        <v>0</v>
      </c>
      <c r="FX50" s="115">
        <f t="shared" ref="FX50" si="2724">IF(FX49&gt;0,FX$17,0)</f>
        <v>0</v>
      </c>
      <c r="FY50" s="115">
        <f t="shared" ref="FY50" si="2725">IF(FY49&gt;0,FY$17,0)</f>
        <v>0</v>
      </c>
      <c r="FZ50" s="115">
        <f t="shared" ref="FZ50" si="2726">IF(FZ49&gt;0,FZ$17,0)</f>
        <v>0</v>
      </c>
      <c r="GA50" s="115">
        <f t="shared" ref="GA50" si="2727">IF(GA49&gt;0,GA$17,0)</f>
        <v>0</v>
      </c>
      <c r="GB50" s="115">
        <f t="shared" ref="GB50" si="2728">IF(GB49&gt;0,GB$17,0)</f>
        <v>0</v>
      </c>
      <c r="GC50" s="115">
        <f t="shared" ref="GC50" si="2729">IF(GC49&gt;0,GC$17,0)</f>
        <v>0</v>
      </c>
      <c r="GD50" s="115">
        <f t="shared" ref="GD50" si="2730">IF(GD49&gt;0,GD$17,0)</f>
        <v>0</v>
      </c>
      <c r="GE50" s="115">
        <f t="shared" ref="GE50" si="2731">IF(GE49&gt;0,GE$17,0)</f>
        <v>0</v>
      </c>
      <c r="GF50" s="115">
        <f t="shared" ref="GF50" si="2732">IF(GF49&gt;0,GF$17,0)</f>
        <v>0</v>
      </c>
      <c r="GG50" s="115">
        <f t="shared" ref="GG50" si="2733">IF(GG49&gt;0,GG$17,0)</f>
        <v>0</v>
      </c>
      <c r="GH50" s="115">
        <f t="shared" ref="GH50" si="2734">IF(GH49&gt;0,GH$17,0)</f>
        <v>0</v>
      </c>
      <c r="GI50" s="115">
        <f t="shared" ref="GI50" si="2735">IF(GI49&gt;0,GI$17,0)</f>
        <v>0</v>
      </c>
      <c r="GJ50" s="115">
        <f t="shared" ref="GJ50" si="2736">IF(GJ49&gt;0,GJ$17,0)</f>
        <v>0</v>
      </c>
      <c r="GK50" s="115">
        <f t="shared" ref="GK50" si="2737">IF(GK49&gt;0,GK$17,0)</f>
        <v>0</v>
      </c>
      <c r="GL50" s="115">
        <f t="shared" ref="GL50" si="2738">IF(GL49&gt;0,GL$17,0)</f>
        <v>0</v>
      </c>
      <c r="GM50" s="115">
        <f t="shared" ref="GM50" si="2739">IF(GM49&gt;0,GM$17,0)</f>
        <v>0</v>
      </c>
      <c r="GN50" s="115">
        <f t="shared" ref="GN50" si="2740">IF(GN49&gt;0,GN$17,0)</f>
        <v>0</v>
      </c>
      <c r="GO50" s="115">
        <f t="shared" ref="GO50" si="2741">IF(GO49&gt;0,GO$17,0)</f>
        <v>0</v>
      </c>
      <c r="GP50" s="115">
        <f t="shared" ref="GP50" si="2742">IF(GP49&gt;0,GP$17,0)</f>
        <v>0</v>
      </c>
      <c r="GQ50" s="115">
        <f t="shared" ref="GQ50" si="2743">IF(GQ49&gt;0,GQ$17,0)</f>
        <v>0</v>
      </c>
      <c r="GR50" s="115">
        <f t="shared" ref="GR50" si="2744">IF(GR49&gt;0,GR$17,0)</f>
        <v>0</v>
      </c>
      <c r="GS50" s="115">
        <f t="shared" ref="GS50" si="2745">IF(GS49&gt;0,GS$17,0)</f>
        <v>0</v>
      </c>
      <c r="GT50" s="115">
        <f t="shared" ref="GT50" si="2746">IF(GT49&gt;0,GT$17,0)</f>
        <v>0</v>
      </c>
      <c r="GU50" s="115">
        <f t="shared" ref="GU50" si="2747">IF(GU49&gt;0,GU$17,0)</f>
        <v>0</v>
      </c>
      <c r="GV50" s="115">
        <f t="shared" ref="GV50" si="2748">IF(GV49&gt;0,GV$17,0)</f>
        <v>0</v>
      </c>
      <c r="GW50" s="115">
        <f t="shared" ref="GW50" si="2749">IF(GW49&gt;0,GW$17,0)</f>
        <v>0</v>
      </c>
      <c r="GX50" s="115">
        <f t="shared" ref="GX50" si="2750">IF(GX49&gt;0,GX$17,0)</f>
        <v>0</v>
      </c>
      <c r="GY50" s="115">
        <f t="shared" ref="GY50" si="2751">IF(GY49&gt;0,GY$17,0)</f>
        <v>0</v>
      </c>
      <c r="GZ50" s="115">
        <f t="shared" ref="GZ50" si="2752">IF(GZ49&gt;0,GZ$17,0)</f>
        <v>0</v>
      </c>
      <c r="HA50" s="115">
        <f t="shared" ref="HA50" si="2753">IF(HA49&gt;0,HA$17,0)</f>
        <v>0</v>
      </c>
      <c r="HB50" s="115">
        <f t="shared" ref="HB50" si="2754">IF(HB49&gt;0,HB$17,0)</f>
        <v>0</v>
      </c>
      <c r="HC50" s="115">
        <f t="shared" ref="HC50" si="2755">IF(HC49&gt;0,HC$17,0)</f>
        <v>0</v>
      </c>
      <c r="HD50" s="115">
        <f t="shared" ref="HD50" si="2756">IF(HD49&gt;0,HD$17,0)</f>
        <v>0</v>
      </c>
      <c r="HE50" s="115">
        <f t="shared" ref="HE50" si="2757">IF(HE49&gt;0,HE$17,0)</f>
        <v>0</v>
      </c>
      <c r="HF50" s="115">
        <f t="shared" ref="HF50" si="2758">IF(HF49&gt;0,HF$17,0)</f>
        <v>0</v>
      </c>
      <c r="HG50" s="115">
        <f t="shared" ref="HG50" si="2759">IF(HG49&gt;0,HG$17,0)</f>
        <v>0</v>
      </c>
      <c r="HH50" s="115">
        <f t="shared" ref="HH50" si="2760">IF(HH49&gt;0,HH$17,0)</f>
        <v>0</v>
      </c>
      <c r="HI50" s="115">
        <f t="shared" ref="HI50" si="2761">IF(HI49&gt;0,HI$17,0)</f>
        <v>0</v>
      </c>
      <c r="HJ50" s="115">
        <f t="shared" ref="HJ50" si="2762">IF(HJ49&gt;0,HJ$17,0)</f>
        <v>0</v>
      </c>
      <c r="HK50" s="115">
        <f t="shared" ref="HK50" si="2763">IF(HK49&gt;0,HK$17,0)</f>
        <v>0</v>
      </c>
      <c r="HL50" s="115">
        <f t="shared" ref="HL50" si="2764">IF(HL49&gt;0,HL$17,0)</f>
        <v>0</v>
      </c>
      <c r="HM50" s="115">
        <f t="shared" ref="HM50" si="2765">IF(HM49&gt;0,HM$17,0)</f>
        <v>0</v>
      </c>
      <c r="HN50" s="115">
        <f t="shared" ref="HN50" si="2766">IF(HN49&gt;0,HN$17,0)</f>
        <v>0</v>
      </c>
      <c r="HO50" s="115">
        <f t="shared" ref="HO50" si="2767">IF(HO49&gt;0,HO$17,0)</f>
        <v>0</v>
      </c>
      <c r="HP50" s="115">
        <f t="shared" ref="HP50" si="2768">IF(HP49&gt;0,HP$17,0)</f>
        <v>0</v>
      </c>
      <c r="HQ50" s="115">
        <f t="shared" ref="HQ50" si="2769">IF(HQ49&gt;0,HQ$17,0)</f>
        <v>0</v>
      </c>
      <c r="HR50" s="115">
        <f t="shared" ref="HR50" si="2770">IF(HR49&gt;0,HR$17,0)</f>
        <v>0</v>
      </c>
      <c r="HS50" s="115">
        <f t="shared" ref="HS50" si="2771">IF(HS49&gt;0,HS$17,0)</f>
        <v>0</v>
      </c>
      <c r="HT50" s="115">
        <f t="shared" ref="HT50" si="2772">IF(HT49&gt;0,HT$17,0)</f>
        <v>0</v>
      </c>
      <c r="HU50" s="115">
        <f t="shared" ref="HU50" si="2773">IF(HU49&gt;0,HU$17,0)</f>
        <v>0</v>
      </c>
      <c r="HV50" s="115">
        <f t="shared" ref="HV50" si="2774">IF(HV49&gt;0,HV$17,0)</f>
        <v>0</v>
      </c>
      <c r="HW50" s="115">
        <f t="shared" ref="HW50" si="2775">IF(HW49&gt;0,HW$17,0)</f>
        <v>0</v>
      </c>
      <c r="HX50" s="115">
        <f t="shared" ref="HX50" si="2776">IF(HX49&gt;0,HX$17,0)</f>
        <v>0</v>
      </c>
      <c r="HY50" s="115">
        <f t="shared" ref="HY50" si="2777">IF(HY49&gt;0,HY$17,0)</f>
        <v>0</v>
      </c>
      <c r="HZ50" s="115">
        <f t="shared" ref="HZ50" si="2778">IF(HZ49&gt;0,HZ$17,0)</f>
        <v>0</v>
      </c>
      <c r="IA50" s="115">
        <f t="shared" ref="IA50" si="2779">IF(IA49&gt;0,IA$17,0)</f>
        <v>0</v>
      </c>
      <c r="IB50" s="115">
        <f t="shared" ref="IB50" si="2780">IF(IB49&gt;0,IB$17,0)</f>
        <v>0</v>
      </c>
      <c r="IC50" s="115">
        <f t="shared" ref="IC50" si="2781">IF(IC49&gt;0,IC$17,0)</f>
        <v>0</v>
      </c>
      <c r="ID50" s="115">
        <f t="shared" ref="ID50" si="2782">IF(ID49&gt;0,ID$17,0)</f>
        <v>0</v>
      </c>
      <c r="IE50" s="115">
        <f t="shared" ref="IE50" si="2783">IF(IE49&gt;0,IE$17,0)</f>
        <v>0</v>
      </c>
      <c r="IF50" s="115">
        <f t="shared" ref="IF50" si="2784">IF(IF49&gt;0,IF$17,0)</f>
        <v>0</v>
      </c>
      <c r="IG50" s="115">
        <f t="shared" ref="IG50" si="2785">IF(IG49&gt;0,IG$17,0)</f>
        <v>0</v>
      </c>
      <c r="IH50" s="115">
        <f t="shared" ref="IH50" si="2786">IF(IH49&gt;0,IH$17,0)</f>
        <v>0</v>
      </c>
      <c r="II50" s="115">
        <f t="shared" ref="II50" si="2787">IF(II49&gt;0,II$17,0)</f>
        <v>0</v>
      </c>
      <c r="IJ50" s="115">
        <f t="shared" ref="IJ50" si="2788">IF(IJ49&gt;0,IJ$17,0)</f>
        <v>0</v>
      </c>
      <c r="IK50" s="115">
        <f t="shared" ref="IK50" si="2789">IF(IK49&gt;0,IK$17,0)</f>
        <v>0</v>
      </c>
      <c r="IL50" s="115">
        <f t="shared" ref="IL50" si="2790">IF(IL49&gt;0,IL$17,0)</f>
        <v>0</v>
      </c>
      <c r="IM50" s="115">
        <f t="shared" ref="IM50" si="2791">IF(IM49&gt;0,IM$17,0)</f>
        <v>0</v>
      </c>
      <c r="IN50" s="115">
        <f t="shared" ref="IN50" si="2792">IF(IN49&gt;0,IN$17,0)</f>
        <v>0</v>
      </c>
      <c r="IO50" s="115">
        <f t="shared" ref="IO50" si="2793">IF(IO49&gt;0,IO$17,0)</f>
        <v>0</v>
      </c>
      <c r="IP50" s="115">
        <f t="shared" ref="IP50" si="2794">IF(IP49&gt;0,IP$17,0)</f>
        <v>0</v>
      </c>
      <c r="IQ50" s="115">
        <f t="shared" ref="IQ50" si="2795">IF(IQ49&gt;0,IQ$17,0)</f>
        <v>0</v>
      </c>
      <c r="IR50" s="115">
        <f t="shared" ref="IR50" si="2796">IF(IR49&gt;0,IR$17,0)</f>
        <v>0</v>
      </c>
      <c r="IS50" s="115">
        <f t="shared" ref="IS50" si="2797">IF(IS49&gt;0,IS$17,0)</f>
        <v>0</v>
      </c>
      <c r="IT50" s="115">
        <f t="shared" ref="IT50" si="2798">IF(IT49&gt;0,IT$17,0)</f>
        <v>0</v>
      </c>
      <c r="IU50" s="115">
        <f t="shared" ref="IU50" si="2799">IF(IU49&gt;0,IU$17,0)</f>
        <v>0</v>
      </c>
      <c r="IV50" s="115">
        <f t="shared" ref="IV50" si="2800">IF(IV49&gt;0,IV$17,0)</f>
        <v>0</v>
      </c>
      <c r="IW50" s="115">
        <f t="shared" ref="IW50" si="2801">IF(IW49&gt;0,IW$17,0)</f>
        <v>0</v>
      </c>
      <c r="IX50" s="115">
        <f t="shared" ref="IX50" si="2802">IF(IX49&gt;0,IX$17,0)</f>
        <v>0</v>
      </c>
      <c r="IY50" s="115">
        <f t="shared" ref="IY50" si="2803">IF(IY49&gt;0,IY$17,0)</f>
        <v>0</v>
      </c>
      <c r="IZ50" s="115">
        <f t="shared" ref="IZ50" si="2804">IF(IZ49&gt;0,IZ$17,0)</f>
        <v>0</v>
      </c>
      <c r="JA50" s="115">
        <f t="shared" ref="JA50" si="2805">IF(JA49&gt;0,JA$17,0)</f>
        <v>0</v>
      </c>
      <c r="JB50" s="115">
        <f t="shared" ref="JB50" si="2806">IF(JB49&gt;0,JB$17,0)</f>
        <v>0</v>
      </c>
      <c r="JC50" s="115">
        <f t="shared" ref="JC50" si="2807">IF(JC49&gt;0,JC$17,0)</f>
        <v>0</v>
      </c>
      <c r="JD50" s="115">
        <f t="shared" ref="JD50" si="2808">IF(JD49&gt;0,JD$17,0)</f>
        <v>0</v>
      </c>
      <c r="JE50" s="115">
        <f t="shared" ref="JE50" si="2809">IF(JE49&gt;0,JE$17,0)</f>
        <v>0</v>
      </c>
      <c r="JF50" s="115">
        <f t="shared" ref="JF50" si="2810">IF(JF49&gt;0,JF$17,0)</f>
        <v>0</v>
      </c>
      <c r="JG50" s="115">
        <f t="shared" ref="JG50" si="2811">IF(JG49&gt;0,JG$17,0)</f>
        <v>0</v>
      </c>
      <c r="JH50" s="115">
        <f t="shared" ref="JH50" si="2812">IF(JH49&gt;0,JH$17,0)</f>
        <v>0</v>
      </c>
      <c r="JI50" s="115">
        <f t="shared" ref="JI50" si="2813">IF(JI49&gt;0,JI$17,0)</f>
        <v>0</v>
      </c>
      <c r="JJ50" s="115">
        <f t="shared" ref="JJ50" si="2814">IF(JJ49&gt;0,JJ$17,0)</f>
        <v>0</v>
      </c>
      <c r="JK50" s="115">
        <f t="shared" ref="JK50" si="2815">IF(JK49&gt;0,JK$17,0)</f>
        <v>0</v>
      </c>
      <c r="JL50" s="115">
        <f t="shared" ref="JL50" si="2816">IF(JL49&gt;0,JL$17,0)</f>
        <v>0</v>
      </c>
      <c r="JM50" s="115">
        <f t="shared" ref="JM50" si="2817">IF(JM49&gt;0,JM$17,0)</f>
        <v>0</v>
      </c>
      <c r="JN50" s="115">
        <f t="shared" ref="JN50" si="2818">IF(JN49&gt;0,JN$17,0)</f>
        <v>0</v>
      </c>
      <c r="JO50" s="115">
        <f t="shared" ref="JO50" si="2819">IF(JO49&gt;0,JO$17,0)</f>
        <v>0</v>
      </c>
      <c r="JP50" s="115">
        <f t="shared" ref="JP50" si="2820">IF(JP49&gt;0,JP$17,0)</f>
        <v>0</v>
      </c>
      <c r="JQ50" s="115">
        <f t="shared" ref="JQ50" si="2821">IF(JQ49&gt;0,JQ$17,0)</f>
        <v>0</v>
      </c>
      <c r="JR50" s="115">
        <f t="shared" ref="JR50" si="2822">IF(JR49&gt;0,JR$17,0)</f>
        <v>0</v>
      </c>
      <c r="JS50" s="115">
        <f t="shared" ref="JS50" si="2823">IF(JS49&gt;0,JS$17,0)</f>
        <v>0</v>
      </c>
      <c r="JT50" s="115">
        <f t="shared" ref="JT50" si="2824">IF(JT49&gt;0,JT$17,0)</f>
        <v>0</v>
      </c>
      <c r="JU50" s="115">
        <f t="shared" ref="JU50" si="2825">IF(JU49&gt;0,JU$17,0)</f>
        <v>0</v>
      </c>
      <c r="JV50" s="115">
        <f t="shared" ref="JV50" si="2826">IF(JV49&gt;0,JV$17,0)</f>
        <v>0</v>
      </c>
      <c r="JW50" s="115">
        <f t="shared" ref="JW50" si="2827">IF(JW49&gt;0,JW$17,0)</f>
        <v>0</v>
      </c>
      <c r="JX50" s="115">
        <f t="shared" ref="JX50" si="2828">IF(JX49&gt;0,JX$17,0)</f>
        <v>0</v>
      </c>
      <c r="JY50" s="115">
        <f t="shared" ref="JY50" si="2829">IF(JY49&gt;0,JY$17,0)</f>
        <v>0</v>
      </c>
      <c r="JZ50" s="115">
        <f t="shared" ref="JZ50" si="2830">IF(JZ49&gt;0,JZ$17,0)</f>
        <v>0</v>
      </c>
      <c r="KA50" s="115">
        <f t="shared" ref="KA50" si="2831">IF(KA49&gt;0,KA$17,0)</f>
        <v>0</v>
      </c>
      <c r="KB50" s="115">
        <f t="shared" ref="KB50" si="2832">IF(KB49&gt;0,KB$17,0)</f>
        <v>0</v>
      </c>
      <c r="KC50" s="115">
        <f t="shared" ref="KC50" si="2833">IF(KC49&gt;0,KC$17,0)</f>
        <v>0</v>
      </c>
      <c r="KD50" s="115">
        <f t="shared" ref="KD50" si="2834">IF(KD49&gt;0,KD$17,0)</f>
        <v>0</v>
      </c>
      <c r="KE50" s="115">
        <f t="shared" ref="KE50" si="2835">IF(KE49&gt;0,KE$17,0)</f>
        <v>0</v>
      </c>
      <c r="KF50" s="115">
        <f t="shared" ref="KF50" si="2836">IF(KF49&gt;0,KF$17,0)</f>
        <v>0</v>
      </c>
      <c r="KG50" s="115">
        <f t="shared" ref="KG50" si="2837">IF(KG49&gt;0,KG$17,0)</f>
        <v>0</v>
      </c>
      <c r="KH50" s="115">
        <f t="shared" ref="KH50" si="2838">IF(KH49&gt;0,KH$17,0)</f>
        <v>0</v>
      </c>
      <c r="KI50" s="115">
        <f t="shared" ref="KI50" si="2839">IF(KI49&gt;0,KI$17,0)</f>
        <v>0</v>
      </c>
      <c r="KJ50" s="115">
        <f t="shared" ref="KJ50" si="2840">IF(KJ49&gt;0,KJ$17,0)</f>
        <v>0</v>
      </c>
      <c r="KK50" s="115">
        <f t="shared" ref="KK50" si="2841">IF(KK49&gt;0,KK$17,0)</f>
        <v>0</v>
      </c>
      <c r="KL50" s="115">
        <f t="shared" ref="KL50" si="2842">IF(KL49&gt;0,KL$17,0)</f>
        <v>0</v>
      </c>
      <c r="KM50" s="115">
        <f t="shared" ref="KM50" si="2843">IF(KM49&gt;0,KM$17,0)</f>
        <v>0</v>
      </c>
      <c r="KN50" s="115">
        <f t="shared" ref="KN50" si="2844">IF(KN49&gt;0,KN$17,0)</f>
        <v>0</v>
      </c>
      <c r="KO50" s="115">
        <f t="shared" ref="KO50" si="2845">IF(KO49&gt;0,KO$17,0)</f>
        <v>0</v>
      </c>
      <c r="KP50" s="115">
        <f t="shared" ref="KP50" si="2846">IF(KP49&gt;0,KP$17,0)</f>
        <v>0</v>
      </c>
      <c r="KQ50" s="115">
        <f t="shared" ref="KQ50" si="2847">IF(KQ49&gt;0,KQ$17,0)</f>
        <v>0</v>
      </c>
      <c r="KR50" s="115">
        <f t="shared" ref="KR50" si="2848">IF(KR49&gt;0,KR$17,0)</f>
        <v>0</v>
      </c>
      <c r="KS50" s="115">
        <f t="shared" ref="KS50" si="2849">IF(KS49&gt;0,KS$17,0)</f>
        <v>0</v>
      </c>
      <c r="KT50" s="115">
        <f t="shared" ref="KT50" si="2850">IF(KT49&gt;0,KT$17,0)</f>
        <v>0</v>
      </c>
      <c r="KU50" s="115">
        <f t="shared" ref="KU50" si="2851">IF(KU49&gt;0,KU$17,0)</f>
        <v>0</v>
      </c>
      <c r="KV50" s="115">
        <f t="shared" ref="KV50" si="2852">IF(KV49&gt;0,KV$17,0)</f>
        <v>0</v>
      </c>
      <c r="KW50" s="115">
        <f t="shared" ref="KW50" si="2853">IF(KW49&gt;0,KW$17,0)</f>
        <v>0</v>
      </c>
      <c r="KX50" s="115">
        <f t="shared" ref="KX50" si="2854">IF(KX49&gt;0,KX$17,0)</f>
        <v>0</v>
      </c>
      <c r="KY50" s="115">
        <f t="shared" ref="KY50" si="2855">IF(KY49&gt;0,KY$17,0)</f>
        <v>0</v>
      </c>
      <c r="KZ50" s="115">
        <f t="shared" ref="KZ50" si="2856">IF(KZ49&gt;0,KZ$17,0)</f>
        <v>0</v>
      </c>
      <c r="LA50" s="115">
        <f t="shared" ref="LA50" si="2857">IF(LA49&gt;0,LA$17,0)</f>
        <v>0</v>
      </c>
      <c r="LB50" s="115">
        <f t="shared" ref="LB50" si="2858">IF(LB49&gt;0,LB$17,0)</f>
        <v>0</v>
      </c>
      <c r="LC50" s="115">
        <f t="shared" ref="LC50" si="2859">IF(LC49&gt;0,LC$17,0)</f>
        <v>0</v>
      </c>
      <c r="LD50" s="115">
        <f t="shared" ref="LD50" si="2860">IF(LD49&gt;0,LD$17,0)</f>
        <v>0</v>
      </c>
      <c r="LE50" s="115">
        <f t="shared" ref="LE50" si="2861">IF(LE49&gt;0,LE$17,0)</f>
        <v>0</v>
      </c>
      <c r="LF50" s="115">
        <f t="shared" ref="LF50" si="2862">IF(LF49&gt;0,LF$17,0)</f>
        <v>0</v>
      </c>
      <c r="LG50" s="115">
        <f t="shared" ref="LG50" si="2863">IF(LG49&gt;0,LG$17,0)</f>
        <v>0</v>
      </c>
      <c r="LH50" s="115">
        <f t="shared" ref="LH50" si="2864">IF(LH49&gt;0,LH$17,0)</f>
        <v>0</v>
      </c>
      <c r="LI50" s="115">
        <f t="shared" ref="LI50" si="2865">IF(LI49&gt;0,LI$17,0)</f>
        <v>0</v>
      </c>
      <c r="LJ50" s="115">
        <f t="shared" ref="LJ50" si="2866">IF(LJ49&gt;0,LJ$17,0)</f>
        <v>0</v>
      </c>
      <c r="LK50" s="115">
        <f t="shared" ref="LK50" si="2867">IF(LK49&gt;0,LK$17,0)</f>
        <v>0</v>
      </c>
      <c r="LL50" s="115">
        <f t="shared" ref="LL50" si="2868">IF(LL49&gt;0,LL$17,0)</f>
        <v>0</v>
      </c>
      <c r="LM50" s="115">
        <f t="shared" ref="LM50" si="2869">IF(LM49&gt;0,LM$17,0)</f>
        <v>0</v>
      </c>
      <c r="LN50" s="115">
        <f t="shared" ref="LN50" si="2870">IF(LN49&gt;0,LN$17,0)</f>
        <v>0</v>
      </c>
      <c r="LO50" s="115">
        <f t="shared" ref="LO50" si="2871">IF(LO49&gt;0,LO$17,0)</f>
        <v>0</v>
      </c>
      <c r="LP50" s="115">
        <f t="shared" ref="LP50" si="2872">IF(LP49&gt;0,LP$17,0)</f>
        <v>0</v>
      </c>
      <c r="LQ50" s="115">
        <f t="shared" ref="LQ50" si="2873">IF(LQ49&gt;0,LQ$17,0)</f>
        <v>0</v>
      </c>
      <c r="LR50" s="115">
        <f t="shared" ref="LR50" si="2874">IF(LR49&gt;0,LR$17,0)</f>
        <v>0</v>
      </c>
      <c r="LS50" s="115">
        <f t="shared" ref="LS50" si="2875">IF(LS49&gt;0,LS$17,0)</f>
        <v>0</v>
      </c>
      <c r="LT50" s="115">
        <f t="shared" ref="LT50" si="2876">IF(LT49&gt;0,LT$17,0)</f>
        <v>0</v>
      </c>
      <c r="LU50" s="115">
        <f t="shared" ref="LU50" si="2877">IF(LU49&gt;0,LU$17,0)</f>
        <v>0</v>
      </c>
      <c r="LV50" s="115">
        <f t="shared" ref="LV50" si="2878">IF(LV49&gt;0,LV$17,0)</f>
        <v>0</v>
      </c>
      <c r="LW50" s="115">
        <f t="shared" ref="LW50" si="2879">IF(LW49&gt;0,LW$17,0)</f>
        <v>0</v>
      </c>
      <c r="LX50" s="115">
        <f t="shared" ref="LX50" si="2880">IF(LX49&gt;0,LX$17,0)</f>
        <v>0</v>
      </c>
      <c r="LY50" s="115">
        <f t="shared" ref="LY50" si="2881">IF(LY49&gt;0,LY$17,0)</f>
        <v>0</v>
      </c>
      <c r="LZ50" s="115">
        <f t="shared" ref="LZ50" si="2882">IF(LZ49&gt;0,LZ$17,0)</f>
        <v>0</v>
      </c>
      <c r="MA50" s="115">
        <f t="shared" ref="MA50" si="2883">IF(MA49&gt;0,MA$17,0)</f>
        <v>0</v>
      </c>
      <c r="MB50" s="115">
        <f t="shared" ref="MB50" si="2884">IF(MB49&gt;0,MB$17,0)</f>
        <v>0</v>
      </c>
      <c r="MC50" s="115">
        <f t="shared" ref="MC50" si="2885">IF(MC49&gt;0,MC$17,0)</f>
        <v>0</v>
      </c>
      <c r="MD50" s="115">
        <f t="shared" ref="MD50" si="2886">IF(MD49&gt;0,MD$17,0)</f>
        <v>0</v>
      </c>
      <c r="ME50" s="115">
        <f t="shared" ref="ME50" si="2887">IF(ME49&gt;0,ME$17,0)</f>
        <v>0</v>
      </c>
      <c r="MF50" s="115">
        <f t="shared" ref="MF50" si="2888">IF(MF49&gt;0,MF$17,0)</f>
        <v>0</v>
      </c>
      <c r="MG50" s="115">
        <f t="shared" ref="MG50" si="2889">IF(MG49&gt;0,MG$17,0)</f>
        <v>0</v>
      </c>
      <c r="MH50" s="115">
        <f t="shared" ref="MH50" si="2890">IF(MH49&gt;0,MH$17,0)</f>
        <v>0</v>
      </c>
      <c r="MI50" s="115">
        <f t="shared" ref="MI50" si="2891">IF(MI49&gt;0,MI$17,0)</f>
        <v>0</v>
      </c>
      <c r="MJ50" s="115">
        <f t="shared" ref="MJ50" si="2892">IF(MJ49&gt;0,MJ$17,0)</f>
        <v>0</v>
      </c>
      <c r="MK50" s="115">
        <f t="shared" ref="MK50" si="2893">IF(MK49&gt;0,MK$17,0)</f>
        <v>0</v>
      </c>
      <c r="ML50" s="115">
        <f t="shared" ref="ML50" si="2894">IF(ML49&gt;0,ML$17,0)</f>
        <v>0</v>
      </c>
      <c r="MM50" s="115">
        <f t="shared" ref="MM50" si="2895">IF(MM49&gt;0,MM$17,0)</f>
        <v>0</v>
      </c>
      <c r="MN50" s="115">
        <f t="shared" ref="MN50" si="2896">IF(MN49&gt;0,MN$17,0)</f>
        <v>0</v>
      </c>
      <c r="MO50" s="115">
        <f t="shared" ref="MO50" si="2897">IF(MO49&gt;0,MO$17,0)</f>
        <v>0</v>
      </c>
      <c r="MP50" s="115">
        <f t="shared" ref="MP50" si="2898">IF(MP49&gt;0,MP$17,0)</f>
        <v>0</v>
      </c>
      <c r="MQ50" s="115">
        <f t="shared" ref="MQ50" si="2899">IF(MQ49&gt;0,MQ$17,0)</f>
        <v>0</v>
      </c>
      <c r="MR50" s="115">
        <f t="shared" ref="MR50" si="2900">IF(MR49&gt;0,MR$17,0)</f>
        <v>0</v>
      </c>
      <c r="MS50" s="115">
        <f t="shared" ref="MS50" si="2901">IF(MS49&gt;0,MS$17,0)</f>
        <v>0</v>
      </c>
      <c r="MT50" s="115">
        <f t="shared" ref="MT50" si="2902">IF(MT49&gt;0,MT$17,0)</f>
        <v>0</v>
      </c>
      <c r="MU50" s="115">
        <f t="shared" ref="MU50" si="2903">IF(MU49&gt;0,MU$17,0)</f>
        <v>0</v>
      </c>
      <c r="MV50" s="115">
        <f t="shared" ref="MV50" si="2904">IF(MV49&gt;0,MV$17,0)</f>
        <v>0</v>
      </c>
      <c r="MW50" s="115">
        <f t="shared" ref="MW50" si="2905">IF(MW49&gt;0,MW$17,0)</f>
        <v>0</v>
      </c>
      <c r="MX50" s="115">
        <f t="shared" ref="MX50" si="2906">IF(MX49&gt;0,MX$17,0)</f>
        <v>0</v>
      </c>
      <c r="MY50" s="115">
        <f t="shared" ref="MY50" si="2907">IF(MY49&gt;0,MY$17,0)</f>
        <v>0</v>
      </c>
      <c r="MZ50" s="115">
        <f t="shared" ref="MZ50" si="2908">IF(MZ49&gt;0,MZ$17,0)</f>
        <v>0</v>
      </c>
      <c r="NA50" s="115">
        <f t="shared" ref="NA50" si="2909">IF(NA49&gt;0,NA$17,0)</f>
        <v>0</v>
      </c>
      <c r="NB50" s="115">
        <f t="shared" ref="NB50" si="2910">IF(NB49&gt;0,NB$17,0)</f>
        <v>0</v>
      </c>
      <c r="NC50" s="115">
        <f t="shared" ref="NC50" si="2911">IF(NC49&gt;0,NC$17,0)</f>
        <v>0</v>
      </c>
      <c r="ND50" s="115">
        <f t="shared" ref="ND50" si="2912">IF(ND49&gt;0,ND$17,0)</f>
        <v>0</v>
      </c>
      <c r="NE50" s="115">
        <f t="shared" ref="NE50" si="2913">IF(NE49&gt;0,NE$17,0)</f>
        <v>0</v>
      </c>
      <c r="NF50" s="115">
        <f t="shared" ref="NF50" si="2914">IF(NF49&gt;0,NF$17,0)</f>
        <v>0</v>
      </c>
      <c r="NG50" s="115">
        <f t="shared" ref="NG50" si="2915">IF(NG49&gt;0,NG$17,0)</f>
        <v>0</v>
      </c>
      <c r="NH50" s="115">
        <f t="shared" ref="NH50" si="2916">IF(NH49&gt;0,NH$17,0)</f>
        <v>0</v>
      </c>
      <c r="NI50" s="115">
        <f t="shared" ref="NI50" si="2917">IF(NI49&gt;0,NI$17,0)</f>
        <v>0</v>
      </c>
      <c r="NJ50" s="115">
        <f t="shared" ref="NJ50" si="2918">IF(NJ49&gt;0,NJ$17,0)</f>
        <v>0</v>
      </c>
      <c r="NK50" s="115">
        <f t="shared" ref="NK50" si="2919">IF(NK49&gt;0,NK$17,0)</f>
        <v>0</v>
      </c>
      <c r="NL50" s="115">
        <f t="shared" ref="NL50" si="2920">IF(NL49&gt;0,NL$17,0)</f>
        <v>0</v>
      </c>
      <c r="NM50" s="115">
        <f t="shared" ref="NM50" si="2921">IF(NM49&gt;0,NM$17,0)</f>
        <v>0</v>
      </c>
      <c r="NN50" s="115">
        <f t="shared" ref="NN50" si="2922">IF(NN49&gt;0,NN$17,0)</f>
        <v>0</v>
      </c>
      <c r="NO50" s="115">
        <f t="shared" ref="NO50" si="2923">IF(NO49&gt;0,NO$17,0)</f>
        <v>0</v>
      </c>
      <c r="NP50" s="115">
        <f t="shared" ref="NP50" si="2924">IF(NP49&gt;0,NP$17,0)</f>
        <v>0</v>
      </c>
      <c r="NQ50" s="115">
        <f t="shared" ref="NQ50" si="2925">IF(NQ49&gt;0,NQ$17,0)</f>
        <v>0</v>
      </c>
      <c r="NR50" s="115">
        <f t="shared" ref="NR50" si="2926">IF(NR49&gt;0,NR$17,0)</f>
        <v>0</v>
      </c>
      <c r="NS50" s="115">
        <f t="shared" ref="NS50" si="2927">IF(NS49&gt;0,NS$17,0)</f>
        <v>0</v>
      </c>
      <c r="NT50" s="115">
        <f t="shared" ref="NT50" si="2928">IF(NT49&gt;0,NT$17,0)</f>
        <v>0</v>
      </c>
      <c r="NU50" s="115">
        <f t="shared" ref="NU50" si="2929">IF(NU49&gt;0,NU$17,0)</f>
        <v>0</v>
      </c>
      <c r="NV50" s="115">
        <f t="shared" ref="NV50" si="2930">IF(NV49&gt;0,NV$17,0)</f>
        <v>0</v>
      </c>
      <c r="NW50" s="115">
        <f t="shared" ref="NW50" si="2931">IF(NW49&gt;0,NW$17,0)</f>
        <v>0</v>
      </c>
      <c r="NX50" s="115">
        <f t="shared" ref="NX50" si="2932">IF(NX49&gt;0,NX$17,0)</f>
        <v>0</v>
      </c>
      <c r="NY50" s="115">
        <f t="shared" ref="NY50" si="2933">IF(NY49&gt;0,NY$17,0)</f>
        <v>0</v>
      </c>
      <c r="NZ50" s="115">
        <f t="shared" ref="NZ50" si="2934">IF(NZ49&gt;0,NZ$17,0)</f>
        <v>0</v>
      </c>
      <c r="OA50" s="115">
        <f t="shared" ref="OA50" si="2935">IF(OA49&gt;0,OA$17,0)</f>
        <v>0</v>
      </c>
      <c r="OB50" s="115">
        <f t="shared" ref="OB50" si="2936">IF(OB49&gt;0,OB$17,0)</f>
        <v>0</v>
      </c>
      <c r="OC50" s="115">
        <f t="shared" ref="OC50" si="2937">IF(OC49&gt;0,OC$17,0)</f>
        <v>0</v>
      </c>
      <c r="OD50" s="115">
        <f t="shared" ref="OD50" si="2938">IF(OD49&gt;0,OD$17,0)</f>
        <v>0</v>
      </c>
      <c r="OE50" s="115">
        <f t="shared" ref="OE50" si="2939">IF(OE49&gt;0,OE$17,0)</f>
        <v>0</v>
      </c>
      <c r="OF50" s="115">
        <f t="shared" ref="OF50" si="2940">IF(OF49&gt;0,OF$17,0)</f>
        <v>0</v>
      </c>
      <c r="OG50" s="115">
        <f t="shared" ref="OG50" si="2941">IF(OG49&gt;0,OG$17,0)</f>
        <v>0</v>
      </c>
      <c r="OH50" s="115">
        <f t="shared" ref="OH50" si="2942">IF(OH49&gt;0,OH$17,0)</f>
        <v>0</v>
      </c>
      <c r="OI50" s="115">
        <f t="shared" ref="OI50" si="2943">IF(OI49&gt;0,OI$17,0)</f>
        <v>0</v>
      </c>
      <c r="OJ50" s="115">
        <f t="shared" ref="OJ50" si="2944">IF(OJ49&gt;0,OJ$17,0)</f>
        <v>0</v>
      </c>
      <c r="OK50" s="115">
        <f t="shared" ref="OK50" si="2945">IF(OK49&gt;0,OK$17,0)</f>
        <v>0</v>
      </c>
      <c r="OL50" s="115">
        <f t="shared" ref="OL50" si="2946">IF(OL49&gt;0,OL$17,0)</f>
        <v>0</v>
      </c>
      <c r="OM50" s="115">
        <f t="shared" ref="OM50" si="2947">IF(OM49&gt;0,OM$17,0)</f>
        <v>0</v>
      </c>
      <c r="ON50" s="115">
        <f t="shared" ref="ON50" si="2948">IF(ON49&gt;0,ON$17,0)</f>
        <v>0</v>
      </c>
      <c r="OO50" s="115">
        <f t="shared" ref="OO50" si="2949">IF(OO49&gt;0,OO$17,0)</f>
        <v>0</v>
      </c>
      <c r="OP50" s="115">
        <f t="shared" ref="OP50" si="2950">IF(OP49&gt;0,OP$17,0)</f>
        <v>0</v>
      </c>
      <c r="OQ50" s="115">
        <f t="shared" ref="OQ50" si="2951">IF(OQ49&gt;0,OQ$17,0)</f>
        <v>0</v>
      </c>
      <c r="OR50" s="115">
        <f t="shared" ref="OR50" si="2952">IF(OR49&gt;0,OR$17,0)</f>
        <v>0</v>
      </c>
      <c r="OS50" s="115">
        <f t="shared" ref="OS50" si="2953">IF(OS49&gt;0,OS$17,0)</f>
        <v>0</v>
      </c>
      <c r="OT50" s="115">
        <f t="shared" ref="OT50" si="2954">IF(OT49&gt;0,OT$17,0)</f>
        <v>0</v>
      </c>
      <c r="OU50" s="115">
        <f t="shared" ref="OU50" si="2955">IF(OU49&gt;0,OU$17,0)</f>
        <v>0</v>
      </c>
      <c r="OV50" s="115">
        <f t="shared" ref="OV50" si="2956">IF(OV49&gt;0,OV$17,0)</f>
        <v>0</v>
      </c>
      <c r="OW50" s="115">
        <f t="shared" ref="OW50" si="2957">IF(OW49&gt;0,OW$17,0)</f>
        <v>0</v>
      </c>
      <c r="OX50" s="115">
        <f t="shared" ref="OX50" si="2958">IF(OX49&gt;0,OX$17,0)</f>
        <v>0</v>
      </c>
      <c r="OY50" s="115">
        <f t="shared" ref="OY50" si="2959">IF(OY49&gt;0,OY$17,0)</f>
        <v>0</v>
      </c>
      <c r="OZ50" s="115">
        <f t="shared" ref="OZ50" si="2960">IF(OZ49&gt;0,OZ$17,0)</f>
        <v>0</v>
      </c>
      <c r="PA50" s="115">
        <f t="shared" ref="PA50" si="2961">IF(PA49&gt;0,PA$17,0)</f>
        <v>0</v>
      </c>
      <c r="PB50" s="115">
        <f t="shared" ref="PB50" si="2962">IF(PB49&gt;0,PB$17,0)</f>
        <v>0</v>
      </c>
      <c r="PC50" s="115">
        <f t="shared" ref="PC50" si="2963">IF(PC49&gt;0,PC$17,0)</f>
        <v>0</v>
      </c>
      <c r="PD50" s="115">
        <f t="shared" ref="PD50" si="2964">IF(PD49&gt;0,PD$17,0)</f>
        <v>0</v>
      </c>
      <c r="PE50" s="115">
        <f t="shared" ref="PE50" si="2965">IF(PE49&gt;0,PE$17,0)</f>
        <v>0</v>
      </c>
      <c r="PF50" s="115">
        <f t="shared" ref="PF50" si="2966">IF(PF49&gt;0,PF$17,0)</f>
        <v>0</v>
      </c>
      <c r="PG50" s="115">
        <f t="shared" ref="PG50" si="2967">IF(PG49&gt;0,PG$17,0)</f>
        <v>0</v>
      </c>
      <c r="PH50" s="115">
        <f t="shared" ref="PH50" si="2968">IF(PH49&gt;0,PH$17,0)</f>
        <v>0</v>
      </c>
      <c r="PI50" s="115">
        <f t="shared" ref="PI50" si="2969">IF(PI49&gt;0,PI$17,0)</f>
        <v>0</v>
      </c>
      <c r="PJ50" s="115">
        <f t="shared" ref="PJ50" si="2970">IF(PJ49&gt;0,PJ$17,0)</f>
        <v>0</v>
      </c>
      <c r="PK50" s="115">
        <f t="shared" ref="PK50" si="2971">IF(PK49&gt;0,PK$17,0)</f>
        <v>0</v>
      </c>
      <c r="PL50" s="115">
        <f t="shared" ref="PL50" si="2972">IF(PL49&gt;0,PL$17,0)</f>
        <v>0</v>
      </c>
      <c r="PM50" s="115">
        <f t="shared" ref="PM50" si="2973">IF(PM49&gt;0,PM$17,0)</f>
        <v>0</v>
      </c>
      <c r="PN50" s="115">
        <f t="shared" ref="PN50" si="2974">IF(PN49&gt;0,PN$17,0)</f>
        <v>0</v>
      </c>
      <c r="PO50" s="115">
        <f t="shared" ref="PO50" si="2975">IF(PO49&gt;0,PO$17,0)</f>
        <v>0</v>
      </c>
      <c r="PP50" s="115">
        <f t="shared" ref="PP50" si="2976">IF(PP49&gt;0,PP$17,0)</f>
        <v>0</v>
      </c>
      <c r="PQ50" s="115">
        <f t="shared" ref="PQ50" si="2977">IF(PQ49&gt;0,PQ$17,0)</f>
        <v>0</v>
      </c>
      <c r="PR50" s="115">
        <f t="shared" ref="PR50" si="2978">IF(PR49&gt;0,PR$17,0)</f>
        <v>0</v>
      </c>
      <c r="PS50" s="115">
        <f t="shared" ref="PS50" si="2979">IF(PS49&gt;0,PS$17,0)</f>
        <v>0</v>
      </c>
      <c r="PT50" s="115">
        <f t="shared" ref="PT50" si="2980">IF(PT49&gt;0,PT$17,0)</f>
        <v>0</v>
      </c>
      <c r="PU50" s="115">
        <f t="shared" ref="PU50" si="2981">IF(PU49&gt;0,PU$17,0)</f>
        <v>0</v>
      </c>
      <c r="PV50" s="115">
        <f t="shared" ref="PV50" si="2982">IF(PV49&gt;0,PV$17,0)</f>
        <v>0</v>
      </c>
      <c r="PW50" s="115">
        <f t="shared" ref="PW50" si="2983">IF(PW49&gt;0,PW$17,0)</f>
        <v>0</v>
      </c>
      <c r="PX50" s="115">
        <f t="shared" ref="PX50" si="2984">IF(PX49&gt;0,PX$17,0)</f>
        <v>0</v>
      </c>
      <c r="PY50" s="115">
        <f t="shared" ref="PY50" si="2985">IF(PY49&gt;0,PY$17,0)</f>
        <v>0</v>
      </c>
      <c r="PZ50" s="115">
        <f t="shared" ref="PZ50" si="2986">IF(PZ49&gt;0,PZ$17,0)</f>
        <v>0</v>
      </c>
      <c r="QA50" s="115">
        <f t="shared" ref="QA50" si="2987">IF(QA49&gt;0,QA$17,0)</f>
        <v>0</v>
      </c>
      <c r="QB50" s="115">
        <f t="shared" ref="QB50" si="2988">IF(QB49&gt;0,QB$17,0)</f>
        <v>0</v>
      </c>
      <c r="QC50" s="115">
        <f t="shared" ref="QC50" si="2989">IF(QC49&gt;0,QC$17,0)</f>
        <v>0</v>
      </c>
      <c r="QD50" s="115">
        <f t="shared" ref="QD50" si="2990">IF(QD49&gt;0,QD$17,0)</f>
        <v>0</v>
      </c>
      <c r="QE50" s="115">
        <f t="shared" ref="QE50" si="2991">IF(QE49&gt;0,QE$17,0)</f>
        <v>0</v>
      </c>
      <c r="QF50" s="115">
        <f t="shared" ref="QF50" si="2992">IF(QF49&gt;0,QF$17,0)</f>
        <v>0</v>
      </c>
      <c r="QG50" s="115">
        <f t="shared" ref="QG50" si="2993">IF(QG49&gt;0,QG$17,0)</f>
        <v>0</v>
      </c>
      <c r="QH50" s="115">
        <f t="shared" ref="QH50" si="2994">IF(QH49&gt;0,QH$17,0)</f>
        <v>0</v>
      </c>
      <c r="QI50" s="115">
        <f t="shared" ref="QI50" si="2995">IF(QI49&gt;0,QI$17,0)</f>
        <v>0</v>
      </c>
      <c r="QJ50" s="115">
        <f t="shared" ref="QJ50" si="2996">IF(QJ49&gt;0,QJ$17,0)</f>
        <v>0</v>
      </c>
      <c r="QK50" s="115">
        <f t="shared" ref="QK50" si="2997">IF(QK49&gt;0,QK$17,0)</f>
        <v>0</v>
      </c>
      <c r="QL50" s="115">
        <f t="shared" ref="QL50" si="2998">IF(QL49&gt;0,QL$17,0)</f>
        <v>0</v>
      </c>
      <c r="QM50" s="115">
        <f t="shared" ref="QM50" si="2999">IF(QM49&gt;0,QM$17,0)</f>
        <v>0</v>
      </c>
      <c r="QN50" s="115">
        <f t="shared" ref="QN50" si="3000">IF(QN49&gt;0,QN$17,0)</f>
        <v>0</v>
      </c>
      <c r="QO50" s="115">
        <f t="shared" ref="QO50" si="3001">IF(QO49&gt;0,QO$17,0)</f>
        <v>0</v>
      </c>
      <c r="QP50" s="115">
        <f t="shared" ref="QP50" si="3002">IF(QP49&gt;0,QP$17,0)</f>
        <v>0</v>
      </c>
      <c r="QQ50" s="115">
        <f t="shared" ref="QQ50" si="3003">IF(QQ49&gt;0,QQ$17,0)</f>
        <v>0</v>
      </c>
      <c r="QR50" s="115">
        <f t="shared" ref="QR50" si="3004">IF(QR49&gt;0,QR$17,0)</f>
        <v>0</v>
      </c>
      <c r="QS50" s="115">
        <f t="shared" ref="QS50" si="3005">IF(QS49&gt;0,QS$17,0)</f>
        <v>0</v>
      </c>
      <c r="QT50" s="115">
        <f t="shared" ref="QT50" si="3006">IF(QT49&gt;0,QT$17,0)</f>
        <v>0</v>
      </c>
      <c r="QU50" s="115">
        <f t="shared" ref="QU50" si="3007">IF(QU49&gt;0,QU$17,0)</f>
        <v>0</v>
      </c>
      <c r="QV50" s="115">
        <f t="shared" ref="QV50" si="3008">IF(QV49&gt;0,QV$17,0)</f>
        <v>0</v>
      </c>
      <c r="QW50" s="115">
        <f t="shared" ref="QW50" si="3009">IF(QW49&gt;0,QW$17,0)</f>
        <v>0</v>
      </c>
      <c r="QX50" s="115">
        <f t="shared" ref="QX50" si="3010">IF(QX49&gt;0,QX$17,0)</f>
        <v>0</v>
      </c>
      <c r="QY50" s="115">
        <f t="shared" ref="QY50" si="3011">IF(QY49&gt;0,QY$17,0)</f>
        <v>0</v>
      </c>
      <c r="QZ50" s="115">
        <f t="shared" ref="QZ50" si="3012">IF(QZ49&gt;0,QZ$17,0)</f>
        <v>0</v>
      </c>
      <c r="RA50" s="115">
        <f t="shared" ref="RA50" si="3013">IF(RA49&gt;0,RA$17,0)</f>
        <v>0</v>
      </c>
      <c r="RB50" s="115">
        <f t="shared" ref="RB50" si="3014">IF(RB49&gt;0,RB$17,0)</f>
        <v>0</v>
      </c>
      <c r="RC50" s="115">
        <f t="shared" ref="RC50" si="3015">IF(RC49&gt;0,RC$17,0)</f>
        <v>0</v>
      </c>
      <c r="RD50" s="115">
        <f t="shared" ref="RD50" si="3016">IF(RD49&gt;0,RD$17,0)</f>
        <v>0</v>
      </c>
      <c r="RE50" s="115">
        <f t="shared" ref="RE50" si="3017">IF(RE49&gt;0,RE$17,0)</f>
        <v>0</v>
      </c>
      <c r="RF50" s="115">
        <f t="shared" ref="RF50" si="3018">IF(RF49&gt;0,RF$17,0)</f>
        <v>0</v>
      </c>
      <c r="RG50" s="115">
        <f t="shared" ref="RG50" si="3019">IF(RG49&gt;0,RG$17,0)</f>
        <v>0</v>
      </c>
      <c r="RH50" s="115">
        <f t="shared" ref="RH50" si="3020">IF(RH49&gt;0,RH$17,0)</f>
        <v>0</v>
      </c>
      <c r="RI50" s="115">
        <f t="shared" ref="RI50" si="3021">IF(RI49&gt;0,RI$17,0)</f>
        <v>0</v>
      </c>
      <c r="RJ50" s="115">
        <f t="shared" ref="RJ50" si="3022">IF(RJ49&gt;0,RJ$17,0)</f>
        <v>0</v>
      </c>
      <c r="RK50" s="115">
        <f t="shared" ref="RK50" si="3023">IF(RK49&gt;0,RK$17,0)</f>
        <v>0</v>
      </c>
      <c r="RL50" s="115">
        <f t="shared" ref="RL50" si="3024">IF(RL49&gt;0,RL$17,0)</f>
        <v>0</v>
      </c>
      <c r="RM50" s="115">
        <f t="shared" ref="RM50" si="3025">IF(RM49&gt;0,RM$17,0)</f>
        <v>0</v>
      </c>
      <c r="RN50" s="115">
        <f t="shared" ref="RN50" si="3026">IF(RN49&gt;0,RN$17,0)</f>
        <v>0</v>
      </c>
      <c r="RO50" s="115">
        <f t="shared" ref="RO50" si="3027">IF(RO49&gt;0,RO$17,0)</f>
        <v>0</v>
      </c>
      <c r="RP50" s="115">
        <f t="shared" ref="RP50" si="3028">IF(RP49&gt;0,RP$17,0)</f>
        <v>0</v>
      </c>
      <c r="RQ50" s="115">
        <f t="shared" ref="RQ50" si="3029">IF(RQ49&gt;0,RQ$17,0)</f>
        <v>0</v>
      </c>
      <c r="RR50" s="115">
        <f t="shared" ref="RR50" si="3030">IF(RR49&gt;0,RR$17,0)</f>
        <v>0</v>
      </c>
      <c r="RS50" s="115">
        <f t="shared" ref="RS50" si="3031">IF(RS49&gt;0,RS$17,0)</f>
        <v>0</v>
      </c>
      <c r="RT50" s="115">
        <f t="shared" ref="RT50" si="3032">IF(RT49&gt;0,RT$17,0)</f>
        <v>0</v>
      </c>
      <c r="RU50" s="115">
        <f t="shared" ref="RU50" si="3033">IF(RU49&gt;0,RU$17,0)</f>
        <v>0</v>
      </c>
      <c r="RV50" s="115">
        <f t="shared" ref="RV50" si="3034">IF(RV49&gt;0,RV$17,0)</f>
        <v>0</v>
      </c>
      <c r="RW50" s="115">
        <f t="shared" ref="RW50" si="3035">IF(RW49&gt;0,RW$17,0)</f>
        <v>0</v>
      </c>
      <c r="RX50" s="115">
        <f t="shared" ref="RX50" si="3036">IF(RX49&gt;0,RX$17,0)</f>
        <v>0</v>
      </c>
      <c r="RY50" s="115">
        <f t="shared" ref="RY50" si="3037">IF(RY49&gt;0,RY$17,0)</f>
        <v>0</v>
      </c>
      <c r="RZ50" s="115">
        <f t="shared" ref="RZ50" si="3038">IF(RZ49&gt;0,RZ$17,0)</f>
        <v>0</v>
      </c>
      <c r="SA50" s="115">
        <f t="shared" ref="SA50" si="3039">IF(SA49&gt;0,SA$17,0)</f>
        <v>0</v>
      </c>
      <c r="SB50" s="115">
        <f t="shared" ref="SB50" si="3040">IF(SB49&gt;0,SB$17,0)</f>
        <v>0</v>
      </c>
      <c r="SC50" s="115">
        <f t="shared" ref="SC50" si="3041">IF(SC49&gt;0,SC$17,0)</f>
        <v>0</v>
      </c>
      <c r="SD50" s="115">
        <f t="shared" ref="SD50" si="3042">IF(SD49&gt;0,SD$17,0)</f>
        <v>0</v>
      </c>
      <c r="SE50" s="115">
        <f t="shared" ref="SE50" si="3043">IF(SE49&gt;0,SE$17,0)</f>
        <v>0</v>
      </c>
      <c r="SF50" s="115">
        <f t="shared" ref="SF50" si="3044">IF(SF49&gt;0,SF$17,0)</f>
        <v>0</v>
      </c>
      <c r="SG50" s="115">
        <f t="shared" ref="SG50" si="3045">IF(SG49&gt;0,SG$17,0)</f>
        <v>0</v>
      </c>
      <c r="SH50" s="115">
        <f t="shared" ref="SH50" si="3046">IF(SH49&gt;0,SH$17,0)</f>
        <v>0</v>
      </c>
      <c r="SI50" s="115">
        <f t="shared" ref="SI50" si="3047">IF(SI49&gt;0,SI$17,0)</f>
        <v>0</v>
      </c>
      <c r="SJ50" s="115">
        <f t="shared" ref="SJ50" si="3048">IF(SJ49&gt;0,SJ$17,0)</f>
        <v>0</v>
      </c>
      <c r="SK50" s="115">
        <f t="shared" ref="SK50" si="3049">IF(SK49&gt;0,SK$17,0)</f>
        <v>0</v>
      </c>
      <c r="SL50" s="115">
        <f t="shared" ref="SL50" si="3050">IF(SL49&gt;0,SL$17,0)</f>
        <v>0</v>
      </c>
      <c r="SM50" s="115">
        <f t="shared" ref="SM50" si="3051">IF(SM49&gt;0,SM$17,0)</f>
        <v>0</v>
      </c>
      <c r="SN50" s="115">
        <f t="shared" ref="SN50" si="3052">IF(SN49&gt;0,SN$17,0)</f>
        <v>0</v>
      </c>
      <c r="SO50" s="115">
        <f t="shared" ref="SO50" si="3053">IF(SO49&gt;0,SO$17,0)</f>
        <v>0</v>
      </c>
      <c r="SP50" s="115">
        <f t="shared" ref="SP50" si="3054">IF(SP49&gt;0,SP$17,0)</f>
        <v>0</v>
      </c>
      <c r="SQ50" s="115">
        <f t="shared" ref="SQ50" si="3055">IF(SQ49&gt;0,SQ$17,0)</f>
        <v>0</v>
      </c>
      <c r="SR50" s="115">
        <f t="shared" ref="SR50" si="3056">IF(SR49&gt;0,SR$17,0)</f>
        <v>0</v>
      </c>
      <c r="SS50" s="115">
        <f t="shared" ref="SS50" si="3057">IF(SS49&gt;0,SS$17,0)</f>
        <v>0</v>
      </c>
      <c r="ST50" s="115">
        <f t="shared" ref="ST50" si="3058">IF(ST49&gt;0,ST$17,0)</f>
        <v>0</v>
      </c>
      <c r="SU50" s="115">
        <f t="shared" ref="SU50" si="3059">IF(SU49&gt;0,SU$17,0)</f>
        <v>0</v>
      </c>
      <c r="SV50" s="115">
        <f t="shared" ref="SV50" si="3060">IF(SV49&gt;0,SV$17,0)</f>
        <v>0</v>
      </c>
      <c r="SW50" s="115">
        <f t="shared" ref="SW50" si="3061">IF(SW49&gt;0,SW$17,0)</f>
        <v>0</v>
      </c>
      <c r="SX50" s="115">
        <f t="shared" ref="SX50" si="3062">IF(SX49&gt;0,SX$17,0)</f>
        <v>0</v>
      </c>
      <c r="SY50" s="115">
        <f t="shared" ref="SY50" si="3063">IF(SY49&gt;0,SY$17,0)</f>
        <v>0</v>
      </c>
      <c r="SZ50" s="115">
        <f t="shared" ref="SZ50" si="3064">IF(SZ49&gt;0,SZ$17,0)</f>
        <v>0</v>
      </c>
      <c r="TA50" s="115">
        <f t="shared" ref="TA50" si="3065">IF(TA49&gt;0,TA$17,0)</f>
        <v>0</v>
      </c>
      <c r="TB50" s="115">
        <f t="shared" ref="TB50" si="3066">IF(TB49&gt;0,TB$17,0)</f>
        <v>0</v>
      </c>
      <c r="TC50" s="115">
        <f t="shared" ref="TC50" si="3067">IF(TC49&gt;0,TC$17,0)</f>
        <v>0</v>
      </c>
      <c r="TD50" s="115">
        <f t="shared" ref="TD50" si="3068">IF(TD49&gt;0,TD$17,0)</f>
        <v>0</v>
      </c>
      <c r="TE50" s="115">
        <f t="shared" ref="TE50" si="3069">IF(TE49&gt;0,TE$17,0)</f>
        <v>0</v>
      </c>
      <c r="TF50" s="115">
        <f t="shared" ref="TF50" si="3070">IF(TF49&gt;0,TF$17,0)</f>
        <v>0</v>
      </c>
      <c r="TG50" s="115">
        <f t="shared" ref="TG50" si="3071">IF(TG49&gt;0,TG$17,0)</f>
        <v>0</v>
      </c>
      <c r="TH50" s="115">
        <f t="shared" ref="TH50" si="3072">IF(TH49&gt;0,TH$17,0)</f>
        <v>0</v>
      </c>
      <c r="TI50" s="115">
        <f t="shared" ref="TI50" si="3073">IF(TI49&gt;0,TI$17,0)</f>
        <v>0</v>
      </c>
      <c r="TJ50" s="115">
        <f t="shared" ref="TJ50" si="3074">IF(TJ49&gt;0,TJ$17,0)</f>
        <v>0</v>
      </c>
      <c r="TK50" s="115">
        <f t="shared" ref="TK50" si="3075">IF(TK49&gt;0,TK$17,0)</f>
        <v>0</v>
      </c>
      <c r="TL50" s="115">
        <f t="shared" ref="TL50" si="3076">IF(TL49&gt;0,TL$17,0)</f>
        <v>0</v>
      </c>
      <c r="TM50" s="115">
        <f t="shared" ref="TM50" si="3077">IF(TM49&gt;0,TM$17,0)</f>
        <v>0</v>
      </c>
      <c r="TN50" s="115">
        <f t="shared" ref="TN50" si="3078">IF(TN49&gt;0,TN$17,0)</f>
        <v>0</v>
      </c>
      <c r="TO50" s="115">
        <f t="shared" ref="TO50" si="3079">IF(TO49&gt;0,TO$17,0)</f>
        <v>0</v>
      </c>
      <c r="TP50" s="115">
        <f t="shared" ref="TP50" si="3080">IF(TP49&gt;0,TP$17,0)</f>
        <v>0</v>
      </c>
      <c r="TQ50" s="115">
        <f t="shared" ref="TQ50" si="3081">IF(TQ49&gt;0,TQ$17,0)</f>
        <v>0</v>
      </c>
      <c r="TR50" s="115">
        <f t="shared" ref="TR50" si="3082">IF(TR49&gt;0,TR$17,0)</f>
        <v>0</v>
      </c>
      <c r="TS50" s="115">
        <f t="shared" ref="TS50" si="3083">IF(TS49&gt;0,TS$17,0)</f>
        <v>0</v>
      </c>
      <c r="TT50" s="115">
        <f t="shared" ref="TT50" si="3084">IF(TT49&gt;0,TT$17,0)</f>
        <v>0</v>
      </c>
      <c r="TU50" s="115">
        <f t="shared" ref="TU50" si="3085">IF(TU49&gt;0,TU$17,0)</f>
        <v>0</v>
      </c>
      <c r="TV50" s="115">
        <f t="shared" ref="TV50" si="3086">IF(TV49&gt;0,TV$17,0)</f>
        <v>0</v>
      </c>
      <c r="TW50" s="115">
        <f t="shared" ref="TW50" si="3087">IF(TW49&gt;0,TW$17,0)</f>
        <v>0</v>
      </c>
      <c r="TX50" s="115">
        <f t="shared" ref="TX50" si="3088">IF(TX49&gt;0,TX$17,0)</f>
        <v>0</v>
      </c>
      <c r="TY50" s="115">
        <f t="shared" ref="TY50" si="3089">IF(TY49&gt;0,TY$17,0)</f>
        <v>0</v>
      </c>
      <c r="TZ50" s="115">
        <f t="shared" ref="TZ50" si="3090">IF(TZ49&gt;0,TZ$17,0)</f>
        <v>0</v>
      </c>
      <c r="UA50" s="115">
        <f t="shared" ref="UA50" si="3091">IF(UA49&gt;0,UA$17,0)</f>
        <v>0</v>
      </c>
      <c r="UB50" s="115">
        <f t="shared" ref="UB50" si="3092">IF(UB49&gt;0,UB$17,0)</f>
        <v>0</v>
      </c>
      <c r="UC50" s="115">
        <f t="shared" ref="UC50" si="3093">IF(UC49&gt;0,UC$17,0)</f>
        <v>0</v>
      </c>
      <c r="UD50" s="115">
        <f t="shared" ref="UD50" si="3094">IF(UD49&gt;0,UD$17,0)</f>
        <v>0</v>
      </c>
      <c r="UE50" s="115">
        <f t="shared" ref="UE50" si="3095">IF(UE49&gt;0,UE$17,0)</f>
        <v>0</v>
      </c>
      <c r="UF50" s="115">
        <f t="shared" ref="UF50" si="3096">IF(UF49&gt;0,UF$17,0)</f>
        <v>0</v>
      </c>
      <c r="UG50" s="115">
        <f t="shared" ref="UG50" si="3097">IF(UG49&gt;0,UG$17,0)</f>
        <v>0</v>
      </c>
      <c r="UH50" s="115">
        <f t="shared" ref="UH50" si="3098">IF(UH49&gt;0,UH$17,0)</f>
        <v>0</v>
      </c>
      <c r="UI50" s="115">
        <f t="shared" ref="UI50" si="3099">IF(UI49&gt;0,UI$17,0)</f>
        <v>0</v>
      </c>
      <c r="UJ50" s="115">
        <f t="shared" ref="UJ50" si="3100">IF(UJ49&gt;0,UJ$17,0)</f>
        <v>0</v>
      </c>
      <c r="UK50" s="115">
        <f t="shared" ref="UK50" si="3101">IF(UK49&gt;0,UK$17,0)</f>
        <v>0</v>
      </c>
      <c r="UL50" s="115">
        <f t="shared" ref="UL50" si="3102">IF(UL49&gt;0,UL$17,0)</f>
        <v>0</v>
      </c>
      <c r="UM50" s="115">
        <f t="shared" ref="UM50" si="3103">IF(UM49&gt;0,UM$17,0)</f>
        <v>0</v>
      </c>
      <c r="UN50" s="115">
        <f t="shared" ref="UN50" si="3104">IF(UN49&gt;0,UN$17,0)</f>
        <v>0</v>
      </c>
      <c r="UO50" s="115">
        <f t="shared" ref="UO50" si="3105">IF(UO49&gt;0,UO$17,0)</f>
        <v>0</v>
      </c>
      <c r="UP50" s="115">
        <f t="shared" ref="UP50" si="3106">IF(UP49&gt;0,UP$17,0)</f>
        <v>0</v>
      </c>
      <c r="UQ50" s="115">
        <f t="shared" ref="UQ50" si="3107">IF(UQ49&gt;0,UQ$17,0)</f>
        <v>0</v>
      </c>
      <c r="UR50" s="115">
        <f t="shared" ref="UR50" si="3108">IF(UR49&gt;0,UR$17,0)</f>
        <v>0</v>
      </c>
      <c r="US50" s="115">
        <f t="shared" ref="US50" si="3109">IF(US49&gt;0,US$17,0)</f>
        <v>0</v>
      </c>
      <c r="UT50" s="115">
        <f t="shared" ref="UT50" si="3110">IF(UT49&gt;0,UT$17,0)</f>
        <v>0</v>
      </c>
      <c r="UU50" s="115">
        <f t="shared" ref="UU50" si="3111">IF(UU49&gt;0,UU$17,0)</f>
        <v>0</v>
      </c>
      <c r="UV50" s="115">
        <f t="shared" ref="UV50" si="3112">IF(UV49&gt;0,UV$17,0)</f>
        <v>0</v>
      </c>
      <c r="UW50" s="115">
        <f t="shared" ref="UW50" si="3113">IF(UW49&gt;0,UW$17,0)</f>
        <v>0</v>
      </c>
      <c r="UX50" s="115">
        <f t="shared" ref="UX50" si="3114">IF(UX49&gt;0,UX$17,0)</f>
        <v>0</v>
      </c>
      <c r="UY50" s="115">
        <f t="shared" ref="UY50" si="3115">IF(UY49&gt;0,UY$17,0)</f>
        <v>0</v>
      </c>
      <c r="UZ50" s="115">
        <f t="shared" ref="UZ50" si="3116">IF(UZ49&gt;0,UZ$17,0)</f>
        <v>0</v>
      </c>
      <c r="VA50" s="115">
        <f t="shared" ref="VA50" si="3117">IF(VA49&gt;0,VA$17,0)</f>
        <v>0</v>
      </c>
      <c r="VB50" s="115">
        <f t="shared" ref="VB50" si="3118">IF(VB49&gt;0,VB$17,0)</f>
        <v>0</v>
      </c>
      <c r="VC50" s="115">
        <f t="shared" ref="VC50" si="3119">IF(VC49&gt;0,VC$17,0)</f>
        <v>0</v>
      </c>
      <c r="VD50" s="115">
        <f t="shared" ref="VD50" si="3120">IF(VD49&gt;0,VD$17,0)</f>
        <v>0</v>
      </c>
      <c r="VE50" s="115">
        <f t="shared" ref="VE50" si="3121">IF(VE49&gt;0,VE$17,0)</f>
        <v>0</v>
      </c>
      <c r="VF50" s="115">
        <f t="shared" ref="VF50" si="3122">IF(VF49&gt;0,VF$17,0)</f>
        <v>0</v>
      </c>
      <c r="VG50" s="115">
        <f t="shared" ref="VG50" si="3123">IF(VG49&gt;0,VG$17,0)</f>
        <v>0</v>
      </c>
      <c r="VH50" s="115">
        <f t="shared" ref="VH50" si="3124">IF(VH49&gt;0,VH$17,0)</f>
        <v>0</v>
      </c>
      <c r="VI50" s="115">
        <f t="shared" ref="VI50" si="3125">IF(VI49&gt;0,VI$17,0)</f>
        <v>0</v>
      </c>
      <c r="VJ50" s="115">
        <f t="shared" ref="VJ50" si="3126">IF(VJ49&gt;0,VJ$17,0)</f>
        <v>0</v>
      </c>
      <c r="VK50" s="115">
        <f t="shared" ref="VK50" si="3127">IF(VK49&gt;0,VK$17,0)</f>
        <v>0</v>
      </c>
      <c r="VL50" s="115">
        <f t="shared" ref="VL50" si="3128">IF(VL49&gt;0,VL$17,0)</f>
        <v>0</v>
      </c>
      <c r="VM50" s="115">
        <f t="shared" ref="VM50" si="3129">IF(VM49&gt;0,VM$17,0)</f>
        <v>0</v>
      </c>
      <c r="VN50" s="115">
        <f t="shared" ref="VN50" si="3130">IF(VN49&gt;0,VN$17,0)</f>
        <v>0</v>
      </c>
      <c r="VO50" s="115">
        <f t="shared" ref="VO50" si="3131">IF(VO49&gt;0,VO$17,0)</f>
        <v>0</v>
      </c>
      <c r="VP50" s="115">
        <f t="shared" ref="VP50" si="3132">IF(VP49&gt;0,VP$17,0)</f>
        <v>0</v>
      </c>
      <c r="VQ50" s="115">
        <f t="shared" ref="VQ50" si="3133">IF(VQ49&gt;0,VQ$17,0)</f>
        <v>0</v>
      </c>
      <c r="VR50" s="115">
        <f t="shared" ref="VR50" si="3134">IF(VR49&gt;0,VR$17,0)</f>
        <v>0</v>
      </c>
      <c r="VS50" s="115">
        <f t="shared" ref="VS50" si="3135">IF(VS49&gt;0,VS$17,0)</f>
        <v>0</v>
      </c>
      <c r="VT50" s="115">
        <f t="shared" ref="VT50" si="3136">IF(VT49&gt;0,VT$17,0)</f>
        <v>0</v>
      </c>
      <c r="VU50" s="115">
        <f t="shared" ref="VU50" si="3137">IF(VU49&gt;0,VU$17,0)</f>
        <v>0</v>
      </c>
      <c r="VV50" s="115">
        <f t="shared" ref="VV50" si="3138">IF(VV49&gt;0,VV$17,0)</f>
        <v>0</v>
      </c>
      <c r="VW50" s="115">
        <f t="shared" ref="VW50" si="3139">IF(VW49&gt;0,VW$17,0)</f>
        <v>0</v>
      </c>
      <c r="VX50" s="115">
        <f t="shared" ref="VX50" si="3140">IF(VX49&gt;0,VX$17,0)</f>
        <v>0</v>
      </c>
      <c r="VY50" s="115">
        <f t="shared" ref="VY50" si="3141">IF(VY49&gt;0,VY$17,0)</f>
        <v>0</v>
      </c>
      <c r="VZ50" s="115">
        <f t="shared" ref="VZ50" si="3142">IF(VZ49&gt;0,VZ$17,0)</f>
        <v>0</v>
      </c>
      <c r="WA50" s="115">
        <f t="shared" ref="WA50" si="3143">IF(WA49&gt;0,WA$17,0)</f>
        <v>0</v>
      </c>
      <c r="WB50" s="115">
        <f t="shared" ref="WB50" si="3144">IF(WB49&gt;0,WB$17,0)</f>
        <v>0</v>
      </c>
      <c r="WC50" s="115">
        <f t="shared" ref="WC50" si="3145">IF(WC49&gt;0,WC$17,0)</f>
        <v>0</v>
      </c>
      <c r="WD50" s="115">
        <f t="shared" ref="WD50" si="3146">IF(WD49&gt;0,WD$17,0)</f>
        <v>0</v>
      </c>
      <c r="WE50" s="115">
        <f t="shared" ref="WE50" si="3147">IF(WE49&gt;0,WE$17,0)</f>
        <v>0</v>
      </c>
      <c r="WF50" s="115">
        <f t="shared" ref="WF50" si="3148">IF(WF49&gt;0,WF$17,0)</f>
        <v>0</v>
      </c>
      <c r="WG50" s="115">
        <f t="shared" ref="WG50" si="3149">IF(WG49&gt;0,WG$17,0)</f>
        <v>0</v>
      </c>
      <c r="WH50" s="115">
        <f t="shared" ref="WH50" si="3150">IF(WH49&gt;0,WH$17,0)</f>
        <v>0</v>
      </c>
      <c r="WI50" s="115">
        <f t="shared" ref="WI50" si="3151">IF(WI49&gt;0,WI$17,0)</f>
        <v>0</v>
      </c>
      <c r="WJ50" s="115">
        <f t="shared" ref="WJ50" si="3152">IF(WJ49&gt;0,WJ$17,0)</f>
        <v>0</v>
      </c>
      <c r="WK50" s="115">
        <f t="shared" ref="WK50" si="3153">IF(WK49&gt;0,WK$17,0)</f>
        <v>0</v>
      </c>
      <c r="WL50" s="115">
        <f t="shared" ref="WL50" si="3154">IF(WL49&gt;0,WL$17,0)</f>
        <v>0</v>
      </c>
      <c r="WM50" s="115">
        <f t="shared" ref="WM50" si="3155">IF(WM49&gt;0,WM$17,0)</f>
        <v>0</v>
      </c>
      <c r="WN50" s="115">
        <f t="shared" ref="WN50" si="3156">IF(WN49&gt;0,WN$17,0)</f>
        <v>0</v>
      </c>
      <c r="WO50" s="115">
        <f t="shared" ref="WO50" si="3157">IF(WO49&gt;0,WO$17,0)</f>
        <v>0</v>
      </c>
      <c r="WP50" s="115">
        <f t="shared" ref="WP50" si="3158">IF(WP49&gt;0,WP$17,0)</f>
        <v>0</v>
      </c>
      <c r="WQ50" s="115">
        <f t="shared" ref="WQ50" si="3159">IF(WQ49&gt;0,WQ$17,0)</f>
        <v>0</v>
      </c>
      <c r="WR50" s="115">
        <f t="shared" ref="WR50" si="3160">IF(WR49&gt;0,WR$17,0)</f>
        <v>0</v>
      </c>
      <c r="WS50" s="115">
        <f t="shared" ref="WS50" si="3161">IF(WS49&gt;0,WS$17,0)</f>
        <v>0</v>
      </c>
      <c r="WT50" s="115">
        <f t="shared" ref="WT50" si="3162">IF(WT49&gt;0,WT$17,0)</f>
        <v>0</v>
      </c>
      <c r="WU50" s="115">
        <f t="shared" ref="WU50" si="3163">IF(WU49&gt;0,WU$17,0)</f>
        <v>0</v>
      </c>
      <c r="WV50" s="115">
        <f t="shared" ref="WV50" si="3164">IF(WV49&gt;0,WV$17,0)</f>
        <v>0</v>
      </c>
      <c r="WW50" s="115">
        <f t="shared" ref="WW50" si="3165">IF(WW49&gt;0,WW$17,0)</f>
        <v>0</v>
      </c>
      <c r="WX50" s="115">
        <f t="shared" ref="WX50" si="3166">IF(WX49&gt;0,WX$17,0)</f>
        <v>0</v>
      </c>
      <c r="WY50" s="115">
        <f t="shared" ref="WY50" si="3167">IF(WY49&gt;0,WY$17,0)</f>
        <v>0</v>
      </c>
      <c r="WZ50" s="115">
        <f t="shared" ref="WZ50" si="3168">IF(WZ49&gt;0,WZ$17,0)</f>
        <v>0</v>
      </c>
      <c r="XA50" s="115">
        <f t="shared" ref="XA50" si="3169">IF(XA49&gt;0,XA$17,0)</f>
        <v>0</v>
      </c>
      <c r="XB50" s="115">
        <f t="shared" ref="XB50" si="3170">IF(XB49&gt;0,XB$17,0)</f>
        <v>0</v>
      </c>
      <c r="XC50" s="115">
        <f t="shared" ref="XC50" si="3171">IF(XC49&gt;0,XC$17,0)</f>
        <v>0</v>
      </c>
      <c r="XD50" s="115">
        <f t="shared" ref="XD50" si="3172">IF(XD49&gt;0,XD$17,0)</f>
        <v>0</v>
      </c>
      <c r="XE50" s="115">
        <f t="shared" ref="XE50" si="3173">IF(XE49&gt;0,XE$17,0)</f>
        <v>0</v>
      </c>
      <c r="XF50" s="115">
        <f t="shared" ref="XF50" si="3174">IF(XF49&gt;0,XF$17,0)</f>
        <v>0</v>
      </c>
      <c r="XG50" s="115">
        <f t="shared" ref="XG50" si="3175">IF(XG49&gt;0,XG$17,0)</f>
        <v>0</v>
      </c>
      <c r="XH50" s="115">
        <f t="shared" ref="XH50" si="3176">IF(XH49&gt;0,XH$17,0)</f>
        <v>0</v>
      </c>
      <c r="XI50" s="115">
        <f t="shared" ref="XI50" si="3177">IF(XI49&gt;0,XI$17,0)</f>
        <v>0</v>
      </c>
      <c r="XJ50" s="115">
        <f t="shared" ref="XJ50" si="3178">IF(XJ49&gt;0,XJ$17,0)</f>
        <v>0</v>
      </c>
      <c r="XK50" s="115">
        <f t="shared" ref="XK50" si="3179">IF(XK49&gt;0,XK$17,0)</f>
        <v>0</v>
      </c>
      <c r="XL50" s="115">
        <f t="shared" ref="XL50" si="3180">IF(XL49&gt;0,XL$17,0)</f>
        <v>0</v>
      </c>
      <c r="XM50" s="115">
        <f t="shared" ref="XM50" si="3181">IF(XM49&gt;0,XM$17,0)</f>
        <v>0</v>
      </c>
      <c r="XN50" s="115">
        <f t="shared" ref="XN50" si="3182">IF(XN49&gt;0,XN$17,0)</f>
        <v>0</v>
      </c>
      <c r="XO50" s="115">
        <f t="shared" ref="XO50" si="3183">IF(XO49&gt;0,XO$17,0)</f>
        <v>0</v>
      </c>
      <c r="XP50" s="115">
        <f t="shared" ref="XP50" si="3184">IF(XP49&gt;0,XP$17,0)</f>
        <v>0</v>
      </c>
      <c r="XQ50" s="115">
        <f t="shared" ref="XQ50" si="3185">IF(XQ49&gt;0,XQ$17,0)</f>
        <v>0</v>
      </c>
      <c r="XR50" s="115">
        <f t="shared" ref="XR50" si="3186">IF(XR49&gt;0,XR$17,0)</f>
        <v>0</v>
      </c>
      <c r="XS50" s="115">
        <f t="shared" ref="XS50" si="3187">IF(XS49&gt;0,XS$17,0)</f>
        <v>0</v>
      </c>
      <c r="XT50" s="115">
        <f t="shared" ref="XT50" si="3188">IF(XT49&gt;0,XT$17,0)</f>
        <v>0</v>
      </c>
      <c r="XU50" s="115">
        <f t="shared" ref="XU50" si="3189">IF(XU49&gt;0,XU$17,0)</f>
        <v>0</v>
      </c>
      <c r="XV50" s="115">
        <f t="shared" ref="XV50" si="3190">IF(XV49&gt;0,XV$17,0)</f>
        <v>0</v>
      </c>
      <c r="XW50" s="115">
        <f t="shared" ref="XW50" si="3191">IF(XW49&gt;0,XW$17,0)</f>
        <v>0</v>
      </c>
      <c r="XX50" s="115">
        <f t="shared" ref="XX50" si="3192">IF(XX49&gt;0,XX$17,0)</f>
        <v>0</v>
      </c>
      <c r="XY50" s="115">
        <f t="shared" ref="XY50" si="3193">IF(XY49&gt;0,XY$17,0)</f>
        <v>0</v>
      </c>
      <c r="XZ50" s="115">
        <f t="shared" ref="XZ50" si="3194">IF(XZ49&gt;0,XZ$17,0)</f>
        <v>0</v>
      </c>
      <c r="YA50" s="115">
        <f t="shared" ref="YA50" si="3195">IF(YA49&gt;0,YA$17,0)</f>
        <v>0</v>
      </c>
      <c r="YB50" s="115">
        <f t="shared" ref="YB50" si="3196">IF(YB49&gt;0,YB$17,0)</f>
        <v>0</v>
      </c>
      <c r="YC50" s="115">
        <f t="shared" ref="YC50" si="3197">IF(YC49&gt;0,YC$17,0)</f>
        <v>0</v>
      </c>
      <c r="YD50" s="115">
        <f t="shared" ref="YD50" si="3198">IF(YD49&gt;0,YD$17,0)</f>
        <v>0</v>
      </c>
      <c r="YE50" s="115">
        <f t="shared" ref="YE50" si="3199">IF(YE49&gt;0,YE$17,0)</f>
        <v>0</v>
      </c>
      <c r="YF50" s="115">
        <f t="shared" ref="YF50" si="3200">IF(YF49&gt;0,YF$17,0)</f>
        <v>0</v>
      </c>
      <c r="YG50" s="115">
        <f t="shared" ref="YG50" si="3201">IF(YG49&gt;0,YG$17,0)</f>
        <v>0</v>
      </c>
      <c r="YH50" s="115">
        <f t="shared" ref="YH50" si="3202">IF(YH49&gt;0,YH$17,0)</f>
        <v>0</v>
      </c>
      <c r="YI50" s="115">
        <f t="shared" ref="YI50" si="3203">IF(YI49&gt;0,YI$17,0)</f>
        <v>0</v>
      </c>
      <c r="YJ50" s="115">
        <f t="shared" ref="YJ50" si="3204">IF(YJ49&gt;0,YJ$17,0)</f>
        <v>0</v>
      </c>
      <c r="YK50" s="115">
        <f t="shared" ref="YK50" si="3205">IF(YK49&gt;0,YK$17,0)</f>
        <v>0</v>
      </c>
      <c r="YL50" s="115">
        <f t="shared" ref="YL50" si="3206">IF(YL49&gt;0,YL$17,0)</f>
        <v>0</v>
      </c>
      <c r="YM50" s="115">
        <f t="shared" ref="YM50" si="3207">IF(YM49&gt;0,YM$17,0)</f>
        <v>0</v>
      </c>
      <c r="YN50" s="115">
        <f t="shared" ref="YN50" si="3208">IF(YN49&gt;0,YN$17,0)</f>
        <v>0</v>
      </c>
      <c r="YO50" s="115">
        <f t="shared" ref="YO50" si="3209">IF(YO49&gt;0,YO$17,0)</f>
        <v>0</v>
      </c>
      <c r="YP50" s="115">
        <f t="shared" ref="YP50" si="3210">IF(YP49&gt;0,YP$17,0)</f>
        <v>0</v>
      </c>
      <c r="YQ50" s="115">
        <f t="shared" ref="YQ50" si="3211">IF(YQ49&gt;0,YQ$17,0)</f>
        <v>0</v>
      </c>
      <c r="YR50" s="115">
        <f t="shared" ref="YR50" si="3212">IF(YR49&gt;0,YR$17,0)</f>
        <v>0</v>
      </c>
      <c r="YS50" s="115">
        <f t="shared" ref="YS50" si="3213">IF(YS49&gt;0,YS$17,0)</f>
        <v>0</v>
      </c>
      <c r="YT50" s="115">
        <f t="shared" ref="YT50" si="3214">IF(YT49&gt;0,YT$17,0)</f>
        <v>0</v>
      </c>
      <c r="YU50" s="115">
        <f t="shared" ref="YU50" si="3215">IF(YU49&gt;0,YU$17,0)</f>
        <v>0</v>
      </c>
      <c r="YV50" s="115">
        <f t="shared" ref="YV50" si="3216">IF(YV49&gt;0,YV$17,0)</f>
        <v>0</v>
      </c>
      <c r="YW50" s="115">
        <f t="shared" ref="YW50" si="3217">IF(YW49&gt;0,YW$17,0)</f>
        <v>0</v>
      </c>
      <c r="YX50" s="115">
        <f t="shared" ref="YX50" si="3218">IF(YX49&gt;0,YX$17,0)</f>
        <v>0</v>
      </c>
      <c r="YY50" s="115">
        <f t="shared" ref="YY50" si="3219">IF(YY49&gt;0,YY$17,0)</f>
        <v>0</v>
      </c>
      <c r="YZ50" s="115">
        <f t="shared" ref="YZ50" si="3220">IF(YZ49&gt;0,YZ$17,0)</f>
        <v>0</v>
      </c>
      <c r="ZA50" s="115">
        <f t="shared" ref="ZA50" si="3221">IF(ZA49&gt;0,ZA$17,0)</f>
        <v>0</v>
      </c>
      <c r="ZB50" s="115">
        <f t="shared" ref="ZB50" si="3222">IF(ZB49&gt;0,ZB$17,0)</f>
        <v>0</v>
      </c>
      <c r="ZC50" s="115">
        <f t="shared" ref="ZC50" si="3223">IF(ZC49&gt;0,ZC$17,0)</f>
        <v>0</v>
      </c>
      <c r="ZD50" s="115">
        <f t="shared" ref="ZD50" si="3224">IF(ZD49&gt;0,ZD$17,0)</f>
        <v>0</v>
      </c>
      <c r="ZE50" s="115">
        <f t="shared" ref="ZE50" si="3225">IF(ZE49&gt;0,ZE$17,0)</f>
        <v>0</v>
      </c>
      <c r="ZF50" s="115">
        <f t="shared" ref="ZF50" si="3226">IF(ZF49&gt;0,ZF$17,0)</f>
        <v>0</v>
      </c>
      <c r="ZG50" s="115">
        <f t="shared" ref="ZG50" si="3227">IF(ZG49&gt;0,ZG$17,0)</f>
        <v>0</v>
      </c>
      <c r="ZH50" s="115">
        <f t="shared" ref="ZH50" si="3228">IF(ZH49&gt;0,ZH$17,0)</f>
        <v>0</v>
      </c>
      <c r="ZI50" s="115">
        <f t="shared" ref="ZI50" si="3229">IF(ZI49&gt;0,ZI$17,0)</f>
        <v>0</v>
      </c>
      <c r="ZJ50" s="115">
        <f t="shared" ref="ZJ50" si="3230">IF(ZJ49&gt;0,ZJ$17,0)</f>
        <v>0</v>
      </c>
      <c r="ZK50" s="115">
        <f t="shared" ref="ZK50" si="3231">IF(ZK49&gt;0,ZK$17,0)</f>
        <v>0</v>
      </c>
      <c r="ZL50" s="115">
        <f t="shared" ref="ZL50" si="3232">IF(ZL49&gt;0,ZL$17,0)</f>
        <v>0</v>
      </c>
      <c r="ZM50" s="115">
        <f t="shared" ref="ZM50" si="3233">IF(ZM49&gt;0,ZM$17,0)</f>
        <v>0</v>
      </c>
      <c r="ZN50" s="115">
        <f t="shared" ref="ZN50" si="3234">IF(ZN49&gt;0,ZN$17,0)</f>
        <v>0</v>
      </c>
      <c r="ZO50" s="115">
        <f t="shared" ref="ZO50" si="3235">IF(ZO49&gt;0,ZO$17,0)</f>
        <v>0</v>
      </c>
      <c r="ZP50" s="115">
        <f t="shared" ref="ZP50" si="3236">IF(ZP49&gt;0,ZP$17,0)</f>
        <v>0</v>
      </c>
      <c r="ZQ50" s="115">
        <f t="shared" ref="ZQ50" si="3237">IF(ZQ49&gt;0,ZQ$17,0)</f>
        <v>0</v>
      </c>
      <c r="ZR50" s="115">
        <f t="shared" ref="ZR50" si="3238">IF(ZR49&gt;0,ZR$17,0)</f>
        <v>0</v>
      </c>
      <c r="ZS50" s="115">
        <f t="shared" ref="ZS50" si="3239">IF(ZS49&gt;0,ZS$17,0)</f>
        <v>0</v>
      </c>
      <c r="ZT50" s="115">
        <f t="shared" ref="ZT50" si="3240">IF(ZT49&gt;0,ZT$17,0)</f>
        <v>0</v>
      </c>
      <c r="ZU50" s="115">
        <f t="shared" ref="ZU50" si="3241">IF(ZU49&gt;0,ZU$17,0)</f>
        <v>0</v>
      </c>
      <c r="ZV50" s="115">
        <f t="shared" ref="ZV50" si="3242">IF(ZV49&gt;0,ZV$17,0)</f>
        <v>0</v>
      </c>
      <c r="ZW50" s="115">
        <f t="shared" ref="ZW50" si="3243">IF(ZW49&gt;0,ZW$17,0)</f>
        <v>0</v>
      </c>
      <c r="ZX50" s="115">
        <f t="shared" ref="ZX50" si="3244">IF(ZX49&gt;0,ZX$17,0)</f>
        <v>0</v>
      </c>
      <c r="ZY50" s="115">
        <f t="shared" ref="ZY50" si="3245">IF(ZY49&gt;0,ZY$17,0)</f>
        <v>0</v>
      </c>
      <c r="ZZ50" s="115">
        <f t="shared" ref="ZZ50" si="3246">IF(ZZ49&gt;0,ZZ$17,0)</f>
        <v>0</v>
      </c>
      <c r="AAA50" s="115">
        <f t="shared" ref="AAA50" si="3247">IF(AAA49&gt;0,AAA$17,0)</f>
        <v>0</v>
      </c>
      <c r="AAB50" s="115">
        <f t="shared" ref="AAB50" si="3248">IF(AAB49&gt;0,AAB$17,0)</f>
        <v>0</v>
      </c>
      <c r="AAC50" s="115">
        <f t="shared" ref="AAC50" si="3249">IF(AAC49&gt;0,AAC$17,0)</f>
        <v>0</v>
      </c>
      <c r="AAD50" s="115">
        <f t="shared" ref="AAD50" si="3250">IF(AAD49&gt;0,AAD$17,0)</f>
        <v>0</v>
      </c>
      <c r="AAE50" s="115">
        <f t="shared" ref="AAE50" si="3251">IF(AAE49&gt;0,AAE$17,0)</f>
        <v>0</v>
      </c>
      <c r="AAF50" s="115">
        <f t="shared" ref="AAF50" si="3252">IF(AAF49&gt;0,AAF$17,0)</f>
        <v>0</v>
      </c>
      <c r="AAG50" s="115">
        <f t="shared" ref="AAG50" si="3253">IF(AAG49&gt;0,AAG$17,0)</f>
        <v>0</v>
      </c>
      <c r="AAH50" s="115">
        <f t="shared" ref="AAH50" si="3254">IF(AAH49&gt;0,AAH$17,0)</f>
        <v>0</v>
      </c>
      <c r="AAI50" s="115">
        <f t="shared" ref="AAI50" si="3255">IF(AAI49&gt;0,AAI$17,0)</f>
        <v>0</v>
      </c>
      <c r="AAJ50" s="115">
        <f t="shared" ref="AAJ50" si="3256">IF(AAJ49&gt;0,AAJ$17,0)</f>
        <v>0</v>
      </c>
      <c r="AAK50" s="115">
        <f t="shared" ref="AAK50" si="3257">IF(AAK49&gt;0,AAK$17,0)</f>
        <v>0</v>
      </c>
      <c r="AAL50" s="115">
        <f t="shared" ref="AAL50" si="3258">IF(AAL49&gt;0,AAL$17,0)</f>
        <v>0</v>
      </c>
      <c r="AAM50" s="115">
        <f t="shared" ref="AAM50" si="3259">IF(AAM49&gt;0,AAM$17,0)</f>
        <v>0</v>
      </c>
      <c r="AAN50" s="115">
        <f t="shared" ref="AAN50" si="3260">IF(AAN49&gt;0,AAN$17,0)</f>
        <v>0</v>
      </c>
      <c r="AAO50" s="115">
        <f t="shared" ref="AAO50" si="3261">IF(AAO49&gt;0,AAO$17,0)</f>
        <v>0</v>
      </c>
      <c r="AAP50" s="115">
        <f t="shared" ref="AAP50" si="3262">IF(AAP49&gt;0,AAP$17,0)</f>
        <v>0</v>
      </c>
      <c r="AAQ50" s="115">
        <f t="shared" ref="AAQ50" si="3263">IF(AAQ49&gt;0,AAQ$17,0)</f>
        <v>0</v>
      </c>
      <c r="AAR50" s="115">
        <f t="shared" ref="AAR50" si="3264">IF(AAR49&gt;0,AAR$17,0)</f>
        <v>0</v>
      </c>
      <c r="AAS50" s="115">
        <f t="shared" ref="AAS50" si="3265">IF(AAS49&gt;0,AAS$17,0)</f>
        <v>0</v>
      </c>
      <c r="AAT50" s="115">
        <f t="shared" ref="AAT50" si="3266">IF(AAT49&gt;0,AAT$17,0)</f>
        <v>0</v>
      </c>
      <c r="AAU50" s="115">
        <f t="shared" ref="AAU50" si="3267">IF(AAU49&gt;0,AAU$17,0)</f>
        <v>0</v>
      </c>
      <c r="AAV50" s="115">
        <f t="shared" ref="AAV50" si="3268">IF(AAV49&gt;0,AAV$17,0)</f>
        <v>0</v>
      </c>
      <c r="AAW50" s="115">
        <f t="shared" ref="AAW50" si="3269">IF(AAW49&gt;0,AAW$17,0)</f>
        <v>0</v>
      </c>
      <c r="AAX50" s="115">
        <f t="shared" ref="AAX50" si="3270">IF(AAX49&gt;0,AAX$17,0)</f>
        <v>0</v>
      </c>
      <c r="AAY50" s="115">
        <f t="shared" ref="AAY50" si="3271">IF(AAY49&gt;0,AAY$17,0)</f>
        <v>0</v>
      </c>
      <c r="AAZ50" s="115">
        <f t="shared" ref="AAZ50" si="3272">IF(AAZ49&gt;0,AAZ$17,0)</f>
        <v>0</v>
      </c>
      <c r="ABA50" s="115">
        <f t="shared" ref="ABA50" si="3273">IF(ABA49&gt;0,ABA$17,0)</f>
        <v>0</v>
      </c>
      <c r="ABB50" s="115">
        <f t="shared" ref="ABB50" si="3274">IF(ABB49&gt;0,ABB$17,0)</f>
        <v>0</v>
      </c>
      <c r="ABC50" s="115">
        <f t="shared" ref="ABC50" si="3275">IF(ABC49&gt;0,ABC$17,0)</f>
        <v>0</v>
      </c>
      <c r="ABD50" s="115">
        <f t="shared" ref="ABD50" si="3276">IF(ABD49&gt;0,ABD$17,0)</f>
        <v>0</v>
      </c>
      <c r="ABE50" s="115">
        <f t="shared" ref="ABE50" si="3277">IF(ABE49&gt;0,ABE$17,0)</f>
        <v>0</v>
      </c>
      <c r="ABF50" s="115">
        <f t="shared" ref="ABF50" si="3278">IF(ABF49&gt;0,ABF$17,0)</f>
        <v>0</v>
      </c>
      <c r="ABG50" s="115">
        <f t="shared" ref="ABG50" si="3279">IF(ABG49&gt;0,ABG$17,0)</f>
        <v>0</v>
      </c>
      <c r="ABH50" s="115">
        <f t="shared" ref="ABH50" si="3280">IF(ABH49&gt;0,ABH$17,0)</f>
        <v>0</v>
      </c>
      <c r="ABI50" s="115">
        <f t="shared" ref="ABI50" si="3281">IF(ABI49&gt;0,ABI$17,0)</f>
        <v>0</v>
      </c>
      <c r="ABJ50" s="115">
        <f t="shared" ref="ABJ50" si="3282">IF(ABJ49&gt;0,ABJ$17,0)</f>
        <v>0</v>
      </c>
      <c r="ABK50" s="115">
        <f t="shared" ref="ABK50" si="3283">IF(ABK49&gt;0,ABK$17,0)</f>
        <v>0</v>
      </c>
      <c r="ABL50" s="115">
        <f t="shared" ref="ABL50" si="3284">IF(ABL49&gt;0,ABL$17,0)</f>
        <v>0</v>
      </c>
      <c r="ABM50" s="115">
        <f t="shared" ref="ABM50" si="3285">IF(ABM49&gt;0,ABM$17,0)</f>
        <v>0</v>
      </c>
      <c r="ABN50" s="115">
        <f t="shared" ref="ABN50" si="3286">IF(ABN49&gt;0,ABN$17,0)</f>
        <v>0</v>
      </c>
      <c r="ABO50" s="115">
        <f t="shared" ref="ABO50" si="3287">IF(ABO49&gt;0,ABO$17,0)</f>
        <v>0</v>
      </c>
      <c r="ABP50" s="115">
        <f t="shared" ref="ABP50" si="3288">IF(ABP49&gt;0,ABP$17,0)</f>
        <v>0</v>
      </c>
      <c r="ABQ50" s="115">
        <f t="shared" ref="ABQ50" si="3289">IF(ABQ49&gt;0,ABQ$17,0)</f>
        <v>0</v>
      </c>
      <c r="ABR50" s="115">
        <f t="shared" ref="ABR50" si="3290">IF(ABR49&gt;0,ABR$17,0)</f>
        <v>0</v>
      </c>
      <c r="ABS50" s="115">
        <f t="shared" ref="ABS50" si="3291">IF(ABS49&gt;0,ABS$17,0)</f>
        <v>0</v>
      </c>
      <c r="ABT50" s="115">
        <f t="shared" ref="ABT50" si="3292">IF(ABT49&gt;0,ABT$17,0)</f>
        <v>0</v>
      </c>
      <c r="ABU50" s="115">
        <f t="shared" ref="ABU50" si="3293">IF(ABU49&gt;0,ABU$17,0)</f>
        <v>0</v>
      </c>
      <c r="ABV50" s="115">
        <f t="shared" ref="ABV50" si="3294">IF(ABV49&gt;0,ABV$17,0)</f>
        <v>0</v>
      </c>
      <c r="ABW50" s="115">
        <f t="shared" ref="ABW50" si="3295">IF(ABW49&gt;0,ABW$17,0)</f>
        <v>0</v>
      </c>
      <c r="ABX50" s="115">
        <f t="shared" ref="ABX50" si="3296">IF(ABX49&gt;0,ABX$17,0)</f>
        <v>0</v>
      </c>
      <c r="ABY50" s="115">
        <f t="shared" ref="ABY50" si="3297">IF(ABY49&gt;0,ABY$17,0)</f>
        <v>0</v>
      </c>
      <c r="ABZ50" s="115">
        <f t="shared" ref="ABZ50" si="3298">IF(ABZ49&gt;0,ABZ$17,0)</f>
        <v>0</v>
      </c>
      <c r="ACA50" s="115">
        <f t="shared" ref="ACA50" si="3299">IF(ACA49&gt;0,ACA$17,0)</f>
        <v>0</v>
      </c>
      <c r="ACB50" s="115">
        <f t="shared" ref="ACB50" si="3300">IF(ACB49&gt;0,ACB$17,0)</f>
        <v>0</v>
      </c>
      <c r="ACC50" s="115">
        <f t="shared" ref="ACC50" si="3301">IF(ACC49&gt;0,ACC$17,0)</f>
        <v>0</v>
      </c>
      <c r="ACD50" s="115">
        <f t="shared" ref="ACD50" si="3302">IF(ACD49&gt;0,ACD$17,0)</f>
        <v>0</v>
      </c>
      <c r="ACE50" s="115">
        <f t="shared" ref="ACE50" si="3303">IF(ACE49&gt;0,ACE$17,0)</f>
        <v>0</v>
      </c>
      <c r="ACF50" s="115">
        <f t="shared" ref="ACF50" si="3304">IF(ACF49&gt;0,ACF$17,0)</f>
        <v>0</v>
      </c>
      <c r="ACG50" s="115">
        <f t="shared" ref="ACG50" si="3305">IF(ACG49&gt;0,ACG$17,0)</f>
        <v>0</v>
      </c>
      <c r="ACH50" s="115">
        <f t="shared" ref="ACH50" si="3306">IF(ACH49&gt;0,ACH$17,0)</f>
        <v>0</v>
      </c>
      <c r="ACI50" s="115">
        <f t="shared" ref="ACI50" si="3307">IF(ACI49&gt;0,ACI$17,0)</f>
        <v>0</v>
      </c>
      <c r="ACJ50" s="115">
        <f t="shared" ref="ACJ50" si="3308">IF(ACJ49&gt;0,ACJ$17,0)</f>
        <v>0</v>
      </c>
      <c r="ACK50" s="115">
        <f t="shared" ref="ACK50" si="3309">IF(ACK49&gt;0,ACK$17,0)</f>
        <v>0</v>
      </c>
      <c r="ACL50" s="115">
        <f t="shared" ref="ACL50" si="3310">IF(ACL49&gt;0,ACL$17,0)</f>
        <v>0</v>
      </c>
      <c r="ACM50" s="115">
        <f t="shared" ref="ACM50" si="3311">IF(ACM49&gt;0,ACM$17,0)</f>
        <v>0</v>
      </c>
      <c r="ACN50" s="115">
        <f t="shared" ref="ACN50" si="3312">IF(ACN49&gt;0,ACN$17,0)</f>
        <v>0</v>
      </c>
      <c r="ACO50" s="115">
        <f t="shared" ref="ACO50" si="3313">IF(ACO49&gt;0,ACO$17,0)</f>
        <v>0</v>
      </c>
      <c r="ACP50" s="115">
        <f t="shared" ref="ACP50" si="3314">IF(ACP49&gt;0,ACP$17,0)</f>
        <v>0</v>
      </c>
      <c r="ACQ50" s="115">
        <f t="shared" ref="ACQ50" si="3315">IF(ACQ49&gt;0,ACQ$17,0)</f>
        <v>0</v>
      </c>
      <c r="ACR50" s="115">
        <f t="shared" ref="ACR50" si="3316">IF(ACR49&gt;0,ACR$17,0)</f>
        <v>0</v>
      </c>
      <c r="ACS50" s="115">
        <f t="shared" ref="ACS50" si="3317">IF(ACS49&gt;0,ACS$17,0)</f>
        <v>0</v>
      </c>
      <c r="ACT50" s="115">
        <f t="shared" ref="ACT50" si="3318">IF(ACT49&gt;0,ACT$17,0)</f>
        <v>0</v>
      </c>
      <c r="ACU50" s="115">
        <f t="shared" ref="ACU50" si="3319">IF(ACU49&gt;0,ACU$17,0)</f>
        <v>0</v>
      </c>
      <c r="ACV50" s="115">
        <f t="shared" ref="ACV50" si="3320">IF(ACV49&gt;0,ACV$17,0)</f>
        <v>0</v>
      </c>
      <c r="ACW50" s="115">
        <f t="shared" ref="ACW50" si="3321">IF(ACW49&gt;0,ACW$17,0)</f>
        <v>0</v>
      </c>
      <c r="ACX50" s="115">
        <f t="shared" ref="ACX50" si="3322">IF(ACX49&gt;0,ACX$17,0)</f>
        <v>0</v>
      </c>
      <c r="ACY50" s="115">
        <f t="shared" ref="ACY50" si="3323">IF(ACY49&gt;0,ACY$17,0)</f>
        <v>0</v>
      </c>
      <c r="ACZ50" s="115">
        <f t="shared" ref="ACZ50" si="3324">IF(ACZ49&gt;0,ACZ$17,0)</f>
        <v>0</v>
      </c>
      <c r="ADA50" s="115">
        <f t="shared" ref="ADA50" si="3325">IF(ADA49&gt;0,ADA$17,0)</f>
        <v>0</v>
      </c>
      <c r="ADB50" s="115">
        <f t="shared" ref="ADB50" si="3326">IF(ADB49&gt;0,ADB$17,0)</f>
        <v>0</v>
      </c>
      <c r="ADC50" s="115">
        <f t="shared" ref="ADC50" si="3327">IF(ADC49&gt;0,ADC$17,0)</f>
        <v>0</v>
      </c>
      <c r="ADD50" s="115">
        <f t="shared" ref="ADD50" si="3328">IF(ADD49&gt;0,ADD$17,0)</f>
        <v>0</v>
      </c>
      <c r="ADE50" s="115">
        <f t="shared" ref="ADE50" si="3329">IF(ADE49&gt;0,ADE$17,0)</f>
        <v>0</v>
      </c>
      <c r="ADF50" s="115">
        <f t="shared" ref="ADF50" si="3330">IF(ADF49&gt;0,ADF$17,0)</f>
        <v>0</v>
      </c>
      <c r="ADG50" s="115">
        <f t="shared" ref="ADG50" si="3331">IF(ADG49&gt;0,ADG$17,0)</f>
        <v>0</v>
      </c>
      <c r="ADH50" s="115">
        <f t="shared" ref="ADH50" si="3332">IF(ADH49&gt;0,ADH$17,0)</f>
        <v>0</v>
      </c>
      <c r="ADI50" s="115">
        <f t="shared" ref="ADI50" si="3333">IF(ADI49&gt;0,ADI$17,0)</f>
        <v>0</v>
      </c>
      <c r="ADJ50" s="115">
        <f t="shared" ref="ADJ50" si="3334">IF(ADJ49&gt;0,ADJ$17,0)</f>
        <v>0</v>
      </c>
      <c r="ADK50" s="115">
        <f t="shared" ref="ADK50" si="3335">IF(ADK49&gt;0,ADK$17,0)</f>
        <v>0</v>
      </c>
      <c r="ADL50" s="115">
        <f t="shared" ref="ADL50" si="3336">IF(ADL49&gt;0,ADL$17,0)</f>
        <v>0</v>
      </c>
      <c r="ADM50" s="115">
        <f t="shared" ref="ADM50" si="3337">IF(ADM49&gt;0,ADM$17,0)</f>
        <v>0</v>
      </c>
      <c r="ADN50" s="115">
        <f t="shared" ref="ADN50" si="3338">IF(ADN49&gt;0,ADN$17,0)</f>
        <v>0</v>
      </c>
      <c r="ADO50" s="115">
        <f t="shared" ref="ADO50" si="3339">IF(ADO49&gt;0,ADO$17,0)</f>
        <v>0</v>
      </c>
      <c r="ADP50" s="115">
        <f t="shared" ref="ADP50" si="3340">IF(ADP49&gt;0,ADP$17,0)</f>
        <v>0</v>
      </c>
      <c r="ADQ50" s="115">
        <f t="shared" ref="ADQ50" si="3341">IF(ADQ49&gt;0,ADQ$17,0)</f>
        <v>0</v>
      </c>
      <c r="ADR50" s="115">
        <f t="shared" ref="ADR50" si="3342">IF(ADR49&gt;0,ADR$17,0)</f>
        <v>0</v>
      </c>
      <c r="ADS50" s="115">
        <f t="shared" ref="ADS50" si="3343">IF(ADS49&gt;0,ADS$17,0)</f>
        <v>0</v>
      </c>
      <c r="ADT50" s="115">
        <f t="shared" ref="ADT50" si="3344">IF(ADT49&gt;0,ADT$17,0)</f>
        <v>0</v>
      </c>
      <c r="ADU50" s="115">
        <f t="shared" ref="ADU50" si="3345">IF(ADU49&gt;0,ADU$17,0)</f>
        <v>0</v>
      </c>
      <c r="ADV50" s="115">
        <f t="shared" ref="ADV50" si="3346">IF(ADV49&gt;0,ADV$17,0)</f>
        <v>0</v>
      </c>
      <c r="ADW50" s="115">
        <f t="shared" ref="ADW50" si="3347">IF(ADW49&gt;0,ADW$17,0)</f>
        <v>0</v>
      </c>
      <c r="ADX50" s="115">
        <f t="shared" ref="ADX50" si="3348">IF(ADX49&gt;0,ADX$17,0)</f>
        <v>0</v>
      </c>
      <c r="ADY50" s="115">
        <f t="shared" ref="ADY50" si="3349">IF(ADY49&gt;0,ADY$17,0)</f>
        <v>0</v>
      </c>
      <c r="ADZ50" s="115">
        <f t="shared" ref="ADZ50" si="3350">IF(ADZ49&gt;0,ADZ$17,0)</f>
        <v>0</v>
      </c>
      <c r="AEA50" s="115">
        <f t="shared" ref="AEA50" si="3351">IF(AEA49&gt;0,AEA$17,0)</f>
        <v>0</v>
      </c>
      <c r="AEB50" s="115">
        <f t="shared" ref="AEB50" si="3352">IF(AEB49&gt;0,AEB$17,0)</f>
        <v>0</v>
      </c>
      <c r="AEC50" s="115">
        <f t="shared" ref="AEC50" si="3353">IF(AEC49&gt;0,AEC$17,0)</f>
        <v>0</v>
      </c>
      <c r="AED50" s="115">
        <f t="shared" ref="AED50" si="3354">IF(AED49&gt;0,AED$17,0)</f>
        <v>0</v>
      </c>
      <c r="AEE50" s="115">
        <f t="shared" ref="AEE50" si="3355">IF(AEE49&gt;0,AEE$17,0)</f>
        <v>0</v>
      </c>
      <c r="AEF50" s="115">
        <f t="shared" ref="AEF50" si="3356">IF(AEF49&gt;0,AEF$17,0)</f>
        <v>0</v>
      </c>
      <c r="AEG50" s="115">
        <f t="shared" ref="AEG50" si="3357">IF(AEG49&gt;0,AEG$17,0)</f>
        <v>0</v>
      </c>
      <c r="AEH50" s="115">
        <f t="shared" ref="AEH50" si="3358">IF(AEH49&gt;0,AEH$17,0)</f>
        <v>0</v>
      </c>
      <c r="AEI50" s="115">
        <f t="shared" ref="AEI50" si="3359">IF(AEI49&gt;0,AEI$17,0)</f>
        <v>0</v>
      </c>
      <c r="AEJ50" s="115">
        <f t="shared" ref="AEJ50" si="3360">IF(AEJ49&gt;0,AEJ$17,0)</f>
        <v>0</v>
      </c>
      <c r="AEK50" s="115">
        <f t="shared" ref="AEK50" si="3361">IF(AEK49&gt;0,AEK$17,0)</f>
        <v>0</v>
      </c>
      <c r="AEL50" s="115">
        <f t="shared" ref="AEL50" si="3362">IF(AEL49&gt;0,AEL$17,0)</f>
        <v>0</v>
      </c>
      <c r="AEM50" s="115">
        <f t="shared" ref="AEM50" si="3363">IF(AEM49&gt;0,AEM$17,0)</f>
        <v>0</v>
      </c>
      <c r="AEN50" s="115">
        <f t="shared" ref="AEN50" si="3364">IF(AEN49&gt;0,AEN$17,0)</f>
        <v>0</v>
      </c>
      <c r="AEO50" s="115">
        <f t="shared" ref="AEO50" si="3365">IF(AEO49&gt;0,AEO$17,0)</f>
        <v>0</v>
      </c>
      <c r="AEP50" s="115">
        <f t="shared" ref="AEP50" si="3366">IF(AEP49&gt;0,AEP$17,0)</f>
        <v>0</v>
      </c>
      <c r="AEQ50" s="115">
        <f t="shared" ref="AEQ50" si="3367">IF(AEQ49&gt;0,AEQ$17,0)</f>
        <v>0</v>
      </c>
      <c r="AER50" s="115">
        <f t="shared" ref="AER50" si="3368">IF(AER49&gt;0,AER$17,0)</f>
        <v>0</v>
      </c>
      <c r="AES50" s="115">
        <f t="shared" ref="AES50" si="3369">IF(AES49&gt;0,AES$17,0)</f>
        <v>0</v>
      </c>
      <c r="AET50" s="115">
        <f t="shared" ref="AET50" si="3370">IF(AET49&gt;0,AET$17,0)</f>
        <v>0</v>
      </c>
      <c r="AEU50" s="115">
        <f t="shared" ref="AEU50" si="3371">IF(AEU49&gt;0,AEU$17,0)</f>
        <v>0</v>
      </c>
      <c r="AEV50" s="115">
        <f t="shared" ref="AEV50" si="3372">IF(AEV49&gt;0,AEV$17,0)</f>
        <v>0</v>
      </c>
      <c r="AEW50" s="115">
        <f t="shared" ref="AEW50" si="3373">IF(AEW49&gt;0,AEW$17,0)</f>
        <v>0</v>
      </c>
      <c r="AEX50" s="115">
        <f t="shared" ref="AEX50" si="3374">IF(AEX49&gt;0,AEX$17,0)</f>
        <v>0</v>
      </c>
      <c r="AEY50" s="115">
        <f t="shared" ref="AEY50" si="3375">IF(AEY49&gt;0,AEY$17,0)</f>
        <v>0</v>
      </c>
      <c r="AEZ50" s="115">
        <f t="shared" ref="AEZ50" si="3376">IF(AEZ49&gt;0,AEZ$17,0)</f>
        <v>0</v>
      </c>
      <c r="AFA50" s="115">
        <f t="shared" ref="AFA50" si="3377">IF(AFA49&gt;0,AFA$17,0)</f>
        <v>0</v>
      </c>
      <c r="AFB50" s="115">
        <f t="shared" ref="AFB50" si="3378">IF(AFB49&gt;0,AFB$17,0)</f>
        <v>0</v>
      </c>
      <c r="AFC50" s="115">
        <f t="shared" ref="AFC50" si="3379">IF(AFC49&gt;0,AFC$17,0)</f>
        <v>0</v>
      </c>
      <c r="AFD50" s="115">
        <f t="shared" ref="AFD50" si="3380">IF(AFD49&gt;0,AFD$17,0)</f>
        <v>0</v>
      </c>
      <c r="AFE50" s="115">
        <f t="shared" ref="AFE50" si="3381">IF(AFE49&gt;0,AFE$17,0)</f>
        <v>0</v>
      </c>
      <c r="AFF50" s="115">
        <f t="shared" ref="AFF50" si="3382">IF(AFF49&gt;0,AFF$17,0)</f>
        <v>0</v>
      </c>
      <c r="AFG50" s="115">
        <f t="shared" ref="AFG50" si="3383">IF(AFG49&gt;0,AFG$17,0)</f>
        <v>0</v>
      </c>
      <c r="AFH50" s="115">
        <f t="shared" ref="AFH50" si="3384">IF(AFH49&gt;0,AFH$17,0)</f>
        <v>0</v>
      </c>
      <c r="AFI50" s="115">
        <f t="shared" ref="AFI50" si="3385">IF(AFI49&gt;0,AFI$17,0)</f>
        <v>0</v>
      </c>
      <c r="AFJ50" s="115">
        <f t="shared" ref="AFJ50" si="3386">IF(AFJ49&gt;0,AFJ$17,0)</f>
        <v>0</v>
      </c>
      <c r="AFK50" s="115">
        <f t="shared" ref="AFK50" si="3387">IF(AFK49&gt;0,AFK$17,0)</f>
        <v>0</v>
      </c>
      <c r="AFL50" s="115">
        <f t="shared" ref="AFL50" si="3388">IF(AFL49&gt;0,AFL$17,0)</f>
        <v>0</v>
      </c>
      <c r="AFM50" s="115">
        <f t="shared" ref="AFM50" si="3389">IF(AFM49&gt;0,AFM$17,0)</f>
        <v>0</v>
      </c>
      <c r="AFN50" s="115">
        <f t="shared" ref="AFN50" si="3390">IF(AFN49&gt;0,AFN$17,0)</f>
        <v>0</v>
      </c>
      <c r="AFO50" s="115">
        <f t="shared" ref="AFO50" si="3391">IF(AFO49&gt;0,AFO$17,0)</f>
        <v>0</v>
      </c>
      <c r="AFP50" s="115">
        <f t="shared" ref="AFP50" si="3392">IF(AFP49&gt;0,AFP$17,0)</f>
        <v>0</v>
      </c>
      <c r="AFQ50" s="115">
        <f t="shared" ref="AFQ50" si="3393">IF(AFQ49&gt;0,AFQ$17,0)</f>
        <v>0</v>
      </c>
      <c r="AFR50" s="115">
        <f t="shared" ref="AFR50" si="3394">IF(AFR49&gt;0,AFR$17,0)</f>
        <v>0</v>
      </c>
      <c r="AFS50" s="115">
        <f t="shared" ref="AFS50" si="3395">IF(AFS49&gt;0,AFS$17,0)</f>
        <v>0</v>
      </c>
      <c r="AFT50" s="115">
        <f t="shared" ref="AFT50" si="3396">IF(AFT49&gt;0,AFT$17,0)</f>
        <v>0</v>
      </c>
      <c r="AFU50" s="115">
        <f t="shared" ref="AFU50" si="3397">IF(AFU49&gt;0,AFU$17,0)</f>
        <v>0</v>
      </c>
      <c r="AFV50" s="115">
        <f t="shared" ref="AFV50" si="3398">IF(AFV49&gt;0,AFV$17,0)</f>
        <v>0</v>
      </c>
      <c r="AFW50" s="115">
        <f t="shared" ref="AFW50" si="3399">IF(AFW49&gt;0,AFW$17,0)</f>
        <v>0</v>
      </c>
      <c r="AFX50" s="115">
        <f t="shared" ref="AFX50" si="3400">IF(AFX49&gt;0,AFX$17,0)</f>
        <v>0</v>
      </c>
      <c r="AFY50" s="115">
        <f t="shared" ref="AFY50" si="3401">IF(AFY49&gt;0,AFY$17,0)</f>
        <v>0</v>
      </c>
      <c r="AFZ50" s="115">
        <f t="shared" ref="AFZ50" si="3402">IF(AFZ49&gt;0,AFZ$17,0)</f>
        <v>0</v>
      </c>
      <c r="AGA50" s="115">
        <f t="shared" ref="AGA50" si="3403">IF(AGA49&gt;0,AGA$17,0)</f>
        <v>0</v>
      </c>
      <c r="AGB50" s="115">
        <f t="shared" ref="AGB50" si="3404">IF(AGB49&gt;0,AGB$17,0)</f>
        <v>0</v>
      </c>
      <c r="AGC50" s="115">
        <f t="shared" ref="AGC50" si="3405">IF(AGC49&gt;0,AGC$17,0)</f>
        <v>0</v>
      </c>
      <c r="AGD50" s="115">
        <f t="shared" ref="AGD50" si="3406">IF(AGD49&gt;0,AGD$17,0)</f>
        <v>0</v>
      </c>
      <c r="AGE50" s="115">
        <f t="shared" ref="AGE50" si="3407">IF(AGE49&gt;0,AGE$17,0)</f>
        <v>0</v>
      </c>
      <c r="AGF50" s="115">
        <f t="shared" ref="AGF50" si="3408">IF(AGF49&gt;0,AGF$17,0)</f>
        <v>0</v>
      </c>
      <c r="AGG50" s="115">
        <f t="shared" ref="AGG50" si="3409">IF(AGG49&gt;0,AGG$17,0)</f>
        <v>0</v>
      </c>
      <c r="AGH50" s="115">
        <f t="shared" ref="AGH50" si="3410">IF(AGH49&gt;0,AGH$17,0)</f>
        <v>0</v>
      </c>
      <c r="AGI50" s="115">
        <f t="shared" ref="AGI50" si="3411">IF(AGI49&gt;0,AGI$17,0)</f>
        <v>0</v>
      </c>
      <c r="AGJ50" s="115">
        <f t="shared" ref="AGJ50" si="3412">IF(AGJ49&gt;0,AGJ$17,0)</f>
        <v>0</v>
      </c>
      <c r="AGK50" s="115">
        <f t="shared" ref="AGK50" si="3413">IF(AGK49&gt;0,AGK$17,0)</f>
        <v>0</v>
      </c>
      <c r="AGL50" s="115">
        <f t="shared" ref="AGL50" si="3414">IF(AGL49&gt;0,AGL$17,0)</f>
        <v>0</v>
      </c>
      <c r="AGM50" s="115">
        <f t="shared" ref="AGM50" si="3415">IF(AGM49&gt;0,AGM$17,0)</f>
        <v>0</v>
      </c>
      <c r="AGN50" s="115">
        <f t="shared" ref="AGN50" si="3416">IF(AGN49&gt;0,AGN$17,0)</f>
        <v>0</v>
      </c>
      <c r="AGO50" s="115">
        <f t="shared" ref="AGO50" si="3417">IF(AGO49&gt;0,AGO$17,0)</f>
        <v>0</v>
      </c>
      <c r="AGP50" s="115">
        <f t="shared" ref="AGP50" si="3418">IF(AGP49&gt;0,AGP$17,0)</f>
        <v>0</v>
      </c>
      <c r="AGQ50" s="115">
        <f t="shared" ref="AGQ50" si="3419">IF(AGQ49&gt;0,AGQ$17,0)</f>
        <v>0</v>
      </c>
      <c r="AGR50" s="115">
        <f t="shared" ref="AGR50" si="3420">IF(AGR49&gt;0,AGR$17,0)</f>
        <v>0</v>
      </c>
      <c r="AGS50" s="115">
        <f t="shared" ref="AGS50" si="3421">IF(AGS49&gt;0,AGS$17,0)</f>
        <v>0</v>
      </c>
      <c r="AGT50" s="115">
        <f t="shared" ref="AGT50" si="3422">IF(AGT49&gt;0,AGT$17,0)</f>
        <v>0</v>
      </c>
      <c r="AGU50" s="115">
        <f t="shared" ref="AGU50" si="3423">IF(AGU49&gt;0,AGU$17,0)</f>
        <v>0</v>
      </c>
      <c r="AGV50" s="115">
        <f t="shared" ref="AGV50" si="3424">IF(AGV49&gt;0,AGV$17,0)</f>
        <v>0</v>
      </c>
      <c r="AGW50" s="115">
        <f t="shared" ref="AGW50" si="3425">IF(AGW49&gt;0,AGW$17,0)</f>
        <v>0</v>
      </c>
      <c r="AGX50" s="115">
        <f t="shared" ref="AGX50" si="3426">IF(AGX49&gt;0,AGX$17,0)</f>
        <v>0</v>
      </c>
      <c r="AGY50" s="115">
        <f t="shared" ref="AGY50" si="3427">IF(AGY49&gt;0,AGY$17,0)</f>
        <v>0</v>
      </c>
      <c r="AGZ50" s="115">
        <f t="shared" ref="AGZ50" si="3428">IF(AGZ49&gt;0,AGZ$17,0)</f>
        <v>0</v>
      </c>
      <c r="AHA50" s="115">
        <f t="shared" ref="AHA50" si="3429">IF(AHA49&gt;0,AHA$17,0)</f>
        <v>0</v>
      </c>
      <c r="AHB50" s="115">
        <f t="shared" ref="AHB50" si="3430">IF(AHB49&gt;0,AHB$17,0)</f>
        <v>0</v>
      </c>
      <c r="AHC50" s="115">
        <f t="shared" ref="AHC50" si="3431">IF(AHC49&gt;0,AHC$17,0)</f>
        <v>0</v>
      </c>
      <c r="AHD50" s="115">
        <f t="shared" ref="AHD50" si="3432">IF(AHD49&gt;0,AHD$17,0)</f>
        <v>0</v>
      </c>
      <c r="AHE50" s="115">
        <f t="shared" ref="AHE50" si="3433">IF(AHE49&gt;0,AHE$17,0)</f>
        <v>0</v>
      </c>
      <c r="AHF50" s="115">
        <f t="shared" ref="AHF50" si="3434">IF(AHF49&gt;0,AHF$17,0)</f>
        <v>0</v>
      </c>
      <c r="AHG50" s="115">
        <f t="shared" ref="AHG50" si="3435">IF(AHG49&gt;0,AHG$17,0)</f>
        <v>0</v>
      </c>
      <c r="AHH50" s="115">
        <f t="shared" ref="AHH50" si="3436">IF(AHH49&gt;0,AHH$17,0)</f>
        <v>0</v>
      </c>
      <c r="AHI50" s="115">
        <f t="shared" ref="AHI50" si="3437">IF(AHI49&gt;0,AHI$17,0)</f>
        <v>0</v>
      </c>
      <c r="AHJ50" s="115">
        <f t="shared" ref="AHJ50" si="3438">IF(AHJ49&gt;0,AHJ$17,0)</f>
        <v>0</v>
      </c>
      <c r="AHK50" s="115">
        <f t="shared" ref="AHK50" si="3439">IF(AHK49&gt;0,AHK$17,0)</f>
        <v>0</v>
      </c>
      <c r="AHL50" s="115">
        <f t="shared" ref="AHL50" si="3440">IF(AHL49&gt;0,AHL$17,0)</f>
        <v>0</v>
      </c>
      <c r="AHM50" s="115">
        <f t="shared" ref="AHM50" si="3441">IF(AHM49&gt;0,AHM$17,0)</f>
        <v>0</v>
      </c>
      <c r="AHN50" s="115">
        <f t="shared" ref="AHN50" si="3442">IF(AHN49&gt;0,AHN$17,0)</f>
        <v>0</v>
      </c>
      <c r="AHO50" s="115">
        <f t="shared" ref="AHO50" si="3443">IF(AHO49&gt;0,AHO$17,0)</f>
        <v>0</v>
      </c>
      <c r="AHP50" s="115">
        <f t="shared" ref="AHP50" si="3444">IF(AHP49&gt;0,AHP$17,0)</f>
        <v>0</v>
      </c>
      <c r="AHQ50" s="115">
        <f t="shared" ref="AHQ50" si="3445">IF(AHQ49&gt;0,AHQ$17,0)</f>
        <v>0</v>
      </c>
      <c r="AHR50" s="115">
        <f t="shared" ref="AHR50" si="3446">IF(AHR49&gt;0,AHR$17,0)</f>
        <v>0</v>
      </c>
      <c r="AHS50" s="115">
        <f t="shared" ref="AHS50" si="3447">IF(AHS49&gt;0,AHS$17,0)</f>
        <v>0</v>
      </c>
      <c r="AHT50" s="115">
        <f t="shared" ref="AHT50" si="3448">IF(AHT49&gt;0,AHT$17,0)</f>
        <v>0</v>
      </c>
      <c r="AHU50" s="115">
        <f t="shared" ref="AHU50" si="3449">IF(AHU49&gt;0,AHU$17,0)</f>
        <v>0</v>
      </c>
      <c r="AHV50" s="115">
        <f t="shared" ref="AHV50" si="3450">IF(AHV49&gt;0,AHV$17,0)</f>
        <v>0</v>
      </c>
      <c r="AHW50" s="115">
        <f t="shared" ref="AHW50" si="3451">IF(AHW49&gt;0,AHW$17,0)</f>
        <v>0</v>
      </c>
      <c r="AHX50" s="115">
        <f t="shared" ref="AHX50" si="3452">IF(AHX49&gt;0,AHX$17,0)</f>
        <v>0</v>
      </c>
      <c r="AHY50" s="115">
        <f t="shared" ref="AHY50" si="3453">IF(AHY49&gt;0,AHY$17,0)</f>
        <v>0</v>
      </c>
      <c r="AHZ50" s="115">
        <f t="shared" ref="AHZ50" si="3454">IF(AHZ49&gt;0,AHZ$17,0)</f>
        <v>0</v>
      </c>
      <c r="AIA50" s="115">
        <f t="shared" ref="AIA50" si="3455">IF(AIA49&gt;0,AIA$17,0)</f>
        <v>0</v>
      </c>
      <c r="AIB50" s="115">
        <f t="shared" ref="AIB50" si="3456">IF(AIB49&gt;0,AIB$17,0)</f>
        <v>0</v>
      </c>
      <c r="AIC50" s="115">
        <f t="shared" ref="AIC50" si="3457">IF(AIC49&gt;0,AIC$17,0)</f>
        <v>0</v>
      </c>
      <c r="AID50" s="115">
        <f t="shared" ref="AID50" si="3458">IF(AID49&gt;0,AID$17,0)</f>
        <v>0</v>
      </c>
      <c r="AIE50" s="115">
        <f t="shared" ref="AIE50" si="3459">IF(AIE49&gt;0,AIE$17,0)</f>
        <v>0</v>
      </c>
      <c r="AIF50" s="115">
        <f t="shared" ref="AIF50" si="3460">IF(AIF49&gt;0,AIF$17,0)</f>
        <v>0</v>
      </c>
      <c r="AIG50" s="115">
        <f t="shared" ref="AIG50" si="3461">IF(AIG49&gt;0,AIG$17,0)</f>
        <v>0</v>
      </c>
      <c r="AIH50" s="115">
        <f t="shared" ref="AIH50" si="3462">IF(AIH49&gt;0,AIH$17,0)</f>
        <v>0</v>
      </c>
      <c r="AII50" s="115">
        <f t="shared" ref="AII50" si="3463">IF(AII49&gt;0,AII$17,0)</f>
        <v>0</v>
      </c>
      <c r="AIJ50" s="115">
        <f t="shared" ref="AIJ50" si="3464">IF(AIJ49&gt;0,AIJ$17,0)</f>
        <v>0</v>
      </c>
      <c r="AIK50" s="115">
        <f t="shared" ref="AIK50" si="3465">IF(AIK49&gt;0,AIK$17,0)</f>
        <v>0</v>
      </c>
      <c r="AIL50" s="115">
        <f t="shared" ref="AIL50" si="3466">IF(AIL49&gt;0,AIL$17,0)</f>
        <v>0</v>
      </c>
      <c r="AIM50" s="115">
        <f t="shared" ref="AIM50" si="3467">IF(AIM49&gt;0,AIM$17,0)</f>
        <v>0</v>
      </c>
      <c r="AIN50" s="115">
        <f t="shared" ref="AIN50" si="3468">IF(AIN49&gt;0,AIN$17,0)</f>
        <v>0</v>
      </c>
      <c r="AIO50" s="115">
        <f t="shared" ref="AIO50" si="3469">IF(AIO49&gt;0,AIO$17,0)</f>
        <v>0</v>
      </c>
      <c r="AIP50" s="115">
        <f t="shared" ref="AIP50" si="3470">IF(AIP49&gt;0,AIP$17,0)</f>
        <v>0</v>
      </c>
      <c r="AIQ50" s="115">
        <f t="shared" ref="AIQ50" si="3471">IF(AIQ49&gt;0,AIQ$17,0)</f>
        <v>0</v>
      </c>
      <c r="AIR50" s="115">
        <f t="shared" ref="AIR50" si="3472">IF(AIR49&gt;0,AIR$17,0)</f>
        <v>0</v>
      </c>
      <c r="AIS50" s="115">
        <f t="shared" ref="AIS50" si="3473">IF(AIS49&gt;0,AIS$17,0)</f>
        <v>0</v>
      </c>
      <c r="AIT50" s="115">
        <f t="shared" ref="AIT50" si="3474">IF(AIT49&gt;0,AIT$17,0)</f>
        <v>0</v>
      </c>
      <c r="AIU50" s="115">
        <f t="shared" ref="AIU50" si="3475">IF(AIU49&gt;0,AIU$17,0)</f>
        <v>0</v>
      </c>
      <c r="AIV50" s="115">
        <f t="shared" ref="AIV50" si="3476">IF(AIV49&gt;0,AIV$17,0)</f>
        <v>0</v>
      </c>
      <c r="AIW50" s="115">
        <f t="shared" ref="AIW50" si="3477">IF(AIW49&gt;0,AIW$17,0)</f>
        <v>0</v>
      </c>
      <c r="AIX50" s="115">
        <f t="shared" ref="AIX50" si="3478">IF(AIX49&gt;0,AIX$17,0)</f>
        <v>0</v>
      </c>
      <c r="AIY50" s="115">
        <f t="shared" ref="AIY50" si="3479">IF(AIY49&gt;0,AIY$17,0)</f>
        <v>0</v>
      </c>
      <c r="AIZ50" s="115">
        <f t="shared" ref="AIZ50" si="3480">IF(AIZ49&gt;0,AIZ$17,0)</f>
        <v>0</v>
      </c>
      <c r="AJA50" s="115">
        <f t="shared" ref="AJA50" si="3481">IF(AJA49&gt;0,AJA$17,0)</f>
        <v>0</v>
      </c>
      <c r="AJB50" s="115">
        <f t="shared" ref="AJB50" si="3482">IF(AJB49&gt;0,AJB$17,0)</f>
        <v>0</v>
      </c>
      <c r="AJC50" s="115">
        <f t="shared" ref="AJC50" si="3483">IF(AJC49&gt;0,AJC$17,0)</f>
        <v>0</v>
      </c>
      <c r="AJD50" s="115">
        <f t="shared" ref="AJD50" si="3484">IF(AJD49&gt;0,AJD$17,0)</f>
        <v>0</v>
      </c>
      <c r="AJE50" s="115">
        <f t="shared" ref="AJE50" si="3485">IF(AJE49&gt;0,AJE$17,0)</f>
        <v>0</v>
      </c>
      <c r="AJF50" s="115">
        <f t="shared" ref="AJF50" si="3486">IF(AJF49&gt;0,AJF$17,0)</f>
        <v>0</v>
      </c>
      <c r="AJG50" s="115">
        <f t="shared" ref="AJG50" si="3487">IF(AJG49&gt;0,AJG$17,0)</f>
        <v>0</v>
      </c>
      <c r="AJH50" s="115">
        <f t="shared" ref="AJH50" si="3488">IF(AJH49&gt;0,AJH$17,0)</f>
        <v>0</v>
      </c>
      <c r="AJI50" s="115">
        <f t="shared" ref="AJI50" si="3489">IF(AJI49&gt;0,AJI$17,0)</f>
        <v>0</v>
      </c>
      <c r="AJJ50" s="115">
        <f t="shared" ref="AJJ50" si="3490">IF(AJJ49&gt;0,AJJ$17,0)</f>
        <v>0</v>
      </c>
      <c r="AJK50" s="115">
        <f t="shared" ref="AJK50" si="3491">IF(AJK49&gt;0,AJK$17,0)</f>
        <v>0</v>
      </c>
      <c r="AJL50" s="115">
        <f t="shared" ref="AJL50" si="3492">IF(AJL49&gt;0,AJL$17,0)</f>
        <v>0</v>
      </c>
      <c r="AJM50" s="115">
        <f t="shared" ref="AJM50" si="3493">IF(AJM49&gt;0,AJM$17,0)</f>
        <v>0</v>
      </c>
      <c r="AJN50" s="115">
        <f t="shared" ref="AJN50" si="3494">IF(AJN49&gt;0,AJN$17,0)</f>
        <v>0</v>
      </c>
      <c r="AJO50" s="115">
        <f t="shared" ref="AJO50" si="3495">IF(AJO49&gt;0,AJO$17,0)</f>
        <v>0</v>
      </c>
      <c r="AJP50" s="115">
        <f t="shared" ref="AJP50" si="3496">IF(AJP49&gt;0,AJP$17,0)</f>
        <v>0</v>
      </c>
      <c r="AJQ50" s="115">
        <f t="shared" ref="AJQ50" si="3497">IF(AJQ49&gt;0,AJQ$17,0)</f>
        <v>0</v>
      </c>
      <c r="AJR50" s="115">
        <f t="shared" ref="AJR50" si="3498">IF(AJR49&gt;0,AJR$17,0)</f>
        <v>0</v>
      </c>
      <c r="AJS50" s="115">
        <f t="shared" ref="AJS50" si="3499">IF(AJS49&gt;0,AJS$17,0)</f>
        <v>0</v>
      </c>
      <c r="AJT50" s="115">
        <f t="shared" ref="AJT50" si="3500">IF(AJT49&gt;0,AJT$17,0)</f>
        <v>0</v>
      </c>
      <c r="AJU50" s="115">
        <f t="shared" ref="AJU50" si="3501">IF(AJU49&gt;0,AJU$17,0)</f>
        <v>0</v>
      </c>
      <c r="AJV50" s="115">
        <f t="shared" ref="AJV50" si="3502">IF(AJV49&gt;0,AJV$17,0)</f>
        <v>0</v>
      </c>
      <c r="AJW50" s="115">
        <f t="shared" ref="AJW50" si="3503">IF(AJW49&gt;0,AJW$17,0)</f>
        <v>0</v>
      </c>
      <c r="AJX50" s="115">
        <f t="shared" ref="AJX50" si="3504">IF(AJX49&gt;0,AJX$17,0)</f>
        <v>0</v>
      </c>
      <c r="AJY50" s="115">
        <f t="shared" ref="AJY50" si="3505">IF(AJY49&gt;0,AJY$17,0)</f>
        <v>0</v>
      </c>
      <c r="AJZ50" s="115">
        <f t="shared" ref="AJZ50" si="3506">IF(AJZ49&gt;0,AJZ$17,0)</f>
        <v>0</v>
      </c>
      <c r="AKA50" s="115">
        <f t="shared" ref="AKA50" si="3507">IF(AKA49&gt;0,AKA$17,0)</f>
        <v>0</v>
      </c>
      <c r="AKB50" s="115">
        <f t="shared" ref="AKB50" si="3508">IF(AKB49&gt;0,AKB$17,0)</f>
        <v>0</v>
      </c>
      <c r="AKC50" s="115">
        <f t="shared" ref="AKC50" si="3509">IF(AKC49&gt;0,AKC$17,0)</f>
        <v>0</v>
      </c>
      <c r="AKD50" s="115">
        <f t="shared" ref="AKD50" si="3510">IF(AKD49&gt;0,AKD$17,0)</f>
        <v>0</v>
      </c>
      <c r="AKE50" s="115">
        <f t="shared" ref="AKE50" si="3511">IF(AKE49&gt;0,AKE$17,0)</f>
        <v>0</v>
      </c>
      <c r="AKF50" s="115">
        <f t="shared" ref="AKF50" si="3512">IF(AKF49&gt;0,AKF$17,0)</f>
        <v>0</v>
      </c>
      <c r="AKG50" s="115">
        <f t="shared" ref="AKG50" si="3513">IF(AKG49&gt;0,AKG$17,0)</f>
        <v>0</v>
      </c>
      <c r="AKH50" s="115">
        <f t="shared" ref="AKH50" si="3514">IF(AKH49&gt;0,AKH$17,0)</f>
        <v>0</v>
      </c>
      <c r="AKI50" s="115">
        <f t="shared" ref="AKI50" si="3515">IF(AKI49&gt;0,AKI$17,0)</f>
        <v>0</v>
      </c>
      <c r="AKJ50" s="115">
        <f t="shared" ref="AKJ50" si="3516">IF(AKJ49&gt;0,AKJ$17,0)</f>
        <v>0</v>
      </c>
      <c r="AKK50" s="115">
        <f t="shared" ref="AKK50" si="3517">IF(AKK49&gt;0,AKK$17,0)</f>
        <v>0</v>
      </c>
      <c r="AKL50" s="115">
        <f t="shared" ref="AKL50" si="3518">IF(AKL49&gt;0,AKL$17,0)</f>
        <v>0</v>
      </c>
      <c r="AKM50" s="115">
        <f t="shared" ref="AKM50" si="3519">IF(AKM49&gt;0,AKM$17,0)</f>
        <v>0</v>
      </c>
      <c r="AKN50" s="115">
        <f t="shared" ref="AKN50" si="3520">IF(AKN49&gt;0,AKN$17,0)</f>
        <v>0</v>
      </c>
      <c r="AKO50" s="115">
        <f t="shared" ref="AKO50" si="3521">IF(AKO49&gt;0,AKO$17,0)</f>
        <v>0</v>
      </c>
      <c r="AKP50" s="115">
        <f t="shared" ref="AKP50" si="3522">IF(AKP49&gt;0,AKP$17,0)</f>
        <v>0</v>
      </c>
      <c r="AKQ50" s="115">
        <f t="shared" ref="AKQ50" si="3523">IF(AKQ49&gt;0,AKQ$17,0)</f>
        <v>0</v>
      </c>
      <c r="AKR50" s="115">
        <f t="shared" ref="AKR50" si="3524">IF(AKR49&gt;0,AKR$17,0)</f>
        <v>0</v>
      </c>
      <c r="AKS50" s="115">
        <f t="shared" ref="AKS50" si="3525">IF(AKS49&gt;0,AKS$17,0)</f>
        <v>0</v>
      </c>
      <c r="AKT50" s="115">
        <f t="shared" ref="AKT50" si="3526">IF(AKT49&gt;0,AKT$17,0)</f>
        <v>0</v>
      </c>
      <c r="AKU50" s="115">
        <f t="shared" ref="AKU50" si="3527">IF(AKU49&gt;0,AKU$17,0)</f>
        <v>0</v>
      </c>
      <c r="AKV50" s="115">
        <f t="shared" ref="AKV50" si="3528">IF(AKV49&gt;0,AKV$17,0)</f>
        <v>0</v>
      </c>
      <c r="AKW50" s="115">
        <f t="shared" ref="AKW50" si="3529">IF(AKW49&gt;0,AKW$17,0)</f>
        <v>0</v>
      </c>
      <c r="AKX50" s="115">
        <f t="shared" ref="AKX50" si="3530">IF(AKX49&gt;0,AKX$17,0)</f>
        <v>0</v>
      </c>
      <c r="AKY50" s="115">
        <f t="shared" ref="AKY50" si="3531">IF(AKY49&gt;0,AKY$17,0)</f>
        <v>0</v>
      </c>
      <c r="AKZ50" s="115">
        <f t="shared" ref="AKZ50" si="3532">IF(AKZ49&gt;0,AKZ$17,0)</f>
        <v>0</v>
      </c>
      <c r="ALA50" s="115">
        <f t="shared" ref="ALA50" si="3533">IF(ALA49&gt;0,ALA$17,0)</f>
        <v>0</v>
      </c>
      <c r="ALB50" s="115">
        <f t="shared" ref="ALB50" si="3534">IF(ALB49&gt;0,ALB$17,0)</f>
        <v>0</v>
      </c>
      <c r="ALC50" s="115">
        <f t="shared" ref="ALC50" si="3535">IF(ALC49&gt;0,ALC$17,0)</f>
        <v>0</v>
      </c>
      <c r="ALD50" s="115">
        <f t="shared" ref="ALD50" si="3536">IF(ALD49&gt;0,ALD$17,0)</f>
        <v>0</v>
      </c>
      <c r="ALE50" s="115">
        <f t="shared" ref="ALE50" si="3537">IF(ALE49&gt;0,ALE$17,0)</f>
        <v>0</v>
      </c>
      <c r="ALF50" s="115">
        <f t="shared" ref="ALF50" si="3538">IF(ALF49&gt;0,ALF$17,0)</f>
        <v>0</v>
      </c>
      <c r="ALG50" s="115">
        <f t="shared" ref="ALG50" si="3539">IF(ALG49&gt;0,ALG$17,0)</f>
        <v>0</v>
      </c>
      <c r="ALH50" s="115">
        <f t="shared" ref="ALH50" si="3540">IF(ALH49&gt;0,ALH$17,0)</f>
        <v>0</v>
      </c>
      <c r="ALI50" s="115">
        <f t="shared" ref="ALI50" si="3541">IF(ALI49&gt;0,ALI$17,0)</f>
        <v>0</v>
      </c>
      <c r="ALJ50" s="115">
        <f t="shared" ref="ALJ50" si="3542">IF(ALJ49&gt;0,ALJ$17,0)</f>
        <v>0</v>
      </c>
      <c r="ALK50" s="115">
        <f t="shared" ref="ALK50" si="3543">IF(ALK49&gt;0,ALK$17,0)</f>
        <v>0</v>
      </c>
      <c r="ALL50" s="115">
        <f t="shared" ref="ALL50" si="3544">IF(ALL49&gt;0,ALL$17,0)</f>
        <v>0</v>
      </c>
      <c r="ALM50" s="115">
        <f t="shared" ref="ALM50" si="3545">IF(ALM49&gt;0,ALM$17,0)</f>
        <v>0</v>
      </c>
      <c r="ALN50" s="115">
        <f t="shared" ref="ALN50" si="3546">IF(ALN49&gt;0,ALN$17,0)</f>
        <v>0</v>
      </c>
      <c r="ALO50" s="115">
        <f t="shared" ref="ALO50" si="3547">IF(ALO49&gt;0,ALO$17,0)</f>
        <v>0</v>
      </c>
      <c r="ALP50" s="115">
        <f t="shared" ref="ALP50" si="3548">IF(ALP49&gt;0,ALP$17,0)</f>
        <v>0</v>
      </c>
      <c r="ALQ50" s="115">
        <f t="shared" ref="ALQ50" si="3549">IF(ALQ49&gt;0,ALQ$17,0)</f>
        <v>0</v>
      </c>
      <c r="ALR50" s="115">
        <f t="shared" ref="ALR50" si="3550">IF(ALR49&gt;0,ALR$17,0)</f>
        <v>0</v>
      </c>
      <c r="ALS50" s="115">
        <f t="shared" ref="ALS50" si="3551">IF(ALS49&gt;0,ALS$17,0)</f>
        <v>0</v>
      </c>
      <c r="ALT50" s="115">
        <f t="shared" ref="ALT50" si="3552">IF(ALT49&gt;0,ALT$17,0)</f>
        <v>0</v>
      </c>
      <c r="ALU50" s="115">
        <f t="shared" ref="ALU50" si="3553">IF(ALU49&gt;0,ALU$17,0)</f>
        <v>0</v>
      </c>
      <c r="ALV50" s="115">
        <f t="shared" ref="ALV50" si="3554">IF(ALV49&gt;0,ALV$17,0)</f>
        <v>0</v>
      </c>
      <c r="ALW50" s="115">
        <f t="shared" ref="ALW50" si="3555">IF(ALW49&gt;0,ALW$17,0)</f>
        <v>0</v>
      </c>
      <c r="ALX50" s="115">
        <f t="shared" ref="ALX50" si="3556">IF(ALX49&gt;0,ALX$17,0)</f>
        <v>0</v>
      </c>
      <c r="ALY50" s="115">
        <f t="shared" ref="ALY50" si="3557">IF(ALY49&gt;0,ALY$17,0)</f>
        <v>0</v>
      </c>
      <c r="ALZ50" s="115">
        <f t="shared" ref="ALZ50" si="3558">IF(ALZ49&gt;0,ALZ$17,0)</f>
        <v>0</v>
      </c>
      <c r="AMA50" s="115">
        <f t="shared" ref="AMA50" si="3559">IF(AMA49&gt;0,AMA$17,0)</f>
        <v>0</v>
      </c>
      <c r="AMB50" s="115">
        <f t="shared" ref="AMB50" si="3560">IF(AMB49&gt;0,AMB$17,0)</f>
        <v>0</v>
      </c>
      <c r="AMC50" s="115">
        <f t="shared" ref="AMC50" si="3561">IF(AMC49&gt;0,AMC$17,0)</f>
        <v>0</v>
      </c>
      <c r="AMD50" s="115">
        <f t="shared" ref="AMD50" si="3562">IF(AMD49&gt;0,AMD$17,0)</f>
        <v>0</v>
      </c>
      <c r="AME50" s="115">
        <f t="shared" ref="AME50" si="3563">IF(AME49&gt;0,AME$17,0)</f>
        <v>0</v>
      </c>
      <c r="AMF50" s="115">
        <f t="shared" ref="AMF50" si="3564">IF(AMF49&gt;0,AMF$17,0)</f>
        <v>0</v>
      </c>
      <c r="AMG50" s="115">
        <f t="shared" ref="AMG50" si="3565">IF(AMG49&gt;0,AMG$17,0)</f>
        <v>0</v>
      </c>
      <c r="AMH50" s="115">
        <f t="shared" ref="AMH50" si="3566">IF(AMH49&gt;0,AMH$17,0)</f>
        <v>0</v>
      </c>
      <c r="AMI50" s="115">
        <f t="shared" ref="AMI50" si="3567">IF(AMI49&gt;0,AMI$17,0)</f>
        <v>0</v>
      </c>
      <c r="AMJ50" s="115">
        <f t="shared" ref="AMJ50" si="3568">IF(AMJ49&gt;0,AMJ$17,0)</f>
        <v>0</v>
      </c>
      <c r="AMK50" s="115">
        <f t="shared" ref="AMK50" si="3569">IF(AMK49&gt;0,AMK$17,0)</f>
        <v>0</v>
      </c>
      <c r="AML50" s="115">
        <f t="shared" ref="AML50" si="3570">IF(AML49&gt;0,AML$17,0)</f>
        <v>0</v>
      </c>
      <c r="AMM50" s="115">
        <f t="shared" ref="AMM50" si="3571">IF(AMM49&gt;0,AMM$17,0)</f>
        <v>0</v>
      </c>
      <c r="AMN50" s="115">
        <f t="shared" ref="AMN50" si="3572">IF(AMN49&gt;0,AMN$17,0)</f>
        <v>0</v>
      </c>
      <c r="AMO50" s="115">
        <f t="shared" ref="AMO50" si="3573">IF(AMO49&gt;0,AMO$17,0)</f>
        <v>0</v>
      </c>
      <c r="AMP50" s="115">
        <f t="shared" ref="AMP50" si="3574">IF(AMP49&gt;0,AMP$17,0)</f>
        <v>0</v>
      </c>
      <c r="AMQ50" s="115">
        <f t="shared" ref="AMQ50" si="3575">IF(AMQ49&gt;0,AMQ$17,0)</f>
        <v>0</v>
      </c>
      <c r="AMR50" s="115">
        <f t="shared" ref="AMR50" si="3576">IF(AMR49&gt;0,AMR$17,0)</f>
        <v>0</v>
      </c>
      <c r="AMS50" s="115">
        <f t="shared" ref="AMS50" si="3577">IF(AMS49&gt;0,AMS$17,0)</f>
        <v>0</v>
      </c>
      <c r="AMT50" s="115">
        <f t="shared" ref="AMT50" si="3578">IF(AMT49&gt;0,AMT$17,0)</f>
        <v>0</v>
      </c>
      <c r="AMU50" s="115">
        <f t="shared" ref="AMU50" si="3579">IF(AMU49&gt;0,AMU$17,0)</f>
        <v>0</v>
      </c>
      <c r="AMV50" s="115">
        <f t="shared" ref="AMV50" si="3580">IF(AMV49&gt;0,AMV$17,0)</f>
        <v>0</v>
      </c>
      <c r="AMW50" s="115">
        <f t="shared" ref="AMW50" si="3581">IF(AMW49&gt;0,AMW$17,0)</f>
        <v>0</v>
      </c>
      <c r="AMX50" s="115">
        <f t="shared" ref="AMX50" si="3582">IF(AMX49&gt;0,AMX$17,0)</f>
        <v>0</v>
      </c>
      <c r="AMY50" s="115">
        <f t="shared" ref="AMY50" si="3583">IF(AMY49&gt;0,AMY$17,0)</f>
        <v>0</v>
      </c>
      <c r="AMZ50" s="115">
        <f t="shared" ref="AMZ50" si="3584">IF(AMZ49&gt;0,AMZ$17,0)</f>
        <v>0</v>
      </c>
      <c r="ANA50" s="115">
        <f t="shared" ref="ANA50" si="3585">IF(ANA49&gt;0,ANA$17,0)</f>
        <v>0</v>
      </c>
      <c r="ANB50" s="115">
        <f t="shared" ref="ANB50" si="3586">IF(ANB49&gt;0,ANB$17,0)</f>
        <v>0</v>
      </c>
      <c r="ANC50" s="115">
        <f t="shared" ref="ANC50" si="3587">IF(ANC49&gt;0,ANC$17,0)</f>
        <v>0</v>
      </c>
      <c r="AND50" s="115">
        <f t="shared" ref="AND50" si="3588">IF(AND49&gt;0,AND$17,0)</f>
        <v>0</v>
      </c>
      <c r="ANE50" s="115">
        <f t="shared" ref="ANE50" si="3589">IF(ANE49&gt;0,ANE$17,0)</f>
        <v>0</v>
      </c>
      <c r="ANF50" s="115">
        <f t="shared" ref="ANF50" si="3590">IF(ANF49&gt;0,ANF$17,0)</f>
        <v>0</v>
      </c>
      <c r="ANG50" s="115">
        <f t="shared" ref="ANG50" si="3591">IF(ANG49&gt;0,ANG$17,0)</f>
        <v>0</v>
      </c>
      <c r="ANH50" s="115">
        <f t="shared" ref="ANH50" si="3592">IF(ANH49&gt;0,ANH$17,0)</f>
        <v>0</v>
      </c>
      <c r="ANI50" s="115">
        <f t="shared" ref="ANI50" si="3593">IF(ANI49&gt;0,ANI$17,0)</f>
        <v>0</v>
      </c>
      <c r="ANJ50" s="115">
        <f t="shared" ref="ANJ50" si="3594">IF(ANJ49&gt;0,ANJ$17,0)</f>
        <v>0</v>
      </c>
      <c r="ANK50" s="115">
        <f t="shared" ref="ANK50" si="3595">IF(ANK49&gt;0,ANK$17,0)</f>
        <v>0</v>
      </c>
      <c r="ANL50" s="115">
        <f t="shared" ref="ANL50" si="3596">IF(ANL49&gt;0,ANL$17,0)</f>
        <v>0</v>
      </c>
      <c r="ANM50" s="115">
        <f t="shared" ref="ANM50" si="3597">IF(ANM49&gt;0,ANM$17,0)</f>
        <v>0</v>
      </c>
      <c r="ANN50" s="115">
        <f t="shared" ref="ANN50" si="3598">IF(ANN49&gt;0,ANN$17,0)</f>
        <v>0</v>
      </c>
      <c r="ANO50" s="115">
        <f t="shared" ref="ANO50" si="3599">IF(ANO49&gt;0,ANO$17,0)</f>
        <v>0</v>
      </c>
      <c r="ANP50" s="115">
        <f t="shared" ref="ANP50" si="3600">IF(ANP49&gt;0,ANP$17,0)</f>
        <v>0</v>
      </c>
      <c r="ANQ50" s="115">
        <f t="shared" ref="ANQ50" si="3601">IF(ANQ49&gt;0,ANQ$17,0)</f>
        <v>0</v>
      </c>
      <c r="ANR50" s="115">
        <f t="shared" ref="ANR50" si="3602">IF(ANR49&gt;0,ANR$17,0)</f>
        <v>0</v>
      </c>
      <c r="ANS50" s="115">
        <f t="shared" ref="ANS50" si="3603">IF(ANS49&gt;0,ANS$17,0)</f>
        <v>0</v>
      </c>
      <c r="ANT50" s="115">
        <f t="shared" ref="ANT50" si="3604">IF(ANT49&gt;0,ANT$17,0)</f>
        <v>0</v>
      </c>
      <c r="ANU50" s="115">
        <f t="shared" ref="ANU50" si="3605">IF(ANU49&gt;0,ANU$17,0)</f>
        <v>0</v>
      </c>
      <c r="ANV50" s="115">
        <f t="shared" ref="ANV50" si="3606">IF(ANV49&gt;0,ANV$17,0)</f>
        <v>0</v>
      </c>
      <c r="ANW50" s="115">
        <f t="shared" ref="ANW50" si="3607">IF(ANW49&gt;0,ANW$17,0)</f>
        <v>0</v>
      </c>
      <c r="ANX50" s="115">
        <f t="shared" ref="ANX50" si="3608">IF(ANX49&gt;0,ANX$17,0)</f>
        <v>0</v>
      </c>
      <c r="ANY50" s="115">
        <f t="shared" ref="ANY50" si="3609">IF(ANY49&gt;0,ANY$17,0)</f>
        <v>0</v>
      </c>
      <c r="ANZ50" s="115">
        <f t="shared" ref="ANZ50" si="3610">IF(ANZ49&gt;0,ANZ$17,0)</f>
        <v>0</v>
      </c>
      <c r="AOA50" s="115">
        <f t="shared" ref="AOA50" si="3611">IF(AOA49&gt;0,AOA$17,0)</f>
        <v>0</v>
      </c>
      <c r="AOB50" s="115">
        <f t="shared" ref="AOB50" si="3612">IF(AOB49&gt;0,AOB$17,0)</f>
        <v>0</v>
      </c>
      <c r="AOC50" s="115">
        <f t="shared" ref="AOC50" si="3613">IF(AOC49&gt;0,AOC$17,0)</f>
        <v>0</v>
      </c>
      <c r="AOD50" s="115">
        <f t="shared" ref="AOD50" si="3614">IF(AOD49&gt;0,AOD$17,0)</f>
        <v>0</v>
      </c>
      <c r="AOE50" s="115">
        <f t="shared" ref="AOE50" si="3615">IF(AOE49&gt;0,AOE$17,0)</f>
        <v>0</v>
      </c>
      <c r="AOF50" s="115">
        <f t="shared" ref="AOF50" si="3616">IF(AOF49&gt;0,AOF$17,0)</f>
        <v>0</v>
      </c>
      <c r="AOG50" s="115">
        <f t="shared" ref="AOG50" si="3617">IF(AOG49&gt;0,AOG$17,0)</f>
        <v>0</v>
      </c>
      <c r="AOH50" s="115">
        <f t="shared" ref="AOH50" si="3618">IF(AOH49&gt;0,AOH$17,0)</f>
        <v>0</v>
      </c>
      <c r="AOI50" s="115">
        <f t="shared" ref="AOI50" si="3619">IF(AOI49&gt;0,AOI$17,0)</f>
        <v>0</v>
      </c>
      <c r="AOJ50" s="115">
        <f t="shared" ref="AOJ50" si="3620">IF(AOJ49&gt;0,AOJ$17,0)</f>
        <v>0</v>
      </c>
      <c r="AOK50" s="115">
        <f t="shared" ref="AOK50" si="3621">IF(AOK49&gt;0,AOK$17,0)</f>
        <v>0</v>
      </c>
      <c r="AOL50" s="115">
        <f t="shared" ref="AOL50" si="3622">IF(AOL49&gt;0,AOL$17,0)</f>
        <v>0</v>
      </c>
      <c r="AOM50" s="115">
        <f t="shared" ref="AOM50" si="3623">IF(AOM49&gt;0,AOM$17,0)</f>
        <v>0</v>
      </c>
      <c r="AON50" s="115">
        <f t="shared" ref="AON50" si="3624">IF(AON49&gt;0,AON$17,0)</f>
        <v>0</v>
      </c>
      <c r="AOO50" s="115">
        <f t="shared" ref="AOO50" si="3625">IF(AOO49&gt;0,AOO$17,0)</f>
        <v>0</v>
      </c>
      <c r="AOP50" s="115">
        <f t="shared" ref="AOP50" si="3626">IF(AOP49&gt;0,AOP$17,0)</f>
        <v>0</v>
      </c>
      <c r="AOQ50" s="115">
        <f t="shared" ref="AOQ50" si="3627">IF(AOQ49&gt;0,AOQ$17,0)</f>
        <v>0</v>
      </c>
    </row>
    <row r="51" spans="1:1083" x14ac:dyDescent="0.25">
      <c r="B51" s="116" t="s">
        <v>298</v>
      </c>
      <c r="C51" s="115">
        <f>SUM(D51:AOQ51)</f>
        <v>0</v>
      </c>
      <c r="D51" s="115">
        <v>0</v>
      </c>
      <c r="E51" s="115">
        <f>IF(E49&gt;0,SUM($D$18:D18),0)</f>
        <v>0</v>
      </c>
      <c r="F51" s="115">
        <f>IF(F49&gt;0,SUM($D$18:E18),0)</f>
        <v>0</v>
      </c>
      <c r="G51" s="115">
        <f>IF(G49&gt;0,SUM($D$18:F18),0)</f>
        <v>0</v>
      </c>
      <c r="H51" s="115">
        <f>IF(H49&gt;0,SUM($D$18:G18),0)</f>
        <v>0</v>
      </c>
      <c r="I51" s="115">
        <f>IF(I49&gt;0,SUM($D$18:H18),0)</f>
        <v>0</v>
      </c>
      <c r="J51" s="115">
        <f>IF(J49&gt;0,SUM($D$18:I18),0)</f>
        <v>0</v>
      </c>
      <c r="K51" s="115">
        <f>IF(K49&gt;0,SUM($D$18:J18),0)</f>
        <v>0</v>
      </c>
      <c r="L51" s="115">
        <f>IF(L49&gt;0,SUM($D$18:K18),0)</f>
        <v>0</v>
      </c>
      <c r="M51" s="115">
        <f>IF(M49&gt;0,SUM($D$18:L18),0)</f>
        <v>0</v>
      </c>
      <c r="N51" s="115">
        <f>IF(N49&gt;0,SUM($D$18:M18),0)</f>
        <v>0</v>
      </c>
      <c r="O51" s="115">
        <f>IF(O49&gt;0,SUM($D$18:N18),0)</f>
        <v>0</v>
      </c>
      <c r="P51" s="115">
        <f>IF(P49&gt;0,SUM($D$18:O18),0)</f>
        <v>0</v>
      </c>
      <c r="Q51" s="115">
        <f>IF(Q49&gt;0,SUM($D$18:P18),0)</f>
        <v>0</v>
      </c>
      <c r="R51" s="115">
        <f>IF(R49&gt;0,SUM($D$18:Q18),0)</f>
        <v>0</v>
      </c>
      <c r="S51" s="115">
        <f>IF(S49&gt;0,SUM($D$18:R18),0)</f>
        <v>0</v>
      </c>
      <c r="T51" s="115">
        <f>IF(T49&gt;0,SUM($D$18:S18),0)</f>
        <v>0</v>
      </c>
      <c r="U51" s="115">
        <f>IF(U49&gt;0,SUM($D$18:T18),0)</f>
        <v>0</v>
      </c>
      <c r="V51" s="115">
        <f>IF(V49&gt;0,SUM($D$18:U18),0)</f>
        <v>0</v>
      </c>
      <c r="W51" s="115">
        <f>IF(W49&gt;0,SUM($D$18:V18),0)</f>
        <v>0</v>
      </c>
      <c r="X51" s="115">
        <f>IF(X49&gt;0,SUM($D$18:W18),0)</f>
        <v>0</v>
      </c>
      <c r="Y51" s="115">
        <f>IF(Y49&gt;0,SUM($D$18:X18),0)</f>
        <v>0</v>
      </c>
      <c r="Z51" s="115">
        <f>IF(Z49&gt;0,SUM($D$18:Y18),0)</f>
        <v>0</v>
      </c>
      <c r="AA51" s="115">
        <f>IF(AA49&gt;0,SUM($D$18:Z18),0)</f>
        <v>0</v>
      </c>
      <c r="AB51" s="115">
        <f>IF(AB49&gt;0,SUM($D$18:AA18),0)</f>
        <v>0</v>
      </c>
      <c r="AC51" s="115">
        <f>IF(AC49&gt;0,SUM($D$18:AB18),0)</f>
        <v>0</v>
      </c>
      <c r="AD51" s="115">
        <f>IF(AD49&gt;0,SUM($D$18:AC18),0)</f>
        <v>0</v>
      </c>
      <c r="AE51" s="115">
        <f>IF(AE49&gt;0,SUM($D$18:AD18),0)</f>
        <v>0</v>
      </c>
      <c r="AF51" s="115">
        <f>IF(AF49&gt;0,SUM($D$18:AE18),0)</f>
        <v>0</v>
      </c>
      <c r="AG51" s="115">
        <f>IF(AG49&gt;0,SUM($D$18:AF18),0)</f>
        <v>0</v>
      </c>
      <c r="AH51" s="115">
        <f>IF(AH49&gt;0,SUM($D$18:AG18),0)</f>
        <v>0</v>
      </c>
      <c r="AI51" s="115">
        <f>IF(AI49&gt;0,SUM($D$18:AH18),0)</f>
        <v>0</v>
      </c>
      <c r="AJ51" s="115">
        <f>IF(AJ49&gt;0,SUM($D$18:AI18),0)</f>
        <v>0</v>
      </c>
      <c r="AK51" s="115">
        <f>IF(AK49&gt;0,SUM($D$18:AJ18),0)</f>
        <v>0</v>
      </c>
      <c r="AL51" s="115">
        <f>IF(AL49&gt;0,SUM($D$18:AK18),0)</f>
        <v>0</v>
      </c>
      <c r="AM51" s="115">
        <f>IF(AM49&gt;0,SUM($D$18:AL18),0)</f>
        <v>0</v>
      </c>
      <c r="AN51" s="115">
        <f>IF(AN49&gt;0,SUM($D$18:AM18),0)</f>
        <v>0</v>
      </c>
      <c r="AO51" s="115">
        <f>IF(AO49&gt;0,SUM($D$18:AN18),0)</f>
        <v>0</v>
      </c>
      <c r="AP51" s="115">
        <f>IF(AP49&gt;0,SUM($D$18:AO18),0)</f>
        <v>0</v>
      </c>
      <c r="AQ51" s="115">
        <f>IF(AQ49&gt;0,SUM($D$18:AP18),0)</f>
        <v>0</v>
      </c>
      <c r="AR51" s="115">
        <f>IF(AR49&gt;0,SUM($D$18:AQ18),0)</f>
        <v>0</v>
      </c>
      <c r="AS51" s="115">
        <f>IF(AS49&gt;0,SUM($D$18:AR18),0)</f>
        <v>0</v>
      </c>
      <c r="AT51" s="115">
        <f>IF(AT49&gt;0,SUM($D$18:AS18),0)</f>
        <v>0</v>
      </c>
      <c r="AU51" s="115">
        <f>IF(AU49&gt;0,SUM($D$18:AT18),0)</f>
        <v>0</v>
      </c>
      <c r="AV51" s="115">
        <f>IF(AV49&gt;0,SUM($D$18:AU18),0)</f>
        <v>0</v>
      </c>
      <c r="AW51" s="115">
        <f>IF(AW49&gt;0,SUM($D$18:AV18),0)</f>
        <v>0</v>
      </c>
      <c r="AX51" s="115">
        <f>IF(AX49&gt;0,SUM($D$18:AW18),0)</f>
        <v>0</v>
      </c>
      <c r="AY51" s="115">
        <f>IF(AY49&gt;0,SUM($D$18:AX18),0)</f>
        <v>0</v>
      </c>
      <c r="AZ51" s="115">
        <f>IF(AZ49&gt;0,SUM($D$18:AY18),0)</f>
        <v>0</v>
      </c>
      <c r="BA51" s="115">
        <f>IF(BA49&gt;0,SUM($D$18:AZ18),0)</f>
        <v>0</v>
      </c>
      <c r="BB51" s="115">
        <f>IF(BB49&gt;0,SUM($D$18:BA18),0)</f>
        <v>0</v>
      </c>
      <c r="BC51" s="115">
        <f>IF(BC49&gt;0,SUM($D$18:BB18),0)</f>
        <v>0</v>
      </c>
      <c r="BD51" s="115">
        <f>IF(BD49&gt;0,SUM($D$18:BC18),0)</f>
        <v>0</v>
      </c>
      <c r="BE51" s="115">
        <f>IF(BE49&gt;0,SUM($D$18:BD18),0)</f>
        <v>0</v>
      </c>
      <c r="BF51" s="115">
        <f>IF(BF49&gt;0,SUM($D$18:BE18),0)</f>
        <v>0</v>
      </c>
      <c r="BG51" s="115">
        <f>IF(BG49&gt;0,SUM($D$18:BF18),0)</f>
        <v>0</v>
      </c>
      <c r="BH51" s="115">
        <f>IF(BH49&gt;0,SUM($D$18:BG18),0)</f>
        <v>0</v>
      </c>
      <c r="BI51" s="115">
        <f>IF(BI49&gt;0,SUM($D$18:BH18),0)</f>
        <v>0</v>
      </c>
      <c r="BJ51" s="115">
        <f>IF(BJ49&gt;0,SUM($D$18:BI18),0)</f>
        <v>0</v>
      </c>
      <c r="BK51" s="115">
        <f>IF(BK49&gt;0,SUM($D$18:BJ18),0)</f>
        <v>0</v>
      </c>
      <c r="BL51" s="115">
        <f>IF(BL49&gt;0,SUM($D$18:BK18),0)</f>
        <v>0</v>
      </c>
      <c r="BM51" s="115">
        <f>IF(BM49&gt;0,SUM($D$18:BL18),0)</f>
        <v>0</v>
      </c>
      <c r="BN51" s="115">
        <f>IF(BN49&gt;0,SUM($D$18:BM18),0)</f>
        <v>0</v>
      </c>
      <c r="BO51" s="115">
        <f>IF(BO49&gt;0,SUM($D$18:BN18),0)</f>
        <v>0</v>
      </c>
      <c r="BP51" s="115">
        <f>IF(BP49&gt;0,SUM($D$18:BO18),0)</f>
        <v>0</v>
      </c>
      <c r="BQ51" s="115">
        <f>IF(BQ49&gt;0,SUM($D$18:BP18),0)</f>
        <v>0</v>
      </c>
      <c r="BR51" s="115">
        <f>IF(BR49&gt;0,SUM($D$18:BQ18),0)</f>
        <v>0</v>
      </c>
      <c r="BS51" s="115">
        <f>IF(BS49&gt;0,SUM($D$18:BR18),0)</f>
        <v>0</v>
      </c>
      <c r="BT51" s="115">
        <f>IF(BT49&gt;0,SUM($D$18:BS18),0)</f>
        <v>0</v>
      </c>
      <c r="BU51" s="115">
        <f>IF(BU49&gt;0,SUM($D$18:BT18),0)</f>
        <v>0</v>
      </c>
      <c r="BV51" s="115">
        <f>IF(BV49&gt;0,SUM($D$18:BU18),0)</f>
        <v>0</v>
      </c>
      <c r="BW51" s="115">
        <f>IF(BW49&gt;0,SUM($D$18:BV18),0)</f>
        <v>0</v>
      </c>
      <c r="BX51" s="115">
        <f>IF(BX49&gt;0,SUM($D$18:BW18),0)</f>
        <v>0</v>
      </c>
      <c r="BY51" s="115">
        <f>IF(BY49&gt;0,SUM($D$18:BX18),0)</f>
        <v>0</v>
      </c>
      <c r="BZ51" s="115">
        <f>IF(BZ49&gt;0,SUM($D$18:BY18),0)</f>
        <v>0</v>
      </c>
      <c r="CA51" s="115">
        <f>IF(CA49&gt;0,SUM($D$18:BZ18),0)</f>
        <v>0</v>
      </c>
      <c r="CB51" s="115">
        <f>IF(CB49&gt;0,SUM($D$18:CA18),0)</f>
        <v>0</v>
      </c>
      <c r="CC51" s="115">
        <f>IF(CC49&gt;0,SUM($D$18:CB18),0)</f>
        <v>0</v>
      </c>
      <c r="CD51" s="115">
        <f>IF(CD49&gt;0,SUM($D$18:CC18),0)</f>
        <v>0</v>
      </c>
      <c r="CE51" s="115">
        <f>IF(CE49&gt;0,SUM($D$18:CD18),0)</f>
        <v>0</v>
      </c>
      <c r="CF51" s="115">
        <f>IF(CF49&gt;0,SUM($D$18:CE18),0)</f>
        <v>0</v>
      </c>
      <c r="CG51" s="115">
        <f>IF(CG49&gt;0,SUM($D$18:CF18),0)</f>
        <v>0</v>
      </c>
      <c r="CH51" s="115">
        <f>IF(CH49&gt;0,SUM($D$18:CG18),0)</f>
        <v>0</v>
      </c>
      <c r="CI51" s="115">
        <f>IF(CI49&gt;0,SUM($D$18:CH18),0)</f>
        <v>0</v>
      </c>
      <c r="CJ51" s="115">
        <f>IF(CJ49&gt;0,SUM($D$18:CI18),0)</f>
        <v>0</v>
      </c>
      <c r="CK51" s="115">
        <f>IF(CK49&gt;0,SUM($D$18:CJ18),0)</f>
        <v>0</v>
      </c>
      <c r="CL51" s="115">
        <f>IF(CL49&gt;0,SUM($D$18:CK18),0)</f>
        <v>0</v>
      </c>
      <c r="CM51" s="115">
        <f>IF(CM49&gt;0,SUM($D$18:CL18),0)</f>
        <v>0</v>
      </c>
      <c r="CN51" s="115">
        <f>IF(CN49&gt;0,SUM($D$18:CM18),0)</f>
        <v>0</v>
      </c>
      <c r="CO51" s="115">
        <f>IF(CO49&gt;0,SUM($D$18:CN18),0)</f>
        <v>0</v>
      </c>
      <c r="CP51" s="115">
        <f>IF(CP49&gt;0,SUM($D$18:CO18),0)</f>
        <v>0</v>
      </c>
      <c r="CQ51" s="115">
        <f>IF(CQ49&gt;0,SUM($D$18:CP18),0)</f>
        <v>0</v>
      </c>
      <c r="CR51" s="115">
        <f>IF(CR49&gt;0,SUM($D$18:CQ18),0)</f>
        <v>0</v>
      </c>
      <c r="CS51" s="115">
        <f>IF(CS49&gt;0,SUM($D$18:CR18),0)</f>
        <v>0</v>
      </c>
      <c r="CT51" s="115">
        <f>IF(CT49&gt;0,SUM($D$18:CS18),0)</f>
        <v>0</v>
      </c>
      <c r="CU51" s="115">
        <f>IF(CU49&gt;0,SUM($D$18:CT18),0)</f>
        <v>0</v>
      </c>
      <c r="CV51" s="115">
        <f>IF(CV49&gt;0,SUM($D$18:CU18),0)</f>
        <v>0</v>
      </c>
      <c r="CW51" s="115">
        <f>IF(CW49&gt;0,SUM($D$18:CV18),0)</f>
        <v>0</v>
      </c>
      <c r="CX51" s="115">
        <f>IF(CX49&gt;0,SUM($D$18:CW18),0)</f>
        <v>0</v>
      </c>
      <c r="CY51" s="115">
        <f>IF(CY49&gt;0,SUM($D$18:CX18),0)</f>
        <v>0</v>
      </c>
      <c r="CZ51" s="115">
        <f>IF(CZ49&gt;0,SUM($D$18:CY18),0)</f>
        <v>0</v>
      </c>
      <c r="DA51" s="115">
        <f>IF(DA49&gt;0,SUM($D$18:CZ18),0)</f>
        <v>0</v>
      </c>
      <c r="DB51" s="115">
        <f>IF(DB49&gt;0,SUM($D$18:DA18),0)</f>
        <v>0</v>
      </c>
      <c r="DC51" s="115">
        <f>IF(DC49&gt;0,SUM($D$18:DB18),0)</f>
        <v>0</v>
      </c>
      <c r="DD51" s="115">
        <f>IF(DD49&gt;0,SUM($D$18:DC18),0)</f>
        <v>0</v>
      </c>
      <c r="DE51" s="115">
        <f>IF(DE49&gt;0,SUM($D$18:DD18),0)</f>
        <v>0</v>
      </c>
      <c r="DF51" s="115">
        <f>IF(DF49&gt;0,SUM($D$18:DE18),0)</f>
        <v>0</v>
      </c>
      <c r="DG51" s="115">
        <f>IF(DG49&gt;0,SUM($D$18:DF18),0)</f>
        <v>0</v>
      </c>
      <c r="DH51" s="115">
        <f>IF(DH49&gt;0,SUM($D$18:DG18),0)</f>
        <v>0</v>
      </c>
      <c r="DI51" s="115">
        <f>IF(DI49&gt;0,SUM($D$18:DH18),0)</f>
        <v>0</v>
      </c>
      <c r="DJ51" s="115">
        <f>IF(DJ49&gt;0,SUM($D$18:DI18),0)</f>
        <v>0</v>
      </c>
      <c r="DK51" s="115">
        <f>IF(DK49&gt;0,SUM($D$18:DJ18),0)</f>
        <v>0</v>
      </c>
      <c r="DL51" s="115">
        <f>IF(DL49&gt;0,SUM($D$18:DK18),0)</f>
        <v>0</v>
      </c>
      <c r="DM51" s="115">
        <f>IF(DM49&gt;0,SUM($D$18:DL18),0)</f>
        <v>0</v>
      </c>
      <c r="DN51" s="115">
        <f>IF(DN49&gt;0,SUM($D$18:DM18),0)</f>
        <v>0</v>
      </c>
      <c r="DO51" s="115">
        <f>IF(DO49&gt;0,SUM($D$18:DN18),0)</f>
        <v>0</v>
      </c>
      <c r="DP51" s="115">
        <f>IF(DP49&gt;0,SUM($D$18:DO18),0)</f>
        <v>0</v>
      </c>
      <c r="DQ51" s="115">
        <f>IF(DQ49&gt;0,SUM($D$18:DP18),0)</f>
        <v>0</v>
      </c>
      <c r="DR51" s="115">
        <f>IF(DR49&gt;0,SUM($D$18:DQ18),0)</f>
        <v>0</v>
      </c>
      <c r="DS51" s="115">
        <f>IF(DS49&gt;0,SUM($D$18:DR18),0)</f>
        <v>0</v>
      </c>
      <c r="DT51" s="115">
        <f>IF(DT49&gt;0,SUM($D$18:DS18),0)</f>
        <v>0</v>
      </c>
      <c r="DU51" s="115">
        <f>IF(DU49&gt;0,SUM($D$18:DT18),0)</f>
        <v>0</v>
      </c>
      <c r="DV51" s="115">
        <f>IF(DV49&gt;0,SUM($D$18:DU18),0)</f>
        <v>0</v>
      </c>
      <c r="DW51" s="115">
        <f>IF(DW49&gt;0,SUM($D$18:DV18),0)</f>
        <v>0</v>
      </c>
      <c r="DX51" s="115">
        <f>IF(DX49&gt;0,SUM($D$18:DW18),0)</f>
        <v>0</v>
      </c>
      <c r="DY51" s="115">
        <f>IF(DY49&gt;0,SUM($D$18:DX18),0)</f>
        <v>0</v>
      </c>
      <c r="DZ51" s="115">
        <f>IF(DZ49&gt;0,SUM($D$18:DY18),0)</f>
        <v>0</v>
      </c>
      <c r="EA51" s="115">
        <f>IF(EA49&gt;0,SUM($D$18:DZ18),0)</f>
        <v>0</v>
      </c>
      <c r="EB51" s="115">
        <f>IF(EB49&gt;0,SUM($D$18:EA18),0)</f>
        <v>0</v>
      </c>
      <c r="EC51" s="115">
        <f>IF(EC49&gt;0,SUM($D$18:EB18),0)</f>
        <v>0</v>
      </c>
      <c r="ED51" s="115">
        <f>IF(ED49&gt;0,SUM($D$18:EC18),0)</f>
        <v>0</v>
      </c>
      <c r="EE51" s="115">
        <f>IF(EE49&gt;0,SUM($D$18:ED18),0)</f>
        <v>0</v>
      </c>
      <c r="EF51" s="115">
        <f>IF(EF49&gt;0,SUM($D$18:EE18),0)</f>
        <v>0</v>
      </c>
      <c r="EG51" s="115">
        <f>IF(EG49&gt;0,SUM($D$18:EF18),0)</f>
        <v>0</v>
      </c>
      <c r="EH51" s="115">
        <f>IF(EH49&gt;0,SUM($D$18:EG18),0)</f>
        <v>0</v>
      </c>
      <c r="EI51" s="115">
        <f>IF(EI49&gt;0,SUM($D$18:EH18),0)</f>
        <v>0</v>
      </c>
      <c r="EJ51" s="115">
        <f>IF(EJ49&gt;0,SUM($D$18:EI18),0)</f>
        <v>0</v>
      </c>
      <c r="EK51" s="115">
        <f>IF(EK49&gt;0,SUM($D$18:EJ18),0)</f>
        <v>0</v>
      </c>
      <c r="EL51" s="115">
        <f>IF(EL49&gt;0,SUM($D$18:EK18),0)</f>
        <v>0</v>
      </c>
      <c r="EM51" s="115">
        <f>IF(EM49&gt;0,SUM($D$18:EL18),0)</f>
        <v>0</v>
      </c>
      <c r="EN51" s="115">
        <f>IF(EN49&gt;0,SUM($D$18:EM18),0)</f>
        <v>0</v>
      </c>
      <c r="EO51" s="115">
        <f>IF(EO49&gt;0,SUM($D$18:EN18),0)</f>
        <v>0</v>
      </c>
      <c r="EP51" s="115">
        <f>IF(EP49&gt;0,SUM($D$18:EO18),0)</f>
        <v>0</v>
      </c>
      <c r="EQ51" s="115">
        <f>IF(EQ49&gt;0,SUM($D$18:EP18),0)</f>
        <v>0</v>
      </c>
      <c r="ER51" s="115">
        <f>IF(ER49&gt;0,SUM($D$18:EQ18),0)</f>
        <v>0</v>
      </c>
      <c r="ES51" s="115">
        <f>IF(ES49&gt;0,SUM($D$18:ER18),0)</f>
        <v>0</v>
      </c>
      <c r="ET51" s="115">
        <f>IF(ET49&gt;0,SUM($D$18:ES18),0)</f>
        <v>0</v>
      </c>
      <c r="EU51" s="115">
        <f>IF(EU49&gt;0,SUM($D$18:ET18),0)</f>
        <v>0</v>
      </c>
      <c r="EV51" s="115">
        <f>IF(EV49&gt;0,SUM($D$18:EU18),0)</f>
        <v>0</v>
      </c>
      <c r="EW51" s="115">
        <f>IF(EW49&gt;0,SUM($D$18:EV18),0)</f>
        <v>0</v>
      </c>
      <c r="EX51" s="115">
        <f>IF(EX49&gt;0,SUM($D$18:EW18),0)</f>
        <v>0</v>
      </c>
      <c r="EY51" s="115">
        <f>IF(EY49&gt;0,SUM($D$18:EX18),0)</f>
        <v>0</v>
      </c>
      <c r="EZ51" s="115">
        <f>IF(EZ49&gt;0,SUM($D$18:EY18),0)</f>
        <v>0</v>
      </c>
      <c r="FA51" s="115">
        <f>IF(FA49&gt;0,SUM($D$18:EZ18),0)</f>
        <v>0</v>
      </c>
      <c r="FB51" s="115">
        <f>IF(FB49&gt;0,SUM($D$18:FA18),0)</f>
        <v>0</v>
      </c>
      <c r="FC51" s="115">
        <f>IF(FC49&gt;0,SUM($D$18:FB18),0)</f>
        <v>0</v>
      </c>
      <c r="FD51" s="115">
        <f>IF(FD49&gt;0,SUM($D$18:FC18),0)</f>
        <v>0</v>
      </c>
      <c r="FE51" s="115">
        <f>IF(FE49&gt;0,SUM($D$18:FD18),0)</f>
        <v>0</v>
      </c>
      <c r="FF51" s="115">
        <f>IF(FF49&gt;0,SUM($D$18:FE18),0)</f>
        <v>0</v>
      </c>
      <c r="FG51" s="115">
        <f>IF(FG49&gt;0,SUM($D$18:FF18),0)</f>
        <v>0</v>
      </c>
      <c r="FH51" s="115">
        <f>IF(FH49&gt;0,SUM($D$18:FG18),0)</f>
        <v>0</v>
      </c>
      <c r="FI51" s="115">
        <f>IF(FI49&gt;0,SUM($D$18:FH18),0)</f>
        <v>0</v>
      </c>
      <c r="FJ51" s="115">
        <f>IF(FJ49&gt;0,SUM($D$18:FI18),0)</f>
        <v>0</v>
      </c>
      <c r="FK51" s="115">
        <f>IF(FK49&gt;0,SUM($D$18:FJ18),0)</f>
        <v>0</v>
      </c>
      <c r="FL51" s="115">
        <f>IF(FL49&gt;0,SUM($D$18:FK18),0)</f>
        <v>0</v>
      </c>
      <c r="FM51" s="115">
        <f>IF(FM49&gt;0,SUM($D$18:FL18),0)</f>
        <v>0</v>
      </c>
      <c r="FN51" s="115">
        <f>IF(FN49&gt;0,SUM($D$18:FM18),0)</f>
        <v>0</v>
      </c>
      <c r="FO51" s="115">
        <f>IF(FO49&gt;0,SUM($D$18:FN18),0)</f>
        <v>0</v>
      </c>
      <c r="FP51" s="115">
        <f>IF(FP49&gt;0,SUM($D$18:FO18),0)</f>
        <v>0</v>
      </c>
      <c r="FQ51" s="115">
        <f>IF(FQ49&gt;0,SUM($D$18:FP18),0)</f>
        <v>0</v>
      </c>
      <c r="FR51" s="115">
        <f>IF(FR49&gt;0,SUM($D$18:FQ18),0)</f>
        <v>0</v>
      </c>
      <c r="FS51" s="115">
        <f>IF(FS49&gt;0,SUM($D$18:FR18),0)</f>
        <v>0</v>
      </c>
      <c r="FT51" s="115">
        <f>IF(FT49&gt;0,SUM($D$18:FS18),0)</f>
        <v>0</v>
      </c>
      <c r="FU51" s="115">
        <f>IF(FU49&gt;0,SUM($D$18:FT18),0)</f>
        <v>0</v>
      </c>
      <c r="FV51" s="115">
        <f>IF(FV49&gt;0,SUM($D$18:FU18),0)</f>
        <v>0</v>
      </c>
      <c r="FW51" s="115">
        <f>IF(FW49&gt;0,SUM($D$18:FV18),0)</f>
        <v>0</v>
      </c>
      <c r="FX51" s="115">
        <f>IF(FX49&gt;0,SUM($D$18:FW18),0)</f>
        <v>0</v>
      </c>
      <c r="FY51" s="115">
        <f>IF(FY49&gt;0,SUM($D$18:FX18),0)</f>
        <v>0</v>
      </c>
      <c r="FZ51" s="115">
        <f>IF(FZ49&gt;0,SUM($D$18:FY18),0)</f>
        <v>0</v>
      </c>
      <c r="GA51" s="115">
        <f>IF(GA49&gt;0,SUM($D$18:FZ18),0)</f>
        <v>0</v>
      </c>
      <c r="GB51" s="115">
        <f>IF(GB49&gt;0,SUM($D$18:GA18),0)</f>
        <v>0</v>
      </c>
      <c r="GC51" s="115">
        <f>IF(GC49&gt;0,SUM($D$18:GB18),0)</f>
        <v>0</v>
      </c>
      <c r="GD51" s="115">
        <f>IF(GD49&gt;0,SUM($D$18:GC18),0)</f>
        <v>0</v>
      </c>
      <c r="GE51" s="115">
        <f>IF(GE49&gt;0,SUM($D$18:GD18),0)</f>
        <v>0</v>
      </c>
      <c r="GF51" s="115">
        <f>IF(GF49&gt;0,SUM($D$18:GE18),0)</f>
        <v>0</v>
      </c>
      <c r="GG51" s="115">
        <f>IF(GG49&gt;0,SUM($D$18:GF18),0)</f>
        <v>0</v>
      </c>
      <c r="GH51" s="115">
        <f>IF(GH49&gt;0,SUM($D$18:GG18),0)</f>
        <v>0</v>
      </c>
      <c r="GI51" s="115">
        <f>IF(GI49&gt;0,SUM($D$18:GH18),0)</f>
        <v>0</v>
      </c>
      <c r="GJ51" s="115">
        <f>IF(GJ49&gt;0,SUM($D$18:GI18),0)</f>
        <v>0</v>
      </c>
      <c r="GK51" s="115">
        <f>IF(GK49&gt;0,SUM($D$18:GJ18),0)</f>
        <v>0</v>
      </c>
      <c r="GL51" s="115">
        <f>IF(GL49&gt;0,SUM($D$18:GK18),0)</f>
        <v>0</v>
      </c>
      <c r="GM51" s="115">
        <f>IF(GM49&gt;0,SUM($D$18:GL18),0)</f>
        <v>0</v>
      </c>
      <c r="GN51" s="115">
        <f>IF(GN49&gt;0,SUM($D$18:GM18),0)</f>
        <v>0</v>
      </c>
      <c r="GO51" s="115">
        <f>IF(GO49&gt;0,SUM($D$18:GN18),0)</f>
        <v>0</v>
      </c>
      <c r="GP51" s="115">
        <f>IF(GP49&gt;0,SUM($D$18:GO18),0)</f>
        <v>0</v>
      </c>
      <c r="GQ51" s="115">
        <f>IF(GQ49&gt;0,SUM($D$18:GP18),0)</f>
        <v>0</v>
      </c>
      <c r="GR51" s="115">
        <f>IF(GR49&gt;0,SUM($D$18:GQ18),0)</f>
        <v>0</v>
      </c>
      <c r="GS51" s="115">
        <f>IF(GS49&gt;0,SUM($D$18:GR18),0)</f>
        <v>0</v>
      </c>
      <c r="GT51" s="115">
        <f>IF(GT49&gt;0,SUM($D$18:GS18),0)</f>
        <v>0</v>
      </c>
      <c r="GU51" s="115">
        <f>IF(GU49&gt;0,SUM($D$18:GT18),0)</f>
        <v>0</v>
      </c>
      <c r="GV51" s="115">
        <f>IF(GV49&gt;0,SUM($D$18:GU18),0)</f>
        <v>0</v>
      </c>
      <c r="GW51" s="115">
        <f>IF(GW49&gt;0,SUM($D$18:GV18),0)</f>
        <v>0</v>
      </c>
      <c r="GX51" s="115">
        <f>IF(GX49&gt;0,SUM($D$18:GW18),0)</f>
        <v>0</v>
      </c>
      <c r="GY51" s="115">
        <f>IF(GY49&gt;0,SUM($D$18:GX18),0)</f>
        <v>0</v>
      </c>
      <c r="GZ51" s="115">
        <f>IF(GZ49&gt;0,SUM($D$18:GY18),0)</f>
        <v>0</v>
      </c>
      <c r="HA51" s="115">
        <f>IF(HA49&gt;0,SUM($D$18:GZ18),0)</f>
        <v>0</v>
      </c>
      <c r="HB51" s="115">
        <f>IF(HB49&gt;0,SUM($D$18:HA18),0)</f>
        <v>0</v>
      </c>
      <c r="HC51" s="115">
        <f>IF(HC49&gt;0,SUM($D$18:HB18),0)</f>
        <v>0</v>
      </c>
      <c r="HD51" s="115">
        <f>IF(HD49&gt;0,SUM($D$18:HC18),0)</f>
        <v>0</v>
      </c>
      <c r="HE51" s="115">
        <f>IF(HE49&gt;0,SUM($D$18:HD18),0)</f>
        <v>0</v>
      </c>
      <c r="HF51" s="115">
        <f>IF(HF49&gt;0,SUM($D$18:HE18),0)</f>
        <v>0</v>
      </c>
      <c r="HG51" s="115">
        <f>IF(HG49&gt;0,SUM($D$18:HF18),0)</f>
        <v>0</v>
      </c>
      <c r="HH51" s="115">
        <f>IF(HH49&gt;0,SUM($D$18:HG18),0)</f>
        <v>0</v>
      </c>
      <c r="HI51" s="115">
        <f>IF(HI49&gt;0,SUM($D$18:HH18),0)</f>
        <v>0</v>
      </c>
      <c r="HJ51" s="115">
        <f>IF(HJ49&gt;0,SUM($D$18:HI18),0)</f>
        <v>0</v>
      </c>
      <c r="HK51" s="115">
        <f>IF(HK49&gt;0,SUM($D$18:HJ18),0)</f>
        <v>0</v>
      </c>
      <c r="HL51" s="115">
        <f>IF(HL49&gt;0,SUM($D$18:HK18),0)</f>
        <v>0</v>
      </c>
      <c r="HM51" s="115">
        <f>IF(HM49&gt;0,SUM($D$18:HL18),0)</f>
        <v>0</v>
      </c>
      <c r="HN51" s="115">
        <f>IF(HN49&gt;0,SUM($D$18:HM18),0)</f>
        <v>0</v>
      </c>
      <c r="HO51" s="115">
        <f>IF(HO49&gt;0,SUM($D$18:HN18),0)</f>
        <v>0</v>
      </c>
      <c r="HP51" s="115">
        <f>IF(HP49&gt;0,SUM($D$18:HO18),0)</f>
        <v>0</v>
      </c>
      <c r="HQ51" s="115">
        <f>IF(HQ49&gt;0,SUM($D$18:HP18),0)</f>
        <v>0</v>
      </c>
      <c r="HR51" s="115">
        <f>IF(HR49&gt;0,SUM($D$18:HQ18),0)</f>
        <v>0</v>
      </c>
      <c r="HS51" s="115">
        <f>IF(HS49&gt;0,SUM($D$18:HR18),0)</f>
        <v>0</v>
      </c>
      <c r="HT51" s="115">
        <f>IF(HT49&gt;0,SUM($D$18:HS18),0)</f>
        <v>0</v>
      </c>
      <c r="HU51" s="115">
        <f>IF(HU49&gt;0,SUM($D$18:HT18),0)</f>
        <v>0</v>
      </c>
      <c r="HV51" s="115">
        <f>IF(HV49&gt;0,SUM($D$18:HU18),0)</f>
        <v>0</v>
      </c>
      <c r="HW51" s="115">
        <f>IF(HW49&gt;0,SUM($D$18:HV18),0)</f>
        <v>0</v>
      </c>
      <c r="HX51" s="115">
        <f>IF(HX49&gt;0,SUM($D$18:HW18),0)</f>
        <v>0</v>
      </c>
      <c r="HY51" s="115">
        <f>IF(HY49&gt;0,SUM($D$18:HX18),0)</f>
        <v>0</v>
      </c>
      <c r="HZ51" s="115">
        <f>IF(HZ49&gt;0,SUM($D$18:HY18),0)</f>
        <v>0</v>
      </c>
      <c r="IA51" s="115">
        <f>IF(IA49&gt;0,SUM($D$18:HZ18),0)</f>
        <v>0</v>
      </c>
      <c r="IB51" s="115">
        <f>IF(IB49&gt;0,SUM($D$18:IA18),0)</f>
        <v>0</v>
      </c>
      <c r="IC51" s="115">
        <f>IF(IC49&gt;0,SUM($D$18:IB18),0)</f>
        <v>0</v>
      </c>
      <c r="ID51" s="115">
        <f>IF(ID49&gt;0,SUM($D$18:IC18),0)</f>
        <v>0</v>
      </c>
      <c r="IE51" s="115">
        <f>IF(IE49&gt;0,SUM($D$18:ID18),0)</f>
        <v>0</v>
      </c>
      <c r="IF51" s="115">
        <f>IF(IF49&gt;0,SUM($D$18:IE18),0)</f>
        <v>0</v>
      </c>
      <c r="IG51" s="115">
        <f>IF(IG49&gt;0,SUM($D$18:IF18),0)</f>
        <v>0</v>
      </c>
      <c r="IH51" s="115">
        <f>IF(IH49&gt;0,SUM($D$18:IG18),0)</f>
        <v>0</v>
      </c>
      <c r="II51" s="115">
        <f>IF(II49&gt;0,SUM($D$18:IH18),0)</f>
        <v>0</v>
      </c>
      <c r="IJ51" s="115">
        <f>IF(IJ49&gt;0,SUM($D$18:II18),0)</f>
        <v>0</v>
      </c>
      <c r="IK51" s="115">
        <f>IF(IK49&gt;0,SUM($D$18:IJ18),0)</f>
        <v>0</v>
      </c>
      <c r="IL51" s="115">
        <f>IF(IL49&gt;0,SUM($D$18:IK18),0)</f>
        <v>0</v>
      </c>
      <c r="IM51" s="115">
        <f>IF(IM49&gt;0,SUM($D$18:IL18),0)</f>
        <v>0</v>
      </c>
      <c r="IN51" s="115">
        <f>IF(IN49&gt;0,SUM($D$18:IM18),0)</f>
        <v>0</v>
      </c>
      <c r="IO51" s="115">
        <f>IF(IO49&gt;0,SUM($D$18:IN18),0)</f>
        <v>0</v>
      </c>
      <c r="IP51" s="115">
        <f>IF(IP49&gt;0,SUM($D$18:IO18),0)</f>
        <v>0</v>
      </c>
      <c r="IQ51" s="115">
        <f>IF(IQ49&gt;0,SUM($D$18:IP18),0)</f>
        <v>0</v>
      </c>
      <c r="IR51" s="115">
        <f>IF(IR49&gt;0,SUM($D$18:IQ18),0)</f>
        <v>0</v>
      </c>
      <c r="IS51" s="115">
        <f>IF(IS49&gt;0,SUM($D$18:IR18),0)</f>
        <v>0</v>
      </c>
      <c r="IT51" s="115">
        <f>IF(IT49&gt;0,SUM($D$18:IS18),0)</f>
        <v>0</v>
      </c>
      <c r="IU51" s="115">
        <f>IF(IU49&gt;0,SUM($D$18:IT18),0)</f>
        <v>0</v>
      </c>
      <c r="IV51" s="115">
        <f>IF(IV49&gt;0,SUM($D$18:IU18),0)</f>
        <v>0</v>
      </c>
      <c r="IW51" s="115">
        <f>IF(IW49&gt;0,SUM($D$18:IV18),0)</f>
        <v>0</v>
      </c>
      <c r="IX51" s="115">
        <f>IF(IX49&gt;0,SUM($D$18:IW18),0)</f>
        <v>0</v>
      </c>
      <c r="IY51" s="115">
        <f>IF(IY49&gt;0,SUM($D$18:IX18),0)</f>
        <v>0</v>
      </c>
      <c r="IZ51" s="115">
        <f>IF(IZ49&gt;0,SUM($D$18:IY18),0)</f>
        <v>0</v>
      </c>
      <c r="JA51" s="115">
        <f>IF(JA49&gt;0,SUM($D$18:IZ18),0)</f>
        <v>0</v>
      </c>
      <c r="JB51" s="115">
        <f>IF(JB49&gt;0,SUM($D$18:JA18),0)</f>
        <v>0</v>
      </c>
      <c r="JC51" s="115">
        <f>IF(JC49&gt;0,SUM($D$18:JB18),0)</f>
        <v>0</v>
      </c>
      <c r="JD51" s="115">
        <f>IF(JD49&gt;0,SUM($D$18:JC18),0)</f>
        <v>0</v>
      </c>
      <c r="JE51" s="115">
        <f>IF(JE49&gt;0,SUM($D$18:JD18),0)</f>
        <v>0</v>
      </c>
      <c r="JF51" s="115">
        <f>IF(JF49&gt;0,SUM($D$18:JE18),0)</f>
        <v>0</v>
      </c>
      <c r="JG51" s="115">
        <f>IF(JG49&gt;0,SUM($D$18:JF18),0)</f>
        <v>0</v>
      </c>
      <c r="JH51" s="115">
        <f>IF(JH49&gt;0,SUM($D$18:JG18),0)</f>
        <v>0</v>
      </c>
      <c r="JI51" s="115">
        <f>IF(JI49&gt;0,SUM($D$18:JH18),0)</f>
        <v>0</v>
      </c>
      <c r="JJ51" s="115">
        <f>IF(JJ49&gt;0,SUM($D$18:JI18),0)</f>
        <v>0</v>
      </c>
      <c r="JK51" s="115">
        <f>IF(JK49&gt;0,SUM($D$18:JJ18),0)</f>
        <v>0</v>
      </c>
      <c r="JL51" s="115">
        <f>IF(JL49&gt;0,SUM($D$18:JK18),0)</f>
        <v>0</v>
      </c>
      <c r="JM51" s="115">
        <f>IF(JM49&gt;0,SUM($D$18:JL18),0)</f>
        <v>0</v>
      </c>
      <c r="JN51" s="115">
        <f>IF(JN49&gt;0,SUM($D$18:JM18),0)</f>
        <v>0</v>
      </c>
      <c r="JO51" s="115">
        <f>IF(JO49&gt;0,SUM($D$18:JN18),0)</f>
        <v>0</v>
      </c>
      <c r="JP51" s="115">
        <f>IF(JP49&gt;0,SUM($D$18:JO18),0)</f>
        <v>0</v>
      </c>
      <c r="JQ51" s="115">
        <f>IF(JQ49&gt;0,SUM($D$18:JP18),0)</f>
        <v>0</v>
      </c>
      <c r="JR51" s="115">
        <f>IF(JR49&gt;0,SUM($D$18:JQ18),0)</f>
        <v>0</v>
      </c>
      <c r="JS51" s="115">
        <f>IF(JS49&gt;0,SUM($D$18:JR18),0)</f>
        <v>0</v>
      </c>
      <c r="JT51" s="115">
        <f>IF(JT49&gt;0,SUM($D$18:JS18),0)</f>
        <v>0</v>
      </c>
      <c r="JU51" s="115">
        <f>IF(JU49&gt;0,SUM($D$18:JT18),0)</f>
        <v>0</v>
      </c>
      <c r="JV51" s="115">
        <f>IF(JV49&gt;0,SUM($D$18:JU18),0)</f>
        <v>0</v>
      </c>
      <c r="JW51" s="115">
        <f>IF(JW49&gt;0,SUM($D$18:JV18),0)</f>
        <v>0</v>
      </c>
      <c r="JX51" s="115">
        <f>IF(JX49&gt;0,SUM($D$18:JW18),0)</f>
        <v>0</v>
      </c>
      <c r="JY51" s="115">
        <f>IF(JY49&gt;0,SUM($D$18:JX18),0)</f>
        <v>0</v>
      </c>
      <c r="JZ51" s="115">
        <f>IF(JZ49&gt;0,SUM($D$18:JY18),0)</f>
        <v>0</v>
      </c>
      <c r="KA51" s="115">
        <f>IF(KA49&gt;0,SUM($D$18:JZ18),0)</f>
        <v>0</v>
      </c>
      <c r="KB51" s="115">
        <f>IF(KB49&gt;0,SUM($D$18:KA18),0)</f>
        <v>0</v>
      </c>
      <c r="KC51" s="115">
        <f>IF(KC49&gt;0,SUM($D$18:KB18),0)</f>
        <v>0</v>
      </c>
      <c r="KD51" s="115">
        <f>IF(KD49&gt;0,SUM($D$18:KC18),0)</f>
        <v>0</v>
      </c>
      <c r="KE51" s="115">
        <f>IF(KE49&gt;0,SUM($D$18:KD18),0)</f>
        <v>0</v>
      </c>
      <c r="KF51" s="115">
        <f>IF(KF49&gt;0,SUM($D$18:KE18),0)</f>
        <v>0</v>
      </c>
      <c r="KG51" s="115">
        <f>IF(KG49&gt;0,SUM($D$18:KF18),0)</f>
        <v>0</v>
      </c>
      <c r="KH51" s="115">
        <f>IF(KH49&gt;0,SUM($D$18:KG18),0)</f>
        <v>0</v>
      </c>
      <c r="KI51" s="115">
        <f>IF(KI49&gt;0,SUM($D$18:KH18),0)</f>
        <v>0</v>
      </c>
      <c r="KJ51" s="115">
        <f>IF(KJ49&gt;0,SUM($D$18:KI18),0)</f>
        <v>0</v>
      </c>
      <c r="KK51" s="115">
        <f>IF(KK49&gt;0,SUM($D$18:KJ18),0)</f>
        <v>0</v>
      </c>
      <c r="KL51" s="115">
        <f>IF(KL49&gt;0,SUM($D$18:KK18),0)</f>
        <v>0</v>
      </c>
      <c r="KM51" s="115">
        <f>IF(KM49&gt;0,SUM($D$18:KL18),0)</f>
        <v>0</v>
      </c>
      <c r="KN51" s="115">
        <f>IF(KN49&gt;0,SUM($D$18:KM18),0)</f>
        <v>0</v>
      </c>
      <c r="KO51" s="115">
        <f>IF(KO49&gt;0,SUM($D$18:KN18),0)</f>
        <v>0</v>
      </c>
      <c r="KP51" s="115">
        <f>IF(KP49&gt;0,SUM($D$18:KO18),0)</f>
        <v>0</v>
      </c>
      <c r="KQ51" s="115">
        <f>IF(KQ49&gt;0,SUM($D$18:KP18),0)</f>
        <v>0</v>
      </c>
      <c r="KR51" s="115">
        <f>IF(KR49&gt;0,SUM($D$18:KQ18),0)</f>
        <v>0</v>
      </c>
      <c r="KS51" s="115">
        <f>IF(KS49&gt;0,SUM($D$18:KR18),0)</f>
        <v>0</v>
      </c>
      <c r="KT51" s="115">
        <f>IF(KT49&gt;0,SUM($D$18:KS18),0)</f>
        <v>0</v>
      </c>
      <c r="KU51" s="115">
        <f>IF(KU49&gt;0,SUM($D$18:KT18),0)</f>
        <v>0</v>
      </c>
      <c r="KV51" s="115">
        <f>IF(KV49&gt;0,SUM($D$18:KU18),0)</f>
        <v>0</v>
      </c>
      <c r="KW51" s="115">
        <f>IF(KW49&gt;0,SUM($D$18:KV18),0)</f>
        <v>0</v>
      </c>
      <c r="KX51" s="115">
        <f>IF(KX49&gt;0,SUM($D$18:KW18),0)</f>
        <v>0</v>
      </c>
      <c r="KY51" s="115">
        <f>IF(KY49&gt;0,SUM($D$18:KX18),0)</f>
        <v>0</v>
      </c>
      <c r="KZ51" s="115">
        <f>IF(KZ49&gt;0,SUM($D$18:KY18),0)</f>
        <v>0</v>
      </c>
      <c r="LA51" s="115">
        <f>IF(LA49&gt;0,SUM($D$18:KZ18),0)</f>
        <v>0</v>
      </c>
      <c r="LB51" s="115">
        <f>IF(LB49&gt;0,SUM($D$18:LA18),0)</f>
        <v>0</v>
      </c>
      <c r="LC51" s="115">
        <f>IF(LC49&gt;0,SUM($D$18:LB18),0)</f>
        <v>0</v>
      </c>
      <c r="LD51" s="115">
        <f>IF(LD49&gt;0,SUM($D$18:LC18),0)</f>
        <v>0</v>
      </c>
      <c r="LE51" s="115">
        <f>IF(LE49&gt;0,SUM($D$18:LD18),0)</f>
        <v>0</v>
      </c>
      <c r="LF51" s="115">
        <f>IF(LF49&gt;0,SUM($D$18:LE18),0)</f>
        <v>0</v>
      </c>
      <c r="LG51" s="115">
        <f>IF(LG49&gt;0,SUM($D$18:LF18),0)</f>
        <v>0</v>
      </c>
      <c r="LH51" s="115">
        <f>IF(LH49&gt;0,SUM($D$18:LG18),0)</f>
        <v>0</v>
      </c>
      <c r="LI51" s="115">
        <f>IF(LI49&gt;0,SUM($D$18:LH18),0)</f>
        <v>0</v>
      </c>
      <c r="LJ51" s="115">
        <f>IF(LJ49&gt;0,SUM($D$18:LI18),0)</f>
        <v>0</v>
      </c>
      <c r="LK51" s="115">
        <f>IF(LK49&gt;0,SUM($D$18:LJ18),0)</f>
        <v>0</v>
      </c>
      <c r="LL51" s="115">
        <f>IF(LL49&gt;0,SUM($D$18:LK18),0)</f>
        <v>0</v>
      </c>
      <c r="LM51" s="115">
        <f>IF(LM49&gt;0,SUM($D$18:LL18),0)</f>
        <v>0</v>
      </c>
      <c r="LN51" s="115">
        <f>IF(LN49&gt;0,SUM($D$18:LM18),0)</f>
        <v>0</v>
      </c>
      <c r="LO51" s="115">
        <f>IF(LO49&gt;0,SUM($D$18:LN18),0)</f>
        <v>0</v>
      </c>
      <c r="LP51" s="115">
        <f>IF(LP49&gt;0,SUM($D$18:LO18),0)</f>
        <v>0</v>
      </c>
      <c r="LQ51" s="115">
        <f>IF(LQ49&gt;0,SUM($D$18:LP18),0)</f>
        <v>0</v>
      </c>
      <c r="LR51" s="115">
        <f>IF(LR49&gt;0,SUM($D$18:LQ18),0)</f>
        <v>0</v>
      </c>
      <c r="LS51" s="115">
        <f>IF(LS49&gt;0,SUM($D$18:LR18),0)</f>
        <v>0</v>
      </c>
      <c r="LT51" s="115">
        <f>IF(LT49&gt;0,SUM($D$18:LS18),0)</f>
        <v>0</v>
      </c>
      <c r="LU51" s="115">
        <f>IF(LU49&gt;0,SUM($D$18:LT18),0)</f>
        <v>0</v>
      </c>
      <c r="LV51" s="115">
        <f>IF(LV49&gt;0,SUM($D$18:LU18),0)</f>
        <v>0</v>
      </c>
      <c r="LW51" s="115">
        <f>IF(LW49&gt;0,SUM($D$18:LV18),0)</f>
        <v>0</v>
      </c>
      <c r="LX51" s="115">
        <f>IF(LX49&gt;0,SUM($D$18:LW18),0)</f>
        <v>0</v>
      </c>
      <c r="LY51" s="115">
        <f>IF(LY49&gt;0,SUM($D$18:LX18),0)</f>
        <v>0</v>
      </c>
      <c r="LZ51" s="115">
        <f>IF(LZ49&gt;0,SUM($D$18:LY18),0)</f>
        <v>0</v>
      </c>
      <c r="MA51" s="115">
        <f>IF(MA49&gt;0,SUM($D$18:LZ18),0)</f>
        <v>0</v>
      </c>
      <c r="MB51" s="115">
        <f>IF(MB49&gt;0,SUM($D$18:MA18),0)</f>
        <v>0</v>
      </c>
      <c r="MC51" s="115">
        <f>IF(MC49&gt;0,SUM($D$18:MB18),0)</f>
        <v>0</v>
      </c>
      <c r="MD51" s="115">
        <f>IF(MD49&gt;0,SUM($D$18:MC18),0)</f>
        <v>0</v>
      </c>
      <c r="ME51" s="115">
        <f>IF(ME49&gt;0,SUM($D$18:MD18),0)</f>
        <v>0</v>
      </c>
      <c r="MF51" s="115">
        <f>IF(MF49&gt;0,SUM($D$18:ME18),0)</f>
        <v>0</v>
      </c>
      <c r="MG51" s="115">
        <f>IF(MG49&gt;0,SUM($D$18:MF18),0)</f>
        <v>0</v>
      </c>
      <c r="MH51" s="115">
        <f>IF(MH49&gt;0,SUM($D$18:MG18),0)</f>
        <v>0</v>
      </c>
      <c r="MI51" s="115">
        <f>IF(MI49&gt;0,SUM($D$18:MH18),0)</f>
        <v>0</v>
      </c>
      <c r="MJ51" s="115">
        <f>IF(MJ49&gt;0,SUM($D$18:MI18),0)</f>
        <v>0</v>
      </c>
      <c r="MK51" s="115">
        <f>IF(MK49&gt;0,SUM($D$18:MJ18),0)</f>
        <v>0</v>
      </c>
      <c r="ML51" s="115">
        <f>IF(ML49&gt;0,SUM($D$18:MK18),0)</f>
        <v>0</v>
      </c>
      <c r="MM51" s="115">
        <f>IF(MM49&gt;0,SUM($D$18:ML18),0)</f>
        <v>0</v>
      </c>
      <c r="MN51" s="115">
        <f>IF(MN49&gt;0,SUM($D$18:MM18),0)</f>
        <v>0</v>
      </c>
      <c r="MO51" s="115">
        <f>IF(MO49&gt;0,SUM($D$18:MN18),0)</f>
        <v>0</v>
      </c>
      <c r="MP51" s="115">
        <f>IF(MP49&gt;0,SUM($D$18:MO18),0)</f>
        <v>0</v>
      </c>
      <c r="MQ51" s="115">
        <f>IF(MQ49&gt;0,SUM($D$18:MP18),0)</f>
        <v>0</v>
      </c>
      <c r="MR51" s="115">
        <f>IF(MR49&gt;0,SUM($D$18:MQ18),0)</f>
        <v>0</v>
      </c>
      <c r="MS51" s="115">
        <f>IF(MS49&gt;0,SUM($D$18:MR18),0)</f>
        <v>0</v>
      </c>
      <c r="MT51" s="115">
        <f>IF(MT49&gt;0,SUM($D$18:MS18),0)</f>
        <v>0</v>
      </c>
      <c r="MU51" s="115">
        <f>IF(MU49&gt;0,SUM($D$18:MT18),0)</f>
        <v>0</v>
      </c>
      <c r="MV51" s="115">
        <f>IF(MV49&gt;0,SUM($D$18:MU18),0)</f>
        <v>0</v>
      </c>
      <c r="MW51" s="115">
        <f>IF(MW49&gt;0,SUM($D$18:MV18),0)</f>
        <v>0</v>
      </c>
      <c r="MX51" s="115">
        <f>IF(MX49&gt;0,SUM($D$18:MW18),0)</f>
        <v>0</v>
      </c>
      <c r="MY51" s="115">
        <f>IF(MY49&gt;0,SUM($D$18:MX18),0)</f>
        <v>0</v>
      </c>
      <c r="MZ51" s="115">
        <f>IF(MZ49&gt;0,SUM($D$18:MY18),0)</f>
        <v>0</v>
      </c>
      <c r="NA51" s="115">
        <f>IF(NA49&gt;0,SUM($D$18:MZ18),0)</f>
        <v>0</v>
      </c>
      <c r="NB51" s="115">
        <f>IF(NB49&gt;0,SUM($D$18:NA18),0)</f>
        <v>0</v>
      </c>
      <c r="NC51" s="115">
        <f>IF(NC49&gt;0,SUM($D$18:NB18),0)</f>
        <v>0</v>
      </c>
      <c r="ND51" s="115">
        <f>IF(ND49&gt;0,SUM($D$18:NC18),0)</f>
        <v>0</v>
      </c>
      <c r="NE51" s="115">
        <f>IF(NE49&gt;0,SUM($D$18:ND18),0)</f>
        <v>0</v>
      </c>
      <c r="NF51" s="115">
        <f>IF(NF49&gt;0,SUM($D$18:NE18),0)</f>
        <v>0</v>
      </c>
      <c r="NG51" s="115">
        <f>IF(NG49&gt;0,SUM($D$18:NF18),0)</f>
        <v>0</v>
      </c>
      <c r="NH51" s="115">
        <f>IF(NH49&gt;0,SUM($D$18:NG18),0)</f>
        <v>0</v>
      </c>
      <c r="NI51" s="115">
        <f>IF(NI49&gt;0,SUM($D$18:NH18),0)</f>
        <v>0</v>
      </c>
      <c r="NJ51" s="115">
        <f>IF(NJ49&gt;0,SUM($D$18:NI18),0)</f>
        <v>0</v>
      </c>
      <c r="NK51" s="115">
        <f>IF(NK49&gt;0,SUM($D$18:NJ18),0)</f>
        <v>0</v>
      </c>
      <c r="NL51" s="115">
        <f>IF(NL49&gt;0,SUM($D$18:NK18),0)</f>
        <v>0</v>
      </c>
      <c r="NM51" s="115">
        <f>IF(NM49&gt;0,SUM($D$18:NL18),0)</f>
        <v>0</v>
      </c>
      <c r="NN51" s="115">
        <f>IF(NN49&gt;0,SUM($D$18:NM18),0)</f>
        <v>0</v>
      </c>
      <c r="NO51" s="115">
        <f>IF(NO49&gt;0,SUM($D$18:NN18),0)</f>
        <v>0</v>
      </c>
      <c r="NP51" s="115">
        <f>IF(NP49&gt;0,SUM($D$18:NO18),0)</f>
        <v>0</v>
      </c>
      <c r="NQ51" s="115">
        <f>IF(NQ49&gt;0,SUM($D$18:NP18),0)</f>
        <v>0</v>
      </c>
      <c r="NR51" s="115">
        <f>IF(NR49&gt;0,SUM($D$18:NQ18),0)</f>
        <v>0</v>
      </c>
      <c r="NS51" s="115">
        <f>IF(NS49&gt;0,SUM($D$18:NR18),0)</f>
        <v>0</v>
      </c>
      <c r="NT51" s="115">
        <f>IF(NT49&gt;0,SUM($D$18:NS18),0)</f>
        <v>0</v>
      </c>
      <c r="NU51" s="115">
        <f>IF(NU49&gt;0,SUM($D$18:NT18),0)</f>
        <v>0</v>
      </c>
      <c r="NV51" s="115">
        <f>IF(NV49&gt;0,SUM($D$18:NU18),0)</f>
        <v>0</v>
      </c>
      <c r="NW51" s="115">
        <f>IF(NW49&gt;0,SUM($D$18:NV18),0)</f>
        <v>0</v>
      </c>
      <c r="NX51" s="115">
        <f>IF(NX49&gt;0,SUM($D$18:NW18),0)</f>
        <v>0</v>
      </c>
      <c r="NY51" s="115">
        <f>IF(NY49&gt;0,SUM($D$18:NX18),0)</f>
        <v>0</v>
      </c>
      <c r="NZ51" s="115">
        <f>IF(NZ49&gt;0,SUM($D$18:NY18),0)</f>
        <v>0</v>
      </c>
      <c r="OA51" s="115">
        <f>IF(OA49&gt;0,SUM($D$18:NZ18),0)</f>
        <v>0</v>
      </c>
      <c r="OB51" s="115">
        <f>IF(OB49&gt;0,SUM($D$18:OA18),0)</f>
        <v>0</v>
      </c>
      <c r="OC51" s="115">
        <f>IF(OC49&gt;0,SUM($D$18:OB18),0)</f>
        <v>0</v>
      </c>
      <c r="OD51" s="115">
        <f>IF(OD49&gt;0,SUM($D$18:OC18),0)</f>
        <v>0</v>
      </c>
      <c r="OE51" s="115">
        <f>IF(OE49&gt;0,SUM($D$18:OD18),0)</f>
        <v>0</v>
      </c>
      <c r="OF51" s="115">
        <f>IF(OF49&gt;0,SUM($D$18:OE18),0)</f>
        <v>0</v>
      </c>
      <c r="OG51" s="115">
        <f>IF(OG49&gt;0,SUM($D$18:OF18),0)</f>
        <v>0</v>
      </c>
      <c r="OH51" s="115">
        <f>IF(OH49&gt;0,SUM($D$18:OG18),0)</f>
        <v>0</v>
      </c>
      <c r="OI51" s="115">
        <f>IF(OI49&gt;0,SUM($D$18:OH18),0)</f>
        <v>0</v>
      </c>
      <c r="OJ51" s="115">
        <f>IF(OJ49&gt;0,SUM($D$18:OI18),0)</f>
        <v>0</v>
      </c>
      <c r="OK51" s="115">
        <f>IF(OK49&gt;0,SUM($D$18:OJ18),0)</f>
        <v>0</v>
      </c>
      <c r="OL51" s="115">
        <f>IF(OL49&gt;0,SUM($D$18:OK18),0)</f>
        <v>0</v>
      </c>
      <c r="OM51" s="115">
        <f>IF(OM49&gt;0,SUM($D$18:OL18),0)</f>
        <v>0</v>
      </c>
      <c r="ON51" s="115">
        <f>IF(ON49&gt;0,SUM($D$18:OM18),0)</f>
        <v>0</v>
      </c>
      <c r="OO51" s="115">
        <f>IF(OO49&gt;0,SUM($D$18:ON18),0)</f>
        <v>0</v>
      </c>
      <c r="OP51" s="115">
        <f>IF(OP49&gt;0,SUM($D$18:OO18),0)</f>
        <v>0</v>
      </c>
      <c r="OQ51" s="115">
        <f>IF(OQ49&gt;0,SUM($D$18:OP18),0)</f>
        <v>0</v>
      </c>
      <c r="OR51" s="115">
        <f>IF(OR49&gt;0,SUM($D$18:OQ18),0)</f>
        <v>0</v>
      </c>
      <c r="OS51" s="115">
        <f>IF(OS49&gt;0,SUM($D$18:OR18),0)</f>
        <v>0</v>
      </c>
      <c r="OT51" s="115">
        <f>IF(OT49&gt;0,SUM($D$18:OS18),0)</f>
        <v>0</v>
      </c>
      <c r="OU51" s="115">
        <f>IF(OU49&gt;0,SUM($D$18:OT18),0)</f>
        <v>0</v>
      </c>
      <c r="OV51" s="115">
        <f>IF(OV49&gt;0,SUM($D$18:OU18),0)</f>
        <v>0</v>
      </c>
      <c r="OW51" s="115">
        <f>IF(OW49&gt;0,SUM($D$18:OV18),0)</f>
        <v>0</v>
      </c>
      <c r="OX51" s="115">
        <f>IF(OX49&gt;0,SUM($D$18:OW18),0)</f>
        <v>0</v>
      </c>
      <c r="OY51" s="115">
        <f>IF(OY49&gt;0,SUM($D$18:OX18),0)</f>
        <v>0</v>
      </c>
      <c r="OZ51" s="115">
        <f>IF(OZ49&gt;0,SUM($D$18:OY18),0)</f>
        <v>0</v>
      </c>
      <c r="PA51" s="115">
        <f>IF(PA49&gt;0,SUM($D$18:OZ18),0)</f>
        <v>0</v>
      </c>
      <c r="PB51" s="115">
        <f>IF(PB49&gt;0,SUM($D$18:PA18),0)</f>
        <v>0</v>
      </c>
      <c r="PC51" s="115">
        <f>IF(PC49&gt;0,SUM($D$18:PB18),0)</f>
        <v>0</v>
      </c>
      <c r="PD51" s="115">
        <f>IF(PD49&gt;0,SUM($D$18:PC18),0)</f>
        <v>0</v>
      </c>
      <c r="PE51" s="115">
        <f>IF(PE49&gt;0,SUM($D$18:PD18),0)</f>
        <v>0</v>
      </c>
      <c r="PF51" s="115">
        <f>IF(PF49&gt;0,SUM($D$18:PE18),0)</f>
        <v>0</v>
      </c>
      <c r="PG51" s="115">
        <f>IF(PG49&gt;0,SUM($D$18:PF18),0)</f>
        <v>0</v>
      </c>
      <c r="PH51" s="115">
        <f>IF(PH49&gt;0,SUM($D$18:PG18),0)</f>
        <v>0</v>
      </c>
      <c r="PI51" s="115">
        <f>IF(PI49&gt;0,SUM($D$18:PH18),0)</f>
        <v>0</v>
      </c>
      <c r="PJ51" s="115">
        <f>IF(PJ49&gt;0,SUM($D$18:PI18),0)</f>
        <v>0</v>
      </c>
      <c r="PK51" s="115">
        <f>IF(PK49&gt;0,SUM($D$18:PJ18),0)</f>
        <v>0</v>
      </c>
      <c r="PL51" s="115">
        <f>IF(PL49&gt;0,SUM($D$18:PK18),0)</f>
        <v>0</v>
      </c>
      <c r="PM51" s="115">
        <f>IF(PM49&gt;0,SUM($D$18:PL18),0)</f>
        <v>0</v>
      </c>
      <c r="PN51" s="115">
        <f>IF(PN49&gt;0,SUM($D$18:PM18),0)</f>
        <v>0</v>
      </c>
      <c r="PO51" s="115">
        <f>IF(PO49&gt;0,SUM($D$18:PN18),0)</f>
        <v>0</v>
      </c>
      <c r="PP51" s="115">
        <f>IF(PP49&gt;0,SUM($D$18:PO18),0)</f>
        <v>0</v>
      </c>
      <c r="PQ51" s="115">
        <f>IF(PQ49&gt;0,SUM($D$18:PP18),0)</f>
        <v>0</v>
      </c>
      <c r="PR51" s="115">
        <f>IF(PR49&gt;0,SUM($D$18:PQ18),0)</f>
        <v>0</v>
      </c>
      <c r="PS51" s="115">
        <f>IF(PS49&gt;0,SUM($D$18:PR18),0)</f>
        <v>0</v>
      </c>
      <c r="PT51" s="115">
        <f>IF(PT49&gt;0,SUM($D$18:PS18),0)</f>
        <v>0</v>
      </c>
      <c r="PU51" s="115">
        <f>IF(PU49&gt;0,SUM($D$18:PT18),0)</f>
        <v>0</v>
      </c>
      <c r="PV51" s="115">
        <f>IF(PV49&gt;0,SUM($D$18:PU18),0)</f>
        <v>0</v>
      </c>
      <c r="PW51" s="115">
        <f>IF(PW49&gt;0,SUM($D$18:PV18),0)</f>
        <v>0</v>
      </c>
      <c r="PX51" s="115">
        <f>IF(PX49&gt;0,SUM($D$18:PW18),0)</f>
        <v>0</v>
      </c>
      <c r="PY51" s="115">
        <f>IF(PY49&gt;0,SUM($D$18:PX18),0)</f>
        <v>0</v>
      </c>
      <c r="PZ51" s="115">
        <f>IF(PZ49&gt;0,SUM($D$18:PY18),0)</f>
        <v>0</v>
      </c>
      <c r="QA51" s="115">
        <f>IF(QA49&gt;0,SUM($D$18:PZ18),0)</f>
        <v>0</v>
      </c>
      <c r="QB51" s="115">
        <f>IF(QB49&gt;0,SUM($D$18:QA18),0)</f>
        <v>0</v>
      </c>
      <c r="QC51" s="115">
        <f>IF(QC49&gt;0,SUM($D$18:QB18),0)</f>
        <v>0</v>
      </c>
      <c r="QD51" s="115">
        <f>IF(QD49&gt;0,SUM($D$18:QC18),0)</f>
        <v>0</v>
      </c>
      <c r="QE51" s="115">
        <f>IF(QE49&gt;0,SUM($D$18:QD18),0)</f>
        <v>0</v>
      </c>
      <c r="QF51" s="115">
        <f>IF(QF49&gt;0,SUM($D$18:QE18),0)</f>
        <v>0</v>
      </c>
      <c r="QG51" s="115">
        <f>IF(QG49&gt;0,SUM($D$18:QF18),0)</f>
        <v>0</v>
      </c>
      <c r="QH51" s="115">
        <f>IF(QH49&gt;0,SUM($D$18:QG18),0)</f>
        <v>0</v>
      </c>
      <c r="QI51" s="115">
        <f>IF(QI49&gt;0,SUM($D$18:QH18),0)</f>
        <v>0</v>
      </c>
      <c r="QJ51" s="115">
        <f>IF(QJ49&gt;0,SUM($D$18:QI18),0)</f>
        <v>0</v>
      </c>
      <c r="QK51" s="115">
        <f>IF(QK49&gt;0,SUM($D$18:QJ18),0)</f>
        <v>0</v>
      </c>
      <c r="QL51" s="115">
        <f>IF(QL49&gt;0,SUM($D$18:QK18),0)</f>
        <v>0</v>
      </c>
      <c r="QM51" s="115">
        <f>IF(QM49&gt;0,SUM($D$18:QL18),0)</f>
        <v>0</v>
      </c>
      <c r="QN51" s="115">
        <f>IF(QN49&gt;0,SUM($D$18:QM18),0)</f>
        <v>0</v>
      </c>
      <c r="QO51" s="115">
        <f>IF(QO49&gt;0,SUM($D$18:QN18),0)</f>
        <v>0</v>
      </c>
      <c r="QP51" s="115">
        <f>IF(QP49&gt;0,SUM($D$18:QO18),0)</f>
        <v>0</v>
      </c>
      <c r="QQ51" s="115">
        <f>IF(QQ49&gt;0,SUM($D$18:QP18),0)</f>
        <v>0</v>
      </c>
      <c r="QR51" s="115">
        <f>IF(QR49&gt;0,SUM($D$18:QQ18),0)</f>
        <v>0</v>
      </c>
      <c r="QS51" s="115">
        <f>IF(QS49&gt;0,SUM($D$18:QR18),0)</f>
        <v>0</v>
      </c>
      <c r="QT51" s="115">
        <f>IF(QT49&gt;0,SUM($D$18:QS18),0)</f>
        <v>0</v>
      </c>
      <c r="QU51" s="115">
        <f>IF(QU49&gt;0,SUM($D$18:QT18),0)</f>
        <v>0</v>
      </c>
      <c r="QV51" s="115">
        <f>IF(QV49&gt;0,SUM($D$18:QU18),0)</f>
        <v>0</v>
      </c>
      <c r="QW51" s="115">
        <f>IF(QW49&gt;0,SUM($D$18:QV18),0)</f>
        <v>0</v>
      </c>
      <c r="QX51" s="115">
        <f>IF(QX49&gt;0,SUM($D$18:QW18),0)</f>
        <v>0</v>
      </c>
      <c r="QY51" s="115">
        <f>IF(QY49&gt;0,SUM($D$18:QX18),0)</f>
        <v>0</v>
      </c>
      <c r="QZ51" s="115">
        <f>IF(QZ49&gt;0,SUM($D$18:QY18),0)</f>
        <v>0</v>
      </c>
      <c r="RA51" s="115">
        <f>IF(RA49&gt;0,SUM($D$18:QZ18),0)</f>
        <v>0</v>
      </c>
      <c r="RB51" s="115">
        <f>IF(RB49&gt;0,SUM($D$18:RA18),0)</f>
        <v>0</v>
      </c>
      <c r="RC51" s="115">
        <f>IF(RC49&gt;0,SUM($D$18:RB18),0)</f>
        <v>0</v>
      </c>
      <c r="RD51" s="115">
        <f>IF(RD49&gt;0,SUM($D$18:RC18),0)</f>
        <v>0</v>
      </c>
      <c r="RE51" s="115">
        <f>IF(RE49&gt;0,SUM($D$18:RD18),0)</f>
        <v>0</v>
      </c>
      <c r="RF51" s="115">
        <f>IF(RF49&gt;0,SUM($D$18:RE18),0)</f>
        <v>0</v>
      </c>
      <c r="RG51" s="115">
        <f>IF(RG49&gt;0,SUM($D$18:RF18),0)</f>
        <v>0</v>
      </c>
      <c r="RH51" s="115">
        <f>IF(RH49&gt;0,SUM($D$18:RG18),0)</f>
        <v>0</v>
      </c>
      <c r="RI51" s="115">
        <f>IF(RI49&gt;0,SUM($D$18:RH18),0)</f>
        <v>0</v>
      </c>
      <c r="RJ51" s="115">
        <f>IF(RJ49&gt;0,SUM($D$18:RI18),0)</f>
        <v>0</v>
      </c>
      <c r="RK51" s="115">
        <f>IF(RK49&gt;0,SUM($D$18:RJ18),0)</f>
        <v>0</v>
      </c>
      <c r="RL51" s="115">
        <f>IF(RL49&gt;0,SUM($D$18:RK18),0)</f>
        <v>0</v>
      </c>
      <c r="RM51" s="115">
        <f>IF(RM49&gt;0,SUM($D$18:RL18),0)</f>
        <v>0</v>
      </c>
      <c r="RN51" s="115">
        <f>IF(RN49&gt;0,SUM($D$18:RM18),0)</f>
        <v>0</v>
      </c>
      <c r="RO51" s="115">
        <f>IF(RO49&gt;0,SUM($D$18:RN18),0)</f>
        <v>0</v>
      </c>
      <c r="RP51" s="115">
        <f>IF(RP49&gt;0,SUM($D$18:RO18),0)</f>
        <v>0</v>
      </c>
      <c r="RQ51" s="115">
        <f>IF(RQ49&gt;0,SUM($D$18:RP18),0)</f>
        <v>0</v>
      </c>
      <c r="RR51" s="115">
        <f>IF(RR49&gt;0,SUM($D$18:RQ18),0)</f>
        <v>0</v>
      </c>
      <c r="RS51" s="115">
        <f>IF(RS49&gt;0,SUM($D$18:RR18),0)</f>
        <v>0</v>
      </c>
      <c r="RT51" s="115">
        <f>IF(RT49&gt;0,SUM($D$18:RS18),0)</f>
        <v>0</v>
      </c>
      <c r="RU51" s="115">
        <f>IF(RU49&gt;0,SUM($D$18:RT18),0)</f>
        <v>0</v>
      </c>
      <c r="RV51" s="115">
        <f>IF(RV49&gt;0,SUM($D$18:RU18),0)</f>
        <v>0</v>
      </c>
      <c r="RW51" s="115">
        <f>IF(RW49&gt;0,SUM($D$18:RV18),0)</f>
        <v>0</v>
      </c>
      <c r="RX51" s="115">
        <f>IF(RX49&gt;0,SUM($D$18:RW18),0)</f>
        <v>0</v>
      </c>
      <c r="RY51" s="115">
        <f>IF(RY49&gt;0,SUM($D$18:RX18),0)</f>
        <v>0</v>
      </c>
      <c r="RZ51" s="115">
        <f>IF(RZ49&gt;0,SUM($D$18:RY18),0)</f>
        <v>0</v>
      </c>
      <c r="SA51" s="115">
        <f>IF(SA49&gt;0,SUM($D$18:RZ18),0)</f>
        <v>0</v>
      </c>
      <c r="SB51" s="115">
        <f>IF(SB49&gt;0,SUM($D$18:SA18),0)</f>
        <v>0</v>
      </c>
      <c r="SC51" s="115">
        <f>IF(SC49&gt;0,SUM($D$18:SB18),0)</f>
        <v>0</v>
      </c>
      <c r="SD51" s="115">
        <f>IF(SD49&gt;0,SUM($D$18:SC18),0)</f>
        <v>0</v>
      </c>
      <c r="SE51" s="115">
        <f>IF(SE49&gt;0,SUM($D$18:SD18),0)</f>
        <v>0</v>
      </c>
      <c r="SF51" s="115">
        <f>IF(SF49&gt;0,SUM($D$18:SE18),0)</f>
        <v>0</v>
      </c>
      <c r="SG51" s="115">
        <f>IF(SG49&gt;0,SUM($D$18:SF18),0)</f>
        <v>0</v>
      </c>
      <c r="SH51" s="115">
        <f>IF(SH49&gt;0,SUM($D$18:SG18),0)</f>
        <v>0</v>
      </c>
      <c r="SI51" s="115">
        <f>IF(SI49&gt;0,SUM($D$18:SH18),0)</f>
        <v>0</v>
      </c>
      <c r="SJ51" s="115">
        <f>IF(SJ49&gt;0,SUM($D$18:SI18),0)</f>
        <v>0</v>
      </c>
      <c r="SK51" s="115">
        <f>IF(SK49&gt;0,SUM($D$18:SJ18),0)</f>
        <v>0</v>
      </c>
      <c r="SL51" s="115">
        <f>IF(SL49&gt;0,SUM($D$18:SK18),0)</f>
        <v>0</v>
      </c>
      <c r="SM51" s="115">
        <f>IF(SM49&gt;0,SUM($D$18:SL18),0)</f>
        <v>0</v>
      </c>
      <c r="SN51" s="115">
        <f>IF(SN49&gt;0,SUM($D$18:SM18),0)</f>
        <v>0</v>
      </c>
      <c r="SO51" s="115">
        <f>IF(SO49&gt;0,SUM($D$18:SN18),0)</f>
        <v>0</v>
      </c>
      <c r="SP51" s="115">
        <f>IF(SP49&gt;0,SUM($D$18:SO18),0)</f>
        <v>0</v>
      </c>
      <c r="SQ51" s="115">
        <f>IF(SQ49&gt;0,SUM($D$18:SP18),0)</f>
        <v>0</v>
      </c>
      <c r="SR51" s="115">
        <f>IF(SR49&gt;0,SUM($D$18:SQ18),0)</f>
        <v>0</v>
      </c>
      <c r="SS51" s="115">
        <f>IF(SS49&gt;0,SUM($D$18:SR18),0)</f>
        <v>0</v>
      </c>
      <c r="ST51" s="115">
        <f>IF(ST49&gt;0,SUM($D$18:SS18),0)</f>
        <v>0</v>
      </c>
      <c r="SU51" s="115">
        <f>IF(SU49&gt;0,SUM($D$18:ST18),0)</f>
        <v>0</v>
      </c>
      <c r="SV51" s="115">
        <f>IF(SV49&gt;0,SUM($D$18:SU18),0)</f>
        <v>0</v>
      </c>
      <c r="SW51" s="115">
        <f>IF(SW49&gt;0,SUM($D$18:SV18),0)</f>
        <v>0</v>
      </c>
      <c r="SX51" s="115">
        <f>IF(SX49&gt;0,SUM($D$18:SW18),0)</f>
        <v>0</v>
      </c>
      <c r="SY51" s="115">
        <f>IF(SY49&gt;0,SUM($D$18:SX18),0)</f>
        <v>0</v>
      </c>
      <c r="SZ51" s="115">
        <f>IF(SZ49&gt;0,SUM($D$18:SY18),0)</f>
        <v>0</v>
      </c>
      <c r="TA51" s="115">
        <f>IF(TA49&gt;0,SUM($D$18:SZ18),0)</f>
        <v>0</v>
      </c>
      <c r="TB51" s="115">
        <f>IF(TB49&gt;0,SUM($D$18:TA18),0)</f>
        <v>0</v>
      </c>
      <c r="TC51" s="115">
        <f>IF(TC49&gt;0,SUM($D$18:TB18),0)</f>
        <v>0</v>
      </c>
      <c r="TD51" s="115">
        <f>IF(TD49&gt;0,SUM($D$18:TC18),0)</f>
        <v>0</v>
      </c>
      <c r="TE51" s="115">
        <f>IF(TE49&gt;0,SUM($D$18:TD18),0)</f>
        <v>0</v>
      </c>
      <c r="TF51" s="115">
        <f>IF(TF49&gt;0,SUM($D$18:TE18),0)</f>
        <v>0</v>
      </c>
      <c r="TG51" s="115">
        <f>IF(TG49&gt;0,SUM($D$18:TF18),0)</f>
        <v>0</v>
      </c>
      <c r="TH51" s="115">
        <f>IF(TH49&gt;0,SUM($D$18:TG18),0)</f>
        <v>0</v>
      </c>
      <c r="TI51" s="115">
        <f>IF(TI49&gt;0,SUM($D$18:TH18),0)</f>
        <v>0</v>
      </c>
      <c r="TJ51" s="115">
        <f>IF(TJ49&gt;0,SUM($D$18:TI18),0)</f>
        <v>0</v>
      </c>
      <c r="TK51" s="115">
        <f>IF(TK49&gt;0,SUM($D$18:TJ18),0)</f>
        <v>0</v>
      </c>
      <c r="TL51" s="115">
        <f>IF(TL49&gt;0,SUM($D$18:TK18),0)</f>
        <v>0</v>
      </c>
      <c r="TM51" s="115">
        <f>IF(TM49&gt;0,SUM($D$18:TL18),0)</f>
        <v>0</v>
      </c>
      <c r="TN51" s="115">
        <f>IF(TN49&gt;0,SUM($D$18:TM18),0)</f>
        <v>0</v>
      </c>
      <c r="TO51" s="115">
        <f>IF(TO49&gt;0,SUM($D$18:TN18),0)</f>
        <v>0</v>
      </c>
      <c r="TP51" s="115">
        <f>IF(TP49&gt;0,SUM($D$18:TO18),0)</f>
        <v>0</v>
      </c>
      <c r="TQ51" s="115">
        <f>IF(TQ49&gt;0,SUM($D$18:TP18),0)</f>
        <v>0</v>
      </c>
      <c r="TR51" s="115">
        <f>IF(TR49&gt;0,SUM($D$18:TQ18),0)</f>
        <v>0</v>
      </c>
      <c r="TS51" s="115">
        <f>IF(TS49&gt;0,SUM($D$18:TR18),0)</f>
        <v>0</v>
      </c>
      <c r="TT51" s="115">
        <f>IF(TT49&gt;0,SUM($D$18:TS18),0)</f>
        <v>0</v>
      </c>
      <c r="TU51" s="115">
        <f>IF(TU49&gt;0,SUM($D$18:TT18),0)</f>
        <v>0</v>
      </c>
      <c r="TV51" s="115">
        <f>IF(TV49&gt;0,SUM($D$18:TU18),0)</f>
        <v>0</v>
      </c>
      <c r="TW51" s="115">
        <f>IF(TW49&gt;0,SUM($D$18:TV18),0)</f>
        <v>0</v>
      </c>
      <c r="TX51" s="115">
        <f>IF(TX49&gt;0,SUM($D$18:TW18),0)</f>
        <v>0</v>
      </c>
      <c r="TY51" s="115">
        <f>IF(TY49&gt;0,SUM($D$18:TX18),0)</f>
        <v>0</v>
      </c>
      <c r="TZ51" s="115">
        <f>IF(TZ49&gt;0,SUM($D$18:TY18),0)</f>
        <v>0</v>
      </c>
      <c r="UA51" s="115">
        <f>IF(UA49&gt;0,SUM($D$18:TZ18),0)</f>
        <v>0</v>
      </c>
      <c r="UB51" s="115">
        <f>IF(UB49&gt;0,SUM($D$18:UA18),0)</f>
        <v>0</v>
      </c>
      <c r="UC51" s="115">
        <f>IF(UC49&gt;0,SUM($D$18:UB18),0)</f>
        <v>0</v>
      </c>
      <c r="UD51" s="115">
        <f>IF(UD49&gt;0,SUM($D$18:UC18),0)</f>
        <v>0</v>
      </c>
      <c r="UE51" s="115">
        <f>IF(UE49&gt;0,SUM($D$18:UD18),0)</f>
        <v>0</v>
      </c>
      <c r="UF51" s="115">
        <f>IF(UF49&gt;0,SUM($D$18:UE18),0)</f>
        <v>0</v>
      </c>
      <c r="UG51" s="115">
        <f>IF(UG49&gt;0,SUM($D$18:UF18),0)</f>
        <v>0</v>
      </c>
      <c r="UH51" s="115">
        <f>IF(UH49&gt;0,SUM($D$18:UG18),0)</f>
        <v>0</v>
      </c>
      <c r="UI51" s="115">
        <f>IF(UI49&gt;0,SUM($D$18:UH18),0)</f>
        <v>0</v>
      </c>
      <c r="UJ51" s="115">
        <f>IF(UJ49&gt;0,SUM($D$18:UI18),0)</f>
        <v>0</v>
      </c>
      <c r="UK51" s="115">
        <f>IF(UK49&gt;0,SUM($D$18:UJ18),0)</f>
        <v>0</v>
      </c>
      <c r="UL51" s="115">
        <f>IF(UL49&gt;0,SUM($D$18:UK18),0)</f>
        <v>0</v>
      </c>
      <c r="UM51" s="115">
        <f>IF(UM49&gt;0,SUM($D$18:UL18),0)</f>
        <v>0</v>
      </c>
      <c r="UN51" s="115">
        <f>IF(UN49&gt;0,SUM($D$18:UM18),0)</f>
        <v>0</v>
      </c>
      <c r="UO51" s="115">
        <f>IF(UO49&gt;0,SUM($D$18:UN18),0)</f>
        <v>0</v>
      </c>
      <c r="UP51" s="115">
        <f>IF(UP49&gt;0,SUM($D$18:UO18),0)</f>
        <v>0</v>
      </c>
      <c r="UQ51" s="115">
        <f>IF(UQ49&gt;0,SUM($D$18:UP18),0)</f>
        <v>0</v>
      </c>
      <c r="UR51" s="115">
        <f>IF(UR49&gt;0,SUM($D$18:UQ18),0)</f>
        <v>0</v>
      </c>
      <c r="US51" s="115">
        <f>IF(US49&gt;0,SUM($D$18:UR18),0)</f>
        <v>0</v>
      </c>
      <c r="UT51" s="115">
        <f>IF(UT49&gt;0,SUM($D$18:US18),0)</f>
        <v>0</v>
      </c>
      <c r="UU51" s="115">
        <f>IF(UU49&gt;0,SUM($D$18:UT18),0)</f>
        <v>0</v>
      </c>
      <c r="UV51" s="115">
        <f>IF(UV49&gt;0,SUM($D$18:UU18),0)</f>
        <v>0</v>
      </c>
      <c r="UW51" s="115">
        <f>IF(UW49&gt;0,SUM($D$18:UV18),0)</f>
        <v>0</v>
      </c>
      <c r="UX51" s="115">
        <f>IF(UX49&gt;0,SUM($D$18:UW18),0)</f>
        <v>0</v>
      </c>
      <c r="UY51" s="115">
        <f>IF(UY49&gt;0,SUM($D$18:UX18),0)</f>
        <v>0</v>
      </c>
      <c r="UZ51" s="115">
        <f>IF(UZ49&gt;0,SUM($D$18:UY18),0)</f>
        <v>0</v>
      </c>
      <c r="VA51" s="115">
        <f>IF(VA49&gt;0,SUM($D$18:UZ18),0)</f>
        <v>0</v>
      </c>
      <c r="VB51" s="115">
        <f>IF(VB49&gt;0,SUM($D$18:VA18),0)</f>
        <v>0</v>
      </c>
      <c r="VC51" s="115">
        <f>IF(VC49&gt;0,SUM($D$18:VB18),0)</f>
        <v>0</v>
      </c>
      <c r="VD51" s="115">
        <f>IF(VD49&gt;0,SUM($D$18:VC18),0)</f>
        <v>0</v>
      </c>
      <c r="VE51" s="115">
        <f>IF(VE49&gt;0,SUM($D$18:VD18),0)</f>
        <v>0</v>
      </c>
      <c r="VF51" s="115">
        <f>IF(VF49&gt;0,SUM($D$18:VE18),0)</f>
        <v>0</v>
      </c>
      <c r="VG51" s="115">
        <f>IF(VG49&gt;0,SUM($D$18:VF18),0)</f>
        <v>0</v>
      </c>
      <c r="VH51" s="115">
        <f>IF(VH49&gt;0,SUM($D$18:VG18),0)</f>
        <v>0</v>
      </c>
      <c r="VI51" s="115">
        <f>IF(VI49&gt;0,SUM($D$18:VH18),0)</f>
        <v>0</v>
      </c>
      <c r="VJ51" s="115">
        <f>IF(VJ49&gt;0,SUM($D$18:VI18),0)</f>
        <v>0</v>
      </c>
      <c r="VK51" s="115">
        <f>IF(VK49&gt;0,SUM($D$18:VJ18),0)</f>
        <v>0</v>
      </c>
      <c r="VL51" s="115">
        <f>IF(VL49&gt;0,SUM($D$18:VK18),0)</f>
        <v>0</v>
      </c>
      <c r="VM51" s="115">
        <f>IF(VM49&gt;0,SUM($D$18:VL18),0)</f>
        <v>0</v>
      </c>
      <c r="VN51" s="115">
        <f>IF(VN49&gt;0,SUM($D$18:VM18),0)</f>
        <v>0</v>
      </c>
      <c r="VO51" s="115">
        <f>IF(VO49&gt;0,SUM($D$18:VN18),0)</f>
        <v>0</v>
      </c>
      <c r="VP51" s="115">
        <f>IF(VP49&gt;0,SUM($D$18:VO18),0)</f>
        <v>0</v>
      </c>
      <c r="VQ51" s="115">
        <f>IF(VQ49&gt;0,SUM($D$18:VP18),0)</f>
        <v>0</v>
      </c>
      <c r="VR51" s="115">
        <f>IF(VR49&gt;0,SUM($D$18:VQ18),0)</f>
        <v>0</v>
      </c>
      <c r="VS51" s="115">
        <f>IF(VS49&gt;0,SUM($D$18:VR18),0)</f>
        <v>0</v>
      </c>
      <c r="VT51" s="115">
        <f>IF(VT49&gt;0,SUM($D$18:VS18),0)</f>
        <v>0</v>
      </c>
      <c r="VU51" s="115">
        <f>IF(VU49&gt;0,SUM($D$18:VT18),0)</f>
        <v>0</v>
      </c>
      <c r="VV51" s="115">
        <f>IF(VV49&gt;0,SUM($D$18:VU18),0)</f>
        <v>0</v>
      </c>
      <c r="VW51" s="115">
        <f>IF(VW49&gt;0,SUM($D$18:VV18),0)</f>
        <v>0</v>
      </c>
      <c r="VX51" s="115">
        <f>IF(VX49&gt;0,SUM($D$18:VW18),0)</f>
        <v>0</v>
      </c>
      <c r="VY51" s="115">
        <f>IF(VY49&gt;0,SUM($D$18:VX18),0)</f>
        <v>0</v>
      </c>
      <c r="VZ51" s="115">
        <f>IF(VZ49&gt;0,SUM($D$18:VY18),0)</f>
        <v>0</v>
      </c>
      <c r="WA51" s="115">
        <f>IF(WA49&gt;0,SUM($D$18:VZ18),0)</f>
        <v>0</v>
      </c>
      <c r="WB51" s="115">
        <f>IF(WB49&gt;0,SUM($D$18:WA18),0)</f>
        <v>0</v>
      </c>
      <c r="WC51" s="115">
        <f>IF(WC49&gt;0,SUM($D$18:WB18),0)</f>
        <v>0</v>
      </c>
      <c r="WD51" s="115">
        <f>IF(WD49&gt;0,SUM($D$18:WC18),0)</f>
        <v>0</v>
      </c>
      <c r="WE51" s="115">
        <f>IF(WE49&gt;0,SUM($D$18:WD18),0)</f>
        <v>0</v>
      </c>
      <c r="WF51" s="115">
        <f>IF(WF49&gt;0,SUM($D$18:WE18),0)</f>
        <v>0</v>
      </c>
      <c r="WG51" s="115">
        <f>IF(WG49&gt;0,SUM($D$18:WF18),0)</f>
        <v>0</v>
      </c>
      <c r="WH51" s="115">
        <f>IF(WH49&gt;0,SUM($D$18:WG18),0)</f>
        <v>0</v>
      </c>
      <c r="WI51" s="115">
        <f>IF(WI49&gt;0,SUM($D$18:WH18),0)</f>
        <v>0</v>
      </c>
      <c r="WJ51" s="115">
        <f>IF(WJ49&gt;0,SUM($D$18:WI18),0)</f>
        <v>0</v>
      </c>
      <c r="WK51" s="115">
        <f>IF(WK49&gt;0,SUM($D$18:WJ18),0)</f>
        <v>0</v>
      </c>
      <c r="WL51" s="115">
        <f>IF(WL49&gt;0,SUM($D$18:WK18),0)</f>
        <v>0</v>
      </c>
      <c r="WM51" s="115">
        <f>IF(WM49&gt;0,SUM($D$18:WL18),0)</f>
        <v>0</v>
      </c>
      <c r="WN51" s="115">
        <f>IF(WN49&gt;0,SUM($D$18:WM18),0)</f>
        <v>0</v>
      </c>
      <c r="WO51" s="115">
        <f>IF(WO49&gt;0,SUM($D$18:WN18),0)</f>
        <v>0</v>
      </c>
      <c r="WP51" s="115">
        <f>IF(WP49&gt;0,SUM($D$18:WO18),0)</f>
        <v>0</v>
      </c>
      <c r="WQ51" s="115">
        <f>IF(WQ49&gt;0,SUM($D$18:WP18),0)</f>
        <v>0</v>
      </c>
      <c r="WR51" s="115">
        <f>IF(WR49&gt;0,SUM($D$18:WQ18),0)</f>
        <v>0</v>
      </c>
      <c r="WS51" s="115">
        <f>IF(WS49&gt;0,SUM($D$18:WR18),0)</f>
        <v>0</v>
      </c>
      <c r="WT51" s="115">
        <f>IF(WT49&gt;0,SUM($D$18:WS18),0)</f>
        <v>0</v>
      </c>
      <c r="WU51" s="115">
        <f>IF(WU49&gt;0,SUM($D$18:WT18),0)</f>
        <v>0</v>
      </c>
      <c r="WV51" s="115">
        <f>IF(WV49&gt;0,SUM($D$18:WU18),0)</f>
        <v>0</v>
      </c>
      <c r="WW51" s="115">
        <f>IF(WW49&gt;0,SUM($D$18:WV18),0)</f>
        <v>0</v>
      </c>
      <c r="WX51" s="115">
        <f>IF(WX49&gt;0,SUM($D$18:WW18),0)</f>
        <v>0</v>
      </c>
      <c r="WY51" s="115">
        <f>IF(WY49&gt;0,SUM($D$18:WX18),0)</f>
        <v>0</v>
      </c>
      <c r="WZ51" s="115">
        <f>IF(WZ49&gt;0,SUM($D$18:WY18),0)</f>
        <v>0</v>
      </c>
      <c r="XA51" s="115">
        <f>IF(XA49&gt;0,SUM($D$18:WZ18),0)</f>
        <v>0</v>
      </c>
      <c r="XB51" s="115">
        <f>IF(XB49&gt;0,SUM($D$18:XA18),0)</f>
        <v>0</v>
      </c>
      <c r="XC51" s="115">
        <f>IF(XC49&gt;0,SUM($D$18:XB18),0)</f>
        <v>0</v>
      </c>
      <c r="XD51" s="115">
        <f>IF(XD49&gt;0,SUM($D$18:XC18),0)</f>
        <v>0</v>
      </c>
      <c r="XE51" s="115">
        <f>IF(XE49&gt;0,SUM($D$18:XD18),0)</f>
        <v>0</v>
      </c>
      <c r="XF51" s="115">
        <f>IF(XF49&gt;0,SUM($D$18:XE18),0)</f>
        <v>0</v>
      </c>
      <c r="XG51" s="115">
        <f>IF(XG49&gt;0,SUM($D$18:XF18),0)</f>
        <v>0</v>
      </c>
      <c r="XH51" s="115">
        <f>IF(XH49&gt;0,SUM($D$18:XG18),0)</f>
        <v>0</v>
      </c>
      <c r="XI51" s="115">
        <f>IF(XI49&gt;0,SUM($D$18:XH18),0)</f>
        <v>0</v>
      </c>
      <c r="XJ51" s="115">
        <f>IF(XJ49&gt;0,SUM($D$18:XI18),0)</f>
        <v>0</v>
      </c>
      <c r="XK51" s="115">
        <f>IF(XK49&gt;0,SUM($D$18:XJ18),0)</f>
        <v>0</v>
      </c>
      <c r="XL51" s="115">
        <f>IF(XL49&gt;0,SUM($D$18:XK18),0)</f>
        <v>0</v>
      </c>
      <c r="XM51" s="115">
        <f>IF(XM49&gt;0,SUM($D$18:XL18),0)</f>
        <v>0</v>
      </c>
      <c r="XN51" s="115">
        <f>IF(XN49&gt;0,SUM($D$18:XM18),0)</f>
        <v>0</v>
      </c>
      <c r="XO51" s="115">
        <f>IF(XO49&gt;0,SUM($D$18:XN18),0)</f>
        <v>0</v>
      </c>
      <c r="XP51" s="115">
        <f>IF(XP49&gt;0,SUM($D$18:XO18),0)</f>
        <v>0</v>
      </c>
      <c r="XQ51" s="115">
        <f>IF(XQ49&gt;0,SUM($D$18:XP18),0)</f>
        <v>0</v>
      </c>
      <c r="XR51" s="115">
        <f>IF(XR49&gt;0,SUM($D$18:XQ18),0)</f>
        <v>0</v>
      </c>
      <c r="XS51" s="115">
        <f>IF(XS49&gt;0,SUM($D$18:XR18),0)</f>
        <v>0</v>
      </c>
      <c r="XT51" s="115">
        <f>IF(XT49&gt;0,SUM($D$18:XS18),0)</f>
        <v>0</v>
      </c>
      <c r="XU51" s="115">
        <f>IF(XU49&gt;0,SUM($D$18:XT18),0)</f>
        <v>0</v>
      </c>
      <c r="XV51" s="115">
        <f>IF(XV49&gt;0,SUM($D$18:XU18),0)</f>
        <v>0</v>
      </c>
      <c r="XW51" s="115">
        <f>IF(XW49&gt;0,SUM($D$18:XV18),0)</f>
        <v>0</v>
      </c>
      <c r="XX51" s="115">
        <f>IF(XX49&gt;0,SUM($D$18:XW18),0)</f>
        <v>0</v>
      </c>
      <c r="XY51" s="115">
        <f>IF(XY49&gt;0,SUM($D$18:XX18),0)</f>
        <v>0</v>
      </c>
      <c r="XZ51" s="115">
        <f>IF(XZ49&gt;0,SUM($D$18:XY18),0)</f>
        <v>0</v>
      </c>
      <c r="YA51" s="115">
        <f>IF(YA49&gt;0,SUM($D$18:XZ18),0)</f>
        <v>0</v>
      </c>
      <c r="YB51" s="115">
        <f>IF(YB49&gt;0,SUM($D$18:YA18),0)</f>
        <v>0</v>
      </c>
      <c r="YC51" s="115">
        <f>IF(YC49&gt;0,SUM($D$18:YB18),0)</f>
        <v>0</v>
      </c>
      <c r="YD51" s="115">
        <f>IF(YD49&gt;0,SUM($D$18:YC18),0)</f>
        <v>0</v>
      </c>
      <c r="YE51" s="115">
        <f>IF(YE49&gt;0,SUM($D$18:YD18),0)</f>
        <v>0</v>
      </c>
      <c r="YF51" s="115">
        <f>IF(YF49&gt;0,SUM($D$18:YE18),0)</f>
        <v>0</v>
      </c>
      <c r="YG51" s="115">
        <f>IF(YG49&gt;0,SUM($D$18:YF18),0)</f>
        <v>0</v>
      </c>
      <c r="YH51" s="115">
        <f>IF(YH49&gt;0,SUM($D$18:YG18),0)</f>
        <v>0</v>
      </c>
      <c r="YI51" s="115">
        <f>IF(YI49&gt;0,SUM($D$18:YH18),0)</f>
        <v>0</v>
      </c>
      <c r="YJ51" s="115">
        <f>IF(YJ49&gt;0,SUM($D$18:YI18),0)</f>
        <v>0</v>
      </c>
      <c r="YK51" s="115">
        <f>IF(YK49&gt;0,SUM($D$18:YJ18),0)</f>
        <v>0</v>
      </c>
      <c r="YL51" s="115">
        <f>IF(YL49&gt;0,SUM($D$18:YK18),0)</f>
        <v>0</v>
      </c>
      <c r="YM51" s="115">
        <f>IF(YM49&gt;0,SUM($D$18:YL18),0)</f>
        <v>0</v>
      </c>
      <c r="YN51" s="115">
        <f>IF(YN49&gt;0,SUM($D$18:YM18),0)</f>
        <v>0</v>
      </c>
      <c r="YO51" s="115">
        <f>IF(YO49&gt;0,SUM($D$18:YN18),0)</f>
        <v>0</v>
      </c>
      <c r="YP51" s="115">
        <f>IF(YP49&gt;0,SUM($D$18:YO18),0)</f>
        <v>0</v>
      </c>
      <c r="YQ51" s="115">
        <f>IF(YQ49&gt;0,SUM($D$18:YP18),0)</f>
        <v>0</v>
      </c>
      <c r="YR51" s="115">
        <f>IF(YR49&gt;0,SUM($D$18:YQ18),0)</f>
        <v>0</v>
      </c>
      <c r="YS51" s="115">
        <f>IF(YS49&gt;0,SUM($D$18:YR18),0)</f>
        <v>0</v>
      </c>
      <c r="YT51" s="115">
        <f>IF(YT49&gt;0,SUM($D$18:YS18),0)</f>
        <v>0</v>
      </c>
      <c r="YU51" s="115">
        <f>IF(YU49&gt;0,SUM($D$18:YT18),0)</f>
        <v>0</v>
      </c>
      <c r="YV51" s="115">
        <f>IF(YV49&gt;0,SUM($D$18:YU18),0)</f>
        <v>0</v>
      </c>
      <c r="YW51" s="115">
        <f>IF(YW49&gt;0,SUM($D$18:YV18),0)</f>
        <v>0</v>
      </c>
      <c r="YX51" s="115">
        <f>IF(YX49&gt;0,SUM($D$18:YW18),0)</f>
        <v>0</v>
      </c>
      <c r="YY51" s="115">
        <f>IF(YY49&gt;0,SUM($D$18:YX18),0)</f>
        <v>0</v>
      </c>
      <c r="YZ51" s="115">
        <f>IF(YZ49&gt;0,SUM($D$18:YY18),0)</f>
        <v>0</v>
      </c>
      <c r="ZA51" s="115">
        <f>IF(ZA49&gt;0,SUM($D$18:YZ18),0)</f>
        <v>0</v>
      </c>
      <c r="ZB51" s="115">
        <f>IF(ZB49&gt;0,SUM($D$18:ZA18),0)</f>
        <v>0</v>
      </c>
      <c r="ZC51" s="115">
        <f>IF(ZC49&gt;0,SUM($D$18:ZB18),0)</f>
        <v>0</v>
      </c>
      <c r="ZD51" s="115">
        <f>IF(ZD49&gt;0,SUM($D$18:ZC18),0)</f>
        <v>0</v>
      </c>
      <c r="ZE51" s="115">
        <f>IF(ZE49&gt;0,SUM($D$18:ZD18),0)</f>
        <v>0</v>
      </c>
      <c r="ZF51" s="115">
        <f>IF(ZF49&gt;0,SUM($D$18:ZE18),0)</f>
        <v>0</v>
      </c>
      <c r="ZG51" s="115">
        <f>IF(ZG49&gt;0,SUM($D$18:ZF18),0)</f>
        <v>0</v>
      </c>
      <c r="ZH51" s="115">
        <f>IF(ZH49&gt;0,SUM($D$18:ZG18),0)</f>
        <v>0</v>
      </c>
      <c r="ZI51" s="115">
        <f>IF(ZI49&gt;0,SUM($D$18:ZH18),0)</f>
        <v>0</v>
      </c>
      <c r="ZJ51" s="115">
        <f>IF(ZJ49&gt;0,SUM($D$18:ZI18),0)</f>
        <v>0</v>
      </c>
      <c r="ZK51" s="115">
        <f>IF(ZK49&gt;0,SUM($D$18:ZJ18),0)</f>
        <v>0</v>
      </c>
      <c r="ZL51" s="115">
        <f>IF(ZL49&gt;0,SUM($D$18:ZK18),0)</f>
        <v>0</v>
      </c>
      <c r="ZM51" s="115">
        <f>IF(ZM49&gt;0,SUM($D$18:ZL18),0)</f>
        <v>0</v>
      </c>
      <c r="ZN51" s="115">
        <f>IF(ZN49&gt;0,SUM($D$18:ZM18),0)</f>
        <v>0</v>
      </c>
      <c r="ZO51" s="115">
        <f>IF(ZO49&gt;0,SUM($D$18:ZN18),0)</f>
        <v>0</v>
      </c>
      <c r="ZP51" s="115">
        <f>IF(ZP49&gt;0,SUM($D$18:ZO18),0)</f>
        <v>0</v>
      </c>
      <c r="ZQ51" s="115">
        <f>IF(ZQ49&gt;0,SUM($D$18:ZP18),0)</f>
        <v>0</v>
      </c>
      <c r="ZR51" s="115">
        <f>IF(ZR49&gt;0,SUM($D$18:ZQ18),0)</f>
        <v>0</v>
      </c>
      <c r="ZS51" s="115">
        <f>IF(ZS49&gt;0,SUM($D$18:ZR18),0)</f>
        <v>0</v>
      </c>
      <c r="ZT51" s="115">
        <f>IF(ZT49&gt;0,SUM($D$18:ZS18),0)</f>
        <v>0</v>
      </c>
      <c r="ZU51" s="115">
        <f>IF(ZU49&gt;0,SUM($D$18:ZT18),0)</f>
        <v>0</v>
      </c>
      <c r="ZV51" s="115">
        <f>IF(ZV49&gt;0,SUM($D$18:ZU18),0)</f>
        <v>0</v>
      </c>
      <c r="ZW51" s="115">
        <f>IF(ZW49&gt;0,SUM($D$18:ZV18),0)</f>
        <v>0</v>
      </c>
      <c r="ZX51" s="115">
        <f>IF(ZX49&gt;0,SUM($D$18:ZW18),0)</f>
        <v>0</v>
      </c>
      <c r="ZY51" s="115">
        <f>IF(ZY49&gt;0,SUM($D$18:ZX18),0)</f>
        <v>0</v>
      </c>
      <c r="ZZ51" s="115">
        <f>IF(ZZ49&gt;0,SUM($D$18:ZY18),0)</f>
        <v>0</v>
      </c>
      <c r="AAA51" s="115">
        <f>IF(AAA49&gt;0,SUM($D$18:ZZ18),0)</f>
        <v>0</v>
      </c>
      <c r="AAB51" s="115">
        <f>IF(AAB49&gt;0,SUM($D$18:AAA18),0)</f>
        <v>0</v>
      </c>
      <c r="AAC51" s="115">
        <f>IF(AAC49&gt;0,SUM($D$18:AAB18),0)</f>
        <v>0</v>
      </c>
      <c r="AAD51" s="115">
        <f>IF(AAD49&gt;0,SUM($D$18:AAC18),0)</f>
        <v>0</v>
      </c>
      <c r="AAE51" s="115">
        <f>IF(AAE49&gt;0,SUM($D$18:AAD18),0)</f>
        <v>0</v>
      </c>
      <c r="AAF51" s="115">
        <f>IF(AAF49&gt;0,SUM($D$18:AAE18),0)</f>
        <v>0</v>
      </c>
      <c r="AAG51" s="115">
        <f>IF(AAG49&gt;0,SUM($D$18:AAF18),0)</f>
        <v>0</v>
      </c>
      <c r="AAH51" s="115">
        <f>IF(AAH49&gt;0,SUM($D$18:AAG18),0)</f>
        <v>0</v>
      </c>
      <c r="AAI51" s="115">
        <f>IF(AAI49&gt;0,SUM($D$18:AAH18),0)</f>
        <v>0</v>
      </c>
      <c r="AAJ51" s="115">
        <f>IF(AAJ49&gt;0,SUM($D$18:AAI18),0)</f>
        <v>0</v>
      </c>
      <c r="AAK51" s="115">
        <f>IF(AAK49&gt;0,SUM($D$18:AAJ18),0)</f>
        <v>0</v>
      </c>
      <c r="AAL51" s="115">
        <f>IF(AAL49&gt;0,SUM($D$18:AAK18),0)</f>
        <v>0</v>
      </c>
      <c r="AAM51" s="115">
        <f>IF(AAM49&gt;0,SUM($D$18:AAL18),0)</f>
        <v>0</v>
      </c>
      <c r="AAN51" s="115">
        <f>IF(AAN49&gt;0,SUM($D$18:AAM18),0)</f>
        <v>0</v>
      </c>
      <c r="AAO51" s="115">
        <f>IF(AAO49&gt;0,SUM($D$18:AAN18),0)</f>
        <v>0</v>
      </c>
      <c r="AAP51" s="115">
        <f>IF(AAP49&gt;0,SUM($D$18:AAO18),0)</f>
        <v>0</v>
      </c>
      <c r="AAQ51" s="115">
        <f>IF(AAQ49&gt;0,SUM($D$18:AAP18),0)</f>
        <v>0</v>
      </c>
      <c r="AAR51" s="115">
        <f>IF(AAR49&gt;0,SUM($D$18:AAQ18),0)</f>
        <v>0</v>
      </c>
      <c r="AAS51" s="115">
        <f>IF(AAS49&gt;0,SUM($D$18:AAR18),0)</f>
        <v>0</v>
      </c>
      <c r="AAT51" s="115">
        <f>IF(AAT49&gt;0,SUM($D$18:AAS18),0)</f>
        <v>0</v>
      </c>
      <c r="AAU51" s="115">
        <f>IF(AAU49&gt;0,SUM($D$18:AAT18),0)</f>
        <v>0</v>
      </c>
      <c r="AAV51" s="115">
        <f>IF(AAV49&gt;0,SUM($D$18:AAU18),0)</f>
        <v>0</v>
      </c>
      <c r="AAW51" s="115">
        <f>IF(AAW49&gt;0,SUM($D$18:AAV18),0)</f>
        <v>0</v>
      </c>
      <c r="AAX51" s="115">
        <f>IF(AAX49&gt;0,SUM($D$18:AAW18),0)</f>
        <v>0</v>
      </c>
      <c r="AAY51" s="115">
        <f>IF(AAY49&gt;0,SUM($D$18:AAX18),0)</f>
        <v>0</v>
      </c>
      <c r="AAZ51" s="115">
        <f>IF(AAZ49&gt;0,SUM($D$18:AAY18),0)</f>
        <v>0</v>
      </c>
      <c r="ABA51" s="115">
        <f>IF(ABA49&gt;0,SUM($D$18:AAZ18),0)</f>
        <v>0</v>
      </c>
      <c r="ABB51" s="115">
        <f>IF(ABB49&gt;0,SUM($D$18:ABA18),0)</f>
        <v>0</v>
      </c>
      <c r="ABC51" s="115">
        <f>IF(ABC49&gt;0,SUM($D$18:ABB18),0)</f>
        <v>0</v>
      </c>
      <c r="ABD51" s="115">
        <f>IF(ABD49&gt;0,SUM($D$18:ABC18),0)</f>
        <v>0</v>
      </c>
      <c r="ABE51" s="115">
        <f>IF(ABE49&gt;0,SUM($D$18:ABD18),0)</f>
        <v>0</v>
      </c>
      <c r="ABF51" s="115">
        <f>IF(ABF49&gt;0,SUM($D$18:ABE18),0)</f>
        <v>0</v>
      </c>
      <c r="ABG51" s="115">
        <f>IF(ABG49&gt;0,SUM($D$18:ABF18),0)</f>
        <v>0</v>
      </c>
      <c r="ABH51" s="115">
        <f>IF(ABH49&gt;0,SUM($D$18:ABG18),0)</f>
        <v>0</v>
      </c>
      <c r="ABI51" s="115">
        <f>IF(ABI49&gt;0,SUM($D$18:ABH18),0)</f>
        <v>0</v>
      </c>
      <c r="ABJ51" s="115">
        <f>IF(ABJ49&gt;0,SUM($D$18:ABI18),0)</f>
        <v>0</v>
      </c>
      <c r="ABK51" s="115">
        <f>IF(ABK49&gt;0,SUM($D$18:ABJ18),0)</f>
        <v>0</v>
      </c>
      <c r="ABL51" s="115">
        <f>IF(ABL49&gt;0,SUM($D$18:ABK18),0)</f>
        <v>0</v>
      </c>
      <c r="ABM51" s="115">
        <f>IF(ABM49&gt;0,SUM($D$18:ABL18),0)</f>
        <v>0</v>
      </c>
      <c r="ABN51" s="115">
        <f>IF(ABN49&gt;0,SUM($D$18:ABM18),0)</f>
        <v>0</v>
      </c>
      <c r="ABO51" s="115">
        <f>IF(ABO49&gt;0,SUM($D$18:ABN18),0)</f>
        <v>0</v>
      </c>
      <c r="ABP51" s="115">
        <f>IF(ABP49&gt;0,SUM($D$18:ABO18),0)</f>
        <v>0</v>
      </c>
      <c r="ABQ51" s="115">
        <f>IF(ABQ49&gt;0,SUM($D$18:ABP18),0)</f>
        <v>0</v>
      </c>
      <c r="ABR51" s="115">
        <f>IF(ABR49&gt;0,SUM($D$18:ABQ18),0)</f>
        <v>0</v>
      </c>
      <c r="ABS51" s="115">
        <f>IF(ABS49&gt;0,SUM($D$18:ABR18),0)</f>
        <v>0</v>
      </c>
      <c r="ABT51" s="115">
        <f>IF(ABT49&gt;0,SUM($D$18:ABS18),0)</f>
        <v>0</v>
      </c>
      <c r="ABU51" s="115">
        <f>IF(ABU49&gt;0,SUM($D$18:ABT18),0)</f>
        <v>0</v>
      </c>
      <c r="ABV51" s="115">
        <f>IF(ABV49&gt;0,SUM($D$18:ABU18),0)</f>
        <v>0</v>
      </c>
      <c r="ABW51" s="115">
        <f>IF(ABW49&gt;0,SUM($D$18:ABV18),0)</f>
        <v>0</v>
      </c>
      <c r="ABX51" s="115">
        <f>IF(ABX49&gt;0,SUM($D$18:ABW18),0)</f>
        <v>0</v>
      </c>
      <c r="ABY51" s="115">
        <f>IF(ABY49&gt;0,SUM($D$18:ABX18),0)</f>
        <v>0</v>
      </c>
      <c r="ABZ51" s="115">
        <f>IF(ABZ49&gt;0,SUM($D$18:ABY18),0)</f>
        <v>0</v>
      </c>
      <c r="ACA51" s="115">
        <f>IF(ACA49&gt;0,SUM($D$18:ABZ18),0)</f>
        <v>0</v>
      </c>
      <c r="ACB51" s="115">
        <f>IF(ACB49&gt;0,SUM($D$18:ACA18),0)</f>
        <v>0</v>
      </c>
      <c r="ACC51" s="115">
        <f>IF(ACC49&gt;0,SUM($D$18:ACB18),0)</f>
        <v>0</v>
      </c>
      <c r="ACD51" s="115">
        <f>IF(ACD49&gt;0,SUM($D$18:ACC18),0)</f>
        <v>0</v>
      </c>
      <c r="ACE51" s="115">
        <f>IF(ACE49&gt;0,SUM($D$18:ACD18),0)</f>
        <v>0</v>
      </c>
      <c r="ACF51" s="115">
        <f>IF(ACF49&gt;0,SUM($D$18:ACE18),0)</f>
        <v>0</v>
      </c>
      <c r="ACG51" s="115">
        <f>IF(ACG49&gt;0,SUM($D$18:ACF18),0)</f>
        <v>0</v>
      </c>
      <c r="ACH51" s="115">
        <f>IF(ACH49&gt;0,SUM($D$18:ACG18),0)</f>
        <v>0</v>
      </c>
      <c r="ACI51" s="115">
        <f>IF(ACI49&gt;0,SUM($D$18:ACH18),0)</f>
        <v>0</v>
      </c>
      <c r="ACJ51" s="115">
        <f>IF(ACJ49&gt;0,SUM($D$18:ACI18),0)</f>
        <v>0</v>
      </c>
      <c r="ACK51" s="115">
        <f>IF(ACK49&gt;0,SUM($D$18:ACJ18),0)</f>
        <v>0</v>
      </c>
      <c r="ACL51" s="115">
        <f>IF(ACL49&gt;0,SUM($D$18:ACK18),0)</f>
        <v>0</v>
      </c>
      <c r="ACM51" s="115">
        <f>IF(ACM49&gt;0,SUM($D$18:ACL18),0)</f>
        <v>0</v>
      </c>
      <c r="ACN51" s="115">
        <f>IF(ACN49&gt;0,SUM($D$18:ACM18),0)</f>
        <v>0</v>
      </c>
      <c r="ACO51" s="115">
        <f>IF(ACO49&gt;0,SUM($D$18:ACN18),0)</f>
        <v>0</v>
      </c>
      <c r="ACP51" s="115">
        <f>IF(ACP49&gt;0,SUM($D$18:ACO18),0)</f>
        <v>0</v>
      </c>
      <c r="ACQ51" s="115">
        <f>IF(ACQ49&gt;0,SUM($D$18:ACP18),0)</f>
        <v>0</v>
      </c>
      <c r="ACR51" s="115">
        <f>IF(ACR49&gt;0,SUM($D$18:ACQ18),0)</f>
        <v>0</v>
      </c>
      <c r="ACS51" s="115">
        <f>IF(ACS49&gt;0,SUM($D$18:ACR18),0)</f>
        <v>0</v>
      </c>
      <c r="ACT51" s="115">
        <f>IF(ACT49&gt;0,SUM($D$18:ACS18),0)</f>
        <v>0</v>
      </c>
      <c r="ACU51" s="115">
        <f>IF(ACU49&gt;0,SUM($D$18:ACT18),0)</f>
        <v>0</v>
      </c>
      <c r="ACV51" s="115">
        <f>IF(ACV49&gt;0,SUM($D$18:ACU18),0)</f>
        <v>0</v>
      </c>
      <c r="ACW51" s="115">
        <f>IF(ACW49&gt;0,SUM($D$18:ACV18),0)</f>
        <v>0</v>
      </c>
      <c r="ACX51" s="115">
        <f>IF(ACX49&gt;0,SUM($D$18:ACW18),0)</f>
        <v>0</v>
      </c>
      <c r="ACY51" s="115">
        <f>IF(ACY49&gt;0,SUM($D$18:ACX18),0)</f>
        <v>0</v>
      </c>
      <c r="ACZ51" s="115">
        <f>IF(ACZ49&gt;0,SUM($D$18:ACY18),0)</f>
        <v>0</v>
      </c>
      <c r="ADA51" s="115">
        <f>IF(ADA49&gt;0,SUM($D$18:ACZ18),0)</f>
        <v>0</v>
      </c>
      <c r="ADB51" s="115">
        <f>IF(ADB49&gt;0,SUM($D$18:ADA18),0)</f>
        <v>0</v>
      </c>
      <c r="ADC51" s="115">
        <f>IF(ADC49&gt;0,SUM($D$18:ADB18),0)</f>
        <v>0</v>
      </c>
      <c r="ADD51" s="115">
        <f>IF(ADD49&gt;0,SUM($D$18:ADC18),0)</f>
        <v>0</v>
      </c>
      <c r="ADE51" s="115">
        <f>IF(ADE49&gt;0,SUM($D$18:ADD18),0)</f>
        <v>0</v>
      </c>
      <c r="ADF51" s="115">
        <f>IF(ADF49&gt;0,SUM($D$18:ADE18),0)</f>
        <v>0</v>
      </c>
      <c r="ADG51" s="115">
        <f>IF(ADG49&gt;0,SUM($D$18:ADF18),0)</f>
        <v>0</v>
      </c>
      <c r="ADH51" s="115">
        <f>IF(ADH49&gt;0,SUM($D$18:ADG18),0)</f>
        <v>0</v>
      </c>
      <c r="ADI51" s="115">
        <f>IF(ADI49&gt;0,SUM($D$18:ADH18),0)</f>
        <v>0</v>
      </c>
      <c r="ADJ51" s="115">
        <f>IF(ADJ49&gt;0,SUM($D$18:ADI18),0)</f>
        <v>0</v>
      </c>
      <c r="ADK51" s="115">
        <f>IF(ADK49&gt;0,SUM($D$18:ADJ18),0)</f>
        <v>0</v>
      </c>
      <c r="ADL51" s="115">
        <f>IF(ADL49&gt;0,SUM($D$18:ADK18),0)</f>
        <v>0</v>
      </c>
      <c r="ADM51" s="115">
        <f>IF(ADM49&gt;0,SUM($D$18:ADL18),0)</f>
        <v>0</v>
      </c>
      <c r="ADN51" s="115">
        <f>IF(ADN49&gt;0,SUM($D$18:ADM18),0)</f>
        <v>0</v>
      </c>
      <c r="ADO51" s="115">
        <f>IF(ADO49&gt;0,SUM($D$18:ADN18),0)</f>
        <v>0</v>
      </c>
      <c r="ADP51" s="115">
        <f>IF(ADP49&gt;0,SUM($D$18:ADO18),0)</f>
        <v>0</v>
      </c>
      <c r="ADQ51" s="115">
        <f>IF(ADQ49&gt;0,SUM($D$18:ADP18),0)</f>
        <v>0</v>
      </c>
      <c r="ADR51" s="115">
        <f>IF(ADR49&gt;0,SUM($D$18:ADQ18),0)</f>
        <v>0</v>
      </c>
      <c r="ADS51" s="115">
        <f>IF(ADS49&gt;0,SUM($D$18:ADR18),0)</f>
        <v>0</v>
      </c>
      <c r="ADT51" s="115">
        <f>IF(ADT49&gt;0,SUM($D$18:ADS18),0)</f>
        <v>0</v>
      </c>
      <c r="ADU51" s="115">
        <f>IF(ADU49&gt;0,SUM($D$18:ADT18),0)</f>
        <v>0</v>
      </c>
      <c r="ADV51" s="115">
        <f>IF(ADV49&gt;0,SUM($D$18:ADU18),0)</f>
        <v>0</v>
      </c>
      <c r="ADW51" s="115">
        <f>IF(ADW49&gt;0,SUM($D$18:ADV18),0)</f>
        <v>0</v>
      </c>
      <c r="ADX51" s="115">
        <f>IF(ADX49&gt;0,SUM($D$18:ADW18),0)</f>
        <v>0</v>
      </c>
      <c r="ADY51" s="115">
        <f>IF(ADY49&gt;0,SUM($D$18:ADX18),0)</f>
        <v>0</v>
      </c>
      <c r="ADZ51" s="115">
        <f>IF(ADZ49&gt;0,SUM($D$18:ADY18),0)</f>
        <v>0</v>
      </c>
      <c r="AEA51" s="115">
        <f>IF(AEA49&gt;0,SUM($D$18:ADZ18),0)</f>
        <v>0</v>
      </c>
      <c r="AEB51" s="115">
        <f>IF(AEB49&gt;0,SUM($D$18:AEA18),0)</f>
        <v>0</v>
      </c>
      <c r="AEC51" s="115">
        <f>IF(AEC49&gt;0,SUM($D$18:AEB18),0)</f>
        <v>0</v>
      </c>
      <c r="AED51" s="115">
        <f>IF(AED49&gt;0,SUM($D$18:AEC18),0)</f>
        <v>0</v>
      </c>
      <c r="AEE51" s="115">
        <f>IF(AEE49&gt;0,SUM($D$18:AED18),0)</f>
        <v>0</v>
      </c>
      <c r="AEF51" s="115">
        <f>IF(AEF49&gt;0,SUM($D$18:AEE18),0)</f>
        <v>0</v>
      </c>
      <c r="AEG51" s="115">
        <f>IF(AEG49&gt;0,SUM($D$18:AEF18),0)</f>
        <v>0</v>
      </c>
      <c r="AEH51" s="115">
        <f>IF(AEH49&gt;0,SUM($D$18:AEG18),0)</f>
        <v>0</v>
      </c>
      <c r="AEI51" s="115">
        <f>IF(AEI49&gt;0,SUM($D$18:AEH18),0)</f>
        <v>0</v>
      </c>
      <c r="AEJ51" s="115">
        <f>IF(AEJ49&gt;0,SUM($D$18:AEI18),0)</f>
        <v>0</v>
      </c>
      <c r="AEK51" s="115">
        <f>IF(AEK49&gt;0,SUM($D$18:AEJ18),0)</f>
        <v>0</v>
      </c>
      <c r="AEL51" s="115">
        <f>IF(AEL49&gt;0,SUM($D$18:AEK18),0)</f>
        <v>0</v>
      </c>
      <c r="AEM51" s="115">
        <f>IF(AEM49&gt;0,SUM($D$18:AEL18),0)</f>
        <v>0</v>
      </c>
      <c r="AEN51" s="115">
        <f>IF(AEN49&gt;0,SUM($D$18:AEM18),0)</f>
        <v>0</v>
      </c>
      <c r="AEO51" s="115">
        <f>IF(AEO49&gt;0,SUM($D$18:AEN18),0)</f>
        <v>0</v>
      </c>
      <c r="AEP51" s="115">
        <f>IF(AEP49&gt;0,SUM($D$18:AEO18),0)</f>
        <v>0</v>
      </c>
      <c r="AEQ51" s="115">
        <f>IF(AEQ49&gt;0,SUM($D$18:AEP18),0)</f>
        <v>0</v>
      </c>
      <c r="AER51" s="115">
        <f>IF(AER49&gt;0,SUM($D$18:AEQ18),0)</f>
        <v>0</v>
      </c>
      <c r="AES51" s="115">
        <f>IF(AES49&gt;0,SUM($D$18:AER18),0)</f>
        <v>0</v>
      </c>
      <c r="AET51" s="115">
        <f>IF(AET49&gt;0,SUM($D$18:AES18),0)</f>
        <v>0</v>
      </c>
      <c r="AEU51" s="115">
        <f>IF(AEU49&gt;0,SUM($D$18:AET18),0)</f>
        <v>0</v>
      </c>
      <c r="AEV51" s="115">
        <f>IF(AEV49&gt;0,SUM($D$18:AEU18),0)</f>
        <v>0</v>
      </c>
      <c r="AEW51" s="115">
        <f>IF(AEW49&gt;0,SUM($D$18:AEV18),0)</f>
        <v>0</v>
      </c>
      <c r="AEX51" s="115">
        <f>IF(AEX49&gt;0,SUM($D$18:AEW18),0)</f>
        <v>0</v>
      </c>
      <c r="AEY51" s="115">
        <f>IF(AEY49&gt;0,SUM($D$18:AEX18),0)</f>
        <v>0</v>
      </c>
      <c r="AEZ51" s="115">
        <f>IF(AEZ49&gt;0,SUM($D$18:AEY18),0)</f>
        <v>0</v>
      </c>
      <c r="AFA51" s="115">
        <f>IF(AFA49&gt;0,SUM($D$18:AEZ18),0)</f>
        <v>0</v>
      </c>
      <c r="AFB51" s="115">
        <f>IF(AFB49&gt;0,SUM($D$18:AFA18),0)</f>
        <v>0</v>
      </c>
      <c r="AFC51" s="115">
        <f>IF(AFC49&gt;0,SUM($D$18:AFB18),0)</f>
        <v>0</v>
      </c>
      <c r="AFD51" s="115">
        <f>IF(AFD49&gt;0,SUM($D$18:AFC18),0)</f>
        <v>0</v>
      </c>
      <c r="AFE51" s="115">
        <f>IF(AFE49&gt;0,SUM($D$18:AFD18),0)</f>
        <v>0</v>
      </c>
      <c r="AFF51" s="115">
        <f>IF(AFF49&gt;0,SUM($D$18:AFE18),0)</f>
        <v>0</v>
      </c>
      <c r="AFG51" s="115">
        <f>IF(AFG49&gt;0,SUM($D$18:AFF18),0)</f>
        <v>0</v>
      </c>
      <c r="AFH51" s="115">
        <f>IF(AFH49&gt;0,SUM($D$18:AFG18),0)</f>
        <v>0</v>
      </c>
      <c r="AFI51" s="115">
        <f>IF(AFI49&gt;0,SUM($D$18:AFH18),0)</f>
        <v>0</v>
      </c>
      <c r="AFJ51" s="115">
        <f>IF(AFJ49&gt;0,SUM($D$18:AFI18),0)</f>
        <v>0</v>
      </c>
      <c r="AFK51" s="115">
        <f>IF(AFK49&gt;0,SUM($D$18:AFJ18),0)</f>
        <v>0</v>
      </c>
      <c r="AFL51" s="115">
        <f>IF(AFL49&gt;0,SUM($D$18:AFK18),0)</f>
        <v>0</v>
      </c>
      <c r="AFM51" s="115">
        <f>IF(AFM49&gt;0,SUM($D$18:AFL18),0)</f>
        <v>0</v>
      </c>
      <c r="AFN51" s="115">
        <f>IF(AFN49&gt;0,SUM($D$18:AFM18),0)</f>
        <v>0</v>
      </c>
      <c r="AFO51" s="115">
        <f>IF(AFO49&gt;0,SUM($D$18:AFN18),0)</f>
        <v>0</v>
      </c>
      <c r="AFP51" s="115">
        <f>IF(AFP49&gt;0,SUM($D$18:AFO18),0)</f>
        <v>0</v>
      </c>
      <c r="AFQ51" s="115">
        <f>IF(AFQ49&gt;0,SUM($D$18:AFP18),0)</f>
        <v>0</v>
      </c>
      <c r="AFR51" s="115">
        <f>IF(AFR49&gt;0,SUM($D$18:AFQ18),0)</f>
        <v>0</v>
      </c>
      <c r="AFS51" s="115">
        <f>IF(AFS49&gt;0,SUM($D$18:AFR18),0)</f>
        <v>0</v>
      </c>
      <c r="AFT51" s="115">
        <f>IF(AFT49&gt;0,SUM($D$18:AFS18),0)</f>
        <v>0</v>
      </c>
      <c r="AFU51" s="115">
        <f>IF(AFU49&gt;0,SUM($D$18:AFT18),0)</f>
        <v>0</v>
      </c>
      <c r="AFV51" s="115">
        <f>IF(AFV49&gt;0,SUM($D$18:AFU18),0)</f>
        <v>0</v>
      </c>
      <c r="AFW51" s="115">
        <f>IF(AFW49&gt;0,SUM($D$18:AFV18),0)</f>
        <v>0</v>
      </c>
      <c r="AFX51" s="115">
        <f>IF(AFX49&gt;0,SUM($D$18:AFW18),0)</f>
        <v>0</v>
      </c>
      <c r="AFY51" s="115">
        <f>IF(AFY49&gt;0,SUM($D$18:AFX18),0)</f>
        <v>0</v>
      </c>
      <c r="AFZ51" s="115">
        <f>IF(AFZ49&gt;0,SUM($D$18:AFY18),0)</f>
        <v>0</v>
      </c>
      <c r="AGA51" s="115">
        <f>IF(AGA49&gt;0,SUM($D$18:AFZ18),0)</f>
        <v>0</v>
      </c>
      <c r="AGB51" s="115">
        <f>IF(AGB49&gt;0,SUM($D$18:AGA18),0)</f>
        <v>0</v>
      </c>
      <c r="AGC51" s="115">
        <f>IF(AGC49&gt;0,SUM($D$18:AGB18),0)</f>
        <v>0</v>
      </c>
      <c r="AGD51" s="115">
        <f>IF(AGD49&gt;0,SUM($D$18:AGC18),0)</f>
        <v>0</v>
      </c>
      <c r="AGE51" s="115">
        <f>IF(AGE49&gt;0,SUM($D$18:AGD18),0)</f>
        <v>0</v>
      </c>
      <c r="AGF51" s="115">
        <f>IF(AGF49&gt;0,SUM($D$18:AGE18),0)</f>
        <v>0</v>
      </c>
      <c r="AGG51" s="115">
        <f>IF(AGG49&gt;0,SUM($D$18:AGF18),0)</f>
        <v>0</v>
      </c>
      <c r="AGH51" s="115">
        <f>IF(AGH49&gt;0,SUM($D$18:AGG18),0)</f>
        <v>0</v>
      </c>
      <c r="AGI51" s="115">
        <f>IF(AGI49&gt;0,SUM($D$18:AGH18),0)</f>
        <v>0</v>
      </c>
      <c r="AGJ51" s="115">
        <f>IF(AGJ49&gt;0,SUM($D$18:AGI18),0)</f>
        <v>0</v>
      </c>
      <c r="AGK51" s="115">
        <f>IF(AGK49&gt;0,SUM($D$18:AGJ18),0)</f>
        <v>0</v>
      </c>
      <c r="AGL51" s="115">
        <f>IF(AGL49&gt;0,SUM($D$18:AGK18),0)</f>
        <v>0</v>
      </c>
      <c r="AGM51" s="115">
        <f>IF(AGM49&gt;0,SUM($D$18:AGL18),0)</f>
        <v>0</v>
      </c>
      <c r="AGN51" s="115">
        <f>IF(AGN49&gt;0,SUM($D$18:AGM18),0)</f>
        <v>0</v>
      </c>
      <c r="AGO51" s="115">
        <f>IF(AGO49&gt;0,SUM($D$18:AGN18),0)</f>
        <v>0</v>
      </c>
      <c r="AGP51" s="115">
        <f>IF(AGP49&gt;0,SUM($D$18:AGO18),0)</f>
        <v>0</v>
      </c>
      <c r="AGQ51" s="115">
        <f>IF(AGQ49&gt;0,SUM($D$18:AGP18),0)</f>
        <v>0</v>
      </c>
      <c r="AGR51" s="115">
        <f>IF(AGR49&gt;0,SUM($D$18:AGQ18),0)</f>
        <v>0</v>
      </c>
      <c r="AGS51" s="115">
        <f>IF(AGS49&gt;0,SUM($D$18:AGR18),0)</f>
        <v>0</v>
      </c>
      <c r="AGT51" s="115">
        <f>IF(AGT49&gt;0,SUM($D$18:AGS18),0)</f>
        <v>0</v>
      </c>
      <c r="AGU51" s="115">
        <f>IF(AGU49&gt;0,SUM($D$18:AGT18),0)</f>
        <v>0</v>
      </c>
      <c r="AGV51" s="115">
        <f>IF(AGV49&gt;0,SUM($D$18:AGU18),0)</f>
        <v>0</v>
      </c>
      <c r="AGW51" s="115">
        <f>IF(AGW49&gt;0,SUM($D$18:AGV18),0)</f>
        <v>0</v>
      </c>
      <c r="AGX51" s="115">
        <f>IF(AGX49&gt;0,SUM($D$18:AGW18),0)</f>
        <v>0</v>
      </c>
      <c r="AGY51" s="115">
        <f>IF(AGY49&gt;0,SUM($D$18:AGX18),0)</f>
        <v>0</v>
      </c>
      <c r="AGZ51" s="115">
        <f>IF(AGZ49&gt;0,SUM($D$18:AGY18),0)</f>
        <v>0</v>
      </c>
      <c r="AHA51" s="115">
        <f>IF(AHA49&gt;0,SUM($D$18:AGZ18),0)</f>
        <v>0</v>
      </c>
      <c r="AHB51" s="115">
        <f>IF(AHB49&gt;0,SUM($D$18:AHA18),0)</f>
        <v>0</v>
      </c>
      <c r="AHC51" s="115">
        <f>IF(AHC49&gt;0,SUM($D$18:AHB18),0)</f>
        <v>0</v>
      </c>
      <c r="AHD51" s="115">
        <f>IF(AHD49&gt;0,SUM($D$18:AHC18),0)</f>
        <v>0</v>
      </c>
      <c r="AHE51" s="115">
        <f>IF(AHE49&gt;0,SUM($D$18:AHD18),0)</f>
        <v>0</v>
      </c>
      <c r="AHF51" s="115">
        <f>IF(AHF49&gt;0,SUM($D$18:AHE18),0)</f>
        <v>0</v>
      </c>
      <c r="AHG51" s="115">
        <f>IF(AHG49&gt;0,SUM($D$18:AHF18),0)</f>
        <v>0</v>
      </c>
      <c r="AHH51" s="115">
        <f>IF(AHH49&gt;0,SUM($D$18:AHG18),0)</f>
        <v>0</v>
      </c>
      <c r="AHI51" s="115">
        <f>IF(AHI49&gt;0,SUM($D$18:AHH18),0)</f>
        <v>0</v>
      </c>
      <c r="AHJ51" s="115">
        <f>IF(AHJ49&gt;0,SUM($D$18:AHI18),0)</f>
        <v>0</v>
      </c>
      <c r="AHK51" s="115">
        <f>IF(AHK49&gt;0,SUM($D$18:AHJ18),0)</f>
        <v>0</v>
      </c>
      <c r="AHL51" s="115">
        <f>IF(AHL49&gt;0,SUM($D$18:AHK18),0)</f>
        <v>0</v>
      </c>
      <c r="AHM51" s="115">
        <f>IF(AHM49&gt;0,SUM($D$18:AHL18),0)</f>
        <v>0</v>
      </c>
      <c r="AHN51" s="115">
        <f>IF(AHN49&gt;0,SUM($D$18:AHM18),0)</f>
        <v>0</v>
      </c>
      <c r="AHO51" s="115">
        <f>IF(AHO49&gt;0,SUM($D$18:AHN18),0)</f>
        <v>0</v>
      </c>
      <c r="AHP51" s="115">
        <f>IF(AHP49&gt;0,SUM($D$18:AHO18),0)</f>
        <v>0</v>
      </c>
      <c r="AHQ51" s="115">
        <f>IF(AHQ49&gt;0,SUM($D$18:AHP18),0)</f>
        <v>0</v>
      </c>
      <c r="AHR51" s="115">
        <f>IF(AHR49&gt;0,SUM($D$18:AHQ18),0)</f>
        <v>0</v>
      </c>
      <c r="AHS51" s="115">
        <f>IF(AHS49&gt;0,SUM($D$18:AHR18),0)</f>
        <v>0</v>
      </c>
      <c r="AHT51" s="115">
        <f>IF(AHT49&gt;0,SUM($D$18:AHS18),0)</f>
        <v>0</v>
      </c>
      <c r="AHU51" s="115">
        <f>IF(AHU49&gt;0,SUM($D$18:AHT18),0)</f>
        <v>0</v>
      </c>
      <c r="AHV51" s="115">
        <f>IF(AHV49&gt;0,SUM($D$18:AHU18),0)</f>
        <v>0</v>
      </c>
      <c r="AHW51" s="115">
        <f>IF(AHW49&gt;0,SUM($D$18:AHV18),0)</f>
        <v>0</v>
      </c>
      <c r="AHX51" s="115">
        <f>IF(AHX49&gt;0,SUM($D$18:AHW18),0)</f>
        <v>0</v>
      </c>
      <c r="AHY51" s="115">
        <f>IF(AHY49&gt;0,SUM($D$18:AHX18),0)</f>
        <v>0</v>
      </c>
      <c r="AHZ51" s="115">
        <f>IF(AHZ49&gt;0,SUM($D$18:AHY18),0)</f>
        <v>0</v>
      </c>
      <c r="AIA51" s="115">
        <f>IF(AIA49&gt;0,SUM($D$18:AHZ18),0)</f>
        <v>0</v>
      </c>
      <c r="AIB51" s="115">
        <f>IF(AIB49&gt;0,SUM($D$18:AIA18),0)</f>
        <v>0</v>
      </c>
      <c r="AIC51" s="115">
        <f>IF(AIC49&gt;0,SUM($D$18:AIB18),0)</f>
        <v>0</v>
      </c>
      <c r="AID51" s="115">
        <f>IF(AID49&gt;0,SUM($D$18:AIC18),0)</f>
        <v>0</v>
      </c>
      <c r="AIE51" s="115">
        <f>IF(AIE49&gt;0,SUM($D$18:AID18),0)</f>
        <v>0</v>
      </c>
      <c r="AIF51" s="115">
        <f>IF(AIF49&gt;0,SUM($D$18:AIE18),0)</f>
        <v>0</v>
      </c>
      <c r="AIG51" s="115">
        <f>IF(AIG49&gt;0,SUM($D$18:AIF18),0)</f>
        <v>0</v>
      </c>
      <c r="AIH51" s="115">
        <f>IF(AIH49&gt;0,SUM($D$18:AIG18),0)</f>
        <v>0</v>
      </c>
      <c r="AII51" s="115">
        <f>IF(AII49&gt;0,SUM($D$18:AIH18),0)</f>
        <v>0</v>
      </c>
      <c r="AIJ51" s="115">
        <f>IF(AIJ49&gt;0,SUM($D$18:AII18),0)</f>
        <v>0</v>
      </c>
      <c r="AIK51" s="115">
        <f>IF(AIK49&gt;0,SUM($D$18:AIJ18),0)</f>
        <v>0</v>
      </c>
      <c r="AIL51" s="115">
        <f>IF(AIL49&gt;0,SUM($D$18:AIK18),0)</f>
        <v>0</v>
      </c>
      <c r="AIM51" s="115">
        <f>IF(AIM49&gt;0,SUM($D$18:AIL18),0)</f>
        <v>0</v>
      </c>
      <c r="AIN51" s="115">
        <f>IF(AIN49&gt;0,SUM($D$18:AIM18),0)</f>
        <v>0</v>
      </c>
      <c r="AIO51" s="115">
        <f>IF(AIO49&gt;0,SUM($D$18:AIN18),0)</f>
        <v>0</v>
      </c>
      <c r="AIP51" s="115">
        <f>IF(AIP49&gt;0,SUM($D$18:AIO18),0)</f>
        <v>0</v>
      </c>
      <c r="AIQ51" s="115">
        <f>IF(AIQ49&gt;0,SUM($D$18:AIP18),0)</f>
        <v>0</v>
      </c>
      <c r="AIR51" s="115">
        <f>IF(AIR49&gt;0,SUM($D$18:AIQ18),0)</f>
        <v>0</v>
      </c>
      <c r="AIS51" s="115">
        <f>IF(AIS49&gt;0,SUM($D$18:AIR18),0)</f>
        <v>0</v>
      </c>
      <c r="AIT51" s="115">
        <f>IF(AIT49&gt;0,SUM($D$18:AIS18),0)</f>
        <v>0</v>
      </c>
      <c r="AIU51" s="115">
        <f>IF(AIU49&gt;0,SUM($D$18:AIT18),0)</f>
        <v>0</v>
      </c>
      <c r="AIV51" s="115">
        <f>IF(AIV49&gt;0,SUM($D$18:AIU18),0)</f>
        <v>0</v>
      </c>
      <c r="AIW51" s="115">
        <f>IF(AIW49&gt;0,SUM($D$18:AIV18),0)</f>
        <v>0</v>
      </c>
      <c r="AIX51" s="115">
        <f>IF(AIX49&gt;0,SUM($D$18:AIW18),0)</f>
        <v>0</v>
      </c>
      <c r="AIY51" s="115">
        <f>IF(AIY49&gt;0,SUM($D$18:AIX18),0)</f>
        <v>0</v>
      </c>
      <c r="AIZ51" s="115">
        <f>IF(AIZ49&gt;0,SUM($D$18:AIY18),0)</f>
        <v>0</v>
      </c>
      <c r="AJA51" s="115">
        <f>IF(AJA49&gt;0,SUM($D$18:AIZ18),0)</f>
        <v>0</v>
      </c>
      <c r="AJB51" s="115">
        <f>IF(AJB49&gt;0,SUM($D$18:AJA18),0)</f>
        <v>0</v>
      </c>
      <c r="AJC51" s="115">
        <f>IF(AJC49&gt;0,SUM($D$18:AJB18),0)</f>
        <v>0</v>
      </c>
      <c r="AJD51" s="115">
        <f>IF(AJD49&gt;0,SUM($D$18:AJC18),0)</f>
        <v>0</v>
      </c>
      <c r="AJE51" s="115">
        <f>IF(AJE49&gt;0,SUM($D$18:AJD18),0)</f>
        <v>0</v>
      </c>
      <c r="AJF51" s="115">
        <f>IF(AJF49&gt;0,SUM($D$18:AJE18),0)</f>
        <v>0</v>
      </c>
      <c r="AJG51" s="115">
        <f>IF(AJG49&gt;0,SUM($D$18:AJF18),0)</f>
        <v>0</v>
      </c>
      <c r="AJH51" s="115">
        <f>IF(AJH49&gt;0,SUM($D$18:AJG18),0)</f>
        <v>0</v>
      </c>
      <c r="AJI51" s="115">
        <f>IF(AJI49&gt;0,SUM($D$18:AJH18),0)</f>
        <v>0</v>
      </c>
      <c r="AJJ51" s="115">
        <f>IF(AJJ49&gt;0,SUM($D$18:AJI18),0)</f>
        <v>0</v>
      </c>
      <c r="AJK51" s="115">
        <f>IF(AJK49&gt;0,SUM($D$18:AJJ18),0)</f>
        <v>0</v>
      </c>
      <c r="AJL51" s="115">
        <f>IF(AJL49&gt;0,SUM($D$18:AJK18),0)</f>
        <v>0</v>
      </c>
      <c r="AJM51" s="115">
        <f>IF(AJM49&gt;0,SUM($D$18:AJL18),0)</f>
        <v>0</v>
      </c>
      <c r="AJN51" s="115">
        <f>IF(AJN49&gt;0,SUM($D$18:AJM18),0)</f>
        <v>0</v>
      </c>
      <c r="AJO51" s="115">
        <f>IF(AJO49&gt;0,SUM($D$18:AJN18),0)</f>
        <v>0</v>
      </c>
      <c r="AJP51" s="115">
        <f>IF(AJP49&gt;0,SUM($D$18:AJO18),0)</f>
        <v>0</v>
      </c>
      <c r="AJQ51" s="115">
        <f>IF(AJQ49&gt;0,SUM($D$18:AJP18),0)</f>
        <v>0</v>
      </c>
      <c r="AJR51" s="115">
        <f>IF(AJR49&gt;0,SUM($D$18:AJQ18),0)</f>
        <v>0</v>
      </c>
      <c r="AJS51" s="115">
        <f>IF(AJS49&gt;0,SUM($D$18:AJR18),0)</f>
        <v>0</v>
      </c>
      <c r="AJT51" s="115">
        <f>IF(AJT49&gt;0,SUM($D$18:AJS18),0)</f>
        <v>0</v>
      </c>
      <c r="AJU51" s="115">
        <f>IF(AJU49&gt;0,SUM($D$18:AJT18),0)</f>
        <v>0</v>
      </c>
      <c r="AJV51" s="115">
        <f>IF(AJV49&gt;0,SUM($D$18:AJU18),0)</f>
        <v>0</v>
      </c>
      <c r="AJW51" s="115">
        <f>IF(AJW49&gt;0,SUM($D$18:AJV18),0)</f>
        <v>0</v>
      </c>
      <c r="AJX51" s="115">
        <f>IF(AJX49&gt;0,SUM($D$18:AJW18),0)</f>
        <v>0</v>
      </c>
      <c r="AJY51" s="115">
        <f>IF(AJY49&gt;0,SUM($D$18:AJX18),0)</f>
        <v>0</v>
      </c>
      <c r="AJZ51" s="115">
        <f>IF(AJZ49&gt;0,SUM($D$18:AJY18),0)</f>
        <v>0</v>
      </c>
      <c r="AKA51" s="115">
        <f>IF(AKA49&gt;0,SUM($D$18:AJZ18),0)</f>
        <v>0</v>
      </c>
      <c r="AKB51" s="115">
        <f>IF(AKB49&gt;0,SUM($D$18:AKA18),0)</f>
        <v>0</v>
      </c>
      <c r="AKC51" s="115">
        <f>IF(AKC49&gt;0,SUM($D$18:AKB18),0)</f>
        <v>0</v>
      </c>
      <c r="AKD51" s="115">
        <f>IF(AKD49&gt;0,SUM($D$18:AKC18),0)</f>
        <v>0</v>
      </c>
      <c r="AKE51" s="115">
        <f>IF(AKE49&gt;0,SUM($D$18:AKD18),0)</f>
        <v>0</v>
      </c>
      <c r="AKF51" s="115">
        <f>IF(AKF49&gt;0,SUM($D$18:AKE18),0)</f>
        <v>0</v>
      </c>
      <c r="AKG51" s="115">
        <f>IF(AKG49&gt;0,SUM($D$18:AKF18),0)</f>
        <v>0</v>
      </c>
      <c r="AKH51" s="115">
        <f>IF(AKH49&gt;0,SUM($D$18:AKG18),0)</f>
        <v>0</v>
      </c>
      <c r="AKI51" s="115">
        <f>IF(AKI49&gt;0,SUM($D$18:AKH18),0)</f>
        <v>0</v>
      </c>
      <c r="AKJ51" s="115">
        <f>IF(AKJ49&gt;0,SUM($D$18:AKI18),0)</f>
        <v>0</v>
      </c>
      <c r="AKK51" s="115">
        <f>IF(AKK49&gt;0,SUM($D$18:AKJ18),0)</f>
        <v>0</v>
      </c>
      <c r="AKL51" s="115">
        <f>IF(AKL49&gt;0,SUM($D$18:AKK18),0)</f>
        <v>0</v>
      </c>
      <c r="AKM51" s="115">
        <f>IF(AKM49&gt;0,SUM($D$18:AKL18),0)</f>
        <v>0</v>
      </c>
      <c r="AKN51" s="115">
        <f>IF(AKN49&gt;0,SUM($D$18:AKM18),0)</f>
        <v>0</v>
      </c>
      <c r="AKO51" s="115">
        <f>IF(AKO49&gt;0,SUM($D$18:AKN18),0)</f>
        <v>0</v>
      </c>
      <c r="AKP51" s="115">
        <f>IF(AKP49&gt;0,SUM($D$18:AKO18),0)</f>
        <v>0</v>
      </c>
      <c r="AKQ51" s="115">
        <f>IF(AKQ49&gt;0,SUM($D$18:AKP18),0)</f>
        <v>0</v>
      </c>
      <c r="AKR51" s="115">
        <f>IF(AKR49&gt;0,SUM($D$18:AKQ18),0)</f>
        <v>0</v>
      </c>
      <c r="AKS51" s="115">
        <f>IF(AKS49&gt;0,SUM($D$18:AKR18),0)</f>
        <v>0</v>
      </c>
      <c r="AKT51" s="115">
        <f>IF(AKT49&gt;0,SUM($D$18:AKS18),0)</f>
        <v>0</v>
      </c>
      <c r="AKU51" s="115">
        <f>IF(AKU49&gt;0,SUM($D$18:AKT18),0)</f>
        <v>0</v>
      </c>
      <c r="AKV51" s="115">
        <f>IF(AKV49&gt;0,SUM($D$18:AKU18),0)</f>
        <v>0</v>
      </c>
      <c r="AKW51" s="115">
        <f>IF(AKW49&gt;0,SUM($D$18:AKV18),0)</f>
        <v>0</v>
      </c>
      <c r="AKX51" s="115">
        <f>IF(AKX49&gt;0,SUM($D$18:AKW18),0)</f>
        <v>0</v>
      </c>
      <c r="AKY51" s="115">
        <f>IF(AKY49&gt;0,SUM($D$18:AKX18),0)</f>
        <v>0</v>
      </c>
      <c r="AKZ51" s="115">
        <f>IF(AKZ49&gt;0,SUM($D$18:AKY18),0)</f>
        <v>0</v>
      </c>
      <c r="ALA51" s="115">
        <f>IF(ALA49&gt;0,SUM($D$18:AKZ18),0)</f>
        <v>0</v>
      </c>
      <c r="ALB51" s="115">
        <f>IF(ALB49&gt;0,SUM($D$18:ALA18),0)</f>
        <v>0</v>
      </c>
      <c r="ALC51" s="115">
        <f>IF(ALC49&gt;0,SUM($D$18:ALB18),0)</f>
        <v>0</v>
      </c>
      <c r="ALD51" s="115">
        <f>IF(ALD49&gt;0,SUM($D$18:ALC18),0)</f>
        <v>0</v>
      </c>
      <c r="ALE51" s="115">
        <f>IF(ALE49&gt;0,SUM($D$18:ALD18),0)</f>
        <v>0</v>
      </c>
      <c r="ALF51" s="115">
        <f>IF(ALF49&gt;0,SUM($D$18:ALE18),0)</f>
        <v>0</v>
      </c>
      <c r="ALG51" s="115">
        <f>IF(ALG49&gt;0,SUM($D$18:ALF18),0)</f>
        <v>0</v>
      </c>
      <c r="ALH51" s="115">
        <f>IF(ALH49&gt;0,SUM($D$18:ALG18),0)</f>
        <v>0</v>
      </c>
      <c r="ALI51" s="115">
        <f>IF(ALI49&gt;0,SUM($D$18:ALH18),0)</f>
        <v>0</v>
      </c>
      <c r="ALJ51" s="115">
        <f>IF(ALJ49&gt;0,SUM($D$18:ALI18),0)</f>
        <v>0</v>
      </c>
      <c r="ALK51" s="115">
        <f>IF(ALK49&gt;0,SUM($D$18:ALJ18),0)</f>
        <v>0</v>
      </c>
      <c r="ALL51" s="115">
        <f>IF(ALL49&gt;0,SUM($D$18:ALK18),0)</f>
        <v>0</v>
      </c>
      <c r="ALM51" s="115">
        <f>IF(ALM49&gt;0,SUM($D$18:ALL18),0)</f>
        <v>0</v>
      </c>
      <c r="ALN51" s="115">
        <f>IF(ALN49&gt;0,SUM($D$18:ALM18),0)</f>
        <v>0</v>
      </c>
      <c r="ALO51" s="115">
        <f>IF(ALO49&gt;0,SUM($D$18:ALN18),0)</f>
        <v>0</v>
      </c>
      <c r="ALP51" s="115">
        <f>IF(ALP49&gt;0,SUM($D$18:ALO18),0)</f>
        <v>0</v>
      </c>
      <c r="ALQ51" s="115">
        <f>IF(ALQ49&gt;0,SUM($D$18:ALP18),0)</f>
        <v>0</v>
      </c>
      <c r="ALR51" s="115">
        <f>IF(ALR49&gt;0,SUM($D$18:ALQ18),0)</f>
        <v>0</v>
      </c>
      <c r="ALS51" s="115">
        <f>IF(ALS49&gt;0,SUM($D$18:ALR18),0)</f>
        <v>0</v>
      </c>
      <c r="ALT51" s="115">
        <f>IF(ALT49&gt;0,SUM($D$18:ALS18),0)</f>
        <v>0</v>
      </c>
      <c r="ALU51" s="115">
        <f>IF(ALU49&gt;0,SUM($D$18:ALT18),0)</f>
        <v>0</v>
      </c>
      <c r="ALV51" s="115">
        <f>IF(ALV49&gt;0,SUM($D$18:ALU18),0)</f>
        <v>0</v>
      </c>
      <c r="ALW51" s="115">
        <f>IF(ALW49&gt;0,SUM($D$18:ALV18),0)</f>
        <v>0</v>
      </c>
      <c r="ALX51" s="115">
        <f>IF(ALX49&gt;0,SUM($D$18:ALW18),0)</f>
        <v>0</v>
      </c>
      <c r="ALY51" s="115">
        <f>IF(ALY49&gt;0,SUM($D$18:ALX18),0)</f>
        <v>0</v>
      </c>
      <c r="ALZ51" s="115">
        <f>IF(ALZ49&gt;0,SUM($D$18:ALY18),0)</f>
        <v>0</v>
      </c>
      <c r="AMA51" s="115">
        <f>IF(AMA49&gt;0,SUM($D$18:ALZ18),0)</f>
        <v>0</v>
      </c>
      <c r="AMB51" s="115">
        <f>IF(AMB49&gt;0,SUM($D$18:AMA18),0)</f>
        <v>0</v>
      </c>
      <c r="AMC51" s="115">
        <f>IF(AMC49&gt;0,SUM($D$18:AMB18),0)</f>
        <v>0</v>
      </c>
      <c r="AMD51" s="115">
        <f>IF(AMD49&gt;0,SUM($D$18:AMC18),0)</f>
        <v>0</v>
      </c>
      <c r="AME51" s="115">
        <f>IF(AME49&gt;0,SUM($D$18:AMD18),0)</f>
        <v>0</v>
      </c>
      <c r="AMF51" s="115">
        <f>IF(AMF49&gt;0,SUM($D$18:AME18),0)</f>
        <v>0</v>
      </c>
      <c r="AMG51" s="115">
        <f>IF(AMG49&gt;0,SUM($D$18:AMF18),0)</f>
        <v>0</v>
      </c>
      <c r="AMH51" s="115">
        <f>IF(AMH49&gt;0,SUM($D$18:AMG18),0)</f>
        <v>0</v>
      </c>
      <c r="AMI51" s="115">
        <f>IF(AMI49&gt;0,SUM($D$18:AMH18),0)</f>
        <v>0</v>
      </c>
      <c r="AMJ51" s="115">
        <f>IF(AMJ49&gt;0,SUM($D$18:AMI18),0)</f>
        <v>0</v>
      </c>
      <c r="AMK51" s="115">
        <f>IF(AMK49&gt;0,SUM($D$18:AMJ18),0)</f>
        <v>0</v>
      </c>
      <c r="AML51" s="115">
        <f>IF(AML49&gt;0,SUM($D$18:AMK18),0)</f>
        <v>0</v>
      </c>
      <c r="AMM51" s="115">
        <f>IF(AMM49&gt;0,SUM($D$18:AML18),0)</f>
        <v>0</v>
      </c>
      <c r="AMN51" s="115">
        <f>IF(AMN49&gt;0,SUM($D$18:AMM18),0)</f>
        <v>0</v>
      </c>
      <c r="AMO51" s="115">
        <f>IF(AMO49&gt;0,SUM($D$18:AMN18),0)</f>
        <v>0</v>
      </c>
      <c r="AMP51" s="115">
        <f>IF(AMP49&gt;0,SUM($D$18:AMO18),0)</f>
        <v>0</v>
      </c>
      <c r="AMQ51" s="115">
        <f>IF(AMQ49&gt;0,SUM($D$18:AMP18),0)</f>
        <v>0</v>
      </c>
      <c r="AMR51" s="115">
        <f>IF(AMR49&gt;0,SUM($D$18:AMQ18),0)</f>
        <v>0</v>
      </c>
      <c r="AMS51" s="115">
        <f>IF(AMS49&gt;0,SUM($D$18:AMR18),0)</f>
        <v>0</v>
      </c>
      <c r="AMT51" s="115">
        <f>IF(AMT49&gt;0,SUM($D$18:AMS18),0)</f>
        <v>0</v>
      </c>
      <c r="AMU51" s="115">
        <f>IF(AMU49&gt;0,SUM($D$18:AMT18),0)</f>
        <v>0</v>
      </c>
      <c r="AMV51" s="115">
        <f>IF(AMV49&gt;0,SUM($D$18:AMU18),0)</f>
        <v>0</v>
      </c>
      <c r="AMW51" s="115">
        <f>IF(AMW49&gt;0,SUM($D$18:AMV18),0)</f>
        <v>0</v>
      </c>
      <c r="AMX51" s="115">
        <f>IF(AMX49&gt;0,SUM($D$18:AMW18),0)</f>
        <v>0</v>
      </c>
      <c r="AMY51" s="115">
        <f>IF(AMY49&gt;0,SUM($D$18:AMX18),0)</f>
        <v>0</v>
      </c>
      <c r="AMZ51" s="115">
        <f>IF(AMZ49&gt;0,SUM($D$18:AMY18),0)</f>
        <v>0</v>
      </c>
      <c r="ANA51" s="115">
        <f>IF(ANA49&gt;0,SUM($D$18:AMZ18),0)</f>
        <v>0</v>
      </c>
      <c r="ANB51" s="115">
        <f>IF(ANB49&gt;0,SUM($D$18:ANA18),0)</f>
        <v>0</v>
      </c>
      <c r="ANC51" s="115">
        <f>IF(ANC49&gt;0,SUM($D$18:ANB18),0)</f>
        <v>0</v>
      </c>
      <c r="AND51" s="115">
        <f>IF(AND49&gt;0,SUM($D$18:ANC18),0)</f>
        <v>0</v>
      </c>
      <c r="ANE51" s="115">
        <f>IF(ANE49&gt;0,SUM($D$18:AND18),0)</f>
        <v>0</v>
      </c>
      <c r="ANF51" s="115">
        <f>IF(ANF49&gt;0,SUM($D$18:ANE18),0)</f>
        <v>0</v>
      </c>
      <c r="ANG51" s="115">
        <f>IF(ANG49&gt;0,SUM($D$18:ANF18),0)</f>
        <v>0</v>
      </c>
      <c r="ANH51" s="115">
        <f>IF(ANH49&gt;0,SUM($D$18:ANG18),0)</f>
        <v>0</v>
      </c>
      <c r="ANI51" s="115">
        <f>IF(ANI49&gt;0,SUM($D$18:ANH18),0)</f>
        <v>0</v>
      </c>
      <c r="ANJ51" s="115">
        <f>IF(ANJ49&gt;0,SUM($D$18:ANI18),0)</f>
        <v>0</v>
      </c>
      <c r="ANK51" s="115">
        <f>IF(ANK49&gt;0,SUM($D$18:ANJ18),0)</f>
        <v>0</v>
      </c>
      <c r="ANL51" s="115">
        <f>IF(ANL49&gt;0,SUM($D$18:ANK18),0)</f>
        <v>0</v>
      </c>
      <c r="ANM51" s="115">
        <f>IF(ANM49&gt;0,SUM($D$18:ANL18),0)</f>
        <v>0</v>
      </c>
      <c r="ANN51" s="115">
        <f>IF(ANN49&gt;0,SUM($D$18:ANM18),0)</f>
        <v>0</v>
      </c>
      <c r="ANO51" s="115">
        <f>IF(ANO49&gt;0,SUM($D$18:ANN18),0)</f>
        <v>0</v>
      </c>
      <c r="ANP51" s="115">
        <f>IF(ANP49&gt;0,SUM($D$18:ANO18),0)</f>
        <v>0</v>
      </c>
      <c r="ANQ51" s="115">
        <f>IF(ANQ49&gt;0,SUM($D$18:ANP18),0)</f>
        <v>0</v>
      </c>
      <c r="ANR51" s="115">
        <f>IF(ANR49&gt;0,SUM($D$18:ANQ18),0)</f>
        <v>0</v>
      </c>
      <c r="ANS51" s="115">
        <f>IF(ANS49&gt;0,SUM($D$18:ANR18),0)</f>
        <v>0</v>
      </c>
      <c r="ANT51" s="115">
        <f>IF(ANT49&gt;0,SUM($D$18:ANS18),0)</f>
        <v>0</v>
      </c>
      <c r="ANU51" s="115">
        <f>IF(ANU49&gt;0,SUM($D$18:ANT18),0)</f>
        <v>0</v>
      </c>
      <c r="ANV51" s="115">
        <f>IF(ANV49&gt;0,SUM($D$18:ANU18),0)</f>
        <v>0</v>
      </c>
      <c r="ANW51" s="115">
        <f>IF(ANW49&gt;0,SUM($D$18:ANV18),0)</f>
        <v>0</v>
      </c>
      <c r="ANX51" s="115">
        <f>IF(ANX49&gt;0,SUM($D$18:ANW18),0)</f>
        <v>0</v>
      </c>
      <c r="ANY51" s="115">
        <f>IF(ANY49&gt;0,SUM($D$18:ANX18),0)</f>
        <v>0</v>
      </c>
      <c r="ANZ51" s="115">
        <f>IF(ANZ49&gt;0,SUM($D$18:ANY18),0)</f>
        <v>0</v>
      </c>
      <c r="AOA51" s="115">
        <f>IF(AOA49&gt;0,SUM($D$18:ANZ18),0)</f>
        <v>0</v>
      </c>
      <c r="AOB51" s="115">
        <f>IF(AOB49&gt;0,SUM($D$18:AOA18),0)</f>
        <v>0</v>
      </c>
      <c r="AOC51" s="115">
        <f>IF(AOC49&gt;0,SUM($D$18:AOB18),0)</f>
        <v>0</v>
      </c>
      <c r="AOD51" s="115">
        <f>IF(AOD49&gt;0,SUM($D$18:AOC18),0)</f>
        <v>0</v>
      </c>
      <c r="AOE51" s="115">
        <f>IF(AOE49&gt;0,SUM($D$18:AOD18),0)</f>
        <v>0</v>
      </c>
      <c r="AOF51" s="115">
        <f>IF(AOF49&gt;0,SUM($D$18:AOE18),0)</f>
        <v>0</v>
      </c>
      <c r="AOG51" s="115">
        <f>IF(AOG49&gt;0,SUM($D$18:AOF18),0)</f>
        <v>0</v>
      </c>
      <c r="AOH51" s="115">
        <f>IF(AOH49&gt;0,SUM($D$18:AOG18),0)</f>
        <v>0</v>
      </c>
      <c r="AOI51" s="115">
        <f>IF(AOI49&gt;0,SUM($D$18:AOH18),0)</f>
        <v>0</v>
      </c>
      <c r="AOJ51" s="115">
        <f>IF(AOJ49&gt;0,SUM($D$18:AOI18),0)</f>
        <v>0</v>
      </c>
      <c r="AOK51" s="115">
        <f>IF(AOK49&gt;0,SUM($D$18:AOJ18),0)</f>
        <v>0</v>
      </c>
      <c r="AOL51" s="115">
        <f>IF(AOL49&gt;0,SUM($D$18:AOK18),0)</f>
        <v>0</v>
      </c>
      <c r="AOM51" s="115">
        <f>IF(AOM49&gt;0,SUM($D$18:AOL18),0)</f>
        <v>0</v>
      </c>
      <c r="AON51" s="115">
        <f>IF(AON49&gt;0,SUM($D$18:AOM18),0)</f>
        <v>0</v>
      </c>
      <c r="AOO51" s="115">
        <f>IF(AOO49&gt;0,SUM($D$18:AON18),0)</f>
        <v>0</v>
      </c>
      <c r="AOP51" s="115">
        <f>IF(AOP49&gt;0,SUM($D$18:AOO18),0)</f>
        <v>0</v>
      </c>
      <c r="AOQ51" s="115">
        <f>IF(AOQ49&gt;0,SUM($D$18:AOP18),0)</f>
        <v>0</v>
      </c>
    </row>
    <row r="52" spans="1:1083" x14ac:dyDescent="0.25">
      <c r="B52" s="116" t="s">
        <v>300</v>
      </c>
      <c r="C52" s="115" t="str">
        <f>IFERROR(MAX(IF(AND(MAX(IF(C50=C43,C51,C51-C44),0)=0,C47&gt;0),"Saldo Insuficiente",IF(C50=C43,C51,C51-C44)),0),"Saldo Insuficiente")</f>
        <v>Saldo Insuficiente</v>
      </c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  <c r="BP52" s="115"/>
      <c r="BQ52" s="115"/>
      <c r="BR52" s="115"/>
      <c r="BS52" s="115"/>
      <c r="BT52" s="115"/>
      <c r="BU52" s="115"/>
      <c r="BV52" s="115"/>
      <c r="BW52" s="115"/>
      <c r="BX52" s="115"/>
      <c r="BY52" s="115"/>
      <c r="BZ52" s="115"/>
      <c r="CA52" s="115"/>
      <c r="CB52" s="115"/>
      <c r="CC52" s="115"/>
      <c r="CD52" s="115"/>
      <c r="CE52" s="115"/>
      <c r="CF52" s="115"/>
      <c r="CG52" s="115"/>
      <c r="CH52" s="115"/>
      <c r="CI52" s="115"/>
      <c r="CJ52" s="115"/>
      <c r="CK52" s="115"/>
      <c r="CL52" s="115"/>
      <c r="CM52" s="115"/>
      <c r="CN52" s="115"/>
      <c r="CO52" s="115"/>
      <c r="CP52" s="115"/>
      <c r="CQ52" s="115"/>
      <c r="CR52" s="115"/>
      <c r="CS52" s="115"/>
      <c r="CT52" s="115"/>
      <c r="CU52" s="115"/>
      <c r="CV52" s="115"/>
      <c r="CW52" s="115"/>
      <c r="CX52" s="115"/>
      <c r="CY52" s="115"/>
      <c r="CZ52" s="115"/>
      <c r="DA52" s="115"/>
      <c r="DB52" s="115"/>
      <c r="DC52" s="115"/>
      <c r="DD52" s="115"/>
      <c r="DE52" s="115"/>
      <c r="DF52" s="115"/>
      <c r="DG52" s="115"/>
      <c r="DH52" s="115"/>
      <c r="DI52" s="115"/>
      <c r="DJ52" s="115"/>
      <c r="DK52" s="115"/>
      <c r="DL52" s="115"/>
      <c r="DM52" s="115"/>
      <c r="DN52" s="115"/>
      <c r="DO52" s="115"/>
      <c r="DP52" s="115"/>
      <c r="DQ52" s="115"/>
      <c r="DR52" s="115"/>
      <c r="DS52" s="115"/>
      <c r="DT52" s="115"/>
      <c r="DU52" s="115"/>
      <c r="DV52" s="115"/>
      <c r="DW52" s="115"/>
      <c r="DX52" s="115"/>
      <c r="DY52" s="115"/>
      <c r="DZ52" s="115"/>
      <c r="EA52" s="115"/>
      <c r="EB52" s="115"/>
      <c r="EC52" s="115"/>
      <c r="ED52" s="115"/>
      <c r="EE52" s="115"/>
      <c r="EF52" s="115"/>
      <c r="EG52" s="115"/>
      <c r="EH52" s="115"/>
      <c r="EI52" s="115"/>
      <c r="EJ52" s="115"/>
      <c r="EK52" s="115"/>
      <c r="EL52" s="115"/>
      <c r="EM52" s="115"/>
      <c r="EN52" s="115"/>
      <c r="EO52" s="115"/>
      <c r="EP52" s="115"/>
      <c r="EQ52" s="115"/>
      <c r="ER52" s="115"/>
      <c r="ES52" s="115"/>
      <c r="ET52" s="115"/>
      <c r="EU52" s="115"/>
      <c r="EV52" s="115"/>
      <c r="EW52" s="115"/>
      <c r="EX52" s="115"/>
      <c r="EY52" s="115"/>
      <c r="EZ52" s="115"/>
      <c r="FA52" s="115"/>
      <c r="FB52" s="115"/>
      <c r="FC52" s="115"/>
      <c r="FD52" s="115"/>
      <c r="FE52" s="115"/>
      <c r="FF52" s="115"/>
      <c r="FG52" s="115"/>
      <c r="FH52" s="115"/>
      <c r="FI52" s="115"/>
      <c r="FJ52" s="115"/>
      <c r="FK52" s="115"/>
      <c r="FL52" s="115"/>
      <c r="FM52" s="115"/>
      <c r="FN52" s="115"/>
      <c r="FO52" s="115"/>
      <c r="FP52" s="115"/>
      <c r="FQ52" s="115"/>
      <c r="FR52" s="115"/>
      <c r="FS52" s="115"/>
      <c r="FT52" s="115"/>
      <c r="FU52" s="115"/>
      <c r="FV52" s="115"/>
      <c r="FW52" s="115"/>
      <c r="FX52" s="115"/>
      <c r="FY52" s="115"/>
      <c r="FZ52" s="115"/>
      <c r="GA52" s="115"/>
      <c r="GB52" s="115"/>
      <c r="GC52" s="115"/>
      <c r="GD52" s="115"/>
      <c r="GE52" s="115"/>
      <c r="GF52" s="115"/>
      <c r="GG52" s="115"/>
      <c r="GH52" s="115"/>
      <c r="GI52" s="115"/>
      <c r="GJ52" s="115"/>
      <c r="GK52" s="115"/>
      <c r="GL52" s="115"/>
      <c r="GM52" s="115"/>
      <c r="GN52" s="115"/>
      <c r="GO52" s="115"/>
      <c r="GP52" s="115"/>
      <c r="GQ52" s="115"/>
      <c r="GR52" s="115"/>
      <c r="GS52" s="115"/>
      <c r="GT52" s="115"/>
      <c r="GU52" s="115"/>
      <c r="GV52" s="115"/>
      <c r="GW52" s="115"/>
      <c r="GX52" s="115"/>
      <c r="GY52" s="115"/>
      <c r="GZ52" s="115"/>
      <c r="HA52" s="115"/>
      <c r="HB52" s="115"/>
      <c r="HC52" s="115"/>
      <c r="HD52" s="115"/>
      <c r="HE52" s="115"/>
      <c r="HF52" s="115"/>
      <c r="HG52" s="115"/>
      <c r="HH52" s="115"/>
      <c r="HI52" s="115"/>
      <c r="HJ52" s="115"/>
      <c r="HK52" s="115"/>
      <c r="HL52" s="115"/>
      <c r="HM52" s="115"/>
      <c r="HN52" s="115"/>
      <c r="HO52" s="115"/>
      <c r="HP52" s="115"/>
      <c r="HQ52" s="115"/>
      <c r="HR52" s="115"/>
      <c r="HS52" s="115"/>
      <c r="HT52" s="115"/>
      <c r="HU52" s="115"/>
      <c r="HV52" s="115"/>
      <c r="HW52" s="115"/>
      <c r="HX52" s="115"/>
      <c r="HY52" s="115"/>
      <c r="HZ52" s="115"/>
      <c r="IA52" s="115"/>
      <c r="IB52" s="115"/>
      <c r="IC52" s="115"/>
      <c r="ID52" s="115"/>
      <c r="IE52" s="115"/>
      <c r="IF52" s="115"/>
      <c r="IG52" s="115"/>
      <c r="IH52" s="115"/>
      <c r="II52" s="115"/>
      <c r="IJ52" s="115"/>
      <c r="IK52" s="115"/>
      <c r="IL52" s="115"/>
      <c r="IM52" s="115"/>
      <c r="IN52" s="115"/>
      <c r="IO52" s="115"/>
      <c r="IP52" s="115"/>
      <c r="IQ52" s="115"/>
      <c r="IR52" s="115"/>
      <c r="IS52" s="115"/>
      <c r="IT52" s="115"/>
      <c r="IU52" s="115"/>
      <c r="IV52" s="115"/>
      <c r="IW52" s="115"/>
      <c r="IX52" s="115"/>
      <c r="IY52" s="115"/>
      <c r="IZ52" s="115"/>
      <c r="JA52" s="115"/>
      <c r="JB52" s="115"/>
      <c r="JC52" s="115"/>
      <c r="JD52" s="115"/>
      <c r="JE52" s="115"/>
      <c r="JF52" s="115"/>
      <c r="JG52" s="115"/>
      <c r="JH52" s="115"/>
      <c r="JI52" s="115"/>
      <c r="JJ52" s="115"/>
      <c r="JK52" s="115"/>
      <c r="JL52" s="115"/>
      <c r="JM52" s="115"/>
      <c r="JN52" s="115"/>
      <c r="JO52" s="115"/>
      <c r="JP52" s="115"/>
      <c r="JQ52" s="115"/>
      <c r="JR52" s="115"/>
      <c r="JS52" s="115"/>
      <c r="JT52" s="115"/>
      <c r="JU52" s="115"/>
      <c r="JV52" s="115"/>
      <c r="JW52" s="115"/>
      <c r="JX52" s="115"/>
      <c r="JY52" s="115"/>
      <c r="JZ52" s="115"/>
      <c r="KA52" s="115"/>
      <c r="KB52" s="115"/>
      <c r="KC52" s="115"/>
      <c r="KD52" s="115"/>
      <c r="KE52" s="115"/>
      <c r="KF52" s="115"/>
      <c r="KG52" s="115"/>
      <c r="KH52" s="115"/>
      <c r="KI52" s="115"/>
      <c r="KJ52" s="115"/>
      <c r="KK52" s="115"/>
      <c r="KL52" s="115"/>
      <c r="KM52" s="115"/>
      <c r="KN52" s="115"/>
      <c r="KO52" s="115"/>
      <c r="KP52" s="115"/>
      <c r="KQ52" s="115"/>
      <c r="KR52" s="115"/>
      <c r="KS52" s="115"/>
      <c r="KT52" s="115"/>
      <c r="KU52" s="115"/>
      <c r="KV52" s="115"/>
      <c r="KW52" s="115"/>
      <c r="KX52" s="115"/>
      <c r="KY52" s="115"/>
      <c r="KZ52" s="115"/>
      <c r="LA52" s="115"/>
      <c r="LB52" s="115"/>
      <c r="LC52" s="115"/>
      <c r="LD52" s="115"/>
      <c r="LE52" s="115"/>
      <c r="LF52" s="115"/>
      <c r="LG52" s="115"/>
      <c r="LH52" s="115"/>
      <c r="LI52" s="115"/>
      <c r="LJ52" s="115"/>
      <c r="LK52" s="115"/>
      <c r="LL52" s="115"/>
      <c r="LM52" s="115"/>
      <c r="LN52" s="115"/>
      <c r="LO52" s="115"/>
      <c r="LP52" s="115"/>
      <c r="LQ52" s="115"/>
      <c r="LR52" s="115"/>
      <c r="LS52" s="115"/>
      <c r="LT52" s="115"/>
      <c r="LU52" s="115"/>
      <c r="LV52" s="115"/>
      <c r="LW52" s="115"/>
      <c r="LX52" s="115"/>
      <c r="LY52" s="115"/>
      <c r="LZ52" s="115"/>
      <c r="MA52" s="115"/>
      <c r="MB52" s="115"/>
      <c r="MC52" s="115"/>
      <c r="MD52" s="115"/>
      <c r="ME52" s="115"/>
      <c r="MF52" s="115"/>
      <c r="MG52" s="115"/>
      <c r="MH52" s="115"/>
      <c r="MI52" s="115"/>
      <c r="MJ52" s="115"/>
      <c r="MK52" s="115"/>
      <c r="ML52" s="115"/>
      <c r="MM52" s="115"/>
      <c r="MN52" s="115"/>
      <c r="MO52" s="115"/>
      <c r="MP52" s="115"/>
      <c r="MQ52" s="115"/>
      <c r="MR52" s="115"/>
      <c r="MS52" s="115"/>
      <c r="MT52" s="115"/>
      <c r="MU52" s="115"/>
      <c r="MV52" s="115"/>
      <c r="MW52" s="115"/>
      <c r="MX52" s="115"/>
      <c r="MY52" s="115"/>
      <c r="MZ52" s="115"/>
      <c r="NA52" s="115"/>
      <c r="NB52" s="115"/>
      <c r="NC52" s="115"/>
      <c r="ND52" s="115"/>
      <c r="NE52" s="115"/>
      <c r="NF52" s="115"/>
      <c r="NG52" s="115"/>
      <c r="NH52" s="115"/>
      <c r="NI52" s="115"/>
      <c r="NJ52" s="115"/>
      <c r="NK52" s="115"/>
      <c r="NL52" s="115"/>
      <c r="NM52" s="115"/>
      <c r="NN52" s="115"/>
      <c r="NO52" s="115"/>
      <c r="NP52" s="115"/>
      <c r="NQ52" s="115"/>
      <c r="NR52" s="115"/>
      <c r="NS52" s="115"/>
      <c r="NT52" s="115"/>
      <c r="NU52" s="115"/>
      <c r="NV52" s="115"/>
      <c r="NW52" s="115"/>
      <c r="NX52" s="115"/>
      <c r="NY52" s="115"/>
      <c r="NZ52" s="115"/>
      <c r="OA52" s="115"/>
      <c r="OB52" s="115"/>
      <c r="OC52" s="115"/>
      <c r="OD52" s="115"/>
      <c r="OE52" s="115"/>
      <c r="OF52" s="115"/>
      <c r="OG52" s="115"/>
      <c r="OH52" s="115"/>
      <c r="OI52" s="115"/>
      <c r="OJ52" s="115"/>
      <c r="OK52" s="115"/>
      <c r="OL52" s="115"/>
      <c r="OM52" s="115"/>
      <c r="ON52" s="115"/>
      <c r="OO52" s="115"/>
      <c r="OP52" s="115"/>
      <c r="OQ52" s="115"/>
      <c r="OR52" s="115"/>
      <c r="OS52" s="115"/>
      <c r="OT52" s="115"/>
      <c r="OU52" s="115"/>
      <c r="OV52" s="115"/>
      <c r="OW52" s="115"/>
      <c r="OX52" s="115"/>
      <c r="OY52" s="115"/>
      <c r="OZ52" s="115"/>
      <c r="PA52" s="115"/>
      <c r="PB52" s="115"/>
      <c r="PC52" s="115"/>
      <c r="PD52" s="115"/>
      <c r="PE52" s="115"/>
      <c r="PF52" s="115"/>
      <c r="PG52" s="115"/>
      <c r="PH52" s="115"/>
      <c r="PI52" s="115"/>
      <c r="PJ52" s="115"/>
      <c r="PK52" s="115"/>
      <c r="PL52" s="115"/>
      <c r="PM52" s="115"/>
      <c r="PN52" s="115"/>
      <c r="PO52" s="115"/>
      <c r="PP52" s="115"/>
      <c r="PQ52" s="115"/>
      <c r="PR52" s="115"/>
      <c r="PS52" s="115"/>
      <c r="PT52" s="115"/>
      <c r="PU52" s="115"/>
      <c r="PV52" s="115"/>
      <c r="PW52" s="115"/>
      <c r="PX52" s="115"/>
      <c r="PY52" s="115"/>
      <c r="PZ52" s="115"/>
      <c r="QA52" s="115"/>
      <c r="QB52" s="115"/>
      <c r="QC52" s="115"/>
      <c r="QD52" s="115"/>
      <c r="QE52" s="115"/>
      <c r="QF52" s="115"/>
      <c r="QG52" s="115"/>
      <c r="QH52" s="115"/>
      <c r="QI52" s="115"/>
      <c r="QJ52" s="115"/>
      <c r="QK52" s="115"/>
      <c r="QL52" s="115"/>
      <c r="QM52" s="115"/>
      <c r="QN52" s="115"/>
      <c r="QO52" s="115"/>
      <c r="QP52" s="115"/>
      <c r="QQ52" s="115"/>
      <c r="QR52" s="115"/>
      <c r="QS52" s="115"/>
      <c r="QT52" s="115"/>
      <c r="QU52" s="115"/>
      <c r="QV52" s="115"/>
      <c r="QW52" s="115"/>
      <c r="QX52" s="115"/>
      <c r="QY52" s="115"/>
      <c r="QZ52" s="115"/>
      <c r="RA52" s="115"/>
      <c r="RB52" s="115"/>
      <c r="RC52" s="115"/>
      <c r="RD52" s="115"/>
      <c r="RE52" s="115"/>
      <c r="RF52" s="115"/>
      <c r="RG52" s="115"/>
      <c r="RH52" s="115"/>
      <c r="RI52" s="115"/>
      <c r="RJ52" s="115"/>
      <c r="RK52" s="115"/>
      <c r="RL52" s="115"/>
      <c r="RM52" s="115"/>
      <c r="RN52" s="115"/>
      <c r="RO52" s="115"/>
      <c r="RP52" s="115"/>
      <c r="RQ52" s="115"/>
      <c r="RR52" s="115"/>
      <c r="RS52" s="115"/>
      <c r="RT52" s="115"/>
      <c r="RU52" s="115"/>
      <c r="RV52" s="115"/>
      <c r="RW52" s="115"/>
      <c r="RX52" s="115"/>
      <c r="RY52" s="115"/>
      <c r="RZ52" s="115"/>
      <c r="SA52" s="115"/>
      <c r="SB52" s="115"/>
      <c r="SC52" s="115"/>
      <c r="SD52" s="115"/>
      <c r="SE52" s="115"/>
      <c r="SF52" s="115"/>
      <c r="SG52" s="115"/>
      <c r="SH52" s="115"/>
      <c r="SI52" s="115"/>
      <c r="SJ52" s="115"/>
      <c r="SK52" s="115"/>
      <c r="SL52" s="115"/>
      <c r="SM52" s="115"/>
      <c r="SN52" s="115"/>
      <c r="SO52" s="115"/>
      <c r="SP52" s="115"/>
      <c r="SQ52" s="115"/>
      <c r="SR52" s="115"/>
      <c r="SS52" s="115"/>
      <c r="ST52" s="115"/>
      <c r="SU52" s="115"/>
      <c r="SV52" s="115"/>
      <c r="SW52" s="115"/>
      <c r="SX52" s="115"/>
      <c r="SY52" s="115"/>
      <c r="SZ52" s="115"/>
      <c r="TA52" s="115"/>
      <c r="TB52" s="115"/>
      <c r="TC52" s="115"/>
      <c r="TD52" s="115"/>
      <c r="TE52" s="115"/>
      <c r="TF52" s="115"/>
      <c r="TG52" s="115"/>
      <c r="TH52" s="115"/>
      <c r="TI52" s="115"/>
      <c r="TJ52" s="115"/>
      <c r="TK52" s="115"/>
      <c r="TL52" s="115"/>
      <c r="TM52" s="115"/>
      <c r="TN52" s="115"/>
      <c r="TO52" s="115"/>
      <c r="TP52" s="115"/>
      <c r="TQ52" s="115"/>
      <c r="TR52" s="115"/>
      <c r="TS52" s="115"/>
      <c r="TT52" s="115"/>
      <c r="TU52" s="115"/>
      <c r="TV52" s="115"/>
      <c r="TW52" s="115"/>
      <c r="TX52" s="115"/>
      <c r="TY52" s="115"/>
      <c r="TZ52" s="115"/>
      <c r="UA52" s="115"/>
      <c r="UB52" s="115"/>
      <c r="UC52" s="115"/>
      <c r="UD52" s="115"/>
      <c r="UE52" s="115"/>
      <c r="UF52" s="115"/>
      <c r="UG52" s="115"/>
      <c r="UH52" s="115"/>
      <c r="UI52" s="115"/>
      <c r="UJ52" s="115"/>
      <c r="UK52" s="115"/>
      <c r="UL52" s="115"/>
      <c r="UM52" s="115"/>
      <c r="UN52" s="115"/>
      <c r="UO52" s="115"/>
      <c r="UP52" s="115"/>
      <c r="UQ52" s="115"/>
      <c r="UR52" s="115"/>
      <c r="US52" s="115"/>
      <c r="UT52" s="115"/>
      <c r="UU52" s="115"/>
      <c r="UV52" s="115"/>
      <c r="UW52" s="115"/>
      <c r="UX52" s="115"/>
      <c r="UY52" s="115"/>
      <c r="UZ52" s="115"/>
      <c r="VA52" s="115"/>
      <c r="VB52" s="115"/>
      <c r="VC52" s="115"/>
      <c r="VD52" s="115"/>
      <c r="VE52" s="115"/>
      <c r="VF52" s="115"/>
      <c r="VG52" s="115"/>
      <c r="VH52" s="115"/>
      <c r="VI52" s="115"/>
      <c r="VJ52" s="115"/>
      <c r="VK52" s="115"/>
      <c r="VL52" s="115"/>
      <c r="VM52" s="115"/>
      <c r="VN52" s="115"/>
      <c r="VO52" s="115"/>
      <c r="VP52" s="115"/>
      <c r="VQ52" s="115"/>
      <c r="VR52" s="115"/>
      <c r="VS52" s="115"/>
      <c r="VT52" s="115"/>
      <c r="VU52" s="115"/>
      <c r="VV52" s="115"/>
      <c r="VW52" s="115"/>
      <c r="VX52" s="115"/>
      <c r="VY52" s="115"/>
      <c r="VZ52" s="115"/>
      <c r="WA52" s="115"/>
      <c r="WB52" s="115"/>
      <c r="WC52" s="115"/>
      <c r="WD52" s="115"/>
      <c r="WE52" s="115"/>
      <c r="WF52" s="115"/>
      <c r="WG52" s="115"/>
      <c r="WH52" s="115"/>
      <c r="WI52" s="115"/>
      <c r="WJ52" s="115"/>
      <c r="WK52" s="115"/>
      <c r="WL52" s="115"/>
      <c r="WM52" s="115"/>
      <c r="WN52" s="115"/>
      <c r="WO52" s="115"/>
      <c r="WP52" s="115"/>
      <c r="WQ52" s="115"/>
      <c r="WR52" s="115"/>
      <c r="WS52" s="115"/>
      <c r="WT52" s="115"/>
      <c r="WU52" s="115"/>
      <c r="WV52" s="115"/>
      <c r="WW52" s="115"/>
      <c r="WX52" s="115"/>
      <c r="WY52" s="115"/>
      <c r="WZ52" s="115"/>
      <c r="XA52" s="115"/>
      <c r="XB52" s="115"/>
      <c r="XC52" s="115"/>
      <c r="XD52" s="115"/>
      <c r="XE52" s="115"/>
      <c r="XF52" s="115"/>
      <c r="XG52" s="115"/>
      <c r="XH52" s="115"/>
      <c r="XI52" s="115"/>
      <c r="XJ52" s="115"/>
      <c r="XK52" s="115"/>
      <c r="XL52" s="115"/>
      <c r="XM52" s="115"/>
      <c r="XN52" s="115"/>
      <c r="XO52" s="115"/>
      <c r="XP52" s="115"/>
      <c r="XQ52" s="115"/>
      <c r="XR52" s="115"/>
      <c r="XS52" s="115"/>
      <c r="XT52" s="115"/>
      <c r="XU52" s="115"/>
      <c r="XV52" s="115"/>
      <c r="XW52" s="115"/>
      <c r="XX52" s="115"/>
      <c r="XY52" s="115"/>
      <c r="XZ52" s="115"/>
      <c r="YA52" s="115"/>
      <c r="YB52" s="115"/>
      <c r="YC52" s="115"/>
      <c r="YD52" s="115"/>
      <c r="YE52" s="115"/>
      <c r="YF52" s="115"/>
      <c r="YG52" s="115"/>
      <c r="YH52" s="115"/>
      <c r="YI52" s="115"/>
      <c r="YJ52" s="115"/>
      <c r="YK52" s="115"/>
      <c r="YL52" s="115"/>
      <c r="YM52" s="115"/>
      <c r="YN52" s="115"/>
      <c r="YO52" s="115"/>
      <c r="YP52" s="115"/>
      <c r="YQ52" s="115"/>
      <c r="YR52" s="115"/>
      <c r="YS52" s="115"/>
      <c r="YT52" s="115"/>
      <c r="YU52" s="115"/>
      <c r="YV52" s="115"/>
      <c r="YW52" s="115"/>
      <c r="YX52" s="115"/>
      <c r="YY52" s="115"/>
      <c r="YZ52" s="115"/>
      <c r="ZA52" s="115"/>
      <c r="ZB52" s="115"/>
      <c r="ZC52" s="115"/>
      <c r="ZD52" s="115"/>
      <c r="ZE52" s="115"/>
      <c r="ZF52" s="115"/>
      <c r="ZG52" s="115"/>
      <c r="ZH52" s="115"/>
      <c r="ZI52" s="115"/>
      <c r="ZJ52" s="115"/>
      <c r="ZK52" s="115"/>
      <c r="ZL52" s="115"/>
      <c r="ZM52" s="115"/>
      <c r="ZN52" s="115"/>
      <c r="ZO52" s="115"/>
      <c r="ZP52" s="115"/>
      <c r="ZQ52" s="115"/>
      <c r="ZR52" s="115"/>
      <c r="ZS52" s="115"/>
      <c r="ZT52" s="115"/>
      <c r="ZU52" s="115"/>
      <c r="ZV52" s="115"/>
      <c r="ZW52" s="115"/>
      <c r="ZX52" s="115"/>
      <c r="ZY52" s="115"/>
      <c r="ZZ52" s="115"/>
      <c r="AAA52" s="115"/>
      <c r="AAB52" s="115"/>
      <c r="AAC52" s="115"/>
      <c r="AAD52" s="115"/>
      <c r="AAE52" s="115"/>
      <c r="AAF52" s="115"/>
      <c r="AAG52" s="115"/>
      <c r="AAH52" s="115"/>
      <c r="AAI52" s="115"/>
      <c r="AAJ52" s="115"/>
      <c r="AAK52" s="115"/>
      <c r="AAL52" s="115"/>
      <c r="AAM52" s="115"/>
      <c r="AAN52" s="115"/>
      <c r="AAO52" s="115"/>
      <c r="AAP52" s="115"/>
      <c r="AAQ52" s="115"/>
      <c r="AAR52" s="115"/>
      <c r="AAS52" s="115"/>
      <c r="AAT52" s="115"/>
      <c r="AAU52" s="115"/>
      <c r="AAV52" s="115"/>
      <c r="AAW52" s="115"/>
      <c r="AAX52" s="115"/>
      <c r="AAY52" s="115"/>
      <c r="AAZ52" s="115"/>
      <c r="ABA52" s="115"/>
      <c r="ABB52" s="115"/>
      <c r="ABC52" s="115"/>
      <c r="ABD52" s="115"/>
      <c r="ABE52" s="115"/>
      <c r="ABF52" s="115"/>
      <c r="ABG52" s="115"/>
      <c r="ABH52" s="115"/>
      <c r="ABI52" s="115"/>
      <c r="ABJ52" s="115"/>
      <c r="ABK52" s="115"/>
      <c r="ABL52" s="115"/>
      <c r="ABM52" s="115"/>
      <c r="ABN52" s="115"/>
      <c r="ABO52" s="115"/>
      <c r="ABP52" s="115"/>
      <c r="ABQ52" s="115"/>
      <c r="ABR52" s="115"/>
      <c r="ABS52" s="115"/>
      <c r="ABT52" s="115"/>
      <c r="ABU52" s="115"/>
      <c r="ABV52" s="115"/>
      <c r="ABW52" s="115"/>
      <c r="ABX52" s="115"/>
      <c r="ABY52" s="115"/>
      <c r="ABZ52" s="115"/>
      <c r="ACA52" s="115"/>
      <c r="ACB52" s="115"/>
      <c r="ACC52" s="115"/>
      <c r="ACD52" s="115"/>
      <c r="ACE52" s="115"/>
      <c r="ACF52" s="115"/>
      <c r="ACG52" s="115"/>
      <c r="ACH52" s="115"/>
      <c r="ACI52" s="115"/>
      <c r="ACJ52" s="115"/>
      <c r="ACK52" s="115"/>
      <c r="ACL52" s="115"/>
      <c r="ACM52" s="115"/>
      <c r="ACN52" s="115"/>
      <c r="ACO52" s="115"/>
      <c r="ACP52" s="115"/>
      <c r="ACQ52" s="115"/>
      <c r="ACR52" s="115"/>
      <c r="ACS52" s="115"/>
      <c r="ACT52" s="115"/>
      <c r="ACU52" s="115"/>
      <c r="ACV52" s="115"/>
      <c r="ACW52" s="115"/>
      <c r="ACX52" s="115"/>
      <c r="ACY52" s="115"/>
      <c r="ACZ52" s="115"/>
      <c r="ADA52" s="115"/>
      <c r="ADB52" s="115"/>
      <c r="ADC52" s="115"/>
      <c r="ADD52" s="115"/>
      <c r="ADE52" s="115"/>
      <c r="ADF52" s="115"/>
      <c r="ADG52" s="115"/>
      <c r="ADH52" s="115"/>
      <c r="ADI52" s="115"/>
      <c r="ADJ52" s="115"/>
      <c r="ADK52" s="115"/>
      <c r="ADL52" s="115"/>
      <c r="ADM52" s="115"/>
      <c r="ADN52" s="115"/>
      <c r="ADO52" s="115"/>
      <c r="ADP52" s="115"/>
      <c r="ADQ52" s="115"/>
      <c r="ADR52" s="115"/>
      <c r="ADS52" s="115"/>
      <c r="ADT52" s="115"/>
      <c r="ADU52" s="115"/>
      <c r="ADV52" s="115"/>
      <c r="ADW52" s="115"/>
      <c r="ADX52" s="115"/>
      <c r="ADY52" s="115"/>
      <c r="ADZ52" s="115"/>
      <c r="AEA52" s="115"/>
      <c r="AEB52" s="115"/>
      <c r="AEC52" s="115"/>
      <c r="AED52" s="115"/>
      <c r="AEE52" s="115"/>
      <c r="AEF52" s="115"/>
      <c r="AEG52" s="115"/>
      <c r="AEH52" s="115"/>
      <c r="AEI52" s="115"/>
      <c r="AEJ52" s="115"/>
      <c r="AEK52" s="115"/>
      <c r="AEL52" s="115"/>
      <c r="AEM52" s="115"/>
      <c r="AEN52" s="115"/>
      <c r="AEO52" s="115"/>
      <c r="AEP52" s="115"/>
      <c r="AEQ52" s="115"/>
      <c r="AER52" s="115"/>
      <c r="AES52" s="115"/>
      <c r="AET52" s="115"/>
      <c r="AEU52" s="115"/>
      <c r="AEV52" s="115"/>
      <c r="AEW52" s="115"/>
      <c r="AEX52" s="115"/>
      <c r="AEY52" s="115"/>
      <c r="AEZ52" s="115"/>
      <c r="AFA52" s="115"/>
      <c r="AFB52" s="115"/>
      <c r="AFC52" s="115"/>
      <c r="AFD52" s="115"/>
      <c r="AFE52" s="115"/>
      <c r="AFF52" s="115"/>
      <c r="AFG52" s="115"/>
      <c r="AFH52" s="115"/>
      <c r="AFI52" s="115"/>
      <c r="AFJ52" s="115"/>
      <c r="AFK52" s="115"/>
      <c r="AFL52" s="115"/>
      <c r="AFM52" s="115"/>
      <c r="AFN52" s="115"/>
      <c r="AFO52" s="115"/>
      <c r="AFP52" s="115"/>
      <c r="AFQ52" s="115"/>
      <c r="AFR52" s="115"/>
      <c r="AFS52" s="115"/>
      <c r="AFT52" s="115"/>
      <c r="AFU52" s="115"/>
      <c r="AFV52" s="115"/>
      <c r="AFW52" s="115"/>
      <c r="AFX52" s="115"/>
      <c r="AFY52" s="115"/>
      <c r="AFZ52" s="115"/>
      <c r="AGA52" s="115"/>
      <c r="AGB52" s="115"/>
      <c r="AGC52" s="115"/>
      <c r="AGD52" s="115"/>
      <c r="AGE52" s="115"/>
      <c r="AGF52" s="115"/>
      <c r="AGG52" s="115"/>
      <c r="AGH52" s="115"/>
      <c r="AGI52" s="115"/>
      <c r="AGJ52" s="115"/>
      <c r="AGK52" s="115"/>
      <c r="AGL52" s="115"/>
      <c r="AGM52" s="115"/>
      <c r="AGN52" s="115"/>
      <c r="AGO52" s="115"/>
      <c r="AGP52" s="115"/>
      <c r="AGQ52" s="115"/>
      <c r="AGR52" s="115"/>
      <c r="AGS52" s="115"/>
      <c r="AGT52" s="115"/>
      <c r="AGU52" s="115"/>
      <c r="AGV52" s="115"/>
      <c r="AGW52" s="115"/>
      <c r="AGX52" s="115"/>
      <c r="AGY52" s="115"/>
      <c r="AGZ52" s="115"/>
      <c r="AHA52" s="115"/>
      <c r="AHB52" s="115"/>
      <c r="AHC52" s="115"/>
      <c r="AHD52" s="115"/>
      <c r="AHE52" s="115"/>
      <c r="AHF52" s="115"/>
      <c r="AHG52" s="115"/>
      <c r="AHH52" s="115"/>
      <c r="AHI52" s="115"/>
      <c r="AHJ52" s="115"/>
      <c r="AHK52" s="115"/>
      <c r="AHL52" s="115"/>
      <c r="AHM52" s="115"/>
      <c r="AHN52" s="115"/>
      <c r="AHO52" s="115"/>
      <c r="AHP52" s="115"/>
      <c r="AHQ52" s="115"/>
      <c r="AHR52" s="115"/>
      <c r="AHS52" s="115"/>
      <c r="AHT52" s="115"/>
      <c r="AHU52" s="115"/>
      <c r="AHV52" s="115"/>
      <c r="AHW52" s="115"/>
      <c r="AHX52" s="115"/>
      <c r="AHY52" s="115"/>
      <c r="AHZ52" s="115"/>
      <c r="AIA52" s="115"/>
      <c r="AIB52" s="115"/>
      <c r="AIC52" s="115"/>
      <c r="AID52" s="115"/>
      <c r="AIE52" s="115"/>
      <c r="AIF52" s="115"/>
      <c r="AIG52" s="115"/>
      <c r="AIH52" s="115"/>
      <c r="AII52" s="115"/>
      <c r="AIJ52" s="115"/>
      <c r="AIK52" s="115"/>
      <c r="AIL52" s="115"/>
      <c r="AIM52" s="115"/>
      <c r="AIN52" s="115"/>
      <c r="AIO52" s="115"/>
      <c r="AIP52" s="115"/>
      <c r="AIQ52" s="115"/>
      <c r="AIR52" s="115"/>
      <c r="AIS52" s="115"/>
      <c r="AIT52" s="115"/>
      <c r="AIU52" s="115"/>
      <c r="AIV52" s="115"/>
      <c r="AIW52" s="115"/>
      <c r="AIX52" s="115"/>
      <c r="AIY52" s="115"/>
      <c r="AIZ52" s="115"/>
      <c r="AJA52" s="115"/>
      <c r="AJB52" s="115"/>
      <c r="AJC52" s="115"/>
      <c r="AJD52" s="115"/>
      <c r="AJE52" s="115"/>
      <c r="AJF52" s="115"/>
      <c r="AJG52" s="115"/>
      <c r="AJH52" s="115"/>
      <c r="AJI52" s="115"/>
      <c r="AJJ52" s="115"/>
      <c r="AJK52" s="115"/>
      <c r="AJL52" s="115"/>
      <c r="AJM52" s="115"/>
      <c r="AJN52" s="115"/>
      <c r="AJO52" s="115"/>
      <c r="AJP52" s="115"/>
      <c r="AJQ52" s="115"/>
      <c r="AJR52" s="115"/>
      <c r="AJS52" s="115"/>
      <c r="AJT52" s="115"/>
      <c r="AJU52" s="115"/>
      <c r="AJV52" s="115"/>
      <c r="AJW52" s="115"/>
      <c r="AJX52" s="115"/>
      <c r="AJY52" s="115"/>
      <c r="AJZ52" s="115"/>
      <c r="AKA52" s="115"/>
      <c r="AKB52" s="115"/>
      <c r="AKC52" s="115"/>
      <c r="AKD52" s="115"/>
      <c r="AKE52" s="115"/>
      <c r="AKF52" s="115"/>
      <c r="AKG52" s="115"/>
      <c r="AKH52" s="115"/>
      <c r="AKI52" s="115"/>
      <c r="AKJ52" s="115"/>
      <c r="AKK52" s="115"/>
      <c r="AKL52" s="115"/>
      <c r="AKM52" s="115"/>
      <c r="AKN52" s="115"/>
      <c r="AKO52" s="115"/>
      <c r="AKP52" s="115"/>
      <c r="AKQ52" s="115"/>
      <c r="AKR52" s="115"/>
      <c r="AKS52" s="115"/>
      <c r="AKT52" s="115"/>
      <c r="AKU52" s="115"/>
      <c r="AKV52" s="115"/>
      <c r="AKW52" s="115"/>
      <c r="AKX52" s="115"/>
      <c r="AKY52" s="115"/>
      <c r="AKZ52" s="115"/>
      <c r="ALA52" s="115"/>
      <c r="ALB52" s="115"/>
      <c r="ALC52" s="115"/>
      <c r="ALD52" s="115"/>
      <c r="ALE52" s="115"/>
      <c r="ALF52" s="115"/>
      <c r="ALG52" s="115"/>
      <c r="ALH52" s="115"/>
      <c r="ALI52" s="115"/>
      <c r="ALJ52" s="115"/>
      <c r="ALK52" s="115"/>
      <c r="ALL52" s="115"/>
      <c r="ALM52" s="115"/>
      <c r="ALN52" s="115"/>
      <c r="ALO52" s="115"/>
      <c r="ALP52" s="115"/>
      <c r="ALQ52" s="115"/>
      <c r="ALR52" s="115"/>
      <c r="ALS52" s="115"/>
      <c r="ALT52" s="115"/>
      <c r="ALU52" s="115"/>
      <c r="ALV52" s="115"/>
      <c r="ALW52" s="115"/>
      <c r="ALX52" s="115"/>
      <c r="ALY52" s="115"/>
      <c r="ALZ52" s="115"/>
      <c r="AMA52" s="115"/>
      <c r="AMB52" s="115"/>
      <c r="AMC52" s="115"/>
      <c r="AMD52" s="115"/>
      <c r="AME52" s="115"/>
      <c r="AMF52" s="115"/>
      <c r="AMG52" s="115"/>
      <c r="AMH52" s="115"/>
      <c r="AMI52" s="115"/>
      <c r="AMJ52" s="115"/>
      <c r="AMK52" s="115"/>
      <c r="AML52" s="115"/>
      <c r="AMM52" s="115"/>
      <c r="AMN52" s="115"/>
      <c r="AMO52" s="115"/>
      <c r="AMP52" s="115"/>
      <c r="AMQ52" s="115"/>
      <c r="AMR52" s="115"/>
      <c r="AMS52" s="115"/>
      <c r="AMT52" s="115"/>
      <c r="AMU52" s="115"/>
      <c r="AMV52" s="115"/>
      <c r="AMW52" s="115"/>
      <c r="AMX52" s="115"/>
      <c r="AMY52" s="115"/>
      <c r="AMZ52" s="115"/>
      <c r="ANA52" s="115"/>
      <c r="ANB52" s="115"/>
      <c r="ANC52" s="115"/>
      <c r="AND52" s="115"/>
      <c r="ANE52" s="115"/>
      <c r="ANF52" s="115"/>
      <c r="ANG52" s="115"/>
      <c r="ANH52" s="115"/>
      <c r="ANI52" s="115"/>
      <c r="ANJ52" s="115"/>
      <c r="ANK52" s="115"/>
      <c r="ANL52" s="115"/>
      <c r="ANM52" s="115"/>
      <c r="ANN52" s="115"/>
      <c r="ANO52" s="115"/>
      <c r="ANP52" s="115"/>
      <c r="ANQ52" s="115"/>
      <c r="ANR52" s="115"/>
      <c r="ANS52" s="115"/>
      <c r="ANT52" s="115"/>
      <c r="ANU52" s="115"/>
      <c r="ANV52" s="115"/>
      <c r="ANW52" s="115"/>
      <c r="ANX52" s="115"/>
      <c r="ANY52" s="115"/>
      <c r="ANZ52" s="115"/>
      <c r="AOA52" s="115"/>
      <c r="AOB52" s="115"/>
      <c r="AOC52" s="115"/>
      <c r="AOD52" s="115"/>
      <c r="AOE52" s="115"/>
      <c r="AOF52" s="115"/>
      <c r="AOG52" s="115"/>
      <c r="AOH52" s="115"/>
      <c r="AOI52" s="115"/>
      <c r="AOJ52" s="115"/>
      <c r="AOK52" s="115"/>
      <c r="AOL52" s="115"/>
      <c r="AOM52" s="115"/>
      <c r="AON52" s="115"/>
      <c r="AOO52" s="115"/>
      <c r="AOP52" s="115"/>
      <c r="AOQ52" s="115"/>
    </row>
    <row r="54" spans="1:1083" x14ac:dyDescent="0.25">
      <c r="A54" s="42"/>
      <c r="B54" s="42" t="str">
        <f>'Patrimonio Financiero'!BH208</f>
        <v>Objetivo 5</v>
      </c>
      <c r="C54" s="57">
        <f>'Patrimonio Financiero'!CB208</f>
        <v>2500000</v>
      </c>
      <c r="D54" s="57">
        <f t="shared" ref="D54:BO54" si="3628">$C54</f>
        <v>2500000</v>
      </c>
      <c r="E54" s="57">
        <f t="shared" si="3628"/>
        <v>2500000</v>
      </c>
      <c r="F54" s="57">
        <f t="shared" si="3628"/>
        <v>2500000</v>
      </c>
      <c r="G54" s="57">
        <f t="shared" si="3628"/>
        <v>2500000</v>
      </c>
      <c r="H54" s="57">
        <f t="shared" si="3628"/>
        <v>2500000</v>
      </c>
      <c r="I54" s="57">
        <f t="shared" si="3628"/>
        <v>2500000</v>
      </c>
      <c r="J54" s="57">
        <f t="shared" si="3628"/>
        <v>2500000</v>
      </c>
      <c r="K54" s="57">
        <f t="shared" si="3628"/>
        <v>2500000</v>
      </c>
      <c r="L54" s="57">
        <f t="shared" si="3628"/>
        <v>2500000</v>
      </c>
      <c r="M54" s="57">
        <f t="shared" si="3628"/>
        <v>2500000</v>
      </c>
      <c r="N54" s="57">
        <f t="shared" si="3628"/>
        <v>2500000</v>
      </c>
      <c r="O54" s="57">
        <f t="shared" si="3628"/>
        <v>2500000</v>
      </c>
      <c r="P54" s="57">
        <f t="shared" si="3628"/>
        <v>2500000</v>
      </c>
      <c r="Q54" s="57">
        <f t="shared" si="3628"/>
        <v>2500000</v>
      </c>
      <c r="R54" s="57">
        <f t="shared" si="3628"/>
        <v>2500000</v>
      </c>
      <c r="S54" s="57">
        <f t="shared" si="3628"/>
        <v>2500000</v>
      </c>
      <c r="T54" s="57">
        <f t="shared" si="3628"/>
        <v>2500000</v>
      </c>
      <c r="U54" s="57">
        <f t="shared" si="3628"/>
        <v>2500000</v>
      </c>
      <c r="V54" s="57">
        <f t="shared" si="3628"/>
        <v>2500000</v>
      </c>
      <c r="W54" s="57">
        <f t="shared" si="3628"/>
        <v>2500000</v>
      </c>
      <c r="X54" s="57">
        <f t="shared" si="3628"/>
        <v>2500000</v>
      </c>
      <c r="Y54" s="57">
        <f t="shared" si="3628"/>
        <v>2500000</v>
      </c>
      <c r="Z54" s="57">
        <f t="shared" si="3628"/>
        <v>2500000</v>
      </c>
      <c r="AA54" s="57">
        <f t="shared" si="3628"/>
        <v>2500000</v>
      </c>
      <c r="AB54" s="57">
        <f t="shared" si="3628"/>
        <v>2500000</v>
      </c>
      <c r="AC54" s="57">
        <f t="shared" si="3628"/>
        <v>2500000</v>
      </c>
      <c r="AD54" s="57">
        <f t="shared" si="3628"/>
        <v>2500000</v>
      </c>
      <c r="AE54" s="57">
        <f t="shared" si="3628"/>
        <v>2500000</v>
      </c>
      <c r="AF54" s="57">
        <f t="shared" si="3628"/>
        <v>2500000</v>
      </c>
      <c r="AG54" s="57">
        <f t="shared" si="3628"/>
        <v>2500000</v>
      </c>
      <c r="AH54" s="57">
        <f t="shared" si="3628"/>
        <v>2500000</v>
      </c>
      <c r="AI54" s="57">
        <f t="shared" si="3628"/>
        <v>2500000</v>
      </c>
      <c r="AJ54" s="57">
        <f t="shared" si="3628"/>
        <v>2500000</v>
      </c>
      <c r="AK54" s="57">
        <f t="shared" si="3628"/>
        <v>2500000</v>
      </c>
      <c r="AL54" s="57">
        <f t="shared" si="3628"/>
        <v>2500000</v>
      </c>
      <c r="AM54" s="57">
        <f t="shared" si="3628"/>
        <v>2500000</v>
      </c>
      <c r="AN54" s="57">
        <f t="shared" si="3628"/>
        <v>2500000</v>
      </c>
      <c r="AO54" s="57">
        <f t="shared" si="3628"/>
        <v>2500000</v>
      </c>
      <c r="AP54" s="57">
        <f t="shared" si="3628"/>
        <v>2500000</v>
      </c>
      <c r="AQ54" s="57">
        <f t="shared" si="3628"/>
        <v>2500000</v>
      </c>
      <c r="AR54" s="57">
        <f t="shared" si="3628"/>
        <v>2500000</v>
      </c>
      <c r="AS54" s="57">
        <f t="shared" si="3628"/>
        <v>2500000</v>
      </c>
      <c r="AT54" s="57">
        <f t="shared" si="3628"/>
        <v>2500000</v>
      </c>
      <c r="AU54" s="57">
        <f t="shared" si="3628"/>
        <v>2500000</v>
      </c>
      <c r="AV54" s="57">
        <f t="shared" si="3628"/>
        <v>2500000</v>
      </c>
      <c r="AW54" s="57">
        <f t="shared" si="3628"/>
        <v>2500000</v>
      </c>
      <c r="AX54" s="57">
        <f t="shared" si="3628"/>
        <v>2500000</v>
      </c>
      <c r="AY54" s="57">
        <f t="shared" si="3628"/>
        <v>2500000</v>
      </c>
      <c r="AZ54" s="57">
        <f t="shared" si="3628"/>
        <v>2500000</v>
      </c>
      <c r="BA54" s="57">
        <f t="shared" si="3628"/>
        <v>2500000</v>
      </c>
      <c r="BB54" s="57">
        <f t="shared" si="3628"/>
        <v>2500000</v>
      </c>
      <c r="BC54" s="57">
        <f t="shared" si="3628"/>
        <v>2500000</v>
      </c>
      <c r="BD54" s="57">
        <f t="shared" si="3628"/>
        <v>2500000</v>
      </c>
      <c r="BE54" s="57">
        <f t="shared" si="3628"/>
        <v>2500000</v>
      </c>
      <c r="BF54" s="57">
        <f t="shared" si="3628"/>
        <v>2500000</v>
      </c>
      <c r="BG54" s="57">
        <f t="shared" si="3628"/>
        <v>2500000</v>
      </c>
      <c r="BH54" s="57">
        <f t="shared" si="3628"/>
        <v>2500000</v>
      </c>
      <c r="BI54" s="57">
        <f t="shared" si="3628"/>
        <v>2500000</v>
      </c>
      <c r="BJ54" s="57">
        <f t="shared" si="3628"/>
        <v>2500000</v>
      </c>
      <c r="BK54" s="57">
        <f t="shared" si="3628"/>
        <v>2500000</v>
      </c>
      <c r="BL54" s="57">
        <f t="shared" si="3628"/>
        <v>2500000</v>
      </c>
      <c r="BM54" s="57">
        <f t="shared" si="3628"/>
        <v>2500000</v>
      </c>
      <c r="BN54" s="57">
        <f t="shared" si="3628"/>
        <v>2500000</v>
      </c>
      <c r="BO54" s="57">
        <f t="shared" si="3628"/>
        <v>2500000</v>
      </c>
      <c r="BP54" s="57">
        <f t="shared" ref="BP54:EA54" si="3629">$C54</f>
        <v>2500000</v>
      </c>
      <c r="BQ54" s="57">
        <f t="shared" si="3629"/>
        <v>2500000</v>
      </c>
      <c r="BR54" s="57">
        <f t="shared" si="3629"/>
        <v>2500000</v>
      </c>
      <c r="BS54" s="57">
        <f t="shared" si="3629"/>
        <v>2500000</v>
      </c>
      <c r="BT54" s="57">
        <f t="shared" si="3629"/>
        <v>2500000</v>
      </c>
      <c r="BU54" s="57">
        <f t="shared" si="3629"/>
        <v>2500000</v>
      </c>
      <c r="BV54" s="57">
        <f t="shared" si="3629"/>
        <v>2500000</v>
      </c>
      <c r="BW54" s="57">
        <f t="shared" si="3629"/>
        <v>2500000</v>
      </c>
      <c r="BX54" s="57">
        <f t="shared" si="3629"/>
        <v>2500000</v>
      </c>
      <c r="BY54" s="57">
        <f t="shared" si="3629"/>
        <v>2500000</v>
      </c>
      <c r="BZ54" s="57">
        <f t="shared" si="3629"/>
        <v>2500000</v>
      </c>
      <c r="CA54" s="57">
        <f t="shared" si="3629"/>
        <v>2500000</v>
      </c>
      <c r="CB54" s="57">
        <f t="shared" si="3629"/>
        <v>2500000</v>
      </c>
      <c r="CC54" s="57">
        <f t="shared" si="3629"/>
        <v>2500000</v>
      </c>
      <c r="CD54" s="57">
        <f t="shared" si="3629"/>
        <v>2500000</v>
      </c>
      <c r="CE54" s="57">
        <f t="shared" si="3629"/>
        <v>2500000</v>
      </c>
      <c r="CF54" s="57">
        <f t="shared" si="3629"/>
        <v>2500000</v>
      </c>
      <c r="CG54" s="57">
        <f t="shared" si="3629"/>
        <v>2500000</v>
      </c>
      <c r="CH54" s="57">
        <f t="shared" si="3629"/>
        <v>2500000</v>
      </c>
      <c r="CI54" s="57">
        <f t="shared" si="3629"/>
        <v>2500000</v>
      </c>
      <c r="CJ54" s="57">
        <f t="shared" si="3629"/>
        <v>2500000</v>
      </c>
      <c r="CK54" s="57">
        <f t="shared" si="3629"/>
        <v>2500000</v>
      </c>
      <c r="CL54" s="57">
        <f t="shared" si="3629"/>
        <v>2500000</v>
      </c>
      <c r="CM54" s="57">
        <f t="shared" si="3629"/>
        <v>2500000</v>
      </c>
      <c r="CN54" s="57">
        <f t="shared" si="3629"/>
        <v>2500000</v>
      </c>
      <c r="CO54" s="57">
        <f t="shared" si="3629"/>
        <v>2500000</v>
      </c>
      <c r="CP54" s="57">
        <f t="shared" si="3629"/>
        <v>2500000</v>
      </c>
      <c r="CQ54" s="57">
        <f t="shared" si="3629"/>
        <v>2500000</v>
      </c>
      <c r="CR54" s="57">
        <f t="shared" si="3629"/>
        <v>2500000</v>
      </c>
      <c r="CS54" s="57">
        <f t="shared" si="3629"/>
        <v>2500000</v>
      </c>
      <c r="CT54" s="57">
        <f t="shared" si="3629"/>
        <v>2500000</v>
      </c>
      <c r="CU54" s="57">
        <f t="shared" si="3629"/>
        <v>2500000</v>
      </c>
      <c r="CV54" s="57">
        <f t="shared" si="3629"/>
        <v>2500000</v>
      </c>
      <c r="CW54" s="57">
        <f t="shared" si="3629"/>
        <v>2500000</v>
      </c>
      <c r="CX54" s="57">
        <f t="shared" si="3629"/>
        <v>2500000</v>
      </c>
      <c r="CY54" s="57">
        <f t="shared" si="3629"/>
        <v>2500000</v>
      </c>
      <c r="CZ54" s="57">
        <f t="shared" si="3629"/>
        <v>2500000</v>
      </c>
      <c r="DA54" s="57">
        <f t="shared" si="3629"/>
        <v>2500000</v>
      </c>
      <c r="DB54" s="57">
        <f t="shared" si="3629"/>
        <v>2500000</v>
      </c>
      <c r="DC54" s="57">
        <f t="shared" si="3629"/>
        <v>2500000</v>
      </c>
      <c r="DD54" s="57">
        <f t="shared" si="3629"/>
        <v>2500000</v>
      </c>
      <c r="DE54" s="57">
        <f t="shared" si="3629"/>
        <v>2500000</v>
      </c>
      <c r="DF54" s="57">
        <f t="shared" si="3629"/>
        <v>2500000</v>
      </c>
      <c r="DG54" s="57">
        <f t="shared" si="3629"/>
        <v>2500000</v>
      </c>
      <c r="DH54" s="57">
        <f t="shared" si="3629"/>
        <v>2500000</v>
      </c>
      <c r="DI54" s="57">
        <f t="shared" si="3629"/>
        <v>2500000</v>
      </c>
      <c r="DJ54" s="57">
        <f t="shared" si="3629"/>
        <v>2500000</v>
      </c>
      <c r="DK54" s="57">
        <f t="shared" si="3629"/>
        <v>2500000</v>
      </c>
      <c r="DL54" s="57">
        <f t="shared" si="3629"/>
        <v>2500000</v>
      </c>
      <c r="DM54" s="57">
        <f t="shared" si="3629"/>
        <v>2500000</v>
      </c>
      <c r="DN54" s="57">
        <f t="shared" si="3629"/>
        <v>2500000</v>
      </c>
      <c r="DO54" s="57">
        <f t="shared" si="3629"/>
        <v>2500000</v>
      </c>
      <c r="DP54" s="57">
        <f t="shared" si="3629"/>
        <v>2500000</v>
      </c>
      <c r="DQ54" s="57">
        <f t="shared" si="3629"/>
        <v>2500000</v>
      </c>
      <c r="DR54" s="57">
        <f t="shared" si="3629"/>
        <v>2500000</v>
      </c>
      <c r="DS54" s="57">
        <f t="shared" si="3629"/>
        <v>2500000</v>
      </c>
      <c r="DT54" s="57">
        <f t="shared" si="3629"/>
        <v>2500000</v>
      </c>
      <c r="DU54" s="57">
        <f t="shared" si="3629"/>
        <v>2500000</v>
      </c>
      <c r="DV54" s="57">
        <f t="shared" si="3629"/>
        <v>2500000</v>
      </c>
      <c r="DW54" s="57">
        <f t="shared" si="3629"/>
        <v>2500000</v>
      </c>
      <c r="DX54" s="57">
        <f t="shared" si="3629"/>
        <v>2500000</v>
      </c>
      <c r="DY54" s="57">
        <f t="shared" si="3629"/>
        <v>2500000</v>
      </c>
      <c r="DZ54" s="57">
        <f t="shared" si="3629"/>
        <v>2500000</v>
      </c>
      <c r="EA54" s="57">
        <f t="shared" si="3629"/>
        <v>2500000</v>
      </c>
      <c r="EB54" s="57">
        <f t="shared" ref="EB54:GM54" si="3630">$C54</f>
        <v>2500000</v>
      </c>
      <c r="EC54" s="57">
        <f t="shared" si="3630"/>
        <v>2500000</v>
      </c>
      <c r="ED54" s="57">
        <f t="shared" si="3630"/>
        <v>2500000</v>
      </c>
      <c r="EE54" s="57">
        <f t="shared" si="3630"/>
        <v>2500000</v>
      </c>
      <c r="EF54" s="57">
        <f t="shared" si="3630"/>
        <v>2500000</v>
      </c>
      <c r="EG54" s="57">
        <f t="shared" si="3630"/>
        <v>2500000</v>
      </c>
      <c r="EH54" s="57">
        <f t="shared" si="3630"/>
        <v>2500000</v>
      </c>
      <c r="EI54" s="57">
        <f t="shared" si="3630"/>
        <v>2500000</v>
      </c>
      <c r="EJ54" s="57">
        <f t="shared" si="3630"/>
        <v>2500000</v>
      </c>
      <c r="EK54" s="57">
        <f t="shared" si="3630"/>
        <v>2500000</v>
      </c>
      <c r="EL54" s="57">
        <f t="shared" si="3630"/>
        <v>2500000</v>
      </c>
      <c r="EM54" s="57">
        <f t="shared" si="3630"/>
        <v>2500000</v>
      </c>
      <c r="EN54" s="57">
        <f t="shared" si="3630"/>
        <v>2500000</v>
      </c>
      <c r="EO54" s="57">
        <f t="shared" si="3630"/>
        <v>2500000</v>
      </c>
      <c r="EP54" s="57">
        <f t="shared" si="3630"/>
        <v>2500000</v>
      </c>
      <c r="EQ54" s="57">
        <f t="shared" si="3630"/>
        <v>2500000</v>
      </c>
      <c r="ER54" s="57">
        <f t="shared" si="3630"/>
        <v>2500000</v>
      </c>
      <c r="ES54" s="57">
        <f t="shared" si="3630"/>
        <v>2500000</v>
      </c>
      <c r="ET54" s="57">
        <f t="shared" si="3630"/>
        <v>2500000</v>
      </c>
      <c r="EU54" s="57">
        <f t="shared" si="3630"/>
        <v>2500000</v>
      </c>
      <c r="EV54" s="57">
        <f t="shared" si="3630"/>
        <v>2500000</v>
      </c>
      <c r="EW54" s="57">
        <f t="shared" si="3630"/>
        <v>2500000</v>
      </c>
      <c r="EX54" s="57">
        <f t="shared" si="3630"/>
        <v>2500000</v>
      </c>
      <c r="EY54" s="57">
        <f t="shared" si="3630"/>
        <v>2500000</v>
      </c>
      <c r="EZ54" s="57">
        <f t="shared" si="3630"/>
        <v>2500000</v>
      </c>
      <c r="FA54" s="57">
        <f t="shared" si="3630"/>
        <v>2500000</v>
      </c>
      <c r="FB54" s="57">
        <f t="shared" si="3630"/>
        <v>2500000</v>
      </c>
      <c r="FC54" s="57">
        <f t="shared" si="3630"/>
        <v>2500000</v>
      </c>
      <c r="FD54" s="57">
        <f t="shared" si="3630"/>
        <v>2500000</v>
      </c>
      <c r="FE54" s="57">
        <f t="shared" si="3630"/>
        <v>2500000</v>
      </c>
      <c r="FF54" s="57">
        <f t="shared" si="3630"/>
        <v>2500000</v>
      </c>
      <c r="FG54" s="57">
        <f t="shared" si="3630"/>
        <v>2500000</v>
      </c>
      <c r="FH54" s="57">
        <f t="shared" si="3630"/>
        <v>2500000</v>
      </c>
      <c r="FI54" s="57">
        <f t="shared" si="3630"/>
        <v>2500000</v>
      </c>
      <c r="FJ54" s="57">
        <f t="shared" si="3630"/>
        <v>2500000</v>
      </c>
      <c r="FK54" s="57">
        <f t="shared" si="3630"/>
        <v>2500000</v>
      </c>
      <c r="FL54" s="57">
        <f t="shared" si="3630"/>
        <v>2500000</v>
      </c>
      <c r="FM54" s="57">
        <f t="shared" si="3630"/>
        <v>2500000</v>
      </c>
      <c r="FN54" s="57">
        <f t="shared" si="3630"/>
        <v>2500000</v>
      </c>
      <c r="FO54" s="57">
        <f t="shared" si="3630"/>
        <v>2500000</v>
      </c>
      <c r="FP54" s="57">
        <f t="shared" si="3630"/>
        <v>2500000</v>
      </c>
      <c r="FQ54" s="57">
        <f t="shared" si="3630"/>
        <v>2500000</v>
      </c>
      <c r="FR54" s="57">
        <f t="shared" si="3630"/>
        <v>2500000</v>
      </c>
      <c r="FS54" s="57">
        <f t="shared" si="3630"/>
        <v>2500000</v>
      </c>
      <c r="FT54" s="57">
        <f t="shared" si="3630"/>
        <v>2500000</v>
      </c>
      <c r="FU54" s="57">
        <f t="shared" si="3630"/>
        <v>2500000</v>
      </c>
      <c r="FV54" s="57">
        <f t="shared" si="3630"/>
        <v>2500000</v>
      </c>
      <c r="FW54" s="57">
        <f t="shared" si="3630"/>
        <v>2500000</v>
      </c>
      <c r="FX54" s="57">
        <f t="shared" si="3630"/>
        <v>2500000</v>
      </c>
      <c r="FY54" s="57">
        <f t="shared" si="3630"/>
        <v>2500000</v>
      </c>
      <c r="FZ54" s="57">
        <f t="shared" si="3630"/>
        <v>2500000</v>
      </c>
      <c r="GA54" s="57">
        <f t="shared" si="3630"/>
        <v>2500000</v>
      </c>
      <c r="GB54" s="57">
        <f t="shared" si="3630"/>
        <v>2500000</v>
      </c>
      <c r="GC54" s="57">
        <f t="shared" si="3630"/>
        <v>2500000</v>
      </c>
      <c r="GD54" s="57">
        <f t="shared" si="3630"/>
        <v>2500000</v>
      </c>
      <c r="GE54" s="57">
        <f t="shared" si="3630"/>
        <v>2500000</v>
      </c>
      <c r="GF54" s="57">
        <f t="shared" si="3630"/>
        <v>2500000</v>
      </c>
      <c r="GG54" s="57">
        <f t="shared" si="3630"/>
        <v>2500000</v>
      </c>
      <c r="GH54" s="57">
        <f t="shared" si="3630"/>
        <v>2500000</v>
      </c>
      <c r="GI54" s="57">
        <f t="shared" si="3630"/>
        <v>2500000</v>
      </c>
      <c r="GJ54" s="57">
        <f t="shared" si="3630"/>
        <v>2500000</v>
      </c>
      <c r="GK54" s="57">
        <f t="shared" si="3630"/>
        <v>2500000</v>
      </c>
      <c r="GL54" s="57">
        <f t="shared" si="3630"/>
        <v>2500000</v>
      </c>
      <c r="GM54" s="57">
        <f t="shared" si="3630"/>
        <v>2500000</v>
      </c>
      <c r="GN54" s="57">
        <f t="shared" ref="GN54:IY54" si="3631">$C54</f>
        <v>2500000</v>
      </c>
      <c r="GO54" s="57">
        <f t="shared" si="3631"/>
        <v>2500000</v>
      </c>
      <c r="GP54" s="57">
        <f t="shared" si="3631"/>
        <v>2500000</v>
      </c>
      <c r="GQ54" s="57">
        <f t="shared" si="3631"/>
        <v>2500000</v>
      </c>
      <c r="GR54" s="57">
        <f t="shared" si="3631"/>
        <v>2500000</v>
      </c>
      <c r="GS54" s="57">
        <f t="shared" si="3631"/>
        <v>2500000</v>
      </c>
      <c r="GT54" s="57">
        <f t="shared" si="3631"/>
        <v>2500000</v>
      </c>
      <c r="GU54" s="57">
        <f t="shared" si="3631"/>
        <v>2500000</v>
      </c>
      <c r="GV54" s="57">
        <f t="shared" si="3631"/>
        <v>2500000</v>
      </c>
      <c r="GW54" s="57">
        <f t="shared" si="3631"/>
        <v>2500000</v>
      </c>
      <c r="GX54" s="57">
        <f t="shared" si="3631"/>
        <v>2500000</v>
      </c>
      <c r="GY54" s="57">
        <f t="shared" si="3631"/>
        <v>2500000</v>
      </c>
      <c r="GZ54" s="57">
        <f t="shared" si="3631"/>
        <v>2500000</v>
      </c>
      <c r="HA54" s="57">
        <f t="shared" si="3631"/>
        <v>2500000</v>
      </c>
      <c r="HB54" s="57">
        <f t="shared" si="3631"/>
        <v>2500000</v>
      </c>
      <c r="HC54" s="57">
        <f t="shared" si="3631"/>
        <v>2500000</v>
      </c>
      <c r="HD54" s="57">
        <f t="shared" si="3631"/>
        <v>2500000</v>
      </c>
      <c r="HE54" s="57">
        <f t="shared" si="3631"/>
        <v>2500000</v>
      </c>
      <c r="HF54" s="57">
        <f t="shared" si="3631"/>
        <v>2500000</v>
      </c>
      <c r="HG54" s="57">
        <f t="shared" si="3631"/>
        <v>2500000</v>
      </c>
      <c r="HH54" s="57">
        <f t="shared" si="3631"/>
        <v>2500000</v>
      </c>
      <c r="HI54" s="57">
        <f t="shared" si="3631"/>
        <v>2500000</v>
      </c>
      <c r="HJ54" s="57">
        <f t="shared" si="3631"/>
        <v>2500000</v>
      </c>
      <c r="HK54" s="57">
        <f t="shared" si="3631"/>
        <v>2500000</v>
      </c>
      <c r="HL54" s="57">
        <f t="shared" si="3631"/>
        <v>2500000</v>
      </c>
      <c r="HM54" s="57">
        <f t="shared" si="3631"/>
        <v>2500000</v>
      </c>
      <c r="HN54" s="57">
        <f t="shared" si="3631"/>
        <v>2500000</v>
      </c>
      <c r="HO54" s="57">
        <f t="shared" si="3631"/>
        <v>2500000</v>
      </c>
      <c r="HP54" s="57">
        <f t="shared" si="3631"/>
        <v>2500000</v>
      </c>
      <c r="HQ54" s="57">
        <f t="shared" si="3631"/>
        <v>2500000</v>
      </c>
      <c r="HR54" s="57">
        <f t="shared" si="3631"/>
        <v>2500000</v>
      </c>
      <c r="HS54" s="57">
        <f t="shared" si="3631"/>
        <v>2500000</v>
      </c>
      <c r="HT54" s="57">
        <f t="shared" si="3631"/>
        <v>2500000</v>
      </c>
      <c r="HU54" s="57">
        <f t="shared" si="3631"/>
        <v>2500000</v>
      </c>
      <c r="HV54" s="57">
        <f t="shared" si="3631"/>
        <v>2500000</v>
      </c>
      <c r="HW54" s="57">
        <f t="shared" si="3631"/>
        <v>2500000</v>
      </c>
      <c r="HX54" s="57">
        <f t="shared" si="3631"/>
        <v>2500000</v>
      </c>
      <c r="HY54" s="57">
        <f t="shared" si="3631"/>
        <v>2500000</v>
      </c>
      <c r="HZ54" s="57">
        <f t="shared" si="3631"/>
        <v>2500000</v>
      </c>
      <c r="IA54" s="57">
        <f t="shared" si="3631"/>
        <v>2500000</v>
      </c>
      <c r="IB54" s="57">
        <f t="shared" si="3631"/>
        <v>2500000</v>
      </c>
      <c r="IC54" s="57">
        <f t="shared" si="3631"/>
        <v>2500000</v>
      </c>
      <c r="ID54" s="57">
        <f t="shared" si="3631"/>
        <v>2500000</v>
      </c>
      <c r="IE54" s="57">
        <f t="shared" si="3631"/>
        <v>2500000</v>
      </c>
      <c r="IF54" s="57">
        <f t="shared" si="3631"/>
        <v>2500000</v>
      </c>
      <c r="IG54" s="57">
        <f t="shared" si="3631"/>
        <v>2500000</v>
      </c>
      <c r="IH54" s="57">
        <f t="shared" si="3631"/>
        <v>2500000</v>
      </c>
      <c r="II54" s="57">
        <f t="shared" si="3631"/>
        <v>2500000</v>
      </c>
      <c r="IJ54" s="57">
        <f t="shared" si="3631"/>
        <v>2500000</v>
      </c>
      <c r="IK54" s="57">
        <f t="shared" si="3631"/>
        <v>2500000</v>
      </c>
      <c r="IL54" s="57">
        <f t="shared" si="3631"/>
        <v>2500000</v>
      </c>
      <c r="IM54" s="57">
        <f t="shared" si="3631"/>
        <v>2500000</v>
      </c>
      <c r="IN54" s="57">
        <f t="shared" si="3631"/>
        <v>2500000</v>
      </c>
      <c r="IO54" s="57">
        <f t="shared" si="3631"/>
        <v>2500000</v>
      </c>
      <c r="IP54" s="57">
        <f t="shared" si="3631"/>
        <v>2500000</v>
      </c>
      <c r="IQ54" s="57">
        <f t="shared" si="3631"/>
        <v>2500000</v>
      </c>
      <c r="IR54" s="57">
        <f t="shared" si="3631"/>
        <v>2500000</v>
      </c>
      <c r="IS54" s="57">
        <f t="shared" si="3631"/>
        <v>2500000</v>
      </c>
      <c r="IT54" s="57">
        <f t="shared" si="3631"/>
        <v>2500000</v>
      </c>
      <c r="IU54" s="57">
        <f t="shared" si="3631"/>
        <v>2500000</v>
      </c>
      <c r="IV54" s="57">
        <f t="shared" si="3631"/>
        <v>2500000</v>
      </c>
      <c r="IW54" s="57">
        <f t="shared" si="3631"/>
        <v>2500000</v>
      </c>
      <c r="IX54" s="57">
        <f t="shared" si="3631"/>
        <v>2500000</v>
      </c>
      <c r="IY54" s="57">
        <f t="shared" si="3631"/>
        <v>2500000</v>
      </c>
      <c r="IZ54" s="57">
        <f t="shared" ref="IZ54:LK54" si="3632">$C54</f>
        <v>2500000</v>
      </c>
      <c r="JA54" s="57">
        <f t="shared" si="3632"/>
        <v>2500000</v>
      </c>
      <c r="JB54" s="57">
        <f t="shared" si="3632"/>
        <v>2500000</v>
      </c>
      <c r="JC54" s="57">
        <f t="shared" si="3632"/>
        <v>2500000</v>
      </c>
      <c r="JD54" s="57">
        <f t="shared" si="3632"/>
        <v>2500000</v>
      </c>
      <c r="JE54" s="57">
        <f t="shared" si="3632"/>
        <v>2500000</v>
      </c>
      <c r="JF54" s="57">
        <f t="shared" si="3632"/>
        <v>2500000</v>
      </c>
      <c r="JG54" s="57">
        <f t="shared" si="3632"/>
        <v>2500000</v>
      </c>
      <c r="JH54" s="57">
        <f t="shared" si="3632"/>
        <v>2500000</v>
      </c>
      <c r="JI54" s="57">
        <f t="shared" si="3632"/>
        <v>2500000</v>
      </c>
      <c r="JJ54" s="57">
        <f t="shared" si="3632"/>
        <v>2500000</v>
      </c>
      <c r="JK54" s="57">
        <f t="shared" si="3632"/>
        <v>2500000</v>
      </c>
      <c r="JL54" s="57">
        <f t="shared" si="3632"/>
        <v>2500000</v>
      </c>
      <c r="JM54" s="57">
        <f t="shared" si="3632"/>
        <v>2500000</v>
      </c>
      <c r="JN54" s="57">
        <f t="shared" si="3632"/>
        <v>2500000</v>
      </c>
      <c r="JO54" s="57">
        <f t="shared" si="3632"/>
        <v>2500000</v>
      </c>
      <c r="JP54" s="57">
        <f t="shared" si="3632"/>
        <v>2500000</v>
      </c>
      <c r="JQ54" s="57">
        <f t="shared" si="3632"/>
        <v>2500000</v>
      </c>
      <c r="JR54" s="57">
        <f t="shared" si="3632"/>
        <v>2500000</v>
      </c>
      <c r="JS54" s="57">
        <f t="shared" si="3632"/>
        <v>2500000</v>
      </c>
      <c r="JT54" s="57">
        <f t="shared" si="3632"/>
        <v>2500000</v>
      </c>
      <c r="JU54" s="57">
        <f t="shared" si="3632"/>
        <v>2500000</v>
      </c>
      <c r="JV54" s="57">
        <f t="shared" si="3632"/>
        <v>2500000</v>
      </c>
      <c r="JW54" s="57">
        <f t="shared" si="3632"/>
        <v>2500000</v>
      </c>
      <c r="JX54" s="57">
        <f t="shared" si="3632"/>
        <v>2500000</v>
      </c>
      <c r="JY54" s="57">
        <f t="shared" si="3632"/>
        <v>2500000</v>
      </c>
      <c r="JZ54" s="57">
        <f t="shared" si="3632"/>
        <v>2500000</v>
      </c>
      <c r="KA54" s="57">
        <f t="shared" si="3632"/>
        <v>2500000</v>
      </c>
      <c r="KB54" s="57">
        <f t="shared" si="3632"/>
        <v>2500000</v>
      </c>
      <c r="KC54" s="57">
        <f t="shared" si="3632"/>
        <v>2500000</v>
      </c>
      <c r="KD54" s="57">
        <f t="shared" si="3632"/>
        <v>2500000</v>
      </c>
      <c r="KE54" s="57">
        <f t="shared" si="3632"/>
        <v>2500000</v>
      </c>
      <c r="KF54" s="57">
        <f t="shared" si="3632"/>
        <v>2500000</v>
      </c>
      <c r="KG54" s="57">
        <f t="shared" si="3632"/>
        <v>2500000</v>
      </c>
      <c r="KH54" s="57">
        <f t="shared" si="3632"/>
        <v>2500000</v>
      </c>
      <c r="KI54" s="57">
        <f t="shared" si="3632"/>
        <v>2500000</v>
      </c>
      <c r="KJ54" s="57">
        <f t="shared" si="3632"/>
        <v>2500000</v>
      </c>
      <c r="KK54" s="57">
        <f t="shared" si="3632"/>
        <v>2500000</v>
      </c>
      <c r="KL54" s="57">
        <f t="shared" si="3632"/>
        <v>2500000</v>
      </c>
      <c r="KM54" s="57">
        <f t="shared" si="3632"/>
        <v>2500000</v>
      </c>
      <c r="KN54" s="57">
        <f t="shared" si="3632"/>
        <v>2500000</v>
      </c>
      <c r="KO54" s="57">
        <f t="shared" si="3632"/>
        <v>2500000</v>
      </c>
      <c r="KP54" s="57">
        <f t="shared" si="3632"/>
        <v>2500000</v>
      </c>
      <c r="KQ54" s="57">
        <f t="shared" si="3632"/>
        <v>2500000</v>
      </c>
      <c r="KR54" s="57">
        <f t="shared" si="3632"/>
        <v>2500000</v>
      </c>
      <c r="KS54" s="57">
        <f t="shared" si="3632"/>
        <v>2500000</v>
      </c>
      <c r="KT54" s="57">
        <f t="shared" si="3632"/>
        <v>2500000</v>
      </c>
      <c r="KU54" s="57">
        <f t="shared" si="3632"/>
        <v>2500000</v>
      </c>
      <c r="KV54" s="57">
        <f t="shared" si="3632"/>
        <v>2500000</v>
      </c>
      <c r="KW54" s="57">
        <f t="shared" si="3632"/>
        <v>2500000</v>
      </c>
      <c r="KX54" s="57">
        <f t="shared" si="3632"/>
        <v>2500000</v>
      </c>
      <c r="KY54" s="57">
        <f t="shared" si="3632"/>
        <v>2500000</v>
      </c>
      <c r="KZ54" s="57">
        <f t="shared" si="3632"/>
        <v>2500000</v>
      </c>
      <c r="LA54" s="57">
        <f t="shared" si="3632"/>
        <v>2500000</v>
      </c>
      <c r="LB54" s="57">
        <f t="shared" si="3632"/>
        <v>2500000</v>
      </c>
      <c r="LC54" s="57">
        <f t="shared" si="3632"/>
        <v>2500000</v>
      </c>
      <c r="LD54" s="57">
        <f t="shared" si="3632"/>
        <v>2500000</v>
      </c>
      <c r="LE54" s="57">
        <f t="shared" si="3632"/>
        <v>2500000</v>
      </c>
      <c r="LF54" s="57">
        <f t="shared" si="3632"/>
        <v>2500000</v>
      </c>
      <c r="LG54" s="57">
        <f t="shared" si="3632"/>
        <v>2500000</v>
      </c>
      <c r="LH54" s="57">
        <f t="shared" si="3632"/>
        <v>2500000</v>
      </c>
      <c r="LI54" s="57">
        <f t="shared" si="3632"/>
        <v>2500000</v>
      </c>
      <c r="LJ54" s="57">
        <f t="shared" si="3632"/>
        <v>2500000</v>
      </c>
      <c r="LK54" s="57">
        <f t="shared" si="3632"/>
        <v>2500000</v>
      </c>
      <c r="LL54" s="57">
        <f t="shared" ref="LL54:NW54" si="3633">$C54</f>
        <v>2500000</v>
      </c>
      <c r="LM54" s="57">
        <f t="shared" si="3633"/>
        <v>2500000</v>
      </c>
      <c r="LN54" s="57">
        <f t="shared" si="3633"/>
        <v>2500000</v>
      </c>
      <c r="LO54" s="57">
        <f t="shared" si="3633"/>
        <v>2500000</v>
      </c>
      <c r="LP54" s="57">
        <f t="shared" si="3633"/>
        <v>2500000</v>
      </c>
      <c r="LQ54" s="57">
        <f t="shared" si="3633"/>
        <v>2500000</v>
      </c>
      <c r="LR54" s="57">
        <f t="shared" si="3633"/>
        <v>2500000</v>
      </c>
      <c r="LS54" s="57">
        <f t="shared" si="3633"/>
        <v>2500000</v>
      </c>
      <c r="LT54" s="57">
        <f t="shared" si="3633"/>
        <v>2500000</v>
      </c>
      <c r="LU54" s="57">
        <f t="shared" si="3633"/>
        <v>2500000</v>
      </c>
      <c r="LV54" s="57">
        <f t="shared" si="3633"/>
        <v>2500000</v>
      </c>
      <c r="LW54" s="57">
        <f t="shared" si="3633"/>
        <v>2500000</v>
      </c>
      <c r="LX54" s="57">
        <f t="shared" si="3633"/>
        <v>2500000</v>
      </c>
      <c r="LY54" s="57">
        <f t="shared" si="3633"/>
        <v>2500000</v>
      </c>
      <c r="LZ54" s="57">
        <f t="shared" si="3633"/>
        <v>2500000</v>
      </c>
      <c r="MA54" s="57">
        <f t="shared" si="3633"/>
        <v>2500000</v>
      </c>
      <c r="MB54" s="57">
        <f t="shared" si="3633"/>
        <v>2500000</v>
      </c>
      <c r="MC54" s="57">
        <f t="shared" si="3633"/>
        <v>2500000</v>
      </c>
      <c r="MD54" s="57">
        <f t="shared" si="3633"/>
        <v>2500000</v>
      </c>
      <c r="ME54" s="57">
        <f t="shared" si="3633"/>
        <v>2500000</v>
      </c>
      <c r="MF54" s="57">
        <f t="shared" si="3633"/>
        <v>2500000</v>
      </c>
      <c r="MG54" s="57">
        <f t="shared" si="3633"/>
        <v>2500000</v>
      </c>
      <c r="MH54" s="57">
        <f t="shared" si="3633"/>
        <v>2500000</v>
      </c>
      <c r="MI54" s="57">
        <f t="shared" si="3633"/>
        <v>2500000</v>
      </c>
      <c r="MJ54" s="57">
        <f t="shared" si="3633"/>
        <v>2500000</v>
      </c>
      <c r="MK54" s="57">
        <f t="shared" si="3633"/>
        <v>2500000</v>
      </c>
      <c r="ML54" s="57">
        <f t="shared" si="3633"/>
        <v>2500000</v>
      </c>
      <c r="MM54" s="57">
        <f t="shared" si="3633"/>
        <v>2500000</v>
      </c>
      <c r="MN54" s="57">
        <f t="shared" si="3633"/>
        <v>2500000</v>
      </c>
      <c r="MO54" s="57">
        <f t="shared" si="3633"/>
        <v>2500000</v>
      </c>
      <c r="MP54" s="57">
        <f t="shared" si="3633"/>
        <v>2500000</v>
      </c>
      <c r="MQ54" s="57">
        <f t="shared" si="3633"/>
        <v>2500000</v>
      </c>
      <c r="MR54" s="57">
        <f t="shared" si="3633"/>
        <v>2500000</v>
      </c>
      <c r="MS54" s="57">
        <f t="shared" si="3633"/>
        <v>2500000</v>
      </c>
      <c r="MT54" s="57">
        <f t="shared" si="3633"/>
        <v>2500000</v>
      </c>
      <c r="MU54" s="57">
        <f t="shared" si="3633"/>
        <v>2500000</v>
      </c>
      <c r="MV54" s="57">
        <f t="shared" si="3633"/>
        <v>2500000</v>
      </c>
      <c r="MW54" s="57">
        <f t="shared" si="3633"/>
        <v>2500000</v>
      </c>
      <c r="MX54" s="57">
        <f t="shared" si="3633"/>
        <v>2500000</v>
      </c>
      <c r="MY54" s="57">
        <f t="shared" si="3633"/>
        <v>2500000</v>
      </c>
      <c r="MZ54" s="57">
        <f t="shared" si="3633"/>
        <v>2500000</v>
      </c>
      <c r="NA54" s="57">
        <f t="shared" si="3633"/>
        <v>2500000</v>
      </c>
      <c r="NB54" s="57">
        <f t="shared" si="3633"/>
        <v>2500000</v>
      </c>
      <c r="NC54" s="57">
        <f t="shared" si="3633"/>
        <v>2500000</v>
      </c>
      <c r="ND54" s="57">
        <f t="shared" si="3633"/>
        <v>2500000</v>
      </c>
      <c r="NE54" s="57">
        <f t="shared" si="3633"/>
        <v>2500000</v>
      </c>
      <c r="NF54" s="57">
        <f t="shared" si="3633"/>
        <v>2500000</v>
      </c>
      <c r="NG54" s="57">
        <f t="shared" si="3633"/>
        <v>2500000</v>
      </c>
      <c r="NH54" s="57">
        <f t="shared" si="3633"/>
        <v>2500000</v>
      </c>
      <c r="NI54" s="57">
        <f t="shared" si="3633"/>
        <v>2500000</v>
      </c>
      <c r="NJ54" s="57">
        <f t="shared" si="3633"/>
        <v>2500000</v>
      </c>
      <c r="NK54" s="57">
        <f t="shared" si="3633"/>
        <v>2500000</v>
      </c>
      <c r="NL54" s="57">
        <f t="shared" si="3633"/>
        <v>2500000</v>
      </c>
      <c r="NM54" s="57">
        <f t="shared" si="3633"/>
        <v>2500000</v>
      </c>
      <c r="NN54" s="57">
        <f t="shared" si="3633"/>
        <v>2500000</v>
      </c>
      <c r="NO54" s="57">
        <f t="shared" si="3633"/>
        <v>2500000</v>
      </c>
      <c r="NP54" s="57">
        <f t="shared" si="3633"/>
        <v>2500000</v>
      </c>
      <c r="NQ54" s="57">
        <f t="shared" si="3633"/>
        <v>2500000</v>
      </c>
      <c r="NR54" s="57">
        <f t="shared" si="3633"/>
        <v>2500000</v>
      </c>
      <c r="NS54" s="57">
        <f t="shared" si="3633"/>
        <v>2500000</v>
      </c>
      <c r="NT54" s="57">
        <f t="shared" si="3633"/>
        <v>2500000</v>
      </c>
      <c r="NU54" s="57">
        <f t="shared" si="3633"/>
        <v>2500000</v>
      </c>
      <c r="NV54" s="57">
        <f t="shared" si="3633"/>
        <v>2500000</v>
      </c>
      <c r="NW54" s="57">
        <f t="shared" si="3633"/>
        <v>2500000</v>
      </c>
      <c r="NX54" s="57">
        <f t="shared" ref="NX54:QI54" si="3634">$C54</f>
        <v>2500000</v>
      </c>
      <c r="NY54" s="57">
        <f t="shared" si="3634"/>
        <v>2500000</v>
      </c>
      <c r="NZ54" s="57">
        <f t="shared" si="3634"/>
        <v>2500000</v>
      </c>
      <c r="OA54" s="57">
        <f t="shared" si="3634"/>
        <v>2500000</v>
      </c>
      <c r="OB54" s="57">
        <f t="shared" si="3634"/>
        <v>2500000</v>
      </c>
      <c r="OC54" s="57">
        <f t="shared" si="3634"/>
        <v>2500000</v>
      </c>
      <c r="OD54" s="57">
        <f t="shared" si="3634"/>
        <v>2500000</v>
      </c>
      <c r="OE54" s="57">
        <f t="shared" si="3634"/>
        <v>2500000</v>
      </c>
      <c r="OF54" s="57">
        <f t="shared" si="3634"/>
        <v>2500000</v>
      </c>
      <c r="OG54" s="57">
        <f t="shared" si="3634"/>
        <v>2500000</v>
      </c>
      <c r="OH54" s="57">
        <f t="shared" si="3634"/>
        <v>2500000</v>
      </c>
      <c r="OI54" s="57">
        <f t="shared" si="3634"/>
        <v>2500000</v>
      </c>
      <c r="OJ54" s="57">
        <f t="shared" si="3634"/>
        <v>2500000</v>
      </c>
      <c r="OK54" s="57">
        <f t="shared" si="3634"/>
        <v>2500000</v>
      </c>
      <c r="OL54" s="57">
        <f t="shared" si="3634"/>
        <v>2500000</v>
      </c>
      <c r="OM54" s="57">
        <f t="shared" si="3634"/>
        <v>2500000</v>
      </c>
      <c r="ON54" s="57">
        <f t="shared" si="3634"/>
        <v>2500000</v>
      </c>
      <c r="OO54" s="57">
        <f t="shared" si="3634"/>
        <v>2500000</v>
      </c>
      <c r="OP54" s="57">
        <f t="shared" si="3634"/>
        <v>2500000</v>
      </c>
      <c r="OQ54" s="57">
        <f t="shared" si="3634"/>
        <v>2500000</v>
      </c>
      <c r="OR54" s="57">
        <f t="shared" si="3634"/>
        <v>2500000</v>
      </c>
      <c r="OS54" s="57">
        <f t="shared" si="3634"/>
        <v>2500000</v>
      </c>
      <c r="OT54" s="57">
        <f t="shared" si="3634"/>
        <v>2500000</v>
      </c>
      <c r="OU54" s="57">
        <f t="shared" si="3634"/>
        <v>2500000</v>
      </c>
      <c r="OV54" s="57">
        <f t="shared" si="3634"/>
        <v>2500000</v>
      </c>
      <c r="OW54" s="57">
        <f t="shared" si="3634"/>
        <v>2500000</v>
      </c>
      <c r="OX54" s="57">
        <f t="shared" si="3634"/>
        <v>2500000</v>
      </c>
      <c r="OY54" s="57">
        <f t="shared" si="3634"/>
        <v>2500000</v>
      </c>
      <c r="OZ54" s="57">
        <f t="shared" si="3634"/>
        <v>2500000</v>
      </c>
      <c r="PA54" s="57">
        <f t="shared" si="3634"/>
        <v>2500000</v>
      </c>
      <c r="PB54" s="57">
        <f t="shared" si="3634"/>
        <v>2500000</v>
      </c>
      <c r="PC54" s="57">
        <f t="shared" si="3634"/>
        <v>2500000</v>
      </c>
      <c r="PD54" s="57">
        <f t="shared" si="3634"/>
        <v>2500000</v>
      </c>
      <c r="PE54" s="57">
        <f t="shared" si="3634"/>
        <v>2500000</v>
      </c>
      <c r="PF54" s="57">
        <f t="shared" si="3634"/>
        <v>2500000</v>
      </c>
      <c r="PG54" s="57">
        <f t="shared" si="3634"/>
        <v>2500000</v>
      </c>
      <c r="PH54" s="57">
        <f t="shared" si="3634"/>
        <v>2500000</v>
      </c>
      <c r="PI54" s="57">
        <f t="shared" si="3634"/>
        <v>2500000</v>
      </c>
      <c r="PJ54" s="57">
        <f t="shared" si="3634"/>
        <v>2500000</v>
      </c>
      <c r="PK54" s="57">
        <f t="shared" si="3634"/>
        <v>2500000</v>
      </c>
      <c r="PL54" s="57">
        <f t="shared" si="3634"/>
        <v>2500000</v>
      </c>
      <c r="PM54" s="57">
        <f t="shared" si="3634"/>
        <v>2500000</v>
      </c>
      <c r="PN54" s="57">
        <f t="shared" si="3634"/>
        <v>2500000</v>
      </c>
      <c r="PO54" s="57">
        <f t="shared" si="3634"/>
        <v>2500000</v>
      </c>
      <c r="PP54" s="57">
        <f t="shared" si="3634"/>
        <v>2500000</v>
      </c>
      <c r="PQ54" s="57">
        <f t="shared" si="3634"/>
        <v>2500000</v>
      </c>
      <c r="PR54" s="57">
        <f t="shared" si="3634"/>
        <v>2500000</v>
      </c>
      <c r="PS54" s="57">
        <f t="shared" si="3634"/>
        <v>2500000</v>
      </c>
      <c r="PT54" s="57">
        <f t="shared" si="3634"/>
        <v>2500000</v>
      </c>
      <c r="PU54" s="57">
        <f t="shared" si="3634"/>
        <v>2500000</v>
      </c>
      <c r="PV54" s="57">
        <f t="shared" si="3634"/>
        <v>2500000</v>
      </c>
      <c r="PW54" s="57">
        <f t="shared" si="3634"/>
        <v>2500000</v>
      </c>
      <c r="PX54" s="57">
        <f t="shared" si="3634"/>
        <v>2500000</v>
      </c>
      <c r="PY54" s="57">
        <f t="shared" si="3634"/>
        <v>2500000</v>
      </c>
      <c r="PZ54" s="57">
        <f t="shared" si="3634"/>
        <v>2500000</v>
      </c>
      <c r="QA54" s="57">
        <f t="shared" si="3634"/>
        <v>2500000</v>
      </c>
      <c r="QB54" s="57">
        <f t="shared" si="3634"/>
        <v>2500000</v>
      </c>
      <c r="QC54" s="57">
        <f t="shared" si="3634"/>
        <v>2500000</v>
      </c>
      <c r="QD54" s="57">
        <f t="shared" si="3634"/>
        <v>2500000</v>
      </c>
      <c r="QE54" s="57">
        <f t="shared" si="3634"/>
        <v>2500000</v>
      </c>
      <c r="QF54" s="57">
        <f t="shared" si="3634"/>
        <v>2500000</v>
      </c>
      <c r="QG54" s="57">
        <f t="shared" si="3634"/>
        <v>2500000</v>
      </c>
      <c r="QH54" s="57">
        <f t="shared" si="3634"/>
        <v>2500000</v>
      </c>
      <c r="QI54" s="57">
        <f t="shared" si="3634"/>
        <v>2500000</v>
      </c>
      <c r="QJ54" s="57">
        <f t="shared" ref="QJ54:SU54" si="3635">$C54</f>
        <v>2500000</v>
      </c>
      <c r="QK54" s="57">
        <f t="shared" si="3635"/>
        <v>2500000</v>
      </c>
      <c r="QL54" s="57">
        <f t="shared" si="3635"/>
        <v>2500000</v>
      </c>
      <c r="QM54" s="57">
        <f t="shared" si="3635"/>
        <v>2500000</v>
      </c>
      <c r="QN54" s="57">
        <f t="shared" si="3635"/>
        <v>2500000</v>
      </c>
      <c r="QO54" s="57">
        <f t="shared" si="3635"/>
        <v>2500000</v>
      </c>
      <c r="QP54" s="57">
        <f t="shared" si="3635"/>
        <v>2500000</v>
      </c>
      <c r="QQ54" s="57">
        <f t="shared" si="3635"/>
        <v>2500000</v>
      </c>
      <c r="QR54" s="57">
        <f t="shared" si="3635"/>
        <v>2500000</v>
      </c>
      <c r="QS54" s="57">
        <f t="shared" si="3635"/>
        <v>2500000</v>
      </c>
      <c r="QT54" s="57">
        <f t="shared" si="3635"/>
        <v>2500000</v>
      </c>
      <c r="QU54" s="57">
        <f t="shared" si="3635"/>
        <v>2500000</v>
      </c>
      <c r="QV54" s="57">
        <f t="shared" si="3635"/>
        <v>2500000</v>
      </c>
      <c r="QW54" s="57">
        <f t="shared" si="3635"/>
        <v>2500000</v>
      </c>
      <c r="QX54" s="57">
        <f t="shared" si="3635"/>
        <v>2500000</v>
      </c>
      <c r="QY54" s="57">
        <f t="shared" si="3635"/>
        <v>2500000</v>
      </c>
      <c r="QZ54" s="57">
        <f t="shared" si="3635"/>
        <v>2500000</v>
      </c>
      <c r="RA54" s="57">
        <f t="shared" si="3635"/>
        <v>2500000</v>
      </c>
      <c r="RB54" s="57">
        <f t="shared" si="3635"/>
        <v>2500000</v>
      </c>
      <c r="RC54" s="57">
        <f t="shared" si="3635"/>
        <v>2500000</v>
      </c>
      <c r="RD54" s="57">
        <f t="shared" si="3635"/>
        <v>2500000</v>
      </c>
      <c r="RE54" s="57">
        <f t="shared" si="3635"/>
        <v>2500000</v>
      </c>
      <c r="RF54" s="57">
        <f t="shared" si="3635"/>
        <v>2500000</v>
      </c>
      <c r="RG54" s="57">
        <f t="shared" si="3635"/>
        <v>2500000</v>
      </c>
      <c r="RH54" s="57">
        <f t="shared" si="3635"/>
        <v>2500000</v>
      </c>
      <c r="RI54" s="57">
        <f t="shared" si="3635"/>
        <v>2500000</v>
      </c>
      <c r="RJ54" s="57">
        <f t="shared" si="3635"/>
        <v>2500000</v>
      </c>
      <c r="RK54" s="57">
        <f t="shared" si="3635"/>
        <v>2500000</v>
      </c>
      <c r="RL54" s="57">
        <f t="shared" si="3635"/>
        <v>2500000</v>
      </c>
      <c r="RM54" s="57">
        <f t="shared" si="3635"/>
        <v>2500000</v>
      </c>
      <c r="RN54" s="57">
        <f t="shared" si="3635"/>
        <v>2500000</v>
      </c>
      <c r="RO54" s="57">
        <f t="shared" si="3635"/>
        <v>2500000</v>
      </c>
      <c r="RP54" s="57">
        <f t="shared" si="3635"/>
        <v>2500000</v>
      </c>
      <c r="RQ54" s="57">
        <f t="shared" si="3635"/>
        <v>2500000</v>
      </c>
      <c r="RR54" s="57">
        <f t="shared" si="3635"/>
        <v>2500000</v>
      </c>
      <c r="RS54" s="57">
        <f t="shared" si="3635"/>
        <v>2500000</v>
      </c>
      <c r="RT54" s="57">
        <f t="shared" si="3635"/>
        <v>2500000</v>
      </c>
      <c r="RU54" s="57">
        <f t="shared" si="3635"/>
        <v>2500000</v>
      </c>
      <c r="RV54" s="57">
        <f t="shared" si="3635"/>
        <v>2500000</v>
      </c>
      <c r="RW54" s="57">
        <f t="shared" si="3635"/>
        <v>2500000</v>
      </c>
      <c r="RX54" s="57">
        <f t="shared" si="3635"/>
        <v>2500000</v>
      </c>
      <c r="RY54" s="57">
        <f t="shared" si="3635"/>
        <v>2500000</v>
      </c>
      <c r="RZ54" s="57">
        <f t="shared" si="3635"/>
        <v>2500000</v>
      </c>
      <c r="SA54" s="57">
        <f t="shared" si="3635"/>
        <v>2500000</v>
      </c>
      <c r="SB54" s="57">
        <f t="shared" si="3635"/>
        <v>2500000</v>
      </c>
      <c r="SC54" s="57">
        <f t="shared" si="3635"/>
        <v>2500000</v>
      </c>
      <c r="SD54" s="57">
        <f t="shared" si="3635"/>
        <v>2500000</v>
      </c>
      <c r="SE54" s="57">
        <f t="shared" si="3635"/>
        <v>2500000</v>
      </c>
      <c r="SF54" s="57">
        <f t="shared" si="3635"/>
        <v>2500000</v>
      </c>
      <c r="SG54" s="57">
        <f t="shared" si="3635"/>
        <v>2500000</v>
      </c>
      <c r="SH54" s="57">
        <f t="shared" si="3635"/>
        <v>2500000</v>
      </c>
      <c r="SI54" s="57">
        <f t="shared" si="3635"/>
        <v>2500000</v>
      </c>
      <c r="SJ54" s="57">
        <f t="shared" si="3635"/>
        <v>2500000</v>
      </c>
      <c r="SK54" s="57">
        <f t="shared" si="3635"/>
        <v>2500000</v>
      </c>
      <c r="SL54" s="57">
        <f t="shared" si="3635"/>
        <v>2500000</v>
      </c>
      <c r="SM54" s="57">
        <f t="shared" si="3635"/>
        <v>2500000</v>
      </c>
      <c r="SN54" s="57">
        <f t="shared" si="3635"/>
        <v>2500000</v>
      </c>
      <c r="SO54" s="57">
        <f t="shared" si="3635"/>
        <v>2500000</v>
      </c>
      <c r="SP54" s="57">
        <f t="shared" si="3635"/>
        <v>2500000</v>
      </c>
      <c r="SQ54" s="57">
        <f t="shared" si="3635"/>
        <v>2500000</v>
      </c>
      <c r="SR54" s="57">
        <f t="shared" si="3635"/>
        <v>2500000</v>
      </c>
      <c r="SS54" s="57">
        <f t="shared" si="3635"/>
        <v>2500000</v>
      </c>
      <c r="ST54" s="57">
        <f t="shared" si="3635"/>
        <v>2500000</v>
      </c>
      <c r="SU54" s="57">
        <f t="shared" si="3635"/>
        <v>2500000</v>
      </c>
      <c r="SV54" s="57">
        <f t="shared" ref="SV54:VG54" si="3636">$C54</f>
        <v>2500000</v>
      </c>
      <c r="SW54" s="57">
        <f t="shared" si="3636"/>
        <v>2500000</v>
      </c>
      <c r="SX54" s="57">
        <f t="shared" si="3636"/>
        <v>2500000</v>
      </c>
      <c r="SY54" s="57">
        <f t="shared" si="3636"/>
        <v>2500000</v>
      </c>
      <c r="SZ54" s="57">
        <f t="shared" si="3636"/>
        <v>2500000</v>
      </c>
      <c r="TA54" s="57">
        <f t="shared" si="3636"/>
        <v>2500000</v>
      </c>
      <c r="TB54" s="57">
        <f t="shared" si="3636"/>
        <v>2500000</v>
      </c>
      <c r="TC54" s="57">
        <f t="shared" si="3636"/>
        <v>2500000</v>
      </c>
      <c r="TD54" s="57">
        <f t="shared" si="3636"/>
        <v>2500000</v>
      </c>
      <c r="TE54" s="57">
        <f t="shared" si="3636"/>
        <v>2500000</v>
      </c>
      <c r="TF54" s="57">
        <f t="shared" si="3636"/>
        <v>2500000</v>
      </c>
      <c r="TG54" s="57">
        <f t="shared" si="3636"/>
        <v>2500000</v>
      </c>
      <c r="TH54" s="57">
        <f t="shared" si="3636"/>
        <v>2500000</v>
      </c>
      <c r="TI54" s="57">
        <f t="shared" si="3636"/>
        <v>2500000</v>
      </c>
      <c r="TJ54" s="57">
        <f t="shared" si="3636"/>
        <v>2500000</v>
      </c>
      <c r="TK54" s="57">
        <f t="shared" si="3636"/>
        <v>2500000</v>
      </c>
      <c r="TL54" s="57">
        <f t="shared" si="3636"/>
        <v>2500000</v>
      </c>
      <c r="TM54" s="57">
        <f t="shared" si="3636"/>
        <v>2500000</v>
      </c>
      <c r="TN54" s="57">
        <f t="shared" si="3636"/>
        <v>2500000</v>
      </c>
      <c r="TO54" s="57">
        <f t="shared" si="3636"/>
        <v>2500000</v>
      </c>
      <c r="TP54" s="57">
        <f t="shared" si="3636"/>
        <v>2500000</v>
      </c>
      <c r="TQ54" s="57">
        <f t="shared" si="3636"/>
        <v>2500000</v>
      </c>
      <c r="TR54" s="57">
        <f t="shared" si="3636"/>
        <v>2500000</v>
      </c>
      <c r="TS54" s="57">
        <f t="shared" si="3636"/>
        <v>2500000</v>
      </c>
      <c r="TT54" s="57">
        <f t="shared" si="3636"/>
        <v>2500000</v>
      </c>
      <c r="TU54" s="57">
        <f t="shared" si="3636"/>
        <v>2500000</v>
      </c>
      <c r="TV54" s="57">
        <f t="shared" si="3636"/>
        <v>2500000</v>
      </c>
      <c r="TW54" s="57">
        <f t="shared" si="3636"/>
        <v>2500000</v>
      </c>
      <c r="TX54" s="57">
        <f t="shared" si="3636"/>
        <v>2500000</v>
      </c>
      <c r="TY54" s="57">
        <f t="shared" si="3636"/>
        <v>2500000</v>
      </c>
      <c r="TZ54" s="57">
        <f t="shared" si="3636"/>
        <v>2500000</v>
      </c>
      <c r="UA54" s="57">
        <f t="shared" si="3636"/>
        <v>2500000</v>
      </c>
      <c r="UB54" s="57">
        <f t="shared" si="3636"/>
        <v>2500000</v>
      </c>
      <c r="UC54" s="57">
        <f t="shared" si="3636"/>
        <v>2500000</v>
      </c>
      <c r="UD54" s="57">
        <f t="shared" si="3636"/>
        <v>2500000</v>
      </c>
      <c r="UE54" s="57">
        <f t="shared" si="3636"/>
        <v>2500000</v>
      </c>
      <c r="UF54" s="57">
        <f t="shared" si="3636"/>
        <v>2500000</v>
      </c>
      <c r="UG54" s="57">
        <f t="shared" si="3636"/>
        <v>2500000</v>
      </c>
      <c r="UH54" s="57">
        <f t="shared" si="3636"/>
        <v>2500000</v>
      </c>
      <c r="UI54" s="57">
        <f t="shared" si="3636"/>
        <v>2500000</v>
      </c>
      <c r="UJ54" s="57">
        <f t="shared" si="3636"/>
        <v>2500000</v>
      </c>
      <c r="UK54" s="57">
        <f t="shared" si="3636"/>
        <v>2500000</v>
      </c>
      <c r="UL54" s="57">
        <f t="shared" si="3636"/>
        <v>2500000</v>
      </c>
      <c r="UM54" s="57">
        <f t="shared" si="3636"/>
        <v>2500000</v>
      </c>
      <c r="UN54" s="57">
        <f t="shared" si="3636"/>
        <v>2500000</v>
      </c>
      <c r="UO54" s="57">
        <f t="shared" si="3636"/>
        <v>2500000</v>
      </c>
      <c r="UP54" s="57">
        <f t="shared" si="3636"/>
        <v>2500000</v>
      </c>
      <c r="UQ54" s="57">
        <f t="shared" si="3636"/>
        <v>2500000</v>
      </c>
      <c r="UR54" s="57">
        <f t="shared" si="3636"/>
        <v>2500000</v>
      </c>
      <c r="US54" s="57">
        <f t="shared" si="3636"/>
        <v>2500000</v>
      </c>
      <c r="UT54" s="57">
        <f t="shared" si="3636"/>
        <v>2500000</v>
      </c>
      <c r="UU54" s="57">
        <f t="shared" si="3636"/>
        <v>2500000</v>
      </c>
      <c r="UV54" s="57">
        <f t="shared" si="3636"/>
        <v>2500000</v>
      </c>
      <c r="UW54" s="57">
        <f t="shared" si="3636"/>
        <v>2500000</v>
      </c>
      <c r="UX54" s="57">
        <f t="shared" si="3636"/>
        <v>2500000</v>
      </c>
      <c r="UY54" s="57">
        <f t="shared" si="3636"/>
        <v>2500000</v>
      </c>
      <c r="UZ54" s="57">
        <f t="shared" si="3636"/>
        <v>2500000</v>
      </c>
      <c r="VA54" s="57">
        <f t="shared" si="3636"/>
        <v>2500000</v>
      </c>
      <c r="VB54" s="57">
        <f t="shared" si="3636"/>
        <v>2500000</v>
      </c>
      <c r="VC54" s="57">
        <f t="shared" si="3636"/>
        <v>2500000</v>
      </c>
      <c r="VD54" s="57">
        <f t="shared" si="3636"/>
        <v>2500000</v>
      </c>
      <c r="VE54" s="57">
        <f t="shared" si="3636"/>
        <v>2500000</v>
      </c>
      <c r="VF54" s="57">
        <f t="shared" si="3636"/>
        <v>2500000</v>
      </c>
      <c r="VG54" s="57">
        <f t="shared" si="3636"/>
        <v>2500000</v>
      </c>
      <c r="VH54" s="57">
        <f t="shared" ref="VH54:XS54" si="3637">$C54</f>
        <v>2500000</v>
      </c>
      <c r="VI54" s="57">
        <f t="shared" si="3637"/>
        <v>2500000</v>
      </c>
      <c r="VJ54" s="57">
        <f t="shared" si="3637"/>
        <v>2500000</v>
      </c>
      <c r="VK54" s="57">
        <f t="shared" si="3637"/>
        <v>2500000</v>
      </c>
      <c r="VL54" s="57">
        <f t="shared" si="3637"/>
        <v>2500000</v>
      </c>
      <c r="VM54" s="57">
        <f t="shared" si="3637"/>
        <v>2500000</v>
      </c>
      <c r="VN54" s="57">
        <f t="shared" si="3637"/>
        <v>2500000</v>
      </c>
      <c r="VO54" s="57">
        <f t="shared" si="3637"/>
        <v>2500000</v>
      </c>
      <c r="VP54" s="57">
        <f t="shared" si="3637"/>
        <v>2500000</v>
      </c>
      <c r="VQ54" s="57">
        <f t="shared" si="3637"/>
        <v>2500000</v>
      </c>
      <c r="VR54" s="57">
        <f t="shared" si="3637"/>
        <v>2500000</v>
      </c>
      <c r="VS54" s="57">
        <f t="shared" si="3637"/>
        <v>2500000</v>
      </c>
      <c r="VT54" s="57">
        <f t="shared" si="3637"/>
        <v>2500000</v>
      </c>
      <c r="VU54" s="57">
        <f t="shared" si="3637"/>
        <v>2500000</v>
      </c>
      <c r="VV54" s="57">
        <f t="shared" si="3637"/>
        <v>2500000</v>
      </c>
      <c r="VW54" s="57">
        <f t="shared" si="3637"/>
        <v>2500000</v>
      </c>
      <c r="VX54" s="57">
        <f t="shared" si="3637"/>
        <v>2500000</v>
      </c>
      <c r="VY54" s="57">
        <f t="shared" si="3637"/>
        <v>2500000</v>
      </c>
      <c r="VZ54" s="57">
        <f t="shared" si="3637"/>
        <v>2500000</v>
      </c>
      <c r="WA54" s="57">
        <f t="shared" si="3637"/>
        <v>2500000</v>
      </c>
      <c r="WB54" s="57">
        <f t="shared" si="3637"/>
        <v>2500000</v>
      </c>
      <c r="WC54" s="57">
        <f t="shared" si="3637"/>
        <v>2500000</v>
      </c>
      <c r="WD54" s="57">
        <f t="shared" si="3637"/>
        <v>2500000</v>
      </c>
      <c r="WE54" s="57">
        <f t="shared" si="3637"/>
        <v>2500000</v>
      </c>
      <c r="WF54" s="57">
        <f t="shared" si="3637"/>
        <v>2500000</v>
      </c>
      <c r="WG54" s="57">
        <f t="shared" si="3637"/>
        <v>2500000</v>
      </c>
      <c r="WH54" s="57">
        <f t="shared" si="3637"/>
        <v>2500000</v>
      </c>
      <c r="WI54" s="57">
        <f t="shared" si="3637"/>
        <v>2500000</v>
      </c>
      <c r="WJ54" s="57">
        <f t="shared" si="3637"/>
        <v>2500000</v>
      </c>
      <c r="WK54" s="57">
        <f t="shared" si="3637"/>
        <v>2500000</v>
      </c>
      <c r="WL54" s="57">
        <f t="shared" si="3637"/>
        <v>2500000</v>
      </c>
      <c r="WM54" s="57">
        <f t="shared" si="3637"/>
        <v>2500000</v>
      </c>
      <c r="WN54" s="57">
        <f t="shared" si="3637"/>
        <v>2500000</v>
      </c>
      <c r="WO54" s="57">
        <f t="shared" si="3637"/>
        <v>2500000</v>
      </c>
      <c r="WP54" s="57">
        <f t="shared" si="3637"/>
        <v>2500000</v>
      </c>
      <c r="WQ54" s="57">
        <f t="shared" si="3637"/>
        <v>2500000</v>
      </c>
      <c r="WR54" s="57">
        <f t="shared" si="3637"/>
        <v>2500000</v>
      </c>
      <c r="WS54" s="57">
        <f t="shared" si="3637"/>
        <v>2500000</v>
      </c>
      <c r="WT54" s="57">
        <f t="shared" si="3637"/>
        <v>2500000</v>
      </c>
      <c r="WU54" s="57">
        <f t="shared" si="3637"/>
        <v>2500000</v>
      </c>
      <c r="WV54" s="57">
        <f t="shared" si="3637"/>
        <v>2500000</v>
      </c>
      <c r="WW54" s="57">
        <f t="shared" si="3637"/>
        <v>2500000</v>
      </c>
      <c r="WX54" s="57">
        <f t="shared" si="3637"/>
        <v>2500000</v>
      </c>
      <c r="WY54" s="57">
        <f t="shared" si="3637"/>
        <v>2500000</v>
      </c>
      <c r="WZ54" s="57">
        <f t="shared" si="3637"/>
        <v>2500000</v>
      </c>
      <c r="XA54" s="57">
        <f t="shared" si="3637"/>
        <v>2500000</v>
      </c>
      <c r="XB54" s="57">
        <f t="shared" si="3637"/>
        <v>2500000</v>
      </c>
      <c r="XC54" s="57">
        <f t="shared" si="3637"/>
        <v>2500000</v>
      </c>
      <c r="XD54" s="57">
        <f t="shared" si="3637"/>
        <v>2500000</v>
      </c>
      <c r="XE54" s="57">
        <f t="shared" si="3637"/>
        <v>2500000</v>
      </c>
      <c r="XF54" s="57">
        <f t="shared" si="3637"/>
        <v>2500000</v>
      </c>
      <c r="XG54" s="57">
        <f t="shared" si="3637"/>
        <v>2500000</v>
      </c>
      <c r="XH54" s="57">
        <f t="shared" si="3637"/>
        <v>2500000</v>
      </c>
      <c r="XI54" s="57">
        <f t="shared" si="3637"/>
        <v>2500000</v>
      </c>
      <c r="XJ54" s="57">
        <f t="shared" si="3637"/>
        <v>2500000</v>
      </c>
      <c r="XK54" s="57">
        <f t="shared" si="3637"/>
        <v>2500000</v>
      </c>
      <c r="XL54" s="57">
        <f t="shared" si="3637"/>
        <v>2500000</v>
      </c>
      <c r="XM54" s="57">
        <f t="shared" si="3637"/>
        <v>2500000</v>
      </c>
      <c r="XN54" s="57">
        <f t="shared" si="3637"/>
        <v>2500000</v>
      </c>
      <c r="XO54" s="57">
        <f t="shared" si="3637"/>
        <v>2500000</v>
      </c>
      <c r="XP54" s="57">
        <f t="shared" si="3637"/>
        <v>2500000</v>
      </c>
      <c r="XQ54" s="57">
        <f t="shared" si="3637"/>
        <v>2500000</v>
      </c>
      <c r="XR54" s="57">
        <f t="shared" si="3637"/>
        <v>2500000</v>
      </c>
      <c r="XS54" s="57">
        <f t="shared" si="3637"/>
        <v>2500000</v>
      </c>
      <c r="XT54" s="57">
        <f t="shared" ref="XT54:AAE54" si="3638">$C54</f>
        <v>2500000</v>
      </c>
      <c r="XU54" s="57">
        <f t="shared" si="3638"/>
        <v>2500000</v>
      </c>
      <c r="XV54" s="57">
        <f t="shared" si="3638"/>
        <v>2500000</v>
      </c>
      <c r="XW54" s="57">
        <f t="shared" si="3638"/>
        <v>2500000</v>
      </c>
      <c r="XX54" s="57">
        <f t="shared" si="3638"/>
        <v>2500000</v>
      </c>
      <c r="XY54" s="57">
        <f t="shared" si="3638"/>
        <v>2500000</v>
      </c>
      <c r="XZ54" s="57">
        <f t="shared" si="3638"/>
        <v>2500000</v>
      </c>
      <c r="YA54" s="57">
        <f t="shared" si="3638"/>
        <v>2500000</v>
      </c>
      <c r="YB54" s="57">
        <f t="shared" si="3638"/>
        <v>2500000</v>
      </c>
      <c r="YC54" s="57">
        <f t="shared" si="3638"/>
        <v>2500000</v>
      </c>
      <c r="YD54" s="57">
        <f t="shared" si="3638"/>
        <v>2500000</v>
      </c>
      <c r="YE54" s="57">
        <f t="shared" si="3638"/>
        <v>2500000</v>
      </c>
      <c r="YF54" s="57">
        <f t="shared" si="3638"/>
        <v>2500000</v>
      </c>
      <c r="YG54" s="57">
        <f t="shared" si="3638"/>
        <v>2500000</v>
      </c>
      <c r="YH54" s="57">
        <f t="shared" si="3638"/>
        <v>2500000</v>
      </c>
      <c r="YI54" s="57">
        <f t="shared" si="3638"/>
        <v>2500000</v>
      </c>
      <c r="YJ54" s="57">
        <f t="shared" si="3638"/>
        <v>2500000</v>
      </c>
      <c r="YK54" s="57">
        <f t="shared" si="3638"/>
        <v>2500000</v>
      </c>
      <c r="YL54" s="57">
        <f t="shared" si="3638"/>
        <v>2500000</v>
      </c>
      <c r="YM54" s="57">
        <f t="shared" si="3638"/>
        <v>2500000</v>
      </c>
      <c r="YN54" s="57">
        <f t="shared" si="3638"/>
        <v>2500000</v>
      </c>
      <c r="YO54" s="57">
        <f t="shared" si="3638"/>
        <v>2500000</v>
      </c>
      <c r="YP54" s="57">
        <f t="shared" si="3638"/>
        <v>2500000</v>
      </c>
      <c r="YQ54" s="57">
        <f t="shared" si="3638"/>
        <v>2500000</v>
      </c>
      <c r="YR54" s="57">
        <f t="shared" si="3638"/>
        <v>2500000</v>
      </c>
      <c r="YS54" s="57">
        <f t="shared" si="3638"/>
        <v>2500000</v>
      </c>
      <c r="YT54" s="57">
        <f t="shared" si="3638"/>
        <v>2500000</v>
      </c>
      <c r="YU54" s="57">
        <f t="shared" si="3638"/>
        <v>2500000</v>
      </c>
      <c r="YV54" s="57">
        <f t="shared" si="3638"/>
        <v>2500000</v>
      </c>
      <c r="YW54" s="57">
        <f t="shared" si="3638"/>
        <v>2500000</v>
      </c>
      <c r="YX54" s="57">
        <f t="shared" si="3638"/>
        <v>2500000</v>
      </c>
      <c r="YY54" s="57">
        <f t="shared" si="3638"/>
        <v>2500000</v>
      </c>
      <c r="YZ54" s="57">
        <f t="shared" si="3638"/>
        <v>2500000</v>
      </c>
      <c r="ZA54" s="57">
        <f t="shared" si="3638"/>
        <v>2500000</v>
      </c>
      <c r="ZB54" s="57">
        <f t="shared" si="3638"/>
        <v>2500000</v>
      </c>
      <c r="ZC54" s="57">
        <f t="shared" si="3638"/>
        <v>2500000</v>
      </c>
      <c r="ZD54" s="57">
        <f t="shared" si="3638"/>
        <v>2500000</v>
      </c>
      <c r="ZE54" s="57">
        <f t="shared" si="3638"/>
        <v>2500000</v>
      </c>
      <c r="ZF54" s="57">
        <f t="shared" si="3638"/>
        <v>2500000</v>
      </c>
      <c r="ZG54" s="57">
        <f t="shared" si="3638"/>
        <v>2500000</v>
      </c>
      <c r="ZH54" s="57">
        <f t="shared" si="3638"/>
        <v>2500000</v>
      </c>
      <c r="ZI54" s="57">
        <f t="shared" si="3638"/>
        <v>2500000</v>
      </c>
      <c r="ZJ54" s="57">
        <f t="shared" si="3638"/>
        <v>2500000</v>
      </c>
      <c r="ZK54" s="57">
        <f t="shared" si="3638"/>
        <v>2500000</v>
      </c>
      <c r="ZL54" s="57">
        <f t="shared" si="3638"/>
        <v>2500000</v>
      </c>
      <c r="ZM54" s="57">
        <f t="shared" si="3638"/>
        <v>2500000</v>
      </c>
      <c r="ZN54" s="57">
        <f t="shared" si="3638"/>
        <v>2500000</v>
      </c>
      <c r="ZO54" s="57">
        <f t="shared" si="3638"/>
        <v>2500000</v>
      </c>
      <c r="ZP54" s="57">
        <f t="shared" si="3638"/>
        <v>2500000</v>
      </c>
      <c r="ZQ54" s="57">
        <f t="shared" si="3638"/>
        <v>2500000</v>
      </c>
      <c r="ZR54" s="57">
        <f t="shared" si="3638"/>
        <v>2500000</v>
      </c>
      <c r="ZS54" s="57">
        <f t="shared" si="3638"/>
        <v>2500000</v>
      </c>
      <c r="ZT54" s="57">
        <f t="shared" si="3638"/>
        <v>2500000</v>
      </c>
      <c r="ZU54" s="57">
        <f t="shared" si="3638"/>
        <v>2500000</v>
      </c>
      <c r="ZV54" s="57">
        <f t="shared" si="3638"/>
        <v>2500000</v>
      </c>
      <c r="ZW54" s="57">
        <f t="shared" si="3638"/>
        <v>2500000</v>
      </c>
      <c r="ZX54" s="57">
        <f t="shared" si="3638"/>
        <v>2500000</v>
      </c>
      <c r="ZY54" s="57">
        <f t="shared" si="3638"/>
        <v>2500000</v>
      </c>
      <c r="ZZ54" s="57">
        <f t="shared" si="3638"/>
        <v>2500000</v>
      </c>
      <c r="AAA54" s="57">
        <f t="shared" si="3638"/>
        <v>2500000</v>
      </c>
      <c r="AAB54" s="57">
        <f t="shared" si="3638"/>
        <v>2500000</v>
      </c>
      <c r="AAC54" s="57">
        <f t="shared" si="3638"/>
        <v>2500000</v>
      </c>
      <c r="AAD54" s="57">
        <f t="shared" si="3638"/>
        <v>2500000</v>
      </c>
      <c r="AAE54" s="57">
        <f t="shared" si="3638"/>
        <v>2500000</v>
      </c>
      <c r="AAF54" s="57">
        <f t="shared" ref="AAF54:ACQ54" si="3639">$C54</f>
        <v>2500000</v>
      </c>
      <c r="AAG54" s="57">
        <f t="shared" si="3639"/>
        <v>2500000</v>
      </c>
      <c r="AAH54" s="57">
        <f t="shared" si="3639"/>
        <v>2500000</v>
      </c>
      <c r="AAI54" s="57">
        <f t="shared" si="3639"/>
        <v>2500000</v>
      </c>
      <c r="AAJ54" s="57">
        <f t="shared" si="3639"/>
        <v>2500000</v>
      </c>
      <c r="AAK54" s="57">
        <f t="shared" si="3639"/>
        <v>2500000</v>
      </c>
      <c r="AAL54" s="57">
        <f t="shared" si="3639"/>
        <v>2500000</v>
      </c>
      <c r="AAM54" s="57">
        <f t="shared" si="3639"/>
        <v>2500000</v>
      </c>
      <c r="AAN54" s="57">
        <f t="shared" si="3639"/>
        <v>2500000</v>
      </c>
      <c r="AAO54" s="57">
        <f t="shared" si="3639"/>
        <v>2500000</v>
      </c>
      <c r="AAP54" s="57">
        <f t="shared" si="3639"/>
        <v>2500000</v>
      </c>
      <c r="AAQ54" s="57">
        <f t="shared" si="3639"/>
        <v>2500000</v>
      </c>
      <c r="AAR54" s="57">
        <f t="shared" si="3639"/>
        <v>2500000</v>
      </c>
      <c r="AAS54" s="57">
        <f t="shared" si="3639"/>
        <v>2500000</v>
      </c>
      <c r="AAT54" s="57">
        <f t="shared" si="3639"/>
        <v>2500000</v>
      </c>
      <c r="AAU54" s="57">
        <f t="shared" si="3639"/>
        <v>2500000</v>
      </c>
      <c r="AAV54" s="57">
        <f t="shared" si="3639"/>
        <v>2500000</v>
      </c>
      <c r="AAW54" s="57">
        <f t="shared" si="3639"/>
        <v>2500000</v>
      </c>
      <c r="AAX54" s="57">
        <f t="shared" si="3639"/>
        <v>2500000</v>
      </c>
      <c r="AAY54" s="57">
        <f t="shared" si="3639"/>
        <v>2500000</v>
      </c>
      <c r="AAZ54" s="57">
        <f t="shared" si="3639"/>
        <v>2500000</v>
      </c>
      <c r="ABA54" s="57">
        <f t="shared" si="3639"/>
        <v>2500000</v>
      </c>
      <c r="ABB54" s="57">
        <f t="shared" si="3639"/>
        <v>2500000</v>
      </c>
      <c r="ABC54" s="57">
        <f t="shared" si="3639"/>
        <v>2500000</v>
      </c>
      <c r="ABD54" s="57">
        <f t="shared" si="3639"/>
        <v>2500000</v>
      </c>
      <c r="ABE54" s="57">
        <f t="shared" si="3639"/>
        <v>2500000</v>
      </c>
      <c r="ABF54" s="57">
        <f t="shared" si="3639"/>
        <v>2500000</v>
      </c>
      <c r="ABG54" s="57">
        <f t="shared" si="3639"/>
        <v>2500000</v>
      </c>
      <c r="ABH54" s="57">
        <f t="shared" si="3639"/>
        <v>2500000</v>
      </c>
      <c r="ABI54" s="57">
        <f t="shared" si="3639"/>
        <v>2500000</v>
      </c>
      <c r="ABJ54" s="57">
        <f t="shared" si="3639"/>
        <v>2500000</v>
      </c>
      <c r="ABK54" s="57">
        <f t="shared" si="3639"/>
        <v>2500000</v>
      </c>
      <c r="ABL54" s="57">
        <f t="shared" si="3639"/>
        <v>2500000</v>
      </c>
      <c r="ABM54" s="57">
        <f t="shared" si="3639"/>
        <v>2500000</v>
      </c>
      <c r="ABN54" s="57">
        <f t="shared" si="3639"/>
        <v>2500000</v>
      </c>
      <c r="ABO54" s="57">
        <f t="shared" si="3639"/>
        <v>2500000</v>
      </c>
      <c r="ABP54" s="57">
        <f t="shared" si="3639"/>
        <v>2500000</v>
      </c>
      <c r="ABQ54" s="57">
        <f t="shared" si="3639"/>
        <v>2500000</v>
      </c>
      <c r="ABR54" s="57">
        <f t="shared" si="3639"/>
        <v>2500000</v>
      </c>
      <c r="ABS54" s="57">
        <f t="shared" si="3639"/>
        <v>2500000</v>
      </c>
      <c r="ABT54" s="57">
        <f t="shared" si="3639"/>
        <v>2500000</v>
      </c>
      <c r="ABU54" s="57">
        <f t="shared" si="3639"/>
        <v>2500000</v>
      </c>
      <c r="ABV54" s="57">
        <f t="shared" si="3639"/>
        <v>2500000</v>
      </c>
      <c r="ABW54" s="57">
        <f t="shared" si="3639"/>
        <v>2500000</v>
      </c>
      <c r="ABX54" s="57">
        <f t="shared" si="3639"/>
        <v>2500000</v>
      </c>
      <c r="ABY54" s="57">
        <f t="shared" si="3639"/>
        <v>2500000</v>
      </c>
      <c r="ABZ54" s="57">
        <f t="shared" si="3639"/>
        <v>2500000</v>
      </c>
      <c r="ACA54" s="57">
        <f t="shared" si="3639"/>
        <v>2500000</v>
      </c>
      <c r="ACB54" s="57">
        <f t="shared" si="3639"/>
        <v>2500000</v>
      </c>
      <c r="ACC54" s="57">
        <f t="shared" si="3639"/>
        <v>2500000</v>
      </c>
      <c r="ACD54" s="57">
        <f t="shared" si="3639"/>
        <v>2500000</v>
      </c>
      <c r="ACE54" s="57">
        <f t="shared" si="3639"/>
        <v>2500000</v>
      </c>
      <c r="ACF54" s="57">
        <f t="shared" si="3639"/>
        <v>2500000</v>
      </c>
      <c r="ACG54" s="57">
        <f t="shared" si="3639"/>
        <v>2500000</v>
      </c>
      <c r="ACH54" s="57">
        <f t="shared" si="3639"/>
        <v>2500000</v>
      </c>
      <c r="ACI54" s="57">
        <f t="shared" si="3639"/>
        <v>2500000</v>
      </c>
      <c r="ACJ54" s="57">
        <f t="shared" si="3639"/>
        <v>2500000</v>
      </c>
      <c r="ACK54" s="57">
        <f t="shared" si="3639"/>
        <v>2500000</v>
      </c>
      <c r="ACL54" s="57">
        <f t="shared" si="3639"/>
        <v>2500000</v>
      </c>
      <c r="ACM54" s="57">
        <f t="shared" si="3639"/>
        <v>2500000</v>
      </c>
      <c r="ACN54" s="57">
        <f t="shared" si="3639"/>
        <v>2500000</v>
      </c>
      <c r="ACO54" s="57">
        <f t="shared" si="3639"/>
        <v>2500000</v>
      </c>
      <c r="ACP54" s="57">
        <f t="shared" si="3639"/>
        <v>2500000</v>
      </c>
      <c r="ACQ54" s="57">
        <f t="shared" si="3639"/>
        <v>2500000</v>
      </c>
      <c r="ACR54" s="57">
        <f t="shared" ref="ACR54:AFC54" si="3640">$C54</f>
        <v>2500000</v>
      </c>
      <c r="ACS54" s="57">
        <f t="shared" si="3640"/>
        <v>2500000</v>
      </c>
      <c r="ACT54" s="57">
        <f t="shared" si="3640"/>
        <v>2500000</v>
      </c>
      <c r="ACU54" s="57">
        <f t="shared" si="3640"/>
        <v>2500000</v>
      </c>
      <c r="ACV54" s="57">
        <f t="shared" si="3640"/>
        <v>2500000</v>
      </c>
      <c r="ACW54" s="57">
        <f t="shared" si="3640"/>
        <v>2500000</v>
      </c>
      <c r="ACX54" s="57">
        <f t="shared" si="3640"/>
        <v>2500000</v>
      </c>
      <c r="ACY54" s="57">
        <f t="shared" si="3640"/>
        <v>2500000</v>
      </c>
      <c r="ACZ54" s="57">
        <f t="shared" si="3640"/>
        <v>2500000</v>
      </c>
      <c r="ADA54" s="57">
        <f t="shared" si="3640"/>
        <v>2500000</v>
      </c>
      <c r="ADB54" s="57">
        <f t="shared" si="3640"/>
        <v>2500000</v>
      </c>
      <c r="ADC54" s="57">
        <f t="shared" si="3640"/>
        <v>2500000</v>
      </c>
      <c r="ADD54" s="57">
        <f t="shared" si="3640"/>
        <v>2500000</v>
      </c>
      <c r="ADE54" s="57">
        <f t="shared" si="3640"/>
        <v>2500000</v>
      </c>
      <c r="ADF54" s="57">
        <f t="shared" si="3640"/>
        <v>2500000</v>
      </c>
      <c r="ADG54" s="57">
        <f t="shared" si="3640"/>
        <v>2500000</v>
      </c>
      <c r="ADH54" s="57">
        <f t="shared" si="3640"/>
        <v>2500000</v>
      </c>
      <c r="ADI54" s="57">
        <f t="shared" si="3640"/>
        <v>2500000</v>
      </c>
      <c r="ADJ54" s="57">
        <f t="shared" si="3640"/>
        <v>2500000</v>
      </c>
      <c r="ADK54" s="57">
        <f t="shared" si="3640"/>
        <v>2500000</v>
      </c>
      <c r="ADL54" s="57">
        <f t="shared" si="3640"/>
        <v>2500000</v>
      </c>
      <c r="ADM54" s="57">
        <f t="shared" si="3640"/>
        <v>2500000</v>
      </c>
      <c r="ADN54" s="57">
        <f t="shared" si="3640"/>
        <v>2500000</v>
      </c>
      <c r="ADO54" s="57">
        <f t="shared" si="3640"/>
        <v>2500000</v>
      </c>
      <c r="ADP54" s="57">
        <f t="shared" si="3640"/>
        <v>2500000</v>
      </c>
      <c r="ADQ54" s="57">
        <f t="shared" si="3640"/>
        <v>2500000</v>
      </c>
      <c r="ADR54" s="57">
        <f t="shared" si="3640"/>
        <v>2500000</v>
      </c>
      <c r="ADS54" s="57">
        <f t="shared" si="3640"/>
        <v>2500000</v>
      </c>
      <c r="ADT54" s="57">
        <f t="shared" si="3640"/>
        <v>2500000</v>
      </c>
      <c r="ADU54" s="57">
        <f t="shared" si="3640"/>
        <v>2500000</v>
      </c>
      <c r="ADV54" s="57">
        <f t="shared" si="3640"/>
        <v>2500000</v>
      </c>
      <c r="ADW54" s="57">
        <f t="shared" si="3640"/>
        <v>2500000</v>
      </c>
      <c r="ADX54" s="57">
        <f t="shared" si="3640"/>
        <v>2500000</v>
      </c>
      <c r="ADY54" s="57">
        <f t="shared" si="3640"/>
        <v>2500000</v>
      </c>
      <c r="ADZ54" s="57">
        <f t="shared" si="3640"/>
        <v>2500000</v>
      </c>
      <c r="AEA54" s="57">
        <f t="shared" si="3640"/>
        <v>2500000</v>
      </c>
      <c r="AEB54" s="57">
        <f t="shared" si="3640"/>
        <v>2500000</v>
      </c>
      <c r="AEC54" s="57">
        <f t="shared" si="3640"/>
        <v>2500000</v>
      </c>
      <c r="AED54" s="57">
        <f t="shared" si="3640"/>
        <v>2500000</v>
      </c>
      <c r="AEE54" s="57">
        <f t="shared" si="3640"/>
        <v>2500000</v>
      </c>
      <c r="AEF54" s="57">
        <f t="shared" si="3640"/>
        <v>2500000</v>
      </c>
      <c r="AEG54" s="57">
        <f t="shared" si="3640"/>
        <v>2500000</v>
      </c>
      <c r="AEH54" s="57">
        <f t="shared" si="3640"/>
        <v>2500000</v>
      </c>
      <c r="AEI54" s="57">
        <f t="shared" si="3640"/>
        <v>2500000</v>
      </c>
      <c r="AEJ54" s="57">
        <f t="shared" si="3640"/>
        <v>2500000</v>
      </c>
      <c r="AEK54" s="57">
        <f t="shared" si="3640"/>
        <v>2500000</v>
      </c>
      <c r="AEL54" s="57">
        <f t="shared" si="3640"/>
        <v>2500000</v>
      </c>
      <c r="AEM54" s="57">
        <f t="shared" si="3640"/>
        <v>2500000</v>
      </c>
      <c r="AEN54" s="57">
        <f t="shared" si="3640"/>
        <v>2500000</v>
      </c>
      <c r="AEO54" s="57">
        <f t="shared" si="3640"/>
        <v>2500000</v>
      </c>
      <c r="AEP54" s="57">
        <f t="shared" si="3640"/>
        <v>2500000</v>
      </c>
      <c r="AEQ54" s="57">
        <f t="shared" si="3640"/>
        <v>2500000</v>
      </c>
      <c r="AER54" s="57">
        <f t="shared" si="3640"/>
        <v>2500000</v>
      </c>
      <c r="AES54" s="57">
        <f t="shared" si="3640"/>
        <v>2500000</v>
      </c>
      <c r="AET54" s="57">
        <f t="shared" si="3640"/>
        <v>2500000</v>
      </c>
      <c r="AEU54" s="57">
        <f t="shared" si="3640"/>
        <v>2500000</v>
      </c>
      <c r="AEV54" s="57">
        <f t="shared" si="3640"/>
        <v>2500000</v>
      </c>
      <c r="AEW54" s="57">
        <f t="shared" si="3640"/>
        <v>2500000</v>
      </c>
      <c r="AEX54" s="57">
        <f t="shared" si="3640"/>
        <v>2500000</v>
      </c>
      <c r="AEY54" s="57">
        <f t="shared" si="3640"/>
        <v>2500000</v>
      </c>
      <c r="AEZ54" s="57">
        <f t="shared" si="3640"/>
        <v>2500000</v>
      </c>
      <c r="AFA54" s="57">
        <f t="shared" si="3640"/>
        <v>2500000</v>
      </c>
      <c r="AFB54" s="57">
        <f t="shared" si="3640"/>
        <v>2500000</v>
      </c>
      <c r="AFC54" s="57">
        <f t="shared" si="3640"/>
        <v>2500000</v>
      </c>
      <c r="AFD54" s="57">
        <f t="shared" ref="AFD54:AHO54" si="3641">$C54</f>
        <v>2500000</v>
      </c>
      <c r="AFE54" s="57">
        <f t="shared" si="3641"/>
        <v>2500000</v>
      </c>
      <c r="AFF54" s="57">
        <f t="shared" si="3641"/>
        <v>2500000</v>
      </c>
      <c r="AFG54" s="57">
        <f t="shared" si="3641"/>
        <v>2500000</v>
      </c>
      <c r="AFH54" s="57">
        <f t="shared" si="3641"/>
        <v>2500000</v>
      </c>
      <c r="AFI54" s="57">
        <f t="shared" si="3641"/>
        <v>2500000</v>
      </c>
      <c r="AFJ54" s="57">
        <f t="shared" si="3641"/>
        <v>2500000</v>
      </c>
      <c r="AFK54" s="57">
        <f t="shared" si="3641"/>
        <v>2500000</v>
      </c>
      <c r="AFL54" s="57">
        <f t="shared" si="3641"/>
        <v>2500000</v>
      </c>
      <c r="AFM54" s="57">
        <f t="shared" si="3641"/>
        <v>2500000</v>
      </c>
      <c r="AFN54" s="57">
        <f t="shared" si="3641"/>
        <v>2500000</v>
      </c>
      <c r="AFO54" s="57">
        <f t="shared" si="3641"/>
        <v>2500000</v>
      </c>
      <c r="AFP54" s="57">
        <f t="shared" si="3641"/>
        <v>2500000</v>
      </c>
      <c r="AFQ54" s="57">
        <f t="shared" si="3641"/>
        <v>2500000</v>
      </c>
      <c r="AFR54" s="57">
        <f t="shared" si="3641"/>
        <v>2500000</v>
      </c>
      <c r="AFS54" s="57">
        <f t="shared" si="3641"/>
        <v>2500000</v>
      </c>
      <c r="AFT54" s="57">
        <f t="shared" si="3641"/>
        <v>2500000</v>
      </c>
      <c r="AFU54" s="57">
        <f t="shared" si="3641"/>
        <v>2500000</v>
      </c>
      <c r="AFV54" s="57">
        <f t="shared" si="3641"/>
        <v>2500000</v>
      </c>
      <c r="AFW54" s="57">
        <f t="shared" si="3641"/>
        <v>2500000</v>
      </c>
      <c r="AFX54" s="57">
        <f t="shared" si="3641"/>
        <v>2500000</v>
      </c>
      <c r="AFY54" s="57">
        <f t="shared" si="3641"/>
        <v>2500000</v>
      </c>
      <c r="AFZ54" s="57">
        <f t="shared" si="3641"/>
        <v>2500000</v>
      </c>
      <c r="AGA54" s="57">
        <f t="shared" si="3641"/>
        <v>2500000</v>
      </c>
      <c r="AGB54" s="57">
        <f t="shared" si="3641"/>
        <v>2500000</v>
      </c>
      <c r="AGC54" s="57">
        <f t="shared" si="3641"/>
        <v>2500000</v>
      </c>
      <c r="AGD54" s="57">
        <f t="shared" si="3641"/>
        <v>2500000</v>
      </c>
      <c r="AGE54" s="57">
        <f t="shared" si="3641"/>
        <v>2500000</v>
      </c>
      <c r="AGF54" s="57">
        <f t="shared" si="3641"/>
        <v>2500000</v>
      </c>
      <c r="AGG54" s="57">
        <f t="shared" si="3641"/>
        <v>2500000</v>
      </c>
      <c r="AGH54" s="57">
        <f t="shared" si="3641"/>
        <v>2500000</v>
      </c>
      <c r="AGI54" s="57">
        <f t="shared" si="3641"/>
        <v>2500000</v>
      </c>
      <c r="AGJ54" s="57">
        <f t="shared" si="3641"/>
        <v>2500000</v>
      </c>
      <c r="AGK54" s="57">
        <f t="shared" si="3641"/>
        <v>2500000</v>
      </c>
      <c r="AGL54" s="57">
        <f t="shared" si="3641"/>
        <v>2500000</v>
      </c>
      <c r="AGM54" s="57">
        <f t="shared" si="3641"/>
        <v>2500000</v>
      </c>
      <c r="AGN54" s="57">
        <f t="shared" si="3641"/>
        <v>2500000</v>
      </c>
      <c r="AGO54" s="57">
        <f t="shared" si="3641"/>
        <v>2500000</v>
      </c>
      <c r="AGP54" s="57">
        <f t="shared" si="3641"/>
        <v>2500000</v>
      </c>
      <c r="AGQ54" s="57">
        <f t="shared" si="3641"/>
        <v>2500000</v>
      </c>
      <c r="AGR54" s="57">
        <f t="shared" si="3641"/>
        <v>2500000</v>
      </c>
      <c r="AGS54" s="57">
        <f t="shared" si="3641"/>
        <v>2500000</v>
      </c>
      <c r="AGT54" s="57">
        <f t="shared" si="3641"/>
        <v>2500000</v>
      </c>
      <c r="AGU54" s="57">
        <f t="shared" si="3641"/>
        <v>2500000</v>
      </c>
      <c r="AGV54" s="57">
        <f t="shared" si="3641"/>
        <v>2500000</v>
      </c>
      <c r="AGW54" s="57">
        <f t="shared" si="3641"/>
        <v>2500000</v>
      </c>
      <c r="AGX54" s="57">
        <f t="shared" si="3641"/>
        <v>2500000</v>
      </c>
      <c r="AGY54" s="57">
        <f t="shared" si="3641"/>
        <v>2500000</v>
      </c>
      <c r="AGZ54" s="57">
        <f t="shared" si="3641"/>
        <v>2500000</v>
      </c>
      <c r="AHA54" s="57">
        <f t="shared" si="3641"/>
        <v>2500000</v>
      </c>
      <c r="AHB54" s="57">
        <f t="shared" si="3641"/>
        <v>2500000</v>
      </c>
      <c r="AHC54" s="57">
        <f t="shared" si="3641"/>
        <v>2500000</v>
      </c>
      <c r="AHD54" s="57">
        <f t="shared" si="3641"/>
        <v>2500000</v>
      </c>
      <c r="AHE54" s="57">
        <f t="shared" si="3641"/>
        <v>2500000</v>
      </c>
      <c r="AHF54" s="57">
        <f t="shared" si="3641"/>
        <v>2500000</v>
      </c>
      <c r="AHG54" s="57">
        <f t="shared" si="3641"/>
        <v>2500000</v>
      </c>
      <c r="AHH54" s="57">
        <f t="shared" si="3641"/>
        <v>2500000</v>
      </c>
      <c r="AHI54" s="57">
        <f t="shared" si="3641"/>
        <v>2500000</v>
      </c>
      <c r="AHJ54" s="57">
        <f t="shared" si="3641"/>
        <v>2500000</v>
      </c>
      <c r="AHK54" s="57">
        <f t="shared" si="3641"/>
        <v>2500000</v>
      </c>
      <c r="AHL54" s="57">
        <f t="shared" si="3641"/>
        <v>2500000</v>
      </c>
      <c r="AHM54" s="57">
        <f t="shared" si="3641"/>
        <v>2500000</v>
      </c>
      <c r="AHN54" s="57">
        <f t="shared" si="3641"/>
        <v>2500000</v>
      </c>
      <c r="AHO54" s="57">
        <f t="shared" si="3641"/>
        <v>2500000</v>
      </c>
      <c r="AHP54" s="57">
        <f t="shared" ref="AHP54:AKA54" si="3642">$C54</f>
        <v>2500000</v>
      </c>
      <c r="AHQ54" s="57">
        <f t="shared" si="3642"/>
        <v>2500000</v>
      </c>
      <c r="AHR54" s="57">
        <f t="shared" si="3642"/>
        <v>2500000</v>
      </c>
      <c r="AHS54" s="57">
        <f t="shared" si="3642"/>
        <v>2500000</v>
      </c>
      <c r="AHT54" s="57">
        <f t="shared" si="3642"/>
        <v>2500000</v>
      </c>
      <c r="AHU54" s="57">
        <f t="shared" si="3642"/>
        <v>2500000</v>
      </c>
      <c r="AHV54" s="57">
        <f t="shared" si="3642"/>
        <v>2500000</v>
      </c>
      <c r="AHW54" s="57">
        <f t="shared" si="3642"/>
        <v>2500000</v>
      </c>
      <c r="AHX54" s="57">
        <f t="shared" si="3642"/>
        <v>2500000</v>
      </c>
      <c r="AHY54" s="57">
        <f t="shared" si="3642"/>
        <v>2500000</v>
      </c>
      <c r="AHZ54" s="57">
        <f t="shared" si="3642"/>
        <v>2500000</v>
      </c>
      <c r="AIA54" s="57">
        <f t="shared" si="3642"/>
        <v>2500000</v>
      </c>
      <c r="AIB54" s="57">
        <f t="shared" si="3642"/>
        <v>2500000</v>
      </c>
      <c r="AIC54" s="57">
        <f t="shared" si="3642"/>
        <v>2500000</v>
      </c>
      <c r="AID54" s="57">
        <f t="shared" si="3642"/>
        <v>2500000</v>
      </c>
      <c r="AIE54" s="57">
        <f t="shared" si="3642"/>
        <v>2500000</v>
      </c>
      <c r="AIF54" s="57">
        <f t="shared" si="3642"/>
        <v>2500000</v>
      </c>
      <c r="AIG54" s="57">
        <f t="shared" si="3642"/>
        <v>2500000</v>
      </c>
      <c r="AIH54" s="57">
        <f t="shared" si="3642"/>
        <v>2500000</v>
      </c>
      <c r="AII54" s="57">
        <f t="shared" si="3642"/>
        <v>2500000</v>
      </c>
      <c r="AIJ54" s="57">
        <f t="shared" si="3642"/>
        <v>2500000</v>
      </c>
      <c r="AIK54" s="57">
        <f t="shared" si="3642"/>
        <v>2500000</v>
      </c>
      <c r="AIL54" s="57">
        <f t="shared" si="3642"/>
        <v>2500000</v>
      </c>
      <c r="AIM54" s="57">
        <f t="shared" si="3642"/>
        <v>2500000</v>
      </c>
      <c r="AIN54" s="57">
        <f t="shared" si="3642"/>
        <v>2500000</v>
      </c>
      <c r="AIO54" s="57">
        <f t="shared" si="3642"/>
        <v>2500000</v>
      </c>
      <c r="AIP54" s="57">
        <f t="shared" si="3642"/>
        <v>2500000</v>
      </c>
      <c r="AIQ54" s="57">
        <f t="shared" si="3642"/>
        <v>2500000</v>
      </c>
      <c r="AIR54" s="57">
        <f t="shared" si="3642"/>
        <v>2500000</v>
      </c>
      <c r="AIS54" s="57">
        <f t="shared" si="3642"/>
        <v>2500000</v>
      </c>
      <c r="AIT54" s="57">
        <f t="shared" si="3642"/>
        <v>2500000</v>
      </c>
      <c r="AIU54" s="57">
        <f t="shared" si="3642"/>
        <v>2500000</v>
      </c>
      <c r="AIV54" s="57">
        <f t="shared" si="3642"/>
        <v>2500000</v>
      </c>
      <c r="AIW54" s="57">
        <f t="shared" si="3642"/>
        <v>2500000</v>
      </c>
      <c r="AIX54" s="57">
        <f t="shared" si="3642"/>
        <v>2500000</v>
      </c>
      <c r="AIY54" s="57">
        <f t="shared" si="3642"/>
        <v>2500000</v>
      </c>
      <c r="AIZ54" s="57">
        <f t="shared" si="3642"/>
        <v>2500000</v>
      </c>
      <c r="AJA54" s="57">
        <f t="shared" si="3642"/>
        <v>2500000</v>
      </c>
      <c r="AJB54" s="57">
        <f t="shared" si="3642"/>
        <v>2500000</v>
      </c>
      <c r="AJC54" s="57">
        <f t="shared" si="3642"/>
        <v>2500000</v>
      </c>
      <c r="AJD54" s="57">
        <f t="shared" si="3642"/>
        <v>2500000</v>
      </c>
      <c r="AJE54" s="57">
        <f t="shared" si="3642"/>
        <v>2500000</v>
      </c>
      <c r="AJF54" s="57">
        <f t="shared" si="3642"/>
        <v>2500000</v>
      </c>
      <c r="AJG54" s="57">
        <f t="shared" si="3642"/>
        <v>2500000</v>
      </c>
      <c r="AJH54" s="57">
        <f t="shared" si="3642"/>
        <v>2500000</v>
      </c>
      <c r="AJI54" s="57">
        <f t="shared" si="3642"/>
        <v>2500000</v>
      </c>
      <c r="AJJ54" s="57">
        <f t="shared" si="3642"/>
        <v>2500000</v>
      </c>
      <c r="AJK54" s="57">
        <f t="shared" si="3642"/>
        <v>2500000</v>
      </c>
      <c r="AJL54" s="57">
        <f t="shared" si="3642"/>
        <v>2500000</v>
      </c>
      <c r="AJM54" s="57">
        <f t="shared" si="3642"/>
        <v>2500000</v>
      </c>
      <c r="AJN54" s="57">
        <f t="shared" si="3642"/>
        <v>2500000</v>
      </c>
      <c r="AJO54" s="57">
        <f t="shared" si="3642"/>
        <v>2500000</v>
      </c>
      <c r="AJP54" s="57">
        <f t="shared" si="3642"/>
        <v>2500000</v>
      </c>
      <c r="AJQ54" s="57">
        <f t="shared" si="3642"/>
        <v>2500000</v>
      </c>
      <c r="AJR54" s="57">
        <f t="shared" si="3642"/>
        <v>2500000</v>
      </c>
      <c r="AJS54" s="57">
        <f t="shared" si="3642"/>
        <v>2500000</v>
      </c>
      <c r="AJT54" s="57">
        <f t="shared" si="3642"/>
        <v>2500000</v>
      </c>
      <c r="AJU54" s="57">
        <f t="shared" si="3642"/>
        <v>2500000</v>
      </c>
      <c r="AJV54" s="57">
        <f t="shared" si="3642"/>
        <v>2500000</v>
      </c>
      <c r="AJW54" s="57">
        <f t="shared" si="3642"/>
        <v>2500000</v>
      </c>
      <c r="AJX54" s="57">
        <f t="shared" si="3642"/>
        <v>2500000</v>
      </c>
      <c r="AJY54" s="57">
        <f t="shared" si="3642"/>
        <v>2500000</v>
      </c>
      <c r="AJZ54" s="57">
        <f t="shared" si="3642"/>
        <v>2500000</v>
      </c>
      <c r="AKA54" s="57">
        <f t="shared" si="3642"/>
        <v>2500000</v>
      </c>
      <c r="AKB54" s="57">
        <f t="shared" ref="AKB54:AMM54" si="3643">$C54</f>
        <v>2500000</v>
      </c>
      <c r="AKC54" s="57">
        <f t="shared" si="3643"/>
        <v>2500000</v>
      </c>
      <c r="AKD54" s="57">
        <f t="shared" si="3643"/>
        <v>2500000</v>
      </c>
      <c r="AKE54" s="57">
        <f t="shared" si="3643"/>
        <v>2500000</v>
      </c>
      <c r="AKF54" s="57">
        <f t="shared" si="3643"/>
        <v>2500000</v>
      </c>
      <c r="AKG54" s="57">
        <f t="shared" si="3643"/>
        <v>2500000</v>
      </c>
      <c r="AKH54" s="57">
        <f t="shared" si="3643"/>
        <v>2500000</v>
      </c>
      <c r="AKI54" s="57">
        <f t="shared" si="3643"/>
        <v>2500000</v>
      </c>
      <c r="AKJ54" s="57">
        <f t="shared" si="3643"/>
        <v>2500000</v>
      </c>
      <c r="AKK54" s="57">
        <f t="shared" si="3643"/>
        <v>2500000</v>
      </c>
      <c r="AKL54" s="57">
        <f t="shared" si="3643"/>
        <v>2500000</v>
      </c>
      <c r="AKM54" s="57">
        <f t="shared" si="3643"/>
        <v>2500000</v>
      </c>
      <c r="AKN54" s="57">
        <f t="shared" si="3643"/>
        <v>2500000</v>
      </c>
      <c r="AKO54" s="57">
        <f t="shared" si="3643"/>
        <v>2500000</v>
      </c>
      <c r="AKP54" s="57">
        <f t="shared" si="3643"/>
        <v>2500000</v>
      </c>
      <c r="AKQ54" s="57">
        <f t="shared" si="3643"/>
        <v>2500000</v>
      </c>
      <c r="AKR54" s="57">
        <f t="shared" si="3643"/>
        <v>2500000</v>
      </c>
      <c r="AKS54" s="57">
        <f t="shared" si="3643"/>
        <v>2500000</v>
      </c>
      <c r="AKT54" s="57">
        <f t="shared" si="3643"/>
        <v>2500000</v>
      </c>
      <c r="AKU54" s="57">
        <f t="shared" si="3643"/>
        <v>2500000</v>
      </c>
      <c r="AKV54" s="57">
        <f t="shared" si="3643"/>
        <v>2500000</v>
      </c>
      <c r="AKW54" s="57">
        <f t="shared" si="3643"/>
        <v>2500000</v>
      </c>
      <c r="AKX54" s="57">
        <f t="shared" si="3643"/>
        <v>2500000</v>
      </c>
      <c r="AKY54" s="57">
        <f t="shared" si="3643"/>
        <v>2500000</v>
      </c>
      <c r="AKZ54" s="57">
        <f t="shared" si="3643"/>
        <v>2500000</v>
      </c>
      <c r="ALA54" s="57">
        <f t="shared" si="3643"/>
        <v>2500000</v>
      </c>
      <c r="ALB54" s="57">
        <f t="shared" si="3643"/>
        <v>2500000</v>
      </c>
      <c r="ALC54" s="57">
        <f t="shared" si="3643"/>
        <v>2500000</v>
      </c>
      <c r="ALD54" s="57">
        <f t="shared" si="3643"/>
        <v>2500000</v>
      </c>
      <c r="ALE54" s="57">
        <f t="shared" si="3643"/>
        <v>2500000</v>
      </c>
      <c r="ALF54" s="57">
        <f t="shared" si="3643"/>
        <v>2500000</v>
      </c>
      <c r="ALG54" s="57">
        <f t="shared" si="3643"/>
        <v>2500000</v>
      </c>
      <c r="ALH54" s="57">
        <f t="shared" si="3643"/>
        <v>2500000</v>
      </c>
      <c r="ALI54" s="57">
        <f t="shared" si="3643"/>
        <v>2500000</v>
      </c>
      <c r="ALJ54" s="57">
        <f t="shared" si="3643"/>
        <v>2500000</v>
      </c>
      <c r="ALK54" s="57">
        <f t="shared" si="3643"/>
        <v>2500000</v>
      </c>
      <c r="ALL54" s="57">
        <f t="shared" si="3643"/>
        <v>2500000</v>
      </c>
      <c r="ALM54" s="57">
        <f t="shared" si="3643"/>
        <v>2500000</v>
      </c>
      <c r="ALN54" s="57">
        <f t="shared" si="3643"/>
        <v>2500000</v>
      </c>
      <c r="ALO54" s="57">
        <f t="shared" si="3643"/>
        <v>2500000</v>
      </c>
      <c r="ALP54" s="57">
        <f t="shared" si="3643"/>
        <v>2500000</v>
      </c>
      <c r="ALQ54" s="57">
        <f t="shared" si="3643"/>
        <v>2500000</v>
      </c>
      <c r="ALR54" s="57">
        <f t="shared" si="3643"/>
        <v>2500000</v>
      </c>
      <c r="ALS54" s="57">
        <f t="shared" si="3643"/>
        <v>2500000</v>
      </c>
      <c r="ALT54" s="57">
        <f t="shared" si="3643"/>
        <v>2500000</v>
      </c>
      <c r="ALU54" s="57">
        <f t="shared" si="3643"/>
        <v>2500000</v>
      </c>
      <c r="ALV54" s="57">
        <f t="shared" si="3643"/>
        <v>2500000</v>
      </c>
      <c r="ALW54" s="57">
        <f t="shared" si="3643"/>
        <v>2500000</v>
      </c>
      <c r="ALX54" s="57">
        <f t="shared" si="3643"/>
        <v>2500000</v>
      </c>
      <c r="ALY54" s="57">
        <f t="shared" si="3643"/>
        <v>2500000</v>
      </c>
      <c r="ALZ54" s="57">
        <f t="shared" si="3643"/>
        <v>2500000</v>
      </c>
      <c r="AMA54" s="57">
        <f t="shared" si="3643"/>
        <v>2500000</v>
      </c>
      <c r="AMB54" s="57">
        <f t="shared" si="3643"/>
        <v>2500000</v>
      </c>
      <c r="AMC54" s="57">
        <f t="shared" si="3643"/>
        <v>2500000</v>
      </c>
      <c r="AMD54" s="57">
        <f t="shared" si="3643"/>
        <v>2500000</v>
      </c>
      <c r="AME54" s="57">
        <f t="shared" si="3643"/>
        <v>2500000</v>
      </c>
      <c r="AMF54" s="57">
        <f t="shared" si="3643"/>
        <v>2500000</v>
      </c>
      <c r="AMG54" s="57">
        <f t="shared" si="3643"/>
        <v>2500000</v>
      </c>
      <c r="AMH54" s="57">
        <f t="shared" si="3643"/>
        <v>2500000</v>
      </c>
      <c r="AMI54" s="57">
        <f t="shared" si="3643"/>
        <v>2500000</v>
      </c>
      <c r="AMJ54" s="57">
        <f t="shared" si="3643"/>
        <v>2500000</v>
      </c>
      <c r="AMK54" s="57">
        <f t="shared" si="3643"/>
        <v>2500000</v>
      </c>
      <c r="AML54" s="57">
        <f t="shared" si="3643"/>
        <v>2500000</v>
      </c>
      <c r="AMM54" s="57">
        <f t="shared" si="3643"/>
        <v>2500000</v>
      </c>
      <c r="AMN54" s="57">
        <f t="shared" ref="AMN54:AOQ54" si="3644">$C54</f>
        <v>2500000</v>
      </c>
      <c r="AMO54" s="57">
        <f t="shared" si="3644"/>
        <v>2500000</v>
      </c>
      <c r="AMP54" s="57">
        <f t="shared" si="3644"/>
        <v>2500000</v>
      </c>
      <c r="AMQ54" s="57">
        <f t="shared" si="3644"/>
        <v>2500000</v>
      </c>
      <c r="AMR54" s="57">
        <f t="shared" si="3644"/>
        <v>2500000</v>
      </c>
      <c r="AMS54" s="57">
        <f t="shared" si="3644"/>
        <v>2500000</v>
      </c>
      <c r="AMT54" s="57">
        <f t="shared" si="3644"/>
        <v>2500000</v>
      </c>
      <c r="AMU54" s="57">
        <f t="shared" si="3644"/>
        <v>2500000</v>
      </c>
      <c r="AMV54" s="57">
        <f t="shared" si="3644"/>
        <v>2500000</v>
      </c>
      <c r="AMW54" s="57">
        <f t="shared" si="3644"/>
        <v>2500000</v>
      </c>
      <c r="AMX54" s="57">
        <f t="shared" si="3644"/>
        <v>2500000</v>
      </c>
      <c r="AMY54" s="57">
        <f t="shared" si="3644"/>
        <v>2500000</v>
      </c>
      <c r="AMZ54" s="57">
        <f t="shared" si="3644"/>
        <v>2500000</v>
      </c>
      <c r="ANA54" s="57">
        <f t="shared" si="3644"/>
        <v>2500000</v>
      </c>
      <c r="ANB54" s="57">
        <f t="shared" si="3644"/>
        <v>2500000</v>
      </c>
      <c r="ANC54" s="57">
        <f t="shared" si="3644"/>
        <v>2500000</v>
      </c>
      <c r="AND54" s="57">
        <f t="shared" si="3644"/>
        <v>2500000</v>
      </c>
      <c r="ANE54" s="57">
        <f t="shared" si="3644"/>
        <v>2500000</v>
      </c>
      <c r="ANF54" s="57">
        <f t="shared" si="3644"/>
        <v>2500000</v>
      </c>
      <c r="ANG54" s="57">
        <f t="shared" si="3644"/>
        <v>2500000</v>
      </c>
      <c r="ANH54" s="57">
        <f t="shared" si="3644"/>
        <v>2500000</v>
      </c>
      <c r="ANI54" s="57">
        <f t="shared" si="3644"/>
        <v>2500000</v>
      </c>
      <c r="ANJ54" s="57">
        <f t="shared" si="3644"/>
        <v>2500000</v>
      </c>
      <c r="ANK54" s="57">
        <f t="shared" si="3644"/>
        <v>2500000</v>
      </c>
      <c r="ANL54" s="57">
        <f t="shared" si="3644"/>
        <v>2500000</v>
      </c>
      <c r="ANM54" s="57">
        <f t="shared" si="3644"/>
        <v>2500000</v>
      </c>
      <c r="ANN54" s="57">
        <f t="shared" si="3644"/>
        <v>2500000</v>
      </c>
      <c r="ANO54" s="57">
        <f t="shared" si="3644"/>
        <v>2500000</v>
      </c>
      <c r="ANP54" s="57">
        <f t="shared" si="3644"/>
        <v>2500000</v>
      </c>
      <c r="ANQ54" s="57">
        <f t="shared" si="3644"/>
        <v>2500000</v>
      </c>
      <c r="ANR54" s="57">
        <f t="shared" si="3644"/>
        <v>2500000</v>
      </c>
      <c r="ANS54" s="57">
        <f t="shared" si="3644"/>
        <v>2500000</v>
      </c>
      <c r="ANT54" s="57">
        <f t="shared" si="3644"/>
        <v>2500000</v>
      </c>
      <c r="ANU54" s="57">
        <f t="shared" si="3644"/>
        <v>2500000</v>
      </c>
      <c r="ANV54" s="57">
        <f t="shared" si="3644"/>
        <v>2500000</v>
      </c>
      <c r="ANW54" s="57">
        <f t="shared" si="3644"/>
        <v>2500000</v>
      </c>
      <c r="ANX54" s="57">
        <f t="shared" si="3644"/>
        <v>2500000</v>
      </c>
      <c r="ANY54" s="57">
        <f t="shared" si="3644"/>
        <v>2500000</v>
      </c>
      <c r="ANZ54" s="57">
        <f t="shared" si="3644"/>
        <v>2500000</v>
      </c>
      <c r="AOA54" s="57">
        <f t="shared" si="3644"/>
        <v>2500000</v>
      </c>
      <c r="AOB54" s="57">
        <f t="shared" si="3644"/>
        <v>2500000</v>
      </c>
      <c r="AOC54" s="57">
        <f t="shared" si="3644"/>
        <v>2500000</v>
      </c>
      <c r="AOD54" s="57">
        <f t="shared" si="3644"/>
        <v>2500000</v>
      </c>
      <c r="AOE54" s="57">
        <f t="shared" si="3644"/>
        <v>2500000</v>
      </c>
      <c r="AOF54" s="57">
        <f t="shared" si="3644"/>
        <v>2500000</v>
      </c>
      <c r="AOG54" s="57">
        <f t="shared" si="3644"/>
        <v>2500000</v>
      </c>
      <c r="AOH54" s="57">
        <f t="shared" si="3644"/>
        <v>2500000</v>
      </c>
      <c r="AOI54" s="57">
        <f t="shared" si="3644"/>
        <v>2500000</v>
      </c>
      <c r="AOJ54" s="57">
        <f t="shared" si="3644"/>
        <v>2500000</v>
      </c>
      <c r="AOK54" s="57">
        <f t="shared" si="3644"/>
        <v>2500000</v>
      </c>
      <c r="AOL54" s="57">
        <f t="shared" si="3644"/>
        <v>2500000</v>
      </c>
      <c r="AOM54" s="57">
        <f t="shared" si="3644"/>
        <v>2500000</v>
      </c>
      <c r="AON54" s="57">
        <f t="shared" si="3644"/>
        <v>2500000</v>
      </c>
      <c r="AOO54" s="57">
        <f t="shared" si="3644"/>
        <v>2500000</v>
      </c>
      <c r="AOP54" s="57">
        <f t="shared" si="3644"/>
        <v>2500000</v>
      </c>
      <c r="AOQ54" s="57">
        <f t="shared" si="3644"/>
        <v>2500000</v>
      </c>
    </row>
    <row r="55" spans="1:1083" x14ac:dyDescent="0.25">
      <c r="B55" s="116" t="s">
        <v>292</v>
      </c>
      <c r="C55" s="115"/>
      <c r="D55" s="115">
        <f t="shared" ref="D55:BO55" si="3645">IF(D28+D35+D42+D49&gt;0,C25-D28-D35-D42-D49,0)</f>
        <v>0</v>
      </c>
      <c r="E55" s="115">
        <f t="shared" si="3645"/>
        <v>0</v>
      </c>
      <c r="F55" s="115">
        <f t="shared" si="3645"/>
        <v>0</v>
      </c>
      <c r="G55" s="115">
        <f t="shared" si="3645"/>
        <v>0</v>
      </c>
      <c r="H55" s="115">
        <f t="shared" si="3645"/>
        <v>0</v>
      </c>
      <c r="I55" s="115">
        <f t="shared" si="3645"/>
        <v>0</v>
      </c>
      <c r="J55" s="115">
        <f t="shared" si="3645"/>
        <v>0</v>
      </c>
      <c r="K55" s="115">
        <f t="shared" si="3645"/>
        <v>0</v>
      </c>
      <c r="L55" s="115">
        <f t="shared" si="3645"/>
        <v>0</v>
      </c>
      <c r="M55" s="115">
        <f t="shared" si="3645"/>
        <v>0</v>
      </c>
      <c r="N55" s="115">
        <f t="shared" si="3645"/>
        <v>0</v>
      </c>
      <c r="O55" s="115">
        <f t="shared" si="3645"/>
        <v>0</v>
      </c>
      <c r="P55" s="115">
        <f t="shared" si="3645"/>
        <v>0</v>
      </c>
      <c r="Q55" s="115">
        <f t="shared" si="3645"/>
        <v>0</v>
      </c>
      <c r="R55" s="115">
        <f t="shared" si="3645"/>
        <v>0</v>
      </c>
      <c r="S55" s="115">
        <f t="shared" si="3645"/>
        <v>0</v>
      </c>
      <c r="T55" s="115">
        <f t="shared" si="3645"/>
        <v>0</v>
      </c>
      <c r="U55" s="115">
        <f t="shared" si="3645"/>
        <v>0</v>
      </c>
      <c r="V55" s="115">
        <f t="shared" si="3645"/>
        <v>0</v>
      </c>
      <c r="W55" s="115">
        <f t="shared" si="3645"/>
        <v>0</v>
      </c>
      <c r="X55" s="115">
        <f t="shared" si="3645"/>
        <v>0</v>
      </c>
      <c r="Y55" s="115">
        <f t="shared" si="3645"/>
        <v>0</v>
      </c>
      <c r="Z55" s="115">
        <f t="shared" si="3645"/>
        <v>0</v>
      </c>
      <c r="AA55" s="115">
        <f t="shared" si="3645"/>
        <v>0</v>
      </c>
      <c r="AB55" s="115">
        <f t="shared" si="3645"/>
        <v>0</v>
      </c>
      <c r="AC55" s="115">
        <f t="shared" si="3645"/>
        <v>0</v>
      </c>
      <c r="AD55" s="115">
        <f t="shared" si="3645"/>
        <v>0</v>
      </c>
      <c r="AE55" s="115">
        <f t="shared" si="3645"/>
        <v>0</v>
      </c>
      <c r="AF55" s="115">
        <f t="shared" si="3645"/>
        <v>0</v>
      </c>
      <c r="AG55" s="115">
        <f t="shared" si="3645"/>
        <v>0</v>
      </c>
      <c r="AH55" s="115">
        <f t="shared" si="3645"/>
        <v>0</v>
      </c>
      <c r="AI55" s="115">
        <f t="shared" si="3645"/>
        <v>0</v>
      </c>
      <c r="AJ55" s="115">
        <f t="shared" si="3645"/>
        <v>0</v>
      </c>
      <c r="AK55" s="115">
        <f t="shared" si="3645"/>
        <v>0</v>
      </c>
      <c r="AL55" s="115">
        <f t="shared" si="3645"/>
        <v>0</v>
      </c>
      <c r="AM55" s="115">
        <f t="shared" si="3645"/>
        <v>0</v>
      </c>
      <c r="AN55" s="115">
        <f t="shared" si="3645"/>
        <v>0</v>
      </c>
      <c r="AO55" s="115">
        <f t="shared" si="3645"/>
        <v>0</v>
      </c>
      <c r="AP55" s="115">
        <f t="shared" si="3645"/>
        <v>0</v>
      </c>
      <c r="AQ55" s="115">
        <f t="shared" si="3645"/>
        <v>0</v>
      </c>
      <c r="AR55" s="115">
        <f t="shared" si="3645"/>
        <v>0</v>
      </c>
      <c r="AS55" s="115">
        <f t="shared" si="3645"/>
        <v>0</v>
      </c>
      <c r="AT55" s="115">
        <f t="shared" si="3645"/>
        <v>0</v>
      </c>
      <c r="AU55" s="115">
        <f t="shared" si="3645"/>
        <v>0</v>
      </c>
      <c r="AV55" s="115">
        <f t="shared" si="3645"/>
        <v>0</v>
      </c>
      <c r="AW55" s="115">
        <f t="shared" si="3645"/>
        <v>0</v>
      </c>
      <c r="AX55" s="115">
        <f t="shared" si="3645"/>
        <v>0</v>
      </c>
      <c r="AY55" s="115">
        <f t="shared" si="3645"/>
        <v>0</v>
      </c>
      <c r="AZ55" s="115">
        <f t="shared" si="3645"/>
        <v>0</v>
      </c>
      <c r="BA55" s="115">
        <f t="shared" si="3645"/>
        <v>0</v>
      </c>
      <c r="BB55" s="115">
        <f t="shared" si="3645"/>
        <v>0</v>
      </c>
      <c r="BC55" s="115">
        <f t="shared" si="3645"/>
        <v>0</v>
      </c>
      <c r="BD55" s="115">
        <f t="shared" si="3645"/>
        <v>0</v>
      </c>
      <c r="BE55" s="115">
        <f t="shared" si="3645"/>
        <v>0</v>
      </c>
      <c r="BF55" s="115">
        <f t="shared" si="3645"/>
        <v>0</v>
      </c>
      <c r="BG55" s="115">
        <f t="shared" si="3645"/>
        <v>0</v>
      </c>
      <c r="BH55" s="115">
        <f t="shared" si="3645"/>
        <v>0</v>
      </c>
      <c r="BI55" s="115">
        <f t="shared" si="3645"/>
        <v>0</v>
      </c>
      <c r="BJ55" s="115">
        <f t="shared" si="3645"/>
        <v>0</v>
      </c>
      <c r="BK55" s="115">
        <f t="shared" si="3645"/>
        <v>0</v>
      </c>
      <c r="BL55" s="115">
        <f t="shared" si="3645"/>
        <v>0</v>
      </c>
      <c r="BM55" s="115">
        <f t="shared" si="3645"/>
        <v>0</v>
      </c>
      <c r="BN55" s="115">
        <f t="shared" si="3645"/>
        <v>0</v>
      </c>
      <c r="BO55" s="115">
        <f t="shared" si="3645"/>
        <v>0</v>
      </c>
      <c r="BP55" s="115">
        <f t="shared" ref="BP55:EA55" si="3646">IF(BP28+BP35+BP42+BP49&gt;0,BO25-BP28-BP35-BP42-BP49,0)</f>
        <v>0</v>
      </c>
      <c r="BQ55" s="115">
        <f t="shared" si="3646"/>
        <v>0</v>
      </c>
      <c r="BR55" s="115">
        <f t="shared" si="3646"/>
        <v>0</v>
      </c>
      <c r="BS55" s="115">
        <f t="shared" si="3646"/>
        <v>0</v>
      </c>
      <c r="BT55" s="115">
        <f t="shared" si="3646"/>
        <v>0</v>
      </c>
      <c r="BU55" s="115">
        <f t="shared" si="3646"/>
        <v>0</v>
      </c>
      <c r="BV55" s="115">
        <f t="shared" si="3646"/>
        <v>0</v>
      </c>
      <c r="BW55" s="115">
        <f t="shared" si="3646"/>
        <v>0</v>
      </c>
      <c r="BX55" s="115">
        <f t="shared" si="3646"/>
        <v>0</v>
      </c>
      <c r="BY55" s="115">
        <f t="shared" si="3646"/>
        <v>0</v>
      </c>
      <c r="BZ55" s="115">
        <f t="shared" si="3646"/>
        <v>0</v>
      </c>
      <c r="CA55" s="115">
        <f t="shared" si="3646"/>
        <v>0</v>
      </c>
      <c r="CB55" s="115">
        <f t="shared" si="3646"/>
        <v>0</v>
      </c>
      <c r="CC55" s="115">
        <f t="shared" si="3646"/>
        <v>0</v>
      </c>
      <c r="CD55" s="115">
        <f t="shared" si="3646"/>
        <v>0</v>
      </c>
      <c r="CE55" s="115">
        <f t="shared" si="3646"/>
        <v>0</v>
      </c>
      <c r="CF55" s="115">
        <f t="shared" si="3646"/>
        <v>0</v>
      </c>
      <c r="CG55" s="115">
        <f t="shared" si="3646"/>
        <v>0</v>
      </c>
      <c r="CH55" s="115">
        <f t="shared" si="3646"/>
        <v>0</v>
      </c>
      <c r="CI55" s="115">
        <f t="shared" si="3646"/>
        <v>0</v>
      </c>
      <c r="CJ55" s="115">
        <f t="shared" si="3646"/>
        <v>0</v>
      </c>
      <c r="CK55" s="115">
        <f t="shared" si="3646"/>
        <v>0</v>
      </c>
      <c r="CL55" s="115">
        <f t="shared" si="3646"/>
        <v>0</v>
      </c>
      <c r="CM55" s="115">
        <f t="shared" si="3646"/>
        <v>0</v>
      </c>
      <c r="CN55" s="115">
        <f t="shared" si="3646"/>
        <v>0</v>
      </c>
      <c r="CO55" s="115">
        <f t="shared" si="3646"/>
        <v>0</v>
      </c>
      <c r="CP55" s="115">
        <f t="shared" si="3646"/>
        <v>0</v>
      </c>
      <c r="CQ55" s="115">
        <f t="shared" si="3646"/>
        <v>0</v>
      </c>
      <c r="CR55" s="115">
        <f t="shared" si="3646"/>
        <v>0</v>
      </c>
      <c r="CS55" s="115">
        <f t="shared" si="3646"/>
        <v>0</v>
      </c>
      <c r="CT55" s="115">
        <f t="shared" si="3646"/>
        <v>0</v>
      </c>
      <c r="CU55" s="115">
        <f t="shared" si="3646"/>
        <v>0</v>
      </c>
      <c r="CV55" s="115">
        <f t="shared" si="3646"/>
        <v>0</v>
      </c>
      <c r="CW55" s="115">
        <f t="shared" si="3646"/>
        <v>0</v>
      </c>
      <c r="CX55" s="115">
        <f t="shared" si="3646"/>
        <v>0</v>
      </c>
      <c r="CY55" s="115">
        <f t="shared" si="3646"/>
        <v>0</v>
      </c>
      <c r="CZ55" s="115">
        <f t="shared" si="3646"/>
        <v>0</v>
      </c>
      <c r="DA55" s="115">
        <f t="shared" si="3646"/>
        <v>0</v>
      </c>
      <c r="DB55" s="115">
        <f t="shared" si="3646"/>
        <v>0</v>
      </c>
      <c r="DC55" s="115">
        <f t="shared" si="3646"/>
        <v>0</v>
      </c>
      <c r="DD55" s="115">
        <f t="shared" si="3646"/>
        <v>0</v>
      </c>
      <c r="DE55" s="115">
        <f t="shared" si="3646"/>
        <v>0</v>
      </c>
      <c r="DF55" s="115">
        <f t="shared" si="3646"/>
        <v>0</v>
      </c>
      <c r="DG55" s="115">
        <f t="shared" si="3646"/>
        <v>0</v>
      </c>
      <c r="DH55" s="115">
        <f t="shared" si="3646"/>
        <v>0</v>
      </c>
      <c r="DI55" s="115">
        <f t="shared" si="3646"/>
        <v>0</v>
      </c>
      <c r="DJ55" s="115">
        <f t="shared" si="3646"/>
        <v>0</v>
      </c>
      <c r="DK55" s="115">
        <f t="shared" si="3646"/>
        <v>0</v>
      </c>
      <c r="DL55" s="115">
        <f t="shared" si="3646"/>
        <v>0</v>
      </c>
      <c r="DM55" s="115">
        <f t="shared" si="3646"/>
        <v>0</v>
      </c>
      <c r="DN55" s="115">
        <f t="shared" si="3646"/>
        <v>0</v>
      </c>
      <c r="DO55" s="115">
        <f t="shared" si="3646"/>
        <v>0</v>
      </c>
      <c r="DP55" s="115">
        <f t="shared" si="3646"/>
        <v>0</v>
      </c>
      <c r="DQ55" s="115">
        <f t="shared" si="3646"/>
        <v>0</v>
      </c>
      <c r="DR55" s="115">
        <f t="shared" si="3646"/>
        <v>0</v>
      </c>
      <c r="DS55" s="115">
        <f t="shared" si="3646"/>
        <v>0</v>
      </c>
      <c r="DT55" s="115">
        <f t="shared" si="3646"/>
        <v>0</v>
      </c>
      <c r="DU55" s="115">
        <f t="shared" si="3646"/>
        <v>0</v>
      </c>
      <c r="DV55" s="115">
        <f t="shared" si="3646"/>
        <v>0</v>
      </c>
      <c r="DW55" s="115">
        <f t="shared" si="3646"/>
        <v>0</v>
      </c>
      <c r="DX55" s="115">
        <f t="shared" si="3646"/>
        <v>0</v>
      </c>
      <c r="DY55" s="115">
        <f t="shared" si="3646"/>
        <v>0</v>
      </c>
      <c r="DZ55" s="115">
        <f t="shared" si="3646"/>
        <v>0</v>
      </c>
      <c r="EA55" s="115">
        <f t="shared" si="3646"/>
        <v>0</v>
      </c>
      <c r="EB55" s="115">
        <f t="shared" ref="EB55:GM55" si="3647">IF(EB28+EB35+EB42+EB49&gt;0,EA25-EB28-EB35-EB42-EB49,0)</f>
        <v>0</v>
      </c>
      <c r="EC55" s="115">
        <f t="shared" si="3647"/>
        <v>0</v>
      </c>
      <c r="ED55" s="115">
        <f t="shared" si="3647"/>
        <v>0</v>
      </c>
      <c r="EE55" s="115">
        <f t="shared" si="3647"/>
        <v>0</v>
      </c>
      <c r="EF55" s="115">
        <f t="shared" si="3647"/>
        <v>0</v>
      </c>
      <c r="EG55" s="115">
        <f t="shared" si="3647"/>
        <v>0</v>
      </c>
      <c r="EH55" s="115">
        <f t="shared" si="3647"/>
        <v>0</v>
      </c>
      <c r="EI55" s="115">
        <f t="shared" si="3647"/>
        <v>0</v>
      </c>
      <c r="EJ55" s="115">
        <f t="shared" si="3647"/>
        <v>0</v>
      </c>
      <c r="EK55" s="115">
        <f t="shared" si="3647"/>
        <v>0</v>
      </c>
      <c r="EL55" s="115">
        <f t="shared" si="3647"/>
        <v>0</v>
      </c>
      <c r="EM55" s="115">
        <f t="shared" si="3647"/>
        <v>0</v>
      </c>
      <c r="EN55" s="115">
        <f t="shared" si="3647"/>
        <v>0</v>
      </c>
      <c r="EO55" s="115">
        <f t="shared" si="3647"/>
        <v>0</v>
      </c>
      <c r="EP55" s="115">
        <f t="shared" si="3647"/>
        <v>0</v>
      </c>
      <c r="EQ55" s="115">
        <f t="shared" si="3647"/>
        <v>0</v>
      </c>
      <c r="ER55" s="115">
        <f t="shared" si="3647"/>
        <v>0</v>
      </c>
      <c r="ES55" s="115">
        <f t="shared" si="3647"/>
        <v>0</v>
      </c>
      <c r="ET55" s="115">
        <f t="shared" si="3647"/>
        <v>0</v>
      </c>
      <c r="EU55" s="115">
        <f t="shared" si="3647"/>
        <v>0</v>
      </c>
      <c r="EV55" s="115">
        <f t="shared" si="3647"/>
        <v>0</v>
      </c>
      <c r="EW55" s="115">
        <f t="shared" si="3647"/>
        <v>0</v>
      </c>
      <c r="EX55" s="115">
        <f t="shared" si="3647"/>
        <v>0</v>
      </c>
      <c r="EY55" s="115">
        <f t="shared" si="3647"/>
        <v>0</v>
      </c>
      <c r="EZ55" s="115">
        <f t="shared" si="3647"/>
        <v>0</v>
      </c>
      <c r="FA55" s="115">
        <f t="shared" si="3647"/>
        <v>0</v>
      </c>
      <c r="FB55" s="115">
        <f t="shared" si="3647"/>
        <v>0</v>
      </c>
      <c r="FC55" s="115">
        <f t="shared" si="3647"/>
        <v>0</v>
      </c>
      <c r="FD55" s="115">
        <f t="shared" si="3647"/>
        <v>0</v>
      </c>
      <c r="FE55" s="115">
        <f t="shared" si="3647"/>
        <v>0</v>
      </c>
      <c r="FF55" s="115">
        <f t="shared" si="3647"/>
        <v>0</v>
      </c>
      <c r="FG55" s="115">
        <f t="shared" si="3647"/>
        <v>0</v>
      </c>
      <c r="FH55" s="115">
        <f t="shared" si="3647"/>
        <v>0</v>
      </c>
      <c r="FI55" s="115">
        <f t="shared" si="3647"/>
        <v>0</v>
      </c>
      <c r="FJ55" s="115">
        <f t="shared" si="3647"/>
        <v>0</v>
      </c>
      <c r="FK55" s="115">
        <f t="shared" si="3647"/>
        <v>0</v>
      </c>
      <c r="FL55" s="115">
        <f t="shared" si="3647"/>
        <v>0</v>
      </c>
      <c r="FM55" s="115">
        <f t="shared" si="3647"/>
        <v>0</v>
      </c>
      <c r="FN55" s="115">
        <f t="shared" si="3647"/>
        <v>0</v>
      </c>
      <c r="FO55" s="115">
        <f t="shared" si="3647"/>
        <v>0</v>
      </c>
      <c r="FP55" s="115">
        <f t="shared" si="3647"/>
        <v>0</v>
      </c>
      <c r="FQ55" s="115">
        <f t="shared" si="3647"/>
        <v>0</v>
      </c>
      <c r="FR55" s="115">
        <f t="shared" si="3647"/>
        <v>0</v>
      </c>
      <c r="FS55" s="115">
        <f t="shared" si="3647"/>
        <v>0</v>
      </c>
      <c r="FT55" s="115">
        <f t="shared" si="3647"/>
        <v>0</v>
      </c>
      <c r="FU55" s="115">
        <f t="shared" si="3647"/>
        <v>0</v>
      </c>
      <c r="FV55" s="115">
        <f t="shared" si="3647"/>
        <v>0</v>
      </c>
      <c r="FW55" s="115">
        <f t="shared" si="3647"/>
        <v>0</v>
      </c>
      <c r="FX55" s="115">
        <f t="shared" si="3647"/>
        <v>0</v>
      </c>
      <c r="FY55" s="115">
        <f t="shared" si="3647"/>
        <v>0</v>
      </c>
      <c r="FZ55" s="115">
        <f t="shared" si="3647"/>
        <v>0</v>
      </c>
      <c r="GA55" s="115">
        <f t="shared" si="3647"/>
        <v>0</v>
      </c>
      <c r="GB55" s="115">
        <f t="shared" si="3647"/>
        <v>0</v>
      </c>
      <c r="GC55" s="115">
        <f t="shared" si="3647"/>
        <v>0</v>
      </c>
      <c r="GD55" s="115">
        <f t="shared" si="3647"/>
        <v>0</v>
      </c>
      <c r="GE55" s="115">
        <f t="shared" si="3647"/>
        <v>0</v>
      </c>
      <c r="GF55" s="115">
        <f t="shared" si="3647"/>
        <v>0</v>
      </c>
      <c r="GG55" s="115">
        <f t="shared" si="3647"/>
        <v>0</v>
      </c>
      <c r="GH55" s="115">
        <f t="shared" si="3647"/>
        <v>0</v>
      </c>
      <c r="GI55" s="115">
        <f t="shared" si="3647"/>
        <v>0</v>
      </c>
      <c r="GJ55" s="115">
        <f t="shared" si="3647"/>
        <v>0</v>
      </c>
      <c r="GK55" s="115">
        <f t="shared" si="3647"/>
        <v>0</v>
      </c>
      <c r="GL55" s="115">
        <f t="shared" si="3647"/>
        <v>0</v>
      </c>
      <c r="GM55" s="115">
        <f t="shared" si="3647"/>
        <v>0</v>
      </c>
      <c r="GN55" s="115">
        <f t="shared" ref="GN55:IY55" si="3648">IF(GN28+GN35+GN42+GN49&gt;0,GM25-GN28-GN35-GN42-GN49,0)</f>
        <v>0</v>
      </c>
      <c r="GO55" s="115">
        <f t="shared" si="3648"/>
        <v>0</v>
      </c>
      <c r="GP55" s="115">
        <f t="shared" si="3648"/>
        <v>0</v>
      </c>
      <c r="GQ55" s="115">
        <f t="shared" si="3648"/>
        <v>0</v>
      </c>
      <c r="GR55" s="115">
        <f t="shared" si="3648"/>
        <v>0</v>
      </c>
      <c r="GS55" s="115">
        <f t="shared" si="3648"/>
        <v>0</v>
      </c>
      <c r="GT55" s="115">
        <f t="shared" si="3648"/>
        <v>0</v>
      </c>
      <c r="GU55" s="115">
        <f t="shared" si="3648"/>
        <v>0</v>
      </c>
      <c r="GV55" s="115">
        <f t="shared" si="3648"/>
        <v>0</v>
      </c>
      <c r="GW55" s="115">
        <f t="shared" si="3648"/>
        <v>0</v>
      </c>
      <c r="GX55" s="115">
        <f t="shared" si="3648"/>
        <v>0</v>
      </c>
      <c r="GY55" s="115">
        <f t="shared" si="3648"/>
        <v>0</v>
      </c>
      <c r="GZ55" s="115">
        <f t="shared" si="3648"/>
        <v>0</v>
      </c>
      <c r="HA55" s="115">
        <f t="shared" si="3648"/>
        <v>0</v>
      </c>
      <c r="HB55" s="115">
        <f t="shared" si="3648"/>
        <v>0</v>
      </c>
      <c r="HC55" s="115">
        <f t="shared" si="3648"/>
        <v>0</v>
      </c>
      <c r="HD55" s="115">
        <f t="shared" si="3648"/>
        <v>0</v>
      </c>
      <c r="HE55" s="115">
        <f t="shared" si="3648"/>
        <v>0</v>
      </c>
      <c r="HF55" s="115">
        <f t="shared" si="3648"/>
        <v>0</v>
      </c>
      <c r="HG55" s="115">
        <f t="shared" si="3648"/>
        <v>0</v>
      </c>
      <c r="HH55" s="115">
        <f t="shared" si="3648"/>
        <v>0</v>
      </c>
      <c r="HI55" s="115">
        <f t="shared" si="3648"/>
        <v>0</v>
      </c>
      <c r="HJ55" s="115">
        <f t="shared" si="3648"/>
        <v>0</v>
      </c>
      <c r="HK55" s="115">
        <f t="shared" si="3648"/>
        <v>0</v>
      </c>
      <c r="HL55" s="115">
        <f t="shared" si="3648"/>
        <v>0</v>
      </c>
      <c r="HM55" s="115">
        <f t="shared" si="3648"/>
        <v>0</v>
      </c>
      <c r="HN55" s="115">
        <f t="shared" si="3648"/>
        <v>0</v>
      </c>
      <c r="HO55" s="115">
        <f t="shared" si="3648"/>
        <v>0</v>
      </c>
      <c r="HP55" s="115">
        <f t="shared" si="3648"/>
        <v>0</v>
      </c>
      <c r="HQ55" s="115">
        <f t="shared" si="3648"/>
        <v>0</v>
      </c>
      <c r="HR55" s="115">
        <f t="shared" si="3648"/>
        <v>0</v>
      </c>
      <c r="HS55" s="115">
        <f t="shared" si="3648"/>
        <v>0</v>
      </c>
      <c r="HT55" s="115">
        <f t="shared" si="3648"/>
        <v>0</v>
      </c>
      <c r="HU55" s="115">
        <f t="shared" si="3648"/>
        <v>0</v>
      </c>
      <c r="HV55" s="115">
        <f t="shared" si="3648"/>
        <v>0</v>
      </c>
      <c r="HW55" s="115">
        <f t="shared" si="3648"/>
        <v>0</v>
      </c>
      <c r="HX55" s="115">
        <f t="shared" si="3648"/>
        <v>0</v>
      </c>
      <c r="HY55" s="115">
        <f t="shared" si="3648"/>
        <v>0</v>
      </c>
      <c r="HZ55" s="115">
        <f t="shared" si="3648"/>
        <v>0</v>
      </c>
      <c r="IA55" s="115">
        <f t="shared" si="3648"/>
        <v>0</v>
      </c>
      <c r="IB55" s="115">
        <f t="shared" si="3648"/>
        <v>0</v>
      </c>
      <c r="IC55" s="115">
        <f t="shared" si="3648"/>
        <v>0</v>
      </c>
      <c r="ID55" s="115">
        <f t="shared" si="3648"/>
        <v>0</v>
      </c>
      <c r="IE55" s="115">
        <f t="shared" si="3648"/>
        <v>0</v>
      </c>
      <c r="IF55" s="115">
        <f t="shared" si="3648"/>
        <v>0</v>
      </c>
      <c r="IG55" s="115">
        <f t="shared" si="3648"/>
        <v>0</v>
      </c>
      <c r="IH55" s="115">
        <f t="shared" si="3648"/>
        <v>0</v>
      </c>
      <c r="II55" s="115">
        <f t="shared" si="3648"/>
        <v>0</v>
      </c>
      <c r="IJ55" s="115">
        <f t="shared" si="3648"/>
        <v>0</v>
      </c>
      <c r="IK55" s="115">
        <f t="shared" si="3648"/>
        <v>0</v>
      </c>
      <c r="IL55" s="115">
        <f t="shared" si="3648"/>
        <v>0</v>
      </c>
      <c r="IM55" s="115">
        <f t="shared" si="3648"/>
        <v>0</v>
      </c>
      <c r="IN55" s="115">
        <f t="shared" si="3648"/>
        <v>0</v>
      </c>
      <c r="IO55" s="115">
        <f t="shared" si="3648"/>
        <v>0</v>
      </c>
      <c r="IP55" s="115">
        <f t="shared" si="3648"/>
        <v>0</v>
      </c>
      <c r="IQ55" s="115">
        <f t="shared" si="3648"/>
        <v>0</v>
      </c>
      <c r="IR55" s="115">
        <f t="shared" si="3648"/>
        <v>0</v>
      </c>
      <c r="IS55" s="115">
        <f t="shared" si="3648"/>
        <v>0</v>
      </c>
      <c r="IT55" s="115">
        <f t="shared" si="3648"/>
        <v>0</v>
      </c>
      <c r="IU55" s="115">
        <f t="shared" si="3648"/>
        <v>0</v>
      </c>
      <c r="IV55" s="115">
        <f t="shared" si="3648"/>
        <v>0</v>
      </c>
      <c r="IW55" s="115">
        <f t="shared" si="3648"/>
        <v>0</v>
      </c>
      <c r="IX55" s="115">
        <f t="shared" si="3648"/>
        <v>0</v>
      </c>
      <c r="IY55" s="115">
        <f t="shared" si="3648"/>
        <v>0</v>
      </c>
      <c r="IZ55" s="115">
        <f t="shared" ref="IZ55:LK55" si="3649">IF(IZ28+IZ35+IZ42+IZ49&gt;0,IY25-IZ28-IZ35-IZ42-IZ49,0)</f>
        <v>0</v>
      </c>
      <c r="JA55" s="115">
        <f t="shared" si="3649"/>
        <v>0</v>
      </c>
      <c r="JB55" s="115">
        <f t="shared" si="3649"/>
        <v>0</v>
      </c>
      <c r="JC55" s="115">
        <f t="shared" si="3649"/>
        <v>0</v>
      </c>
      <c r="JD55" s="115">
        <f t="shared" si="3649"/>
        <v>0</v>
      </c>
      <c r="JE55" s="115">
        <f t="shared" si="3649"/>
        <v>0</v>
      </c>
      <c r="JF55" s="115">
        <f t="shared" si="3649"/>
        <v>0</v>
      </c>
      <c r="JG55" s="115">
        <f t="shared" si="3649"/>
        <v>0</v>
      </c>
      <c r="JH55" s="115">
        <f t="shared" si="3649"/>
        <v>0</v>
      </c>
      <c r="JI55" s="115">
        <f t="shared" si="3649"/>
        <v>0</v>
      </c>
      <c r="JJ55" s="115">
        <f t="shared" si="3649"/>
        <v>0</v>
      </c>
      <c r="JK55" s="115">
        <f t="shared" si="3649"/>
        <v>0</v>
      </c>
      <c r="JL55" s="115">
        <f t="shared" si="3649"/>
        <v>0</v>
      </c>
      <c r="JM55" s="115">
        <f t="shared" si="3649"/>
        <v>0</v>
      </c>
      <c r="JN55" s="115">
        <f t="shared" si="3649"/>
        <v>0</v>
      </c>
      <c r="JO55" s="115">
        <f t="shared" si="3649"/>
        <v>0</v>
      </c>
      <c r="JP55" s="115">
        <f t="shared" si="3649"/>
        <v>0</v>
      </c>
      <c r="JQ55" s="115">
        <f t="shared" si="3649"/>
        <v>0</v>
      </c>
      <c r="JR55" s="115">
        <f t="shared" si="3649"/>
        <v>0</v>
      </c>
      <c r="JS55" s="115">
        <f t="shared" si="3649"/>
        <v>0</v>
      </c>
      <c r="JT55" s="115">
        <f t="shared" si="3649"/>
        <v>0</v>
      </c>
      <c r="JU55" s="115">
        <f t="shared" si="3649"/>
        <v>0</v>
      </c>
      <c r="JV55" s="115">
        <f t="shared" si="3649"/>
        <v>0</v>
      </c>
      <c r="JW55" s="115">
        <f t="shared" si="3649"/>
        <v>0</v>
      </c>
      <c r="JX55" s="115">
        <f t="shared" si="3649"/>
        <v>0</v>
      </c>
      <c r="JY55" s="115">
        <f t="shared" si="3649"/>
        <v>0</v>
      </c>
      <c r="JZ55" s="115">
        <f t="shared" si="3649"/>
        <v>0</v>
      </c>
      <c r="KA55" s="115">
        <f t="shared" si="3649"/>
        <v>0</v>
      </c>
      <c r="KB55" s="115">
        <f t="shared" si="3649"/>
        <v>0</v>
      </c>
      <c r="KC55" s="115">
        <f t="shared" si="3649"/>
        <v>0</v>
      </c>
      <c r="KD55" s="115">
        <f t="shared" si="3649"/>
        <v>0</v>
      </c>
      <c r="KE55" s="115">
        <f t="shared" si="3649"/>
        <v>0</v>
      </c>
      <c r="KF55" s="115">
        <f t="shared" si="3649"/>
        <v>0</v>
      </c>
      <c r="KG55" s="115">
        <f t="shared" si="3649"/>
        <v>0</v>
      </c>
      <c r="KH55" s="115">
        <f t="shared" si="3649"/>
        <v>0</v>
      </c>
      <c r="KI55" s="115">
        <f t="shared" si="3649"/>
        <v>0</v>
      </c>
      <c r="KJ55" s="115">
        <f t="shared" si="3649"/>
        <v>0</v>
      </c>
      <c r="KK55" s="115">
        <f t="shared" si="3649"/>
        <v>0</v>
      </c>
      <c r="KL55" s="115">
        <f t="shared" si="3649"/>
        <v>0</v>
      </c>
      <c r="KM55" s="115">
        <f t="shared" si="3649"/>
        <v>0</v>
      </c>
      <c r="KN55" s="115">
        <f t="shared" si="3649"/>
        <v>0</v>
      </c>
      <c r="KO55" s="115">
        <f t="shared" si="3649"/>
        <v>0</v>
      </c>
      <c r="KP55" s="115">
        <f t="shared" si="3649"/>
        <v>0</v>
      </c>
      <c r="KQ55" s="115">
        <f t="shared" si="3649"/>
        <v>0</v>
      </c>
      <c r="KR55" s="115">
        <f t="shared" si="3649"/>
        <v>0</v>
      </c>
      <c r="KS55" s="115">
        <f t="shared" si="3649"/>
        <v>0</v>
      </c>
      <c r="KT55" s="115">
        <f t="shared" si="3649"/>
        <v>0</v>
      </c>
      <c r="KU55" s="115">
        <f t="shared" si="3649"/>
        <v>0</v>
      </c>
      <c r="KV55" s="115">
        <f t="shared" si="3649"/>
        <v>0</v>
      </c>
      <c r="KW55" s="115">
        <f t="shared" si="3649"/>
        <v>0</v>
      </c>
      <c r="KX55" s="115">
        <f t="shared" si="3649"/>
        <v>0</v>
      </c>
      <c r="KY55" s="115">
        <f t="shared" si="3649"/>
        <v>0</v>
      </c>
      <c r="KZ55" s="115">
        <f t="shared" si="3649"/>
        <v>0</v>
      </c>
      <c r="LA55" s="115">
        <f t="shared" si="3649"/>
        <v>0</v>
      </c>
      <c r="LB55" s="115">
        <f t="shared" si="3649"/>
        <v>0</v>
      </c>
      <c r="LC55" s="115">
        <f t="shared" si="3649"/>
        <v>0</v>
      </c>
      <c r="LD55" s="115">
        <f t="shared" si="3649"/>
        <v>0</v>
      </c>
      <c r="LE55" s="115">
        <f t="shared" si="3649"/>
        <v>0</v>
      </c>
      <c r="LF55" s="115">
        <f t="shared" si="3649"/>
        <v>0</v>
      </c>
      <c r="LG55" s="115">
        <f t="shared" si="3649"/>
        <v>0</v>
      </c>
      <c r="LH55" s="115">
        <f t="shared" si="3649"/>
        <v>0</v>
      </c>
      <c r="LI55" s="115">
        <f t="shared" si="3649"/>
        <v>0</v>
      </c>
      <c r="LJ55" s="115">
        <f t="shared" si="3649"/>
        <v>0</v>
      </c>
      <c r="LK55" s="115">
        <f t="shared" si="3649"/>
        <v>0</v>
      </c>
      <c r="LL55" s="115">
        <f t="shared" ref="LL55:NW55" si="3650">IF(LL28+LL35+LL42+LL49&gt;0,LK25-LL28-LL35-LL42-LL49,0)</f>
        <v>0</v>
      </c>
      <c r="LM55" s="115">
        <f t="shared" si="3650"/>
        <v>0</v>
      </c>
      <c r="LN55" s="115">
        <f t="shared" si="3650"/>
        <v>0</v>
      </c>
      <c r="LO55" s="115">
        <f t="shared" si="3650"/>
        <v>0</v>
      </c>
      <c r="LP55" s="115">
        <f t="shared" si="3650"/>
        <v>0</v>
      </c>
      <c r="LQ55" s="115">
        <f t="shared" si="3650"/>
        <v>0</v>
      </c>
      <c r="LR55" s="115">
        <f t="shared" si="3650"/>
        <v>0</v>
      </c>
      <c r="LS55" s="115">
        <f t="shared" si="3650"/>
        <v>0</v>
      </c>
      <c r="LT55" s="115">
        <f t="shared" si="3650"/>
        <v>0</v>
      </c>
      <c r="LU55" s="115">
        <f t="shared" si="3650"/>
        <v>0</v>
      </c>
      <c r="LV55" s="115">
        <f t="shared" si="3650"/>
        <v>0</v>
      </c>
      <c r="LW55" s="115">
        <f t="shared" si="3650"/>
        <v>0</v>
      </c>
      <c r="LX55" s="115">
        <f t="shared" si="3650"/>
        <v>0</v>
      </c>
      <c r="LY55" s="115">
        <f t="shared" si="3650"/>
        <v>0</v>
      </c>
      <c r="LZ55" s="115">
        <f t="shared" si="3650"/>
        <v>0</v>
      </c>
      <c r="MA55" s="115">
        <f t="shared" si="3650"/>
        <v>0</v>
      </c>
      <c r="MB55" s="115">
        <f t="shared" si="3650"/>
        <v>0</v>
      </c>
      <c r="MC55" s="115">
        <f t="shared" si="3650"/>
        <v>0</v>
      </c>
      <c r="MD55" s="115">
        <f t="shared" si="3650"/>
        <v>0</v>
      </c>
      <c r="ME55" s="115">
        <f t="shared" si="3650"/>
        <v>0</v>
      </c>
      <c r="MF55" s="115">
        <f t="shared" si="3650"/>
        <v>0</v>
      </c>
      <c r="MG55" s="115">
        <f t="shared" si="3650"/>
        <v>0</v>
      </c>
      <c r="MH55" s="115">
        <f t="shared" si="3650"/>
        <v>0</v>
      </c>
      <c r="MI55" s="115">
        <f t="shared" si="3650"/>
        <v>0</v>
      </c>
      <c r="MJ55" s="115">
        <f t="shared" si="3650"/>
        <v>0</v>
      </c>
      <c r="MK55" s="115">
        <f t="shared" si="3650"/>
        <v>0</v>
      </c>
      <c r="ML55" s="115">
        <f t="shared" si="3650"/>
        <v>0</v>
      </c>
      <c r="MM55" s="115">
        <f t="shared" si="3650"/>
        <v>0</v>
      </c>
      <c r="MN55" s="115">
        <f t="shared" si="3650"/>
        <v>0</v>
      </c>
      <c r="MO55" s="115">
        <f t="shared" si="3650"/>
        <v>0</v>
      </c>
      <c r="MP55" s="115">
        <f t="shared" si="3650"/>
        <v>0</v>
      </c>
      <c r="MQ55" s="115">
        <f t="shared" si="3650"/>
        <v>0</v>
      </c>
      <c r="MR55" s="115">
        <f t="shared" si="3650"/>
        <v>0</v>
      </c>
      <c r="MS55" s="115">
        <f t="shared" si="3650"/>
        <v>0</v>
      </c>
      <c r="MT55" s="115">
        <f t="shared" si="3650"/>
        <v>0</v>
      </c>
      <c r="MU55" s="115">
        <f t="shared" si="3650"/>
        <v>0</v>
      </c>
      <c r="MV55" s="115">
        <f t="shared" si="3650"/>
        <v>0</v>
      </c>
      <c r="MW55" s="115">
        <f t="shared" si="3650"/>
        <v>0</v>
      </c>
      <c r="MX55" s="115">
        <f t="shared" si="3650"/>
        <v>0</v>
      </c>
      <c r="MY55" s="115">
        <f t="shared" si="3650"/>
        <v>0</v>
      </c>
      <c r="MZ55" s="115">
        <f t="shared" si="3650"/>
        <v>0</v>
      </c>
      <c r="NA55" s="115">
        <f t="shared" si="3650"/>
        <v>0</v>
      </c>
      <c r="NB55" s="115">
        <f t="shared" si="3650"/>
        <v>0</v>
      </c>
      <c r="NC55" s="115">
        <f t="shared" si="3650"/>
        <v>0</v>
      </c>
      <c r="ND55" s="115">
        <f t="shared" si="3650"/>
        <v>0</v>
      </c>
      <c r="NE55" s="115">
        <f t="shared" si="3650"/>
        <v>0</v>
      </c>
      <c r="NF55" s="115">
        <f t="shared" si="3650"/>
        <v>0</v>
      </c>
      <c r="NG55" s="115">
        <f t="shared" si="3650"/>
        <v>0</v>
      </c>
      <c r="NH55" s="115">
        <f t="shared" si="3650"/>
        <v>0</v>
      </c>
      <c r="NI55" s="115">
        <f t="shared" si="3650"/>
        <v>0</v>
      </c>
      <c r="NJ55" s="115">
        <f t="shared" si="3650"/>
        <v>0</v>
      </c>
      <c r="NK55" s="115">
        <f t="shared" si="3650"/>
        <v>0</v>
      </c>
      <c r="NL55" s="115">
        <f t="shared" si="3650"/>
        <v>0</v>
      </c>
      <c r="NM55" s="115">
        <f t="shared" si="3650"/>
        <v>0</v>
      </c>
      <c r="NN55" s="115">
        <f t="shared" si="3650"/>
        <v>0</v>
      </c>
      <c r="NO55" s="115">
        <f t="shared" si="3650"/>
        <v>0</v>
      </c>
      <c r="NP55" s="115">
        <f t="shared" si="3650"/>
        <v>0</v>
      </c>
      <c r="NQ55" s="115">
        <f t="shared" si="3650"/>
        <v>0</v>
      </c>
      <c r="NR55" s="115">
        <f t="shared" si="3650"/>
        <v>0</v>
      </c>
      <c r="NS55" s="115">
        <f t="shared" si="3650"/>
        <v>0</v>
      </c>
      <c r="NT55" s="115">
        <f t="shared" si="3650"/>
        <v>0</v>
      </c>
      <c r="NU55" s="115">
        <f t="shared" si="3650"/>
        <v>0</v>
      </c>
      <c r="NV55" s="115">
        <f t="shared" si="3650"/>
        <v>0</v>
      </c>
      <c r="NW55" s="115">
        <f t="shared" si="3650"/>
        <v>0</v>
      </c>
      <c r="NX55" s="115">
        <f t="shared" ref="NX55:QI55" si="3651">IF(NX28+NX35+NX42+NX49&gt;0,NW25-NX28-NX35-NX42-NX49,0)</f>
        <v>0</v>
      </c>
      <c r="NY55" s="115">
        <f t="shared" si="3651"/>
        <v>0</v>
      </c>
      <c r="NZ55" s="115">
        <f t="shared" si="3651"/>
        <v>0</v>
      </c>
      <c r="OA55" s="115">
        <f t="shared" si="3651"/>
        <v>0</v>
      </c>
      <c r="OB55" s="115">
        <f t="shared" si="3651"/>
        <v>0</v>
      </c>
      <c r="OC55" s="115">
        <f t="shared" si="3651"/>
        <v>0</v>
      </c>
      <c r="OD55" s="115">
        <f t="shared" si="3651"/>
        <v>0</v>
      </c>
      <c r="OE55" s="115">
        <f t="shared" si="3651"/>
        <v>0</v>
      </c>
      <c r="OF55" s="115">
        <f t="shared" si="3651"/>
        <v>0</v>
      </c>
      <c r="OG55" s="115">
        <f t="shared" si="3651"/>
        <v>0</v>
      </c>
      <c r="OH55" s="115">
        <f t="shared" si="3651"/>
        <v>0</v>
      </c>
      <c r="OI55" s="115">
        <f t="shared" si="3651"/>
        <v>0</v>
      </c>
      <c r="OJ55" s="115">
        <f t="shared" si="3651"/>
        <v>0</v>
      </c>
      <c r="OK55" s="115">
        <f t="shared" si="3651"/>
        <v>0</v>
      </c>
      <c r="OL55" s="115">
        <f t="shared" si="3651"/>
        <v>0</v>
      </c>
      <c r="OM55" s="115">
        <f t="shared" si="3651"/>
        <v>0</v>
      </c>
      <c r="ON55" s="115">
        <f t="shared" si="3651"/>
        <v>0</v>
      </c>
      <c r="OO55" s="115">
        <f t="shared" si="3651"/>
        <v>0</v>
      </c>
      <c r="OP55" s="115">
        <f t="shared" si="3651"/>
        <v>0</v>
      </c>
      <c r="OQ55" s="115">
        <f t="shared" si="3651"/>
        <v>0</v>
      </c>
      <c r="OR55" s="115">
        <f t="shared" si="3651"/>
        <v>0</v>
      </c>
      <c r="OS55" s="115">
        <f t="shared" si="3651"/>
        <v>0</v>
      </c>
      <c r="OT55" s="115">
        <f t="shared" si="3651"/>
        <v>0</v>
      </c>
      <c r="OU55" s="115">
        <f t="shared" si="3651"/>
        <v>0</v>
      </c>
      <c r="OV55" s="115">
        <f t="shared" si="3651"/>
        <v>0</v>
      </c>
      <c r="OW55" s="115">
        <f t="shared" si="3651"/>
        <v>0</v>
      </c>
      <c r="OX55" s="115">
        <f t="shared" si="3651"/>
        <v>0</v>
      </c>
      <c r="OY55" s="115">
        <f t="shared" si="3651"/>
        <v>0</v>
      </c>
      <c r="OZ55" s="115">
        <f t="shared" si="3651"/>
        <v>0</v>
      </c>
      <c r="PA55" s="115">
        <f t="shared" si="3651"/>
        <v>0</v>
      </c>
      <c r="PB55" s="115">
        <f t="shared" si="3651"/>
        <v>0</v>
      </c>
      <c r="PC55" s="115">
        <f t="shared" si="3651"/>
        <v>0</v>
      </c>
      <c r="PD55" s="115">
        <f t="shared" si="3651"/>
        <v>0</v>
      </c>
      <c r="PE55" s="115">
        <f t="shared" si="3651"/>
        <v>0</v>
      </c>
      <c r="PF55" s="115">
        <f t="shared" si="3651"/>
        <v>0</v>
      </c>
      <c r="PG55" s="115">
        <f t="shared" si="3651"/>
        <v>0</v>
      </c>
      <c r="PH55" s="115">
        <f t="shared" si="3651"/>
        <v>0</v>
      </c>
      <c r="PI55" s="115">
        <f t="shared" si="3651"/>
        <v>0</v>
      </c>
      <c r="PJ55" s="115">
        <f t="shared" si="3651"/>
        <v>0</v>
      </c>
      <c r="PK55" s="115">
        <f t="shared" si="3651"/>
        <v>0</v>
      </c>
      <c r="PL55" s="115">
        <f t="shared" si="3651"/>
        <v>0</v>
      </c>
      <c r="PM55" s="115">
        <f t="shared" si="3651"/>
        <v>0</v>
      </c>
      <c r="PN55" s="115">
        <f t="shared" si="3651"/>
        <v>0</v>
      </c>
      <c r="PO55" s="115">
        <f t="shared" si="3651"/>
        <v>0</v>
      </c>
      <c r="PP55" s="115">
        <f t="shared" si="3651"/>
        <v>0</v>
      </c>
      <c r="PQ55" s="115">
        <f t="shared" si="3651"/>
        <v>0</v>
      </c>
      <c r="PR55" s="115">
        <f t="shared" si="3651"/>
        <v>0</v>
      </c>
      <c r="PS55" s="115">
        <f t="shared" si="3651"/>
        <v>0</v>
      </c>
      <c r="PT55" s="115">
        <f t="shared" si="3651"/>
        <v>0</v>
      </c>
      <c r="PU55" s="115">
        <f t="shared" si="3651"/>
        <v>0</v>
      </c>
      <c r="PV55" s="115">
        <f t="shared" si="3651"/>
        <v>0</v>
      </c>
      <c r="PW55" s="115">
        <f t="shared" si="3651"/>
        <v>0</v>
      </c>
      <c r="PX55" s="115">
        <f t="shared" si="3651"/>
        <v>0</v>
      </c>
      <c r="PY55" s="115">
        <f t="shared" si="3651"/>
        <v>0</v>
      </c>
      <c r="PZ55" s="115">
        <f t="shared" si="3651"/>
        <v>0</v>
      </c>
      <c r="QA55" s="115">
        <f t="shared" si="3651"/>
        <v>0</v>
      </c>
      <c r="QB55" s="115">
        <f t="shared" si="3651"/>
        <v>0</v>
      </c>
      <c r="QC55" s="115">
        <f t="shared" si="3651"/>
        <v>0</v>
      </c>
      <c r="QD55" s="115">
        <f t="shared" si="3651"/>
        <v>0</v>
      </c>
      <c r="QE55" s="115">
        <f t="shared" si="3651"/>
        <v>0</v>
      </c>
      <c r="QF55" s="115">
        <f t="shared" si="3651"/>
        <v>0</v>
      </c>
      <c r="QG55" s="115">
        <f t="shared" si="3651"/>
        <v>0</v>
      </c>
      <c r="QH55" s="115">
        <f t="shared" si="3651"/>
        <v>0</v>
      </c>
      <c r="QI55" s="115">
        <f t="shared" si="3651"/>
        <v>0</v>
      </c>
      <c r="QJ55" s="115">
        <f t="shared" ref="QJ55:SU55" si="3652">IF(QJ28+QJ35+QJ42+QJ49&gt;0,QI25-QJ28-QJ35-QJ42-QJ49,0)</f>
        <v>0</v>
      </c>
      <c r="QK55" s="115">
        <f t="shared" si="3652"/>
        <v>0</v>
      </c>
      <c r="QL55" s="115">
        <f t="shared" si="3652"/>
        <v>0</v>
      </c>
      <c r="QM55" s="115">
        <f t="shared" si="3652"/>
        <v>0</v>
      </c>
      <c r="QN55" s="115">
        <f t="shared" si="3652"/>
        <v>0</v>
      </c>
      <c r="QO55" s="115">
        <f t="shared" si="3652"/>
        <v>0</v>
      </c>
      <c r="QP55" s="115">
        <f t="shared" si="3652"/>
        <v>0</v>
      </c>
      <c r="QQ55" s="115">
        <f t="shared" si="3652"/>
        <v>0</v>
      </c>
      <c r="QR55" s="115">
        <f t="shared" si="3652"/>
        <v>0</v>
      </c>
      <c r="QS55" s="115">
        <f t="shared" si="3652"/>
        <v>0</v>
      </c>
      <c r="QT55" s="115">
        <f t="shared" si="3652"/>
        <v>0</v>
      </c>
      <c r="QU55" s="115">
        <f t="shared" si="3652"/>
        <v>0</v>
      </c>
      <c r="QV55" s="115">
        <f t="shared" si="3652"/>
        <v>0</v>
      </c>
      <c r="QW55" s="115">
        <f t="shared" si="3652"/>
        <v>0</v>
      </c>
      <c r="QX55" s="115">
        <f t="shared" si="3652"/>
        <v>0</v>
      </c>
      <c r="QY55" s="115">
        <f t="shared" si="3652"/>
        <v>0</v>
      </c>
      <c r="QZ55" s="115">
        <f t="shared" si="3652"/>
        <v>0</v>
      </c>
      <c r="RA55" s="115">
        <f t="shared" si="3652"/>
        <v>0</v>
      </c>
      <c r="RB55" s="115">
        <f t="shared" si="3652"/>
        <v>0</v>
      </c>
      <c r="RC55" s="115">
        <f t="shared" si="3652"/>
        <v>0</v>
      </c>
      <c r="RD55" s="115">
        <f t="shared" si="3652"/>
        <v>0</v>
      </c>
      <c r="RE55" s="115">
        <f t="shared" si="3652"/>
        <v>0</v>
      </c>
      <c r="RF55" s="115">
        <f t="shared" si="3652"/>
        <v>0</v>
      </c>
      <c r="RG55" s="115">
        <f t="shared" si="3652"/>
        <v>0</v>
      </c>
      <c r="RH55" s="115">
        <f t="shared" si="3652"/>
        <v>0</v>
      </c>
      <c r="RI55" s="115">
        <f t="shared" si="3652"/>
        <v>0</v>
      </c>
      <c r="RJ55" s="115">
        <f t="shared" si="3652"/>
        <v>0</v>
      </c>
      <c r="RK55" s="115">
        <f t="shared" si="3652"/>
        <v>0</v>
      </c>
      <c r="RL55" s="115">
        <f t="shared" si="3652"/>
        <v>0</v>
      </c>
      <c r="RM55" s="115">
        <f t="shared" si="3652"/>
        <v>0</v>
      </c>
      <c r="RN55" s="115">
        <f t="shared" si="3652"/>
        <v>0</v>
      </c>
      <c r="RO55" s="115">
        <f t="shared" si="3652"/>
        <v>0</v>
      </c>
      <c r="RP55" s="115">
        <f t="shared" si="3652"/>
        <v>0</v>
      </c>
      <c r="RQ55" s="115">
        <f t="shared" si="3652"/>
        <v>0</v>
      </c>
      <c r="RR55" s="115">
        <f t="shared" si="3652"/>
        <v>0</v>
      </c>
      <c r="RS55" s="115">
        <f t="shared" si="3652"/>
        <v>0</v>
      </c>
      <c r="RT55" s="115">
        <f t="shared" si="3652"/>
        <v>0</v>
      </c>
      <c r="RU55" s="115">
        <f t="shared" si="3652"/>
        <v>0</v>
      </c>
      <c r="RV55" s="115">
        <f t="shared" si="3652"/>
        <v>0</v>
      </c>
      <c r="RW55" s="115">
        <f t="shared" si="3652"/>
        <v>0</v>
      </c>
      <c r="RX55" s="115">
        <f t="shared" si="3652"/>
        <v>0</v>
      </c>
      <c r="RY55" s="115">
        <f t="shared" si="3652"/>
        <v>0</v>
      </c>
      <c r="RZ55" s="115">
        <f t="shared" si="3652"/>
        <v>0</v>
      </c>
      <c r="SA55" s="115">
        <f t="shared" si="3652"/>
        <v>0</v>
      </c>
      <c r="SB55" s="115">
        <f t="shared" si="3652"/>
        <v>0</v>
      </c>
      <c r="SC55" s="115">
        <f t="shared" si="3652"/>
        <v>0</v>
      </c>
      <c r="SD55" s="115">
        <f t="shared" si="3652"/>
        <v>0</v>
      </c>
      <c r="SE55" s="115">
        <f t="shared" si="3652"/>
        <v>0</v>
      </c>
      <c r="SF55" s="115">
        <f t="shared" si="3652"/>
        <v>0</v>
      </c>
      <c r="SG55" s="115">
        <f t="shared" si="3652"/>
        <v>0</v>
      </c>
      <c r="SH55" s="115">
        <f t="shared" si="3652"/>
        <v>0</v>
      </c>
      <c r="SI55" s="115">
        <f t="shared" si="3652"/>
        <v>0</v>
      </c>
      <c r="SJ55" s="115">
        <f t="shared" si="3652"/>
        <v>0</v>
      </c>
      <c r="SK55" s="115">
        <f t="shared" si="3652"/>
        <v>0</v>
      </c>
      <c r="SL55" s="115">
        <f t="shared" si="3652"/>
        <v>0</v>
      </c>
      <c r="SM55" s="115">
        <f t="shared" si="3652"/>
        <v>0</v>
      </c>
      <c r="SN55" s="115">
        <f t="shared" si="3652"/>
        <v>0</v>
      </c>
      <c r="SO55" s="115">
        <f t="shared" si="3652"/>
        <v>0</v>
      </c>
      <c r="SP55" s="115">
        <f t="shared" si="3652"/>
        <v>0</v>
      </c>
      <c r="SQ55" s="115">
        <f t="shared" si="3652"/>
        <v>0</v>
      </c>
      <c r="SR55" s="115">
        <f t="shared" si="3652"/>
        <v>0</v>
      </c>
      <c r="SS55" s="115">
        <f t="shared" si="3652"/>
        <v>0</v>
      </c>
      <c r="ST55" s="115">
        <f t="shared" si="3652"/>
        <v>0</v>
      </c>
      <c r="SU55" s="115">
        <f t="shared" si="3652"/>
        <v>0</v>
      </c>
      <c r="SV55" s="115">
        <f t="shared" ref="SV55:VG55" si="3653">IF(SV28+SV35+SV42+SV49&gt;0,SU25-SV28-SV35-SV42-SV49,0)</f>
        <v>0</v>
      </c>
      <c r="SW55" s="115">
        <f t="shared" si="3653"/>
        <v>0</v>
      </c>
      <c r="SX55" s="115">
        <f t="shared" si="3653"/>
        <v>0</v>
      </c>
      <c r="SY55" s="115">
        <f t="shared" si="3653"/>
        <v>0</v>
      </c>
      <c r="SZ55" s="115">
        <f t="shared" si="3653"/>
        <v>0</v>
      </c>
      <c r="TA55" s="115">
        <f t="shared" si="3653"/>
        <v>0</v>
      </c>
      <c r="TB55" s="115">
        <f t="shared" si="3653"/>
        <v>0</v>
      </c>
      <c r="TC55" s="115">
        <f t="shared" si="3653"/>
        <v>0</v>
      </c>
      <c r="TD55" s="115">
        <f t="shared" si="3653"/>
        <v>0</v>
      </c>
      <c r="TE55" s="115">
        <f t="shared" si="3653"/>
        <v>0</v>
      </c>
      <c r="TF55" s="115">
        <f t="shared" si="3653"/>
        <v>0</v>
      </c>
      <c r="TG55" s="115">
        <f t="shared" si="3653"/>
        <v>0</v>
      </c>
      <c r="TH55" s="115">
        <f t="shared" si="3653"/>
        <v>0</v>
      </c>
      <c r="TI55" s="115">
        <f t="shared" si="3653"/>
        <v>0</v>
      </c>
      <c r="TJ55" s="115">
        <f t="shared" si="3653"/>
        <v>0</v>
      </c>
      <c r="TK55" s="115">
        <f t="shared" si="3653"/>
        <v>0</v>
      </c>
      <c r="TL55" s="115">
        <f t="shared" si="3653"/>
        <v>0</v>
      </c>
      <c r="TM55" s="115">
        <f t="shared" si="3653"/>
        <v>0</v>
      </c>
      <c r="TN55" s="115">
        <f t="shared" si="3653"/>
        <v>0</v>
      </c>
      <c r="TO55" s="115">
        <f t="shared" si="3653"/>
        <v>0</v>
      </c>
      <c r="TP55" s="115">
        <f t="shared" si="3653"/>
        <v>0</v>
      </c>
      <c r="TQ55" s="115">
        <f t="shared" si="3653"/>
        <v>0</v>
      </c>
      <c r="TR55" s="115">
        <f t="shared" si="3653"/>
        <v>0</v>
      </c>
      <c r="TS55" s="115">
        <f t="shared" si="3653"/>
        <v>0</v>
      </c>
      <c r="TT55" s="115">
        <f t="shared" si="3653"/>
        <v>0</v>
      </c>
      <c r="TU55" s="115">
        <f t="shared" si="3653"/>
        <v>0</v>
      </c>
      <c r="TV55" s="115">
        <f t="shared" si="3653"/>
        <v>0</v>
      </c>
      <c r="TW55" s="115">
        <f t="shared" si="3653"/>
        <v>0</v>
      </c>
      <c r="TX55" s="115">
        <f t="shared" si="3653"/>
        <v>0</v>
      </c>
      <c r="TY55" s="115">
        <f t="shared" si="3653"/>
        <v>0</v>
      </c>
      <c r="TZ55" s="115">
        <f t="shared" si="3653"/>
        <v>0</v>
      </c>
      <c r="UA55" s="115">
        <f t="shared" si="3653"/>
        <v>0</v>
      </c>
      <c r="UB55" s="115">
        <f t="shared" si="3653"/>
        <v>0</v>
      </c>
      <c r="UC55" s="115">
        <f t="shared" si="3653"/>
        <v>0</v>
      </c>
      <c r="UD55" s="115">
        <f t="shared" si="3653"/>
        <v>0</v>
      </c>
      <c r="UE55" s="115">
        <f t="shared" si="3653"/>
        <v>0</v>
      </c>
      <c r="UF55" s="115">
        <f t="shared" si="3653"/>
        <v>0</v>
      </c>
      <c r="UG55" s="115">
        <f t="shared" si="3653"/>
        <v>0</v>
      </c>
      <c r="UH55" s="115">
        <f t="shared" si="3653"/>
        <v>0</v>
      </c>
      <c r="UI55" s="115">
        <f t="shared" si="3653"/>
        <v>0</v>
      </c>
      <c r="UJ55" s="115">
        <f t="shared" si="3653"/>
        <v>0</v>
      </c>
      <c r="UK55" s="115">
        <f t="shared" si="3653"/>
        <v>0</v>
      </c>
      <c r="UL55" s="115">
        <f t="shared" si="3653"/>
        <v>0</v>
      </c>
      <c r="UM55" s="115">
        <f t="shared" si="3653"/>
        <v>0</v>
      </c>
      <c r="UN55" s="115">
        <f t="shared" si="3653"/>
        <v>0</v>
      </c>
      <c r="UO55" s="115">
        <f t="shared" si="3653"/>
        <v>0</v>
      </c>
      <c r="UP55" s="115">
        <f t="shared" si="3653"/>
        <v>0</v>
      </c>
      <c r="UQ55" s="115">
        <f t="shared" si="3653"/>
        <v>0</v>
      </c>
      <c r="UR55" s="115">
        <f t="shared" si="3653"/>
        <v>0</v>
      </c>
      <c r="US55" s="115">
        <f t="shared" si="3653"/>
        <v>0</v>
      </c>
      <c r="UT55" s="115">
        <f t="shared" si="3653"/>
        <v>0</v>
      </c>
      <c r="UU55" s="115">
        <f t="shared" si="3653"/>
        <v>0</v>
      </c>
      <c r="UV55" s="115">
        <f t="shared" si="3653"/>
        <v>0</v>
      </c>
      <c r="UW55" s="115">
        <f t="shared" si="3653"/>
        <v>0</v>
      </c>
      <c r="UX55" s="115">
        <f t="shared" si="3653"/>
        <v>0</v>
      </c>
      <c r="UY55" s="115">
        <f t="shared" si="3653"/>
        <v>0</v>
      </c>
      <c r="UZ55" s="115">
        <f t="shared" si="3653"/>
        <v>0</v>
      </c>
      <c r="VA55" s="115">
        <f t="shared" si="3653"/>
        <v>0</v>
      </c>
      <c r="VB55" s="115">
        <f t="shared" si="3653"/>
        <v>0</v>
      </c>
      <c r="VC55" s="115">
        <f t="shared" si="3653"/>
        <v>0</v>
      </c>
      <c r="VD55" s="115">
        <f t="shared" si="3653"/>
        <v>0</v>
      </c>
      <c r="VE55" s="115">
        <f t="shared" si="3653"/>
        <v>0</v>
      </c>
      <c r="VF55" s="115">
        <f t="shared" si="3653"/>
        <v>0</v>
      </c>
      <c r="VG55" s="115">
        <f t="shared" si="3653"/>
        <v>0</v>
      </c>
      <c r="VH55" s="115">
        <f t="shared" ref="VH55:XS55" si="3654">IF(VH28+VH35+VH42+VH49&gt;0,VG25-VH28-VH35-VH42-VH49,0)</f>
        <v>0</v>
      </c>
      <c r="VI55" s="115">
        <f t="shared" si="3654"/>
        <v>0</v>
      </c>
      <c r="VJ55" s="115">
        <f t="shared" si="3654"/>
        <v>0</v>
      </c>
      <c r="VK55" s="115">
        <f t="shared" si="3654"/>
        <v>0</v>
      </c>
      <c r="VL55" s="115">
        <f t="shared" si="3654"/>
        <v>0</v>
      </c>
      <c r="VM55" s="115">
        <f t="shared" si="3654"/>
        <v>0</v>
      </c>
      <c r="VN55" s="115">
        <f t="shared" si="3654"/>
        <v>0</v>
      </c>
      <c r="VO55" s="115">
        <f t="shared" si="3654"/>
        <v>0</v>
      </c>
      <c r="VP55" s="115">
        <f t="shared" si="3654"/>
        <v>0</v>
      </c>
      <c r="VQ55" s="115">
        <f t="shared" si="3654"/>
        <v>0</v>
      </c>
      <c r="VR55" s="115">
        <f t="shared" si="3654"/>
        <v>0</v>
      </c>
      <c r="VS55" s="115">
        <f t="shared" si="3654"/>
        <v>0</v>
      </c>
      <c r="VT55" s="115">
        <f t="shared" si="3654"/>
        <v>0</v>
      </c>
      <c r="VU55" s="115">
        <f t="shared" si="3654"/>
        <v>0</v>
      </c>
      <c r="VV55" s="115">
        <f t="shared" si="3654"/>
        <v>0</v>
      </c>
      <c r="VW55" s="115">
        <f t="shared" si="3654"/>
        <v>0</v>
      </c>
      <c r="VX55" s="115">
        <f t="shared" si="3654"/>
        <v>0</v>
      </c>
      <c r="VY55" s="115">
        <f t="shared" si="3654"/>
        <v>0</v>
      </c>
      <c r="VZ55" s="115">
        <f t="shared" si="3654"/>
        <v>0</v>
      </c>
      <c r="WA55" s="115">
        <f t="shared" si="3654"/>
        <v>0</v>
      </c>
      <c r="WB55" s="115">
        <f t="shared" si="3654"/>
        <v>0</v>
      </c>
      <c r="WC55" s="115">
        <f t="shared" si="3654"/>
        <v>0</v>
      </c>
      <c r="WD55" s="115">
        <f t="shared" si="3654"/>
        <v>0</v>
      </c>
      <c r="WE55" s="115">
        <f t="shared" si="3654"/>
        <v>0</v>
      </c>
      <c r="WF55" s="115">
        <f t="shared" si="3654"/>
        <v>0</v>
      </c>
      <c r="WG55" s="115">
        <f t="shared" si="3654"/>
        <v>0</v>
      </c>
      <c r="WH55" s="115">
        <f t="shared" si="3654"/>
        <v>0</v>
      </c>
      <c r="WI55" s="115">
        <f t="shared" si="3654"/>
        <v>0</v>
      </c>
      <c r="WJ55" s="115">
        <f t="shared" si="3654"/>
        <v>0</v>
      </c>
      <c r="WK55" s="115">
        <f t="shared" si="3654"/>
        <v>0</v>
      </c>
      <c r="WL55" s="115">
        <f t="shared" si="3654"/>
        <v>0</v>
      </c>
      <c r="WM55" s="115">
        <f t="shared" si="3654"/>
        <v>0</v>
      </c>
      <c r="WN55" s="115">
        <f t="shared" si="3654"/>
        <v>12881.428047016263</v>
      </c>
      <c r="WO55" s="115">
        <f t="shared" si="3654"/>
        <v>0</v>
      </c>
      <c r="WP55" s="115">
        <f t="shared" si="3654"/>
        <v>0</v>
      </c>
      <c r="WQ55" s="115">
        <f t="shared" si="3654"/>
        <v>0</v>
      </c>
      <c r="WR55" s="115">
        <f t="shared" si="3654"/>
        <v>0</v>
      </c>
      <c r="WS55" s="115">
        <f t="shared" si="3654"/>
        <v>0</v>
      </c>
      <c r="WT55" s="115">
        <f t="shared" si="3654"/>
        <v>0</v>
      </c>
      <c r="WU55" s="115">
        <f t="shared" si="3654"/>
        <v>0</v>
      </c>
      <c r="WV55" s="115">
        <f t="shared" si="3654"/>
        <v>0</v>
      </c>
      <c r="WW55" s="115">
        <f t="shared" si="3654"/>
        <v>0</v>
      </c>
      <c r="WX55" s="115">
        <f t="shared" si="3654"/>
        <v>0</v>
      </c>
      <c r="WY55" s="115">
        <f t="shared" si="3654"/>
        <v>0</v>
      </c>
      <c r="WZ55" s="115">
        <f t="shared" si="3654"/>
        <v>0</v>
      </c>
      <c r="XA55" s="115">
        <f t="shared" si="3654"/>
        <v>0</v>
      </c>
      <c r="XB55" s="115">
        <f t="shared" si="3654"/>
        <v>0</v>
      </c>
      <c r="XC55" s="115">
        <f t="shared" si="3654"/>
        <v>0</v>
      </c>
      <c r="XD55" s="115">
        <f t="shared" si="3654"/>
        <v>0</v>
      </c>
      <c r="XE55" s="115">
        <f t="shared" si="3654"/>
        <v>0</v>
      </c>
      <c r="XF55" s="115">
        <f t="shared" si="3654"/>
        <v>0</v>
      </c>
      <c r="XG55" s="115">
        <f t="shared" si="3654"/>
        <v>0</v>
      </c>
      <c r="XH55" s="115">
        <f t="shared" si="3654"/>
        <v>0</v>
      </c>
      <c r="XI55" s="115">
        <f t="shared" si="3654"/>
        <v>0</v>
      </c>
      <c r="XJ55" s="115">
        <f t="shared" si="3654"/>
        <v>0</v>
      </c>
      <c r="XK55" s="115">
        <f t="shared" si="3654"/>
        <v>0</v>
      </c>
      <c r="XL55" s="115">
        <f t="shared" si="3654"/>
        <v>0</v>
      </c>
      <c r="XM55" s="115">
        <f t="shared" si="3654"/>
        <v>0</v>
      </c>
      <c r="XN55" s="115">
        <f t="shared" si="3654"/>
        <v>0</v>
      </c>
      <c r="XO55" s="115">
        <f t="shared" si="3654"/>
        <v>0</v>
      </c>
      <c r="XP55" s="115">
        <f t="shared" si="3654"/>
        <v>0</v>
      </c>
      <c r="XQ55" s="115">
        <f t="shared" si="3654"/>
        <v>8591.0194999008672</v>
      </c>
      <c r="XR55" s="115">
        <f t="shared" si="3654"/>
        <v>0</v>
      </c>
      <c r="XS55" s="115">
        <f t="shared" si="3654"/>
        <v>0</v>
      </c>
      <c r="XT55" s="115">
        <f t="shared" ref="XT55:AAE55" si="3655">IF(XT28+XT35+XT42+XT49&gt;0,XS25-XT28-XT35-XT42-XT49,0)</f>
        <v>0</v>
      </c>
      <c r="XU55" s="115">
        <f t="shared" si="3655"/>
        <v>0</v>
      </c>
      <c r="XV55" s="115">
        <f t="shared" si="3655"/>
        <v>0</v>
      </c>
      <c r="XW55" s="115">
        <f t="shared" si="3655"/>
        <v>0</v>
      </c>
      <c r="XX55" s="115">
        <f t="shared" si="3655"/>
        <v>13991.84318154848</v>
      </c>
      <c r="XY55" s="115">
        <f t="shared" si="3655"/>
        <v>0</v>
      </c>
      <c r="XZ55" s="115">
        <f t="shared" si="3655"/>
        <v>0</v>
      </c>
      <c r="YA55" s="115">
        <f t="shared" si="3655"/>
        <v>0</v>
      </c>
      <c r="YB55" s="115">
        <f t="shared" si="3655"/>
        <v>0</v>
      </c>
      <c r="YC55" s="115">
        <f t="shared" si="3655"/>
        <v>0</v>
      </c>
      <c r="YD55" s="115">
        <f t="shared" si="3655"/>
        <v>0</v>
      </c>
      <c r="YE55" s="115">
        <f t="shared" si="3655"/>
        <v>0</v>
      </c>
      <c r="YF55" s="115">
        <f t="shared" si="3655"/>
        <v>0</v>
      </c>
      <c r="YG55" s="115">
        <f t="shared" si="3655"/>
        <v>0</v>
      </c>
      <c r="YH55" s="115">
        <f t="shared" si="3655"/>
        <v>0</v>
      </c>
      <c r="YI55" s="115">
        <f t="shared" si="3655"/>
        <v>0</v>
      </c>
      <c r="YJ55" s="115">
        <f t="shared" si="3655"/>
        <v>0</v>
      </c>
      <c r="YK55" s="115">
        <f t="shared" si="3655"/>
        <v>0</v>
      </c>
      <c r="YL55" s="115">
        <f t="shared" si="3655"/>
        <v>0</v>
      </c>
      <c r="YM55" s="115">
        <f t="shared" si="3655"/>
        <v>0</v>
      </c>
      <c r="YN55" s="115">
        <f t="shared" si="3655"/>
        <v>0</v>
      </c>
      <c r="YO55" s="115">
        <f t="shared" si="3655"/>
        <v>0</v>
      </c>
      <c r="YP55" s="115">
        <f t="shared" si="3655"/>
        <v>0</v>
      </c>
      <c r="YQ55" s="115">
        <f t="shared" si="3655"/>
        <v>0</v>
      </c>
      <c r="YR55" s="115">
        <f t="shared" si="3655"/>
        <v>0</v>
      </c>
      <c r="YS55" s="115">
        <f t="shared" si="3655"/>
        <v>0</v>
      </c>
      <c r="YT55" s="115">
        <f t="shared" si="3655"/>
        <v>0</v>
      </c>
      <c r="YU55" s="115">
        <f t="shared" si="3655"/>
        <v>0</v>
      </c>
      <c r="YV55" s="115">
        <f t="shared" si="3655"/>
        <v>0</v>
      </c>
      <c r="YW55" s="115">
        <f t="shared" si="3655"/>
        <v>0</v>
      </c>
      <c r="YX55" s="115">
        <f t="shared" si="3655"/>
        <v>0</v>
      </c>
      <c r="YY55" s="115">
        <f t="shared" si="3655"/>
        <v>0</v>
      </c>
      <c r="YZ55" s="115">
        <f t="shared" si="3655"/>
        <v>0</v>
      </c>
      <c r="ZA55" s="115">
        <f t="shared" si="3655"/>
        <v>0</v>
      </c>
      <c r="ZB55" s="115">
        <f t="shared" si="3655"/>
        <v>0</v>
      </c>
      <c r="ZC55" s="115">
        <f t="shared" si="3655"/>
        <v>0</v>
      </c>
      <c r="ZD55" s="115">
        <f t="shared" si="3655"/>
        <v>0</v>
      </c>
      <c r="ZE55" s="115">
        <f t="shared" si="3655"/>
        <v>0</v>
      </c>
      <c r="ZF55" s="115">
        <f t="shared" si="3655"/>
        <v>0</v>
      </c>
      <c r="ZG55" s="115">
        <f t="shared" si="3655"/>
        <v>0</v>
      </c>
      <c r="ZH55" s="115">
        <f t="shared" si="3655"/>
        <v>0</v>
      </c>
      <c r="ZI55" s="115">
        <f t="shared" si="3655"/>
        <v>0</v>
      </c>
      <c r="ZJ55" s="115">
        <f t="shared" si="3655"/>
        <v>0</v>
      </c>
      <c r="ZK55" s="115">
        <f t="shared" si="3655"/>
        <v>0</v>
      </c>
      <c r="ZL55" s="115">
        <f t="shared" si="3655"/>
        <v>0</v>
      </c>
      <c r="ZM55" s="115">
        <f t="shared" si="3655"/>
        <v>0</v>
      </c>
      <c r="ZN55" s="115">
        <f t="shared" si="3655"/>
        <v>0</v>
      </c>
      <c r="ZO55" s="115">
        <f t="shared" si="3655"/>
        <v>0</v>
      </c>
      <c r="ZP55" s="115">
        <f t="shared" si="3655"/>
        <v>0</v>
      </c>
      <c r="ZQ55" s="115">
        <f t="shared" si="3655"/>
        <v>0</v>
      </c>
      <c r="ZR55" s="115">
        <f t="shared" si="3655"/>
        <v>0</v>
      </c>
      <c r="ZS55" s="115">
        <f t="shared" si="3655"/>
        <v>0</v>
      </c>
      <c r="ZT55" s="115">
        <f t="shared" si="3655"/>
        <v>0</v>
      </c>
      <c r="ZU55" s="115">
        <f t="shared" si="3655"/>
        <v>0</v>
      </c>
      <c r="ZV55" s="115">
        <f t="shared" si="3655"/>
        <v>0</v>
      </c>
      <c r="ZW55" s="115">
        <f t="shared" si="3655"/>
        <v>0</v>
      </c>
      <c r="ZX55" s="115">
        <f t="shared" si="3655"/>
        <v>0</v>
      </c>
      <c r="ZY55" s="115">
        <f t="shared" si="3655"/>
        <v>0</v>
      </c>
      <c r="ZZ55" s="115">
        <f t="shared" si="3655"/>
        <v>0</v>
      </c>
      <c r="AAA55" s="115">
        <f t="shared" si="3655"/>
        <v>0</v>
      </c>
      <c r="AAB55" s="115">
        <f t="shared" si="3655"/>
        <v>0</v>
      </c>
      <c r="AAC55" s="115">
        <f t="shared" si="3655"/>
        <v>0</v>
      </c>
      <c r="AAD55" s="115">
        <f t="shared" si="3655"/>
        <v>0</v>
      </c>
      <c r="AAE55" s="115">
        <f t="shared" si="3655"/>
        <v>0</v>
      </c>
      <c r="AAF55" s="115">
        <f t="shared" ref="AAF55:ACQ55" si="3656">IF(AAF28+AAF35+AAF42+AAF49&gt;0,AAE25-AAF28-AAF35-AAF42-AAF49,0)</f>
        <v>0</v>
      </c>
      <c r="AAG55" s="115">
        <f t="shared" si="3656"/>
        <v>0</v>
      </c>
      <c r="AAH55" s="115">
        <f t="shared" si="3656"/>
        <v>0</v>
      </c>
      <c r="AAI55" s="115">
        <f t="shared" si="3656"/>
        <v>0</v>
      </c>
      <c r="AAJ55" s="115">
        <f t="shared" si="3656"/>
        <v>0</v>
      </c>
      <c r="AAK55" s="115">
        <f t="shared" si="3656"/>
        <v>0</v>
      </c>
      <c r="AAL55" s="115">
        <f t="shared" si="3656"/>
        <v>0</v>
      </c>
      <c r="AAM55" s="115">
        <f t="shared" si="3656"/>
        <v>0</v>
      </c>
      <c r="AAN55" s="115">
        <f t="shared" si="3656"/>
        <v>0</v>
      </c>
      <c r="AAO55" s="115">
        <f t="shared" si="3656"/>
        <v>0</v>
      </c>
      <c r="AAP55" s="115">
        <f t="shared" si="3656"/>
        <v>0</v>
      </c>
      <c r="AAQ55" s="115">
        <f t="shared" si="3656"/>
        <v>0</v>
      </c>
      <c r="AAR55" s="115">
        <f t="shared" si="3656"/>
        <v>0</v>
      </c>
      <c r="AAS55" s="115">
        <f t="shared" si="3656"/>
        <v>0</v>
      </c>
      <c r="AAT55" s="115">
        <f t="shared" si="3656"/>
        <v>0</v>
      </c>
      <c r="AAU55" s="115">
        <f t="shared" si="3656"/>
        <v>0</v>
      </c>
      <c r="AAV55" s="115">
        <f t="shared" si="3656"/>
        <v>0</v>
      </c>
      <c r="AAW55" s="115">
        <f t="shared" si="3656"/>
        <v>0</v>
      </c>
      <c r="AAX55" s="115">
        <f t="shared" si="3656"/>
        <v>0</v>
      </c>
      <c r="AAY55" s="115">
        <f t="shared" si="3656"/>
        <v>0</v>
      </c>
      <c r="AAZ55" s="115">
        <f t="shared" si="3656"/>
        <v>0</v>
      </c>
      <c r="ABA55" s="115">
        <f t="shared" si="3656"/>
        <v>0</v>
      </c>
      <c r="ABB55" s="115">
        <f t="shared" si="3656"/>
        <v>0</v>
      </c>
      <c r="ABC55" s="115">
        <f t="shared" si="3656"/>
        <v>0</v>
      </c>
      <c r="ABD55" s="115">
        <f t="shared" si="3656"/>
        <v>0</v>
      </c>
      <c r="ABE55" s="115">
        <f t="shared" si="3656"/>
        <v>0</v>
      </c>
      <c r="ABF55" s="115">
        <f t="shared" si="3656"/>
        <v>0</v>
      </c>
      <c r="ABG55" s="115">
        <f t="shared" si="3656"/>
        <v>0</v>
      </c>
      <c r="ABH55" s="115">
        <f t="shared" si="3656"/>
        <v>0</v>
      </c>
      <c r="ABI55" s="115">
        <f t="shared" si="3656"/>
        <v>0</v>
      </c>
      <c r="ABJ55" s="115">
        <f t="shared" si="3656"/>
        <v>0</v>
      </c>
      <c r="ABK55" s="115">
        <f t="shared" si="3656"/>
        <v>0</v>
      </c>
      <c r="ABL55" s="115">
        <f t="shared" si="3656"/>
        <v>0</v>
      </c>
      <c r="ABM55" s="115">
        <f t="shared" si="3656"/>
        <v>0</v>
      </c>
      <c r="ABN55" s="115">
        <f t="shared" si="3656"/>
        <v>0</v>
      </c>
      <c r="ABO55" s="115">
        <f t="shared" si="3656"/>
        <v>0</v>
      </c>
      <c r="ABP55" s="115">
        <f t="shared" si="3656"/>
        <v>0</v>
      </c>
      <c r="ABQ55" s="115">
        <f t="shared" si="3656"/>
        <v>0</v>
      </c>
      <c r="ABR55" s="115">
        <f t="shared" si="3656"/>
        <v>0</v>
      </c>
      <c r="ABS55" s="115">
        <f t="shared" si="3656"/>
        <v>0</v>
      </c>
      <c r="ABT55" s="115">
        <f t="shared" si="3656"/>
        <v>0</v>
      </c>
      <c r="ABU55" s="115">
        <f t="shared" si="3656"/>
        <v>0</v>
      </c>
      <c r="ABV55" s="115">
        <f t="shared" si="3656"/>
        <v>0</v>
      </c>
      <c r="ABW55" s="115">
        <f t="shared" si="3656"/>
        <v>0</v>
      </c>
      <c r="ABX55" s="115">
        <f t="shared" si="3656"/>
        <v>0</v>
      </c>
      <c r="ABY55" s="115">
        <f t="shared" si="3656"/>
        <v>0</v>
      </c>
      <c r="ABZ55" s="115">
        <f t="shared" si="3656"/>
        <v>0</v>
      </c>
      <c r="ACA55" s="115">
        <f t="shared" si="3656"/>
        <v>0</v>
      </c>
      <c r="ACB55" s="115">
        <f t="shared" si="3656"/>
        <v>0</v>
      </c>
      <c r="ACC55" s="115">
        <f t="shared" si="3656"/>
        <v>0</v>
      </c>
      <c r="ACD55" s="115">
        <f t="shared" si="3656"/>
        <v>0</v>
      </c>
      <c r="ACE55" s="115">
        <f t="shared" si="3656"/>
        <v>0</v>
      </c>
      <c r="ACF55" s="115">
        <f t="shared" si="3656"/>
        <v>0</v>
      </c>
      <c r="ACG55" s="115">
        <f t="shared" si="3656"/>
        <v>0</v>
      </c>
      <c r="ACH55" s="115">
        <f t="shared" si="3656"/>
        <v>0</v>
      </c>
      <c r="ACI55" s="115">
        <f t="shared" si="3656"/>
        <v>0</v>
      </c>
      <c r="ACJ55" s="115">
        <f t="shared" si="3656"/>
        <v>0</v>
      </c>
      <c r="ACK55" s="115">
        <f t="shared" si="3656"/>
        <v>0</v>
      </c>
      <c r="ACL55" s="115">
        <f t="shared" si="3656"/>
        <v>0</v>
      </c>
      <c r="ACM55" s="115">
        <f t="shared" si="3656"/>
        <v>0</v>
      </c>
      <c r="ACN55" s="115">
        <f t="shared" si="3656"/>
        <v>0</v>
      </c>
      <c r="ACO55" s="115">
        <f t="shared" si="3656"/>
        <v>0</v>
      </c>
      <c r="ACP55" s="115">
        <f t="shared" si="3656"/>
        <v>0</v>
      </c>
      <c r="ACQ55" s="115">
        <f t="shared" si="3656"/>
        <v>0</v>
      </c>
      <c r="ACR55" s="115">
        <f t="shared" ref="ACR55:AFC55" si="3657">IF(ACR28+ACR35+ACR42+ACR49&gt;0,ACQ25-ACR28-ACR35-ACR42-ACR49,0)</f>
        <v>0</v>
      </c>
      <c r="ACS55" s="115">
        <f t="shared" si="3657"/>
        <v>0</v>
      </c>
      <c r="ACT55" s="115">
        <f t="shared" si="3657"/>
        <v>0</v>
      </c>
      <c r="ACU55" s="115">
        <f t="shared" si="3657"/>
        <v>0</v>
      </c>
      <c r="ACV55" s="115">
        <f t="shared" si="3657"/>
        <v>0</v>
      </c>
      <c r="ACW55" s="115">
        <f t="shared" si="3657"/>
        <v>0</v>
      </c>
      <c r="ACX55" s="115">
        <f t="shared" si="3657"/>
        <v>0</v>
      </c>
      <c r="ACY55" s="115">
        <f t="shared" si="3657"/>
        <v>0</v>
      </c>
      <c r="ACZ55" s="115">
        <f t="shared" si="3657"/>
        <v>0</v>
      </c>
      <c r="ADA55" s="115">
        <f t="shared" si="3657"/>
        <v>0</v>
      </c>
      <c r="ADB55" s="115">
        <f t="shared" si="3657"/>
        <v>0</v>
      </c>
      <c r="ADC55" s="115">
        <f t="shared" si="3657"/>
        <v>0</v>
      </c>
      <c r="ADD55" s="115">
        <f t="shared" si="3657"/>
        <v>0</v>
      </c>
      <c r="ADE55" s="115">
        <f t="shared" si="3657"/>
        <v>0</v>
      </c>
      <c r="ADF55" s="115">
        <f t="shared" si="3657"/>
        <v>0</v>
      </c>
      <c r="ADG55" s="115">
        <f t="shared" si="3657"/>
        <v>0</v>
      </c>
      <c r="ADH55" s="115">
        <f t="shared" si="3657"/>
        <v>0</v>
      </c>
      <c r="ADI55" s="115">
        <f t="shared" si="3657"/>
        <v>0</v>
      </c>
      <c r="ADJ55" s="115">
        <f t="shared" si="3657"/>
        <v>0</v>
      </c>
      <c r="ADK55" s="115">
        <f t="shared" si="3657"/>
        <v>0</v>
      </c>
      <c r="ADL55" s="115">
        <f t="shared" si="3657"/>
        <v>0</v>
      </c>
      <c r="ADM55" s="115">
        <f t="shared" si="3657"/>
        <v>0</v>
      </c>
      <c r="ADN55" s="115">
        <f t="shared" si="3657"/>
        <v>0</v>
      </c>
      <c r="ADO55" s="115">
        <f t="shared" si="3657"/>
        <v>0</v>
      </c>
      <c r="ADP55" s="115">
        <f t="shared" si="3657"/>
        <v>0</v>
      </c>
      <c r="ADQ55" s="115">
        <f t="shared" si="3657"/>
        <v>0</v>
      </c>
      <c r="ADR55" s="115">
        <f t="shared" si="3657"/>
        <v>0</v>
      </c>
      <c r="ADS55" s="115">
        <f t="shared" si="3657"/>
        <v>0</v>
      </c>
      <c r="ADT55" s="115">
        <f t="shared" si="3657"/>
        <v>0</v>
      </c>
      <c r="ADU55" s="115">
        <f t="shared" si="3657"/>
        <v>0</v>
      </c>
      <c r="ADV55" s="115">
        <f t="shared" si="3657"/>
        <v>0</v>
      </c>
      <c r="ADW55" s="115">
        <f t="shared" si="3657"/>
        <v>0</v>
      </c>
      <c r="ADX55" s="115">
        <f t="shared" si="3657"/>
        <v>0</v>
      </c>
      <c r="ADY55" s="115">
        <f t="shared" si="3657"/>
        <v>0</v>
      </c>
      <c r="ADZ55" s="115">
        <f t="shared" si="3657"/>
        <v>0</v>
      </c>
      <c r="AEA55" s="115">
        <f t="shared" si="3657"/>
        <v>0</v>
      </c>
      <c r="AEB55" s="115">
        <f t="shared" si="3657"/>
        <v>0</v>
      </c>
      <c r="AEC55" s="115">
        <f t="shared" si="3657"/>
        <v>0</v>
      </c>
      <c r="AED55" s="115">
        <f t="shared" si="3657"/>
        <v>0</v>
      </c>
      <c r="AEE55" s="115">
        <f t="shared" si="3657"/>
        <v>0</v>
      </c>
      <c r="AEF55" s="115">
        <f t="shared" si="3657"/>
        <v>0</v>
      </c>
      <c r="AEG55" s="115">
        <f t="shared" si="3657"/>
        <v>0</v>
      </c>
      <c r="AEH55" s="115">
        <f t="shared" si="3657"/>
        <v>0</v>
      </c>
      <c r="AEI55" s="115">
        <f t="shared" si="3657"/>
        <v>0</v>
      </c>
      <c r="AEJ55" s="115">
        <f t="shared" si="3657"/>
        <v>0</v>
      </c>
      <c r="AEK55" s="115">
        <f t="shared" si="3657"/>
        <v>0</v>
      </c>
      <c r="AEL55" s="115">
        <f t="shared" si="3657"/>
        <v>0</v>
      </c>
      <c r="AEM55" s="115">
        <f t="shared" si="3657"/>
        <v>0</v>
      </c>
      <c r="AEN55" s="115">
        <f t="shared" si="3657"/>
        <v>0</v>
      </c>
      <c r="AEO55" s="115">
        <f t="shared" si="3657"/>
        <v>0</v>
      </c>
      <c r="AEP55" s="115">
        <f t="shared" si="3657"/>
        <v>0</v>
      </c>
      <c r="AEQ55" s="115">
        <f t="shared" si="3657"/>
        <v>0</v>
      </c>
      <c r="AER55" s="115">
        <f t="shared" si="3657"/>
        <v>0</v>
      </c>
      <c r="AES55" s="115">
        <f t="shared" si="3657"/>
        <v>0</v>
      </c>
      <c r="AET55" s="115">
        <f t="shared" si="3657"/>
        <v>0</v>
      </c>
      <c r="AEU55" s="115">
        <f t="shared" si="3657"/>
        <v>0</v>
      </c>
      <c r="AEV55" s="115">
        <f t="shared" si="3657"/>
        <v>0</v>
      </c>
      <c r="AEW55" s="115">
        <f t="shared" si="3657"/>
        <v>0</v>
      </c>
      <c r="AEX55" s="115">
        <f t="shared" si="3657"/>
        <v>0</v>
      </c>
      <c r="AEY55" s="115">
        <f t="shared" si="3657"/>
        <v>0</v>
      </c>
      <c r="AEZ55" s="115">
        <f t="shared" si="3657"/>
        <v>0</v>
      </c>
      <c r="AFA55" s="115">
        <f t="shared" si="3657"/>
        <v>0</v>
      </c>
      <c r="AFB55" s="115">
        <f t="shared" si="3657"/>
        <v>0</v>
      </c>
      <c r="AFC55" s="115">
        <f t="shared" si="3657"/>
        <v>0</v>
      </c>
      <c r="AFD55" s="115">
        <f t="shared" ref="AFD55:AHO55" si="3658">IF(AFD28+AFD35+AFD42+AFD49&gt;0,AFC25-AFD28-AFD35-AFD42-AFD49,0)</f>
        <v>0</v>
      </c>
      <c r="AFE55" s="115">
        <f t="shared" si="3658"/>
        <v>0</v>
      </c>
      <c r="AFF55" s="115">
        <f t="shared" si="3658"/>
        <v>0</v>
      </c>
      <c r="AFG55" s="115">
        <f t="shared" si="3658"/>
        <v>0</v>
      </c>
      <c r="AFH55" s="115">
        <f t="shared" si="3658"/>
        <v>0</v>
      </c>
      <c r="AFI55" s="115">
        <f t="shared" si="3658"/>
        <v>0</v>
      </c>
      <c r="AFJ55" s="115">
        <f t="shared" si="3658"/>
        <v>0</v>
      </c>
      <c r="AFK55" s="115">
        <f t="shared" si="3658"/>
        <v>0</v>
      </c>
      <c r="AFL55" s="115">
        <f t="shared" si="3658"/>
        <v>0</v>
      </c>
      <c r="AFM55" s="115">
        <f t="shared" si="3658"/>
        <v>0</v>
      </c>
      <c r="AFN55" s="115">
        <f t="shared" si="3658"/>
        <v>0</v>
      </c>
      <c r="AFO55" s="115">
        <f t="shared" si="3658"/>
        <v>0</v>
      </c>
      <c r="AFP55" s="115">
        <f t="shared" si="3658"/>
        <v>0</v>
      </c>
      <c r="AFQ55" s="115">
        <f t="shared" si="3658"/>
        <v>0</v>
      </c>
      <c r="AFR55" s="115">
        <f t="shared" si="3658"/>
        <v>0</v>
      </c>
      <c r="AFS55" s="115">
        <f t="shared" si="3658"/>
        <v>0</v>
      </c>
      <c r="AFT55" s="115">
        <f t="shared" si="3658"/>
        <v>0</v>
      </c>
      <c r="AFU55" s="115">
        <f t="shared" si="3658"/>
        <v>0</v>
      </c>
      <c r="AFV55" s="115">
        <f t="shared" si="3658"/>
        <v>0</v>
      </c>
      <c r="AFW55" s="115">
        <f t="shared" si="3658"/>
        <v>0</v>
      </c>
      <c r="AFX55" s="115">
        <f t="shared" si="3658"/>
        <v>0</v>
      </c>
      <c r="AFY55" s="115">
        <f t="shared" si="3658"/>
        <v>0</v>
      </c>
      <c r="AFZ55" s="115">
        <f t="shared" si="3658"/>
        <v>0</v>
      </c>
      <c r="AGA55" s="115">
        <f t="shared" si="3658"/>
        <v>0</v>
      </c>
      <c r="AGB55" s="115">
        <f t="shared" si="3658"/>
        <v>0</v>
      </c>
      <c r="AGC55" s="115">
        <f t="shared" si="3658"/>
        <v>0</v>
      </c>
      <c r="AGD55" s="115">
        <f t="shared" si="3658"/>
        <v>0</v>
      </c>
      <c r="AGE55" s="115">
        <f t="shared" si="3658"/>
        <v>0</v>
      </c>
      <c r="AGF55" s="115">
        <f t="shared" si="3658"/>
        <v>0</v>
      </c>
      <c r="AGG55" s="115">
        <f t="shared" si="3658"/>
        <v>0</v>
      </c>
      <c r="AGH55" s="115">
        <f t="shared" si="3658"/>
        <v>0</v>
      </c>
      <c r="AGI55" s="115">
        <f t="shared" si="3658"/>
        <v>0</v>
      </c>
      <c r="AGJ55" s="115">
        <f t="shared" si="3658"/>
        <v>0</v>
      </c>
      <c r="AGK55" s="115">
        <f t="shared" si="3658"/>
        <v>0</v>
      </c>
      <c r="AGL55" s="115">
        <f t="shared" si="3658"/>
        <v>0</v>
      </c>
      <c r="AGM55" s="115">
        <f t="shared" si="3658"/>
        <v>0</v>
      </c>
      <c r="AGN55" s="115">
        <f t="shared" si="3658"/>
        <v>0</v>
      </c>
      <c r="AGO55" s="115">
        <f t="shared" si="3658"/>
        <v>0</v>
      </c>
      <c r="AGP55" s="115">
        <f t="shared" si="3658"/>
        <v>0</v>
      </c>
      <c r="AGQ55" s="115">
        <f t="shared" si="3658"/>
        <v>0</v>
      </c>
      <c r="AGR55" s="115">
        <f t="shared" si="3658"/>
        <v>0</v>
      </c>
      <c r="AGS55" s="115">
        <f t="shared" si="3658"/>
        <v>0</v>
      </c>
      <c r="AGT55" s="115">
        <f t="shared" si="3658"/>
        <v>0</v>
      </c>
      <c r="AGU55" s="115">
        <f t="shared" si="3658"/>
        <v>0</v>
      </c>
      <c r="AGV55" s="115">
        <f t="shared" si="3658"/>
        <v>0</v>
      </c>
      <c r="AGW55" s="115">
        <f t="shared" si="3658"/>
        <v>0</v>
      </c>
      <c r="AGX55" s="115">
        <f t="shared" si="3658"/>
        <v>0</v>
      </c>
      <c r="AGY55" s="115">
        <f t="shared" si="3658"/>
        <v>0</v>
      </c>
      <c r="AGZ55" s="115">
        <f t="shared" si="3658"/>
        <v>0</v>
      </c>
      <c r="AHA55" s="115">
        <f t="shared" si="3658"/>
        <v>0</v>
      </c>
      <c r="AHB55" s="115">
        <f t="shared" si="3658"/>
        <v>0</v>
      </c>
      <c r="AHC55" s="115">
        <f t="shared" si="3658"/>
        <v>0</v>
      </c>
      <c r="AHD55" s="115">
        <f t="shared" si="3658"/>
        <v>0</v>
      </c>
      <c r="AHE55" s="115">
        <f t="shared" si="3658"/>
        <v>0</v>
      </c>
      <c r="AHF55" s="115">
        <f t="shared" si="3658"/>
        <v>0</v>
      </c>
      <c r="AHG55" s="115">
        <f t="shared" si="3658"/>
        <v>0</v>
      </c>
      <c r="AHH55" s="115">
        <f t="shared" si="3658"/>
        <v>0</v>
      </c>
      <c r="AHI55" s="115">
        <f t="shared" si="3658"/>
        <v>0</v>
      </c>
      <c r="AHJ55" s="115">
        <f t="shared" si="3658"/>
        <v>0</v>
      </c>
      <c r="AHK55" s="115">
        <f t="shared" si="3658"/>
        <v>0</v>
      </c>
      <c r="AHL55" s="115">
        <f t="shared" si="3658"/>
        <v>0</v>
      </c>
      <c r="AHM55" s="115">
        <f t="shared" si="3658"/>
        <v>0</v>
      </c>
      <c r="AHN55" s="115">
        <f t="shared" si="3658"/>
        <v>0</v>
      </c>
      <c r="AHO55" s="115">
        <f t="shared" si="3658"/>
        <v>0</v>
      </c>
      <c r="AHP55" s="115">
        <f t="shared" ref="AHP55:AKA55" si="3659">IF(AHP28+AHP35+AHP42+AHP49&gt;0,AHO25-AHP28-AHP35-AHP42-AHP49,0)</f>
        <v>0</v>
      </c>
      <c r="AHQ55" s="115">
        <f t="shared" si="3659"/>
        <v>0</v>
      </c>
      <c r="AHR55" s="115">
        <f t="shared" si="3659"/>
        <v>0</v>
      </c>
      <c r="AHS55" s="115">
        <f t="shared" si="3659"/>
        <v>0</v>
      </c>
      <c r="AHT55" s="115">
        <f t="shared" si="3659"/>
        <v>0</v>
      </c>
      <c r="AHU55" s="115">
        <f t="shared" si="3659"/>
        <v>0</v>
      </c>
      <c r="AHV55" s="115">
        <f t="shared" si="3659"/>
        <v>0</v>
      </c>
      <c r="AHW55" s="115">
        <f t="shared" si="3659"/>
        <v>0</v>
      </c>
      <c r="AHX55" s="115">
        <f t="shared" si="3659"/>
        <v>0</v>
      </c>
      <c r="AHY55" s="115">
        <f t="shared" si="3659"/>
        <v>0</v>
      </c>
      <c r="AHZ55" s="115">
        <f t="shared" si="3659"/>
        <v>0</v>
      </c>
      <c r="AIA55" s="115">
        <f t="shared" si="3659"/>
        <v>0</v>
      </c>
      <c r="AIB55" s="115">
        <f t="shared" si="3659"/>
        <v>0</v>
      </c>
      <c r="AIC55" s="115">
        <f t="shared" si="3659"/>
        <v>0</v>
      </c>
      <c r="AID55" s="115">
        <f t="shared" si="3659"/>
        <v>0</v>
      </c>
      <c r="AIE55" s="115">
        <f t="shared" si="3659"/>
        <v>0</v>
      </c>
      <c r="AIF55" s="115">
        <f t="shared" si="3659"/>
        <v>0</v>
      </c>
      <c r="AIG55" s="115">
        <f t="shared" si="3659"/>
        <v>0</v>
      </c>
      <c r="AIH55" s="115">
        <f t="shared" si="3659"/>
        <v>0</v>
      </c>
      <c r="AII55" s="115">
        <f t="shared" si="3659"/>
        <v>0</v>
      </c>
      <c r="AIJ55" s="115">
        <f t="shared" si="3659"/>
        <v>0</v>
      </c>
      <c r="AIK55" s="115">
        <f t="shared" si="3659"/>
        <v>0</v>
      </c>
      <c r="AIL55" s="115">
        <f t="shared" si="3659"/>
        <v>0</v>
      </c>
      <c r="AIM55" s="115">
        <f t="shared" si="3659"/>
        <v>0</v>
      </c>
      <c r="AIN55" s="115">
        <f t="shared" si="3659"/>
        <v>0</v>
      </c>
      <c r="AIO55" s="115">
        <f t="shared" si="3659"/>
        <v>0</v>
      </c>
      <c r="AIP55" s="115">
        <f t="shared" si="3659"/>
        <v>0</v>
      </c>
      <c r="AIQ55" s="115">
        <f t="shared" si="3659"/>
        <v>0</v>
      </c>
      <c r="AIR55" s="115">
        <f t="shared" si="3659"/>
        <v>0</v>
      </c>
      <c r="AIS55" s="115">
        <f t="shared" si="3659"/>
        <v>0</v>
      </c>
      <c r="AIT55" s="115">
        <f t="shared" si="3659"/>
        <v>0</v>
      </c>
      <c r="AIU55" s="115">
        <f t="shared" si="3659"/>
        <v>0</v>
      </c>
      <c r="AIV55" s="115">
        <f t="shared" si="3659"/>
        <v>0</v>
      </c>
      <c r="AIW55" s="115">
        <f t="shared" si="3659"/>
        <v>0</v>
      </c>
      <c r="AIX55" s="115">
        <f t="shared" si="3659"/>
        <v>0</v>
      </c>
      <c r="AIY55" s="115">
        <f t="shared" si="3659"/>
        <v>0</v>
      </c>
      <c r="AIZ55" s="115">
        <f t="shared" si="3659"/>
        <v>0</v>
      </c>
      <c r="AJA55" s="115">
        <f t="shared" si="3659"/>
        <v>0</v>
      </c>
      <c r="AJB55" s="115">
        <f t="shared" si="3659"/>
        <v>0</v>
      </c>
      <c r="AJC55" s="115">
        <f t="shared" si="3659"/>
        <v>0</v>
      </c>
      <c r="AJD55" s="115">
        <f t="shared" si="3659"/>
        <v>0</v>
      </c>
      <c r="AJE55" s="115">
        <f t="shared" si="3659"/>
        <v>0</v>
      </c>
      <c r="AJF55" s="115">
        <f t="shared" si="3659"/>
        <v>0</v>
      </c>
      <c r="AJG55" s="115">
        <f t="shared" si="3659"/>
        <v>0</v>
      </c>
      <c r="AJH55" s="115">
        <f t="shared" si="3659"/>
        <v>0</v>
      </c>
      <c r="AJI55" s="115">
        <f t="shared" si="3659"/>
        <v>0</v>
      </c>
      <c r="AJJ55" s="115">
        <f t="shared" si="3659"/>
        <v>0</v>
      </c>
      <c r="AJK55" s="115">
        <f t="shared" si="3659"/>
        <v>0</v>
      </c>
      <c r="AJL55" s="115">
        <f t="shared" si="3659"/>
        <v>0</v>
      </c>
      <c r="AJM55" s="115">
        <f t="shared" si="3659"/>
        <v>0</v>
      </c>
      <c r="AJN55" s="115">
        <f t="shared" si="3659"/>
        <v>0</v>
      </c>
      <c r="AJO55" s="115">
        <f t="shared" si="3659"/>
        <v>0</v>
      </c>
      <c r="AJP55" s="115">
        <f t="shared" si="3659"/>
        <v>0</v>
      </c>
      <c r="AJQ55" s="115">
        <f t="shared" si="3659"/>
        <v>0</v>
      </c>
      <c r="AJR55" s="115">
        <f t="shared" si="3659"/>
        <v>0</v>
      </c>
      <c r="AJS55" s="115">
        <f t="shared" si="3659"/>
        <v>0</v>
      </c>
      <c r="AJT55" s="115">
        <f t="shared" si="3659"/>
        <v>0</v>
      </c>
      <c r="AJU55" s="115">
        <f t="shared" si="3659"/>
        <v>0</v>
      </c>
      <c r="AJV55" s="115">
        <f t="shared" si="3659"/>
        <v>0</v>
      </c>
      <c r="AJW55" s="115">
        <f t="shared" si="3659"/>
        <v>0</v>
      </c>
      <c r="AJX55" s="115">
        <f t="shared" si="3659"/>
        <v>0</v>
      </c>
      <c r="AJY55" s="115">
        <f t="shared" si="3659"/>
        <v>0</v>
      </c>
      <c r="AJZ55" s="115">
        <f t="shared" si="3659"/>
        <v>0</v>
      </c>
      <c r="AKA55" s="115">
        <f t="shared" si="3659"/>
        <v>0</v>
      </c>
      <c r="AKB55" s="115">
        <f t="shared" ref="AKB55:AMM55" si="3660">IF(AKB28+AKB35+AKB42+AKB49&gt;0,AKA25-AKB28-AKB35-AKB42-AKB49,0)</f>
        <v>0</v>
      </c>
      <c r="AKC55" s="115">
        <f t="shared" si="3660"/>
        <v>0</v>
      </c>
      <c r="AKD55" s="115">
        <f t="shared" si="3660"/>
        <v>0</v>
      </c>
      <c r="AKE55" s="115">
        <f t="shared" si="3660"/>
        <v>0</v>
      </c>
      <c r="AKF55" s="115">
        <f t="shared" si="3660"/>
        <v>0</v>
      </c>
      <c r="AKG55" s="115">
        <f t="shared" si="3660"/>
        <v>0</v>
      </c>
      <c r="AKH55" s="115">
        <f t="shared" si="3660"/>
        <v>0</v>
      </c>
      <c r="AKI55" s="115">
        <f t="shared" si="3660"/>
        <v>0</v>
      </c>
      <c r="AKJ55" s="115">
        <f t="shared" si="3660"/>
        <v>0</v>
      </c>
      <c r="AKK55" s="115">
        <f t="shared" si="3660"/>
        <v>0</v>
      </c>
      <c r="AKL55" s="115">
        <f t="shared" si="3660"/>
        <v>0</v>
      </c>
      <c r="AKM55" s="115">
        <f t="shared" si="3660"/>
        <v>0</v>
      </c>
      <c r="AKN55" s="115">
        <f t="shared" si="3660"/>
        <v>0</v>
      </c>
      <c r="AKO55" s="115">
        <f t="shared" si="3660"/>
        <v>0</v>
      </c>
      <c r="AKP55" s="115">
        <f t="shared" si="3660"/>
        <v>0</v>
      </c>
      <c r="AKQ55" s="115">
        <f t="shared" si="3660"/>
        <v>0</v>
      </c>
      <c r="AKR55" s="115">
        <f t="shared" si="3660"/>
        <v>0</v>
      </c>
      <c r="AKS55" s="115">
        <f t="shared" si="3660"/>
        <v>0</v>
      </c>
      <c r="AKT55" s="115">
        <f t="shared" si="3660"/>
        <v>0</v>
      </c>
      <c r="AKU55" s="115">
        <f t="shared" si="3660"/>
        <v>0</v>
      </c>
      <c r="AKV55" s="115">
        <f t="shared" si="3660"/>
        <v>0</v>
      </c>
      <c r="AKW55" s="115">
        <f t="shared" si="3660"/>
        <v>0</v>
      </c>
      <c r="AKX55" s="115">
        <f t="shared" si="3660"/>
        <v>0</v>
      </c>
      <c r="AKY55" s="115">
        <f t="shared" si="3660"/>
        <v>0</v>
      </c>
      <c r="AKZ55" s="115">
        <f t="shared" si="3660"/>
        <v>0</v>
      </c>
      <c r="ALA55" s="115">
        <f t="shared" si="3660"/>
        <v>0</v>
      </c>
      <c r="ALB55" s="115">
        <f t="shared" si="3660"/>
        <v>0</v>
      </c>
      <c r="ALC55" s="115">
        <f t="shared" si="3660"/>
        <v>0</v>
      </c>
      <c r="ALD55" s="115">
        <f t="shared" si="3660"/>
        <v>0</v>
      </c>
      <c r="ALE55" s="115">
        <f t="shared" si="3660"/>
        <v>0</v>
      </c>
      <c r="ALF55" s="115">
        <f t="shared" si="3660"/>
        <v>0</v>
      </c>
      <c r="ALG55" s="115">
        <f t="shared" si="3660"/>
        <v>0</v>
      </c>
      <c r="ALH55" s="115">
        <f t="shared" si="3660"/>
        <v>0</v>
      </c>
      <c r="ALI55" s="115">
        <f t="shared" si="3660"/>
        <v>0</v>
      </c>
      <c r="ALJ55" s="115">
        <f t="shared" si="3660"/>
        <v>0</v>
      </c>
      <c r="ALK55" s="115">
        <f t="shared" si="3660"/>
        <v>0</v>
      </c>
      <c r="ALL55" s="115">
        <f t="shared" si="3660"/>
        <v>0</v>
      </c>
      <c r="ALM55" s="115">
        <f t="shared" si="3660"/>
        <v>0</v>
      </c>
      <c r="ALN55" s="115">
        <f t="shared" si="3660"/>
        <v>0</v>
      </c>
      <c r="ALO55" s="115">
        <f t="shared" si="3660"/>
        <v>0</v>
      </c>
      <c r="ALP55" s="115">
        <f t="shared" si="3660"/>
        <v>0</v>
      </c>
      <c r="ALQ55" s="115">
        <f t="shared" si="3660"/>
        <v>0</v>
      </c>
      <c r="ALR55" s="115">
        <f t="shared" si="3660"/>
        <v>0</v>
      </c>
      <c r="ALS55" s="115">
        <f t="shared" si="3660"/>
        <v>0</v>
      </c>
      <c r="ALT55" s="115">
        <f t="shared" si="3660"/>
        <v>0</v>
      </c>
      <c r="ALU55" s="115">
        <f t="shared" si="3660"/>
        <v>0</v>
      </c>
      <c r="ALV55" s="115">
        <f t="shared" si="3660"/>
        <v>0</v>
      </c>
      <c r="ALW55" s="115">
        <f t="shared" si="3660"/>
        <v>0</v>
      </c>
      <c r="ALX55" s="115">
        <f t="shared" si="3660"/>
        <v>0</v>
      </c>
      <c r="ALY55" s="115">
        <f t="shared" si="3660"/>
        <v>0</v>
      </c>
      <c r="ALZ55" s="115">
        <f t="shared" si="3660"/>
        <v>0</v>
      </c>
      <c r="AMA55" s="115">
        <f t="shared" si="3660"/>
        <v>0</v>
      </c>
      <c r="AMB55" s="115">
        <f t="shared" si="3660"/>
        <v>0</v>
      </c>
      <c r="AMC55" s="115">
        <f t="shared" si="3660"/>
        <v>0</v>
      </c>
      <c r="AMD55" s="115">
        <f t="shared" si="3660"/>
        <v>0</v>
      </c>
      <c r="AME55" s="115">
        <f t="shared" si="3660"/>
        <v>0</v>
      </c>
      <c r="AMF55" s="115">
        <f t="shared" si="3660"/>
        <v>0</v>
      </c>
      <c r="AMG55" s="115">
        <f t="shared" si="3660"/>
        <v>0</v>
      </c>
      <c r="AMH55" s="115">
        <f t="shared" si="3660"/>
        <v>0</v>
      </c>
      <c r="AMI55" s="115">
        <f t="shared" si="3660"/>
        <v>0</v>
      </c>
      <c r="AMJ55" s="115">
        <f t="shared" si="3660"/>
        <v>0</v>
      </c>
      <c r="AMK55" s="115">
        <f t="shared" si="3660"/>
        <v>0</v>
      </c>
      <c r="AML55" s="115">
        <f t="shared" si="3660"/>
        <v>0</v>
      </c>
      <c r="AMM55" s="115">
        <f t="shared" si="3660"/>
        <v>0</v>
      </c>
      <c r="AMN55" s="115">
        <f t="shared" ref="AMN55:AOQ55" si="3661">IF(AMN28+AMN35+AMN42+AMN49&gt;0,AMM25-AMN28-AMN35-AMN42-AMN49,0)</f>
        <v>0</v>
      </c>
      <c r="AMO55" s="115">
        <f t="shared" si="3661"/>
        <v>0</v>
      </c>
      <c r="AMP55" s="115">
        <f t="shared" si="3661"/>
        <v>0</v>
      </c>
      <c r="AMQ55" s="115">
        <f t="shared" si="3661"/>
        <v>0</v>
      </c>
      <c r="AMR55" s="115">
        <f t="shared" si="3661"/>
        <v>0</v>
      </c>
      <c r="AMS55" s="115">
        <f t="shared" si="3661"/>
        <v>0</v>
      </c>
      <c r="AMT55" s="115">
        <f t="shared" si="3661"/>
        <v>0</v>
      </c>
      <c r="AMU55" s="115">
        <f t="shared" si="3661"/>
        <v>0</v>
      </c>
      <c r="AMV55" s="115">
        <f t="shared" si="3661"/>
        <v>0</v>
      </c>
      <c r="AMW55" s="115">
        <f t="shared" si="3661"/>
        <v>0</v>
      </c>
      <c r="AMX55" s="115">
        <f t="shared" si="3661"/>
        <v>0</v>
      </c>
      <c r="AMY55" s="115">
        <f t="shared" si="3661"/>
        <v>0</v>
      </c>
      <c r="AMZ55" s="115">
        <f t="shared" si="3661"/>
        <v>0</v>
      </c>
      <c r="ANA55" s="115">
        <f t="shared" si="3661"/>
        <v>0</v>
      </c>
      <c r="ANB55" s="115">
        <f t="shared" si="3661"/>
        <v>0</v>
      </c>
      <c r="ANC55" s="115">
        <f t="shared" si="3661"/>
        <v>0</v>
      </c>
      <c r="AND55" s="115">
        <f t="shared" si="3661"/>
        <v>0</v>
      </c>
      <c r="ANE55" s="115">
        <f t="shared" si="3661"/>
        <v>0</v>
      </c>
      <c r="ANF55" s="115">
        <f t="shared" si="3661"/>
        <v>0</v>
      </c>
      <c r="ANG55" s="115">
        <f t="shared" si="3661"/>
        <v>0</v>
      </c>
      <c r="ANH55" s="115">
        <f t="shared" si="3661"/>
        <v>0</v>
      </c>
      <c r="ANI55" s="115">
        <f t="shared" si="3661"/>
        <v>0</v>
      </c>
      <c r="ANJ55" s="115">
        <f t="shared" si="3661"/>
        <v>0</v>
      </c>
      <c r="ANK55" s="115">
        <f t="shared" si="3661"/>
        <v>0</v>
      </c>
      <c r="ANL55" s="115">
        <f t="shared" si="3661"/>
        <v>0</v>
      </c>
      <c r="ANM55" s="115">
        <f t="shared" si="3661"/>
        <v>0</v>
      </c>
      <c r="ANN55" s="115">
        <f t="shared" si="3661"/>
        <v>0</v>
      </c>
      <c r="ANO55" s="115">
        <f t="shared" si="3661"/>
        <v>0</v>
      </c>
      <c r="ANP55" s="115">
        <f t="shared" si="3661"/>
        <v>0</v>
      </c>
      <c r="ANQ55" s="115">
        <f t="shared" si="3661"/>
        <v>0</v>
      </c>
      <c r="ANR55" s="115">
        <f t="shared" si="3661"/>
        <v>0</v>
      </c>
      <c r="ANS55" s="115">
        <f t="shared" si="3661"/>
        <v>0</v>
      </c>
      <c r="ANT55" s="115">
        <f t="shared" si="3661"/>
        <v>0</v>
      </c>
      <c r="ANU55" s="115">
        <f t="shared" si="3661"/>
        <v>0</v>
      </c>
      <c r="ANV55" s="115">
        <f t="shared" si="3661"/>
        <v>0</v>
      </c>
      <c r="ANW55" s="115">
        <f t="shared" si="3661"/>
        <v>0</v>
      </c>
      <c r="ANX55" s="115">
        <f t="shared" si="3661"/>
        <v>0</v>
      </c>
      <c r="ANY55" s="115">
        <f t="shared" si="3661"/>
        <v>0</v>
      </c>
      <c r="ANZ55" s="115">
        <f t="shared" si="3661"/>
        <v>0</v>
      </c>
      <c r="AOA55" s="115">
        <f t="shared" si="3661"/>
        <v>0</v>
      </c>
      <c r="AOB55" s="115">
        <f t="shared" si="3661"/>
        <v>0</v>
      </c>
      <c r="AOC55" s="115">
        <f t="shared" si="3661"/>
        <v>0</v>
      </c>
      <c r="AOD55" s="115">
        <f t="shared" si="3661"/>
        <v>0</v>
      </c>
      <c r="AOE55" s="115">
        <f t="shared" si="3661"/>
        <v>0</v>
      </c>
      <c r="AOF55" s="115">
        <f t="shared" si="3661"/>
        <v>0</v>
      </c>
      <c r="AOG55" s="115">
        <f t="shared" si="3661"/>
        <v>0</v>
      </c>
      <c r="AOH55" s="115">
        <f t="shared" si="3661"/>
        <v>0</v>
      </c>
      <c r="AOI55" s="115">
        <f t="shared" si="3661"/>
        <v>0</v>
      </c>
      <c r="AOJ55" s="115">
        <f t="shared" si="3661"/>
        <v>0</v>
      </c>
      <c r="AOK55" s="115">
        <f t="shared" si="3661"/>
        <v>0</v>
      </c>
      <c r="AOL55" s="115">
        <f t="shared" si="3661"/>
        <v>0</v>
      </c>
      <c r="AOM55" s="115">
        <f t="shared" si="3661"/>
        <v>0</v>
      </c>
      <c r="AON55" s="115">
        <f t="shared" si="3661"/>
        <v>0</v>
      </c>
      <c r="AOO55" s="115">
        <f t="shared" si="3661"/>
        <v>0</v>
      </c>
      <c r="AOP55" s="115">
        <f t="shared" si="3661"/>
        <v>0</v>
      </c>
      <c r="AOQ55" s="115">
        <f t="shared" si="3661"/>
        <v>0</v>
      </c>
    </row>
    <row r="56" spans="1:1083" x14ac:dyDescent="0.25">
      <c r="B56" s="116" t="s">
        <v>269</v>
      </c>
      <c r="C56" s="115">
        <f>SUM(D56:AOQ56)</f>
        <v>0</v>
      </c>
      <c r="D56" s="115">
        <v>0</v>
      </c>
      <c r="E56" s="115">
        <f>IF(SUM($D$49:D49)=0,0,IF(IF(E55&gt;0,E55-(IF(SUM($D56:D56)&gt;0,0,IF(D$25&gt;D54,D54,0))),0)&lt;0,0,(IF(SUM($D56:D56)&gt;0,0,IF(D$25&gt;D54,D54,0)))))</f>
        <v>0</v>
      </c>
      <c r="F56" s="115">
        <f>IF(SUM($D$49:E49)=0,0,IF(IF(F55&gt;0,F55-(IF(SUM($D56:E56)&gt;0,0,IF(E$25&gt;E54,E54,0))),0)&lt;0,0,(IF(SUM($D56:E56)&gt;0,0,IF(E$25&gt;E54,E54,0)))))</f>
        <v>0</v>
      </c>
      <c r="G56" s="115">
        <f>IF(SUM($D$49:F49)=0,0,IF(IF(G55&gt;0,G55-(IF(SUM($D56:F56)&gt;0,0,IF(F$25&gt;F54,F54,0))),0)&lt;0,0,(IF(SUM($D56:F56)&gt;0,0,IF(F$25&gt;F54,F54,0)))))</f>
        <v>0</v>
      </c>
      <c r="H56" s="115">
        <f>IF(SUM($D$49:G49)=0,0,IF(IF(H55&gt;0,H55-(IF(SUM($D56:G56)&gt;0,0,IF(G$25&gt;G54,G54,0))),0)&lt;0,0,(IF(SUM($D56:G56)&gt;0,0,IF(G$25&gt;G54,G54,0)))))</f>
        <v>0</v>
      </c>
      <c r="I56" s="115">
        <f>IF(SUM($D$49:H49)=0,0,IF(IF(I55&gt;0,I55-(IF(SUM($D56:H56)&gt;0,0,IF(H$25&gt;H54,H54,0))),0)&lt;0,0,(IF(SUM($D56:H56)&gt;0,0,IF(H$25&gt;H54,H54,0)))))</f>
        <v>0</v>
      </c>
      <c r="J56" s="115">
        <f>IF(SUM($D$49:I49)=0,0,IF(IF(J55&gt;0,J55-(IF(SUM($D56:I56)&gt;0,0,IF(I$25&gt;I54,I54,0))),0)&lt;0,0,(IF(SUM($D56:I56)&gt;0,0,IF(I$25&gt;I54,I54,0)))))</f>
        <v>0</v>
      </c>
      <c r="K56" s="115">
        <f>IF(SUM($D$49:J49)=0,0,IF(IF(K55&gt;0,K55-(IF(SUM($D56:J56)&gt;0,0,IF(J$25&gt;J54,J54,0))),0)&lt;0,0,(IF(SUM($D56:J56)&gt;0,0,IF(J$25&gt;J54,J54,0)))))</f>
        <v>0</v>
      </c>
      <c r="L56" s="115">
        <f>IF(SUM($D$49:K49)=0,0,IF(IF(L55&gt;0,L55-(IF(SUM($D56:K56)&gt;0,0,IF(K$25&gt;K54,K54,0))),0)&lt;0,0,(IF(SUM($D56:K56)&gt;0,0,IF(K$25&gt;K54,K54,0)))))</f>
        <v>0</v>
      </c>
      <c r="M56" s="115">
        <f>IF(SUM($D$49:L49)=0,0,IF(IF(M55&gt;0,M55-(IF(SUM($D56:L56)&gt;0,0,IF(L$25&gt;L54,L54,0))),0)&lt;0,0,(IF(SUM($D56:L56)&gt;0,0,IF(L$25&gt;L54,L54,0)))))</f>
        <v>0</v>
      </c>
      <c r="N56" s="115">
        <f>IF(SUM($D$49:M49)=0,0,IF(IF(N55&gt;0,N55-(IF(SUM($D56:M56)&gt;0,0,IF(M$25&gt;M54,M54,0))),0)&lt;0,0,(IF(SUM($D56:M56)&gt;0,0,IF(M$25&gt;M54,M54,0)))))</f>
        <v>0</v>
      </c>
      <c r="O56" s="115">
        <f>IF(SUM($D$49:N49)=0,0,IF(IF(O55&gt;0,O55-(IF(SUM($D56:N56)&gt;0,0,IF(N$25&gt;N54,N54,0))),0)&lt;0,0,(IF(SUM($D56:N56)&gt;0,0,IF(N$25&gt;N54,N54,0)))))</f>
        <v>0</v>
      </c>
      <c r="P56" s="115">
        <f>IF(SUM($D$49:O49)=0,0,IF(IF(P55&gt;0,P55-(IF(SUM($D56:O56)&gt;0,0,IF(O$25&gt;O54,O54,0))),0)&lt;0,0,(IF(SUM($D56:O56)&gt;0,0,IF(O$25&gt;O54,O54,0)))))</f>
        <v>0</v>
      </c>
      <c r="Q56" s="115">
        <f>IF(SUM($D$49:P49)=0,0,IF(IF(Q55&gt;0,Q55-(IF(SUM($D56:P56)&gt;0,0,IF(P$25&gt;P54,P54,0))),0)&lt;0,0,(IF(SUM($D56:P56)&gt;0,0,IF(P$25&gt;P54,P54,0)))))</f>
        <v>0</v>
      </c>
      <c r="R56" s="115">
        <f>IF(SUM($D$49:Q49)=0,0,IF(IF(R55&gt;0,R55-(IF(SUM($D56:Q56)&gt;0,0,IF(Q$25&gt;Q54,Q54,0))),0)&lt;0,0,(IF(SUM($D56:Q56)&gt;0,0,IF(Q$25&gt;Q54,Q54,0)))))</f>
        <v>0</v>
      </c>
      <c r="S56" s="115">
        <f>IF(SUM($D$49:R49)=0,0,IF(IF(S55&gt;0,S55-(IF(SUM($D56:R56)&gt;0,0,IF(R$25&gt;R54,R54,0))),0)&lt;0,0,(IF(SUM($D56:R56)&gt;0,0,IF(R$25&gt;R54,R54,0)))))</f>
        <v>0</v>
      </c>
      <c r="T56" s="115">
        <f>IF(SUM($D$49:S49)=0,0,IF(IF(T55&gt;0,T55-(IF(SUM($D56:S56)&gt;0,0,IF(S$25&gt;S54,S54,0))),0)&lt;0,0,(IF(SUM($D56:S56)&gt;0,0,IF(S$25&gt;S54,S54,0)))))</f>
        <v>0</v>
      </c>
      <c r="U56" s="115">
        <f>IF(SUM($D$49:T49)=0,0,IF(IF(U55&gt;0,U55-(IF(SUM($D56:T56)&gt;0,0,IF(T$25&gt;T54,T54,0))),0)&lt;0,0,(IF(SUM($D56:T56)&gt;0,0,IF(T$25&gt;T54,T54,0)))))</f>
        <v>0</v>
      </c>
      <c r="V56" s="115">
        <f>IF(SUM($D$49:U49)=0,0,IF(IF(V55&gt;0,V55-(IF(SUM($D56:U56)&gt;0,0,IF(U$25&gt;U54,U54,0))),0)&lt;0,0,(IF(SUM($D56:U56)&gt;0,0,IF(U$25&gt;U54,U54,0)))))</f>
        <v>0</v>
      </c>
      <c r="W56" s="115">
        <f>IF(SUM($D$49:V49)=0,0,IF(IF(W55&gt;0,W55-(IF(SUM($D56:V56)&gt;0,0,IF(V$25&gt;V54,V54,0))),0)&lt;0,0,(IF(SUM($D56:V56)&gt;0,0,IF(V$25&gt;V54,V54,0)))))</f>
        <v>0</v>
      </c>
      <c r="X56" s="115">
        <f>IF(SUM($D$49:W49)=0,0,IF(IF(X55&gt;0,X55-(IF(SUM($D56:W56)&gt;0,0,IF(W$25&gt;W54,W54,0))),0)&lt;0,0,(IF(SUM($D56:W56)&gt;0,0,IF(W$25&gt;W54,W54,0)))))</f>
        <v>0</v>
      </c>
      <c r="Y56" s="115">
        <f>IF(SUM($D$49:X49)=0,0,IF(IF(Y55&gt;0,Y55-(IF(SUM($D56:X56)&gt;0,0,IF(X$25&gt;X54,X54,0))),0)&lt;0,0,(IF(SUM($D56:X56)&gt;0,0,IF(X$25&gt;X54,X54,0)))))</f>
        <v>0</v>
      </c>
      <c r="Z56" s="115">
        <f>IF(SUM($D$49:Y49)=0,0,IF(IF(Z55&gt;0,Z55-(IF(SUM($D56:Y56)&gt;0,0,IF(Y$25&gt;Y54,Y54,0))),0)&lt;0,0,(IF(SUM($D56:Y56)&gt;0,0,IF(Y$25&gt;Y54,Y54,0)))))</f>
        <v>0</v>
      </c>
      <c r="AA56" s="115">
        <f>IF(SUM($D$49:Z49)=0,0,IF(IF(AA55&gt;0,AA55-(IF(SUM($D56:Z56)&gt;0,0,IF(Z$25&gt;Z54,Z54,0))),0)&lt;0,0,(IF(SUM($D56:Z56)&gt;0,0,IF(Z$25&gt;Z54,Z54,0)))))</f>
        <v>0</v>
      </c>
      <c r="AB56" s="115">
        <f>IF(SUM($D$49:AA49)=0,0,IF(IF(AB55&gt;0,AB55-(IF(SUM($D56:AA56)&gt;0,0,IF(AA$25&gt;AA54,AA54,0))),0)&lt;0,0,(IF(SUM($D56:AA56)&gt;0,0,IF(AA$25&gt;AA54,AA54,0)))))</f>
        <v>0</v>
      </c>
      <c r="AC56" s="115">
        <f>IF(SUM($D$49:AB49)=0,0,IF(IF(AC55&gt;0,AC55-(IF(SUM($D56:AB56)&gt;0,0,IF(AB$25&gt;AB54,AB54,0))),0)&lt;0,0,(IF(SUM($D56:AB56)&gt;0,0,IF(AB$25&gt;AB54,AB54,0)))))</f>
        <v>0</v>
      </c>
      <c r="AD56" s="115">
        <f>IF(SUM($D$49:AC49)=0,0,IF(IF(AD55&gt;0,AD55-(IF(SUM($D56:AC56)&gt;0,0,IF(AC$25&gt;AC54,AC54,0))),0)&lt;0,0,(IF(SUM($D56:AC56)&gt;0,0,IF(AC$25&gt;AC54,AC54,0)))))</f>
        <v>0</v>
      </c>
      <c r="AE56" s="115">
        <f>IF(SUM($D$49:AD49)=0,0,IF(IF(AE55&gt;0,AE55-(IF(SUM($D56:AD56)&gt;0,0,IF(AD$25&gt;AD54,AD54,0))),0)&lt;0,0,(IF(SUM($D56:AD56)&gt;0,0,IF(AD$25&gt;AD54,AD54,0)))))</f>
        <v>0</v>
      </c>
      <c r="AF56" s="115">
        <f>IF(SUM($D$49:AE49)=0,0,IF(IF(AF55&gt;0,AF55-(IF(SUM($D56:AE56)&gt;0,0,IF(AE$25&gt;AE54,AE54,0))),0)&lt;0,0,(IF(SUM($D56:AE56)&gt;0,0,IF(AE$25&gt;AE54,AE54,0)))))</f>
        <v>0</v>
      </c>
      <c r="AG56" s="115">
        <f>IF(SUM($D$49:AF49)=0,0,IF(IF(AG55&gt;0,AG55-(IF(SUM($D56:AF56)&gt;0,0,IF(AF$25&gt;AF54,AF54,0))),0)&lt;0,0,(IF(SUM($D56:AF56)&gt;0,0,IF(AF$25&gt;AF54,AF54,0)))))</f>
        <v>0</v>
      </c>
      <c r="AH56" s="115">
        <f>IF(SUM($D$49:AG49)=0,0,IF(IF(AH55&gt;0,AH55-(IF(SUM($D56:AG56)&gt;0,0,IF(AG$25&gt;AG54,AG54,0))),0)&lt;0,0,(IF(SUM($D56:AG56)&gt;0,0,IF(AG$25&gt;AG54,AG54,0)))))</f>
        <v>0</v>
      </c>
      <c r="AI56" s="115">
        <f>IF(SUM($D$49:AH49)=0,0,IF(IF(AI55&gt;0,AI55-(IF(SUM($D56:AH56)&gt;0,0,IF(AH$25&gt;AH54,AH54,0))),0)&lt;0,0,(IF(SUM($D56:AH56)&gt;0,0,IF(AH$25&gt;AH54,AH54,0)))))</f>
        <v>0</v>
      </c>
      <c r="AJ56" s="115">
        <f>IF(SUM($D$49:AI49)=0,0,IF(IF(AJ55&gt;0,AJ55-(IF(SUM($D56:AI56)&gt;0,0,IF(AI$25&gt;AI54,AI54,0))),0)&lt;0,0,(IF(SUM($D56:AI56)&gt;0,0,IF(AI$25&gt;AI54,AI54,0)))))</f>
        <v>0</v>
      </c>
      <c r="AK56" s="115">
        <f>IF(SUM($D$49:AJ49)=0,0,IF(IF(AK55&gt;0,AK55-(IF(SUM($D56:AJ56)&gt;0,0,IF(AJ$25&gt;AJ54,AJ54,0))),0)&lt;0,0,(IF(SUM($D56:AJ56)&gt;0,0,IF(AJ$25&gt;AJ54,AJ54,0)))))</f>
        <v>0</v>
      </c>
      <c r="AL56" s="115">
        <f>IF(SUM($D$49:AK49)=0,0,IF(IF(AL55&gt;0,AL55-(IF(SUM($D56:AK56)&gt;0,0,IF(AK$25&gt;AK54,AK54,0))),0)&lt;0,0,(IF(SUM($D56:AK56)&gt;0,0,IF(AK$25&gt;AK54,AK54,0)))))</f>
        <v>0</v>
      </c>
      <c r="AM56" s="115">
        <f>IF(SUM($D$49:AL49)=0,0,IF(IF(AM55&gt;0,AM55-(IF(SUM($D56:AL56)&gt;0,0,IF(AL$25&gt;AL54,AL54,0))),0)&lt;0,0,(IF(SUM($D56:AL56)&gt;0,0,IF(AL$25&gt;AL54,AL54,0)))))</f>
        <v>0</v>
      </c>
      <c r="AN56" s="115">
        <f>IF(SUM($D$49:AM49)=0,0,IF(IF(AN55&gt;0,AN55-(IF(SUM($D56:AM56)&gt;0,0,IF(AM$25&gt;AM54,AM54,0))),0)&lt;0,0,(IF(SUM($D56:AM56)&gt;0,0,IF(AM$25&gt;AM54,AM54,0)))))</f>
        <v>0</v>
      </c>
      <c r="AO56" s="115">
        <f>IF(SUM($D$49:AN49)=0,0,IF(IF(AO55&gt;0,AO55-(IF(SUM($D56:AN56)&gt;0,0,IF(AN$25&gt;AN54,AN54,0))),0)&lt;0,0,(IF(SUM($D56:AN56)&gt;0,0,IF(AN$25&gt;AN54,AN54,0)))))</f>
        <v>0</v>
      </c>
      <c r="AP56" s="115">
        <f>IF(SUM($D$49:AO49)=0,0,IF(IF(AP55&gt;0,AP55-(IF(SUM($D56:AO56)&gt;0,0,IF(AO$25&gt;AO54,AO54,0))),0)&lt;0,0,(IF(SUM($D56:AO56)&gt;0,0,IF(AO$25&gt;AO54,AO54,0)))))</f>
        <v>0</v>
      </c>
      <c r="AQ56" s="115">
        <f>IF(SUM($D$49:AP49)=0,0,IF(IF(AQ55&gt;0,AQ55-(IF(SUM($D56:AP56)&gt;0,0,IF(AP$25&gt;AP54,AP54,0))),0)&lt;0,0,(IF(SUM($D56:AP56)&gt;0,0,IF(AP$25&gt;AP54,AP54,0)))))</f>
        <v>0</v>
      </c>
      <c r="AR56" s="115">
        <f>IF(SUM($D$49:AQ49)=0,0,IF(IF(AR55&gt;0,AR55-(IF(SUM($D56:AQ56)&gt;0,0,IF(AQ$25&gt;AQ54,AQ54,0))),0)&lt;0,0,(IF(SUM($D56:AQ56)&gt;0,0,IF(AQ$25&gt;AQ54,AQ54,0)))))</f>
        <v>0</v>
      </c>
      <c r="AS56" s="115">
        <f>IF(SUM($D$49:AR49)=0,0,IF(IF(AS55&gt;0,AS55-(IF(SUM($D56:AR56)&gt;0,0,IF(AR$25&gt;AR54,AR54,0))),0)&lt;0,0,(IF(SUM($D56:AR56)&gt;0,0,IF(AR$25&gt;AR54,AR54,0)))))</f>
        <v>0</v>
      </c>
      <c r="AT56" s="115">
        <f>IF(SUM($D$49:AS49)=0,0,IF(IF(AT55&gt;0,AT55-(IF(SUM($D56:AS56)&gt;0,0,IF(AS$25&gt;AS54,AS54,0))),0)&lt;0,0,(IF(SUM($D56:AS56)&gt;0,0,IF(AS$25&gt;AS54,AS54,0)))))</f>
        <v>0</v>
      </c>
      <c r="AU56" s="115">
        <f>IF(SUM($D$49:AT49)=0,0,IF(IF(AU55&gt;0,AU55-(IF(SUM($D56:AT56)&gt;0,0,IF(AT$25&gt;AT54,AT54,0))),0)&lt;0,0,(IF(SUM($D56:AT56)&gt;0,0,IF(AT$25&gt;AT54,AT54,0)))))</f>
        <v>0</v>
      </c>
      <c r="AV56" s="115">
        <f>IF(SUM($D$49:AU49)=0,0,IF(IF(AV55&gt;0,AV55-(IF(SUM($D56:AU56)&gt;0,0,IF(AU$25&gt;AU54,AU54,0))),0)&lt;0,0,(IF(SUM($D56:AU56)&gt;0,0,IF(AU$25&gt;AU54,AU54,0)))))</f>
        <v>0</v>
      </c>
      <c r="AW56" s="115">
        <f>IF(SUM($D$49:AV49)=0,0,IF(IF(AW55&gt;0,AW55-(IF(SUM($D56:AV56)&gt;0,0,IF(AV$25&gt;AV54,AV54,0))),0)&lt;0,0,(IF(SUM($D56:AV56)&gt;0,0,IF(AV$25&gt;AV54,AV54,0)))))</f>
        <v>0</v>
      </c>
      <c r="AX56" s="115">
        <f>IF(SUM($D$49:AW49)=0,0,IF(IF(AX55&gt;0,AX55-(IF(SUM($D56:AW56)&gt;0,0,IF(AW$25&gt;AW54,AW54,0))),0)&lt;0,0,(IF(SUM($D56:AW56)&gt;0,0,IF(AW$25&gt;AW54,AW54,0)))))</f>
        <v>0</v>
      </c>
      <c r="AY56" s="115">
        <f>IF(SUM($D$49:AX49)=0,0,IF(IF(AY55&gt;0,AY55-(IF(SUM($D56:AX56)&gt;0,0,IF(AX$25&gt;AX54,AX54,0))),0)&lt;0,0,(IF(SUM($D56:AX56)&gt;0,0,IF(AX$25&gt;AX54,AX54,0)))))</f>
        <v>0</v>
      </c>
      <c r="AZ56" s="115">
        <f>IF(SUM($D$49:AY49)=0,0,IF(IF(AZ55&gt;0,AZ55-(IF(SUM($D56:AY56)&gt;0,0,IF(AY$25&gt;AY54,AY54,0))),0)&lt;0,0,(IF(SUM($D56:AY56)&gt;0,0,IF(AY$25&gt;AY54,AY54,0)))))</f>
        <v>0</v>
      </c>
      <c r="BA56" s="115">
        <f>IF(SUM($D$49:AZ49)=0,0,IF(IF(BA55&gt;0,BA55-(IF(SUM($D56:AZ56)&gt;0,0,IF(AZ$25&gt;AZ54,AZ54,0))),0)&lt;0,0,(IF(SUM($D56:AZ56)&gt;0,0,IF(AZ$25&gt;AZ54,AZ54,0)))))</f>
        <v>0</v>
      </c>
      <c r="BB56" s="115">
        <f>IF(SUM($D$49:BA49)=0,0,IF(IF(BB55&gt;0,BB55-(IF(SUM($D56:BA56)&gt;0,0,IF(BA$25&gt;BA54,BA54,0))),0)&lt;0,0,(IF(SUM($D56:BA56)&gt;0,0,IF(BA$25&gt;BA54,BA54,0)))))</f>
        <v>0</v>
      </c>
      <c r="BC56" s="115">
        <f>IF(SUM($D$49:BB49)=0,0,IF(IF(BC55&gt;0,BC55-(IF(SUM($D56:BB56)&gt;0,0,IF(BB$25&gt;BB54,BB54,0))),0)&lt;0,0,(IF(SUM($D56:BB56)&gt;0,0,IF(BB$25&gt;BB54,BB54,0)))))</f>
        <v>0</v>
      </c>
      <c r="BD56" s="115">
        <f>IF(SUM($D$49:BC49)=0,0,IF(IF(BD55&gt;0,BD55-(IF(SUM($D56:BC56)&gt;0,0,IF(BC$25&gt;BC54,BC54,0))),0)&lt;0,0,(IF(SUM($D56:BC56)&gt;0,0,IF(BC$25&gt;BC54,BC54,0)))))</f>
        <v>0</v>
      </c>
      <c r="BE56" s="115">
        <f>IF(SUM($D$49:BD49)=0,0,IF(IF(BE55&gt;0,BE55-(IF(SUM($D56:BD56)&gt;0,0,IF(BD$25&gt;BD54,BD54,0))),0)&lt;0,0,(IF(SUM($D56:BD56)&gt;0,0,IF(BD$25&gt;BD54,BD54,0)))))</f>
        <v>0</v>
      </c>
      <c r="BF56" s="115">
        <f>IF(SUM($D$49:BE49)=0,0,IF(IF(BF55&gt;0,BF55-(IF(SUM($D56:BE56)&gt;0,0,IF(BE$25&gt;BE54,BE54,0))),0)&lt;0,0,(IF(SUM($D56:BE56)&gt;0,0,IF(BE$25&gt;BE54,BE54,0)))))</f>
        <v>0</v>
      </c>
      <c r="BG56" s="115">
        <f>IF(SUM($D$49:BF49)=0,0,IF(IF(BG55&gt;0,BG55-(IF(SUM($D56:BF56)&gt;0,0,IF(BF$25&gt;BF54,BF54,0))),0)&lt;0,0,(IF(SUM($D56:BF56)&gt;0,0,IF(BF$25&gt;BF54,BF54,0)))))</f>
        <v>0</v>
      </c>
      <c r="BH56" s="115">
        <f>IF(SUM($D$49:BG49)=0,0,IF(IF(BH55&gt;0,BH55-(IF(SUM($D56:BG56)&gt;0,0,IF(BG$25&gt;BG54,BG54,0))),0)&lt;0,0,(IF(SUM($D56:BG56)&gt;0,0,IF(BG$25&gt;BG54,BG54,0)))))</f>
        <v>0</v>
      </c>
      <c r="BI56" s="115">
        <f>IF(SUM($D$49:BH49)=0,0,IF(IF(BI55&gt;0,BI55-(IF(SUM($D56:BH56)&gt;0,0,IF(BH$25&gt;BH54,BH54,0))),0)&lt;0,0,(IF(SUM($D56:BH56)&gt;0,0,IF(BH$25&gt;BH54,BH54,0)))))</f>
        <v>0</v>
      </c>
      <c r="BJ56" s="115">
        <f>IF(SUM($D$49:BI49)=0,0,IF(IF(BJ55&gt;0,BJ55-(IF(SUM($D56:BI56)&gt;0,0,IF(BI$25&gt;BI54,BI54,0))),0)&lt;0,0,(IF(SUM($D56:BI56)&gt;0,0,IF(BI$25&gt;BI54,BI54,0)))))</f>
        <v>0</v>
      </c>
      <c r="BK56" s="115">
        <f>IF(SUM($D$49:BJ49)=0,0,IF(IF(BK55&gt;0,BK55-(IF(SUM($D56:BJ56)&gt;0,0,IF(BJ$25&gt;BJ54,BJ54,0))),0)&lt;0,0,(IF(SUM($D56:BJ56)&gt;0,0,IF(BJ$25&gt;BJ54,BJ54,0)))))</f>
        <v>0</v>
      </c>
      <c r="BL56" s="115">
        <f>IF(SUM($D$49:BK49)=0,0,IF(IF(BL55&gt;0,BL55-(IF(SUM($D56:BK56)&gt;0,0,IF(BK$25&gt;BK54,BK54,0))),0)&lt;0,0,(IF(SUM($D56:BK56)&gt;0,0,IF(BK$25&gt;BK54,BK54,0)))))</f>
        <v>0</v>
      </c>
      <c r="BM56" s="115">
        <f>IF(SUM($D$49:BL49)=0,0,IF(IF(BM55&gt;0,BM55-(IF(SUM($D56:BL56)&gt;0,0,IF(BL$25&gt;BL54,BL54,0))),0)&lt;0,0,(IF(SUM($D56:BL56)&gt;0,0,IF(BL$25&gt;BL54,BL54,0)))))</f>
        <v>0</v>
      </c>
      <c r="BN56" s="115">
        <f>IF(SUM($D$49:BM49)=0,0,IF(IF(BN55&gt;0,BN55-(IF(SUM($D56:BM56)&gt;0,0,IF(BM$25&gt;BM54,BM54,0))),0)&lt;0,0,(IF(SUM($D56:BM56)&gt;0,0,IF(BM$25&gt;BM54,BM54,0)))))</f>
        <v>0</v>
      </c>
      <c r="BO56" s="115">
        <f>IF(SUM($D$49:BN49)=0,0,IF(IF(BO55&gt;0,BO55-(IF(SUM($D56:BN56)&gt;0,0,IF(BN$25&gt;BN54,BN54,0))),0)&lt;0,0,(IF(SUM($D56:BN56)&gt;0,0,IF(BN$25&gt;BN54,BN54,0)))))</f>
        <v>0</v>
      </c>
      <c r="BP56" s="115">
        <f>IF(SUM($D$49:BO49)=0,0,IF(IF(BP55&gt;0,BP55-(IF(SUM($D56:BO56)&gt;0,0,IF(BO$25&gt;BO54,BO54,0))),0)&lt;0,0,(IF(SUM($D56:BO56)&gt;0,0,IF(BO$25&gt;BO54,BO54,0)))))</f>
        <v>0</v>
      </c>
      <c r="BQ56" s="115">
        <f>IF(SUM($D$49:BP49)=0,0,IF(IF(BQ55&gt;0,BQ55-(IF(SUM($D56:BP56)&gt;0,0,IF(BP$25&gt;BP54,BP54,0))),0)&lt;0,0,(IF(SUM($D56:BP56)&gt;0,0,IF(BP$25&gt;BP54,BP54,0)))))</f>
        <v>0</v>
      </c>
      <c r="BR56" s="115">
        <f>IF(SUM($D$49:BQ49)=0,0,IF(IF(BR55&gt;0,BR55-(IF(SUM($D56:BQ56)&gt;0,0,IF(BQ$25&gt;BQ54,BQ54,0))),0)&lt;0,0,(IF(SUM($D56:BQ56)&gt;0,0,IF(BQ$25&gt;BQ54,BQ54,0)))))</f>
        <v>0</v>
      </c>
      <c r="BS56" s="115">
        <f>IF(SUM($D$49:BR49)=0,0,IF(IF(BS55&gt;0,BS55-(IF(SUM($D56:BR56)&gt;0,0,IF(BR$25&gt;BR54,BR54,0))),0)&lt;0,0,(IF(SUM($D56:BR56)&gt;0,0,IF(BR$25&gt;BR54,BR54,0)))))</f>
        <v>0</v>
      </c>
      <c r="BT56" s="115">
        <f>IF(SUM($D$49:BS49)=0,0,IF(IF(BT55&gt;0,BT55-(IF(SUM($D56:BS56)&gt;0,0,IF(BS$25&gt;BS54,BS54,0))),0)&lt;0,0,(IF(SUM($D56:BS56)&gt;0,0,IF(BS$25&gt;BS54,BS54,0)))))</f>
        <v>0</v>
      </c>
      <c r="BU56" s="115">
        <f>IF(SUM($D$49:BT49)=0,0,IF(IF(BU55&gt;0,BU55-(IF(SUM($D56:BT56)&gt;0,0,IF(BT$25&gt;BT54,BT54,0))),0)&lt;0,0,(IF(SUM($D56:BT56)&gt;0,0,IF(BT$25&gt;BT54,BT54,0)))))</f>
        <v>0</v>
      </c>
      <c r="BV56" s="115">
        <f>IF(SUM($D$49:BU49)=0,0,IF(IF(BV55&gt;0,BV55-(IF(SUM($D56:BU56)&gt;0,0,IF(BU$25&gt;BU54,BU54,0))),0)&lt;0,0,(IF(SUM($D56:BU56)&gt;0,0,IF(BU$25&gt;BU54,BU54,0)))))</f>
        <v>0</v>
      </c>
      <c r="BW56" s="115">
        <f>IF(SUM($D$49:BV49)=0,0,IF(IF(BW55&gt;0,BW55-(IF(SUM($D56:BV56)&gt;0,0,IF(BV$25&gt;BV54,BV54,0))),0)&lt;0,0,(IF(SUM($D56:BV56)&gt;0,0,IF(BV$25&gt;BV54,BV54,0)))))</f>
        <v>0</v>
      </c>
      <c r="BX56" s="115">
        <f>IF(SUM($D$49:BW49)=0,0,IF(IF(BX55&gt;0,BX55-(IF(SUM($D56:BW56)&gt;0,0,IF(BW$25&gt;BW54,BW54,0))),0)&lt;0,0,(IF(SUM($D56:BW56)&gt;0,0,IF(BW$25&gt;BW54,BW54,0)))))</f>
        <v>0</v>
      </c>
      <c r="BY56" s="115">
        <f>IF(SUM($D$49:BX49)=0,0,IF(IF(BY55&gt;0,BY55-(IF(SUM($D56:BX56)&gt;0,0,IF(BX$25&gt;BX54,BX54,0))),0)&lt;0,0,(IF(SUM($D56:BX56)&gt;0,0,IF(BX$25&gt;BX54,BX54,0)))))</f>
        <v>0</v>
      </c>
      <c r="BZ56" s="115">
        <f>IF(SUM($D$49:BY49)=0,0,IF(IF(BZ55&gt;0,BZ55-(IF(SUM($D56:BY56)&gt;0,0,IF(BY$25&gt;BY54,BY54,0))),0)&lt;0,0,(IF(SUM($D56:BY56)&gt;0,0,IF(BY$25&gt;BY54,BY54,0)))))</f>
        <v>0</v>
      </c>
      <c r="CA56" s="115">
        <f>IF(SUM($D$49:BZ49)=0,0,IF(IF(CA55&gt;0,CA55-(IF(SUM($D56:BZ56)&gt;0,0,IF(BZ$25&gt;BZ54,BZ54,0))),0)&lt;0,0,(IF(SUM($D56:BZ56)&gt;0,0,IF(BZ$25&gt;BZ54,BZ54,0)))))</f>
        <v>0</v>
      </c>
      <c r="CB56" s="115">
        <f>IF(SUM($D$49:CA49)=0,0,IF(IF(CB55&gt;0,CB55-(IF(SUM($D56:CA56)&gt;0,0,IF(CA$25&gt;CA54,CA54,0))),0)&lt;0,0,(IF(SUM($D56:CA56)&gt;0,0,IF(CA$25&gt;CA54,CA54,0)))))</f>
        <v>0</v>
      </c>
      <c r="CC56" s="115">
        <f>IF(SUM($D$49:CB49)=0,0,IF(IF(CC55&gt;0,CC55-(IF(SUM($D56:CB56)&gt;0,0,IF(CB$25&gt;CB54,CB54,0))),0)&lt;0,0,(IF(SUM($D56:CB56)&gt;0,0,IF(CB$25&gt;CB54,CB54,0)))))</f>
        <v>0</v>
      </c>
      <c r="CD56" s="115">
        <f>IF(SUM($D$49:CC49)=0,0,IF(IF(CD55&gt;0,CD55-(IF(SUM($D56:CC56)&gt;0,0,IF(CC$25&gt;CC54,CC54,0))),0)&lt;0,0,(IF(SUM($D56:CC56)&gt;0,0,IF(CC$25&gt;CC54,CC54,0)))))</f>
        <v>0</v>
      </c>
      <c r="CE56" s="115">
        <f>IF(SUM($D$49:CD49)=0,0,IF(IF(CE55&gt;0,CE55-(IF(SUM($D56:CD56)&gt;0,0,IF(CD$25&gt;CD54,CD54,0))),0)&lt;0,0,(IF(SUM($D56:CD56)&gt;0,0,IF(CD$25&gt;CD54,CD54,0)))))</f>
        <v>0</v>
      </c>
      <c r="CF56" s="115">
        <f>IF(SUM($D$49:CE49)=0,0,IF(IF(CF55&gt;0,CF55-(IF(SUM($D56:CE56)&gt;0,0,IF(CE$25&gt;CE54,CE54,0))),0)&lt;0,0,(IF(SUM($D56:CE56)&gt;0,0,IF(CE$25&gt;CE54,CE54,0)))))</f>
        <v>0</v>
      </c>
      <c r="CG56" s="115">
        <f>IF(SUM($D$49:CF49)=0,0,IF(IF(CG55&gt;0,CG55-(IF(SUM($D56:CF56)&gt;0,0,IF(CF$25&gt;CF54,CF54,0))),0)&lt;0,0,(IF(SUM($D56:CF56)&gt;0,0,IF(CF$25&gt;CF54,CF54,0)))))</f>
        <v>0</v>
      </c>
      <c r="CH56" s="115">
        <f>IF(SUM($D$49:CG49)=0,0,IF(IF(CH55&gt;0,CH55-(IF(SUM($D56:CG56)&gt;0,0,IF(CG$25&gt;CG54,CG54,0))),0)&lt;0,0,(IF(SUM($D56:CG56)&gt;0,0,IF(CG$25&gt;CG54,CG54,0)))))</f>
        <v>0</v>
      </c>
      <c r="CI56" s="115">
        <f>IF(SUM($D$49:CH49)=0,0,IF(IF(CI55&gt;0,CI55-(IF(SUM($D56:CH56)&gt;0,0,IF(CH$25&gt;CH54,CH54,0))),0)&lt;0,0,(IF(SUM($D56:CH56)&gt;0,0,IF(CH$25&gt;CH54,CH54,0)))))</f>
        <v>0</v>
      </c>
      <c r="CJ56" s="115">
        <f>IF(SUM($D$49:CI49)=0,0,IF(IF(CJ55&gt;0,CJ55-(IF(SUM($D56:CI56)&gt;0,0,IF(CI$25&gt;CI54,CI54,0))),0)&lt;0,0,(IF(SUM($D56:CI56)&gt;0,0,IF(CI$25&gt;CI54,CI54,0)))))</f>
        <v>0</v>
      </c>
      <c r="CK56" s="115">
        <f>IF(SUM($D$49:CJ49)=0,0,IF(IF(CK55&gt;0,CK55-(IF(SUM($D56:CJ56)&gt;0,0,IF(CJ$25&gt;CJ54,CJ54,0))),0)&lt;0,0,(IF(SUM($D56:CJ56)&gt;0,0,IF(CJ$25&gt;CJ54,CJ54,0)))))</f>
        <v>0</v>
      </c>
      <c r="CL56" s="115">
        <f>IF(SUM($D$49:CK49)=0,0,IF(IF(CL55&gt;0,CL55-(IF(SUM($D56:CK56)&gt;0,0,IF(CK$25&gt;CK54,CK54,0))),0)&lt;0,0,(IF(SUM($D56:CK56)&gt;0,0,IF(CK$25&gt;CK54,CK54,0)))))</f>
        <v>0</v>
      </c>
      <c r="CM56" s="115">
        <f>IF(SUM($D$49:CL49)=0,0,IF(IF(CM55&gt;0,CM55-(IF(SUM($D56:CL56)&gt;0,0,IF(CL$25&gt;CL54,CL54,0))),0)&lt;0,0,(IF(SUM($D56:CL56)&gt;0,0,IF(CL$25&gt;CL54,CL54,0)))))</f>
        <v>0</v>
      </c>
      <c r="CN56" s="115">
        <f>IF(SUM($D$49:CM49)=0,0,IF(IF(CN55&gt;0,CN55-(IF(SUM($D56:CM56)&gt;0,0,IF(CM$25&gt;CM54,CM54,0))),0)&lt;0,0,(IF(SUM($D56:CM56)&gt;0,0,IF(CM$25&gt;CM54,CM54,0)))))</f>
        <v>0</v>
      </c>
      <c r="CO56" s="115">
        <f>IF(SUM($D$49:CN49)=0,0,IF(IF(CO55&gt;0,CO55-(IF(SUM($D56:CN56)&gt;0,0,IF(CN$25&gt;CN54,CN54,0))),0)&lt;0,0,(IF(SUM($D56:CN56)&gt;0,0,IF(CN$25&gt;CN54,CN54,0)))))</f>
        <v>0</v>
      </c>
      <c r="CP56" s="115">
        <f>IF(SUM($D$49:CO49)=0,0,IF(IF(CP55&gt;0,CP55-(IF(SUM($D56:CO56)&gt;0,0,IF(CO$25&gt;CO54,CO54,0))),0)&lt;0,0,(IF(SUM($D56:CO56)&gt;0,0,IF(CO$25&gt;CO54,CO54,0)))))</f>
        <v>0</v>
      </c>
      <c r="CQ56" s="115">
        <f>IF(SUM($D$49:CP49)=0,0,IF(IF(CQ55&gt;0,CQ55-(IF(SUM($D56:CP56)&gt;0,0,IF(CP$25&gt;CP54,CP54,0))),0)&lt;0,0,(IF(SUM($D56:CP56)&gt;0,0,IF(CP$25&gt;CP54,CP54,0)))))</f>
        <v>0</v>
      </c>
      <c r="CR56" s="115">
        <f>IF(SUM($D$49:CQ49)=0,0,IF(IF(CR55&gt;0,CR55-(IF(SUM($D56:CQ56)&gt;0,0,IF(CQ$25&gt;CQ54,CQ54,0))),0)&lt;0,0,(IF(SUM($D56:CQ56)&gt;0,0,IF(CQ$25&gt;CQ54,CQ54,0)))))</f>
        <v>0</v>
      </c>
      <c r="CS56" s="115">
        <f>IF(SUM($D$49:CR49)=0,0,IF(IF(CS55&gt;0,CS55-(IF(SUM($D56:CR56)&gt;0,0,IF(CR$25&gt;CR54,CR54,0))),0)&lt;0,0,(IF(SUM($D56:CR56)&gt;0,0,IF(CR$25&gt;CR54,CR54,0)))))</f>
        <v>0</v>
      </c>
      <c r="CT56" s="115">
        <f>IF(SUM($D$49:CS49)=0,0,IF(IF(CT55&gt;0,CT55-(IF(SUM($D56:CS56)&gt;0,0,IF(CS$25&gt;CS54,CS54,0))),0)&lt;0,0,(IF(SUM($D56:CS56)&gt;0,0,IF(CS$25&gt;CS54,CS54,0)))))</f>
        <v>0</v>
      </c>
      <c r="CU56" s="115">
        <f>IF(SUM($D$49:CT49)=0,0,IF(IF(CU55&gt;0,CU55-(IF(SUM($D56:CT56)&gt;0,0,IF(CT$25&gt;CT54,CT54,0))),0)&lt;0,0,(IF(SUM($D56:CT56)&gt;0,0,IF(CT$25&gt;CT54,CT54,0)))))</f>
        <v>0</v>
      </c>
      <c r="CV56" s="115">
        <f>IF(SUM($D$49:CU49)=0,0,IF(IF(CV55&gt;0,CV55-(IF(SUM($D56:CU56)&gt;0,0,IF(CU$25&gt;CU54,CU54,0))),0)&lt;0,0,(IF(SUM($D56:CU56)&gt;0,0,IF(CU$25&gt;CU54,CU54,0)))))</f>
        <v>0</v>
      </c>
      <c r="CW56" s="115">
        <f>IF(SUM($D$49:CV49)=0,0,IF(IF(CW55&gt;0,CW55-(IF(SUM($D56:CV56)&gt;0,0,IF(CV$25&gt;CV54,CV54,0))),0)&lt;0,0,(IF(SUM($D56:CV56)&gt;0,0,IF(CV$25&gt;CV54,CV54,0)))))</f>
        <v>0</v>
      </c>
      <c r="CX56" s="115">
        <f>IF(SUM($D$49:CW49)=0,0,IF(IF(CX55&gt;0,CX55-(IF(SUM($D56:CW56)&gt;0,0,IF(CW$25&gt;CW54,CW54,0))),0)&lt;0,0,(IF(SUM($D56:CW56)&gt;0,0,IF(CW$25&gt;CW54,CW54,0)))))</f>
        <v>0</v>
      </c>
      <c r="CY56" s="115">
        <f>IF(SUM($D$49:CX49)=0,0,IF(IF(CY55&gt;0,CY55-(IF(SUM($D56:CX56)&gt;0,0,IF(CX$25&gt;CX54,CX54,0))),0)&lt;0,0,(IF(SUM($D56:CX56)&gt;0,0,IF(CX$25&gt;CX54,CX54,0)))))</f>
        <v>0</v>
      </c>
      <c r="CZ56" s="115">
        <f>IF(SUM($D$49:CY49)=0,0,IF(IF(CZ55&gt;0,CZ55-(IF(SUM($D56:CY56)&gt;0,0,IF(CY$25&gt;CY54,CY54,0))),0)&lt;0,0,(IF(SUM($D56:CY56)&gt;0,0,IF(CY$25&gt;CY54,CY54,0)))))</f>
        <v>0</v>
      </c>
      <c r="DA56" s="115">
        <f>IF(SUM($D$49:CZ49)=0,0,IF(IF(DA55&gt;0,DA55-(IF(SUM($D56:CZ56)&gt;0,0,IF(CZ$25&gt;CZ54,CZ54,0))),0)&lt;0,0,(IF(SUM($D56:CZ56)&gt;0,0,IF(CZ$25&gt;CZ54,CZ54,0)))))</f>
        <v>0</v>
      </c>
      <c r="DB56" s="115">
        <f>IF(SUM($D$49:DA49)=0,0,IF(IF(DB55&gt;0,DB55-(IF(SUM($D56:DA56)&gt;0,0,IF(DA$25&gt;DA54,DA54,0))),0)&lt;0,0,(IF(SUM($D56:DA56)&gt;0,0,IF(DA$25&gt;DA54,DA54,0)))))</f>
        <v>0</v>
      </c>
      <c r="DC56" s="115">
        <f>IF(SUM($D$49:DB49)=0,0,IF(IF(DC55&gt;0,DC55-(IF(SUM($D56:DB56)&gt;0,0,IF(DB$25&gt;DB54,DB54,0))),0)&lt;0,0,(IF(SUM($D56:DB56)&gt;0,0,IF(DB$25&gt;DB54,DB54,0)))))</f>
        <v>0</v>
      </c>
      <c r="DD56" s="115">
        <f>IF(SUM($D$49:DC49)=0,0,IF(IF(DD55&gt;0,DD55-(IF(SUM($D56:DC56)&gt;0,0,IF(DC$25&gt;DC54,DC54,0))),0)&lt;0,0,(IF(SUM($D56:DC56)&gt;0,0,IF(DC$25&gt;DC54,DC54,0)))))</f>
        <v>0</v>
      </c>
      <c r="DE56" s="115">
        <f>IF(SUM($D$49:DD49)=0,0,IF(IF(DE55&gt;0,DE55-(IF(SUM($D56:DD56)&gt;0,0,IF(DD$25&gt;DD54,DD54,0))),0)&lt;0,0,(IF(SUM($D56:DD56)&gt;0,0,IF(DD$25&gt;DD54,DD54,0)))))</f>
        <v>0</v>
      </c>
      <c r="DF56" s="115">
        <f>IF(SUM($D$49:DE49)=0,0,IF(IF(DF55&gt;0,DF55-(IF(SUM($D56:DE56)&gt;0,0,IF(DE$25&gt;DE54,DE54,0))),0)&lt;0,0,(IF(SUM($D56:DE56)&gt;0,0,IF(DE$25&gt;DE54,DE54,0)))))</f>
        <v>0</v>
      </c>
      <c r="DG56" s="115">
        <f>IF(SUM($D$49:DF49)=0,0,IF(IF(DG55&gt;0,DG55-(IF(SUM($D56:DF56)&gt;0,0,IF(DF$25&gt;DF54,DF54,0))),0)&lt;0,0,(IF(SUM($D56:DF56)&gt;0,0,IF(DF$25&gt;DF54,DF54,0)))))</f>
        <v>0</v>
      </c>
      <c r="DH56" s="115">
        <f>IF(SUM($D$49:DG49)=0,0,IF(IF(DH55&gt;0,DH55-(IF(SUM($D56:DG56)&gt;0,0,IF(DG$25&gt;DG54,DG54,0))),0)&lt;0,0,(IF(SUM($D56:DG56)&gt;0,0,IF(DG$25&gt;DG54,DG54,0)))))</f>
        <v>0</v>
      </c>
      <c r="DI56" s="115">
        <f>IF(SUM($D$49:DH49)=0,0,IF(IF(DI55&gt;0,DI55-(IF(SUM($D56:DH56)&gt;0,0,IF(DH$25&gt;DH54,DH54,0))),0)&lt;0,0,(IF(SUM($D56:DH56)&gt;0,0,IF(DH$25&gt;DH54,DH54,0)))))</f>
        <v>0</v>
      </c>
      <c r="DJ56" s="115">
        <f>IF(SUM($D$49:DI49)=0,0,IF(IF(DJ55&gt;0,DJ55-(IF(SUM($D56:DI56)&gt;0,0,IF(DI$25&gt;DI54,DI54,0))),0)&lt;0,0,(IF(SUM($D56:DI56)&gt;0,0,IF(DI$25&gt;DI54,DI54,0)))))</f>
        <v>0</v>
      </c>
      <c r="DK56" s="115">
        <f>IF(SUM($D$49:DJ49)=0,0,IF(IF(DK55&gt;0,DK55-(IF(SUM($D56:DJ56)&gt;0,0,IF(DJ$25&gt;DJ54,DJ54,0))),0)&lt;0,0,(IF(SUM($D56:DJ56)&gt;0,0,IF(DJ$25&gt;DJ54,DJ54,0)))))</f>
        <v>0</v>
      </c>
      <c r="DL56" s="115">
        <f>IF(SUM($D$49:DK49)=0,0,IF(IF(DL55&gt;0,DL55-(IF(SUM($D56:DK56)&gt;0,0,IF(DK$25&gt;DK54,DK54,0))),0)&lt;0,0,(IF(SUM($D56:DK56)&gt;0,0,IF(DK$25&gt;DK54,DK54,0)))))</f>
        <v>0</v>
      </c>
      <c r="DM56" s="115">
        <f>IF(SUM($D$49:DL49)=0,0,IF(IF(DM55&gt;0,DM55-(IF(SUM($D56:DL56)&gt;0,0,IF(DL$25&gt;DL54,DL54,0))),0)&lt;0,0,(IF(SUM($D56:DL56)&gt;0,0,IF(DL$25&gt;DL54,DL54,0)))))</f>
        <v>0</v>
      </c>
      <c r="DN56" s="115">
        <f>IF(SUM($D$49:DM49)=0,0,IF(IF(DN55&gt;0,DN55-(IF(SUM($D56:DM56)&gt;0,0,IF(DM$25&gt;DM54,DM54,0))),0)&lt;0,0,(IF(SUM($D56:DM56)&gt;0,0,IF(DM$25&gt;DM54,DM54,0)))))</f>
        <v>0</v>
      </c>
      <c r="DO56" s="115">
        <f>IF(SUM($D$49:DN49)=0,0,IF(IF(DO55&gt;0,DO55-(IF(SUM($D56:DN56)&gt;0,0,IF(DN$25&gt;DN54,DN54,0))),0)&lt;0,0,(IF(SUM($D56:DN56)&gt;0,0,IF(DN$25&gt;DN54,DN54,0)))))</f>
        <v>0</v>
      </c>
      <c r="DP56" s="115">
        <f>IF(SUM($D$49:DO49)=0,0,IF(IF(DP55&gt;0,DP55-(IF(SUM($D56:DO56)&gt;0,0,IF(DO$25&gt;DO54,DO54,0))),0)&lt;0,0,(IF(SUM($D56:DO56)&gt;0,0,IF(DO$25&gt;DO54,DO54,0)))))</f>
        <v>0</v>
      </c>
      <c r="DQ56" s="115">
        <f>IF(SUM($D$49:DP49)=0,0,IF(IF(DQ55&gt;0,DQ55-(IF(SUM($D56:DP56)&gt;0,0,IF(DP$25&gt;DP54,DP54,0))),0)&lt;0,0,(IF(SUM($D56:DP56)&gt;0,0,IF(DP$25&gt;DP54,DP54,0)))))</f>
        <v>0</v>
      </c>
      <c r="DR56" s="115">
        <f>IF(SUM($D$49:DQ49)=0,0,IF(IF(DR55&gt;0,DR55-(IF(SUM($D56:DQ56)&gt;0,0,IF(DQ$25&gt;DQ54,DQ54,0))),0)&lt;0,0,(IF(SUM($D56:DQ56)&gt;0,0,IF(DQ$25&gt;DQ54,DQ54,0)))))</f>
        <v>0</v>
      </c>
      <c r="DS56" s="115">
        <f>IF(SUM($D$49:DR49)=0,0,IF(IF(DS55&gt;0,DS55-(IF(SUM($D56:DR56)&gt;0,0,IF(DR$25&gt;DR54,DR54,0))),0)&lt;0,0,(IF(SUM($D56:DR56)&gt;0,0,IF(DR$25&gt;DR54,DR54,0)))))</f>
        <v>0</v>
      </c>
      <c r="DT56" s="115">
        <f>IF(SUM($D$49:DS49)=0,0,IF(IF(DT55&gt;0,DT55-(IF(SUM($D56:DS56)&gt;0,0,IF(DS$25&gt;DS54,DS54,0))),0)&lt;0,0,(IF(SUM($D56:DS56)&gt;0,0,IF(DS$25&gt;DS54,DS54,0)))))</f>
        <v>0</v>
      </c>
      <c r="DU56" s="115">
        <f>IF(SUM($D$49:DT49)=0,0,IF(IF(DU55&gt;0,DU55-(IF(SUM($D56:DT56)&gt;0,0,IF(DT$25&gt;DT54,DT54,0))),0)&lt;0,0,(IF(SUM($D56:DT56)&gt;0,0,IF(DT$25&gt;DT54,DT54,0)))))</f>
        <v>0</v>
      </c>
      <c r="DV56" s="115">
        <f>IF(SUM($D$49:DU49)=0,0,IF(IF(DV55&gt;0,DV55-(IF(SUM($D56:DU56)&gt;0,0,IF(DU$25&gt;DU54,DU54,0))),0)&lt;0,0,(IF(SUM($D56:DU56)&gt;0,0,IF(DU$25&gt;DU54,DU54,0)))))</f>
        <v>0</v>
      </c>
      <c r="DW56" s="115">
        <f>IF(SUM($D$49:DV49)=0,0,IF(IF(DW55&gt;0,DW55-(IF(SUM($D56:DV56)&gt;0,0,IF(DV$25&gt;DV54,DV54,0))),0)&lt;0,0,(IF(SUM($D56:DV56)&gt;0,0,IF(DV$25&gt;DV54,DV54,0)))))</f>
        <v>0</v>
      </c>
      <c r="DX56" s="115">
        <f>IF(SUM($D$49:DW49)=0,0,IF(IF(DX55&gt;0,DX55-(IF(SUM($D56:DW56)&gt;0,0,IF(DW$25&gt;DW54,DW54,0))),0)&lt;0,0,(IF(SUM($D56:DW56)&gt;0,0,IF(DW$25&gt;DW54,DW54,0)))))</f>
        <v>0</v>
      </c>
      <c r="DY56" s="115">
        <f>IF(SUM($D$49:DX49)=0,0,IF(IF(DY55&gt;0,DY55-(IF(SUM($D56:DX56)&gt;0,0,IF(DX$25&gt;DX54,DX54,0))),0)&lt;0,0,(IF(SUM($D56:DX56)&gt;0,0,IF(DX$25&gt;DX54,DX54,0)))))</f>
        <v>0</v>
      </c>
      <c r="DZ56" s="115">
        <f>IF(SUM($D$49:DY49)=0,0,IF(IF(DZ55&gt;0,DZ55-(IF(SUM($D56:DY56)&gt;0,0,IF(DY$25&gt;DY54,DY54,0))),0)&lt;0,0,(IF(SUM($D56:DY56)&gt;0,0,IF(DY$25&gt;DY54,DY54,0)))))</f>
        <v>0</v>
      </c>
      <c r="EA56" s="115">
        <f>IF(SUM($D$49:DZ49)=0,0,IF(IF(EA55&gt;0,EA55-(IF(SUM($D56:DZ56)&gt;0,0,IF(DZ$25&gt;DZ54,DZ54,0))),0)&lt;0,0,(IF(SUM($D56:DZ56)&gt;0,0,IF(DZ$25&gt;DZ54,DZ54,0)))))</f>
        <v>0</v>
      </c>
      <c r="EB56" s="115">
        <f>IF(SUM($D$49:EA49)=0,0,IF(IF(EB55&gt;0,EB55-(IF(SUM($D56:EA56)&gt;0,0,IF(EA$25&gt;EA54,EA54,0))),0)&lt;0,0,(IF(SUM($D56:EA56)&gt;0,0,IF(EA$25&gt;EA54,EA54,0)))))</f>
        <v>0</v>
      </c>
      <c r="EC56" s="115">
        <f>IF(SUM($D$49:EB49)=0,0,IF(IF(EC55&gt;0,EC55-(IF(SUM($D56:EB56)&gt;0,0,IF(EB$25&gt;EB54,EB54,0))),0)&lt;0,0,(IF(SUM($D56:EB56)&gt;0,0,IF(EB$25&gt;EB54,EB54,0)))))</f>
        <v>0</v>
      </c>
      <c r="ED56" s="115">
        <f>IF(SUM($D$49:EC49)=0,0,IF(IF(ED55&gt;0,ED55-(IF(SUM($D56:EC56)&gt;0,0,IF(EC$25&gt;EC54,EC54,0))),0)&lt;0,0,(IF(SUM($D56:EC56)&gt;0,0,IF(EC$25&gt;EC54,EC54,0)))))</f>
        <v>0</v>
      </c>
      <c r="EE56" s="115">
        <f>IF(SUM($D$49:ED49)=0,0,IF(IF(EE55&gt;0,EE55-(IF(SUM($D56:ED56)&gt;0,0,IF(ED$25&gt;ED54,ED54,0))),0)&lt;0,0,(IF(SUM($D56:ED56)&gt;0,0,IF(ED$25&gt;ED54,ED54,0)))))</f>
        <v>0</v>
      </c>
      <c r="EF56" s="115">
        <f>IF(SUM($D$49:EE49)=0,0,IF(IF(EF55&gt;0,EF55-(IF(SUM($D56:EE56)&gt;0,0,IF(EE$25&gt;EE54,EE54,0))),0)&lt;0,0,(IF(SUM($D56:EE56)&gt;0,0,IF(EE$25&gt;EE54,EE54,0)))))</f>
        <v>0</v>
      </c>
      <c r="EG56" s="115">
        <f>IF(SUM($D$49:EF49)=0,0,IF(IF(EG55&gt;0,EG55-(IF(SUM($D56:EF56)&gt;0,0,IF(EF$25&gt;EF54,EF54,0))),0)&lt;0,0,(IF(SUM($D56:EF56)&gt;0,0,IF(EF$25&gt;EF54,EF54,0)))))</f>
        <v>0</v>
      </c>
      <c r="EH56" s="115">
        <f>IF(SUM($D$49:EG49)=0,0,IF(IF(EH55&gt;0,EH55-(IF(SUM($D56:EG56)&gt;0,0,IF(EG$25&gt;EG54,EG54,0))),0)&lt;0,0,(IF(SUM($D56:EG56)&gt;0,0,IF(EG$25&gt;EG54,EG54,0)))))</f>
        <v>0</v>
      </c>
      <c r="EI56" s="115">
        <f>IF(SUM($D$49:EH49)=0,0,IF(IF(EI55&gt;0,EI55-(IF(SUM($D56:EH56)&gt;0,0,IF(EH$25&gt;EH54,EH54,0))),0)&lt;0,0,(IF(SUM($D56:EH56)&gt;0,0,IF(EH$25&gt;EH54,EH54,0)))))</f>
        <v>0</v>
      </c>
      <c r="EJ56" s="115">
        <f>IF(SUM($D$49:EI49)=0,0,IF(IF(EJ55&gt;0,EJ55-(IF(SUM($D56:EI56)&gt;0,0,IF(EI$25&gt;EI54,EI54,0))),0)&lt;0,0,(IF(SUM($D56:EI56)&gt;0,0,IF(EI$25&gt;EI54,EI54,0)))))</f>
        <v>0</v>
      </c>
      <c r="EK56" s="115">
        <f>IF(SUM($D$49:EJ49)=0,0,IF(IF(EK55&gt;0,EK55-(IF(SUM($D56:EJ56)&gt;0,0,IF(EJ$25&gt;EJ54,EJ54,0))),0)&lt;0,0,(IF(SUM($D56:EJ56)&gt;0,0,IF(EJ$25&gt;EJ54,EJ54,0)))))</f>
        <v>0</v>
      </c>
      <c r="EL56" s="115">
        <f>IF(SUM($D$49:EK49)=0,0,IF(IF(EL55&gt;0,EL55-(IF(SUM($D56:EK56)&gt;0,0,IF(EK$25&gt;EK54,EK54,0))),0)&lt;0,0,(IF(SUM($D56:EK56)&gt;0,0,IF(EK$25&gt;EK54,EK54,0)))))</f>
        <v>0</v>
      </c>
      <c r="EM56" s="115">
        <f>IF(SUM($D$49:EL49)=0,0,IF(IF(EM55&gt;0,EM55-(IF(SUM($D56:EL56)&gt;0,0,IF(EL$25&gt;EL54,EL54,0))),0)&lt;0,0,(IF(SUM($D56:EL56)&gt;0,0,IF(EL$25&gt;EL54,EL54,0)))))</f>
        <v>0</v>
      </c>
      <c r="EN56" s="115">
        <f>IF(SUM($D$49:EM49)=0,0,IF(IF(EN55&gt;0,EN55-(IF(SUM($D56:EM56)&gt;0,0,IF(EM$25&gt;EM54,EM54,0))),0)&lt;0,0,(IF(SUM($D56:EM56)&gt;0,0,IF(EM$25&gt;EM54,EM54,0)))))</f>
        <v>0</v>
      </c>
      <c r="EO56" s="115">
        <f>IF(SUM($D$49:EN49)=0,0,IF(IF(EO55&gt;0,EO55-(IF(SUM($D56:EN56)&gt;0,0,IF(EN$25&gt;EN54,EN54,0))),0)&lt;0,0,(IF(SUM($D56:EN56)&gt;0,0,IF(EN$25&gt;EN54,EN54,0)))))</f>
        <v>0</v>
      </c>
      <c r="EP56" s="115">
        <f>IF(SUM($D$49:EO49)=0,0,IF(IF(EP55&gt;0,EP55-(IF(SUM($D56:EO56)&gt;0,0,IF(EO$25&gt;EO54,EO54,0))),0)&lt;0,0,(IF(SUM($D56:EO56)&gt;0,0,IF(EO$25&gt;EO54,EO54,0)))))</f>
        <v>0</v>
      </c>
      <c r="EQ56" s="115">
        <f>IF(SUM($D$49:EP49)=0,0,IF(IF(EQ55&gt;0,EQ55-(IF(SUM($D56:EP56)&gt;0,0,IF(EP$25&gt;EP54,EP54,0))),0)&lt;0,0,(IF(SUM($D56:EP56)&gt;0,0,IF(EP$25&gt;EP54,EP54,0)))))</f>
        <v>0</v>
      </c>
      <c r="ER56" s="115">
        <f>IF(SUM($D$49:EQ49)=0,0,IF(IF(ER55&gt;0,ER55-(IF(SUM($D56:EQ56)&gt;0,0,IF(EQ$25&gt;EQ54,EQ54,0))),0)&lt;0,0,(IF(SUM($D56:EQ56)&gt;0,0,IF(EQ$25&gt;EQ54,EQ54,0)))))</f>
        <v>0</v>
      </c>
      <c r="ES56" s="115">
        <f>IF(SUM($D$49:ER49)=0,0,IF(IF(ES55&gt;0,ES55-(IF(SUM($D56:ER56)&gt;0,0,IF(ER$25&gt;ER54,ER54,0))),0)&lt;0,0,(IF(SUM($D56:ER56)&gt;0,0,IF(ER$25&gt;ER54,ER54,0)))))</f>
        <v>0</v>
      </c>
      <c r="ET56" s="115">
        <f>IF(SUM($D$49:ES49)=0,0,IF(IF(ET55&gt;0,ET55-(IF(SUM($D56:ES56)&gt;0,0,IF(ES$25&gt;ES54,ES54,0))),0)&lt;0,0,(IF(SUM($D56:ES56)&gt;0,0,IF(ES$25&gt;ES54,ES54,0)))))</f>
        <v>0</v>
      </c>
      <c r="EU56" s="115">
        <f>IF(SUM($D$49:ET49)=0,0,IF(IF(EU55&gt;0,EU55-(IF(SUM($D56:ET56)&gt;0,0,IF(ET$25&gt;ET54,ET54,0))),0)&lt;0,0,(IF(SUM($D56:ET56)&gt;0,0,IF(ET$25&gt;ET54,ET54,0)))))</f>
        <v>0</v>
      </c>
      <c r="EV56" s="115">
        <f>IF(SUM($D$49:EU49)=0,0,IF(IF(EV55&gt;0,EV55-(IF(SUM($D56:EU56)&gt;0,0,IF(EU$25&gt;EU54,EU54,0))),0)&lt;0,0,(IF(SUM($D56:EU56)&gt;0,0,IF(EU$25&gt;EU54,EU54,0)))))</f>
        <v>0</v>
      </c>
      <c r="EW56" s="115">
        <f>IF(SUM($D$49:EV49)=0,0,IF(IF(EW55&gt;0,EW55-(IF(SUM($D56:EV56)&gt;0,0,IF(EV$25&gt;EV54,EV54,0))),0)&lt;0,0,(IF(SUM($D56:EV56)&gt;0,0,IF(EV$25&gt;EV54,EV54,0)))))</f>
        <v>0</v>
      </c>
      <c r="EX56" s="115">
        <f>IF(SUM($D$49:EW49)=0,0,IF(IF(EX55&gt;0,EX55-(IF(SUM($D56:EW56)&gt;0,0,IF(EW$25&gt;EW54,EW54,0))),0)&lt;0,0,(IF(SUM($D56:EW56)&gt;0,0,IF(EW$25&gt;EW54,EW54,0)))))</f>
        <v>0</v>
      </c>
      <c r="EY56" s="115">
        <f>IF(SUM($D$49:EX49)=0,0,IF(IF(EY55&gt;0,EY55-(IF(SUM($D56:EX56)&gt;0,0,IF(EX$25&gt;EX54,EX54,0))),0)&lt;0,0,(IF(SUM($D56:EX56)&gt;0,0,IF(EX$25&gt;EX54,EX54,0)))))</f>
        <v>0</v>
      </c>
      <c r="EZ56" s="115">
        <f>IF(SUM($D$49:EY49)=0,0,IF(IF(EZ55&gt;0,EZ55-(IF(SUM($D56:EY56)&gt;0,0,IF(EY$25&gt;EY54,EY54,0))),0)&lt;0,0,(IF(SUM($D56:EY56)&gt;0,0,IF(EY$25&gt;EY54,EY54,0)))))</f>
        <v>0</v>
      </c>
      <c r="FA56" s="115">
        <f>IF(SUM($D$49:EZ49)=0,0,IF(IF(FA55&gt;0,FA55-(IF(SUM($D56:EZ56)&gt;0,0,IF(EZ$25&gt;EZ54,EZ54,0))),0)&lt;0,0,(IF(SUM($D56:EZ56)&gt;0,0,IF(EZ$25&gt;EZ54,EZ54,0)))))</f>
        <v>0</v>
      </c>
      <c r="FB56" s="115">
        <f>IF(SUM($D$49:FA49)=0,0,IF(IF(FB55&gt;0,FB55-(IF(SUM($D56:FA56)&gt;0,0,IF(FA$25&gt;FA54,FA54,0))),0)&lt;0,0,(IF(SUM($D56:FA56)&gt;0,0,IF(FA$25&gt;FA54,FA54,0)))))</f>
        <v>0</v>
      </c>
      <c r="FC56" s="115">
        <f>IF(SUM($D$49:FB49)=0,0,IF(IF(FC55&gt;0,FC55-(IF(SUM($D56:FB56)&gt;0,0,IF(FB$25&gt;FB54,FB54,0))),0)&lt;0,0,(IF(SUM($D56:FB56)&gt;0,0,IF(FB$25&gt;FB54,FB54,0)))))</f>
        <v>0</v>
      </c>
      <c r="FD56" s="115">
        <f>IF(SUM($D$49:FC49)=0,0,IF(IF(FD55&gt;0,FD55-(IF(SUM($D56:FC56)&gt;0,0,IF(FC$25&gt;FC54,FC54,0))),0)&lt;0,0,(IF(SUM($D56:FC56)&gt;0,0,IF(FC$25&gt;FC54,FC54,0)))))</f>
        <v>0</v>
      </c>
      <c r="FE56" s="115">
        <f>IF(SUM($D$49:FD49)=0,0,IF(IF(FE55&gt;0,FE55-(IF(SUM($D56:FD56)&gt;0,0,IF(FD$25&gt;FD54,FD54,0))),0)&lt;0,0,(IF(SUM($D56:FD56)&gt;0,0,IF(FD$25&gt;FD54,FD54,0)))))</f>
        <v>0</v>
      </c>
      <c r="FF56" s="115">
        <f>IF(SUM($D$49:FE49)=0,0,IF(IF(FF55&gt;0,FF55-(IF(SUM($D56:FE56)&gt;0,0,IF(FE$25&gt;FE54,FE54,0))),0)&lt;0,0,(IF(SUM($D56:FE56)&gt;0,0,IF(FE$25&gt;FE54,FE54,0)))))</f>
        <v>0</v>
      </c>
      <c r="FG56" s="115">
        <f>IF(SUM($D$49:FF49)=0,0,IF(IF(FG55&gt;0,FG55-(IF(SUM($D56:FF56)&gt;0,0,IF(FF$25&gt;FF54,FF54,0))),0)&lt;0,0,(IF(SUM($D56:FF56)&gt;0,0,IF(FF$25&gt;FF54,FF54,0)))))</f>
        <v>0</v>
      </c>
      <c r="FH56" s="115">
        <f>IF(SUM($D$49:FG49)=0,0,IF(IF(FH55&gt;0,FH55-(IF(SUM($D56:FG56)&gt;0,0,IF(FG$25&gt;FG54,FG54,0))),0)&lt;0,0,(IF(SUM($D56:FG56)&gt;0,0,IF(FG$25&gt;FG54,FG54,0)))))</f>
        <v>0</v>
      </c>
      <c r="FI56" s="115">
        <f>IF(SUM($D$49:FH49)=0,0,IF(IF(FI55&gt;0,FI55-(IF(SUM($D56:FH56)&gt;0,0,IF(FH$25&gt;FH54,FH54,0))),0)&lt;0,0,(IF(SUM($D56:FH56)&gt;0,0,IF(FH$25&gt;FH54,FH54,0)))))</f>
        <v>0</v>
      </c>
      <c r="FJ56" s="115">
        <f>IF(SUM($D$49:FI49)=0,0,IF(IF(FJ55&gt;0,FJ55-(IF(SUM($D56:FI56)&gt;0,0,IF(FI$25&gt;FI54,FI54,0))),0)&lt;0,0,(IF(SUM($D56:FI56)&gt;0,0,IF(FI$25&gt;FI54,FI54,0)))))</f>
        <v>0</v>
      </c>
      <c r="FK56" s="115">
        <f>IF(SUM($D$49:FJ49)=0,0,IF(IF(FK55&gt;0,FK55-(IF(SUM($D56:FJ56)&gt;0,0,IF(FJ$25&gt;FJ54,FJ54,0))),0)&lt;0,0,(IF(SUM($D56:FJ56)&gt;0,0,IF(FJ$25&gt;FJ54,FJ54,0)))))</f>
        <v>0</v>
      </c>
      <c r="FL56" s="115">
        <f>IF(SUM($D$49:FK49)=0,0,IF(IF(FL55&gt;0,FL55-(IF(SUM($D56:FK56)&gt;0,0,IF(FK$25&gt;FK54,FK54,0))),0)&lt;0,0,(IF(SUM($D56:FK56)&gt;0,0,IF(FK$25&gt;FK54,FK54,0)))))</f>
        <v>0</v>
      </c>
      <c r="FM56" s="115">
        <f>IF(SUM($D$49:FL49)=0,0,IF(IF(FM55&gt;0,FM55-(IF(SUM($D56:FL56)&gt;0,0,IF(FL$25&gt;FL54,FL54,0))),0)&lt;0,0,(IF(SUM($D56:FL56)&gt;0,0,IF(FL$25&gt;FL54,FL54,0)))))</f>
        <v>0</v>
      </c>
      <c r="FN56" s="115">
        <f>IF(SUM($D$49:FM49)=0,0,IF(IF(FN55&gt;0,FN55-(IF(SUM($D56:FM56)&gt;0,0,IF(FM$25&gt;FM54,FM54,0))),0)&lt;0,0,(IF(SUM($D56:FM56)&gt;0,0,IF(FM$25&gt;FM54,FM54,0)))))</f>
        <v>0</v>
      </c>
      <c r="FO56" s="115">
        <f>IF(SUM($D$49:FN49)=0,0,IF(IF(FO55&gt;0,FO55-(IF(SUM($D56:FN56)&gt;0,0,IF(FN$25&gt;FN54,FN54,0))),0)&lt;0,0,(IF(SUM($D56:FN56)&gt;0,0,IF(FN$25&gt;FN54,FN54,0)))))</f>
        <v>0</v>
      </c>
      <c r="FP56" s="115">
        <f>IF(SUM($D$49:FO49)=0,0,IF(IF(FP55&gt;0,FP55-(IF(SUM($D56:FO56)&gt;0,0,IF(FO$25&gt;FO54,FO54,0))),0)&lt;0,0,(IF(SUM($D56:FO56)&gt;0,0,IF(FO$25&gt;FO54,FO54,0)))))</f>
        <v>0</v>
      </c>
      <c r="FQ56" s="115">
        <f>IF(SUM($D$49:FP49)=0,0,IF(IF(FQ55&gt;0,FQ55-(IF(SUM($D56:FP56)&gt;0,0,IF(FP$25&gt;FP54,FP54,0))),0)&lt;0,0,(IF(SUM($D56:FP56)&gt;0,0,IF(FP$25&gt;FP54,FP54,0)))))</f>
        <v>0</v>
      </c>
      <c r="FR56" s="115">
        <f>IF(SUM($D$49:FQ49)=0,0,IF(IF(FR55&gt;0,FR55-(IF(SUM($D56:FQ56)&gt;0,0,IF(FQ$25&gt;FQ54,FQ54,0))),0)&lt;0,0,(IF(SUM($D56:FQ56)&gt;0,0,IF(FQ$25&gt;FQ54,FQ54,0)))))</f>
        <v>0</v>
      </c>
      <c r="FS56" s="115">
        <f>IF(SUM($D$49:FR49)=0,0,IF(IF(FS55&gt;0,FS55-(IF(SUM($D56:FR56)&gt;0,0,IF(FR$25&gt;FR54,FR54,0))),0)&lt;0,0,(IF(SUM($D56:FR56)&gt;0,0,IF(FR$25&gt;FR54,FR54,0)))))</f>
        <v>0</v>
      </c>
      <c r="FT56" s="115">
        <f>IF(SUM($D$49:FS49)=0,0,IF(IF(FT55&gt;0,FT55-(IF(SUM($D56:FS56)&gt;0,0,IF(FS$25&gt;FS54,FS54,0))),0)&lt;0,0,(IF(SUM($D56:FS56)&gt;0,0,IF(FS$25&gt;FS54,FS54,0)))))</f>
        <v>0</v>
      </c>
      <c r="FU56" s="115">
        <f>IF(SUM($D$49:FT49)=0,0,IF(IF(FU55&gt;0,FU55-(IF(SUM($D56:FT56)&gt;0,0,IF(FT$25&gt;FT54,FT54,0))),0)&lt;0,0,(IF(SUM($D56:FT56)&gt;0,0,IF(FT$25&gt;FT54,FT54,0)))))</f>
        <v>0</v>
      </c>
      <c r="FV56" s="115">
        <f>IF(SUM($D$49:FU49)=0,0,IF(IF(FV55&gt;0,FV55-(IF(SUM($D56:FU56)&gt;0,0,IF(FU$25&gt;FU54,FU54,0))),0)&lt;0,0,(IF(SUM($D56:FU56)&gt;0,0,IF(FU$25&gt;FU54,FU54,0)))))</f>
        <v>0</v>
      </c>
      <c r="FW56" s="115">
        <f>IF(SUM($D$49:FV49)=0,0,IF(IF(FW55&gt;0,FW55-(IF(SUM($D56:FV56)&gt;0,0,IF(FV$25&gt;FV54,FV54,0))),0)&lt;0,0,(IF(SUM($D56:FV56)&gt;0,0,IF(FV$25&gt;FV54,FV54,0)))))</f>
        <v>0</v>
      </c>
      <c r="FX56" s="115">
        <f>IF(SUM($D$49:FW49)=0,0,IF(IF(FX55&gt;0,FX55-(IF(SUM($D56:FW56)&gt;0,0,IF(FW$25&gt;FW54,FW54,0))),0)&lt;0,0,(IF(SUM($D56:FW56)&gt;0,0,IF(FW$25&gt;FW54,FW54,0)))))</f>
        <v>0</v>
      </c>
      <c r="FY56" s="115">
        <f>IF(SUM($D$49:FX49)=0,0,IF(IF(FY55&gt;0,FY55-(IF(SUM($D56:FX56)&gt;0,0,IF(FX$25&gt;FX54,FX54,0))),0)&lt;0,0,(IF(SUM($D56:FX56)&gt;0,0,IF(FX$25&gt;FX54,FX54,0)))))</f>
        <v>0</v>
      </c>
      <c r="FZ56" s="115">
        <f>IF(SUM($D$49:FY49)=0,0,IF(IF(FZ55&gt;0,FZ55-(IF(SUM($D56:FY56)&gt;0,0,IF(FY$25&gt;FY54,FY54,0))),0)&lt;0,0,(IF(SUM($D56:FY56)&gt;0,0,IF(FY$25&gt;FY54,FY54,0)))))</f>
        <v>0</v>
      </c>
      <c r="GA56" s="115">
        <f>IF(SUM($D$49:FZ49)=0,0,IF(IF(GA55&gt;0,GA55-(IF(SUM($D56:FZ56)&gt;0,0,IF(FZ$25&gt;FZ54,FZ54,0))),0)&lt;0,0,(IF(SUM($D56:FZ56)&gt;0,0,IF(FZ$25&gt;FZ54,FZ54,0)))))</f>
        <v>0</v>
      </c>
      <c r="GB56" s="115">
        <f>IF(SUM($D$49:GA49)=0,0,IF(IF(GB55&gt;0,GB55-(IF(SUM($D56:GA56)&gt;0,0,IF(GA$25&gt;GA54,GA54,0))),0)&lt;0,0,(IF(SUM($D56:GA56)&gt;0,0,IF(GA$25&gt;GA54,GA54,0)))))</f>
        <v>0</v>
      </c>
      <c r="GC56" s="115">
        <f>IF(SUM($D$49:GB49)=0,0,IF(IF(GC55&gt;0,GC55-(IF(SUM($D56:GB56)&gt;0,0,IF(GB$25&gt;GB54,GB54,0))),0)&lt;0,0,(IF(SUM($D56:GB56)&gt;0,0,IF(GB$25&gt;GB54,GB54,0)))))</f>
        <v>0</v>
      </c>
      <c r="GD56" s="115">
        <f>IF(SUM($D$49:GC49)=0,0,IF(IF(GD55&gt;0,GD55-(IF(SUM($D56:GC56)&gt;0,0,IF(GC$25&gt;GC54,GC54,0))),0)&lt;0,0,(IF(SUM($D56:GC56)&gt;0,0,IF(GC$25&gt;GC54,GC54,0)))))</f>
        <v>0</v>
      </c>
      <c r="GE56" s="115">
        <f>IF(SUM($D$49:GD49)=0,0,IF(IF(GE55&gt;0,GE55-(IF(SUM($D56:GD56)&gt;0,0,IF(GD$25&gt;GD54,GD54,0))),0)&lt;0,0,(IF(SUM($D56:GD56)&gt;0,0,IF(GD$25&gt;GD54,GD54,0)))))</f>
        <v>0</v>
      </c>
      <c r="GF56" s="115">
        <f>IF(SUM($D$49:GE49)=0,0,IF(IF(GF55&gt;0,GF55-(IF(SUM($D56:GE56)&gt;0,0,IF(GE$25&gt;GE54,GE54,0))),0)&lt;0,0,(IF(SUM($D56:GE56)&gt;0,0,IF(GE$25&gt;GE54,GE54,0)))))</f>
        <v>0</v>
      </c>
      <c r="GG56" s="115">
        <f>IF(SUM($D$49:GF49)=0,0,IF(IF(GG55&gt;0,GG55-(IF(SUM($D56:GF56)&gt;0,0,IF(GF$25&gt;GF54,GF54,0))),0)&lt;0,0,(IF(SUM($D56:GF56)&gt;0,0,IF(GF$25&gt;GF54,GF54,0)))))</f>
        <v>0</v>
      </c>
      <c r="GH56" s="115">
        <f>IF(SUM($D$49:GG49)=0,0,IF(IF(GH55&gt;0,GH55-(IF(SUM($D56:GG56)&gt;0,0,IF(GG$25&gt;GG54,GG54,0))),0)&lt;0,0,(IF(SUM($D56:GG56)&gt;0,0,IF(GG$25&gt;GG54,GG54,0)))))</f>
        <v>0</v>
      </c>
      <c r="GI56" s="115">
        <f>IF(SUM($D$49:GH49)=0,0,IF(IF(GI55&gt;0,GI55-(IF(SUM($D56:GH56)&gt;0,0,IF(GH$25&gt;GH54,GH54,0))),0)&lt;0,0,(IF(SUM($D56:GH56)&gt;0,0,IF(GH$25&gt;GH54,GH54,0)))))</f>
        <v>0</v>
      </c>
      <c r="GJ56" s="115">
        <f>IF(SUM($D$49:GI49)=0,0,IF(IF(GJ55&gt;0,GJ55-(IF(SUM($D56:GI56)&gt;0,0,IF(GI$25&gt;GI54,GI54,0))),0)&lt;0,0,(IF(SUM($D56:GI56)&gt;0,0,IF(GI$25&gt;GI54,GI54,0)))))</f>
        <v>0</v>
      </c>
      <c r="GK56" s="115">
        <f>IF(SUM($D$49:GJ49)=0,0,IF(IF(GK55&gt;0,GK55-(IF(SUM($D56:GJ56)&gt;0,0,IF(GJ$25&gt;GJ54,GJ54,0))),0)&lt;0,0,(IF(SUM($D56:GJ56)&gt;0,0,IF(GJ$25&gt;GJ54,GJ54,0)))))</f>
        <v>0</v>
      </c>
      <c r="GL56" s="115">
        <f>IF(SUM($D$49:GK49)=0,0,IF(IF(GL55&gt;0,GL55-(IF(SUM($D56:GK56)&gt;0,0,IF(GK$25&gt;GK54,GK54,0))),0)&lt;0,0,(IF(SUM($D56:GK56)&gt;0,0,IF(GK$25&gt;GK54,GK54,0)))))</f>
        <v>0</v>
      </c>
      <c r="GM56" s="115">
        <f>IF(SUM($D$49:GL49)=0,0,IF(IF(GM55&gt;0,GM55-(IF(SUM($D56:GL56)&gt;0,0,IF(GL$25&gt;GL54,GL54,0))),0)&lt;0,0,(IF(SUM($D56:GL56)&gt;0,0,IF(GL$25&gt;GL54,GL54,0)))))</f>
        <v>0</v>
      </c>
      <c r="GN56" s="115">
        <f>IF(SUM($D$49:GM49)=0,0,IF(IF(GN55&gt;0,GN55-(IF(SUM($D56:GM56)&gt;0,0,IF(GM$25&gt;GM54,GM54,0))),0)&lt;0,0,(IF(SUM($D56:GM56)&gt;0,0,IF(GM$25&gt;GM54,GM54,0)))))</f>
        <v>0</v>
      </c>
      <c r="GO56" s="115">
        <f>IF(SUM($D$49:GN49)=0,0,IF(IF(GO55&gt;0,GO55-(IF(SUM($D56:GN56)&gt;0,0,IF(GN$25&gt;GN54,GN54,0))),0)&lt;0,0,(IF(SUM($D56:GN56)&gt;0,0,IF(GN$25&gt;GN54,GN54,0)))))</f>
        <v>0</v>
      </c>
      <c r="GP56" s="115">
        <f>IF(SUM($D$49:GO49)=0,0,IF(IF(GP55&gt;0,GP55-(IF(SUM($D56:GO56)&gt;0,0,IF(GO$25&gt;GO54,GO54,0))),0)&lt;0,0,(IF(SUM($D56:GO56)&gt;0,0,IF(GO$25&gt;GO54,GO54,0)))))</f>
        <v>0</v>
      </c>
      <c r="GQ56" s="115">
        <f>IF(SUM($D$49:GP49)=0,0,IF(IF(GQ55&gt;0,GQ55-(IF(SUM($D56:GP56)&gt;0,0,IF(GP$25&gt;GP54,GP54,0))),0)&lt;0,0,(IF(SUM($D56:GP56)&gt;0,0,IF(GP$25&gt;GP54,GP54,0)))))</f>
        <v>0</v>
      </c>
      <c r="GR56" s="115">
        <f>IF(SUM($D$49:GQ49)=0,0,IF(IF(GR55&gt;0,GR55-(IF(SUM($D56:GQ56)&gt;0,0,IF(GQ$25&gt;GQ54,GQ54,0))),0)&lt;0,0,(IF(SUM($D56:GQ56)&gt;0,0,IF(GQ$25&gt;GQ54,GQ54,0)))))</f>
        <v>0</v>
      </c>
      <c r="GS56" s="115">
        <f>IF(SUM($D$49:GR49)=0,0,IF(IF(GS55&gt;0,GS55-(IF(SUM($D56:GR56)&gt;0,0,IF(GR$25&gt;GR54,GR54,0))),0)&lt;0,0,(IF(SUM($D56:GR56)&gt;0,0,IF(GR$25&gt;GR54,GR54,0)))))</f>
        <v>0</v>
      </c>
      <c r="GT56" s="115">
        <f>IF(SUM($D$49:GS49)=0,0,IF(IF(GT55&gt;0,GT55-(IF(SUM($D56:GS56)&gt;0,0,IF(GS$25&gt;GS54,GS54,0))),0)&lt;0,0,(IF(SUM($D56:GS56)&gt;0,0,IF(GS$25&gt;GS54,GS54,0)))))</f>
        <v>0</v>
      </c>
      <c r="GU56" s="115">
        <f>IF(SUM($D$49:GT49)=0,0,IF(IF(GU55&gt;0,GU55-(IF(SUM($D56:GT56)&gt;0,0,IF(GT$25&gt;GT54,GT54,0))),0)&lt;0,0,(IF(SUM($D56:GT56)&gt;0,0,IF(GT$25&gt;GT54,GT54,0)))))</f>
        <v>0</v>
      </c>
      <c r="GV56" s="115">
        <f>IF(SUM($D$49:GU49)=0,0,IF(IF(GV55&gt;0,GV55-(IF(SUM($D56:GU56)&gt;0,0,IF(GU$25&gt;GU54,GU54,0))),0)&lt;0,0,(IF(SUM($D56:GU56)&gt;0,0,IF(GU$25&gt;GU54,GU54,0)))))</f>
        <v>0</v>
      </c>
      <c r="GW56" s="115">
        <f>IF(SUM($D$49:GV49)=0,0,IF(IF(GW55&gt;0,GW55-(IF(SUM($D56:GV56)&gt;0,0,IF(GV$25&gt;GV54,GV54,0))),0)&lt;0,0,(IF(SUM($D56:GV56)&gt;0,0,IF(GV$25&gt;GV54,GV54,0)))))</f>
        <v>0</v>
      </c>
      <c r="GX56" s="115">
        <f>IF(SUM($D$49:GW49)=0,0,IF(IF(GX55&gt;0,GX55-(IF(SUM($D56:GW56)&gt;0,0,IF(GW$25&gt;GW54,GW54,0))),0)&lt;0,0,(IF(SUM($D56:GW56)&gt;0,0,IF(GW$25&gt;GW54,GW54,0)))))</f>
        <v>0</v>
      </c>
      <c r="GY56" s="115">
        <f>IF(SUM($D$49:GX49)=0,0,IF(IF(GY55&gt;0,GY55-(IF(SUM($D56:GX56)&gt;0,0,IF(GX$25&gt;GX54,GX54,0))),0)&lt;0,0,(IF(SUM($D56:GX56)&gt;0,0,IF(GX$25&gt;GX54,GX54,0)))))</f>
        <v>0</v>
      </c>
      <c r="GZ56" s="115">
        <f>IF(SUM($D$49:GY49)=0,0,IF(IF(GZ55&gt;0,GZ55-(IF(SUM($D56:GY56)&gt;0,0,IF(GY$25&gt;GY54,GY54,0))),0)&lt;0,0,(IF(SUM($D56:GY56)&gt;0,0,IF(GY$25&gt;GY54,GY54,0)))))</f>
        <v>0</v>
      </c>
      <c r="HA56" s="115">
        <f>IF(SUM($D$49:GZ49)=0,0,IF(IF(HA55&gt;0,HA55-(IF(SUM($D56:GZ56)&gt;0,0,IF(GZ$25&gt;GZ54,GZ54,0))),0)&lt;0,0,(IF(SUM($D56:GZ56)&gt;0,0,IF(GZ$25&gt;GZ54,GZ54,0)))))</f>
        <v>0</v>
      </c>
      <c r="HB56" s="115">
        <f>IF(SUM($D$49:HA49)=0,0,IF(IF(HB55&gt;0,HB55-(IF(SUM($D56:HA56)&gt;0,0,IF(HA$25&gt;HA54,HA54,0))),0)&lt;0,0,(IF(SUM($D56:HA56)&gt;0,0,IF(HA$25&gt;HA54,HA54,0)))))</f>
        <v>0</v>
      </c>
      <c r="HC56" s="115">
        <f>IF(SUM($D$49:HB49)=0,0,IF(IF(HC55&gt;0,HC55-(IF(SUM($D56:HB56)&gt;0,0,IF(HB$25&gt;HB54,HB54,0))),0)&lt;0,0,(IF(SUM($D56:HB56)&gt;0,0,IF(HB$25&gt;HB54,HB54,0)))))</f>
        <v>0</v>
      </c>
      <c r="HD56" s="115">
        <f>IF(SUM($D$49:HC49)=0,0,IF(IF(HD55&gt;0,HD55-(IF(SUM($D56:HC56)&gt;0,0,IF(HC$25&gt;HC54,HC54,0))),0)&lt;0,0,(IF(SUM($D56:HC56)&gt;0,0,IF(HC$25&gt;HC54,HC54,0)))))</f>
        <v>0</v>
      </c>
      <c r="HE56" s="115">
        <f>IF(SUM($D$49:HD49)=0,0,IF(IF(HE55&gt;0,HE55-(IF(SUM($D56:HD56)&gt;0,0,IF(HD$25&gt;HD54,HD54,0))),0)&lt;0,0,(IF(SUM($D56:HD56)&gt;0,0,IF(HD$25&gt;HD54,HD54,0)))))</f>
        <v>0</v>
      </c>
      <c r="HF56" s="115">
        <f>IF(SUM($D$49:HE49)=0,0,IF(IF(HF55&gt;0,HF55-(IF(SUM($D56:HE56)&gt;0,0,IF(HE$25&gt;HE54,HE54,0))),0)&lt;0,0,(IF(SUM($D56:HE56)&gt;0,0,IF(HE$25&gt;HE54,HE54,0)))))</f>
        <v>0</v>
      </c>
      <c r="HG56" s="115">
        <f>IF(SUM($D$49:HF49)=0,0,IF(IF(HG55&gt;0,HG55-(IF(SUM($D56:HF56)&gt;0,0,IF(HF$25&gt;HF54,HF54,0))),0)&lt;0,0,(IF(SUM($D56:HF56)&gt;0,0,IF(HF$25&gt;HF54,HF54,0)))))</f>
        <v>0</v>
      </c>
      <c r="HH56" s="115">
        <f>IF(SUM($D$49:HG49)=0,0,IF(IF(HH55&gt;0,HH55-(IF(SUM($D56:HG56)&gt;0,0,IF(HG$25&gt;HG54,HG54,0))),0)&lt;0,0,(IF(SUM($D56:HG56)&gt;0,0,IF(HG$25&gt;HG54,HG54,0)))))</f>
        <v>0</v>
      </c>
      <c r="HI56" s="115">
        <f>IF(SUM($D$49:HH49)=0,0,IF(IF(HI55&gt;0,HI55-(IF(SUM($D56:HH56)&gt;0,0,IF(HH$25&gt;HH54,HH54,0))),0)&lt;0,0,(IF(SUM($D56:HH56)&gt;0,0,IF(HH$25&gt;HH54,HH54,0)))))</f>
        <v>0</v>
      </c>
      <c r="HJ56" s="115">
        <f>IF(SUM($D$49:HI49)=0,0,IF(IF(HJ55&gt;0,HJ55-(IF(SUM($D56:HI56)&gt;0,0,IF(HI$25&gt;HI54,HI54,0))),0)&lt;0,0,(IF(SUM($D56:HI56)&gt;0,0,IF(HI$25&gt;HI54,HI54,0)))))</f>
        <v>0</v>
      </c>
      <c r="HK56" s="115">
        <f>IF(SUM($D$49:HJ49)=0,0,IF(IF(HK55&gt;0,HK55-(IF(SUM($D56:HJ56)&gt;0,0,IF(HJ$25&gt;HJ54,HJ54,0))),0)&lt;0,0,(IF(SUM($D56:HJ56)&gt;0,0,IF(HJ$25&gt;HJ54,HJ54,0)))))</f>
        <v>0</v>
      </c>
      <c r="HL56" s="115">
        <f>IF(SUM($D$49:HK49)=0,0,IF(IF(HL55&gt;0,HL55-(IF(SUM($D56:HK56)&gt;0,0,IF(HK$25&gt;HK54,HK54,0))),0)&lt;0,0,(IF(SUM($D56:HK56)&gt;0,0,IF(HK$25&gt;HK54,HK54,0)))))</f>
        <v>0</v>
      </c>
      <c r="HM56" s="115">
        <f>IF(SUM($D$49:HL49)=0,0,IF(IF(HM55&gt;0,HM55-(IF(SUM($D56:HL56)&gt;0,0,IF(HL$25&gt;HL54,HL54,0))),0)&lt;0,0,(IF(SUM($D56:HL56)&gt;0,0,IF(HL$25&gt;HL54,HL54,0)))))</f>
        <v>0</v>
      </c>
      <c r="HN56" s="115">
        <f>IF(SUM($D$49:HM49)=0,0,IF(IF(HN55&gt;0,HN55-(IF(SUM($D56:HM56)&gt;0,0,IF(HM$25&gt;HM54,HM54,0))),0)&lt;0,0,(IF(SUM($D56:HM56)&gt;0,0,IF(HM$25&gt;HM54,HM54,0)))))</f>
        <v>0</v>
      </c>
      <c r="HO56" s="115">
        <f>IF(SUM($D$49:HN49)=0,0,IF(IF(HO55&gt;0,HO55-(IF(SUM($D56:HN56)&gt;0,0,IF(HN$25&gt;HN54,HN54,0))),0)&lt;0,0,(IF(SUM($D56:HN56)&gt;0,0,IF(HN$25&gt;HN54,HN54,0)))))</f>
        <v>0</v>
      </c>
      <c r="HP56" s="115">
        <f>IF(SUM($D$49:HO49)=0,0,IF(IF(HP55&gt;0,HP55-(IF(SUM($D56:HO56)&gt;0,0,IF(HO$25&gt;HO54,HO54,0))),0)&lt;0,0,(IF(SUM($D56:HO56)&gt;0,0,IF(HO$25&gt;HO54,HO54,0)))))</f>
        <v>0</v>
      </c>
      <c r="HQ56" s="115">
        <f>IF(SUM($D$49:HP49)=0,0,IF(IF(HQ55&gt;0,HQ55-(IF(SUM($D56:HP56)&gt;0,0,IF(HP$25&gt;HP54,HP54,0))),0)&lt;0,0,(IF(SUM($D56:HP56)&gt;0,0,IF(HP$25&gt;HP54,HP54,0)))))</f>
        <v>0</v>
      </c>
      <c r="HR56" s="115">
        <f>IF(SUM($D$49:HQ49)=0,0,IF(IF(HR55&gt;0,HR55-(IF(SUM($D56:HQ56)&gt;0,0,IF(HQ$25&gt;HQ54,HQ54,0))),0)&lt;0,0,(IF(SUM($D56:HQ56)&gt;0,0,IF(HQ$25&gt;HQ54,HQ54,0)))))</f>
        <v>0</v>
      </c>
      <c r="HS56" s="115">
        <f>IF(SUM($D$49:HR49)=0,0,IF(IF(HS55&gt;0,HS55-(IF(SUM($D56:HR56)&gt;0,0,IF(HR$25&gt;HR54,HR54,0))),0)&lt;0,0,(IF(SUM($D56:HR56)&gt;0,0,IF(HR$25&gt;HR54,HR54,0)))))</f>
        <v>0</v>
      </c>
      <c r="HT56" s="115">
        <f>IF(SUM($D$49:HS49)=0,0,IF(IF(HT55&gt;0,HT55-(IF(SUM($D56:HS56)&gt;0,0,IF(HS$25&gt;HS54,HS54,0))),0)&lt;0,0,(IF(SUM($D56:HS56)&gt;0,0,IF(HS$25&gt;HS54,HS54,0)))))</f>
        <v>0</v>
      </c>
      <c r="HU56" s="115">
        <f>IF(SUM($D$49:HT49)=0,0,IF(IF(HU55&gt;0,HU55-(IF(SUM($D56:HT56)&gt;0,0,IF(HT$25&gt;HT54,HT54,0))),0)&lt;0,0,(IF(SUM($D56:HT56)&gt;0,0,IF(HT$25&gt;HT54,HT54,0)))))</f>
        <v>0</v>
      </c>
      <c r="HV56" s="115">
        <f>IF(SUM($D$49:HU49)=0,0,IF(IF(HV55&gt;0,HV55-(IF(SUM($D56:HU56)&gt;0,0,IF(HU$25&gt;HU54,HU54,0))),0)&lt;0,0,(IF(SUM($D56:HU56)&gt;0,0,IF(HU$25&gt;HU54,HU54,0)))))</f>
        <v>0</v>
      </c>
      <c r="HW56" s="115">
        <f>IF(SUM($D$49:HV49)=0,0,IF(IF(HW55&gt;0,HW55-(IF(SUM($D56:HV56)&gt;0,0,IF(HV$25&gt;HV54,HV54,0))),0)&lt;0,0,(IF(SUM($D56:HV56)&gt;0,0,IF(HV$25&gt;HV54,HV54,0)))))</f>
        <v>0</v>
      </c>
      <c r="HX56" s="115">
        <f>IF(SUM($D$49:HW49)=0,0,IF(IF(HX55&gt;0,HX55-(IF(SUM($D56:HW56)&gt;0,0,IF(HW$25&gt;HW54,HW54,0))),0)&lt;0,0,(IF(SUM($D56:HW56)&gt;0,0,IF(HW$25&gt;HW54,HW54,0)))))</f>
        <v>0</v>
      </c>
      <c r="HY56" s="115">
        <f>IF(SUM($D$49:HX49)=0,0,IF(IF(HY55&gt;0,HY55-(IF(SUM($D56:HX56)&gt;0,0,IF(HX$25&gt;HX54,HX54,0))),0)&lt;0,0,(IF(SUM($D56:HX56)&gt;0,0,IF(HX$25&gt;HX54,HX54,0)))))</f>
        <v>0</v>
      </c>
      <c r="HZ56" s="115">
        <f>IF(SUM($D$49:HY49)=0,0,IF(IF(HZ55&gt;0,HZ55-(IF(SUM($D56:HY56)&gt;0,0,IF(HY$25&gt;HY54,HY54,0))),0)&lt;0,0,(IF(SUM($D56:HY56)&gt;0,0,IF(HY$25&gt;HY54,HY54,0)))))</f>
        <v>0</v>
      </c>
      <c r="IA56" s="115">
        <f>IF(SUM($D$49:HZ49)=0,0,IF(IF(IA55&gt;0,IA55-(IF(SUM($D56:HZ56)&gt;0,0,IF(HZ$25&gt;HZ54,HZ54,0))),0)&lt;0,0,(IF(SUM($D56:HZ56)&gt;0,0,IF(HZ$25&gt;HZ54,HZ54,0)))))</f>
        <v>0</v>
      </c>
      <c r="IB56" s="115">
        <f>IF(SUM($D$49:IA49)=0,0,IF(IF(IB55&gt;0,IB55-(IF(SUM($D56:IA56)&gt;0,0,IF(IA$25&gt;IA54,IA54,0))),0)&lt;0,0,(IF(SUM($D56:IA56)&gt;0,0,IF(IA$25&gt;IA54,IA54,0)))))</f>
        <v>0</v>
      </c>
      <c r="IC56" s="115">
        <f>IF(SUM($D$49:IB49)=0,0,IF(IF(IC55&gt;0,IC55-(IF(SUM($D56:IB56)&gt;0,0,IF(IB$25&gt;IB54,IB54,0))),0)&lt;0,0,(IF(SUM($D56:IB56)&gt;0,0,IF(IB$25&gt;IB54,IB54,0)))))</f>
        <v>0</v>
      </c>
      <c r="ID56" s="115">
        <f>IF(SUM($D$49:IC49)=0,0,IF(IF(ID55&gt;0,ID55-(IF(SUM($D56:IC56)&gt;0,0,IF(IC$25&gt;IC54,IC54,0))),0)&lt;0,0,(IF(SUM($D56:IC56)&gt;0,0,IF(IC$25&gt;IC54,IC54,0)))))</f>
        <v>0</v>
      </c>
      <c r="IE56" s="115">
        <f>IF(SUM($D$49:ID49)=0,0,IF(IF(IE55&gt;0,IE55-(IF(SUM($D56:ID56)&gt;0,0,IF(ID$25&gt;ID54,ID54,0))),0)&lt;0,0,(IF(SUM($D56:ID56)&gt;0,0,IF(ID$25&gt;ID54,ID54,0)))))</f>
        <v>0</v>
      </c>
      <c r="IF56" s="115">
        <f>IF(SUM($D$49:IE49)=0,0,IF(IF(IF55&gt;0,IF55-(IF(SUM($D56:IE56)&gt;0,0,IF(IE$25&gt;IE54,IE54,0))),0)&lt;0,0,(IF(SUM($D56:IE56)&gt;0,0,IF(IE$25&gt;IE54,IE54,0)))))</f>
        <v>0</v>
      </c>
      <c r="IG56" s="115">
        <f>IF(SUM($D$49:IF49)=0,0,IF(IF(IG55&gt;0,IG55-(IF(SUM($D56:IF56)&gt;0,0,IF(IF$25&gt;IF54,IF54,0))),0)&lt;0,0,(IF(SUM($D56:IF56)&gt;0,0,IF(IF$25&gt;IF54,IF54,0)))))</f>
        <v>0</v>
      </c>
      <c r="IH56" s="115">
        <f>IF(SUM($D$49:IG49)=0,0,IF(IF(IH55&gt;0,IH55-(IF(SUM($D56:IG56)&gt;0,0,IF(IG$25&gt;IG54,IG54,0))),0)&lt;0,0,(IF(SUM($D56:IG56)&gt;0,0,IF(IG$25&gt;IG54,IG54,0)))))</f>
        <v>0</v>
      </c>
      <c r="II56" s="115">
        <f>IF(SUM($D$49:IH49)=0,0,IF(IF(II55&gt;0,II55-(IF(SUM($D56:IH56)&gt;0,0,IF(IH$25&gt;IH54,IH54,0))),0)&lt;0,0,(IF(SUM($D56:IH56)&gt;0,0,IF(IH$25&gt;IH54,IH54,0)))))</f>
        <v>0</v>
      </c>
      <c r="IJ56" s="115">
        <f>IF(SUM($D$49:II49)=0,0,IF(IF(IJ55&gt;0,IJ55-(IF(SUM($D56:II56)&gt;0,0,IF(II$25&gt;II54,II54,0))),0)&lt;0,0,(IF(SUM($D56:II56)&gt;0,0,IF(II$25&gt;II54,II54,0)))))</f>
        <v>0</v>
      </c>
      <c r="IK56" s="115">
        <f>IF(SUM($D$49:IJ49)=0,0,IF(IF(IK55&gt;0,IK55-(IF(SUM($D56:IJ56)&gt;0,0,IF(IJ$25&gt;IJ54,IJ54,0))),0)&lt;0,0,(IF(SUM($D56:IJ56)&gt;0,0,IF(IJ$25&gt;IJ54,IJ54,0)))))</f>
        <v>0</v>
      </c>
      <c r="IL56" s="115">
        <f>IF(SUM($D$49:IK49)=0,0,IF(IF(IL55&gt;0,IL55-(IF(SUM($D56:IK56)&gt;0,0,IF(IK$25&gt;IK54,IK54,0))),0)&lt;0,0,(IF(SUM($D56:IK56)&gt;0,0,IF(IK$25&gt;IK54,IK54,0)))))</f>
        <v>0</v>
      </c>
      <c r="IM56" s="115">
        <f>IF(SUM($D$49:IL49)=0,0,IF(IF(IM55&gt;0,IM55-(IF(SUM($D56:IL56)&gt;0,0,IF(IL$25&gt;IL54,IL54,0))),0)&lt;0,0,(IF(SUM($D56:IL56)&gt;0,0,IF(IL$25&gt;IL54,IL54,0)))))</f>
        <v>0</v>
      </c>
      <c r="IN56" s="115">
        <f>IF(SUM($D$49:IM49)=0,0,IF(IF(IN55&gt;0,IN55-(IF(SUM($D56:IM56)&gt;0,0,IF(IM$25&gt;IM54,IM54,0))),0)&lt;0,0,(IF(SUM($D56:IM56)&gt;0,0,IF(IM$25&gt;IM54,IM54,0)))))</f>
        <v>0</v>
      </c>
      <c r="IO56" s="115">
        <f>IF(SUM($D$49:IN49)=0,0,IF(IF(IO55&gt;0,IO55-(IF(SUM($D56:IN56)&gt;0,0,IF(IN$25&gt;IN54,IN54,0))),0)&lt;0,0,(IF(SUM($D56:IN56)&gt;0,0,IF(IN$25&gt;IN54,IN54,0)))))</f>
        <v>0</v>
      </c>
      <c r="IP56" s="115">
        <f>IF(SUM($D$49:IO49)=0,0,IF(IF(IP55&gt;0,IP55-(IF(SUM($D56:IO56)&gt;0,0,IF(IO$25&gt;IO54,IO54,0))),0)&lt;0,0,(IF(SUM($D56:IO56)&gt;0,0,IF(IO$25&gt;IO54,IO54,0)))))</f>
        <v>0</v>
      </c>
      <c r="IQ56" s="115">
        <f>IF(SUM($D$49:IP49)=0,0,IF(IF(IQ55&gt;0,IQ55-(IF(SUM($D56:IP56)&gt;0,0,IF(IP$25&gt;IP54,IP54,0))),0)&lt;0,0,(IF(SUM($D56:IP56)&gt;0,0,IF(IP$25&gt;IP54,IP54,0)))))</f>
        <v>0</v>
      </c>
      <c r="IR56" s="115">
        <f>IF(SUM($D$49:IQ49)=0,0,IF(IF(IR55&gt;0,IR55-(IF(SUM($D56:IQ56)&gt;0,0,IF(IQ$25&gt;IQ54,IQ54,0))),0)&lt;0,0,(IF(SUM($D56:IQ56)&gt;0,0,IF(IQ$25&gt;IQ54,IQ54,0)))))</f>
        <v>0</v>
      </c>
      <c r="IS56" s="115">
        <f>IF(SUM($D$49:IR49)=0,0,IF(IF(IS55&gt;0,IS55-(IF(SUM($D56:IR56)&gt;0,0,IF(IR$25&gt;IR54,IR54,0))),0)&lt;0,0,(IF(SUM($D56:IR56)&gt;0,0,IF(IR$25&gt;IR54,IR54,0)))))</f>
        <v>0</v>
      </c>
      <c r="IT56" s="115">
        <f>IF(SUM($D$49:IS49)=0,0,IF(IF(IT55&gt;0,IT55-(IF(SUM($D56:IS56)&gt;0,0,IF(IS$25&gt;IS54,IS54,0))),0)&lt;0,0,(IF(SUM($D56:IS56)&gt;0,0,IF(IS$25&gt;IS54,IS54,0)))))</f>
        <v>0</v>
      </c>
      <c r="IU56" s="115">
        <f>IF(SUM($D$49:IT49)=0,0,IF(IF(IU55&gt;0,IU55-(IF(SUM($D56:IT56)&gt;0,0,IF(IT$25&gt;IT54,IT54,0))),0)&lt;0,0,(IF(SUM($D56:IT56)&gt;0,0,IF(IT$25&gt;IT54,IT54,0)))))</f>
        <v>0</v>
      </c>
      <c r="IV56" s="115">
        <f>IF(SUM($D$49:IU49)=0,0,IF(IF(IV55&gt;0,IV55-(IF(SUM($D56:IU56)&gt;0,0,IF(IU$25&gt;IU54,IU54,0))),0)&lt;0,0,(IF(SUM($D56:IU56)&gt;0,0,IF(IU$25&gt;IU54,IU54,0)))))</f>
        <v>0</v>
      </c>
      <c r="IW56" s="115">
        <f>IF(SUM($D$49:IV49)=0,0,IF(IF(IW55&gt;0,IW55-(IF(SUM($D56:IV56)&gt;0,0,IF(IV$25&gt;IV54,IV54,0))),0)&lt;0,0,(IF(SUM($D56:IV56)&gt;0,0,IF(IV$25&gt;IV54,IV54,0)))))</f>
        <v>0</v>
      </c>
      <c r="IX56" s="115">
        <f>IF(SUM($D$49:IW49)=0,0,IF(IF(IX55&gt;0,IX55-(IF(SUM($D56:IW56)&gt;0,0,IF(IW$25&gt;IW54,IW54,0))),0)&lt;0,0,(IF(SUM($D56:IW56)&gt;0,0,IF(IW$25&gt;IW54,IW54,0)))))</f>
        <v>0</v>
      </c>
      <c r="IY56" s="115">
        <f>IF(SUM($D$49:IX49)=0,0,IF(IF(IY55&gt;0,IY55-(IF(SUM($D56:IX56)&gt;0,0,IF(IX$25&gt;IX54,IX54,0))),0)&lt;0,0,(IF(SUM($D56:IX56)&gt;0,0,IF(IX$25&gt;IX54,IX54,0)))))</f>
        <v>0</v>
      </c>
      <c r="IZ56" s="115">
        <f>IF(SUM($D$49:IY49)=0,0,IF(IF(IZ55&gt;0,IZ55-(IF(SUM($D56:IY56)&gt;0,0,IF(IY$25&gt;IY54,IY54,0))),0)&lt;0,0,(IF(SUM($D56:IY56)&gt;0,0,IF(IY$25&gt;IY54,IY54,0)))))</f>
        <v>0</v>
      </c>
      <c r="JA56" s="115">
        <f>IF(SUM($D$49:IZ49)=0,0,IF(IF(JA55&gt;0,JA55-(IF(SUM($D56:IZ56)&gt;0,0,IF(IZ$25&gt;IZ54,IZ54,0))),0)&lt;0,0,(IF(SUM($D56:IZ56)&gt;0,0,IF(IZ$25&gt;IZ54,IZ54,0)))))</f>
        <v>0</v>
      </c>
      <c r="JB56" s="115">
        <f>IF(SUM($D$49:JA49)=0,0,IF(IF(JB55&gt;0,JB55-(IF(SUM($D56:JA56)&gt;0,0,IF(JA$25&gt;JA54,JA54,0))),0)&lt;0,0,(IF(SUM($D56:JA56)&gt;0,0,IF(JA$25&gt;JA54,JA54,0)))))</f>
        <v>0</v>
      </c>
      <c r="JC56" s="115">
        <f>IF(SUM($D$49:JB49)=0,0,IF(IF(JC55&gt;0,JC55-(IF(SUM($D56:JB56)&gt;0,0,IF(JB$25&gt;JB54,JB54,0))),0)&lt;0,0,(IF(SUM($D56:JB56)&gt;0,0,IF(JB$25&gt;JB54,JB54,0)))))</f>
        <v>0</v>
      </c>
      <c r="JD56" s="115">
        <f>IF(SUM($D$49:JC49)=0,0,IF(IF(JD55&gt;0,JD55-(IF(SUM($D56:JC56)&gt;0,0,IF(JC$25&gt;JC54,JC54,0))),0)&lt;0,0,(IF(SUM($D56:JC56)&gt;0,0,IF(JC$25&gt;JC54,JC54,0)))))</f>
        <v>0</v>
      </c>
      <c r="JE56" s="115">
        <f>IF(SUM($D$49:JD49)=0,0,IF(IF(JE55&gt;0,JE55-(IF(SUM($D56:JD56)&gt;0,0,IF(JD$25&gt;JD54,JD54,0))),0)&lt;0,0,(IF(SUM($D56:JD56)&gt;0,0,IF(JD$25&gt;JD54,JD54,0)))))</f>
        <v>0</v>
      </c>
      <c r="JF56" s="115">
        <f>IF(SUM($D$49:JE49)=0,0,IF(IF(JF55&gt;0,JF55-(IF(SUM($D56:JE56)&gt;0,0,IF(JE$25&gt;JE54,JE54,0))),0)&lt;0,0,(IF(SUM($D56:JE56)&gt;0,0,IF(JE$25&gt;JE54,JE54,0)))))</f>
        <v>0</v>
      </c>
      <c r="JG56" s="115">
        <f>IF(SUM($D$49:JF49)=0,0,IF(IF(JG55&gt;0,JG55-(IF(SUM($D56:JF56)&gt;0,0,IF(JF$25&gt;JF54,JF54,0))),0)&lt;0,0,(IF(SUM($D56:JF56)&gt;0,0,IF(JF$25&gt;JF54,JF54,0)))))</f>
        <v>0</v>
      </c>
      <c r="JH56" s="115">
        <f>IF(SUM($D$49:JG49)=0,0,IF(IF(JH55&gt;0,JH55-(IF(SUM($D56:JG56)&gt;0,0,IF(JG$25&gt;JG54,JG54,0))),0)&lt;0,0,(IF(SUM($D56:JG56)&gt;0,0,IF(JG$25&gt;JG54,JG54,0)))))</f>
        <v>0</v>
      </c>
      <c r="JI56" s="115">
        <f>IF(SUM($D$49:JH49)=0,0,IF(IF(JI55&gt;0,JI55-(IF(SUM($D56:JH56)&gt;0,0,IF(JH$25&gt;JH54,JH54,0))),0)&lt;0,0,(IF(SUM($D56:JH56)&gt;0,0,IF(JH$25&gt;JH54,JH54,0)))))</f>
        <v>0</v>
      </c>
      <c r="JJ56" s="115">
        <f>IF(SUM($D$49:JI49)=0,0,IF(IF(JJ55&gt;0,JJ55-(IF(SUM($D56:JI56)&gt;0,0,IF(JI$25&gt;JI54,JI54,0))),0)&lt;0,0,(IF(SUM($D56:JI56)&gt;0,0,IF(JI$25&gt;JI54,JI54,0)))))</f>
        <v>0</v>
      </c>
      <c r="JK56" s="115">
        <f>IF(SUM($D$49:JJ49)=0,0,IF(IF(JK55&gt;0,JK55-(IF(SUM($D56:JJ56)&gt;0,0,IF(JJ$25&gt;JJ54,JJ54,0))),0)&lt;0,0,(IF(SUM($D56:JJ56)&gt;0,0,IF(JJ$25&gt;JJ54,JJ54,0)))))</f>
        <v>0</v>
      </c>
      <c r="JL56" s="115">
        <f>IF(SUM($D$49:JK49)=0,0,IF(IF(JL55&gt;0,JL55-(IF(SUM($D56:JK56)&gt;0,0,IF(JK$25&gt;JK54,JK54,0))),0)&lt;0,0,(IF(SUM($D56:JK56)&gt;0,0,IF(JK$25&gt;JK54,JK54,0)))))</f>
        <v>0</v>
      </c>
      <c r="JM56" s="115">
        <f>IF(SUM($D$49:JL49)=0,0,IF(IF(JM55&gt;0,JM55-(IF(SUM($D56:JL56)&gt;0,0,IF(JL$25&gt;JL54,JL54,0))),0)&lt;0,0,(IF(SUM($D56:JL56)&gt;0,0,IF(JL$25&gt;JL54,JL54,0)))))</f>
        <v>0</v>
      </c>
      <c r="JN56" s="115">
        <f>IF(SUM($D$49:JM49)=0,0,IF(IF(JN55&gt;0,JN55-(IF(SUM($D56:JM56)&gt;0,0,IF(JM$25&gt;JM54,JM54,0))),0)&lt;0,0,(IF(SUM($D56:JM56)&gt;0,0,IF(JM$25&gt;JM54,JM54,0)))))</f>
        <v>0</v>
      </c>
      <c r="JO56" s="115">
        <f>IF(SUM($D$49:JN49)=0,0,IF(IF(JO55&gt;0,JO55-(IF(SUM($D56:JN56)&gt;0,0,IF(JN$25&gt;JN54,JN54,0))),0)&lt;0,0,(IF(SUM($D56:JN56)&gt;0,0,IF(JN$25&gt;JN54,JN54,0)))))</f>
        <v>0</v>
      </c>
      <c r="JP56" s="115">
        <f>IF(SUM($D$49:JO49)=0,0,IF(IF(JP55&gt;0,JP55-(IF(SUM($D56:JO56)&gt;0,0,IF(JO$25&gt;JO54,JO54,0))),0)&lt;0,0,(IF(SUM($D56:JO56)&gt;0,0,IF(JO$25&gt;JO54,JO54,0)))))</f>
        <v>0</v>
      </c>
      <c r="JQ56" s="115">
        <f>IF(SUM($D$49:JP49)=0,0,IF(IF(JQ55&gt;0,JQ55-(IF(SUM($D56:JP56)&gt;0,0,IF(JP$25&gt;JP54,JP54,0))),0)&lt;0,0,(IF(SUM($D56:JP56)&gt;0,0,IF(JP$25&gt;JP54,JP54,0)))))</f>
        <v>0</v>
      </c>
      <c r="JR56" s="115">
        <f>IF(SUM($D$49:JQ49)=0,0,IF(IF(JR55&gt;0,JR55-(IF(SUM($D56:JQ56)&gt;0,0,IF(JQ$25&gt;JQ54,JQ54,0))),0)&lt;0,0,(IF(SUM($D56:JQ56)&gt;0,0,IF(JQ$25&gt;JQ54,JQ54,0)))))</f>
        <v>0</v>
      </c>
      <c r="JS56" s="115">
        <f>IF(SUM($D$49:JR49)=0,0,IF(IF(JS55&gt;0,JS55-(IF(SUM($D56:JR56)&gt;0,0,IF(JR$25&gt;JR54,JR54,0))),0)&lt;0,0,(IF(SUM($D56:JR56)&gt;0,0,IF(JR$25&gt;JR54,JR54,0)))))</f>
        <v>0</v>
      </c>
      <c r="JT56" s="115">
        <f>IF(SUM($D$49:JS49)=0,0,IF(IF(JT55&gt;0,JT55-(IF(SUM($D56:JS56)&gt;0,0,IF(JS$25&gt;JS54,JS54,0))),0)&lt;0,0,(IF(SUM($D56:JS56)&gt;0,0,IF(JS$25&gt;JS54,JS54,0)))))</f>
        <v>0</v>
      </c>
      <c r="JU56" s="115">
        <f>IF(SUM($D$49:JT49)=0,0,IF(IF(JU55&gt;0,JU55-(IF(SUM($D56:JT56)&gt;0,0,IF(JT$25&gt;JT54,JT54,0))),0)&lt;0,0,(IF(SUM($D56:JT56)&gt;0,0,IF(JT$25&gt;JT54,JT54,0)))))</f>
        <v>0</v>
      </c>
      <c r="JV56" s="115">
        <f>IF(SUM($D$49:JU49)=0,0,IF(IF(JV55&gt;0,JV55-(IF(SUM($D56:JU56)&gt;0,0,IF(JU$25&gt;JU54,JU54,0))),0)&lt;0,0,(IF(SUM($D56:JU56)&gt;0,0,IF(JU$25&gt;JU54,JU54,0)))))</f>
        <v>0</v>
      </c>
      <c r="JW56" s="115">
        <f>IF(SUM($D$49:JV49)=0,0,IF(IF(JW55&gt;0,JW55-(IF(SUM($D56:JV56)&gt;0,0,IF(JV$25&gt;JV54,JV54,0))),0)&lt;0,0,(IF(SUM($D56:JV56)&gt;0,0,IF(JV$25&gt;JV54,JV54,0)))))</f>
        <v>0</v>
      </c>
      <c r="JX56" s="115">
        <f>IF(SUM($D$49:JW49)=0,0,IF(IF(JX55&gt;0,JX55-(IF(SUM($D56:JW56)&gt;0,0,IF(JW$25&gt;JW54,JW54,0))),0)&lt;0,0,(IF(SUM($D56:JW56)&gt;0,0,IF(JW$25&gt;JW54,JW54,0)))))</f>
        <v>0</v>
      </c>
      <c r="JY56" s="115">
        <f>IF(SUM($D$49:JX49)=0,0,IF(IF(JY55&gt;0,JY55-(IF(SUM($D56:JX56)&gt;0,0,IF(JX$25&gt;JX54,JX54,0))),0)&lt;0,0,(IF(SUM($D56:JX56)&gt;0,0,IF(JX$25&gt;JX54,JX54,0)))))</f>
        <v>0</v>
      </c>
      <c r="JZ56" s="115">
        <f>IF(SUM($D$49:JY49)=0,0,IF(IF(JZ55&gt;0,JZ55-(IF(SUM($D56:JY56)&gt;0,0,IF(JY$25&gt;JY54,JY54,0))),0)&lt;0,0,(IF(SUM($D56:JY56)&gt;0,0,IF(JY$25&gt;JY54,JY54,0)))))</f>
        <v>0</v>
      </c>
      <c r="KA56" s="115">
        <f>IF(SUM($D$49:JZ49)=0,0,IF(IF(KA55&gt;0,KA55-(IF(SUM($D56:JZ56)&gt;0,0,IF(JZ$25&gt;JZ54,JZ54,0))),0)&lt;0,0,(IF(SUM($D56:JZ56)&gt;0,0,IF(JZ$25&gt;JZ54,JZ54,0)))))</f>
        <v>0</v>
      </c>
      <c r="KB56" s="115">
        <f>IF(SUM($D$49:KA49)=0,0,IF(IF(KB55&gt;0,KB55-(IF(SUM($D56:KA56)&gt;0,0,IF(KA$25&gt;KA54,KA54,0))),0)&lt;0,0,(IF(SUM($D56:KA56)&gt;0,0,IF(KA$25&gt;KA54,KA54,0)))))</f>
        <v>0</v>
      </c>
      <c r="KC56" s="115">
        <f>IF(SUM($D$49:KB49)=0,0,IF(IF(KC55&gt;0,KC55-(IF(SUM($D56:KB56)&gt;0,0,IF(KB$25&gt;KB54,KB54,0))),0)&lt;0,0,(IF(SUM($D56:KB56)&gt;0,0,IF(KB$25&gt;KB54,KB54,0)))))</f>
        <v>0</v>
      </c>
      <c r="KD56" s="115">
        <f>IF(SUM($D$49:KC49)=0,0,IF(IF(KD55&gt;0,KD55-(IF(SUM($D56:KC56)&gt;0,0,IF(KC$25&gt;KC54,KC54,0))),0)&lt;0,0,(IF(SUM($D56:KC56)&gt;0,0,IF(KC$25&gt;KC54,KC54,0)))))</f>
        <v>0</v>
      </c>
      <c r="KE56" s="115">
        <f>IF(SUM($D$49:KD49)=0,0,IF(IF(KE55&gt;0,KE55-(IF(SUM($D56:KD56)&gt;0,0,IF(KD$25&gt;KD54,KD54,0))),0)&lt;0,0,(IF(SUM($D56:KD56)&gt;0,0,IF(KD$25&gt;KD54,KD54,0)))))</f>
        <v>0</v>
      </c>
      <c r="KF56" s="115">
        <f>IF(SUM($D$49:KE49)=0,0,IF(IF(KF55&gt;0,KF55-(IF(SUM($D56:KE56)&gt;0,0,IF(KE$25&gt;KE54,KE54,0))),0)&lt;0,0,(IF(SUM($D56:KE56)&gt;0,0,IF(KE$25&gt;KE54,KE54,0)))))</f>
        <v>0</v>
      </c>
      <c r="KG56" s="115">
        <f>IF(SUM($D$49:KF49)=0,0,IF(IF(KG55&gt;0,KG55-(IF(SUM($D56:KF56)&gt;0,0,IF(KF$25&gt;KF54,KF54,0))),0)&lt;0,0,(IF(SUM($D56:KF56)&gt;0,0,IF(KF$25&gt;KF54,KF54,0)))))</f>
        <v>0</v>
      </c>
      <c r="KH56" s="115">
        <f>IF(SUM($D$49:KG49)=0,0,IF(IF(KH55&gt;0,KH55-(IF(SUM($D56:KG56)&gt;0,0,IF(KG$25&gt;KG54,KG54,0))),0)&lt;0,0,(IF(SUM($D56:KG56)&gt;0,0,IF(KG$25&gt;KG54,KG54,0)))))</f>
        <v>0</v>
      </c>
      <c r="KI56" s="115">
        <f>IF(SUM($D$49:KH49)=0,0,IF(IF(KI55&gt;0,KI55-(IF(SUM($D56:KH56)&gt;0,0,IF(KH$25&gt;KH54,KH54,0))),0)&lt;0,0,(IF(SUM($D56:KH56)&gt;0,0,IF(KH$25&gt;KH54,KH54,0)))))</f>
        <v>0</v>
      </c>
      <c r="KJ56" s="115">
        <f>IF(SUM($D$49:KI49)=0,0,IF(IF(KJ55&gt;0,KJ55-(IF(SUM($D56:KI56)&gt;0,0,IF(KI$25&gt;KI54,KI54,0))),0)&lt;0,0,(IF(SUM($D56:KI56)&gt;0,0,IF(KI$25&gt;KI54,KI54,0)))))</f>
        <v>0</v>
      </c>
      <c r="KK56" s="115">
        <f>IF(SUM($D$49:KJ49)=0,0,IF(IF(KK55&gt;0,KK55-(IF(SUM($D56:KJ56)&gt;0,0,IF(KJ$25&gt;KJ54,KJ54,0))),0)&lt;0,0,(IF(SUM($D56:KJ56)&gt;0,0,IF(KJ$25&gt;KJ54,KJ54,0)))))</f>
        <v>0</v>
      </c>
      <c r="KL56" s="115">
        <f>IF(SUM($D$49:KK49)=0,0,IF(IF(KL55&gt;0,KL55-(IF(SUM($D56:KK56)&gt;0,0,IF(KK$25&gt;KK54,KK54,0))),0)&lt;0,0,(IF(SUM($D56:KK56)&gt;0,0,IF(KK$25&gt;KK54,KK54,0)))))</f>
        <v>0</v>
      </c>
      <c r="KM56" s="115">
        <f>IF(SUM($D$49:KL49)=0,0,IF(IF(KM55&gt;0,KM55-(IF(SUM($D56:KL56)&gt;0,0,IF(KL$25&gt;KL54,KL54,0))),0)&lt;0,0,(IF(SUM($D56:KL56)&gt;0,0,IF(KL$25&gt;KL54,KL54,0)))))</f>
        <v>0</v>
      </c>
      <c r="KN56" s="115">
        <f>IF(SUM($D$49:KM49)=0,0,IF(IF(KN55&gt;0,KN55-(IF(SUM($D56:KM56)&gt;0,0,IF(KM$25&gt;KM54,KM54,0))),0)&lt;0,0,(IF(SUM($D56:KM56)&gt;0,0,IF(KM$25&gt;KM54,KM54,0)))))</f>
        <v>0</v>
      </c>
      <c r="KO56" s="115">
        <f>IF(SUM($D$49:KN49)=0,0,IF(IF(KO55&gt;0,KO55-(IF(SUM($D56:KN56)&gt;0,0,IF(KN$25&gt;KN54,KN54,0))),0)&lt;0,0,(IF(SUM($D56:KN56)&gt;0,0,IF(KN$25&gt;KN54,KN54,0)))))</f>
        <v>0</v>
      </c>
      <c r="KP56" s="115">
        <f>IF(SUM($D$49:KO49)=0,0,IF(IF(KP55&gt;0,KP55-(IF(SUM($D56:KO56)&gt;0,0,IF(KO$25&gt;KO54,KO54,0))),0)&lt;0,0,(IF(SUM($D56:KO56)&gt;0,0,IF(KO$25&gt;KO54,KO54,0)))))</f>
        <v>0</v>
      </c>
      <c r="KQ56" s="115">
        <f>IF(SUM($D$49:KP49)=0,0,IF(IF(KQ55&gt;0,KQ55-(IF(SUM($D56:KP56)&gt;0,0,IF(KP$25&gt;KP54,KP54,0))),0)&lt;0,0,(IF(SUM($D56:KP56)&gt;0,0,IF(KP$25&gt;KP54,KP54,0)))))</f>
        <v>0</v>
      </c>
      <c r="KR56" s="115">
        <f>IF(SUM($D$49:KQ49)=0,0,IF(IF(KR55&gt;0,KR55-(IF(SUM($D56:KQ56)&gt;0,0,IF(KQ$25&gt;KQ54,KQ54,0))),0)&lt;0,0,(IF(SUM($D56:KQ56)&gt;0,0,IF(KQ$25&gt;KQ54,KQ54,0)))))</f>
        <v>0</v>
      </c>
      <c r="KS56" s="115">
        <f>IF(SUM($D$49:KR49)=0,0,IF(IF(KS55&gt;0,KS55-(IF(SUM($D56:KR56)&gt;0,0,IF(KR$25&gt;KR54,KR54,0))),0)&lt;0,0,(IF(SUM($D56:KR56)&gt;0,0,IF(KR$25&gt;KR54,KR54,0)))))</f>
        <v>0</v>
      </c>
      <c r="KT56" s="115">
        <f>IF(SUM($D$49:KS49)=0,0,IF(IF(KT55&gt;0,KT55-(IF(SUM($D56:KS56)&gt;0,0,IF(KS$25&gt;KS54,KS54,0))),0)&lt;0,0,(IF(SUM($D56:KS56)&gt;0,0,IF(KS$25&gt;KS54,KS54,0)))))</f>
        <v>0</v>
      </c>
      <c r="KU56" s="115">
        <f>IF(SUM($D$49:KT49)=0,0,IF(IF(KU55&gt;0,KU55-(IF(SUM($D56:KT56)&gt;0,0,IF(KT$25&gt;KT54,KT54,0))),0)&lt;0,0,(IF(SUM($D56:KT56)&gt;0,0,IF(KT$25&gt;KT54,KT54,0)))))</f>
        <v>0</v>
      </c>
      <c r="KV56" s="115">
        <f>IF(SUM($D$49:KU49)=0,0,IF(IF(KV55&gt;0,KV55-(IF(SUM($D56:KU56)&gt;0,0,IF(KU$25&gt;KU54,KU54,0))),0)&lt;0,0,(IF(SUM($D56:KU56)&gt;0,0,IF(KU$25&gt;KU54,KU54,0)))))</f>
        <v>0</v>
      </c>
      <c r="KW56" s="115">
        <f>IF(SUM($D$49:KV49)=0,0,IF(IF(KW55&gt;0,KW55-(IF(SUM($D56:KV56)&gt;0,0,IF(KV$25&gt;KV54,KV54,0))),0)&lt;0,0,(IF(SUM($D56:KV56)&gt;0,0,IF(KV$25&gt;KV54,KV54,0)))))</f>
        <v>0</v>
      </c>
      <c r="KX56" s="115">
        <f>IF(SUM($D$49:KW49)=0,0,IF(IF(KX55&gt;0,KX55-(IF(SUM($D56:KW56)&gt;0,0,IF(KW$25&gt;KW54,KW54,0))),0)&lt;0,0,(IF(SUM($D56:KW56)&gt;0,0,IF(KW$25&gt;KW54,KW54,0)))))</f>
        <v>0</v>
      </c>
      <c r="KY56" s="115">
        <f>IF(SUM($D$49:KX49)=0,0,IF(IF(KY55&gt;0,KY55-(IF(SUM($D56:KX56)&gt;0,0,IF(KX$25&gt;KX54,KX54,0))),0)&lt;0,0,(IF(SUM($D56:KX56)&gt;0,0,IF(KX$25&gt;KX54,KX54,0)))))</f>
        <v>0</v>
      </c>
      <c r="KZ56" s="115">
        <f>IF(SUM($D$49:KY49)=0,0,IF(IF(KZ55&gt;0,KZ55-(IF(SUM($D56:KY56)&gt;0,0,IF(KY$25&gt;KY54,KY54,0))),0)&lt;0,0,(IF(SUM($D56:KY56)&gt;0,0,IF(KY$25&gt;KY54,KY54,0)))))</f>
        <v>0</v>
      </c>
      <c r="LA56" s="115">
        <f>IF(SUM($D$49:KZ49)=0,0,IF(IF(LA55&gt;0,LA55-(IF(SUM($D56:KZ56)&gt;0,0,IF(KZ$25&gt;KZ54,KZ54,0))),0)&lt;0,0,(IF(SUM($D56:KZ56)&gt;0,0,IF(KZ$25&gt;KZ54,KZ54,0)))))</f>
        <v>0</v>
      </c>
      <c r="LB56" s="115">
        <f>IF(SUM($D$49:LA49)=0,0,IF(IF(LB55&gt;0,LB55-(IF(SUM($D56:LA56)&gt;0,0,IF(LA$25&gt;LA54,LA54,0))),0)&lt;0,0,(IF(SUM($D56:LA56)&gt;0,0,IF(LA$25&gt;LA54,LA54,0)))))</f>
        <v>0</v>
      </c>
      <c r="LC56" s="115">
        <f>IF(SUM($D$49:LB49)=0,0,IF(IF(LC55&gt;0,LC55-(IF(SUM($D56:LB56)&gt;0,0,IF(LB$25&gt;LB54,LB54,0))),0)&lt;0,0,(IF(SUM($D56:LB56)&gt;0,0,IF(LB$25&gt;LB54,LB54,0)))))</f>
        <v>0</v>
      </c>
      <c r="LD56" s="115">
        <f>IF(SUM($D$49:LC49)=0,0,IF(IF(LD55&gt;0,LD55-(IF(SUM($D56:LC56)&gt;0,0,IF(LC$25&gt;LC54,LC54,0))),0)&lt;0,0,(IF(SUM($D56:LC56)&gt;0,0,IF(LC$25&gt;LC54,LC54,0)))))</f>
        <v>0</v>
      </c>
      <c r="LE56" s="115">
        <f>IF(SUM($D$49:LD49)=0,0,IF(IF(LE55&gt;0,LE55-(IF(SUM($D56:LD56)&gt;0,0,IF(LD$25&gt;LD54,LD54,0))),0)&lt;0,0,(IF(SUM($D56:LD56)&gt;0,0,IF(LD$25&gt;LD54,LD54,0)))))</f>
        <v>0</v>
      </c>
      <c r="LF56" s="115">
        <f>IF(SUM($D$49:LE49)=0,0,IF(IF(LF55&gt;0,LF55-(IF(SUM($D56:LE56)&gt;0,0,IF(LE$25&gt;LE54,LE54,0))),0)&lt;0,0,(IF(SUM($D56:LE56)&gt;0,0,IF(LE$25&gt;LE54,LE54,0)))))</f>
        <v>0</v>
      </c>
      <c r="LG56" s="115">
        <f>IF(SUM($D$49:LF49)=0,0,IF(IF(LG55&gt;0,LG55-(IF(SUM($D56:LF56)&gt;0,0,IF(LF$25&gt;LF54,LF54,0))),0)&lt;0,0,(IF(SUM($D56:LF56)&gt;0,0,IF(LF$25&gt;LF54,LF54,0)))))</f>
        <v>0</v>
      </c>
      <c r="LH56" s="115">
        <f>IF(SUM($D$49:LG49)=0,0,IF(IF(LH55&gt;0,LH55-(IF(SUM($D56:LG56)&gt;0,0,IF(LG$25&gt;LG54,LG54,0))),0)&lt;0,0,(IF(SUM($D56:LG56)&gt;0,0,IF(LG$25&gt;LG54,LG54,0)))))</f>
        <v>0</v>
      </c>
      <c r="LI56" s="115">
        <f>IF(SUM($D$49:LH49)=0,0,IF(IF(LI55&gt;0,LI55-(IF(SUM($D56:LH56)&gt;0,0,IF(LH$25&gt;LH54,LH54,0))),0)&lt;0,0,(IF(SUM($D56:LH56)&gt;0,0,IF(LH$25&gt;LH54,LH54,0)))))</f>
        <v>0</v>
      </c>
      <c r="LJ56" s="115">
        <f>IF(SUM($D$49:LI49)=0,0,IF(IF(LJ55&gt;0,LJ55-(IF(SUM($D56:LI56)&gt;0,0,IF(LI$25&gt;LI54,LI54,0))),0)&lt;0,0,(IF(SUM($D56:LI56)&gt;0,0,IF(LI$25&gt;LI54,LI54,0)))))</f>
        <v>0</v>
      </c>
      <c r="LK56" s="115">
        <f>IF(SUM($D$49:LJ49)=0,0,IF(IF(LK55&gt;0,LK55-(IF(SUM($D56:LJ56)&gt;0,0,IF(LJ$25&gt;LJ54,LJ54,0))),0)&lt;0,0,(IF(SUM($D56:LJ56)&gt;0,0,IF(LJ$25&gt;LJ54,LJ54,0)))))</f>
        <v>0</v>
      </c>
      <c r="LL56" s="115">
        <f>IF(SUM($D$49:LK49)=0,0,IF(IF(LL55&gt;0,LL55-(IF(SUM($D56:LK56)&gt;0,0,IF(LK$25&gt;LK54,LK54,0))),0)&lt;0,0,(IF(SUM($D56:LK56)&gt;0,0,IF(LK$25&gt;LK54,LK54,0)))))</f>
        <v>0</v>
      </c>
      <c r="LM56" s="115">
        <f>IF(SUM($D$49:LL49)=0,0,IF(IF(LM55&gt;0,LM55-(IF(SUM($D56:LL56)&gt;0,0,IF(LL$25&gt;LL54,LL54,0))),0)&lt;0,0,(IF(SUM($D56:LL56)&gt;0,0,IF(LL$25&gt;LL54,LL54,0)))))</f>
        <v>0</v>
      </c>
      <c r="LN56" s="115">
        <f>IF(SUM($D$49:LM49)=0,0,IF(IF(LN55&gt;0,LN55-(IF(SUM($D56:LM56)&gt;0,0,IF(LM$25&gt;LM54,LM54,0))),0)&lt;0,0,(IF(SUM($D56:LM56)&gt;0,0,IF(LM$25&gt;LM54,LM54,0)))))</f>
        <v>0</v>
      </c>
      <c r="LO56" s="115">
        <f>IF(SUM($D$49:LN49)=0,0,IF(IF(LO55&gt;0,LO55-(IF(SUM($D56:LN56)&gt;0,0,IF(LN$25&gt;LN54,LN54,0))),0)&lt;0,0,(IF(SUM($D56:LN56)&gt;0,0,IF(LN$25&gt;LN54,LN54,0)))))</f>
        <v>0</v>
      </c>
      <c r="LP56" s="115">
        <f>IF(SUM($D$49:LO49)=0,0,IF(IF(LP55&gt;0,LP55-(IF(SUM($D56:LO56)&gt;0,0,IF(LO$25&gt;LO54,LO54,0))),0)&lt;0,0,(IF(SUM($D56:LO56)&gt;0,0,IF(LO$25&gt;LO54,LO54,0)))))</f>
        <v>0</v>
      </c>
      <c r="LQ56" s="115">
        <f>IF(SUM($D$49:LP49)=0,0,IF(IF(LQ55&gt;0,LQ55-(IF(SUM($D56:LP56)&gt;0,0,IF(LP$25&gt;LP54,LP54,0))),0)&lt;0,0,(IF(SUM($D56:LP56)&gt;0,0,IF(LP$25&gt;LP54,LP54,0)))))</f>
        <v>0</v>
      </c>
      <c r="LR56" s="115">
        <f>IF(SUM($D$49:LQ49)=0,0,IF(IF(LR55&gt;0,LR55-(IF(SUM($D56:LQ56)&gt;0,0,IF(LQ$25&gt;LQ54,LQ54,0))),0)&lt;0,0,(IF(SUM($D56:LQ56)&gt;0,0,IF(LQ$25&gt;LQ54,LQ54,0)))))</f>
        <v>0</v>
      </c>
      <c r="LS56" s="115">
        <f>IF(SUM($D$49:LR49)=0,0,IF(IF(LS55&gt;0,LS55-(IF(SUM($D56:LR56)&gt;0,0,IF(LR$25&gt;LR54,LR54,0))),0)&lt;0,0,(IF(SUM($D56:LR56)&gt;0,0,IF(LR$25&gt;LR54,LR54,0)))))</f>
        <v>0</v>
      </c>
      <c r="LT56" s="115">
        <f>IF(SUM($D$49:LS49)=0,0,IF(IF(LT55&gt;0,LT55-(IF(SUM($D56:LS56)&gt;0,0,IF(LS$25&gt;LS54,LS54,0))),0)&lt;0,0,(IF(SUM($D56:LS56)&gt;0,0,IF(LS$25&gt;LS54,LS54,0)))))</f>
        <v>0</v>
      </c>
      <c r="LU56" s="115">
        <f>IF(SUM($D$49:LT49)=0,0,IF(IF(LU55&gt;0,LU55-(IF(SUM($D56:LT56)&gt;0,0,IF(LT$25&gt;LT54,LT54,0))),0)&lt;0,0,(IF(SUM($D56:LT56)&gt;0,0,IF(LT$25&gt;LT54,LT54,0)))))</f>
        <v>0</v>
      </c>
      <c r="LV56" s="115">
        <f>IF(SUM($D$49:LU49)=0,0,IF(IF(LV55&gt;0,LV55-(IF(SUM($D56:LU56)&gt;0,0,IF(LU$25&gt;LU54,LU54,0))),0)&lt;0,0,(IF(SUM($D56:LU56)&gt;0,0,IF(LU$25&gt;LU54,LU54,0)))))</f>
        <v>0</v>
      </c>
      <c r="LW56" s="115">
        <f>IF(SUM($D$49:LV49)=0,0,IF(IF(LW55&gt;0,LW55-(IF(SUM($D56:LV56)&gt;0,0,IF(LV$25&gt;LV54,LV54,0))),0)&lt;0,0,(IF(SUM($D56:LV56)&gt;0,0,IF(LV$25&gt;LV54,LV54,0)))))</f>
        <v>0</v>
      </c>
      <c r="LX56" s="115">
        <f>IF(SUM($D$49:LW49)=0,0,IF(IF(LX55&gt;0,LX55-(IF(SUM($D56:LW56)&gt;0,0,IF(LW$25&gt;LW54,LW54,0))),0)&lt;0,0,(IF(SUM($D56:LW56)&gt;0,0,IF(LW$25&gt;LW54,LW54,0)))))</f>
        <v>0</v>
      </c>
      <c r="LY56" s="115">
        <f>IF(SUM($D$49:LX49)=0,0,IF(IF(LY55&gt;0,LY55-(IF(SUM($D56:LX56)&gt;0,0,IF(LX$25&gt;LX54,LX54,0))),0)&lt;0,0,(IF(SUM($D56:LX56)&gt;0,0,IF(LX$25&gt;LX54,LX54,0)))))</f>
        <v>0</v>
      </c>
      <c r="LZ56" s="115">
        <f>IF(SUM($D$49:LY49)=0,0,IF(IF(LZ55&gt;0,LZ55-(IF(SUM($D56:LY56)&gt;0,0,IF(LY$25&gt;LY54,LY54,0))),0)&lt;0,0,(IF(SUM($D56:LY56)&gt;0,0,IF(LY$25&gt;LY54,LY54,0)))))</f>
        <v>0</v>
      </c>
      <c r="MA56" s="115">
        <f>IF(SUM($D$49:LZ49)=0,0,IF(IF(MA55&gt;0,MA55-(IF(SUM($D56:LZ56)&gt;0,0,IF(LZ$25&gt;LZ54,LZ54,0))),0)&lt;0,0,(IF(SUM($D56:LZ56)&gt;0,0,IF(LZ$25&gt;LZ54,LZ54,0)))))</f>
        <v>0</v>
      </c>
      <c r="MB56" s="115">
        <f>IF(SUM($D$49:MA49)=0,0,IF(IF(MB55&gt;0,MB55-(IF(SUM($D56:MA56)&gt;0,0,IF(MA$25&gt;MA54,MA54,0))),0)&lt;0,0,(IF(SUM($D56:MA56)&gt;0,0,IF(MA$25&gt;MA54,MA54,0)))))</f>
        <v>0</v>
      </c>
      <c r="MC56" s="115">
        <f>IF(SUM($D$49:MB49)=0,0,IF(IF(MC55&gt;0,MC55-(IF(SUM($D56:MB56)&gt;0,0,IF(MB$25&gt;MB54,MB54,0))),0)&lt;0,0,(IF(SUM($D56:MB56)&gt;0,0,IF(MB$25&gt;MB54,MB54,0)))))</f>
        <v>0</v>
      </c>
      <c r="MD56" s="115">
        <f>IF(SUM($D$49:MC49)=0,0,IF(IF(MD55&gt;0,MD55-(IF(SUM($D56:MC56)&gt;0,0,IF(MC$25&gt;MC54,MC54,0))),0)&lt;0,0,(IF(SUM($D56:MC56)&gt;0,0,IF(MC$25&gt;MC54,MC54,0)))))</f>
        <v>0</v>
      </c>
      <c r="ME56" s="115">
        <f>IF(SUM($D$49:MD49)=0,0,IF(IF(ME55&gt;0,ME55-(IF(SUM($D56:MD56)&gt;0,0,IF(MD$25&gt;MD54,MD54,0))),0)&lt;0,0,(IF(SUM($D56:MD56)&gt;0,0,IF(MD$25&gt;MD54,MD54,0)))))</f>
        <v>0</v>
      </c>
      <c r="MF56" s="115">
        <f>IF(SUM($D$49:ME49)=0,0,IF(IF(MF55&gt;0,MF55-(IF(SUM($D56:ME56)&gt;0,0,IF(ME$25&gt;ME54,ME54,0))),0)&lt;0,0,(IF(SUM($D56:ME56)&gt;0,0,IF(ME$25&gt;ME54,ME54,0)))))</f>
        <v>0</v>
      </c>
      <c r="MG56" s="115">
        <f>IF(SUM($D$49:MF49)=0,0,IF(IF(MG55&gt;0,MG55-(IF(SUM($D56:MF56)&gt;0,0,IF(MF$25&gt;MF54,MF54,0))),0)&lt;0,0,(IF(SUM($D56:MF56)&gt;0,0,IF(MF$25&gt;MF54,MF54,0)))))</f>
        <v>0</v>
      </c>
      <c r="MH56" s="115">
        <f>IF(SUM($D$49:MG49)=0,0,IF(IF(MH55&gt;0,MH55-(IF(SUM($D56:MG56)&gt;0,0,IF(MG$25&gt;MG54,MG54,0))),0)&lt;0,0,(IF(SUM($D56:MG56)&gt;0,0,IF(MG$25&gt;MG54,MG54,0)))))</f>
        <v>0</v>
      </c>
      <c r="MI56" s="115">
        <f>IF(SUM($D$49:MH49)=0,0,IF(IF(MI55&gt;0,MI55-(IF(SUM($D56:MH56)&gt;0,0,IF(MH$25&gt;MH54,MH54,0))),0)&lt;0,0,(IF(SUM($D56:MH56)&gt;0,0,IF(MH$25&gt;MH54,MH54,0)))))</f>
        <v>0</v>
      </c>
      <c r="MJ56" s="115">
        <f>IF(SUM($D$49:MI49)=0,0,IF(IF(MJ55&gt;0,MJ55-(IF(SUM($D56:MI56)&gt;0,0,IF(MI$25&gt;MI54,MI54,0))),0)&lt;0,0,(IF(SUM($D56:MI56)&gt;0,0,IF(MI$25&gt;MI54,MI54,0)))))</f>
        <v>0</v>
      </c>
      <c r="MK56" s="115">
        <f>IF(SUM($D$49:MJ49)=0,0,IF(IF(MK55&gt;0,MK55-(IF(SUM($D56:MJ56)&gt;0,0,IF(MJ$25&gt;MJ54,MJ54,0))),0)&lt;0,0,(IF(SUM($D56:MJ56)&gt;0,0,IF(MJ$25&gt;MJ54,MJ54,0)))))</f>
        <v>0</v>
      </c>
      <c r="ML56" s="115">
        <f>IF(SUM($D$49:MK49)=0,0,IF(IF(ML55&gt;0,ML55-(IF(SUM($D56:MK56)&gt;0,0,IF(MK$25&gt;MK54,MK54,0))),0)&lt;0,0,(IF(SUM($D56:MK56)&gt;0,0,IF(MK$25&gt;MK54,MK54,0)))))</f>
        <v>0</v>
      </c>
      <c r="MM56" s="115">
        <f>IF(SUM($D$49:ML49)=0,0,IF(IF(MM55&gt;0,MM55-(IF(SUM($D56:ML56)&gt;0,0,IF(ML$25&gt;ML54,ML54,0))),0)&lt;0,0,(IF(SUM($D56:ML56)&gt;0,0,IF(ML$25&gt;ML54,ML54,0)))))</f>
        <v>0</v>
      </c>
      <c r="MN56" s="115">
        <f>IF(SUM($D$49:MM49)=0,0,IF(IF(MN55&gt;0,MN55-(IF(SUM($D56:MM56)&gt;0,0,IF(MM$25&gt;MM54,MM54,0))),0)&lt;0,0,(IF(SUM($D56:MM56)&gt;0,0,IF(MM$25&gt;MM54,MM54,0)))))</f>
        <v>0</v>
      </c>
      <c r="MO56" s="115">
        <f>IF(SUM($D$49:MN49)=0,0,IF(IF(MO55&gt;0,MO55-(IF(SUM($D56:MN56)&gt;0,0,IF(MN$25&gt;MN54,MN54,0))),0)&lt;0,0,(IF(SUM($D56:MN56)&gt;0,0,IF(MN$25&gt;MN54,MN54,0)))))</f>
        <v>0</v>
      </c>
      <c r="MP56" s="115">
        <f>IF(SUM($D$49:MO49)=0,0,IF(IF(MP55&gt;0,MP55-(IF(SUM($D56:MO56)&gt;0,0,IF(MO$25&gt;MO54,MO54,0))),0)&lt;0,0,(IF(SUM($D56:MO56)&gt;0,0,IF(MO$25&gt;MO54,MO54,0)))))</f>
        <v>0</v>
      </c>
      <c r="MQ56" s="115">
        <f>IF(SUM($D$49:MP49)=0,0,IF(IF(MQ55&gt;0,MQ55-(IF(SUM($D56:MP56)&gt;0,0,IF(MP$25&gt;MP54,MP54,0))),0)&lt;0,0,(IF(SUM($D56:MP56)&gt;0,0,IF(MP$25&gt;MP54,MP54,0)))))</f>
        <v>0</v>
      </c>
      <c r="MR56" s="115">
        <f>IF(SUM($D$49:MQ49)=0,0,IF(IF(MR55&gt;0,MR55-(IF(SUM($D56:MQ56)&gt;0,0,IF(MQ$25&gt;MQ54,MQ54,0))),0)&lt;0,0,(IF(SUM($D56:MQ56)&gt;0,0,IF(MQ$25&gt;MQ54,MQ54,0)))))</f>
        <v>0</v>
      </c>
      <c r="MS56" s="115">
        <f>IF(SUM($D$49:MR49)=0,0,IF(IF(MS55&gt;0,MS55-(IF(SUM($D56:MR56)&gt;0,0,IF(MR$25&gt;MR54,MR54,0))),0)&lt;0,0,(IF(SUM($D56:MR56)&gt;0,0,IF(MR$25&gt;MR54,MR54,0)))))</f>
        <v>0</v>
      </c>
      <c r="MT56" s="115">
        <f>IF(SUM($D$49:MS49)=0,0,IF(IF(MT55&gt;0,MT55-(IF(SUM($D56:MS56)&gt;0,0,IF(MS$25&gt;MS54,MS54,0))),0)&lt;0,0,(IF(SUM($D56:MS56)&gt;0,0,IF(MS$25&gt;MS54,MS54,0)))))</f>
        <v>0</v>
      </c>
      <c r="MU56" s="115">
        <f>IF(SUM($D$49:MT49)=0,0,IF(IF(MU55&gt;0,MU55-(IF(SUM($D56:MT56)&gt;0,0,IF(MT$25&gt;MT54,MT54,0))),0)&lt;0,0,(IF(SUM($D56:MT56)&gt;0,0,IF(MT$25&gt;MT54,MT54,0)))))</f>
        <v>0</v>
      </c>
      <c r="MV56" s="115">
        <f>IF(SUM($D$49:MU49)=0,0,IF(IF(MV55&gt;0,MV55-(IF(SUM($D56:MU56)&gt;0,0,IF(MU$25&gt;MU54,MU54,0))),0)&lt;0,0,(IF(SUM($D56:MU56)&gt;0,0,IF(MU$25&gt;MU54,MU54,0)))))</f>
        <v>0</v>
      </c>
      <c r="MW56" s="115">
        <f>IF(SUM($D$49:MV49)=0,0,IF(IF(MW55&gt;0,MW55-(IF(SUM($D56:MV56)&gt;0,0,IF(MV$25&gt;MV54,MV54,0))),0)&lt;0,0,(IF(SUM($D56:MV56)&gt;0,0,IF(MV$25&gt;MV54,MV54,0)))))</f>
        <v>0</v>
      </c>
      <c r="MX56" s="115">
        <f>IF(SUM($D$49:MW49)=0,0,IF(IF(MX55&gt;0,MX55-(IF(SUM($D56:MW56)&gt;0,0,IF(MW$25&gt;MW54,MW54,0))),0)&lt;0,0,(IF(SUM($D56:MW56)&gt;0,0,IF(MW$25&gt;MW54,MW54,0)))))</f>
        <v>0</v>
      </c>
      <c r="MY56" s="115">
        <f>IF(SUM($D$49:MX49)=0,0,IF(IF(MY55&gt;0,MY55-(IF(SUM($D56:MX56)&gt;0,0,IF(MX$25&gt;MX54,MX54,0))),0)&lt;0,0,(IF(SUM($D56:MX56)&gt;0,0,IF(MX$25&gt;MX54,MX54,0)))))</f>
        <v>0</v>
      </c>
      <c r="MZ56" s="115">
        <f>IF(SUM($D$49:MY49)=0,0,IF(IF(MZ55&gt;0,MZ55-(IF(SUM($D56:MY56)&gt;0,0,IF(MY$25&gt;MY54,MY54,0))),0)&lt;0,0,(IF(SUM($D56:MY56)&gt;0,0,IF(MY$25&gt;MY54,MY54,0)))))</f>
        <v>0</v>
      </c>
      <c r="NA56" s="115">
        <f>IF(SUM($D$49:MZ49)=0,0,IF(IF(NA55&gt;0,NA55-(IF(SUM($D56:MZ56)&gt;0,0,IF(MZ$25&gt;MZ54,MZ54,0))),0)&lt;0,0,(IF(SUM($D56:MZ56)&gt;0,0,IF(MZ$25&gt;MZ54,MZ54,0)))))</f>
        <v>0</v>
      </c>
      <c r="NB56" s="115">
        <f>IF(SUM($D$49:NA49)=0,0,IF(IF(NB55&gt;0,NB55-(IF(SUM($D56:NA56)&gt;0,0,IF(NA$25&gt;NA54,NA54,0))),0)&lt;0,0,(IF(SUM($D56:NA56)&gt;0,0,IF(NA$25&gt;NA54,NA54,0)))))</f>
        <v>0</v>
      </c>
      <c r="NC56" s="115">
        <f>IF(SUM($D$49:NB49)=0,0,IF(IF(NC55&gt;0,NC55-(IF(SUM($D56:NB56)&gt;0,0,IF(NB$25&gt;NB54,NB54,0))),0)&lt;0,0,(IF(SUM($D56:NB56)&gt;0,0,IF(NB$25&gt;NB54,NB54,0)))))</f>
        <v>0</v>
      </c>
      <c r="ND56" s="115">
        <f>IF(SUM($D$49:NC49)=0,0,IF(IF(ND55&gt;0,ND55-(IF(SUM($D56:NC56)&gt;0,0,IF(NC$25&gt;NC54,NC54,0))),0)&lt;0,0,(IF(SUM($D56:NC56)&gt;0,0,IF(NC$25&gt;NC54,NC54,0)))))</f>
        <v>0</v>
      </c>
      <c r="NE56" s="115">
        <f>IF(SUM($D$49:ND49)=0,0,IF(IF(NE55&gt;0,NE55-(IF(SUM($D56:ND56)&gt;0,0,IF(ND$25&gt;ND54,ND54,0))),0)&lt;0,0,(IF(SUM($D56:ND56)&gt;0,0,IF(ND$25&gt;ND54,ND54,0)))))</f>
        <v>0</v>
      </c>
      <c r="NF56" s="115">
        <f>IF(SUM($D$49:NE49)=0,0,IF(IF(NF55&gt;0,NF55-(IF(SUM($D56:NE56)&gt;0,0,IF(NE$25&gt;NE54,NE54,0))),0)&lt;0,0,(IF(SUM($D56:NE56)&gt;0,0,IF(NE$25&gt;NE54,NE54,0)))))</f>
        <v>0</v>
      </c>
      <c r="NG56" s="115">
        <f>IF(SUM($D$49:NF49)=0,0,IF(IF(NG55&gt;0,NG55-(IF(SUM($D56:NF56)&gt;0,0,IF(NF$25&gt;NF54,NF54,0))),0)&lt;0,0,(IF(SUM($D56:NF56)&gt;0,0,IF(NF$25&gt;NF54,NF54,0)))))</f>
        <v>0</v>
      </c>
      <c r="NH56" s="115">
        <f>IF(SUM($D$49:NG49)=0,0,IF(IF(NH55&gt;0,NH55-(IF(SUM($D56:NG56)&gt;0,0,IF(NG$25&gt;NG54,NG54,0))),0)&lt;0,0,(IF(SUM($D56:NG56)&gt;0,0,IF(NG$25&gt;NG54,NG54,0)))))</f>
        <v>0</v>
      </c>
      <c r="NI56" s="115">
        <f>IF(SUM($D$49:NH49)=0,0,IF(IF(NI55&gt;0,NI55-(IF(SUM($D56:NH56)&gt;0,0,IF(NH$25&gt;NH54,NH54,0))),0)&lt;0,0,(IF(SUM($D56:NH56)&gt;0,0,IF(NH$25&gt;NH54,NH54,0)))))</f>
        <v>0</v>
      </c>
      <c r="NJ56" s="115">
        <f>IF(SUM($D$49:NI49)=0,0,IF(IF(NJ55&gt;0,NJ55-(IF(SUM($D56:NI56)&gt;0,0,IF(NI$25&gt;NI54,NI54,0))),0)&lt;0,0,(IF(SUM($D56:NI56)&gt;0,0,IF(NI$25&gt;NI54,NI54,0)))))</f>
        <v>0</v>
      </c>
      <c r="NK56" s="115">
        <f>IF(SUM($D$49:NJ49)=0,0,IF(IF(NK55&gt;0,NK55-(IF(SUM($D56:NJ56)&gt;0,0,IF(NJ$25&gt;NJ54,NJ54,0))),0)&lt;0,0,(IF(SUM($D56:NJ56)&gt;0,0,IF(NJ$25&gt;NJ54,NJ54,0)))))</f>
        <v>0</v>
      </c>
      <c r="NL56" s="115">
        <f>IF(SUM($D$49:NK49)=0,0,IF(IF(NL55&gt;0,NL55-(IF(SUM($D56:NK56)&gt;0,0,IF(NK$25&gt;NK54,NK54,0))),0)&lt;0,0,(IF(SUM($D56:NK56)&gt;0,0,IF(NK$25&gt;NK54,NK54,0)))))</f>
        <v>0</v>
      </c>
      <c r="NM56" s="115">
        <f>IF(SUM($D$49:NL49)=0,0,IF(IF(NM55&gt;0,NM55-(IF(SUM($D56:NL56)&gt;0,0,IF(NL$25&gt;NL54,NL54,0))),0)&lt;0,0,(IF(SUM($D56:NL56)&gt;0,0,IF(NL$25&gt;NL54,NL54,0)))))</f>
        <v>0</v>
      </c>
      <c r="NN56" s="115">
        <f>IF(SUM($D$49:NM49)=0,0,IF(IF(NN55&gt;0,NN55-(IF(SUM($D56:NM56)&gt;0,0,IF(NM$25&gt;NM54,NM54,0))),0)&lt;0,0,(IF(SUM($D56:NM56)&gt;0,0,IF(NM$25&gt;NM54,NM54,0)))))</f>
        <v>0</v>
      </c>
      <c r="NO56" s="115">
        <f>IF(SUM($D$49:NN49)=0,0,IF(IF(NO55&gt;0,NO55-(IF(SUM($D56:NN56)&gt;0,0,IF(NN$25&gt;NN54,NN54,0))),0)&lt;0,0,(IF(SUM($D56:NN56)&gt;0,0,IF(NN$25&gt;NN54,NN54,0)))))</f>
        <v>0</v>
      </c>
      <c r="NP56" s="115">
        <f>IF(SUM($D$49:NO49)=0,0,IF(IF(NP55&gt;0,NP55-(IF(SUM($D56:NO56)&gt;0,0,IF(NO$25&gt;NO54,NO54,0))),0)&lt;0,0,(IF(SUM($D56:NO56)&gt;0,0,IF(NO$25&gt;NO54,NO54,0)))))</f>
        <v>0</v>
      </c>
      <c r="NQ56" s="115">
        <f>IF(SUM($D$49:NP49)=0,0,IF(IF(NQ55&gt;0,NQ55-(IF(SUM($D56:NP56)&gt;0,0,IF(NP$25&gt;NP54,NP54,0))),0)&lt;0,0,(IF(SUM($D56:NP56)&gt;0,0,IF(NP$25&gt;NP54,NP54,0)))))</f>
        <v>0</v>
      </c>
      <c r="NR56" s="115">
        <f>IF(SUM($D$49:NQ49)=0,0,IF(IF(NR55&gt;0,NR55-(IF(SUM($D56:NQ56)&gt;0,0,IF(NQ$25&gt;NQ54,NQ54,0))),0)&lt;0,0,(IF(SUM($D56:NQ56)&gt;0,0,IF(NQ$25&gt;NQ54,NQ54,0)))))</f>
        <v>0</v>
      </c>
      <c r="NS56" s="115">
        <f>IF(SUM($D$49:NR49)=0,0,IF(IF(NS55&gt;0,NS55-(IF(SUM($D56:NR56)&gt;0,0,IF(NR$25&gt;NR54,NR54,0))),0)&lt;0,0,(IF(SUM($D56:NR56)&gt;0,0,IF(NR$25&gt;NR54,NR54,0)))))</f>
        <v>0</v>
      </c>
      <c r="NT56" s="115">
        <f>IF(SUM($D$49:NS49)=0,0,IF(IF(NT55&gt;0,NT55-(IF(SUM($D56:NS56)&gt;0,0,IF(NS$25&gt;NS54,NS54,0))),0)&lt;0,0,(IF(SUM($D56:NS56)&gt;0,0,IF(NS$25&gt;NS54,NS54,0)))))</f>
        <v>0</v>
      </c>
      <c r="NU56" s="115">
        <f>IF(SUM($D$49:NT49)=0,0,IF(IF(NU55&gt;0,NU55-(IF(SUM($D56:NT56)&gt;0,0,IF(NT$25&gt;NT54,NT54,0))),0)&lt;0,0,(IF(SUM($D56:NT56)&gt;0,0,IF(NT$25&gt;NT54,NT54,0)))))</f>
        <v>0</v>
      </c>
      <c r="NV56" s="115">
        <f>IF(SUM($D$49:NU49)=0,0,IF(IF(NV55&gt;0,NV55-(IF(SUM($D56:NU56)&gt;0,0,IF(NU$25&gt;NU54,NU54,0))),0)&lt;0,0,(IF(SUM($D56:NU56)&gt;0,0,IF(NU$25&gt;NU54,NU54,0)))))</f>
        <v>0</v>
      </c>
      <c r="NW56" s="115">
        <f>IF(SUM($D$49:NV49)=0,0,IF(IF(NW55&gt;0,NW55-(IF(SUM($D56:NV56)&gt;0,0,IF(NV$25&gt;NV54,NV54,0))),0)&lt;0,0,(IF(SUM($D56:NV56)&gt;0,0,IF(NV$25&gt;NV54,NV54,0)))))</f>
        <v>0</v>
      </c>
      <c r="NX56" s="115">
        <f>IF(SUM($D$49:NW49)=0,0,IF(IF(NX55&gt;0,NX55-(IF(SUM($D56:NW56)&gt;0,0,IF(NW$25&gt;NW54,NW54,0))),0)&lt;0,0,(IF(SUM($D56:NW56)&gt;0,0,IF(NW$25&gt;NW54,NW54,0)))))</f>
        <v>0</v>
      </c>
      <c r="NY56" s="115">
        <f>IF(SUM($D$49:NX49)=0,0,IF(IF(NY55&gt;0,NY55-(IF(SUM($D56:NX56)&gt;0,0,IF(NX$25&gt;NX54,NX54,0))),0)&lt;0,0,(IF(SUM($D56:NX56)&gt;0,0,IF(NX$25&gt;NX54,NX54,0)))))</f>
        <v>0</v>
      </c>
      <c r="NZ56" s="115">
        <f>IF(SUM($D$49:NY49)=0,0,IF(IF(NZ55&gt;0,NZ55-(IF(SUM($D56:NY56)&gt;0,0,IF(NY$25&gt;NY54,NY54,0))),0)&lt;0,0,(IF(SUM($D56:NY56)&gt;0,0,IF(NY$25&gt;NY54,NY54,0)))))</f>
        <v>0</v>
      </c>
      <c r="OA56" s="115">
        <f>IF(SUM($D$49:NZ49)=0,0,IF(IF(OA55&gt;0,OA55-(IF(SUM($D56:NZ56)&gt;0,0,IF(NZ$25&gt;NZ54,NZ54,0))),0)&lt;0,0,(IF(SUM($D56:NZ56)&gt;0,0,IF(NZ$25&gt;NZ54,NZ54,0)))))</f>
        <v>0</v>
      </c>
      <c r="OB56" s="115">
        <f>IF(SUM($D$49:OA49)=0,0,IF(IF(OB55&gt;0,OB55-(IF(SUM($D56:OA56)&gt;0,0,IF(OA$25&gt;OA54,OA54,0))),0)&lt;0,0,(IF(SUM($D56:OA56)&gt;0,0,IF(OA$25&gt;OA54,OA54,0)))))</f>
        <v>0</v>
      </c>
      <c r="OC56" s="115">
        <f>IF(SUM($D$49:OB49)=0,0,IF(IF(OC55&gt;0,OC55-(IF(SUM($D56:OB56)&gt;0,0,IF(OB$25&gt;OB54,OB54,0))),0)&lt;0,0,(IF(SUM($D56:OB56)&gt;0,0,IF(OB$25&gt;OB54,OB54,0)))))</f>
        <v>0</v>
      </c>
      <c r="OD56" s="115">
        <f>IF(SUM($D$49:OC49)=0,0,IF(IF(OD55&gt;0,OD55-(IF(SUM($D56:OC56)&gt;0,0,IF(OC$25&gt;OC54,OC54,0))),0)&lt;0,0,(IF(SUM($D56:OC56)&gt;0,0,IF(OC$25&gt;OC54,OC54,0)))))</f>
        <v>0</v>
      </c>
      <c r="OE56" s="115">
        <f>IF(SUM($D$49:OD49)=0,0,IF(IF(OE55&gt;0,OE55-(IF(SUM($D56:OD56)&gt;0,0,IF(OD$25&gt;OD54,OD54,0))),0)&lt;0,0,(IF(SUM($D56:OD56)&gt;0,0,IF(OD$25&gt;OD54,OD54,0)))))</f>
        <v>0</v>
      </c>
      <c r="OF56" s="115">
        <f>IF(SUM($D$49:OE49)=0,0,IF(IF(OF55&gt;0,OF55-(IF(SUM($D56:OE56)&gt;0,0,IF(OE$25&gt;OE54,OE54,0))),0)&lt;0,0,(IF(SUM($D56:OE56)&gt;0,0,IF(OE$25&gt;OE54,OE54,0)))))</f>
        <v>0</v>
      </c>
      <c r="OG56" s="115">
        <f>IF(SUM($D$49:OF49)=0,0,IF(IF(OG55&gt;0,OG55-(IF(SUM($D56:OF56)&gt;0,0,IF(OF$25&gt;OF54,OF54,0))),0)&lt;0,0,(IF(SUM($D56:OF56)&gt;0,0,IF(OF$25&gt;OF54,OF54,0)))))</f>
        <v>0</v>
      </c>
      <c r="OH56" s="115">
        <f>IF(SUM($D$49:OG49)=0,0,IF(IF(OH55&gt;0,OH55-(IF(SUM($D56:OG56)&gt;0,0,IF(OG$25&gt;OG54,OG54,0))),0)&lt;0,0,(IF(SUM($D56:OG56)&gt;0,0,IF(OG$25&gt;OG54,OG54,0)))))</f>
        <v>0</v>
      </c>
      <c r="OI56" s="115">
        <f>IF(SUM($D$49:OH49)=0,0,IF(IF(OI55&gt;0,OI55-(IF(SUM($D56:OH56)&gt;0,0,IF(OH$25&gt;OH54,OH54,0))),0)&lt;0,0,(IF(SUM($D56:OH56)&gt;0,0,IF(OH$25&gt;OH54,OH54,0)))))</f>
        <v>0</v>
      </c>
      <c r="OJ56" s="115">
        <f>IF(SUM($D$49:OI49)=0,0,IF(IF(OJ55&gt;0,OJ55-(IF(SUM($D56:OI56)&gt;0,0,IF(OI$25&gt;OI54,OI54,0))),0)&lt;0,0,(IF(SUM($D56:OI56)&gt;0,0,IF(OI$25&gt;OI54,OI54,0)))))</f>
        <v>0</v>
      </c>
      <c r="OK56" s="115">
        <f>IF(SUM($D$49:OJ49)=0,0,IF(IF(OK55&gt;0,OK55-(IF(SUM($D56:OJ56)&gt;0,0,IF(OJ$25&gt;OJ54,OJ54,0))),0)&lt;0,0,(IF(SUM($D56:OJ56)&gt;0,0,IF(OJ$25&gt;OJ54,OJ54,0)))))</f>
        <v>0</v>
      </c>
      <c r="OL56" s="115">
        <f>IF(SUM($D$49:OK49)=0,0,IF(IF(OL55&gt;0,OL55-(IF(SUM($D56:OK56)&gt;0,0,IF(OK$25&gt;OK54,OK54,0))),0)&lt;0,0,(IF(SUM($D56:OK56)&gt;0,0,IF(OK$25&gt;OK54,OK54,0)))))</f>
        <v>0</v>
      </c>
      <c r="OM56" s="115">
        <f>IF(SUM($D$49:OL49)=0,0,IF(IF(OM55&gt;0,OM55-(IF(SUM($D56:OL56)&gt;0,0,IF(OL$25&gt;OL54,OL54,0))),0)&lt;0,0,(IF(SUM($D56:OL56)&gt;0,0,IF(OL$25&gt;OL54,OL54,0)))))</f>
        <v>0</v>
      </c>
      <c r="ON56" s="115">
        <f>IF(SUM($D$49:OM49)=0,0,IF(IF(ON55&gt;0,ON55-(IF(SUM($D56:OM56)&gt;0,0,IF(OM$25&gt;OM54,OM54,0))),0)&lt;0,0,(IF(SUM($D56:OM56)&gt;0,0,IF(OM$25&gt;OM54,OM54,0)))))</f>
        <v>0</v>
      </c>
      <c r="OO56" s="115">
        <f>IF(SUM($D$49:ON49)=0,0,IF(IF(OO55&gt;0,OO55-(IF(SUM($D56:ON56)&gt;0,0,IF(ON$25&gt;ON54,ON54,0))),0)&lt;0,0,(IF(SUM($D56:ON56)&gt;0,0,IF(ON$25&gt;ON54,ON54,0)))))</f>
        <v>0</v>
      </c>
      <c r="OP56" s="115">
        <f>IF(SUM($D$49:OO49)=0,0,IF(IF(OP55&gt;0,OP55-(IF(SUM($D56:OO56)&gt;0,0,IF(OO$25&gt;OO54,OO54,0))),0)&lt;0,0,(IF(SUM($D56:OO56)&gt;0,0,IF(OO$25&gt;OO54,OO54,0)))))</f>
        <v>0</v>
      </c>
      <c r="OQ56" s="115">
        <f>IF(SUM($D$49:OP49)=0,0,IF(IF(OQ55&gt;0,OQ55-(IF(SUM($D56:OP56)&gt;0,0,IF(OP$25&gt;OP54,OP54,0))),0)&lt;0,0,(IF(SUM($D56:OP56)&gt;0,0,IF(OP$25&gt;OP54,OP54,0)))))</f>
        <v>0</v>
      </c>
      <c r="OR56" s="115">
        <f>IF(SUM($D$49:OQ49)=0,0,IF(IF(OR55&gt;0,OR55-(IF(SUM($D56:OQ56)&gt;0,0,IF(OQ$25&gt;OQ54,OQ54,0))),0)&lt;0,0,(IF(SUM($D56:OQ56)&gt;0,0,IF(OQ$25&gt;OQ54,OQ54,0)))))</f>
        <v>0</v>
      </c>
      <c r="OS56" s="115">
        <f>IF(SUM($D$49:OR49)=0,0,IF(IF(OS55&gt;0,OS55-(IF(SUM($D56:OR56)&gt;0,0,IF(OR$25&gt;OR54,OR54,0))),0)&lt;0,0,(IF(SUM($D56:OR56)&gt;0,0,IF(OR$25&gt;OR54,OR54,0)))))</f>
        <v>0</v>
      </c>
      <c r="OT56" s="115">
        <f>IF(SUM($D$49:OS49)=0,0,IF(IF(OT55&gt;0,OT55-(IF(SUM($D56:OS56)&gt;0,0,IF(OS$25&gt;OS54,OS54,0))),0)&lt;0,0,(IF(SUM($D56:OS56)&gt;0,0,IF(OS$25&gt;OS54,OS54,0)))))</f>
        <v>0</v>
      </c>
      <c r="OU56" s="115">
        <f>IF(SUM($D$49:OT49)=0,0,IF(IF(OU55&gt;0,OU55-(IF(SUM($D56:OT56)&gt;0,0,IF(OT$25&gt;OT54,OT54,0))),0)&lt;0,0,(IF(SUM($D56:OT56)&gt;0,0,IF(OT$25&gt;OT54,OT54,0)))))</f>
        <v>0</v>
      </c>
      <c r="OV56" s="115">
        <f>IF(SUM($D$49:OU49)=0,0,IF(IF(OV55&gt;0,OV55-(IF(SUM($D56:OU56)&gt;0,0,IF(OU$25&gt;OU54,OU54,0))),0)&lt;0,0,(IF(SUM($D56:OU56)&gt;0,0,IF(OU$25&gt;OU54,OU54,0)))))</f>
        <v>0</v>
      </c>
      <c r="OW56" s="115">
        <f>IF(SUM($D$49:OV49)=0,0,IF(IF(OW55&gt;0,OW55-(IF(SUM($D56:OV56)&gt;0,0,IF(OV$25&gt;OV54,OV54,0))),0)&lt;0,0,(IF(SUM($D56:OV56)&gt;0,0,IF(OV$25&gt;OV54,OV54,0)))))</f>
        <v>0</v>
      </c>
      <c r="OX56" s="115">
        <f>IF(SUM($D$49:OW49)=0,0,IF(IF(OX55&gt;0,OX55-(IF(SUM($D56:OW56)&gt;0,0,IF(OW$25&gt;OW54,OW54,0))),0)&lt;0,0,(IF(SUM($D56:OW56)&gt;0,0,IF(OW$25&gt;OW54,OW54,0)))))</f>
        <v>0</v>
      </c>
      <c r="OY56" s="115">
        <f>IF(SUM($D$49:OX49)=0,0,IF(IF(OY55&gt;0,OY55-(IF(SUM($D56:OX56)&gt;0,0,IF(OX$25&gt;OX54,OX54,0))),0)&lt;0,0,(IF(SUM($D56:OX56)&gt;0,0,IF(OX$25&gt;OX54,OX54,0)))))</f>
        <v>0</v>
      </c>
      <c r="OZ56" s="115">
        <f>IF(SUM($D$49:OY49)=0,0,IF(IF(OZ55&gt;0,OZ55-(IF(SUM($D56:OY56)&gt;0,0,IF(OY$25&gt;OY54,OY54,0))),0)&lt;0,0,(IF(SUM($D56:OY56)&gt;0,0,IF(OY$25&gt;OY54,OY54,0)))))</f>
        <v>0</v>
      </c>
      <c r="PA56" s="115">
        <f>IF(SUM($D$49:OZ49)=0,0,IF(IF(PA55&gt;0,PA55-(IF(SUM($D56:OZ56)&gt;0,0,IF(OZ$25&gt;OZ54,OZ54,0))),0)&lt;0,0,(IF(SUM($D56:OZ56)&gt;0,0,IF(OZ$25&gt;OZ54,OZ54,0)))))</f>
        <v>0</v>
      </c>
      <c r="PB56" s="115">
        <f>IF(SUM($D$49:PA49)=0,0,IF(IF(PB55&gt;0,PB55-(IF(SUM($D56:PA56)&gt;0,0,IF(PA$25&gt;PA54,PA54,0))),0)&lt;0,0,(IF(SUM($D56:PA56)&gt;0,0,IF(PA$25&gt;PA54,PA54,0)))))</f>
        <v>0</v>
      </c>
      <c r="PC56" s="115">
        <f>IF(SUM($D$49:PB49)=0,0,IF(IF(PC55&gt;0,PC55-(IF(SUM($D56:PB56)&gt;0,0,IF(PB$25&gt;PB54,PB54,0))),0)&lt;0,0,(IF(SUM($D56:PB56)&gt;0,0,IF(PB$25&gt;PB54,PB54,0)))))</f>
        <v>0</v>
      </c>
      <c r="PD56" s="115">
        <f>IF(SUM($D$49:PC49)=0,0,IF(IF(PD55&gt;0,PD55-(IF(SUM($D56:PC56)&gt;0,0,IF(PC$25&gt;PC54,PC54,0))),0)&lt;0,0,(IF(SUM($D56:PC56)&gt;0,0,IF(PC$25&gt;PC54,PC54,0)))))</f>
        <v>0</v>
      </c>
      <c r="PE56" s="115">
        <f>IF(SUM($D$49:PD49)=0,0,IF(IF(PE55&gt;0,PE55-(IF(SUM($D56:PD56)&gt;0,0,IF(PD$25&gt;PD54,PD54,0))),0)&lt;0,0,(IF(SUM($D56:PD56)&gt;0,0,IF(PD$25&gt;PD54,PD54,0)))))</f>
        <v>0</v>
      </c>
      <c r="PF56" s="115">
        <f>IF(SUM($D$49:PE49)=0,0,IF(IF(PF55&gt;0,PF55-(IF(SUM($D56:PE56)&gt;0,0,IF(PE$25&gt;PE54,PE54,0))),0)&lt;0,0,(IF(SUM($D56:PE56)&gt;0,0,IF(PE$25&gt;PE54,PE54,0)))))</f>
        <v>0</v>
      </c>
      <c r="PG56" s="115">
        <f>IF(SUM($D$49:PF49)=0,0,IF(IF(PG55&gt;0,PG55-(IF(SUM($D56:PF56)&gt;0,0,IF(PF$25&gt;PF54,PF54,0))),0)&lt;0,0,(IF(SUM($D56:PF56)&gt;0,0,IF(PF$25&gt;PF54,PF54,0)))))</f>
        <v>0</v>
      </c>
      <c r="PH56" s="115">
        <f>IF(SUM($D$49:PG49)=0,0,IF(IF(PH55&gt;0,PH55-(IF(SUM($D56:PG56)&gt;0,0,IF(PG$25&gt;PG54,PG54,0))),0)&lt;0,0,(IF(SUM($D56:PG56)&gt;0,0,IF(PG$25&gt;PG54,PG54,0)))))</f>
        <v>0</v>
      </c>
      <c r="PI56" s="115">
        <f>IF(SUM($D$49:PH49)=0,0,IF(IF(PI55&gt;0,PI55-(IF(SUM($D56:PH56)&gt;0,0,IF(PH$25&gt;PH54,PH54,0))),0)&lt;0,0,(IF(SUM($D56:PH56)&gt;0,0,IF(PH$25&gt;PH54,PH54,0)))))</f>
        <v>0</v>
      </c>
      <c r="PJ56" s="115">
        <f>IF(SUM($D$49:PI49)=0,0,IF(IF(PJ55&gt;0,PJ55-(IF(SUM($D56:PI56)&gt;0,0,IF(PI$25&gt;PI54,PI54,0))),0)&lt;0,0,(IF(SUM($D56:PI56)&gt;0,0,IF(PI$25&gt;PI54,PI54,0)))))</f>
        <v>0</v>
      </c>
      <c r="PK56" s="115">
        <f>IF(SUM($D$49:PJ49)=0,0,IF(IF(PK55&gt;0,PK55-(IF(SUM($D56:PJ56)&gt;0,0,IF(PJ$25&gt;PJ54,PJ54,0))),0)&lt;0,0,(IF(SUM($D56:PJ56)&gt;0,0,IF(PJ$25&gt;PJ54,PJ54,0)))))</f>
        <v>0</v>
      </c>
      <c r="PL56" s="115">
        <f>IF(SUM($D$49:PK49)=0,0,IF(IF(PL55&gt;0,PL55-(IF(SUM($D56:PK56)&gt;0,0,IF(PK$25&gt;PK54,PK54,0))),0)&lt;0,0,(IF(SUM($D56:PK56)&gt;0,0,IF(PK$25&gt;PK54,PK54,0)))))</f>
        <v>0</v>
      </c>
      <c r="PM56" s="115">
        <f>IF(SUM($D$49:PL49)=0,0,IF(IF(PM55&gt;0,PM55-(IF(SUM($D56:PL56)&gt;0,0,IF(PL$25&gt;PL54,PL54,0))),0)&lt;0,0,(IF(SUM($D56:PL56)&gt;0,0,IF(PL$25&gt;PL54,PL54,0)))))</f>
        <v>0</v>
      </c>
      <c r="PN56" s="115">
        <f>IF(SUM($D$49:PM49)=0,0,IF(IF(PN55&gt;0,PN55-(IF(SUM($D56:PM56)&gt;0,0,IF(PM$25&gt;PM54,PM54,0))),0)&lt;0,0,(IF(SUM($D56:PM56)&gt;0,0,IF(PM$25&gt;PM54,PM54,0)))))</f>
        <v>0</v>
      </c>
      <c r="PO56" s="115">
        <f>IF(SUM($D$49:PN49)=0,0,IF(IF(PO55&gt;0,PO55-(IF(SUM($D56:PN56)&gt;0,0,IF(PN$25&gt;PN54,PN54,0))),0)&lt;0,0,(IF(SUM($D56:PN56)&gt;0,0,IF(PN$25&gt;PN54,PN54,0)))))</f>
        <v>0</v>
      </c>
      <c r="PP56" s="115">
        <f>IF(SUM($D$49:PO49)=0,0,IF(IF(PP55&gt;0,PP55-(IF(SUM($D56:PO56)&gt;0,0,IF(PO$25&gt;PO54,PO54,0))),0)&lt;0,0,(IF(SUM($D56:PO56)&gt;0,0,IF(PO$25&gt;PO54,PO54,0)))))</f>
        <v>0</v>
      </c>
      <c r="PQ56" s="115">
        <f>IF(SUM($D$49:PP49)=0,0,IF(IF(PQ55&gt;0,PQ55-(IF(SUM($D56:PP56)&gt;0,0,IF(PP$25&gt;PP54,PP54,0))),0)&lt;0,0,(IF(SUM($D56:PP56)&gt;0,0,IF(PP$25&gt;PP54,PP54,0)))))</f>
        <v>0</v>
      </c>
      <c r="PR56" s="115">
        <f>IF(SUM($D$49:PQ49)=0,0,IF(IF(PR55&gt;0,PR55-(IF(SUM($D56:PQ56)&gt;0,0,IF(PQ$25&gt;PQ54,PQ54,0))),0)&lt;0,0,(IF(SUM($D56:PQ56)&gt;0,0,IF(PQ$25&gt;PQ54,PQ54,0)))))</f>
        <v>0</v>
      </c>
      <c r="PS56" s="115">
        <f>IF(SUM($D$49:PR49)=0,0,IF(IF(PS55&gt;0,PS55-(IF(SUM($D56:PR56)&gt;0,0,IF(PR$25&gt;PR54,PR54,0))),0)&lt;0,0,(IF(SUM($D56:PR56)&gt;0,0,IF(PR$25&gt;PR54,PR54,0)))))</f>
        <v>0</v>
      </c>
      <c r="PT56" s="115">
        <f>IF(SUM($D$49:PS49)=0,0,IF(IF(PT55&gt;0,PT55-(IF(SUM($D56:PS56)&gt;0,0,IF(PS$25&gt;PS54,PS54,0))),0)&lt;0,0,(IF(SUM($D56:PS56)&gt;0,0,IF(PS$25&gt;PS54,PS54,0)))))</f>
        <v>0</v>
      </c>
      <c r="PU56" s="115">
        <f>IF(SUM($D$49:PT49)=0,0,IF(IF(PU55&gt;0,PU55-(IF(SUM($D56:PT56)&gt;0,0,IF(PT$25&gt;PT54,PT54,0))),0)&lt;0,0,(IF(SUM($D56:PT56)&gt;0,0,IF(PT$25&gt;PT54,PT54,0)))))</f>
        <v>0</v>
      </c>
      <c r="PV56" s="115">
        <f>IF(SUM($D$49:PU49)=0,0,IF(IF(PV55&gt;0,PV55-(IF(SUM($D56:PU56)&gt;0,0,IF(PU$25&gt;PU54,PU54,0))),0)&lt;0,0,(IF(SUM($D56:PU56)&gt;0,0,IF(PU$25&gt;PU54,PU54,0)))))</f>
        <v>0</v>
      </c>
      <c r="PW56" s="115">
        <f>IF(SUM($D$49:PV49)=0,0,IF(IF(PW55&gt;0,PW55-(IF(SUM($D56:PV56)&gt;0,0,IF(PV$25&gt;PV54,PV54,0))),0)&lt;0,0,(IF(SUM($D56:PV56)&gt;0,0,IF(PV$25&gt;PV54,PV54,0)))))</f>
        <v>0</v>
      </c>
      <c r="PX56" s="115">
        <f>IF(SUM($D$49:PW49)=0,0,IF(IF(PX55&gt;0,PX55-(IF(SUM($D56:PW56)&gt;0,0,IF(PW$25&gt;PW54,PW54,0))),0)&lt;0,0,(IF(SUM($D56:PW56)&gt;0,0,IF(PW$25&gt;PW54,PW54,0)))))</f>
        <v>0</v>
      </c>
      <c r="PY56" s="115">
        <f>IF(SUM($D$49:PX49)=0,0,IF(IF(PY55&gt;0,PY55-(IF(SUM($D56:PX56)&gt;0,0,IF(PX$25&gt;PX54,PX54,0))),0)&lt;0,0,(IF(SUM($D56:PX56)&gt;0,0,IF(PX$25&gt;PX54,PX54,0)))))</f>
        <v>0</v>
      </c>
      <c r="PZ56" s="115">
        <f>IF(SUM($D$49:PY49)=0,0,IF(IF(PZ55&gt;0,PZ55-(IF(SUM($D56:PY56)&gt;0,0,IF(PY$25&gt;PY54,PY54,0))),0)&lt;0,0,(IF(SUM($D56:PY56)&gt;0,0,IF(PY$25&gt;PY54,PY54,0)))))</f>
        <v>0</v>
      </c>
      <c r="QA56" s="115">
        <f>IF(SUM($D$49:PZ49)=0,0,IF(IF(QA55&gt;0,QA55-(IF(SUM($D56:PZ56)&gt;0,0,IF(PZ$25&gt;PZ54,PZ54,0))),0)&lt;0,0,(IF(SUM($D56:PZ56)&gt;0,0,IF(PZ$25&gt;PZ54,PZ54,0)))))</f>
        <v>0</v>
      </c>
      <c r="QB56" s="115">
        <f>IF(SUM($D$49:QA49)=0,0,IF(IF(QB55&gt;0,QB55-(IF(SUM($D56:QA56)&gt;0,0,IF(QA$25&gt;QA54,QA54,0))),0)&lt;0,0,(IF(SUM($D56:QA56)&gt;0,0,IF(QA$25&gt;QA54,QA54,0)))))</f>
        <v>0</v>
      </c>
      <c r="QC56" s="115">
        <f>IF(SUM($D$49:QB49)=0,0,IF(IF(QC55&gt;0,QC55-(IF(SUM($D56:QB56)&gt;0,0,IF(QB$25&gt;QB54,QB54,0))),0)&lt;0,0,(IF(SUM($D56:QB56)&gt;0,0,IF(QB$25&gt;QB54,QB54,0)))))</f>
        <v>0</v>
      </c>
      <c r="QD56" s="115">
        <f>IF(SUM($D$49:QC49)=0,0,IF(IF(QD55&gt;0,QD55-(IF(SUM($D56:QC56)&gt;0,0,IF(QC$25&gt;QC54,QC54,0))),0)&lt;0,0,(IF(SUM($D56:QC56)&gt;0,0,IF(QC$25&gt;QC54,QC54,0)))))</f>
        <v>0</v>
      </c>
      <c r="QE56" s="115">
        <f>IF(SUM($D$49:QD49)=0,0,IF(IF(QE55&gt;0,QE55-(IF(SUM($D56:QD56)&gt;0,0,IF(QD$25&gt;QD54,QD54,0))),0)&lt;0,0,(IF(SUM($D56:QD56)&gt;0,0,IF(QD$25&gt;QD54,QD54,0)))))</f>
        <v>0</v>
      </c>
      <c r="QF56" s="115">
        <f>IF(SUM($D$49:QE49)=0,0,IF(IF(QF55&gt;0,QF55-(IF(SUM($D56:QE56)&gt;0,0,IF(QE$25&gt;QE54,QE54,0))),0)&lt;0,0,(IF(SUM($D56:QE56)&gt;0,0,IF(QE$25&gt;QE54,QE54,0)))))</f>
        <v>0</v>
      </c>
      <c r="QG56" s="115">
        <f>IF(SUM($D$49:QF49)=0,0,IF(IF(QG55&gt;0,QG55-(IF(SUM($D56:QF56)&gt;0,0,IF(QF$25&gt;QF54,QF54,0))),0)&lt;0,0,(IF(SUM($D56:QF56)&gt;0,0,IF(QF$25&gt;QF54,QF54,0)))))</f>
        <v>0</v>
      </c>
      <c r="QH56" s="115">
        <f>IF(SUM($D$49:QG49)=0,0,IF(IF(QH55&gt;0,QH55-(IF(SUM($D56:QG56)&gt;0,0,IF(QG$25&gt;QG54,QG54,0))),0)&lt;0,0,(IF(SUM($D56:QG56)&gt;0,0,IF(QG$25&gt;QG54,QG54,0)))))</f>
        <v>0</v>
      </c>
      <c r="QI56" s="115">
        <f>IF(SUM($D$49:QH49)=0,0,IF(IF(QI55&gt;0,QI55-(IF(SUM($D56:QH56)&gt;0,0,IF(QH$25&gt;QH54,QH54,0))),0)&lt;0,0,(IF(SUM($D56:QH56)&gt;0,0,IF(QH$25&gt;QH54,QH54,0)))))</f>
        <v>0</v>
      </c>
      <c r="QJ56" s="115">
        <f>IF(SUM($D$49:QI49)=0,0,IF(IF(QJ55&gt;0,QJ55-(IF(SUM($D56:QI56)&gt;0,0,IF(QI$25&gt;QI54,QI54,0))),0)&lt;0,0,(IF(SUM($D56:QI56)&gt;0,0,IF(QI$25&gt;QI54,QI54,0)))))</f>
        <v>0</v>
      </c>
      <c r="QK56" s="115">
        <f>IF(SUM($D$49:QJ49)=0,0,IF(IF(QK55&gt;0,QK55-(IF(SUM($D56:QJ56)&gt;0,0,IF(QJ$25&gt;QJ54,QJ54,0))),0)&lt;0,0,(IF(SUM($D56:QJ56)&gt;0,0,IF(QJ$25&gt;QJ54,QJ54,0)))))</f>
        <v>0</v>
      </c>
      <c r="QL56" s="115">
        <f>IF(SUM($D$49:QK49)=0,0,IF(IF(QL55&gt;0,QL55-(IF(SUM($D56:QK56)&gt;0,0,IF(QK$25&gt;QK54,QK54,0))),0)&lt;0,0,(IF(SUM($D56:QK56)&gt;0,0,IF(QK$25&gt;QK54,QK54,0)))))</f>
        <v>0</v>
      </c>
      <c r="QM56" s="115">
        <f>IF(SUM($D$49:QL49)=0,0,IF(IF(QM55&gt;0,QM55-(IF(SUM($D56:QL56)&gt;0,0,IF(QL$25&gt;QL54,QL54,0))),0)&lt;0,0,(IF(SUM($D56:QL56)&gt;0,0,IF(QL$25&gt;QL54,QL54,0)))))</f>
        <v>0</v>
      </c>
      <c r="QN56" s="115">
        <f>IF(SUM($D$49:QM49)=0,0,IF(IF(QN55&gt;0,QN55-(IF(SUM($D56:QM56)&gt;0,0,IF(QM$25&gt;QM54,QM54,0))),0)&lt;0,0,(IF(SUM($D56:QM56)&gt;0,0,IF(QM$25&gt;QM54,QM54,0)))))</f>
        <v>0</v>
      </c>
      <c r="QO56" s="115">
        <f>IF(SUM($D$49:QN49)=0,0,IF(IF(QO55&gt;0,QO55-(IF(SUM($D56:QN56)&gt;0,0,IF(QN$25&gt;QN54,QN54,0))),0)&lt;0,0,(IF(SUM($D56:QN56)&gt;0,0,IF(QN$25&gt;QN54,QN54,0)))))</f>
        <v>0</v>
      </c>
      <c r="QP56" s="115">
        <f>IF(SUM($D$49:QO49)=0,0,IF(IF(QP55&gt;0,QP55-(IF(SUM($D56:QO56)&gt;0,0,IF(QO$25&gt;QO54,QO54,0))),0)&lt;0,0,(IF(SUM($D56:QO56)&gt;0,0,IF(QO$25&gt;QO54,QO54,0)))))</f>
        <v>0</v>
      </c>
      <c r="QQ56" s="115">
        <f>IF(SUM($D$49:QP49)=0,0,IF(IF(QQ55&gt;0,QQ55-(IF(SUM($D56:QP56)&gt;0,0,IF(QP$25&gt;QP54,QP54,0))),0)&lt;0,0,(IF(SUM($D56:QP56)&gt;0,0,IF(QP$25&gt;QP54,QP54,0)))))</f>
        <v>0</v>
      </c>
      <c r="QR56" s="115">
        <f>IF(SUM($D$49:QQ49)=0,0,IF(IF(QR55&gt;0,QR55-(IF(SUM($D56:QQ56)&gt;0,0,IF(QQ$25&gt;QQ54,QQ54,0))),0)&lt;0,0,(IF(SUM($D56:QQ56)&gt;0,0,IF(QQ$25&gt;QQ54,QQ54,0)))))</f>
        <v>0</v>
      </c>
      <c r="QS56" s="115">
        <f>IF(SUM($D$49:QR49)=0,0,IF(IF(QS55&gt;0,QS55-(IF(SUM($D56:QR56)&gt;0,0,IF(QR$25&gt;QR54,QR54,0))),0)&lt;0,0,(IF(SUM($D56:QR56)&gt;0,0,IF(QR$25&gt;QR54,QR54,0)))))</f>
        <v>0</v>
      </c>
      <c r="QT56" s="115">
        <f>IF(SUM($D$49:QS49)=0,0,IF(IF(QT55&gt;0,QT55-(IF(SUM($D56:QS56)&gt;0,0,IF(QS$25&gt;QS54,QS54,0))),0)&lt;0,0,(IF(SUM($D56:QS56)&gt;0,0,IF(QS$25&gt;QS54,QS54,0)))))</f>
        <v>0</v>
      </c>
      <c r="QU56" s="115">
        <f>IF(SUM($D$49:QT49)=0,0,IF(IF(QU55&gt;0,QU55-(IF(SUM($D56:QT56)&gt;0,0,IF(QT$25&gt;QT54,QT54,0))),0)&lt;0,0,(IF(SUM($D56:QT56)&gt;0,0,IF(QT$25&gt;QT54,QT54,0)))))</f>
        <v>0</v>
      </c>
      <c r="QV56" s="115">
        <f>IF(SUM($D$49:QU49)=0,0,IF(IF(QV55&gt;0,QV55-(IF(SUM($D56:QU56)&gt;0,0,IF(QU$25&gt;QU54,QU54,0))),0)&lt;0,0,(IF(SUM($D56:QU56)&gt;0,0,IF(QU$25&gt;QU54,QU54,0)))))</f>
        <v>0</v>
      </c>
      <c r="QW56" s="115">
        <f>IF(SUM($D$49:QV49)=0,0,IF(IF(QW55&gt;0,QW55-(IF(SUM($D56:QV56)&gt;0,0,IF(QV$25&gt;QV54,QV54,0))),0)&lt;0,0,(IF(SUM($D56:QV56)&gt;0,0,IF(QV$25&gt;QV54,QV54,0)))))</f>
        <v>0</v>
      </c>
      <c r="QX56" s="115">
        <f>IF(SUM($D$49:QW49)=0,0,IF(IF(QX55&gt;0,QX55-(IF(SUM($D56:QW56)&gt;0,0,IF(QW$25&gt;QW54,QW54,0))),0)&lt;0,0,(IF(SUM($D56:QW56)&gt;0,0,IF(QW$25&gt;QW54,QW54,0)))))</f>
        <v>0</v>
      </c>
      <c r="QY56" s="115">
        <f>IF(SUM($D$49:QX49)=0,0,IF(IF(QY55&gt;0,QY55-(IF(SUM($D56:QX56)&gt;0,0,IF(QX$25&gt;QX54,QX54,0))),0)&lt;0,0,(IF(SUM($D56:QX56)&gt;0,0,IF(QX$25&gt;QX54,QX54,0)))))</f>
        <v>0</v>
      </c>
      <c r="QZ56" s="115">
        <f>IF(SUM($D$49:QY49)=0,0,IF(IF(QZ55&gt;0,QZ55-(IF(SUM($D56:QY56)&gt;0,0,IF(QY$25&gt;QY54,QY54,0))),0)&lt;0,0,(IF(SUM($D56:QY56)&gt;0,0,IF(QY$25&gt;QY54,QY54,0)))))</f>
        <v>0</v>
      </c>
      <c r="RA56" s="115">
        <f>IF(SUM($D$49:QZ49)=0,0,IF(IF(RA55&gt;0,RA55-(IF(SUM($D56:QZ56)&gt;0,0,IF(QZ$25&gt;QZ54,QZ54,0))),0)&lt;0,0,(IF(SUM($D56:QZ56)&gt;0,0,IF(QZ$25&gt;QZ54,QZ54,0)))))</f>
        <v>0</v>
      </c>
      <c r="RB56" s="115">
        <f>IF(SUM($D$49:RA49)=0,0,IF(IF(RB55&gt;0,RB55-(IF(SUM($D56:RA56)&gt;0,0,IF(RA$25&gt;RA54,RA54,0))),0)&lt;0,0,(IF(SUM($D56:RA56)&gt;0,0,IF(RA$25&gt;RA54,RA54,0)))))</f>
        <v>0</v>
      </c>
      <c r="RC56" s="115">
        <f>IF(SUM($D$49:RB49)=0,0,IF(IF(RC55&gt;0,RC55-(IF(SUM($D56:RB56)&gt;0,0,IF(RB$25&gt;RB54,RB54,0))),0)&lt;0,0,(IF(SUM($D56:RB56)&gt;0,0,IF(RB$25&gt;RB54,RB54,0)))))</f>
        <v>0</v>
      </c>
      <c r="RD56" s="115">
        <f>IF(SUM($D$49:RC49)=0,0,IF(IF(RD55&gt;0,RD55-(IF(SUM($D56:RC56)&gt;0,0,IF(RC$25&gt;RC54,RC54,0))),0)&lt;0,0,(IF(SUM($D56:RC56)&gt;0,0,IF(RC$25&gt;RC54,RC54,0)))))</f>
        <v>0</v>
      </c>
      <c r="RE56" s="115">
        <f>IF(SUM($D$49:RD49)=0,0,IF(IF(RE55&gt;0,RE55-(IF(SUM($D56:RD56)&gt;0,0,IF(RD$25&gt;RD54,RD54,0))),0)&lt;0,0,(IF(SUM($D56:RD56)&gt;0,0,IF(RD$25&gt;RD54,RD54,0)))))</f>
        <v>0</v>
      </c>
      <c r="RF56" s="115">
        <f>IF(SUM($D$49:RE49)=0,0,IF(IF(RF55&gt;0,RF55-(IF(SUM($D56:RE56)&gt;0,0,IF(RE$25&gt;RE54,RE54,0))),0)&lt;0,0,(IF(SUM($D56:RE56)&gt;0,0,IF(RE$25&gt;RE54,RE54,0)))))</f>
        <v>0</v>
      </c>
      <c r="RG56" s="115">
        <f>IF(SUM($D$49:RF49)=0,0,IF(IF(RG55&gt;0,RG55-(IF(SUM($D56:RF56)&gt;0,0,IF(RF$25&gt;RF54,RF54,0))),0)&lt;0,0,(IF(SUM($D56:RF56)&gt;0,0,IF(RF$25&gt;RF54,RF54,0)))))</f>
        <v>0</v>
      </c>
      <c r="RH56" s="115">
        <f>IF(SUM($D$49:RG49)=0,0,IF(IF(RH55&gt;0,RH55-(IF(SUM($D56:RG56)&gt;0,0,IF(RG$25&gt;RG54,RG54,0))),0)&lt;0,0,(IF(SUM($D56:RG56)&gt;0,0,IF(RG$25&gt;RG54,RG54,0)))))</f>
        <v>0</v>
      </c>
      <c r="RI56" s="115">
        <f>IF(SUM($D$49:RH49)=0,0,IF(IF(RI55&gt;0,RI55-(IF(SUM($D56:RH56)&gt;0,0,IF(RH$25&gt;RH54,RH54,0))),0)&lt;0,0,(IF(SUM($D56:RH56)&gt;0,0,IF(RH$25&gt;RH54,RH54,0)))))</f>
        <v>0</v>
      </c>
      <c r="RJ56" s="115">
        <f>IF(SUM($D$49:RI49)=0,0,IF(IF(RJ55&gt;0,RJ55-(IF(SUM($D56:RI56)&gt;0,0,IF(RI$25&gt;RI54,RI54,0))),0)&lt;0,0,(IF(SUM($D56:RI56)&gt;0,0,IF(RI$25&gt;RI54,RI54,0)))))</f>
        <v>0</v>
      </c>
      <c r="RK56" s="115">
        <f>IF(SUM($D$49:RJ49)=0,0,IF(IF(RK55&gt;0,RK55-(IF(SUM($D56:RJ56)&gt;0,0,IF(RJ$25&gt;RJ54,RJ54,0))),0)&lt;0,0,(IF(SUM($D56:RJ56)&gt;0,0,IF(RJ$25&gt;RJ54,RJ54,0)))))</f>
        <v>0</v>
      </c>
      <c r="RL56" s="115">
        <f>IF(SUM($D$49:RK49)=0,0,IF(IF(RL55&gt;0,RL55-(IF(SUM($D56:RK56)&gt;0,0,IF(RK$25&gt;RK54,RK54,0))),0)&lt;0,0,(IF(SUM($D56:RK56)&gt;0,0,IF(RK$25&gt;RK54,RK54,0)))))</f>
        <v>0</v>
      </c>
      <c r="RM56" s="115">
        <f>IF(SUM($D$49:RL49)=0,0,IF(IF(RM55&gt;0,RM55-(IF(SUM($D56:RL56)&gt;0,0,IF(RL$25&gt;RL54,RL54,0))),0)&lt;0,0,(IF(SUM($D56:RL56)&gt;0,0,IF(RL$25&gt;RL54,RL54,0)))))</f>
        <v>0</v>
      </c>
      <c r="RN56" s="115">
        <f>IF(SUM($D$49:RM49)=0,0,IF(IF(RN55&gt;0,RN55-(IF(SUM($D56:RM56)&gt;0,0,IF(RM$25&gt;RM54,RM54,0))),0)&lt;0,0,(IF(SUM($D56:RM56)&gt;0,0,IF(RM$25&gt;RM54,RM54,0)))))</f>
        <v>0</v>
      </c>
      <c r="RO56" s="115">
        <f>IF(SUM($D$49:RN49)=0,0,IF(IF(RO55&gt;0,RO55-(IF(SUM($D56:RN56)&gt;0,0,IF(RN$25&gt;RN54,RN54,0))),0)&lt;0,0,(IF(SUM($D56:RN56)&gt;0,0,IF(RN$25&gt;RN54,RN54,0)))))</f>
        <v>0</v>
      </c>
      <c r="RP56" s="115">
        <f>IF(SUM($D$49:RO49)=0,0,IF(IF(RP55&gt;0,RP55-(IF(SUM($D56:RO56)&gt;0,0,IF(RO$25&gt;RO54,RO54,0))),0)&lt;0,0,(IF(SUM($D56:RO56)&gt;0,0,IF(RO$25&gt;RO54,RO54,0)))))</f>
        <v>0</v>
      </c>
      <c r="RQ56" s="115">
        <f>IF(SUM($D$49:RP49)=0,0,IF(IF(RQ55&gt;0,RQ55-(IF(SUM($D56:RP56)&gt;0,0,IF(RP$25&gt;RP54,RP54,0))),0)&lt;0,0,(IF(SUM($D56:RP56)&gt;0,0,IF(RP$25&gt;RP54,RP54,0)))))</f>
        <v>0</v>
      </c>
      <c r="RR56" s="115">
        <f>IF(SUM($D$49:RQ49)=0,0,IF(IF(RR55&gt;0,RR55-(IF(SUM($D56:RQ56)&gt;0,0,IF(RQ$25&gt;RQ54,RQ54,0))),0)&lt;0,0,(IF(SUM($D56:RQ56)&gt;0,0,IF(RQ$25&gt;RQ54,RQ54,0)))))</f>
        <v>0</v>
      </c>
      <c r="RS56" s="115">
        <f>IF(SUM($D$49:RR49)=0,0,IF(IF(RS55&gt;0,RS55-(IF(SUM($D56:RR56)&gt;0,0,IF(RR$25&gt;RR54,RR54,0))),0)&lt;0,0,(IF(SUM($D56:RR56)&gt;0,0,IF(RR$25&gt;RR54,RR54,0)))))</f>
        <v>0</v>
      </c>
      <c r="RT56" s="115">
        <f>IF(SUM($D$49:RS49)=0,0,IF(IF(RT55&gt;0,RT55-(IF(SUM($D56:RS56)&gt;0,0,IF(RS$25&gt;RS54,RS54,0))),0)&lt;0,0,(IF(SUM($D56:RS56)&gt;0,0,IF(RS$25&gt;RS54,RS54,0)))))</f>
        <v>0</v>
      </c>
      <c r="RU56" s="115">
        <f>IF(SUM($D$49:RT49)=0,0,IF(IF(RU55&gt;0,RU55-(IF(SUM($D56:RT56)&gt;0,0,IF(RT$25&gt;RT54,RT54,0))),0)&lt;0,0,(IF(SUM($D56:RT56)&gt;0,0,IF(RT$25&gt;RT54,RT54,0)))))</f>
        <v>0</v>
      </c>
      <c r="RV56" s="115">
        <f>IF(SUM($D$49:RU49)=0,0,IF(IF(RV55&gt;0,RV55-(IF(SUM($D56:RU56)&gt;0,0,IF(RU$25&gt;RU54,RU54,0))),0)&lt;0,0,(IF(SUM($D56:RU56)&gt;0,0,IF(RU$25&gt;RU54,RU54,0)))))</f>
        <v>0</v>
      </c>
      <c r="RW56" s="115">
        <f>IF(SUM($D$49:RV49)=0,0,IF(IF(RW55&gt;0,RW55-(IF(SUM($D56:RV56)&gt;0,0,IF(RV$25&gt;RV54,RV54,0))),0)&lt;0,0,(IF(SUM($D56:RV56)&gt;0,0,IF(RV$25&gt;RV54,RV54,0)))))</f>
        <v>0</v>
      </c>
      <c r="RX56" s="115">
        <f>IF(SUM($D$49:RW49)=0,0,IF(IF(RX55&gt;0,RX55-(IF(SUM($D56:RW56)&gt;0,0,IF(RW$25&gt;RW54,RW54,0))),0)&lt;0,0,(IF(SUM($D56:RW56)&gt;0,0,IF(RW$25&gt;RW54,RW54,0)))))</f>
        <v>0</v>
      </c>
      <c r="RY56" s="115">
        <f>IF(SUM($D$49:RX49)=0,0,IF(IF(RY55&gt;0,RY55-(IF(SUM($D56:RX56)&gt;0,0,IF(RX$25&gt;RX54,RX54,0))),0)&lt;0,0,(IF(SUM($D56:RX56)&gt;0,0,IF(RX$25&gt;RX54,RX54,0)))))</f>
        <v>0</v>
      </c>
      <c r="RZ56" s="115">
        <f>IF(SUM($D$49:RY49)=0,0,IF(IF(RZ55&gt;0,RZ55-(IF(SUM($D56:RY56)&gt;0,0,IF(RY$25&gt;RY54,RY54,0))),0)&lt;0,0,(IF(SUM($D56:RY56)&gt;0,0,IF(RY$25&gt;RY54,RY54,0)))))</f>
        <v>0</v>
      </c>
      <c r="SA56" s="115">
        <f>IF(SUM($D$49:RZ49)=0,0,IF(IF(SA55&gt;0,SA55-(IF(SUM($D56:RZ56)&gt;0,0,IF(RZ$25&gt;RZ54,RZ54,0))),0)&lt;0,0,(IF(SUM($D56:RZ56)&gt;0,0,IF(RZ$25&gt;RZ54,RZ54,0)))))</f>
        <v>0</v>
      </c>
      <c r="SB56" s="115">
        <f>IF(SUM($D$49:SA49)=0,0,IF(IF(SB55&gt;0,SB55-(IF(SUM($D56:SA56)&gt;0,0,IF(SA$25&gt;SA54,SA54,0))),0)&lt;0,0,(IF(SUM($D56:SA56)&gt;0,0,IF(SA$25&gt;SA54,SA54,0)))))</f>
        <v>0</v>
      </c>
      <c r="SC56" s="115">
        <f>IF(SUM($D$49:SB49)=0,0,IF(IF(SC55&gt;0,SC55-(IF(SUM($D56:SB56)&gt;0,0,IF(SB$25&gt;SB54,SB54,0))),0)&lt;0,0,(IF(SUM($D56:SB56)&gt;0,0,IF(SB$25&gt;SB54,SB54,0)))))</f>
        <v>0</v>
      </c>
      <c r="SD56" s="115">
        <f>IF(SUM($D$49:SC49)=0,0,IF(IF(SD55&gt;0,SD55-(IF(SUM($D56:SC56)&gt;0,0,IF(SC$25&gt;SC54,SC54,0))),0)&lt;0,0,(IF(SUM($D56:SC56)&gt;0,0,IF(SC$25&gt;SC54,SC54,0)))))</f>
        <v>0</v>
      </c>
      <c r="SE56" s="115">
        <f>IF(SUM($D$49:SD49)=0,0,IF(IF(SE55&gt;0,SE55-(IF(SUM($D56:SD56)&gt;0,0,IF(SD$25&gt;SD54,SD54,0))),0)&lt;0,0,(IF(SUM($D56:SD56)&gt;0,0,IF(SD$25&gt;SD54,SD54,0)))))</f>
        <v>0</v>
      </c>
      <c r="SF56" s="115">
        <f>IF(SUM($D$49:SE49)=0,0,IF(IF(SF55&gt;0,SF55-(IF(SUM($D56:SE56)&gt;0,0,IF(SE$25&gt;SE54,SE54,0))),0)&lt;0,0,(IF(SUM($D56:SE56)&gt;0,0,IF(SE$25&gt;SE54,SE54,0)))))</f>
        <v>0</v>
      </c>
      <c r="SG56" s="115">
        <f>IF(SUM($D$49:SF49)=0,0,IF(IF(SG55&gt;0,SG55-(IF(SUM($D56:SF56)&gt;0,0,IF(SF$25&gt;SF54,SF54,0))),0)&lt;0,0,(IF(SUM($D56:SF56)&gt;0,0,IF(SF$25&gt;SF54,SF54,0)))))</f>
        <v>0</v>
      </c>
      <c r="SH56" s="115">
        <f>IF(SUM($D$49:SG49)=0,0,IF(IF(SH55&gt;0,SH55-(IF(SUM($D56:SG56)&gt;0,0,IF(SG$25&gt;SG54,SG54,0))),0)&lt;0,0,(IF(SUM($D56:SG56)&gt;0,0,IF(SG$25&gt;SG54,SG54,0)))))</f>
        <v>0</v>
      </c>
      <c r="SI56" s="115">
        <f>IF(SUM($D$49:SH49)=0,0,IF(IF(SI55&gt;0,SI55-(IF(SUM($D56:SH56)&gt;0,0,IF(SH$25&gt;SH54,SH54,0))),0)&lt;0,0,(IF(SUM($D56:SH56)&gt;0,0,IF(SH$25&gt;SH54,SH54,0)))))</f>
        <v>0</v>
      </c>
      <c r="SJ56" s="115">
        <f>IF(SUM($D$49:SI49)=0,0,IF(IF(SJ55&gt;0,SJ55-(IF(SUM($D56:SI56)&gt;0,0,IF(SI$25&gt;SI54,SI54,0))),0)&lt;0,0,(IF(SUM($D56:SI56)&gt;0,0,IF(SI$25&gt;SI54,SI54,0)))))</f>
        <v>0</v>
      </c>
      <c r="SK56" s="115">
        <f>IF(SUM($D$49:SJ49)=0,0,IF(IF(SK55&gt;0,SK55-(IF(SUM($D56:SJ56)&gt;0,0,IF(SJ$25&gt;SJ54,SJ54,0))),0)&lt;0,0,(IF(SUM($D56:SJ56)&gt;0,0,IF(SJ$25&gt;SJ54,SJ54,0)))))</f>
        <v>0</v>
      </c>
      <c r="SL56" s="115">
        <f>IF(SUM($D$49:SK49)=0,0,IF(IF(SL55&gt;0,SL55-(IF(SUM($D56:SK56)&gt;0,0,IF(SK$25&gt;SK54,SK54,0))),0)&lt;0,0,(IF(SUM($D56:SK56)&gt;0,0,IF(SK$25&gt;SK54,SK54,0)))))</f>
        <v>0</v>
      </c>
      <c r="SM56" s="115">
        <f>IF(SUM($D$49:SL49)=0,0,IF(IF(SM55&gt;0,SM55-(IF(SUM($D56:SL56)&gt;0,0,IF(SL$25&gt;SL54,SL54,0))),0)&lt;0,0,(IF(SUM($D56:SL56)&gt;0,0,IF(SL$25&gt;SL54,SL54,0)))))</f>
        <v>0</v>
      </c>
      <c r="SN56" s="115">
        <f>IF(SUM($D$49:SM49)=0,0,IF(IF(SN55&gt;0,SN55-(IF(SUM($D56:SM56)&gt;0,0,IF(SM$25&gt;SM54,SM54,0))),0)&lt;0,0,(IF(SUM($D56:SM56)&gt;0,0,IF(SM$25&gt;SM54,SM54,0)))))</f>
        <v>0</v>
      </c>
      <c r="SO56" s="115">
        <f>IF(SUM($D$49:SN49)=0,0,IF(IF(SO55&gt;0,SO55-(IF(SUM($D56:SN56)&gt;0,0,IF(SN$25&gt;SN54,SN54,0))),0)&lt;0,0,(IF(SUM($D56:SN56)&gt;0,0,IF(SN$25&gt;SN54,SN54,0)))))</f>
        <v>0</v>
      </c>
      <c r="SP56" s="115">
        <f>IF(SUM($D$49:SO49)=0,0,IF(IF(SP55&gt;0,SP55-(IF(SUM($D56:SO56)&gt;0,0,IF(SO$25&gt;SO54,SO54,0))),0)&lt;0,0,(IF(SUM($D56:SO56)&gt;0,0,IF(SO$25&gt;SO54,SO54,0)))))</f>
        <v>0</v>
      </c>
      <c r="SQ56" s="115">
        <f>IF(SUM($D$49:SP49)=0,0,IF(IF(SQ55&gt;0,SQ55-(IF(SUM($D56:SP56)&gt;0,0,IF(SP$25&gt;SP54,SP54,0))),0)&lt;0,0,(IF(SUM($D56:SP56)&gt;0,0,IF(SP$25&gt;SP54,SP54,0)))))</f>
        <v>0</v>
      </c>
      <c r="SR56" s="115">
        <f>IF(SUM($D$49:SQ49)=0,0,IF(IF(SR55&gt;0,SR55-(IF(SUM($D56:SQ56)&gt;0,0,IF(SQ$25&gt;SQ54,SQ54,0))),0)&lt;0,0,(IF(SUM($D56:SQ56)&gt;0,0,IF(SQ$25&gt;SQ54,SQ54,0)))))</f>
        <v>0</v>
      </c>
      <c r="SS56" s="115">
        <f>IF(SUM($D$49:SR49)=0,0,IF(IF(SS55&gt;0,SS55-(IF(SUM($D56:SR56)&gt;0,0,IF(SR$25&gt;SR54,SR54,0))),0)&lt;0,0,(IF(SUM($D56:SR56)&gt;0,0,IF(SR$25&gt;SR54,SR54,0)))))</f>
        <v>0</v>
      </c>
      <c r="ST56" s="115">
        <f>IF(SUM($D$49:SS49)=0,0,IF(IF(ST55&gt;0,ST55-(IF(SUM($D56:SS56)&gt;0,0,IF(SS$25&gt;SS54,SS54,0))),0)&lt;0,0,(IF(SUM($D56:SS56)&gt;0,0,IF(SS$25&gt;SS54,SS54,0)))))</f>
        <v>0</v>
      </c>
      <c r="SU56" s="115">
        <f>IF(SUM($D$49:ST49)=0,0,IF(IF(SU55&gt;0,SU55-(IF(SUM($D56:ST56)&gt;0,0,IF(ST$25&gt;ST54,ST54,0))),0)&lt;0,0,(IF(SUM($D56:ST56)&gt;0,0,IF(ST$25&gt;ST54,ST54,0)))))</f>
        <v>0</v>
      </c>
      <c r="SV56" s="115">
        <f>IF(SUM($D$49:SU49)=0,0,IF(IF(SV55&gt;0,SV55-(IF(SUM($D56:SU56)&gt;0,0,IF(SU$25&gt;SU54,SU54,0))),0)&lt;0,0,(IF(SUM($D56:SU56)&gt;0,0,IF(SU$25&gt;SU54,SU54,0)))))</f>
        <v>0</v>
      </c>
      <c r="SW56" s="115">
        <f>IF(SUM($D$49:SV49)=0,0,IF(IF(SW55&gt;0,SW55-(IF(SUM($D56:SV56)&gt;0,0,IF(SV$25&gt;SV54,SV54,0))),0)&lt;0,0,(IF(SUM($D56:SV56)&gt;0,0,IF(SV$25&gt;SV54,SV54,0)))))</f>
        <v>0</v>
      </c>
      <c r="SX56" s="115">
        <f>IF(SUM($D$49:SW49)=0,0,IF(IF(SX55&gt;0,SX55-(IF(SUM($D56:SW56)&gt;0,0,IF(SW$25&gt;SW54,SW54,0))),0)&lt;0,0,(IF(SUM($D56:SW56)&gt;0,0,IF(SW$25&gt;SW54,SW54,0)))))</f>
        <v>0</v>
      </c>
      <c r="SY56" s="115">
        <f>IF(SUM($D$49:SX49)=0,0,IF(IF(SY55&gt;0,SY55-(IF(SUM($D56:SX56)&gt;0,0,IF(SX$25&gt;SX54,SX54,0))),0)&lt;0,0,(IF(SUM($D56:SX56)&gt;0,0,IF(SX$25&gt;SX54,SX54,0)))))</f>
        <v>0</v>
      </c>
      <c r="SZ56" s="115">
        <f>IF(SUM($D$49:SY49)=0,0,IF(IF(SZ55&gt;0,SZ55-(IF(SUM($D56:SY56)&gt;0,0,IF(SY$25&gt;SY54,SY54,0))),0)&lt;0,0,(IF(SUM($D56:SY56)&gt;0,0,IF(SY$25&gt;SY54,SY54,0)))))</f>
        <v>0</v>
      </c>
      <c r="TA56" s="115">
        <f>IF(SUM($D$49:SZ49)=0,0,IF(IF(TA55&gt;0,TA55-(IF(SUM($D56:SZ56)&gt;0,0,IF(SZ$25&gt;SZ54,SZ54,0))),0)&lt;0,0,(IF(SUM($D56:SZ56)&gt;0,0,IF(SZ$25&gt;SZ54,SZ54,0)))))</f>
        <v>0</v>
      </c>
      <c r="TB56" s="115">
        <f>IF(SUM($D$49:TA49)=0,0,IF(IF(TB55&gt;0,TB55-(IF(SUM($D56:TA56)&gt;0,0,IF(TA$25&gt;TA54,TA54,0))),0)&lt;0,0,(IF(SUM($D56:TA56)&gt;0,0,IF(TA$25&gt;TA54,TA54,0)))))</f>
        <v>0</v>
      </c>
      <c r="TC56" s="115">
        <f>IF(SUM($D$49:TB49)=0,0,IF(IF(TC55&gt;0,TC55-(IF(SUM($D56:TB56)&gt;0,0,IF(TB$25&gt;TB54,TB54,0))),0)&lt;0,0,(IF(SUM($D56:TB56)&gt;0,0,IF(TB$25&gt;TB54,TB54,0)))))</f>
        <v>0</v>
      </c>
      <c r="TD56" s="115">
        <f>IF(SUM($D$49:TC49)=0,0,IF(IF(TD55&gt;0,TD55-(IF(SUM($D56:TC56)&gt;0,0,IF(TC$25&gt;TC54,TC54,0))),0)&lt;0,0,(IF(SUM($D56:TC56)&gt;0,0,IF(TC$25&gt;TC54,TC54,0)))))</f>
        <v>0</v>
      </c>
      <c r="TE56" s="115">
        <f>IF(SUM($D$49:TD49)=0,0,IF(IF(TE55&gt;0,TE55-(IF(SUM($D56:TD56)&gt;0,0,IF(TD$25&gt;TD54,TD54,0))),0)&lt;0,0,(IF(SUM($D56:TD56)&gt;0,0,IF(TD$25&gt;TD54,TD54,0)))))</f>
        <v>0</v>
      </c>
      <c r="TF56" s="115">
        <f>IF(SUM($D$49:TE49)=0,0,IF(IF(TF55&gt;0,TF55-(IF(SUM($D56:TE56)&gt;0,0,IF(TE$25&gt;TE54,TE54,0))),0)&lt;0,0,(IF(SUM($D56:TE56)&gt;0,0,IF(TE$25&gt;TE54,TE54,0)))))</f>
        <v>0</v>
      </c>
      <c r="TG56" s="115">
        <f>IF(SUM($D$49:TF49)=0,0,IF(IF(TG55&gt;0,TG55-(IF(SUM($D56:TF56)&gt;0,0,IF(TF$25&gt;TF54,TF54,0))),0)&lt;0,0,(IF(SUM($D56:TF56)&gt;0,0,IF(TF$25&gt;TF54,TF54,0)))))</f>
        <v>0</v>
      </c>
      <c r="TH56" s="115">
        <f>IF(SUM($D$49:TG49)=0,0,IF(IF(TH55&gt;0,TH55-(IF(SUM($D56:TG56)&gt;0,0,IF(TG$25&gt;TG54,TG54,0))),0)&lt;0,0,(IF(SUM($D56:TG56)&gt;0,0,IF(TG$25&gt;TG54,TG54,0)))))</f>
        <v>0</v>
      </c>
      <c r="TI56" s="115">
        <f>IF(SUM($D$49:TH49)=0,0,IF(IF(TI55&gt;0,TI55-(IF(SUM($D56:TH56)&gt;0,0,IF(TH$25&gt;TH54,TH54,0))),0)&lt;0,0,(IF(SUM($D56:TH56)&gt;0,0,IF(TH$25&gt;TH54,TH54,0)))))</f>
        <v>0</v>
      </c>
      <c r="TJ56" s="115">
        <f>IF(SUM($D$49:TI49)=0,0,IF(IF(TJ55&gt;0,TJ55-(IF(SUM($D56:TI56)&gt;0,0,IF(TI$25&gt;TI54,TI54,0))),0)&lt;0,0,(IF(SUM($D56:TI56)&gt;0,0,IF(TI$25&gt;TI54,TI54,0)))))</f>
        <v>0</v>
      </c>
      <c r="TK56" s="115">
        <f>IF(SUM($D$49:TJ49)=0,0,IF(IF(TK55&gt;0,TK55-(IF(SUM($D56:TJ56)&gt;0,0,IF(TJ$25&gt;TJ54,TJ54,0))),0)&lt;0,0,(IF(SUM($D56:TJ56)&gt;0,0,IF(TJ$25&gt;TJ54,TJ54,0)))))</f>
        <v>0</v>
      </c>
      <c r="TL56" s="115">
        <f>IF(SUM($D$49:TK49)=0,0,IF(IF(TL55&gt;0,TL55-(IF(SUM($D56:TK56)&gt;0,0,IF(TK$25&gt;TK54,TK54,0))),0)&lt;0,0,(IF(SUM($D56:TK56)&gt;0,0,IF(TK$25&gt;TK54,TK54,0)))))</f>
        <v>0</v>
      </c>
      <c r="TM56" s="115">
        <f>IF(SUM($D$49:TL49)=0,0,IF(IF(TM55&gt;0,TM55-(IF(SUM($D56:TL56)&gt;0,0,IF(TL$25&gt;TL54,TL54,0))),0)&lt;0,0,(IF(SUM($D56:TL56)&gt;0,0,IF(TL$25&gt;TL54,TL54,0)))))</f>
        <v>0</v>
      </c>
      <c r="TN56" s="115">
        <f>IF(SUM($D$49:TM49)=0,0,IF(IF(TN55&gt;0,TN55-(IF(SUM($D56:TM56)&gt;0,0,IF(TM$25&gt;TM54,TM54,0))),0)&lt;0,0,(IF(SUM($D56:TM56)&gt;0,0,IF(TM$25&gt;TM54,TM54,0)))))</f>
        <v>0</v>
      </c>
      <c r="TO56" s="115">
        <f>IF(SUM($D$49:TN49)=0,0,IF(IF(TO55&gt;0,TO55-(IF(SUM($D56:TN56)&gt;0,0,IF(TN$25&gt;TN54,TN54,0))),0)&lt;0,0,(IF(SUM($D56:TN56)&gt;0,0,IF(TN$25&gt;TN54,TN54,0)))))</f>
        <v>0</v>
      </c>
      <c r="TP56" s="115">
        <f>IF(SUM($D$49:TO49)=0,0,IF(IF(TP55&gt;0,TP55-(IF(SUM($D56:TO56)&gt;0,0,IF(TO$25&gt;TO54,TO54,0))),0)&lt;0,0,(IF(SUM($D56:TO56)&gt;0,0,IF(TO$25&gt;TO54,TO54,0)))))</f>
        <v>0</v>
      </c>
      <c r="TQ56" s="115">
        <f>IF(SUM($D$49:TP49)=0,0,IF(IF(TQ55&gt;0,TQ55-(IF(SUM($D56:TP56)&gt;0,0,IF(TP$25&gt;TP54,TP54,0))),0)&lt;0,0,(IF(SUM($D56:TP56)&gt;0,0,IF(TP$25&gt;TP54,TP54,0)))))</f>
        <v>0</v>
      </c>
      <c r="TR56" s="115">
        <f>IF(SUM($D$49:TQ49)=0,0,IF(IF(TR55&gt;0,TR55-(IF(SUM($D56:TQ56)&gt;0,0,IF(TQ$25&gt;TQ54,TQ54,0))),0)&lt;0,0,(IF(SUM($D56:TQ56)&gt;0,0,IF(TQ$25&gt;TQ54,TQ54,0)))))</f>
        <v>0</v>
      </c>
      <c r="TS56" s="115">
        <f>IF(SUM($D$49:TR49)=0,0,IF(IF(TS55&gt;0,TS55-(IF(SUM($D56:TR56)&gt;0,0,IF(TR$25&gt;TR54,TR54,0))),0)&lt;0,0,(IF(SUM($D56:TR56)&gt;0,0,IF(TR$25&gt;TR54,TR54,0)))))</f>
        <v>0</v>
      </c>
      <c r="TT56" s="115">
        <f>IF(SUM($D$49:TS49)=0,0,IF(IF(TT55&gt;0,TT55-(IF(SUM($D56:TS56)&gt;0,0,IF(TS$25&gt;TS54,TS54,0))),0)&lt;0,0,(IF(SUM($D56:TS56)&gt;0,0,IF(TS$25&gt;TS54,TS54,0)))))</f>
        <v>0</v>
      </c>
      <c r="TU56" s="115">
        <f>IF(SUM($D$49:TT49)=0,0,IF(IF(TU55&gt;0,TU55-(IF(SUM($D56:TT56)&gt;0,0,IF(TT$25&gt;TT54,TT54,0))),0)&lt;0,0,(IF(SUM($D56:TT56)&gt;0,0,IF(TT$25&gt;TT54,TT54,0)))))</f>
        <v>0</v>
      </c>
      <c r="TV56" s="115">
        <f>IF(SUM($D$49:TU49)=0,0,IF(IF(TV55&gt;0,TV55-(IF(SUM($D56:TU56)&gt;0,0,IF(TU$25&gt;TU54,TU54,0))),0)&lt;0,0,(IF(SUM($D56:TU56)&gt;0,0,IF(TU$25&gt;TU54,TU54,0)))))</f>
        <v>0</v>
      </c>
      <c r="TW56" s="115">
        <f>IF(SUM($D$49:TV49)=0,0,IF(IF(TW55&gt;0,TW55-(IF(SUM($D56:TV56)&gt;0,0,IF(TV$25&gt;TV54,TV54,0))),0)&lt;0,0,(IF(SUM($D56:TV56)&gt;0,0,IF(TV$25&gt;TV54,TV54,0)))))</f>
        <v>0</v>
      </c>
      <c r="TX56" s="115">
        <f>IF(SUM($D$49:TW49)=0,0,IF(IF(TX55&gt;0,TX55-(IF(SUM($D56:TW56)&gt;0,0,IF(TW$25&gt;TW54,TW54,0))),0)&lt;0,0,(IF(SUM($D56:TW56)&gt;0,0,IF(TW$25&gt;TW54,TW54,0)))))</f>
        <v>0</v>
      </c>
      <c r="TY56" s="115">
        <f>IF(SUM($D$49:TX49)=0,0,IF(IF(TY55&gt;0,TY55-(IF(SUM($D56:TX56)&gt;0,0,IF(TX$25&gt;TX54,TX54,0))),0)&lt;0,0,(IF(SUM($D56:TX56)&gt;0,0,IF(TX$25&gt;TX54,TX54,0)))))</f>
        <v>0</v>
      </c>
      <c r="TZ56" s="115">
        <f>IF(SUM($D$49:TY49)=0,0,IF(IF(TZ55&gt;0,TZ55-(IF(SUM($D56:TY56)&gt;0,0,IF(TY$25&gt;TY54,TY54,0))),0)&lt;0,0,(IF(SUM($D56:TY56)&gt;0,0,IF(TY$25&gt;TY54,TY54,0)))))</f>
        <v>0</v>
      </c>
      <c r="UA56" s="115">
        <f>IF(SUM($D$49:TZ49)=0,0,IF(IF(UA55&gt;0,UA55-(IF(SUM($D56:TZ56)&gt;0,0,IF(TZ$25&gt;TZ54,TZ54,0))),0)&lt;0,0,(IF(SUM($D56:TZ56)&gt;0,0,IF(TZ$25&gt;TZ54,TZ54,0)))))</f>
        <v>0</v>
      </c>
      <c r="UB56" s="115">
        <f>IF(SUM($D$49:UA49)=0,0,IF(IF(UB55&gt;0,UB55-(IF(SUM($D56:UA56)&gt;0,0,IF(UA$25&gt;UA54,UA54,0))),0)&lt;0,0,(IF(SUM($D56:UA56)&gt;0,0,IF(UA$25&gt;UA54,UA54,0)))))</f>
        <v>0</v>
      </c>
      <c r="UC56" s="115">
        <f>IF(SUM($D$49:UB49)=0,0,IF(IF(UC55&gt;0,UC55-(IF(SUM($D56:UB56)&gt;0,0,IF(UB$25&gt;UB54,UB54,0))),0)&lt;0,0,(IF(SUM($D56:UB56)&gt;0,0,IF(UB$25&gt;UB54,UB54,0)))))</f>
        <v>0</v>
      </c>
      <c r="UD56" s="115">
        <f>IF(SUM($D$49:UC49)=0,0,IF(IF(UD55&gt;0,UD55-(IF(SUM($D56:UC56)&gt;0,0,IF(UC$25&gt;UC54,UC54,0))),0)&lt;0,0,(IF(SUM($D56:UC56)&gt;0,0,IF(UC$25&gt;UC54,UC54,0)))))</f>
        <v>0</v>
      </c>
      <c r="UE56" s="115">
        <f>IF(SUM($D$49:UD49)=0,0,IF(IF(UE55&gt;0,UE55-(IF(SUM($D56:UD56)&gt;0,0,IF(UD$25&gt;UD54,UD54,0))),0)&lt;0,0,(IF(SUM($D56:UD56)&gt;0,0,IF(UD$25&gt;UD54,UD54,0)))))</f>
        <v>0</v>
      </c>
      <c r="UF56" s="115">
        <f>IF(SUM($D$49:UE49)=0,0,IF(IF(UF55&gt;0,UF55-(IF(SUM($D56:UE56)&gt;0,0,IF(UE$25&gt;UE54,UE54,0))),0)&lt;0,0,(IF(SUM($D56:UE56)&gt;0,0,IF(UE$25&gt;UE54,UE54,0)))))</f>
        <v>0</v>
      </c>
      <c r="UG56" s="115">
        <f>IF(SUM($D$49:UF49)=0,0,IF(IF(UG55&gt;0,UG55-(IF(SUM($D56:UF56)&gt;0,0,IF(UF$25&gt;UF54,UF54,0))),0)&lt;0,0,(IF(SUM($D56:UF56)&gt;0,0,IF(UF$25&gt;UF54,UF54,0)))))</f>
        <v>0</v>
      </c>
      <c r="UH56" s="115">
        <f>IF(SUM($D$49:UG49)=0,0,IF(IF(UH55&gt;0,UH55-(IF(SUM($D56:UG56)&gt;0,0,IF(UG$25&gt;UG54,UG54,0))),0)&lt;0,0,(IF(SUM($D56:UG56)&gt;0,0,IF(UG$25&gt;UG54,UG54,0)))))</f>
        <v>0</v>
      </c>
      <c r="UI56" s="115">
        <f>IF(SUM($D$49:UH49)=0,0,IF(IF(UI55&gt;0,UI55-(IF(SUM($D56:UH56)&gt;0,0,IF(UH$25&gt;UH54,UH54,0))),0)&lt;0,0,(IF(SUM($D56:UH56)&gt;0,0,IF(UH$25&gt;UH54,UH54,0)))))</f>
        <v>0</v>
      </c>
      <c r="UJ56" s="115">
        <f>IF(SUM($D$49:UI49)=0,0,IF(IF(UJ55&gt;0,UJ55-(IF(SUM($D56:UI56)&gt;0,0,IF(UI$25&gt;UI54,UI54,0))),0)&lt;0,0,(IF(SUM($D56:UI56)&gt;0,0,IF(UI$25&gt;UI54,UI54,0)))))</f>
        <v>0</v>
      </c>
      <c r="UK56" s="115">
        <f>IF(SUM($D$49:UJ49)=0,0,IF(IF(UK55&gt;0,UK55-(IF(SUM($D56:UJ56)&gt;0,0,IF(UJ$25&gt;UJ54,UJ54,0))),0)&lt;0,0,(IF(SUM($D56:UJ56)&gt;0,0,IF(UJ$25&gt;UJ54,UJ54,0)))))</f>
        <v>0</v>
      </c>
      <c r="UL56" s="115">
        <f>IF(SUM($D$49:UK49)=0,0,IF(IF(UL55&gt;0,UL55-(IF(SUM($D56:UK56)&gt;0,0,IF(UK$25&gt;UK54,UK54,0))),0)&lt;0,0,(IF(SUM($D56:UK56)&gt;0,0,IF(UK$25&gt;UK54,UK54,0)))))</f>
        <v>0</v>
      </c>
      <c r="UM56" s="115">
        <f>IF(SUM($D$49:UL49)=0,0,IF(IF(UM55&gt;0,UM55-(IF(SUM($D56:UL56)&gt;0,0,IF(UL$25&gt;UL54,UL54,0))),0)&lt;0,0,(IF(SUM($D56:UL56)&gt;0,0,IF(UL$25&gt;UL54,UL54,0)))))</f>
        <v>0</v>
      </c>
      <c r="UN56" s="115">
        <f>IF(SUM($D$49:UM49)=0,0,IF(IF(UN55&gt;0,UN55-(IF(SUM($D56:UM56)&gt;0,0,IF(UM$25&gt;UM54,UM54,0))),0)&lt;0,0,(IF(SUM($D56:UM56)&gt;0,0,IF(UM$25&gt;UM54,UM54,0)))))</f>
        <v>0</v>
      </c>
      <c r="UO56" s="115">
        <f>IF(SUM($D$49:UN49)=0,0,IF(IF(UO55&gt;0,UO55-(IF(SUM($D56:UN56)&gt;0,0,IF(UN$25&gt;UN54,UN54,0))),0)&lt;0,0,(IF(SUM($D56:UN56)&gt;0,0,IF(UN$25&gt;UN54,UN54,0)))))</f>
        <v>0</v>
      </c>
      <c r="UP56" s="115">
        <f>IF(SUM($D$49:UO49)=0,0,IF(IF(UP55&gt;0,UP55-(IF(SUM($D56:UO56)&gt;0,0,IF(UO$25&gt;UO54,UO54,0))),0)&lt;0,0,(IF(SUM($D56:UO56)&gt;0,0,IF(UO$25&gt;UO54,UO54,0)))))</f>
        <v>0</v>
      </c>
      <c r="UQ56" s="115">
        <f>IF(SUM($D$49:UP49)=0,0,IF(IF(UQ55&gt;0,UQ55-(IF(SUM($D56:UP56)&gt;0,0,IF(UP$25&gt;UP54,UP54,0))),0)&lt;0,0,(IF(SUM($D56:UP56)&gt;0,0,IF(UP$25&gt;UP54,UP54,0)))))</f>
        <v>0</v>
      </c>
      <c r="UR56" s="115">
        <f>IF(SUM($D$49:UQ49)=0,0,IF(IF(UR55&gt;0,UR55-(IF(SUM($D56:UQ56)&gt;0,0,IF(UQ$25&gt;UQ54,UQ54,0))),0)&lt;0,0,(IF(SUM($D56:UQ56)&gt;0,0,IF(UQ$25&gt;UQ54,UQ54,0)))))</f>
        <v>0</v>
      </c>
      <c r="US56" s="115">
        <f>IF(SUM($D$49:UR49)=0,0,IF(IF(US55&gt;0,US55-(IF(SUM($D56:UR56)&gt;0,0,IF(UR$25&gt;UR54,UR54,0))),0)&lt;0,0,(IF(SUM($D56:UR56)&gt;0,0,IF(UR$25&gt;UR54,UR54,0)))))</f>
        <v>0</v>
      </c>
      <c r="UT56" s="115">
        <f>IF(SUM($D$49:US49)=0,0,IF(IF(UT55&gt;0,UT55-(IF(SUM($D56:US56)&gt;0,0,IF(US$25&gt;US54,US54,0))),0)&lt;0,0,(IF(SUM($D56:US56)&gt;0,0,IF(US$25&gt;US54,US54,0)))))</f>
        <v>0</v>
      </c>
      <c r="UU56" s="115">
        <f>IF(SUM($D$49:UT49)=0,0,IF(IF(UU55&gt;0,UU55-(IF(SUM($D56:UT56)&gt;0,0,IF(UT$25&gt;UT54,UT54,0))),0)&lt;0,0,(IF(SUM($D56:UT56)&gt;0,0,IF(UT$25&gt;UT54,UT54,0)))))</f>
        <v>0</v>
      </c>
      <c r="UV56" s="115">
        <f>IF(SUM($D$49:UU49)=0,0,IF(IF(UV55&gt;0,UV55-(IF(SUM($D56:UU56)&gt;0,0,IF(UU$25&gt;UU54,UU54,0))),0)&lt;0,0,(IF(SUM($D56:UU56)&gt;0,0,IF(UU$25&gt;UU54,UU54,0)))))</f>
        <v>0</v>
      </c>
      <c r="UW56" s="115">
        <f>IF(SUM($D$49:UV49)=0,0,IF(IF(UW55&gt;0,UW55-(IF(SUM($D56:UV56)&gt;0,0,IF(UV$25&gt;UV54,UV54,0))),0)&lt;0,0,(IF(SUM($D56:UV56)&gt;0,0,IF(UV$25&gt;UV54,UV54,0)))))</f>
        <v>0</v>
      </c>
      <c r="UX56" s="115">
        <f>IF(SUM($D$49:UW49)=0,0,IF(IF(UX55&gt;0,UX55-(IF(SUM($D56:UW56)&gt;0,0,IF(UW$25&gt;UW54,UW54,0))),0)&lt;0,0,(IF(SUM($D56:UW56)&gt;0,0,IF(UW$25&gt;UW54,UW54,0)))))</f>
        <v>0</v>
      </c>
      <c r="UY56" s="115">
        <f>IF(SUM($D$49:UX49)=0,0,IF(IF(UY55&gt;0,UY55-(IF(SUM($D56:UX56)&gt;0,0,IF(UX$25&gt;UX54,UX54,0))),0)&lt;0,0,(IF(SUM($D56:UX56)&gt;0,0,IF(UX$25&gt;UX54,UX54,0)))))</f>
        <v>0</v>
      </c>
      <c r="UZ56" s="115">
        <f>IF(SUM($D$49:UY49)=0,0,IF(IF(UZ55&gt;0,UZ55-(IF(SUM($D56:UY56)&gt;0,0,IF(UY$25&gt;UY54,UY54,0))),0)&lt;0,0,(IF(SUM($D56:UY56)&gt;0,0,IF(UY$25&gt;UY54,UY54,0)))))</f>
        <v>0</v>
      </c>
      <c r="VA56" s="115">
        <f>IF(SUM($D$49:UZ49)=0,0,IF(IF(VA55&gt;0,VA55-(IF(SUM($D56:UZ56)&gt;0,0,IF(UZ$25&gt;UZ54,UZ54,0))),0)&lt;0,0,(IF(SUM($D56:UZ56)&gt;0,0,IF(UZ$25&gt;UZ54,UZ54,0)))))</f>
        <v>0</v>
      </c>
      <c r="VB56" s="115">
        <f>IF(SUM($D$49:VA49)=0,0,IF(IF(VB55&gt;0,VB55-(IF(SUM($D56:VA56)&gt;0,0,IF(VA$25&gt;VA54,VA54,0))),0)&lt;0,0,(IF(SUM($D56:VA56)&gt;0,0,IF(VA$25&gt;VA54,VA54,0)))))</f>
        <v>0</v>
      </c>
      <c r="VC56" s="115">
        <f>IF(SUM($D$49:VB49)=0,0,IF(IF(VC55&gt;0,VC55-(IF(SUM($D56:VB56)&gt;0,0,IF(VB$25&gt;VB54,VB54,0))),0)&lt;0,0,(IF(SUM($D56:VB56)&gt;0,0,IF(VB$25&gt;VB54,VB54,0)))))</f>
        <v>0</v>
      </c>
      <c r="VD56" s="115">
        <f>IF(SUM($D$49:VC49)=0,0,IF(IF(VD55&gt;0,VD55-(IF(SUM($D56:VC56)&gt;0,0,IF(VC$25&gt;VC54,VC54,0))),0)&lt;0,0,(IF(SUM($D56:VC56)&gt;0,0,IF(VC$25&gt;VC54,VC54,0)))))</f>
        <v>0</v>
      </c>
      <c r="VE56" s="115">
        <f>IF(SUM($D$49:VD49)=0,0,IF(IF(VE55&gt;0,VE55-(IF(SUM($D56:VD56)&gt;0,0,IF(VD$25&gt;VD54,VD54,0))),0)&lt;0,0,(IF(SUM($D56:VD56)&gt;0,0,IF(VD$25&gt;VD54,VD54,0)))))</f>
        <v>0</v>
      </c>
      <c r="VF56" s="115">
        <f>IF(SUM($D$49:VE49)=0,0,IF(IF(VF55&gt;0,VF55-(IF(SUM($D56:VE56)&gt;0,0,IF(VE$25&gt;VE54,VE54,0))),0)&lt;0,0,(IF(SUM($D56:VE56)&gt;0,0,IF(VE$25&gt;VE54,VE54,0)))))</f>
        <v>0</v>
      </c>
      <c r="VG56" s="115">
        <f>IF(SUM($D$49:VF49)=0,0,IF(IF(VG55&gt;0,VG55-(IF(SUM($D56:VF56)&gt;0,0,IF(VF$25&gt;VF54,VF54,0))),0)&lt;0,0,(IF(SUM($D56:VF56)&gt;0,0,IF(VF$25&gt;VF54,VF54,0)))))</f>
        <v>0</v>
      </c>
      <c r="VH56" s="115">
        <f>IF(SUM($D$49:VG49)=0,0,IF(IF(VH55&gt;0,VH55-(IF(SUM($D56:VG56)&gt;0,0,IF(VG$25&gt;VG54,VG54,0))),0)&lt;0,0,(IF(SUM($D56:VG56)&gt;0,0,IF(VG$25&gt;VG54,VG54,0)))))</f>
        <v>0</v>
      </c>
      <c r="VI56" s="115">
        <f>IF(SUM($D$49:VH49)=0,0,IF(IF(VI55&gt;0,VI55-(IF(SUM($D56:VH56)&gt;0,0,IF(VH$25&gt;VH54,VH54,0))),0)&lt;0,0,(IF(SUM($D56:VH56)&gt;0,0,IF(VH$25&gt;VH54,VH54,0)))))</f>
        <v>0</v>
      </c>
      <c r="VJ56" s="115">
        <f>IF(SUM($D$49:VI49)=0,0,IF(IF(VJ55&gt;0,VJ55-(IF(SUM($D56:VI56)&gt;0,0,IF(VI$25&gt;VI54,VI54,0))),0)&lt;0,0,(IF(SUM($D56:VI56)&gt;0,0,IF(VI$25&gt;VI54,VI54,0)))))</f>
        <v>0</v>
      </c>
      <c r="VK56" s="115">
        <f>IF(SUM($D$49:VJ49)=0,0,IF(IF(VK55&gt;0,VK55-(IF(SUM($D56:VJ56)&gt;0,0,IF(VJ$25&gt;VJ54,VJ54,0))),0)&lt;0,0,(IF(SUM($D56:VJ56)&gt;0,0,IF(VJ$25&gt;VJ54,VJ54,0)))))</f>
        <v>0</v>
      </c>
      <c r="VL56" s="115">
        <f>IF(SUM($D$49:VK49)=0,0,IF(IF(VL55&gt;0,VL55-(IF(SUM($D56:VK56)&gt;0,0,IF(VK$25&gt;VK54,VK54,0))),0)&lt;0,0,(IF(SUM($D56:VK56)&gt;0,0,IF(VK$25&gt;VK54,VK54,0)))))</f>
        <v>0</v>
      </c>
      <c r="VM56" s="115">
        <f>IF(SUM($D$49:VL49)=0,0,IF(IF(VM55&gt;0,VM55-(IF(SUM($D56:VL56)&gt;0,0,IF(VL$25&gt;VL54,VL54,0))),0)&lt;0,0,(IF(SUM($D56:VL56)&gt;0,0,IF(VL$25&gt;VL54,VL54,0)))))</f>
        <v>0</v>
      </c>
      <c r="VN56" s="115">
        <f>IF(SUM($D$49:VM49)=0,0,IF(IF(VN55&gt;0,VN55-(IF(SUM($D56:VM56)&gt;0,0,IF(VM$25&gt;VM54,VM54,0))),0)&lt;0,0,(IF(SUM($D56:VM56)&gt;0,0,IF(VM$25&gt;VM54,VM54,0)))))</f>
        <v>0</v>
      </c>
      <c r="VO56" s="115">
        <f>IF(SUM($D$49:VN49)=0,0,IF(IF(VO55&gt;0,VO55-(IF(SUM($D56:VN56)&gt;0,0,IF(VN$25&gt;VN54,VN54,0))),0)&lt;0,0,(IF(SUM($D56:VN56)&gt;0,0,IF(VN$25&gt;VN54,VN54,0)))))</f>
        <v>0</v>
      </c>
      <c r="VP56" s="115">
        <f>IF(SUM($D$49:VO49)=0,0,IF(IF(VP55&gt;0,VP55-(IF(SUM($D56:VO56)&gt;0,0,IF(VO$25&gt;VO54,VO54,0))),0)&lt;0,0,(IF(SUM($D56:VO56)&gt;0,0,IF(VO$25&gt;VO54,VO54,0)))))</f>
        <v>0</v>
      </c>
      <c r="VQ56" s="115">
        <f>IF(SUM($D$49:VP49)=0,0,IF(IF(VQ55&gt;0,VQ55-(IF(SUM($D56:VP56)&gt;0,0,IF(VP$25&gt;VP54,VP54,0))),0)&lt;0,0,(IF(SUM($D56:VP56)&gt;0,0,IF(VP$25&gt;VP54,VP54,0)))))</f>
        <v>0</v>
      </c>
      <c r="VR56" s="115">
        <f>IF(SUM($D$49:VQ49)=0,0,IF(IF(VR55&gt;0,VR55-(IF(SUM($D56:VQ56)&gt;0,0,IF(VQ$25&gt;VQ54,VQ54,0))),0)&lt;0,0,(IF(SUM($D56:VQ56)&gt;0,0,IF(VQ$25&gt;VQ54,VQ54,0)))))</f>
        <v>0</v>
      </c>
      <c r="VS56" s="115">
        <f>IF(SUM($D$49:VR49)=0,0,IF(IF(VS55&gt;0,VS55-(IF(SUM($D56:VR56)&gt;0,0,IF(VR$25&gt;VR54,VR54,0))),0)&lt;0,0,(IF(SUM($D56:VR56)&gt;0,0,IF(VR$25&gt;VR54,VR54,0)))))</f>
        <v>0</v>
      </c>
      <c r="VT56" s="115">
        <f>IF(SUM($D$49:VS49)=0,0,IF(IF(VT55&gt;0,VT55-(IF(SUM($D56:VS56)&gt;0,0,IF(VS$25&gt;VS54,VS54,0))),0)&lt;0,0,(IF(SUM($D56:VS56)&gt;0,0,IF(VS$25&gt;VS54,VS54,0)))))</f>
        <v>0</v>
      </c>
      <c r="VU56" s="115">
        <f>IF(SUM($D$49:VT49)=0,0,IF(IF(VU55&gt;0,VU55-(IF(SUM($D56:VT56)&gt;0,0,IF(VT$25&gt;VT54,VT54,0))),0)&lt;0,0,(IF(SUM($D56:VT56)&gt;0,0,IF(VT$25&gt;VT54,VT54,0)))))</f>
        <v>0</v>
      </c>
      <c r="VV56" s="115">
        <f>IF(SUM($D$49:VU49)=0,0,IF(IF(VV55&gt;0,VV55-(IF(SUM($D56:VU56)&gt;0,0,IF(VU$25&gt;VU54,VU54,0))),0)&lt;0,0,(IF(SUM($D56:VU56)&gt;0,0,IF(VU$25&gt;VU54,VU54,0)))))</f>
        <v>0</v>
      </c>
      <c r="VW56" s="115">
        <f>IF(SUM($D$49:VV49)=0,0,IF(IF(VW55&gt;0,VW55-(IF(SUM($D56:VV56)&gt;0,0,IF(VV$25&gt;VV54,VV54,0))),0)&lt;0,0,(IF(SUM($D56:VV56)&gt;0,0,IF(VV$25&gt;VV54,VV54,0)))))</f>
        <v>0</v>
      </c>
      <c r="VX56" s="115">
        <f>IF(SUM($D$49:VW49)=0,0,IF(IF(VX55&gt;0,VX55-(IF(SUM($D56:VW56)&gt;0,0,IF(VW$25&gt;VW54,VW54,0))),0)&lt;0,0,(IF(SUM($D56:VW56)&gt;0,0,IF(VW$25&gt;VW54,VW54,0)))))</f>
        <v>0</v>
      </c>
      <c r="VY56" s="115">
        <f>IF(SUM($D$49:VX49)=0,0,IF(IF(VY55&gt;0,VY55-(IF(SUM($D56:VX56)&gt;0,0,IF(VX$25&gt;VX54,VX54,0))),0)&lt;0,0,(IF(SUM($D56:VX56)&gt;0,0,IF(VX$25&gt;VX54,VX54,0)))))</f>
        <v>0</v>
      </c>
      <c r="VZ56" s="115">
        <f>IF(SUM($D$49:VY49)=0,0,IF(IF(VZ55&gt;0,VZ55-(IF(SUM($D56:VY56)&gt;0,0,IF(VY$25&gt;VY54,VY54,0))),0)&lt;0,0,(IF(SUM($D56:VY56)&gt;0,0,IF(VY$25&gt;VY54,VY54,0)))))</f>
        <v>0</v>
      </c>
      <c r="WA56" s="115">
        <f>IF(SUM($D$49:VZ49)=0,0,IF(IF(WA55&gt;0,WA55-(IF(SUM($D56:VZ56)&gt;0,0,IF(VZ$25&gt;VZ54,VZ54,0))),0)&lt;0,0,(IF(SUM($D56:VZ56)&gt;0,0,IF(VZ$25&gt;VZ54,VZ54,0)))))</f>
        <v>0</v>
      </c>
      <c r="WB56" s="115">
        <f>IF(SUM($D$49:WA49)=0,0,IF(IF(WB55&gt;0,WB55-(IF(SUM($D56:WA56)&gt;0,0,IF(WA$25&gt;WA54,WA54,0))),0)&lt;0,0,(IF(SUM($D56:WA56)&gt;0,0,IF(WA$25&gt;WA54,WA54,0)))))</f>
        <v>0</v>
      </c>
      <c r="WC56" s="115">
        <f>IF(SUM($D$49:WB49)=0,0,IF(IF(WC55&gt;0,WC55-(IF(SUM($D56:WB56)&gt;0,0,IF(WB$25&gt;WB54,WB54,0))),0)&lt;0,0,(IF(SUM($D56:WB56)&gt;0,0,IF(WB$25&gt;WB54,WB54,0)))))</f>
        <v>0</v>
      </c>
      <c r="WD56" s="115">
        <f>IF(SUM($D$49:WC49)=0,0,IF(IF(WD55&gt;0,WD55-(IF(SUM($D56:WC56)&gt;0,0,IF(WC$25&gt;WC54,WC54,0))),0)&lt;0,0,(IF(SUM($D56:WC56)&gt;0,0,IF(WC$25&gt;WC54,WC54,0)))))</f>
        <v>0</v>
      </c>
      <c r="WE56" s="115">
        <f>IF(SUM($D$49:WD49)=0,0,IF(IF(WE55&gt;0,WE55-(IF(SUM($D56:WD56)&gt;0,0,IF(WD$25&gt;WD54,WD54,0))),0)&lt;0,0,(IF(SUM($D56:WD56)&gt;0,0,IF(WD$25&gt;WD54,WD54,0)))))</f>
        <v>0</v>
      </c>
      <c r="WF56" s="115">
        <f>IF(SUM($D$49:WE49)=0,0,IF(IF(WF55&gt;0,WF55-(IF(SUM($D56:WE56)&gt;0,0,IF(WE$25&gt;WE54,WE54,0))),0)&lt;0,0,(IF(SUM($D56:WE56)&gt;0,0,IF(WE$25&gt;WE54,WE54,0)))))</f>
        <v>0</v>
      </c>
      <c r="WG56" s="115">
        <f>IF(SUM($D$49:WF49)=0,0,IF(IF(WG55&gt;0,WG55-(IF(SUM($D56:WF56)&gt;0,0,IF(WF$25&gt;WF54,WF54,0))),0)&lt;0,0,(IF(SUM($D56:WF56)&gt;0,0,IF(WF$25&gt;WF54,WF54,0)))))</f>
        <v>0</v>
      </c>
      <c r="WH56" s="115">
        <f>IF(SUM($D$49:WG49)=0,0,IF(IF(WH55&gt;0,WH55-(IF(SUM($D56:WG56)&gt;0,0,IF(WG$25&gt;WG54,WG54,0))),0)&lt;0,0,(IF(SUM($D56:WG56)&gt;0,0,IF(WG$25&gt;WG54,WG54,0)))))</f>
        <v>0</v>
      </c>
      <c r="WI56" s="115">
        <f>IF(SUM($D$49:WH49)=0,0,IF(IF(WI55&gt;0,WI55-(IF(SUM($D56:WH56)&gt;0,0,IF(WH$25&gt;WH54,WH54,0))),0)&lt;0,0,(IF(SUM($D56:WH56)&gt;0,0,IF(WH$25&gt;WH54,WH54,0)))))</f>
        <v>0</v>
      </c>
      <c r="WJ56" s="115">
        <f>IF(SUM($D$49:WI49)=0,0,IF(IF(WJ55&gt;0,WJ55-(IF(SUM($D56:WI56)&gt;0,0,IF(WI$25&gt;WI54,WI54,0))),0)&lt;0,0,(IF(SUM($D56:WI56)&gt;0,0,IF(WI$25&gt;WI54,WI54,0)))))</f>
        <v>0</v>
      </c>
      <c r="WK56" s="115">
        <f>IF(SUM($D$49:WJ49)=0,0,IF(IF(WK55&gt;0,WK55-(IF(SUM($D56:WJ56)&gt;0,0,IF(WJ$25&gt;WJ54,WJ54,0))),0)&lt;0,0,(IF(SUM($D56:WJ56)&gt;0,0,IF(WJ$25&gt;WJ54,WJ54,0)))))</f>
        <v>0</v>
      </c>
      <c r="WL56" s="115">
        <f>IF(SUM($D$49:WK49)=0,0,IF(IF(WL55&gt;0,WL55-(IF(SUM($D56:WK56)&gt;0,0,IF(WK$25&gt;WK54,WK54,0))),0)&lt;0,0,(IF(SUM($D56:WK56)&gt;0,0,IF(WK$25&gt;WK54,WK54,0)))))</f>
        <v>0</v>
      </c>
      <c r="WM56" s="115">
        <f>IF(SUM($D$49:WL49)=0,0,IF(IF(WM55&gt;0,WM55-(IF(SUM($D56:WL56)&gt;0,0,IF(WL$25&gt;WL54,WL54,0))),0)&lt;0,0,(IF(SUM($D56:WL56)&gt;0,0,IF(WL$25&gt;WL54,WL54,0)))))</f>
        <v>0</v>
      </c>
      <c r="WN56" s="115">
        <f>IF(SUM($D$49:WM49)=0,0,IF(IF(WN55&gt;0,WN55-(IF(SUM($D56:WM56)&gt;0,0,IF(WM$25&gt;WM54,WM54,0))),0)&lt;0,0,(IF(SUM($D56:WM56)&gt;0,0,IF(WM$25&gt;WM54,WM54,0)))))</f>
        <v>0</v>
      </c>
      <c r="WO56" s="115">
        <f>IF(SUM($D$49:WN49)=0,0,IF(IF(WO55&gt;0,WO55-(IF(SUM($D56:WN56)&gt;0,0,IF(WN$25&gt;WN54,WN54,0))),0)&lt;0,0,(IF(SUM($D56:WN56)&gt;0,0,IF(WN$25&gt;WN54,WN54,0)))))</f>
        <v>0</v>
      </c>
      <c r="WP56" s="115">
        <f>IF(SUM($D$49:WO49)=0,0,IF(IF(WP55&gt;0,WP55-(IF(SUM($D56:WO56)&gt;0,0,IF(WO$25&gt;WO54,WO54,0))),0)&lt;0,0,(IF(SUM($D56:WO56)&gt;0,0,IF(WO$25&gt;WO54,WO54,0)))))</f>
        <v>0</v>
      </c>
      <c r="WQ56" s="115">
        <f>IF(SUM($D$49:WP49)=0,0,IF(IF(WQ55&gt;0,WQ55-(IF(SUM($D56:WP56)&gt;0,0,IF(WP$25&gt;WP54,WP54,0))),0)&lt;0,0,(IF(SUM($D56:WP56)&gt;0,0,IF(WP$25&gt;WP54,WP54,0)))))</f>
        <v>0</v>
      </c>
      <c r="WR56" s="115">
        <f>IF(SUM($D$49:WQ49)=0,0,IF(IF(WR55&gt;0,WR55-(IF(SUM($D56:WQ56)&gt;0,0,IF(WQ$25&gt;WQ54,WQ54,0))),0)&lt;0,0,(IF(SUM($D56:WQ56)&gt;0,0,IF(WQ$25&gt;WQ54,WQ54,0)))))</f>
        <v>0</v>
      </c>
      <c r="WS56" s="115">
        <f>IF(SUM($D$49:WR49)=0,0,IF(IF(WS55&gt;0,WS55-(IF(SUM($D56:WR56)&gt;0,0,IF(WR$25&gt;WR54,WR54,0))),0)&lt;0,0,(IF(SUM($D56:WR56)&gt;0,0,IF(WR$25&gt;WR54,WR54,0)))))</f>
        <v>0</v>
      </c>
      <c r="WT56" s="115">
        <f>IF(SUM($D$49:WS49)=0,0,IF(IF(WT55&gt;0,WT55-(IF(SUM($D56:WS56)&gt;0,0,IF(WS$25&gt;WS54,WS54,0))),0)&lt;0,0,(IF(SUM($D56:WS56)&gt;0,0,IF(WS$25&gt;WS54,WS54,0)))))</f>
        <v>0</v>
      </c>
      <c r="WU56" s="115">
        <f>IF(SUM($D$49:WT49)=0,0,IF(IF(WU55&gt;0,WU55-(IF(SUM($D56:WT56)&gt;0,0,IF(WT$25&gt;WT54,WT54,0))),0)&lt;0,0,(IF(SUM($D56:WT56)&gt;0,0,IF(WT$25&gt;WT54,WT54,0)))))</f>
        <v>0</v>
      </c>
      <c r="WV56" s="115">
        <f>IF(SUM($D$49:WU49)=0,0,IF(IF(WV55&gt;0,WV55-(IF(SUM($D56:WU56)&gt;0,0,IF(WU$25&gt;WU54,WU54,0))),0)&lt;0,0,(IF(SUM($D56:WU56)&gt;0,0,IF(WU$25&gt;WU54,WU54,0)))))</f>
        <v>0</v>
      </c>
      <c r="WW56" s="115">
        <f>IF(SUM($D$49:WV49)=0,0,IF(IF(WW55&gt;0,WW55-(IF(SUM($D56:WV56)&gt;0,0,IF(WV$25&gt;WV54,WV54,0))),0)&lt;0,0,(IF(SUM($D56:WV56)&gt;0,0,IF(WV$25&gt;WV54,WV54,0)))))</f>
        <v>0</v>
      </c>
      <c r="WX56" s="115">
        <f>IF(SUM($D$49:WW49)=0,0,IF(IF(WX55&gt;0,WX55-(IF(SUM($D56:WW56)&gt;0,0,IF(WW$25&gt;WW54,WW54,0))),0)&lt;0,0,(IF(SUM($D56:WW56)&gt;0,0,IF(WW$25&gt;WW54,WW54,0)))))</f>
        <v>0</v>
      </c>
      <c r="WY56" s="115">
        <f>IF(SUM($D$49:WX49)=0,0,IF(IF(WY55&gt;0,WY55-(IF(SUM($D56:WX56)&gt;0,0,IF(WX$25&gt;WX54,WX54,0))),0)&lt;0,0,(IF(SUM($D56:WX56)&gt;0,0,IF(WX$25&gt;WX54,WX54,0)))))</f>
        <v>0</v>
      </c>
      <c r="WZ56" s="115">
        <f>IF(SUM($D$49:WY49)=0,0,IF(IF(WZ55&gt;0,WZ55-(IF(SUM($D56:WY56)&gt;0,0,IF(WY$25&gt;WY54,WY54,0))),0)&lt;0,0,(IF(SUM($D56:WY56)&gt;0,0,IF(WY$25&gt;WY54,WY54,0)))))</f>
        <v>0</v>
      </c>
      <c r="XA56" s="115">
        <f>IF(SUM($D$49:WZ49)=0,0,IF(IF(XA55&gt;0,XA55-(IF(SUM($D56:WZ56)&gt;0,0,IF(WZ$25&gt;WZ54,WZ54,0))),0)&lt;0,0,(IF(SUM($D56:WZ56)&gt;0,0,IF(WZ$25&gt;WZ54,WZ54,0)))))</f>
        <v>0</v>
      </c>
      <c r="XB56" s="115">
        <f>IF(SUM($D$49:XA49)=0,0,IF(IF(XB55&gt;0,XB55-(IF(SUM($D56:XA56)&gt;0,0,IF(XA$25&gt;XA54,XA54,0))),0)&lt;0,0,(IF(SUM($D56:XA56)&gt;0,0,IF(XA$25&gt;XA54,XA54,0)))))</f>
        <v>0</v>
      </c>
      <c r="XC56" s="115">
        <f>IF(SUM($D$49:XB49)=0,0,IF(IF(XC55&gt;0,XC55-(IF(SUM($D56:XB56)&gt;0,0,IF(XB$25&gt;XB54,XB54,0))),0)&lt;0,0,(IF(SUM($D56:XB56)&gt;0,0,IF(XB$25&gt;XB54,XB54,0)))))</f>
        <v>0</v>
      </c>
      <c r="XD56" s="115">
        <f>IF(SUM($D$49:XC49)=0,0,IF(IF(XD55&gt;0,XD55-(IF(SUM($D56:XC56)&gt;0,0,IF(XC$25&gt;XC54,XC54,0))),0)&lt;0,0,(IF(SUM($D56:XC56)&gt;0,0,IF(XC$25&gt;XC54,XC54,0)))))</f>
        <v>0</v>
      </c>
      <c r="XE56" s="115">
        <f>IF(SUM($D$49:XD49)=0,0,IF(IF(XE55&gt;0,XE55-(IF(SUM($D56:XD56)&gt;0,0,IF(XD$25&gt;XD54,XD54,0))),0)&lt;0,0,(IF(SUM($D56:XD56)&gt;0,0,IF(XD$25&gt;XD54,XD54,0)))))</f>
        <v>0</v>
      </c>
      <c r="XF56" s="115">
        <f>IF(SUM($D$49:XE49)=0,0,IF(IF(XF55&gt;0,XF55-(IF(SUM($D56:XE56)&gt;0,0,IF(XE$25&gt;XE54,XE54,0))),0)&lt;0,0,(IF(SUM($D56:XE56)&gt;0,0,IF(XE$25&gt;XE54,XE54,0)))))</f>
        <v>0</v>
      </c>
      <c r="XG56" s="115">
        <f>IF(SUM($D$49:XF49)=0,0,IF(IF(XG55&gt;0,XG55-(IF(SUM($D56:XF56)&gt;0,0,IF(XF$25&gt;XF54,XF54,0))),0)&lt;0,0,(IF(SUM($D56:XF56)&gt;0,0,IF(XF$25&gt;XF54,XF54,0)))))</f>
        <v>0</v>
      </c>
      <c r="XH56" s="115">
        <f>IF(SUM($D$49:XG49)=0,0,IF(IF(XH55&gt;0,XH55-(IF(SUM($D56:XG56)&gt;0,0,IF(XG$25&gt;XG54,XG54,0))),0)&lt;0,0,(IF(SUM($D56:XG56)&gt;0,0,IF(XG$25&gt;XG54,XG54,0)))))</f>
        <v>0</v>
      </c>
      <c r="XI56" s="115">
        <f>IF(SUM($D$49:XH49)=0,0,IF(IF(XI55&gt;0,XI55-(IF(SUM($D56:XH56)&gt;0,0,IF(XH$25&gt;XH54,XH54,0))),0)&lt;0,0,(IF(SUM($D56:XH56)&gt;0,0,IF(XH$25&gt;XH54,XH54,0)))))</f>
        <v>0</v>
      </c>
      <c r="XJ56" s="115">
        <f>IF(SUM($D$49:XI49)=0,0,IF(IF(XJ55&gt;0,XJ55-(IF(SUM($D56:XI56)&gt;0,0,IF(XI$25&gt;XI54,XI54,0))),0)&lt;0,0,(IF(SUM($D56:XI56)&gt;0,0,IF(XI$25&gt;XI54,XI54,0)))))</f>
        <v>0</v>
      </c>
      <c r="XK56" s="115">
        <f>IF(SUM($D$49:XJ49)=0,0,IF(IF(XK55&gt;0,XK55-(IF(SUM($D56:XJ56)&gt;0,0,IF(XJ$25&gt;XJ54,XJ54,0))),0)&lt;0,0,(IF(SUM($D56:XJ56)&gt;0,0,IF(XJ$25&gt;XJ54,XJ54,0)))))</f>
        <v>0</v>
      </c>
      <c r="XL56" s="115">
        <f>IF(SUM($D$49:XK49)=0,0,IF(IF(XL55&gt;0,XL55-(IF(SUM($D56:XK56)&gt;0,0,IF(XK$25&gt;XK54,XK54,0))),0)&lt;0,0,(IF(SUM($D56:XK56)&gt;0,0,IF(XK$25&gt;XK54,XK54,0)))))</f>
        <v>0</v>
      </c>
      <c r="XM56" s="115">
        <f>IF(SUM($D$49:XL49)=0,0,IF(IF(XM55&gt;0,XM55-(IF(SUM($D56:XL56)&gt;0,0,IF(XL$25&gt;XL54,XL54,0))),0)&lt;0,0,(IF(SUM($D56:XL56)&gt;0,0,IF(XL$25&gt;XL54,XL54,0)))))</f>
        <v>0</v>
      </c>
      <c r="XN56" s="115">
        <f>IF(SUM($D$49:XM49)=0,0,IF(IF(XN55&gt;0,XN55-(IF(SUM($D56:XM56)&gt;0,0,IF(XM$25&gt;XM54,XM54,0))),0)&lt;0,0,(IF(SUM($D56:XM56)&gt;0,0,IF(XM$25&gt;XM54,XM54,0)))))</f>
        <v>0</v>
      </c>
      <c r="XO56" s="115">
        <f>IF(SUM($D$49:XN49)=0,0,IF(IF(XO55&gt;0,XO55-(IF(SUM($D56:XN56)&gt;0,0,IF(XN$25&gt;XN54,XN54,0))),0)&lt;0,0,(IF(SUM($D56:XN56)&gt;0,0,IF(XN$25&gt;XN54,XN54,0)))))</f>
        <v>0</v>
      </c>
      <c r="XP56" s="115">
        <f>IF(SUM($D$49:XO49)=0,0,IF(IF(XP55&gt;0,XP55-(IF(SUM($D56:XO56)&gt;0,0,IF(XO$25&gt;XO54,XO54,0))),0)&lt;0,0,(IF(SUM($D56:XO56)&gt;0,0,IF(XO$25&gt;XO54,XO54,0)))))</f>
        <v>0</v>
      </c>
      <c r="XQ56" s="115">
        <f>IF(SUM($D$49:XP49)=0,0,IF(IF(XQ55&gt;0,XQ55-(IF(SUM($D56:XP56)&gt;0,0,IF(XP$25&gt;XP54,XP54,0))),0)&lt;0,0,(IF(SUM($D56:XP56)&gt;0,0,IF(XP$25&gt;XP54,XP54,0)))))</f>
        <v>0</v>
      </c>
      <c r="XR56" s="115">
        <f>IF(SUM($D$49:XQ49)=0,0,IF(IF(XR55&gt;0,XR55-(IF(SUM($D56:XQ56)&gt;0,0,IF(XQ$25&gt;XQ54,XQ54,0))),0)&lt;0,0,(IF(SUM($D56:XQ56)&gt;0,0,IF(XQ$25&gt;XQ54,XQ54,0)))))</f>
        <v>0</v>
      </c>
      <c r="XS56" s="115">
        <f>IF(SUM($D$49:XR49)=0,0,IF(IF(XS55&gt;0,XS55-(IF(SUM($D56:XR56)&gt;0,0,IF(XR$25&gt;XR54,XR54,0))),0)&lt;0,0,(IF(SUM($D56:XR56)&gt;0,0,IF(XR$25&gt;XR54,XR54,0)))))</f>
        <v>0</v>
      </c>
      <c r="XT56" s="115">
        <f>IF(SUM($D$49:XS49)=0,0,IF(IF(XT55&gt;0,XT55-(IF(SUM($D56:XS56)&gt;0,0,IF(XS$25&gt;XS54,XS54,0))),0)&lt;0,0,(IF(SUM($D56:XS56)&gt;0,0,IF(XS$25&gt;XS54,XS54,0)))))</f>
        <v>0</v>
      </c>
      <c r="XU56" s="115">
        <f>IF(SUM($D$49:XT49)=0,0,IF(IF(XU55&gt;0,XU55-(IF(SUM($D56:XT56)&gt;0,0,IF(XT$25&gt;XT54,XT54,0))),0)&lt;0,0,(IF(SUM($D56:XT56)&gt;0,0,IF(XT$25&gt;XT54,XT54,0)))))</f>
        <v>0</v>
      </c>
      <c r="XV56" s="115">
        <f>IF(SUM($D$49:XU49)=0,0,IF(IF(XV55&gt;0,XV55-(IF(SUM($D56:XU56)&gt;0,0,IF(XU$25&gt;XU54,XU54,0))),0)&lt;0,0,(IF(SUM($D56:XU56)&gt;0,0,IF(XU$25&gt;XU54,XU54,0)))))</f>
        <v>0</v>
      </c>
      <c r="XW56" s="115">
        <f>IF(SUM($D$49:XV49)=0,0,IF(IF(XW55&gt;0,XW55-(IF(SUM($D56:XV56)&gt;0,0,IF(XV$25&gt;XV54,XV54,0))),0)&lt;0,0,(IF(SUM($D56:XV56)&gt;0,0,IF(XV$25&gt;XV54,XV54,0)))))</f>
        <v>0</v>
      </c>
      <c r="XX56" s="115">
        <f>IF(SUM($D$49:XW49)=0,0,IF(IF(XX55&gt;0,XX55-(IF(SUM($D56:XW56)&gt;0,0,IF(XW$25&gt;XW54,XW54,0))),0)&lt;0,0,(IF(SUM($D56:XW56)&gt;0,0,IF(XW$25&gt;XW54,XW54,0)))))</f>
        <v>0</v>
      </c>
      <c r="XY56" s="115">
        <f>IF(SUM($D$49:XX49)=0,0,IF(IF(XY55&gt;0,XY55-(IF(SUM($D56:XX56)&gt;0,0,IF(XX$25&gt;XX54,XX54,0))),0)&lt;0,0,(IF(SUM($D56:XX56)&gt;0,0,IF(XX$25&gt;XX54,XX54,0)))))</f>
        <v>0</v>
      </c>
      <c r="XZ56" s="115">
        <f>IF(SUM($D$49:XY49)=0,0,IF(IF(XZ55&gt;0,XZ55-(IF(SUM($D56:XY56)&gt;0,0,IF(XY$25&gt;XY54,XY54,0))),0)&lt;0,0,(IF(SUM($D56:XY56)&gt;0,0,IF(XY$25&gt;XY54,XY54,0)))))</f>
        <v>0</v>
      </c>
      <c r="YA56" s="115">
        <f>IF(SUM($D$49:XZ49)=0,0,IF(IF(YA55&gt;0,YA55-(IF(SUM($D56:XZ56)&gt;0,0,IF(XZ$25&gt;XZ54,XZ54,0))),0)&lt;0,0,(IF(SUM($D56:XZ56)&gt;0,0,IF(XZ$25&gt;XZ54,XZ54,0)))))</f>
        <v>0</v>
      </c>
      <c r="YB56" s="115">
        <f>IF(SUM($D$49:YA49)=0,0,IF(IF(YB55&gt;0,YB55-(IF(SUM($D56:YA56)&gt;0,0,IF(YA$25&gt;YA54,YA54,0))),0)&lt;0,0,(IF(SUM($D56:YA56)&gt;0,0,IF(YA$25&gt;YA54,YA54,0)))))</f>
        <v>0</v>
      </c>
      <c r="YC56" s="115">
        <f>IF(SUM($D$49:YB49)=0,0,IF(IF(YC55&gt;0,YC55-(IF(SUM($D56:YB56)&gt;0,0,IF(YB$25&gt;YB54,YB54,0))),0)&lt;0,0,(IF(SUM($D56:YB56)&gt;0,0,IF(YB$25&gt;YB54,YB54,0)))))</f>
        <v>0</v>
      </c>
      <c r="YD56" s="115">
        <f>IF(SUM($D$49:YC49)=0,0,IF(IF(YD55&gt;0,YD55-(IF(SUM($D56:YC56)&gt;0,0,IF(YC$25&gt;YC54,YC54,0))),0)&lt;0,0,(IF(SUM($D56:YC56)&gt;0,0,IF(YC$25&gt;YC54,YC54,0)))))</f>
        <v>0</v>
      </c>
      <c r="YE56" s="115">
        <f>IF(SUM($D$49:YD49)=0,0,IF(IF(YE55&gt;0,YE55-(IF(SUM($D56:YD56)&gt;0,0,IF(YD$25&gt;YD54,YD54,0))),0)&lt;0,0,(IF(SUM($D56:YD56)&gt;0,0,IF(YD$25&gt;YD54,YD54,0)))))</f>
        <v>0</v>
      </c>
      <c r="YF56" s="115">
        <f>IF(SUM($D$49:YE49)=0,0,IF(IF(YF55&gt;0,YF55-(IF(SUM($D56:YE56)&gt;0,0,IF(YE$25&gt;YE54,YE54,0))),0)&lt;0,0,(IF(SUM($D56:YE56)&gt;0,0,IF(YE$25&gt;YE54,YE54,0)))))</f>
        <v>0</v>
      </c>
      <c r="YG56" s="115">
        <f>IF(SUM($D$49:YF49)=0,0,IF(IF(YG55&gt;0,YG55-(IF(SUM($D56:YF56)&gt;0,0,IF(YF$25&gt;YF54,YF54,0))),0)&lt;0,0,(IF(SUM($D56:YF56)&gt;0,0,IF(YF$25&gt;YF54,YF54,0)))))</f>
        <v>0</v>
      </c>
      <c r="YH56" s="115">
        <f>IF(SUM($D$49:YG49)=0,0,IF(IF(YH55&gt;0,YH55-(IF(SUM($D56:YG56)&gt;0,0,IF(YG$25&gt;YG54,YG54,0))),0)&lt;0,0,(IF(SUM($D56:YG56)&gt;0,0,IF(YG$25&gt;YG54,YG54,0)))))</f>
        <v>0</v>
      </c>
      <c r="YI56" s="115">
        <f>IF(SUM($D$49:YH49)=0,0,IF(IF(YI55&gt;0,YI55-(IF(SUM($D56:YH56)&gt;0,0,IF(YH$25&gt;YH54,YH54,0))),0)&lt;0,0,(IF(SUM($D56:YH56)&gt;0,0,IF(YH$25&gt;YH54,YH54,0)))))</f>
        <v>0</v>
      </c>
      <c r="YJ56" s="115">
        <f>IF(SUM($D$49:YI49)=0,0,IF(IF(YJ55&gt;0,YJ55-(IF(SUM($D56:YI56)&gt;0,0,IF(YI$25&gt;YI54,YI54,0))),0)&lt;0,0,(IF(SUM($D56:YI56)&gt;0,0,IF(YI$25&gt;YI54,YI54,0)))))</f>
        <v>0</v>
      </c>
      <c r="YK56" s="115">
        <f>IF(SUM($D$49:YJ49)=0,0,IF(IF(YK55&gt;0,YK55-(IF(SUM($D56:YJ56)&gt;0,0,IF(YJ$25&gt;YJ54,YJ54,0))),0)&lt;0,0,(IF(SUM($D56:YJ56)&gt;0,0,IF(YJ$25&gt;YJ54,YJ54,0)))))</f>
        <v>0</v>
      </c>
      <c r="YL56" s="115">
        <f>IF(SUM($D$49:YK49)=0,0,IF(IF(YL55&gt;0,YL55-(IF(SUM($D56:YK56)&gt;0,0,IF(YK$25&gt;YK54,YK54,0))),0)&lt;0,0,(IF(SUM($D56:YK56)&gt;0,0,IF(YK$25&gt;YK54,YK54,0)))))</f>
        <v>0</v>
      </c>
      <c r="YM56" s="115">
        <f>IF(SUM($D$49:YL49)=0,0,IF(IF(YM55&gt;0,YM55-(IF(SUM($D56:YL56)&gt;0,0,IF(YL$25&gt;YL54,YL54,0))),0)&lt;0,0,(IF(SUM($D56:YL56)&gt;0,0,IF(YL$25&gt;YL54,YL54,0)))))</f>
        <v>0</v>
      </c>
      <c r="YN56" s="115">
        <f>IF(SUM($D$49:YM49)=0,0,IF(IF(YN55&gt;0,YN55-(IF(SUM($D56:YM56)&gt;0,0,IF(YM$25&gt;YM54,YM54,0))),0)&lt;0,0,(IF(SUM($D56:YM56)&gt;0,0,IF(YM$25&gt;YM54,YM54,0)))))</f>
        <v>0</v>
      </c>
      <c r="YO56" s="115">
        <f>IF(SUM($D$49:YN49)=0,0,IF(IF(YO55&gt;0,YO55-(IF(SUM($D56:YN56)&gt;0,0,IF(YN$25&gt;YN54,YN54,0))),0)&lt;0,0,(IF(SUM($D56:YN56)&gt;0,0,IF(YN$25&gt;YN54,YN54,0)))))</f>
        <v>0</v>
      </c>
      <c r="YP56" s="115">
        <f>IF(SUM($D$49:YO49)=0,0,IF(IF(YP55&gt;0,YP55-(IF(SUM($D56:YO56)&gt;0,0,IF(YO$25&gt;YO54,YO54,0))),0)&lt;0,0,(IF(SUM($D56:YO56)&gt;0,0,IF(YO$25&gt;YO54,YO54,0)))))</f>
        <v>0</v>
      </c>
      <c r="YQ56" s="115">
        <f>IF(SUM($D$49:YP49)=0,0,IF(IF(YQ55&gt;0,YQ55-(IF(SUM($D56:YP56)&gt;0,0,IF(YP$25&gt;YP54,YP54,0))),0)&lt;0,0,(IF(SUM($D56:YP56)&gt;0,0,IF(YP$25&gt;YP54,YP54,0)))))</f>
        <v>0</v>
      </c>
      <c r="YR56" s="115">
        <f>IF(SUM($D$49:YQ49)=0,0,IF(IF(YR55&gt;0,YR55-(IF(SUM($D56:YQ56)&gt;0,0,IF(YQ$25&gt;YQ54,YQ54,0))),0)&lt;0,0,(IF(SUM($D56:YQ56)&gt;0,0,IF(YQ$25&gt;YQ54,YQ54,0)))))</f>
        <v>0</v>
      </c>
      <c r="YS56" s="115">
        <f>IF(SUM($D$49:YR49)=0,0,IF(IF(YS55&gt;0,YS55-(IF(SUM($D56:YR56)&gt;0,0,IF(YR$25&gt;YR54,YR54,0))),0)&lt;0,0,(IF(SUM($D56:YR56)&gt;0,0,IF(YR$25&gt;YR54,YR54,0)))))</f>
        <v>0</v>
      </c>
      <c r="YT56" s="115">
        <f>IF(SUM($D$49:YS49)=0,0,IF(IF(YT55&gt;0,YT55-(IF(SUM($D56:YS56)&gt;0,0,IF(YS$25&gt;YS54,YS54,0))),0)&lt;0,0,(IF(SUM($D56:YS56)&gt;0,0,IF(YS$25&gt;YS54,YS54,0)))))</f>
        <v>0</v>
      </c>
      <c r="YU56" s="115">
        <f>IF(SUM($D$49:YT49)=0,0,IF(IF(YU55&gt;0,YU55-(IF(SUM($D56:YT56)&gt;0,0,IF(YT$25&gt;YT54,YT54,0))),0)&lt;0,0,(IF(SUM($D56:YT56)&gt;0,0,IF(YT$25&gt;YT54,YT54,0)))))</f>
        <v>0</v>
      </c>
      <c r="YV56" s="115">
        <f>IF(SUM($D$49:YU49)=0,0,IF(IF(YV55&gt;0,YV55-(IF(SUM($D56:YU56)&gt;0,0,IF(YU$25&gt;YU54,YU54,0))),0)&lt;0,0,(IF(SUM($D56:YU56)&gt;0,0,IF(YU$25&gt;YU54,YU54,0)))))</f>
        <v>0</v>
      </c>
      <c r="YW56" s="115">
        <f>IF(SUM($D$49:YV49)=0,0,IF(IF(YW55&gt;0,YW55-(IF(SUM($D56:YV56)&gt;0,0,IF(YV$25&gt;YV54,YV54,0))),0)&lt;0,0,(IF(SUM($D56:YV56)&gt;0,0,IF(YV$25&gt;YV54,YV54,0)))))</f>
        <v>0</v>
      </c>
      <c r="YX56" s="115">
        <f>IF(SUM($D$49:YW49)=0,0,IF(IF(YX55&gt;0,YX55-(IF(SUM($D56:YW56)&gt;0,0,IF(YW$25&gt;YW54,YW54,0))),0)&lt;0,0,(IF(SUM($D56:YW56)&gt;0,0,IF(YW$25&gt;YW54,YW54,0)))))</f>
        <v>0</v>
      </c>
      <c r="YY56" s="115">
        <f>IF(SUM($D$49:YX49)=0,0,IF(IF(YY55&gt;0,YY55-(IF(SUM($D56:YX56)&gt;0,0,IF(YX$25&gt;YX54,YX54,0))),0)&lt;0,0,(IF(SUM($D56:YX56)&gt;0,0,IF(YX$25&gt;YX54,YX54,0)))))</f>
        <v>0</v>
      </c>
      <c r="YZ56" s="115">
        <f>IF(SUM($D$49:YY49)=0,0,IF(IF(YZ55&gt;0,YZ55-(IF(SUM($D56:YY56)&gt;0,0,IF(YY$25&gt;YY54,YY54,0))),0)&lt;0,0,(IF(SUM($D56:YY56)&gt;0,0,IF(YY$25&gt;YY54,YY54,0)))))</f>
        <v>0</v>
      </c>
      <c r="ZA56" s="115">
        <f>IF(SUM($D$49:YZ49)=0,0,IF(IF(ZA55&gt;0,ZA55-(IF(SUM($D56:YZ56)&gt;0,0,IF(YZ$25&gt;YZ54,YZ54,0))),0)&lt;0,0,(IF(SUM($D56:YZ56)&gt;0,0,IF(YZ$25&gt;YZ54,YZ54,0)))))</f>
        <v>0</v>
      </c>
      <c r="ZB56" s="115">
        <f>IF(SUM($D$49:ZA49)=0,0,IF(IF(ZB55&gt;0,ZB55-(IF(SUM($D56:ZA56)&gt;0,0,IF(ZA$25&gt;ZA54,ZA54,0))),0)&lt;0,0,(IF(SUM($D56:ZA56)&gt;0,0,IF(ZA$25&gt;ZA54,ZA54,0)))))</f>
        <v>0</v>
      </c>
      <c r="ZC56" s="115">
        <f>IF(SUM($D$49:ZB49)=0,0,IF(IF(ZC55&gt;0,ZC55-(IF(SUM($D56:ZB56)&gt;0,0,IF(ZB$25&gt;ZB54,ZB54,0))),0)&lt;0,0,(IF(SUM($D56:ZB56)&gt;0,0,IF(ZB$25&gt;ZB54,ZB54,0)))))</f>
        <v>0</v>
      </c>
      <c r="ZD56" s="115">
        <f>IF(SUM($D$49:ZC49)=0,0,IF(IF(ZD55&gt;0,ZD55-(IF(SUM($D56:ZC56)&gt;0,0,IF(ZC$25&gt;ZC54,ZC54,0))),0)&lt;0,0,(IF(SUM($D56:ZC56)&gt;0,0,IF(ZC$25&gt;ZC54,ZC54,0)))))</f>
        <v>0</v>
      </c>
      <c r="ZE56" s="115">
        <f>IF(SUM($D$49:ZD49)=0,0,IF(IF(ZE55&gt;0,ZE55-(IF(SUM($D56:ZD56)&gt;0,0,IF(ZD$25&gt;ZD54,ZD54,0))),0)&lt;0,0,(IF(SUM($D56:ZD56)&gt;0,0,IF(ZD$25&gt;ZD54,ZD54,0)))))</f>
        <v>0</v>
      </c>
      <c r="ZF56" s="115">
        <f>IF(SUM($D$49:ZE49)=0,0,IF(IF(ZF55&gt;0,ZF55-(IF(SUM($D56:ZE56)&gt;0,0,IF(ZE$25&gt;ZE54,ZE54,0))),0)&lt;0,0,(IF(SUM($D56:ZE56)&gt;0,0,IF(ZE$25&gt;ZE54,ZE54,0)))))</f>
        <v>0</v>
      </c>
      <c r="ZG56" s="115">
        <f>IF(SUM($D$49:ZF49)=0,0,IF(IF(ZG55&gt;0,ZG55-(IF(SUM($D56:ZF56)&gt;0,0,IF(ZF$25&gt;ZF54,ZF54,0))),0)&lt;0,0,(IF(SUM($D56:ZF56)&gt;0,0,IF(ZF$25&gt;ZF54,ZF54,0)))))</f>
        <v>0</v>
      </c>
      <c r="ZH56" s="115">
        <f>IF(SUM($D$49:ZG49)=0,0,IF(IF(ZH55&gt;0,ZH55-(IF(SUM($D56:ZG56)&gt;0,0,IF(ZG$25&gt;ZG54,ZG54,0))),0)&lt;0,0,(IF(SUM($D56:ZG56)&gt;0,0,IF(ZG$25&gt;ZG54,ZG54,0)))))</f>
        <v>0</v>
      </c>
      <c r="ZI56" s="115">
        <f>IF(SUM($D$49:ZH49)=0,0,IF(IF(ZI55&gt;0,ZI55-(IF(SUM($D56:ZH56)&gt;0,0,IF(ZH$25&gt;ZH54,ZH54,0))),0)&lt;0,0,(IF(SUM($D56:ZH56)&gt;0,0,IF(ZH$25&gt;ZH54,ZH54,0)))))</f>
        <v>0</v>
      </c>
      <c r="ZJ56" s="115">
        <f>IF(SUM($D$49:ZI49)=0,0,IF(IF(ZJ55&gt;0,ZJ55-(IF(SUM($D56:ZI56)&gt;0,0,IF(ZI$25&gt;ZI54,ZI54,0))),0)&lt;0,0,(IF(SUM($D56:ZI56)&gt;0,0,IF(ZI$25&gt;ZI54,ZI54,0)))))</f>
        <v>0</v>
      </c>
      <c r="ZK56" s="115">
        <f>IF(SUM($D$49:ZJ49)=0,0,IF(IF(ZK55&gt;0,ZK55-(IF(SUM($D56:ZJ56)&gt;0,0,IF(ZJ$25&gt;ZJ54,ZJ54,0))),0)&lt;0,0,(IF(SUM($D56:ZJ56)&gt;0,0,IF(ZJ$25&gt;ZJ54,ZJ54,0)))))</f>
        <v>0</v>
      </c>
      <c r="ZL56" s="115">
        <f>IF(SUM($D$49:ZK49)=0,0,IF(IF(ZL55&gt;0,ZL55-(IF(SUM($D56:ZK56)&gt;0,0,IF(ZK$25&gt;ZK54,ZK54,0))),0)&lt;0,0,(IF(SUM($D56:ZK56)&gt;0,0,IF(ZK$25&gt;ZK54,ZK54,0)))))</f>
        <v>0</v>
      </c>
      <c r="ZM56" s="115">
        <f>IF(SUM($D$49:ZL49)=0,0,IF(IF(ZM55&gt;0,ZM55-(IF(SUM($D56:ZL56)&gt;0,0,IF(ZL$25&gt;ZL54,ZL54,0))),0)&lt;0,0,(IF(SUM($D56:ZL56)&gt;0,0,IF(ZL$25&gt;ZL54,ZL54,0)))))</f>
        <v>0</v>
      </c>
      <c r="ZN56" s="115">
        <f>IF(SUM($D$49:ZM49)=0,0,IF(IF(ZN55&gt;0,ZN55-(IF(SUM($D56:ZM56)&gt;0,0,IF(ZM$25&gt;ZM54,ZM54,0))),0)&lt;0,0,(IF(SUM($D56:ZM56)&gt;0,0,IF(ZM$25&gt;ZM54,ZM54,0)))))</f>
        <v>0</v>
      </c>
      <c r="ZO56" s="115">
        <f>IF(SUM($D$49:ZN49)=0,0,IF(IF(ZO55&gt;0,ZO55-(IF(SUM($D56:ZN56)&gt;0,0,IF(ZN$25&gt;ZN54,ZN54,0))),0)&lt;0,0,(IF(SUM($D56:ZN56)&gt;0,0,IF(ZN$25&gt;ZN54,ZN54,0)))))</f>
        <v>0</v>
      </c>
      <c r="ZP56" s="115">
        <f>IF(SUM($D$49:ZO49)=0,0,IF(IF(ZP55&gt;0,ZP55-(IF(SUM($D56:ZO56)&gt;0,0,IF(ZO$25&gt;ZO54,ZO54,0))),0)&lt;0,0,(IF(SUM($D56:ZO56)&gt;0,0,IF(ZO$25&gt;ZO54,ZO54,0)))))</f>
        <v>0</v>
      </c>
      <c r="ZQ56" s="115">
        <f>IF(SUM($D$49:ZP49)=0,0,IF(IF(ZQ55&gt;0,ZQ55-(IF(SUM($D56:ZP56)&gt;0,0,IF(ZP$25&gt;ZP54,ZP54,0))),0)&lt;0,0,(IF(SUM($D56:ZP56)&gt;0,0,IF(ZP$25&gt;ZP54,ZP54,0)))))</f>
        <v>0</v>
      </c>
      <c r="ZR56" s="115">
        <f>IF(SUM($D$49:ZQ49)=0,0,IF(IF(ZR55&gt;0,ZR55-(IF(SUM($D56:ZQ56)&gt;0,0,IF(ZQ$25&gt;ZQ54,ZQ54,0))),0)&lt;0,0,(IF(SUM($D56:ZQ56)&gt;0,0,IF(ZQ$25&gt;ZQ54,ZQ54,0)))))</f>
        <v>0</v>
      </c>
      <c r="ZS56" s="115">
        <f>IF(SUM($D$49:ZR49)=0,0,IF(IF(ZS55&gt;0,ZS55-(IF(SUM($D56:ZR56)&gt;0,0,IF(ZR$25&gt;ZR54,ZR54,0))),0)&lt;0,0,(IF(SUM($D56:ZR56)&gt;0,0,IF(ZR$25&gt;ZR54,ZR54,0)))))</f>
        <v>0</v>
      </c>
      <c r="ZT56" s="115">
        <f>IF(SUM($D$49:ZS49)=0,0,IF(IF(ZT55&gt;0,ZT55-(IF(SUM($D56:ZS56)&gt;0,0,IF(ZS$25&gt;ZS54,ZS54,0))),0)&lt;0,0,(IF(SUM($D56:ZS56)&gt;0,0,IF(ZS$25&gt;ZS54,ZS54,0)))))</f>
        <v>0</v>
      </c>
      <c r="ZU56" s="115">
        <f>IF(SUM($D$49:ZT49)=0,0,IF(IF(ZU55&gt;0,ZU55-(IF(SUM($D56:ZT56)&gt;0,0,IF(ZT$25&gt;ZT54,ZT54,0))),0)&lt;0,0,(IF(SUM($D56:ZT56)&gt;0,0,IF(ZT$25&gt;ZT54,ZT54,0)))))</f>
        <v>0</v>
      </c>
      <c r="ZV56" s="115">
        <f>IF(SUM($D$49:ZU49)=0,0,IF(IF(ZV55&gt;0,ZV55-(IF(SUM($D56:ZU56)&gt;0,0,IF(ZU$25&gt;ZU54,ZU54,0))),0)&lt;0,0,(IF(SUM($D56:ZU56)&gt;0,0,IF(ZU$25&gt;ZU54,ZU54,0)))))</f>
        <v>0</v>
      </c>
      <c r="ZW56" s="115">
        <f>IF(SUM($D$49:ZV49)=0,0,IF(IF(ZW55&gt;0,ZW55-(IF(SUM($D56:ZV56)&gt;0,0,IF(ZV$25&gt;ZV54,ZV54,0))),0)&lt;0,0,(IF(SUM($D56:ZV56)&gt;0,0,IF(ZV$25&gt;ZV54,ZV54,0)))))</f>
        <v>0</v>
      </c>
      <c r="ZX56" s="115">
        <f>IF(SUM($D$49:ZW49)=0,0,IF(IF(ZX55&gt;0,ZX55-(IF(SUM($D56:ZW56)&gt;0,0,IF(ZW$25&gt;ZW54,ZW54,0))),0)&lt;0,0,(IF(SUM($D56:ZW56)&gt;0,0,IF(ZW$25&gt;ZW54,ZW54,0)))))</f>
        <v>0</v>
      </c>
      <c r="ZY56" s="115">
        <f>IF(SUM($D$49:ZX49)=0,0,IF(IF(ZY55&gt;0,ZY55-(IF(SUM($D56:ZX56)&gt;0,0,IF(ZX$25&gt;ZX54,ZX54,0))),0)&lt;0,0,(IF(SUM($D56:ZX56)&gt;0,0,IF(ZX$25&gt;ZX54,ZX54,0)))))</f>
        <v>0</v>
      </c>
      <c r="ZZ56" s="115">
        <f>IF(SUM($D$49:ZY49)=0,0,IF(IF(ZZ55&gt;0,ZZ55-(IF(SUM($D56:ZY56)&gt;0,0,IF(ZY$25&gt;ZY54,ZY54,0))),0)&lt;0,0,(IF(SUM($D56:ZY56)&gt;0,0,IF(ZY$25&gt;ZY54,ZY54,0)))))</f>
        <v>0</v>
      </c>
      <c r="AAA56" s="115">
        <f>IF(SUM($D$49:ZZ49)=0,0,IF(IF(AAA55&gt;0,AAA55-(IF(SUM($D56:ZZ56)&gt;0,0,IF(ZZ$25&gt;ZZ54,ZZ54,0))),0)&lt;0,0,(IF(SUM($D56:ZZ56)&gt;0,0,IF(ZZ$25&gt;ZZ54,ZZ54,0)))))</f>
        <v>0</v>
      </c>
      <c r="AAB56" s="115">
        <f>IF(SUM($D$49:AAA49)=0,0,IF(IF(AAB55&gt;0,AAB55-(IF(SUM($D56:AAA56)&gt;0,0,IF(AAA$25&gt;AAA54,AAA54,0))),0)&lt;0,0,(IF(SUM($D56:AAA56)&gt;0,0,IF(AAA$25&gt;AAA54,AAA54,0)))))</f>
        <v>0</v>
      </c>
      <c r="AAC56" s="115">
        <f>IF(SUM($D$49:AAB49)=0,0,IF(IF(AAC55&gt;0,AAC55-(IF(SUM($D56:AAB56)&gt;0,0,IF(AAB$25&gt;AAB54,AAB54,0))),0)&lt;0,0,(IF(SUM($D56:AAB56)&gt;0,0,IF(AAB$25&gt;AAB54,AAB54,0)))))</f>
        <v>0</v>
      </c>
      <c r="AAD56" s="115">
        <f>IF(SUM($D$49:AAC49)=0,0,IF(IF(AAD55&gt;0,AAD55-(IF(SUM($D56:AAC56)&gt;0,0,IF(AAC$25&gt;AAC54,AAC54,0))),0)&lt;0,0,(IF(SUM($D56:AAC56)&gt;0,0,IF(AAC$25&gt;AAC54,AAC54,0)))))</f>
        <v>0</v>
      </c>
      <c r="AAE56" s="115">
        <f>IF(SUM($D$49:AAD49)=0,0,IF(IF(AAE55&gt;0,AAE55-(IF(SUM($D56:AAD56)&gt;0,0,IF(AAD$25&gt;AAD54,AAD54,0))),0)&lt;0,0,(IF(SUM($D56:AAD56)&gt;0,0,IF(AAD$25&gt;AAD54,AAD54,0)))))</f>
        <v>0</v>
      </c>
      <c r="AAF56" s="115">
        <f>IF(SUM($D$49:AAE49)=0,0,IF(IF(AAF55&gt;0,AAF55-(IF(SUM($D56:AAE56)&gt;0,0,IF(AAE$25&gt;AAE54,AAE54,0))),0)&lt;0,0,(IF(SUM($D56:AAE56)&gt;0,0,IF(AAE$25&gt;AAE54,AAE54,0)))))</f>
        <v>0</v>
      </c>
      <c r="AAG56" s="115">
        <f>IF(SUM($D$49:AAF49)=0,0,IF(IF(AAG55&gt;0,AAG55-(IF(SUM($D56:AAF56)&gt;0,0,IF(AAF$25&gt;AAF54,AAF54,0))),0)&lt;0,0,(IF(SUM($D56:AAF56)&gt;0,0,IF(AAF$25&gt;AAF54,AAF54,0)))))</f>
        <v>0</v>
      </c>
      <c r="AAH56" s="115">
        <f>IF(SUM($D$49:AAG49)=0,0,IF(IF(AAH55&gt;0,AAH55-(IF(SUM($D56:AAG56)&gt;0,0,IF(AAG$25&gt;AAG54,AAG54,0))),0)&lt;0,0,(IF(SUM($D56:AAG56)&gt;0,0,IF(AAG$25&gt;AAG54,AAG54,0)))))</f>
        <v>0</v>
      </c>
      <c r="AAI56" s="115">
        <f>IF(SUM($D$49:AAH49)=0,0,IF(IF(AAI55&gt;0,AAI55-(IF(SUM($D56:AAH56)&gt;0,0,IF(AAH$25&gt;AAH54,AAH54,0))),0)&lt;0,0,(IF(SUM($D56:AAH56)&gt;0,0,IF(AAH$25&gt;AAH54,AAH54,0)))))</f>
        <v>0</v>
      </c>
      <c r="AAJ56" s="115">
        <f>IF(SUM($D$49:AAI49)=0,0,IF(IF(AAJ55&gt;0,AAJ55-(IF(SUM($D56:AAI56)&gt;0,0,IF(AAI$25&gt;AAI54,AAI54,0))),0)&lt;0,0,(IF(SUM($D56:AAI56)&gt;0,0,IF(AAI$25&gt;AAI54,AAI54,0)))))</f>
        <v>0</v>
      </c>
      <c r="AAK56" s="115">
        <f>IF(SUM($D$49:AAJ49)=0,0,IF(IF(AAK55&gt;0,AAK55-(IF(SUM($D56:AAJ56)&gt;0,0,IF(AAJ$25&gt;AAJ54,AAJ54,0))),0)&lt;0,0,(IF(SUM($D56:AAJ56)&gt;0,0,IF(AAJ$25&gt;AAJ54,AAJ54,0)))))</f>
        <v>0</v>
      </c>
      <c r="AAL56" s="115">
        <f>IF(SUM($D$49:AAK49)=0,0,IF(IF(AAL55&gt;0,AAL55-(IF(SUM($D56:AAK56)&gt;0,0,IF(AAK$25&gt;AAK54,AAK54,0))),0)&lt;0,0,(IF(SUM($D56:AAK56)&gt;0,0,IF(AAK$25&gt;AAK54,AAK54,0)))))</f>
        <v>0</v>
      </c>
      <c r="AAM56" s="115">
        <f>IF(SUM($D$49:AAL49)=0,0,IF(IF(AAM55&gt;0,AAM55-(IF(SUM($D56:AAL56)&gt;0,0,IF(AAL$25&gt;AAL54,AAL54,0))),0)&lt;0,0,(IF(SUM($D56:AAL56)&gt;0,0,IF(AAL$25&gt;AAL54,AAL54,0)))))</f>
        <v>0</v>
      </c>
      <c r="AAN56" s="115">
        <f>IF(SUM($D$49:AAM49)=0,0,IF(IF(AAN55&gt;0,AAN55-(IF(SUM($D56:AAM56)&gt;0,0,IF(AAM$25&gt;AAM54,AAM54,0))),0)&lt;0,0,(IF(SUM($D56:AAM56)&gt;0,0,IF(AAM$25&gt;AAM54,AAM54,0)))))</f>
        <v>0</v>
      </c>
      <c r="AAO56" s="115">
        <f>IF(SUM($D$49:AAN49)=0,0,IF(IF(AAO55&gt;0,AAO55-(IF(SUM($D56:AAN56)&gt;0,0,IF(AAN$25&gt;AAN54,AAN54,0))),0)&lt;0,0,(IF(SUM($D56:AAN56)&gt;0,0,IF(AAN$25&gt;AAN54,AAN54,0)))))</f>
        <v>0</v>
      </c>
      <c r="AAP56" s="115">
        <f>IF(SUM($D$49:AAO49)=0,0,IF(IF(AAP55&gt;0,AAP55-(IF(SUM($D56:AAO56)&gt;0,0,IF(AAO$25&gt;AAO54,AAO54,0))),0)&lt;0,0,(IF(SUM($D56:AAO56)&gt;0,0,IF(AAO$25&gt;AAO54,AAO54,0)))))</f>
        <v>0</v>
      </c>
      <c r="AAQ56" s="115">
        <f>IF(SUM($D$49:AAP49)=0,0,IF(IF(AAQ55&gt;0,AAQ55-(IF(SUM($D56:AAP56)&gt;0,0,IF(AAP$25&gt;AAP54,AAP54,0))),0)&lt;0,0,(IF(SUM($D56:AAP56)&gt;0,0,IF(AAP$25&gt;AAP54,AAP54,0)))))</f>
        <v>0</v>
      </c>
      <c r="AAR56" s="115">
        <f>IF(SUM($D$49:AAQ49)=0,0,IF(IF(AAR55&gt;0,AAR55-(IF(SUM($D56:AAQ56)&gt;0,0,IF(AAQ$25&gt;AAQ54,AAQ54,0))),0)&lt;0,0,(IF(SUM($D56:AAQ56)&gt;0,0,IF(AAQ$25&gt;AAQ54,AAQ54,0)))))</f>
        <v>0</v>
      </c>
      <c r="AAS56" s="115">
        <f>IF(SUM($D$49:AAR49)=0,0,IF(IF(AAS55&gt;0,AAS55-(IF(SUM($D56:AAR56)&gt;0,0,IF(AAR$25&gt;AAR54,AAR54,0))),0)&lt;0,0,(IF(SUM($D56:AAR56)&gt;0,0,IF(AAR$25&gt;AAR54,AAR54,0)))))</f>
        <v>0</v>
      </c>
      <c r="AAT56" s="115">
        <f>IF(SUM($D$49:AAS49)=0,0,IF(IF(AAT55&gt;0,AAT55-(IF(SUM($D56:AAS56)&gt;0,0,IF(AAS$25&gt;AAS54,AAS54,0))),0)&lt;0,0,(IF(SUM($D56:AAS56)&gt;0,0,IF(AAS$25&gt;AAS54,AAS54,0)))))</f>
        <v>0</v>
      </c>
      <c r="AAU56" s="115">
        <f>IF(SUM($D$49:AAT49)=0,0,IF(IF(AAU55&gt;0,AAU55-(IF(SUM($D56:AAT56)&gt;0,0,IF(AAT$25&gt;AAT54,AAT54,0))),0)&lt;0,0,(IF(SUM($D56:AAT56)&gt;0,0,IF(AAT$25&gt;AAT54,AAT54,0)))))</f>
        <v>0</v>
      </c>
      <c r="AAV56" s="115">
        <f>IF(SUM($D$49:AAU49)=0,0,IF(IF(AAV55&gt;0,AAV55-(IF(SUM($D56:AAU56)&gt;0,0,IF(AAU$25&gt;AAU54,AAU54,0))),0)&lt;0,0,(IF(SUM($D56:AAU56)&gt;0,0,IF(AAU$25&gt;AAU54,AAU54,0)))))</f>
        <v>0</v>
      </c>
      <c r="AAW56" s="115">
        <f>IF(SUM($D$49:AAV49)=0,0,IF(IF(AAW55&gt;0,AAW55-(IF(SUM($D56:AAV56)&gt;0,0,IF(AAV$25&gt;AAV54,AAV54,0))),0)&lt;0,0,(IF(SUM($D56:AAV56)&gt;0,0,IF(AAV$25&gt;AAV54,AAV54,0)))))</f>
        <v>0</v>
      </c>
      <c r="AAX56" s="115">
        <f>IF(SUM($D$49:AAW49)=0,0,IF(IF(AAX55&gt;0,AAX55-(IF(SUM($D56:AAW56)&gt;0,0,IF(AAW$25&gt;AAW54,AAW54,0))),0)&lt;0,0,(IF(SUM($D56:AAW56)&gt;0,0,IF(AAW$25&gt;AAW54,AAW54,0)))))</f>
        <v>0</v>
      </c>
      <c r="AAY56" s="115">
        <f>IF(SUM($D$49:AAX49)=0,0,IF(IF(AAY55&gt;0,AAY55-(IF(SUM($D56:AAX56)&gt;0,0,IF(AAX$25&gt;AAX54,AAX54,0))),0)&lt;0,0,(IF(SUM($D56:AAX56)&gt;0,0,IF(AAX$25&gt;AAX54,AAX54,0)))))</f>
        <v>0</v>
      </c>
      <c r="AAZ56" s="115">
        <f>IF(SUM($D$49:AAY49)=0,0,IF(IF(AAZ55&gt;0,AAZ55-(IF(SUM($D56:AAY56)&gt;0,0,IF(AAY$25&gt;AAY54,AAY54,0))),0)&lt;0,0,(IF(SUM($D56:AAY56)&gt;0,0,IF(AAY$25&gt;AAY54,AAY54,0)))))</f>
        <v>0</v>
      </c>
      <c r="ABA56" s="115">
        <f>IF(SUM($D$49:AAZ49)=0,0,IF(IF(ABA55&gt;0,ABA55-(IF(SUM($D56:AAZ56)&gt;0,0,IF(AAZ$25&gt;AAZ54,AAZ54,0))),0)&lt;0,0,(IF(SUM($D56:AAZ56)&gt;0,0,IF(AAZ$25&gt;AAZ54,AAZ54,0)))))</f>
        <v>0</v>
      </c>
      <c r="ABB56" s="115">
        <f>IF(SUM($D$49:ABA49)=0,0,IF(IF(ABB55&gt;0,ABB55-(IF(SUM($D56:ABA56)&gt;0,0,IF(ABA$25&gt;ABA54,ABA54,0))),0)&lt;0,0,(IF(SUM($D56:ABA56)&gt;0,0,IF(ABA$25&gt;ABA54,ABA54,0)))))</f>
        <v>0</v>
      </c>
      <c r="ABC56" s="115">
        <f>IF(SUM($D$49:ABB49)=0,0,IF(IF(ABC55&gt;0,ABC55-(IF(SUM($D56:ABB56)&gt;0,0,IF(ABB$25&gt;ABB54,ABB54,0))),0)&lt;0,0,(IF(SUM($D56:ABB56)&gt;0,0,IF(ABB$25&gt;ABB54,ABB54,0)))))</f>
        <v>0</v>
      </c>
      <c r="ABD56" s="115">
        <f>IF(SUM($D$49:ABC49)=0,0,IF(IF(ABD55&gt;0,ABD55-(IF(SUM($D56:ABC56)&gt;0,0,IF(ABC$25&gt;ABC54,ABC54,0))),0)&lt;0,0,(IF(SUM($D56:ABC56)&gt;0,0,IF(ABC$25&gt;ABC54,ABC54,0)))))</f>
        <v>0</v>
      </c>
      <c r="ABE56" s="115">
        <f>IF(SUM($D$49:ABD49)=0,0,IF(IF(ABE55&gt;0,ABE55-(IF(SUM($D56:ABD56)&gt;0,0,IF(ABD$25&gt;ABD54,ABD54,0))),0)&lt;0,0,(IF(SUM($D56:ABD56)&gt;0,0,IF(ABD$25&gt;ABD54,ABD54,0)))))</f>
        <v>0</v>
      </c>
      <c r="ABF56" s="115">
        <f>IF(SUM($D$49:ABE49)=0,0,IF(IF(ABF55&gt;0,ABF55-(IF(SUM($D56:ABE56)&gt;0,0,IF(ABE$25&gt;ABE54,ABE54,0))),0)&lt;0,0,(IF(SUM($D56:ABE56)&gt;0,0,IF(ABE$25&gt;ABE54,ABE54,0)))))</f>
        <v>0</v>
      </c>
      <c r="ABG56" s="115">
        <f>IF(SUM($D$49:ABF49)=0,0,IF(IF(ABG55&gt;0,ABG55-(IF(SUM($D56:ABF56)&gt;0,0,IF(ABF$25&gt;ABF54,ABF54,0))),0)&lt;0,0,(IF(SUM($D56:ABF56)&gt;0,0,IF(ABF$25&gt;ABF54,ABF54,0)))))</f>
        <v>0</v>
      </c>
      <c r="ABH56" s="115">
        <f>IF(SUM($D$49:ABG49)=0,0,IF(IF(ABH55&gt;0,ABH55-(IF(SUM($D56:ABG56)&gt;0,0,IF(ABG$25&gt;ABG54,ABG54,0))),0)&lt;0,0,(IF(SUM($D56:ABG56)&gt;0,0,IF(ABG$25&gt;ABG54,ABG54,0)))))</f>
        <v>0</v>
      </c>
      <c r="ABI56" s="115">
        <f>IF(SUM($D$49:ABH49)=0,0,IF(IF(ABI55&gt;0,ABI55-(IF(SUM($D56:ABH56)&gt;0,0,IF(ABH$25&gt;ABH54,ABH54,0))),0)&lt;0,0,(IF(SUM($D56:ABH56)&gt;0,0,IF(ABH$25&gt;ABH54,ABH54,0)))))</f>
        <v>0</v>
      </c>
      <c r="ABJ56" s="115">
        <f>IF(SUM($D$49:ABI49)=0,0,IF(IF(ABJ55&gt;0,ABJ55-(IF(SUM($D56:ABI56)&gt;0,0,IF(ABI$25&gt;ABI54,ABI54,0))),0)&lt;0,0,(IF(SUM($D56:ABI56)&gt;0,0,IF(ABI$25&gt;ABI54,ABI54,0)))))</f>
        <v>0</v>
      </c>
      <c r="ABK56" s="115">
        <f>IF(SUM($D$49:ABJ49)=0,0,IF(IF(ABK55&gt;0,ABK55-(IF(SUM($D56:ABJ56)&gt;0,0,IF(ABJ$25&gt;ABJ54,ABJ54,0))),0)&lt;0,0,(IF(SUM($D56:ABJ56)&gt;0,0,IF(ABJ$25&gt;ABJ54,ABJ54,0)))))</f>
        <v>0</v>
      </c>
      <c r="ABL56" s="115">
        <f>IF(SUM($D$49:ABK49)=0,0,IF(IF(ABL55&gt;0,ABL55-(IF(SUM($D56:ABK56)&gt;0,0,IF(ABK$25&gt;ABK54,ABK54,0))),0)&lt;0,0,(IF(SUM($D56:ABK56)&gt;0,0,IF(ABK$25&gt;ABK54,ABK54,0)))))</f>
        <v>0</v>
      </c>
      <c r="ABM56" s="115">
        <f>IF(SUM($D$49:ABL49)=0,0,IF(IF(ABM55&gt;0,ABM55-(IF(SUM($D56:ABL56)&gt;0,0,IF(ABL$25&gt;ABL54,ABL54,0))),0)&lt;0,0,(IF(SUM($D56:ABL56)&gt;0,0,IF(ABL$25&gt;ABL54,ABL54,0)))))</f>
        <v>0</v>
      </c>
      <c r="ABN56" s="115">
        <f>IF(SUM($D$49:ABM49)=0,0,IF(IF(ABN55&gt;0,ABN55-(IF(SUM($D56:ABM56)&gt;0,0,IF(ABM$25&gt;ABM54,ABM54,0))),0)&lt;0,0,(IF(SUM($D56:ABM56)&gt;0,0,IF(ABM$25&gt;ABM54,ABM54,0)))))</f>
        <v>0</v>
      </c>
      <c r="ABO56" s="115">
        <f>IF(SUM($D$49:ABN49)=0,0,IF(IF(ABO55&gt;0,ABO55-(IF(SUM($D56:ABN56)&gt;0,0,IF(ABN$25&gt;ABN54,ABN54,0))),0)&lt;0,0,(IF(SUM($D56:ABN56)&gt;0,0,IF(ABN$25&gt;ABN54,ABN54,0)))))</f>
        <v>0</v>
      </c>
      <c r="ABP56" s="115">
        <f>IF(SUM($D$49:ABO49)=0,0,IF(IF(ABP55&gt;0,ABP55-(IF(SUM($D56:ABO56)&gt;0,0,IF(ABO$25&gt;ABO54,ABO54,0))),0)&lt;0,0,(IF(SUM($D56:ABO56)&gt;0,0,IF(ABO$25&gt;ABO54,ABO54,0)))))</f>
        <v>0</v>
      </c>
      <c r="ABQ56" s="115">
        <f>IF(SUM($D$49:ABP49)=0,0,IF(IF(ABQ55&gt;0,ABQ55-(IF(SUM($D56:ABP56)&gt;0,0,IF(ABP$25&gt;ABP54,ABP54,0))),0)&lt;0,0,(IF(SUM($D56:ABP56)&gt;0,0,IF(ABP$25&gt;ABP54,ABP54,0)))))</f>
        <v>0</v>
      </c>
      <c r="ABR56" s="115">
        <f>IF(SUM($D$49:ABQ49)=0,0,IF(IF(ABR55&gt;0,ABR55-(IF(SUM($D56:ABQ56)&gt;0,0,IF(ABQ$25&gt;ABQ54,ABQ54,0))),0)&lt;0,0,(IF(SUM($D56:ABQ56)&gt;0,0,IF(ABQ$25&gt;ABQ54,ABQ54,0)))))</f>
        <v>0</v>
      </c>
      <c r="ABS56" s="115">
        <f>IF(SUM($D$49:ABR49)=0,0,IF(IF(ABS55&gt;0,ABS55-(IF(SUM($D56:ABR56)&gt;0,0,IF(ABR$25&gt;ABR54,ABR54,0))),0)&lt;0,0,(IF(SUM($D56:ABR56)&gt;0,0,IF(ABR$25&gt;ABR54,ABR54,0)))))</f>
        <v>0</v>
      </c>
      <c r="ABT56" s="115">
        <f>IF(SUM($D$49:ABS49)=0,0,IF(IF(ABT55&gt;0,ABT55-(IF(SUM($D56:ABS56)&gt;0,0,IF(ABS$25&gt;ABS54,ABS54,0))),0)&lt;0,0,(IF(SUM($D56:ABS56)&gt;0,0,IF(ABS$25&gt;ABS54,ABS54,0)))))</f>
        <v>0</v>
      </c>
      <c r="ABU56" s="115">
        <f>IF(SUM($D$49:ABT49)=0,0,IF(IF(ABU55&gt;0,ABU55-(IF(SUM($D56:ABT56)&gt;0,0,IF(ABT$25&gt;ABT54,ABT54,0))),0)&lt;0,0,(IF(SUM($D56:ABT56)&gt;0,0,IF(ABT$25&gt;ABT54,ABT54,0)))))</f>
        <v>0</v>
      </c>
      <c r="ABV56" s="115">
        <f>IF(SUM($D$49:ABU49)=0,0,IF(IF(ABV55&gt;0,ABV55-(IF(SUM($D56:ABU56)&gt;0,0,IF(ABU$25&gt;ABU54,ABU54,0))),0)&lt;0,0,(IF(SUM($D56:ABU56)&gt;0,0,IF(ABU$25&gt;ABU54,ABU54,0)))))</f>
        <v>0</v>
      </c>
      <c r="ABW56" s="115">
        <f>IF(SUM($D$49:ABV49)=0,0,IF(IF(ABW55&gt;0,ABW55-(IF(SUM($D56:ABV56)&gt;0,0,IF(ABV$25&gt;ABV54,ABV54,0))),0)&lt;0,0,(IF(SUM($D56:ABV56)&gt;0,0,IF(ABV$25&gt;ABV54,ABV54,0)))))</f>
        <v>0</v>
      </c>
      <c r="ABX56" s="115">
        <f>IF(SUM($D$49:ABW49)=0,0,IF(IF(ABX55&gt;0,ABX55-(IF(SUM($D56:ABW56)&gt;0,0,IF(ABW$25&gt;ABW54,ABW54,0))),0)&lt;0,0,(IF(SUM($D56:ABW56)&gt;0,0,IF(ABW$25&gt;ABW54,ABW54,0)))))</f>
        <v>0</v>
      </c>
      <c r="ABY56" s="115">
        <f>IF(SUM($D$49:ABX49)=0,0,IF(IF(ABY55&gt;0,ABY55-(IF(SUM($D56:ABX56)&gt;0,0,IF(ABX$25&gt;ABX54,ABX54,0))),0)&lt;0,0,(IF(SUM($D56:ABX56)&gt;0,0,IF(ABX$25&gt;ABX54,ABX54,0)))))</f>
        <v>0</v>
      </c>
      <c r="ABZ56" s="115">
        <f>IF(SUM($D$49:ABY49)=0,0,IF(IF(ABZ55&gt;0,ABZ55-(IF(SUM($D56:ABY56)&gt;0,0,IF(ABY$25&gt;ABY54,ABY54,0))),0)&lt;0,0,(IF(SUM($D56:ABY56)&gt;0,0,IF(ABY$25&gt;ABY54,ABY54,0)))))</f>
        <v>0</v>
      </c>
      <c r="ACA56" s="115">
        <f>IF(SUM($D$49:ABZ49)=0,0,IF(IF(ACA55&gt;0,ACA55-(IF(SUM($D56:ABZ56)&gt;0,0,IF(ABZ$25&gt;ABZ54,ABZ54,0))),0)&lt;0,0,(IF(SUM($D56:ABZ56)&gt;0,0,IF(ABZ$25&gt;ABZ54,ABZ54,0)))))</f>
        <v>0</v>
      </c>
      <c r="ACB56" s="115">
        <f>IF(SUM($D$49:ACA49)=0,0,IF(IF(ACB55&gt;0,ACB55-(IF(SUM($D56:ACA56)&gt;0,0,IF(ACA$25&gt;ACA54,ACA54,0))),0)&lt;0,0,(IF(SUM($D56:ACA56)&gt;0,0,IF(ACA$25&gt;ACA54,ACA54,0)))))</f>
        <v>0</v>
      </c>
      <c r="ACC56" s="115">
        <f>IF(SUM($D$49:ACB49)=0,0,IF(IF(ACC55&gt;0,ACC55-(IF(SUM($D56:ACB56)&gt;0,0,IF(ACB$25&gt;ACB54,ACB54,0))),0)&lt;0,0,(IF(SUM($D56:ACB56)&gt;0,0,IF(ACB$25&gt;ACB54,ACB54,0)))))</f>
        <v>0</v>
      </c>
      <c r="ACD56" s="115">
        <f>IF(SUM($D$49:ACC49)=0,0,IF(IF(ACD55&gt;0,ACD55-(IF(SUM($D56:ACC56)&gt;0,0,IF(ACC$25&gt;ACC54,ACC54,0))),0)&lt;0,0,(IF(SUM($D56:ACC56)&gt;0,0,IF(ACC$25&gt;ACC54,ACC54,0)))))</f>
        <v>0</v>
      </c>
      <c r="ACE56" s="115">
        <f>IF(SUM($D$49:ACD49)=0,0,IF(IF(ACE55&gt;0,ACE55-(IF(SUM($D56:ACD56)&gt;0,0,IF(ACD$25&gt;ACD54,ACD54,0))),0)&lt;0,0,(IF(SUM($D56:ACD56)&gt;0,0,IF(ACD$25&gt;ACD54,ACD54,0)))))</f>
        <v>0</v>
      </c>
      <c r="ACF56" s="115">
        <f>IF(SUM($D$49:ACE49)=0,0,IF(IF(ACF55&gt;0,ACF55-(IF(SUM($D56:ACE56)&gt;0,0,IF(ACE$25&gt;ACE54,ACE54,0))),0)&lt;0,0,(IF(SUM($D56:ACE56)&gt;0,0,IF(ACE$25&gt;ACE54,ACE54,0)))))</f>
        <v>0</v>
      </c>
      <c r="ACG56" s="115">
        <f>IF(SUM($D$49:ACF49)=0,0,IF(IF(ACG55&gt;0,ACG55-(IF(SUM($D56:ACF56)&gt;0,0,IF(ACF$25&gt;ACF54,ACF54,0))),0)&lt;0,0,(IF(SUM($D56:ACF56)&gt;0,0,IF(ACF$25&gt;ACF54,ACF54,0)))))</f>
        <v>0</v>
      </c>
      <c r="ACH56" s="115">
        <f>IF(SUM($D$49:ACG49)=0,0,IF(IF(ACH55&gt;0,ACH55-(IF(SUM($D56:ACG56)&gt;0,0,IF(ACG$25&gt;ACG54,ACG54,0))),0)&lt;0,0,(IF(SUM($D56:ACG56)&gt;0,0,IF(ACG$25&gt;ACG54,ACG54,0)))))</f>
        <v>0</v>
      </c>
      <c r="ACI56" s="115">
        <f>IF(SUM($D$49:ACH49)=0,0,IF(IF(ACI55&gt;0,ACI55-(IF(SUM($D56:ACH56)&gt;0,0,IF(ACH$25&gt;ACH54,ACH54,0))),0)&lt;0,0,(IF(SUM($D56:ACH56)&gt;0,0,IF(ACH$25&gt;ACH54,ACH54,0)))))</f>
        <v>0</v>
      </c>
      <c r="ACJ56" s="115">
        <f>IF(SUM($D$49:ACI49)=0,0,IF(IF(ACJ55&gt;0,ACJ55-(IF(SUM($D56:ACI56)&gt;0,0,IF(ACI$25&gt;ACI54,ACI54,0))),0)&lt;0,0,(IF(SUM($D56:ACI56)&gt;0,0,IF(ACI$25&gt;ACI54,ACI54,0)))))</f>
        <v>0</v>
      </c>
      <c r="ACK56" s="115">
        <f>IF(SUM($D$49:ACJ49)=0,0,IF(IF(ACK55&gt;0,ACK55-(IF(SUM($D56:ACJ56)&gt;0,0,IF(ACJ$25&gt;ACJ54,ACJ54,0))),0)&lt;0,0,(IF(SUM($D56:ACJ56)&gt;0,0,IF(ACJ$25&gt;ACJ54,ACJ54,0)))))</f>
        <v>0</v>
      </c>
      <c r="ACL56" s="115">
        <f>IF(SUM($D$49:ACK49)=0,0,IF(IF(ACL55&gt;0,ACL55-(IF(SUM($D56:ACK56)&gt;0,0,IF(ACK$25&gt;ACK54,ACK54,0))),0)&lt;0,0,(IF(SUM($D56:ACK56)&gt;0,0,IF(ACK$25&gt;ACK54,ACK54,0)))))</f>
        <v>0</v>
      </c>
      <c r="ACM56" s="115">
        <f>IF(SUM($D$49:ACL49)=0,0,IF(IF(ACM55&gt;0,ACM55-(IF(SUM($D56:ACL56)&gt;0,0,IF(ACL$25&gt;ACL54,ACL54,0))),0)&lt;0,0,(IF(SUM($D56:ACL56)&gt;0,0,IF(ACL$25&gt;ACL54,ACL54,0)))))</f>
        <v>0</v>
      </c>
      <c r="ACN56" s="115">
        <f>IF(SUM($D$49:ACM49)=0,0,IF(IF(ACN55&gt;0,ACN55-(IF(SUM($D56:ACM56)&gt;0,0,IF(ACM$25&gt;ACM54,ACM54,0))),0)&lt;0,0,(IF(SUM($D56:ACM56)&gt;0,0,IF(ACM$25&gt;ACM54,ACM54,0)))))</f>
        <v>0</v>
      </c>
      <c r="ACO56" s="115">
        <f>IF(SUM($D$49:ACN49)=0,0,IF(IF(ACO55&gt;0,ACO55-(IF(SUM($D56:ACN56)&gt;0,0,IF(ACN$25&gt;ACN54,ACN54,0))),0)&lt;0,0,(IF(SUM($D56:ACN56)&gt;0,0,IF(ACN$25&gt;ACN54,ACN54,0)))))</f>
        <v>0</v>
      </c>
      <c r="ACP56" s="115">
        <f>IF(SUM($D$49:ACO49)=0,0,IF(IF(ACP55&gt;0,ACP55-(IF(SUM($D56:ACO56)&gt;0,0,IF(ACO$25&gt;ACO54,ACO54,0))),0)&lt;0,0,(IF(SUM($D56:ACO56)&gt;0,0,IF(ACO$25&gt;ACO54,ACO54,0)))))</f>
        <v>0</v>
      </c>
      <c r="ACQ56" s="115">
        <f>IF(SUM($D$49:ACP49)=0,0,IF(IF(ACQ55&gt;0,ACQ55-(IF(SUM($D56:ACP56)&gt;0,0,IF(ACP$25&gt;ACP54,ACP54,0))),0)&lt;0,0,(IF(SUM($D56:ACP56)&gt;0,0,IF(ACP$25&gt;ACP54,ACP54,0)))))</f>
        <v>0</v>
      </c>
      <c r="ACR56" s="115">
        <f>IF(SUM($D$49:ACQ49)=0,0,IF(IF(ACR55&gt;0,ACR55-(IF(SUM($D56:ACQ56)&gt;0,0,IF(ACQ$25&gt;ACQ54,ACQ54,0))),0)&lt;0,0,(IF(SUM($D56:ACQ56)&gt;0,0,IF(ACQ$25&gt;ACQ54,ACQ54,0)))))</f>
        <v>0</v>
      </c>
      <c r="ACS56" s="115">
        <f>IF(SUM($D$49:ACR49)=0,0,IF(IF(ACS55&gt;0,ACS55-(IF(SUM($D56:ACR56)&gt;0,0,IF(ACR$25&gt;ACR54,ACR54,0))),0)&lt;0,0,(IF(SUM($D56:ACR56)&gt;0,0,IF(ACR$25&gt;ACR54,ACR54,0)))))</f>
        <v>0</v>
      </c>
      <c r="ACT56" s="115">
        <f>IF(SUM($D$49:ACS49)=0,0,IF(IF(ACT55&gt;0,ACT55-(IF(SUM($D56:ACS56)&gt;0,0,IF(ACS$25&gt;ACS54,ACS54,0))),0)&lt;0,0,(IF(SUM($D56:ACS56)&gt;0,0,IF(ACS$25&gt;ACS54,ACS54,0)))))</f>
        <v>0</v>
      </c>
      <c r="ACU56" s="115">
        <f>IF(SUM($D$49:ACT49)=0,0,IF(IF(ACU55&gt;0,ACU55-(IF(SUM($D56:ACT56)&gt;0,0,IF(ACT$25&gt;ACT54,ACT54,0))),0)&lt;0,0,(IF(SUM($D56:ACT56)&gt;0,0,IF(ACT$25&gt;ACT54,ACT54,0)))))</f>
        <v>0</v>
      </c>
      <c r="ACV56" s="115">
        <f>IF(SUM($D$49:ACU49)=0,0,IF(IF(ACV55&gt;0,ACV55-(IF(SUM($D56:ACU56)&gt;0,0,IF(ACU$25&gt;ACU54,ACU54,0))),0)&lt;0,0,(IF(SUM($D56:ACU56)&gt;0,0,IF(ACU$25&gt;ACU54,ACU54,0)))))</f>
        <v>0</v>
      </c>
      <c r="ACW56" s="115">
        <f>IF(SUM($D$49:ACV49)=0,0,IF(IF(ACW55&gt;0,ACW55-(IF(SUM($D56:ACV56)&gt;0,0,IF(ACV$25&gt;ACV54,ACV54,0))),0)&lt;0,0,(IF(SUM($D56:ACV56)&gt;0,0,IF(ACV$25&gt;ACV54,ACV54,0)))))</f>
        <v>0</v>
      </c>
      <c r="ACX56" s="115">
        <f>IF(SUM($D$49:ACW49)=0,0,IF(IF(ACX55&gt;0,ACX55-(IF(SUM($D56:ACW56)&gt;0,0,IF(ACW$25&gt;ACW54,ACW54,0))),0)&lt;0,0,(IF(SUM($D56:ACW56)&gt;0,0,IF(ACW$25&gt;ACW54,ACW54,0)))))</f>
        <v>0</v>
      </c>
      <c r="ACY56" s="115">
        <f>IF(SUM($D$49:ACX49)=0,0,IF(IF(ACY55&gt;0,ACY55-(IF(SUM($D56:ACX56)&gt;0,0,IF(ACX$25&gt;ACX54,ACX54,0))),0)&lt;0,0,(IF(SUM($D56:ACX56)&gt;0,0,IF(ACX$25&gt;ACX54,ACX54,0)))))</f>
        <v>0</v>
      </c>
      <c r="ACZ56" s="115">
        <f>IF(SUM($D$49:ACY49)=0,0,IF(IF(ACZ55&gt;0,ACZ55-(IF(SUM($D56:ACY56)&gt;0,0,IF(ACY$25&gt;ACY54,ACY54,0))),0)&lt;0,0,(IF(SUM($D56:ACY56)&gt;0,0,IF(ACY$25&gt;ACY54,ACY54,0)))))</f>
        <v>0</v>
      </c>
      <c r="ADA56" s="115">
        <f>IF(SUM($D$49:ACZ49)=0,0,IF(IF(ADA55&gt;0,ADA55-(IF(SUM($D56:ACZ56)&gt;0,0,IF(ACZ$25&gt;ACZ54,ACZ54,0))),0)&lt;0,0,(IF(SUM($D56:ACZ56)&gt;0,0,IF(ACZ$25&gt;ACZ54,ACZ54,0)))))</f>
        <v>0</v>
      </c>
      <c r="ADB56" s="115">
        <f>IF(SUM($D$49:ADA49)=0,0,IF(IF(ADB55&gt;0,ADB55-(IF(SUM($D56:ADA56)&gt;0,0,IF(ADA$25&gt;ADA54,ADA54,0))),0)&lt;0,0,(IF(SUM($D56:ADA56)&gt;0,0,IF(ADA$25&gt;ADA54,ADA54,0)))))</f>
        <v>0</v>
      </c>
      <c r="ADC56" s="115">
        <f>IF(SUM($D$49:ADB49)=0,0,IF(IF(ADC55&gt;0,ADC55-(IF(SUM($D56:ADB56)&gt;0,0,IF(ADB$25&gt;ADB54,ADB54,0))),0)&lt;0,0,(IF(SUM($D56:ADB56)&gt;0,0,IF(ADB$25&gt;ADB54,ADB54,0)))))</f>
        <v>0</v>
      </c>
      <c r="ADD56" s="115">
        <f>IF(SUM($D$49:ADC49)=0,0,IF(IF(ADD55&gt;0,ADD55-(IF(SUM($D56:ADC56)&gt;0,0,IF(ADC$25&gt;ADC54,ADC54,0))),0)&lt;0,0,(IF(SUM($D56:ADC56)&gt;0,0,IF(ADC$25&gt;ADC54,ADC54,0)))))</f>
        <v>0</v>
      </c>
      <c r="ADE56" s="115">
        <f>IF(SUM($D$49:ADD49)=0,0,IF(IF(ADE55&gt;0,ADE55-(IF(SUM($D56:ADD56)&gt;0,0,IF(ADD$25&gt;ADD54,ADD54,0))),0)&lt;0,0,(IF(SUM($D56:ADD56)&gt;0,0,IF(ADD$25&gt;ADD54,ADD54,0)))))</f>
        <v>0</v>
      </c>
      <c r="ADF56" s="115">
        <f>IF(SUM($D$49:ADE49)=0,0,IF(IF(ADF55&gt;0,ADF55-(IF(SUM($D56:ADE56)&gt;0,0,IF(ADE$25&gt;ADE54,ADE54,0))),0)&lt;0,0,(IF(SUM($D56:ADE56)&gt;0,0,IF(ADE$25&gt;ADE54,ADE54,0)))))</f>
        <v>0</v>
      </c>
      <c r="ADG56" s="115">
        <f>IF(SUM($D$49:ADF49)=0,0,IF(IF(ADG55&gt;0,ADG55-(IF(SUM($D56:ADF56)&gt;0,0,IF(ADF$25&gt;ADF54,ADF54,0))),0)&lt;0,0,(IF(SUM($D56:ADF56)&gt;0,0,IF(ADF$25&gt;ADF54,ADF54,0)))))</f>
        <v>0</v>
      </c>
      <c r="ADH56" s="115">
        <f>IF(SUM($D$49:ADG49)=0,0,IF(IF(ADH55&gt;0,ADH55-(IF(SUM($D56:ADG56)&gt;0,0,IF(ADG$25&gt;ADG54,ADG54,0))),0)&lt;0,0,(IF(SUM($D56:ADG56)&gt;0,0,IF(ADG$25&gt;ADG54,ADG54,0)))))</f>
        <v>0</v>
      </c>
      <c r="ADI56" s="115">
        <f>IF(SUM($D$49:ADH49)=0,0,IF(IF(ADI55&gt;0,ADI55-(IF(SUM($D56:ADH56)&gt;0,0,IF(ADH$25&gt;ADH54,ADH54,0))),0)&lt;0,0,(IF(SUM($D56:ADH56)&gt;0,0,IF(ADH$25&gt;ADH54,ADH54,0)))))</f>
        <v>0</v>
      </c>
      <c r="ADJ56" s="115">
        <f>IF(SUM($D$49:ADI49)=0,0,IF(IF(ADJ55&gt;0,ADJ55-(IF(SUM($D56:ADI56)&gt;0,0,IF(ADI$25&gt;ADI54,ADI54,0))),0)&lt;0,0,(IF(SUM($D56:ADI56)&gt;0,0,IF(ADI$25&gt;ADI54,ADI54,0)))))</f>
        <v>0</v>
      </c>
      <c r="ADK56" s="115">
        <f>IF(SUM($D$49:ADJ49)=0,0,IF(IF(ADK55&gt;0,ADK55-(IF(SUM($D56:ADJ56)&gt;0,0,IF(ADJ$25&gt;ADJ54,ADJ54,0))),0)&lt;0,0,(IF(SUM($D56:ADJ56)&gt;0,0,IF(ADJ$25&gt;ADJ54,ADJ54,0)))))</f>
        <v>0</v>
      </c>
      <c r="ADL56" s="115">
        <f>IF(SUM($D$49:ADK49)=0,0,IF(IF(ADL55&gt;0,ADL55-(IF(SUM($D56:ADK56)&gt;0,0,IF(ADK$25&gt;ADK54,ADK54,0))),0)&lt;0,0,(IF(SUM($D56:ADK56)&gt;0,0,IF(ADK$25&gt;ADK54,ADK54,0)))))</f>
        <v>0</v>
      </c>
      <c r="ADM56" s="115">
        <f>IF(SUM($D$49:ADL49)=0,0,IF(IF(ADM55&gt;0,ADM55-(IF(SUM($D56:ADL56)&gt;0,0,IF(ADL$25&gt;ADL54,ADL54,0))),0)&lt;0,0,(IF(SUM($D56:ADL56)&gt;0,0,IF(ADL$25&gt;ADL54,ADL54,0)))))</f>
        <v>0</v>
      </c>
      <c r="ADN56" s="115">
        <f>IF(SUM($D$49:ADM49)=0,0,IF(IF(ADN55&gt;0,ADN55-(IF(SUM($D56:ADM56)&gt;0,0,IF(ADM$25&gt;ADM54,ADM54,0))),0)&lt;0,0,(IF(SUM($D56:ADM56)&gt;0,0,IF(ADM$25&gt;ADM54,ADM54,0)))))</f>
        <v>0</v>
      </c>
      <c r="ADO56" s="115">
        <f>IF(SUM($D$49:ADN49)=0,0,IF(IF(ADO55&gt;0,ADO55-(IF(SUM($D56:ADN56)&gt;0,0,IF(ADN$25&gt;ADN54,ADN54,0))),0)&lt;0,0,(IF(SUM($D56:ADN56)&gt;0,0,IF(ADN$25&gt;ADN54,ADN54,0)))))</f>
        <v>0</v>
      </c>
      <c r="ADP56" s="115">
        <f>IF(SUM($D$49:ADO49)=0,0,IF(IF(ADP55&gt;0,ADP55-(IF(SUM($D56:ADO56)&gt;0,0,IF(ADO$25&gt;ADO54,ADO54,0))),0)&lt;0,0,(IF(SUM($D56:ADO56)&gt;0,0,IF(ADO$25&gt;ADO54,ADO54,0)))))</f>
        <v>0</v>
      </c>
      <c r="ADQ56" s="115">
        <f>IF(SUM($D$49:ADP49)=0,0,IF(IF(ADQ55&gt;0,ADQ55-(IF(SUM($D56:ADP56)&gt;0,0,IF(ADP$25&gt;ADP54,ADP54,0))),0)&lt;0,0,(IF(SUM($D56:ADP56)&gt;0,0,IF(ADP$25&gt;ADP54,ADP54,0)))))</f>
        <v>0</v>
      </c>
      <c r="ADR56" s="115">
        <f>IF(SUM($D$49:ADQ49)=0,0,IF(IF(ADR55&gt;0,ADR55-(IF(SUM($D56:ADQ56)&gt;0,0,IF(ADQ$25&gt;ADQ54,ADQ54,0))),0)&lt;0,0,(IF(SUM($D56:ADQ56)&gt;0,0,IF(ADQ$25&gt;ADQ54,ADQ54,0)))))</f>
        <v>0</v>
      </c>
      <c r="ADS56" s="115">
        <f>IF(SUM($D$49:ADR49)=0,0,IF(IF(ADS55&gt;0,ADS55-(IF(SUM($D56:ADR56)&gt;0,0,IF(ADR$25&gt;ADR54,ADR54,0))),0)&lt;0,0,(IF(SUM($D56:ADR56)&gt;0,0,IF(ADR$25&gt;ADR54,ADR54,0)))))</f>
        <v>0</v>
      </c>
      <c r="ADT56" s="115">
        <f>IF(SUM($D$49:ADS49)=0,0,IF(IF(ADT55&gt;0,ADT55-(IF(SUM($D56:ADS56)&gt;0,0,IF(ADS$25&gt;ADS54,ADS54,0))),0)&lt;0,0,(IF(SUM($D56:ADS56)&gt;0,0,IF(ADS$25&gt;ADS54,ADS54,0)))))</f>
        <v>0</v>
      </c>
      <c r="ADU56" s="115">
        <f>IF(SUM($D$49:ADT49)=0,0,IF(IF(ADU55&gt;0,ADU55-(IF(SUM($D56:ADT56)&gt;0,0,IF(ADT$25&gt;ADT54,ADT54,0))),0)&lt;0,0,(IF(SUM($D56:ADT56)&gt;0,0,IF(ADT$25&gt;ADT54,ADT54,0)))))</f>
        <v>0</v>
      </c>
      <c r="ADV56" s="115">
        <f>IF(SUM($D$49:ADU49)=0,0,IF(IF(ADV55&gt;0,ADV55-(IF(SUM($D56:ADU56)&gt;0,0,IF(ADU$25&gt;ADU54,ADU54,0))),0)&lt;0,0,(IF(SUM($D56:ADU56)&gt;0,0,IF(ADU$25&gt;ADU54,ADU54,0)))))</f>
        <v>0</v>
      </c>
      <c r="ADW56" s="115">
        <f>IF(SUM($D$49:ADV49)=0,0,IF(IF(ADW55&gt;0,ADW55-(IF(SUM($D56:ADV56)&gt;0,0,IF(ADV$25&gt;ADV54,ADV54,0))),0)&lt;0,0,(IF(SUM($D56:ADV56)&gt;0,0,IF(ADV$25&gt;ADV54,ADV54,0)))))</f>
        <v>0</v>
      </c>
      <c r="ADX56" s="115">
        <f>IF(SUM($D$49:ADW49)=0,0,IF(IF(ADX55&gt;0,ADX55-(IF(SUM($D56:ADW56)&gt;0,0,IF(ADW$25&gt;ADW54,ADW54,0))),0)&lt;0,0,(IF(SUM($D56:ADW56)&gt;0,0,IF(ADW$25&gt;ADW54,ADW54,0)))))</f>
        <v>0</v>
      </c>
      <c r="ADY56" s="115">
        <f>IF(SUM($D$49:ADX49)=0,0,IF(IF(ADY55&gt;0,ADY55-(IF(SUM($D56:ADX56)&gt;0,0,IF(ADX$25&gt;ADX54,ADX54,0))),0)&lt;0,0,(IF(SUM($D56:ADX56)&gt;0,0,IF(ADX$25&gt;ADX54,ADX54,0)))))</f>
        <v>0</v>
      </c>
      <c r="ADZ56" s="115">
        <f>IF(SUM($D$49:ADY49)=0,0,IF(IF(ADZ55&gt;0,ADZ55-(IF(SUM($D56:ADY56)&gt;0,0,IF(ADY$25&gt;ADY54,ADY54,0))),0)&lt;0,0,(IF(SUM($D56:ADY56)&gt;0,0,IF(ADY$25&gt;ADY54,ADY54,0)))))</f>
        <v>0</v>
      </c>
      <c r="AEA56" s="115">
        <f>IF(SUM($D$49:ADZ49)=0,0,IF(IF(AEA55&gt;0,AEA55-(IF(SUM($D56:ADZ56)&gt;0,0,IF(ADZ$25&gt;ADZ54,ADZ54,0))),0)&lt;0,0,(IF(SUM($D56:ADZ56)&gt;0,0,IF(ADZ$25&gt;ADZ54,ADZ54,0)))))</f>
        <v>0</v>
      </c>
      <c r="AEB56" s="115">
        <f>IF(SUM($D$49:AEA49)=0,0,IF(IF(AEB55&gt;0,AEB55-(IF(SUM($D56:AEA56)&gt;0,0,IF(AEA$25&gt;AEA54,AEA54,0))),0)&lt;0,0,(IF(SUM($D56:AEA56)&gt;0,0,IF(AEA$25&gt;AEA54,AEA54,0)))))</f>
        <v>0</v>
      </c>
      <c r="AEC56" s="115">
        <f>IF(SUM($D$49:AEB49)=0,0,IF(IF(AEC55&gt;0,AEC55-(IF(SUM($D56:AEB56)&gt;0,0,IF(AEB$25&gt;AEB54,AEB54,0))),0)&lt;0,0,(IF(SUM($D56:AEB56)&gt;0,0,IF(AEB$25&gt;AEB54,AEB54,0)))))</f>
        <v>0</v>
      </c>
      <c r="AED56" s="115">
        <f>IF(SUM($D$49:AEC49)=0,0,IF(IF(AED55&gt;0,AED55-(IF(SUM($D56:AEC56)&gt;0,0,IF(AEC$25&gt;AEC54,AEC54,0))),0)&lt;0,0,(IF(SUM($D56:AEC56)&gt;0,0,IF(AEC$25&gt;AEC54,AEC54,0)))))</f>
        <v>0</v>
      </c>
      <c r="AEE56" s="115">
        <f>IF(SUM($D$49:AED49)=0,0,IF(IF(AEE55&gt;0,AEE55-(IF(SUM($D56:AED56)&gt;0,0,IF(AED$25&gt;AED54,AED54,0))),0)&lt;0,0,(IF(SUM($D56:AED56)&gt;0,0,IF(AED$25&gt;AED54,AED54,0)))))</f>
        <v>0</v>
      </c>
      <c r="AEF56" s="115">
        <f>IF(SUM($D$49:AEE49)=0,0,IF(IF(AEF55&gt;0,AEF55-(IF(SUM($D56:AEE56)&gt;0,0,IF(AEE$25&gt;AEE54,AEE54,0))),0)&lt;0,0,(IF(SUM($D56:AEE56)&gt;0,0,IF(AEE$25&gt;AEE54,AEE54,0)))))</f>
        <v>0</v>
      </c>
      <c r="AEG56" s="115">
        <f>IF(SUM($D$49:AEF49)=0,0,IF(IF(AEG55&gt;0,AEG55-(IF(SUM($D56:AEF56)&gt;0,0,IF(AEF$25&gt;AEF54,AEF54,0))),0)&lt;0,0,(IF(SUM($D56:AEF56)&gt;0,0,IF(AEF$25&gt;AEF54,AEF54,0)))))</f>
        <v>0</v>
      </c>
      <c r="AEH56" s="115">
        <f>IF(SUM($D$49:AEG49)=0,0,IF(IF(AEH55&gt;0,AEH55-(IF(SUM($D56:AEG56)&gt;0,0,IF(AEG$25&gt;AEG54,AEG54,0))),0)&lt;0,0,(IF(SUM($D56:AEG56)&gt;0,0,IF(AEG$25&gt;AEG54,AEG54,0)))))</f>
        <v>0</v>
      </c>
      <c r="AEI56" s="115">
        <f>IF(SUM($D$49:AEH49)=0,0,IF(IF(AEI55&gt;0,AEI55-(IF(SUM($D56:AEH56)&gt;0,0,IF(AEH$25&gt;AEH54,AEH54,0))),0)&lt;0,0,(IF(SUM($D56:AEH56)&gt;0,0,IF(AEH$25&gt;AEH54,AEH54,0)))))</f>
        <v>0</v>
      </c>
      <c r="AEJ56" s="115">
        <f>IF(SUM($D$49:AEI49)=0,0,IF(IF(AEJ55&gt;0,AEJ55-(IF(SUM($D56:AEI56)&gt;0,0,IF(AEI$25&gt;AEI54,AEI54,0))),0)&lt;0,0,(IF(SUM($D56:AEI56)&gt;0,0,IF(AEI$25&gt;AEI54,AEI54,0)))))</f>
        <v>0</v>
      </c>
      <c r="AEK56" s="115">
        <f>IF(SUM($D$49:AEJ49)=0,0,IF(IF(AEK55&gt;0,AEK55-(IF(SUM($D56:AEJ56)&gt;0,0,IF(AEJ$25&gt;AEJ54,AEJ54,0))),0)&lt;0,0,(IF(SUM($D56:AEJ56)&gt;0,0,IF(AEJ$25&gt;AEJ54,AEJ54,0)))))</f>
        <v>0</v>
      </c>
      <c r="AEL56" s="115">
        <f>IF(SUM($D$49:AEK49)=0,0,IF(IF(AEL55&gt;0,AEL55-(IF(SUM($D56:AEK56)&gt;0,0,IF(AEK$25&gt;AEK54,AEK54,0))),0)&lt;0,0,(IF(SUM($D56:AEK56)&gt;0,0,IF(AEK$25&gt;AEK54,AEK54,0)))))</f>
        <v>0</v>
      </c>
      <c r="AEM56" s="115">
        <f>IF(SUM($D$49:AEL49)=0,0,IF(IF(AEM55&gt;0,AEM55-(IF(SUM($D56:AEL56)&gt;0,0,IF(AEL$25&gt;AEL54,AEL54,0))),0)&lt;0,0,(IF(SUM($D56:AEL56)&gt;0,0,IF(AEL$25&gt;AEL54,AEL54,0)))))</f>
        <v>0</v>
      </c>
      <c r="AEN56" s="115">
        <f>IF(SUM($D$49:AEM49)=0,0,IF(IF(AEN55&gt;0,AEN55-(IF(SUM($D56:AEM56)&gt;0,0,IF(AEM$25&gt;AEM54,AEM54,0))),0)&lt;0,0,(IF(SUM($D56:AEM56)&gt;0,0,IF(AEM$25&gt;AEM54,AEM54,0)))))</f>
        <v>0</v>
      </c>
      <c r="AEO56" s="115">
        <f>IF(SUM($D$49:AEN49)=0,0,IF(IF(AEO55&gt;0,AEO55-(IF(SUM($D56:AEN56)&gt;0,0,IF(AEN$25&gt;AEN54,AEN54,0))),0)&lt;0,0,(IF(SUM($D56:AEN56)&gt;0,0,IF(AEN$25&gt;AEN54,AEN54,0)))))</f>
        <v>0</v>
      </c>
      <c r="AEP56" s="115">
        <f>IF(SUM($D$49:AEO49)=0,0,IF(IF(AEP55&gt;0,AEP55-(IF(SUM($D56:AEO56)&gt;0,0,IF(AEO$25&gt;AEO54,AEO54,0))),0)&lt;0,0,(IF(SUM($D56:AEO56)&gt;0,0,IF(AEO$25&gt;AEO54,AEO54,0)))))</f>
        <v>0</v>
      </c>
      <c r="AEQ56" s="115">
        <f>IF(SUM($D$49:AEP49)=0,0,IF(IF(AEQ55&gt;0,AEQ55-(IF(SUM($D56:AEP56)&gt;0,0,IF(AEP$25&gt;AEP54,AEP54,0))),0)&lt;0,0,(IF(SUM($D56:AEP56)&gt;0,0,IF(AEP$25&gt;AEP54,AEP54,0)))))</f>
        <v>0</v>
      </c>
      <c r="AER56" s="115">
        <f>IF(SUM($D$49:AEQ49)=0,0,IF(IF(AER55&gt;0,AER55-(IF(SUM($D56:AEQ56)&gt;0,0,IF(AEQ$25&gt;AEQ54,AEQ54,0))),0)&lt;0,0,(IF(SUM($D56:AEQ56)&gt;0,0,IF(AEQ$25&gt;AEQ54,AEQ54,0)))))</f>
        <v>0</v>
      </c>
      <c r="AES56" s="115">
        <f>IF(SUM($D$49:AER49)=0,0,IF(IF(AES55&gt;0,AES55-(IF(SUM($D56:AER56)&gt;0,0,IF(AER$25&gt;AER54,AER54,0))),0)&lt;0,0,(IF(SUM($D56:AER56)&gt;0,0,IF(AER$25&gt;AER54,AER54,0)))))</f>
        <v>0</v>
      </c>
      <c r="AET56" s="115">
        <f>IF(SUM($D$49:AES49)=0,0,IF(IF(AET55&gt;0,AET55-(IF(SUM($D56:AES56)&gt;0,0,IF(AES$25&gt;AES54,AES54,0))),0)&lt;0,0,(IF(SUM($D56:AES56)&gt;0,0,IF(AES$25&gt;AES54,AES54,0)))))</f>
        <v>0</v>
      </c>
      <c r="AEU56" s="115">
        <f>IF(SUM($D$49:AET49)=0,0,IF(IF(AEU55&gt;0,AEU55-(IF(SUM($D56:AET56)&gt;0,0,IF(AET$25&gt;AET54,AET54,0))),0)&lt;0,0,(IF(SUM($D56:AET56)&gt;0,0,IF(AET$25&gt;AET54,AET54,0)))))</f>
        <v>0</v>
      </c>
      <c r="AEV56" s="115">
        <f>IF(SUM($D$49:AEU49)=0,0,IF(IF(AEV55&gt;0,AEV55-(IF(SUM($D56:AEU56)&gt;0,0,IF(AEU$25&gt;AEU54,AEU54,0))),0)&lt;0,0,(IF(SUM($D56:AEU56)&gt;0,0,IF(AEU$25&gt;AEU54,AEU54,0)))))</f>
        <v>0</v>
      </c>
      <c r="AEW56" s="115">
        <f>IF(SUM($D$49:AEV49)=0,0,IF(IF(AEW55&gt;0,AEW55-(IF(SUM($D56:AEV56)&gt;0,0,IF(AEV$25&gt;AEV54,AEV54,0))),0)&lt;0,0,(IF(SUM($D56:AEV56)&gt;0,0,IF(AEV$25&gt;AEV54,AEV54,0)))))</f>
        <v>0</v>
      </c>
      <c r="AEX56" s="115">
        <f>IF(SUM($D$49:AEW49)=0,0,IF(IF(AEX55&gt;0,AEX55-(IF(SUM($D56:AEW56)&gt;0,0,IF(AEW$25&gt;AEW54,AEW54,0))),0)&lt;0,0,(IF(SUM($D56:AEW56)&gt;0,0,IF(AEW$25&gt;AEW54,AEW54,0)))))</f>
        <v>0</v>
      </c>
      <c r="AEY56" s="115">
        <f>IF(SUM($D$49:AEX49)=0,0,IF(IF(AEY55&gt;0,AEY55-(IF(SUM($D56:AEX56)&gt;0,0,IF(AEX$25&gt;AEX54,AEX54,0))),0)&lt;0,0,(IF(SUM($D56:AEX56)&gt;0,0,IF(AEX$25&gt;AEX54,AEX54,0)))))</f>
        <v>0</v>
      </c>
      <c r="AEZ56" s="115">
        <f>IF(SUM($D$49:AEY49)=0,0,IF(IF(AEZ55&gt;0,AEZ55-(IF(SUM($D56:AEY56)&gt;0,0,IF(AEY$25&gt;AEY54,AEY54,0))),0)&lt;0,0,(IF(SUM($D56:AEY56)&gt;0,0,IF(AEY$25&gt;AEY54,AEY54,0)))))</f>
        <v>0</v>
      </c>
      <c r="AFA56" s="115">
        <f>IF(SUM($D$49:AEZ49)=0,0,IF(IF(AFA55&gt;0,AFA55-(IF(SUM($D56:AEZ56)&gt;0,0,IF(AEZ$25&gt;AEZ54,AEZ54,0))),0)&lt;0,0,(IF(SUM($D56:AEZ56)&gt;0,0,IF(AEZ$25&gt;AEZ54,AEZ54,0)))))</f>
        <v>0</v>
      </c>
      <c r="AFB56" s="115">
        <f>IF(SUM($D$49:AFA49)=0,0,IF(IF(AFB55&gt;0,AFB55-(IF(SUM($D56:AFA56)&gt;0,0,IF(AFA$25&gt;AFA54,AFA54,0))),0)&lt;0,0,(IF(SUM($D56:AFA56)&gt;0,0,IF(AFA$25&gt;AFA54,AFA54,0)))))</f>
        <v>0</v>
      </c>
      <c r="AFC56" s="115">
        <f>IF(SUM($D$49:AFB49)=0,0,IF(IF(AFC55&gt;0,AFC55-(IF(SUM($D56:AFB56)&gt;0,0,IF(AFB$25&gt;AFB54,AFB54,0))),0)&lt;0,0,(IF(SUM($D56:AFB56)&gt;0,0,IF(AFB$25&gt;AFB54,AFB54,0)))))</f>
        <v>0</v>
      </c>
      <c r="AFD56" s="115">
        <f>IF(SUM($D$49:AFC49)=0,0,IF(IF(AFD55&gt;0,AFD55-(IF(SUM($D56:AFC56)&gt;0,0,IF(AFC$25&gt;AFC54,AFC54,0))),0)&lt;0,0,(IF(SUM($D56:AFC56)&gt;0,0,IF(AFC$25&gt;AFC54,AFC54,0)))))</f>
        <v>0</v>
      </c>
      <c r="AFE56" s="115">
        <f>IF(SUM($D$49:AFD49)=0,0,IF(IF(AFE55&gt;0,AFE55-(IF(SUM($D56:AFD56)&gt;0,0,IF(AFD$25&gt;AFD54,AFD54,0))),0)&lt;0,0,(IF(SUM($D56:AFD56)&gt;0,0,IF(AFD$25&gt;AFD54,AFD54,0)))))</f>
        <v>0</v>
      </c>
      <c r="AFF56" s="115">
        <f>IF(SUM($D$49:AFE49)=0,0,IF(IF(AFF55&gt;0,AFF55-(IF(SUM($D56:AFE56)&gt;0,0,IF(AFE$25&gt;AFE54,AFE54,0))),0)&lt;0,0,(IF(SUM($D56:AFE56)&gt;0,0,IF(AFE$25&gt;AFE54,AFE54,0)))))</f>
        <v>0</v>
      </c>
      <c r="AFG56" s="115">
        <f>IF(SUM($D$49:AFF49)=0,0,IF(IF(AFG55&gt;0,AFG55-(IF(SUM($D56:AFF56)&gt;0,0,IF(AFF$25&gt;AFF54,AFF54,0))),0)&lt;0,0,(IF(SUM($D56:AFF56)&gt;0,0,IF(AFF$25&gt;AFF54,AFF54,0)))))</f>
        <v>0</v>
      </c>
      <c r="AFH56" s="115">
        <f>IF(SUM($D$49:AFG49)=0,0,IF(IF(AFH55&gt;0,AFH55-(IF(SUM($D56:AFG56)&gt;0,0,IF(AFG$25&gt;AFG54,AFG54,0))),0)&lt;0,0,(IF(SUM($D56:AFG56)&gt;0,0,IF(AFG$25&gt;AFG54,AFG54,0)))))</f>
        <v>0</v>
      </c>
      <c r="AFI56" s="115">
        <f>IF(SUM($D$49:AFH49)=0,0,IF(IF(AFI55&gt;0,AFI55-(IF(SUM($D56:AFH56)&gt;0,0,IF(AFH$25&gt;AFH54,AFH54,0))),0)&lt;0,0,(IF(SUM($D56:AFH56)&gt;0,0,IF(AFH$25&gt;AFH54,AFH54,0)))))</f>
        <v>0</v>
      </c>
      <c r="AFJ56" s="115">
        <f>IF(SUM($D$49:AFI49)=0,0,IF(IF(AFJ55&gt;0,AFJ55-(IF(SUM($D56:AFI56)&gt;0,0,IF(AFI$25&gt;AFI54,AFI54,0))),0)&lt;0,0,(IF(SUM($D56:AFI56)&gt;0,0,IF(AFI$25&gt;AFI54,AFI54,0)))))</f>
        <v>0</v>
      </c>
      <c r="AFK56" s="115">
        <f>IF(SUM($D$49:AFJ49)=0,0,IF(IF(AFK55&gt;0,AFK55-(IF(SUM($D56:AFJ56)&gt;0,0,IF(AFJ$25&gt;AFJ54,AFJ54,0))),0)&lt;0,0,(IF(SUM($D56:AFJ56)&gt;0,0,IF(AFJ$25&gt;AFJ54,AFJ54,0)))))</f>
        <v>0</v>
      </c>
      <c r="AFL56" s="115">
        <f>IF(SUM($D$49:AFK49)=0,0,IF(IF(AFL55&gt;0,AFL55-(IF(SUM($D56:AFK56)&gt;0,0,IF(AFK$25&gt;AFK54,AFK54,0))),0)&lt;0,0,(IF(SUM($D56:AFK56)&gt;0,0,IF(AFK$25&gt;AFK54,AFK54,0)))))</f>
        <v>0</v>
      </c>
      <c r="AFM56" s="115">
        <f>IF(SUM($D$49:AFL49)=0,0,IF(IF(AFM55&gt;0,AFM55-(IF(SUM($D56:AFL56)&gt;0,0,IF(AFL$25&gt;AFL54,AFL54,0))),0)&lt;0,0,(IF(SUM($D56:AFL56)&gt;0,0,IF(AFL$25&gt;AFL54,AFL54,0)))))</f>
        <v>0</v>
      </c>
      <c r="AFN56" s="115">
        <f>IF(SUM($D$49:AFM49)=0,0,IF(IF(AFN55&gt;0,AFN55-(IF(SUM($D56:AFM56)&gt;0,0,IF(AFM$25&gt;AFM54,AFM54,0))),0)&lt;0,0,(IF(SUM($D56:AFM56)&gt;0,0,IF(AFM$25&gt;AFM54,AFM54,0)))))</f>
        <v>0</v>
      </c>
      <c r="AFO56" s="115">
        <f>IF(SUM($D$49:AFN49)=0,0,IF(IF(AFO55&gt;0,AFO55-(IF(SUM($D56:AFN56)&gt;0,0,IF(AFN$25&gt;AFN54,AFN54,0))),0)&lt;0,0,(IF(SUM($D56:AFN56)&gt;0,0,IF(AFN$25&gt;AFN54,AFN54,0)))))</f>
        <v>0</v>
      </c>
      <c r="AFP56" s="115">
        <f>IF(SUM($D$49:AFO49)=0,0,IF(IF(AFP55&gt;0,AFP55-(IF(SUM($D56:AFO56)&gt;0,0,IF(AFO$25&gt;AFO54,AFO54,0))),0)&lt;0,0,(IF(SUM($D56:AFO56)&gt;0,0,IF(AFO$25&gt;AFO54,AFO54,0)))))</f>
        <v>0</v>
      </c>
      <c r="AFQ56" s="115">
        <f>IF(SUM($D$49:AFP49)=0,0,IF(IF(AFQ55&gt;0,AFQ55-(IF(SUM($D56:AFP56)&gt;0,0,IF(AFP$25&gt;AFP54,AFP54,0))),0)&lt;0,0,(IF(SUM($D56:AFP56)&gt;0,0,IF(AFP$25&gt;AFP54,AFP54,0)))))</f>
        <v>0</v>
      </c>
      <c r="AFR56" s="115">
        <f>IF(SUM($D$49:AFQ49)=0,0,IF(IF(AFR55&gt;0,AFR55-(IF(SUM($D56:AFQ56)&gt;0,0,IF(AFQ$25&gt;AFQ54,AFQ54,0))),0)&lt;0,0,(IF(SUM($D56:AFQ56)&gt;0,0,IF(AFQ$25&gt;AFQ54,AFQ54,0)))))</f>
        <v>0</v>
      </c>
      <c r="AFS56" s="115">
        <f>IF(SUM($D$49:AFR49)=0,0,IF(IF(AFS55&gt;0,AFS55-(IF(SUM($D56:AFR56)&gt;0,0,IF(AFR$25&gt;AFR54,AFR54,0))),0)&lt;0,0,(IF(SUM($D56:AFR56)&gt;0,0,IF(AFR$25&gt;AFR54,AFR54,0)))))</f>
        <v>0</v>
      </c>
      <c r="AFT56" s="115">
        <f>IF(SUM($D$49:AFS49)=0,0,IF(IF(AFT55&gt;0,AFT55-(IF(SUM($D56:AFS56)&gt;0,0,IF(AFS$25&gt;AFS54,AFS54,0))),0)&lt;0,0,(IF(SUM($D56:AFS56)&gt;0,0,IF(AFS$25&gt;AFS54,AFS54,0)))))</f>
        <v>0</v>
      </c>
      <c r="AFU56" s="115">
        <f>IF(SUM($D$49:AFT49)=0,0,IF(IF(AFU55&gt;0,AFU55-(IF(SUM($D56:AFT56)&gt;0,0,IF(AFT$25&gt;AFT54,AFT54,0))),0)&lt;0,0,(IF(SUM($D56:AFT56)&gt;0,0,IF(AFT$25&gt;AFT54,AFT54,0)))))</f>
        <v>0</v>
      </c>
      <c r="AFV56" s="115">
        <f>IF(SUM($D$49:AFU49)=0,0,IF(IF(AFV55&gt;0,AFV55-(IF(SUM($D56:AFU56)&gt;0,0,IF(AFU$25&gt;AFU54,AFU54,0))),0)&lt;0,0,(IF(SUM($D56:AFU56)&gt;0,0,IF(AFU$25&gt;AFU54,AFU54,0)))))</f>
        <v>0</v>
      </c>
      <c r="AFW56" s="115">
        <f>IF(SUM($D$49:AFV49)=0,0,IF(IF(AFW55&gt;0,AFW55-(IF(SUM($D56:AFV56)&gt;0,0,IF(AFV$25&gt;AFV54,AFV54,0))),0)&lt;0,0,(IF(SUM($D56:AFV56)&gt;0,0,IF(AFV$25&gt;AFV54,AFV54,0)))))</f>
        <v>0</v>
      </c>
      <c r="AFX56" s="115">
        <f>IF(SUM($D$49:AFW49)=0,0,IF(IF(AFX55&gt;0,AFX55-(IF(SUM($D56:AFW56)&gt;0,0,IF(AFW$25&gt;AFW54,AFW54,0))),0)&lt;0,0,(IF(SUM($D56:AFW56)&gt;0,0,IF(AFW$25&gt;AFW54,AFW54,0)))))</f>
        <v>0</v>
      </c>
      <c r="AFY56" s="115">
        <f>IF(SUM($D$49:AFX49)=0,0,IF(IF(AFY55&gt;0,AFY55-(IF(SUM($D56:AFX56)&gt;0,0,IF(AFX$25&gt;AFX54,AFX54,0))),0)&lt;0,0,(IF(SUM($D56:AFX56)&gt;0,0,IF(AFX$25&gt;AFX54,AFX54,0)))))</f>
        <v>0</v>
      </c>
      <c r="AFZ56" s="115">
        <f>IF(SUM($D$49:AFY49)=0,0,IF(IF(AFZ55&gt;0,AFZ55-(IF(SUM($D56:AFY56)&gt;0,0,IF(AFY$25&gt;AFY54,AFY54,0))),0)&lt;0,0,(IF(SUM($D56:AFY56)&gt;0,0,IF(AFY$25&gt;AFY54,AFY54,0)))))</f>
        <v>0</v>
      </c>
      <c r="AGA56" s="115">
        <f>IF(SUM($D$49:AFZ49)=0,0,IF(IF(AGA55&gt;0,AGA55-(IF(SUM($D56:AFZ56)&gt;0,0,IF(AFZ$25&gt;AFZ54,AFZ54,0))),0)&lt;0,0,(IF(SUM($D56:AFZ56)&gt;0,0,IF(AFZ$25&gt;AFZ54,AFZ54,0)))))</f>
        <v>0</v>
      </c>
      <c r="AGB56" s="115">
        <f>IF(SUM($D$49:AGA49)=0,0,IF(IF(AGB55&gt;0,AGB55-(IF(SUM($D56:AGA56)&gt;0,0,IF(AGA$25&gt;AGA54,AGA54,0))),0)&lt;0,0,(IF(SUM($D56:AGA56)&gt;0,0,IF(AGA$25&gt;AGA54,AGA54,0)))))</f>
        <v>0</v>
      </c>
      <c r="AGC56" s="115">
        <f>IF(SUM($D$49:AGB49)=0,0,IF(IF(AGC55&gt;0,AGC55-(IF(SUM($D56:AGB56)&gt;0,0,IF(AGB$25&gt;AGB54,AGB54,0))),0)&lt;0,0,(IF(SUM($D56:AGB56)&gt;0,0,IF(AGB$25&gt;AGB54,AGB54,0)))))</f>
        <v>0</v>
      </c>
      <c r="AGD56" s="115">
        <f>IF(SUM($D$49:AGC49)=0,0,IF(IF(AGD55&gt;0,AGD55-(IF(SUM($D56:AGC56)&gt;0,0,IF(AGC$25&gt;AGC54,AGC54,0))),0)&lt;0,0,(IF(SUM($D56:AGC56)&gt;0,0,IF(AGC$25&gt;AGC54,AGC54,0)))))</f>
        <v>0</v>
      </c>
      <c r="AGE56" s="115">
        <f>IF(SUM($D$49:AGD49)=0,0,IF(IF(AGE55&gt;0,AGE55-(IF(SUM($D56:AGD56)&gt;0,0,IF(AGD$25&gt;AGD54,AGD54,0))),0)&lt;0,0,(IF(SUM($D56:AGD56)&gt;0,0,IF(AGD$25&gt;AGD54,AGD54,0)))))</f>
        <v>0</v>
      </c>
      <c r="AGF56" s="115">
        <f>IF(SUM($D$49:AGE49)=0,0,IF(IF(AGF55&gt;0,AGF55-(IF(SUM($D56:AGE56)&gt;0,0,IF(AGE$25&gt;AGE54,AGE54,0))),0)&lt;0,0,(IF(SUM($D56:AGE56)&gt;0,0,IF(AGE$25&gt;AGE54,AGE54,0)))))</f>
        <v>0</v>
      </c>
      <c r="AGG56" s="115">
        <f>IF(SUM($D$49:AGF49)=0,0,IF(IF(AGG55&gt;0,AGG55-(IF(SUM($D56:AGF56)&gt;0,0,IF(AGF$25&gt;AGF54,AGF54,0))),0)&lt;0,0,(IF(SUM($D56:AGF56)&gt;0,0,IF(AGF$25&gt;AGF54,AGF54,0)))))</f>
        <v>0</v>
      </c>
      <c r="AGH56" s="115">
        <f>IF(SUM($D$49:AGG49)=0,0,IF(IF(AGH55&gt;0,AGH55-(IF(SUM($D56:AGG56)&gt;0,0,IF(AGG$25&gt;AGG54,AGG54,0))),0)&lt;0,0,(IF(SUM($D56:AGG56)&gt;0,0,IF(AGG$25&gt;AGG54,AGG54,0)))))</f>
        <v>0</v>
      </c>
      <c r="AGI56" s="115">
        <f>IF(SUM($D$49:AGH49)=0,0,IF(IF(AGI55&gt;0,AGI55-(IF(SUM($D56:AGH56)&gt;0,0,IF(AGH$25&gt;AGH54,AGH54,0))),0)&lt;0,0,(IF(SUM($D56:AGH56)&gt;0,0,IF(AGH$25&gt;AGH54,AGH54,0)))))</f>
        <v>0</v>
      </c>
      <c r="AGJ56" s="115">
        <f>IF(SUM($D$49:AGI49)=0,0,IF(IF(AGJ55&gt;0,AGJ55-(IF(SUM($D56:AGI56)&gt;0,0,IF(AGI$25&gt;AGI54,AGI54,0))),0)&lt;0,0,(IF(SUM($D56:AGI56)&gt;0,0,IF(AGI$25&gt;AGI54,AGI54,0)))))</f>
        <v>0</v>
      </c>
      <c r="AGK56" s="115">
        <f>IF(SUM($D$49:AGJ49)=0,0,IF(IF(AGK55&gt;0,AGK55-(IF(SUM($D56:AGJ56)&gt;0,0,IF(AGJ$25&gt;AGJ54,AGJ54,0))),0)&lt;0,0,(IF(SUM($D56:AGJ56)&gt;0,0,IF(AGJ$25&gt;AGJ54,AGJ54,0)))))</f>
        <v>0</v>
      </c>
      <c r="AGL56" s="115">
        <f>IF(SUM($D$49:AGK49)=0,0,IF(IF(AGL55&gt;0,AGL55-(IF(SUM($D56:AGK56)&gt;0,0,IF(AGK$25&gt;AGK54,AGK54,0))),0)&lt;0,0,(IF(SUM($D56:AGK56)&gt;0,0,IF(AGK$25&gt;AGK54,AGK54,0)))))</f>
        <v>0</v>
      </c>
      <c r="AGM56" s="115">
        <f>IF(SUM($D$49:AGL49)=0,0,IF(IF(AGM55&gt;0,AGM55-(IF(SUM($D56:AGL56)&gt;0,0,IF(AGL$25&gt;AGL54,AGL54,0))),0)&lt;0,0,(IF(SUM($D56:AGL56)&gt;0,0,IF(AGL$25&gt;AGL54,AGL54,0)))))</f>
        <v>0</v>
      </c>
      <c r="AGN56" s="115">
        <f>IF(SUM($D$49:AGM49)=0,0,IF(IF(AGN55&gt;0,AGN55-(IF(SUM($D56:AGM56)&gt;0,0,IF(AGM$25&gt;AGM54,AGM54,0))),0)&lt;0,0,(IF(SUM($D56:AGM56)&gt;0,0,IF(AGM$25&gt;AGM54,AGM54,0)))))</f>
        <v>0</v>
      </c>
      <c r="AGO56" s="115">
        <f>IF(SUM($D$49:AGN49)=0,0,IF(IF(AGO55&gt;0,AGO55-(IF(SUM($D56:AGN56)&gt;0,0,IF(AGN$25&gt;AGN54,AGN54,0))),0)&lt;0,0,(IF(SUM($D56:AGN56)&gt;0,0,IF(AGN$25&gt;AGN54,AGN54,0)))))</f>
        <v>0</v>
      </c>
      <c r="AGP56" s="115">
        <f>IF(SUM($D$49:AGO49)=0,0,IF(IF(AGP55&gt;0,AGP55-(IF(SUM($D56:AGO56)&gt;0,0,IF(AGO$25&gt;AGO54,AGO54,0))),0)&lt;0,0,(IF(SUM($D56:AGO56)&gt;0,0,IF(AGO$25&gt;AGO54,AGO54,0)))))</f>
        <v>0</v>
      </c>
      <c r="AGQ56" s="115">
        <f>IF(SUM($D$49:AGP49)=0,0,IF(IF(AGQ55&gt;0,AGQ55-(IF(SUM($D56:AGP56)&gt;0,0,IF(AGP$25&gt;AGP54,AGP54,0))),0)&lt;0,0,(IF(SUM($D56:AGP56)&gt;0,0,IF(AGP$25&gt;AGP54,AGP54,0)))))</f>
        <v>0</v>
      </c>
      <c r="AGR56" s="115">
        <f>IF(SUM($D$49:AGQ49)=0,0,IF(IF(AGR55&gt;0,AGR55-(IF(SUM($D56:AGQ56)&gt;0,0,IF(AGQ$25&gt;AGQ54,AGQ54,0))),0)&lt;0,0,(IF(SUM($D56:AGQ56)&gt;0,0,IF(AGQ$25&gt;AGQ54,AGQ54,0)))))</f>
        <v>0</v>
      </c>
      <c r="AGS56" s="115">
        <f>IF(SUM($D$49:AGR49)=0,0,IF(IF(AGS55&gt;0,AGS55-(IF(SUM($D56:AGR56)&gt;0,0,IF(AGR$25&gt;AGR54,AGR54,0))),0)&lt;0,0,(IF(SUM($D56:AGR56)&gt;0,0,IF(AGR$25&gt;AGR54,AGR54,0)))))</f>
        <v>0</v>
      </c>
      <c r="AGT56" s="115">
        <f>IF(SUM($D$49:AGS49)=0,0,IF(IF(AGT55&gt;0,AGT55-(IF(SUM($D56:AGS56)&gt;0,0,IF(AGS$25&gt;AGS54,AGS54,0))),0)&lt;0,0,(IF(SUM($D56:AGS56)&gt;0,0,IF(AGS$25&gt;AGS54,AGS54,0)))))</f>
        <v>0</v>
      </c>
      <c r="AGU56" s="115">
        <f>IF(SUM($D$49:AGT49)=0,0,IF(IF(AGU55&gt;0,AGU55-(IF(SUM($D56:AGT56)&gt;0,0,IF(AGT$25&gt;AGT54,AGT54,0))),0)&lt;0,0,(IF(SUM($D56:AGT56)&gt;0,0,IF(AGT$25&gt;AGT54,AGT54,0)))))</f>
        <v>0</v>
      </c>
      <c r="AGV56" s="115">
        <f>IF(SUM($D$49:AGU49)=0,0,IF(IF(AGV55&gt;0,AGV55-(IF(SUM($D56:AGU56)&gt;0,0,IF(AGU$25&gt;AGU54,AGU54,0))),0)&lt;0,0,(IF(SUM($D56:AGU56)&gt;0,0,IF(AGU$25&gt;AGU54,AGU54,0)))))</f>
        <v>0</v>
      </c>
      <c r="AGW56" s="115">
        <f>IF(SUM($D$49:AGV49)=0,0,IF(IF(AGW55&gt;0,AGW55-(IF(SUM($D56:AGV56)&gt;0,0,IF(AGV$25&gt;AGV54,AGV54,0))),0)&lt;0,0,(IF(SUM($D56:AGV56)&gt;0,0,IF(AGV$25&gt;AGV54,AGV54,0)))))</f>
        <v>0</v>
      </c>
      <c r="AGX56" s="115">
        <f>IF(SUM($D$49:AGW49)=0,0,IF(IF(AGX55&gt;0,AGX55-(IF(SUM($D56:AGW56)&gt;0,0,IF(AGW$25&gt;AGW54,AGW54,0))),0)&lt;0,0,(IF(SUM($D56:AGW56)&gt;0,0,IF(AGW$25&gt;AGW54,AGW54,0)))))</f>
        <v>0</v>
      </c>
      <c r="AGY56" s="115">
        <f>IF(SUM($D$49:AGX49)=0,0,IF(IF(AGY55&gt;0,AGY55-(IF(SUM($D56:AGX56)&gt;0,0,IF(AGX$25&gt;AGX54,AGX54,0))),0)&lt;0,0,(IF(SUM($D56:AGX56)&gt;0,0,IF(AGX$25&gt;AGX54,AGX54,0)))))</f>
        <v>0</v>
      </c>
      <c r="AGZ56" s="115">
        <f>IF(SUM($D$49:AGY49)=0,0,IF(IF(AGZ55&gt;0,AGZ55-(IF(SUM($D56:AGY56)&gt;0,0,IF(AGY$25&gt;AGY54,AGY54,0))),0)&lt;0,0,(IF(SUM($D56:AGY56)&gt;0,0,IF(AGY$25&gt;AGY54,AGY54,0)))))</f>
        <v>0</v>
      </c>
      <c r="AHA56" s="115">
        <f>IF(SUM($D$49:AGZ49)=0,0,IF(IF(AHA55&gt;0,AHA55-(IF(SUM($D56:AGZ56)&gt;0,0,IF(AGZ$25&gt;AGZ54,AGZ54,0))),0)&lt;0,0,(IF(SUM($D56:AGZ56)&gt;0,0,IF(AGZ$25&gt;AGZ54,AGZ54,0)))))</f>
        <v>0</v>
      </c>
      <c r="AHB56" s="115">
        <f>IF(SUM($D$49:AHA49)=0,0,IF(IF(AHB55&gt;0,AHB55-(IF(SUM($D56:AHA56)&gt;0,0,IF(AHA$25&gt;AHA54,AHA54,0))),0)&lt;0,0,(IF(SUM($D56:AHA56)&gt;0,0,IF(AHA$25&gt;AHA54,AHA54,0)))))</f>
        <v>0</v>
      </c>
      <c r="AHC56" s="115">
        <f>IF(SUM($D$49:AHB49)=0,0,IF(IF(AHC55&gt;0,AHC55-(IF(SUM($D56:AHB56)&gt;0,0,IF(AHB$25&gt;AHB54,AHB54,0))),0)&lt;0,0,(IF(SUM($D56:AHB56)&gt;0,0,IF(AHB$25&gt;AHB54,AHB54,0)))))</f>
        <v>0</v>
      </c>
      <c r="AHD56" s="115">
        <f>IF(SUM($D$49:AHC49)=0,0,IF(IF(AHD55&gt;0,AHD55-(IF(SUM($D56:AHC56)&gt;0,0,IF(AHC$25&gt;AHC54,AHC54,0))),0)&lt;0,0,(IF(SUM($D56:AHC56)&gt;0,0,IF(AHC$25&gt;AHC54,AHC54,0)))))</f>
        <v>0</v>
      </c>
      <c r="AHE56" s="115">
        <f>IF(SUM($D$49:AHD49)=0,0,IF(IF(AHE55&gt;0,AHE55-(IF(SUM($D56:AHD56)&gt;0,0,IF(AHD$25&gt;AHD54,AHD54,0))),0)&lt;0,0,(IF(SUM($D56:AHD56)&gt;0,0,IF(AHD$25&gt;AHD54,AHD54,0)))))</f>
        <v>0</v>
      </c>
      <c r="AHF56" s="115">
        <f>IF(SUM($D$49:AHE49)=0,0,IF(IF(AHF55&gt;0,AHF55-(IF(SUM($D56:AHE56)&gt;0,0,IF(AHE$25&gt;AHE54,AHE54,0))),0)&lt;0,0,(IF(SUM($D56:AHE56)&gt;0,0,IF(AHE$25&gt;AHE54,AHE54,0)))))</f>
        <v>0</v>
      </c>
      <c r="AHG56" s="115">
        <f>IF(SUM($D$49:AHF49)=0,0,IF(IF(AHG55&gt;0,AHG55-(IF(SUM($D56:AHF56)&gt;0,0,IF(AHF$25&gt;AHF54,AHF54,0))),0)&lt;0,0,(IF(SUM($D56:AHF56)&gt;0,0,IF(AHF$25&gt;AHF54,AHF54,0)))))</f>
        <v>0</v>
      </c>
      <c r="AHH56" s="115">
        <f>IF(SUM($D$49:AHG49)=0,0,IF(IF(AHH55&gt;0,AHH55-(IF(SUM($D56:AHG56)&gt;0,0,IF(AHG$25&gt;AHG54,AHG54,0))),0)&lt;0,0,(IF(SUM($D56:AHG56)&gt;0,0,IF(AHG$25&gt;AHG54,AHG54,0)))))</f>
        <v>0</v>
      </c>
      <c r="AHI56" s="115">
        <f>IF(SUM($D$49:AHH49)=0,0,IF(IF(AHI55&gt;0,AHI55-(IF(SUM($D56:AHH56)&gt;0,0,IF(AHH$25&gt;AHH54,AHH54,0))),0)&lt;0,0,(IF(SUM($D56:AHH56)&gt;0,0,IF(AHH$25&gt;AHH54,AHH54,0)))))</f>
        <v>0</v>
      </c>
      <c r="AHJ56" s="115">
        <f>IF(SUM($D$49:AHI49)=0,0,IF(IF(AHJ55&gt;0,AHJ55-(IF(SUM($D56:AHI56)&gt;0,0,IF(AHI$25&gt;AHI54,AHI54,0))),0)&lt;0,0,(IF(SUM($D56:AHI56)&gt;0,0,IF(AHI$25&gt;AHI54,AHI54,0)))))</f>
        <v>0</v>
      </c>
      <c r="AHK56" s="115">
        <f>IF(SUM($D$49:AHJ49)=0,0,IF(IF(AHK55&gt;0,AHK55-(IF(SUM($D56:AHJ56)&gt;0,0,IF(AHJ$25&gt;AHJ54,AHJ54,0))),0)&lt;0,0,(IF(SUM($D56:AHJ56)&gt;0,0,IF(AHJ$25&gt;AHJ54,AHJ54,0)))))</f>
        <v>0</v>
      </c>
      <c r="AHL56" s="115">
        <f>IF(SUM($D$49:AHK49)=0,0,IF(IF(AHL55&gt;0,AHL55-(IF(SUM($D56:AHK56)&gt;0,0,IF(AHK$25&gt;AHK54,AHK54,0))),0)&lt;0,0,(IF(SUM($D56:AHK56)&gt;0,0,IF(AHK$25&gt;AHK54,AHK54,0)))))</f>
        <v>0</v>
      </c>
      <c r="AHM56" s="115">
        <f>IF(SUM($D$49:AHL49)=0,0,IF(IF(AHM55&gt;0,AHM55-(IF(SUM($D56:AHL56)&gt;0,0,IF(AHL$25&gt;AHL54,AHL54,0))),0)&lt;0,0,(IF(SUM($D56:AHL56)&gt;0,0,IF(AHL$25&gt;AHL54,AHL54,0)))))</f>
        <v>0</v>
      </c>
      <c r="AHN56" s="115">
        <f>IF(SUM($D$49:AHM49)=0,0,IF(IF(AHN55&gt;0,AHN55-(IF(SUM($D56:AHM56)&gt;0,0,IF(AHM$25&gt;AHM54,AHM54,0))),0)&lt;0,0,(IF(SUM($D56:AHM56)&gt;0,0,IF(AHM$25&gt;AHM54,AHM54,0)))))</f>
        <v>0</v>
      </c>
      <c r="AHO56" s="115">
        <f>IF(SUM($D$49:AHN49)=0,0,IF(IF(AHO55&gt;0,AHO55-(IF(SUM($D56:AHN56)&gt;0,0,IF(AHN$25&gt;AHN54,AHN54,0))),0)&lt;0,0,(IF(SUM($D56:AHN56)&gt;0,0,IF(AHN$25&gt;AHN54,AHN54,0)))))</f>
        <v>0</v>
      </c>
      <c r="AHP56" s="115">
        <f>IF(SUM($D$49:AHO49)=0,0,IF(IF(AHP55&gt;0,AHP55-(IF(SUM($D56:AHO56)&gt;0,0,IF(AHO$25&gt;AHO54,AHO54,0))),0)&lt;0,0,(IF(SUM($D56:AHO56)&gt;0,0,IF(AHO$25&gt;AHO54,AHO54,0)))))</f>
        <v>0</v>
      </c>
      <c r="AHQ56" s="115">
        <f>IF(SUM($D$49:AHP49)=0,0,IF(IF(AHQ55&gt;0,AHQ55-(IF(SUM($D56:AHP56)&gt;0,0,IF(AHP$25&gt;AHP54,AHP54,0))),0)&lt;0,0,(IF(SUM($D56:AHP56)&gt;0,0,IF(AHP$25&gt;AHP54,AHP54,0)))))</f>
        <v>0</v>
      </c>
      <c r="AHR56" s="115">
        <f>IF(SUM($D$49:AHQ49)=0,0,IF(IF(AHR55&gt;0,AHR55-(IF(SUM($D56:AHQ56)&gt;0,0,IF(AHQ$25&gt;AHQ54,AHQ54,0))),0)&lt;0,0,(IF(SUM($D56:AHQ56)&gt;0,0,IF(AHQ$25&gt;AHQ54,AHQ54,0)))))</f>
        <v>0</v>
      </c>
      <c r="AHS56" s="115">
        <f>IF(SUM($D$49:AHR49)=0,0,IF(IF(AHS55&gt;0,AHS55-(IF(SUM($D56:AHR56)&gt;0,0,IF(AHR$25&gt;AHR54,AHR54,0))),0)&lt;0,0,(IF(SUM($D56:AHR56)&gt;0,0,IF(AHR$25&gt;AHR54,AHR54,0)))))</f>
        <v>0</v>
      </c>
      <c r="AHT56" s="115">
        <f>IF(SUM($D$49:AHS49)=0,0,IF(IF(AHT55&gt;0,AHT55-(IF(SUM($D56:AHS56)&gt;0,0,IF(AHS$25&gt;AHS54,AHS54,0))),0)&lt;0,0,(IF(SUM($D56:AHS56)&gt;0,0,IF(AHS$25&gt;AHS54,AHS54,0)))))</f>
        <v>0</v>
      </c>
      <c r="AHU56" s="115">
        <f>IF(SUM($D$49:AHT49)=0,0,IF(IF(AHU55&gt;0,AHU55-(IF(SUM($D56:AHT56)&gt;0,0,IF(AHT$25&gt;AHT54,AHT54,0))),0)&lt;0,0,(IF(SUM($D56:AHT56)&gt;0,0,IF(AHT$25&gt;AHT54,AHT54,0)))))</f>
        <v>0</v>
      </c>
      <c r="AHV56" s="115">
        <f>IF(SUM($D$49:AHU49)=0,0,IF(IF(AHV55&gt;0,AHV55-(IF(SUM($D56:AHU56)&gt;0,0,IF(AHU$25&gt;AHU54,AHU54,0))),0)&lt;0,0,(IF(SUM($D56:AHU56)&gt;0,0,IF(AHU$25&gt;AHU54,AHU54,0)))))</f>
        <v>0</v>
      </c>
      <c r="AHW56" s="115">
        <f>IF(SUM($D$49:AHV49)=0,0,IF(IF(AHW55&gt;0,AHW55-(IF(SUM($D56:AHV56)&gt;0,0,IF(AHV$25&gt;AHV54,AHV54,0))),0)&lt;0,0,(IF(SUM($D56:AHV56)&gt;0,0,IF(AHV$25&gt;AHV54,AHV54,0)))))</f>
        <v>0</v>
      </c>
      <c r="AHX56" s="115">
        <f>IF(SUM($D$49:AHW49)=0,0,IF(IF(AHX55&gt;0,AHX55-(IF(SUM($D56:AHW56)&gt;0,0,IF(AHW$25&gt;AHW54,AHW54,0))),0)&lt;0,0,(IF(SUM($D56:AHW56)&gt;0,0,IF(AHW$25&gt;AHW54,AHW54,0)))))</f>
        <v>0</v>
      </c>
      <c r="AHY56" s="115">
        <f>IF(SUM($D$49:AHX49)=0,0,IF(IF(AHY55&gt;0,AHY55-(IF(SUM($D56:AHX56)&gt;0,0,IF(AHX$25&gt;AHX54,AHX54,0))),0)&lt;0,0,(IF(SUM($D56:AHX56)&gt;0,0,IF(AHX$25&gt;AHX54,AHX54,0)))))</f>
        <v>0</v>
      </c>
      <c r="AHZ56" s="115">
        <f>IF(SUM($D$49:AHY49)=0,0,IF(IF(AHZ55&gt;0,AHZ55-(IF(SUM($D56:AHY56)&gt;0,0,IF(AHY$25&gt;AHY54,AHY54,0))),0)&lt;0,0,(IF(SUM($D56:AHY56)&gt;0,0,IF(AHY$25&gt;AHY54,AHY54,0)))))</f>
        <v>0</v>
      </c>
      <c r="AIA56" s="115">
        <f>IF(SUM($D$49:AHZ49)=0,0,IF(IF(AIA55&gt;0,AIA55-(IF(SUM($D56:AHZ56)&gt;0,0,IF(AHZ$25&gt;AHZ54,AHZ54,0))),0)&lt;0,0,(IF(SUM($D56:AHZ56)&gt;0,0,IF(AHZ$25&gt;AHZ54,AHZ54,0)))))</f>
        <v>0</v>
      </c>
      <c r="AIB56" s="115">
        <f>IF(SUM($D$49:AIA49)=0,0,IF(IF(AIB55&gt;0,AIB55-(IF(SUM($D56:AIA56)&gt;0,0,IF(AIA$25&gt;AIA54,AIA54,0))),0)&lt;0,0,(IF(SUM($D56:AIA56)&gt;0,0,IF(AIA$25&gt;AIA54,AIA54,0)))))</f>
        <v>0</v>
      </c>
      <c r="AIC56" s="115">
        <f>IF(SUM($D$49:AIB49)=0,0,IF(IF(AIC55&gt;0,AIC55-(IF(SUM($D56:AIB56)&gt;0,0,IF(AIB$25&gt;AIB54,AIB54,0))),0)&lt;0,0,(IF(SUM($D56:AIB56)&gt;0,0,IF(AIB$25&gt;AIB54,AIB54,0)))))</f>
        <v>0</v>
      </c>
      <c r="AID56" s="115">
        <f>IF(SUM($D$49:AIC49)=0,0,IF(IF(AID55&gt;0,AID55-(IF(SUM($D56:AIC56)&gt;0,0,IF(AIC$25&gt;AIC54,AIC54,0))),0)&lt;0,0,(IF(SUM($D56:AIC56)&gt;0,0,IF(AIC$25&gt;AIC54,AIC54,0)))))</f>
        <v>0</v>
      </c>
      <c r="AIE56" s="115">
        <f>IF(SUM($D$49:AID49)=0,0,IF(IF(AIE55&gt;0,AIE55-(IF(SUM($D56:AID56)&gt;0,0,IF(AID$25&gt;AID54,AID54,0))),0)&lt;0,0,(IF(SUM($D56:AID56)&gt;0,0,IF(AID$25&gt;AID54,AID54,0)))))</f>
        <v>0</v>
      </c>
      <c r="AIF56" s="115">
        <f>IF(SUM($D$49:AIE49)=0,0,IF(IF(AIF55&gt;0,AIF55-(IF(SUM($D56:AIE56)&gt;0,0,IF(AIE$25&gt;AIE54,AIE54,0))),0)&lt;0,0,(IF(SUM($D56:AIE56)&gt;0,0,IF(AIE$25&gt;AIE54,AIE54,0)))))</f>
        <v>0</v>
      </c>
      <c r="AIG56" s="115">
        <f>IF(SUM($D$49:AIF49)=0,0,IF(IF(AIG55&gt;0,AIG55-(IF(SUM($D56:AIF56)&gt;0,0,IF(AIF$25&gt;AIF54,AIF54,0))),0)&lt;0,0,(IF(SUM($D56:AIF56)&gt;0,0,IF(AIF$25&gt;AIF54,AIF54,0)))))</f>
        <v>0</v>
      </c>
      <c r="AIH56" s="115">
        <f>IF(SUM($D$49:AIG49)=0,0,IF(IF(AIH55&gt;0,AIH55-(IF(SUM($D56:AIG56)&gt;0,0,IF(AIG$25&gt;AIG54,AIG54,0))),0)&lt;0,0,(IF(SUM($D56:AIG56)&gt;0,0,IF(AIG$25&gt;AIG54,AIG54,0)))))</f>
        <v>0</v>
      </c>
      <c r="AII56" s="115">
        <f>IF(SUM($D$49:AIH49)=0,0,IF(IF(AII55&gt;0,AII55-(IF(SUM($D56:AIH56)&gt;0,0,IF(AIH$25&gt;AIH54,AIH54,0))),0)&lt;0,0,(IF(SUM($D56:AIH56)&gt;0,0,IF(AIH$25&gt;AIH54,AIH54,0)))))</f>
        <v>0</v>
      </c>
      <c r="AIJ56" s="115">
        <f>IF(SUM($D$49:AII49)=0,0,IF(IF(AIJ55&gt;0,AIJ55-(IF(SUM($D56:AII56)&gt;0,0,IF(AII$25&gt;AII54,AII54,0))),0)&lt;0,0,(IF(SUM($D56:AII56)&gt;0,0,IF(AII$25&gt;AII54,AII54,0)))))</f>
        <v>0</v>
      </c>
      <c r="AIK56" s="115">
        <f>IF(SUM($D$49:AIJ49)=0,0,IF(IF(AIK55&gt;0,AIK55-(IF(SUM($D56:AIJ56)&gt;0,0,IF(AIJ$25&gt;AIJ54,AIJ54,0))),0)&lt;0,0,(IF(SUM($D56:AIJ56)&gt;0,0,IF(AIJ$25&gt;AIJ54,AIJ54,0)))))</f>
        <v>0</v>
      </c>
      <c r="AIL56" s="115">
        <f>IF(SUM($D$49:AIK49)=0,0,IF(IF(AIL55&gt;0,AIL55-(IF(SUM($D56:AIK56)&gt;0,0,IF(AIK$25&gt;AIK54,AIK54,0))),0)&lt;0,0,(IF(SUM($D56:AIK56)&gt;0,0,IF(AIK$25&gt;AIK54,AIK54,0)))))</f>
        <v>0</v>
      </c>
      <c r="AIM56" s="115">
        <f>IF(SUM($D$49:AIL49)=0,0,IF(IF(AIM55&gt;0,AIM55-(IF(SUM($D56:AIL56)&gt;0,0,IF(AIL$25&gt;AIL54,AIL54,0))),0)&lt;0,0,(IF(SUM($D56:AIL56)&gt;0,0,IF(AIL$25&gt;AIL54,AIL54,0)))))</f>
        <v>0</v>
      </c>
      <c r="AIN56" s="115">
        <f>IF(SUM($D$49:AIM49)=0,0,IF(IF(AIN55&gt;0,AIN55-(IF(SUM($D56:AIM56)&gt;0,0,IF(AIM$25&gt;AIM54,AIM54,0))),0)&lt;0,0,(IF(SUM($D56:AIM56)&gt;0,0,IF(AIM$25&gt;AIM54,AIM54,0)))))</f>
        <v>0</v>
      </c>
      <c r="AIO56" s="115">
        <f>IF(SUM($D$49:AIN49)=0,0,IF(IF(AIO55&gt;0,AIO55-(IF(SUM($D56:AIN56)&gt;0,0,IF(AIN$25&gt;AIN54,AIN54,0))),0)&lt;0,0,(IF(SUM($D56:AIN56)&gt;0,0,IF(AIN$25&gt;AIN54,AIN54,0)))))</f>
        <v>0</v>
      </c>
      <c r="AIP56" s="115">
        <f>IF(SUM($D$49:AIO49)=0,0,IF(IF(AIP55&gt;0,AIP55-(IF(SUM($D56:AIO56)&gt;0,0,IF(AIO$25&gt;AIO54,AIO54,0))),0)&lt;0,0,(IF(SUM($D56:AIO56)&gt;0,0,IF(AIO$25&gt;AIO54,AIO54,0)))))</f>
        <v>0</v>
      </c>
      <c r="AIQ56" s="115">
        <f>IF(SUM($D$49:AIP49)=0,0,IF(IF(AIQ55&gt;0,AIQ55-(IF(SUM($D56:AIP56)&gt;0,0,IF(AIP$25&gt;AIP54,AIP54,0))),0)&lt;0,0,(IF(SUM($D56:AIP56)&gt;0,0,IF(AIP$25&gt;AIP54,AIP54,0)))))</f>
        <v>0</v>
      </c>
      <c r="AIR56" s="115">
        <f>IF(SUM($D$49:AIQ49)=0,0,IF(IF(AIR55&gt;0,AIR55-(IF(SUM($D56:AIQ56)&gt;0,0,IF(AIQ$25&gt;AIQ54,AIQ54,0))),0)&lt;0,0,(IF(SUM($D56:AIQ56)&gt;0,0,IF(AIQ$25&gt;AIQ54,AIQ54,0)))))</f>
        <v>0</v>
      </c>
      <c r="AIS56" s="115">
        <f>IF(SUM($D$49:AIR49)=0,0,IF(IF(AIS55&gt;0,AIS55-(IF(SUM($D56:AIR56)&gt;0,0,IF(AIR$25&gt;AIR54,AIR54,0))),0)&lt;0,0,(IF(SUM($D56:AIR56)&gt;0,0,IF(AIR$25&gt;AIR54,AIR54,0)))))</f>
        <v>0</v>
      </c>
      <c r="AIT56" s="115">
        <f>IF(SUM($D$49:AIS49)=0,0,IF(IF(AIT55&gt;0,AIT55-(IF(SUM($D56:AIS56)&gt;0,0,IF(AIS$25&gt;AIS54,AIS54,0))),0)&lt;0,0,(IF(SUM($D56:AIS56)&gt;0,0,IF(AIS$25&gt;AIS54,AIS54,0)))))</f>
        <v>0</v>
      </c>
      <c r="AIU56" s="115">
        <f>IF(SUM($D$49:AIT49)=0,0,IF(IF(AIU55&gt;0,AIU55-(IF(SUM($D56:AIT56)&gt;0,0,IF(AIT$25&gt;AIT54,AIT54,0))),0)&lt;0,0,(IF(SUM($D56:AIT56)&gt;0,0,IF(AIT$25&gt;AIT54,AIT54,0)))))</f>
        <v>0</v>
      </c>
      <c r="AIV56" s="115">
        <f>IF(SUM($D$49:AIU49)=0,0,IF(IF(AIV55&gt;0,AIV55-(IF(SUM($D56:AIU56)&gt;0,0,IF(AIU$25&gt;AIU54,AIU54,0))),0)&lt;0,0,(IF(SUM($D56:AIU56)&gt;0,0,IF(AIU$25&gt;AIU54,AIU54,0)))))</f>
        <v>0</v>
      </c>
      <c r="AIW56" s="115">
        <f>IF(SUM($D$49:AIV49)=0,0,IF(IF(AIW55&gt;0,AIW55-(IF(SUM($D56:AIV56)&gt;0,0,IF(AIV$25&gt;AIV54,AIV54,0))),0)&lt;0,0,(IF(SUM($D56:AIV56)&gt;0,0,IF(AIV$25&gt;AIV54,AIV54,0)))))</f>
        <v>0</v>
      </c>
      <c r="AIX56" s="115">
        <f>IF(SUM($D$49:AIW49)=0,0,IF(IF(AIX55&gt;0,AIX55-(IF(SUM($D56:AIW56)&gt;0,0,IF(AIW$25&gt;AIW54,AIW54,0))),0)&lt;0,0,(IF(SUM($D56:AIW56)&gt;0,0,IF(AIW$25&gt;AIW54,AIW54,0)))))</f>
        <v>0</v>
      </c>
      <c r="AIY56" s="115">
        <f>IF(SUM($D$49:AIX49)=0,0,IF(IF(AIY55&gt;0,AIY55-(IF(SUM($D56:AIX56)&gt;0,0,IF(AIX$25&gt;AIX54,AIX54,0))),0)&lt;0,0,(IF(SUM($D56:AIX56)&gt;0,0,IF(AIX$25&gt;AIX54,AIX54,0)))))</f>
        <v>0</v>
      </c>
      <c r="AIZ56" s="115">
        <f>IF(SUM($D$49:AIY49)=0,0,IF(IF(AIZ55&gt;0,AIZ55-(IF(SUM($D56:AIY56)&gt;0,0,IF(AIY$25&gt;AIY54,AIY54,0))),0)&lt;0,0,(IF(SUM($D56:AIY56)&gt;0,0,IF(AIY$25&gt;AIY54,AIY54,0)))))</f>
        <v>0</v>
      </c>
      <c r="AJA56" s="115">
        <f>IF(SUM($D$49:AIZ49)=0,0,IF(IF(AJA55&gt;0,AJA55-(IF(SUM($D56:AIZ56)&gt;0,0,IF(AIZ$25&gt;AIZ54,AIZ54,0))),0)&lt;0,0,(IF(SUM($D56:AIZ56)&gt;0,0,IF(AIZ$25&gt;AIZ54,AIZ54,0)))))</f>
        <v>0</v>
      </c>
      <c r="AJB56" s="115">
        <f>IF(SUM($D$49:AJA49)=0,0,IF(IF(AJB55&gt;0,AJB55-(IF(SUM($D56:AJA56)&gt;0,0,IF(AJA$25&gt;AJA54,AJA54,0))),0)&lt;0,0,(IF(SUM($D56:AJA56)&gt;0,0,IF(AJA$25&gt;AJA54,AJA54,0)))))</f>
        <v>0</v>
      </c>
      <c r="AJC56" s="115">
        <f>IF(SUM($D$49:AJB49)=0,0,IF(IF(AJC55&gt;0,AJC55-(IF(SUM($D56:AJB56)&gt;0,0,IF(AJB$25&gt;AJB54,AJB54,0))),0)&lt;0,0,(IF(SUM($D56:AJB56)&gt;0,0,IF(AJB$25&gt;AJB54,AJB54,0)))))</f>
        <v>0</v>
      </c>
      <c r="AJD56" s="115">
        <f>IF(SUM($D$49:AJC49)=0,0,IF(IF(AJD55&gt;0,AJD55-(IF(SUM($D56:AJC56)&gt;0,0,IF(AJC$25&gt;AJC54,AJC54,0))),0)&lt;0,0,(IF(SUM($D56:AJC56)&gt;0,0,IF(AJC$25&gt;AJC54,AJC54,0)))))</f>
        <v>0</v>
      </c>
      <c r="AJE56" s="115">
        <f>IF(SUM($D$49:AJD49)=0,0,IF(IF(AJE55&gt;0,AJE55-(IF(SUM($D56:AJD56)&gt;0,0,IF(AJD$25&gt;AJD54,AJD54,0))),0)&lt;0,0,(IF(SUM($D56:AJD56)&gt;0,0,IF(AJD$25&gt;AJD54,AJD54,0)))))</f>
        <v>0</v>
      </c>
      <c r="AJF56" s="115">
        <f>IF(SUM($D$49:AJE49)=0,0,IF(IF(AJF55&gt;0,AJF55-(IF(SUM($D56:AJE56)&gt;0,0,IF(AJE$25&gt;AJE54,AJE54,0))),0)&lt;0,0,(IF(SUM($D56:AJE56)&gt;0,0,IF(AJE$25&gt;AJE54,AJE54,0)))))</f>
        <v>0</v>
      </c>
      <c r="AJG56" s="115">
        <f>IF(SUM($D$49:AJF49)=0,0,IF(IF(AJG55&gt;0,AJG55-(IF(SUM($D56:AJF56)&gt;0,0,IF(AJF$25&gt;AJF54,AJF54,0))),0)&lt;0,0,(IF(SUM($D56:AJF56)&gt;0,0,IF(AJF$25&gt;AJF54,AJF54,0)))))</f>
        <v>0</v>
      </c>
      <c r="AJH56" s="115">
        <f>IF(SUM($D$49:AJG49)=0,0,IF(IF(AJH55&gt;0,AJH55-(IF(SUM($D56:AJG56)&gt;0,0,IF(AJG$25&gt;AJG54,AJG54,0))),0)&lt;0,0,(IF(SUM($D56:AJG56)&gt;0,0,IF(AJG$25&gt;AJG54,AJG54,0)))))</f>
        <v>0</v>
      </c>
      <c r="AJI56" s="115">
        <f>IF(SUM($D$49:AJH49)=0,0,IF(IF(AJI55&gt;0,AJI55-(IF(SUM($D56:AJH56)&gt;0,0,IF(AJH$25&gt;AJH54,AJH54,0))),0)&lt;0,0,(IF(SUM($D56:AJH56)&gt;0,0,IF(AJH$25&gt;AJH54,AJH54,0)))))</f>
        <v>0</v>
      </c>
      <c r="AJJ56" s="115">
        <f>IF(SUM($D$49:AJI49)=0,0,IF(IF(AJJ55&gt;0,AJJ55-(IF(SUM($D56:AJI56)&gt;0,0,IF(AJI$25&gt;AJI54,AJI54,0))),0)&lt;0,0,(IF(SUM($D56:AJI56)&gt;0,0,IF(AJI$25&gt;AJI54,AJI54,0)))))</f>
        <v>0</v>
      </c>
      <c r="AJK56" s="115">
        <f>IF(SUM($D$49:AJJ49)=0,0,IF(IF(AJK55&gt;0,AJK55-(IF(SUM($D56:AJJ56)&gt;0,0,IF(AJJ$25&gt;AJJ54,AJJ54,0))),0)&lt;0,0,(IF(SUM($D56:AJJ56)&gt;0,0,IF(AJJ$25&gt;AJJ54,AJJ54,0)))))</f>
        <v>0</v>
      </c>
      <c r="AJL56" s="115">
        <f>IF(SUM($D$49:AJK49)=0,0,IF(IF(AJL55&gt;0,AJL55-(IF(SUM($D56:AJK56)&gt;0,0,IF(AJK$25&gt;AJK54,AJK54,0))),0)&lt;0,0,(IF(SUM($D56:AJK56)&gt;0,0,IF(AJK$25&gt;AJK54,AJK54,0)))))</f>
        <v>0</v>
      </c>
      <c r="AJM56" s="115">
        <f>IF(SUM($D$49:AJL49)=0,0,IF(IF(AJM55&gt;0,AJM55-(IF(SUM($D56:AJL56)&gt;0,0,IF(AJL$25&gt;AJL54,AJL54,0))),0)&lt;0,0,(IF(SUM($D56:AJL56)&gt;0,0,IF(AJL$25&gt;AJL54,AJL54,0)))))</f>
        <v>0</v>
      </c>
      <c r="AJN56" s="115">
        <f>IF(SUM($D$49:AJM49)=0,0,IF(IF(AJN55&gt;0,AJN55-(IF(SUM($D56:AJM56)&gt;0,0,IF(AJM$25&gt;AJM54,AJM54,0))),0)&lt;0,0,(IF(SUM($D56:AJM56)&gt;0,0,IF(AJM$25&gt;AJM54,AJM54,0)))))</f>
        <v>0</v>
      </c>
      <c r="AJO56" s="115">
        <f>IF(SUM($D$49:AJN49)=0,0,IF(IF(AJO55&gt;0,AJO55-(IF(SUM($D56:AJN56)&gt;0,0,IF(AJN$25&gt;AJN54,AJN54,0))),0)&lt;0,0,(IF(SUM($D56:AJN56)&gt;0,0,IF(AJN$25&gt;AJN54,AJN54,0)))))</f>
        <v>0</v>
      </c>
      <c r="AJP56" s="115">
        <f>IF(SUM($D$49:AJO49)=0,0,IF(IF(AJP55&gt;0,AJP55-(IF(SUM($D56:AJO56)&gt;0,0,IF(AJO$25&gt;AJO54,AJO54,0))),0)&lt;0,0,(IF(SUM($D56:AJO56)&gt;0,0,IF(AJO$25&gt;AJO54,AJO54,0)))))</f>
        <v>0</v>
      </c>
      <c r="AJQ56" s="115">
        <f>IF(SUM($D$49:AJP49)=0,0,IF(IF(AJQ55&gt;0,AJQ55-(IF(SUM($D56:AJP56)&gt;0,0,IF(AJP$25&gt;AJP54,AJP54,0))),0)&lt;0,0,(IF(SUM($D56:AJP56)&gt;0,0,IF(AJP$25&gt;AJP54,AJP54,0)))))</f>
        <v>0</v>
      </c>
      <c r="AJR56" s="115">
        <f>IF(SUM($D$49:AJQ49)=0,0,IF(IF(AJR55&gt;0,AJR55-(IF(SUM($D56:AJQ56)&gt;0,0,IF(AJQ$25&gt;AJQ54,AJQ54,0))),0)&lt;0,0,(IF(SUM($D56:AJQ56)&gt;0,0,IF(AJQ$25&gt;AJQ54,AJQ54,0)))))</f>
        <v>0</v>
      </c>
      <c r="AJS56" s="115">
        <f>IF(SUM($D$49:AJR49)=0,0,IF(IF(AJS55&gt;0,AJS55-(IF(SUM($D56:AJR56)&gt;0,0,IF(AJR$25&gt;AJR54,AJR54,0))),0)&lt;0,0,(IF(SUM($D56:AJR56)&gt;0,0,IF(AJR$25&gt;AJR54,AJR54,0)))))</f>
        <v>0</v>
      </c>
      <c r="AJT56" s="115">
        <f>IF(SUM($D$49:AJS49)=0,0,IF(IF(AJT55&gt;0,AJT55-(IF(SUM($D56:AJS56)&gt;0,0,IF(AJS$25&gt;AJS54,AJS54,0))),0)&lt;0,0,(IF(SUM($D56:AJS56)&gt;0,0,IF(AJS$25&gt;AJS54,AJS54,0)))))</f>
        <v>0</v>
      </c>
      <c r="AJU56" s="115">
        <f>IF(SUM($D$49:AJT49)=0,0,IF(IF(AJU55&gt;0,AJU55-(IF(SUM($D56:AJT56)&gt;0,0,IF(AJT$25&gt;AJT54,AJT54,0))),0)&lt;0,0,(IF(SUM($D56:AJT56)&gt;0,0,IF(AJT$25&gt;AJT54,AJT54,0)))))</f>
        <v>0</v>
      </c>
      <c r="AJV56" s="115">
        <f>IF(SUM($D$49:AJU49)=0,0,IF(IF(AJV55&gt;0,AJV55-(IF(SUM($D56:AJU56)&gt;0,0,IF(AJU$25&gt;AJU54,AJU54,0))),0)&lt;0,0,(IF(SUM($D56:AJU56)&gt;0,0,IF(AJU$25&gt;AJU54,AJU54,0)))))</f>
        <v>0</v>
      </c>
      <c r="AJW56" s="115">
        <f>IF(SUM($D$49:AJV49)=0,0,IF(IF(AJW55&gt;0,AJW55-(IF(SUM($D56:AJV56)&gt;0,0,IF(AJV$25&gt;AJV54,AJV54,0))),0)&lt;0,0,(IF(SUM($D56:AJV56)&gt;0,0,IF(AJV$25&gt;AJV54,AJV54,0)))))</f>
        <v>0</v>
      </c>
      <c r="AJX56" s="115">
        <f>IF(SUM($D$49:AJW49)=0,0,IF(IF(AJX55&gt;0,AJX55-(IF(SUM($D56:AJW56)&gt;0,0,IF(AJW$25&gt;AJW54,AJW54,0))),0)&lt;0,0,(IF(SUM($D56:AJW56)&gt;0,0,IF(AJW$25&gt;AJW54,AJW54,0)))))</f>
        <v>0</v>
      </c>
      <c r="AJY56" s="115">
        <f>IF(SUM($D$49:AJX49)=0,0,IF(IF(AJY55&gt;0,AJY55-(IF(SUM($D56:AJX56)&gt;0,0,IF(AJX$25&gt;AJX54,AJX54,0))),0)&lt;0,0,(IF(SUM($D56:AJX56)&gt;0,0,IF(AJX$25&gt;AJX54,AJX54,0)))))</f>
        <v>0</v>
      </c>
      <c r="AJZ56" s="115">
        <f>IF(SUM($D$49:AJY49)=0,0,IF(IF(AJZ55&gt;0,AJZ55-(IF(SUM($D56:AJY56)&gt;0,0,IF(AJY$25&gt;AJY54,AJY54,0))),0)&lt;0,0,(IF(SUM($D56:AJY56)&gt;0,0,IF(AJY$25&gt;AJY54,AJY54,0)))))</f>
        <v>0</v>
      </c>
      <c r="AKA56" s="115">
        <f>IF(SUM($D$49:AJZ49)=0,0,IF(IF(AKA55&gt;0,AKA55-(IF(SUM($D56:AJZ56)&gt;0,0,IF(AJZ$25&gt;AJZ54,AJZ54,0))),0)&lt;0,0,(IF(SUM($D56:AJZ56)&gt;0,0,IF(AJZ$25&gt;AJZ54,AJZ54,0)))))</f>
        <v>0</v>
      </c>
      <c r="AKB56" s="115">
        <f>IF(SUM($D$49:AKA49)=0,0,IF(IF(AKB55&gt;0,AKB55-(IF(SUM($D56:AKA56)&gt;0,0,IF(AKA$25&gt;AKA54,AKA54,0))),0)&lt;0,0,(IF(SUM($D56:AKA56)&gt;0,0,IF(AKA$25&gt;AKA54,AKA54,0)))))</f>
        <v>0</v>
      </c>
      <c r="AKC56" s="115">
        <f>IF(SUM($D$49:AKB49)=0,0,IF(IF(AKC55&gt;0,AKC55-(IF(SUM($D56:AKB56)&gt;0,0,IF(AKB$25&gt;AKB54,AKB54,0))),0)&lt;0,0,(IF(SUM($D56:AKB56)&gt;0,0,IF(AKB$25&gt;AKB54,AKB54,0)))))</f>
        <v>0</v>
      </c>
      <c r="AKD56" s="115">
        <f>IF(SUM($D$49:AKC49)=0,0,IF(IF(AKD55&gt;0,AKD55-(IF(SUM($D56:AKC56)&gt;0,0,IF(AKC$25&gt;AKC54,AKC54,0))),0)&lt;0,0,(IF(SUM($D56:AKC56)&gt;0,0,IF(AKC$25&gt;AKC54,AKC54,0)))))</f>
        <v>0</v>
      </c>
      <c r="AKE56" s="115">
        <f>IF(SUM($D$49:AKD49)=0,0,IF(IF(AKE55&gt;0,AKE55-(IF(SUM($D56:AKD56)&gt;0,0,IF(AKD$25&gt;AKD54,AKD54,0))),0)&lt;0,0,(IF(SUM($D56:AKD56)&gt;0,0,IF(AKD$25&gt;AKD54,AKD54,0)))))</f>
        <v>0</v>
      </c>
      <c r="AKF56" s="115">
        <f>IF(SUM($D$49:AKE49)=0,0,IF(IF(AKF55&gt;0,AKF55-(IF(SUM($D56:AKE56)&gt;0,0,IF(AKE$25&gt;AKE54,AKE54,0))),0)&lt;0,0,(IF(SUM($D56:AKE56)&gt;0,0,IF(AKE$25&gt;AKE54,AKE54,0)))))</f>
        <v>0</v>
      </c>
      <c r="AKG56" s="115">
        <f>IF(SUM($D$49:AKF49)=0,0,IF(IF(AKG55&gt;0,AKG55-(IF(SUM($D56:AKF56)&gt;0,0,IF(AKF$25&gt;AKF54,AKF54,0))),0)&lt;0,0,(IF(SUM($D56:AKF56)&gt;0,0,IF(AKF$25&gt;AKF54,AKF54,0)))))</f>
        <v>0</v>
      </c>
      <c r="AKH56" s="115">
        <f>IF(SUM($D$49:AKG49)=0,0,IF(IF(AKH55&gt;0,AKH55-(IF(SUM($D56:AKG56)&gt;0,0,IF(AKG$25&gt;AKG54,AKG54,0))),0)&lt;0,0,(IF(SUM($D56:AKG56)&gt;0,0,IF(AKG$25&gt;AKG54,AKG54,0)))))</f>
        <v>0</v>
      </c>
      <c r="AKI56" s="115">
        <f>IF(SUM($D$49:AKH49)=0,0,IF(IF(AKI55&gt;0,AKI55-(IF(SUM($D56:AKH56)&gt;0,0,IF(AKH$25&gt;AKH54,AKH54,0))),0)&lt;0,0,(IF(SUM($D56:AKH56)&gt;0,0,IF(AKH$25&gt;AKH54,AKH54,0)))))</f>
        <v>0</v>
      </c>
      <c r="AKJ56" s="115">
        <f>IF(SUM($D$49:AKI49)=0,0,IF(IF(AKJ55&gt;0,AKJ55-(IF(SUM($D56:AKI56)&gt;0,0,IF(AKI$25&gt;AKI54,AKI54,0))),0)&lt;0,0,(IF(SUM($D56:AKI56)&gt;0,0,IF(AKI$25&gt;AKI54,AKI54,0)))))</f>
        <v>0</v>
      </c>
      <c r="AKK56" s="115">
        <f>IF(SUM($D$49:AKJ49)=0,0,IF(IF(AKK55&gt;0,AKK55-(IF(SUM($D56:AKJ56)&gt;0,0,IF(AKJ$25&gt;AKJ54,AKJ54,0))),0)&lt;0,0,(IF(SUM($D56:AKJ56)&gt;0,0,IF(AKJ$25&gt;AKJ54,AKJ54,0)))))</f>
        <v>0</v>
      </c>
      <c r="AKL56" s="115">
        <f>IF(SUM($D$49:AKK49)=0,0,IF(IF(AKL55&gt;0,AKL55-(IF(SUM($D56:AKK56)&gt;0,0,IF(AKK$25&gt;AKK54,AKK54,0))),0)&lt;0,0,(IF(SUM($D56:AKK56)&gt;0,0,IF(AKK$25&gt;AKK54,AKK54,0)))))</f>
        <v>0</v>
      </c>
      <c r="AKM56" s="115">
        <f>IF(SUM($D$49:AKL49)=0,0,IF(IF(AKM55&gt;0,AKM55-(IF(SUM($D56:AKL56)&gt;0,0,IF(AKL$25&gt;AKL54,AKL54,0))),0)&lt;0,0,(IF(SUM($D56:AKL56)&gt;0,0,IF(AKL$25&gt;AKL54,AKL54,0)))))</f>
        <v>0</v>
      </c>
      <c r="AKN56" s="115">
        <f>IF(SUM($D$49:AKM49)=0,0,IF(IF(AKN55&gt;0,AKN55-(IF(SUM($D56:AKM56)&gt;0,0,IF(AKM$25&gt;AKM54,AKM54,0))),0)&lt;0,0,(IF(SUM($D56:AKM56)&gt;0,0,IF(AKM$25&gt;AKM54,AKM54,0)))))</f>
        <v>0</v>
      </c>
      <c r="AKO56" s="115">
        <f>IF(SUM($D$49:AKN49)=0,0,IF(IF(AKO55&gt;0,AKO55-(IF(SUM($D56:AKN56)&gt;0,0,IF(AKN$25&gt;AKN54,AKN54,0))),0)&lt;0,0,(IF(SUM($D56:AKN56)&gt;0,0,IF(AKN$25&gt;AKN54,AKN54,0)))))</f>
        <v>0</v>
      </c>
      <c r="AKP56" s="115">
        <f>IF(SUM($D$49:AKO49)=0,0,IF(IF(AKP55&gt;0,AKP55-(IF(SUM($D56:AKO56)&gt;0,0,IF(AKO$25&gt;AKO54,AKO54,0))),0)&lt;0,0,(IF(SUM($D56:AKO56)&gt;0,0,IF(AKO$25&gt;AKO54,AKO54,0)))))</f>
        <v>0</v>
      </c>
      <c r="AKQ56" s="115">
        <f>IF(SUM($D$49:AKP49)=0,0,IF(IF(AKQ55&gt;0,AKQ55-(IF(SUM($D56:AKP56)&gt;0,0,IF(AKP$25&gt;AKP54,AKP54,0))),0)&lt;0,0,(IF(SUM($D56:AKP56)&gt;0,0,IF(AKP$25&gt;AKP54,AKP54,0)))))</f>
        <v>0</v>
      </c>
      <c r="AKR56" s="115">
        <f>IF(SUM($D$49:AKQ49)=0,0,IF(IF(AKR55&gt;0,AKR55-(IF(SUM($D56:AKQ56)&gt;0,0,IF(AKQ$25&gt;AKQ54,AKQ54,0))),0)&lt;0,0,(IF(SUM($D56:AKQ56)&gt;0,0,IF(AKQ$25&gt;AKQ54,AKQ54,0)))))</f>
        <v>0</v>
      </c>
      <c r="AKS56" s="115">
        <f>IF(SUM($D$49:AKR49)=0,0,IF(IF(AKS55&gt;0,AKS55-(IF(SUM($D56:AKR56)&gt;0,0,IF(AKR$25&gt;AKR54,AKR54,0))),0)&lt;0,0,(IF(SUM($D56:AKR56)&gt;0,0,IF(AKR$25&gt;AKR54,AKR54,0)))))</f>
        <v>0</v>
      </c>
      <c r="AKT56" s="115">
        <f>IF(SUM($D$49:AKS49)=0,0,IF(IF(AKT55&gt;0,AKT55-(IF(SUM($D56:AKS56)&gt;0,0,IF(AKS$25&gt;AKS54,AKS54,0))),0)&lt;0,0,(IF(SUM($D56:AKS56)&gt;0,0,IF(AKS$25&gt;AKS54,AKS54,0)))))</f>
        <v>0</v>
      </c>
      <c r="AKU56" s="115">
        <f>IF(SUM($D$49:AKT49)=0,0,IF(IF(AKU55&gt;0,AKU55-(IF(SUM($D56:AKT56)&gt;0,0,IF(AKT$25&gt;AKT54,AKT54,0))),0)&lt;0,0,(IF(SUM($D56:AKT56)&gt;0,0,IF(AKT$25&gt;AKT54,AKT54,0)))))</f>
        <v>0</v>
      </c>
      <c r="AKV56" s="115">
        <f>IF(SUM($D$49:AKU49)=0,0,IF(IF(AKV55&gt;0,AKV55-(IF(SUM($D56:AKU56)&gt;0,0,IF(AKU$25&gt;AKU54,AKU54,0))),0)&lt;0,0,(IF(SUM($D56:AKU56)&gt;0,0,IF(AKU$25&gt;AKU54,AKU54,0)))))</f>
        <v>0</v>
      </c>
      <c r="AKW56" s="115">
        <f>IF(SUM($D$49:AKV49)=0,0,IF(IF(AKW55&gt;0,AKW55-(IF(SUM($D56:AKV56)&gt;0,0,IF(AKV$25&gt;AKV54,AKV54,0))),0)&lt;0,0,(IF(SUM($D56:AKV56)&gt;0,0,IF(AKV$25&gt;AKV54,AKV54,0)))))</f>
        <v>0</v>
      </c>
      <c r="AKX56" s="115">
        <f>IF(SUM($D$49:AKW49)=0,0,IF(IF(AKX55&gt;0,AKX55-(IF(SUM($D56:AKW56)&gt;0,0,IF(AKW$25&gt;AKW54,AKW54,0))),0)&lt;0,0,(IF(SUM($D56:AKW56)&gt;0,0,IF(AKW$25&gt;AKW54,AKW54,0)))))</f>
        <v>0</v>
      </c>
      <c r="AKY56" s="115">
        <f>IF(SUM($D$49:AKX49)=0,0,IF(IF(AKY55&gt;0,AKY55-(IF(SUM($D56:AKX56)&gt;0,0,IF(AKX$25&gt;AKX54,AKX54,0))),0)&lt;0,0,(IF(SUM($D56:AKX56)&gt;0,0,IF(AKX$25&gt;AKX54,AKX54,0)))))</f>
        <v>0</v>
      </c>
      <c r="AKZ56" s="115">
        <f>IF(SUM($D$49:AKY49)=0,0,IF(IF(AKZ55&gt;0,AKZ55-(IF(SUM($D56:AKY56)&gt;0,0,IF(AKY$25&gt;AKY54,AKY54,0))),0)&lt;0,0,(IF(SUM($D56:AKY56)&gt;0,0,IF(AKY$25&gt;AKY54,AKY54,0)))))</f>
        <v>0</v>
      </c>
      <c r="ALA56" s="115">
        <f>IF(SUM($D$49:AKZ49)=0,0,IF(IF(ALA55&gt;0,ALA55-(IF(SUM($D56:AKZ56)&gt;0,0,IF(AKZ$25&gt;AKZ54,AKZ54,0))),0)&lt;0,0,(IF(SUM($D56:AKZ56)&gt;0,0,IF(AKZ$25&gt;AKZ54,AKZ54,0)))))</f>
        <v>0</v>
      </c>
      <c r="ALB56" s="115">
        <f>IF(SUM($D$49:ALA49)=0,0,IF(IF(ALB55&gt;0,ALB55-(IF(SUM($D56:ALA56)&gt;0,0,IF(ALA$25&gt;ALA54,ALA54,0))),0)&lt;0,0,(IF(SUM($D56:ALA56)&gt;0,0,IF(ALA$25&gt;ALA54,ALA54,0)))))</f>
        <v>0</v>
      </c>
      <c r="ALC56" s="115">
        <f>IF(SUM($D$49:ALB49)=0,0,IF(IF(ALC55&gt;0,ALC55-(IF(SUM($D56:ALB56)&gt;0,0,IF(ALB$25&gt;ALB54,ALB54,0))),0)&lt;0,0,(IF(SUM($D56:ALB56)&gt;0,0,IF(ALB$25&gt;ALB54,ALB54,0)))))</f>
        <v>0</v>
      </c>
      <c r="ALD56" s="115">
        <f>IF(SUM($D$49:ALC49)=0,0,IF(IF(ALD55&gt;0,ALD55-(IF(SUM($D56:ALC56)&gt;0,0,IF(ALC$25&gt;ALC54,ALC54,0))),0)&lt;0,0,(IF(SUM($D56:ALC56)&gt;0,0,IF(ALC$25&gt;ALC54,ALC54,0)))))</f>
        <v>0</v>
      </c>
      <c r="ALE56" s="115">
        <f>IF(SUM($D$49:ALD49)=0,0,IF(IF(ALE55&gt;0,ALE55-(IF(SUM($D56:ALD56)&gt;0,0,IF(ALD$25&gt;ALD54,ALD54,0))),0)&lt;0,0,(IF(SUM($D56:ALD56)&gt;0,0,IF(ALD$25&gt;ALD54,ALD54,0)))))</f>
        <v>0</v>
      </c>
      <c r="ALF56" s="115">
        <f>IF(SUM($D$49:ALE49)=0,0,IF(IF(ALF55&gt;0,ALF55-(IF(SUM($D56:ALE56)&gt;0,0,IF(ALE$25&gt;ALE54,ALE54,0))),0)&lt;0,0,(IF(SUM($D56:ALE56)&gt;0,0,IF(ALE$25&gt;ALE54,ALE54,0)))))</f>
        <v>0</v>
      </c>
      <c r="ALG56" s="115">
        <f>IF(SUM($D$49:ALF49)=0,0,IF(IF(ALG55&gt;0,ALG55-(IF(SUM($D56:ALF56)&gt;0,0,IF(ALF$25&gt;ALF54,ALF54,0))),0)&lt;0,0,(IF(SUM($D56:ALF56)&gt;0,0,IF(ALF$25&gt;ALF54,ALF54,0)))))</f>
        <v>0</v>
      </c>
      <c r="ALH56" s="115">
        <f>IF(SUM($D$49:ALG49)=0,0,IF(IF(ALH55&gt;0,ALH55-(IF(SUM($D56:ALG56)&gt;0,0,IF(ALG$25&gt;ALG54,ALG54,0))),0)&lt;0,0,(IF(SUM($D56:ALG56)&gt;0,0,IF(ALG$25&gt;ALG54,ALG54,0)))))</f>
        <v>0</v>
      </c>
      <c r="ALI56" s="115">
        <f>IF(SUM($D$49:ALH49)=0,0,IF(IF(ALI55&gt;0,ALI55-(IF(SUM($D56:ALH56)&gt;0,0,IF(ALH$25&gt;ALH54,ALH54,0))),0)&lt;0,0,(IF(SUM($D56:ALH56)&gt;0,0,IF(ALH$25&gt;ALH54,ALH54,0)))))</f>
        <v>0</v>
      </c>
      <c r="ALJ56" s="115">
        <f>IF(SUM($D$49:ALI49)=0,0,IF(IF(ALJ55&gt;0,ALJ55-(IF(SUM($D56:ALI56)&gt;0,0,IF(ALI$25&gt;ALI54,ALI54,0))),0)&lt;0,0,(IF(SUM($D56:ALI56)&gt;0,0,IF(ALI$25&gt;ALI54,ALI54,0)))))</f>
        <v>0</v>
      </c>
      <c r="ALK56" s="115">
        <f>IF(SUM($D$49:ALJ49)=0,0,IF(IF(ALK55&gt;0,ALK55-(IF(SUM($D56:ALJ56)&gt;0,0,IF(ALJ$25&gt;ALJ54,ALJ54,0))),0)&lt;0,0,(IF(SUM($D56:ALJ56)&gt;0,0,IF(ALJ$25&gt;ALJ54,ALJ54,0)))))</f>
        <v>0</v>
      </c>
      <c r="ALL56" s="115">
        <f>IF(SUM($D$49:ALK49)=0,0,IF(IF(ALL55&gt;0,ALL55-(IF(SUM($D56:ALK56)&gt;0,0,IF(ALK$25&gt;ALK54,ALK54,0))),0)&lt;0,0,(IF(SUM($D56:ALK56)&gt;0,0,IF(ALK$25&gt;ALK54,ALK54,0)))))</f>
        <v>0</v>
      </c>
      <c r="ALM56" s="115">
        <f>IF(SUM($D$49:ALL49)=0,0,IF(IF(ALM55&gt;0,ALM55-(IF(SUM($D56:ALL56)&gt;0,0,IF(ALL$25&gt;ALL54,ALL54,0))),0)&lt;0,0,(IF(SUM($D56:ALL56)&gt;0,0,IF(ALL$25&gt;ALL54,ALL54,0)))))</f>
        <v>0</v>
      </c>
      <c r="ALN56" s="115">
        <f>IF(SUM($D$49:ALM49)=0,0,IF(IF(ALN55&gt;0,ALN55-(IF(SUM($D56:ALM56)&gt;0,0,IF(ALM$25&gt;ALM54,ALM54,0))),0)&lt;0,0,(IF(SUM($D56:ALM56)&gt;0,0,IF(ALM$25&gt;ALM54,ALM54,0)))))</f>
        <v>0</v>
      </c>
      <c r="ALO56" s="115">
        <f>IF(SUM($D$49:ALN49)=0,0,IF(IF(ALO55&gt;0,ALO55-(IF(SUM($D56:ALN56)&gt;0,0,IF(ALN$25&gt;ALN54,ALN54,0))),0)&lt;0,0,(IF(SUM($D56:ALN56)&gt;0,0,IF(ALN$25&gt;ALN54,ALN54,0)))))</f>
        <v>0</v>
      </c>
      <c r="ALP56" s="115">
        <f>IF(SUM($D$49:ALO49)=0,0,IF(IF(ALP55&gt;0,ALP55-(IF(SUM($D56:ALO56)&gt;0,0,IF(ALO$25&gt;ALO54,ALO54,0))),0)&lt;0,0,(IF(SUM($D56:ALO56)&gt;0,0,IF(ALO$25&gt;ALO54,ALO54,0)))))</f>
        <v>0</v>
      </c>
      <c r="ALQ56" s="115">
        <f>IF(SUM($D$49:ALP49)=0,0,IF(IF(ALQ55&gt;0,ALQ55-(IF(SUM($D56:ALP56)&gt;0,0,IF(ALP$25&gt;ALP54,ALP54,0))),0)&lt;0,0,(IF(SUM($D56:ALP56)&gt;0,0,IF(ALP$25&gt;ALP54,ALP54,0)))))</f>
        <v>0</v>
      </c>
      <c r="ALR56" s="115">
        <f>IF(SUM($D$49:ALQ49)=0,0,IF(IF(ALR55&gt;0,ALR55-(IF(SUM($D56:ALQ56)&gt;0,0,IF(ALQ$25&gt;ALQ54,ALQ54,0))),0)&lt;0,0,(IF(SUM($D56:ALQ56)&gt;0,0,IF(ALQ$25&gt;ALQ54,ALQ54,0)))))</f>
        <v>0</v>
      </c>
      <c r="ALS56" s="115">
        <f>IF(SUM($D$49:ALR49)=0,0,IF(IF(ALS55&gt;0,ALS55-(IF(SUM($D56:ALR56)&gt;0,0,IF(ALR$25&gt;ALR54,ALR54,0))),0)&lt;0,0,(IF(SUM($D56:ALR56)&gt;0,0,IF(ALR$25&gt;ALR54,ALR54,0)))))</f>
        <v>0</v>
      </c>
      <c r="ALT56" s="115">
        <f>IF(SUM($D$49:ALS49)=0,0,IF(IF(ALT55&gt;0,ALT55-(IF(SUM($D56:ALS56)&gt;0,0,IF(ALS$25&gt;ALS54,ALS54,0))),0)&lt;0,0,(IF(SUM($D56:ALS56)&gt;0,0,IF(ALS$25&gt;ALS54,ALS54,0)))))</f>
        <v>0</v>
      </c>
      <c r="ALU56" s="115">
        <f>IF(SUM($D$49:ALT49)=0,0,IF(IF(ALU55&gt;0,ALU55-(IF(SUM($D56:ALT56)&gt;0,0,IF(ALT$25&gt;ALT54,ALT54,0))),0)&lt;0,0,(IF(SUM($D56:ALT56)&gt;0,0,IF(ALT$25&gt;ALT54,ALT54,0)))))</f>
        <v>0</v>
      </c>
      <c r="ALV56" s="115">
        <f>IF(SUM($D$49:ALU49)=0,0,IF(IF(ALV55&gt;0,ALV55-(IF(SUM($D56:ALU56)&gt;0,0,IF(ALU$25&gt;ALU54,ALU54,0))),0)&lt;0,0,(IF(SUM($D56:ALU56)&gt;0,0,IF(ALU$25&gt;ALU54,ALU54,0)))))</f>
        <v>0</v>
      </c>
      <c r="ALW56" s="115">
        <f>IF(SUM($D$49:ALV49)=0,0,IF(IF(ALW55&gt;0,ALW55-(IF(SUM($D56:ALV56)&gt;0,0,IF(ALV$25&gt;ALV54,ALV54,0))),0)&lt;0,0,(IF(SUM($D56:ALV56)&gt;0,0,IF(ALV$25&gt;ALV54,ALV54,0)))))</f>
        <v>0</v>
      </c>
      <c r="ALX56" s="115">
        <f>IF(SUM($D$49:ALW49)=0,0,IF(IF(ALX55&gt;0,ALX55-(IF(SUM($D56:ALW56)&gt;0,0,IF(ALW$25&gt;ALW54,ALW54,0))),0)&lt;0,0,(IF(SUM($D56:ALW56)&gt;0,0,IF(ALW$25&gt;ALW54,ALW54,0)))))</f>
        <v>0</v>
      </c>
      <c r="ALY56" s="115">
        <f>IF(SUM($D$49:ALX49)=0,0,IF(IF(ALY55&gt;0,ALY55-(IF(SUM($D56:ALX56)&gt;0,0,IF(ALX$25&gt;ALX54,ALX54,0))),0)&lt;0,0,(IF(SUM($D56:ALX56)&gt;0,0,IF(ALX$25&gt;ALX54,ALX54,0)))))</f>
        <v>0</v>
      </c>
      <c r="ALZ56" s="115">
        <f>IF(SUM($D$49:ALY49)=0,0,IF(IF(ALZ55&gt;0,ALZ55-(IF(SUM($D56:ALY56)&gt;0,0,IF(ALY$25&gt;ALY54,ALY54,0))),0)&lt;0,0,(IF(SUM($D56:ALY56)&gt;0,0,IF(ALY$25&gt;ALY54,ALY54,0)))))</f>
        <v>0</v>
      </c>
      <c r="AMA56" s="115">
        <f>IF(SUM($D$49:ALZ49)=0,0,IF(IF(AMA55&gt;0,AMA55-(IF(SUM($D56:ALZ56)&gt;0,0,IF(ALZ$25&gt;ALZ54,ALZ54,0))),0)&lt;0,0,(IF(SUM($D56:ALZ56)&gt;0,0,IF(ALZ$25&gt;ALZ54,ALZ54,0)))))</f>
        <v>0</v>
      </c>
      <c r="AMB56" s="115">
        <f>IF(SUM($D$49:AMA49)=0,0,IF(IF(AMB55&gt;0,AMB55-(IF(SUM($D56:AMA56)&gt;0,0,IF(AMA$25&gt;AMA54,AMA54,0))),0)&lt;0,0,(IF(SUM($D56:AMA56)&gt;0,0,IF(AMA$25&gt;AMA54,AMA54,0)))))</f>
        <v>0</v>
      </c>
      <c r="AMC56" s="115">
        <f>IF(SUM($D$49:AMB49)=0,0,IF(IF(AMC55&gt;0,AMC55-(IF(SUM($D56:AMB56)&gt;0,0,IF(AMB$25&gt;AMB54,AMB54,0))),0)&lt;0,0,(IF(SUM($D56:AMB56)&gt;0,0,IF(AMB$25&gt;AMB54,AMB54,0)))))</f>
        <v>0</v>
      </c>
      <c r="AMD56" s="115">
        <f>IF(SUM($D$49:AMC49)=0,0,IF(IF(AMD55&gt;0,AMD55-(IF(SUM($D56:AMC56)&gt;0,0,IF(AMC$25&gt;AMC54,AMC54,0))),0)&lt;0,0,(IF(SUM($D56:AMC56)&gt;0,0,IF(AMC$25&gt;AMC54,AMC54,0)))))</f>
        <v>0</v>
      </c>
      <c r="AME56" s="115">
        <f>IF(SUM($D$49:AMD49)=0,0,IF(IF(AME55&gt;0,AME55-(IF(SUM($D56:AMD56)&gt;0,0,IF(AMD$25&gt;AMD54,AMD54,0))),0)&lt;0,0,(IF(SUM($D56:AMD56)&gt;0,0,IF(AMD$25&gt;AMD54,AMD54,0)))))</f>
        <v>0</v>
      </c>
      <c r="AMF56" s="115">
        <f>IF(SUM($D$49:AME49)=0,0,IF(IF(AMF55&gt;0,AMF55-(IF(SUM($D56:AME56)&gt;0,0,IF(AME$25&gt;AME54,AME54,0))),0)&lt;0,0,(IF(SUM($D56:AME56)&gt;0,0,IF(AME$25&gt;AME54,AME54,0)))))</f>
        <v>0</v>
      </c>
      <c r="AMG56" s="115">
        <f>IF(SUM($D$49:AMF49)=0,0,IF(IF(AMG55&gt;0,AMG55-(IF(SUM($D56:AMF56)&gt;0,0,IF(AMF$25&gt;AMF54,AMF54,0))),0)&lt;0,0,(IF(SUM($D56:AMF56)&gt;0,0,IF(AMF$25&gt;AMF54,AMF54,0)))))</f>
        <v>0</v>
      </c>
      <c r="AMH56" s="115">
        <f>IF(SUM($D$49:AMG49)=0,0,IF(IF(AMH55&gt;0,AMH55-(IF(SUM($D56:AMG56)&gt;0,0,IF(AMG$25&gt;AMG54,AMG54,0))),0)&lt;0,0,(IF(SUM($D56:AMG56)&gt;0,0,IF(AMG$25&gt;AMG54,AMG54,0)))))</f>
        <v>0</v>
      </c>
      <c r="AMI56" s="115">
        <f>IF(SUM($D$49:AMH49)=0,0,IF(IF(AMI55&gt;0,AMI55-(IF(SUM($D56:AMH56)&gt;0,0,IF(AMH$25&gt;AMH54,AMH54,0))),0)&lt;0,0,(IF(SUM($D56:AMH56)&gt;0,0,IF(AMH$25&gt;AMH54,AMH54,0)))))</f>
        <v>0</v>
      </c>
      <c r="AMJ56" s="115">
        <f>IF(SUM($D$49:AMI49)=0,0,IF(IF(AMJ55&gt;0,AMJ55-(IF(SUM($D56:AMI56)&gt;0,0,IF(AMI$25&gt;AMI54,AMI54,0))),0)&lt;0,0,(IF(SUM($D56:AMI56)&gt;0,0,IF(AMI$25&gt;AMI54,AMI54,0)))))</f>
        <v>0</v>
      </c>
      <c r="AMK56" s="115">
        <f>IF(SUM($D$49:AMJ49)=0,0,IF(IF(AMK55&gt;0,AMK55-(IF(SUM($D56:AMJ56)&gt;0,0,IF(AMJ$25&gt;AMJ54,AMJ54,0))),0)&lt;0,0,(IF(SUM($D56:AMJ56)&gt;0,0,IF(AMJ$25&gt;AMJ54,AMJ54,0)))))</f>
        <v>0</v>
      </c>
      <c r="AML56" s="115">
        <f>IF(SUM($D$49:AMK49)=0,0,IF(IF(AML55&gt;0,AML55-(IF(SUM($D56:AMK56)&gt;0,0,IF(AMK$25&gt;AMK54,AMK54,0))),0)&lt;0,0,(IF(SUM($D56:AMK56)&gt;0,0,IF(AMK$25&gt;AMK54,AMK54,0)))))</f>
        <v>0</v>
      </c>
      <c r="AMM56" s="115">
        <f>IF(SUM($D$49:AML49)=0,0,IF(IF(AMM55&gt;0,AMM55-(IF(SUM($D56:AML56)&gt;0,0,IF(AML$25&gt;AML54,AML54,0))),0)&lt;0,0,(IF(SUM($D56:AML56)&gt;0,0,IF(AML$25&gt;AML54,AML54,0)))))</f>
        <v>0</v>
      </c>
      <c r="AMN56" s="115">
        <f>IF(SUM($D$49:AMM49)=0,0,IF(IF(AMN55&gt;0,AMN55-(IF(SUM($D56:AMM56)&gt;0,0,IF(AMM$25&gt;AMM54,AMM54,0))),0)&lt;0,0,(IF(SUM($D56:AMM56)&gt;0,0,IF(AMM$25&gt;AMM54,AMM54,0)))))</f>
        <v>0</v>
      </c>
      <c r="AMO56" s="115">
        <f>IF(SUM($D$49:AMN49)=0,0,IF(IF(AMO55&gt;0,AMO55-(IF(SUM($D56:AMN56)&gt;0,0,IF(AMN$25&gt;AMN54,AMN54,0))),0)&lt;0,0,(IF(SUM($D56:AMN56)&gt;0,0,IF(AMN$25&gt;AMN54,AMN54,0)))))</f>
        <v>0</v>
      </c>
      <c r="AMP56" s="115">
        <f>IF(SUM($D$49:AMO49)=0,0,IF(IF(AMP55&gt;0,AMP55-(IF(SUM($D56:AMO56)&gt;0,0,IF(AMO$25&gt;AMO54,AMO54,0))),0)&lt;0,0,(IF(SUM($D56:AMO56)&gt;0,0,IF(AMO$25&gt;AMO54,AMO54,0)))))</f>
        <v>0</v>
      </c>
      <c r="AMQ56" s="115">
        <f>IF(SUM($D$49:AMP49)=0,0,IF(IF(AMQ55&gt;0,AMQ55-(IF(SUM($D56:AMP56)&gt;0,0,IF(AMP$25&gt;AMP54,AMP54,0))),0)&lt;0,0,(IF(SUM($D56:AMP56)&gt;0,0,IF(AMP$25&gt;AMP54,AMP54,0)))))</f>
        <v>0</v>
      </c>
      <c r="AMR56" s="115">
        <f>IF(SUM($D$49:AMQ49)=0,0,IF(IF(AMR55&gt;0,AMR55-(IF(SUM($D56:AMQ56)&gt;0,0,IF(AMQ$25&gt;AMQ54,AMQ54,0))),0)&lt;0,0,(IF(SUM($D56:AMQ56)&gt;0,0,IF(AMQ$25&gt;AMQ54,AMQ54,0)))))</f>
        <v>0</v>
      </c>
      <c r="AMS56" s="115">
        <f>IF(SUM($D$49:AMR49)=0,0,IF(IF(AMS55&gt;0,AMS55-(IF(SUM($D56:AMR56)&gt;0,0,IF(AMR$25&gt;AMR54,AMR54,0))),0)&lt;0,0,(IF(SUM($D56:AMR56)&gt;0,0,IF(AMR$25&gt;AMR54,AMR54,0)))))</f>
        <v>0</v>
      </c>
      <c r="AMT56" s="115">
        <f>IF(SUM($D$49:AMS49)=0,0,IF(IF(AMT55&gt;0,AMT55-(IF(SUM($D56:AMS56)&gt;0,0,IF(AMS$25&gt;AMS54,AMS54,0))),0)&lt;0,0,(IF(SUM($D56:AMS56)&gt;0,0,IF(AMS$25&gt;AMS54,AMS54,0)))))</f>
        <v>0</v>
      </c>
      <c r="AMU56" s="115">
        <f>IF(SUM($D$49:AMT49)=0,0,IF(IF(AMU55&gt;0,AMU55-(IF(SUM($D56:AMT56)&gt;0,0,IF(AMT$25&gt;AMT54,AMT54,0))),0)&lt;0,0,(IF(SUM($D56:AMT56)&gt;0,0,IF(AMT$25&gt;AMT54,AMT54,0)))))</f>
        <v>0</v>
      </c>
      <c r="AMV56" s="115">
        <f>IF(SUM($D$49:AMU49)=0,0,IF(IF(AMV55&gt;0,AMV55-(IF(SUM($D56:AMU56)&gt;0,0,IF(AMU$25&gt;AMU54,AMU54,0))),0)&lt;0,0,(IF(SUM($D56:AMU56)&gt;0,0,IF(AMU$25&gt;AMU54,AMU54,0)))))</f>
        <v>0</v>
      </c>
      <c r="AMW56" s="115">
        <f>IF(SUM($D$49:AMV49)=0,0,IF(IF(AMW55&gt;0,AMW55-(IF(SUM($D56:AMV56)&gt;0,0,IF(AMV$25&gt;AMV54,AMV54,0))),0)&lt;0,0,(IF(SUM($D56:AMV56)&gt;0,0,IF(AMV$25&gt;AMV54,AMV54,0)))))</f>
        <v>0</v>
      </c>
      <c r="AMX56" s="115">
        <f>IF(SUM($D$49:AMW49)=0,0,IF(IF(AMX55&gt;0,AMX55-(IF(SUM($D56:AMW56)&gt;0,0,IF(AMW$25&gt;AMW54,AMW54,0))),0)&lt;0,0,(IF(SUM($D56:AMW56)&gt;0,0,IF(AMW$25&gt;AMW54,AMW54,0)))))</f>
        <v>0</v>
      </c>
      <c r="AMY56" s="115">
        <f>IF(SUM($D$49:AMX49)=0,0,IF(IF(AMY55&gt;0,AMY55-(IF(SUM($D56:AMX56)&gt;0,0,IF(AMX$25&gt;AMX54,AMX54,0))),0)&lt;0,0,(IF(SUM($D56:AMX56)&gt;0,0,IF(AMX$25&gt;AMX54,AMX54,0)))))</f>
        <v>0</v>
      </c>
      <c r="AMZ56" s="115">
        <f>IF(SUM($D$49:AMY49)=0,0,IF(IF(AMZ55&gt;0,AMZ55-(IF(SUM($D56:AMY56)&gt;0,0,IF(AMY$25&gt;AMY54,AMY54,0))),0)&lt;0,0,(IF(SUM($D56:AMY56)&gt;0,0,IF(AMY$25&gt;AMY54,AMY54,0)))))</f>
        <v>0</v>
      </c>
      <c r="ANA56" s="115">
        <f>IF(SUM($D$49:AMZ49)=0,0,IF(IF(ANA55&gt;0,ANA55-(IF(SUM($D56:AMZ56)&gt;0,0,IF(AMZ$25&gt;AMZ54,AMZ54,0))),0)&lt;0,0,(IF(SUM($D56:AMZ56)&gt;0,0,IF(AMZ$25&gt;AMZ54,AMZ54,0)))))</f>
        <v>0</v>
      </c>
      <c r="ANB56" s="115">
        <f>IF(SUM($D$49:ANA49)=0,0,IF(IF(ANB55&gt;0,ANB55-(IF(SUM($D56:ANA56)&gt;0,0,IF(ANA$25&gt;ANA54,ANA54,0))),0)&lt;0,0,(IF(SUM($D56:ANA56)&gt;0,0,IF(ANA$25&gt;ANA54,ANA54,0)))))</f>
        <v>0</v>
      </c>
      <c r="ANC56" s="115">
        <f>IF(SUM($D$49:ANB49)=0,0,IF(IF(ANC55&gt;0,ANC55-(IF(SUM($D56:ANB56)&gt;0,0,IF(ANB$25&gt;ANB54,ANB54,0))),0)&lt;0,0,(IF(SUM($D56:ANB56)&gt;0,0,IF(ANB$25&gt;ANB54,ANB54,0)))))</f>
        <v>0</v>
      </c>
      <c r="AND56" s="115">
        <f>IF(SUM($D$49:ANC49)=0,0,IF(IF(AND55&gt;0,AND55-(IF(SUM($D56:ANC56)&gt;0,0,IF(ANC$25&gt;ANC54,ANC54,0))),0)&lt;0,0,(IF(SUM($D56:ANC56)&gt;0,0,IF(ANC$25&gt;ANC54,ANC54,0)))))</f>
        <v>0</v>
      </c>
      <c r="ANE56" s="115">
        <f>IF(SUM($D$49:AND49)=0,0,IF(IF(ANE55&gt;0,ANE55-(IF(SUM($D56:AND56)&gt;0,0,IF(AND$25&gt;AND54,AND54,0))),0)&lt;0,0,(IF(SUM($D56:AND56)&gt;0,0,IF(AND$25&gt;AND54,AND54,0)))))</f>
        <v>0</v>
      </c>
      <c r="ANF56" s="115">
        <f>IF(SUM($D$49:ANE49)=0,0,IF(IF(ANF55&gt;0,ANF55-(IF(SUM($D56:ANE56)&gt;0,0,IF(ANE$25&gt;ANE54,ANE54,0))),0)&lt;0,0,(IF(SUM($D56:ANE56)&gt;0,0,IF(ANE$25&gt;ANE54,ANE54,0)))))</f>
        <v>0</v>
      </c>
      <c r="ANG56" s="115">
        <f>IF(SUM($D$49:ANF49)=0,0,IF(IF(ANG55&gt;0,ANG55-(IF(SUM($D56:ANF56)&gt;0,0,IF(ANF$25&gt;ANF54,ANF54,0))),0)&lt;0,0,(IF(SUM($D56:ANF56)&gt;0,0,IF(ANF$25&gt;ANF54,ANF54,0)))))</f>
        <v>0</v>
      </c>
      <c r="ANH56" s="115">
        <f>IF(SUM($D$49:ANG49)=0,0,IF(IF(ANH55&gt;0,ANH55-(IF(SUM($D56:ANG56)&gt;0,0,IF(ANG$25&gt;ANG54,ANG54,0))),0)&lt;0,0,(IF(SUM($D56:ANG56)&gt;0,0,IF(ANG$25&gt;ANG54,ANG54,0)))))</f>
        <v>0</v>
      </c>
      <c r="ANI56" s="115">
        <f>IF(SUM($D$49:ANH49)=0,0,IF(IF(ANI55&gt;0,ANI55-(IF(SUM($D56:ANH56)&gt;0,0,IF(ANH$25&gt;ANH54,ANH54,0))),0)&lt;0,0,(IF(SUM($D56:ANH56)&gt;0,0,IF(ANH$25&gt;ANH54,ANH54,0)))))</f>
        <v>0</v>
      </c>
      <c r="ANJ56" s="115">
        <f>IF(SUM($D$49:ANI49)=0,0,IF(IF(ANJ55&gt;0,ANJ55-(IF(SUM($D56:ANI56)&gt;0,0,IF(ANI$25&gt;ANI54,ANI54,0))),0)&lt;0,0,(IF(SUM($D56:ANI56)&gt;0,0,IF(ANI$25&gt;ANI54,ANI54,0)))))</f>
        <v>0</v>
      </c>
      <c r="ANK56" s="115">
        <f>IF(SUM($D$49:ANJ49)=0,0,IF(IF(ANK55&gt;0,ANK55-(IF(SUM($D56:ANJ56)&gt;0,0,IF(ANJ$25&gt;ANJ54,ANJ54,0))),0)&lt;0,0,(IF(SUM($D56:ANJ56)&gt;0,0,IF(ANJ$25&gt;ANJ54,ANJ54,0)))))</f>
        <v>0</v>
      </c>
      <c r="ANL56" s="115">
        <f>IF(SUM($D$49:ANK49)=0,0,IF(IF(ANL55&gt;0,ANL55-(IF(SUM($D56:ANK56)&gt;0,0,IF(ANK$25&gt;ANK54,ANK54,0))),0)&lt;0,0,(IF(SUM($D56:ANK56)&gt;0,0,IF(ANK$25&gt;ANK54,ANK54,0)))))</f>
        <v>0</v>
      </c>
      <c r="ANM56" s="115">
        <f>IF(SUM($D$49:ANL49)=0,0,IF(IF(ANM55&gt;0,ANM55-(IF(SUM($D56:ANL56)&gt;0,0,IF(ANL$25&gt;ANL54,ANL54,0))),0)&lt;0,0,(IF(SUM($D56:ANL56)&gt;0,0,IF(ANL$25&gt;ANL54,ANL54,0)))))</f>
        <v>0</v>
      </c>
      <c r="ANN56" s="115">
        <f>IF(SUM($D$49:ANM49)=0,0,IF(IF(ANN55&gt;0,ANN55-(IF(SUM($D56:ANM56)&gt;0,0,IF(ANM$25&gt;ANM54,ANM54,0))),0)&lt;0,0,(IF(SUM($D56:ANM56)&gt;0,0,IF(ANM$25&gt;ANM54,ANM54,0)))))</f>
        <v>0</v>
      </c>
      <c r="ANO56" s="115">
        <f>IF(SUM($D$49:ANN49)=0,0,IF(IF(ANO55&gt;0,ANO55-(IF(SUM($D56:ANN56)&gt;0,0,IF(ANN$25&gt;ANN54,ANN54,0))),0)&lt;0,0,(IF(SUM($D56:ANN56)&gt;0,0,IF(ANN$25&gt;ANN54,ANN54,0)))))</f>
        <v>0</v>
      </c>
      <c r="ANP56" s="115">
        <f>IF(SUM($D$49:ANO49)=0,0,IF(IF(ANP55&gt;0,ANP55-(IF(SUM($D56:ANO56)&gt;0,0,IF(ANO$25&gt;ANO54,ANO54,0))),0)&lt;0,0,(IF(SUM($D56:ANO56)&gt;0,0,IF(ANO$25&gt;ANO54,ANO54,0)))))</f>
        <v>0</v>
      </c>
      <c r="ANQ56" s="115">
        <f>IF(SUM($D$49:ANP49)=0,0,IF(IF(ANQ55&gt;0,ANQ55-(IF(SUM($D56:ANP56)&gt;0,0,IF(ANP$25&gt;ANP54,ANP54,0))),0)&lt;0,0,(IF(SUM($D56:ANP56)&gt;0,0,IF(ANP$25&gt;ANP54,ANP54,0)))))</f>
        <v>0</v>
      </c>
      <c r="ANR56" s="115">
        <f>IF(SUM($D$49:ANQ49)=0,0,IF(IF(ANR55&gt;0,ANR55-(IF(SUM($D56:ANQ56)&gt;0,0,IF(ANQ$25&gt;ANQ54,ANQ54,0))),0)&lt;0,0,(IF(SUM($D56:ANQ56)&gt;0,0,IF(ANQ$25&gt;ANQ54,ANQ54,0)))))</f>
        <v>0</v>
      </c>
      <c r="ANS56" s="115">
        <f>IF(SUM($D$49:ANR49)=0,0,IF(IF(ANS55&gt;0,ANS55-(IF(SUM($D56:ANR56)&gt;0,0,IF(ANR$25&gt;ANR54,ANR54,0))),0)&lt;0,0,(IF(SUM($D56:ANR56)&gt;0,0,IF(ANR$25&gt;ANR54,ANR54,0)))))</f>
        <v>0</v>
      </c>
      <c r="ANT56" s="115">
        <f>IF(SUM($D$49:ANS49)=0,0,IF(IF(ANT55&gt;0,ANT55-(IF(SUM($D56:ANS56)&gt;0,0,IF(ANS$25&gt;ANS54,ANS54,0))),0)&lt;0,0,(IF(SUM($D56:ANS56)&gt;0,0,IF(ANS$25&gt;ANS54,ANS54,0)))))</f>
        <v>0</v>
      </c>
      <c r="ANU56" s="115">
        <f>IF(SUM($D$49:ANT49)=0,0,IF(IF(ANU55&gt;0,ANU55-(IF(SUM($D56:ANT56)&gt;0,0,IF(ANT$25&gt;ANT54,ANT54,0))),0)&lt;0,0,(IF(SUM($D56:ANT56)&gt;0,0,IF(ANT$25&gt;ANT54,ANT54,0)))))</f>
        <v>0</v>
      </c>
      <c r="ANV56" s="115">
        <f>IF(SUM($D$49:ANU49)=0,0,IF(IF(ANV55&gt;0,ANV55-(IF(SUM($D56:ANU56)&gt;0,0,IF(ANU$25&gt;ANU54,ANU54,0))),0)&lt;0,0,(IF(SUM($D56:ANU56)&gt;0,0,IF(ANU$25&gt;ANU54,ANU54,0)))))</f>
        <v>0</v>
      </c>
      <c r="ANW56" s="115">
        <f>IF(SUM($D$49:ANV49)=0,0,IF(IF(ANW55&gt;0,ANW55-(IF(SUM($D56:ANV56)&gt;0,0,IF(ANV$25&gt;ANV54,ANV54,0))),0)&lt;0,0,(IF(SUM($D56:ANV56)&gt;0,0,IF(ANV$25&gt;ANV54,ANV54,0)))))</f>
        <v>0</v>
      </c>
      <c r="ANX56" s="115">
        <f>IF(SUM($D$49:ANW49)=0,0,IF(IF(ANX55&gt;0,ANX55-(IF(SUM($D56:ANW56)&gt;0,0,IF(ANW$25&gt;ANW54,ANW54,0))),0)&lt;0,0,(IF(SUM($D56:ANW56)&gt;0,0,IF(ANW$25&gt;ANW54,ANW54,0)))))</f>
        <v>0</v>
      </c>
      <c r="ANY56" s="115">
        <f>IF(SUM($D$49:ANX49)=0,0,IF(IF(ANY55&gt;0,ANY55-(IF(SUM($D56:ANX56)&gt;0,0,IF(ANX$25&gt;ANX54,ANX54,0))),0)&lt;0,0,(IF(SUM($D56:ANX56)&gt;0,0,IF(ANX$25&gt;ANX54,ANX54,0)))))</f>
        <v>0</v>
      </c>
      <c r="ANZ56" s="115">
        <f>IF(SUM($D$49:ANY49)=0,0,IF(IF(ANZ55&gt;0,ANZ55-(IF(SUM($D56:ANY56)&gt;0,0,IF(ANY$25&gt;ANY54,ANY54,0))),0)&lt;0,0,(IF(SUM($D56:ANY56)&gt;0,0,IF(ANY$25&gt;ANY54,ANY54,0)))))</f>
        <v>0</v>
      </c>
      <c r="AOA56" s="115">
        <f>IF(SUM($D$49:ANZ49)=0,0,IF(IF(AOA55&gt;0,AOA55-(IF(SUM($D56:ANZ56)&gt;0,0,IF(ANZ$25&gt;ANZ54,ANZ54,0))),0)&lt;0,0,(IF(SUM($D56:ANZ56)&gt;0,0,IF(ANZ$25&gt;ANZ54,ANZ54,0)))))</f>
        <v>0</v>
      </c>
      <c r="AOB56" s="115">
        <f>IF(SUM($D$49:AOA49)=0,0,IF(IF(AOB55&gt;0,AOB55-(IF(SUM($D56:AOA56)&gt;0,0,IF(AOA$25&gt;AOA54,AOA54,0))),0)&lt;0,0,(IF(SUM($D56:AOA56)&gt;0,0,IF(AOA$25&gt;AOA54,AOA54,0)))))</f>
        <v>0</v>
      </c>
      <c r="AOC56" s="115">
        <f>IF(SUM($D$49:AOB49)=0,0,IF(IF(AOC55&gt;0,AOC55-(IF(SUM($D56:AOB56)&gt;0,0,IF(AOB$25&gt;AOB54,AOB54,0))),0)&lt;0,0,(IF(SUM($D56:AOB56)&gt;0,0,IF(AOB$25&gt;AOB54,AOB54,0)))))</f>
        <v>0</v>
      </c>
      <c r="AOD56" s="115">
        <f>IF(SUM($D$49:AOC49)=0,0,IF(IF(AOD55&gt;0,AOD55-(IF(SUM($D56:AOC56)&gt;0,0,IF(AOC$25&gt;AOC54,AOC54,0))),0)&lt;0,0,(IF(SUM($D56:AOC56)&gt;0,0,IF(AOC$25&gt;AOC54,AOC54,0)))))</f>
        <v>0</v>
      </c>
      <c r="AOE56" s="115">
        <f>IF(SUM($D$49:AOD49)=0,0,IF(IF(AOE55&gt;0,AOE55-(IF(SUM($D56:AOD56)&gt;0,0,IF(AOD$25&gt;AOD54,AOD54,0))),0)&lt;0,0,(IF(SUM($D56:AOD56)&gt;0,0,IF(AOD$25&gt;AOD54,AOD54,0)))))</f>
        <v>0</v>
      </c>
      <c r="AOF56" s="115">
        <f>IF(SUM($D$49:AOE49)=0,0,IF(IF(AOF55&gt;0,AOF55-(IF(SUM($D56:AOE56)&gt;0,0,IF(AOE$25&gt;AOE54,AOE54,0))),0)&lt;0,0,(IF(SUM($D56:AOE56)&gt;0,0,IF(AOE$25&gt;AOE54,AOE54,0)))))</f>
        <v>0</v>
      </c>
      <c r="AOG56" s="115">
        <f>IF(SUM($D$49:AOF49)=0,0,IF(IF(AOG55&gt;0,AOG55-(IF(SUM($D56:AOF56)&gt;0,0,IF(AOF$25&gt;AOF54,AOF54,0))),0)&lt;0,0,(IF(SUM($D56:AOF56)&gt;0,0,IF(AOF$25&gt;AOF54,AOF54,0)))))</f>
        <v>0</v>
      </c>
      <c r="AOH56" s="115">
        <f>IF(SUM($D$49:AOG49)=0,0,IF(IF(AOH55&gt;0,AOH55-(IF(SUM($D56:AOG56)&gt;0,0,IF(AOG$25&gt;AOG54,AOG54,0))),0)&lt;0,0,(IF(SUM($D56:AOG56)&gt;0,0,IF(AOG$25&gt;AOG54,AOG54,0)))))</f>
        <v>0</v>
      </c>
      <c r="AOI56" s="115">
        <f>IF(SUM($D$49:AOH49)=0,0,IF(IF(AOI55&gt;0,AOI55-(IF(SUM($D56:AOH56)&gt;0,0,IF(AOH$25&gt;AOH54,AOH54,0))),0)&lt;0,0,(IF(SUM($D56:AOH56)&gt;0,0,IF(AOH$25&gt;AOH54,AOH54,0)))))</f>
        <v>0</v>
      </c>
      <c r="AOJ56" s="115">
        <f>IF(SUM($D$49:AOI49)=0,0,IF(IF(AOJ55&gt;0,AOJ55-(IF(SUM($D56:AOI56)&gt;0,0,IF(AOI$25&gt;AOI54,AOI54,0))),0)&lt;0,0,(IF(SUM($D56:AOI56)&gt;0,0,IF(AOI$25&gt;AOI54,AOI54,0)))))</f>
        <v>0</v>
      </c>
      <c r="AOK56" s="115">
        <f>IF(SUM($D$49:AOJ49)=0,0,IF(IF(AOK55&gt;0,AOK55-(IF(SUM($D56:AOJ56)&gt;0,0,IF(AOJ$25&gt;AOJ54,AOJ54,0))),0)&lt;0,0,(IF(SUM($D56:AOJ56)&gt;0,0,IF(AOJ$25&gt;AOJ54,AOJ54,0)))))</f>
        <v>0</v>
      </c>
      <c r="AOL56" s="115">
        <f>IF(SUM($D$49:AOK49)=0,0,IF(IF(AOL55&gt;0,AOL55-(IF(SUM($D56:AOK56)&gt;0,0,IF(AOK$25&gt;AOK54,AOK54,0))),0)&lt;0,0,(IF(SUM($D56:AOK56)&gt;0,0,IF(AOK$25&gt;AOK54,AOK54,0)))))</f>
        <v>0</v>
      </c>
      <c r="AOM56" s="115">
        <f>IF(SUM($D$49:AOL49)=0,0,IF(IF(AOM55&gt;0,AOM55-(IF(SUM($D56:AOL56)&gt;0,0,IF(AOL$25&gt;AOL54,AOL54,0))),0)&lt;0,0,(IF(SUM($D56:AOL56)&gt;0,0,IF(AOL$25&gt;AOL54,AOL54,0)))))</f>
        <v>0</v>
      </c>
      <c r="AON56" s="115">
        <f>IF(SUM($D$49:AOM49)=0,0,IF(IF(AON55&gt;0,AON55-(IF(SUM($D56:AOM56)&gt;0,0,IF(AOM$25&gt;AOM54,AOM54,0))),0)&lt;0,0,(IF(SUM($D56:AOM56)&gt;0,0,IF(AOM$25&gt;AOM54,AOM54,0)))))</f>
        <v>0</v>
      </c>
      <c r="AOO56" s="115">
        <f>IF(SUM($D$49:AON49)=0,0,IF(IF(AOO55&gt;0,AOO55-(IF(SUM($D56:AON56)&gt;0,0,IF(AON$25&gt;AON54,AON54,0))),0)&lt;0,0,(IF(SUM($D56:AON56)&gt;0,0,IF(AON$25&gt;AON54,AON54,0)))))</f>
        <v>0</v>
      </c>
      <c r="AOP56" s="115">
        <f>IF(SUM($D$49:AOO49)=0,0,IF(IF(AOP55&gt;0,AOP55-(IF(SUM($D56:AOO56)&gt;0,0,IF(AOO$25&gt;AOO54,AOO54,0))),0)&lt;0,0,(IF(SUM($D56:AOO56)&gt;0,0,IF(AOO$25&gt;AOO54,AOO54,0)))))</f>
        <v>0</v>
      </c>
      <c r="AOQ56" s="115">
        <f>IF(SUM($D$49:AOP49)=0,0,IF(IF(AOQ55&gt;0,AOQ55-(IF(SUM($D56:AOP56)&gt;0,0,IF(AOP$25&gt;AOP54,AOP54,0))),0)&lt;0,0,(IF(SUM($D56:AOP56)&gt;0,0,IF(AOP$25&gt;AOP54,AOP54,0)))))</f>
        <v>0</v>
      </c>
    </row>
    <row r="57" spans="1:1083" x14ac:dyDescent="0.25">
      <c r="B57" s="116" t="s">
        <v>299</v>
      </c>
      <c r="C57" s="115">
        <f>SUM(D57:AOQ57)</f>
        <v>0</v>
      </c>
      <c r="D57" s="115">
        <f>IF(D56&gt;0,D$17,0)</f>
        <v>0</v>
      </c>
      <c r="E57" s="115">
        <f t="shared" ref="E57" si="3662">IF(E56&gt;0,E$17,0)</f>
        <v>0</v>
      </c>
      <c r="F57" s="115">
        <f t="shared" ref="F57" si="3663">IF(F56&gt;0,F$17,0)</f>
        <v>0</v>
      </c>
      <c r="G57" s="115">
        <f t="shared" ref="G57" si="3664">IF(G56&gt;0,G$17,0)</f>
        <v>0</v>
      </c>
      <c r="H57" s="115">
        <f t="shared" ref="H57" si="3665">IF(H56&gt;0,H$17,0)</f>
        <v>0</v>
      </c>
      <c r="I57" s="115">
        <f t="shared" ref="I57" si="3666">IF(I56&gt;0,I$17,0)</f>
        <v>0</v>
      </c>
      <c r="J57" s="115">
        <f t="shared" ref="J57" si="3667">IF(J56&gt;0,J$17,0)</f>
        <v>0</v>
      </c>
      <c r="K57" s="115">
        <f t="shared" ref="K57" si="3668">IF(K56&gt;0,K$17,0)</f>
        <v>0</v>
      </c>
      <c r="L57" s="115">
        <f t="shared" ref="L57" si="3669">IF(L56&gt;0,L$17,0)</f>
        <v>0</v>
      </c>
      <c r="M57" s="115">
        <f t="shared" ref="M57" si="3670">IF(M56&gt;0,M$17,0)</f>
        <v>0</v>
      </c>
      <c r="N57" s="115">
        <f t="shared" ref="N57" si="3671">IF(N56&gt;0,N$17,0)</f>
        <v>0</v>
      </c>
      <c r="O57" s="115">
        <f t="shared" ref="O57" si="3672">IF(O56&gt;0,O$17,0)</f>
        <v>0</v>
      </c>
      <c r="P57" s="115">
        <f t="shared" ref="P57" si="3673">IF(P56&gt;0,P$17,0)</f>
        <v>0</v>
      </c>
      <c r="Q57" s="115">
        <f t="shared" ref="Q57" si="3674">IF(Q56&gt;0,Q$17,0)</f>
        <v>0</v>
      </c>
      <c r="R57" s="115">
        <f t="shared" ref="R57" si="3675">IF(R56&gt;0,R$17,0)</f>
        <v>0</v>
      </c>
      <c r="S57" s="115">
        <f t="shared" ref="S57" si="3676">IF(S56&gt;0,S$17,0)</f>
        <v>0</v>
      </c>
      <c r="T57" s="115">
        <f t="shared" ref="T57" si="3677">IF(T56&gt;0,T$17,0)</f>
        <v>0</v>
      </c>
      <c r="U57" s="115">
        <f t="shared" ref="U57" si="3678">IF(U56&gt;0,U$17,0)</f>
        <v>0</v>
      </c>
      <c r="V57" s="115">
        <f t="shared" ref="V57" si="3679">IF(V56&gt;0,V$17,0)</f>
        <v>0</v>
      </c>
      <c r="W57" s="115">
        <f t="shared" ref="W57" si="3680">IF(W56&gt;0,W$17,0)</f>
        <v>0</v>
      </c>
      <c r="X57" s="115">
        <f t="shared" ref="X57" si="3681">IF(X56&gt;0,X$17,0)</f>
        <v>0</v>
      </c>
      <c r="Y57" s="115">
        <f t="shared" ref="Y57" si="3682">IF(Y56&gt;0,Y$17,0)</f>
        <v>0</v>
      </c>
      <c r="Z57" s="115">
        <f t="shared" ref="Z57" si="3683">IF(Z56&gt;0,Z$17,0)</f>
        <v>0</v>
      </c>
      <c r="AA57" s="115">
        <f t="shared" ref="AA57" si="3684">IF(AA56&gt;0,AA$17,0)</f>
        <v>0</v>
      </c>
      <c r="AB57" s="115">
        <f t="shared" ref="AB57" si="3685">IF(AB56&gt;0,AB$17,0)</f>
        <v>0</v>
      </c>
      <c r="AC57" s="115">
        <f t="shared" ref="AC57" si="3686">IF(AC56&gt;0,AC$17,0)</f>
        <v>0</v>
      </c>
      <c r="AD57" s="115">
        <f t="shared" ref="AD57" si="3687">IF(AD56&gt;0,AD$17,0)</f>
        <v>0</v>
      </c>
      <c r="AE57" s="115">
        <f t="shared" ref="AE57" si="3688">IF(AE56&gt;0,AE$17,0)</f>
        <v>0</v>
      </c>
      <c r="AF57" s="115">
        <f t="shared" ref="AF57" si="3689">IF(AF56&gt;0,AF$17,0)</f>
        <v>0</v>
      </c>
      <c r="AG57" s="115">
        <f t="shared" ref="AG57" si="3690">IF(AG56&gt;0,AG$17,0)</f>
        <v>0</v>
      </c>
      <c r="AH57" s="115">
        <f t="shared" ref="AH57" si="3691">IF(AH56&gt;0,AH$17,0)</f>
        <v>0</v>
      </c>
      <c r="AI57" s="115">
        <f t="shared" ref="AI57" si="3692">IF(AI56&gt;0,AI$17,0)</f>
        <v>0</v>
      </c>
      <c r="AJ57" s="115">
        <f t="shared" ref="AJ57" si="3693">IF(AJ56&gt;0,AJ$17,0)</f>
        <v>0</v>
      </c>
      <c r="AK57" s="115">
        <f t="shared" ref="AK57" si="3694">IF(AK56&gt;0,AK$17,0)</f>
        <v>0</v>
      </c>
      <c r="AL57" s="115">
        <f t="shared" ref="AL57" si="3695">IF(AL56&gt;0,AL$17,0)</f>
        <v>0</v>
      </c>
      <c r="AM57" s="115">
        <f t="shared" ref="AM57" si="3696">IF(AM56&gt;0,AM$17,0)</f>
        <v>0</v>
      </c>
      <c r="AN57" s="115">
        <f t="shared" ref="AN57" si="3697">IF(AN56&gt;0,AN$17,0)</f>
        <v>0</v>
      </c>
      <c r="AO57" s="115">
        <f t="shared" ref="AO57" si="3698">IF(AO56&gt;0,AO$17,0)</f>
        <v>0</v>
      </c>
      <c r="AP57" s="115">
        <f t="shared" ref="AP57" si="3699">IF(AP56&gt;0,AP$17,0)</f>
        <v>0</v>
      </c>
      <c r="AQ57" s="115">
        <f t="shared" ref="AQ57" si="3700">IF(AQ56&gt;0,AQ$17,0)</f>
        <v>0</v>
      </c>
      <c r="AR57" s="115">
        <f t="shared" ref="AR57" si="3701">IF(AR56&gt;0,AR$17,0)</f>
        <v>0</v>
      </c>
      <c r="AS57" s="115">
        <f t="shared" ref="AS57" si="3702">IF(AS56&gt;0,AS$17,0)</f>
        <v>0</v>
      </c>
      <c r="AT57" s="115">
        <f t="shared" ref="AT57" si="3703">IF(AT56&gt;0,AT$17,0)</f>
        <v>0</v>
      </c>
      <c r="AU57" s="115">
        <f t="shared" ref="AU57" si="3704">IF(AU56&gt;0,AU$17,0)</f>
        <v>0</v>
      </c>
      <c r="AV57" s="115">
        <f t="shared" ref="AV57" si="3705">IF(AV56&gt;0,AV$17,0)</f>
        <v>0</v>
      </c>
      <c r="AW57" s="115">
        <f t="shared" ref="AW57" si="3706">IF(AW56&gt;0,AW$17,0)</f>
        <v>0</v>
      </c>
      <c r="AX57" s="115">
        <f t="shared" ref="AX57" si="3707">IF(AX56&gt;0,AX$17,0)</f>
        <v>0</v>
      </c>
      <c r="AY57" s="115">
        <f t="shared" ref="AY57" si="3708">IF(AY56&gt;0,AY$17,0)</f>
        <v>0</v>
      </c>
      <c r="AZ57" s="115">
        <f t="shared" ref="AZ57" si="3709">IF(AZ56&gt;0,AZ$17,0)</f>
        <v>0</v>
      </c>
      <c r="BA57" s="115">
        <f t="shared" ref="BA57" si="3710">IF(BA56&gt;0,BA$17,0)</f>
        <v>0</v>
      </c>
      <c r="BB57" s="115">
        <f t="shared" ref="BB57" si="3711">IF(BB56&gt;0,BB$17,0)</f>
        <v>0</v>
      </c>
      <c r="BC57" s="115">
        <f t="shared" ref="BC57" si="3712">IF(BC56&gt;0,BC$17,0)</f>
        <v>0</v>
      </c>
      <c r="BD57" s="115">
        <f t="shared" ref="BD57" si="3713">IF(BD56&gt;0,BD$17,0)</f>
        <v>0</v>
      </c>
      <c r="BE57" s="115">
        <f t="shared" ref="BE57" si="3714">IF(BE56&gt;0,BE$17,0)</f>
        <v>0</v>
      </c>
      <c r="BF57" s="115">
        <f t="shared" ref="BF57" si="3715">IF(BF56&gt;0,BF$17,0)</f>
        <v>0</v>
      </c>
      <c r="BG57" s="115">
        <f t="shared" ref="BG57" si="3716">IF(BG56&gt;0,BG$17,0)</f>
        <v>0</v>
      </c>
      <c r="BH57" s="115">
        <f t="shared" ref="BH57" si="3717">IF(BH56&gt;0,BH$17,0)</f>
        <v>0</v>
      </c>
      <c r="BI57" s="115">
        <f t="shared" ref="BI57" si="3718">IF(BI56&gt;0,BI$17,0)</f>
        <v>0</v>
      </c>
      <c r="BJ57" s="115">
        <f t="shared" ref="BJ57" si="3719">IF(BJ56&gt;0,BJ$17,0)</f>
        <v>0</v>
      </c>
      <c r="BK57" s="115">
        <f t="shared" ref="BK57" si="3720">IF(BK56&gt;0,BK$17,0)</f>
        <v>0</v>
      </c>
      <c r="BL57" s="115">
        <f t="shared" ref="BL57" si="3721">IF(BL56&gt;0,BL$17,0)</f>
        <v>0</v>
      </c>
      <c r="BM57" s="115">
        <f t="shared" ref="BM57" si="3722">IF(BM56&gt;0,BM$17,0)</f>
        <v>0</v>
      </c>
      <c r="BN57" s="115">
        <f t="shared" ref="BN57" si="3723">IF(BN56&gt;0,BN$17,0)</f>
        <v>0</v>
      </c>
      <c r="BO57" s="115">
        <f t="shared" ref="BO57" si="3724">IF(BO56&gt;0,BO$17,0)</f>
        <v>0</v>
      </c>
      <c r="BP57" s="115">
        <f t="shared" ref="BP57" si="3725">IF(BP56&gt;0,BP$17,0)</f>
        <v>0</v>
      </c>
      <c r="BQ57" s="115">
        <f t="shared" ref="BQ57" si="3726">IF(BQ56&gt;0,BQ$17,0)</f>
        <v>0</v>
      </c>
      <c r="BR57" s="115">
        <f t="shared" ref="BR57" si="3727">IF(BR56&gt;0,BR$17,0)</f>
        <v>0</v>
      </c>
      <c r="BS57" s="115">
        <f t="shared" ref="BS57" si="3728">IF(BS56&gt;0,BS$17,0)</f>
        <v>0</v>
      </c>
      <c r="BT57" s="115">
        <f t="shared" ref="BT57" si="3729">IF(BT56&gt;0,BT$17,0)</f>
        <v>0</v>
      </c>
      <c r="BU57" s="115">
        <f t="shared" ref="BU57" si="3730">IF(BU56&gt;0,BU$17,0)</f>
        <v>0</v>
      </c>
      <c r="BV57" s="115">
        <f t="shared" ref="BV57" si="3731">IF(BV56&gt;0,BV$17,0)</f>
        <v>0</v>
      </c>
      <c r="BW57" s="115">
        <f t="shared" ref="BW57" si="3732">IF(BW56&gt;0,BW$17,0)</f>
        <v>0</v>
      </c>
      <c r="BX57" s="115">
        <f t="shared" ref="BX57" si="3733">IF(BX56&gt;0,BX$17,0)</f>
        <v>0</v>
      </c>
      <c r="BY57" s="115">
        <f t="shared" ref="BY57" si="3734">IF(BY56&gt;0,BY$17,0)</f>
        <v>0</v>
      </c>
      <c r="BZ57" s="115">
        <f t="shared" ref="BZ57" si="3735">IF(BZ56&gt;0,BZ$17,0)</f>
        <v>0</v>
      </c>
      <c r="CA57" s="115">
        <f t="shared" ref="CA57" si="3736">IF(CA56&gt;0,CA$17,0)</f>
        <v>0</v>
      </c>
      <c r="CB57" s="115">
        <f t="shared" ref="CB57" si="3737">IF(CB56&gt;0,CB$17,0)</f>
        <v>0</v>
      </c>
      <c r="CC57" s="115">
        <f t="shared" ref="CC57" si="3738">IF(CC56&gt;0,CC$17,0)</f>
        <v>0</v>
      </c>
      <c r="CD57" s="115">
        <f t="shared" ref="CD57" si="3739">IF(CD56&gt;0,CD$17,0)</f>
        <v>0</v>
      </c>
      <c r="CE57" s="115">
        <f t="shared" ref="CE57" si="3740">IF(CE56&gt;0,CE$17,0)</f>
        <v>0</v>
      </c>
      <c r="CF57" s="115">
        <f t="shared" ref="CF57" si="3741">IF(CF56&gt;0,CF$17,0)</f>
        <v>0</v>
      </c>
      <c r="CG57" s="115">
        <f t="shared" ref="CG57" si="3742">IF(CG56&gt;0,CG$17,0)</f>
        <v>0</v>
      </c>
      <c r="CH57" s="115">
        <f t="shared" ref="CH57" si="3743">IF(CH56&gt;0,CH$17,0)</f>
        <v>0</v>
      </c>
      <c r="CI57" s="115">
        <f t="shared" ref="CI57" si="3744">IF(CI56&gt;0,CI$17,0)</f>
        <v>0</v>
      </c>
      <c r="CJ57" s="115">
        <f t="shared" ref="CJ57" si="3745">IF(CJ56&gt;0,CJ$17,0)</f>
        <v>0</v>
      </c>
      <c r="CK57" s="115">
        <f t="shared" ref="CK57" si="3746">IF(CK56&gt;0,CK$17,0)</f>
        <v>0</v>
      </c>
      <c r="CL57" s="115">
        <f t="shared" ref="CL57" si="3747">IF(CL56&gt;0,CL$17,0)</f>
        <v>0</v>
      </c>
      <c r="CM57" s="115">
        <f t="shared" ref="CM57" si="3748">IF(CM56&gt;0,CM$17,0)</f>
        <v>0</v>
      </c>
      <c r="CN57" s="115">
        <f t="shared" ref="CN57" si="3749">IF(CN56&gt;0,CN$17,0)</f>
        <v>0</v>
      </c>
      <c r="CO57" s="115">
        <f t="shared" ref="CO57" si="3750">IF(CO56&gt;0,CO$17,0)</f>
        <v>0</v>
      </c>
      <c r="CP57" s="115">
        <f t="shared" ref="CP57" si="3751">IF(CP56&gt;0,CP$17,0)</f>
        <v>0</v>
      </c>
      <c r="CQ57" s="115">
        <f t="shared" ref="CQ57" si="3752">IF(CQ56&gt;0,CQ$17,0)</f>
        <v>0</v>
      </c>
      <c r="CR57" s="115">
        <f t="shared" ref="CR57" si="3753">IF(CR56&gt;0,CR$17,0)</f>
        <v>0</v>
      </c>
      <c r="CS57" s="115">
        <f t="shared" ref="CS57" si="3754">IF(CS56&gt;0,CS$17,0)</f>
        <v>0</v>
      </c>
      <c r="CT57" s="115">
        <f t="shared" ref="CT57" si="3755">IF(CT56&gt;0,CT$17,0)</f>
        <v>0</v>
      </c>
      <c r="CU57" s="115">
        <f t="shared" ref="CU57" si="3756">IF(CU56&gt;0,CU$17,0)</f>
        <v>0</v>
      </c>
      <c r="CV57" s="115">
        <f t="shared" ref="CV57" si="3757">IF(CV56&gt;0,CV$17,0)</f>
        <v>0</v>
      </c>
      <c r="CW57" s="115">
        <f t="shared" ref="CW57" si="3758">IF(CW56&gt;0,CW$17,0)</f>
        <v>0</v>
      </c>
      <c r="CX57" s="115">
        <f t="shared" ref="CX57" si="3759">IF(CX56&gt;0,CX$17,0)</f>
        <v>0</v>
      </c>
      <c r="CY57" s="115">
        <f t="shared" ref="CY57" si="3760">IF(CY56&gt;0,CY$17,0)</f>
        <v>0</v>
      </c>
      <c r="CZ57" s="115">
        <f t="shared" ref="CZ57" si="3761">IF(CZ56&gt;0,CZ$17,0)</f>
        <v>0</v>
      </c>
      <c r="DA57" s="115">
        <f t="shared" ref="DA57" si="3762">IF(DA56&gt;0,DA$17,0)</f>
        <v>0</v>
      </c>
      <c r="DB57" s="115">
        <f t="shared" ref="DB57" si="3763">IF(DB56&gt;0,DB$17,0)</f>
        <v>0</v>
      </c>
      <c r="DC57" s="115">
        <f t="shared" ref="DC57" si="3764">IF(DC56&gt;0,DC$17,0)</f>
        <v>0</v>
      </c>
      <c r="DD57" s="115">
        <f t="shared" ref="DD57" si="3765">IF(DD56&gt;0,DD$17,0)</f>
        <v>0</v>
      </c>
      <c r="DE57" s="115">
        <f t="shared" ref="DE57" si="3766">IF(DE56&gt;0,DE$17,0)</f>
        <v>0</v>
      </c>
      <c r="DF57" s="115">
        <f t="shared" ref="DF57" si="3767">IF(DF56&gt;0,DF$17,0)</f>
        <v>0</v>
      </c>
      <c r="DG57" s="115">
        <f t="shared" ref="DG57" si="3768">IF(DG56&gt;0,DG$17,0)</f>
        <v>0</v>
      </c>
      <c r="DH57" s="115">
        <f t="shared" ref="DH57" si="3769">IF(DH56&gt;0,DH$17,0)</f>
        <v>0</v>
      </c>
      <c r="DI57" s="115">
        <f t="shared" ref="DI57" si="3770">IF(DI56&gt;0,DI$17,0)</f>
        <v>0</v>
      </c>
      <c r="DJ57" s="115">
        <f t="shared" ref="DJ57" si="3771">IF(DJ56&gt;0,DJ$17,0)</f>
        <v>0</v>
      </c>
      <c r="DK57" s="115">
        <f t="shared" ref="DK57" si="3772">IF(DK56&gt;0,DK$17,0)</f>
        <v>0</v>
      </c>
      <c r="DL57" s="115">
        <f t="shared" ref="DL57" si="3773">IF(DL56&gt;0,DL$17,0)</f>
        <v>0</v>
      </c>
      <c r="DM57" s="115">
        <f t="shared" ref="DM57" si="3774">IF(DM56&gt;0,DM$17,0)</f>
        <v>0</v>
      </c>
      <c r="DN57" s="115">
        <f t="shared" ref="DN57" si="3775">IF(DN56&gt;0,DN$17,0)</f>
        <v>0</v>
      </c>
      <c r="DO57" s="115">
        <f t="shared" ref="DO57" si="3776">IF(DO56&gt;0,DO$17,0)</f>
        <v>0</v>
      </c>
      <c r="DP57" s="115">
        <f t="shared" ref="DP57" si="3777">IF(DP56&gt;0,DP$17,0)</f>
        <v>0</v>
      </c>
      <c r="DQ57" s="115">
        <f t="shared" ref="DQ57" si="3778">IF(DQ56&gt;0,DQ$17,0)</f>
        <v>0</v>
      </c>
      <c r="DR57" s="115">
        <f t="shared" ref="DR57" si="3779">IF(DR56&gt;0,DR$17,0)</f>
        <v>0</v>
      </c>
      <c r="DS57" s="115">
        <f t="shared" ref="DS57" si="3780">IF(DS56&gt;0,DS$17,0)</f>
        <v>0</v>
      </c>
      <c r="DT57" s="115">
        <f t="shared" ref="DT57" si="3781">IF(DT56&gt;0,DT$17,0)</f>
        <v>0</v>
      </c>
      <c r="DU57" s="115">
        <f t="shared" ref="DU57" si="3782">IF(DU56&gt;0,DU$17,0)</f>
        <v>0</v>
      </c>
      <c r="DV57" s="115">
        <f t="shared" ref="DV57" si="3783">IF(DV56&gt;0,DV$17,0)</f>
        <v>0</v>
      </c>
      <c r="DW57" s="115">
        <f t="shared" ref="DW57" si="3784">IF(DW56&gt;0,DW$17,0)</f>
        <v>0</v>
      </c>
      <c r="DX57" s="115">
        <f t="shared" ref="DX57" si="3785">IF(DX56&gt;0,DX$17,0)</f>
        <v>0</v>
      </c>
      <c r="DY57" s="115">
        <f t="shared" ref="DY57" si="3786">IF(DY56&gt;0,DY$17,0)</f>
        <v>0</v>
      </c>
      <c r="DZ57" s="115">
        <f t="shared" ref="DZ57" si="3787">IF(DZ56&gt;0,DZ$17,0)</f>
        <v>0</v>
      </c>
      <c r="EA57" s="115">
        <f t="shared" ref="EA57" si="3788">IF(EA56&gt;0,EA$17,0)</f>
        <v>0</v>
      </c>
      <c r="EB57" s="115">
        <f t="shared" ref="EB57" si="3789">IF(EB56&gt;0,EB$17,0)</f>
        <v>0</v>
      </c>
      <c r="EC57" s="115">
        <f t="shared" ref="EC57" si="3790">IF(EC56&gt;0,EC$17,0)</f>
        <v>0</v>
      </c>
      <c r="ED57" s="115">
        <f t="shared" ref="ED57" si="3791">IF(ED56&gt;0,ED$17,0)</f>
        <v>0</v>
      </c>
      <c r="EE57" s="115">
        <f t="shared" ref="EE57" si="3792">IF(EE56&gt;0,EE$17,0)</f>
        <v>0</v>
      </c>
      <c r="EF57" s="115">
        <f t="shared" ref="EF57" si="3793">IF(EF56&gt;0,EF$17,0)</f>
        <v>0</v>
      </c>
      <c r="EG57" s="115">
        <f t="shared" ref="EG57" si="3794">IF(EG56&gt;0,EG$17,0)</f>
        <v>0</v>
      </c>
      <c r="EH57" s="115">
        <f t="shared" ref="EH57" si="3795">IF(EH56&gt;0,EH$17,0)</f>
        <v>0</v>
      </c>
      <c r="EI57" s="115">
        <f t="shared" ref="EI57" si="3796">IF(EI56&gt;0,EI$17,0)</f>
        <v>0</v>
      </c>
      <c r="EJ57" s="115">
        <f t="shared" ref="EJ57" si="3797">IF(EJ56&gt;0,EJ$17,0)</f>
        <v>0</v>
      </c>
      <c r="EK57" s="115">
        <f t="shared" ref="EK57" si="3798">IF(EK56&gt;0,EK$17,0)</f>
        <v>0</v>
      </c>
      <c r="EL57" s="115">
        <f t="shared" ref="EL57" si="3799">IF(EL56&gt;0,EL$17,0)</f>
        <v>0</v>
      </c>
      <c r="EM57" s="115">
        <f t="shared" ref="EM57" si="3800">IF(EM56&gt;0,EM$17,0)</f>
        <v>0</v>
      </c>
      <c r="EN57" s="115">
        <f t="shared" ref="EN57" si="3801">IF(EN56&gt;0,EN$17,0)</f>
        <v>0</v>
      </c>
      <c r="EO57" s="115">
        <f t="shared" ref="EO57" si="3802">IF(EO56&gt;0,EO$17,0)</f>
        <v>0</v>
      </c>
      <c r="EP57" s="115">
        <f t="shared" ref="EP57" si="3803">IF(EP56&gt;0,EP$17,0)</f>
        <v>0</v>
      </c>
      <c r="EQ57" s="115">
        <f t="shared" ref="EQ57" si="3804">IF(EQ56&gt;0,EQ$17,0)</f>
        <v>0</v>
      </c>
      <c r="ER57" s="115">
        <f t="shared" ref="ER57" si="3805">IF(ER56&gt;0,ER$17,0)</f>
        <v>0</v>
      </c>
      <c r="ES57" s="115">
        <f t="shared" ref="ES57" si="3806">IF(ES56&gt;0,ES$17,0)</f>
        <v>0</v>
      </c>
      <c r="ET57" s="115">
        <f t="shared" ref="ET57" si="3807">IF(ET56&gt;0,ET$17,0)</f>
        <v>0</v>
      </c>
      <c r="EU57" s="115">
        <f t="shared" ref="EU57" si="3808">IF(EU56&gt;0,EU$17,0)</f>
        <v>0</v>
      </c>
      <c r="EV57" s="115">
        <f t="shared" ref="EV57" si="3809">IF(EV56&gt;0,EV$17,0)</f>
        <v>0</v>
      </c>
      <c r="EW57" s="115">
        <f t="shared" ref="EW57" si="3810">IF(EW56&gt;0,EW$17,0)</f>
        <v>0</v>
      </c>
      <c r="EX57" s="115">
        <f t="shared" ref="EX57" si="3811">IF(EX56&gt;0,EX$17,0)</f>
        <v>0</v>
      </c>
      <c r="EY57" s="115">
        <f t="shared" ref="EY57" si="3812">IF(EY56&gt;0,EY$17,0)</f>
        <v>0</v>
      </c>
      <c r="EZ57" s="115">
        <f t="shared" ref="EZ57" si="3813">IF(EZ56&gt;0,EZ$17,0)</f>
        <v>0</v>
      </c>
      <c r="FA57" s="115">
        <f t="shared" ref="FA57" si="3814">IF(FA56&gt;0,FA$17,0)</f>
        <v>0</v>
      </c>
      <c r="FB57" s="115">
        <f t="shared" ref="FB57" si="3815">IF(FB56&gt;0,FB$17,0)</f>
        <v>0</v>
      </c>
      <c r="FC57" s="115">
        <f t="shared" ref="FC57" si="3816">IF(FC56&gt;0,FC$17,0)</f>
        <v>0</v>
      </c>
      <c r="FD57" s="115">
        <f t="shared" ref="FD57" si="3817">IF(FD56&gt;0,FD$17,0)</f>
        <v>0</v>
      </c>
      <c r="FE57" s="115">
        <f t="shared" ref="FE57" si="3818">IF(FE56&gt;0,FE$17,0)</f>
        <v>0</v>
      </c>
      <c r="FF57" s="115">
        <f t="shared" ref="FF57" si="3819">IF(FF56&gt;0,FF$17,0)</f>
        <v>0</v>
      </c>
      <c r="FG57" s="115">
        <f t="shared" ref="FG57" si="3820">IF(FG56&gt;0,FG$17,0)</f>
        <v>0</v>
      </c>
      <c r="FH57" s="115">
        <f t="shared" ref="FH57" si="3821">IF(FH56&gt;0,FH$17,0)</f>
        <v>0</v>
      </c>
      <c r="FI57" s="115">
        <f t="shared" ref="FI57" si="3822">IF(FI56&gt;0,FI$17,0)</f>
        <v>0</v>
      </c>
      <c r="FJ57" s="115">
        <f t="shared" ref="FJ57" si="3823">IF(FJ56&gt;0,FJ$17,0)</f>
        <v>0</v>
      </c>
      <c r="FK57" s="115">
        <f t="shared" ref="FK57" si="3824">IF(FK56&gt;0,FK$17,0)</f>
        <v>0</v>
      </c>
      <c r="FL57" s="115">
        <f t="shared" ref="FL57" si="3825">IF(FL56&gt;0,FL$17,0)</f>
        <v>0</v>
      </c>
      <c r="FM57" s="115">
        <f t="shared" ref="FM57" si="3826">IF(FM56&gt;0,FM$17,0)</f>
        <v>0</v>
      </c>
      <c r="FN57" s="115">
        <f t="shared" ref="FN57" si="3827">IF(FN56&gt;0,FN$17,0)</f>
        <v>0</v>
      </c>
      <c r="FO57" s="115">
        <f t="shared" ref="FO57" si="3828">IF(FO56&gt;0,FO$17,0)</f>
        <v>0</v>
      </c>
      <c r="FP57" s="115">
        <f t="shared" ref="FP57" si="3829">IF(FP56&gt;0,FP$17,0)</f>
        <v>0</v>
      </c>
      <c r="FQ57" s="115">
        <f t="shared" ref="FQ57" si="3830">IF(FQ56&gt;0,FQ$17,0)</f>
        <v>0</v>
      </c>
      <c r="FR57" s="115">
        <f t="shared" ref="FR57" si="3831">IF(FR56&gt;0,FR$17,0)</f>
        <v>0</v>
      </c>
      <c r="FS57" s="115">
        <f t="shared" ref="FS57" si="3832">IF(FS56&gt;0,FS$17,0)</f>
        <v>0</v>
      </c>
      <c r="FT57" s="115">
        <f t="shared" ref="FT57" si="3833">IF(FT56&gt;0,FT$17,0)</f>
        <v>0</v>
      </c>
      <c r="FU57" s="115">
        <f t="shared" ref="FU57" si="3834">IF(FU56&gt;0,FU$17,0)</f>
        <v>0</v>
      </c>
      <c r="FV57" s="115">
        <f t="shared" ref="FV57" si="3835">IF(FV56&gt;0,FV$17,0)</f>
        <v>0</v>
      </c>
      <c r="FW57" s="115">
        <f t="shared" ref="FW57" si="3836">IF(FW56&gt;0,FW$17,0)</f>
        <v>0</v>
      </c>
      <c r="FX57" s="115">
        <f t="shared" ref="FX57" si="3837">IF(FX56&gt;0,FX$17,0)</f>
        <v>0</v>
      </c>
      <c r="FY57" s="115">
        <f t="shared" ref="FY57" si="3838">IF(FY56&gt;0,FY$17,0)</f>
        <v>0</v>
      </c>
      <c r="FZ57" s="115">
        <f t="shared" ref="FZ57" si="3839">IF(FZ56&gt;0,FZ$17,0)</f>
        <v>0</v>
      </c>
      <c r="GA57" s="115">
        <f t="shared" ref="GA57" si="3840">IF(GA56&gt;0,GA$17,0)</f>
        <v>0</v>
      </c>
      <c r="GB57" s="115">
        <f t="shared" ref="GB57" si="3841">IF(GB56&gt;0,GB$17,0)</f>
        <v>0</v>
      </c>
      <c r="GC57" s="115">
        <f t="shared" ref="GC57" si="3842">IF(GC56&gt;0,GC$17,0)</f>
        <v>0</v>
      </c>
      <c r="GD57" s="115">
        <f t="shared" ref="GD57" si="3843">IF(GD56&gt;0,GD$17,0)</f>
        <v>0</v>
      </c>
      <c r="GE57" s="115">
        <f t="shared" ref="GE57" si="3844">IF(GE56&gt;0,GE$17,0)</f>
        <v>0</v>
      </c>
      <c r="GF57" s="115">
        <f t="shared" ref="GF57" si="3845">IF(GF56&gt;0,GF$17,0)</f>
        <v>0</v>
      </c>
      <c r="GG57" s="115">
        <f t="shared" ref="GG57" si="3846">IF(GG56&gt;0,GG$17,0)</f>
        <v>0</v>
      </c>
      <c r="GH57" s="115">
        <f t="shared" ref="GH57" si="3847">IF(GH56&gt;0,GH$17,0)</f>
        <v>0</v>
      </c>
      <c r="GI57" s="115">
        <f t="shared" ref="GI57" si="3848">IF(GI56&gt;0,GI$17,0)</f>
        <v>0</v>
      </c>
      <c r="GJ57" s="115">
        <f t="shared" ref="GJ57" si="3849">IF(GJ56&gt;0,GJ$17,0)</f>
        <v>0</v>
      </c>
      <c r="GK57" s="115">
        <f t="shared" ref="GK57" si="3850">IF(GK56&gt;0,GK$17,0)</f>
        <v>0</v>
      </c>
      <c r="GL57" s="115">
        <f t="shared" ref="GL57" si="3851">IF(GL56&gt;0,GL$17,0)</f>
        <v>0</v>
      </c>
      <c r="GM57" s="115">
        <f t="shared" ref="GM57" si="3852">IF(GM56&gt;0,GM$17,0)</f>
        <v>0</v>
      </c>
      <c r="GN57" s="115">
        <f t="shared" ref="GN57" si="3853">IF(GN56&gt;0,GN$17,0)</f>
        <v>0</v>
      </c>
      <c r="GO57" s="115">
        <f t="shared" ref="GO57" si="3854">IF(GO56&gt;0,GO$17,0)</f>
        <v>0</v>
      </c>
      <c r="GP57" s="115">
        <f t="shared" ref="GP57" si="3855">IF(GP56&gt;0,GP$17,0)</f>
        <v>0</v>
      </c>
      <c r="GQ57" s="115">
        <f t="shared" ref="GQ57" si="3856">IF(GQ56&gt;0,GQ$17,0)</f>
        <v>0</v>
      </c>
      <c r="GR57" s="115">
        <f t="shared" ref="GR57" si="3857">IF(GR56&gt;0,GR$17,0)</f>
        <v>0</v>
      </c>
      <c r="GS57" s="115">
        <f t="shared" ref="GS57" si="3858">IF(GS56&gt;0,GS$17,0)</f>
        <v>0</v>
      </c>
      <c r="GT57" s="115">
        <f t="shared" ref="GT57" si="3859">IF(GT56&gt;0,GT$17,0)</f>
        <v>0</v>
      </c>
      <c r="GU57" s="115">
        <f t="shared" ref="GU57" si="3860">IF(GU56&gt;0,GU$17,0)</f>
        <v>0</v>
      </c>
      <c r="GV57" s="115">
        <f t="shared" ref="GV57" si="3861">IF(GV56&gt;0,GV$17,0)</f>
        <v>0</v>
      </c>
      <c r="GW57" s="115">
        <f t="shared" ref="GW57" si="3862">IF(GW56&gt;0,GW$17,0)</f>
        <v>0</v>
      </c>
      <c r="GX57" s="115">
        <f t="shared" ref="GX57" si="3863">IF(GX56&gt;0,GX$17,0)</f>
        <v>0</v>
      </c>
      <c r="GY57" s="115">
        <f t="shared" ref="GY57" si="3864">IF(GY56&gt;0,GY$17,0)</f>
        <v>0</v>
      </c>
      <c r="GZ57" s="115">
        <f t="shared" ref="GZ57" si="3865">IF(GZ56&gt;0,GZ$17,0)</f>
        <v>0</v>
      </c>
      <c r="HA57" s="115">
        <f t="shared" ref="HA57" si="3866">IF(HA56&gt;0,HA$17,0)</f>
        <v>0</v>
      </c>
      <c r="HB57" s="115">
        <f t="shared" ref="HB57" si="3867">IF(HB56&gt;0,HB$17,0)</f>
        <v>0</v>
      </c>
      <c r="HC57" s="115">
        <f t="shared" ref="HC57" si="3868">IF(HC56&gt;0,HC$17,0)</f>
        <v>0</v>
      </c>
      <c r="HD57" s="115">
        <f t="shared" ref="HD57" si="3869">IF(HD56&gt;0,HD$17,0)</f>
        <v>0</v>
      </c>
      <c r="HE57" s="115">
        <f t="shared" ref="HE57" si="3870">IF(HE56&gt;0,HE$17,0)</f>
        <v>0</v>
      </c>
      <c r="HF57" s="115">
        <f t="shared" ref="HF57" si="3871">IF(HF56&gt;0,HF$17,0)</f>
        <v>0</v>
      </c>
      <c r="HG57" s="115">
        <f t="shared" ref="HG57" si="3872">IF(HG56&gt;0,HG$17,0)</f>
        <v>0</v>
      </c>
      <c r="HH57" s="115">
        <f t="shared" ref="HH57" si="3873">IF(HH56&gt;0,HH$17,0)</f>
        <v>0</v>
      </c>
      <c r="HI57" s="115">
        <f t="shared" ref="HI57" si="3874">IF(HI56&gt;0,HI$17,0)</f>
        <v>0</v>
      </c>
      <c r="HJ57" s="115">
        <f t="shared" ref="HJ57" si="3875">IF(HJ56&gt;0,HJ$17,0)</f>
        <v>0</v>
      </c>
      <c r="HK57" s="115">
        <f t="shared" ref="HK57" si="3876">IF(HK56&gt;0,HK$17,0)</f>
        <v>0</v>
      </c>
      <c r="HL57" s="115">
        <f t="shared" ref="HL57" si="3877">IF(HL56&gt;0,HL$17,0)</f>
        <v>0</v>
      </c>
      <c r="HM57" s="115">
        <f t="shared" ref="HM57" si="3878">IF(HM56&gt;0,HM$17,0)</f>
        <v>0</v>
      </c>
      <c r="HN57" s="115">
        <f t="shared" ref="HN57" si="3879">IF(HN56&gt;0,HN$17,0)</f>
        <v>0</v>
      </c>
      <c r="HO57" s="115">
        <f t="shared" ref="HO57" si="3880">IF(HO56&gt;0,HO$17,0)</f>
        <v>0</v>
      </c>
      <c r="HP57" s="115">
        <f t="shared" ref="HP57" si="3881">IF(HP56&gt;0,HP$17,0)</f>
        <v>0</v>
      </c>
      <c r="HQ57" s="115">
        <f t="shared" ref="HQ57" si="3882">IF(HQ56&gt;0,HQ$17,0)</f>
        <v>0</v>
      </c>
      <c r="HR57" s="115">
        <f t="shared" ref="HR57" si="3883">IF(HR56&gt;0,HR$17,0)</f>
        <v>0</v>
      </c>
      <c r="HS57" s="115">
        <f t="shared" ref="HS57" si="3884">IF(HS56&gt;0,HS$17,0)</f>
        <v>0</v>
      </c>
      <c r="HT57" s="115">
        <f t="shared" ref="HT57" si="3885">IF(HT56&gt;0,HT$17,0)</f>
        <v>0</v>
      </c>
      <c r="HU57" s="115">
        <f t="shared" ref="HU57" si="3886">IF(HU56&gt;0,HU$17,0)</f>
        <v>0</v>
      </c>
      <c r="HV57" s="115">
        <f t="shared" ref="HV57" si="3887">IF(HV56&gt;0,HV$17,0)</f>
        <v>0</v>
      </c>
      <c r="HW57" s="115">
        <f t="shared" ref="HW57" si="3888">IF(HW56&gt;0,HW$17,0)</f>
        <v>0</v>
      </c>
      <c r="HX57" s="115">
        <f t="shared" ref="HX57" si="3889">IF(HX56&gt;0,HX$17,0)</f>
        <v>0</v>
      </c>
      <c r="HY57" s="115">
        <f t="shared" ref="HY57" si="3890">IF(HY56&gt;0,HY$17,0)</f>
        <v>0</v>
      </c>
      <c r="HZ57" s="115">
        <f t="shared" ref="HZ57" si="3891">IF(HZ56&gt;0,HZ$17,0)</f>
        <v>0</v>
      </c>
      <c r="IA57" s="115">
        <f t="shared" ref="IA57" si="3892">IF(IA56&gt;0,IA$17,0)</f>
        <v>0</v>
      </c>
      <c r="IB57" s="115">
        <f t="shared" ref="IB57" si="3893">IF(IB56&gt;0,IB$17,0)</f>
        <v>0</v>
      </c>
      <c r="IC57" s="115">
        <f t="shared" ref="IC57" si="3894">IF(IC56&gt;0,IC$17,0)</f>
        <v>0</v>
      </c>
      <c r="ID57" s="115">
        <f t="shared" ref="ID57" si="3895">IF(ID56&gt;0,ID$17,0)</f>
        <v>0</v>
      </c>
      <c r="IE57" s="115">
        <f t="shared" ref="IE57" si="3896">IF(IE56&gt;0,IE$17,0)</f>
        <v>0</v>
      </c>
      <c r="IF57" s="115">
        <f t="shared" ref="IF57" si="3897">IF(IF56&gt;0,IF$17,0)</f>
        <v>0</v>
      </c>
      <c r="IG57" s="115">
        <f t="shared" ref="IG57" si="3898">IF(IG56&gt;0,IG$17,0)</f>
        <v>0</v>
      </c>
      <c r="IH57" s="115">
        <f t="shared" ref="IH57" si="3899">IF(IH56&gt;0,IH$17,0)</f>
        <v>0</v>
      </c>
      <c r="II57" s="115">
        <f t="shared" ref="II57" si="3900">IF(II56&gt;0,II$17,0)</f>
        <v>0</v>
      </c>
      <c r="IJ57" s="115">
        <f t="shared" ref="IJ57" si="3901">IF(IJ56&gt;0,IJ$17,0)</f>
        <v>0</v>
      </c>
      <c r="IK57" s="115">
        <f t="shared" ref="IK57" si="3902">IF(IK56&gt;0,IK$17,0)</f>
        <v>0</v>
      </c>
      <c r="IL57" s="115">
        <f t="shared" ref="IL57" si="3903">IF(IL56&gt;0,IL$17,0)</f>
        <v>0</v>
      </c>
      <c r="IM57" s="115">
        <f t="shared" ref="IM57" si="3904">IF(IM56&gt;0,IM$17,0)</f>
        <v>0</v>
      </c>
      <c r="IN57" s="115">
        <f t="shared" ref="IN57" si="3905">IF(IN56&gt;0,IN$17,0)</f>
        <v>0</v>
      </c>
      <c r="IO57" s="115">
        <f t="shared" ref="IO57" si="3906">IF(IO56&gt;0,IO$17,0)</f>
        <v>0</v>
      </c>
      <c r="IP57" s="115">
        <f t="shared" ref="IP57" si="3907">IF(IP56&gt;0,IP$17,0)</f>
        <v>0</v>
      </c>
      <c r="IQ57" s="115">
        <f t="shared" ref="IQ57" si="3908">IF(IQ56&gt;0,IQ$17,0)</f>
        <v>0</v>
      </c>
      <c r="IR57" s="115">
        <f t="shared" ref="IR57" si="3909">IF(IR56&gt;0,IR$17,0)</f>
        <v>0</v>
      </c>
      <c r="IS57" s="115">
        <f t="shared" ref="IS57" si="3910">IF(IS56&gt;0,IS$17,0)</f>
        <v>0</v>
      </c>
      <c r="IT57" s="115">
        <f t="shared" ref="IT57" si="3911">IF(IT56&gt;0,IT$17,0)</f>
        <v>0</v>
      </c>
      <c r="IU57" s="115">
        <f t="shared" ref="IU57" si="3912">IF(IU56&gt;0,IU$17,0)</f>
        <v>0</v>
      </c>
      <c r="IV57" s="115">
        <f t="shared" ref="IV57" si="3913">IF(IV56&gt;0,IV$17,0)</f>
        <v>0</v>
      </c>
      <c r="IW57" s="115">
        <f t="shared" ref="IW57" si="3914">IF(IW56&gt;0,IW$17,0)</f>
        <v>0</v>
      </c>
      <c r="IX57" s="115">
        <f t="shared" ref="IX57" si="3915">IF(IX56&gt;0,IX$17,0)</f>
        <v>0</v>
      </c>
      <c r="IY57" s="115">
        <f t="shared" ref="IY57" si="3916">IF(IY56&gt;0,IY$17,0)</f>
        <v>0</v>
      </c>
      <c r="IZ57" s="115">
        <f t="shared" ref="IZ57" si="3917">IF(IZ56&gt;0,IZ$17,0)</f>
        <v>0</v>
      </c>
      <c r="JA57" s="115">
        <f t="shared" ref="JA57" si="3918">IF(JA56&gt;0,JA$17,0)</f>
        <v>0</v>
      </c>
      <c r="JB57" s="115">
        <f t="shared" ref="JB57" si="3919">IF(JB56&gt;0,JB$17,0)</f>
        <v>0</v>
      </c>
      <c r="JC57" s="115">
        <f t="shared" ref="JC57" si="3920">IF(JC56&gt;0,JC$17,0)</f>
        <v>0</v>
      </c>
      <c r="JD57" s="115">
        <f t="shared" ref="JD57" si="3921">IF(JD56&gt;0,JD$17,0)</f>
        <v>0</v>
      </c>
      <c r="JE57" s="115">
        <f t="shared" ref="JE57" si="3922">IF(JE56&gt;0,JE$17,0)</f>
        <v>0</v>
      </c>
      <c r="JF57" s="115">
        <f t="shared" ref="JF57" si="3923">IF(JF56&gt;0,JF$17,0)</f>
        <v>0</v>
      </c>
      <c r="JG57" s="115">
        <f t="shared" ref="JG57" si="3924">IF(JG56&gt;0,JG$17,0)</f>
        <v>0</v>
      </c>
      <c r="JH57" s="115">
        <f t="shared" ref="JH57" si="3925">IF(JH56&gt;0,JH$17,0)</f>
        <v>0</v>
      </c>
      <c r="JI57" s="115">
        <f t="shared" ref="JI57" si="3926">IF(JI56&gt;0,JI$17,0)</f>
        <v>0</v>
      </c>
      <c r="JJ57" s="115">
        <f t="shared" ref="JJ57" si="3927">IF(JJ56&gt;0,JJ$17,0)</f>
        <v>0</v>
      </c>
      <c r="JK57" s="115">
        <f t="shared" ref="JK57" si="3928">IF(JK56&gt;0,JK$17,0)</f>
        <v>0</v>
      </c>
      <c r="JL57" s="115">
        <f t="shared" ref="JL57" si="3929">IF(JL56&gt;0,JL$17,0)</f>
        <v>0</v>
      </c>
      <c r="JM57" s="115">
        <f t="shared" ref="JM57" si="3930">IF(JM56&gt;0,JM$17,0)</f>
        <v>0</v>
      </c>
      <c r="JN57" s="115">
        <f t="shared" ref="JN57" si="3931">IF(JN56&gt;0,JN$17,0)</f>
        <v>0</v>
      </c>
      <c r="JO57" s="115">
        <f t="shared" ref="JO57" si="3932">IF(JO56&gt;0,JO$17,0)</f>
        <v>0</v>
      </c>
      <c r="JP57" s="115">
        <f t="shared" ref="JP57" si="3933">IF(JP56&gt;0,JP$17,0)</f>
        <v>0</v>
      </c>
      <c r="JQ57" s="115">
        <f t="shared" ref="JQ57" si="3934">IF(JQ56&gt;0,JQ$17,0)</f>
        <v>0</v>
      </c>
      <c r="JR57" s="115">
        <f t="shared" ref="JR57" si="3935">IF(JR56&gt;0,JR$17,0)</f>
        <v>0</v>
      </c>
      <c r="JS57" s="115">
        <f t="shared" ref="JS57" si="3936">IF(JS56&gt;0,JS$17,0)</f>
        <v>0</v>
      </c>
      <c r="JT57" s="115">
        <f t="shared" ref="JT57" si="3937">IF(JT56&gt;0,JT$17,0)</f>
        <v>0</v>
      </c>
      <c r="JU57" s="115">
        <f t="shared" ref="JU57" si="3938">IF(JU56&gt;0,JU$17,0)</f>
        <v>0</v>
      </c>
      <c r="JV57" s="115">
        <f t="shared" ref="JV57" si="3939">IF(JV56&gt;0,JV$17,0)</f>
        <v>0</v>
      </c>
      <c r="JW57" s="115">
        <f t="shared" ref="JW57" si="3940">IF(JW56&gt;0,JW$17,0)</f>
        <v>0</v>
      </c>
      <c r="JX57" s="115">
        <f t="shared" ref="JX57" si="3941">IF(JX56&gt;0,JX$17,0)</f>
        <v>0</v>
      </c>
      <c r="JY57" s="115">
        <f t="shared" ref="JY57" si="3942">IF(JY56&gt;0,JY$17,0)</f>
        <v>0</v>
      </c>
      <c r="JZ57" s="115">
        <f t="shared" ref="JZ57" si="3943">IF(JZ56&gt;0,JZ$17,0)</f>
        <v>0</v>
      </c>
      <c r="KA57" s="115">
        <f t="shared" ref="KA57" si="3944">IF(KA56&gt;0,KA$17,0)</f>
        <v>0</v>
      </c>
      <c r="KB57" s="115">
        <f t="shared" ref="KB57" si="3945">IF(KB56&gt;0,KB$17,0)</f>
        <v>0</v>
      </c>
      <c r="KC57" s="115">
        <f t="shared" ref="KC57" si="3946">IF(KC56&gt;0,KC$17,0)</f>
        <v>0</v>
      </c>
      <c r="KD57" s="115">
        <f t="shared" ref="KD57" si="3947">IF(KD56&gt;0,KD$17,0)</f>
        <v>0</v>
      </c>
      <c r="KE57" s="115">
        <f t="shared" ref="KE57" si="3948">IF(KE56&gt;0,KE$17,0)</f>
        <v>0</v>
      </c>
      <c r="KF57" s="115">
        <f t="shared" ref="KF57" si="3949">IF(KF56&gt;0,KF$17,0)</f>
        <v>0</v>
      </c>
      <c r="KG57" s="115">
        <f t="shared" ref="KG57" si="3950">IF(KG56&gt;0,KG$17,0)</f>
        <v>0</v>
      </c>
      <c r="KH57" s="115">
        <f t="shared" ref="KH57" si="3951">IF(KH56&gt;0,KH$17,0)</f>
        <v>0</v>
      </c>
      <c r="KI57" s="115">
        <f t="shared" ref="KI57" si="3952">IF(KI56&gt;0,KI$17,0)</f>
        <v>0</v>
      </c>
      <c r="KJ57" s="115">
        <f t="shared" ref="KJ57" si="3953">IF(KJ56&gt;0,KJ$17,0)</f>
        <v>0</v>
      </c>
      <c r="KK57" s="115">
        <f t="shared" ref="KK57" si="3954">IF(KK56&gt;0,KK$17,0)</f>
        <v>0</v>
      </c>
      <c r="KL57" s="115">
        <f t="shared" ref="KL57" si="3955">IF(KL56&gt;0,KL$17,0)</f>
        <v>0</v>
      </c>
      <c r="KM57" s="115">
        <f t="shared" ref="KM57" si="3956">IF(KM56&gt;0,KM$17,0)</f>
        <v>0</v>
      </c>
      <c r="KN57" s="115">
        <f t="shared" ref="KN57" si="3957">IF(KN56&gt;0,KN$17,0)</f>
        <v>0</v>
      </c>
      <c r="KO57" s="115">
        <f t="shared" ref="KO57" si="3958">IF(KO56&gt;0,KO$17,0)</f>
        <v>0</v>
      </c>
      <c r="KP57" s="115">
        <f t="shared" ref="KP57" si="3959">IF(KP56&gt;0,KP$17,0)</f>
        <v>0</v>
      </c>
      <c r="KQ57" s="115">
        <f t="shared" ref="KQ57" si="3960">IF(KQ56&gt;0,KQ$17,0)</f>
        <v>0</v>
      </c>
      <c r="KR57" s="115">
        <f t="shared" ref="KR57" si="3961">IF(KR56&gt;0,KR$17,0)</f>
        <v>0</v>
      </c>
      <c r="KS57" s="115">
        <f t="shared" ref="KS57" si="3962">IF(KS56&gt;0,KS$17,0)</f>
        <v>0</v>
      </c>
      <c r="KT57" s="115">
        <f t="shared" ref="KT57" si="3963">IF(KT56&gt;0,KT$17,0)</f>
        <v>0</v>
      </c>
      <c r="KU57" s="115">
        <f t="shared" ref="KU57" si="3964">IF(KU56&gt;0,KU$17,0)</f>
        <v>0</v>
      </c>
      <c r="KV57" s="115">
        <f t="shared" ref="KV57" si="3965">IF(KV56&gt;0,KV$17,0)</f>
        <v>0</v>
      </c>
      <c r="KW57" s="115">
        <f t="shared" ref="KW57" si="3966">IF(KW56&gt;0,KW$17,0)</f>
        <v>0</v>
      </c>
      <c r="KX57" s="115">
        <f t="shared" ref="KX57" si="3967">IF(KX56&gt;0,KX$17,0)</f>
        <v>0</v>
      </c>
      <c r="KY57" s="115">
        <f t="shared" ref="KY57" si="3968">IF(KY56&gt;0,KY$17,0)</f>
        <v>0</v>
      </c>
      <c r="KZ57" s="115">
        <f t="shared" ref="KZ57" si="3969">IF(KZ56&gt;0,KZ$17,0)</f>
        <v>0</v>
      </c>
      <c r="LA57" s="115">
        <f t="shared" ref="LA57" si="3970">IF(LA56&gt;0,LA$17,0)</f>
        <v>0</v>
      </c>
      <c r="LB57" s="115">
        <f t="shared" ref="LB57" si="3971">IF(LB56&gt;0,LB$17,0)</f>
        <v>0</v>
      </c>
      <c r="LC57" s="115">
        <f t="shared" ref="LC57" si="3972">IF(LC56&gt;0,LC$17,0)</f>
        <v>0</v>
      </c>
      <c r="LD57" s="115">
        <f t="shared" ref="LD57" si="3973">IF(LD56&gt;0,LD$17,0)</f>
        <v>0</v>
      </c>
      <c r="LE57" s="115">
        <f t="shared" ref="LE57" si="3974">IF(LE56&gt;0,LE$17,0)</f>
        <v>0</v>
      </c>
      <c r="LF57" s="115">
        <f t="shared" ref="LF57" si="3975">IF(LF56&gt;0,LF$17,0)</f>
        <v>0</v>
      </c>
      <c r="LG57" s="115">
        <f t="shared" ref="LG57" si="3976">IF(LG56&gt;0,LG$17,0)</f>
        <v>0</v>
      </c>
      <c r="LH57" s="115">
        <f t="shared" ref="LH57" si="3977">IF(LH56&gt;0,LH$17,0)</f>
        <v>0</v>
      </c>
      <c r="LI57" s="115">
        <f t="shared" ref="LI57" si="3978">IF(LI56&gt;0,LI$17,0)</f>
        <v>0</v>
      </c>
      <c r="LJ57" s="115">
        <f t="shared" ref="LJ57" si="3979">IF(LJ56&gt;0,LJ$17,0)</f>
        <v>0</v>
      </c>
      <c r="LK57" s="115">
        <f t="shared" ref="LK57" si="3980">IF(LK56&gt;0,LK$17,0)</f>
        <v>0</v>
      </c>
      <c r="LL57" s="115">
        <f t="shared" ref="LL57" si="3981">IF(LL56&gt;0,LL$17,0)</f>
        <v>0</v>
      </c>
      <c r="LM57" s="115">
        <f t="shared" ref="LM57" si="3982">IF(LM56&gt;0,LM$17,0)</f>
        <v>0</v>
      </c>
      <c r="LN57" s="115">
        <f t="shared" ref="LN57" si="3983">IF(LN56&gt;0,LN$17,0)</f>
        <v>0</v>
      </c>
      <c r="LO57" s="115">
        <f t="shared" ref="LO57" si="3984">IF(LO56&gt;0,LO$17,0)</f>
        <v>0</v>
      </c>
      <c r="LP57" s="115">
        <f t="shared" ref="LP57" si="3985">IF(LP56&gt;0,LP$17,0)</f>
        <v>0</v>
      </c>
      <c r="LQ57" s="115">
        <f t="shared" ref="LQ57" si="3986">IF(LQ56&gt;0,LQ$17,0)</f>
        <v>0</v>
      </c>
      <c r="LR57" s="115">
        <f t="shared" ref="LR57" si="3987">IF(LR56&gt;0,LR$17,0)</f>
        <v>0</v>
      </c>
      <c r="LS57" s="115">
        <f t="shared" ref="LS57" si="3988">IF(LS56&gt;0,LS$17,0)</f>
        <v>0</v>
      </c>
      <c r="LT57" s="115">
        <f t="shared" ref="LT57" si="3989">IF(LT56&gt;0,LT$17,0)</f>
        <v>0</v>
      </c>
      <c r="LU57" s="115">
        <f t="shared" ref="LU57" si="3990">IF(LU56&gt;0,LU$17,0)</f>
        <v>0</v>
      </c>
      <c r="LV57" s="115">
        <f t="shared" ref="LV57" si="3991">IF(LV56&gt;0,LV$17,0)</f>
        <v>0</v>
      </c>
      <c r="LW57" s="115">
        <f t="shared" ref="LW57" si="3992">IF(LW56&gt;0,LW$17,0)</f>
        <v>0</v>
      </c>
      <c r="LX57" s="115">
        <f t="shared" ref="LX57" si="3993">IF(LX56&gt;0,LX$17,0)</f>
        <v>0</v>
      </c>
      <c r="LY57" s="115">
        <f t="shared" ref="LY57" si="3994">IF(LY56&gt;0,LY$17,0)</f>
        <v>0</v>
      </c>
      <c r="LZ57" s="115">
        <f t="shared" ref="LZ57" si="3995">IF(LZ56&gt;0,LZ$17,0)</f>
        <v>0</v>
      </c>
      <c r="MA57" s="115">
        <f t="shared" ref="MA57" si="3996">IF(MA56&gt;0,MA$17,0)</f>
        <v>0</v>
      </c>
      <c r="MB57" s="115">
        <f t="shared" ref="MB57" si="3997">IF(MB56&gt;0,MB$17,0)</f>
        <v>0</v>
      </c>
      <c r="MC57" s="115">
        <f t="shared" ref="MC57" si="3998">IF(MC56&gt;0,MC$17,0)</f>
        <v>0</v>
      </c>
      <c r="MD57" s="115">
        <f t="shared" ref="MD57" si="3999">IF(MD56&gt;0,MD$17,0)</f>
        <v>0</v>
      </c>
      <c r="ME57" s="115">
        <f t="shared" ref="ME57" si="4000">IF(ME56&gt;0,ME$17,0)</f>
        <v>0</v>
      </c>
      <c r="MF57" s="115">
        <f t="shared" ref="MF57" si="4001">IF(MF56&gt;0,MF$17,0)</f>
        <v>0</v>
      </c>
      <c r="MG57" s="115">
        <f t="shared" ref="MG57" si="4002">IF(MG56&gt;0,MG$17,0)</f>
        <v>0</v>
      </c>
      <c r="MH57" s="115">
        <f t="shared" ref="MH57" si="4003">IF(MH56&gt;0,MH$17,0)</f>
        <v>0</v>
      </c>
      <c r="MI57" s="115">
        <f t="shared" ref="MI57" si="4004">IF(MI56&gt;0,MI$17,0)</f>
        <v>0</v>
      </c>
      <c r="MJ57" s="115">
        <f t="shared" ref="MJ57" si="4005">IF(MJ56&gt;0,MJ$17,0)</f>
        <v>0</v>
      </c>
      <c r="MK57" s="115">
        <f t="shared" ref="MK57" si="4006">IF(MK56&gt;0,MK$17,0)</f>
        <v>0</v>
      </c>
      <c r="ML57" s="115">
        <f t="shared" ref="ML57" si="4007">IF(ML56&gt;0,ML$17,0)</f>
        <v>0</v>
      </c>
      <c r="MM57" s="115">
        <f t="shared" ref="MM57" si="4008">IF(MM56&gt;0,MM$17,0)</f>
        <v>0</v>
      </c>
      <c r="MN57" s="115">
        <f t="shared" ref="MN57" si="4009">IF(MN56&gt;0,MN$17,0)</f>
        <v>0</v>
      </c>
      <c r="MO57" s="115">
        <f t="shared" ref="MO57" si="4010">IF(MO56&gt;0,MO$17,0)</f>
        <v>0</v>
      </c>
      <c r="MP57" s="115">
        <f t="shared" ref="MP57" si="4011">IF(MP56&gt;0,MP$17,0)</f>
        <v>0</v>
      </c>
      <c r="MQ57" s="115">
        <f t="shared" ref="MQ57" si="4012">IF(MQ56&gt;0,MQ$17,0)</f>
        <v>0</v>
      </c>
      <c r="MR57" s="115">
        <f t="shared" ref="MR57" si="4013">IF(MR56&gt;0,MR$17,0)</f>
        <v>0</v>
      </c>
      <c r="MS57" s="115">
        <f t="shared" ref="MS57" si="4014">IF(MS56&gt;0,MS$17,0)</f>
        <v>0</v>
      </c>
      <c r="MT57" s="115">
        <f t="shared" ref="MT57" si="4015">IF(MT56&gt;0,MT$17,0)</f>
        <v>0</v>
      </c>
      <c r="MU57" s="115">
        <f t="shared" ref="MU57" si="4016">IF(MU56&gt;0,MU$17,0)</f>
        <v>0</v>
      </c>
      <c r="MV57" s="115">
        <f t="shared" ref="MV57" si="4017">IF(MV56&gt;0,MV$17,0)</f>
        <v>0</v>
      </c>
      <c r="MW57" s="115">
        <f t="shared" ref="MW57" si="4018">IF(MW56&gt;0,MW$17,0)</f>
        <v>0</v>
      </c>
      <c r="MX57" s="115">
        <f t="shared" ref="MX57" si="4019">IF(MX56&gt;0,MX$17,0)</f>
        <v>0</v>
      </c>
      <c r="MY57" s="115">
        <f t="shared" ref="MY57" si="4020">IF(MY56&gt;0,MY$17,0)</f>
        <v>0</v>
      </c>
      <c r="MZ57" s="115">
        <f t="shared" ref="MZ57" si="4021">IF(MZ56&gt;0,MZ$17,0)</f>
        <v>0</v>
      </c>
      <c r="NA57" s="115">
        <f t="shared" ref="NA57" si="4022">IF(NA56&gt;0,NA$17,0)</f>
        <v>0</v>
      </c>
      <c r="NB57" s="115">
        <f t="shared" ref="NB57" si="4023">IF(NB56&gt;0,NB$17,0)</f>
        <v>0</v>
      </c>
      <c r="NC57" s="115">
        <f t="shared" ref="NC57" si="4024">IF(NC56&gt;0,NC$17,0)</f>
        <v>0</v>
      </c>
      <c r="ND57" s="115">
        <f t="shared" ref="ND57" si="4025">IF(ND56&gt;0,ND$17,0)</f>
        <v>0</v>
      </c>
      <c r="NE57" s="115">
        <f t="shared" ref="NE57" si="4026">IF(NE56&gt;0,NE$17,0)</f>
        <v>0</v>
      </c>
      <c r="NF57" s="115">
        <f t="shared" ref="NF57" si="4027">IF(NF56&gt;0,NF$17,0)</f>
        <v>0</v>
      </c>
      <c r="NG57" s="115">
        <f t="shared" ref="NG57" si="4028">IF(NG56&gt;0,NG$17,0)</f>
        <v>0</v>
      </c>
      <c r="NH57" s="115">
        <f t="shared" ref="NH57" si="4029">IF(NH56&gt;0,NH$17,0)</f>
        <v>0</v>
      </c>
      <c r="NI57" s="115">
        <f t="shared" ref="NI57" si="4030">IF(NI56&gt;0,NI$17,0)</f>
        <v>0</v>
      </c>
      <c r="NJ57" s="115">
        <f t="shared" ref="NJ57" si="4031">IF(NJ56&gt;0,NJ$17,0)</f>
        <v>0</v>
      </c>
      <c r="NK57" s="115">
        <f t="shared" ref="NK57" si="4032">IF(NK56&gt;0,NK$17,0)</f>
        <v>0</v>
      </c>
      <c r="NL57" s="115">
        <f t="shared" ref="NL57" si="4033">IF(NL56&gt;0,NL$17,0)</f>
        <v>0</v>
      </c>
      <c r="NM57" s="115">
        <f t="shared" ref="NM57" si="4034">IF(NM56&gt;0,NM$17,0)</f>
        <v>0</v>
      </c>
      <c r="NN57" s="115">
        <f t="shared" ref="NN57" si="4035">IF(NN56&gt;0,NN$17,0)</f>
        <v>0</v>
      </c>
      <c r="NO57" s="115">
        <f t="shared" ref="NO57" si="4036">IF(NO56&gt;0,NO$17,0)</f>
        <v>0</v>
      </c>
      <c r="NP57" s="115">
        <f t="shared" ref="NP57" si="4037">IF(NP56&gt;0,NP$17,0)</f>
        <v>0</v>
      </c>
      <c r="NQ57" s="115">
        <f t="shared" ref="NQ57" si="4038">IF(NQ56&gt;0,NQ$17,0)</f>
        <v>0</v>
      </c>
      <c r="NR57" s="115">
        <f t="shared" ref="NR57" si="4039">IF(NR56&gt;0,NR$17,0)</f>
        <v>0</v>
      </c>
      <c r="NS57" s="115">
        <f t="shared" ref="NS57" si="4040">IF(NS56&gt;0,NS$17,0)</f>
        <v>0</v>
      </c>
      <c r="NT57" s="115">
        <f t="shared" ref="NT57" si="4041">IF(NT56&gt;0,NT$17,0)</f>
        <v>0</v>
      </c>
      <c r="NU57" s="115">
        <f t="shared" ref="NU57" si="4042">IF(NU56&gt;0,NU$17,0)</f>
        <v>0</v>
      </c>
      <c r="NV57" s="115">
        <f t="shared" ref="NV57" si="4043">IF(NV56&gt;0,NV$17,0)</f>
        <v>0</v>
      </c>
      <c r="NW57" s="115">
        <f t="shared" ref="NW57" si="4044">IF(NW56&gt;0,NW$17,0)</f>
        <v>0</v>
      </c>
      <c r="NX57" s="115">
        <f t="shared" ref="NX57" si="4045">IF(NX56&gt;0,NX$17,0)</f>
        <v>0</v>
      </c>
      <c r="NY57" s="115">
        <f t="shared" ref="NY57" si="4046">IF(NY56&gt;0,NY$17,0)</f>
        <v>0</v>
      </c>
      <c r="NZ57" s="115">
        <f t="shared" ref="NZ57" si="4047">IF(NZ56&gt;0,NZ$17,0)</f>
        <v>0</v>
      </c>
      <c r="OA57" s="115">
        <f t="shared" ref="OA57" si="4048">IF(OA56&gt;0,OA$17,0)</f>
        <v>0</v>
      </c>
      <c r="OB57" s="115">
        <f t="shared" ref="OB57" si="4049">IF(OB56&gt;0,OB$17,0)</f>
        <v>0</v>
      </c>
      <c r="OC57" s="115">
        <f t="shared" ref="OC57" si="4050">IF(OC56&gt;0,OC$17,0)</f>
        <v>0</v>
      </c>
      <c r="OD57" s="115">
        <f t="shared" ref="OD57" si="4051">IF(OD56&gt;0,OD$17,0)</f>
        <v>0</v>
      </c>
      <c r="OE57" s="115">
        <f t="shared" ref="OE57" si="4052">IF(OE56&gt;0,OE$17,0)</f>
        <v>0</v>
      </c>
      <c r="OF57" s="115">
        <f t="shared" ref="OF57" si="4053">IF(OF56&gt;0,OF$17,0)</f>
        <v>0</v>
      </c>
      <c r="OG57" s="115">
        <f t="shared" ref="OG57" si="4054">IF(OG56&gt;0,OG$17,0)</f>
        <v>0</v>
      </c>
      <c r="OH57" s="115">
        <f t="shared" ref="OH57" si="4055">IF(OH56&gt;0,OH$17,0)</f>
        <v>0</v>
      </c>
      <c r="OI57" s="115">
        <f t="shared" ref="OI57" si="4056">IF(OI56&gt;0,OI$17,0)</f>
        <v>0</v>
      </c>
      <c r="OJ57" s="115">
        <f t="shared" ref="OJ57" si="4057">IF(OJ56&gt;0,OJ$17,0)</f>
        <v>0</v>
      </c>
      <c r="OK57" s="115">
        <f t="shared" ref="OK57" si="4058">IF(OK56&gt;0,OK$17,0)</f>
        <v>0</v>
      </c>
      <c r="OL57" s="115">
        <f t="shared" ref="OL57" si="4059">IF(OL56&gt;0,OL$17,0)</f>
        <v>0</v>
      </c>
      <c r="OM57" s="115">
        <f t="shared" ref="OM57" si="4060">IF(OM56&gt;0,OM$17,0)</f>
        <v>0</v>
      </c>
      <c r="ON57" s="115">
        <f t="shared" ref="ON57" si="4061">IF(ON56&gt;0,ON$17,0)</f>
        <v>0</v>
      </c>
      <c r="OO57" s="115">
        <f t="shared" ref="OO57" si="4062">IF(OO56&gt;0,OO$17,0)</f>
        <v>0</v>
      </c>
      <c r="OP57" s="115">
        <f t="shared" ref="OP57" si="4063">IF(OP56&gt;0,OP$17,0)</f>
        <v>0</v>
      </c>
      <c r="OQ57" s="115">
        <f t="shared" ref="OQ57" si="4064">IF(OQ56&gt;0,OQ$17,0)</f>
        <v>0</v>
      </c>
      <c r="OR57" s="115">
        <f t="shared" ref="OR57" si="4065">IF(OR56&gt;0,OR$17,0)</f>
        <v>0</v>
      </c>
      <c r="OS57" s="115">
        <f t="shared" ref="OS57" si="4066">IF(OS56&gt;0,OS$17,0)</f>
        <v>0</v>
      </c>
      <c r="OT57" s="115">
        <f t="shared" ref="OT57" si="4067">IF(OT56&gt;0,OT$17,0)</f>
        <v>0</v>
      </c>
      <c r="OU57" s="115">
        <f t="shared" ref="OU57" si="4068">IF(OU56&gt;0,OU$17,0)</f>
        <v>0</v>
      </c>
      <c r="OV57" s="115">
        <f t="shared" ref="OV57" si="4069">IF(OV56&gt;0,OV$17,0)</f>
        <v>0</v>
      </c>
      <c r="OW57" s="115">
        <f t="shared" ref="OW57" si="4070">IF(OW56&gt;0,OW$17,0)</f>
        <v>0</v>
      </c>
      <c r="OX57" s="115">
        <f t="shared" ref="OX57" si="4071">IF(OX56&gt;0,OX$17,0)</f>
        <v>0</v>
      </c>
      <c r="OY57" s="115">
        <f t="shared" ref="OY57" si="4072">IF(OY56&gt;0,OY$17,0)</f>
        <v>0</v>
      </c>
      <c r="OZ57" s="115">
        <f t="shared" ref="OZ57" si="4073">IF(OZ56&gt;0,OZ$17,0)</f>
        <v>0</v>
      </c>
      <c r="PA57" s="115">
        <f t="shared" ref="PA57" si="4074">IF(PA56&gt;0,PA$17,0)</f>
        <v>0</v>
      </c>
      <c r="PB57" s="115">
        <f t="shared" ref="PB57" si="4075">IF(PB56&gt;0,PB$17,0)</f>
        <v>0</v>
      </c>
      <c r="PC57" s="115">
        <f t="shared" ref="PC57" si="4076">IF(PC56&gt;0,PC$17,0)</f>
        <v>0</v>
      </c>
      <c r="PD57" s="115">
        <f t="shared" ref="PD57" si="4077">IF(PD56&gt;0,PD$17,0)</f>
        <v>0</v>
      </c>
      <c r="PE57" s="115">
        <f t="shared" ref="PE57" si="4078">IF(PE56&gt;0,PE$17,0)</f>
        <v>0</v>
      </c>
      <c r="PF57" s="115">
        <f t="shared" ref="PF57" si="4079">IF(PF56&gt;0,PF$17,0)</f>
        <v>0</v>
      </c>
      <c r="PG57" s="115">
        <f t="shared" ref="PG57" si="4080">IF(PG56&gt;0,PG$17,0)</f>
        <v>0</v>
      </c>
      <c r="PH57" s="115">
        <f t="shared" ref="PH57" si="4081">IF(PH56&gt;0,PH$17,0)</f>
        <v>0</v>
      </c>
      <c r="PI57" s="115">
        <f t="shared" ref="PI57" si="4082">IF(PI56&gt;0,PI$17,0)</f>
        <v>0</v>
      </c>
      <c r="PJ57" s="115">
        <f t="shared" ref="PJ57" si="4083">IF(PJ56&gt;0,PJ$17,0)</f>
        <v>0</v>
      </c>
      <c r="PK57" s="115">
        <f t="shared" ref="PK57" si="4084">IF(PK56&gt;0,PK$17,0)</f>
        <v>0</v>
      </c>
      <c r="PL57" s="115">
        <f t="shared" ref="PL57" si="4085">IF(PL56&gt;0,PL$17,0)</f>
        <v>0</v>
      </c>
      <c r="PM57" s="115">
        <f t="shared" ref="PM57" si="4086">IF(PM56&gt;0,PM$17,0)</f>
        <v>0</v>
      </c>
      <c r="PN57" s="115">
        <f t="shared" ref="PN57" si="4087">IF(PN56&gt;0,PN$17,0)</f>
        <v>0</v>
      </c>
      <c r="PO57" s="115">
        <f t="shared" ref="PO57" si="4088">IF(PO56&gt;0,PO$17,0)</f>
        <v>0</v>
      </c>
      <c r="PP57" s="115">
        <f t="shared" ref="PP57" si="4089">IF(PP56&gt;0,PP$17,0)</f>
        <v>0</v>
      </c>
      <c r="PQ57" s="115">
        <f t="shared" ref="PQ57" si="4090">IF(PQ56&gt;0,PQ$17,0)</f>
        <v>0</v>
      </c>
      <c r="PR57" s="115">
        <f t="shared" ref="PR57" si="4091">IF(PR56&gt;0,PR$17,0)</f>
        <v>0</v>
      </c>
      <c r="PS57" s="115">
        <f t="shared" ref="PS57" si="4092">IF(PS56&gt;0,PS$17,0)</f>
        <v>0</v>
      </c>
      <c r="PT57" s="115">
        <f t="shared" ref="PT57" si="4093">IF(PT56&gt;0,PT$17,0)</f>
        <v>0</v>
      </c>
      <c r="PU57" s="115">
        <f t="shared" ref="PU57" si="4094">IF(PU56&gt;0,PU$17,0)</f>
        <v>0</v>
      </c>
      <c r="PV57" s="115">
        <f t="shared" ref="PV57" si="4095">IF(PV56&gt;0,PV$17,0)</f>
        <v>0</v>
      </c>
      <c r="PW57" s="115">
        <f t="shared" ref="PW57" si="4096">IF(PW56&gt;0,PW$17,0)</f>
        <v>0</v>
      </c>
      <c r="PX57" s="115">
        <f t="shared" ref="PX57" si="4097">IF(PX56&gt;0,PX$17,0)</f>
        <v>0</v>
      </c>
      <c r="PY57" s="115">
        <f t="shared" ref="PY57" si="4098">IF(PY56&gt;0,PY$17,0)</f>
        <v>0</v>
      </c>
      <c r="PZ57" s="115">
        <f t="shared" ref="PZ57" si="4099">IF(PZ56&gt;0,PZ$17,0)</f>
        <v>0</v>
      </c>
      <c r="QA57" s="115">
        <f t="shared" ref="QA57" si="4100">IF(QA56&gt;0,QA$17,0)</f>
        <v>0</v>
      </c>
      <c r="QB57" s="115">
        <f t="shared" ref="QB57" si="4101">IF(QB56&gt;0,QB$17,0)</f>
        <v>0</v>
      </c>
      <c r="QC57" s="115">
        <f t="shared" ref="QC57" si="4102">IF(QC56&gt;0,QC$17,0)</f>
        <v>0</v>
      </c>
      <c r="QD57" s="115">
        <f t="shared" ref="QD57" si="4103">IF(QD56&gt;0,QD$17,0)</f>
        <v>0</v>
      </c>
      <c r="QE57" s="115">
        <f t="shared" ref="QE57" si="4104">IF(QE56&gt;0,QE$17,0)</f>
        <v>0</v>
      </c>
      <c r="QF57" s="115">
        <f t="shared" ref="QF57" si="4105">IF(QF56&gt;0,QF$17,0)</f>
        <v>0</v>
      </c>
      <c r="QG57" s="115">
        <f t="shared" ref="QG57" si="4106">IF(QG56&gt;0,QG$17,0)</f>
        <v>0</v>
      </c>
      <c r="QH57" s="115">
        <f t="shared" ref="QH57" si="4107">IF(QH56&gt;0,QH$17,0)</f>
        <v>0</v>
      </c>
      <c r="QI57" s="115">
        <f t="shared" ref="QI57" si="4108">IF(QI56&gt;0,QI$17,0)</f>
        <v>0</v>
      </c>
      <c r="QJ57" s="115">
        <f t="shared" ref="QJ57" si="4109">IF(QJ56&gt;0,QJ$17,0)</f>
        <v>0</v>
      </c>
      <c r="QK57" s="115">
        <f t="shared" ref="QK57" si="4110">IF(QK56&gt;0,QK$17,0)</f>
        <v>0</v>
      </c>
      <c r="QL57" s="115">
        <f t="shared" ref="QL57" si="4111">IF(QL56&gt;0,QL$17,0)</f>
        <v>0</v>
      </c>
      <c r="QM57" s="115">
        <f t="shared" ref="QM57" si="4112">IF(QM56&gt;0,QM$17,0)</f>
        <v>0</v>
      </c>
      <c r="QN57" s="115">
        <f t="shared" ref="QN57" si="4113">IF(QN56&gt;0,QN$17,0)</f>
        <v>0</v>
      </c>
      <c r="QO57" s="115">
        <f t="shared" ref="QO57" si="4114">IF(QO56&gt;0,QO$17,0)</f>
        <v>0</v>
      </c>
      <c r="QP57" s="115">
        <f t="shared" ref="QP57" si="4115">IF(QP56&gt;0,QP$17,0)</f>
        <v>0</v>
      </c>
      <c r="QQ57" s="115">
        <f t="shared" ref="QQ57" si="4116">IF(QQ56&gt;0,QQ$17,0)</f>
        <v>0</v>
      </c>
      <c r="QR57" s="115">
        <f t="shared" ref="QR57" si="4117">IF(QR56&gt;0,QR$17,0)</f>
        <v>0</v>
      </c>
      <c r="QS57" s="115">
        <f t="shared" ref="QS57" si="4118">IF(QS56&gt;0,QS$17,0)</f>
        <v>0</v>
      </c>
      <c r="QT57" s="115">
        <f t="shared" ref="QT57" si="4119">IF(QT56&gt;0,QT$17,0)</f>
        <v>0</v>
      </c>
      <c r="QU57" s="115">
        <f t="shared" ref="QU57" si="4120">IF(QU56&gt;0,QU$17,0)</f>
        <v>0</v>
      </c>
      <c r="QV57" s="115">
        <f t="shared" ref="QV57" si="4121">IF(QV56&gt;0,QV$17,0)</f>
        <v>0</v>
      </c>
      <c r="QW57" s="115">
        <f t="shared" ref="QW57" si="4122">IF(QW56&gt;0,QW$17,0)</f>
        <v>0</v>
      </c>
      <c r="QX57" s="115">
        <f t="shared" ref="QX57" si="4123">IF(QX56&gt;0,QX$17,0)</f>
        <v>0</v>
      </c>
      <c r="QY57" s="115">
        <f t="shared" ref="QY57" si="4124">IF(QY56&gt;0,QY$17,0)</f>
        <v>0</v>
      </c>
      <c r="QZ57" s="115">
        <f t="shared" ref="QZ57" si="4125">IF(QZ56&gt;0,QZ$17,0)</f>
        <v>0</v>
      </c>
      <c r="RA57" s="115">
        <f t="shared" ref="RA57" si="4126">IF(RA56&gt;0,RA$17,0)</f>
        <v>0</v>
      </c>
      <c r="RB57" s="115">
        <f t="shared" ref="RB57" si="4127">IF(RB56&gt;0,RB$17,0)</f>
        <v>0</v>
      </c>
      <c r="RC57" s="115">
        <f t="shared" ref="RC57" si="4128">IF(RC56&gt;0,RC$17,0)</f>
        <v>0</v>
      </c>
      <c r="RD57" s="115">
        <f t="shared" ref="RD57" si="4129">IF(RD56&gt;0,RD$17,0)</f>
        <v>0</v>
      </c>
      <c r="RE57" s="115">
        <f t="shared" ref="RE57" si="4130">IF(RE56&gt;0,RE$17,0)</f>
        <v>0</v>
      </c>
      <c r="RF57" s="115">
        <f t="shared" ref="RF57" si="4131">IF(RF56&gt;0,RF$17,0)</f>
        <v>0</v>
      </c>
      <c r="RG57" s="115">
        <f t="shared" ref="RG57" si="4132">IF(RG56&gt;0,RG$17,0)</f>
        <v>0</v>
      </c>
      <c r="RH57" s="115">
        <f t="shared" ref="RH57" si="4133">IF(RH56&gt;0,RH$17,0)</f>
        <v>0</v>
      </c>
      <c r="RI57" s="115">
        <f t="shared" ref="RI57" si="4134">IF(RI56&gt;0,RI$17,0)</f>
        <v>0</v>
      </c>
      <c r="RJ57" s="115">
        <f t="shared" ref="RJ57" si="4135">IF(RJ56&gt;0,RJ$17,0)</f>
        <v>0</v>
      </c>
      <c r="RK57" s="115">
        <f t="shared" ref="RK57" si="4136">IF(RK56&gt;0,RK$17,0)</f>
        <v>0</v>
      </c>
      <c r="RL57" s="115">
        <f t="shared" ref="RL57" si="4137">IF(RL56&gt;0,RL$17,0)</f>
        <v>0</v>
      </c>
      <c r="RM57" s="115">
        <f t="shared" ref="RM57" si="4138">IF(RM56&gt;0,RM$17,0)</f>
        <v>0</v>
      </c>
      <c r="RN57" s="115">
        <f t="shared" ref="RN57" si="4139">IF(RN56&gt;0,RN$17,0)</f>
        <v>0</v>
      </c>
      <c r="RO57" s="115">
        <f t="shared" ref="RO57" si="4140">IF(RO56&gt;0,RO$17,0)</f>
        <v>0</v>
      </c>
      <c r="RP57" s="115">
        <f t="shared" ref="RP57" si="4141">IF(RP56&gt;0,RP$17,0)</f>
        <v>0</v>
      </c>
      <c r="RQ57" s="115">
        <f t="shared" ref="RQ57" si="4142">IF(RQ56&gt;0,RQ$17,0)</f>
        <v>0</v>
      </c>
      <c r="RR57" s="115">
        <f t="shared" ref="RR57" si="4143">IF(RR56&gt;0,RR$17,0)</f>
        <v>0</v>
      </c>
      <c r="RS57" s="115">
        <f t="shared" ref="RS57" si="4144">IF(RS56&gt;0,RS$17,0)</f>
        <v>0</v>
      </c>
      <c r="RT57" s="115">
        <f t="shared" ref="RT57" si="4145">IF(RT56&gt;0,RT$17,0)</f>
        <v>0</v>
      </c>
      <c r="RU57" s="115">
        <f t="shared" ref="RU57" si="4146">IF(RU56&gt;0,RU$17,0)</f>
        <v>0</v>
      </c>
      <c r="RV57" s="115">
        <f t="shared" ref="RV57" si="4147">IF(RV56&gt;0,RV$17,0)</f>
        <v>0</v>
      </c>
      <c r="RW57" s="115">
        <f t="shared" ref="RW57" si="4148">IF(RW56&gt;0,RW$17,0)</f>
        <v>0</v>
      </c>
      <c r="RX57" s="115">
        <f t="shared" ref="RX57" si="4149">IF(RX56&gt;0,RX$17,0)</f>
        <v>0</v>
      </c>
      <c r="RY57" s="115">
        <f t="shared" ref="RY57" si="4150">IF(RY56&gt;0,RY$17,0)</f>
        <v>0</v>
      </c>
      <c r="RZ57" s="115">
        <f t="shared" ref="RZ57" si="4151">IF(RZ56&gt;0,RZ$17,0)</f>
        <v>0</v>
      </c>
      <c r="SA57" s="115">
        <f t="shared" ref="SA57" si="4152">IF(SA56&gt;0,SA$17,0)</f>
        <v>0</v>
      </c>
      <c r="SB57" s="115">
        <f t="shared" ref="SB57" si="4153">IF(SB56&gt;0,SB$17,0)</f>
        <v>0</v>
      </c>
      <c r="SC57" s="115">
        <f t="shared" ref="SC57" si="4154">IF(SC56&gt;0,SC$17,0)</f>
        <v>0</v>
      </c>
      <c r="SD57" s="115">
        <f t="shared" ref="SD57" si="4155">IF(SD56&gt;0,SD$17,0)</f>
        <v>0</v>
      </c>
      <c r="SE57" s="115">
        <f t="shared" ref="SE57" si="4156">IF(SE56&gt;0,SE$17,0)</f>
        <v>0</v>
      </c>
      <c r="SF57" s="115">
        <f t="shared" ref="SF57" si="4157">IF(SF56&gt;0,SF$17,0)</f>
        <v>0</v>
      </c>
      <c r="SG57" s="115">
        <f t="shared" ref="SG57" si="4158">IF(SG56&gt;0,SG$17,0)</f>
        <v>0</v>
      </c>
      <c r="SH57" s="115">
        <f t="shared" ref="SH57" si="4159">IF(SH56&gt;0,SH$17,0)</f>
        <v>0</v>
      </c>
      <c r="SI57" s="115">
        <f t="shared" ref="SI57" si="4160">IF(SI56&gt;0,SI$17,0)</f>
        <v>0</v>
      </c>
      <c r="SJ57" s="115">
        <f t="shared" ref="SJ57" si="4161">IF(SJ56&gt;0,SJ$17,0)</f>
        <v>0</v>
      </c>
      <c r="SK57" s="115">
        <f t="shared" ref="SK57" si="4162">IF(SK56&gt;0,SK$17,0)</f>
        <v>0</v>
      </c>
      <c r="SL57" s="115">
        <f t="shared" ref="SL57" si="4163">IF(SL56&gt;0,SL$17,0)</f>
        <v>0</v>
      </c>
      <c r="SM57" s="115">
        <f t="shared" ref="SM57" si="4164">IF(SM56&gt;0,SM$17,0)</f>
        <v>0</v>
      </c>
      <c r="SN57" s="115">
        <f t="shared" ref="SN57" si="4165">IF(SN56&gt;0,SN$17,0)</f>
        <v>0</v>
      </c>
      <c r="SO57" s="115">
        <f t="shared" ref="SO57" si="4166">IF(SO56&gt;0,SO$17,0)</f>
        <v>0</v>
      </c>
      <c r="SP57" s="115">
        <f t="shared" ref="SP57" si="4167">IF(SP56&gt;0,SP$17,0)</f>
        <v>0</v>
      </c>
      <c r="SQ57" s="115">
        <f t="shared" ref="SQ57" si="4168">IF(SQ56&gt;0,SQ$17,0)</f>
        <v>0</v>
      </c>
      <c r="SR57" s="115">
        <f t="shared" ref="SR57" si="4169">IF(SR56&gt;0,SR$17,0)</f>
        <v>0</v>
      </c>
      <c r="SS57" s="115">
        <f t="shared" ref="SS57" si="4170">IF(SS56&gt;0,SS$17,0)</f>
        <v>0</v>
      </c>
      <c r="ST57" s="115">
        <f t="shared" ref="ST57" si="4171">IF(ST56&gt;0,ST$17,0)</f>
        <v>0</v>
      </c>
      <c r="SU57" s="115">
        <f t="shared" ref="SU57" si="4172">IF(SU56&gt;0,SU$17,0)</f>
        <v>0</v>
      </c>
      <c r="SV57" s="115">
        <f t="shared" ref="SV57" si="4173">IF(SV56&gt;0,SV$17,0)</f>
        <v>0</v>
      </c>
      <c r="SW57" s="115">
        <f t="shared" ref="SW57" si="4174">IF(SW56&gt;0,SW$17,0)</f>
        <v>0</v>
      </c>
      <c r="SX57" s="115">
        <f t="shared" ref="SX57" si="4175">IF(SX56&gt;0,SX$17,0)</f>
        <v>0</v>
      </c>
      <c r="SY57" s="115">
        <f t="shared" ref="SY57" si="4176">IF(SY56&gt;0,SY$17,0)</f>
        <v>0</v>
      </c>
      <c r="SZ57" s="115">
        <f t="shared" ref="SZ57" si="4177">IF(SZ56&gt;0,SZ$17,0)</f>
        <v>0</v>
      </c>
      <c r="TA57" s="115">
        <f t="shared" ref="TA57" si="4178">IF(TA56&gt;0,TA$17,0)</f>
        <v>0</v>
      </c>
      <c r="TB57" s="115">
        <f t="shared" ref="TB57" si="4179">IF(TB56&gt;0,TB$17,0)</f>
        <v>0</v>
      </c>
      <c r="TC57" s="115">
        <f t="shared" ref="TC57" si="4180">IF(TC56&gt;0,TC$17,0)</f>
        <v>0</v>
      </c>
      <c r="TD57" s="115">
        <f t="shared" ref="TD57" si="4181">IF(TD56&gt;0,TD$17,0)</f>
        <v>0</v>
      </c>
      <c r="TE57" s="115">
        <f t="shared" ref="TE57" si="4182">IF(TE56&gt;0,TE$17,0)</f>
        <v>0</v>
      </c>
      <c r="TF57" s="115">
        <f t="shared" ref="TF57" si="4183">IF(TF56&gt;0,TF$17,0)</f>
        <v>0</v>
      </c>
      <c r="TG57" s="115">
        <f t="shared" ref="TG57" si="4184">IF(TG56&gt;0,TG$17,0)</f>
        <v>0</v>
      </c>
      <c r="TH57" s="115">
        <f t="shared" ref="TH57" si="4185">IF(TH56&gt;0,TH$17,0)</f>
        <v>0</v>
      </c>
      <c r="TI57" s="115">
        <f t="shared" ref="TI57" si="4186">IF(TI56&gt;0,TI$17,0)</f>
        <v>0</v>
      </c>
      <c r="TJ57" s="115">
        <f t="shared" ref="TJ57" si="4187">IF(TJ56&gt;0,TJ$17,0)</f>
        <v>0</v>
      </c>
      <c r="TK57" s="115">
        <f t="shared" ref="TK57" si="4188">IF(TK56&gt;0,TK$17,0)</f>
        <v>0</v>
      </c>
      <c r="TL57" s="115">
        <f t="shared" ref="TL57" si="4189">IF(TL56&gt;0,TL$17,0)</f>
        <v>0</v>
      </c>
      <c r="TM57" s="115">
        <f t="shared" ref="TM57" si="4190">IF(TM56&gt;0,TM$17,0)</f>
        <v>0</v>
      </c>
      <c r="TN57" s="115">
        <f t="shared" ref="TN57" si="4191">IF(TN56&gt;0,TN$17,0)</f>
        <v>0</v>
      </c>
      <c r="TO57" s="115">
        <f t="shared" ref="TO57" si="4192">IF(TO56&gt;0,TO$17,0)</f>
        <v>0</v>
      </c>
      <c r="TP57" s="115">
        <f t="shared" ref="TP57" si="4193">IF(TP56&gt;0,TP$17,0)</f>
        <v>0</v>
      </c>
      <c r="TQ57" s="115">
        <f t="shared" ref="TQ57" si="4194">IF(TQ56&gt;0,TQ$17,0)</f>
        <v>0</v>
      </c>
      <c r="TR57" s="115">
        <f t="shared" ref="TR57" si="4195">IF(TR56&gt;0,TR$17,0)</f>
        <v>0</v>
      </c>
      <c r="TS57" s="115">
        <f t="shared" ref="TS57" si="4196">IF(TS56&gt;0,TS$17,0)</f>
        <v>0</v>
      </c>
      <c r="TT57" s="115">
        <f t="shared" ref="TT57" si="4197">IF(TT56&gt;0,TT$17,0)</f>
        <v>0</v>
      </c>
      <c r="TU57" s="115">
        <f t="shared" ref="TU57" si="4198">IF(TU56&gt;0,TU$17,0)</f>
        <v>0</v>
      </c>
      <c r="TV57" s="115">
        <f t="shared" ref="TV57" si="4199">IF(TV56&gt;0,TV$17,0)</f>
        <v>0</v>
      </c>
      <c r="TW57" s="115">
        <f t="shared" ref="TW57" si="4200">IF(TW56&gt;0,TW$17,0)</f>
        <v>0</v>
      </c>
      <c r="TX57" s="115">
        <f t="shared" ref="TX57" si="4201">IF(TX56&gt;0,TX$17,0)</f>
        <v>0</v>
      </c>
      <c r="TY57" s="115">
        <f t="shared" ref="TY57" si="4202">IF(TY56&gt;0,TY$17,0)</f>
        <v>0</v>
      </c>
      <c r="TZ57" s="115">
        <f t="shared" ref="TZ57" si="4203">IF(TZ56&gt;0,TZ$17,0)</f>
        <v>0</v>
      </c>
      <c r="UA57" s="115">
        <f t="shared" ref="UA57" si="4204">IF(UA56&gt;0,UA$17,0)</f>
        <v>0</v>
      </c>
      <c r="UB57" s="115">
        <f t="shared" ref="UB57" si="4205">IF(UB56&gt;0,UB$17,0)</f>
        <v>0</v>
      </c>
      <c r="UC57" s="115">
        <f t="shared" ref="UC57" si="4206">IF(UC56&gt;0,UC$17,0)</f>
        <v>0</v>
      </c>
      <c r="UD57" s="115">
        <f t="shared" ref="UD57" si="4207">IF(UD56&gt;0,UD$17,0)</f>
        <v>0</v>
      </c>
      <c r="UE57" s="115">
        <f t="shared" ref="UE57" si="4208">IF(UE56&gt;0,UE$17,0)</f>
        <v>0</v>
      </c>
      <c r="UF57" s="115">
        <f t="shared" ref="UF57" si="4209">IF(UF56&gt;0,UF$17,0)</f>
        <v>0</v>
      </c>
      <c r="UG57" s="115">
        <f t="shared" ref="UG57" si="4210">IF(UG56&gt;0,UG$17,0)</f>
        <v>0</v>
      </c>
      <c r="UH57" s="115">
        <f t="shared" ref="UH57" si="4211">IF(UH56&gt;0,UH$17,0)</f>
        <v>0</v>
      </c>
      <c r="UI57" s="115">
        <f t="shared" ref="UI57" si="4212">IF(UI56&gt;0,UI$17,0)</f>
        <v>0</v>
      </c>
      <c r="UJ57" s="115">
        <f t="shared" ref="UJ57" si="4213">IF(UJ56&gt;0,UJ$17,0)</f>
        <v>0</v>
      </c>
      <c r="UK57" s="115">
        <f t="shared" ref="UK57" si="4214">IF(UK56&gt;0,UK$17,0)</f>
        <v>0</v>
      </c>
      <c r="UL57" s="115">
        <f t="shared" ref="UL57" si="4215">IF(UL56&gt;0,UL$17,0)</f>
        <v>0</v>
      </c>
      <c r="UM57" s="115">
        <f t="shared" ref="UM57" si="4216">IF(UM56&gt;0,UM$17,0)</f>
        <v>0</v>
      </c>
      <c r="UN57" s="115">
        <f t="shared" ref="UN57" si="4217">IF(UN56&gt;0,UN$17,0)</f>
        <v>0</v>
      </c>
      <c r="UO57" s="115">
        <f t="shared" ref="UO57" si="4218">IF(UO56&gt;0,UO$17,0)</f>
        <v>0</v>
      </c>
      <c r="UP57" s="115">
        <f t="shared" ref="UP57" si="4219">IF(UP56&gt;0,UP$17,0)</f>
        <v>0</v>
      </c>
      <c r="UQ57" s="115">
        <f t="shared" ref="UQ57" si="4220">IF(UQ56&gt;0,UQ$17,0)</f>
        <v>0</v>
      </c>
      <c r="UR57" s="115">
        <f t="shared" ref="UR57" si="4221">IF(UR56&gt;0,UR$17,0)</f>
        <v>0</v>
      </c>
      <c r="US57" s="115">
        <f t="shared" ref="US57" si="4222">IF(US56&gt;0,US$17,0)</f>
        <v>0</v>
      </c>
      <c r="UT57" s="115">
        <f t="shared" ref="UT57" si="4223">IF(UT56&gt;0,UT$17,0)</f>
        <v>0</v>
      </c>
      <c r="UU57" s="115">
        <f t="shared" ref="UU57" si="4224">IF(UU56&gt;0,UU$17,0)</f>
        <v>0</v>
      </c>
      <c r="UV57" s="115">
        <f t="shared" ref="UV57" si="4225">IF(UV56&gt;0,UV$17,0)</f>
        <v>0</v>
      </c>
      <c r="UW57" s="115">
        <f t="shared" ref="UW57" si="4226">IF(UW56&gt;0,UW$17,0)</f>
        <v>0</v>
      </c>
      <c r="UX57" s="115">
        <f t="shared" ref="UX57" si="4227">IF(UX56&gt;0,UX$17,0)</f>
        <v>0</v>
      </c>
      <c r="UY57" s="115">
        <f t="shared" ref="UY57" si="4228">IF(UY56&gt;0,UY$17,0)</f>
        <v>0</v>
      </c>
      <c r="UZ57" s="115">
        <f t="shared" ref="UZ57" si="4229">IF(UZ56&gt;0,UZ$17,0)</f>
        <v>0</v>
      </c>
      <c r="VA57" s="115">
        <f t="shared" ref="VA57" si="4230">IF(VA56&gt;0,VA$17,0)</f>
        <v>0</v>
      </c>
      <c r="VB57" s="115">
        <f t="shared" ref="VB57" si="4231">IF(VB56&gt;0,VB$17,0)</f>
        <v>0</v>
      </c>
      <c r="VC57" s="115">
        <f t="shared" ref="VC57" si="4232">IF(VC56&gt;0,VC$17,0)</f>
        <v>0</v>
      </c>
      <c r="VD57" s="115">
        <f t="shared" ref="VD57" si="4233">IF(VD56&gt;0,VD$17,0)</f>
        <v>0</v>
      </c>
      <c r="VE57" s="115">
        <f t="shared" ref="VE57" si="4234">IF(VE56&gt;0,VE$17,0)</f>
        <v>0</v>
      </c>
      <c r="VF57" s="115">
        <f t="shared" ref="VF57" si="4235">IF(VF56&gt;0,VF$17,0)</f>
        <v>0</v>
      </c>
      <c r="VG57" s="115">
        <f t="shared" ref="VG57" si="4236">IF(VG56&gt;0,VG$17,0)</f>
        <v>0</v>
      </c>
      <c r="VH57" s="115">
        <f t="shared" ref="VH57" si="4237">IF(VH56&gt;0,VH$17,0)</f>
        <v>0</v>
      </c>
      <c r="VI57" s="115">
        <f t="shared" ref="VI57" si="4238">IF(VI56&gt;0,VI$17,0)</f>
        <v>0</v>
      </c>
      <c r="VJ57" s="115">
        <f t="shared" ref="VJ57" si="4239">IF(VJ56&gt;0,VJ$17,0)</f>
        <v>0</v>
      </c>
      <c r="VK57" s="115">
        <f t="shared" ref="VK57" si="4240">IF(VK56&gt;0,VK$17,0)</f>
        <v>0</v>
      </c>
      <c r="VL57" s="115">
        <f t="shared" ref="VL57" si="4241">IF(VL56&gt;0,VL$17,0)</f>
        <v>0</v>
      </c>
      <c r="VM57" s="115">
        <f t="shared" ref="VM57" si="4242">IF(VM56&gt;0,VM$17,0)</f>
        <v>0</v>
      </c>
      <c r="VN57" s="115">
        <f t="shared" ref="VN57" si="4243">IF(VN56&gt;0,VN$17,0)</f>
        <v>0</v>
      </c>
      <c r="VO57" s="115">
        <f t="shared" ref="VO57" si="4244">IF(VO56&gt;0,VO$17,0)</f>
        <v>0</v>
      </c>
      <c r="VP57" s="115">
        <f t="shared" ref="VP57" si="4245">IF(VP56&gt;0,VP$17,0)</f>
        <v>0</v>
      </c>
      <c r="VQ57" s="115">
        <f t="shared" ref="VQ57" si="4246">IF(VQ56&gt;0,VQ$17,0)</f>
        <v>0</v>
      </c>
      <c r="VR57" s="115">
        <f t="shared" ref="VR57" si="4247">IF(VR56&gt;0,VR$17,0)</f>
        <v>0</v>
      </c>
      <c r="VS57" s="115">
        <f t="shared" ref="VS57" si="4248">IF(VS56&gt;0,VS$17,0)</f>
        <v>0</v>
      </c>
      <c r="VT57" s="115">
        <f t="shared" ref="VT57" si="4249">IF(VT56&gt;0,VT$17,0)</f>
        <v>0</v>
      </c>
      <c r="VU57" s="115">
        <f t="shared" ref="VU57" si="4250">IF(VU56&gt;0,VU$17,0)</f>
        <v>0</v>
      </c>
      <c r="VV57" s="115">
        <f t="shared" ref="VV57" si="4251">IF(VV56&gt;0,VV$17,0)</f>
        <v>0</v>
      </c>
      <c r="VW57" s="115">
        <f t="shared" ref="VW57" si="4252">IF(VW56&gt;0,VW$17,0)</f>
        <v>0</v>
      </c>
      <c r="VX57" s="115">
        <f t="shared" ref="VX57" si="4253">IF(VX56&gt;0,VX$17,0)</f>
        <v>0</v>
      </c>
      <c r="VY57" s="115">
        <f t="shared" ref="VY57" si="4254">IF(VY56&gt;0,VY$17,0)</f>
        <v>0</v>
      </c>
      <c r="VZ57" s="115">
        <f t="shared" ref="VZ57" si="4255">IF(VZ56&gt;0,VZ$17,0)</f>
        <v>0</v>
      </c>
      <c r="WA57" s="115">
        <f t="shared" ref="WA57" si="4256">IF(WA56&gt;0,WA$17,0)</f>
        <v>0</v>
      </c>
      <c r="WB57" s="115">
        <f t="shared" ref="WB57" si="4257">IF(WB56&gt;0,WB$17,0)</f>
        <v>0</v>
      </c>
      <c r="WC57" s="115">
        <f t="shared" ref="WC57" si="4258">IF(WC56&gt;0,WC$17,0)</f>
        <v>0</v>
      </c>
      <c r="WD57" s="115">
        <f t="shared" ref="WD57" si="4259">IF(WD56&gt;0,WD$17,0)</f>
        <v>0</v>
      </c>
      <c r="WE57" s="115">
        <f t="shared" ref="WE57" si="4260">IF(WE56&gt;0,WE$17,0)</f>
        <v>0</v>
      </c>
      <c r="WF57" s="115">
        <f t="shared" ref="WF57" si="4261">IF(WF56&gt;0,WF$17,0)</f>
        <v>0</v>
      </c>
      <c r="WG57" s="115">
        <f t="shared" ref="WG57" si="4262">IF(WG56&gt;0,WG$17,0)</f>
        <v>0</v>
      </c>
      <c r="WH57" s="115">
        <f t="shared" ref="WH57" si="4263">IF(WH56&gt;0,WH$17,0)</f>
        <v>0</v>
      </c>
      <c r="WI57" s="115">
        <f t="shared" ref="WI57" si="4264">IF(WI56&gt;0,WI$17,0)</f>
        <v>0</v>
      </c>
      <c r="WJ57" s="115">
        <f t="shared" ref="WJ57" si="4265">IF(WJ56&gt;0,WJ$17,0)</f>
        <v>0</v>
      </c>
      <c r="WK57" s="115">
        <f t="shared" ref="WK57" si="4266">IF(WK56&gt;0,WK$17,0)</f>
        <v>0</v>
      </c>
      <c r="WL57" s="115">
        <f t="shared" ref="WL57" si="4267">IF(WL56&gt;0,WL$17,0)</f>
        <v>0</v>
      </c>
      <c r="WM57" s="115">
        <f t="shared" ref="WM57" si="4268">IF(WM56&gt;0,WM$17,0)</f>
        <v>0</v>
      </c>
      <c r="WN57" s="115">
        <f t="shared" ref="WN57" si="4269">IF(WN56&gt;0,WN$17,0)</f>
        <v>0</v>
      </c>
      <c r="WO57" s="115">
        <f t="shared" ref="WO57" si="4270">IF(WO56&gt;0,WO$17,0)</f>
        <v>0</v>
      </c>
      <c r="WP57" s="115">
        <f t="shared" ref="WP57" si="4271">IF(WP56&gt;0,WP$17,0)</f>
        <v>0</v>
      </c>
      <c r="WQ57" s="115">
        <f t="shared" ref="WQ57" si="4272">IF(WQ56&gt;0,WQ$17,0)</f>
        <v>0</v>
      </c>
      <c r="WR57" s="115">
        <f t="shared" ref="WR57" si="4273">IF(WR56&gt;0,WR$17,0)</f>
        <v>0</v>
      </c>
      <c r="WS57" s="115">
        <f t="shared" ref="WS57" si="4274">IF(WS56&gt;0,WS$17,0)</f>
        <v>0</v>
      </c>
      <c r="WT57" s="115">
        <f t="shared" ref="WT57" si="4275">IF(WT56&gt;0,WT$17,0)</f>
        <v>0</v>
      </c>
      <c r="WU57" s="115">
        <f t="shared" ref="WU57" si="4276">IF(WU56&gt;0,WU$17,0)</f>
        <v>0</v>
      </c>
      <c r="WV57" s="115">
        <f t="shared" ref="WV57" si="4277">IF(WV56&gt;0,WV$17,0)</f>
        <v>0</v>
      </c>
      <c r="WW57" s="115">
        <f t="shared" ref="WW57" si="4278">IF(WW56&gt;0,WW$17,0)</f>
        <v>0</v>
      </c>
      <c r="WX57" s="115">
        <f t="shared" ref="WX57" si="4279">IF(WX56&gt;0,WX$17,0)</f>
        <v>0</v>
      </c>
      <c r="WY57" s="115">
        <f t="shared" ref="WY57" si="4280">IF(WY56&gt;0,WY$17,0)</f>
        <v>0</v>
      </c>
      <c r="WZ57" s="115">
        <f t="shared" ref="WZ57" si="4281">IF(WZ56&gt;0,WZ$17,0)</f>
        <v>0</v>
      </c>
      <c r="XA57" s="115">
        <f t="shared" ref="XA57" si="4282">IF(XA56&gt;0,XA$17,0)</f>
        <v>0</v>
      </c>
      <c r="XB57" s="115">
        <f t="shared" ref="XB57" si="4283">IF(XB56&gt;0,XB$17,0)</f>
        <v>0</v>
      </c>
      <c r="XC57" s="115">
        <f t="shared" ref="XC57" si="4284">IF(XC56&gt;0,XC$17,0)</f>
        <v>0</v>
      </c>
      <c r="XD57" s="115">
        <f t="shared" ref="XD57" si="4285">IF(XD56&gt;0,XD$17,0)</f>
        <v>0</v>
      </c>
      <c r="XE57" s="115">
        <f t="shared" ref="XE57" si="4286">IF(XE56&gt;0,XE$17,0)</f>
        <v>0</v>
      </c>
      <c r="XF57" s="115">
        <f t="shared" ref="XF57" si="4287">IF(XF56&gt;0,XF$17,0)</f>
        <v>0</v>
      </c>
      <c r="XG57" s="115">
        <f t="shared" ref="XG57" si="4288">IF(XG56&gt;0,XG$17,0)</f>
        <v>0</v>
      </c>
      <c r="XH57" s="115">
        <f t="shared" ref="XH57" si="4289">IF(XH56&gt;0,XH$17,0)</f>
        <v>0</v>
      </c>
      <c r="XI57" s="115">
        <f t="shared" ref="XI57" si="4290">IF(XI56&gt;0,XI$17,0)</f>
        <v>0</v>
      </c>
      <c r="XJ57" s="115">
        <f t="shared" ref="XJ57" si="4291">IF(XJ56&gt;0,XJ$17,0)</f>
        <v>0</v>
      </c>
      <c r="XK57" s="115">
        <f t="shared" ref="XK57" si="4292">IF(XK56&gt;0,XK$17,0)</f>
        <v>0</v>
      </c>
      <c r="XL57" s="115">
        <f t="shared" ref="XL57" si="4293">IF(XL56&gt;0,XL$17,0)</f>
        <v>0</v>
      </c>
      <c r="XM57" s="115">
        <f t="shared" ref="XM57" si="4294">IF(XM56&gt;0,XM$17,0)</f>
        <v>0</v>
      </c>
      <c r="XN57" s="115">
        <f t="shared" ref="XN57" si="4295">IF(XN56&gt;0,XN$17,0)</f>
        <v>0</v>
      </c>
      <c r="XO57" s="115">
        <f t="shared" ref="XO57" si="4296">IF(XO56&gt;0,XO$17,0)</f>
        <v>0</v>
      </c>
      <c r="XP57" s="115">
        <f t="shared" ref="XP57" si="4297">IF(XP56&gt;0,XP$17,0)</f>
        <v>0</v>
      </c>
      <c r="XQ57" s="115">
        <f t="shared" ref="XQ57" si="4298">IF(XQ56&gt;0,XQ$17,0)</f>
        <v>0</v>
      </c>
      <c r="XR57" s="115">
        <f t="shared" ref="XR57" si="4299">IF(XR56&gt;0,XR$17,0)</f>
        <v>0</v>
      </c>
      <c r="XS57" s="115">
        <f t="shared" ref="XS57" si="4300">IF(XS56&gt;0,XS$17,0)</f>
        <v>0</v>
      </c>
      <c r="XT57" s="115">
        <f t="shared" ref="XT57" si="4301">IF(XT56&gt;0,XT$17,0)</f>
        <v>0</v>
      </c>
      <c r="XU57" s="115">
        <f t="shared" ref="XU57" si="4302">IF(XU56&gt;0,XU$17,0)</f>
        <v>0</v>
      </c>
      <c r="XV57" s="115">
        <f t="shared" ref="XV57" si="4303">IF(XV56&gt;0,XV$17,0)</f>
        <v>0</v>
      </c>
      <c r="XW57" s="115">
        <f t="shared" ref="XW57" si="4304">IF(XW56&gt;0,XW$17,0)</f>
        <v>0</v>
      </c>
      <c r="XX57" s="115">
        <f t="shared" ref="XX57" si="4305">IF(XX56&gt;0,XX$17,0)</f>
        <v>0</v>
      </c>
      <c r="XY57" s="115">
        <f t="shared" ref="XY57" si="4306">IF(XY56&gt;0,XY$17,0)</f>
        <v>0</v>
      </c>
      <c r="XZ57" s="115">
        <f t="shared" ref="XZ57" si="4307">IF(XZ56&gt;0,XZ$17,0)</f>
        <v>0</v>
      </c>
      <c r="YA57" s="115">
        <f t="shared" ref="YA57" si="4308">IF(YA56&gt;0,YA$17,0)</f>
        <v>0</v>
      </c>
      <c r="YB57" s="115">
        <f t="shared" ref="YB57" si="4309">IF(YB56&gt;0,YB$17,0)</f>
        <v>0</v>
      </c>
      <c r="YC57" s="115">
        <f t="shared" ref="YC57" si="4310">IF(YC56&gt;0,YC$17,0)</f>
        <v>0</v>
      </c>
      <c r="YD57" s="115">
        <f t="shared" ref="YD57" si="4311">IF(YD56&gt;0,YD$17,0)</f>
        <v>0</v>
      </c>
      <c r="YE57" s="115">
        <f t="shared" ref="YE57" si="4312">IF(YE56&gt;0,YE$17,0)</f>
        <v>0</v>
      </c>
      <c r="YF57" s="115">
        <f t="shared" ref="YF57" si="4313">IF(YF56&gt;0,YF$17,0)</f>
        <v>0</v>
      </c>
      <c r="YG57" s="115">
        <f t="shared" ref="YG57" si="4314">IF(YG56&gt;0,YG$17,0)</f>
        <v>0</v>
      </c>
      <c r="YH57" s="115">
        <f t="shared" ref="YH57" si="4315">IF(YH56&gt;0,YH$17,0)</f>
        <v>0</v>
      </c>
      <c r="YI57" s="115">
        <f t="shared" ref="YI57" si="4316">IF(YI56&gt;0,YI$17,0)</f>
        <v>0</v>
      </c>
      <c r="YJ57" s="115">
        <f t="shared" ref="YJ57" si="4317">IF(YJ56&gt;0,YJ$17,0)</f>
        <v>0</v>
      </c>
      <c r="YK57" s="115">
        <f t="shared" ref="YK57" si="4318">IF(YK56&gt;0,YK$17,0)</f>
        <v>0</v>
      </c>
      <c r="YL57" s="115">
        <f t="shared" ref="YL57" si="4319">IF(YL56&gt;0,YL$17,0)</f>
        <v>0</v>
      </c>
      <c r="YM57" s="115">
        <f t="shared" ref="YM57" si="4320">IF(YM56&gt;0,YM$17,0)</f>
        <v>0</v>
      </c>
      <c r="YN57" s="115">
        <f t="shared" ref="YN57" si="4321">IF(YN56&gt;0,YN$17,0)</f>
        <v>0</v>
      </c>
      <c r="YO57" s="115">
        <f t="shared" ref="YO57" si="4322">IF(YO56&gt;0,YO$17,0)</f>
        <v>0</v>
      </c>
      <c r="YP57" s="115">
        <f t="shared" ref="YP57" si="4323">IF(YP56&gt;0,YP$17,0)</f>
        <v>0</v>
      </c>
      <c r="YQ57" s="115">
        <f t="shared" ref="YQ57" si="4324">IF(YQ56&gt;0,YQ$17,0)</f>
        <v>0</v>
      </c>
      <c r="YR57" s="115">
        <f t="shared" ref="YR57" si="4325">IF(YR56&gt;0,YR$17,0)</f>
        <v>0</v>
      </c>
      <c r="YS57" s="115">
        <f t="shared" ref="YS57" si="4326">IF(YS56&gt;0,YS$17,0)</f>
        <v>0</v>
      </c>
      <c r="YT57" s="115">
        <f t="shared" ref="YT57" si="4327">IF(YT56&gt;0,YT$17,0)</f>
        <v>0</v>
      </c>
      <c r="YU57" s="115">
        <f t="shared" ref="YU57" si="4328">IF(YU56&gt;0,YU$17,0)</f>
        <v>0</v>
      </c>
      <c r="YV57" s="115">
        <f t="shared" ref="YV57" si="4329">IF(YV56&gt;0,YV$17,0)</f>
        <v>0</v>
      </c>
      <c r="YW57" s="115">
        <f t="shared" ref="YW57" si="4330">IF(YW56&gt;0,YW$17,0)</f>
        <v>0</v>
      </c>
      <c r="YX57" s="115">
        <f t="shared" ref="YX57" si="4331">IF(YX56&gt;0,YX$17,0)</f>
        <v>0</v>
      </c>
      <c r="YY57" s="115">
        <f t="shared" ref="YY57" si="4332">IF(YY56&gt;0,YY$17,0)</f>
        <v>0</v>
      </c>
      <c r="YZ57" s="115">
        <f t="shared" ref="YZ57" si="4333">IF(YZ56&gt;0,YZ$17,0)</f>
        <v>0</v>
      </c>
      <c r="ZA57" s="115">
        <f t="shared" ref="ZA57" si="4334">IF(ZA56&gt;0,ZA$17,0)</f>
        <v>0</v>
      </c>
      <c r="ZB57" s="115">
        <f t="shared" ref="ZB57" si="4335">IF(ZB56&gt;0,ZB$17,0)</f>
        <v>0</v>
      </c>
      <c r="ZC57" s="115">
        <f t="shared" ref="ZC57" si="4336">IF(ZC56&gt;0,ZC$17,0)</f>
        <v>0</v>
      </c>
      <c r="ZD57" s="115">
        <f t="shared" ref="ZD57" si="4337">IF(ZD56&gt;0,ZD$17,0)</f>
        <v>0</v>
      </c>
      <c r="ZE57" s="115">
        <f t="shared" ref="ZE57" si="4338">IF(ZE56&gt;0,ZE$17,0)</f>
        <v>0</v>
      </c>
      <c r="ZF57" s="115">
        <f t="shared" ref="ZF57" si="4339">IF(ZF56&gt;0,ZF$17,0)</f>
        <v>0</v>
      </c>
      <c r="ZG57" s="115">
        <f t="shared" ref="ZG57" si="4340">IF(ZG56&gt;0,ZG$17,0)</f>
        <v>0</v>
      </c>
      <c r="ZH57" s="115">
        <f t="shared" ref="ZH57" si="4341">IF(ZH56&gt;0,ZH$17,0)</f>
        <v>0</v>
      </c>
      <c r="ZI57" s="115">
        <f t="shared" ref="ZI57" si="4342">IF(ZI56&gt;0,ZI$17,0)</f>
        <v>0</v>
      </c>
      <c r="ZJ57" s="115">
        <f t="shared" ref="ZJ57" si="4343">IF(ZJ56&gt;0,ZJ$17,0)</f>
        <v>0</v>
      </c>
      <c r="ZK57" s="115">
        <f t="shared" ref="ZK57" si="4344">IF(ZK56&gt;0,ZK$17,0)</f>
        <v>0</v>
      </c>
      <c r="ZL57" s="115">
        <f t="shared" ref="ZL57" si="4345">IF(ZL56&gt;0,ZL$17,0)</f>
        <v>0</v>
      </c>
      <c r="ZM57" s="115">
        <f t="shared" ref="ZM57" si="4346">IF(ZM56&gt;0,ZM$17,0)</f>
        <v>0</v>
      </c>
      <c r="ZN57" s="115">
        <f t="shared" ref="ZN57" si="4347">IF(ZN56&gt;0,ZN$17,0)</f>
        <v>0</v>
      </c>
      <c r="ZO57" s="115">
        <f t="shared" ref="ZO57" si="4348">IF(ZO56&gt;0,ZO$17,0)</f>
        <v>0</v>
      </c>
      <c r="ZP57" s="115">
        <f t="shared" ref="ZP57" si="4349">IF(ZP56&gt;0,ZP$17,0)</f>
        <v>0</v>
      </c>
      <c r="ZQ57" s="115">
        <f t="shared" ref="ZQ57" si="4350">IF(ZQ56&gt;0,ZQ$17,0)</f>
        <v>0</v>
      </c>
      <c r="ZR57" s="115">
        <f t="shared" ref="ZR57" si="4351">IF(ZR56&gt;0,ZR$17,0)</f>
        <v>0</v>
      </c>
      <c r="ZS57" s="115">
        <f t="shared" ref="ZS57" si="4352">IF(ZS56&gt;0,ZS$17,0)</f>
        <v>0</v>
      </c>
      <c r="ZT57" s="115">
        <f t="shared" ref="ZT57" si="4353">IF(ZT56&gt;0,ZT$17,0)</f>
        <v>0</v>
      </c>
      <c r="ZU57" s="115">
        <f t="shared" ref="ZU57" si="4354">IF(ZU56&gt;0,ZU$17,0)</f>
        <v>0</v>
      </c>
      <c r="ZV57" s="115">
        <f t="shared" ref="ZV57" si="4355">IF(ZV56&gt;0,ZV$17,0)</f>
        <v>0</v>
      </c>
      <c r="ZW57" s="115">
        <f t="shared" ref="ZW57" si="4356">IF(ZW56&gt;0,ZW$17,0)</f>
        <v>0</v>
      </c>
      <c r="ZX57" s="115">
        <f t="shared" ref="ZX57" si="4357">IF(ZX56&gt;0,ZX$17,0)</f>
        <v>0</v>
      </c>
      <c r="ZY57" s="115">
        <f t="shared" ref="ZY57" si="4358">IF(ZY56&gt;0,ZY$17,0)</f>
        <v>0</v>
      </c>
      <c r="ZZ57" s="115">
        <f t="shared" ref="ZZ57" si="4359">IF(ZZ56&gt;0,ZZ$17,0)</f>
        <v>0</v>
      </c>
      <c r="AAA57" s="115">
        <f t="shared" ref="AAA57" si="4360">IF(AAA56&gt;0,AAA$17,0)</f>
        <v>0</v>
      </c>
      <c r="AAB57" s="115">
        <f t="shared" ref="AAB57" si="4361">IF(AAB56&gt;0,AAB$17,0)</f>
        <v>0</v>
      </c>
      <c r="AAC57" s="115">
        <f t="shared" ref="AAC57" si="4362">IF(AAC56&gt;0,AAC$17,0)</f>
        <v>0</v>
      </c>
      <c r="AAD57" s="115">
        <f t="shared" ref="AAD57" si="4363">IF(AAD56&gt;0,AAD$17,0)</f>
        <v>0</v>
      </c>
      <c r="AAE57" s="115">
        <f t="shared" ref="AAE57" si="4364">IF(AAE56&gt;0,AAE$17,0)</f>
        <v>0</v>
      </c>
      <c r="AAF57" s="115">
        <f t="shared" ref="AAF57" si="4365">IF(AAF56&gt;0,AAF$17,0)</f>
        <v>0</v>
      </c>
      <c r="AAG57" s="115">
        <f t="shared" ref="AAG57" si="4366">IF(AAG56&gt;0,AAG$17,0)</f>
        <v>0</v>
      </c>
      <c r="AAH57" s="115">
        <f t="shared" ref="AAH57" si="4367">IF(AAH56&gt;0,AAH$17,0)</f>
        <v>0</v>
      </c>
      <c r="AAI57" s="115">
        <f t="shared" ref="AAI57" si="4368">IF(AAI56&gt;0,AAI$17,0)</f>
        <v>0</v>
      </c>
      <c r="AAJ57" s="115">
        <f t="shared" ref="AAJ57" si="4369">IF(AAJ56&gt;0,AAJ$17,0)</f>
        <v>0</v>
      </c>
      <c r="AAK57" s="115">
        <f t="shared" ref="AAK57" si="4370">IF(AAK56&gt;0,AAK$17,0)</f>
        <v>0</v>
      </c>
      <c r="AAL57" s="115">
        <f t="shared" ref="AAL57" si="4371">IF(AAL56&gt;0,AAL$17,0)</f>
        <v>0</v>
      </c>
      <c r="AAM57" s="115">
        <f t="shared" ref="AAM57" si="4372">IF(AAM56&gt;0,AAM$17,0)</f>
        <v>0</v>
      </c>
      <c r="AAN57" s="115">
        <f t="shared" ref="AAN57" si="4373">IF(AAN56&gt;0,AAN$17,0)</f>
        <v>0</v>
      </c>
      <c r="AAO57" s="115">
        <f t="shared" ref="AAO57" si="4374">IF(AAO56&gt;0,AAO$17,0)</f>
        <v>0</v>
      </c>
      <c r="AAP57" s="115">
        <f t="shared" ref="AAP57" si="4375">IF(AAP56&gt;0,AAP$17,0)</f>
        <v>0</v>
      </c>
      <c r="AAQ57" s="115">
        <f t="shared" ref="AAQ57" si="4376">IF(AAQ56&gt;0,AAQ$17,0)</f>
        <v>0</v>
      </c>
      <c r="AAR57" s="115">
        <f t="shared" ref="AAR57" si="4377">IF(AAR56&gt;0,AAR$17,0)</f>
        <v>0</v>
      </c>
      <c r="AAS57" s="115">
        <f t="shared" ref="AAS57" si="4378">IF(AAS56&gt;0,AAS$17,0)</f>
        <v>0</v>
      </c>
      <c r="AAT57" s="115">
        <f t="shared" ref="AAT57" si="4379">IF(AAT56&gt;0,AAT$17,0)</f>
        <v>0</v>
      </c>
      <c r="AAU57" s="115">
        <f t="shared" ref="AAU57" si="4380">IF(AAU56&gt;0,AAU$17,0)</f>
        <v>0</v>
      </c>
      <c r="AAV57" s="115">
        <f t="shared" ref="AAV57" si="4381">IF(AAV56&gt;0,AAV$17,0)</f>
        <v>0</v>
      </c>
      <c r="AAW57" s="115">
        <f t="shared" ref="AAW57" si="4382">IF(AAW56&gt;0,AAW$17,0)</f>
        <v>0</v>
      </c>
      <c r="AAX57" s="115">
        <f t="shared" ref="AAX57" si="4383">IF(AAX56&gt;0,AAX$17,0)</f>
        <v>0</v>
      </c>
      <c r="AAY57" s="115">
        <f t="shared" ref="AAY57" si="4384">IF(AAY56&gt;0,AAY$17,0)</f>
        <v>0</v>
      </c>
      <c r="AAZ57" s="115">
        <f t="shared" ref="AAZ57" si="4385">IF(AAZ56&gt;0,AAZ$17,0)</f>
        <v>0</v>
      </c>
      <c r="ABA57" s="115">
        <f t="shared" ref="ABA57" si="4386">IF(ABA56&gt;0,ABA$17,0)</f>
        <v>0</v>
      </c>
      <c r="ABB57" s="115">
        <f t="shared" ref="ABB57" si="4387">IF(ABB56&gt;0,ABB$17,0)</f>
        <v>0</v>
      </c>
      <c r="ABC57" s="115">
        <f t="shared" ref="ABC57" si="4388">IF(ABC56&gt;0,ABC$17,0)</f>
        <v>0</v>
      </c>
      <c r="ABD57" s="115">
        <f t="shared" ref="ABD57" si="4389">IF(ABD56&gt;0,ABD$17,0)</f>
        <v>0</v>
      </c>
      <c r="ABE57" s="115">
        <f t="shared" ref="ABE57" si="4390">IF(ABE56&gt;0,ABE$17,0)</f>
        <v>0</v>
      </c>
      <c r="ABF57" s="115">
        <f t="shared" ref="ABF57" si="4391">IF(ABF56&gt;0,ABF$17,0)</f>
        <v>0</v>
      </c>
      <c r="ABG57" s="115">
        <f t="shared" ref="ABG57" si="4392">IF(ABG56&gt;0,ABG$17,0)</f>
        <v>0</v>
      </c>
      <c r="ABH57" s="115">
        <f t="shared" ref="ABH57" si="4393">IF(ABH56&gt;0,ABH$17,0)</f>
        <v>0</v>
      </c>
      <c r="ABI57" s="115">
        <f t="shared" ref="ABI57" si="4394">IF(ABI56&gt;0,ABI$17,0)</f>
        <v>0</v>
      </c>
      <c r="ABJ57" s="115">
        <f t="shared" ref="ABJ57" si="4395">IF(ABJ56&gt;0,ABJ$17,0)</f>
        <v>0</v>
      </c>
      <c r="ABK57" s="115">
        <f t="shared" ref="ABK57" si="4396">IF(ABK56&gt;0,ABK$17,0)</f>
        <v>0</v>
      </c>
      <c r="ABL57" s="115">
        <f t="shared" ref="ABL57" si="4397">IF(ABL56&gt;0,ABL$17,0)</f>
        <v>0</v>
      </c>
      <c r="ABM57" s="115">
        <f t="shared" ref="ABM57" si="4398">IF(ABM56&gt;0,ABM$17,0)</f>
        <v>0</v>
      </c>
      <c r="ABN57" s="115">
        <f t="shared" ref="ABN57" si="4399">IF(ABN56&gt;0,ABN$17,0)</f>
        <v>0</v>
      </c>
      <c r="ABO57" s="115">
        <f t="shared" ref="ABO57" si="4400">IF(ABO56&gt;0,ABO$17,0)</f>
        <v>0</v>
      </c>
      <c r="ABP57" s="115">
        <f t="shared" ref="ABP57" si="4401">IF(ABP56&gt;0,ABP$17,0)</f>
        <v>0</v>
      </c>
      <c r="ABQ57" s="115">
        <f t="shared" ref="ABQ57" si="4402">IF(ABQ56&gt;0,ABQ$17,0)</f>
        <v>0</v>
      </c>
      <c r="ABR57" s="115">
        <f t="shared" ref="ABR57" si="4403">IF(ABR56&gt;0,ABR$17,0)</f>
        <v>0</v>
      </c>
      <c r="ABS57" s="115">
        <f t="shared" ref="ABS57" si="4404">IF(ABS56&gt;0,ABS$17,0)</f>
        <v>0</v>
      </c>
      <c r="ABT57" s="115">
        <f t="shared" ref="ABT57" si="4405">IF(ABT56&gt;0,ABT$17,0)</f>
        <v>0</v>
      </c>
      <c r="ABU57" s="115">
        <f t="shared" ref="ABU57" si="4406">IF(ABU56&gt;0,ABU$17,0)</f>
        <v>0</v>
      </c>
      <c r="ABV57" s="115">
        <f t="shared" ref="ABV57" si="4407">IF(ABV56&gt;0,ABV$17,0)</f>
        <v>0</v>
      </c>
      <c r="ABW57" s="115">
        <f t="shared" ref="ABW57" si="4408">IF(ABW56&gt;0,ABW$17,0)</f>
        <v>0</v>
      </c>
      <c r="ABX57" s="115">
        <f t="shared" ref="ABX57" si="4409">IF(ABX56&gt;0,ABX$17,0)</f>
        <v>0</v>
      </c>
      <c r="ABY57" s="115">
        <f t="shared" ref="ABY57" si="4410">IF(ABY56&gt;0,ABY$17,0)</f>
        <v>0</v>
      </c>
      <c r="ABZ57" s="115">
        <f t="shared" ref="ABZ57" si="4411">IF(ABZ56&gt;0,ABZ$17,0)</f>
        <v>0</v>
      </c>
      <c r="ACA57" s="115">
        <f t="shared" ref="ACA57" si="4412">IF(ACA56&gt;0,ACA$17,0)</f>
        <v>0</v>
      </c>
      <c r="ACB57" s="115">
        <f t="shared" ref="ACB57" si="4413">IF(ACB56&gt;0,ACB$17,0)</f>
        <v>0</v>
      </c>
      <c r="ACC57" s="115">
        <f t="shared" ref="ACC57" si="4414">IF(ACC56&gt;0,ACC$17,0)</f>
        <v>0</v>
      </c>
      <c r="ACD57" s="115">
        <f t="shared" ref="ACD57" si="4415">IF(ACD56&gt;0,ACD$17,0)</f>
        <v>0</v>
      </c>
      <c r="ACE57" s="115">
        <f t="shared" ref="ACE57" si="4416">IF(ACE56&gt;0,ACE$17,0)</f>
        <v>0</v>
      </c>
      <c r="ACF57" s="115">
        <f t="shared" ref="ACF57" si="4417">IF(ACF56&gt;0,ACF$17,0)</f>
        <v>0</v>
      </c>
      <c r="ACG57" s="115">
        <f t="shared" ref="ACG57" si="4418">IF(ACG56&gt;0,ACG$17,0)</f>
        <v>0</v>
      </c>
      <c r="ACH57" s="115">
        <f t="shared" ref="ACH57" si="4419">IF(ACH56&gt;0,ACH$17,0)</f>
        <v>0</v>
      </c>
      <c r="ACI57" s="115">
        <f t="shared" ref="ACI57" si="4420">IF(ACI56&gt;0,ACI$17,0)</f>
        <v>0</v>
      </c>
      <c r="ACJ57" s="115">
        <f t="shared" ref="ACJ57" si="4421">IF(ACJ56&gt;0,ACJ$17,0)</f>
        <v>0</v>
      </c>
      <c r="ACK57" s="115">
        <f t="shared" ref="ACK57" si="4422">IF(ACK56&gt;0,ACK$17,0)</f>
        <v>0</v>
      </c>
      <c r="ACL57" s="115">
        <f t="shared" ref="ACL57" si="4423">IF(ACL56&gt;0,ACL$17,0)</f>
        <v>0</v>
      </c>
      <c r="ACM57" s="115">
        <f t="shared" ref="ACM57" si="4424">IF(ACM56&gt;0,ACM$17,0)</f>
        <v>0</v>
      </c>
      <c r="ACN57" s="115">
        <f t="shared" ref="ACN57" si="4425">IF(ACN56&gt;0,ACN$17,0)</f>
        <v>0</v>
      </c>
      <c r="ACO57" s="115">
        <f t="shared" ref="ACO57" si="4426">IF(ACO56&gt;0,ACO$17,0)</f>
        <v>0</v>
      </c>
      <c r="ACP57" s="115">
        <f t="shared" ref="ACP57" si="4427">IF(ACP56&gt;0,ACP$17,0)</f>
        <v>0</v>
      </c>
      <c r="ACQ57" s="115">
        <f t="shared" ref="ACQ57" si="4428">IF(ACQ56&gt;0,ACQ$17,0)</f>
        <v>0</v>
      </c>
      <c r="ACR57" s="115">
        <f t="shared" ref="ACR57" si="4429">IF(ACR56&gt;0,ACR$17,0)</f>
        <v>0</v>
      </c>
      <c r="ACS57" s="115">
        <f t="shared" ref="ACS57" si="4430">IF(ACS56&gt;0,ACS$17,0)</f>
        <v>0</v>
      </c>
      <c r="ACT57" s="115">
        <f t="shared" ref="ACT57" si="4431">IF(ACT56&gt;0,ACT$17,0)</f>
        <v>0</v>
      </c>
      <c r="ACU57" s="115">
        <f t="shared" ref="ACU57" si="4432">IF(ACU56&gt;0,ACU$17,0)</f>
        <v>0</v>
      </c>
      <c r="ACV57" s="115">
        <f t="shared" ref="ACV57" si="4433">IF(ACV56&gt;0,ACV$17,0)</f>
        <v>0</v>
      </c>
      <c r="ACW57" s="115">
        <f t="shared" ref="ACW57" si="4434">IF(ACW56&gt;0,ACW$17,0)</f>
        <v>0</v>
      </c>
      <c r="ACX57" s="115">
        <f t="shared" ref="ACX57" si="4435">IF(ACX56&gt;0,ACX$17,0)</f>
        <v>0</v>
      </c>
      <c r="ACY57" s="115">
        <f t="shared" ref="ACY57" si="4436">IF(ACY56&gt;0,ACY$17,0)</f>
        <v>0</v>
      </c>
      <c r="ACZ57" s="115">
        <f t="shared" ref="ACZ57" si="4437">IF(ACZ56&gt;0,ACZ$17,0)</f>
        <v>0</v>
      </c>
      <c r="ADA57" s="115">
        <f t="shared" ref="ADA57" si="4438">IF(ADA56&gt;0,ADA$17,0)</f>
        <v>0</v>
      </c>
      <c r="ADB57" s="115">
        <f t="shared" ref="ADB57" si="4439">IF(ADB56&gt;0,ADB$17,0)</f>
        <v>0</v>
      </c>
      <c r="ADC57" s="115">
        <f t="shared" ref="ADC57" si="4440">IF(ADC56&gt;0,ADC$17,0)</f>
        <v>0</v>
      </c>
      <c r="ADD57" s="115">
        <f t="shared" ref="ADD57" si="4441">IF(ADD56&gt;0,ADD$17,0)</f>
        <v>0</v>
      </c>
      <c r="ADE57" s="115">
        <f t="shared" ref="ADE57" si="4442">IF(ADE56&gt;0,ADE$17,0)</f>
        <v>0</v>
      </c>
      <c r="ADF57" s="115">
        <f t="shared" ref="ADF57" si="4443">IF(ADF56&gt;0,ADF$17,0)</f>
        <v>0</v>
      </c>
      <c r="ADG57" s="115">
        <f t="shared" ref="ADG57" si="4444">IF(ADG56&gt;0,ADG$17,0)</f>
        <v>0</v>
      </c>
      <c r="ADH57" s="115">
        <f t="shared" ref="ADH57" si="4445">IF(ADH56&gt;0,ADH$17,0)</f>
        <v>0</v>
      </c>
      <c r="ADI57" s="115">
        <f t="shared" ref="ADI57" si="4446">IF(ADI56&gt;0,ADI$17,0)</f>
        <v>0</v>
      </c>
      <c r="ADJ57" s="115">
        <f t="shared" ref="ADJ57" si="4447">IF(ADJ56&gt;0,ADJ$17,0)</f>
        <v>0</v>
      </c>
      <c r="ADK57" s="115">
        <f t="shared" ref="ADK57" si="4448">IF(ADK56&gt;0,ADK$17,0)</f>
        <v>0</v>
      </c>
      <c r="ADL57" s="115">
        <f t="shared" ref="ADL57" si="4449">IF(ADL56&gt;0,ADL$17,0)</f>
        <v>0</v>
      </c>
      <c r="ADM57" s="115">
        <f t="shared" ref="ADM57" si="4450">IF(ADM56&gt;0,ADM$17,0)</f>
        <v>0</v>
      </c>
      <c r="ADN57" s="115">
        <f t="shared" ref="ADN57" si="4451">IF(ADN56&gt;0,ADN$17,0)</f>
        <v>0</v>
      </c>
      <c r="ADO57" s="115">
        <f t="shared" ref="ADO57" si="4452">IF(ADO56&gt;0,ADO$17,0)</f>
        <v>0</v>
      </c>
      <c r="ADP57" s="115">
        <f t="shared" ref="ADP57" si="4453">IF(ADP56&gt;0,ADP$17,0)</f>
        <v>0</v>
      </c>
      <c r="ADQ57" s="115">
        <f t="shared" ref="ADQ57" si="4454">IF(ADQ56&gt;0,ADQ$17,0)</f>
        <v>0</v>
      </c>
      <c r="ADR57" s="115">
        <f t="shared" ref="ADR57" si="4455">IF(ADR56&gt;0,ADR$17,0)</f>
        <v>0</v>
      </c>
      <c r="ADS57" s="115">
        <f t="shared" ref="ADS57" si="4456">IF(ADS56&gt;0,ADS$17,0)</f>
        <v>0</v>
      </c>
      <c r="ADT57" s="115">
        <f t="shared" ref="ADT57" si="4457">IF(ADT56&gt;0,ADT$17,0)</f>
        <v>0</v>
      </c>
      <c r="ADU57" s="115">
        <f t="shared" ref="ADU57" si="4458">IF(ADU56&gt;0,ADU$17,0)</f>
        <v>0</v>
      </c>
      <c r="ADV57" s="115">
        <f t="shared" ref="ADV57" si="4459">IF(ADV56&gt;0,ADV$17,0)</f>
        <v>0</v>
      </c>
      <c r="ADW57" s="115">
        <f t="shared" ref="ADW57" si="4460">IF(ADW56&gt;0,ADW$17,0)</f>
        <v>0</v>
      </c>
      <c r="ADX57" s="115">
        <f t="shared" ref="ADX57" si="4461">IF(ADX56&gt;0,ADX$17,0)</f>
        <v>0</v>
      </c>
      <c r="ADY57" s="115">
        <f t="shared" ref="ADY57" si="4462">IF(ADY56&gt;0,ADY$17,0)</f>
        <v>0</v>
      </c>
      <c r="ADZ57" s="115">
        <f t="shared" ref="ADZ57" si="4463">IF(ADZ56&gt;0,ADZ$17,0)</f>
        <v>0</v>
      </c>
      <c r="AEA57" s="115">
        <f t="shared" ref="AEA57" si="4464">IF(AEA56&gt;0,AEA$17,0)</f>
        <v>0</v>
      </c>
      <c r="AEB57" s="115">
        <f t="shared" ref="AEB57" si="4465">IF(AEB56&gt;0,AEB$17,0)</f>
        <v>0</v>
      </c>
      <c r="AEC57" s="115">
        <f t="shared" ref="AEC57" si="4466">IF(AEC56&gt;0,AEC$17,0)</f>
        <v>0</v>
      </c>
      <c r="AED57" s="115">
        <f t="shared" ref="AED57" si="4467">IF(AED56&gt;0,AED$17,0)</f>
        <v>0</v>
      </c>
      <c r="AEE57" s="115">
        <f t="shared" ref="AEE57" si="4468">IF(AEE56&gt;0,AEE$17,0)</f>
        <v>0</v>
      </c>
      <c r="AEF57" s="115">
        <f t="shared" ref="AEF57" si="4469">IF(AEF56&gt;0,AEF$17,0)</f>
        <v>0</v>
      </c>
      <c r="AEG57" s="115">
        <f t="shared" ref="AEG57" si="4470">IF(AEG56&gt;0,AEG$17,0)</f>
        <v>0</v>
      </c>
      <c r="AEH57" s="115">
        <f t="shared" ref="AEH57" si="4471">IF(AEH56&gt;0,AEH$17,0)</f>
        <v>0</v>
      </c>
      <c r="AEI57" s="115">
        <f t="shared" ref="AEI57" si="4472">IF(AEI56&gt;0,AEI$17,0)</f>
        <v>0</v>
      </c>
      <c r="AEJ57" s="115">
        <f t="shared" ref="AEJ57" si="4473">IF(AEJ56&gt;0,AEJ$17,0)</f>
        <v>0</v>
      </c>
      <c r="AEK57" s="115">
        <f t="shared" ref="AEK57" si="4474">IF(AEK56&gt;0,AEK$17,0)</f>
        <v>0</v>
      </c>
      <c r="AEL57" s="115">
        <f t="shared" ref="AEL57" si="4475">IF(AEL56&gt;0,AEL$17,0)</f>
        <v>0</v>
      </c>
      <c r="AEM57" s="115">
        <f t="shared" ref="AEM57" si="4476">IF(AEM56&gt;0,AEM$17,0)</f>
        <v>0</v>
      </c>
      <c r="AEN57" s="115">
        <f t="shared" ref="AEN57" si="4477">IF(AEN56&gt;0,AEN$17,0)</f>
        <v>0</v>
      </c>
      <c r="AEO57" s="115">
        <f t="shared" ref="AEO57" si="4478">IF(AEO56&gt;0,AEO$17,0)</f>
        <v>0</v>
      </c>
      <c r="AEP57" s="115">
        <f t="shared" ref="AEP57" si="4479">IF(AEP56&gt;0,AEP$17,0)</f>
        <v>0</v>
      </c>
      <c r="AEQ57" s="115">
        <f t="shared" ref="AEQ57" si="4480">IF(AEQ56&gt;0,AEQ$17,0)</f>
        <v>0</v>
      </c>
      <c r="AER57" s="115">
        <f t="shared" ref="AER57" si="4481">IF(AER56&gt;0,AER$17,0)</f>
        <v>0</v>
      </c>
      <c r="AES57" s="115">
        <f t="shared" ref="AES57" si="4482">IF(AES56&gt;0,AES$17,0)</f>
        <v>0</v>
      </c>
      <c r="AET57" s="115">
        <f t="shared" ref="AET57" si="4483">IF(AET56&gt;0,AET$17,0)</f>
        <v>0</v>
      </c>
      <c r="AEU57" s="115">
        <f t="shared" ref="AEU57" si="4484">IF(AEU56&gt;0,AEU$17,0)</f>
        <v>0</v>
      </c>
      <c r="AEV57" s="115">
        <f t="shared" ref="AEV57" si="4485">IF(AEV56&gt;0,AEV$17,0)</f>
        <v>0</v>
      </c>
      <c r="AEW57" s="115">
        <f t="shared" ref="AEW57" si="4486">IF(AEW56&gt;0,AEW$17,0)</f>
        <v>0</v>
      </c>
      <c r="AEX57" s="115">
        <f t="shared" ref="AEX57" si="4487">IF(AEX56&gt;0,AEX$17,0)</f>
        <v>0</v>
      </c>
      <c r="AEY57" s="115">
        <f t="shared" ref="AEY57" si="4488">IF(AEY56&gt;0,AEY$17,0)</f>
        <v>0</v>
      </c>
      <c r="AEZ57" s="115">
        <f t="shared" ref="AEZ57" si="4489">IF(AEZ56&gt;0,AEZ$17,0)</f>
        <v>0</v>
      </c>
      <c r="AFA57" s="115">
        <f t="shared" ref="AFA57" si="4490">IF(AFA56&gt;0,AFA$17,0)</f>
        <v>0</v>
      </c>
      <c r="AFB57" s="115">
        <f t="shared" ref="AFB57" si="4491">IF(AFB56&gt;0,AFB$17,0)</f>
        <v>0</v>
      </c>
      <c r="AFC57" s="115">
        <f t="shared" ref="AFC57" si="4492">IF(AFC56&gt;0,AFC$17,0)</f>
        <v>0</v>
      </c>
      <c r="AFD57" s="115">
        <f t="shared" ref="AFD57" si="4493">IF(AFD56&gt;0,AFD$17,0)</f>
        <v>0</v>
      </c>
      <c r="AFE57" s="115">
        <f t="shared" ref="AFE57" si="4494">IF(AFE56&gt;0,AFE$17,0)</f>
        <v>0</v>
      </c>
      <c r="AFF57" s="115">
        <f t="shared" ref="AFF57" si="4495">IF(AFF56&gt;0,AFF$17,0)</f>
        <v>0</v>
      </c>
      <c r="AFG57" s="115">
        <f t="shared" ref="AFG57" si="4496">IF(AFG56&gt;0,AFG$17,0)</f>
        <v>0</v>
      </c>
      <c r="AFH57" s="115">
        <f t="shared" ref="AFH57" si="4497">IF(AFH56&gt;0,AFH$17,0)</f>
        <v>0</v>
      </c>
      <c r="AFI57" s="115">
        <f t="shared" ref="AFI57" si="4498">IF(AFI56&gt;0,AFI$17,0)</f>
        <v>0</v>
      </c>
      <c r="AFJ57" s="115">
        <f t="shared" ref="AFJ57" si="4499">IF(AFJ56&gt;0,AFJ$17,0)</f>
        <v>0</v>
      </c>
      <c r="AFK57" s="115">
        <f t="shared" ref="AFK57" si="4500">IF(AFK56&gt;0,AFK$17,0)</f>
        <v>0</v>
      </c>
      <c r="AFL57" s="115">
        <f t="shared" ref="AFL57" si="4501">IF(AFL56&gt;0,AFL$17,0)</f>
        <v>0</v>
      </c>
      <c r="AFM57" s="115">
        <f t="shared" ref="AFM57" si="4502">IF(AFM56&gt;0,AFM$17,0)</f>
        <v>0</v>
      </c>
      <c r="AFN57" s="115">
        <f t="shared" ref="AFN57" si="4503">IF(AFN56&gt;0,AFN$17,0)</f>
        <v>0</v>
      </c>
      <c r="AFO57" s="115">
        <f t="shared" ref="AFO57" si="4504">IF(AFO56&gt;0,AFO$17,0)</f>
        <v>0</v>
      </c>
      <c r="AFP57" s="115">
        <f t="shared" ref="AFP57" si="4505">IF(AFP56&gt;0,AFP$17,0)</f>
        <v>0</v>
      </c>
      <c r="AFQ57" s="115">
        <f t="shared" ref="AFQ57" si="4506">IF(AFQ56&gt;0,AFQ$17,0)</f>
        <v>0</v>
      </c>
      <c r="AFR57" s="115">
        <f t="shared" ref="AFR57" si="4507">IF(AFR56&gt;0,AFR$17,0)</f>
        <v>0</v>
      </c>
      <c r="AFS57" s="115">
        <f t="shared" ref="AFS57" si="4508">IF(AFS56&gt;0,AFS$17,0)</f>
        <v>0</v>
      </c>
      <c r="AFT57" s="115">
        <f t="shared" ref="AFT57" si="4509">IF(AFT56&gt;0,AFT$17,0)</f>
        <v>0</v>
      </c>
      <c r="AFU57" s="115">
        <f t="shared" ref="AFU57" si="4510">IF(AFU56&gt;0,AFU$17,0)</f>
        <v>0</v>
      </c>
      <c r="AFV57" s="115">
        <f t="shared" ref="AFV57" si="4511">IF(AFV56&gt;0,AFV$17,0)</f>
        <v>0</v>
      </c>
      <c r="AFW57" s="115">
        <f t="shared" ref="AFW57" si="4512">IF(AFW56&gt;0,AFW$17,0)</f>
        <v>0</v>
      </c>
      <c r="AFX57" s="115">
        <f t="shared" ref="AFX57" si="4513">IF(AFX56&gt;0,AFX$17,0)</f>
        <v>0</v>
      </c>
      <c r="AFY57" s="115">
        <f t="shared" ref="AFY57" si="4514">IF(AFY56&gt;0,AFY$17,0)</f>
        <v>0</v>
      </c>
      <c r="AFZ57" s="115">
        <f t="shared" ref="AFZ57" si="4515">IF(AFZ56&gt;0,AFZ$17,0)</f>
        <v>0</v>
      </c>
      <c r="AGA57" s="115">
        <f t="shared" ref="AGA57" si="4516">IF(AGA56&gt;0,AGA$17,0)</f>
        <v>0</v>
      </c>
      <c r="AGB57" s="115">
        <f t="shared" ref="AGB57" si="4517">IF(AGB56&gt;0,AGB$17,0)</f>
        <v>0</v>
      </c>
      <c r="AGC57" s="115">
        <f t="shared" ref="AGC57" si="4518">IF(AGC56&gt;0,AGC$17,0)</f>
        <v>0</v>
      </c>
      <c r="AGD57" s="115">
        <f t="shared" ref="AGD57" si="4519">IF(AGD56&gt;0,AGD$17,0)</f>
        <v>0</v>
      </c>
      <c r="AGE57" s="115">
        <f t="shared" ref="AGE57" si="4520">IF(AGE56&gt;0,AGE$17,0)</f>
        <v>0</v>
      </c>
      <c r="AGF57" s="115">
        <f t="shared" ref="AGF57" si="4521">IF(AGF56&gt;0,AGF$17,0)</f>
        <v>0</v>
      </c>
      <c r="AGG57" s="115">
        <f t="shared" ref="AGG57" si="4522">IF(AGG56&gt;0,AGG$17,0)</f>
        <v>0</v>
      </c>
      <c r="AGH57" s="115">
        <f t="shared" ref="AGH57" si="4523">IF(AGH56&gt;0,AGH$17,0)</f>
        <v>0</v>
      </c>
      <c r="AGI57" s="115">
        <f t="shared" ref="AGI57" si="4524">IF(AGI56&gt;0,AGI$17,0)</f>
        <v>0</v>
      </c>
      <c r="AGJ57" s="115">
        <f t="shared" ref="AGJ57" si="4525">IF(AGJ56&gt;0,AGJ$17,0)</f>
        <v>0</v>
      </c>
      <c r="AGK57" s="115">
        <f t="shared" ref="AGK57" si="4526">IF(AGK56&gt;0,AGK$17,0)</f>
        <v>0</v>
      </c>
      <c r="AGL57" s="115">
        <f t="shared" ref="AGL57" si="4527">IF(AGL56&gt;0,AGL$17,0)</f>
        <v>0</v>
      </c>
      <c r="AGM57" s="115">
        <f t="shared" ref="AGM57" si="4528">IF(AGM56&gt;0,AGM$17,0)</f>
        <v>0</v>
      </c>
      <c r="AGN57" s="115">
        <f t="shared" ref="AGN57" si="4529">IF(AGN56&gt;0,AGN$17,0)</f>
        <v>0</v>
      </c>
      <c r="AGO57" s="115">
        <f t="shared" ref="AGO57" si="4530">IF(AGO56&gt;0,AGO$17,0)</f>
        <v>0</v>
      </c>
      <c r="AGP57" s="115">
        <f t="shared" ref="AGP57" si="4531">IF(AGP56&gt;0,AGP$17,0)</f>
        <v>0</v>
      </c>
      <c r="AGQ57" s="115">
        <f t="shared" ref="AGQ57" si="4532">IF(AGQ56&gt;0,AGQ$17,0)</f>
        <v>0</v>
      </c>
      <c r="AGR57" s="115">
        <f t="shared" ref="AGR57" si="4533">IF(AGR56&gt;0,AGR$17,0)</f>
        <v>0</v>
      </c>
      <c r="AGS57" s="115">
        <f t="shared" ref="AGS57" si="4534">IF(AGS56&gt;0,AGS$17,0)</f>
        <v>0</v>
      </c>
      <c r="AGT57" s="115">
        <f t="shared" ref="AGT57" si="4535">IF(AGT56&gt;0,AGT$17,0)</f>
        <v>0</v>
      </c>
      <c r="AGU57" s="115">
        <f t="shared" ref="AGU57" si="4536">IF(AGU56&gt;0,AGU$17,0)</f>
        <v>0</v>
      </c>
      <c r="AGV57" s="115">
        <f t="shared" ref="AGV57" si="4537">IF(AGV56&gt;0,AGV$17,0)</f>
        <v>0</v>
      </c>
      <c r="AGW57" s="115">
        <f t="shared" ref="AGW57" si="4538">IF(AGW56&gt;0,AGW$17,0)</f>
        <v>0</v>
      </c>
      <c r="AGX57" s="115">
        <f t="shared" ref="AGX57" si="4539">IF(AGX56&gt;0,AGX$17,0)</f>
        <v>0</v>
      </c>
      <c r="AGY57" s="115">
        <f t="shared" ref="AGY57" si="4540">IF(AGY56&gt;0,AGY$17,0)</f>
        <v>0</v>
      </c>
      <c r="AGZ57" s="115">
        <f t="shared" ref="AGZ57" si="4541">IF(AGZ56&gt;0,AGZ$17,0)</f>
        <v>0</v>
      </c>
      <c r="AHA57" s="115">
        <f t="shared" ref="AHA57" si="4542">IF(AHA56&gt;0,AHA$17,0)</f>
        <v>0</v>
      </c>
      <c r="AHB57" s="115">
        <f t="shared" ref="AHB57" si="4543">IF(AHB56&gt;0,AHB$17,0)</f>
        <v>0</v>
      </c>
      <c r="AHC57" s="115">
        <f t="shared" ref="AHC57" si="4544">IF(AHC56&gt;0,AHC$17,0)</f>
        <v>0</v>
      </c>
      <c r="AHD57" s="115">
        <f t="shared" ref="AHD57" si="4545">IF(AHD56&gt;0,AHD$17,0)</f>
        <v>0</v>
      </c>
      <c r="AHE57" s="115">
        <f t="shared" ref="AHE57" si="4546">IF(AHE56&gt;0,AHE$17,0)</f>
        <v>0</v>
      </c>
      <c r="AHF57" s="115">
        <f t="shared" ref="AHF57" si="4547">IF(AHF56&gt;0,AHF$17,0)</f>
        <v>0</v>
      </c>
      <c r="AHG57" s="115">
        <f t="shared" ref="AHG57" si="4548">IF(AHG56&gt;0,AHG$17,0)</f>
        <v>0</v>
      </c>
      <c r="AHH57" s="115">
        <f t="shared" ref="AHH57" si="4549">IF(AHH56&gt;0,AHH$17,0)</f>
        <v>0</v>
      </c>
      <c r="AHI57" s="115">
        <f t="shared" ref="AHI57" si="4550">IF(AHI56&gt;0,AHI$17,0)</f>
        <v>0</v>
      </c>
      <c r="AHJ57" s="115">
        <f t="shared" ref="AHJ57" si="4551">IF(AHJ56&gt;0,AHJ$17,0)</f>
        <v>0</v>
      </c>
      <c r="AHK57" s="115">
        <f t="shared" ref="AHK57" si="4552">IF(AHK56&gt;0,AHK$17,0)</f>
        <v>0</v>
      </c>
      <c r="AHL57" s="115">
        <f t="shared" ref="AHL57" si="4553">IF(AHL56&gt;0,AHL$17,0)</f>
        <v>0</v>
      </c>
      <c r="AHM57" s="115">
        <f t="shared" ref="AHM57" si="4554">IF(AHM56&gt;0,AHM$17,0)</f>
        <v>0</v>
      </c>
      <c r="AHN57" s="115">
        <f t="shared" ref="AHN57" si="4555">IF(AHN56&gt;0,AHN$17,0)</f>
        <v>0</v>
      </c>
      <c r="AHO57" s="115">
        <f t="shared" ref="AHO57" si="4556">IF(AHO56&gt;0,AHO$17,0)</f>
        <v>0</v>
      </c>
      <c r="AHP57" s="115">
        <f t="shared" ref="AHP57" si="4557">IF(AHP56&gt;0,AHP$17,0)</f>
        <v>0</v>
      </c>
      <c r="AHQ57" s="115">
        <f t="shared" ref="AHQ57" si="4558">IF(AHQ56&gt;0,AHQ$17,0)</f>
        <v>0</v>
      </c>
      <c r="AHR57" s="115">
        <f t="shared" ref="AHR57" si="4559">IF(AHR56&gt;0,AHR$17,0)</f>
        <v>0</v>
      </c>
      <c r="AHS57" s="115">
        <f t="shared" ref="AHS57" si="4560">IF(AHS56&gt;0,AHS$17,0)</f>
        <v>0</v>
      </c>
      <c r="AHT57" s="115">
        <f t="shared" ref="AHT57" si="4561">IF(AHT56&gt;0,AHT$17,0)</f>
        <v>0</v>
      </c>
      <c r="AHU57" s="115">
        <f t="shared" ref="AHU57" si="4562">IF(AHU56&gt;0,AHU$17,0)</f>
        <v>0</v>
      </c>
      <c r="AHV57" s="115">
        <f t="shared" ref="AHV57" si="4563">IF(AHV56&gt;0,AHV$17,0)</f>
        <v>0</v>
      </c>
      <c r="AHW57" s="115">
        <f t="shared" ref="AHW57" si="4564">IF(AHW56&gt;0,AHW$17,0)</f>
        <v>0</v>
      </c>
      <c r="AHX57" s="115">
        <f t="shared" ref="AHX57" si="4565">IF(AHX56&gt;0,AHX$17,0)</f>
        <v>0</v>
      </c>
      <c r="AHY57" s="115">
        <f t="shared" ref="AHY57" si="4566">IF(AHY56&gt;0,AHY$17,0)</f>
        <v>0</v>
      </c>
      <c r="AHZ57" s="115">
        <f t="shared" ref="AHZ57" si="4567">IF(AHZ56&gt;0,AHZ$17,0)</f>
        <v>0</v>
      </c>
      <c r="AIA57" s="115">
        <f t="shared" ref="AIA57" si="4568">IF(AIA56&gt;0,AIA$17,0)</f>
        <v>0</v>
      </c>
      <c r="AIB57" s="115">
        <f t="shared" ref="AIB57" si="4569">IF(AIB56&gt;0,AIB$17,0)</f>
        <v>0</v>
      </c>
      <c r="AIC57" s="115">
        <f t="shared" ref="AIC57" si="4570">IF(AIC56&gt;0,AIC$17,0)</f>
        <v>0</v>
      </c>
      <c r="AID57" s="115">
        <f t="shared" ref="AID57" si="4571">IF(AID56&gt;0,AID$17,0)</f>
        <v>0</v>
      </c>
      <c r="AIE57" s="115">
        <f t="shared" ref="AIE57" si="4572">IF(AIE56&gt;0,AIE$17,0)</f>
        <v>0</v>
      </c>
      <c r="AIF57" s="115">
        <f t="shared" ref="AIF57" si="4573">IF(AIF56&gt;0,AIF$17,0)</f>
        <v>0</v>
      </c>
      <c r="AIG57" s="115">
        <f t="shared" ref="AIG57" si="4574">IF(AIG56&gt;0,AIG$17,0)</f>
        <v>0</v>
      </c>
      <c r="AIH57" s="115">
        <f t="shared" ref="AIH57" si="4575">IF(AIH56&gt;0,AIH$17,0)</f>
        <v>0</v>
      </c>
      <c r="AII57" s="115">
        <f t="shared" ref="AII57" si="4576">IF(AII56&gt;0,AII$17,0)</f>
        <v>0</v>
      </c>
      <c r="AIJ57" s="115">
        <f t="shared" ref="AIJ57" si="4577">IF(AIJ56&gt;0,AIJ$17,0)</f>
        <v>0</v>
      </c>
      <c r="AIK57" s="115">
        <f t="shared" ref="AIK57" si="4578">IF(AIK56&gt;0,AIK$17,0)</f>
        <v>0</v>
      </c>
      <c r="AIL57" s="115">
        <f t="shared" ref="AIL57" si="4579">IF(AIL56&gt;0,AIL$17,0)</f>
        <v>0</v>
      </c>
      <c r="AIM57" s="115">
        <f t="shared" ref="AIM57" si="4580">IF(AIM56&gt;0,AIM$17,0)</f>
        <v>0</v>
      </c>
      <c r="AIN57" s="115">
        <f t="shared" ref="AIN57" si="4581">IF(AIN56&gt;0,AIN$17,0)</f>
        <v>0</v>
      </c>
      <c r="AIO57" s="115">
        <f t="shared" ref="AIO57" si="4582">IF(AIO56&gt;0,AIO$17,0)</f>
        <v>0</v>
      </c>
      <c r="AIP57" s="115">
        <f t="shared" ref="AIP57" si="4583">IF(AIP56&gt;0,AIP$17,0)</f>
        <v>0</v>
      </c>
      <c r="AIQ57" s="115">
        <f t="shared" ref="AIQ57" si="4584">IF(AIQ56&gt;0,AIQ$17,0)</f>
        <v>0</v>
      </c>
      <c r="AIR57" s="115">
        <f t="shared" ref="AIR57" si="4585">IF(AIR56&gt;0,AIR$17,0)</f>
        <v>0</v>
      </c>
      <c r="AIS57" s="115">
        <f t="shared" ref="AIS57" si="4586">IF(AIS56&gt;0,AIS$17,0)</f>
        <v>0</v>
      </c>
      <c r="AIT57" s="115">
        <f t="shared" ref="AIT57" si="4587">IF(AIT56&gt;0,AIT$17,0)</f>
        <v>0</v>
      </c>
      <c r="AIU57" s="115">
        <f t="shared" ref="AIU57" si="4588">IF(AIU56&gt;0,AIU$17,0)</f>
        <v>0</v>
      </c>
      <c r="AIV57" s="115">
        <f t="shared" ref="AIV57" si="4589">IF(AIV56&gt;0,AIV$17,0)</f>
        <v>0</v>
      </c>
      <c r="AIW57" s="115">
        <f t="shared" ref="AIW57" si="4590">IF(AIW56&gt;0,AIW$17,0)</f>
        <v>0</v>
      </c>
      <c r="AIX57" s="115">
        <f t="shared" ref="AIX57" si="4591">IF(AIX56&gt;0,AIX$17,0)</f>
        <v>0</v>
      </c>
      <c r="AIY57" s="115">
        <f t="shared" ref="AIY57" si="4592">IF(AIY56&gt;0,AIY$17,0)</f>
        <v>0</v>
      </c>
      <c r="AIZ57" s="115">
        <f t="shared" ref="AIZ57" si="4593">IF(AIZ56&gt;0,AIZ$17,0)</f>
        <v>0</v>
      </c>
      <c r="AJA57" s="115">
        <f t="shared" ref="AJA57" si="4594">IF(AJA56&gt;0,AJA$17,0)</f>
        <v>0</v>
      </c>
      <c r="AJB57" s="115">
        <f t="shared" ref="AJB57" si="4595">IF(AJB56&gt;0,AJB$17,0)</f>
        <v>0</v>
      </c>
      <c r="AJC57" s="115">
        <f t="shared" ref="AJC57" si="4596">IF(AJC56&gt;0,AJC$17,0)</f>
        <v>0</v>
      </c>
      <c r="AJD57" s="115">
        <f t="shared" ref="AJD57" si="4597">IF(AJD56&gt;0,AJD$17,0)</f>
        <v>0</v>
      </c>
      <c r="AJE57" s="115">
        <f t="shared" ref="AJE57" si="4598">IF(AJE56&gt;0,AJE$17,0)</f>
        <v>0</v>
      </c>
      <c r="AJF57" s="115">
        <f t="shared" ref="AJF57" si="4599">IF(AJF56&gt;0,AJF$17,0)</f>
        <v>0</v>
      </c>
      <c r="AJG57" s="115">
        <f t="shared" ref="AJG57" si="4600">IF(AJG56&gt;0,AJG$17,0)</f>
        <v>0</v>
      </c>
      <c r="AJH57" s="115">
        <f t="shared" ref="AJH57" si="4601">IF(AJH56&gt;0,AJH$17,0)</f>
        <v>0</v>
      </c>
      <c r="AJI57" s="115">
        <f t="shared" ref="AJI57" si="4602">IF(AJI56&gt;0,AJI$17,0)</f>
        <v>0</v>
      </c>
      <c r="AJJ57" s="115">
        <f t="shared" ref="AJJ57" si="4603">IF(AJJ56&gt;0,AJJ$17,0)</f>
        <v>0</v>
      </c>
      <c r="AJK57" s="115">
        <f t="shared" ref="AJK57" si="4604">IF(AJK56&gt;0,AJK$17,0)</f>
        <v>0</v>
      </c>
      <c r="AJL57" s="115">
        <f t="shared" ref="AJL57" si="4605">IF(AJL56&gt;0,AJL$17,0)</f>
        <v>0</v>
      </c>
      <c r="AJM57" s="115">
        <f t="shared" ref="AJM57" si="4606">IF(AJM56&gt;0,AJM$17,0)</f>
        <v>0</v>
      </c>
      <c r="AJN57" s="115">
        <f t="shared" ref="AJN57" si="4607">IF(AJN56&gt;0,AJN$17,0)</f>
        <v>0</v>
      </c>
      <c r="AJO57" s="115">
        <f t="shared" ref="AJO57" si="4608">IF(AJO56&gt;0,AJO$17,0)</f>
        <v>0</v>
      </c>
      <c r="AJP57" s="115">
        <f t="shared" ref="AJP57" si="4609">IF(AJP56&gt;0,AJP$17,0)</f>
        <v>0</v>
      </c>
      <c r="AJQ57" s="115">
        <f t="shared" ref="AJQ57" si="4610">IF(AJQ56&gt;0,AJQ$17,0)</f>
        <v>0</v>
      </c>
      <c r="AJR57" s="115">
        <f t="shared" ref="AJR57" si="4611">IF(AJR56&gt;0,AJR$17,0)</f>
        <v>0</v>
      </c>
      <c r="AJS57" s="115">
        <f t="shared" ref="AJS57" si="4612">IF(AJS56&gt;0,AJS$17,0)</f>
        <v>0</v>
      </c>
      <c r="AJT57" s="115">
        <f t="shared" ref="AJT57" si="4613">IF(AJT56&gt;0,AJT$17,0)</f>
        <v>0</v>
      </c>
      <c r="AJU57" s="115">
        <f t="shared" ref="AJU57" si="4614">IF(AJU56&gt;0,AJU$17,0)</f>
        <v>0</v>
      </c>
      <c r="AJV57" s="115">
        <f t="shared" ref="AJV57" si="4615">IF(AJV56&gt;0,AJV$17,0)</f>
        <v>0</v>
      </c>
      <c r="AJW57" s="115">
        <f t="shared" ref="AJW57" si="4616">IF(AJW56&gt;0,AJW$17,0)</f>
        <v>0</v>
      </c>
      <c r="AJX57" s="115">
        <f t="shared" ref="AJX57" si="4617">IF(AJX56&gt;0,AJX$17,0)</f>
        <v>0</v>
      </c>
      <c r="AJY57" s="115">
        <f t="shared" ref="AJY57" si="4618">IF(AJY56&gt;0,AJY$17,0)</f>
        <v>0</v>
      </c>
      <c r="AJZ57" s="115">
        <f t="shared" ref="AJZ57" si="4619">IF(AJZ56&gt;0,AJZ$17,0)</f>
        <v>0</v>
      </c>
      <c r="AKA57" s="115">
        <f t="shared" ref="AKA57" si="4620">IF(AKA56&gt;0,AKA$17,0)</f>
        <v>0</v>
      </c>
      <c r="AKB57" s="115">
        <f t="shared" ref="AKB57" si="4621">IF(AKB56&gt;0,AKB$17,0)</f>
        <v>0</v>
      </c>
      <c r="AKC57" s="115">
        <f t="shared" ref="AKC57" si="4622">IF(AKC56&gt;0,AKC$17,0)</f>
        <v>0</v>
      </c>
      <c r="AKD57" s="115">
        <f t="shared" ref="AKD57" si="4623">IF(AKD56&gt;0,AKD$17,0)</f>
        <v>0</v>
      </c>
      <c r="AKE57" s="115">
        <f t="shared" ref="AKE57" si="4624">IF(AKE56&gt;0,AKE$17,0)</f>
        <v>0</v>
      </c>
      <c r="AKF57" s="115">
        <f t="shared" ref="AKF57" si="4625">IF(AKF56&gt;0,AKF$17,0)</f>
        <v>0</v>
      </c>
      <c r="AKG57" s="115">
        <f t="shared" ref="AKG57" si="4626">IF(AKG56&gt;0,AKG$17,0)</f>
        <v>0</v>
      </c>
      <c r="AKH57" s="115">
        <f t="shared" ref="AKH57" si="4627">IF(AKH56&gt;0,AKH$17,0)</f>
        <v>0</v>
      </c>
      <c r="AKI57" s="115">
        <f t="shared" ref="AKI57" si="4628">IF(AKI56&gt;0,AKI$17,0)</f>
        <v>0</v>
      </c>
      <c r="AKJ57" s="115">
        <f t="shared" ref="AKJ57" si="4629">IF(AKJ56&gt;0,AKJ$17,0)</f>
        <v>0</v>
      </c>
      <c r="AKK57" s="115">
        <f t="shared" ref="AKK57" si="4630">IF(AKK56&gt;0,AKK$17,0)</f>
        <v>0</v>
      </c>
      <c r="AKL57" s="115">
        <f t="shared" ref="AKL57" si="4631">IF(AKL56&gt;0,AKL$17,0)</f>
        <v>0</v>
      </c>
      <c r="AKM57" s="115">
        <f t="shared" ref="AKM57" si="4632">IF(AKM56&gt;0,AKM$17,0)</f>
        <v>0</v>
      </c>
      <c r="AKN57" s="115">
        <f t="shared" ref="AKN57" si="4633">IF(AKN56&gt;0,AKN$17,0)</f>
        <v>0</v>
      </c>
      <c r="AKO57" s="115">
        <f t="shared" ref="AKO57" si="4634">IF(AKO56&gt;0,AKO$17,0)</f>
        <v>0</v>
      </c>
      <c r="AKP57" s="115">
        <f t="shared" ref="AKP57" si="4635">IF(AKP56&gt;0,AKP$17,0)</f>
        <v>0</v>
      </c>
      <c r="AKQ57" s="115">
        <f t="shared" ref="AKQ57" si="4636">IF(AKQ56&gt;0,AKQ$17,0)</f>
        <v>0</v>
      </c>
      <c r="AKR57" s="115">
        <f t="shared" ref="AKR57" si="4637">IF(AKR56&gt;0,AKR$17,0)</f>
        <v>0</v>
      </c>
      <c r="AKS57" s="115">
        <f t="shared" ref="AKS57" si="4638">IF(AKS56&gt;0,AKS$17,0)</f>
        <v>0</v>
      </c>
      <c r="AKT57" s="115">
        <f t="shared" ref="AKT57" si="4639">IF(AKT56&gt;0,AKT$17,0)</f>
        <v>0</v>
      </c>
      <c r="AKU57" s="115">
        <f t="shared" ref="AKU57" si="4640">IF(AKU56&gt;0,AKU$17,0)</f>
        <v>0</v>
      </c>
      <c r="AKV57" s="115">
        <f t="shared" ref="AKV57" si="4641">IF(AKV56&gt;0,AKV$17,0)</f>
        <v>0</v>
      </c>
      <c r="AKW57" s="115">
        <f t="shared" ref="AKW57" si="4642">IF(AKW56&gt;0,AKW$17,0)</f>
        <v>0</v>
      </c>
      <c r="AKX57" s="115">
        <f t="shared" ref="AKX57" si="4643">IF(AKX56&gt;0,AKX$17,0)</f>
        <v>0</v>
      </c>
      <c r="AKY57" s="115">
        <f t="shared" ref="AKY57" si="4644">IF(AKY56&gt;0,AKY$17,0)</f>
        <v>0</v>
      </c>
      <c r="AKZ57" s="115">
        <f t="shared" ref="AKZ57" si="4645">IF(AKZ56&gt;0,AKZ$17,0)</f>
        <v>0</v>
      </c>
      <c r="ALA57" s="115">
        <f t="shared" ref="ALA57" si="4646">IF(ALA56&gt;0,ALA$17,0)</f>
        <v>0</v>
      </c>
      <c r="ALB57" s="115">
        <f t="shared" ref="ALB57" si="4647">IF(ALB56&gt;0,ALB$17,0)</f>
        <v>0</v>
      </c>
      <c r="ALC57" s="115">
        <f t="shared" ref="ALC57" si="4648">IF(ALC56&gt;0,ALC$17,0)</f>
        <v>0</v>
      </c>
      <c r="ALD57" s="115">
        <f t="shared" ref="ALD57" si="4649">IF(ALD56&gt;0,ALD$17,0)</f>
        <v>0</v>
      </c>
      <c r="ALE57" s="115">
        <f t="shared" ref="ALE57" si="4650">IF(ALE56&gt;0,ALE$17,0)</f>
        <v>0</v>
      </c>
      <c r="ALF57" s="115">
        <f t="shared" ref="ALF57" si="4651">IF(ALF56&gt;0,ALF$17,0)</f>
        <v>0</v>
      </c>
      <c r="ALG57" s="115">
        <f t="shared" ref="ALG57" si="4652">IF(ALG56&gt;0,ALG$17,0)</f>
        <v>0</v>
      </c>
      <c r="ALH57" s="115">
        <f t="shared" ref="ALH57" si="4653">IF(ALH56&gt;0,ALH$17,0)</f>
        <v>0</v>
      </c>
      <c r="ALI57" s="115">
        <f t="shared" ref="ALI57" si="4654">IF(ALI56&gt;0,ALI$17,0)</f>
        <v>0</v>
      </c>
      <c r="ALJ57" s="115">
        <f t="shared" ref="ALJ57" si="4655">IF(ALJ56&gt;0,ALJ$17,0)</f>
        <v>0</v>
      </c>
      <c r="ALK57" s="115">
        <f t="shared" ref="ALK57" si="4656">IF(ALK56&gt;0,ALK$17,0)</f>
        <v>0</v>
      </c>
      <c r="ALL57" s="115">
        <f t="shared" ref="ALL57" si="4657">IF(ALL56&gt;0,ALL$17,0)</f>
        <v>0</v>
      </c>
      <c r="ALM57" s="115">
        <f t="shared" ref="ALM57" si="4658">IF(ALM56&gt;0,ALM$17,0)</f>
        <v>0</v>
      </c>
      <c r="ALN57" s="115">
        <f t="shared" ref="ALN57" si="4659">IF(ALN56&gt;0,ALN$17,0)</f>
        <v>0</v>
      </c>
      <c r="ALO57" s="115">
        <f t="shared" ref="ALO57" si="4660">IF(ALO56&gt;0,ALO$17,0)</f>
        <v>0</v>
      </c>
      <c r="ALP57" s="115">
        <f t="shared" ref="ALP57" si="4661">IF(ALP56&gt;0,ALP$17,0)</f>
        <v>0</v>
      </c>
      <c r="ALQ57" s="115">
        <f t="shared" ref="ALQ57" si="4662">IF(ALQ56&gt;0,ALQ$17,0)</f>
        <v>0</v>
      </c>
      <c r="ALR57" s="115">
        <f t="shared" ref="ALR57" si="4663">IF(ALR56&gt;0,ALR$17,0)</f>
        <v>0</v>
      </c>
      <c r="ALS57" s="115">
        <f t="shared" ref="ALS57" si="4664">IF(ALS56&gt;0,ALS$17,0)</f>
        <v>0</v>
      </c>
      <c r="ALT57" s="115">
        <f t="shared" ref="ALT57" si="4665">IF(ALT56&gt;0,ALT$17,0)</f>
        <v>0</v>
      </c>
      <c r="ALU57" s="115">
        <f t="shared" ref="ALU57" si="4666">IF(ALU56&gt;0,ALU$17,0)</f>
        <v>0</v>
      </c>
      <c r="ALV57" s="115">
        <f t="shared" ref="ALV57" si="4667">IF(ALV56&gt;0,ALV$17,0)</f>
        <v>0</v>
      </c>
      <c r="ALW57" s="115">
        <f t="shared" ref="ALW57" si="4668">IF(ALW56&gt;0,ALW$17,0)</f>
        <v>0</v>
      </c>
      <c r="ALX57" s="115">
        <f t="shared" ref="ALX57" si="4669">IF(ALX56&gt;0,ALX$17,0)</f>
        <v>0</v>
      </c>
      <c r="ALY57" s="115">
        <f t="shared" ref="ALY57" si="4670">IF(ALY56&gt;0,ALY$17,0)</f>
        <v>0</v>
      </c>
      <c r="ALZ57" s="115">
        <f t="shared" ref="ALZ57" si="4671">IF(ALZ56&gt;0,ALZ$17,0)</f>
        <v>0</v>
      </c>
      <c r="AMA57" s="115">
        <f t="shared" ref="AMA57" si="4672">IF(AMA56&gt;0,AMA$17,0)</f>
        <v>0</v>
      </c>
      <c r="AMB57" s="115">
        <f t="shared" ref="AMB57" si="4673">IF(AMB56&gt;0,AMB$17,0)</f>
        <v>0</v>
      </c>
      <c r="AMC57" s="115">
        <f t="shared" ref="AMC57" si="4674">IF(AMC56&gt;0,AMC$17,0)</f>
        <v>0</v>
      </c>
      <c r="AMD57" s="115">
        <f t="shared" ref="AMD57" si="4675">IF(AMD56&gt;0,AMD$17,0)</f>
        <v>0</v>
      </c>
      <c r="AME57" s="115">
        <f t="shared" ref="AME57" si="4676">IF(AME56&gt;0,AME$17,0)</f>
        <v>0</v>
      </c>
      <c r="AMF57" s="115">
        <f t="shared" ref="AMF57" si="4677">IF(AMF56&gt;0,AMF$17,0)</f>
        <v>0</v>
      </c>
      <c r="AMG57" s="115">
        <f t="shared" ref="AMG57" si="4678">IF(AMG56&gt;0,AMG$17,0)</f>
        <v>0</v>
      </c>
      <c r="AMH57" s="115">
        <f t="shared" ref="AMH57" si="4679">IF(AMH56&gt;0,AMH$17,0)</f>
        <v>0</v>
      </c>
      <c r="AMI57" s="115">
        <f t="shared" ref="AMI57" si="4680">IF(AMI56&gt;0,AMI$17,0)</f>
        <v>0</v>
      </c>
      <c r="AMJ57" s="115">
        <f t="shared" ref="AMJ57" si="4681">IF(AMJ56&gt;0,AMJ$17,0)</f>
        <v>0</v>
      </c>
      <c r="AMK57" s="115">
        <f t="shared" ref="AMK57" si="4682">IF(AMK56&gt;0,AMK$17,0)</f>
        <v>0</v>
      </c>
      <c r="AML57" s="115">
        <f t="shared" ref="AML57" si="4683">IF(AML56&gt;0,AML$17,0)</f>
        <v>0</v>
      </c>
      <c r="AMM57" s="115">
        <f t="shared" ref="AMM57" si="4684">IF(AMM56&gt;0,AMM$17,0)</f>
        <v>0</v>
      </c>
      <c r="AMN57" s="115">
        <f t="shared" ref="AMN57" si="4685">IF(AMN56&gt;0,AMN$17,0)</f>
        <v>0</v>
      </c>
      <c r="AMO57" s="115">
        <f t="shared" ref="AMO57" si="4686">IF(AMO56&gt;0,AMO$17,0)</f>
        <v>0</v>
      </c>
      <c r="AMP57" s="115">
        <f t="shared" ref="AMP57" si="4687">IF(AMP56&gt;0,AMP$17,0)</f>
        <v>0</v>
      </c>
      <c r="AMQ57" s="115">
        <f t="shared" ref="AMQ57" si="4688">IF(AMQ56&gt;0,AMQ$17,0)</f>
        <v>0</v>
      </c>
      <c r="AMR57" s="115">
        <f t="shared" ref="AMR57" si="4689">IF(AMR56&gt;0,AMR$17,0)</f>
        <v>0</v>
      </c>
      <c r="AMS57" s="115">
        <f t="shared" ref="AMS57" si="4690">IF(AMS56&gt;0,AMS$17,0)</f>
        <v>0</v>
      </c>
      <c r="AMT57" s="115">
        <f t="shared" ref="AMT57" si="4691">IF(AMT56&gt;0,AMT$17,0)</f>
        <v>0</v>
      </c>
      <c r="AMU57" s="115">
        <f t="shared" ref="AMU57" si="4692">IF(AMU56&gt;0,AMU$17,0)</f>
        <v>0</v>
      </c>
      <c r="AMV57" s="115">
        <f t="shared" ref="AMV57" si="4693">IF(AMV56&gt;0,AMV$17,0)</f>
        <v>0</v>
      </c>
      <c r="AMW57" s="115">
        <f t="shared" ref="AMW57" si="4694">IF(AMW56&gt;0,AMW$17,0)</f>
        <v>0</v>
      </c>
      <c r="AMX57" s="115">
        <f t="shared" ref="AMX57" si="4695">IF(AMX56&gt;0,AMX$17,0)</f>
        <v>0</v>
      </c>
      <c r="AMY57" s="115">
        <f t="shared" ref="AMY57" si="4696">IF(AMY56&gt;0,AMY$17,0)</f>
        <v>0</v>
      </c>
      <c r="AMZ57" s="115">
        <f t="shared" ref="AMZ57" si="4697">IF(AMZ56&gt;0,AMZ$17,0)</f>
        <v>0</v>
      </c>
      <c r="ANA57" s="115">
        <f t="shared" ref="ANA57" si="4698">IF(ANA56&gt;0,ANA$17,0)</f>
        <v>0</v>
      </c>
      <c r="ANB57" s="115">
        <f t="shared" ref="ANB57" si="4699">IF(ANB56&gt;0,ANB$17,0)</f>
        <v>0</v>
      </c>
      <c r="ANC57" s="115">
        <f t="shared" ref="ANC57" si="4700">IF(ANC56&gt;0,ANC$17,0)</f>
        <v>0</v>
      </c>
      <c r="AND57" s="115">
        <f t="shared" ref="AND57" si="4701">IF(AND56&gt;0,AND$17,0)</f>
        <v>0</v>
      </c>
      <c r="ANE57" s="115">
        <f t="shared" ref="ANE57" si="4702">IF(ANE56&gt;0,ANE$17,0)</f>
        <v>0</v>
      </c>
      <c r="ANF57" s="115">
        <f t="shared" ref="ANF57" si="4703">IF(ANF56&gt;0,ANF$17,0)</f>
        <v>0</v>
      </c>
      <c r="ANG57" s="115">
        <f t="shared" ref="ANG57" si="4704">IF(ANG56&gt;0,ANG$17,0)</f>
        <v>0</v>
      </c>
      <c r="ANH57" s="115">
        <f t="shared" ref="ANH57" si="4705">IF(ANH56&gt;0,ANH$17,0)</f>
        <v>0</v>
      </c>
      <c r="ANI57" s="115">
        <f t="shared" ref="ANI57" si="4706">IF(ANI56&gt;0,ANI$17,0)</f>
        <v>0</v>
      </c>
      <c r="ANJ57" s="115">
        <f t="shared" ref="ANJ57" si="4707">IF(ANJ56&gt;0,ANJ$17,0)</f>
        <v>0</v>
      </c>
      <c r="ANK57" s="115">
        <f t="shared" ref="ANK57" si="4708">IF(ANK56&gt;0,ANK$17,0)</f>
        <v>0</v>
      </c>
      <c r="ANL57" s="115">
        <f t="shared" ref="ANL57" si="4709">IF(ANL56&gt;0,ANL$17,0)</f>
        <v>0</v>
      </c>
      <c r="ANM57" s="115">
        <f t="shared" ref="ANM57" si="4710">IF(ANM56&gt;0,ANM$17,0)</f>
        <v>0</v>
      </c>
      <c r="ANN57" s="115">
        <f t="shared" ref="ANN57" si="4711">IF(ANN56&gt;0,ANN$17,0)</f>
        <v>0</v>
      </c>
      <c r="ANO57" s="115">
        <f t="shared" ref="ANO57" si="4712">IF(ANO56&gt;0,ANO$17,0)</f>
        <v>0</v>
      </c>
      <c r="ANP57" s="115">
        <f t="shared" ref="ANP57" si="4713">IF(ANP56&gt;0,ANP$17,0)</f>
        <v>0</v>
      </c>
      <c r="ANQ57" s="115">
        <f t="shared" ref="ANQ57" si="4714">IF(ANQ56&gt;0,ANQ$17,0)</f>
        <v>0</v>
      </c>
      <c r="ANR57" s="115">
        <f t="shared" ref="ANR57" si="4715">IF(ANR56&gt;0,ANR$17,0)</f>
        <v>0</v>
      </c>
      <c r="ANS57" s="115">
        <f t="shared" ref="ANS57" si="4716">IF(ANS56&gt;0,ANS$17,0)</f>
        <v>0</v>
      </c>
      <c r="ANT57" s="115">
        <f t="shared" ref="ANT57" si="4717">IF(ANT56&gt;0,ANT$17,0)</f>
        <v>0</v>
      </c>
      <c r="ANU57" s="115">
        <f t="shared" ref="ANU57" si="4718">IF(ANU56&gt;0,ANU$17,0)</f>
        <v>0</v>
      </c>
      <c r="ANV57" s="115">
        <f t="shared" ref="ANV57" si="4719">IF(ANV56&gt;0,ANV$17,0)</f>
        <v>0</v>
      </c>
      <c r="ANW57" s="115">
        <f t="shared" ref="ANW57" si="4720">IF(ANW56&gt;0,ANW$17,0)</f>
        <v>0</v>
      </c>
      <c r="ANX57" s="115">
        <f t="shared" ref="ANX57" si="4721">IF(ANX56&gt;0,ANX$17,0)</f>
        <v>0</v>
      </c>
      <c r="ANY57" s="115">
        <f t="shared" ref="ANY57" si="4722">IF(ANY56&gt;0,ANY$17,0)</f>
        <v>0</v>
      </c>
      <c r="ANZ57" s="115">
        <f t="shared" ref="ANZ57" si="4723">IF(ANZ56&gt;0,ANZ$17,0)</f>
        <v>0</v>
      </c>
      <c r="AOA57" s="115">
        <f t="shared" ref="AOA57" si="4724">IF(AOA56&gt;0,AOA$17,0)</f>
        <v>0</v>
      </c>
      <c r="AOB57" s="115">
        <f t="shared" ref="AOB57" si="4725">IF(AOB56&gt;0,AOB$17,0)</f>
        <v>0</v>
      </c>
      <c r="AOC57" s="115">
        <f t="shared" ref="AOC57" si="4726">IF(AOC56&gt;0,AOC$17,0)</f>
        <v>0</v>
      </c>
      <c r="AOD57" s="115">
        <f t="shared" ref="AOD57" si="4727">IF(AOD56&gt;0,AOD$17,0)</f>
        <v>0</v>
      </c>
      <c r="AOE57" s="115">
        <f t="shared" ref="AOE57" si="4728">IF(AOE56&gt;0,AOE$17,0)</f>
        <v>0</v>
      </c>
      <c r="AOF57" s="115">
        <f t="shared" ref="AOF57" si="4729">IF(AOF56&gt;0,AOF$17,0)</f>
        <v>0</v>
      </c>
      <c r="AOG57" s="115">
        <f t="shared" ref="AOG57" si="4730">IF(AOG56&gt;0,AOG$17,0)</f>
        <v>0</v>
      </c>
      <c r="AOH57" s="115">
        <f t="shared" ref="AOH57" si="4731">IF(AOH56&gt;0,AOH$17,0)</f>
        <v>0</v>
      </c>
      <c r="AOI57" s="115">
        <f t="shared" ref="AOI57" si="4732">IF(AOI56&gt;0,AOI$17,0)</f>
        <v>0</v>
      </c>
      <c r="AOJ57" s="115">
        <f t="shared" ref="AOJ57" si="4733">IF(AOJ56&gt;0,AOJ$17,0)</f>
        <v>0</v>
      </c>
      <c r="AOK57" s="115">
        <f t="shared" ref="AOK57" si="4734">IF(AOK56&gt;0,AOK$17,0)</f>
        <v>0</v>
      </c>
      <c r="AOL57" s="115">
        <f t="shared" ref="AOL57" si="4735">IF(AOL56&gt;0,AOL$17,0)</f>
        <v>0</v>
      </c>
      <c r="AOM57" s="115">
        <f t="shared" ref="AOM57" si="4736">IF(AOM56&gt;0,AOM$17,0)</f>
        <v>0</v>
      </c>
      <c r="AON57" s="115">
        <f t="shared" ref="AON57" si="4737">IF(AON56&gt;0,AON$17,0)</f>
        <v>0</v>
      </c>
      <c r="AOO57" s="115">
        <f t="shared" ref="AOO57" si="4738">IF(AOO56&gt;0,AOO$17,0)</f>
        <v>0</v>
      </c>
      <c r="AOP57" s="115">
        <f t="shared" ref="AOP57" si="4739">IF(AOP56&gt;0,AOP$17,0)</f>
        <v>0</v>
      </c>
      <c r="AOQ57" s="115">
        <f t="shared" ref="AOQ57" si="4740">IF(AOQ56&gt;0,AOQ$17,0)</f>
        <v>0</v>
      </c>
    </row>
    <row r="58" spans="1:1083" x14ac:dyDescent="0.25">
      <c r="B58" s="116" t="s">
        <v>298</v>
      </c>
      <c r="C58" s="115">
        <f>SUM(D58:AOQ58)</f>
        <v>0</v>
      </c>
      <c r="D58" s="115">
        <v>0</v>
      </c>
      <c r="E58" s="115">
        <f>IF(E56&gt;0,SUM($D$18:D18),0)</f>
        <v>0</v>
      </c>
      <c r="F58" s="115">
        <f>IF(F56&gt;0,SUM($D$18:E18),0)</f>
        <v>0</v>
      </c>
      <c r="G58" s="115">
        <f>IF(G56&gt;0,SUM($D$18:F18),0)</f>
        <v>0</v>
      </c>
      <c r="H58" s="115">
        <f>IF(H56&gt;0,SUM($D$18:G18),0)</f>
        <v>0</v>
      </c>
      <c r="I58" s="115">
        <f>IF(I56&gt;0,SUM($D$18:H18),0)</f>
        <v>0</v>
      </c>
      <c r="J58" s="115">
        <f>IF(J56&gt;0,SUM($D$18:I18),0)</f>
        <v>0</v>
      </c>
      <c r="K58" s="115">
        <f>IF(K56&gt;0,SUM($D$18:J18),0)</f>
        <v>0</v>
      </c>
      <c r="L58" s="115">
        <f>IF(L56&gt;0,SUM($D$18:K18),0)</f>
        <v>0</v>
      </c>
      <c r="M58" s="115">
        <f>IF(M56&gt;0,SUM($D$18:L18),0)</f>
        <v>0</v>
      </c>
      <c r="N58" s="115">
        <f>IF(N56&gt;0,SUM($D$18:M18),0)</f>
        <v>0</v>
      </c>
      <c r="O58" s="115">
        <f>IF(O56&gt;0,SUM($D$18:N18),0)</f>
        <v>0</v>
      </c>
      <c r="P58" s="115">
        <f>IF(P56&gt;0,SUM($D$18:O18),0)</f>
        <v>0</v>
      </c>
      <c r="Q58" s="115">
        <f>IF(Q56&gt;0,SUM($D$18:P18),0)</f>
        <v>0</v>
      </c>
      <c r="R58" s="115">
        <f>IF(R56&gt;0,SUM($D$18:Q18),0)</f>
        <v>0</v>
      </c>
      <c r="S58" s="115">
        <f>IF(S56&gt;0,SUM($D$18:R18),0)</f>
        <v>0</v>
      </c>
      <c r="T58" s="115">
        <f>IF(T56&gt;0,SUM($D$18:S18),0)</f>
        <v>0</v>
      </c>
      <c r="U58" s="115">
        <f>IF(U56&gt;0,SUM($D$18:T18),0)</f>
        <v>0</v>
      </c>
      <c r="V58" s="115">
        <f>IF(V56&gt;0,SUM($D$18:U18),0)</f>
        <v>0</v>
      </c>
      <c r="W58" s="115">
        <f>IF(W56&gt;0,SUM($D$18:V18),0)</f>
        <v>0</v>
      </c>
      <c r="X58" s="115">
        <f>IF(X56&gt;0,SUM($D$18:W18),0)</f>
        <v>0</v>
      </c>
      <c r="Y58" s="115">
        <f>IF(Y56&gt;0,SUM($D$18:X18),0)</f>
        <v>0</v>
      </c>
      <c r="Z58" s="115">
        <f>IF(Z56&gt;0,SUM($D$18:Y18),0)</f>
        <v>0</v>
      </c>
      <c r="AA58" s="115">
        <f>IF(AA56&gt;0,SUM($D$18:Z18),0)</f>
        <v>0</v>
      </c>
      <c r="AB58" s="115">
        <f>IF(AB56&gt;0,SUM($D$18:AA18),0)</f>
        <v>0</v>
      </c>
      <c r="AC58" s="115">
        <f>IF(AC56&gt;0,SUM($D$18:AB18),0)</f>
        <v>0</v>
      </c>
      <c r="AD58" s="115">
        <f>IF(AD56&gt;0,SUM($D$18:AC18),0)</f>
        <v>0</v>
      </c>
      <c r="AE58" s="115">
        <f>IF(AE56&gt;0,SUM($D$18:AD18),0)</f>
        <v>0</v>
      </c>
      <c r="AF58" s="115">
        <f>IF(AF56&gt;0,SUM($D$18:AE18),0)</f>
        <v>0</v>
      </c>
      <c r="AG58" s="115">
        <f>IF(AG56&gt;0,SUM($D$18:AF18),0)</f>
        <v>0</v>
      </c>
      <c r="AH58" s="115">
        <f>IF(AH56&gt;0,SUM($D$18:AG18),0)</f>
        <v>0</v>
      </c>
      <c r="AI58" s="115">
        <f>IF(AI56&gt;0,SUM($D$18:AH18),0)</f>
        <v>0</v>
      </c>
      <c r="AJ58" s="115">
        <f>IF(AJ56&gt;0,SUM($D$18:AI18),0)</f>
        <v>0</v>
      </c>
      <c r="AK58" s="115">
        <f>IF(AK56&gt;0,SUM($D$18:AJ18),0)</f>
        <v>0</v>
      </c>
      <c r="AL58" s="115">
        <f>IF(AL56&gt;0,SUM($D$18:AK18),0)</f>
        <v>0</v>
      </c>
      <c r="AM58" s="115">
        <f>IF(AM56&gt;0,SUM($D$18:AL18),0)</f>
        <v>0</v>
      </c>
      <c r="AN58" s="115">
        <f>IF(AN56&gt;0,SUM($D$18:AM18),0)</f>
        <v>0</v>
      </c>
      <c r="AO58" s="115">
        <f>IF(AO56&gt;0,SUM($D$18:AN18),0)</f>
        <v>0</v>
      </c>
      <c r="AP58" s="115">
        <f>IF(AP56&gt;0,SUM($D$18:AO18),0)</f>
        <v>0</v>
      </c>
      <c r="AQ58" s="115">
        <f>IF(AQ56&gt;0,SUM($D$18:AP18),0)</f>
        <v>0</v>
      </c>
      <c r="AR58" s="115">
        <f>IF(AR56&gt;0,SUM($D$18:AQ18),0)</f>
        <v>0</v>
      </c>
      <c r="AS58" s="115">
        <f>IF(AS56&gt;0,SUM($D$18:AR18),0)</f>
        <v>0</v>
      </c>
      <c r="AT58" s="115">
        <f>IF(AT56&gt;0,SUM($D$18:AS18),0)</f>
        <v>0</v>
      </c>
      <c r="AU58" s="115">
        <f>IF(AU56&gt;0,SUM($D$18:AT18),0)</f>
        <v>0</v>
      </c>
      <c r="AV58" s="115">
        <f>IF(AV56&gt;0,SUM($D$18:AU18),0)</f>
        <v>0</v>
      </c>
      <c r="AW58" s="115">
        <f>IF(AW56&gt;0,SUM($D$18:AV18),0)</f>
        <v>0</v>
      </c>
      <c r="AX58" s="115">
        <f>IF(AX56&gt;0,SUM($D$18:AW18),0)</f>
        <v>0</v>
      </c>
      <c r="AY58" s="115">
        <f>IF(AY56&gt;0,SUM($D$18:AX18),0)</f>
        <v>0</v>
      </c>
      <c r="AZ58" s="115">
        <f>IF(AZ56&gt;0,SUM($D$18:AY18),0)</f>
        <v>0</v>
      </c>
      <c r="BA58" s="115">
        <f>IF(BA56&gt;0,SUM($D$18:AZ18),0)</f>
        <v>0</v>
      </c>
      <c r="BB58" s="115">
        <f>IF(BB56&gt;0,SUM($D$18:BA18),0)</f>
        <v>0</v>
      </c>
      <c r="BC58" s="115">
        <f>IF(BC56&gt;0,SUM($D$18:BB18),0)</f>
        <v>0</v>
      </c>
      <c r="BD58" s="115">
        <f>IF(BD56&gt;0,SUM($D$18:BC18),0)</f>
        <v>0</v>
      </c>
      <c r="BE58" s="115">
        <f>IF(BE56&gt;0,SUM($D$18:BD18),0)</f>
        <v>0</v>
      </c>
      <c r="BF58" s="115">
        <f>IF(BF56&gt;0,SUM($D$18:BE18),0)</f>
        <v>0</v>
      </c>
      <c r="BG58" s="115">
        <f>IF(BG56&gt;0,SUM($D$18:BF18),0)</f>
        <v>0</v>
      </c>
      <c r="BH58" s="115">
        <f>IF(BH56&gt;0,SUM($D$18:BG18),0)</f>
        <v>0</v>
      </c>
      <c r="BI58" s="115">
        <f>IF(BI56&gt;0,SUM($D$18:BH18),0)</f>
        <v>0</v>
      </c>
      <c r="BJ58" s="115">
        <f>IF(BJ56&gt;0,SUM($D$18:BI18),0)</f>
        <v>0</v>
      </c>
      <c r="BK58" s="115">
        <f>IF(BK56&gt;0,SUM($D$18:BJ18),0)</f>
        <v>0</v>
      </c>
      <c r="BL58" s="115">
        <f>IF(BL56&gt;0,SUM($D$18:BK18),0)</f>
        <v>0</v>
      </c>
      <c r="BM58" s="115">
        <f>IF(BM56&gt;0,SUM($D$18:BL18),0)</f>
        <v>0</v>
      </c>
      <c r="BN58" s="115">
        <f>IF(BN56&gt;0,SUM($D$18:BM18),0)</f>
        <v>0</v>
      </c>
      <c r="BO58" s="115">
        <f>IF(BO56&gt;0,SUM($D$18:BN18),0)</f>
        <v>0</v>
      </c>
      <c r="BP58" s="115">
        <f>IF(BP56&gt;0,SUM($D$18:BO18),0)</f>
        <v>0</v>
      </c>
      <c r="BQ58" s="115">
        <f>IF(BQ56&gt;0,SUM($D$18:BP18),0)</f>
        <v>0</v>
      </c>
      <c r="BR58" s="115">
        <f>IF(BR56&gt;0,SUM($D$18:BQ18),0)</f>
        <v>0</v>
      </c>
      <c r="BS58" s="115">
        <f>IF(BS56&gt;0,SUM($D$18:BR18),0)</f>
        <v>0</v>
      </c>
      <c r="BT58" s="115">
        <f>IF(BT56&gt;0,SUM($D$18:BS18),0)</f>
        <v>0</v>
      </c>
      <c r="BU58" s="115">
        <f>IF(BU56&gt;0,SUM($D$18:BT18),0)</f>
        <v>0</v>
      </c>
      <c r="BV58" s="115">
        <f>IF(BV56&gt;0,SUM($D$18:BU18),0)</f>
        <v>0</v>
      </c>
      <c r="BW58" s="115">
        <f>IF(BW56&gt;0,SUM($D$18:BV18),0)</f>
        <v>0</v>
      </c>
      <c r="BX58" s="115">
        <f>IF(BX56&gt;0,SUM($D$18:BW18),0)</f>
        <v>0</v>
      </c>
      <c r="BY58" s="115">
        <f>IF(BY56&gt;0,SUM($D$18:BX18),0)</f>
        <v>0</v>
      </c>
      <c r="BZ58" s="115">
        <f>IF(BZ56&gt;0,SUM($D$18:BY18),0)</f>
        <v>0</v>
      </c>
      <c r="CA58" s="115">
        <f>IF(CA56&gt;0,SUM($D$18:BZ18),0)</f>
        <v>0</v>
      </c>
      <c r="CB58" s="115">
        <f>IF(CB56&gt;0,SUM($D$18:CA18),0)</f>
        <v>0</v>
      </c>
      <c r="CC58" s="115">
        <f>IF(CC56&gt;0,SUM($D$18:CB18),0)</f>
        <v>0</v>
      </c>
      <c r="CD58" s="115">
        <f>IF(CD56&gt;0,SUM($D$18:CC18),0)</f>
        <v>0</v>
      </c>
      <c r="CE58" s="115">
        <f>IF(CE56&gt;0,SUM($D$18:CD18),0)</f>
        <v>0</v>
      </c>
      <c r="CF58" s="115">
        <f>IF(CF56&gt;0,SUM($D$18:CE18),0)</f>
        <v>0</v>
      </c>
      <c r="CG58" s="115">
        <f>IF(CG56&gt;0,SUM($D$18:CF18),0)</f>
        <v>0</v>
      </c>
      <c r="CH58" s="115">
        <f>IF(CH56&gt;0,SUM($D$18:CG18),0)</f>
        <v>0</v>
      </c>
      <c r="CI58" s="115">
        <f>IF(CI56&gt;0,SUM($D$18:CH18),0)</f>
        <v>0</v>
      </c>
      <c r="CJ58" s="115">
        <f>IF(CJ56&gt;0,SUM($D$18:CI18),0)</f>
        <v>0</v>
      </c>
      <c r="CK58" s="115">
        <f>IF(CK56&gt;0,SUM($D$18:CJ18),0)</f>
        <v>0</v>
      </c>
      <c r="CL58" s="115">
        <f>IF(CL56&gt;0,SUM($D$18:CK18),0)</f>
        <v>0</v>
      </c>
      <c r="CM58" s="115">
        <f>IF(CM56&gt;0,SUM($D$18:CL18),0)</f>
        <v>0</v>
      </c>
      <c r="CN58" s="115">
        <f>IF(CN56&gt;0,SUM($D$18:CM18),0)</f>
        <v>0</v>
      </c>
      <c r="CO58" s="115">
        <f>IF(CO56&gt;0,SUM($D$18:CN18),0)</f>
        <v>0</v>
      </c>
      <c r="CP58" s="115">
        <f>IF(CP56&gt;0,SUM($D$18:CO18),0)</f>
        <v>0</v>
      </c>
      <c r="CQ58" s="115">
        <f>IF(CQ56&gt;0,SUM($D$18:CP18),0)</f>
        <v>0</v>
      </c>
      <c r="CR58" s="115">
        <f>IF(CR56&gt;0,SUM($D$18:CQ18),0)</f>
        <v>0</v>
      </c>
      <c r="CS58" s="115">
        <f>IF(CS56&gt;0,SUM($D$18:CR18),0)</f>
        <v>0</v>
      </c>
      <c r="CT58" s="115">
        <f>IF(CT56&gt;0,SUM($D$18:CS18),0)</f>
        <v>0</v>
      </c>
      <c r="CU58" s="115">
        <f>IF(CU56&gt;0,SUM($D$18:CT18),0)</f>
        <v>0</v>
      </c>
      <c r="CV58" s="115">
        <f>IF(CV56&gt;0,SUM($D$18:CU18),0)</f>
        <v>0</v>
      </c>
      <c r="CW58" s="115">
        <f>IF(CW56&gt;0,SUM($D$18:CV18),0)</f>
        <v>0</v>
      </c>
      <c r="CX58" s="115">
        <f>IF(CX56&gt;0,SUM($D$18:CW18),0)</f>
        <v>0</v>
      </c>
      <c r="CY58" s="115">
        <f>IF(CY56&gt;0,SUM($D$18:CX18),0)</f>
        <v>0</v>
      </c>
      <c r="CZ58" s="115">
        <f>IF(CZ56&gt;0,SUM($D$18:CY18),0)</f>
        <v>0</v>
      </c>
      <c r="DA58" s="115">
        <f>IF(DA56&gt;0,SUM($D$18:CZ18),0)</f>
        <v>0</v>
      </c>
      <c r="DB58" s="115">
        <f>IF(DB56&gt;0,SUM($D$18:DA18),0)</f>
        <v>0</v>
      </c>
      <c r="DC58" s="115">
        <f>IF(DC56&gt;0,SUM($D$18:DB18),0)</f>
        <v>0</v>
      </c>
      <c r="DD58" s="115">
        <f>IF(DD56&gt;0,SUM($D$18:DC18),0)</f>
        <v>0</v>
      </c>
      <c r="DE58" s="115">
        <f>IF(DE56&gt;0,SUM($D$18:DD18),0)</f>
        <v>0</v>
      </c>
      <c r="DF58" s="115">
        <f>IF(DF56&gt;0,SUM($D$18:DE18),0)</f>
        <v>0</v>
      </c>
      <c r="DG58" s="115">
        <f>IF(DG56&gt;0,SUM($D$18:DF18),0)</f>
        <v>0</v>
      </c>
      <c r="DH58" s="115">
        <f>IF(DH56&gt;0,SUM($D$18:DG18),0)</f>
        <v>0</v>
      </c>
      <c r="DI58" s="115">
        <f>IF(DI56&gt;0,SUM($D$18:DH18),0)</f>
        <v>0</v>
      </c>
      <c r="DJ58" s="115">
        <f>IF(DJ56&gt;0,SUM($D$18:DI18),0)</f>
        <v>0</v>
      </c>
      <c r="DK58" s="115">
        <f>IF(DK56&gt;0,SUM($D$18:DJ18),0)</f>
        <v>0</v>
      </c>
      <c r="DL58" s="115">
        <f>IF(DL56&gt;0,SUM($D$18:DK18),0)</f>
        <v>0</v>
      </c>
      <c r="DM58" s="115">
        <f>IF(DM56&gt;0,SUM($D$18:DL18),0)</f>
        <v>0</v>
      </c>
      <c r="DN58" s="115">
        <f>IF(DN56&gt;0,SUM($D$18:DM18),0)</f>
        <v>0</v>
      </c>
      <c r="DO58" s="115">
        <f>IF(DO56&gt;0,SUM($D$18:DN18),0)</f>
        <v>0</v>
      </c>
      <c r="DP58" s="115">
        <f>IF(DP56&gt;0,SUM($D$18:DO18),0)</f>
        <v>0</v>
      </c>
      <c r="DQ58" s="115">
        <f>IF(DQ56&gt;0,SUM($D$18:DP18),0)</f>
        <v>0</v>
      </c>
      <c r="DR58" s="115">
        <f>IF(DR56&gt;0,SUM($D$18:DQ18),0)</f>
        <v>0</v>
      </c>
      <c r="DS58" s="115">
        <f>IF(DS56&gt;0,SUM($D$18:DR18),0)</f>
        <v>0</v>
      </c>
      <c r="DT58" s="115">
        <f>IF(DT56&gt;0,SUM($D$18:DS18),0)</f>
        <v>0</v>
      </c>
      <c r="DU58" s="115">
        <f>IF(DU56&gt;0,SUM($D$18:DT18),0)</f>
        <v>0</v>
      </c>
      <c r="DV58" s="115">
        <f>IF(DV56&gt;0,SUM($D$18:DU18),0)</f>
        <v>0</v>
      </c>
      <c r="DW58" s="115">
        <f>IF(DW56&gt;0,SUM($D$18:DV18),0)</f>
        <v>0</v>
      </c>
      <c r="DX58" s="115">
        <f>IF(DX56&gt;0,SUM($D$18:DW18),0)</f>
        <v>0</v>
      </c>
      <c r="DY58" s="115">
        <f>IF(DY56&gt;0,SUM($D$18:DX18),0)</f>
        <v>0</v>
      </c>
      <c r="DZ58" s="115">
        <f>IF(DZ56&gt;0,SUM($D$18:DY18),0)</f>
        <v>0</v>
      </c>
      <c r="EA58" s="115">
        <f>IF(EA56&gt;0,SUM($D$18:DZ18),0)</f>
        <v>0</v>
      </c>
      <c r="EB58" s="115">
        <f>IF(EB56&gt;0,SUM($D$18:EA18),0)</f>
        <v>0</v>
      </c>
      <c r="EC58" s="115">
        <f>IF(EC56&gt;0,SUM($D$18:EB18),0)</f>
        <v>0</v>
      </c>
      <c r="ED58" s="115">
        <f>IF(ED56&gt;0,SUM($D$18:EC18),0)</f>
        <v>0</v>
      </c>
      <c r="EE58" s="115">
        <f>IF(EE56&gt;0,SUM($D$18:ED18),0)</f>
        <v>0</v>
      </c>
      <c r="EF58" s="115">
        <f>IF(EF56&gt;0,SUM($D$18:EE18),0)</f>
        <v>0</v>
      </c>
      <c r="EG58" s="115">
        <f>IF(EG56&gt;0,SUM($D$18:EF18),0)</f>
        <v>0</v>
      </c>
      <c r="EH58" s="115">
        <f>IF(EH56&gt;0,SUM($D$18:EG18),0)</f>
        <v>0</v>
      </c>
      <c r="EI58" s="115">
        <f>IF(EI56&gt;0,SUM($D$18:EH18),0)</f>
        <v>0</v>
      </c>
      <c r="EJ58" s="115">
        <f>IF(EJ56&gt;0,SUM($D$18:EI18),0)</f>
        <v>0</v>
      </c>
      <c r="EK58" s="115">
        <f>IF(EK56&gt;0,SUM($D$18:EJ18),0)</f>
        <v>0</v>
      </c>
      <c r="EL58" s="115">
        <f>IF(EL56&gt;0,SUM($D$18:EK18),0)</f>
        <v>0</v>
      </c>
      <c r="EM58" s="115">
        <f>IF(EM56&gt;0,SUM($D$18:EL18),0)</f>
        <v>0</v>
      </c>
      <c r="EN58" s="115">
        <f>IF(EN56&gt;0,SUM($D$18:EM18),0)</f>
        <v>0</v>
      </c>
      <c r="EO58" s="115">
        <f>IF(EO56&gt;0,SUM($D$18:EN18),0)</f>
        <v>0</v>
      </c>
      <c r="EP58" s="115">
        <f>IF(EP56&gt;0,SUM($D$18:EO18),0)</f>
        <v>0</v>
      </c>
      <c r="EQ58" s="115">
        <f>IF(EQ56&gt;0,SUM($D$18:EP18),0)</f>
        <v>0</v>
      </c>
      <c r="ER58" s="115">
        <f>IF(ER56&gt;0,SUM($D$18:EQ18),0)</f>
        <v>0</v>
      </c>
      <c r="ES58" s="115">
        <f>IF(ES56&gt;0,SUM($D$18:ER18),0)</f>
        <v>0</v>
      </c>
      <c r="ET58" s="115">
        <f>IF(ET56&gt;0,SUM($D$18:ES18),0)</f>
        <v>0</v>
      </c>
      <c r="EU58" s="115">
        <f>IF(EU56&gt;0,SUM($D$18:ET18),0)</f>
        <v>0</v>
      </c>
      <c r="EV58" s="115">
        <f>IF(EV56&gt;0,SUM($D$18:EU18),0)</f>
        <v>0</v>
      </c>
      <c r="EW58" s="115">
        <f>IF(EW56&gt;0,SUM($D$18:EV18),0)</f>
        <v>0</v>
      </c>
      <c r="EX58" s="115">
        <f>IF(EX56&gt;0,SUM($D$18:EW18),0)</f>
        <v>0</v>
      </c>
      <c r="EY58" s="115">
        <f>IF(EY56&gt;0,SUM($D$18:EX18),0)</f>
        <v>0</v>
      </c>
      <c r="EZ58" s="115">
        <f>IF(EZ56&gt;0,SUM($D$18:EY18),0)</f>
        <v>0</v>
      </c>
      <c r="FA58" s="115">
        <f>IF(FA56&gt;0,SUM($D$18:EZ18),0)</f>
        <v>0</v>
      </c>
      <c r="FB58" s="115">
        <f>IF(FB56&gt;0,SUM($D$18:FA18),0)</f>
        <v>0</v>
      </c>
      <c r="FC58" s="115">
        <f>IF(FC56&gt;0,SUM($D$18:FB18),0)</f>
        <v>0</v>
      </c>
      <c r="FD58" s="115">
        <f>IF(FD56&gt;0,SUM($D$18:FC18),0)</f>
        <v>0</v>
      </c>
      <c r="FE58" s="115">
        <f>IF(FE56&gt;0,SUM($D$18:FD18),0)</f>
        <v>0</v>
      </c>
      <c r="FF58" s="115">
        <f>IF(FF56&gt;0,SUM($D$18:FE18),0)</f>
        <v>0</v>
      </c>
      <c r="FG58" s="115">
        <f>IF(FG56&gt;0,SUM($D$18:FF18),0)</f>
        <v>0</v>
      </c>
      <c r="FH58" s="115">
        <f>IF(FH56&gt;0,SUM($D$18:FG18),0)</f>
        <v>0</v>
      </c>
      <c r="FI58" s="115">
        <f>IF(FI56&gt;0,SUM($D$18:FH18),0)</f>
        <v>0</v>
      </c>
      <c r="FJ58" s="115">
        <f>IF(FJ56&gt;0,SUM($D$18:FI18),0)</f>
        <v>0</v>
      </c>
      <c r="FK58" s="115">
        <f>IF(FK56&gt;0,SUM($D$18:FJ18),0)</f>
        <v>0</v>
      </c>
      <c r="FL58" s="115">
        <f>IF(FL56&gt;0,SUM($D$18:FK18),0)</f>
        <v>0</v>
      </c>
      <c r="FM58" s="115">
        <f>IF(FM56&gt;0,SUM($D$18:FL18),0)</f>
        <v>0</v>
      </c>
      <c r="FN58" s="115">
        <f>IF(FN56&gt;0,SUM($D$18:FM18),0)</f>
        <v>0</v>
      </c>
      <c r="FO58" s="115">
        <f>IF(FO56&gt;0,SUM($D$18:FN18),0)</f>
        <v>0</v>
      </c>
      <c r="FP58" s="115">
        <f>IF(FP56&gt;0,SUM($D$18:FO18),0)</f>
        <v>0</v>
      </c>
      <c r="FQ58" s="115">
        <f>IF(FQ56&gt;0,SUM($D$18:FP18),0)</f>
        <v>0</v>
      </c>
      <c r="FR58" s="115">
        <f>IF(FR56&gt;0,SUM($D$18:FQ18),0)</f>
        <v>0</v>
      </c>
      <c r="FS58" s="115">
        <f>IF(FS56&gt;0,SUM($D$18:FR18),0)</f>
        <v>0</v>
      </c>
      <c r="FT58" s="115">
        <f>IF(FT56&gt;0,SUM($D$18:FS18),0)</f>
        <v>0</v>
      </c>
      <c r="FU58" s="115">
        <f>IF(FU56&gt;0,SUM($D$18:FT18),0)</f>
        <v>0</v>
      </c>
      <c r="FV58" s="115">
        <f>IF(FV56&gt;0,SUM($D$18:FU18),0)</f>
        <v>0</v>
      </c>
      <c r="FW58" s="115">
        <f>IF(FW56&gt;0,SUM($D$18:FV18),0)</f>
        <v>0</v>
      </c>
      <c r="FX58" s="115">
        <f>IF(FX56&gt;0,SUM($D$18:FW18),0)</f>
        <v>0</v>
      </c>
      <c r="FY58" s="115">
        <f>IF(FY56&gt;0,SUM($D$18:FX18),0)</f>
        <v>0</v>
      </c>
      <c r="FZ58" s="115">
        <f>IF(FZ56&gt;0,SUM($D$18:FY18),0)</f>
        <v>0</v>
      </c>
      <c r="GA58" s="115">
        <f>IF(GA56&gt;0,SUM($D$18:FZ18),0)</f>
        <v>0</v>
      </c>
      <c r="GB58" s="115">
        <f>IF(GB56&gt;0,SUM($D$18:GA18),0)</f>
        <v>0</v>
      </c>
      <c r="GC58" s="115">
        <f>IF(GC56&gt;0,SUM($D$18:GB18),0)</f>
        <v>0</v>
      </c>
      <c r="GD58" s="115">
        <f>IF(GD56&gt;0,SUM($D$18:GC18),0)</f>
        <v>0</v>
      </c>
      <c r="GE58" s="115">
        <f>IF(GE56&gt;0,SUM($D$18:GD18),0)</f>
        <v>0</v>
      </c>
      <c r="GF58" s="115">
        <f>IF(GF56&gt;0,SUM($D$18:GE18),0)</f>
        <v>0</v>
      </c>
      <c r="GG58" s="115">
        <f>IF(GG56&gt;0,SUM($D$18:GF18),0)</f>
        <v>0</v>
      </c>
      <c r="GH58" s="115">
        <f>IF(GH56&gt;0,SUM($D$18:GG18),0)</f>
        <v>0</v>
      </c>
      <c r="GI58" s="115">
        <f>IF(GI56&gt;0,SUM($D$18:GH18),0)</f>
        <v>0</v>
      </c>
      <c r="GJ58" s="115">
        <f>IF(GJ56&gt;0,SUM($D$18:GI18),0)</f>
        <v>0</v>
      </c>
      <c r="GK58" s="115">
        <f>IF(GK56&gt;0,SUM($D$18:GJ18),0)</f>
        <v>0</v>
      </c>
      <c r="GL58" s="115">
        <f>IF(GL56&gt;0,SUM($D$18:GK18),0)</f>
        <v>0</v>
      </c>
      <c r="GM58" s="115">
        <f>IF(GM56&gt;0,SUM($D$18:GL18),0)</f>
        <v>0</v>
      </c>
      <c r="GN58" s="115">
        <f>IF(GN56&gt;0,SUM($D$18:GM18),0)</f>
        <v>0</v>
      </c>
      <c r="GO58" s="115">
        <f>IF(GO56&gt;0,SUM($D$18:GN18),0)</f>
        <v>0</v>
      </c>
      <c r="GP58" s="115">
        <f>IF(GP56&gt;0,SUM($D$18:GO18),0)</f>
        <v>0</v>
      </c>
      <c r="GQ58" s="115">
        <f>IF(GQ56&gt;0,SUM($D$18:GP18),0)</f>
        <v>0</v>
      </c>
      <c r="GR58" s="115">
        <f>IF(GR56&gt;0,SUM($D$18:GQ18),0)</f>
        <v>0</v>
      </c>
      <c r="GS58" s="115">
        <f>IF(GS56&gt;0,SUM($D$18:GR18),0)</f>
        <v>0</v>
      </c>
      <c r="GT58" s="115">
        <f>IF(GT56&gt;0,SUM($D$18:GS18),0)</f>
        <v>0</v>
      </c>
      <c r="GU58" s="115">
        <f>IF(GU56&gt;0,SUM($D$18:GT18),0)</f>
        <v>0</v>
      </c>
      <c r="GV58" s="115">
        <f>IF(GV56&gt;0,SUM($D$18:GU18),0)</f>
        <v>0</v>
      </c>
      <c r="GW58" s="115">
        <f>IF(GW56&gt;0,SUM($D$18:GV18),0)</f>
        <v>0</v>
      </c>
      <c r="GX58" s="115">
        <f>IF(GX56&gt;0,SUM($D$18:GW18),0)</f>
        <v>0</v>
      </c>
      <c r="GY58" s="115">
        <f>IF(GY56&gt;0,SUM($D$18:GX18),0)</f>
        <v>0</v>
      </c>
      <c r="GZ58" s="115">
        <f>IF(GZ56&gt;0,SUM($D$18:GY18),0)</f>
        <v>0</v>
      </c>
      <c r="HA58" s="115">
        <f>IF(HA56&gt;0,SUM($D$18:GZ18),0)</f>
        <v>0</v>
      </c>
      <c r="HB58" s="115">
        <f>IF(HB56&gt;0,SUM($D$18:HA18),0)</f>
        <v>0</v>
      </c>
      <c r="HC58" s="115">
        <f>IF(HC56&gt;0,SUM($D$18:HB18),0)</f>
        <v>0</v>
      </c>
      <c r="HD58" s="115">
        <f>IF(HD56&gt;0,SUM($D$18:HC18),0)</f>
        <v>0</v>
      </c>
      <c r="HE58" s="115">
        <f>IF(HE56&gt;0,SUM($D$18:HD18),0)</f>
        <v>0</v>
      </c>
      <c r="HF58" s="115">
        <f>IF(HF56&gt;0,SUM($D$18:HE18),0)</f>
        <v>0</v>
      </c>
      <c r="HG58" s="115">
        <f>IF(HG56&gt;0,SUM($D$18:HF18),0)</f>
        <v>0</v>
      </c>
      <c r="HH58" s="115">
        <f>IF(HH56&gt;0,SUM($D$18:HG18),0)</f>
        <v>0</v>
      </c>
      <c r="HI58" s="115">
        <f>IF(HI56&gt;0,SUM($D$18:HH18),0)</f>
        <v>0</v>
      </c>
      <c r="HJ58" s="115">
        <f>IF(HJ56&gt;0,SUM($D$18:HI18),0)</f>
        <v>0</v>
      </c>
      <c r="HK58" s="115">
        <f>IF(HK56&gt;0,SUM($D$18:HJ18),0)</f>
        <v>0</v>
      </c>
      <c r="HL58" s="115">
        <f>IF(HL56&gt;0,SUM($D$18:HK18),0)</f>
        <v>0</v>
      </c>
      <c r="HM58" s="115">
        <f>IF(HM56&gt;0,SUM($D$18:HL18),0)</f>
        <v>0</v>
      </c>
      <c r="HN58" s="115">
        <f>IF(HN56&gt;0,SUM($D$18:HM18),0)</f>
        <v>0</v>
      </c>
      <c r="HO58" s="115">
        <f>IF(HO56&gt;0,SUM($D$18:HN18),0)</f>
        <v>0</v>
      </c>
      <c r="HP58" s="115">
        <f>IF(HP56&gt;0,SUM($D$18:HO18),0)</f>
        <v>0</v>
      </c>
      <c r="HQ58" s="115">
        <f>IF(HQ56&gt;0,SUM($D$18:HP18),0)</f>
        <v>0</v>
      </c>
      <c r="HR58" s="115">
        <f>IF(HR56&gt;0,SUM($D$18:HQ18),0)</f>
        <v>0</v>
      </c>
      <c r="HS58" s="115">
        <f>IF(HS56&gt;0,SUM($D$18:HR18),0)</f>
        <v>0</v>
      </c>
      <c r="HT58" s="115">
        <f>IF(HT56&gt;0,SUM($D$18:HS18),0)</f>
        <v>0</v>
      </c>
      <c r="HU58" s="115">
        <f>IF(HU56&gt;0,SUM($D$18:HT18),0)</f>
        <v>0</v>
      </c>
      <c r="HV58" s="115">
        <f>IF(HV56&gt;0,SUM($D$18:HU18),0)</f>
        <v>0</v>
      </c>
      <c r="HW58" s="115">
        <f>IF(HW56&gt;0,SUM($D$18:HV18),0)</f>
        <v>0</v>
      </c>
      <c r="HX58" s="115">
        <f>IF(HX56&gt;0,SUM($D$18:HW18),0)</f>
        <v>0</v>
      </c>
      <c r="HY58" s="115">
        <f>IF(HY56&gt;0,SUM($D$18:HX18),0)</f>
        <v>0</v>
      </c>
      <c r="HZ58" s="115">
        <f>IF(HZ56&gt;0,SUM($D$18:HY18),0)</f>
        <v>0</v>
      </c>
      <c r="IA58" s="115">
        <f>IF(IA56&gt;0,SUM($D$18:HZ18),0)</f>
        <v>0</v>
      </c>
      <c r="IB58" s="115">
        <f>IF(IB56&gt;0,SUM($D$18:IA18),0)</f>
        <v>0</v>
      </c>
      <c r="IC58" s="115">
        <f>IF(IC56&gt;0,SUM($D$18:IB18),0)</f>
        <v>0</v>
      </c>
      <c r="ID58" s="115">
        <f>IF(ID56&gt;0,SUM($D$18:IC18),0)</f>
        <v>0</v>
      </c>
      <c r="IE58" s="115">
        <f>IF(IE56&gt;0,SUM($D$18:ID18),0)</f>
        <v>0</v>
      </c>
      <c r="IF58" s="115">
        <f>IF(IF56&gt;0,SUM($D$18:IE18),0)</f>
        <v>0</v>
      </c>
      <c r="IG58" s="115">
        <f>IF(IG56&gt;0,SUM($D$18:IF18),0)</f>
        <v>0</v>
      </c>
      <c r="IH58" s="115">
        <f>IF(IH56&gt;0,SUM($D$18:IG18),0)</f>
        <v>0</v>
      </c>
      <c r="II58" s="115">
        <f>IF(II56&gt;0,SUM($D$18:IH18),0)</f>
        <v>0</v>
      </c>
      <c r="IJ58" s="115">
        <f>IF(IJ56&gt;0,SUM($D$18:II18),0)</f>
        <v>0</v>
      </c>
      <c r="IK58" s="115">
        <f>IF(IK56&gt;0,SUM($D$18:IJ18),0)</f>
        <v>0</v>
      </c>
      <c r="IL58" s="115">
        <f>IF(IL56&gt;0,SUM($D$18:IK18),0)</f>
        <v>0</v>
      </c>
      <c r="IM58" s="115">
        <f>IF(IM56&gt;0,SUM($D$18:IL18),0)</f>
        <v>0</v>
      </c>
      <c r="IN58" s="115">
        <f>IF(IN56&gt;0,SUM($D$18:IM18),0)</f>
        <v>0</v>
      </c>
      <c r="IO58" s="115">
        <f>IF(IO56&gt;0,SUM($D$18:IN18),0)</f>
        <v>0</v>
      </c>
      <c r="IP58" s="115">
        <f>IF(IP56&gt;0,SUM($D$18:IO18),0)</f>
        <v>0</v>
      </c>
      <c r="IQ58" s="115">
        <f>IF(IQ56&gt;0,SUM($D$18:IP18),0)</f>
        <v>0</v>
      </c>
      <c r="IR58" s="115">
        <f>IF(IR56&gt;0,SUM($D$18:IQ18),0)</f>
        <v>0</v>
      </c>
      <c r="IS58" s="115">
        <f>IF(IS56&gt;0,SUM($D$18:IR18),0)</f>
        <v>0</v>
      </c>
      <c r="IT58" s="115">
        <f>IF(IT56&gt;0,SUM($D$18:IS18),0)</f>
        <v>0</v>
      </c>
      <c r="IU58" s="115">
        <f>IF(IU56&gt;0,SUM($D$18:IT18),0)</f>
        <v>0</v>
      </c>
      <c r="IV58" s="115">
        <f>IF(IV56&gt;0,SUM($D$18:IU18),0)</f>
        <v>0</v>
      </c>
      <c r="IW58" s="115">
        <f>IF(IW56&gt;0,SUM($D$18:IV18),0)</f>
        <v>0</v>
      </c>
      <c r="IX58" s="115">
        <f>IF(IX56&gt;0,SUM($D$18:IW18),0)</f>
        <v>0</v>
      </c>
      <c r="IY58" s="115">
        <f>IF(IY56&gt;0,SUM($D$18:IX18),0)</f>
        <v>0</v>
      </c>
      <c r="IZ58" s="115">
        <f>IF(IZ56&gt;0,SUM($D$18:IY18),0)</f>
        <v>0</v>
      </c>
      <c r="JA58" s="115">
        <f>IF(JA56&gt;0,SUM($D$18:IZ18),0)</f>
        <v>0</v>
      </c>
      <c r="JB58" s="115">
        <f>IF(JB56&gt;0,SUM($D$18:JA18),0)</f>
        <v>0</v>
      </c>
      <c r="JC58" s="115">
        <f>IF(JC56&gt;0,SUM($D$18:JB18),0)</f>
        <v>0</v>
      </c>
      <c r="JD58" s="115">
        <f>IF(JD56&gt;0,SUM($D$18:JC18),0)</f>
        <v>0</v>
      </c>
      <c r="JE58" s="115">
        <f>IF(JE56&gt;0,SUM($D$18:JD18),0)</f>
        <v>0</v>
      </c>
      <c r="JF58" s="115">
        <f>IF(JF56&gt;0,SUM($D$18:JE18),0)</f>
        <v>0</v>
      </c>
      <c r="JG58" s="115">
        <f>IF(JG56&gt;0,SUM($D$18:JF18),0)</f>
        <v>0</v>
      </c>
      <c r="JH58" s="115">
        <f>IF(JH56&gt;0,SUM($D$18:JG18),0)</f>
        <v>0</v>
      </c>
      <c r="JI58" s="115">
        <f>IF(JI56&gt;0,SUM($D$18:JH18),0)</f>
        <v>0</v>
      </c>
      <c r="JJ58" s="115">
        <f>IF(JJ56&gt;0,SUM($D$18:JI18),0)</f>
        <v>0</v>
      </c>
      <c r="JK58" s="115">
        <f>IF(JK56&gt;0,SUM($D$18:JJ18),0)</f>
        <v>0</v>
      </c>
      <c r="JL58" s="115">
        <f>IF(JL56&gt;0,SUM($D$18:JK18),0)</f>
        <v>0</v>
      </c>
      <c r="JM58" s="115">
        <f>IF(JM56&gt;0,SUM($D$18:JL18),0)</f>
        <v>0</v>
      </c>
      <c r="JN58" s="115">
        <f>IF(JN56&gt;0,SUM($D$18:JM18),0)</f>
        <v>0</v>
      </c>
      <c r="JO58" s="115">
        <f>IF(JO56&gt;0,SUM($D$18:JN18),0)</f>
        <v>0</v>
      </c>
      <c r="JP58" s="115">
        <f>IF(JP56&gt;0,SUM($D$18:JO18),0)</f>
        <v>0</v>
      </c>
      <c r="JQ58" s="115">
        <f>IF(JQ56&gt;0,SUM($D$18:JP18),0)</f>
        <v>0</v>
      </c>
      <c r="JR58" s="115">
        <f>IF(JR56&gt;0,SUM($D$18:JQ18),0)</f>
        <v>0</v>
      </c>
      <c r="JS58" s="115">
        <f>IF(JS56&gt;0,SUM($D$18:JR18),0)</f>
        <v>0</v>
      </c>
      <c r="JT58" s="115">
        <f>IF(JT56&gt;0,SUM($D$18:JS18),0)</f>
        <v>0</v>
      </c>
      <c r="JU58" s="115">
        <f>IF(JU56&gt;0,SUM($D$18:JT18),0)</f>
        <v>0</v>
      </c>
      <c r="JV58" s="115">
        <f>IF(JV56&gt;0,SUM($D$18:JU18),0)</f>
        <v>0</v>
      </c>
      <c r="JW58" s="115">
        <f>IF(JW56&gt;0,SUM($D$18:JV18),0)</f>
        <v>0</v>
      </c>
      <c r="JX58" s="115">
        <f>IF(JX56&gt;0,SUM($D$18:JW18),0)</f>
        <v>0</v>
      </c>
      <c r="JY58" s="115">
        <f>IF(JY56&gt;0,SUM($D$18:JX18),0)</f>
        <v>0</v>
      </c>
      <c r="JZ58" s="115">
        <f>IF(JZ56&gt;0,SUM($D$18:JY18),0)</f>
        <v>0</v>
      </c>
      <c r="KA58" s="115">
        <f>IF(KA56&gt;0,SUM($D$18:JZ18),0)</f>
        <v>0</v>
      </c>
      <c r="KB58" s="115">
        <f>IF(KB56&gt;0,SUM($D$18:KA18),0)</f>
        <v>0</v>
      </c>
      <c r="KC58" s="115">
        <f>IF(KC56&gt;0,SUM($D$18:KB18),0)</f>
        <v>0</v>
      </c>
      <c r="KD58" s="115">
        <f>IF(KD56&gt;0,SUM($D$18:KC18),0)</f>
        <v>0</v>
      </c>
      <c r="KE58" s="115">
        <f>IF(KE56&gt;0,SUM($D$18:KD18),0)</f>
        <v>0</v>
      </c>
      <c r="KF58" s="115">
        <f>IF(KF56&gt;0,SUM($D$18:KE18),0)</f>
        <v>0</v>
      </c>
      <c r="KG58" s="115">
        <f>IF(KG56&gt;0,SUM($D$18:KF18),0)</f>
        <v>0</v>
      </c>
      <c r="KH58" s="115">
        <f>IF(KH56&gt;0,SUM($D$18:KG18),0)</f>
        <v>0</v>
      </c>
      <c r="KI58" s="115">
        <f>IF(KI56&gt;0,SUM($D$18:KH18),0)</f>
        <v>0</v>
      </c>
      <c r="KJ58" s="115">
        <f>IF(KJ56&gt;0,SUM($D$18:KI18),0)</f>
        <v>0</v>
      </c>
      <c r="KK58" s="115">
        <f>IF(KK56&gt;0,SUM($D$18:KJ18),0)</f>
        <v>0</v>
      </c>
      <c r="KL58" s="115">
        <f>IF(KL56&gt;0,SUM($D$18:KK18),0)</f>
        <v>0</v>
      </c>
      <c r="KM58" s="115">
        <f>IF(KM56&gt;0,SUM($D$18:KL18),0)</f>
        <v>0</v>
      </c>
      <c r="KN58" s="115">
        <f>IF(KN56&gt;0,SUM($D$18:KM18),0)</f>
        <v>0</v>
      </c>
      <c r="KO58" s="115">
        <f>IF(KO56&gt;0,SUM($D$18:KN18),0)</f>
        <v>0</v>
      </c>
      <c r="KP58" s="115">
        <f>IF(KP56&gt;0,SUM($D$18:KO18),0)</f>
        <v>0</v>
      </c>
      <c r="KQ58" s="115">
        <f>IF(KQ56&gt;0,SUM($D$18:KP18),0)</f>
        <v>0</v>
      </c>
      <c r="KR58" s="115">
        <f>IF(KR56&gt;0,SUM($D$18:KQ18),0)</f>
        <v>0</v>
      </c>
      <c r="KS58" s="115">
        <f>IF(KS56&gt;0,SUM($D$18:KR18),0)</f>
        <v>0</v>
      </c>
      <c r="KT58" s="115">
        <f>IF(KT56&gt;0,SUM($D$18:KS18),0)</f>
        <v>0</v>
      </c>
      <c r="KU58" s="115">
        <f>IF(KU56&gt;0,SUM($D$18:KT18),0)</f>
        <v>0</v>
      </c>
      <c r="KV58" s="115">
        <f>IF(KV56&gt;0,SUM($D$18:KU18),0)</f>
        <v>0</v>
      </c>
      <c r="KW58" s="115">
        <f>IF(KW56&gt;0,SUM($D$18:KV18),0)</f>
        <v>0</v>
      </c>
      <c r="KX58" s="115">
        <f>IF(KX56&gt;0,SUM($D$18:KW18),0)</f>
        <v>0</v>
      </c>
      <c r="KY58" s="115">
        <f>IF(KY56&gt;0,SUM($D$18:KX18),0)</f>
        <v>0</v>
      </c>
      <c r="KZ58" s="115">
        <f>IF(KZ56&gt;0,SUM($D$18:KY18),0)</f>
        <v>0</v>
      </c>
      <c r="LA58" s="115">
        <f>IF(LA56&gt;0,SUM($D$18:KZ18),0)</f>
        <v>0</v>
      </c>
      <c r="LB58" s="115">
        <f>IF(LB56&gt;0,SUM($D$18:LA18),0)</f>
        <v>0</v>
      </c>
      <c r="LC58" s="115">
        <f>IF(LC56&gt;0,SUM($D$18:LB18),0)</f>
        <v>0</v>
      </c>
      <c r="LD58" s="115">
        <f>IF(LD56&gt;0,SUM($D$18:LC18),0)</f>
        <v>0</v>
      </c>
      <c r="LE58" s="115">
        <f>IF(LE56&gt;0,SUM($D$18:LD18),0)</f>
        <v>0</v>
      </c>
      <c r="LF58" s="115">
        <f>IF(LF56&gt;0,SUM($D$18:LE18),0)</f>
        <v>0</v>
      </c>
      <c r="LG58" s="115">
        <f>IF(LG56&gt;0,SUM($D$18:LF18),0)</f>
        <v>0</v>
      </c>
      <c r="LH58" s="115">
        <f>IF(LH56&gt;0,SUM($D$18:LG18),0)</f>
        <v>0</v>
      </c>
      <c r="LI58" s="115">
        <f>IF(LI56&gt;0,SUM($D$18:LH18),0)</f>
        <v>0</v>
      </c>
      <c r="LJ58" s="115">
        <f>IF(LJ56&gt;0,SUM($D$18:LI18),0)</f>
        <v>0</v>
      </c>
      <c r="LK58" s="115">
        <f>IF(LK56&gt;0,SUM($D$18:LJ18),0)</f>
        <v>0</v>
      </c>
      <c r="LL58" s="115">
        <f>IF(LL56&gt;0,SUM($D$18:LK18),0)</f>
        <v>0</v>
      </c>
      <c r="LM58" s="115">
        <f>IF(LM56&gt;0,SUM($D$18:LL18),0)</f>
        <v>0</v>
      </c>
      <c r="LN58" s="115">
        <f>IF(LN56&gt;0,SUM($D$18:LM18),0)</f>
        <v>0</v>
      </c>
      <c r="LO58" s="115">
        <f>IF(LO56&gt;0,SUM($D$18:LN18),0)</f>
        <v>0</v>
      </c>
      <c r="LP58" s="115">
        <f>IF(LP56&gt;0,SUM($D$18:LO18),0)</f>
        <v>0</v>
      </c>
      <c r="LQ58" s="115">
        <f>IF(LQ56&gt;0,SUM($D$18:LP18),0)</f>
        <v>0</v>
      </c>
      <c r="LR58" s="115">
        <f>IF(LR56&gt;0,SUM($D$18:LQ18),0)</f>
        <v>0</v>
      </c>
      <c r="LS58" s="115">
        <f>IF(LS56&gt;0,SUM($D$18:LR18),0)</f>
        <v>0</v>
      </c>
      <c r="LT58" s="115">
        <f>IF(LT56&gt;0,SUM($D$18:LS18),0)</f>
        <v>0</v>
      </c>
      <c r="LU58" s="115">
        <f>IF(LU56&gt;0,SUM($D$18:LT18),0)</f>
        <v>0</v>
      </c>
      <c r="LV58" s="115">
        <f>IF(LV56&gt;0,SUM($D$18:LU18),0)</f>
        <v>0</v>
      </c>
      <c r="LW58" s="115">
        <f>IF(LW56&gt;0,SUM($D$18:LV18),0)</f>
        <v>0</v>
      </c>
      <c r="LX58" s="115">
        <f>IF(LX56&gt;0,SUM($D$18:LW18),0)</f>
        <v>0</v>
      </c>
      <c r="LY58" s="115">
        <f>IF(LY56&gt;0,SUM($D$18:LX18),0)</f>
        <v>0</v>
      </c>
      <c r="LZ58" s="115">
        <f>IF(LZ56&gt;0,SUM($D$18:LY18),0)</f>
        <v>0</v>
      </c>
      <c r="MA58" s="115">
        <f>IF(MA56&gt;0,SUM($D$18:LZ18),0)</f>
        <v>0</v>
      </c>
      <c r="MB58" s="115">
        <f>IF(MB56&gt;0,SUM($D$18:MA18),0)</f>
        <v>0</v>
      </c>
      <c r="MC58" s="115">
        <f>IF(MC56&gt;0,SUM($D$18:MB18),0)</f>
        <v>0</v>
      </c>
      <c r="MD58" s="115">
        <f>IF(MD56&gt;0,SUM($D$18:MC18),0)</f>
        <v>0</v>
      </c>
      <c r="ME58" s="115">
        <f>IF(ME56&gt;0,SUM($D$18:MD18),0)</f>
        <v>0</v>
      </c>
      <c r="MF58" s="115">
        <f>IF(MF56&gt;0,SUM($D$18:ME18),0)</f>
        <v>0</v>
      </c>
      <c r="MG58" s="115">
        <f>IF(MG56&gt;0,SUM($D$18:MF18),0)</f>
        <v>0</v>
      </c>
      <c r="MH58" s="115">
        <f>IF(MH56&gt;0,SUM($D$18:MG18),0)</f>
        <v>0</v>
      </c>
      <c r="MI58" s="115">
        <f>IF(MI56&gt;0,SUM($D$18:MH18),0)</f>
        <v>0</v>
      </c>
      <c r="MJ58" s="115">
        <f>IF(MJ56&gt;0,SUM($D$18:MI18),0)</f>
        <v>0</v>
      </c>
      <c r="MK58" s="115">
        <f>IF(MK56&gt;0,SUM($D$18:MJ18),0)</f>
        <v>0</v>
      </c>
      <c r="ML58" s="115">
        <f>IF(ML56&gt;0,SUM($D$18:MK18),0)</f>
        <v>0</v>
      </c>
      <c r="MM58" s="115">
        <f>IF(MM56&gt;0,SUM($D$18:ML18),0)</f>
        <v>0</v>
      </c>
      <c r="MN58" s="115">
        <f>IF(MN56&gt;0,SUM($D$18:MM18),0)</f>
        <v>0</v>
      </c>
      <c r="MO58" s="115">
        <f>IF(MO56&gt;0,SUM($D$18:MN18),0)</f>
        <v>0</v>
      </c>
      <c r="MP58" s="115">
        <f>IF(MP56&gt;0,SUM($D$18:MO18),0)</f>
        <v>0</v>
      </c>
      <c r="MQ58" s="115">
        <f>IF(MQ56&gt;0,SUM($D$18:MP18),0)</f>
        <v>0</v>
      </c>
      <c r="MR58" s="115">
        <f>IF(MR56&gt;0,SUM($D$18:MQ18),0)</f>
        <v>0</v>
      </c>
      <c r="MS58" s="115">
        <f>IF(MS56&gt;0,SUM($D$18:MR18),0)</f>
        <v>0</v>
      </c>
      <c r="MT58" s="115">
        <f>IF(MT56&gt;0,SUM($D$18:MS18),0)</f>
        <v>0</v>
      </c>
      <c r="MU58" s="115">
        <f>IF(MU56&gt;0,SUM($D$18:MT18),0)</f>
        <v>0</v>
      </c>
      <c r="MV58" s="115">
        <f>IF(MV56&gt;0,SUM($D$18:MU18),0)</f>
        <v>0</v>
      </c>
      <c r="MW58" s="115">
        <f>IF(MW56&gt;0,SUM($D$18:MV18),0)</f>
        <v>0</v>
      </c>
      <c r="MX58" s="115">
        <f>IF(MX56&gt;0,SUM($D$18:MW18),0)</f>
        <v>0</v>
      </c>
      <c r="MY58" s="115">
        <f>IF(MY56&gt;0,SUM($D$18:MX18),0)</f>
        <v>0</v>
      </c>
      <c r="MZ58" s="115">
        <f>IF(MZ56&gt;0,SUM($D$18:MY18),0)</f>
        <v>0</v>
      </c>
      <c r="NA58" s="115">
        <f>IF(NA56&gt;0,SUM($D$18:MZ18),0)</f>
        <v>0</v>
      </c>
      <c r="NB58" s="115">
        <f>IF(NB56&gt;0,SUM($D$18:NA18),0)</f>
        <v>0</v>
      </c>
      <c r="NC58" s="115">
        <f>IF(NC56&gt;0,SUM($D$18:NB18),0)</f>
        <v>0</v>
      </c>
      <c r="ND58" s="115">
        <f>IF(ND56&gt;0,SUM($D$18:NC18),0)</f>
        <v>0</v>
      </c>
      <c r="NE58" s="115">
        <f>IF(NE56&gt;0,SUM($D$18:ND18),0)</f>
        <v>0</v>
      </c>
      <c r="NF58" s="115">
        <f>IF(NF56&gt;0,SUM($D$18:NE18),0)</f>
        <v>0</v>
      </c>
      <c r="NG58" s="115">
        <f>IF(NG56&gt;0,SUM($D$18:NF18),0)</f>
        <v>0</v>
      </c>
      <c r="NH58" s="115">
        <f>IF(NH56&gt;0,SUM($D$18:NG18),0)</f>
        <v>0</v>
      </c>
      <c r="NI58" s="115">
        <f>IF(NI56&gt;0,SUM($D$18:NH18),0)</f>
        <v>0</v>
      </c>
      <c r="NJ58" s="115">
        <f>IF(NJ56&gt;0,SUM($D$18:NI18),0)</f>
        <v>0</v>
      </c>
      <c r="NK58" s="115">
        <f>IF(NK56&gt;0,SUM($D$18:NJ18),0)</f>
        <v>0</v>
      </c>
      <c r="NL58" s="115">
        <f>IF(NL56&gt;0,SUM($D$18:NK18),0)</f>
        <v>0</v>
      </c>
      <c r="NM58" s="115">
        <f>IF(NM56&gt;0,SUM($D$18:NL18),0)</f>
        <v>0</v>
      </c>
      <c r="NN58" s="115">
        <f>IF(NN56&gt;0,SUM($D$18:NM18),0)</f>
        <v>0</v>
      </c>
      <c r="NO58" s="115">
        <f>IF(NO56&gt;0,SUM($D$18:NN18),0)</f>
        <v>0</v>
      </c>
      <c r="NP58" s="115">
        <f>IF(NP56&gt;0,SUM($D$18:NO18),0)</f>
        <v>0</v>
      </c>
      <c r="NQ58" s="115">
        <f>IF(NQ56&gt;0,SUM($D$18:NP18),0)</f>
        <v>0</v>
      </c>
      <c r="NR58" s="115">
        <f>IF(NR56&gt;0,SUM($D$18:NQ18),0)</f>
        <v>0</v>
      </c>
      <c r="NS58" s="115">
        <f>IF(NS56&gt;0,SUM($D$18:NR18),0)</f>
        <v>0</v>
      </c>
      <c r="NT58" s="115">
        <f>IF(NT56&gt;0,SUM($D$18:NS18),0)</f>
        <v>0</v>
      </c>
      <c r="NU58" s="115">
        <f>IF(NU56&gt;0,SUM($D$18:NT18),0)</f>
        <v>0</v>
      </c>
      <c r="NV58" s="115">
        <f>IF(NV56&gt;0,SUM($D$18:NU18),0)</f>
        <v>0</v>
      </c>
      <c r="NW58" s="115">
        <f>IF(NW56&gt;0,SUM($D$18:NV18),0)</f>
        <v>0</v>
      </c>
      <c r="NX58" s="115">
        <f>IF(NX56&gt;0,SUM($D$18:NW18),0)</f>
        <v>0</v>
      </c>
      <c r="NY58" s="115">
        <f>IF(NY56&gt;0,SUM($D$18:NX18),0)</f>
        <v>0</v>
      </c>
      <c r="NZ58" s="115">
        <f>IF(NZ56&gt;0,SUM($D$18:NY18),0)</f>
        <v>0</v>
      </c>
      <c r="OA58" s="115">
        <f>IF(OA56&gt;0,SUM($D$18:NZ18),0)</f>
        <v>0</v>
      </c>
      <c r="OB58" s="115">
        <f>IF(OB56&gt;0,SUM($D$18:OA18),0)</f>
        <v>0</v>
      </c>
      <c r="OC58" s="115">
        <f>IF(OC56&gt;0,SUM($D$18:OB18),0)</f>
        <v>0</v>
      </c>
      <c r="OD58" s="115">
        <f>IF(OD56&gt;0,SUM($D$18:OC18),0)</f>
        <v>0</v>
      </c>
      <c r="OE58" s="115">
        <f>IF(OE56&gt;0,SUM($D$18:OD18),0)</f>
        <v>0</v>
      </c>
      <c r="OF58" s="115">
        <f>IF(OF56&gt;0,SUM($D$18:OE18),0)</f>
        <v>0</v>
      </c>
      <c r="OG58" s="115">
        <f>IF(OG56&gt;0,SUM($D$18:OF18),0)</f>
        <v>0</v>
      </c>
      <c r="OH58" s="115">
        <f>IF(OH56&gt;0,SUM($D$18:OG18),0)</f>
        <v>0</v>
      </c>
      <c r="OI58" s="115">
        <f>IF(OI56&gt;0,SUM($D$18:OH18),0)</f>
        <v>0</v>
      </c>
      <c r="OJ58" s="115">
        <f>IF(OJ56&gt;0,SUM($D$18:OI18),0)</f>
        <v>0</v>
      </c>
      <c r="OK58" s="115">
        <f>IF(OK56&gt;0,SUM($D$18:OJ18),0)</f>
        <v>0</v>
      </c>
      <c r="OL58" s="115">
        <f>IF(OL56&gt;0,SUM($D$18:OK18),0)</f>
        <v>0</v>
      </c>
      <c r="OM58" s="115">
        <f>IF(OM56&gt;0,SUM($D$18:OL18),0)</f>
        <v>0</v>
      </c>
      <c r="ON58" s="115">
        <f>IF(ON56&gt;0,SUM($D$18:OM18),0)</f>
        <v>0</v>
      </c>
      <c r="OO58" s="115">
        <f>IF(OO56&gt;0,SUM($D$18:ON18),0)</f>
        <v>0</v>
      </c>
      <c r="OP58" s="115">
        <f>IF(OP56&gt;0,SUM($D$18:OO18),0)</f>
        <v>0</v>
      </c>
      <c r="OQ58" s="115">
        <f>IF(OQ56&gt;0,SUM($D$18:OP18),0)</f>
        <v>0</v>
      </c>
      <c r="OR58" s="115">
        <f>IF(OR56&gt;0,SUM($D$18:OQ18),0)</f>
        <v>0</v>
      </c>
      <c r="OS58" s="115">
        <f>IF(OS56&gt;0,SUM($D$18:OR18),0)</f>
        <v>0</v>
      </c>
      <c r="OT58" s="115">
        <f>IF(OT56&gt;0,SUM($D$18:OS18),0)</f>
        <v>0</v>
      </c>
      <c r="OU58" s="115">
        <f>IF(OU56&gt;0,SUM($D$18:OT18),0)</f>
        <v>0</v>
      </c>
      <c r="OV58" s="115">
        <f>IF(OV56&gt;0,SUM($D$18:OU18),0)</f>
        <v>0</v>
      </c>
      <c r="OW58" s="115">
        <f>IF(OW56&gt;0,SUM($D$18:OV18),0)</f>
        <v>0</v>
      </c>
      <c r="OX58" s="115">
        <f>IF(OX56&gt;0,SUM($D$18:OW18),0)</f>
        <v>0</v>
      </c>
      <c r="OY58" s="115">
        <f>IF(OY56&gt;0,SUM($D$18:OX18),0)</f>
        <v>0</v>
      </c>
      <c r="OZ58" s="115">
        <f>IF(OZ56&gt;0,SUM($D$18:OY18),0)</f>
        <v>0</v>
      </c>
      <c r="PA58" s="115">
        <f>IF(PA56&gt;0,SUM($D$18:OZ18),0)</f>
        <v>0</v>
      </c>
      <c r="PB58" s="115">
        <f>IF(PB56&gt;0,SUM($D$18:PA18),0)</f>
        <v>0</v>
      </c>
      <c r="PC58" s="115">
        <f>IF(PC56&gt;0,SUM($D$18:PB18),0)</f>
        <v>0</v>
      </c>
      <c r="PD58" s="115">
        <f>IF(PD56&gt;0,SUM($D$18:PC18),0)</f>
        <v>0</v>
      </c>
      <c r="PE58" s="115">
        <f>IF(PE56&gt;0,SUM($D$18:PD18),0)</f>
        <v>0</v>
      </c>
      <c r="PF58" s="115">
        <f>IF(PF56&gt;0,SUM($D$18:PE18),0)</f>
        <v>0</v>
      </c>
      <c r="PG58" s="115">
        <f>IF(PG56&gt;0,SUM($D$18:PF18),0)</f>
        <v>0</v>
      </c>
      <c r="PH58" s="115">
        <f>IF(PH56&gt;0,SUM($D$18:PG18),0)</f>
        <v>0</v>
      </c>
      <c r="PI58" s="115">
        <f>IF(PI56&gt;0,SUM($D$18:PH18),0)</f>
        <v>0</v>
      </c>
      <c r="PJ58" s="115">
        <f>IF(PJ56&gt;0,SUM($D$18:PI18),0)</f>
        <v>0</v>
      </c>
      <c r="PK58" s="115">
        <f>IF(PK56&gt;0,SUM($D$18:PJ18),0)</f>
        <v>0</v>
      </c>
      <c r="PL58" s="115">
        <f>IF(PL56&gt;0,SUM($D$18:PK18),0)</f>
        <v>0</v>
      </c>
      <c r="PM58" s="115">
        <f>IF(PM56&gt;0,SUM($D$18:PL18),0)</f>
        <v>0</v>
      </c>
      <c r="PN58" s="115">
        <f>IF(PN56&gt;0,SUM($D$18:PM18),0)</f>
        <v>0</v>
      </c>
      <c r="PO58" s="115">
        <f>IF(PO56&gt;0,SUM($D$18:PN18),0)</f>
        <v>0</v>
      </c>
      <c r="PP58" s="115">
        <f>IF(PP56&gt;0,SUM($D$18:PO18),0)</f>
        <v>0</v>
      </c>
      <c r="PQ58" s="115">
        <f>IF(PQ56&gt;0,SUM($D$18:PP18),0)</f>
        <v>0</v>
      </c>
      <c r="PR58" s="115">
        <f>IF(PR56&gt;0,SUM($D$18:PQ18),0)</f>
        <v>0</v>
      </c>
      <c r="PS58" s="115">
        <f>IF(PS56&gt;0,SUM($D$18:PR18),0)</f>
        <v>0</v>
      </c>
      <c r="PT58" s="115">
        <f>IF(PT56&gt;0,SUM($D$18:PS18),0)</f>
        <v>0</v>
      </c>
      <c r="PU58" s="115">
        <f>IF(PU56&gt;0,SUM($D$18:PT18),0)</f>
        <v>0</v>
      </c>
      <c r="PV58" s="115">
        <f>IF(PV56&gt;0,SUM($D$18:PU18),0)</f>
        <v>0</v>
      </c>
      <c r="PW58" s="115">
        <f>IF(PW56&gt;0,SUM($D$18:PV18),0)</f>
        <v>0</v>
      </c>
      <c r="PX58" s="115">
        <f>IF(PX56&gt;0,SUM($D$18:PW18),0)</f>
        <v>0</v>
      </c>
      <c r="PY58" s="115">
        <f>IF(PY56&gt;0,SUM($D$18:PX18),0)</f>
        <v>0</v>
      </c>
      <c r="PZ58" s="115">
        <f>IF(PZ56&gt;0,SUM($D$18:PY18),0)</f>
        <v>0</v>
      </c>
      <c r="QA58" s="115">
        <f>IF(QA56&gt;0,SUM($D$18:PZ18),0)</f>
        <v>0</v>
      </c>
      <c r="QB58" s="115">
        <f>IF(QB56&gt;0,SUM($D$18:QA18),0)</f>
        <v>0</v>
      </c>
      <c r="QC58" s="115">
        <f>IF(QC56&gt;0,SUM($D$18:QB18),0)</f>
        <v>0</v>
      </c>
      <c r="QD58" s="115">
        <f>IF(QD56&gt;0,SUM($D$18:QC18),0)</f>
        <v>0</v>
      </c>
      <c r="QE58" s="115">
        <f>IF(QE56&gt;0,SUM($D$18:QD18),0)</f>
        <v>0</v>
      </c>
      <c r="QF58" s="115">
        <f>IF(QF56&gt;0,SUM($D$18:QE18),0)</f>
        <v>0</v>
      </c>
      <c r="QG58" s="115">
        <f>IF(QG56&gt;0,SUM($D$18:QF18),0)</f>
        <v>0</v>
      </c>
      <c r="QH58" s="115">
        <f>IF(QH56&gt;0,SUM($D$18:QG18),0)</f>
        <v>0</v>
      </c>
      <c r="QI58" s="115">
        <f>IF(QI56&gt;0,SUM($D$18:QH18),0)</f>
        <v>0</v>
      </c>
      <c r="QJ58" s="115">
        <f>IF(QJ56&gt;0,SUM($D$18:QI18),0)</f>
        <v>0</v>
      </c>
      <c r="QK58" s="115">
        <f>IF(QK56&gt;0,SUM($D$18:QJ18),0)</f>
        <v>0</v>
      </c>
      <c r="QL58" s="115">
        <f>IF(QL56&gt;0,SUM($D$18:QK18),0)</f>
        <v>0</v>
      </c>
      <c r="QM58" s="115">
        <f>IF(QM56&gt;0,SUM($D$18:QL18),0)</f>
        <v>0</v>
      </c>
      <c r="QN58" s="115">
        <f>IF(QN56&gt;0,SUM($D$18:QM18),0)</f>
        <v>0</v>
      </c>
      <c r="QO58" s="115">
        <f>IF(QO56&gt;0,SUM($D$18:QN18),0)</f>
        <v>0</v>
      </c>
      <c r="QP58" s="115">
        <f>IF(QP56&gt;0,SUM($D$18:QO18),0)</f>
        <v>0</v>
      </c>
      <c r="QQ58" s="115">
        <f>IF(QQ56&gt;0,SUM($D$18:QP18),0)</f>
        <v>0</v>
      </c>
      <c r="QR58" s="115">
        <f>IF(QR56&gt;0,SUM($D$18:QQ18),0)</f>
        <v>0</v>
      </c>
      <c r="QS58" s="115">
        <f>IF(QS56&gt;0,SUM($D$18:QR18),0)</f>
        <v>0</v>
      </c>
      <c r="QT58" s="115">
        <f>IF(QT56&gt;0,SUM($D$18:QS18),0)</f>
        <v>0</v>
      </c>
      <c r="QU58" s="115">
        <f>IF(QU56&gt;0,SUM($D$18:QT18),0)</f>
        <v>0</v>
      </c>
      <c r="QV58" s="115">
        <f>IF(QV56&gt;0,SUM($D$18:QU18),0)</f>
        <v>0</v>
      </c>
      <c r="QW58" s="115">
        <f>IF(QW56&gt;0,SUM($D$18:QV18),0)</f>
        <v>0</v>
      </c>
      <c r="QX58" s="115">
        <f>IF(QX56&gt;0,SUM($D$18:QW18),0)</f>
        <v>0</v>
      </c>
      <c r="QY58" s="115">
        <f>IF(QY56&gt;0,SUM($D$18:QX18),0)</f>
        <v>0</v>
      </c>
      <c r="QZ58" s="115">
        <f>IF(QZ56&gt;0,SUM($D$18:QY18),0)</f>
        <v>0</v>
      </c>
      <c r="RA58" s="115">
        <f>IF(RA56&gt;0,SUM($D$18:QZ18),0)</f>
        <v>0</v>
      </c>
      <c r="RB58" s="115">
        <f>IF(RB56&gt;0,SUM($D$18:RA18),0)</f>
        <v>0</v>
      </c>
      <c r="RC58" s="115">
        <f>IF(RC56&gt;0,SUM($D$18:RB18),0)</f>
        <v>0</v>
      </c>
      <c r="RD58" s="115">
        <f>IF(RD56&gt;0,SUM($D$18:RC18),0)</f>
        <v>0</v>
      </c>
      <c r="RE58" s="115">
        <f>IF(RE56&gt;0,SUM($D$18:RD18),0)</f>
        <v>0</v>
      </c>
      <c r="RF58" s="115">
        <f>IF(RF56&gt;0,SUM($D$18:RE18),0)</f>
        <v>0</v>
      </c>
      <c r="RG58" s="115">
        <f>IF(RG56&gt;0,SUM($D$18:RF18),0)</f>
        <v>0</v>
      </c>
      <c r="RH58" s="115">
        <f>IF(RH56&gt;0,SUM($D$18:RG18),0)</f>
        <v>0</v>
      </c>
      <c r="RI58" s="115">
        <f>IF(RI56&gt;0,SUM($D$18:RH18),0)</f>
        <v>0</v>
      </c>
      <c r="RJ58" s="115">
        <f>IF(RJ56&gt;0,SUM($D$18:RI18),0)</f>
        <v>0</v>
      </c>
      <c r="RK58" s="115">
        <f>IF(RK56&gt;0,SUM($D$18:RJ18),0)</f>
        <v>0</v>
      </c>
      <c r="RL58" s="115">
        <f>IF(RL56&gt;0,SUM($D$18:RK18),0)</f>
        <v>0</v>
      </c>
      <c r="RM58" s="115">
        <f>IF(RM56&gt;0,SUM($D$18:RL18),0)</f>
        <v>0</v>
      </c>
      <c r="RN58" s="115">
        <f>IF(RN56&gt;0,SUM($D$18:RM18),0)</f>
        <v>0</v>
      </c>
      <c r="RO58" s="115">
        <f>IF(RO56&gt;0,SUM($D$18:RN18),0)</f>
        <v>0</v>
      </c>
      <c r="RP58" s="115">
        <f>IF(RP56&gt;0,SUM($D$18:RO18),0)</f>
        <v>0</v>
      </c>
      <c r="RQ58" s="115">
        <f>IF(RQ56&gt;0,SUM($D$18:RP18),0)</f>
        <v>0</v>
      </c>
      <c r="RR58" s="115">
        <f>IF(RR56&gt;0,SUM($D$18:RQ18),0)</f>
        <v>0</v>
      </c>
      <c r="RS58" s="115">
        <f>IF(RS56&gt;0,SUM($D$18:RR18),0)</f>
        <v>0</v>
      </c>
      <c r="RT58" s="115">
        <f>IF(RT56&gt;0,SUM($D$18:RS18),0)</f>
        <v>0</v>
      </c>
      <c r="RU58" s="115">
        <f>IF(RU56&gt;0,SUM($D$18:RT18),0)</f>
        <v>0</v>
      </c>
      <c r="RV58" s="115">
        <f>IF(RV56&gt;0,SUM($D$18:RU18),0)</f>
        <v>0</v>
      </c>
      <c r="RW58" s="115">
        <f>IF(RW56&gt;0,SUM($D$18:RV18),0)</f>
        <v>0</v>
      </c>
      <c r="RX58" s="115">
        <f>IF(RX56&gt;0,SUM($D$18:RW18),0)</f>
        <v>0</v>
      </c>
      <c r="RY58" s="115">
        <f>IF(RY56&gt;0,SUM($D$18:RX18),0)</f>
        <v>0</v>
      </c>
      <c r="RZ58" s="115">
        <f>IF(RZ56&gt;0,SUM($D$18:RY18),0)</f>
        <v>0</v>
      </c>
      <c r="SA58" s="115">
        <f>IF(SA56&gt;0,SUM($D$18:RZ18),0)</f>
        <v>0</v>
      </c>
      <c r="SB58" s="115">
        <f>IF(SB56&gt;0,SUM($D$18:SA18),0)</f>
        <v>0</v>
      </c>
      <c r="SC58" s="115">
        <f>IF(SC56&gt;0,SUM($D$18:SB18),0)</f>
        <v>0</v>
      </c>
      <c r="SD58" s="115">
        <f>IF(SD56&gt;0,SUM($D$18:SC18),0)</f>
        <v>0</v>
      </c>
      <c r="SE58" s="115">
        <f>IF(SE56&gt;0,SUM($D$18:SD18),0)</f>
        <v>0</v>
      </c>
      <c r="SF58" s="115">
        <f>IF(SF56&gt;0,SUM($D$18:SE18),0)</f>
        <v>0</v>
      </c>
      <c r="SG58" s="115">
        <f>IF(SG56&gt;0,SUM($D$18:SF18),0)</f>
        <v>0</v>
      </c>
      <c r="SH58" s="115">
        <f>IF(SH56&gt;0,SUM($D$18:SG18),0)</f>
        <v>0</v>
      </c>
      <c r="SI58" s="115">
        <f>IF(SI56&gt;0,SUM($D$18:SH18),0)</f>
        <v>0</v>
      </c>
      <c r="SJ58" s="115">
        <f>IF(SJ56&gt;0,SUM($D$18:SI18),0)</f>
        <v>0</v>
      </c>
      <c r="SK58" s="115">
        <f>IF(SK56&gt;0,SUM($D$18:SJ18),0)</f>
        <v>0</v>
      </c>
      <c r="SL58" s="115">
        <f>IF(SL56&gt;0,SUM($D$18:SK18),0)</f>
        <v>0</v>
      </c>
      <c r="SM58" s="115">
        <f>IF(SM56&gt;0,SUM($D$18:SL18),0)</f>
        <v>0</v>
      </c>
      <c r="SN58" s="115">
        <f>IF(SN56&gt;0,SUM($D$18:SM18),0)</f>
        <v>0</v>
      </c>
      <c r="SO58" s="115">
        <f>IF(SO56&gt;0,SUM($D$18:SN18),0)</f>
        <v>0</v>
      </c>
      <c r="SP58" s="115">
        <f>IF(SP56&gt;0,SUM($D$18:SO18),0)</f>
        <v>0</v>
      </c>
      <c r="SQ58" s="115">
        <f>IF(SQ56&gt;0,SUM($D$18:SP18),0)</f>
        <v>0</v>
      </c>
      <c r="SR58" s="115">
        <f>IF(SR56&gt;0,SUM($D$18:SQ18),0)</f>
        <v>0</v>
      </c>
      <c r="SS58" s="115">
        <f>IF(SS56&gt;0,SUM($D$18:SR18),0)</f>
        <v>0</v>
      </c>
      <c r="ST58" s="115">
        <f>IF(ST56&gt;0,SUM($D$18:SS18),0)</f>
        <v>0</v>
      </c>
      <c r="SU58" s="115">
        <f>IF(SU56&gt;0,SUM($D$18:ST18),0)</f>
        <v>0</v>
      </c>
      <c r="SV58" s="115">
        <f>IF(SV56&gt;0,SUM($D$18:SU18),0)</f>
        <v>0</v>
      </c>
      <c r="SW58" s="115">
        <f>IF(SW56&gt;0,SUM($D$18:SV18),0)</f>
        <v>0</v>
      </c>
      <c r="SX58" s="115">
        <f>IF(SX56&gt;0,SUM($D$18:SW18),0)</f>
        <v>0</v>
      </c>
      <c r="SY58" s="115">
        <f>IF(SY56&gt;0,SUM($D$18:SX18),0)</f>
        <v>0</v>
      </c>
      <c r="SZ58" s="115">
        <f>IF(SZ56&gt;0,SUM($D$18:SY18),0)</f>
        <v>0</v>
      </c>
      <c r="TA58" s="115">
        <f>IF(TA56&gt;0,SUM($D$18:SZ18),0)</f>
        <v>0</v>
      </c>
      <c r="TB58" s="115">
        <f>IF(TB56&gt;0,SUM($D$18:TA18),0)</f>
        <v>0</v>
      </c>
      <c r="TC58" s="115">
        <f>IF(TC56&gt;0,SUM($D$18:TB18),0)</f>
        <v>0</v>
      </c>
      <c r="TD58" s="115">
        <f>IF(TD56&gt;0,SUM($D$18:TC18),0)</f>
        <v>0</v>
      </c>
      <c r="TE58" s="115">
        <f>IF(TE56&gt;0,SUM($D$18:TD18),0)</f>
        <v>0</v>
      </c>
      <c r="TF58" s="115">
        <f>IF(TF56&gt;0,SUM($D$18:TE18),0)</f>
        <v>0</v>
      </c>
      <c r="TG58" s="115">
        <f>IF(TG56&gt;0,SUM($D$18:TF18),0)</f>
        <v>0</v>
      </c>
      <c r="TH58" s="115">
        <f>IF(TH56&gt;0,SUM($D$18:TG18),0)</f>
        <v>0</v>
      </c>
      <c r="TI58" s="115">
        <f>IF(TI56&gt;0,SUM($D$18:TH18),0)</f>
        <v>0</v>
      </c>
      <c r="TJ58" s="115">
        <f>IF(TJ56&gt;0,SUM($D$18:TI18),0)</f>
        <v>0</v>
      </c>
      <c r="TK58" s="115">
        <f>IF(TK56&gt;0,SUM($D$18:TJ18),0)</f>
        <v>0</v>
      </c>
      <c r="TL58" s="115">
        <f>IF(TL56&gt;0,SUM($D$18:TK18),0)</f>
        <v>0</v>
      </c>
      <c r="TM58" s="115">
        <f>IF(TM56&gt;0,SUM($D$18:TL18),0)</f>
        <v>0</v>
      </c>
      <c r="TN58" s="115">
        <f>IF(TN56&gt;0,SUM($D$18:TM18),0)</f>
        <v>0</v>
      </c>
      <c r="TO58" s="115">
        <f>IF(TO56&gt;0,SUM($D$18:TN18),0)</f>
        <v>0</v>
      </c>
      <c r="TP58" s="115">
        <f>IF(TP56&gt;0,SUM($D$18:TO18),0)</f>
        <v>0</v>
      </c>
      <c r="TQ58" s="115">
        <f>IF(TQ56&gt;0,SUM($D$18:TP18),0)</f>
        <v>0</v>
      </c>
      <c r="TR58" s="115">
        <f>IF(TR56&gt;0,SUM($D$18:TQ18),0)</f>
        <v>0</v>
      </c>
      <c r="TS58" s="115">
        <f>IF(TS56&gt;0,SUM($D$18:TR18),0)</f>
        <v>0</v>
      </c>
      <c r="TT58" s="115">
        <f>IF(TT56&gt;0,SUM($D$18:TS18),0)</f>
        <v>0</v>
      </c>
      <c r="TU58" s="115">
        <f>IF(TU56&gt;0,SUM($D$18:TT18),0)</f>
        <v>0</v>
      </c>
      <c r="TV58" s="115">
        <f>IF(TV56&gt;0,SUM($D$18:TU18),0)</f>
        <v>0</v>
      </c>
      <c r="TW58" s="115">
        <f>IF(TW56&gt;0,SUM($D$18:TV18),0)</f>
        <v>0</v>
      </c>
      <c r="TX58" s="115">
        <f>IF(TX56&gt;0,SUM($D$18:TW18),0)</f>
        <v>0</v>
      </c>
      <c r="TY58" s="115">
        <f>IF(TY56&gt;0,SUM($D$18:TX18),0)</f>
        <v>0</v>
      </c>
      <c r="TZ58" s="115">
        <f>IF(TZ56&gt;0,SUM($D$18:TY18),0)</f>
        <v>0</v>
      </c>
      <c r="UA58" s="115">
        <f>IF(UA56&gt;0,SUM($D$18:TZ18),0)</f>
        <v>0</v>
      </c>
      <c r="UB58" s="115">
        <f>IF(UB56&gt;0,SUM($D$18:UA18),0)</f>
        <v>0</v>
      </c>
      <c r="UC58" s="115">
        <f>IF(UC56&gt;0,SUM($D$18:UB18),0)</f>
        <v>0</v>
      </c>
      <c r="UD58" s="115">
        <f>IF(UD56&gt;0,SUM($D$18:UC18),0)</f>
        <v>0</v>
      </c>
      <c r="UE58" s="115">
        <f>IF(UE56&gt;0,SUM($D$18:UD18),0)</f>
        <v>0</v>
      </c>
      <c r="UF58" s="115">
        <f>IF(UF56&gt;0,SUM($D$18:UE18),0)</f>
        <v>0</v>
      </c>
      <c r="UG58" s="115">
        <f>IF(UG56&gt;0,SUM($D$18:UF18),0)</f>
        <v>0</v>
      </c>
      <c r="UH58" s="115">
        <f>IF(UH56&gt;0,SUM($D$18:UG18),0)</f>
        <v>0</v>
      </c>
      <c r="UI58" s="115">
        <f>IF(UI56&gt;0,SUM($D$18:UH18),0)</f>
        <v>0</v>
      </c>
      <c r="UJ58" s="115">
        <f>IF(UJ56&gt;0,SUM($D$18:UI18),0)</f>
        <v>0</v>
      </c>
      <c r="UK58" s="115">
        <f>IF(UK56&gt;0,SUM($D$18:UJ18),0)</f>
        <v>0</v>
      </c>
      <c r="UL58" s="115">
        <f>IF(UL56&gt;0,SUM($D$18:UK18),0)</f>
        <v>0</v>
      </c>
      <c r="UM58" s="115">
        <f>IF(UM56&gt;0,SUM($D$18:UL18),0)</f>
        <v>0</v>
      </c>
      <c r="UN58" s="115">
        <f>IF(UN56&gt;0,SUM($D$18:UM18),0)</f>
        <v>0</v>
      </c>
      <c r="UO58" s="115">
        <f>IF(UO56&gt;0,SUM($D$18:UN18),0)</f>
        <v>0</v>
      </c>
      <c r="UP58" s="115">
        <f>IF(UP56&gt;0,SUM($D$18:UO18),0)</f>
        <v>0</v>
      </c>
      <c r="UQ58" s="115">
        <f>IF(UQ56&gt;0,SUM($D$18:UP18),0)</f>
        <v>0</v>
      </c>
      <c r="UR58" s="115">
        <f>IF(UR56&gt;0,SUM($D$18:UQ18),0)</f>
        <v>0</v>
      </c>
      <c r="US58" s="115">
        <f>IF(US56&gt;0,SUM($D$18:UR18),0)</f>
        <v>0</v>
      </c>
      <c r="UT58" s="115">
        <f>IF(UT56&gt;0,SUM($D$18:US18),0)</f>
        <v>0</v>
      </c>
      <c r="UU58" s="115">
        <f>IF(UU56&gt;0,SUM($D$18:UT18),0)</f>
        <v>0</v>
      </c>
      <c r="UV58" s="115">
        <f>IF(UV56&gt;0,SUM($D$18:UU18),0)</f>
        <v>0</v>
      </c>
      <c r="UW58" s="115">
        <f>IF(UW56&gt;0,SUM($D$18:UV18),0)</f>
        <v>0</v>
      </c>
      <c r="UX58" s="115">
        <f>IF(UX56&gt;0,SUM($D$18:UW18),0)</f>
        <v>0</v>
      </c>
      <c r="UY58" s="115">
        <f>IF(UY56&gt;0,SUM($D$18:UX18),0)</f>
        <v>0</v>
      </c>
      <c r="UZ58" s="115">
        <f>IF(UZ56&gt;0,SUM($D$18:UY18),0)</f>
        <v>0</v>
      </c>
      <c r="VA58" s="115">
        <f>IF(VA56&gt;0,SUM($D$18:UZ18),0)</f>
        <v>0</v>
      </c>
      <c r="VB58" s="115">
        <f>IF(VB56&gt;0,SUM($D$18:VA18),0)</f>
        <v>0</v>
      </c>
      <c r="VC58" s="115">
        <f>IF(VC56&gt;0,SUM($D$18:VB18),0)</f>
        <v>0</v>
      </c>
      <c r="VD58" s="115">
        <f>IF(VD56&gt;0,SUM($D$18:VC18),0)</f>
        <v>0</v>
      </c>
      <c r="VE58" s="115">
        <f>IF(VE56&gt;0,SUM($D$18:VD18),0)</f>
        <v>0</v>
      </c>
      <c r="VF58" s="115">
        <f>IF(VF56&gt;0,SUM($D$18:VE18),0)</f>
        <v>0</v>
      </c>
      <c r="VG58" s="115">
        <f>IF(VG56&gt;0,SUM($D$18:VF18),0)</f>
        <v>0</v>
      </c>
      <c r="VH58" s="115">
        <f>IF(VH56&gt;0,SUM($D$18:VG18),0)</f>
        <v>0</v>
      </c>
      <c r="VI58" s="115">
        <f>IF(VI56&gt;0,SUM($D$18:VH18),0)</f>
        <v>0</v>
      </c>
      <c r="VJ58" s="115">
        <f>IF(VJ56&gt;0,SUM($D$18:VI18),0)</f>
        <v>0</v>
      </c>
      <c r="VK58" s="115">
        <f>IF(VK56&gt;0,SUM($D$18:VJ18),0)</f>
        <v>0</v>
      </c>
      <c r="VL58" s="115">
        <f>IF(VL56&gt;0,SUM($D$18:VK18),0)</f>
        <v>0</v>
      </c>
      <c r="VM58" s="115">
        <f>IF(VM56&gt;0,SUM($D$18:VL18),0)</f>
        <v>0</v>
      </c>
      <c r="VN58" s="115">
        <f>IF(VN56&gt;0,SUM($D$18:VM18),0)</f>
        <v>0</v>
      </c>
      <c r="VO58" s="115">
        <f>IF(VO56&gt;0,SUM($D$18:VN18),0)</f>
        <v>0</v>
      </c>
      <c r="VP58" s="115">
        <f>IF(VP56&gt;0,SUM($D$18:VO18),0)</f>
        <v>0</v>
      </c>
      <c r="VQ58" s="115">
        <f>IF(VQ56&gt;0,SUM($D$18:VP18),0)</f>
        <v>0</v>
      </c>
      <c r="VR58" s="115">
        <f>IF(VR56&gt;0,SUM($D$18:VQ18),0)</f>
        <v>0</v>
      </c>
      <c r="VS58" s="115">
        <f>IF(VS56&gt;0,SUM($D$18:VR18),0)</f>
        <v>0</v>
      </c>
      <c r="VT58" s="115">
        <f>IF(VT56&gt;0,SUM($D$18:VS18),0)</f>
        <v>0</v>
      </c>
      <c r="VU58" s="115">
        <f>IF(VU56&gt;0,SUM($D$18:VT18),0)</f>
        <v>0</v>
      </c>
      <c r="VV58" s="115">
        <f>IF(VV56&gt;0,SUM($D$18:VU18),0)</f>
        <v>0</v>
      </c>
      <c r="VW58" s="115">
        <f>IF(VW56&gt;0,SUM($D$18:VV18),0)</f>
        <v>0</v>
      </c>
      <c r="VX58" s="115">
        <f>IF(VX56&gt;0,SUM($D$18:VW18),0)</f>
        <v>0</v>
      </c>
      <c r="VY58" s="115">
        <f>IF(VY56&gt;0,SUM($D$18:VX18),0)</f>
        <v>0</v>
      </c>
      <c r="VZ58" s="115">
        <f>IF(VZ56&gt;0,SUM($D$18:VY18),0)</f>
        <v>0</v>
      </c>
      <c r="WA58" s="115">
        <f>IF(WA56&gt;0,SUM($D$18:VZ18),0)</f>
        <v>0</v>
      </c>
      <c r="WB58" s="115">
        <f>IF(WB56&gt;0,SUM($D$18:WA18),0)</f>
        <v>0</v>
      </c>
      <c r="WC58" s="115">
        <f>IF(WC56&gt;0,SUM($D$18:WB18),0)</f>
        <v>0</v>
      </c>
      <c r="WD58" s="115">
        <f>IF(WD56&gt;0,SUM($D$18:WC18),0)</f>
        <v>0</v>
      </c>
      <c r="WE58" s="115">
        <f>IF(WE56&gt;0,SUM($D$18:WD18),0)</f>
        <v>0</v>
      </c>
      <c r="WF58" s="115">
        <f>IF(WF56&gt;0,SUM($D$18:WE18),0)</f>
        <v>0</v>
      </c>
      <c r="WG58" s="115">
        <f>IF(WG56&gt;0,SUM($D$18:WF18),0)</f>
        <v>0</v>
      </c>
      <c r="WH58" s="115">
        <f>IF(WH56&gt;0,SUM($D$18:WG18),0)</f>
        <v>0</v>
      </c>
      <c r="WI58" s="115">
        <f>IF(WI56&gt;0,SUM($D$18:WH18),0)</f>
        <v>0</v>
      </c>
      <c r="WJ58" s="115">
        <f>IF(WJ56&gt;0,SUM($D$18:WI18),0)</f>
        <v>0</v>
      </c>
      <c r="WK58" s="115">
        <f>IF(WK56&gt;0,SUM($D$18:WJ18),0)</f>
        <v>0</v>
      </c>
      <c r="WL58" s="115">
        <f>IF(WL56&gt;0,SUM($D$18:WK18),0)</f>
        <v>0</v>
      </c>
      <c r="WM58" s="115">
        <f>IF(WM56&gt;0,SUM($D$18:WL18),0)</f>
        <v>0</v>
      </c>
      <c r="WN58" s="115">
        <f>IF(WN56&gt;0,SUM($D$18:WM18),0)</f>
        <v>0</v>
      </c>
      <c r="WO58" s="115">
        <f>IF(WO56&gt;0,SUM($D$18:WN18),0)</f>
        <v>0</v>
      </c>
      <c r="WP58" s="115">
        <f>IF(WP56&gt;0,SUM($D$18:WO18),0)</f>
        <v>0</v>
      </c>
      <c r="WQ58" s="115">
        <f>IF(WQ56&gt;0,SUM($D$18:WP18),0)</f>
        <v>0</v>
      </c>
      <c r="WR58" s="115">
        <f>IF(WR56&gt;0,SUM($D$18:WQ18),0)</f>
        <v>0</v>
      </c>
      <c r="WS58" s="115">
        <f>IF(WS56&gt;0,SUM($D$18:WR18),0)</f>
        <v>0</v>
      </c>
      <c r="WT58" s="115">
        <f>IF(WT56&gt;0,SUM($D$18:WS18),0)</f>
        <v>0</v>
      </c>
      <c r="WU58" s="115">
        <f>IF(WU56&gt;0,SUM($D$18:WT18),0)</f>
        <v>0</v>
      </c>
      <c r="WV58" s="115">
        <f>IF(WV56&gt;0,SUM($D$18:WU18),0)</f>
        <v>0</v>
      </c>
      <c r="WW58" s="115">
        <f>IF(WW56&gt;0,SUM($D$18:WV18),0)</f>
        <v>0</v>
      </c>
      <c r="WX58" s="115">
        <f>IF(WX56&gt;0,SUM($D$18:WW18),0)</f>
        <v>0</v>
      </c>
      <c r="WY58" s="115">
        <f>IF(WY56&gt;0,SUM($D$18:WX18),0)</f>
        <v>0</v>
      </c>
      <c r="WZ58" s="115">
        <f>IF(WZ56&gt;0,SUM($D$18:WY18),0)</f>
        <v>0</v>
      </c>
      <c r="XA58" s="115">
        <f>IF(XA56&gt;0,SUM($D$18:WZ18),0)</f>
        <v>0</v>
      </c>
      <c r="XB58" s="115">
        <f>IF(XB56&gt;0,SUM($D$18:XA18),0)</f>
        <v>0</v>
      </c>
      <c r="XC58" s="115">
        <f>IF(XC56&gt;0,SUM($D$18:XB18),0)</f>
        <v>0</v>
      </c>
      <c r="XD58" s="115">
        <f>IF(XD56&gt;0,SUM($D$18:XC18),0)</f>
        <v>0</v>
      </c>
      <c r="XE58" s="115">
        <f>IF(XE56&gt;0,SUM($D$18:XD18),0)</f>
        <v>0</v>
      </c>
      <c r="XF58" s="115">
        <f>IF(XF56&gt;0,SUM($D$18:XE18),0)</f>
        <v>0</v>
      </c>
      <c r="XG58" s="115">
        <f>IF(XG56&gt;0,SUM($D$18:XF18),0)</f>
        <v>0</v>
      </c>
      <c r="XH58" s="115">
        <f>IF(XH56&gt;0,SUM($D$18:XG18),0)</f>
        <v>0</v>
      </c>
      <c r="XI58" s="115">
        <f>IF(XI56&gt;0,SUM($D$18:XH18),0)</f>
        <v>0</v>
      </c>
      <c r="XJ58" s="115">
        <f>IF(XJ56&gt;0,SUM($D$18:XI18),0)</f>
        <v>0</v>
      </c>
      <c r="XK58" s="115">
        <f>IF(XK56&gt;0,SUM($D$18:XJ18),0)</f>
        <v>0</v>
      </c>
      <c r="XL58" s="115">
        <f>IF(XL56&gt;0,SUM($D$18:XK18),0)</f>
        <v>0</v>
      </c>
      <c r="XM58" s="115">
        <f>IF(XM56&gt;0,SUM($D$18:XL18),0)</f>
        <v>0</v>
      </c>
      <c r="XN58" s="115">
        <f>IF(XN56&gt;0,SUM($D$18:XM18),0)</f>
        <v>0</v>
      </c>
      <c r="XO58" s="115">
        <f>IF(XO56&gt;0,SUM($D$18:XN18),0)</f>
        <v>0</v>
      </c>
      <c r="XP58" s="115">
        <f>IF(XP56&gt;0,SUM($D$18:XO18),0)</f>
        <v>0</v>
      </c>
      <c r="XQ58" s="115">
        <f>IF(XQ56&gt;0,SUM($D$18:XP18),0)</f>
        <v>0</v>
      </c>
      <c r="XR58" s="115">
        <f>IF(XR56&gt;0,SUM($D$18:XQ18),0)</f>
        <v>0</v>
      </c>
      <c r="XS58" s="115">
        <f>IF(XS56&gt;0,SUM($D$18:XR18),0)</f>
        <v>0</v>
      </c>
      <c r="XT58" s="115">
        <f>IF(XT56&gt;0,SUM($D$18:XS18),0)</f>
        <v>0</v>
      </c>
      <c r="XU58" s="115">
        <f>IF(XU56&gt;0,SUM($D$18:XT18),0)</f>
        <v>0</v>
      </c>
      <c r="XV58" s="115">
        <f>IF(XV56&gt;0,SUM($D$18:XU18),0)</f>
        <v>0</v>
      </c>
      <c r="XW58" s="115">
        <f>IF(XW56&gt;0,SUM($D$18:XV18),0)</f>
        <v>0</v>
      </c>
      <c r="XX58" s="115">
        <f>IF(XX56&gt;0,SUM($D$18:XW18),0)</f>
        <v>0</v>
      </c>
      <c r="XY58" s="115">
        <f>IF(XY56&gt;0,SUM($D$18:XX18),0)</f>
        <v>0</v>
      </c>
      <c r="XZ58" s="115">
        <f>IF(XZ56&gt;0,SUM($D$18:XY18),0)</f>
        <v>0</v>
      </c>
      <c r="YA58" s="115">
        <f>IF(YA56&gt;0,SUM($D$18:XZ18),0)</f>
        <v>0</v>
      </c>
      <c r="YB58" s="115">
        <f>IF(YB56&gt;0,SUM($D$18:YA18),0)</f>
        <v>0</v>
      </c>
      <c r="YC58" s="115">
        <f>IF(YC56&gt;0,SUM($D$18:YB18),0)</f>
        <v>0</v>
      </c>
      <c r="YD58" s="115">
        <f>IF(YD56&gt;0,SUM($D$18:YC18),0)</f>
        <v>0</v>
      </c>
      <c r="YE58" s="115">
        <f>IF(YE56&gt;0,SUM($D$18:YD18),0)</f>
        <v>0</v>
      </c>
      <c r="YF58" s="115">
        <f>IF(YF56&gt;0,SUM($D$18:YE18),0)</f>
        <v>0</v>
      </c>
      <c r="YG58" s="115">
        <f>IF(YG56&gt;0,SUM($D$18:YF18),0)</f>
        <v>0</v>
      </c>
      <c r="YH58" s="115">
        <f>IF(YH56&gt;0,SUM($D$18:YG18),0)</f>
        <v>0</v>
      </c>
      <c r="YI58" s="115">
        <f>IF(YI56&gt;0,SUM($D$18:YH18),0)</f>
        <v>0</v>
      </c>
      <c r="YJ58" s="115">
        <f>IF(YJ56&gt;0,SUM($D$18:YI18),0)</f>
        <v>0</v>
      </c>
      <c r="YK58" s="115">
        <f>IF(YK56&gt;0,SUM($D$18:YJ18),0)</f>
        <v>0</v>
      </c>
      <c r="YL58" s="115">
        <f>IF(YL56&gt;0,SUM($D$18:YK18),0)</f>
        <v>0</v>
      </c>
      <c r="YM58" s="115">
        <f>IF(YM56&gt;0,SUM($D$18:YL18),0)</f>
        <v>0</v>
      </c>
      <c r="YN58" s="115">
        <f>IF(YN56&gt;0,SUM($D$18:YM18),0)</f>
        <v>0</v>
      </c>
      <c r="YO58" s="115">
        <f>IF(YO56&gt;0,SUM($D$18:YN18),0)</f>
        <v>0</v>
      </c>
      <c r="YP58" s="115">
        <f>IF(YP56&gt;0,SUM($D$18:YO18),0)</f>
        <v>0</v>
      </c>
      <c r="YQ58" s="115">
        <f>IF(YQ56&gt;0,SUM($D$18:YP18),0)</f>
        <v>0</v>
      </c>
      <c r="YR58" s="115">
        <f>IF(YR56&gt;0,SUM($D$18:YQ18),0)</f>
        <v>0</v>
      </c>
      <c r="YS58" s="115">
        <f>IF(YS56&gt;0,SUM($D$18:YR18),0)</f>
        <v>0</v>
      </c>
      <c r="YT58" s="115">
        <f>IF(YT56&gt;0,SUM($D$18:YS18),0)</f>
        <v>0</v>
      </c>
      <c r="YU58" s="115">
        <f>IF(YU56&gt;0,SUM($D$18:YT18),0)</f>
        <v>0</v>
      </c>
      <c r="YV58" s="115">
        <f>IF(YV56&gt;0,SUM($D$18:YU18),0)</f>
        <v>0</v>
      </c>
      <c r="YW58" s="115">
        <f>IF(YW56&gt;0,SUM($D$18:YV18),0)</f>
        <v>0</v>
      </c>
      <c r="YX58" s="115">
        <f>IF(YX56&gt;0,SUM($D$18:YW18),0)</f>
        <v>0</v>
      </c>
      <c r="YY58" s="115">
        <f>IF(YY56&gt;0,SUM($D$18:YX18),0)</f>
        <v>0</v>
      </c>
      <c r="YZ58" s="115">
        <f>IF(YZ56&gt;0,SUM($D$18:YY18),0)</f>
        <v>0</v>
      </c>
      <c r="ZA58" s="115">
        <f>IF(ZA56&gt;0,SUM($D$18:YZ18),0)</f>
        <v>0</v>
      </c>
      <c r="ZB58" s="115">
        <f>IF(ZB56&gt;0,SUM($D$18:ZA18),0)</f>
        <v>0</v>
      </c>
      <c r="ZC58" s="115">
        <f>IF(ZC56&gt;0,SUM($D$18:ZB18),0)</f>
        <v>0</v>
      </c>
      <c r="ZD58" s="115">
        <f>IF(ZD56&gt;0,SUM($D$18:ZC18),0)</f>
        <v>0</v>
      </c>
      <c r="ZE58" s="115">
        <f>IF(ZE56&gt;0,SUM($D$18:ZD18),0)</f>
        <v>0</v>
      </c>
      <c r="ZF58" s="115">
        <f>IF(ZF56&gt;0,SUM($D$18:ZE18),0)</f>
        <v>0</v>
      </c>
      <c r="ZG58" s="115">
        <f>IF(ZG56&gt;0,SUM($D$18:ZF18),0)</f>
        <v>0</v>
      </c>
      <c r="ZH58" s="115">
        <f>IF(ZH56&gt;0,SUM($D$18:ZG18),0)</f>
        <v>0</v>
      </c>
      <c r="ZI58" s="115">
        <f>IF(ZI56&gt;0,SUM($D$18:ZH18),0)</f>
        <v>0</v>
      </c>
      <c r="ZJ58" s="115">
        <f>IF(ZJ56&gt;0,SUM($D$18:ZI18),0)</f>
        <v>0</v>
      </c>
      <c r="ZK58" s="115">
        <f>IF(ZK56&gt;0,SUM($D$18:ZJ18),0)</f>
        <v>0</v>
      </c>
      <c r="ZL58" s="115">
        <f>IF(ZL56&gt;0,SUM($D$18:ZK18),0)</f>
        <v>0</v>
      </c>
      <c r="ZM58" s="115">
        <f>IF(ZM56&gt;0,SUM($D$18:ZL18),0)</f>
        <v>0</v>
      </c>
      <c r="ZN58" s="115">
        <f>IF(ZN56&gt;0,SUM($D$18:ZM18),0)</f>
        <v>0</v>
      </c>
      <c r="ZO58" s="115">
        <f>IF(ZO56&gt;0,SUM($D$18:ZN18),0)</f>
        <v>0</v>
      </c>
      <c r="ZP58" s="115">
        <f>IF(ZP56&gt;0,SUM($D$18:ZO18),0)</f>
        <v>0</v>
      </c>
      <c r="ZQ58" s="115">
        <f>IF(ZQ56&gt;0,SUM($D$18:ZP18),0)</f>
        <v>0</v>
      </c>
      <c r="ZR58" s="115">
        <f>IF(ZR56&gt;0,SUM($D$18:ZQ18),0)</f>
        <v>0</v>
      </c>
      <c r="ZS58" s="115">
        <f>IF(ZS56&gt;0,SUM($D$18:ZR18),0)</f>
        <v>0</v>
      </c>
      <c r="ZT58" s="115">
        <f>IF(ZT56&gt;0,SUM($D$18:ZS18),0)</f>
        <v>0</v>
      </c>
      <c r="ZU58" s="115">
        <f>IF(ZU56&gt;0,SUM($D$18:ZT18),0)</f>
        <v>0</v>
      </c>
      <c r="ZV58" s="115">
        <f>IF(ZV56&gt;0,SUM($D$18:ZU18),0)</f>
        <v>0</v>
      </c>
      <c r="ZW58" s="115">
        <f>IF(ZW56&gt;0,SUM($D$18:ZV18),0)</f>
        <v>0</v>
      </c>
      <c r="ZX58" s="115">
        <f>IF(ZX56&gt;0,SUM($D$18:ZW18),0)</f>
        <v>0</v>
      </c>
      <c r="ZY58" s="115">
        <f>IF(ZY56&gt;0,SUM($D$18:ZX18),0)</f>
        <v>0</v>
      </c>
      <c r="ZZ58" s="115">
        <f>IF(ZZ56&gt;0,SUM($D$18:ZY18),0)</f>
        <v>0</v>
      </c>
      <c r="AAA58" s="115">
        <f>IF(AAA56&gt;0,SUM($D$18:ZZ18),0)</f>
        <v>0</v>
      </c>
      <c r="AAB58" s="115">
        <f>IF(AAB56&gt;0,SUM($D$18:AAA18),0)</f>
        <v>0</v>
      </c>
      <c r="AAC58" s="115">
        <f>IF(AAC56&gt;0,SUM($D$18:AAB18),0)</f>
        <v>0</v>
      </c>
      <c r="AAD58" s="115">
        <f>IF(AAD56&gt;0,SUM($D$18:AAC18),0)</f>
        <v>0</v>
      </c>
      <c r="AAE58" s="115">
        <f>IF(AAE56&gt;0,SUM($D$18:AAD18),0)</f>
        <v>0</v>
      </c>
      <c r="AAF58" s="115">
        <f>IF(AAF56&gt;0,SUM($D$18:AAE18),0)</f>
        <v>0</v>
      </c>
      <c r="AAG58" s="115">
        <f>IF(AAG56&gt;0,SUM($D$18:AAF18),0)</f>
        <v>0</v>
      </c>
      <c r="AAH58" s="115">
        <f>IF(AAH56&gt;0,SUM($D$18:AAG18),0)</f>
        <v>0</v>
      </c>
      <c r="AAI58" s="115">
        <f>IF(AAI56&gt;0,SUM($D$18:AAH18),0)</f>
        <v>0</v>
      </c>
      <c r="AAJ58" s="115">
        <f>IF(AAJ56&gt;0,SUM($D$18:AAI18),0)</f>
        <v>0</v>
      </c>
      <c r="AAK58" s="115">
        <f>IF(AAK56&gt;0,SUM($D$18:AAJ18),0)</f>
        <v>0</v>
      </c>
      <c r="AAL58" s="115">
        <f>IF(AAL56&gt;0,SUM($D$18:AAK18),0)</f>
        <v>0</v>
      </c>
      <c r="AAM58" s="115">
        <f>IF(AAM56&gt;0,SUM($D$18:AAL18),0)</f>
        <v>0</v>
      </c>
      <c r="AAN58" s="115">
        <f>IF(AAN56&gt;0,SUM($D$18:AAM18),0)</f>
        <v>0</v>
      </c>
      <c r="AAO58" s="115">
        <f>IF(AAO56&gt;0,SUM($D$18:AAN18),0)</f>
        <v>0</v>
      </c>
      <c r="AAP58" s="115">
        <f>IF(AAP56&gt;0,SUM($D$18:AAO18),0)</f>
        <v>0</v>
      </c>
      <c r="AAQ58" s="115">
        <f>IF(AAQ56&gt;0,SUM($D$18:AAP18),0)</f>
        <v>0</v>
      </c>
      <c r="AAR58" s="115">
        <f>IF(AAR56&gt;0,SUM($D$18:AAQ18),0)</f>
        <v>0</v>
      </c>
      <c r="AAS58" s="115">
        <f>IF(AAS56&gt;0,SUM($D$18:AAR18),0)</f>
        <v>0</v>
      </c>
      <c r="AAT58" s="115">
        <f>IF(AAT56&gt;0,SUM($D$18:AAS18),0)</f>
        <v>0</v>
      </c>
      <c r="AAU58" s="115">
        <f>IF(AAU56&gt;0,SUM($D$18:AAT18),0)</f>
        <v>0</v>
      </c>
      <c r="AAV58" s="115">
        <f>IF(AAV56&gt;0,SUM($D$18:AAU18),0)</f>
        <v>0</v>
      </c>
      <c r="AAW58" s="115">
        <f>IF(AAW56&gt;0,SUM($D$18:AAV18),0)</f>
        <v>0</v>
      </c>
      <c r="AAX58" s="115">
        <f>IF(AAX56&gt;0,SUM($D$18:AAW18),0)</f>
        <v>0</v>
      </c>
      <c r="AAY58" s="115">
        <f>IF(AAY56&gt;0,SUM($D$18:AAX18),0)</f>
        <v>0</v>
      </c>
      <c r="AAZ58" s="115">
        <f>IF(AAZ56&gt;0,SUM($D$18:AAY18),0)</f>
        <v>0</v>
      </c>
      <c r="ABA58" s="115">
        <f>IF(ABA56&gt;0,SUM($D$18:AAZ18),0)</f>
        <v>0</v>
      </c>
      <c r="ABB58" s="115">
        <f>IF(ABB56&gt;0,SUM($D$18:ABA18),0)</f>
        <v>0</v>
      </c>
      <c r="ABC58" s="115">
        <f>IF(ABC56&gt;0,SUM($D$18:ABB18),0)</f>
        <v>0</v>
      </c>
      <c r="ABD58" s="115">
        <f>IF(ABD56&gt;0,SUM($D$18:ABC18),0)</f>
        <v>0</v>
      </c>
      <c r="ABE58" s="115">
        <f>IF(ABE56&gt;0,SUM($D$18:ABD18),0)</f>
        <v>0</v>
      </c>
      <c r="ABF58" s="115">
        <f>IF(ABF56&gt;0,SUM($D$18:ABE18),0)</f>
        <v>0</v>
      </c>
      <c r="ABG58" s="115">
        <f>IF(ABG56&gt;0,SUM($D$18:ABF18),0)</f>
        <v>0</v>
      </c>
      <c r="ABH58" s="115">
        <f>IF(ABH56&gt;0,SUM($D$18:ABG18),0)</f>
        <v>0</v>
      </c>
      <c r="ABI58" s="115">
        <f>IF(ABI56&gt;0,SUM($D$18:ABH18),0)</f>
        <v>0</v>
      </c>
      <c r="ABJ58" s="115">
        <f>IF(ABJ56&gt;0,SUM($D$18:ABI18),0)</f>
        <v>0</v>
      </c>
      <c r="ABK58" s="115">
        <f>IF(ABK56&gt;0,SUM($D$18:ABJ18),0)</f>
        <v>0</v>
      </c>
      <c r="ABL58" s="115">
        <f>IF(ABL56&gt;0,SUM($D$18:ABK18),0)</f>
        <v>0</v>
      </c>
      <c r="ABM58" s="115">
        <f>IF(ABM56&gt;0,SUM($D$18:ABL18),0)</f>
        <v>0</v>
      </c>
      <c r="ABN58" s="115">
        <f>IF(ABN56&gt;0,SUM($D$18:ABM18),0)</f>
        <v>0</v>
      </c>
      <c r="ABO58" s="115">
        <f>IF(ABO56&gt;0,SUM($D$18:ABN18),0)</f>
        <v>0</v>
      </c>
      <c r="ABP58" s="115">
        <f>IF(ABP56&gt;0,SUM($D$18:ABO18),0)</f>
        <v>0</v>
      </c>
      <c r="ABQ58" s="115">
        <f>IF(ABQ56&gt;0,SUM($D$18:ABP18),0)</f>
        <v>0</v>
      </c>
      <c r="ABR58" s="115">
        <f>IF(ABR56&gt;0,SUM($D$18:ABQ18),0)</f>
        <v>0</v>
      </c>
      <c r="ABS58" s="115">
        <f>IF(ABS56&gt;0,SUM($D$18:ABR18),0)</f>
        <v>0</v>
      </c>
      <c r="ABT58" s="115">
        <f>IF(ABT56&gt;0,SUM($D$18:ABS18),0)</f>
        <v>0</v>
      </c>
      <c r="ABU58" s="115">
        <f>IF(ABU56&gt;0,SUM($D$18:ABT18),0)</f>
        <v>0</v>
      </c>
      <c r="ABV58" s="115">
        <f>IF(ABV56&gt;0,SUM($D$18:ABU18),0)</f>
        <v>0</v>
      </c>
      <c r="ABW58" s="115">
        <f>IF(ABW56&gt;0,SUM($D$18:ABV18),0)</f>
        <v>0</v>
      </c>
      <c r="ABX58" s="115">
        <f>IF(ABX56&gt;0,SUM($D$18:ABW18),0)</f>
        <v>0</v>
      </c>
      <c r="ABY58" s="115">
        <f>IF(ABY56&gt;0,SUM($D$18:ABX18),0)</f>
        <v>0</v>
      </c>
      <c r="ABZ58" s="115">
        <f>IF(ABZ56&gt;0,SUM($D$18:ABY18),0)</f>
        <v>0</v>
      </c>
      <c r="ACA58" s="115">
        <f>IF(ACA56&gt;0,SUM($D$18:ABZ18),0)</f>
        <v>0</v>
      </c>
      <c r="ACB58" s="115">
        <f>IF(ACB56&gt;0,SUM($D$18:ACA18),0)</f>
        <v>0</v>
      </c>
      <c r="ACC58" s="115">
        <f>IF(ACC56&gt;0,SUM($D$18:ACB18),0)</f>
        <v>0</v>
      </c>
      <c r="ACD58" s="115">
        <f>IF(ACD56&gt;0,SUM($D$18:ACC18),0)</f>
        <v>0</v>
      </c>
      <c r="ACE58" s="115">
        <f>IF(ACE56&gt;0,SUM($D$18:ACD18),0)</f>
        <v>0</v>
      </c>
      <c r="ACF58" s="115">
        <f>IF(ACF56&gt;0,SUM($D$18:ACE18),0)</f>
        <v>0</v>
      </c>
      <c r="ACG58" s="115">
        <f>IF(ACG56&gt;0,SUM($D$18:ACF18),0)</f>
        <v>0</v>
      </c>
      <c r="ACH58" s="115">
        <f>IF(ACH56&gt;0,SUM($D$18:ACG18),0)</f>
        <v>0</v>
      </c>
      <c r="ACI58" s="115">
        <f>IF(ACI56&gt;0,SUM($D$18:ACH18),0)</f>
        <v>0</v>
      </c>
      <c r="ACJ58" s="115">
        <f>IF(ACJ56&gt;0,SUM($D$18:ACI18),0)</f>
        <v>0</v>
      </c>
      <c r="ACK58" s="115">
        <f>IF(ACK56&gt;0,SUM($D$18:ACJ18),0)</f>
        <v>0</v>
      </c>
      <c r="ACL58" s="115">
        <f>IF(ACL56&gt;0,SUM($D$18:ACK18),0)</f>
        <v>0</v>
      </c>
      <c r="ACM58" s="115">
        <f>IF(ACM56&gt;0,SUM($D$18:ACL18),0)</f>
        <v>0</v>
      </c>
      <c r="ACN58" s="115">
        <f>IF(ACN56&gt;0,SUM($D$18:ACM18),0)</f>
        <v>0</v>
      </c>
      <c r="ACO58" s="115">
        <f>IF(ACO56&gt;0,SUM($D$18:ACN18),0)</f>
        <v>0</v>
      </c>
      <c r="ACP58" s="115">
        <f>IF(ACP56&gt;0,SUM($D$18:ACO18),0)</f>
        <v>0</v>
      </c>
      <c r="ACQ58" s="115">
        <f>IF(ACQ56&gt;0,SUM($D$18:ACP18),0)</f>
        <v>0</v>
      </c>
      <c r="ACR58" s="115">
        <f>IF(ACR56&gt;0,SUM($D$18:ACQ18),0)</f>
        <v>0</v>
      </c>
      <c r="ACS58" s="115">
        <f>IF(ACS56&gt;0,SUM($D$18:ACR18),0)</f>
        <v>0</v>
      </c>
      <c r="ACT58" s="115">
        <f>IF(ACT56&gt;0,SUM($D$18:ACS18),0)</f>
        <v>0</v>
      </c>
      <c r="ACU58" s="115">
        <f>IF(ACU56&gt;0,SUM($D$18:ACT18),0)</f>
        <v>0</v>
      </c>
      <c r="ACV58" s="115">
        <f>IF(ACV56&gt;0,SUM($D$18:ACU18),0)</f>
        <v>0</v>
      </c>
      <c r="ACW58" s="115">
        <f>IF(ACW56&gt;0,SUM($D$18:ACV18),0)</f>
        <v>0</v>
      </c>
      <c r="ACX58" s="115">
        <f>IF(ACX56&gt;0,SUM($D$18:ACW18),0)</f>
        <v>0</v>
      </c>
      <c r="ACY58" s="115">
        <f>IF(ACY56&gt;0,SUM($D$18:ACX18),0)</f>
        <v>0</v>
      </c>
      <c r="ACZ58" s="115">
        <f>IF(ACZ56&gt;0,SUM($D$18:ACY18),0)</f>
        <v>0</v>
      </c>
      <c r="ADA58" s="115">
        <f>IF(ADA56&gt;0,SUM($D$18:ACZ18),0)</f>
        <v>0</v>
      </c>
      <c r="ADB58" s="115">
        <f>IF(ADB56&gt;0,SUM($D$18:ADA18),0)</f>
        <v>0</v>
      </c>
      <c r="ADC58" s="115">
        <f>IF(ADC56&gt;0,SUM($D$18:ADB18),0)</f>
        <v>0</v>
      </c>
      <c r="ADD58" s="115">
        <f>IF(ADD56&gt;0,SUM($D$18:ADC18),0)</f>
        <v>0</v>
      </c>
      <c r="ADE58" s="115">
        <f>IF(ADE56&gt;0,SUM($D$18:ADD18),0)</f>
        <v>0</v>
      </c>
      <c r="ADF58" s="115">
        <f>IF(ADF56&gt;0,SUM($D$18:ADE18),0)</f>
        <v>0</v>
      </c>
      <c r="ADG58" s="115">
        <f>IF(ADG56&gt;0,SUM($D$18:ADF18),0)</f>
        <v>0</v>
      </c>
      <c r="ADH58" s="115">
        <f>IF(ADH56&gt;0,SUM($D$18:ADG18),0)</f>
        <v>0</v>
      </c>
      <c r="ADI58" s="115">
        <f>IF(ADI56&gt;0,SUM($D$18:ADH18),0)</f>
        <v>0</v>
      </c>
      <c r="ADJ58" s="115">
        <f>IF(ADJ56&gt;0,SUM($D$18:ADI18),0)</f>
        <v>0</v>
      </c>
      <c r="ADK58" s="115">
        <f>IF(ADK56&gt;0,SUM($D$18:ADJ18),0)</f>
        <v>0</v>
      </c>
      <c r="ADL58" s="115">
        <f>IF(ADL56&gt;0,SUM($D$18:ADK18),0)</f>
        <v>0</v>
      </c>
      <c r="ADM58" s="115">
        <f>IF(ADM56&gt;0,SUM($D$18:ADL18),0)</f>
        <v>0</v>
      </c>
      <c r="ADN58" s="115">
        <f>IF(ADN56&gt;0,SUM($D$18:ADM18),0)</f>
        <v>0</v>
      </c>
      <c r="ADO58" s="115">
        <f>IF(ADO56&gt;0,SUM($D$18:ADN18),0)</f>
        <v>0</v>
      </c>
      <c r="ADP58" s="115">
        <f>IF(ADP56&gt;0,SUM($D$18:ADO18),0)</f>
        <v>0</v>
      </c>
      <c r="ADQ58" s="115">
        <f>IF(ADQ56&gt;0,SUM($D$18:ADP18),0)</f>
        <v>0</v>
      </c>
      <c r="ADR58" s="115">
        <f>IF(ADR56&gt;0,SUM($D$18:ADQ18),0)</f>
        <v>0</v>
      </c>
      <c r="ADS58" s="115">
        <f>IF(ADS56&gt;0,SUM($D$18:ADR18),0)</f>
        <v>0</v>
      </c>
      <c r="ADT58" s="115">
        <f>IF(ADT56&gt;0,SUM($D$18:ADS18),0)</f>
        <v>0</v>
      </c>
      <c r="ADU58" s="115">
        <f>IF(ADU56&gt;0,SUM($D$18:ADT18),0)</f>
        <v>0</v>
      </c>
      <c r="ADV58" s="115">
        <f>IF(ADV56&gt;0,SUM($D$18:ADU18),0)</f>
        <v>0</v>
      </c>
      <c r="ADW58" s="115">
        <f>IF(ADW56&gt;0,SUM($D$18:ADV18),0)</f>
        <v>0</v>
      </c>
      <c r="ADX58" s="115">
        <f>IF(ADX56&gt;0,SUM($D$18:ADW18),0)</f>
        <v>0</v>
      </c>
      <c r="ADY58" s="115">
        <f>IF(ADY56&gt;0,SUM($D$18:ADX18),0)</f>
        <v>0</v>
      </c>
      <c r="ADZ58" s="115">
        <f>IF(ADZ56&gt;0,SUM($D$18:ADY18),0)</f>
        <v>0</v>
      </c>
      <c r="AEA58" s="115">
        <f>IF(AEA56&gt;0,SUM($D$18:ADZ18),0)</f>
        <v>0</v>
      </c>
      <c r="AEB58" s="115">
        <f>IF(AEB56&gt;0,SUM($D$18:AEA18),0)</f>
        <v>0</v>
      </c>
      <c r="AEC58" s="115">
        <f>IF(AEC56&gt;0,SUM($D$18:AEB18),0)</f>
        <v>0</v>
      </c>
      <c r="AED58" s="115">
        <f>IF(AED56&gt;0,SUM($D$18:AEC18),0)</f>
        <v>0</v>
      </c>
      <c r="AEE58" s="115">
        <f>IF(AEE56&gt;0,SUM($D$18:AED18),0)</f>
        <v>0</v>
      </c>
      <c r="AEF58" s="115">
        <f>IF(AEF56&gt;0,SUM($D$18:AEE18),0)</f>
        <v>0</v>
      </c>
      <c r="AEG58" s="115">
        <f>IF(AEG56&gt;0,SUM($D$18:AEF18),0)</f>
        <v>0</v>
      </c>
      <c r="AEH58" s="115">
        <f>IF(AEH56&gt;0,SUM($D$18:AEG18),0)</f>
        <v>0</v>
      </c>
      <c r="AEI58" s="115">
        <f>IF(AEI56&gt;0,SUM($D$18:AEH18),0)</f>
        <v>0</v>
      </c>
      <c r="AEJ58" s="115">
        <f>IF(AEJ56&gt;0,SUM($D$18:AEI18),0)</f>
        <v>0</v>
      </c>
      <c r="AEK58" s="115">
        <f>IF(AEK56&gt;0,SUM($D$18:AEJ18),0)</f>
        <v>0</v>
      </c>
      <c r="AEL58" s="115">
        <f>IF(AEL56&gt;0,SUM($D$18:AEK18),0)</f>
        <v>0</v>
      </c>
      <c r="AEM58" s="115">
        <f>IF(AEM56&gt;0,SUM($D$18:AEL18),0)</f>
        <v>0</v>
      </c>
      <c r="AEN58" s="115">
        <f>IF(AEN56&gt;0,SUM($D$18:AEM18),0)</f>
        <v>0</v>
      </c>
      <c r="AEO58" s="115">
        <f>IF(AEO56&gt;0,SUM($D$18:AEN18),0)</f>
        <v>0</v>
      </c>
      <c r="AEP58" s="115">
        <f>IF(AEP56&gt;0,SUM($D$18:AEO18),0)</f>
        <v>0</v>
      </c>
      <c r="AEQ58" s="115">
        <f>IF(AEQ56&gt;0,SUM($D$18:AEP18),0)</f>
        <v>0</v>
      </c>
      <c r="AER58" s="115">
        <f>IF(AER56&gt;0,SUM($D$18:AEQ18),0)</f>
        <v>0</v>
      </c>
      <c r="AES58" s="115">
        <f>IF(AES56&gt;0,SUM($D$18:AER18),0)</f>
        <v>0</v>
      </c>
      <c r="AET58" s="115">
        <f>IF(AET56&gt;0,SUM($D$18:AES18),0)</f>
        <v>0</v>
      </c>
      <c r="AEU58" s="115">
        <f>IF(AEU56&gt;0,SUM($D$18:AET18),0)</f>
        <v>0</v>
      </c>
      <c r="AEV58" s="115">
        <f>IF(AEV56&gt;0,SUM($D$18:AEU18),0)</f>
        <v>0</v>
      </c>
      <c r="AEW58" s="115">
        <f>IF(AEW56&gt;0,SUM($D$18:AEV18),0)</f>
        <v>0</v>
      </c>
      <c r="AEX58" s="115">
        <f>IF(AEX56&gt;0,SUM($D$18:AEW18),0)</f>
        <v>0</v>
      </c>
      <c r="AEY58" s="115">
        <f>IF(AEY56&gt;0,SUM($D$18:AEX18),0)</f>
        <v>0</v>
      </c>
      <c r="AEZ58" s="115">
        <f>IF(AEZ56&gt;0,SUM($D$18:AEY18),0)</f>
        <v>0</v>
      </c>
      <c r="AFA58" s="115">
        <f>IF(AFA56&gt;0,SUM($D$18:AEZ18),0)</f>
        <v>0</v>
      </c>
      <c r="AFB58" s="115">
        <f>IF(AFB56&gt;0,SUM($D$18:AFA18),0)</f>
        <v>0</v>
      </c>
      <c r="AFC58" s="115">
        <f>IF(AFC56&gt;0,SUM($D$18:AFB18),0)</f>
        <v>0</v>
      </c>
      <c r="AFD58" s="115">
        <f>IF(AFD56&gt;0,SUM($D$18:AFC18),0)</f>
        <v>0</v>
      </c>
      <c r="AFE58" s="115">
        <f>IF(AFE56&gt;0,SUM($D$18:AFD18),0)</f>
        <v>0</v>
      </c>
      <c r="AFF58" s="115">
        <f>IF(AFF56&gt;0,SUM($D$18:AFE18),0)</f>
        <v>0</v>
      </c>
      <c r="AFG58" s="115">
        <f>IF(AFG56&gt;0,SUM($D$18:AFF18),0)</f>
        <v>0</v>
      </c>
      <c r="AFH58" s="115">
        <f>IF(AFH56&gt;0,SUM($D$18:AFG18),0)</f>
        <v>0</v>
      </c>
      <c r="AFI58" s="115">
        <f>IF(AFI56&gt;0,SUM($D$18:AFH18),0)</f>
        <v>0</v>
      </c>
      <c r="AFJ58" s="115">
        <f>IF(AFJ56&gt;0,SUM($D$18:AFI18),0)</f>
        <v>0</v>
      </c>
      <c r="AFK58" s="115">
        <f>IF(AFK56&gt;0,SUM($D$18:AFJ18),0)</f>
        <v>0</v>
      </c>
      <c r="AFL58" s="115">
        <f>IF(AFL56&gt;0,SUM($D$18:AFK18),0)</f>
        <v>0</v>
      </c>
      <c r="AFM58" s="115">
        <f>IF(AFM56&gt;0,SUM($D$18:AFL18),0)</f>
        <v>0</v>
      </c>
      <c r="AFN58" s="115">
        <f>IF(AFN56&gt;0,SUM($D$18:AFM18),0)</f>
        <v>0</v>
      </c>
      <c r="AFO58" s="115">
        <f>IF(AFO56&gt;0,SUM($D$18:AFN18),0)</f>
        <v>0</v>
      </c>
      <c r="AFP58" s="115">
        <f>IF(AFP56&gt;0,SUM($D$18:AFO18),0)</f>
        <v>0</v>
      </c>
      <c r="AFQ58" s="115">
        <f>IF(AFQ56&gt;0,SUM($D$18:AFP18),0)</f>
        <v>0</v>
      </c>
      <c r="AFR58" s="115">
        <f>IF(AFR56&gt;0,SUM($D$18:AFQ18),0)</f>
        <v>0</v>
      </c>
      <c r="AFS58" s="115">
        <f>IF(AFS56&gt;0,SUM($D$18:AFR18),0)</f>
        <v>0</v>
      </c>
      <c r="AFT58" s="115">
        <f>IF(AFT56&gt;0,SUM($D$18:AFS18),0)</f>
        <v>0</v>
      </c>
      <c r="AFU58" s="115">
        <f>IF(AFU56&gt;0,SUM($D$18:AFT18),0)</f>
        <v>0</v>
      </c>
      <c r="AFV58" s="115">
        <f>IF(AFV56&gt;0,SUM($D$18:AFU18),0)</f>
        <v>0</v>
      </c>
      <c r="AFW58" s="115">
        <f>IF(AFW56&gt;0,SUM($D$18:AFV18),0)</f>
        <v>0</v>
      </c>
      <c r="AFX58" s="115">
        <f>IF(AFX56&gt;0,SUM($D$18:AFW18),0)</f>
        <v>0</v>
      </c>
      <c r="AFY58" s="115">
        <f>IF(AFY56&gt;0,SUM($D$18:AFX18),0)</f>
        <v>0</v>
      </c>
      <c r="AFZ58" s="115">
        <f>IF(AFZ56&gt;0,SUM($D$18:AFY18),0)</f>
        <v>0</v>
      </c>
      <c r="AGA58" s="115">
        <f>IF(AGA56&gt;0,SUM($D$18:AFZ18),0)</f>
        <v>0</v>
      </c>
      <c r="AGB58" s="115">
        <f>IF(AGB56&gt;0,SUM($D$18:AGA18),0)</f>
        <v>0</v>
      </c>
      <c r="AGC58" s="115">
        <f>IF(AGC56&gt;0,SUM($D$18:AGB18),0)</f>
        <v>0</v>
      </c>
      <c r="AGD58" s="115">
        <f>IF(AGD56&gt;0,SUM($D$18:AGC18),0)</f>
        <v>0</v>
      </c>
      <c r="AGE58" s="115">
        <f>IF(AGE56&gt;0,SUM($D$18:AGD18),0)</f>
        <v>0</v>
      </c>
      <c r="AGF58" s="115">
        <f>IF(AGF56&gt;0,SUM($D$18:AGE18),0)</f>
        <v>0</v>
      </c>
      <c r="AGG58" s="115">
        <f>IF(AGG56&gt;0,SUM($D$18:AGF18),0)</f>
        <v>0</v>
      </c>
      <c r="AGH58" s="115">
        <f>IF(AGH56&gt;0,SUM($D$18:AGG18),0)</f>
        <v>0</v>
      </c>
      <c r="AGI58" s="115">
        <f>IF(AGI56&gt;0,SUM($D$18:AGH18),0)</f>
        <v>0</v>
      </c>
      <c r="AGJ58" s="115">
        <f>IF(AGJ56&gt;0,SUM($D$18:AGI18),0)</f>
        <v>0</v>
      </c>
      <c r="AGK58" s="115">
        <f>IF(AGK56&gt;0,SUM($D$18:AGJ18),0)</f>
        <v>0</v>
      </c>
      <c r="AGL58" s="115">
        <f>IF(AGL56&gt;0,SUM($D$18:AGK18),0)</f>
        <v>0</v>
      </c>
      <c r="AGM58" s="115">
        <f>IF(AGM56&gt;0,SUM($D$18:AGL18),0)</f>
        <v>0</v>
      </c>
      <c r="AGN58" s="115">
        <f>IF(AGN56&gt;0,SUM($D$18:AGM18),0)</f>
        <v>0</v>
      </c>
      <c r="AGO58" s="115">
        <f>IF(AGO56&gt;0,SUM($D$18:AGN18),0)</f>
        <v>0</v>
      </c>
      <c r="AGP58" s="115">
        <f>IF(AGP56&gt;0,SUM($D$18:AGO18),0)</f>
        <v>0</v>
      </c>
      <c r="AGQ58" s="115">
        <f>IF(AGQ56&gt;0,SUM($D$18:AGP18),0)</f>
        <v>0</v>
      </c>
      <c r="AGR58" s="115">
        <f>IF(AGR56&gt;0,SUM($D$18:AGQ18),0)</f>
        <v>0</v>
      </c>
      <c r="AGS58" s="115">
        <f>IF(AGS56&gt;0,SUM($D$18:AGR18),0)</f>
        <v>0</v>
      </c>
      <c r="AGT58" s="115">
        <f>IF(AGT56&gt;0,SUM($D$18:AGS18),0)</f>
        <v>0</v>
      </c>
      <c r="AGU58" s="115">
        <f>IF(AGU56&gt;0,SUM($D$18:AGT18),0)</f>
        <v>0</v>
      </c>
      <c r="AGV58" s="115">
        <f>IF(AGV56&gt;0,SUM($D$18:AGU18),0)</f>
        <v>0</v>
      </c>
      <c r="AGW58" s="115">
        <f>IF(AGW56&gt;0,SUM($D$18:AGV18),0)</f>
        <v>0</v>
      </c>
      <c r="AGX58" s="115">
        <f>IF(AGX56&gt;0,SUM($D$18:AGW18),0)</f>
        <v>0</v>
      </c>
      <c r="AGY58" s="115">
        <f>IF(AGY56&gt;0,SUM($D$18:AGX18),0)</f>
        <v>0</v>
      </c>
      <c r="AGZ58" s="115">
        <f>IF(AGZ56&gt;0,SUM($D$18:AGY18),0)</f>
        <v>0</v>
      </c>
      <c r="AHA58" s="115">
        <f>IF(AHA56&gt;0,SUM($D$18:AGZ18),0)</f>
        <v>0</v>
      </c>
      <c r="AHB58" s="115">
        <f>IF(AHB56&gt;0,SUM($D$18:AHA18),0)</f>
        <v>0</v>
      </c>
      <c r="AHC58" s="115">
        <f>IF(AHC56&gt;0,SUM($D$18:AHB18),0)</f>
        <v>0</v>
      </c>
      <c r="AHD58" s="115">
        <f>IF(AHD56&gt;0,SUM($D$18:AHC18),0)</f>
        <v>0</v>
      </c>
      <c r="AHE58" s="115">
        <f>IF(AHE56&gt;0,SUM($D$18:AHD18),0)</f>
        <v>0</v>
      </c>
      <c r="AHF58" s="115">
        <f>IF(AHF56&gt;0,SUM($D$18:AHE18),0)</f>
        <v>0</v>
      </c>
      <c r="AHG58" s="115">
        <f>IF(AHG56&gt;0,SUM($D$18:AHF18),0)</f>
        <v>0</v>
      </c>
      <c r="AHH58" s="115">
        <f>IF(AHH56&gt;0,SUM($D$18:AHG18),0)</f>
        <v>0</v>
      </c>
      <c r="AHI58" s="115">
        <f>IF(AHI56&gt;0,SUM($D$18:AHH18),0)</f>
        <v>0</v>
      </c>
      <c r="AHJ58" s="115">
        <f>IF(AHJ56&gt;0,SUM($D$18:AHI18),0)</f>
        <v>0</v>
      </c>
      <c r="AHK58" s="115">
        <f>IF(AHK56&gt;0,SUM($D$18:AHJ18),0)</f>
        <v>0</v>
      </c>
      <c r="AHL58" s="115">
        <f>IF(AHL56&gt;0,SUM($D$18:AHK18),0)</f>
        <v>0</v>
      </c>
      <c r="AHM58" s="115">
        <f>IF(AHM56&gt;0,SUM($D$18:AHL18),0)</f>
        <v>0</v>
      </c>
      <c r="AHN58" s="115">
        <f>IF(AHN56&gt;0,SUM($D$18:AHM18),0)</f>
        <v>0</v>
      </c>
      <c r="AHO58" s="115">
        <f>IF(AHO56&gt;0,SUM($D$18:AHN18),0)</f>
        <v>0</v>
      </c>
      <c r="AHP58" s="115">
        <f>IF(AHP56&gt;0,SUM($D$18:AHO18),0)</f>
        <v>0</v>
      </c>
      <c r="AHQ58" s="115">
        <f>IF(AHQ56&gt;0,SUM($D$18:AHP18),0)</f>
        <v>0</v>
      </c>
      <c r="AHR58" s="115">
        <f>IF(AHR56&gt;0,SUM($D$18:AHQ18),0)</f>
        <v>0</v>
      </c>
      <c r="AHS58" s="115">
        <f>IF(AHS56&gt;0,SUM($D$18:AHR18),0)</f>
        <v>0</v>
      </c>
      <c r="AHT58" s="115">
        <f>IF(AHT56&gt;0,SUM($D$18:AHS18),0)</f>
        <v>0</v>
      </c>
      <c r="AHU58" s="115">
        <f>IF(AHU56&gt;0,SUM($D$18:AHT18),0)</f>
        <v>0</v>
      </c>
      <c r="AHV58" s="115">
        <f>IF(AHV56&gt;0,SUM($D$18:AHU18),0)</f>
        <v>0</v>
      </c>
      <c r="AHW58" s="115">
        <f>IF(AHW56&gt;0,SUM($D$18:AHV18),0)</f>
        <v>0</v>
      </c>
      <c r="AHX58" s="115">
        <f>IF(AHX56&gt;0,SUM($D$18:AHW18),0)</f>
        <v>0</v>
      </c>
      <c r="AHY58" s="115">
        <f>IF(AHY56&gt;0,SUM($D$18:AHX18),0)</f>
        <v>0</v>
      </c>
      <c r="AHZ58" s="115">
        <f>IF(AHZ56&gt;0,SUM($D$18:AHY18),0)</f>
        <v>0</v>
      </c>
      <c r="AIA58" s="115">
        <f>IF(AIA56&gt;0,SUM($D$18:AHZ18),0)</f>
        <v>0</v>
      </c>
      <c r="AIB58" s="115">
        <f>IF(AIB56&gt;0,SUM($D$18:AIA18),0)</f>
        <v>0</v>
      </c>
      <c r="AIC58" s="115">
        <f>IF(AIC56&gt;0,SUM($D$18:AIB18),0)</f>
        <v>0</v>
      </c>
      <c r="AID58" s="115">
        <f>IF(AID56&gt;0,SUM($D$18:AIC18),0)</f>
        <v>0</v>
      </c>
      <c r="AIE58" s="115">
        <f>IF(AIE56&gt;0,SUM($D$18:AID18),0)</f>
        <v>0</v>
      </c>
      <c r="AIF58" s="115">
        <f>IF(AIF56&gt;0,SUM($D$18:AIE18),0)</f>
        <v>0</v>
      </c>
      <c r="AIG58" s="115">
        <f>IF(AIG56&gt;0,SUM($D$18:AIF18),0)</f>
        <v>0</v>
      </c>
      <c r="AIH58" s="115">
        <f>IF(AIH56&gt;0,SUM($D$18:AIG18),0)</f>
        <v>0</v>
      </c>
      <c r="AII58" s="115">
        <f>IF(AII56&gt;0,SUM($D$18:AIH18),0)</f>
        <v>0</v>
      </c>
      <c r="AIJ58" s="115">
        <f>IF(AIJ56&gt;0,SUM($D$18:AII18),0)</f>
        <v>0</v>
      </c>
      <c r="AIK58" s="115">
        <f>IF(AIK56&gt;0,SUM($D$18:AIJ18),0)</f>
        <v>0</v>
      </c>
      <c r="AIL58" s="115">
        <f>IF(AIL56&gt;0,SUM($D$18:AIK18),0)</f>
        <v>0</v>
      </c>
      <c r="AIM58" s="115">
        <f>IF(AIM56&gt;0,SUM($D$18:AIL18),0)</f>
        <v>0</v>
      </c>
      <c r="AIN58" s="115">
        <f>IF(AIN56&gt;0,SUM($D$18:AIM18),0)</f>
        <v>0</v>
      </c>
      <c r="AIO58" s="115">
        <f>IF(AIO56&gt;0,SUM($D$18:AIN18),0)</f>
        <v>0</v>
      </c>
      <c r="AIP58" s="115">
        <f>IF(AIP56&gt;0,SUM($D$18:AIO18),0)</f>
        <v>0</v>
      </c>
      <c r="AIQ58" s="115">
        <f>IF(AIQ56&gt;0,SUM($D$18:AIP18),0)</f>
        <v>0</v>
      </c>
      <c r="AIR58" s="115">
        <f>IF(AIR56&gt;0,SUM($D$18:AIQ18),0)</f>
        <v>0</v>
      </c>
      <c r="AIS58" s="115">
        <f>IF(AIS56&gt;0,SUM($D$18:AIR18),0)</f>
        <v>0</v>
      </c>
      <c r="AIT58" s="115">
        <f>IF(AIT56&gt;0,SUM($D$18:AIS18),0)</f>
        <v>0</v>
      </c>
      <c r="AIU58" s="115">
        <f>IF(AIU56&gt;0,SUM($D$18:AIT18),0)</f>
        <v>0</v>
      </c>
      <c r="AIV58" s="115">
        <f>IF(AIV56&gt;0,SUM($D$18:AIU18),0)</f>
        <v>0</v>
      </c>
      <c r="AIW58" s="115">
        <f>IF(AIW56&gt;0,SUM($D$18:AIV18),0)</f>
        <v>0</v>
      </c>
      <c r="AIX58" s="115">
        <f>IF(AIX56&gt;0,SUM($D$18:AIW18),0)</f>
        <v>0</v>
      </c>
      <c r="AIY58" s="115">
        <f>IF(AIY56&gt;0,SUM($D$18:AIX18),0)</f>
        <v>0</v>
      </c>
      <c r="AIZ58" s="115">
        <f>IF(AIZ56&gt;0,SUM($D$18:AIY18),0)</f>
        <v>0</v>
      </c>
      <c r="AJA58" s="115">
        <f>IF(AJA56&gt;0,SUM($D$18:AIZ18),0)</f>
        <v>0</v>
      </c>
      <c r="AJB58" s="115">
        <f>IF(AJB56&gt;0,SUM($D$18:AJA18),0)</f>
        <v>0</v>
      </c>
      <c r="AJC58" s="115">
        <f>IF(AJC56&gt;0,SUM($D$18:AJB18),0)</f>
        <v>0</v>
      </c>
      <c r="AJD58" s="115">
        <f>IF(AJD56&gt;0,SUM($D$18:AJC18),0)</f>
        <v>0</v>
      </c>
      <c r="AJE58" s="115">
        <f>IF(AJE56&gt;0,SUM($D$18:AJD18),0)</f>
        <v>0</v>
      </c>
      <c r="AJF58" s="115">
        <f>IF(AJF56&gt;0,SUM($D$18:AJE18),0)</f>
        <v>0</v>
      </c>
      <c r="AJG58" s="115">
        <f>IF(AJG56&gt;0,SUM($D$18:AJF18),0)</f>
        <v>0</v>
      </c>
      <c r="AJH58" s="115">
        <f>IF(AJH56&gt;0,SUM($D$18:AJG18),0)</f>
        <v>0</v>
      </c>
      <c r="AJI58" s="115">
        <f>IF(AJI56&gt;0,SUM($D$18:AJH18),0)</f>
        <v>0</v>
      </c>
      <c r="AJJ58" s="115">
        <f>IF(AJJ56&gt;0,SUM($D$18:AJI18),0)</f>
        <v>0</v>
      </c>
      <c r="AJK58" s="115">
        <f>IF(AJK56&gt;0,SUM($D$18:AJJ18),0)</f>
        <v>0</v>
      </c>
      <c r="AJL58" s="115">
        <f>IF(AJL56&gt;0,SUM($D$18:AJK18),0)</f>
        <v>0</v>
      </c>
      <c r="AJM58" s="115">
        <f>IF(AJM56&gt;0,SUM($D$18:AJL18),0)</f>
        <v>0</v>
      </c>
      <c r="AJN58" s="115">
        <f>IF(AJN56&gt;0,SUM($D$18:AJM18),0)</f>
        <v>0</v>
      </c>
      <c r="AJO58" s="115">
        <f>IF(AJO56&gt;0,SUM($D$18:AJN18),0)</f>
        <v>0</v>
      </c>
      <c r="AJP58" s="115">
        <f>IF(AJP56&gt;0,SUM($D$18:AJO18),0)</f>
        <v>0</v>
      </c>
      <c r="AJQ58" s="115">
        <f>IF(AJQ56&gt;0,SUM($D$18:AJP18),0)</f>
        <v>0</v>
      </c>
      <c r="AJR58" s="115">
        <f>IF(AJR56&gt;0,SUM($D$18:AJQ18),0)</f>
        <v>0</v>
      </c>
      <c r="AJS58" s="115">
        <f>IF(AJS56&gt;0,SUM($D$18:AJR18),0)</f>
        <v>0</v>
      </c>
      <c r="AJT58" s="115">
        <f>IF(AJT56&gt;0,SUM($D$18:AJS18),0)</f>
        <v>0</v>
      </c>
      <c r="AJU58" s="115">
        <f>IF(AJU56&gt;0,SUM($D$18:AJT18),0)</f>
        <v>0</v>
      </c>
      <c r="AJV58" s="115">
        <f>IF(AJV56&gt;0,SUM($D$18:AJU18),0)</f>
        <v>0</v>
      </c>
      <c r="AJW58" s="115">
        <f>IF(AJW56&gt;0,SUM($D$18:AJV18),0)</f>
        <v>0</v>
      </c>
      <c r="AJX58" s="115">
        <f>IF(AJX56&gt;0,SUM($D$18:AJW18),0)</f>
        <v>0</v>
      </c>
      <c r="AJY58" s="115">
        <f>IF(AJY56&gt;0,SUM($D$18:AJX18),0)</f>
        <v>0</v>
      </c>
      <c r="AJZ58" s="115">
        <f>IF(AJZ56&gt;0,SUM($D$18:AJY18),0)</f>
        <v>0</v>
      </c>
      <c r="AKA58" s="115">
        <f>IF(AKA56&gt;0,SUM($D$18:AJZ18),0)</f>
        <v>0</v>
      </c>
      <c r="AKB58" s="115">
        <f>IF(AKB56&gt;0,SUM($D$18:AKA18),0)</f>
        <v>0</v>
      </c>
      <c r="AKC58" s="115">
        <f>IF(AKC56&gt;0,SUM($D$18:AKB18),0)</f>
        <v>0</v>
      </c>
      <c r="AKD58" s="115">
        <f>IF(AKD56&gt;0,SUM($D$18:AKC18),0)</f>
        <v>0</v>
      </c>
      <c r="AKE58" s="115">
        <f>IF(AKE56&gt;0,SUM($D$18:AKD18),0)</f>
        <v>0</v>
      </c>
      <c r="AKF58" s="115">
        <f>IF(AKF56&gt;0,SUM($D$18:AKE18),0)</f>
        <v>0</v>
      </c>
      <c r="AKG58" s="115">
        <f>IF(AKG56&gt;0,SUM($D$18:AKF18),0)</f>
        <v>0</v>
      </c>
      <c r="AKH58" s="115">
        <f>IF(AKH56&gt;0,SUM($D$18:AKG18),0)</f>
        <v>0</v>
      </c>
      <c r="AKI58" s="115">
        <f>IF(AKI56&gt;0,SUM($D$18:AKH18),0)</f>
        <v>0</v>
      </c>
      <c r="AKJ58" s="115">
        <f>IF(AKJ56&gt;0,SUM($D$18:AKI18),0)</f>
        <v>0</v>
      </c>
      <c r="AKK58" s="115">
        <f>IF(AKK56&gt;0,SUM($D$18:AKJ18),0)</f>
        <v>0</v>
      </c>
      <c r="AKL58" s="115">
        <f>IF(AKL56&gt;0,SUM($D$18:AKK18),0)</f>
        <v>0</v>
      </c>
      <c r="AKM58" s="115">
        <f>IF(AKM56&gt;0,SUM($D$18:AKL18),0)</f>
        <v>0</v>
      </c>
      <c r="AKN58" s="115">
        <f>IF(AKN56&gt;0,SUM($D$18:AKM18),0)</f>
        <v>0</v>
      </c>
      <c r="AKO58" s="115">
        <f>IF(AKO56&gt;0,SUM($D$18:AKN18),0)</f>
        <v>0</v>
      </c>
      <c r="AKP58" s="115">
        <f>IF(AKP56&gt;0,SUM($D$18:AKO18),0)</f>
        <v>0</v>
      </c>
      <c r="AKQ58" s="115">
        <f>IF(AKQ56&gt;0,SUM($D$18:AKP18),0)</f>
        <v>0</v>
      </c>
      <c r="AKR58" s="115">
        <f>IF(AKR56&gt;0,SUM($D$18:AKQ18),0)</f>
        <v>0</v>
      </c>
      <c r="AKS58" s="115">
        <f>IF(AKS56&gt;0,SUM($D$18:AKR18),0)</f>
        <v>0</v>
      </c>
      <c r="AKT58" s="115">
        <f>IF(AKT56&gt;0,SUM($D$18:AKS18),0)</f>
        <v>0</v>
      </c>
      <c r="AKU58" s="115">
        <f>IF(AKU56&gt;0,SUM($D$18:AKT18),0)</f>
        <v>0</v>
      </c>
      <c r="AKV58" s="115">
        <f>IF(AKV56&gt;0,SUM($D$18:AKU18),0)</f>
        <v>0</v>
      </c>
      <c r="AKW58" s="115">
        <f>IF(AKW56&gt;0,SUM($D$18:AKV18),0)</f>
        <v>0</v>
      </c>
      <c r="AKX58" s="115">
        <f>IF(AKX56&gt;0,SUM($D$18:AKW18),0)</f>
        <v>0</v>
      </c>
      <c r="AKY58" s="115">
        <f>IF(AKY56&gt;0,SUM($D$18:AKX18),0)</f>
        <v>0</v>
      </c>
      <c r="AKZ58" s="115">
        <f>IF(AKZ56&gt;0,SUM($D$18:AKY18),0)</f>
        <v>0</v>
      </c>
      <c r="ALA58" s="115">
        <f>IF(ALA56&gt;0,SUM($D$18:AKZ18),0)</f>
        <v>0</v>
      </c>
      <c r="ALB58" s="115">
        <f>IF(ALB56&gt;0,SUM($D$18:ALA18),0)</f>
        <v>0</v>
      </c>
      <c r="ALC58" s="115">
        <f>IF(ALC56&gt;0,SUM($D$18:ALB18),0)</f>
        <v>0</v>
      </c>
      <c r="ALD58" s="115">
        <f>IF(ALD56&gt;0,SUM($D$18:ALC18),0)</f>
        <v>0</v>
      </c>
      <c r="ALE58" s="115">
        <f>IF(ALE56&gt;0,SUM($D$18:ALD18),0)</f>
        <v>0</v>
      </c>
      <c r="ALF58" s="115">
        <f>IF(ALF56&gt;0,SUM($D$18:ALE18),0)</f>
        <v>0</v>
      </c>
      <c r="ALG58" s="115">
        <f>IF(ALG56&gt;0,SUM($D$18:ALF18),0)</f>
        <v>0</v>
      </c>
      <c r="ALH58" s="115">
        <f>IF(ALH56&gt;0,SUM($D$18:ALG18),0)</f>
        <v>0</v>
      </c>
      <c r="ALI58" s="115">
        <f>IF(ALI56&gt;0,SUM($D$18:ALH18),0)</f>
        <v>0</v>
      </c>
      <c r="ALJ58" s="115">
        <f>IF(ALJ56&gt;0,SUM($D$18:ALI18),0)</f>
        <v>0</v>
      </c>
      <c r="ALK58" s="115">
        <f>IF(ALK56&gt;0,SUM($D$18:ALJ18),0)</f>
        <v>0</v>
      </c>
      <c r="ALL58" s="115">
        <f>IF(ALL56&gt;0,SUM($D$18:ALK18),0)</f>
        <v>0</v>
      </c>
      <c r="ALM58" s="115">
        <f>IF(ALM56&gt;0,SUM($D$18:ALL18),0)</f>
        <v>0</v>
      </c>
      <c r="ALN58" s="115">
        <f>IF(ALN56&gt;0,SUM($D$18:ALM18),0)</f>
        <v>0</v>
      </c>
      <c r="ALO58" s="115">
        <f>IF(ALO56&gt;0,SUM($D$18:ALN18),0)</f>
        <v>0</v>
      </c>
      <c r="ALP58" s="115">
        <f>IF(ALP56&gt;0,SUM($D$18:ALO18),0)</f>
        <v>0</v>
      </c>
      <c r="ALQ58" s="115">
        <f>IF(ALQ56&gt;0,SUM($D$18:ALP18),0)</f>
        <v>0</v>
      </c>
      <c r="ALR58" s="115">
        <f>IF(ALR56&gt;0,SUM($D$18:ALQ18),0)</f>
        <v>0</v>
      </c>
      <c r="ALS58" s="115">
        <f>IF(ALS56&gt;0,SUM($D$18:ALR18),0)</f>
        <v>0</v>
      </c>
      <c r="ALT58" s="115">
        <f>IF(ALT56&gt;0,SUM($D$18:ALS18),0)</f>
        <v>0</v>
      </c>
      <c r="ALU58" s="115">
        <f>IF(ALU56&gt;0,SUM($D$18:ALT18),0)</f>
        <v>0</v>
      </c>
      <c r="ALV58" s="115">
        <f>IF(ALV56&gt;0,SUM($D$18:ALU18),0)</f>
        <v>0</v>
      </c>
      <c r="ALW58" s="115">
        <f>IF(ALW56&gt;0,SUM($D$18:ALV18),0)</f>
        <v>0</v>
      </c>
      <c r="ALX58" s="115">
        <f>IF(ALX56&gt;0,SUM($D$18:ALW18),0)</f>
        <v>0</v>
      </c>
      <c r="ALY58" s="115">
        <f>IF(ALY56&gt;0,SUM($D$18:ALX18),0)</f>
        <v>0</v>
      </c>
      <c r="ALZ58" s="115">
        <f>IF(ALZ56&gt;0,SUM($D$18:ALY18),0)</f>
        <v>0</v>
      </c>
      <c r="AMA58" s="115">
        <f>IF(AMA56&gt;0,SUM($D$18:ALZ18),0)</f>
        <v>0</v>
      </c>
      <c r="AMB58" s="115">
        <f>IF(AMB56&gt;0,SUM($D$18:AMA18),0)</f>
        <v>0</v>
      </c>
      <c r="AMC58" s="115">
        <f>IF(AMC56&gt;0,SUM($D$18:AMB18),0)</f>
        <v>0</v>
      </c>
      <c r="AMD58" s="115">
        <f>IF(AMD56&gt;0,SUM($D$18:AMC18),0)</f>
        <v>0</v>
      </c>
      <c r="AME58" s="115">
        <f>IF(AME56&gt;0,SUM($D$18:AMD18),0)</f>
        <v>0</v>
      </c>
      <c r="AMF58" s="115">
        <f>IF(AMF56&gt;0,SUM($D$18:AME18),0)</f>
        <v>0</v>
      </c>
      <c r="AMG58" s="115">
        <f>IF(AMG56&gt;0,SUM($D$18:AMF18),0)</f>
        <v>0</v>
      </c>
      <c r="AMH58" s="115">
        <f>IF(AMH56&gt;0,SUM($D$18:AMG18),0)</f>
        <v>0</v>
      </c>
      <c r="AMI58" s="115">
        <f>IF(AMI56&gt;0,SUM($D$18:AMH18),0)</f>
        <v>0</v>
      </c>
      <c r="AMJ58" s="115">
        <f>IF(AMJ56&gt;0,SUM($D$18:AMI18),0)</f>
        <v>0</v>
      </c>
      <c r="AMK58" s="115">
        <f>IF(AMK56&gt;0,SUM($D$18:AMJ18),0)</f>
        <v>0</v>
      </c>
      <c r="AML58" s="115">
        <f>IF(AML56&gt;0,SUM($D$18:AMK18),0)</f>
        <v>0</v>
      </c>
      <c r="AMM58" s="115">
        <f>IF(AMM56&gt;0,SUM($D$18:AML18),0)</f>
        <v>0</v>
      </c>
      <c r="AMN58" s="115">
        <f>IF(AMN56&gt;0,SUM($D$18:AMM18),0)</f>
        <v>0</v>
      </c>
      <c r="AMO58" s="115">
        <f>IF(AMO56&gt;0,SUM($D$18:AMN18),0)</f>
        <v>0</v>
      </c>
      <c r="AMP58" s="115">
        <f>IF(AMP56&gt;0,SUM($D$18:AMO18),0)</f>
        <v>0</v>
      </c>
      <c r="AMQ58" s="115">
        <f>IF(AMQ56&gt;0,SUM($D$18:AMP18),0)</f>
        <v>0</v>
      </c>
      <c r="AMR58" s="115">
        <f>IF(AMR56&gt;0,SUM($D$18:AMQ18),0)</f>
        <v>0</v>
      </c>
      <c r="AMS58" s="115">
        <f>IF(AMS56&gt;0,SUM($D$18:AMR18),0)</f>
        <v>0</v>
      </c>
      <c r="AMT58" s="115">
        <f>IF(AMT56&gt;0,SUM($D$18:AMS18),0)</f>
        <v>0</v>
      </c>
      <c r="AMU58" s="115">
        <f>IF(AMU56&gt;0,SUM($D$18:AMT18),0)</f>
        <v>0</v>
      </c>
      <c r="AMV58" s="115">
        <f>IF(AMV56&gt;0,SUM($D$18:AMU18),0)</f>
        <v>0</v>
      </c>
      <c r="AMW58" s="115">
        <f>IF(AMW56&gt;0,SUM($D$18:AMV18),0)</f>
        <v>0</v>
      </c>
      <c r="AMX58" s="115">
        <f>IF(AMX56&gt;0,SUM($D$18:AMW18),0)</f>
        <v>0</v>
      </c>
      <c r="AMY58" s="115">
        <f>IF(AMY56&gt;0,SUM($D$18:AMX18),0)</f>
        <v>0</v>
      </c>
      <c r="AMZ58" s="115">
        <f>IF(AMZ56&gt;0,SUM($D$18:AMY18),0)</f>
        <v>0</v>
      </c>
      <c r="ANA58" s="115">
        <f>IF(ANA56&gt;0,SUM($D$18:AMZ18),0)</f>
        <v>0</v>
      </c>
      <c r="ANB58" s="115">
        <f>IF(ANB56&gt;0,SUM($D$18:ANA18),0)</f>
        <v>0</v>
      </c>
      <c r="ANC58" s="115">
        <f>IF(ANC56&gt;0,SUM($D$18:ANB18),0)</f>
        <v>0</v>
      </c>
      <c r="AND58" s="115">
        <f>IF(AND56&gt;0,SUM($D$18:ANC18),0)</f>
        <v>0</v>
      </c>
      <c r="ANE58" s="115">
        <f>IF(ANE56&gt;0,SUM($D$18:AND18),0)</f>
        <v>0</v>
      </c>
      <c r="ANF58" s="115">
        <f>IF(ANF56&gt;0,SUM($D$18:ANE18),0)</f>
        <v>0</v>
      </c>
      <c r="ANG58" s="115">
        <f>IF(ANG56&gt;0,SUM($D$18:ANF18),0)</f>
        <v>0</v>
      </c>
      <c r="ANH58" s="115">
        <f>IF(ANH56&gt;0,SUM($D$18:ANG18),0)</f>
        <v>0</v>
      </c>
      <c r="ANI58" s="115">
        <f>IF(ANI56&gt;0,SUM($D$18:ANH18),0)</f>
        <v>0</v>
      </c>
      <c r="ANJ58" s="115">
        <f>IF(ANJ56&gt;0,SUM($D$18:ANI18),0)</f>
        <v>0</v>
      </c>
      <c r="ANK58" s="115">
        <f>IF(ANK56&gt;0,SUM($D$18:ANJ18),0)</f>
        <v>0</v>
      </c>
      <c r="ANL58" s="115">
        <f>IF(ANL56&gt;0,SUM($D$18:ANK18),0)</f>
        <v>0</v>
      </c>
      <c r="ANM58" s="115">
        <f>IF(ANM56&gt;0,SUM($D$18:ANL18),0)</f>
        <v>0</v>
      </c>
      <c r="ANN58" s="115">
        <f>IF(ANN56&gt;0,SUM($D$18:ANM18),0)</f>
        <v>0</v>
      </c>
      <c r="ANO58" s="115">
        <f>IF(ANO56&gt;0,SUM($D$18:ANN18),0)</f>
        <v>0</v>
      </c>
      <c r="ANP58" s="115">
        <f>IF(ANP56&gt;0,SUM($D$18:ANO18),0)</f>
        <v>0</v>
      </c>
      <c r="ANQ58" s="115">
        <f>IF(ANQ56&gt;0,SUM($D$18:ANP18),0)</f>
        <v>0</v>
      </c>
      <c r="ANR58" s="115">
        <f>IF(ANR56&gt;0,SUM($D$18:ANQ18),0)</f>
        <v>0</v>
      </c>
      <c r="ANS58" s="115">
        <f>IF(ANS56&gt;0,SUM($D$18:ANR18),0)</f>
        <v>0</v>
      </c>
      <c r="ANT58" s="115">
        <f>IF(ANT56&gt;0,SUM($D$18:ANS18),0)</f>
        <v>0</v>
      </c>
      <c r="ANU58" s="115">
        <f>IF(ANU56&gt;0,SUM($D$18:ANT18),0)</f>
        <v>0</v>
      </c>
      <c r="ANV58" s="115">
        <f>IF(ANV56&gt;0,SUM($D$18:ANU18),0)</f>
        <v>0</v>
      </c>
      <c r="ANW58" s="115">
        <f>IF(ANW56&gt;0,SUM($D$18:ANV18),0)</f>
        <v>0</v>
      </c>
      <c r="ANX58" s="115">
        <f>IF(ANX56&gt;0,SUM($D$18:ANW18),0)</f>
        <v>0</v>
      </c>
      <c r="ANY58" s="115">
        <f>IF(ANY56&gt;0,SUM($D$18:ANX18),0)</f>
        <v>0</v>
      </c>
      <c r="ANZ58" s="115">
        <f>IF(ANZ56&gt;0,SUM($D$18:ANY18),0)</f>
        <v>0</v>
      </c>
      <c r="AOA58" s="115">
        <f>IF(AOA56&gt;0,SUM($D$18:ANZ18),0)</f>
        <v>0</v>
      </c>
      <c r="AOB58" s="115">
        <f>IF(AOB56&gt;0,SUM($D$18:AOA18),0)</f>
        <v>0</v>
      </c>
      <c r="AOC58" s="115">
        <f>IF(AOC56&gt;0,SUM($D$18:AOB18),0)</f>
        <v>0</v>
      </c>
      <c r="AOD58" s="115">
        <f>IF(AOD56&gt;0,SUM($D$18:AOC18),0)</f>
        <v>0</v>
      </c>
      <c r="AOE58" s="115">
        <f>IF(AOE56&gt;0,SUM($D$18:AOD18),0)</f>
        <v>0</v>
      </c>
      <c r="AOF58" s="115">
        <f>IF(AOF56&gt;0,SUM($D$18:AOE18),0)</f>
        <v>0</v>
      </c>
      <c r="AOG58" s="115">
        <f>IF(AOG56&gt;0,SUM($D$18:AOF18),0)</f>
        <v>0</v>
      </c>
      <c r="AOH58" s="115">
        <f>IF(AOH56&gt;0,SUM($D$18:AOG18),0)</f>
        <v>0</v>
      </c>
      <c r="AOI58" s="115">
        <f>IF(AOI56&gt;0,SUM($D$18:AOH18),0)</f>
        <v>0</v>
      </c>
      <c r="AOJ58" s="115">
        <f>IF(AOJ56&gt;0,SUM($D$18:AOI18),0)</f>
        <v>0</v>
      </c>
      <c r="AOK58" s="115">
        <f>IF(AOK56&gt;0,SUM($D$18:AOJ18),0)</f>
        <v>0</v>
      </c>
      <c r="AOL58" s="115">
        <f>IF(AOL56&gt;0,SUM($D$18:AOK18),0)</f>
        <v>0</v>
      </c>
      <c r="AOM58" s="115">
        <f>IF(AOM56&gt;0,SUM($D$18:AOL18),0)</f>
        <v>0</v>
      </c>
      <c r="AON58" s="115">
        <f>IF(AON56&gt;0,SUM($D$18:AOM18),0)</f>
        <v>0</v>
      </c>
      <c r="AOO58" s="115">
        <f>IF(AOO56&gt;0,SUM($D$18:AON18),0)</f>
        <v>0</v>
      </c>
      <c r="AOP58" s="115">
        <f>IF(AOP56&gt;0,SUM($D$18:AOO18),0)</f>
        <v>0</v>
      </c>
      <c r="AOQ58" s="115">
        <f>IF(AOQ56&gt;0,SUM($D$18:AOP18),0)</f>
        <v>0</v>
      </c>
    </row>
    <row r="59" spans="1:1083" x14ac:dyDescent="0.25">
      <c r="B59" s="116" t="s">
        <v>300</v>
      </c>
      <c r="C59" s="115" t="str">
        <f>IFERROR(MAX(IF(AND(MAX(IF(C57=C50,C58,C58-C51),0)=0,C54&gt;0),"Saldo Insuficiente",IF(C57=C50,C58,C58-C51)),0),"Saldo Insuficiente")</f>
        <v>Saldo Insuficiente</v>
      </c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  <c r="BP59" s="115"/>
      <c r="BQ59" s="115"/>
      <c r="BR59" s="115"/>
      <c r="BS59" s="115"/>
      <c r="BT59" s="115"/>
      <c r="BU59" s="115"/>
      <c r="BV59" s="115"/>
      <c r="BW59" s="115"/>
      <c r="BX59" s="115"/>
      <c r="BY59" s="115"/>
      <c r="BZ59" s="115"/>
      <c r="CA59" s="115"/>
      <c r="CB59" s="115"/>
      <c r="CC59" s="115"/>
      <c r="CD59" s="115"/>
      <c r="CE59" s="115"/>
      <c r="CF59" s="115"/>
      <c r="CG59" s="115"/>
      <c r="CH59" s="115"/>
      <c r="CI59" s="115"/>
      <c r="CJ59" s="115"/>
      <c r="CK59" s="115"/>
      <c r="CL59" s="115"/>
      <c r="CM59" s="115"/>
      <c r="CN59" s="115"/>
      <c r="CO59" s="115"/>
      <c r="CP59" s="115"/>
      <c r="CQ59" s="115"/>
      <c r="CR59" s="115"/>
      <c r="CS59" s="115"/>
      <c r="CT59" s="115"/>
      <c r="CU59" s="115"/>
      <c r="CV59" s="115"/>
      <c r="CW59" s="115"/>
      <c r="CX59" s="115"/>
      <c r="CY59" s="115"/>
      <c r="CZ59" s="115"/>
      <c r="DA59" s="115"/>
      <c r="DB59" s="115"/>
      <c r="DC59" s="115"/>
      <c r="DD59" s="115"/>
      <c r="DE59" s="115"/>
      <c r="DF59" s="115"/>
      <c r="DG59" s="115"/>
      <c r="DH59" s="115"/>
      <c r="DI59" s="115"/>
      <c r="DJ59" s="115"/>
      <c r="DK59" s="115"/>
      <c r="DL59" s="115"/>
      <c r="DM59" s="115"/>
      <c r="DN59" s="115"/>
      <c r="DO59" s="115"/>
      <c r="DP59" s="115"/>
      <c r="DQ59" s="115"/>
      <c r="DR59" s="115"/>
      <c r="DS59" s="115"/>
      <c r="DT59" s="115"/>
      <c r="DU59" s="115"/>
      <c r="DV59" s="115"/>
      <c r="DW59" s="115"/>
      <c r="DX59" s="115"/>
      <c r="DY59" s="115"/>
      <c r="DZ59" s="115"/>
      <c r="EA59" s="115"/>
      <c r="EB59" s="115"/>
      <c r="EC59" s="115"/>
      <c r="ED59" s="115"/>
      <c r="EE59" s="115"/>
      <c r="EF59" s="115"/>
      <c r="EG59" s="115"/>
      <c r="EH59" s="115"/>
      <c r="EI59" s="115"/>
      <c r="EJ59" s="115"/>
      <c r="EK59" s="115"/>
      <c r="EL59" s="115"/>
      <c r="EM59" s="115"/>
      <c r="EN59" s="115"/>
      <c r="EO59" s="115"/>
      <c r="EP59" s="115"/>
      <c r="EQ59" s="115"/>
      <c r="ER59" s="115"/>
      <c r="ES59" s="115"/>
      <c r="ET59" s="115"/>
      <c r="EU59" s="115"/>
      <c r="EV59" s="115"/>
      <c r="EW59" s="115"/>
      <c r="EX59" s="115"/>
      <c r="EY59" s="115"/>
      <c r="EZ59" s="115"/>
      <c r="FA59" s="115"/>
      <c r="FB59" s="115"/>
      <c r="FC59" s="115"/>
      <c r="FD59" s="115"/>
      <c r="FE59" s="115"/>
      <c r="FF59" s="115"/>
      <c r="FG59" s="115"/>
      <c r="FH59" s="115"/>
      <c r="FI59" s="115"/>
      <c r="FJ59" s="115"/>
      <c r="FK59" s="115"/>
      <c r="FL59" s="115"/>
      <c r="FM59" s="115"/>
      <c r="FN59" s="115"/>
      <c r="FO59" s="115"/>
      <c r="FP59" s="115"/>
      <c r="FQ59" s="115"/>
      <c r="FR59" s="115"/>
      <c r="FS59" s="115"/>
      <c r="FT59" s="115"/>
      <c r="FU59" s="115"/>
      <c r="FV59" s="115"/>
      <c r="FW59" s="115"/>
      <c r="FX59" s="115"/>
      <c r="FY59" s="115"/>
      <c r="FZ59" s="115"/>
      <c r="GA59" s="115"/>
      <c r="GB59" s="115"/>
      <c r="GC59" s="115"/>
      <c r="GD59" s="115"/>
      <c r="GE59" s="115"/>
      <c r="GF59" s="115"/>
      <c r="GG59" s="115"/>
      <c r="GH59" s="115"/>
      <c r="GI59" s="115"/>
      <c r="GJ59" s="115"/>
      <c r="GK59" s="115"/>
      <c r="GL59" s="115"/>
      <c r="GM59" s="115"/>
      <c r="GN59" s="115"/>
      <c r="GO59" s="115"/>
      <c r="GP59" s="115"/>
      <c r="GQ59" s="115"/>
      <c r="GR59" s="115"/>
      <c r="GS59" s="115"/>
      <c r="GT59" s="115"/>
      <c r="GU59" s="115"/>
      <c r="GV59" s="115"/>
      <c r="GW59" s="115"/>
      <c r="GX59" s="115"/>
      <c r="GY59" s="115"/>
      <c r="GZ59" s="115"/>
      <c r="HA59" s="115"/>
      <c r="HB59" s="115"/>
      <c r="HC59" s="115"/>
      <c r="HD59" s="115"/>
      <c r="HE59" s="115"/>
      <c r="HF59" s="115"/>
      <c r="HG59" s="115"/>
      <c r="HH59" s="115"/>
      <c r="HI59" s="115"/>
      <c r="HJ59" s="115"/>
      <c r="HK59" s="115"/>
      <c r="HL59" s="115"/>
      <c r="HM59" s="115"/>
      <c r="HN59" s="115"/>
      <c r="HO59" s="115"/>
      <c r="HP59" s="115"/>
      <c r="HQ59" s="115"/>
      <c r="HR59" s="115"/>
      <c r="HS59" s="115"/>
      <c r="HT59" s="115"/>
      <c r="HU59" s="115"/>
      <c r="HV59" s="115"/>
      <c r="HW59" s="115"/>
      <c r="HX59" s="115"/>
      <c r="HY59" s="115"/>
      <c r="HZ59" s="115"/>
      <c r="IA59" s="115"/>
      <c r="IB59" s="115"/>
      <c r="IC59" s="115"/>
      <c r="ID59" s="115"/>
      <c r="IE59" s="115"/>
      <c r="IF59" s="115"/>
      <c r="IG59" s="115"/>
      <c r="IH59" s="115"/>
      <c r="II59" s="115"/>
      <c r="IJ59" s="115"/>
      <c r="IK59" s="115"/>
      <c r="IL59" s="115"/>
      <c r="IM59" s="115"/>
      <c r="IN59" s="115"/>
      <c r="IO59" s="115"/>
      <c r="IP59" s="115"/>
      <c r="IQ59" s="115"/>
      <c r="IR59" s="115"/>
      <c r="IS59" s="115"/>
      <c r="IT59" s="115"/>
      <c r="IU59" s="115"/>
      <c r="IV59" s="115"/>
      <c r="IW59" s="115"/>
      <c r="IX59" s="115"/>
      <c r="IY59" s="115"/>
      <c r="IZ59" s="115"/>
      <c r="JA59" s="115"/>
      <c r="JB59" s="115"/>
      <c r="JC59" s="115"/>
      <c r="JD59" s="115"/>
      <c r="JE59" s="115"/>
      <c r="JF59" s="115"/>
      <c r="JG59" s="115"/>
      <c r="JH59" s="115"/>
      <c r="JI59" s="115"/>
      <c r="JJ59" s="115"/>
      <c r="JK59" s="115"/>
      <c r="JL59" s="115"/>
      <c r="JM59" s="115"/>
      <c r="JN59" s="115"/>
      <c r="JO59" s="115"/>
      <c r="JP59" s="115"/>
      <c r="JQ59" s="115"/>
      <c r="JR59" s="115"/>
      <c r="JS59" s="115"/>
      <c r="JT59" s="115"/>
      <c r="JU59" s="115"/>
      <c r="JV59" s="115"/>
      <c r="JW59" s="115"/>
      <c r="JX59" s="115"/>
      <c r="JY59" s="115"/>
      <c r="JZ59" s="115"/>
      <c r="KA59" s="115"/>
      <c r="KB59" s="115"/>
      <c r="KC59" s="115"/>
      <c r="KD59" s="115"/>
      <c r="KE59" s="115"/>
      <c r="KF59" s="115"/>
      <c r="KG59" s="115"/>
      <c r="KH59" s="115"/>
      <c r="KI59" s="115"/>
      <c r="KJ59" s="115"/>
      <c r="KK59" s="115"/>
      <c r="KL59" s="115"/>
      <c r="KM59" s="115"/>
      <c r="KN59" s="115"/>
      <c r="KO59" s="115"/>
      <c r="KP59" s="115"/>
      <c r="KQ59" s="115"/>
      <c r="KR59" s="115"/>
      <c r="KS59" s="115"/>
      <c r="KT59" s="115"/>
      <c r="KU59" s="115"/>
      <c r="KV59" s="115"/>
      <c r="KW59" s="115"/>
      <c r="KX59" s="115"/>
      <c r="KY59" s="115"/>
      <c r="KZ59" s="115"/>
      <c r="LA59" s="115"/>
      <c r="LB59" s="115"/>
      <c r="LC59" s="115"/>
      <c r="LD59" s="115"/>
      <c r="LE59" s="115"/>
      <c r="LF59" s="115"/>
      <c r="LG59" s="115"/>
      <c r="LH59" s="115"/>
      <c r="LI59" s="115"/>
      <c r="LJ59" s="115"/>
      <c r="LK59" s="115"/>
      <c r="LL59" s="115"/>
      <c r="LM59" s="115"/>
      <c r="LN59" s="115"/>
      <c r="LO59" s="115"/>
      <c r="LP59" s="115"/>
      <c r="LQ59" s="115"/>
      <c r="LR59" s="115"/>
      <c r="LS59" s="115"/>
      <c r="LT59" s="115"/>
      <c r="LU59" s="115"/>
      <c r="LV59" s="115"/>
      <c r="LW59" s="115"/>
      <c r="LX59" s="115"/>
      <c r="LY59" s="115"/>
      <c r="LZ59" s="115"/>
      <c r="MA59" s="115"/>
      <c r="MB59" s="115"/>
      <c r="MC59" s="115"/>
      <c r="MD59" s="115"/>
      <c r="ME59" s="115"/>
      <c r="MF59" s="115"/>
      <c r="MG59" s="115"/>
      <c r="MH59" s="115"/>
      <c r="MI59" s="115"/>
      <c r="MJ59" s="115"/>
      <c r="MK59" s="115"/>
      <c r="ML59" s="115"/>
      <c r="MM59" s="115"/>
      <c r="MN59" s="115"/>
      <c r="MO59" s="115"/>
      <c r="MP59" s="115"/>
      <c r="MQ59" s="115"/>
      <c r="MR59" s="115"/>
      <c r="MS59" s="115"/>
      <c r="MT59" s="115"/>
      <c r="MU59" s="115"/>
      <c r="MV59" s="115"/>
      <c r="MW59" s="115"/>
      <c r="MX59" s="115"/>
      <c r="MY59" s="115"/>
      <c r="MZ59" s="115"/>
      <c r="NA59" s="115"/>
      <c r="NB59" s="115"/>
      <c r="NC59" s="115"/>
      <c r="ND59" s="115"/>
      <c r="NE59" s="115"/>
      <c r="NF59" s="115"/>
      <c r="NG59" s="115"/>
      <c r="NH59" s="115"/>
      <c r="NI59" s="115"/>
      <c r="NJ59" s="115"/>
      <c r="NK59" s="115"/>
      <c r="NL59" s="115"/>
      <c r="NM59" s="115"/>
      <c r="NN59" s="115"/>
      <c r="NO59" s="115"/>
      <c r="NP59" s="115"/>
      <c r="NQ59" s="115"/>
      <c r="NR59" s="115"/>
      <c r="NS59" s="115"/>
      <c r="NT59" s="115"/>
      <c r="NU59" s="115"/>
      <c r="NV59" s="115"/>
      <c r="NW59" s="115"/>
      <c r="NX59" s="115"/>
      <c r="NY59" s="115"/>
      <c r="NZ59" s="115"/>
      <c r="OA59" s="115"/>
      <c r="OB59" s="115"/>
      <c r="OC59" s="115"/>
      <c r="OD59" s="115"/>
      <c r="OE59" s="115"/>
      <c r="OF59" s="115"/>
      <c r="OG59" s="115"/>
      <c r="OH59" s="115"/>
      <c r="OI59" s="115"/>
      <c r="OJ59" s="115"/>
      <c r="OK59" s="115"/>
      <c r="OL59" s="115"/>
      <c r="OM59" s="115"/>
      <c r="ON59" s="115"/>
      <c r="OO59" s="115"/>
      <c r="OP59" s="115"/>
      <c r="OQ59" s="115"/>
      <c r="OR59" s="115"/>
      <c r="OS59" s="115"/>
      <c r="OT59" s="115"/>
      <c r="OU59" s="115"/>
      <c r="OV59" s="115"/>
      <c r="OW59" s="115"/>
      <c r="OX59" s="115"/>
      <c r="OY59" s="115"/>
      <c r="OZ59" s="115"/>
      <c r="PA59" s="115"/>
      <c r="PB59" s="115"/>
      <c r="PC59" s="115"/>
      <c r="PD59" s="115"/>
      <c r="PE59" s="115"/>
      <c r="PF59" s="115"/>
      <c r="PG59" s="115"/>
      <c r="PH59" s="115"/>
      <c r="PI59" s="115"/>
      <c r="PJ59" s="115"/>
      <c r="PK59" s="115"/>
      <c r="PL59" s="115"/>
      <c r="PM59" s="115"/>
      <c r="PN59" s="115"/>
      <c r="PO59" s="115"/>
      <c r="PP59" s="115"/>
      <c r="PQ59" s="115"/>
      <c r="PR59" s="115"/>
      <c r="PS59" s="115"/>
      <c r="PT59" s="115"/>
      <c r="PU59" s="115"/>
      <c r="PV59" s="115"/>
      <c r="PW59" s="115"/>
      <c r="PX59" s="115"/>
      <c r="PY59" s="115"/>
      <c r="PZ59" s="115"/>
      <c r="QA59" s="115"/>
      <c r="QB59" s="115"/>
      <c r="QC59" s="115"/>
      <c r="QD59" s="115"/>
      <c r="QE59" s="115"/>
      <c r="QF59" s="115"/>
      <c r="QG59" s="115"/>
      <c r="QH59" s="115"/>
      <c r="QI59" s="115"/>
      <c r="QJ59" s="115"/>
      <c r="QK59" s="115"/>
      <c r="QL59" s="115"/>
      <c r="QM59" s="115"/>
      <c r="QN59" s="115"/>
      <c r="QO59" s="115"/>
      <c r="QP59" s="115"/>
      <c r="QQ59" s="115"/>
      <c r="QR59" s="115"/>
      <c r="QS59" s="115"/>
      <c r="QT59" s="115"/>
      <c r="QU59" s="115"/>
      <c r="QV59" s="115"/>
      <c r="QW59" s="115"/>
      <c r="QX59" s="115"/>
      <c r="QY59" s="115"/>
      <c r="QZ59" s="115"/>
      <c r="RA59" s="115"/>
      <c r="RB59" s="115"/>
      <c r="RC59" s="115"/>
      <c r="RD59" s="115"/>
      <c r="RE59" s="115"/>
      <c r="RF59" s="115"/>
      <c r="RG59" s="115"/>
      <c r="RH59" s="115"/>
      <c r="RI59" s="115"/>
      <c r="RJ59" s="115"/>
      <c r="RK59" s="115"/>
      <c r="RL59" s="115"/>
      <c r="RM59" s="115"/>
      <c r="RN59" s="115"/>
      <c r="RO59" s="115"/>
      <c r="RP59" s="115"/>
      <c r="RQ59" s="115"/>
      <c r="RR59" s="115"/>
      <c r="RS59" s="115"/>
      <c r="RT59" s="115"/>
      <c r="RU59" s="115"/>
      <c r="RV59" s="115"/>
      <c r="RW59" s="115"/>
      <c r="RX59" s="115"/>
      <c r="RY59" s="115"/>
      <c r="RZ59" s="115"/>
      <c r="SA59" s="115"/>
      <c r="SB59" s="115"/>
      <c r="SC59" s="115"/>
      <c r="SD59" s="115"/>
      <c r="SE59" s="115"/>
      <c r="SF59" s="115"/>
      <c r="SG59" s="115"/>
      <c r="SH59" s="115"/>
      <c r="SI59" s="115"/>
      <c r="SJ59" s="115"/>
      <c r="SK59" s="115"/>
      <c r="SL59" s="115"/>
      <c r="SM59" s="115"/>
      <c r="SN59" s="115"/>
      <c r="SO59" s="115"/>
      <c r="SP59" s="115"/>
      <c r="SQ59" s="115"/>
      <c r="SR59" s="115"/>
      <c r="SS59" s="115"/>
      <c r="ST59" s="115"/>
      <c r="SU59" s="115"/>
      <c r="SV59" s="115"/>
      <c r="SW59" s="115"/>
      <c r="SX59" s="115"/>
      <c r="SY59" s="115"/>
      <c r="SZ59" s="115"/>
      <c r="TA59" s="115"/>
      <c r="TB59" s="115"/>
      <c r="TC59" s="115"/>
      <c r="TD59" s="115"/>
      <c r="TE59" s="115"/>
      <c r="TF59" s="115"/>
      <c r="TG59" s="115"/>
      <c r="TH59" s="115"/>
      <c r="TI59" s="115"/>
      <c r="TJ59" s="115"/>
      <c r="TK59" s="115"/>
      <c r="TL59" s="115"/>
      <c r="TM59" s="115"/>
      <c r="TN59" s="115"/>
      <c r="TO59" s="115"/>
      <c r="TP59" s="115"/>
      <c r="TQ59" s="115"/>
      <c r="TR59" s="115"/>
      <c r="TS59" s="115"/>
      <c r="TT59" s="115"/>
      <c r="TU59" s="115"/>
      <c r="TV59" s="115"/>
      <c r="TW59" s="115"/>
      <c r="TX59" s="115"/>
      <c r="TY59" s="115"/>
      <c r="TZ59" s="115"/>
      <c r="UA59" s="115"/>
      <c r="UB59" s="115"/>
      <c r="UC59" s="115"/>
      <c r="UD59" s="115"/>
      <c r="UE59" s="115"/>
      <c r="UF59" s="115"/>
      <c r="UG59" s="115"/>
      <c r="UH59" s="115"/>
      <c r="UI59" s="115"/>
      <c r="UJ59" s="115"/>
      <c r="UK59" s="115"/>
      <c r="UL59" s="115"/>
      <c r="UM59" s="115"/>
      <c r="UN59" s="115"/>
      <c r="UO59" s="115"/>
      <c r="UP59" s="115"/>
      <c r="UQ59" s="115"/>
      <c r="UR59" s="115"/>
      <c r="US59" s="115"/>
      <c r="UT59" s="115"/>
      <c r="UU59" s="115"/>
      <c r="UV59" s="115"/>
      <c r="UW59" s="115"/>
      <c r="UX59" s="115"/>
      <c r="UY59" s="115"/>
      <c r="UZ59" s="115"/>
      <c r="VA59" s="115"/>
      <c r="VB59" s="115"/>
      <c r="VC59" s="115"/>
      <c r="VD59" s="115"/>
      <c r="VE59" s="115"/>
      <c r="VF59" s="115"/>
      <c r="VG59" s="115"/>
      <c r="VH59" s="115"/>
      <c r="VI59" s="115"/>
      <c r="VJ59" s="115"/>
      <c r="VK59" s="115"/>
      <c r="VL59" s="115"/>
      <c r="VM59" s="115"/>
      <c r="VN59" s="115"/>
      <c r="VO59" s="115"/>
      <c r="VP59" s="115"/>
      <c r="VQ59" s="115"/>
      <c r="VR59" s="115"/>
      <c r="VS59" s="115"/>
      <c r="VT59" s="115"/>
      <c r="VU59" s="115"/>
      <c r="VV59" s="115"/>
      <c r="VW59" s="115"/>
      <c r="VX59" s="115"/>
      <c r="VY59" s="115"/>
      <c r="VZ59" s="115"/>
      <c r="WA59" s="115"/>
      <c r="WB59" s="115"/>
      <c r="WC59" s="115"/>
      <c r="WD59" s="115"/>
      <c r="WE59" s="115"/>
      <c r="WF59" s="115"/>
      <c r="WG59" s="115"/>
      <c r="WH59" s="115"/>
      <c r="WI59" s="115"/>
      <c r="WJ59" s="115"/>
      <c r="WK59" s="115"/>
      <c r="WL59" s="115"/>
      <c r="WM59" s="115"/>
      <c r="WN59" s="115"/>
      <c r="WO59" s="115"/>
      <c r="WP59" s="115"/>
      <c r="WQ59" s="115"/>
      <c r="WR59" s="115"/>
      <c r="WS59" s="115"/>
      <c r="WT59" s="115"/>
      <c r="WU59" s="115"/>
      <c r="WV59" s="115"/>
      <c r="WW59" s="115"/>
      <c r="WX59" s="115"/>
      <c r="WY59" s="115"/>
      <c r="WZ59" s="115"/>
      <c r="XA59" s="115"/>
      <c r="XB59" s="115"/>
      <c r="XC59" s="115"/>
      <c r="XD59" s="115"/>
      <c r="XE59" s="115"/>
      <c r="XF59" s="115"/>
      <c r="XG59" s="115"/>
      <c r="XH59" s="115"/>
      <c r="XI59" s="115"/>
      <c r="XJ59" s="115"/>
      <c r="XK59" s="115"/>
      <c r="XL59" s="115"/>
      <c r="XM59" s="115"/>
      <c r="XN59" s="115"/>
      <c r="XO59" s="115"/>
      <c r="XP59" s="115"/>
      <c r="XQ59" s="115"/>
      <c r="XR59" s="115"/>
      <c r="XS59" s="115"/>
      <c r="XT59" s="115"/>
      <c r="XU59" s="115"/>
      <c r="XV59" s="115"/>
      <c r="XW59" s="115"/>
      <c r="XX59" s="115"/>
      <c r="XY59" s="115"/>
      <c r="XZ59" s="115"/>
      <c r="YA59" s="115"/>
      <c r="YB59" s="115"/>
      <c r="YC59" s="115"/>
      <c r="YD59" s="115"/>
      <c r="YE59" s="115"/>
      <c r="YF59" s="115"/>
      <c r="YG59" s="115"/>
      <c r="YH59" s="115"/>
      <c r="YI59" s="115"/>
      <c r="YJ59" s="115"/>
      <c r="YK59" s="115"/>
      <c r="YL59" s="115"/>
      <c r="YM59" s="115"/>
      <c r="YN59" s="115"/>
      <c r="YO59" s="115"/>
      <c r="YP59" s="115"/>
      <c r="YQ59" s="115"/>
      <c r="YR59" s="115"/>
      <c r="YS59" s="115"/>
      <c r="YT59" s="115"/>
      <c r="YU59" s="115"/>
      <c r="YV59" s="115"/>
      <c r="YW59" s="115"/>
      <c r="YX59" s="115"/>
      <c r="YY59" s="115"/>
      <c r="YZ59" s="115"/>
      <c r="ZA59" s="115"/>
      <c r="ZB59" s="115"/>
      <c r="ZC59" s="115"/>
      <c r="ZD59" s="115"/>
      <c r="ZE59" s="115"/>
      <c r="ZF59" s="115"/>
      <c r="ZG59" s="115"/>
      <c r="ZH59" s="115"/>
      <c r="ZI59" s="115"/>
      <c r="ZJ59" s="115"/>
      <c r="ZK59" s="115"/>
      <c r="ZL59" s="115"/>
      <c r="ZM59" s="115"/>
      <c r="ZN59" s="115"/>
      <c r="ZO59" s="115"/>
      <c r="ZP59" s="115"/>
      <c r="ZQ59" s="115"/>
      <c r="ZR59" s="115"/>
      <c r="ZS59" s="115"/>
      <c r="ZT59" s="115"/>
      <c r="ZU59" s="115"/>
      <c r="ZV59" s="115"/>
      <c r="ZW59" s="115"/>
      <c r="ZX59" s="115"/>
      <c r="ZY59" s="115"/>
      <c r="ZZ59" s="115"/>
      <c r="AAA59" s="115"/>
      <c r="AAB59" s="115"/>
      <c r="AAC59" s="115"/>
      <c r="AAD59" s="115"/>
      <c r="AAE59" s="115"/>
      <c r="AAF59" s="115"/>
      <c r="AAG59" s="115"/>
      <c r="AAH59" s="115"/>
      <c r="AAI59" s="115"/>
      <c r="AAJ59" s="115"/>
      <c r="AAK59" s="115"/>
      <c r="AAL59" s="115"/>
      <c r="AAM59" s="115"/>
      <c r="AAN59" s="115"/>
      <c r="AAO59" s="115"/>
      <c r="AAP59" s="115"/>
      <c r="AAQ59" s="115"/>
      <c r="AAR59" s="115"/>
      <c r="AAS59" s="115"/>
      <c r="AAT59" s="115"/>
      <c r="AAU59" s="115"/>
      <c r="AAV59" s="115"/>
      <c r="AAW59" s="115"/>
      <c r="AAX59" s="115"/>
      <c r="AAY59" s="115"/>
      <c r="AAZ59" s="115"/>
      <c r="ABA59" s="115"/>
      <c r="ABB59" s="115"/>
      <c r="ABC59" s="115"/>
      <c r="ABD59" s="115"/>
      <c r="ABE59" s="115"/>
      <c r="ABF59" s="115"/>
      <c r="ABG59" s="115"/>
      <c r="ABH59" s="115"/>
      <c r="ABI59" s="115"/>
      <c r="ABJ59" s="115"/>
      <c r="ABK59" s="115"/>
      <c r="ABL59" s="115"/>
      <c r="ABM59" s="115"/>
      <c r="ABN59" s="115"/>
      <c r="ABO59" s="115"/>
      <c r="ABP59" s="115"/>
      <c r="ABQ59" s="115"/>
      <c r="ABR59" s="115"/>
      <c r="ABS59" s="115"/>
      <c r="ABT59" s="115"/>
      <c r="ABU59" s="115"/>
      <c r="ABV59" s="115"/>
      <c r="ABW59" s="115"/>
      <c r="ABX59" s="115"/>
      <c r="ABY59" s="115"/>
      <c r="ABZ59" s="115"/>
      <c r="ACA59" s="115"/>
      <c r="ACB59" s="115"/>
      <c r="ACC59" s="115"/>
      <c r="ACD59" s="115"/>
      <c r="ACE59" s="115"/>
      <c r="ACF59" s="115"/>
      <c r="ACG59" s="115"/>
      <c r="ACH59" s="115"/>
      <c r="ACI59" s="115"/>
      <c r="ACJ59" s="115"/>
      <c r="ACK59" s="115"/>
      <c r="ACL59" s="115"/>
      <c r="ACM59" s="115"/>
      <c r="ACN59" s="115"/>
      <c r="ACO59" s="115"/>
      <c r="ACP59" s="115"/>
      <c r="ACQ59" s="115"/>
      <c r="ACR59" s="115"/>
      <c r="ACS59" s="115"/>
      <c r="ACT59" s="115"/>
      <c r="ACU59" s="115"/>
      <c r="ACV59" s="115"/>
      <c r="ACW59" s="115"/>
      <c r="ACX59" s="115"/>
      <c r="ACY59" s="115"/>
      <c r="ACZ59" s="115"/>
      <c r="ADA59" s="115"/>
      <c r="ADB59" s="115"/>
      <c r="ADC59" s="115"/>
      <c r="ADD59" s="115"/>
      <c r="ADE59" s="115"/>
      <c r="ADF59" s="115"/>
      <c r="ADG59" s="115"/>
      <c r="ADH59" s="115"/>
      <c r="ADI59" s="115"/>
      <c r="ADJ59" s="115"/>
      <c r="ADK59" s="115"/>
      <c r="ADL59" s="115"/>
      <c r="ADM59" s="115"/>
      <c r="ADN59" s="115"/>
      <c r="ADO59" s="115"/>
      <c r="ADP59" s="115"/>
      <c r="ADQ59" s="115"/>
      <c r="ADR59" s="115"/>
      <c r="ADS59" s="115"/>
      <c r="ADT59" s="115"/>
      <c r="ADU59" s="115"/>
      <c r="ADV59" s="115"/>
      <c r="ADW59" s="115"/>
      <c r="ADX59" s="115"/>
      <c r="ADY59" s="115"/>
      <c r="ADZ59" s="115"/>
      <c r="AEA59" s="115"/>
      <c r="AEB59" s="115"/>
      <c r="AEC59" s="115"/>
      <c r="AED59" s="115"/>
      <c r="AEE59" s="115"/>
      <c r="AEF59" s="115"/>
      <c r="AEG59" s="115"/>
      <c r="AEH59" s="115"/>
      <c r="AEI59" s="115"/>
      <c r="AEJ59" s="115"/>
      <c r="AEK59" s="115"/>
      <c r="AEL59" s="115"/>
      <c r="AEM59" s="115"/>
      <c r="AEN59" s="115"/>
      <c r="AEO59" s="115"/>
      <c r="AEP59" s="115"/>
      <c r="AEQ59" s="115"/>
      <c r="AER59" s="115"/>
      <c r="AES59" s="115"/>
      <c r="AET59" s="115"/>
      <c r="AEU59" s="115"/>
      <c r="AEV59" s="115"/>
      <c r="AEW59" s="115"/>
      <c r="AEX59" s="115"/>
      <c r="AEY59" s="115"/>
      <c r="AEZ59" s="115"/>
      <c r="AFA59" s="115"/>
      <c r="AFB59" s="115"/>
      <c r="AFC59" s="115"/>
      <c r="AFD59" s="115"/>
      <c r="AFE59" s="115"/>
      <c r="AFF59" s="115"/>
      <c r="AFG59" s="115"/>
      <c r="AFH59" s="115"/>
      <c r="AFI59" s="115"/>
      <c r="AFJ59" s="115"/>
      <c r="AFK59" s="115"/>
      <c r="AFL59" s="115"/>
      <c r="AFM59" s="115"/>
      <c r="AFN59" s="115"/>
      <c r="AFO59" s="115"/>
      <c r="AFP59" s="115"/>
      <c r="AFQ59" s="115"/>
      <c r="AFR59" s="115"/>
      <c r="AFS59" s="115"/>
      <c r="AFT59" s="115"/>
      <c r="AFU59" s="115"/>
      <c r="AFV59" s="115"/>
      <c r="AFW59" s="115"/>
      <c r="AFX59" s="115"/>
      <c r="AFY59" s="115"/>
      <c r="AFZ59" s="115"/>
      <c r="AGA59" s="115"/>
      <c r="AGB59" s="115"/>
      <c r="AGC59" s="115"/>
      <c r="AGD59" s="115"/>
      <c r="AGE59" s="115"/>
      <c r="AGF59" s="115"/>
      <c r="AGG59" s="115"/>
      <c r="AGH59" s="115"/>
      <c r="AGI59" s="115"/>
      <c r="AGJ59" s="115"/>
      <c r="AGK59" s="115"/>
      <c r="AGL59" s="115"/>
      <c r="AGM59" s="115"/>
      <c r="AGN59" s="115"/>
      <c r="AGO59" s="115"/>
      <c r="AGP59" s="115"/>
      <c r="AGQ59" s="115"/>
      <c r="AGR59" s="115"/>
      <c r="AGS59" s="115"/>
      <c r="AGT59" s="115"/>
      <c r="AGU59" s="115"/>
      <c r="AGV59" s="115"/>
      <c r="AGW59" s="115"/>
      <c r="AGX59" s="115"/>
      <c r="AGY59" s="115"/>
      <c r="AGZ59" s="115"/>
      <c r="AHA59" s="115"/>
      <c r="AHB59" s="115"/>
      <c r="AHC59" s="115"/>
      <c r="AHD59" s="115"/>
      <c r="AHE59" s="115"/>
      <c r="AHF59" s="115"/>
      <c r="AHG59" s="115"/>
      <c r="AHH59" s="115"/>
      <c r="AHI59" s="115"/>
      <c r="AHJ59" s="115"/>
      <c r="AHK59" s="115"/>
      <c r="AHL59" s="115"/>
      <c r="AHM59" s="115"/>
      <c r="AHN59" s="115"/>
      <c r="AHO59" s="115"/>
      <c r="AHP59" s="115"/>
      <c r="AHQ59" s="115"/>
      <c r="AHR59" s="115"/>
      <c r="AHS59" s="115"/>
      <c r="AHT59" s="115"/>
      <c r="AHU59" s="115"/>
      <c r="AHV59" s="115"/>
      <c r="AHW59" s="115"/>
      <c r="AHX59" s="115"/>
      <c r="AHY59" s="115"/>
      <c r="AHZ59" s="115"/>
      <c r="AIA59" s="115"/>
      <c r="AIB59" s="115"/>
      <c r="AIC59" s="115"/>
      <c r="AID59" s="115"/>
      <c r="AIE59" s="115"/>
      <c r="AIF59" s="115"/>
      <c r="AIG59" s="115"/>
      <c r="AIH59" s="115"/>
      <c r="AII59" s="115"/>
      <c r="AIJ59" s="115"/>
      <c r="AIK59" s="115"/>
      <c r="AIL59" s="115"/>
      <c r="AIM59" s="115"/>
      <c r="AIN59" s="115"/>
      <c r="AIO59" s="115"/>
      <c r="AIP59" s="115"/>
      <c r="AIQ59" s="115"/>
      <c r="AIR59" s="115"/>
      <c r="AIS59" s="115"/>
      <c r="AIT59" s="115"/>
      <c r="AIU59" s="115"/>
      <c r="AIV59" s="115"/>
      <c r="AIW59" s="115"/>
      <c r="AIX59" s="115"/>
      <c r="AIY59" s="115"/>
      <c r="AIZ59" s="115"/>
      <c r="AJA59" s="115"/>
      <c r="AJB59" s="115"/>
      <c r="AJC59" s="115"/>
      <c r="AJD59" s="115"/>
      <c r="AJE59" s="115"/>
      <c r="AJF59" s="115"/>
      <c r="AJG59" s="115"/>
      <c r="AJH59" s="115"/>
      <c r="AJI59" s="115"/>
      <c r="AJJ59" s="115"/>
      <c r="AJK59" s="115"/>
      <c r="AJL59" s="115"/>
      <c r="AJM59" s="115"/>
      <c r="AJN59" s="115"/>
      <c r="AJO59" s="115"/>
      <c r="AJP59" s="115"/>
      <c r="AJQ59" s="115"/>
      <c r="AJR59" s="115"/>
      <c r="AJS59" s="115"/>
      <c r="AJT59" s="115"/>
      <c r="AJU59" s="115"/>
      <c r="AJV59" s="115"/>
      <c r="AJW59" s="115"/>
      <c r="AJX59" s="115"/>
      <c r="AJY59" s="115"/>
      <c r="AJZ59" s="115"/>
      <c r="AKA59" s="115"/>
      <c r="AKB59" s="115"/>
      <c r="AKC59" s="115"/>
      <c r="AKD59" s="115"/>
      <c r="AKE59" s="115"/>
      <c r="AKF59" s="115"/>
      <c r="AKG59" s="115"/>
      <c r="AKH59" s="115"/>
      <c r="AKI59" s="115"/>
      <c r="AKJ59" s="115"/>
      <c r="AKK59" s="115"/>
      <c r="AKL59" s="115"/>
      <c r="AKM59" s="115"/>
      <c r="AKN59" s="115"/>
      <c r="AKO59" s="115"/>
      <c r="AKP59" s="115"/>
      <c r="AKQ59" s="115"/>
      <c r="AKR59" s="115"/>
      <c r="AKS59" s="115"/>
      <c r="AKT59" s="115"/>
      <c r="AKU59" s="115"/>
      <c r="AKV59" s="115"/>
      <c r="AKW59" s="115"/>
      <c r="AKX59" s="115"/>
      <c r="AKY59" s="115"/>
      <c r="AKZ59" s="115"/>
      <c r="ALA59" s="115"/>
      <c r="ALB59" s="115"/>
      <c r="ALC59" s="115"/>
      <c r="ALD59" s="115"/>
      <c r="ALE59" s="115"/>
      <c r="ALF59" s="115"/>
      <c r="ALG59" s="115"/>
      <c r="ALH59" s="115"/>
      <c r="ALI59" s="115"/>
      <c r="ALJ59" s="115"/>
      <c r="ALK59" s="115"/>
      <c r="ALL59" s="115"/>
      <c r="ALM59" s="115"/>
      <c r="ALN59" s="115"/>
      <c r="ALO59" s="115"/>
      <c r="ALP59" s="115"/>
      <c r="ALQ59" s="115"/>
      <c r="ALR59" s="115"/>
      <c r="ALS59" s="115"/>
      <c r="ALT59" s="115"/>
      <c r="ALU59" s="115"/>
      <c r="ALV59" s="115"/>
      <c r="ALW59" s="115"/>
      <c r="ALX59" s="115"/>
      <c r="ALY59" s="115"/>
      <c r="ALZ59" s="115"/>
      <c r="AMA59" s="115"/>
      <c r="AMB59" s="115"/>
      <c r="AMC59" s="115"/>
      <c r="AMD59" s="115"/>
      <c r="AME59" s="115"/>
      <c r="AMF59" s="115"/>
      <c r="AMG59" s="115"/>
      <c r="AMH59" s="115"/>
      <c r="AMI59" s="115"/>
      <c r="AMJ59" s="115"/>
      <c r="AMK59" s="115"/>
      <c r="AML59" s="115"/>
      <c r="AMM59" s="115"/>
      <c r="AMN59" s="115"/>
      <c r="AMO59" s="115"/>
      <c r="AMP59" s="115"/>
      <c r="AMQ59" s="115"/>
      <c r="AMR59" s="115"/>
      <c r="AMS59" s="115"/>
      <c r="AMT59" s="115"/>
      <c r="AMU59" s="115"/>
      <c r="AMV59" s="115"/>
      <c r="AMW59" s="115"/>
      <c r="AMX59" s="115"/>
      <c r="AMY59" s="115"/>
      <c r="AMZ59" s="115"/>
      <c r="ANA59" s="115"/>
      <c r="ANB59" s="115"/>
      <c r="ANC59" s="115"/>
      <c r="AND59" s="115"/>
      <c r="ANE59" s="115"/>
      <c r="ANF59" s="115"/>
      <c r="ANG59" s="115"/>
      <c r="ANH59" s="115"/>
      <c r="ANI59" s="115"/>
      <c r="ANJ59" s="115"/>
      <c r="ANK59" s="115"/>
      <c r="ANL59" s="115"/>
      <c r="ANM59" s="115"/>
      <c r="ANN59" s="115"/>
      <c r="ANO59" s="115"/>
      <c r="ANP59" s="115"/>
      <c r="ANQ59" s="115"/>
      <c r="ANR59" s="115"/>
      <c r="ANS59" s="115"/>
      <c r="ANT59" s="115"/>
      <c r="ANU59" s="115"/>
      <c r="ANV59" s="115"/>
      <c r="ANW59" s="115"/>
      <c r="ANX59" s="115"/>
      <c r="ANY59" s="115"/>
      <c r="ANZ59" s="115"/>
      <c r="AOA59" s="115"/>
      <c r="AOB59" s="115"/>
      <c r="AOC59" s="115"/>
      <c r="AOD59" s="115"/>
      <c r="AOE59" s="115"/>
      <c r="AOF59" s="115"/>
      <c r="AOG59" s="115"/>
      <c r="AOH59" s="115"/>
      <c r="AOI59" s="115"/>
      <c r="AOJ59" s="115"/>
      <c r="AOK59" s="115"/>
      <c r="AOL59" s="115"/>
      <c r="AOM59" s="115"/>
      <c r="AON59" s="115"/>
      <c r="AOO59" s="115"/>
      <c r="AOP59" s="115"/>
      <c r="AOQ59" s="115"/>
    </row>
    <row r="60" spans="1:1083" x14ac:dyDescent="0.25">
      <c r="A60" s="42"/>
      <c r="E60" s="57"/>
    </row>
    <row r="63" spans="1:1083" x14ac:dyDescent="0.25"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115"/>
      <c r="AI63" s="115"/>
      <c r="AJ63" s="115"/>
      <c r="AK63" s="115"/>
      <c r="AL63" s="115"/>
      <c r="AM63" s="115"/>
      <c r="AN63" s="115"/>
      <c r="AO63" s="115"/>
      <c r="AP63" s="115"/>
      <c r="AQ63" s="115"/>
      <c r="AR63" s="115"/>
      <c r="AS63" s="115"/>
      <c r="AT63" s="115"/>
      <c r="AU63" s="115"/>
      <c r="AV63" s="115"/>
      <c r="AW63" s="115"/>
      <c r="AX63" s="115"/>
      <c r="AY63" s="115"/>
      <c r="AZ63" s="115"/>
      <c r="BA63" s="115"/>
      <c r="BB63" s="115"/>
      <c r="BC63" s="115"/>
      <c r="BD63" s="115"/>
      <c r="BE63" s="115"/>
      <c r="BF63" s="115"/>
      <c r="BG63" s="115"/>
      <c r="BH63" s="115"/>
      <c r="BI63" s="115"/>
      <c r="BJ63" s="115"/>
      <c r="BK63" s="115"/>
      <c r="BL63" s="115"/>
      <c r="BM63" s="115"/>
      <c r="BN63" s="115"/>
      <c r="BO63" s="115"/>
      <c r="BP63" s="115"/>
      <c r="BQ63" s="115"/>
      <c r="BR63" s="115"/>
      <c r="BS63" s="115"/>
      <c r="BT63" s="115"/>
      <c r="BU63" s="115"/>
      <c r="BV63" s="115"/>
      <c r="BW63" s="115"/>
      <c r="BX63" s="115"/>
      <c r="BY63" s="115"/>
      <c r="BZ63" s="115"/>
      <c r="CA63" s="115"/>
      <c r="CB63" s="115"/>
      <c r="CC63" s="115"/>
      <c r="CD63" s="115"/>
      <c r="CE63" s="115"/>
      <c r="CF63" s="115"/>
      <c r="CG63" s="115"/>
      <c r="CH63" s="115"/>
      <c r="CI63" s="115"/>
      <c r="CJ63" s="115"/>
      <c r="CK63" s="115"/>
      <c r="CL63" s="115"/>
      <c r="CM63" s="115"/>
      <c r="CN63" s="115"/>
      <c r="CO63" s="115"/>
      <c r="CP63" s="115"/>
      <c r="CQ63" s="115"/>
      <c r="CR63" s="115"/>
      <c r="CS63" s="115"/>
      <c r="CT63" s="115"/>
      <c r="CU63" s="115"/>
      <c r="CV63" s="115"/>
      <c r="CW63" s="115"/>
      <c r="CX63" s="115"/>
      <c r="CY63" s="115"/>
      <c r="CZ63" s="115"/>
      <c r="DA63" s="115"/>
      <c r="DB63" s="115"/>
      <c r="DC63" s="115"/>
      <c r="DD63" s="115"/>
      <c r="DE63" s="115"/>
      <c r="DF63" s="115"/>
      <c r="DG63" s="115"/>
      <c r="DH63" s="115"/>
      <c r="DI63" s="115"/>
      <c r="DJ63" s="115"/>
      <c r="DK63" s="115"/>
      <c r="DL63" s="115"/>
      <c r="DM63" s="115"/>
      <c r="DN63" s="115"/>
      <c r="DO63" s="115"/>
      <c r="DP63" s="115"/>
      <c r="DQ63" s="115"/>
      <c r="DR63" s="115"/>
      <c r="DS63" s="115"/>
      <c r="DT63" s="115"/>
      <c r="DU63" s="115"/>
      <c r="DV63" s="115"/>
      <c r="DW63" s="115"/>
      <c r="DX63" s="115"/>
      <c r="DY63" s="115"/>
      <c r="DZ63" s="115"/>
      <c r="EA63" s="115"/>
      <c r="EB63" s="115"/>
      <c r="EC63" s="115"/>
      <c r="ED63" s="115"/>
      <c r="EE63" s="115"/>
      <c r="EF63" s="115"/>
      <c r="EG63" s="115"/>
      <c r="EH63" s="115"/>
      <c r="EI63" s="115"/>
      <c r="EJ63" s="115"/>
      <c r="EK63" s="115"/>
      <c r="EL63" s="115"/>
      <c r="EM63" s="115"/>
      <c r="EN63" s="115"/>
      <c r="EO63" s="115"/>
      <c r="EP63" s="115"/>
      <c r="EQ63" s="115"/>
      <c r="ER63" s="115"/>
      <c r="ES63" s="115"/>
      <c r="ET63" s="115"/>
      <c r="EU63" s="115"/>
      <c r="EV63" s="115"/>
      <c r="EW63" s="115"/>
      <c r="EX63" s="115"/>
      <c r="EY63" s="115"/>
      <c r="EZ63" s="115"/>
      <c r="FA63" s="115"/>
      <c r="FB63" s="115"/>
      <c r="FC63" s="115"/>
      <c r="FD63" s="115"/>
      <c r="FE63" s="115"/>
      <c r="FF63" s="115"/>
      <c r="FG63" s="115"/>
      <c r="FH63" s="115"/>
      <c r="FI63" s="115"/>
      <c r="FJ63" s="115"/>
      <c r="FK63" s="115"/>
      <c r="FL63" s="115"/>
      <c r="FM63" s="115"/>
      <c r="FN63" s="115"/>
      <c r="FO63" s="115"/>
      <c r="FP63" s="115"/>
      <c r="FQ63" s="115"/>
      <c r="FR63" s="115"/>
      <c r="FS63" s="115"/>
      <c r="FT63" s="115"/>
      <c r="FU63" s="115"/>
      <c r="FV63" s="115"/>
      <c r="FW63" s="115"/>
      <c r="FX63" s="115"/>
      <c r="FY63" s="115"/>
      <c r="FZ63" s="115"/>
      <c r="GA63" s="115"/>
      <c r="GB63" s="115"/>
      <c r="GC63" s="115"/>
      <c r="GD63" s="115"/>
      <c r="GE63" s="115"/>
      <c r="GF63" s="115"/>
      <c r="GG63" s="115"/>
      <c r="GH63" s="115"/>
      <c r="GI63" s="115"/>
      <c r="GJ63" s="115"/>
      <c r="GK63" s="115"/>
      <c r="GL63" s="115"/>
      <c r="GM63" s="115"/>
      <c r="GN63" s="115"/>
      <c r="GO63" s="115"/>
      <c r="GP63" s="115"/>
      <c r="GQ63" s="115"/>
      <c r="GR63" s="115"/>
      <c r="GS63" s="115"/>
      <c r="GT63" s="115"/>
      <c r="GU63" s="115"/>
      <c r="GV63" s="115"/>
      <c r="GW63" s="115"/>
      <c r="GX63" s="115"/>
      <c r="GY63" s="115"/>
      <c r="GZ63" s="115"/>
      <c r="HA63" s="115"/>
      <c r="HB63" s="115"/>
      <c r="HC63" s="115"/>
      <c r="HD63" s="115"/>
      <c r="HE63" s="115"/>
      <c r="HF63" s="115"/>
      <c r="HG63" s="115"/>
      <c r="HH63" s="115"/>
      <c r="HI63" s="115"/>
      <c r="HJ63" s="115"/>
      <c r="HK63" s="115"/>
      <c r="HL63" s="115"/>
      <c r="HM63" s="115"/>
      <c r="HN63" s="115"/>
      <c r="HO63" s="115"/>
      <c r="HP63" s="115"/>
      <c r="HQ63" s="115"/>
      <c r="HR63" s="115"/>
      <c r="HS63" s="115"/>
      <c r="HT63" s="115"/>
      <c r="HU63" s="115"/>
      <c r="HV63" s="115"/>
      <c r="HW63" s="115"/>
      <c r="HX63" s="115"/>
      <c r="HY63" s="115"/>
      <c r="HZ63" s="115"/>
      <c r="IA63" s="115"/>
      <c r="IB63" s="115"/>
      <c r="IC63" s="115"/>
      <c r="ID63" s="115"/>
      <c r="IE63" s="115"/>
      <c r="IF63" s="115"/>
      <c r="IG63" s="115"/>
      <c r="IH63" s="115"/>
      <c r="II63" s="115"/>
      <c r="IJ63" s="115"/>
      <c r="IK63" s="115"/>
      <c r="IL63" s="115"/>
      <c r="IM63" s="115"/>
      <c r="IN63" s="115"/>
      <c r="IO63" s="115"/>
      <c r="IP63" s="115"/>
      <c r="IQ63" s="115"/>
      <c r="IR63" s="115"/>
      <c r="IS63" s="115"/>
      <c r="IT63" s="115"/>
      <c r="IU63" s="115"/>
      <c r="IV63" s="115"/>
      <c r="IW63" s="115"/>
      <c r="IX63" s="115"/>
      <c r="IY63" s="115"/>
      <c r="IZ63" s="115"/>
      <c r="JA63" s="115"/>
      <c r="JB63" s="115"/>
      <c r="JC63" s="115"/>
      <c r="JD63" s="115"/>
      <c r="JE63" s="115"/>
      <c r="JF63" s="115"/>
      <c r="JG63" s="115"/>
      <c r="JH63" s="115"/>
      <c r="JI63" s="115"/>
      <c r="JJ63" s="115"/>
      <c r="JK63" s="115"/>
      <c r="JL63" s="115"/>
      <c r="JM63" s="115"/>
      <c r="JN63" s="115"/>
      <c r="JO63" s="115"/>
      <c r="JP63" s="115"/>
      <c r="JQ63" s="115"/>
      <c r="JR63" s="115"/>
      <c r="JS63" s="115"/>
      <c r="JT63" s="115"/>
      <c r="JU63" s="115"/>
      <c r="JV63" s="115"/>
      <c r="JW63" s="115"/>
      <c r="JX63" s="115"/>
      <c r="JY63" s="115"/>
      <c r="JZ63" s="115"/>
      <c r="KA63" s="115"/>
      <c r="KB63" s="115"/>
      <c r="KC63" s="115"/>
      <c r="KD63" s="115"/>
      <c r="KE63" s="115"/>
      <c r="KF63" s="115"/>
      <c r="KG63" s="115"/>
      <c r="KH63" s="115"/>
      <c r="KI63" s="115"/>
      <c r="KJ63" s="115"/>
      <c r="KK63" s="115"/>
      <c r="KL63" s="115"/>
      <c r="KM63" s="115"/>
      <c r="KN63" s="115"/>
      <c r="KO63" s="115"/>
      <c r="KP63" s="115"/>
      <c r="KQ63" s="115"/>
      <c r="KR63" s="115"/>
      <c r="KS63" s="115"/>
      <c r="KT63" s="115"/>
      <c r="KU63" s="115"/>
      <c r="KV63" s="115"/>
      <c r="KW63" s="115"/>
      <c r="KX63" s="115"/>
      <c r="KY63" s="115"/>
      <c r="KZ63" s="115"/>
      <c r="LA63" s="115"/>
      <c r="LB63" s="115"/>
      <c r="LC63" s="115"/>
      <c r="LD63" s="115"/>
      <c r="LE63" s="115"/>
      <c r="LF63" s="115"/>
      <c r="LG63" s="115"/>
      <c r="LH63" s="115"/>
      <c r="LI63" s="115"/>
      <c r="LJ63" s="115"/>
      <c r="LK63" s="115"/>
      <c r="LL63" s="115"/>
      <c r="LM63" s="115"/>
      <c r="LN63" s="115"/>
      <c r="LO63" s="115"/>
      <c r="LP63" s="115"/>
      <c r="LQ63" s="115"/>
      <c r="LR63" s="115"/>
      <c r="LS63" s="115"/>
      <c r="LT63" s="115"/>
      <c r="LU63" s="115"/>
      <c r="LV63" s="115"/>
      <c r="LW63" s="115"/>
      <c r="LX63" s="115"/>
      <c r="LY63" s="115"/>
      <c r="LZ63" s="115"/>
      <c r="MA63" s="115"/>
      <c r="MB63" s="115"/>
      <c r="MC63" s="115"/>
      <c r="MD63" s="115"/>
      <c r="ME63" s="115"/>
      <c r="MF63" s="115"/>
      <c r="MG63" s="115"/>
      <c r="MH63" s="115"/>
      <c r="MI63" s="115"/>
      <c r="MJ63" s="115"/>
      <c r="MK63" s="115"/>
      <c r="ML63" s="115"/>
      <c r="MM63" s="115"/>
      <c r="MN63" s="115"/>
      <c r="MO63" s="115"/>
      <c r="MP63" s="115"/>
      <c r="MQ63" s="115"/>
      <c r="MR63" s="115"/>
      <c r="MS63" s="115"/>
      <c r="MT63" s="115"/>
      <c r="MU63" s="115"/>
      <c r="MV63" s="115"/>
      <c r="MW63" s="115"/>
      <c r="MX63" s="115"/>
      <c r="MY63" s="115"/>
      <c r="MZ63" s="115"/>
      <c r="NA63" s="115"/>
      <c r="NB63" s="115"/>
      <c r="NC63" s="115"/>
      <c r="ND63" s="115"/>
      <c r="NE63" s="115"/>
      <c r="NF63" s="115"/>
      <c r="NG63" s="115"/>
      <c r="NH63" s="115"/>
      <c r="NI63" s="115"/>
      <c r="NJ63" s="115"/>
      <c r="NK63" s="115"/>
      <c r="NL63" s="115"/>
      <c r="NM63" s="115"/>
      <c r="NN63" s="115"/>
      <c r="NO63" s="115"/>
      <c r="NP63" s="115"/>
      <c r="NQ63" s="115"/>
      <c r="NR63" s="115"/>
      <c r="NS63" s="115"/>
      <c r="NT63" s="115"/>
      <c r="NU63" s="115"/>
      <c r="NV63" s="115"/>
      <c r="NW63" s="115"/>
      <c r="NX63" s="115"/>
      <c r="NY63" s="115"/>
      <c r="NZ63" s="115"/>
      <c r="OA63" s="115"/>
      <c r="OB63" s="115"/>
      <c r="OC63" s="115"/>
      <c r="OD63" s="115"/>
      <c r="OE63" s="115"/>
      <c r="OF63" s="115"/>
      <c r="OG63" s="115"/>
      <c r="OH63" s="115"/>
      <c r="OI63" s="115"/>
      <c r="OJ63" s="115"/>
      <c r="OK63" s="115"/>
      <c r="OL63" s="115"/>
      <c r="OM63" s="115"/>
      <c r="ON63" s="115"/>
      <c r="OO63" s="115"/>
      <c r="OP63" s="115"/>
      <c r="OQ63" s="115"/>
      <c r="OR63" s="115"/>
      <c r="OS63" s="115"/>
      <c r="OT63" s="115"/>
      <c r="OU63" s="115"/>
      <c r="OV63" s="115"/>
      <c r="OW63" s="115"/>
      <c r="OX63" s="115"/>
      <c r="OY63" s="115"/>
      <c r="OZ63" s="115"/>
      <c r="PA63" s="115"/>
      <c r="PB63" s="115"/>
      <c r="PC63" s="115"/>
      <c r="PD63" s="115"/>
      <c r="PE63" s="115"/>
      <c r="PF63" s="115"/>
      <c r="PG63" s="115"/>
      <c r="PH63" s="115"/>
      <c r="PI63" s="115"/>
      <c r="PJ63" s="115"/>
      <c r="PK63" s="115"/>
      <c r="PL63" s="115"/>
      <c r="PM63" s="115"/>
      <c r="PN63" s="115"/>
      <c r="PO63" s="115"/>
      <c r="PP63" s="115"/>
      <c r="PQ63" s="115"/>
      <c r="PR63" s="115"/>
      <c r="PS63" s="115"/>
      <c r="PT63" s="115"/>
      <c r="PU63" s="115"/>
      <c r="PV63" s="115"/>
      <c r="PW63" s="115"/>
      <c r="PX63" s="115"/>
      <c r="PY63" s="115"/>
      <c r="PZ63" s="115"/>
      <c r="QA63" s="115"/>
      <c r="QB63" s="115"/>
      <c r="QC63" s="115"/>
      <c r="QD63" s="115"/>
      <c r="QE63" s="115"/>
      <c r="QF63" s="115"/>
      <c r="QG63" s="115"/>
      <c r="QH63" s="115"/>
      <c r="QI63" s="115"/>
      <c r="QJ63" s="115"/>
      <c r="QK63" s="115"/>
      <c r="QL63" s="115"/>
      <c r="QM63" s="115"/>
      <c r="QN63" s="115"/>
      <c r="QO63" s="115"/>
      <c r="QP63" s="115"/>
      <c r="QQ63" s="115"/>
      <c r="QR63" s="115"/>
      <c r="QS63" s="115"/>
      <c r="QT63" s="115"/>
      <c r="QU63" s="115"/>
      <c r="QV63" s="115"/>
      <c r="QW63" s="115"/>
      <c r="QX63" s="115"/>
      <c r="QY63" s="115"/>
      <c r="QZ63" s="115"/>
      <c r="RA63" s="115"/>
      <c r="RB63" s="115"/>
      <c r="RC63" s="115"/>
      <c r="RD63" s="115"/>
      <c r="RE63" s="115"/>
      <c r="RF63" s="115"/>
      <c r="RG63" s="115"/>
      <c r="RH63" s="115"/>
      <c r="RI63" s="115"/>
      <c r="RJ63" s="115"/>
      <c r="RK63" s="115"/>
      <c r="RL63" s="115"/>
      <c r="RM63" s="115"/>
      <c r="RN63" s="115"/>
      <c r="RO63" s="115"/>
      <c r="RP63" s="115"/>
      <c r="RQ63" s="115"/>
      <c r="RR63" s="115"/>
      <c r="RS63" s="115"/>
      <c r="RT63" s="115"/>
      <c r="RU63" s="115"/>
      <c r="RV63" s="115"/>
      <c r="RW63" s="115"/>
      <c r="RX63" s="115"/>
      <c r="RY63" s="115"/>
      <c r="RZ63" s="115"/>
      <c r="SA63" s="115"/>
      <c r="SB63" s="115"/>
      <c r="SC63" s="115"/>
      <c r="SD63" s="115"/>
      <c r="SE63" s="115"/>
      <c r="SF63" s="115"/>
      <c r="SG63" s="115"/>
      <c r="SH63" s="115"/>
      <c r="SI63" s="115"/>
      <c r="SJ63" s="115"/>
      <c r="SK63" s="115"/>
      <c r="SL63" s="115"/>
      <c r="SM63" s="115"/>
      <c r="SN63" s="115"/>
      <c r="SO63" s="115"/>
      <c r="SP63" s="115"/>
      <c r="SQ63" s="115"/>
      <c r="SR63" s="115"/>
      <c r="SS63" s="115"/>
      <c r="ST63" s="115"/>
      <c r="SU63" s="115"/>
      <c r="SV63" s="115"/>
      <c r="SW63" s="115"/>
      <c r="SX63" s="115"/>
      <c r="SY63" s="115"/>
      <c r="SZ63" s="115"/>
      <c r="TA63" s="115"/>
      <c r="TB63" s="115"/>
      <c r="TC63" s="115"/>
      <c r="TD63" s="115"/>
      <c r="TE63" s="115"/>
      <c r="TF63" s="115"/>
      <c r="TG63" s="115"/>
      <c r="TH63" s="115"/>
      <c r="TI63" s="115"/>
      <c r="TJ63" s="115"/>
      <c r="TK63" s="115"/>
      <c r="TL63" s="115"/>
      <c r="TM63" s="115"/>
      <c r="TN63" s="115"/>
      <c r="TO63" s="115"/>
      <c r="TP63" s="115"/>
      <c r="TQ63" s="115"/>
      <c r="TR63" s="115"/>
      <c r="TS63" s="115"/>
      <c r="TT63" s="115"/>
      <c r="TU63" s="115"/>
      <c r="TV63" s="115"/>
      <c r="TW63" s="115"/>
      <c r="TX63" s="115"/>
      <c r="TY63" s="115"/>
      <c r="TZ63" s="115"/>
      <c r="UA63" s="115"/>
      <c r="UB63" s="115"/>
      <c r="UC63" s="115"/>
      <c r="UD63" s="115"/>
      <c r="UE63" s="115"/>
      <c r="UF63" s="115"/>
      <c r="UG63" s="115"/>
      <c r="UH63" s="115"/>
      <c r="UI63" s="115"/>
      <c r="UJ63" s="115"/>
      <c r="UK63" s="115"/>
      <c r="UL63" s="115"/>
      <c r="UM63" s="115"/>
      <c r="UN63" s="115"/>
      <c r="UO63" s="115"/>
      <c r="UP63" s="115"/>
      <c r="UQ63" s="115"/>
      <c r="UR63" s="115"/>
      <c r="US63" s="115"/>
      <c r="UT63" s="115"/>
      <c r="UU63" s="115"/>
      <c r="UV63" s="115"/>
      <c r="UW63" s="115"/>
      <c r="UX63" s="115"/>
      <c r="UY63" s="115"/>
      <c r="UZ63" s="115"/>
      <c r="VA63" s="115"/>
      <c r="VB63" s="115"/>
      <c r="VC63" s="115"/>
      <c r="VD63" s="115"/>
      <c r="VE63" s="115"/>
      <c r="VF63" s="115"/>
      <c r="VG63" s="115"/>
      <c r="VH63" s="115"/>
      <c r="VI63" s="115"/>
      <c r="VJ63" s="115"/>
      <c r="VK63" s="115"/>
      <c r="VL63" s="115"/>
      <c r="VM63" s="115"/>
      <c r="VN63" s="115"/>
      <c r="VO63" s="115"/>
      <c r="VP63" s="115"/>
      <c r="VQ63" s="115"/>
      <c r="VR63" s="115"/>
      <c r="VS63" s="115"/>
      <c r="VT63" s="115"/>
      <c r="VU63" s="115"/>
      <c r="VV63" s="115"/>
      <c r="VW63" s="115"/>
      <c r="VX63" s="115"/>
      <c r="VY63" s="115"/>
      <c r="VZ63" s="115"/>
      <c r="WA63" s="115"/>
      <c r="WB63" s="115"/>
      <c r="WC63" s="115"/>
      <c r="WD63" s="115"/>
      <c r="WE63" s="115"/>
      <c r="WF63" s="115"/>
      <c r="WG63" s="115"/>
      <c r="WH63" s="115"/>
      <c r="WI63" s="115"/>
      <c r="WJ63" s="115"/>
      <c r="WK63" s="115"/>
      <c r="WL63" s="115"/>
      <c r="WM63" s="115"/>
      <c r="WN63" s="115"/>
      <c r="WO63" s="115"/>
      <c r="WP63" s="115"/>
      <c r="WQ63" s="115"/>
      <c r="WR63" s="115"/>
      <c r="WS63" s="115"/>
      <c r="WT63" s="115"/>
      <c r="WU63" s="115"/>
      <c r="WV63" s="115"/>
      <c r="WW63" s="115"/>
      <c r="WX63" s="115"/>
      <c r="WY63" s="115"/>
      <c r="WZ63" s="115"/>
      <c r="XA63" s="115"/>
      <c r="XB63" s="115"/>
      <c r="XC63" s="115"/>
      <c r="XD63" s="115"/>
      <c r="XE63" s="115"/>
      <c r="XF63" s="115"/>
      <c r="XG63" s="115"/>
      <c r="XH63" s="115"/>
      <c r="XI63" s="115"/>
      <c r="XJ63" s="115"/>
      <c r="XK63" s="115"/>
      <c r="XL63" s="115"/>
      <c r="XM63" s="115"/>
      <c r="XN63" s="115"/>
      <c r="XO63" s="115"/>
      <c r="XP63" s="115"/>
      <c r="XQ63" s="115"/>
      <c r="XR63" s="115"/>
      <c r="XS63" s="115"/>
      <c r="XT63" s="115"/>
      <c r="XU63" s="115"/>
      <c r="XV63" s="115"/>
      <c r="XW63" s="115"/>
      <c r="XX63" s="115"/>
      <c r="XY63" s="115"/>
      <c r="XZ63" s="115"/>
      <c r="YA63" s="115"/>
      <c r="YB63" s="115"/>
      <c r="YC63" s="115"/>
      <c r="YD63" s="115"/>
      <c r="YE63" s="115"/>
      <c r="YF63" s="115"/>
      <c r="YG63" s="115"/>
      <c r="YH63" s="115"/>
      <c r="YI63" s="115"/>
      <c r="YJ63" s="115"/>
      <c r="YK63" s="115"/>
      <c r="YL63" s="115"/>
      <c r="YM63" s="115"/>
      <c r="YN63" s="115"/>
      <c r="YO63" s="115"/>
      <c r="YP63" s="115"/>
      <c r="YQ63" s="115"/>
      <c r="YR63" s="115"/>
      <c r="YS63" s="115"/>
      <c r="YT63" s="115"/>
      <c r="YU63" s="115"/>
      <c r="YV63" s="115"/>
      <c r="YW63" s="115"/>
      <c r="YX63" s="115"/>
      <c r="YY63" s="115"/>
      <c r="YZ63" s="115"/>
      <c r="ZA63" s="115"/>
      <c r="ZB63" s="115"/>
      <c r="ZC63" s="115"/>
      <c r="ZD63" s="115"/>
      <c r="ZE63" s="115"/>
      <c r="ZF63" s="115"/>
      <c r="ZG63" s="115"/>
      <c r="ZH63" s="115"/>
      <c r="ZI63" s="115"/>
      <c r="ZJ63" s="115"/>
      <c r="ZK63" s="115"/>
      <c r="ZL63" s="115"/>
      <c r="ZM63" s="115"/>
      <c r="ZN63" s="115"/>
      <c r="ZO63" s="115"/>
      <c r="ZP63" s="115"/>
      <c r="ZQ63" s="115"/>
      <c r="ZR63" s="115"/>
      <c r="ZS63" s="115"/>
      <c r="ZT63" s="115"/>
      <c r="ZU63" s="115"/>
      <c r="ZV63" s="115"/>
      <c r="ZW63" s="115"/>
      <c r="ZX63" s="115"/>
      <c r="ZY63" s="115"/>
      <c r="ZZ63" s="115"/>
      <c r="AAA63" s="115"/>
      <c r="AAB63" s="115"/>
      <c r="AAC63" s="115"/>
      <c r="AAD63" s="115"/>
      <c r="AAE63" s="115"/>
      <c r="AAF63" s="115"/>
      <c r="AAG63" s="115"/>
      <c r="AAH63" s="115"/>
      <c r="AAI63" s="115"/>
      <c r="AAJ63" s="115"/>
      <c r="AAK63" s="115"/>
      <c r="AAL63" s="115"/>
      <c r="AAM63" s="115"/>
      <c r="AAN63" s="115"/>
      <c r="AAO63" s="115"/>
      <c r="AAP63" s="115"/>
      <c r="AAQ63" s="115"/>
      <c r="AAR63" s="115"/>
      <c r="AAS63" s="115"/>
      <c r="AAT63" s="115"/>
      <c r="AAU63" s="115"/>
      <c r="AAV63" s="115"/>
      <c r="AAW63" s="115"/>
      <c r="AAX63" s="115"/>
      <c r="AAY63" s="115"/>
      <c r="AAZ63" s="115"/>
      <c r="ABA63" s="115"/>
      <c r="ABB63" s="115"/>
      <c r="ABC63" s="115"/>
      <c r="ABD63" s="115"/>
      <c r="ABE63" s="115"/>
      <c r="ABF63" s="115"/>
      <c r="ABG63" s="115"/>
      <c r="ABH63" s="115"/>
      <c r="ABI63" s="115"/>
      <c r="ABJ63" s="115"/>
      <c r="ABK63" s="115"/>
      <c r="ABL63" s="115"/>
      <c r="ABM63" s="115"/>
      <c r="ABN63" s="115"/>
      <c r="ABO63" s="115"/>
      <c r="ABP63" s="115"/>
      <c r="ABQ63" s="115"/>
      <c r="ABR63" s="115"/>
      <c r="ABS63" s="115"/>
      <c r="ABT63" s="115"/>
      <c r="ABU63" s="115"/>
      <c r="ABV63" s="115"/>
      <c r="ABW63" s="115"/>
      <c r="ABX63" s="115"/>
      <c r="ABY63" s="115"/>
      <c r="ABZ63" s="115"/>
      <c r="ACA63" s="115"/>
      <c r="ACB63" s="115"/>
      <c r="ACC63" s="115"/>
      <c r="ACD63" s="115"/>
      <c r="ACE63" s="115"/>
      <c r="ACF63" s="115"/>
      <c r="ACG63" s="115"/>
      <c r="ACH63" s="115"/>
      <c r="ACI63" s="115"/>
      <c r="ACJ63" s="115"/>
      <c r="ACK63" s="115"/>
      <c r="ACL63" s="115"/>
      <c r="ACM63" s="115"/>
      <c r="ACN63" s="115"/>
      <c r="ACO63" s="115"/>
      <c r="ACP63" s="115"/>
      <c r="ACQ63" s="115"/>
      <c r="ACR63" s="115"/>
      <c r="ACS63" s="115"/>
      <c r="ACT63" s="115"/>
      <c r="ACU63" s="115"/>
      <c r="ACV63" s="115"/>
      <c r="ACW63" s="115"/>
      <c r="ACX63" s="115"/>
      <c r="ACY63" s="115"/>
      <c r="ACZ63" s="115"/>
      <c r="ADA63" s="115"/>
      <c r="ADB63" s="115"/>
      <c r="ADC63" s="115"/>
      <c r="ADD63" s="115"/>
      <c r="ADE63" s="115"/>
      <c r="ADF63" s="115"/>
      <c r="ADG63" s="115"/>
      <c r="ADH63" s="115"/>
      <c r="ADI63" s="115"/>
      <c r="ADJ63" s="115"/>
      <c r="ADK63" s="115"/>
      <c r="ADL63" s="115"/>
      <c r="ADM63" s="115"/>
      <c r="ADN63" s="115"/>
      <c r="ADO63" s="115"/>
      <c r="ADP63" s="115"/>
      <c r="ADQ63" s="115"/>
      <c r="ADR63" s="115"/>
      <c r="ADS63" s="115"/>
      <c r="ADT63" s="115"/>
      <c r="ADU63" s="115"/>
      <c r="ADV63" s="115"/>
      <c r="ADW63" s="115"/>
      <c r="ADX63" s="115"/>
      <c r="ADY63" s="115"/>
      <c r="ADZ63" s="115"/>
      <c r="AEA63" s="115"/>
      <c r="AEB63" s="115"/>
      <c r="AEC63" s="115"/>
      <c r="AED63" s="115"/>
      <c r="AEE63" s="115"/>
      <c r="AEF63" s="115"/>
      <c r="AEG63" s="115"/>
      <c r="AEH63" s="115"/>
      <c r="AEI63" s="115"/>
      <c r="AEJ63" s="115"/>
      <c r="AEK63" s="115"/>
      <c r="AEL63" s="115"/>
      <c r="AEM63" s="115"/>
      <c r="AEN63" s="115"/>
      <c r="AEO63" s="115"/>
      <c r="AEP63" s="115"/>
      <c r="AEQ63" s="115"/>
      <c r="AER63" s="115"/>
      <c r="AES63" s="115"/>
      <c r="AET63" s="115"/>
      <c r="AEU63" s="115"/>
      <c r="AEV63" s="115"/>
      <c r="AEW63" s="115"/>
      <c r="AEX63" s="115"/>
      <c r="AEY63" s="115"/>
      <c r="AEZ63" s="115"/>
      <c r="AFA63" s="115"/>
      <c r="AFB63" s="115"/>
      <c r="AFC63" s="115"/>
      <c r="AFD63" s="115"/>
      <c r="AFE63" s="115"/>
      <c r="AFF63" s="115"/>
      <c r="AFG63" s="115"/>
      <c r="AFH63" s="115"/>
      <c r="AFI63" s="115"/>
      <c r="AFJ63" s="115"/>
      <c r="AFK63" s="115"/>
      <c r="AFL63" s="115"/>
      <c r="AFM63" s="115"/>
      <c r="AFN63" s="115"/>
      <c r="AFO63" s="115"/>
      <c r="AFP63" s="115"/>
      <c r="AFQ63" s="115"/>
      <c r="AFR63" s="115"/>
      <c r="AFS63" s="115"/>
      <c r="AFT63" s="115"/>
      <c r="AFU63" s="115"/>
      <c r="AFV63" s="115"/>
      <c r="AFW63" s="115"/>
      <c r="AFX63" s="115"/>
      <c r="AFY63" s="115"/>
      <c r="AFZ63" s="115"/>
      <c r="AGA63" s="115"/>
      <c r="AGB63" s="115"/>
      <c r="AGC63" s="115"/>
      <c r="AGD63" s="115"/>
      <c r="AGE63" s="115"/>
      <c r="AGF63" s="115"/>
      <c r="AGG63" s="115"/>
      <c r="AGH63" s="115"/>
      <c r="AGI63" s="115"/>
      <c r="AGJ63" s="115"/>
      <c r="AGK63" s="115"/>
      <c r="AGL63" s="115"/>
      <c r="AGM63" s="115"/>
      <c r="AGN63" s="115"/>
      <c r="AGO63" s="115"/>
      <c r="AGP63" s="115"/>
      <c r="AGQ63" s="115"/>
      <c r="AGR63" s="115"/>
      <c r="AGS63" s="115"/>
      <c r="AGT63" s="115"/>
      <c r="AGU63" s="115"/>
      <c r="AGV63" s="115"/>
      <c r="AGW63" s="115"/>
      <c r="AGX63" s="115"/>
      <c r="AGY63" s="115"/>
      <c r="AGZ63" s="115"/>
      <c r="AHA63" s="115"/>
      <c r="AHB63" s="115"/>
      <c r="AHC63" s="115"/>
      <c r="AHD63" s="115"/>
      <c r="AHE63" s="115"/>
      <c r="AHF63" s="115"/>
      <c r="AHG63" s="115"/>
      <c r="AHH63" s="115"/>
      <c r="AHI63" s="115"/>
      <c r="AHJ63" s="115"/>
      <c r="AHK63" s="115"/>
      <c r="AHL63" s="115"/>
      <c r="AHM63" s="115"/>
      <c r="AHN63" s="115"/>
      <c r="AHO63" s="115"/>
      <c r="AHP63" s="115"/>
      <c r="AHQ63" s="115"/>
      <c r="AHR63" s="115"/>
      <c r="AHS63" s="115"/>
      <c r="AHT63" s="115"/>
      <c r="AHU63" s="115"/>
      <c r="AHV63" s="115"/>
      <c r="AHW63" s="115"/>
      <c r="AHX63" s="115"/>
      <c r="AHY63" s="115"/>
      <c r="AHZ63" s="115"/>
      <c r="AIA63" s="115"/>
      <c r="AIB63" s="115"/>
      <c r="AIC63" s="115"/>
      <c r="AID63" s="115"/>
      <c r="AIE63" s="115"/>
      <c r="AIF63" s="115"/>
      <c r="AIG63" s="115"/>
      <c r="AIH63" s="115"/>
      <c r="AII63" s="115"/>
      <c r="AIJ63" s="115"/>
      <c r="AIK63" s="115"/>
      <c r="AIL63" s="115"/>
      <c r="AIM63" s="115"/>
      <c r="AIN63" s="115"/>
      <c r="AIO63" s="115"/>
      <c r="AIP63" s="115"/>
      <c r="AIQ63" s="115"/>
      <c r="AIR63" s="115"/>
      <c r="AIS63" s="115"/>
      <c r="AIT63" s="115"/>
      <c r="AIU63" s="115"/>
      <c r="AIV63" s="115"/>
      <c r="AIW63" s="115"/>
      <c r="AIX63" s="115"/>
      <c r="AIY63" s="115"/>
      <c r="AIZ63" s="115"/>
      <c r="AJA63" s="115"/>
      <c r="AJB63" s="115"/>
      <c r="AJC63" s="115"/>
      <c r="AJD63" s="115"/>
      <c r="AJE63" s="115"/>
      <c r="AJF63" s="115"/>
      <c r="AJG63" s="115"/>
      <c r="AJH63" s="115"/>
      <c r="AJI63" s="115"/>
      <c r="AJJ63" s="115"/>
      <c r="AJK63" s="115"/>
      <c r="AJL63" s="115"/>
      <c r="AJM63" s="115"/>
      <c r="AJN63" s="115"/>
      <c r="AJO63" s="115"/>
      <c r="AJP63" s="115"/>
      <c r="AJQ63" s="115"/>
      <c r="AJR63" s="115"/>
      <c r="AJS63" s="115"/>
      <c r="AJT63" s="115"/>
      <c r="AJU63" s="115"/>
      <c r="AJV63" s="115"/>
      <c r="AJW63" s="115"/>
      <c r="AJX63" s="115"/>
      <c r="AJY63" s="115"/>
      <c r="AJZ63" s="115"/>
      <c r="AKA63" s="115"/>
      <c r="AKB63" s="115"/>
      <c r="AKC63" s="115"/>
      <c r="AKD63" s="115"/>
      <c r="AKE63" s="115"/>
      <c r="AKF63" s="115"/>
      <c r="AKG63" s="115"/>
      <c r="AKH63" s="115"/>
      <c r="AKI63" s="115"/>
      <c r="AKJ63" s="115"/>
      <c r="AKK63" s="115"/>
      <c r="AKL63" s="115"/>
      <c r="AKM63" s="115"/>
      <c r="AKN63" s="115"/>
      <c r="AKO63" s="115"/>
      <c r="AKP63" s="115"/>
      <c r="AKQ63" s="115"/>
      <c r="AKR63" s="115"/>
      <c r="AKS63" s="115"/>
      <c r="AKT63" s="115"/>
      <c r="AKU63" s="115"/>
      <c r="AKV63" s="115"/>
      <c r="AKW63" s="115"/>
      <c r="AKX63" s="115"/>
      <c r="AKY63" s="115"/>
      <c r="AKZ63" s="115"/>
      <c r="ALA63" s="115"/>
      <c r="ALB63" s="115"/>
      <c r="ALC63" s="115"/>
      <c r="ALD63" s="115"/>
      <c r="ALE63" s="115"/>
      <c r="ALF63" s="115"/>
      <c r="ALG63" s="115"/>
      <c r="ALH63" s="115"/>
      <c r="ALI63" s="115"/>
      <c r="ALJ63" s="115"/>
      <c r="ALK63" s="115"/>
      <c r="ALL63" s="115"/>
      <c r="ALM63" s="115"/>
      <c r="ALN63" s="115"/>
      <c r="ALO63" s="115"/>
      <c r="ALP63" s="115"/>
      <c r="ALQ63" s="115"/>
      <c r="ALR63" s="115"/>
      <c r="ALS63" s="115"/>
      <c r="ALT63" s="115"/>
      <c r="ALU63" s="115"/>
      <c r="ALV63" s="115"/>
      <c r="ALW63" s="115"/>
      <c r="ALX63" s="115"/>
      <c r="ALY63" s="115"/>
      <c r="ALZ63" s="115"/>
      <c r="AMA63" s="115"/>
      <c r="AMB63" s="115"/>
      <c r="AMC63" s="115"/>
      <c r="AMD63" s="115"/>
      <c r="AME63" s="115"/>
      <c r="AMF63" s="115"/>
      <c r="AMG63" s="115"/>
      <c r="AMH63" s="115"/>
      <c r="AMI63" s="115"/>
      <c r="AMJ63" s="115"/>
      <c r="AMK63" s="115"/>
      <c r="AML63" s="115"/>
      <c r="AMM63" s="115"/>
      <c r="AMN63" s="115"/>
      <c r="AMO63" s="115"/>
      <c r="AMP63" s="115"/>
      <c r="AMQ63" s="115"/>
      <c r="AMR63" s="115"/>
      <c r="AMS63" s="115"/>
      <c r="AMT63" s="115"/>
      <c r="AMU63" s="115"/>
      <c r="AMV63" s="115"/>
      <c r="AMW63" s="115"/>
      <c r="AMX63" s="115"/>
      <c r="AMY63" s="115"/>
      <c r="AMZ63" s="115"/>
      <c r="ANA63" s="115"/>
      <c r="ANB63" s="115"/>
      <c r="ANC63" s="115"/>
      <c r="AND63" s="115"/>
      <c r="ANE63" s="115"/>
      <c r="ANF63" s="115"/>
      <c r="ANG63" s="115"/>
      <c r="ANH63" s="115"/>
      <c r="ANI63" s="115"/>
      <c r="ANJ63" s="115"/>
      <c r="ANK63" s="115"/>
      <c r="ANL63" s="115"/>
      <c r="ANM63" s="115"/>
      <c r="ANN63" s="115"/>
      <c r="ANO63" s="115"/>
      <c r="ANP63" s="115"/>
      <c r="ANQ63" s="115"/>
      <c r="ANR63" s="115"/>
      <c r="ANS63" s="115"/>
      <c r="ANT63" s="115"/>
      <c r="ANU63" s="115"/>
      <c r="ANV63" s="115"/>
      <c r="ANW63" s="115"/>
      <c r="ANX63" s="115"/>
      <c r="ANY63" s="115"/>
      <c r="ANZ63" s="115"/>
      <c r="AOA63" s="115"/>
      <c r="AOB63" s="115"/>
      <c r="AOC63" s="115"/>
      <c r="AOD63" s="115"/>
      <c r="AOE63" s="115"/>
      <c r="AOF63" s="115"/>
      <c r="AOG63" s="115"/>
      <c r="AOH63" s="115"/>
      <c r="AOI63" s="115"/>
      <c r="AOJ63" s="115"/>
      <c r="AOK63" s="115"/>
      <c r="AOL63" s="115"/>
      <c r="AOM63" s="115"/>
      <c r="AON63" s="115"/>
      <c r="AOO63" s="115"/>
      <c r="AOP63" s="115"/>
      <c r="AOQ63" s="115"/>
    </row>
  </sheetData>
  <conditionalFormatting sqref="C7">
    <cfRule type="cellIs" dxfId="59" priority="6" operator="equal">
      <formula>0</formula>
    </cfRule>
  </conditionalFormatting>
  <conditionalFormatting sqref="C8">
    <cfRule type="expression" dxfId="58" priority="5">
      <formula>$C$7=0</formula>
    </cfRule>
  </conditionalFormatting>
  <conditionalFormatting sqref="C9:C10">
    <cfRule type="cellIs" dxfId="57" priority="7" operator="greaterThan">
      <formula>$C$10</formula>
    </cfRule>
  </conditionalFormatting>
  <conditionalFormatting sqref="C10">
    <cfRule type="cellIs" dxfId="56" priority="3" operator="lessThanOrEqual">
      <formula>$C$9-1</formula>
    </cfRule>
    <cfRule type="cellIs" dxfId="55" priority="4" operator="greaterThan">
      <formula>90</formula>
    </cfRule>
  </conditionalFormatting>
  <conditionalFormatting sqref="H8">
    <cfRule type="cellIs" dxfId="54" priority="1" operator="lessThan">
      <formula>$H$7</formula>
    </cfRule>
    <cfRule type="cellIs" dxfId="53" priority="2" operator="greaterThanOrEqual">
      <formula>$H$7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B15F4-BD75-4781-97BE-F0242E8030E1}">
  <sheetPr>
    <tabColor rgb="FFFF9999"/>
  </sheetPr>
  <dimension ref="B2:R76"/>
  <sheetViews>
    <sheetView showGridLines="0" topLeftCell="A2" zoomScale="79" workbookViewId="0">
      <selection activeCell="G13" sqref="G13"/>
    </sheetView>
  </sheetViews>
  <sheetFormatPr baseColWidth="10" defaultRowHeight="15" x14ac:dyDescent="0.25"/>
  <cols>
    <col min="1" max="1" width="3" customWidth="1"/>
    <col min="2" max="2" width="19.5703125" customWidth="1"/>
    <col min="3" max="3" width="6.85546875" customWidth="1"/>
    <col min="4" max="4" width="21" bestFit="1" customWidth="1"/>
    <col min="5" max="5" width="6.85546875" customWidth="1"/>
    <col min="6" max="6" width="6.85546875" style="1" customWidth="1"/>
    <col min="7" max="7" width="19.5703125" customWidth="1"/>
    <col min="8" max="11" width="17.7109375" bestFit="1" customWidth="1"/>
    <col min="15" max="15" width="11.85546875" bestFit="1" customWidth="1"/>
    <col min="16" max="16" width="13.140625" customWidth="1"/>
    <col min="18" max="18" width="22.140625" bestFit="1" customWidth="1"/>
  </cols>
  <sheetData>
    <row r="2" spans="2:18" x14ac:dyDescent="0.25">
      <c r="B2" s="18" t="s">
        <v>221</v>
      </c>
      <c r="G2" s="18" t="s">
        <v>222</v>
      </c>
    </row>
    <row r="3" spans="2:18" ht="15.75" thickBot="1" x14ac:dyDescent="0.3"/>
    <row r="4" spans="2:18" ht="15.75" thickBot="1" x14ac:dyDescent="0.3">
      <c r="B4" s="67" t="s">
        <v>26</v>
      </c>
      <c r="D4" s="67" t="s">
        <v>93</v>
      </c>
      <c r="F4" s="77">
        <v>2</v>
      </c>
      <c r="G4" s="80" t="str">
        <f>IF('Cálculos y Supuestos Edo.Res'!H10&lt;=10%,IF('Cálculos y Supuestos Edo.Res'!C23&gt;'Cálculos y Supuestos Edo.Res'!C25,"Tu nivel de gastos está excedido en GASTOS BÁSICOS"),IF('Cálculos y Supuestos Edo.Res'!C25&gt;'Cálculos y Supuestos Edo.Res'!C23,"Tu nivel de gastos está excedido en  OBLIGACIONES",""))</f>
        <v/>
      </c>
      <c r="H4" s="81"/>
      <c r="I4" s="81"/>
      <c r="J4" s="81"/>
      <c r="K4" s="81"/>
      <c r="L4" s="81"/>
      <c r="M4" s="81"/>
      <c r="N4" s="81"/>
      <c r="O4" s="81"/>
      <c r="P4" s="74" t="str">
        <f>IF(G4="","NO BORRAR","")</f>
        <v>NO BORRAR</v>
      </c>
      <c r="R4" s="67" t="s">
        <v>481</v>
      </c>
    </row>
    <row r="5" spans="2:18" x14ac:dyDescent="0.25">
      <c r="B5" s="68">
        <f>IF('Entrevista Patrimonio F.'!E9+1&gt;80,"",'Entrevista Patrimonio F.'!E9+1)</f>
        <v>51</v>
      </c>
      <c r="D5" s="70" t="s">
        <v>58</v>
      </c>
      <c r="F5" s="78">
        <v>3</v>
      </c>
      <c r="G5" s="82" t="s">
        <v>78</v>
      </c>
      <c r="H5" s="99"/>
      <c r="I5" s="99"/>
      <c r="J5" s="99"/>
      <c r="K5" s="99"/>
      <c r="L5" s="99"/>
      <c r="M5" s="99"/>
      <c r="N5" s="99"/>
      <c r="O5" s="99"/>
      <c r="P5" s="75" t="str">
        <f>IF(G5="","NO BORRAR","")</f>
        <v/>
      </c>
      <c r="R5" s="68">
        <f>IF(EdaddeRetiro+1&gt;80,"",EdaddeRetiro)</f>
        <v>60</v>
      </c>
    </row>
    <row r="6" spans="2:18" x14ac:dyDescent="0.25">
      <c r="B6" s="68">
        <f t="shared" ref="B6:B50" si="0">IF(B5&lt;&gt;"",IF(B5+1&gt;80,"",B5+1),"")</f>
        <v>52</v>
      </c>
      <c r="D6" s="70" t="s">
        <v>95</v>
      </c>
      <c r="F6" s="78"/>
      <c r="G6" s="83"/>
      <c r="H6" s="100"/>
      <c r="I6" s="100" t="s">
        <v>72</v>
      </c>
      <c r="J6" s="100" t="s">
        <v>1</v>
      </c>
      <c r="K6" s="100" t="s">
        <v>76</v>
      </c>
      <c r="L6" s="99"/>
      <c r="M6" s="99"/>
      <c r="N6" s="99"/>
      <c r="O6" s="99"/>
      <c r="P6" s="75"/>
      <c r="R6" s="68">
        <f>IF(R5&lt;&gt;"",IF(R5+1&gt;89,"",R5+1),"")</f>
        <v>61</v>
      </c>
    </row>
    <row r="7" spans="2:18" x14ac:dyDescent="0.25">
      <c r="B7" s="68">
        <f t="shared" si="0"/>
        <v>53</v>
      </c>
      <c r="D7" s="70" t="s">
        <v>96</v>
      </c>
      <c r="F7" s="78"/>
      <c r="G7" s="84" t="s">
        <v>77</v>
      </c>
      <c r="H7" s="73"/>
      <c r="I7" s="73">
        <f>'Cálculos y Supuestos Edo.Res'!D25</f>
        <v>0.18181818181818182</v>
      </c>
      <c r="J7" s="73">
        <f>'Cálculos y Supuestos Edo.Res'!D23</f>
        <v>0.36363636363636365</v>
      </c>
      <c r="K7" s="73">
        <f>'Cálculos y Supuestos Edo.Res'!H10</f>
        <v>0.45454545454545453</v>
      </c>
      <c r="L7" s="99"/>
      <c r="M7" s="99"/>
      <c r="N7" s="99"/>
      <c r="O7" s="99"/>
      <c r="P7" s="75"/>
      <c r="R7" s="68">
        <f t="shared" ref="R7:R50" si="1">IF(R6&lt;&gt;"",IF(R6+1&gt;89,"",R6+1),"")</f>
        <v>62</v>
      </c>
    </row>
    <row r="8" spans="2:18" ht="15.75" thickBot="1" x14ac:dyDescent="0.3">
      <c r="B8" s="68">
        <f t="shared" si="0"/>
        <v>54</v>
      </c>
      <c r="D8" s="71" t="s">
        <v>97</v>
      </c>
      <c r="F8" s="78"/>
      <c r="G8" s="84" t="s">
        <v>87</v>
      </c>
      <c r="H8" s="73"/>
      <c r="I8" s="73">
        <v>0.5</v>
      </c>
      <c r="J8" s="73">
        <v>0.4</v>
      </c>
      <c r="K8" s="73">
        <v>0.1</v>
      </c>
      <c r="L8" s="99"/>
      <c r="M8" s="99"/>
      <c r="N8" s="99"/>
      <c r="O8" s="99"/>
      <c r="P8" s="75"/>
      <c r="R8" s="68">
        <f t="shared" si="1"/>
        <v>63</v>
      </c>
    </row>
    <row r="9" spans="2:18" x14ac:dyDescent="0.25">
      <c r="B9" s="68">
        <f t="shared" si="0"/>
        <v>55</v>
      </c>
      <c r="F9" s="78">
        <v>4</v>
      </c>
      <c r="G9" s="83" t="str">
        <f>"Actualmente tienes cubierto 
"&amp;TEXT('Cálculos y Supuestos Edo.Res'!G15,"###.#0")&amp;" meses de tus gastos básicos.
"&amp;IF('Cálculos y Supuestos Edo.Res'!G15&gt;=4,"Tu reserva está EXCEDIDA",IF('Cálculos y Supuestos Edo.Res'!G15&lt;3,"Es necesario incrementar tu reserva.","Tienes un nivel de reserva suficiente."))</f>
        <v>Actualmente tienes cubierto 
5.0 meses de tus gastos básicos.
Tu reserva está EXCEDIDA</v>
      </c>
      <c r="H9" s="99"/>
      <c r="I9" s="99"/>
      <c r="J9" s="99"/>
      <c r="K9" s="99"/>
      <c r="L9" s="99"/>
      <c r="M9" s="99"/>
      <c r="N9" s="99"/>
      <c r="O9" s="99"/>
      <c r="P9" s="75" t="str">
        <f t="shared" ref="P9:P19" si="2">IF(G9="","NO BORRAR","")</f>
        <v/>
      </c>
      <c r="R9" s="68">
        <f t="shared" si="1"/>
        <v>64</v>
      </c>
    </row>
    <row r="10" spans="2:18" ht="15.75" thickBot="1" x14ac:dyDescent="0.3">
      <c r="B10" s="68">
        <f t="shared" si="0"/>
        <v>56</v>
      </c>
      <c r="F10" s="78">
        <v>5</v>
      </c>
      <c r="G10" s="85" t="str">
        <f>CONCATENATE('Cálculos y Supuestos Edo.Res'!G16," ",'Cálculos y Supuestos Edo.Res'!G19)</f>
        <v>Excedido 50000</v>
      </c>
      <c r="H10" s="101"/>
      <c r="I10" s="99"/>
      <c r="J10" s="99"/>
      <c r="K10" s="99"/>
      <c r="L10" s="99"/>
      <c r="M10" s="99"/>
      <c r="N10" s="99"/>
      <c r="O10" s="99"/>
      <c r="P10" s="75" t="str">
        <f t="shared" si="2"/>
        <v/>
      </c>
      <c r="R10" s="68">
        <f t="shared" si="1"/>
        <v>65</v>
      </c>
    </row>
    <row r="11" spans="2:18" ht="15.75" thickBot="1" x14ac:dyDescent="0.3">
      <c r="B11" s="68">
        <f t="shared" si="0"/>
        <v>57</v>
      </c>
      <c r="D11" s="67" t="s">
        <v>121</v>
      </c>
      <c r="F11" s="78">
        <v>6</v>
      </c>
      <c r="G11" s="83" t="str">
        <f>"Para cubrir 3 meses de tus gastos = "&amp;TEXT('Cálculos y Supuestos Edo.Res'!G14,"$###,###,###")</f>
        <v>Para cubrir 3 meses de tus gastos = $120,000</v>
      </c>
      <c r="H11" s="99"/>
      <c r="I11" s="99"/>
      <c r="J11" s="99"/>
      <c r="K11" s="99"/>
      <c r="L11" s="99"/>
      <c r="M11" s="99"/>
      <c r="N11" s="99"/>
      <c r="O11" s="99"/>
      <c r="P11" s="75" t="str">
        <f t="shared" si="2"/>
        <v/>
      </c>
      <c r="R11" s="68">
        <f t="shared" si="1"/>
        <v>66</v>
      </c>
    </row>
    <row r="12" spans="2:18" x14ac:dyDescent="0.25">
      <c r="B12" s="68">
        <f t="shared" si="0"/>
        <v>58</v>
      </c>
      <c r="D12" s="70" t="s">
        <v>59</v>
      </c>
      <c r="F12" s="78">
        <v>7</v>
      </c>
      <c r="G12" s="85" t="str">
        <f>"Considerando tu patrimonio financiero actual, puedes cubrir tus gastos totales anuales por "&amp;TEXT('Cálculos y Supuestos Edo.Res'!G23,"#0.##")&amp;" años."</f>
        <v>Considerando tu patrimonio financiero actual, puedes cubrir tus gastos totales anuales por 2.92 años.</v>
      </c>
      <c r="H12" s="99"/>
      <c r="I12" s="99"/>
      <c r="J12" s="99"/>
      <c r="K12" s="99"/>
      <c r="L12" s="99"/>
      <c r="M12" s="99"/>
      <c r="N12" s="99"/>
      <c r="O12" s="99"/>
      <c r="P12" s="75" t="str">
        <f t="shared" si="2"/>
        <v/>
      </c>
      <c r="R12" s="68">
        <f t="shared" si="1"/>
        <v>67</v>
      </c>
    </row>
    <row r="13" spans="2:18" x14ac:dyDescent="0.25">
      <c r="B13" s="68">
        <f t="shared" si="0"/>
        <v>59</v>
      </c>
      <c r="D13" s="70" t="s">
        <v>98</v>
      </c>
      <c r="F13" s="78">
        <v>8</v>
      </c>
      <c r="G13" s="85" t="str">
        <f>"Tienes tus gastos cubiertos hasta los " &amp;ROUND('Cálculos y Supuestos Edo.Res'!G27,0)&amp;" años de edad."</f>
        <v>Tienes tus gastos cubiertos hasta los 53 años de edad.</v>
      </c>
      <c r="H13" s="99"/>
      <c r="I13" s="99"/>
      <c r="J13" s="99"/>
      <c r="K13" s="99"/>
      <c r="L13" s="99"/>
      <c r="M13" s="99"/>
      <c r="N13" s="99"/>
      <c r="O13" s="99"/>
      <c r="P13" s="75" t="str">
        <f t="shared" si="2"/>
        <v/>
      </c>
      <c r="R13" s="68">
        <f t="shared" si="1"/>
        <v>68</v>
      </c>
    </row>
    <row r="14" spans="2:18" ht="15.75" thickBot="1" x14ac:dyDescent="0.3">
      <c r="B14" s="68">
        <f t="shared" si="0"/>
        <v>60</v>
      </c>
      <c r="D14" s="71" t="s">
        <v>99</v>
      </c>
      <c r="F14" s="78">
        <v>9</v>
      </c>
      <c r="G14" s="85" t="str">
        <f>IF('Cálculos y Supuestos Edo.Res'!G23&lt;1,"POR DEBAJO DEL PROMEDIO",IF(AND('Cálculos y Supuestos Edo.Res'!G23&gt;=1,'Cálculos y Supuestos Edo.Res'!G23&lt;3),"POR ARRIBA DEL PROMEDIO",IF(AND('Cálculos y Supuestos Edo.Res'!G23&gt;=3,'Cálculos y Supuestos Edo.Res'!G23&lt;5),"RICO","ACAUDALADO")))</f>
        <v>POR ARRIBA DEL PROMEDIO</v>
      </c>
      <c r="H14" s="99"/>
      <c r="I14" s="99"/>
      <c r="J14" s="99"/>
      <c r="K14" s="99"/>
      <c r="L14" s="99"/>
      <c r="M14" s="99"/>
      <c r="N14" s="99"/>
      <c r="O14" s="99"/>
      <c r="P14" s="75" t="str">
        <f t="shared" si="2"/>
        <v/>
      </c>
      <c r="R14" s="68">
        <f t="shared" si="1"/>
        <v>69</v>
      </c>
    </row>
    <row r="15" spans="2:18" x14ac:dyDescent="0.25">
      <c r="B15" s="68">
        <f t="shared" si="0"/>
        <v>61</v>
      </c>
      <c r="F15" s="78">
        <v>10</v>
      </c>
      <c r="G15" s="85" t="str">
        <f>"Te encuentras en un nivel 
"&amp;G14&amp;".
"&amp;"
"&amp;G16</f>
        <v>Te encuentras en un nivel 
POR ARRIBA DEL PROMEDIO.
Incrementa tu riqueza para alcanzar alguna meta personal.</v>
      </c>
      <c r="H15" s="99"/>
      <c r="I15" s="99"/>
      <c r="J15" s="99"/>
      <c r="K15" s="99"/>
      <c r="L15" s="99"/>
      <c r="M15" s="99"/>
      <c r="N15" s="99"/>
      <c r="O15" s="99"/>
      <c r="P15" s="75" t="str">
        <f t="shared" si="2"/>
        <v/>
      </c>
      <c r="R15" s="68">
        <f t="shared" si="1"/>
        <v>70</v>
      </c>
    </row>
    <row r="16" spans="2:18" ht="15.75" thickBot="1" x14ac:dyDescent="0.3">
      <c r="B16" s="68">
        <f t="shared" si="0"/>
        <v>62</v>
      </c>
      <c r="F16" s="78">
        <v>11</v>
      </c>
      <c r="G16" s="85" t="str">
        <f>IF(G14="POR DEBAJO DEL PROMEDIO","Incrementa tu riqueza para cubrir al menos un año de tus gastos básicos.",IF(OR(G14="POR ARRIBA DEL PROMEDIO",G14="RICO",G14="ACAUDALADO"),"Incrementa tu riqueza para alcanzar alguna meta personal.",""))</f>
        <v>Incrementa tu riqueza para alcanzar alguna meta personal.</v>
      </c>
      <c r="H16" s="99"/>
      <c r="I16" s="99"/>
      <c r="J16" s="99"/>
      <c r="K16" s="99"/>
      <c r="L16" s="99"/>
      <c r="M16" s="99"/>
      <c r="N16" s="99"/>
      <c r="O16" s="99"/>
      <c r="P16" s="75" t="str">
        <f t="shared" si="2"/>
        <v/>
      </c>
      <c r="R16" s="68">
        <f t="shared" si="1"/>
        <v>71</v>
      </c>
    </row>
    <row r="17" spans="2:18" ht="15.75" thickBot="1" x14ac:dyDescent="0.3">
      <c r="B17" s="68">
        <f t="shared" si="0"/>
        <v>63</v>
      </c>
      <c r="D17" s="67" t="s">
        <v>100</v>
      </c>
      <c r="F17" s="78">
        <v>12</v>
      </c>
      <c r="G17" s="85" t="s">
        <v>79</v>
      </c>
      <c r="H17" s="99"/>
      <c r="I17" s="99"/>
      <c r="J17" s="99"/>
      <c r="K17" s="99"/>
      <c r="L17" s="99"/>
      <c r="M17" s="99"/>
      <c r="N17" s="99"/>
      <c r="O17" s="99"/>
      <c r="P17" s="75" t="str">
        <f t="shared" si="2"/>
        <v/>
      </c>
      <c r="R17" s="68">
        <f t="shared" si="1"/>
        <v>72</v>
      </c>
    </row>
    <row r="18" spans="2:18" x14ac:dyDescent="0.25">
      <c r="B18" s="68">
        <f t="shared" si="0"/>
        <v>64</v>
      </c>
      <c r="D18" s="70" t="s">
        <v>94</v>
      </c>
      <c r="F18" s="78">
        <v>13</v>
      </c>
      <c r="G18" s="85" t="str">
        <f>IF(G14="POR DEBAJO DEL PROMEDIO","Meta al menos 1 año de gastos :"&amp;TEXT(J18,"$###,###,###"),IF(OR(G14="POR ARRIBA DEL PROMEDIO",G14="RICO",G14="ACAUDALADO"),"Alcanza una meta personal",""))</f>
        <v>Alcanza una meta personal</v>
      </c>
      <c r="H18" s="99"/>
      <c r="I18" s="99"/>
      <c r="J18" s="101">
        <f>'Cálculos y Supuestos Edo.Res'!C26*12</f>
        <v>720000</v>
      </c>
      <c r="K18" s="99"/>
      <c r="L18" s="99"/>
      <c r="M18" s="99"/>
      <c r="N18" s="99"/>
      <c r="O18" s="99"/>
      <c r="P18" s="75" t="str">
        <f t="shared" si="2"/>
        <v/>
      </c>
      <c r="R18" s="68">
        <f t="shared" si="1"/>
        <v>73</v>
      </c>
    </row>
    <row r="19" spans="2:18" ht="15.75" thickBot="1" x14ac:dyDescent="0.3">
      <c r="B19" s="68">
        <f t="shared" si="0"/>
        <v>65</v>
      </c>
      <c r="D19" s="71" t="s">
        <v>56</v>
      </c>
      <c r="F19" s="78">
        <v>14</v>
      </c>
      <c r="G19" s="82" t="s">
        <v>223</v>
      </c>
      <c r="H19" s="99"/>
      <c r="I19" s="102"/>
      <c r="J19" s="103"/>
      <c r="K19" s="99"/>
      <c r="L19" s="99"/>
      <c r="M19" s="99"/>
      <c r="N19" s="99"/>
      <c r="O19" s="99"/>
      <c r="P19" s="75" t="str">
        <f t="shared" si="2"/>
        <v/>
      </c>
      <c r="R19" s="68">
        <f t="shared" si="1"/>
        <v>74</v>
      </c>
    </row>
    <row r="20" spans="2:18" x14ac:dyDescent="0.25">
      <c r="B20" s="68">
        <f t="shared" si="0"/>
        <v>66</v>
      </c>
      <c r="F20" s="78"/>
      <c r="G20" s="86"/>
      <c r="H20" s="103" t="s">
        <v>80</v>
      </c>
      <c r="I20" s="103" t="s">
        <v>81</v>
      </c>
      <c r="J20" s="103" t="s">
        <v>68</v>
      </c>
      <c r="K20" s="103" t="s">
        <v>69</v>
      </c>
      <c r="L20" s="99"/>
      <c r="M20" s="99"/>
      <c r="N20" s="99"/>
      <c r="O20" s="99"/>
      <c r="P20" s="75"/>
      <c r="R20" s="68">
        <f t="shared" si="1"/>
        <v>75</v>
      </c>
    </row>
    <row r="21" spans="2:18" ht="15.75" thickBot="1" x14ac:dyDescent="0.3">
      <c r="B21" s="68">
        <f t="shared" si="0"/>
        <v>67</v>
      </c>
      <c r="F21" s="78"/>
      <c r="G21" s="87" t="s">
        <v>83</v>
      </c>
      <c r="H21" s="103">
        <v>1</v>
      </c>
      <c r="I21" s="103">
        <v>2</v>
      </c>
      <c r="J21" s="103">
        <v>1</v>
      </c>
      <c r="K21" s="103">
        <v>1</v>
      </c>
      <c r="L21" s="99"/>
      <c r="M21" s="99"/>
      <c r="N21" s="99"/>
      <c r="O21" s="99"/>
      <c r="P21" s="75" t="str">
        <f>IF(G21="","NO BORRAR","")</f>
        <v/>
      </c>
      <c r="R21" s="68">
        <f t="shared" si="1"/>
        <v>76</v>
      </c>
    </row>
    <row r="22" spans="2:18" ht="15.75" thickBot="1" x14ac:dyDescent="0.3">
      <c r="B22" s="68">
        <f t="shared" si="0"/>
        <v>68</v>
      </c>
      <c r="D22" s="67" t="s">
        <v>89</v>
      </c>
      <c r="F22" s="78"/>
      <c r="G22" s="87" t="s">
        <v>82</v>
      </c>
      <c r="H22" s="88">
        <f>MIN('Cálculos y Supuestos Edo.Res'!G23,5)</f>
        <v>2.9166666666666665</v>
      </c>
      <c r="I22" s="103"/>
      <c r="J22" s="103"/>
      <c r="K22" s="103"/>
      <c r="L22" s="99"/>
      <c r="M22" s="99"/>
      <c r="N22" s="99"/>
      <c r="O22" s="99"/>
      <c r="P22" s="75" t="str">
        <f>IF(G22="","NO BORRAR","")</f>
        <v/>
      </c>
      <c r="R22" s="68">
        <f t="shared" si="1"/>
        <v>77</v>
      </c>
    </row>
    <row r="23" spans="2:18" x14ac:dyDescent="0.25">
      <c r="B23" s="68">
        <f t="shared" si="0"/>
        <v>69</v>
      </c>
      <c r="D23" s="70" t="s">
        <v>32</v>
      </c>
      <c r="F23" s="78">
        <v>15</v>
      </c>
      <c r="G23" s="82" t="s">
        <v>224</v>
      </c>
      <c r="H23" s="104"/>
      <c r="I23" s="104"/>
      <c r="J23" s="104"/>
      <c r="K23" s="104"/>
      <c r="L23" s="104"/>
      <c r="M23" s="104"/>
      <c r="N23" s="104"/>
      <c r="O23" s="99"/>
      <c r="P23" s="75" t="str">
        <f>IF(G23="","NO BORRAR","")</f>
        <v/>
      </c>
      <c r="R23" s="68">
        <f t="shared" si="1"/>
        <v>78</v>
      </c>
    </row>
    <row r="24" spans="2:18" x14ac:dyDescent="0.25">
      <c r="B24" s="68">
        <f t="shared" si="0"/>
        <v>70</v>
      </c>
      <c r="D24" s="70" t="s">
        <v>126</v>
      </c>
      <c r="F24" s="78"/>
      <c r="G24" s="85"/>
      <c r="H24" s="99" t="s">
        <v>70</v>
      </c>
      <c r="I24" s="99" t="s">
        <v>85</v>
      </c>
      <c r="J24" s="99" t="s">
        <v>45</v>
      </c>
      <c r="K24" s="104"/>
      <c r="L24" s="104"/>
      <c r="M24" s="104"/>
      <c r="N24" s="104"/>
      <c r="O24" s="99"/>
      <c r="P24" s="75"/>
      <c r="R24" s="68">
        <f t="shared" si="1"/>
        <v>79</v>
      </c>
    </row>
    <row r="25" spans="2:18" x14ac:dyDescent="0.25">
      <c r="B25" s="68">
        <f t="shared" si="0"/>
        <v>71</v>
      </c>
      <c r="D25" s="70" t="s">
        <v>127</v>
      </c>
      <c r="F25" s="78"/>
      <c r="G25" s="85" t="s">
        <v>51</v>
      </c>
      <c r="H25" s="101">
        <f>'Cálculos y Supuestos Edo.Res'!C13</f>
        <v>50000</v>
      </c>
      <c r="I25" s="103"/>
      <c r="J25" s="99"/>
      <c r="K25" s="104"/>
      <c r="L25" s="104"/>
      <c r="M25" s="104"/>
      <c r="N25" s="104"/>
      <c r="O25" s="99"/>
      <c r="P25" s="75"/>
      <c r="R25" s="68">
        <f t="shared" si="1"/>
        <v>80</v>
      </c>
    </row>
    <row r="26" spans="2:18" ht="15.75" thickBot="1" x14ac:dyDescent="0.3">
      <c r="B26" s="68">
        <f t="shared" si="0"/>
        <v>72</v>
      </c>
      <c r="D26" s="71" t="s">
        <v>33</v>
      </c>
      <c r="F26" s="78"/>
      <c r="G26" s="86" t="s">
        <v>84</v>
      </c>
      <c r="H26" s="101">
        <f>+'Cálculos y Supuestos Edo.Res'!G30</f>
        <v>3551.5587829062497</v>
      </c>
      <c r="I26" s="101">
        <f>'Cálculos y Supuestos Edo.Res'!G31</f>
        <v>0</v>
      </c>
      <c r="J26" s="101">
        <f>+'Cálculos y Supuestos Edo.Res'!G32</f>
        <v>35000</v>
      </c>
      <c r="K26" s="104"/>
      <c r="L26" s="104"/>
      <c r="M26" s="104"/>
      <c r="N26" s="104"/>
      <c r="O26" s="99"/>
      <c r="P26" s="75"/>
      <c r="R26" s="68">
        <f t="shared" si="1"/>
        <v>81</v>
      </c>
    </row>
    <row r="27" spans="2:18" x14ac:dyDescent="0.25">
      <c r="B27" s="68">
        <f t="shared" si="0"/>
        <v>73</v>
      </c>
      <c r="F27" s="78">
        <v>16</v>
      </c>
      <c r="G27" s="85" t="str">
        <f>"Total de mensualidad en retiro: "&amp;TEXT('Cálculos y Supuestos Edo.Res'!G33,"$ ###,###,###")</f>
        <v>Total de mensualidad en retiro: $ 38,552</v>
      </c>
      <c r="H27" s="99"/>
      <c r="I27" s="99"/>
      <c r="J27" s="99"/>
      <c r="K27" s="99"/>
      <c r="L27" s="99"/>
      <c r="M27" s="99"/>
      <c r="N27" s="99"/>
      <c r="O27" s="99"/>
      <c r="P27" s="75" t="str">
        <f t="shared" ref="P27:P37" si="3">IF(G27="","NO BORRAR","")</f>
        <v/>
      </c>
      <c r="R27" s="68">
        <f t="shared" si="1"/>
        <v>82</v>
      </c>
    </row>
    <row r="28" spans="2:18" x14ac:dyDescent="0.25">
      <c r="B28" s="68">
        <f t="shared" si="0"/>
        <v>74</v>
      </c>
      <c r="F28" s="78">
        <v>17</v>
      </c>
      <c r="G28" s="85" t="str">
        <f>"Tienes un avance del "&amp;TEXT('Cálculos y Supuestos Edo.Res'!G34,"##%")&amp;" de tu calidad de vida en edad de retiro."</f>
        <v>Tienes un avance del 77% de tu calidad de vida en edad de retiro.</v>
      </c>
      <c r="H28" s="99"/>
      <c r="I28" s="99"/>
      <c r="J28" s="99"/>
      <c r="K28" s="103"/>
      <c r="L28" s="99"/>
      <c r="M28" s="99"/>
      <c r="N28" s="99"/>
      <c r="O28" s="99"/>
      <c r="P28" s="75" t="str">
        <f t="shared" si="3"/>
        <v/>
      </c>
      <c r="R28" s="68">
        <f t="shared" si="1"/>
        <v>83</v>
      </c>
    </row>
    <row r="29" spans="2:18" x14ac:dyDescent="0.25">
      <c r="B29" s="68">
        <f t="shared" si="0"/>
        <v>75</v>
      </c>
      <c r="F29" s="78">
        <v>18</v>
      </c>
      <c r="G29" s="85" t="str">
        <f>"Total de ingreso mensual en retiro :"</f>
        <v>Total de ingreso mensual en retiro :</v>
      </c>
      <c r="H29" s="99"/>
      <c r="I29" s="89">
        <f>'Cálculos y Supuestos Edo.Res'!G44</f>
        <v>48551.55878290625</v>
      </c>
      <c r="J29" s="99"/>
      <c r="K29" s="99"/>
      <c r="L29" s="99"/>
      <c r="M29" s="99"/>
      <c r="N29" s="99"/>
      <c r="O29" s="99"/>
      <c r="P29" s="75" t="str">
        <f t="shared" si="3"/>
        <v/>
      </c>
      <c r="R29" s="68">
        <f t="shared" si="1"/>
        <v>84</v>
      </c>
    </row>
    <row r="30" spans="2:18" x14ac:dyDescent="0.25">
      <c r="B30" s="68">
        <f t="shared" si="0"/>
        <v>76</v>
      </c>
      <c r="F30" s="78">
        <v>19</v>
      </c>
      <c r="G30" s="85" t="str">
        <f>IF('Cálculos y Supuestos Edo.Res'!G53&lt;-100,"DÉFICIT",IF('Cálculos y Supuestos Edo.Res'!G53&gt;100,"SUPERÁVIT",IF(ABS('Cálculos y Supuestos Edo.Res'!G53)&lt;=100,"EQUILIBRIO")))</f>
        <v>SUPERÁVIT</v>
      </c>
      <c r="H30" s="99"/>
      <c r="I30" s="99"/>
      <c r="J30" s="99"/>
      <c r="K30" s="105"/>
      <c r="L30" s="99"/>
      <c r="M30" s="99"/>
      <c r="N30" s="99"/>
      <c r="O30" s="99"/>
      <c r="P30" s="75" t="str">
        <f t="shared" si="3"/>
        <v/>
      </c>
      <c r="R30" s="68">
        <f t="shared" si="1"/>
        <v>85</v>
      </c>
    </row>
    <row r="31" spans="2:18" x14ac:dyDescent="0.25">
      <c r="B31" s="68">
        <f t="shared" si="0"/>
        <v>77</v>
      </c>
      <c r="F31" s="78">
        <v>20</v>
      </c>
      <c r="G31" s="85" t="str">
        <f>IF('Cálculos y Supuestos Edo.Res'!G44&lt;'Cálculos y Supuestos Edo.Res'!C13,"Tendrías un faltante mensual de:",IF('Cálculos y Supuestos Edo.Res'!G44&gt;='Cálculos y Supuestos Edo.Res'!C13,"Tu calidad de vida está cubierta"))</f>
        <v>Tendrías un faltante mensual de:</v>
      </c>
      <c r="H31" s="99"/>
      <c r="I31" s="89">
        <f>IF('Cálculos y Supuestos Edo.Res'!G44&lt;'Cálculos y Supuestos Edo.Res'!C13,'Cálculos y Supuestos Edo.Res'!G44-'Cálculos y Supuestos Edo.Res'!C13,"")</f>
        <v>-1448.4412170937503</v>
      </c>
      <c r="J31" s="99"/>
      <c r="K31" s="99"/>
      <c r="L31" s="99"/>
      <c r="M31" s="99"/>
      <c r="N31" s="99"/>
      <c r="O31" s="99"/>
      <c r="P31" s="75" t="str">
        <f t="shared" si="3"/>
        <v/>
      </c>
      <c r="R31" s="68">
        <f t="shared" si="1"/>
        <v>86</v>
      </c>
    </row>
    <row r="32" spans="2:18" x14ac:dyDescent="0.25">
      <c r="B32" s="68">
        <f t="shared" si="0"/>
        <v>78</v>
      </c>
      <c r="F32" s="78">
        <v>21</v>
      </c>
      <c r="G32" s="85" t="str">
        <f>"Tienes un avance del "&amp;TEXT(K32,"##%")&amp;" de tu calidad de vida en edad de retiro."</f>
        <v>Tienes un avance del 97% de tu calidad de vida en edad de retiro.</v>
      </c>
      <c r="H32" s="99"/>
      <c r="I32" s="99"/>
      <c r="J32" s="99"/>
      <c r="K32" s="90">
        <f>I29/'Cálculos y Supuestos Edo.Res'!C13</f>
        <v>0.97103117565812502</v>
      </c>
      <c r="L32" s="99"/>
      <c r="M32" s="99"/>
      <c r="N32" s="99"/>
      <c r="O32" s="99"/>
      <c r="P32" s="75" t="str">
        <f t="shared" si="3"/>
        <v/>
      </c>
      <c r="R32" s="68">
        <f t="shared" si="1"/>
        <v>87</v>
      </c>
    </row>
    <row r="33" spans="2:18" x14ac:dyDescent="0.25">
      <c r="B33" s="68">
        <f t="shared" si="0"/>
        <v>79</v>
      </c>
      <c r="F33" s="78">
        <v>22</v>
      </c>
      <c r="G33" s="85" t="str">
        <f>"Si ahorras durante "&amp;TEXT('Cálculos y Supuestos Edo.Res'!C8-'Cálculos y Supuestos Edo.Res'!C7,"#0")&amp;" años (años hasta tu edad de retiro) puedes incrementar tus posibilidades al momento del retiro."</f>
        <v>Si ahorras durante 10 años (años hasta tu edad de retiro) puedes incrementar tus posibilidades al momento del retiro.</v>
      </c>
      <c r="H33" s="99"/>
      <c r="I33" s="99"/>
      <c r="J33" s="99"/>
      <c r="K33" s="91"/>
      <c r="L33" s="99"/>
      <c r="M33" s="99"/>
      <c r="N33" s="99"/>
      <c r="O33" s="99"/>
      <c r="P33" s="75" t="str">
        <f t="shared" si="3"/>
        <v/>
      </c>
      <c r="R33" s="68">
        <f t="shared" si="1"/>
        <v>88</v>
      </c>
    </row>
    <row r="34" spans="2:18" x14ac:dyDescent="0.25">
      <c r="B34" s="68">
        <f t="shared" si="0"/>
        <v>80</v>
      </c>
      <c r="F34" s="78">
        <v>23</v>
      </c>
      <c r="G34" s="85" t="s">
        <v>142</v>
      </c>
      <c r="H34" s="99"/>
      <c r="I34" s="99"/>
      <c r="J34" s="99"/>
      <c r="K34" s="99"/>
      <c r="L34" s="99"/>
      <c r="M34" s="99"/>
      <c r="N34" s="99"/>
      <c r="O34" s="99"/>
      <c r="P34" s="75" t="str">
        <f t="shared" si="3"/>
        <v/>
      </c>
      <c r="R34" s="68">
        <f t="shared" si="1"/>
        <v>89</v>
      </c>
    </row>
    <row r="35" spans="2:18" x14ac:dyDescent="0.25">
      <c r="B35" s="68" t="str">
        <f t="shared" si="0"/>
        <v/>
      </c>
      <c r="F35" s="78">
        <v>24</v>
      </c>
      <c r="G35" s="85" t="str">
        <f>IF(OR('Cálculos y Supuestos Edo.Res'!C11="No",'Cálculos y Supuestos Edo.Res'!G66=0),G34,IF('Cálculos y Supuestos Edo.Res'!H10&gt;=10%,"Protege a tus dependientes por una suma que cubra al menos "&amp;TEXT('Cálculos y Supuestos Edo.Res'!G66,"#0.0")&amp;" años de tus gastos básicos, para alcanzar una protección de 3 años.","Es importante que primero mejores tu capacidad de ahorro."))</f>
        <v>Protege a tus dependientes por una suma que cubra al menos 0.1 años de tus gastos básicos, para alcanzar una protección de 3 años.</v>
      </c>
      <c r="H35" s="99"/>
      <c r="I35" s="99"/>
      <c r="J35" s="99"/>
      <c r="K35" s="99"/>
      <c r="L35" s="99"/>
      <c r="M35" s="99"/>
      <c r="N35" s="99"/>
      <c r="O35" s="99"/>
      <c r="P35" s="75" t="str">
        <f t="shared" si="3"/>
        <v/>
      </c>
      <c r="R35" s="68" t="str">
        <f t="shared" si="1"/>
        <v/>
      </c>
    </row>
    <row r="36" spans="2:18" x14ac:dyDescent="0.25">
      <c r="B36" s="68" t="str">
        <f t="shared" si="0"/>
        <v/>
      </c>
      <c r="F36" s="78">
        <v>25</v>
      </c>
      <c r="G36" s="85" t="str">
        <f>"Es importante que cuentes con SGMM por una suma asegurada de al menos: "&amp;TEXT('Cálculos y Supuestos Edo.Res'!G69,"$###,###,###")</f>
        <v>Es importante que cuentes con SGMM por una suma asegurada de al menos: TBD</v>
      </c>
      <c r="H36" s="99"/>
      <c r="I36" s="99"/>
      <c r="J36" s="99"/>
      <c r="K36" s="99"/>
      <c r="L36" s="99"/>
      <c r="M36" s="99"/>
      <c r="N36" s="99"/>
      <c r="O36" s="99"/>
      <c r="P36" s="75" t="str">
        <f t="shared" si="3"/>
        <v/>
      </c>
      <c r="R36" s="68" t="str">
        <f t="shared" si="1"/>
        <v/>
      </c>
    </row>
    <row r="37" spans="2:18" x14ac:dyDescent="0.25">
      <c r="B37" s="68" t="str">
        <f t="shared" si="0"/>
        <v/>
      </c>
      <c r="F37" s="79">
        <v>26</v>
      </c>
      <c r="G37" s="92" t="str">
        <f>IF('Cálculos y Supuestos Edo.Res'!C17&gt;0,"Protege tu propiedad por al menos una suma asegurada de:","")</f>
        <v>Protege tu propiedad por al menos una suma asegurada de:</v>
      </c>
      <c r="H37" s="93"/>
      <c r="I37" s="93"/>
      <c r="J37" s="93"/>
      <c r="K37" s="93"/>
      <c r="L37" s="93"/>
      <c r="M37" s="93"/>
      <c r="N37" s="93"/>
      <c r="O37" s="93"/>
      <c r="P37" s="76" t="str">
        <f t="shared" si="3"/>
        <v/>
      </c>
      <c r="R37" s="68" t="str">
        <f t="shared" si="1"/>
        <v/>
      </c>
    </row>
    <row r="38" spans="2:18" x14ac:dyDescent="0.25">
      <c r="B38" s="68" t="str">
        <f t="shared" si="0"/>
        <v/>
      </c>
      <c r="R38" s="68" t="str">
        <f t="shared" si="1"/>
        <v/>
      </c>
    </row>
    <row r="39" spans="2:18" x14ac:dyDescent="0.25">
      <c r="B39" s="68" t="str">
        <f t="shared" si="0"/>
        <v/>
      </c>
      <c r="R39" s="68" t="str">
        <f t="shared" si="1"/>
        <v/>
      </c>
    </row>
    <row r="40" spans="2:18" x14ac:dyDescent="0.25">
      <c r="B40" s="68" t="str">
        <f t="shared" si="0"/>
        <v/>
      </c>
      <c r="R40" s="68" t="str">
        <f t="shared" si="1"/>
        <v/>
      </c>
    </row>
    <row r="41" spans="2:18" x14ac:dyDescent="0.25">
      <c r="B41" s="68" t="str">
        <f t="shared" si="0"/>
        <v/>
      </c>
      <c r="R41" s="68" t="str">
        <f t="shared" si="1"/>
        <v/>
      </c>
    </row>
    <row r="42" spans="2:18" x14ac:dyDescent="0.25">
      <c r="B42" s="68" t="str">
        <f t="shared" si="0"/>
        <v/>
      </c>
      <c r="R42" s="68" t="str">
        <f t="shared" si="1"/>
        <v/>
      </c>
    </row>
    <row r="43" spans="2:18" x14ac:dyDescent="0.25">
      <c r="B43" s="68" t="str">
        <f t="shared" si="0"/>
        <v/>
      </c>
      <c r="R43" s="68" t="str">
        <f t="shared" si="1"/>
        <v/>
      </c>
    </row>
    <row r="44" spans="2:18" x14ac:dyDescent="0.25">
      <c r="B44" s="68" t="str">
        <f t="shared" si="0"/>
        <v/>
      </c>
      <c r="R44" s="68" t="str">
        <f t="shared" si="1"/>
        <v/>
      </c>
    </row>
    <row r="45" spans="2:18" x14ac:dyDescent="0.25">
      <c r="B45" s="68" t="str">
        <f t="shared" si="0"/>
        <v/>
      </c>
      <c r="R45" s="68" t="str">
        <f t="shared" si="1"/>
        <v/>
      </c>
    </row>
    <row r="46" spans="2:18" x14ac:dyDescent="0.25">
      <c r="B46" s="68" t="str">
        <f t="shared" si="0"/>
        <v/>
      </c>
      <c r="R46" s="68" t="str">
        <f t="shared" si="1"/>
        <v/>
      </c>
    </row>
    <row r="47" spans="2:18" x14ac:dyDescent="0.25">
      <c r="B47" s="68" t="str">
        <f t="shared" si="0"/>
        <v/>
      </c>
      <c r="R47" s="68" t="str">
        <f t="shared" si="1"/>
        <v/>
      </c>
    </row>
    <row r="48" spans="2:18" x14ac:dyDescent="0.25">
      <c r="B48" s="68" t="str">
        <f t="shared" si="0"/>
        <v/>
      </c>
      <c r="R48" s="68" t="str">
        <f t="shared" si="1"/>
        <v/>
      </c>
    </row>
    <row r="49" spans="2:18" x14ac:dyDescent="0.25">
      <c r="B49" s="68" t="str">
        <f t="shared" si="0"/>
        <v/>
      </c>
      <c r="R49" s="68" t="str">
        <f t="shared" si="1"/>
        <v/>
      </c>
    </row>
    <row r="50" spans="2:18" ht="15.75" thickBot="1" x14ac:dyDescent="0.3">
      <c r="B50" s="69" t="str">
        <f t="shared" si="0"/>
        <v/>
      </c>
      <c r="R50" s="69" t="str">
        <f t="shared" si="1"/>
        <v/>
      </c>
    </row>
    <row r="53" spans="2:18" x14ac:dyDescent="0.25">
      <c r="B53" s="18" t="s">
        <v>253</v>
      </c>
    </row>
    <row r="54" spans="2:18" x14ac:dyDescent="0.25">
      <c r="B54" t="s">
        <v>254</v>
      </c>
    </row>
    <row r="55" spans="2:18" x14ac:dyDescent="0.25">
      <c r="B55" t="s">
        <v>255</v>
      </c>
    </row>
    <row r="57" spans="2:18" x14ac:dyDescent="0.25">
      <c r="B57" s="18" t="s">
        <v>143</v>
      </c>
    </row>
    <row r="58" spans="2:18" x14ac:dyDescent="0.25">
      <c r="B58" s="114" t="s">
        <v>264</v>
      </c>
    </row>
    <row r="59" spans="2:18" x14ac:dyDescent="0.25">
      <c r="B59" s="5" t="s">
        <v>256</v>
      </c>
    </row>
    <row r="60" spans="2:18" x14ac:dyDescent="0.25">
      <c r="B60" s="5" t="s">
        <v>257</v>
      </c>
    </row>
    <row r="61" spans="2:18" x14ac:dyDescent="0.25">
      <c r="B61" s="5" t="s">
        <v>258</v>
      </c>
    </row>
    <row r="62" spans="2:18" x14ac:dyDescent="0.25">
      <c r="B62" s="5" t="s">
        <v>259</v>
      </c>
    </row>
    <row r="63" spans="2:18" x14ac:dyDescent="0.25">
      <c r="B63" s="5" t="s">
        <v>260</v>
      </c>
    </row>
    <row r="64" spans="2:18" x14ac:dyDescent="0.25">
      <c r="B64" s="114" t="s">
        <v>261</v>
      </c>
      <c r="D64" t="s">
        <v>265</v>
      </c>
    </row>
    <row r="65" spans="2:2" x14ac:dyDescent="0.25">
      <c r="B65" s="5" t="s">
        <v>262</v>
      </c>
    </row>
    <row r="66" spans="2:2" x14ac:dyDescent="0.25">
      <c r="B66" s="5" t="s">
        <v>263</v>
      </c>
    </row>
    <row r="67" spans="2:2" x14ac:dyDescent="0.25">
      <c r="B67" s="114" t="s">
        <v>266</v>
      </c>
    </row>
    <row r="68" spans="2:2" x14ac:dyDescent="0.25">
      <c r="B68" s="5" t="s">
        <v>267</v>
      </c>
    </row>
    <row r="69" spans="2:2" x14ac:dyDescent="0.25">
      <c r="B69" s="5" t="s">
        <v>268</v>
      </c>
    </row>
    <row r="71" spans="2:2" x14ac:dyDescent="0.25">
      <c r="B71" s="18" t="s">
        <v>269</v>
      </c>
    </row>
    <row r="72" spans="2:2" x14ac:dyDescent="0.25">
      <c r="B72" s="5" t="s">
        <v>270</v>
      </c>
    </row>
    <row r="73" spans="2:2" x14ac:dyDescent="0.25">
      <c r="B73" s="5" t="s">
        <v>271</v>
      </c>
    </row>
    <row r="74" spans="2:2" x14ac:dyDescent="0.25">
      <c r="B74" s="5" t="s">
        <v>272</v>
      </c>
    </row>
    <row r="75" spans="2:2" x14ac:dyDescent="0.25">
      <c r="B75" s="5" t="s">
        <v>273</v>
      </c>
    </row>
    <row r="76" spans="2:2" x14ac:dyDescent="0.25">
      <c r="B76" s="5" t="s">
        <v>274</v>
      </c>
    </row>
  </sheetData>
  <conditionalFormatting sqref="P4:P5">
    <cfRule type="containsText" dxfId="52" priority="5" operator="containsText" text="NO BORRAR">
      <formula>NOT(ISERROR(SEARCH("NO BORRAR",P4)))</formula>
    </cfRule>
  </conditionalFormatting>
  <conditionalFormatting sqref="P9:P19">
    <cfRule type="containsText" dxfId="51" priority="3" operator="containsText" text="NO BORRAR">
      <formula>NOT(ISERROR(SEARCH("NO BORRAR",P9)))</formula>
    </cfRule>
  </conditionalFormatting>
  <conditionalFormatting sqref="P21:P23">
    <cfRule type="containsText" dxfId="50" priority="2" operator="containsText" text="NO BORRAR">
      <formula>NOT(ISERROR(SEARCH("NO BORRAR",P21)))</formula>
    </cfRule>
  </conditionalFormatting>
  <conditionalFormatting sqref="P27:P37">
    <cfRule type="containsText" dxfId="49" priority="1" operator="containsText" text="NO BORRAR">
      <formula>NOT(ISERROR(SEARCH("NO BORRAR",P27)))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rgb="FF314566"/>
    <pageSetUpPr fitToPage="1"/>
  </sheetPr>
  <dimension ref="A1:ED217"/>
  <sheetViews>
    <sheetView showGridLines="0" topLeftCell="A65" zoomScale="51" zoomScaleNormal="79" workbookViewId="0">
      <selection activeCell="DI186" sqref="DI186"/>
    </sheetView>
  </sheetViews>
  <sheetFormatPr baseColWidth="10" defaultColWidth="10.85546875" defaultRowHeight="21.75" x14ac:dyDescent="0.25"/>
  <cols>
    <col min="1" max="111" width="2.5703125" style="129" customWidth="1"/>
    <col min="112" max="112" width="16.42578125" style="129" bestFit="1" customWidth="1"/>
    <col min="113" max="113" width="22.140625" style="129" bestFit="1" customWidth="1"/>
    <col min="114" max="114" width="24.5703125" style="129" bestFit="1" customWidth="1"/>
    <col min="115" max="16384" width="10.85546875" style="129"/>
  </cols>
  <sheetData>
    <row r="1" spans="1:111" ht="12" customHeight="1" x14ac:dyDescent="0.25">
      <c r="A1" s="128"/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  <c r="CJ1" s="128"/>
      <c r="CK1" s="128"/>
      <c r="CL1" s="128"/>
      <c r="CM1" s="128"/>
      <c r="CN1" s="128"/>
      <c r="CO1" s="128"/>
      <c r="CP1" s="128"/>
      <c r="CQ1" s="128"/>
      <c r="CR1" s="128"/>
      <c r="CS1" s="128"/>
      <c r="CT1" s="128"/>
      <c r="CU1" s="128"/>
      <c r="CV1" s="128"/>
      <c r="CW1" s="128"/>
      <c r="CX1" s="128"/>
      <c r="CY1" s="128"/>
      <c r="CZ1" s="128"/>
      <c r="DA1" s="128"/>
      <c r="DB1" s="128"/>
      <c r="DC1" s="128"/>
      <c r="DD1" s="128"/>
      <c r="DE1" s="128"/>
      <c r="DF1" s="128"/>
      <c r="DG1" s="128"/>
    </row>
    <row r="2" spans="1:111" ht="12" customHeight="1" x14ac:dyDescent="0.25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  <c r="CJ2" s="128"/>
      <c r="CK2" s="128"/>
      <c r="CL2" s="128"/>
      <c r="CM2" s="128"/>
      <c r="CN2" s="128"/>
      <c r="CO2" s="128"/>
      <c r="CP2" s="128"/>
      <c r="CQ2" s="128"/>
      <c r="CR2" s="128"/>
      <c r="CS2" s="128"/>
      <c r="CT2" s="128"/>
      <c r="CU2" s="128"/>
      <c r="CV2" s="128"/>
      <c r="CW2" s="128"/>
      <c r="CX2" s="128"/>
      <c r="CY2" s="128"/>
      <c r="CZ2" s="128"/>
      <c r="DA2" s="128"/>
      <c r="DB2" s="128"/>
      <c r="DC2" s="128"/>
      <c r="DD2" s="128"/>
      <c r="DE2" s="128"/>
      <c r="DF2" s="128"/>
      <c r="DG2" s="128"/>
    </row>
    <row r="3" spans="1:111" ht="24.95" customHeight="1" x14ac:dyDescent="0.25">
      <c r="A3" s="128"/>
      <c r="B3" s="128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48"/>
      <c r="CE3" s="148"/>
      <c r="CF3" s="148"/>
      <c r="CG3" s="148"/>
      <c r="CH3" s="148"/>
      <c r="CI3" s="148"/>
      <c r="CJ3" s="148"/>
      <c r="CK3" s="148"/>
      <c r="CL3" s="148"/>
      <c r="CM3" s="210"/>
      <c r="CN3" s="210"/>
      <c r="CO3" s="210"/>
      <c r="CP3" s="210"/>
      <c r="CQ3" s="538" t="s">
        <v>315</v>
      </c>
      <c r="CR3" s="538"/>
      <c r="CS3" s="538"/>
      <c r="CT3" s="538"/>
      <c r="CU3" s="538"/>
      <c r="CV3" s="538"/>
      <c r="CW3" s="538"/>
      <c r="CX3" s="538"/>
      <c r="CY3" s="538"/>
      <c r="CZ3" s="130"/>
      <c r="DA3" s="130"/>
      <c r="DB3" s="130"/>
      <c r="DC3" s="130"/>
      <c r="DD3" s="130"/>
      <c r="DE3" s="130"/>
      <c r="DF3" s="128"/>
      <c r="DG3" s="128"/>
    </row>
    <row r="4" spans="1:111" ht="24.95" customHeight="1" x14ac:dyDescent="0.25">
      <c r="A4" s="128"/>
      <c r="B4" s="128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210"/>
      <c r="CO4" s="210"/>
      <c r="CP4" s="210"/>
      <c r="CQ4" s="536" t="s">
        <v>289</v>
      </c>
      <c r="CR4" s="537"/>
      <c r="CS4" s="537"/>
      <c r="CT4" s="537"/>
      <c r="CU4" s="537"/>
      <c r="CV4" s="537"/>
      <c r="CW4" s="537"/>
      <c r="CX4" s="537"/>
      <c r="CY4" s="537"/>
      <c r="CZ4" s="130"/>
      <c r="DA4" s="130"/>
      <c r="DB4" s="130"/>
      <c r="DC4" s="130"/>
      <c r="DD4" s="130"/>
      <c r="DE4" s="130"/>
      <c r="DF4" s="128"/>
      <c r="DG4" s="128"/>
    </row>
    <row r="5" spans="1:111" ht="24.95" customHeight="1" x14ac:dyDescent="0.25">
      <c r="A5" s="128"/>
      <c r="B5" s="128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210"/>
      <c r="CO5" s="210"/>
      <c r="CP5" s="210"/>
      <c r="CQ5" s="534" t="s">
        <v>288</v>
      </c>
      <c r="CR5" s="535"/>
      <c r="CS5" s="535"/>
      <c r="CT5" s="535"/>
      <c r="CU5" s="535"/>
      <c r="CV5" s="535"/>
      <c r="CW5" s="535"/>
      <c r="CX5" s="535"/>
      <c r="CY5" s="535"/>
      <c r="CZ5" s="130"/>
      <c r="DA5" s="130"/>
      <c r="DB5" s="130"/>
      <c r="DC5" s="130"/>
      <c r="DD5" s="130"/>
      <c r="DE5" s="130"/>
      <c r="DF5" s="128"/>
      <c r="DG5" s="128"/>
    </row>
    <row r="6" spans="1:111" ht="9.9499999999999993" customHeight="1" x14ac:dyDescent="0.25">
      <c r="A6" s="128"/>
      <c r="B6" s="128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210"/>
      <c r="CO6" s="210"/>
      <c r="CP6" s="210"/>
      <c r="CQ6" s="211"/>
      <c r="CR6" s="212"/>
      <c r="CS6" s="212"/>
      <c r="CT6" s="212"/>
      <c r="CU6" s="212"/>
      <c r="CV6" s="212"/>
      <c r="CW6" s="212"/>
      <c r="CX6" s="212"/>
      <c r="CY6" s="212"/>
      <c r="CZ6" s="130"/>
      <c r="DA6" s="130"/>
      <c r="DB6" s="130"/>
      <c r="DC6" s="130"/>
      <c r="DD6" s="130"/>
      <c r="DE6" s="130"/>
      <c r="DF6" s="128"/>
      <c r="DG6" s="128"/>
    </row>
    <row r="7" spans="1:111" ht="30.75" x14ac:dyDescent="0.25">
      <c r="A7" s="128"/>
      <c r="B7" s="128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539">
        <f ca="1">'Entrevista Patrimonio F.'!O2</f>
        <v>46083</v>
      </c>
      <c r="CE7" s="539"/>
      <c r="CF7" s="539"/>
      <c r="CG7" s="539"/>
      <c r="CH7" s="539"/>
      <c r="CI7" s="539"/>
      <c r="CJ7" s="539"/>
      <c r="CK7" s="539"/>
      <c r="CL7" s="539"/>
      <c r="CM7" s="539"/>
      <c r="CN7" s="539"/>
      <c r="CO7" s="539"/>
      <c r="CP7" s="539"/>
      <c r="CQ7" s="539"/>
      <c r="CR7" s="539"/>
      <c r="CS7" s="539"/>
      <c r="CT7" s="539"/>
      <c r="CU7" s="539"/>
      <c r="CV7" s="539"/>
      <c r="CW7" s="539"/>
      <c r="CX7" s="539"/>
      <c r="CY7" s="539"/>
      <c r="CZ7" s="130"/>
      <c r="DA7" s="130"/>
      <c r="DB7" s="130"/>
      <c r="DC7" s="130"/>
      <c r="DD7" s="130"/>
      <c r="DE7" s="130"/>
      <c r="DF7" s="128"/>
      <c r="DG7" s="128"/>
    </row>
    <row r="8" spans="1:111" ht="42.75" thickBot="1" x14ac:dyDescent="0.3">
      <c r="A8" s="128"/>
      <c r="B8" s="128"/>
      <c r="C8" s="130"/>
      <c r="D8" s="130"/>
      <c r="E8" s="208" t="s">
        <v>73</v>
      </c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CZ8" s="130"/>
      <c r="DA8" s="130"/>
      <c r="DB8" s="130"/>
      <c r="DC8" s="130"/>
      <c r="DD8" s="130"/>
      <c r="DE8" s="130"/>
      <c r="DF8" s="128"/>
      <c r="DG8" s="128"/>
    </row>
    <row r="9" spans="1:111" ht="24.95" customHeight="1" x14ac:dyDescent="0.25">
      <c r="A9" s="128"/>
      <c r="B9" s="128"/>
      <c r="C9" s="130"/>
      <c r="D9" s="130"/>
      <c r="E9" s="213" t="s">
        <v>107</v>
      </c>
      <c r="F9" s="156"/>
      <c r="G9" s="156"/>
      <c r="H9" s="156"/>
      <c r="I9" s="156"/>
      <c r="J9" s="156"/>
      <c r="K9" s="156"/>
      <c r="L9" s="530" t="str">
        <f>'Entrevista Patrimonio F.'!E7</f>
        <v>JUAN PEREZ</v>
      </c>
      <c r="M9" s="530"/>
      <c r="N9" s="530"/>
      <c r="O9" s="530"/>
      <c r="P9" s="530"/>
      <c r="Q9" s="530"/>
      <c r="R9" s="530"/>
      <c r="S9" s="530"/>
      <c r="T9" s="530"/>
      <c r="U9" s="530"/>
      <c r="V9" s="530"/>
      <c r="W9" s="530"/>
      <c r="X9" s="530"/>
      <c r="Y9" s="530"/>
      <c r="Z9" s="530"/>
      <c r="AA9" s="530"/>
      <c r="AB9" s="530"/>
      <c r="AC9" s="530"/>
      <c r="AD9" s="530"/>
      <c r="AE9" s="530"/>
      <c r="AF9" s="530"/>
      <c r="AG9" s="530"/>
      <c r="AH9" s="530"/>
      <c r="AI9" s="530"/>
      <c r="AJ9" s="530"/>
      <c r="AK9" s="530"/>
      <c r="AL9" s="530"/>
      <c r="AM9" s="530"/>
      <c r="AN9" s="530"/>
      <c r="AO9" s="530"/>
      <c r="AP9" s="530"/>
      <c r="AQ9" s="530"/>
      <c r="AR9" s="530"/>
      <c r="AS9" s="530"/>
      <c r="AT9" s="530"/>
      <c r="AU9" s="131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216" t="s">
        <v>74</v>
      </c>
      <c r="BR9" s="181"/>
      <c r="BS9" s="181"/>
      <c r="BT9" s="181"/>
      <c r="BU9" s="181"/>
      <c r="BV9" s="181"/>
      <c r="BW9" s="181"/>
      <c r="BX9" s="181"/>
      <c r="BY9" s="181"/>
      <c r="CB9" s="541"/>
      <c r="CC9" s="542"/>
      <c r="CD9" s="542"/>
      <c r="CE9" s="542"/>
      <c r="CF9" s="542"/>
      <c r="CG9" s="542"/>
      <c r="CH9" s="542"/>
      <c r="CI9" s="542"/>
      <c r="CJ9" s="542"/>
      <c r="CK9" s="542"/>
      <c r="CL9" s="542"/>
      <c r="CM9" s="542"/>
      <c r="CN9" s="542"/>
      <c r="CO9" s="542"/>
      <c r="CP9" s="542"/>
      <c r="CQ9" s="542"/>
      <c r="CR9" s="542"/>
      <c r="CS9" s="542"/>
      <c r="CT9" s="542"/>
      <c r="CU9" s="542"/>
      <c r="CV9" s="542"/>
      <c r="CW9" s="542"/>
      <c r="CX9" s="542"/>
      <c r="CY9" s="543"/>
      <c r="CZ9" s="130"/>
      <c r="DA9" s="130"/>
      <c r="DB9" s="130"/>
      <c r="DC9" s="130"/>
      <c r="DD9" s="130"/>
      <c r="DE9" s="130"/>
      <c r="DF9" s="128"/>
      <c r="DG9" s="128"/>
    </row>
    <row r="10" spans="1:111" ht="9.9499999999999993" customHeight="1" thickBot="1" x14ac:dyDescent="0.3">
      <c r="A10" s="128"/>
      <c r="B10" s="128"/>
      <c r="C10" s="130"/>
      <c r="D10" s="130"/>
      <c r="E10" s="161"/>
      <c r="F10" s="156"/>
      <c r="G10" s="156"/>
      <c r="H10" s="156"/>
      <c r="I10" s="156"/>
      <c r="J10" s="156"/>
      <c r="K10" s="156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  <c r="AK10" s="214"/>
      <c r="AL10" s="214"/>
      <c r="AM10" s="214"/>
      <c r="AN10" s="214"/>
      <c r="AO10" s="214"/>
      <c r="AP10" s="214"/>
      <c r="AQ10" s="214"/>
      <c r="AR10" s="214"/>
      <c r="AS10" s="214"/>
      <c r="AT10" s="214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91"/>
      <c r="BR10" s="181"/>
      <c r="BS10" s="181"/>
      <c r="BT10" s="181"/>
      <c r="BU10" s="181"/>
      <c r="BV10" s="181"/>
      <c r="BW10" s="181"/>
      <c r="BX10" s="181"/>
      <c r="BY10" s="181"/>
      <c r="BZ10" s="217"/>
      <c r="CA10" s="217"/>
      <c r="CZ10" s="130"/>
      <c r="DA10" s="130"/>
      <c r="DB10" s="130"/>
      <c r="DC10" s="130"/>
      <c r="DD10" s="130"/>
      <c r="DE10" s="130"/>
      <c r="DF10" s="128"/>
      <c r="DG10" s="128"/>
    </row>
    <row r="11" spans="1:111" ht="24.95" customHeight="1" x14ac:dyDescent="0.25">
      <c r="A11" s="128"/>
      <c r="B11" s="128"/>
      <c r="C11" s="130"/>
      <c r="D11" s="130"/>
      <c r="E11" s="213" t="s">
        <v>75</v>
      </c>
      <c r="F11" s="215"/>
      <c r="G11" s="156"/>
      <c r="H11" s="156"/>
      <c r="I11" s="156"/>
      <c r="J11" s="156"/>
      <c r="K11" s="156"/>
      <c r="L11" s="214"/>
      <c r="M11" s="530">
        <f>'Entrevista Patrimonio F.'!E9</f>
        <v>50</v>
      </c>
      <c r="N11" s="530"/>
      <c r="O11" s="530"/>
      <c r="P11" s="530"/>
      <c r="Q11" s="530"/>
      <c r="R11" s="530"/>
      <c r="S11" s="530"/>
      <c r="T11" s="530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  <c r="AK11" s="214"/>
      <c r="AL11" s="214"/>
      <c r="AM11" s="214"/>
      <c r="AN11" s="214"/>
      <c r="AO11" s="214"/>
      <c r="AP11" s="214"/>
      <c r="AQ11" s="214"/>
      <c r="AR11" s="214"/>
      <c r="AS11" s="214"/>
      <c r="AT11" s="214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216" t="s">
        <v>286</v>
      </c>
      <c r="BR11" s="181"/>
      <c r="BS11" s="181"/>
      <c r="BT11" s="181"/>
      <c r="BU11" s="181"/>
      <c r="BV11" s="181"/>
      <c r="BW11" s="181"/>
      <c r="BX11" s="181"/>
      <c r="BY11" s="181"/>
      <c r="CB11" s="570"/>
      <c r="CC11" s="542"/>
      <c r="CD11" s="542"/>
      <c r="CE11" s="542"/>
      <c r="CF11" s="542"/>
      <c r="CG11" s="542"/>
      <c r="CH11" s="542"/>
      <c r="CI11" s="542"/>
      <c r="CJ11" s="542"/>
      <c r="CK11" s="542"/>
      <c r="CL11" s="542"/>
      <c r="CM11" s="542"/>
      <c r="CN11" s="542"/>
      <c r="CO11" s="542"/>
      <c r="CP11" s="542"/>
      <c r="CQ11" s="542"/>
      <c r="CR11" s="542"/>
      <c r="CS11" s="542"/>
      <c r="CT11" s="542"/>
      <c r="CU11" s="542"/>
      <c r="CV11" s="542"/>
      <c r="CW11" s="542"/>
      <c r="CX11" s="542"/>
      <c r="CY11" s="543"/>
      <c r="CZ11" s="130"/>
      <c r="DA11" s="130"/>
      <c r="DB11" s="130"/>
      <c r="DC11" s="130"/>
      <c r="DD11" s="130"/>
      <c r="DE11" s="130"/>
      <c r="DF11" s="128"/>
      <c r="DG11" s="128"/>
    </row>
    <row r="12" spans="1:111" ht="9.9499999999999993" customHeight="1" thickBot="1" x14ac:dyDescent="0.3">
      <c r="A12" s="128"/>
      <c r="B12" s="128"/>
      <c r="C12" s="130"/>
      <c r="D12" s="130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91"/>
      <c r="BR12" s="181"/>
      <c r="BS12" s="181"/>
      <c r="BT12" s="181"/>
      <c r="BU12" s="181"/>
      <c r="BV12" s="181"/>
      <c r="BW12" s="181"/>
      <c r="BX12" s="181"/>
      <c r="BY12" s="181"/>
      <c r="BZ12" s="217"/>
      <c r="CA12" s="217"/>
      <c r="CZ12" s="130"/>
      <c r="DA12" s="130"/>
      <c r="DB12" s="130"/>
      <c r="DC12" s="130"/>
      <c r="DD12" s="130"/>
      <c r="DE12" s="130"/>
      <c r="DF12" s="128"/>
      <c r="DG12" s="128"/>
    </row>
    <row r="13" spans="1:111" ht="24.95" customHeight="1" x14ac:dyDescent="0.25">
      <c r="A13" s="128"/>
      <c r="B13" s="128"/>
      <c r="C13" s="130"/>
      <c r="D13" s="130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216" t="s">
        <v>287</v>
      </c>
      <c r="BR13" s="181"/>
      <c r="BS13" s="181"/>
      <c r="BT13" s="181"/>
      <c r="BU13" s="181"/>
      <c r="BV13" s="181"/>
      <c r="BW13" s="181"/>
      <c r="BX13" s="181"/>
      <c r="BY13" s="181"/>
      <c r="CB13" s="541"/>
      <c r="CC13" s="542"/>
      <c r="CD13" s="542"/>
      <c r="CE13" s="542"/>
      <c r="CF13" s="542"/>
      <c r="CG13" s="542"/>
      <c r="CH13" s="542"/>
      <c r="CI13" s="542"/>
      <c r="CJ13" s="542"/>
      <c r="CK13" s="542"/>
      <c r="CL13" s="542"/>
      <c r="CM13" s="542"/>
      <c r="CN13" s="542"/>
      <c r="CO13" s="542"/>
      <c r="CP13" s="542"/>
      <c r="CQ13" s="542"/>
      <c r="CR13" s="542"/>
      <c r="CS13" s="542"/>
      <c r="CT13" s="542"/>
      <c r="CU13" s="542"/>
      <c r="CV13" s="542"/>
      <c r="CW13" s="542"/>
      <c r="CX13" s="542"/>
      <c r="CY13" s="543"/>
      <c r="CZ13" s="130"/>
      <c r="DA13" s="130"/>
      <c r="DB13" s="130"/>
      <c r="DC13" s="130"/>
      <c r="DD13" s="130"/>
      <c r="DE13" s="130"/>
      <c r="DF13" s="128"/>
      <c r="DG13" s="128"/>
    </row>
    <row r="14" spans="1:111" ht="24.95" customHeight="1" x14ac:dyDescent="0.25">
      <c r="A14" s="128"/>
      <c r="B14" s="128"/>
      <c r="C14" s="130"/>
      <c r="D14" s="130"/>
      <c r="E14" s="241" t="s">
        <v>245</v>
      </c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  <c r="CK14" s="130"/>
      <c r="CL14" s="130"/>
      <c r="CM14" s="130"/>
      <c r="CN14" s="130"/>
      <c r="CO14" s="130"/>
      <c r="CP14" s="130"/>
      <c r="CQ14" s="130"/>
      <c r="CR14" s="130"/>
      <c r="CS14" s="130"/>
      <c r="CT14" s="130"/>
      <c r="CU14" s="130"/>
      <c r="CV14" s="130"/>
      <c r="CW14" s="130"/>
      <c r="CX14" s="130"/>
      <c r="CY14" s="130"/>
      <c r="CZ14" s="130"/>
      <c r="DA14" s="130"/>
      <c r="DB14" s="130"/>
      <c r="DC14" s="130"/>
      <c r="DD14" s="130"/>
      <c r="DE14" s="130"/>
      <c r="DF14" s="128"/>
      <c r="DG14" s="128"/>
    </row>
    <row r="15" spans="1:111" ht="9" customHeight="1" x14ac:dyDescent="0.25">
      <c r="A15" s="128"/>
      <c r="B15" s="128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  <c r="CK15" s="130"/>
      <c r="CL15" s="130"/>
      <c r="CM15" s="130"/>
      <c r="CN15" s="130"/>
      <c r="CO15" s="130"/>
      <c r="CP15" s="130"/>
      <c r="CQ15" s="130"/>
      <c r="CR15" s="130"/>
      <c r="CS15" s="130"/>
      <c r="CT15" s="130"/>
      <c r="CU15" s="130"/>
      <c r="CV15" s="130"/>
      <c r="CW15" s="130"/>
      <c r="CX15" s="130"/>
      <c r="CY15" s="130"/>
      <c r="CZ15" s="130"/>
      <c r="DA15" s="130"/>
      <c r="DB15" s="130"/>
      <c r="DC15" s="130"/>
      <c r="DD15" s="130"/>
      <c r="DE15" s="130"/>
      <c r="DF15" s="128"/>
      <c r="DG15" s="128"/>
    </row>
    <row r="16" spans="1:111" x14ac:dyDescent="0.25">
      <c r="A16" s="128"/>
      <c r="B16" s="128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  <c r="CK16" s="130"/>
      <c r="CL16" s="130"/>
      <c r="CM16" s="130"/>
      <c r="CN16" s="130"/>
      <c r="CO16" s="130"/>
      <c r="CP16" s="130"/>
      <c r="CQ16" s="130"/>
      <c r="CR16" s="130"/>
      <c r="CS16" s="130"/>
      <c r="CT16" s="130"/>
      <c r="CU16" s="130"/>
      <c r="CV16" s="130"/>
      <c r="CW16" s="130"/>
      <c r="CX16" s="130"/>
      <c r="CY16" s="130"/>
      <c r="CZ16" s="130"/>
      <c r="DA16" s="130"/>
      <c r="DB16" s="130"/>
      <c r="DC16" s="130"/>
      <c r="DD16" s="130"/>
      <c r="DE16" s="130"/>
      <c r="DF16" s="128"/>
      <c r="DG16" s="128"/>
    </row>
    <row r="17" spans="1:134" s="132" customFormat="1" ht="34.5" x14ac:dyDescent="0.25">
      <c r="A17" s="128"/>
      <c r="B17" s="128"/>
      <c r="C17" s="130"/>
      <c r="E17" s="209" t="s">
        <v>246</v>
      </c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  <c r="CK17" s="130"/>
      <c r="CL17" s="130"/>
      <c r="CM17" s="130"/>
      <c r="CN17" s="130"/>
      <c r="CO17" s="130"/>
      <c r="CP17" s="130"/>
      <c r="CQ17" s="130"/>
      <c r="CR17" s="130"/>
      <c r="CS17" s="130"/>
      <c r="CT17" s="130"/>
      <c r="CU17" s="130"/>
      <c r="CV17" s="130"/>
      <c r="CW17" s="130"/>
      <c r="CX17" s="130"/>
      <c r="CY17" s="130"/>
      <c r="CZ17" s="130"/>
      <c r="DA17" s="130"/>
      <c r="DB17" s="130"/>
      <c r="DC17" s="130"/>
      <c r="DD17" s="130"/>
      <c r="DE17" s="130"/>
      <c r="DF17" s="128"/>
      <c r="DG17" s="128"/>
    </row>
    <row r="18" spans="1:134" s="132" customFormat="1" ht="30.75" x14ac:dyDescent="0.25">
      <c r="A18" s="128"/>
      <c r="B18" s="128"/>
      <c r="C18" s="130"/>
      <c r="E18" s="161" t="s">
        <v>281</v>
      </c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  <c r="CK18" s="130"/>
      <c r="CL18" s="130"/>
      <c r="CM18" s="130"/>
      <c r="CN18" s="130"/>
      <c r="CO18" s="130"/>
      <c r="CP18" s="130"/>
      <c r="CQ18" s="130"/>
      <c r="CR18" s="130"/>
      <c r="CS18" s="130"/>
      <c r="CT18" s="130"/>
      <c r="CU18" s="130"/>
      <c r="CV18" s="130"/>
      <c r="CW18" s="130"/>
      <c r="CX18" s="130"/>
      <c r="CY18" s="130"/>
      <c r="CZ18" s="130"/>
      <c r="DA18" s="130"/>
      <c r="DB18" s="130"/>
      <c r="DC18" s="130"/>
      <c r="DD18" s="130"/>
      <c r="DE18" s="130"/>
      <c r="DF18" s="128"/>
      <c r="DG18" s="128"/>
    </row>
    <row r="19" spans="1:134" s="132" customFormat="1" ht="18" customHeight="1" x14ac:dyDescent="0.25">
      <c r="A19" s="128"/>
      <c r="B19" s="128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  <c r="CK19" s="130"/>
      <c r="DD19" s="130"/>
      <c r="DE19" s="130"/>
      <c r="DF19" s="128"/>
      <c r="DG19" s="128"/>
    </row>
    <row r="20" spans="1:134" s="132" customFormat="1" ht="18" customHeight="1" x14ac:dyDescent="0.25">
      <c r="A20" s="128"/>
      <c r="B20" s="128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  <c r="CK20" s="130"/>
      <c r="DD20" s="130"/>
      <c r="DE20" s="130"/>
      <c r="DF20" s="128"/>
      <c r="DG20" s="128"/>
    </row>
    <row r="21" spans="1:134" s="132" customFormat="1" ht="18" customHeight="1" x14ac:dyDescent="0.25">
      <c r="A21" s="128"/>
      <c r="B21" s="128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DD21" s="130"/>
      <c r="DE21" s="130"/>
      <c r="DF21" s="128"/>
      <c r="DG21" s="128"/>
      <c r="DZ21" s="133"/>
      <c r="EA21" s="133"/>
      <c r="EB21" s="133"/>
      <c r="EC21" s="133"/>
      <c r="ED21" s="133"/>
    </row>
    <row r="22" spans="1:134" s="132" customFormat="1" ht="18" customHeight="1" x14ac:dyDescent="0.25">
      <c r="A22" s="128"/>
      <c r="B22" s="128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DD22" s="130"/>
      <c r="DE22" s="130"/>
      <c r="DF22" s="128"/>
      <c r="DG22" s="128"/>
      <c r="DZ22" s="133"/>
      <c r="EA22" s="133"/>
      <c r="EB22" s="133"/>
      <c r="EC22" s="133"/>
      <c r="ED22" s="133"/>
    </row>
    <row r="23" spans="1:134" s="132" customFormat="1" ht="18" customHeight="1" x14ac:dyDescent="0.25">
      <c r="A23" s="128"/>
      <c r="B23" s="128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DD23" s="130"/>
      <c r="DE23" s="130"/>
      <c r="DF23" s="128"/>
      <c r="DG23" s="128"/>
      <c r="DZ23" s="133"/>
      <c r="EA23" s="133"/>
      <c r="EB23" s="133"/>
      <c r="EC23" s="133"/>
      <c r="ED23" s="133"/>
    </row>
    <row r="24" spans="1:134" s="132" customFormat="1" ht="18" customHeight="1" x14ac:dyDescent="0.25">
      <c r="A24" s="128"/>
      <c r="B24" s="128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DD24" s="130"/>
      <c r="DE24" s="130"/>
      <c r="DF24" s="128"/>
      <c r="DG24" s="128"/>
      <c r="DZ24" s="133"/>
      <c r="EA24" s="133"/>
      <c r="EB24" s="133"/>
      <c r="EC24" s="133"/>
      <c r="ED24" s="133"/>
    </row>
    <row r="25" spans="1:134" s="132" customFormat="1" ht="18" customHeight="1" x14ac:dyDescent="0.25">
      <c r="A25" s="128"/>
      <c r="B25" s="128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L25" s="544" t="s">
        <v>312</v>
      </c>
      <c r="CM25" s="544"/>
      <c r="CN25" s="544"/>
      <c r="CO25" s="544"/>
      <c r="CP25" s="544"/>
      <c r="CQ25" s="544"/>
      <c r="CR25" s="544"/>
      <c r="CS25" s="544"/>
      <c r="CT25" s="544"/>
      <c r="CU25" s="544"/>
      <c r="CV25" s="544"/>
      <c r="CW25" s="544"/>
      <c r="CX25" s="544"/>
      <c r="CY25" s="544"/>
      <c r="CZ25" s="544"/>
      <c r="DA25" s="544"/>
      <c r="DB25" s="544"/>
      <c r="DC25" s="544"/>
      <c r="DD25" s="130"/>
      <c r="DE25" s="130"/>
      <c r="DF25" s="128"/>
      <c r="DG25" s="128"/>
      <c r="DZ25" s="133"/>
      <c r="EA25" s="133"/>
      <c r="EB25" s="133"/>
      <c r="EC25" s="133"/>
      <c r="ED25" s="133"/>
    </row>
    <row r="26" spans="1:134" s="132" customFormat="1" ht="18" customHeight="1" x14ac:dyDescent="0.25">
      <c r="A26" s="128"/>
      <c r="B26" s="128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L26" s="544"/>
      <c r="CM26" s="544"/>
      <c r="CN26" s="544"/>
      <c r="CO26" s="544"/>
      <c r="CP26" s="544"/>
      <c r="CQ26" s="544"/>
      <c r="CR26" s="544"/>
      <c r="CS26" s="544"/>
      <c r="CT26" s="544"/>
      <c r="CU26" s="544"/>
      <c r="CV26" s="544"/>
      <c r="CW26" s="544"/>
      <c r="CX26" s="544"/>
      <c r="CY26" s="544"/>
      <c r="CZ26" s="544"/>
      <c r="DA26" s="544"/>
      <c r="DB26" s="544"/>
      <c r="DC26" s="544"/>
      <c r="DD26" s="130"/>
      <c r="DE26" s="130"/>
      <c r="DF26" s="128"/>
      <c r="DG26" s="128"/>
      <c r="DZ26" s="133"/>
      <c r="EA26" s="133"/>
      <c r="EB26" s="133"/>
      <c r="EC26" s="133"/>
      <c r="ED26" s="133"/>
    </row>
    <row r="27" spans="1:134" ht="18" customHeight="1" x14ac:dyDescent="0.25">
      <c r="A27" s="128"/>
      <c r="B27" s="128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L27" s="544"/>
      <c r="CM27" s="544"/>
      <c r="CN27" s="544"/>
      <c r="CO27" s="544"/>
      <c r="CP27" s="544"/>
      <c r="CQ27" s="544"/>
      <c r="CR27" s="544"/>
      <c r="CS27" s="544"/>
      <c r="CT27" s="544"/>
      <c r="CU27" s="544"/>
      <c r="CV27" s="544"/>
      <c r="CW27" s="544"/>
      <c r="CX27" s="544"/>
      <c r="CY27" s="544"/>
      <c r="CZ27" s="544"/>
      <c r="DA27" s="544"/>
      <c r="DB27" s="544"/>
      <c r="DC27" s="544"/>
      <c r="DD27" s="130"/>
      <c r="DE27" s="130"/>
      <c r="DF27" s="128"/>
      <c r="DG27" s="128"/>
      <c r="DI27" s="133"/>
      <c r="DJ27" s="133"/>
      <c r="DK27" s="133"/>
      <c r="DL27" s="133"/>
      <c r="DM27" s="133"/>
      <c r="DN27" s="133"/>
      <c r="DO27" s="133"/>
      <c r="DP27" s="133"/>
      <c r="DQ27" s="133"/>
      <c r="DR27" s="133"/>
      <c r="DS27" s="133"/>
      <c r="DT27" s="133"/>
      <c r="DU27" s="133"/>
      <c r="DV27" s="133"/>
      <c r="DW27" s="133"/>
      <c r="DX27" s="133"/>
      <c r="DY27" s="133"/>
      <c r="DZ27" s="133"/>
      <c r="EA27" s="133"/>
      <c r="EB27" s="133"/>
      <c r="EC27" s="133"/>
      <c r="ED27" s="133"/>
    </row>
    <row r="28" spans="1:134" ht="18" customHeight="1" x14ac:dyDescent="0.25">
      <c r="A28" s="128"/>
      <c r="B28" s="128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L28" s="544"/>
      <c r="CM28" s="544"/>
      <c r="CN28" s="544"/>
      <c r="CO28" s="544"/>
      <c r="CP28" s="544"/>
      <c r="CQ28" s="544"/>
      <c r="CR28" s="544"/>
      <c r="CS28" s="544"/>
      <c r="CT28" s="544"/>
      <c r="CU28" s="544"/>
      <c r="CV28" s="544"/>
      <c r="CW28" s="544"/>
      <c r="CX28" s="544"/>
      <c r="CY28" s="544"/>
      <c r="CZ28" s="544"/>
      <c r="DA28" s="544"/>
      <c r="DB28" s="544"/>
      <c r="DC28" s="544"/>
      <c r="DD28" s="130"/>
      <c r="DE28" s="130"/>
      <c r="DF28" s="128"/>
      <c r="DG28" s="128"/>
      <c r="DI28" s="133"/>
      <c r="DJ28" s="133"/>
      <c r="DK28" s="133"/>
      <c r="DL28" s="133"/>
      <c r="DM28" s="133"/>
      <c r="DN28" s="133"/>
      <c r="DO28" s="133"/>
      <c r="DP28" s="133"/>
      <c r="DQ28" s="133"/>
      <c r="DR28" s="133"/>
      <c r="DS28" s="133"/>
      <c r="DT28" s="133"/>
      <c r="DU28" s="133"/>
      <c r="DV28" s="133"/>
      <c r="DW28" s="133"/>
      <c r="DX28" s="133"/>
      <c r="DY28" s="133"/>
      <c r="DZ28" s="133"/>
      <c r="EA28" s="133"/>
      <c r="EB28" s="133"/>
      <c r="EC28" s="133"/>
      <c r="ED28" s="133"/>
    </row>
    <row r="29" spans="1:134" ht="18" customHeight="1" x14ac:dyDescent="0.25">
      <c r="A29" s="128"/>
      <c r="B29" s="128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L29" s="544"/>
      <c r="CM29" s="544"/>
      <c r="CN29" s="544"/>
      <c r="CO29" s="544"/>
      <c r="CP29" s="544"/>
      <c r="CQ29" s="544"/>
      <c r="CR29" s="544"/>
      <c r="CS29" s="544"/>
      <c r="CT29" s="544"/>
      <c r="CU29" s="544"/>
      <c r="CV29" s="544"/>
      <c r="CW29" s="544"/>
      <c r="CX29" s="544"/>
      <c r="CY29" s="544"/>
      <c r="CZ29" s="544"/>
      <c r="DA29" s="544"/>
      <c r="DB29" s="544"/>
      <c r="DC29" s="544"/>
      <c r="DD29" s="130"/>
      <c r="DE29" s="130"/>
      <c r="DF29" s="128"/>
      <c r="DG29" s="128"/>
      <c r="DI29" s="133"/>
      <c r="DJ29" s="133"/>
      <c r="DK29" s="133"/>
      <c r="DL29" s="133"/>
      <c r="DM29" s="133"/>
      <c r="DN29" s="133"/>
      <c r="DO29" s="133"/>
      <c r="DP29" s="133"/>
      <c r="DQ29" s="133"/>
      <c r="DR29" s="133"/>
      <c r="DS29" s="133"/>
      <c r="DT29" s="133"/>
      <c r="DU29" s="133"/>
      <c r="DV29" s="133"/>
      <c r="DW29" s="133"/>
      <c r="DX29" s="133"/>
      <c r="DY29" s="133"/>
      <c r="DZ29" s="133"/>
      <c r="EA29" s="133"/>
      <c r="EB29" s="133"/>
      <c r="EC29" s="133"/>
      <c r="ED29" s="133"/>
    </row>
    <row r="30" spans="1:134" ht="18" customHeight="1" x14ac:dyDescent="0.25">
      <c r="A30" s="128"/>
      <c r="B30" s="128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L30" s="544"/>
      <c r="CM30" s="544"/>
      <c r="CN30" s="544"/>
      <c r="CO30" s="544"/>
      <c r="CP30" s="544"/>
      <c r="CQ30" s="544"/>
      <c r="CR30" s="544"/>
      <c r="CS30" s="544"/>
      <c r="CT30" s="544"/>
      <c r="CU30" s="544"/>
      <c r="CV30" s="544"/>
      <c r="CW30" s="544"/>
      <c r="CX30" s="544"/>
      <c r="CY30" s="544"/>
      <c r="CZ30" s="544"/>
      <c r="DA30" s="544"/>
      <c r="DB30" s="544"/>
      <c r="DC30" s="544"/>
      <c r="DD30" s="130"/>
      <c r="DE30" s="130"/>
      <c r="DF30" s="128"/>
      <c r="DG30" s="128"/>
      <c r="DI30" s="133"/>
      <c r="DJ30" s="133"/>
      <c r="DK30" s="133"/>
      <c r="DL30" s="133"/>
      <c r="DM30" s="133"/>
      <c r="DN30" s="133"/>
      <c r="DO30" s="133"/>
      <c r="DP30" s="133"/>
      <c r="DQ30" s="133"/>
      <c r="DR30" s="133"/>
      <c r="DS30" s="133"/>
      <c r="DT30" s="133"/>
      <c r="DU30" s="133"/>
      <c r="DV30" s="133"/>
      <c r="DW30" s="133"/>
      <c r="DX30" s="133"/>
      <c r="DY30" s="133"/>
      <c r="DZ30" s="133"/>
      <c r="EA30" s="133"/>
      <c r="EB30" s="133"/>
      <c r="EC30" s="133"/>
      <c r="ED30" s="133"/>
    </row>
    <row r="31" spans="1:134" ht="18" customHeight="1" x14ac:dyDescent="0.25">
      <c r="A31" s="128"/>
      <c r="B31" s="128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DD31" s="130"/>
      <c r="DE31" s="130"/>
      <c r="DF31" s="128"/>
      <c r="DG31" s="128"/>
      <c r="DI31" s="133"/>
      <c r="DJ31" s="133"/>
      <c r="DK31" s="133"/>
      <c r="DL31" s="133"/>
      <c r="DM31" s="133"/>
      <c r="DN31" s="133"/>
      <c r="DO31" s="133"/>
      <c r="DP31" s="133"/>
      <c r="DQ31" s="133"/>
      <c r="DR31" s="133"/>
      <c r="DS31" s="133"/>
      <c r="DT31" s="133"/>
      <c r="DU31" s="133"/>
      <c r="DV31" s="133"/>
      <c r="DW31" s="133"/>
      <c r="DX31" s="133"/>
      <c r="DY31" s="133"/>
      <c r="DZ31" s="133"/>
      <c r="EA31" s="133"/>
      <c r="EB31" s="133"/>
      <c r="EC31" s="133"/>
      <c r="ED31" s="133"/>
    </row>
    <row r="32" spans="1:134" ht="18" customHeight="1" x14ac:dyDescent="0.25">
      <c r="A32" s="128"/>
      <c r="B32" s="128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L32" s="134"/>
      <c r="CM32" s="134"/>
      <c r="CN32" s="134"/>
      <c r="CO32" s="134"/>
      <c r="CP32" s="134"/>
      <c r="CQ32" s="134"/>
      <c r="CR32" s="134"/>
      <c r="CS32" s="134"/>
      <c r="CT32" s="134"/>
      <c r="CU32" s="134"/>
      <c r="CV32" s="134"/>
      <c r="CW32" s="134"/>
      <c r="CX32" s="134"/>
      <c r="CY32" s="134"/>
      <c r="CZ32" s="134"/>
      <c r="DA32" s="134"/>
      <c r="DB32" s="134"/>
      <c r="DC32" s="134"/>
      <c r="DD32" s="130"/>
      <c r="DE32" s="130"/>
      <c r="DF32" s="128"/>
      <c r="DG32" s="128"/>
      <c r="DI32" s="133"/>
      <c r="DJ32" s="133"/>
      <c r="DK32" s="133"/>
      <c r="DL32" s="133"/>
      <c r="DM32" s="133"/>
      <c r="DN32" s="133"/>
      <c r="DO32" s="133"/>
      <c r="DP32" s="133"/>
      <c r="DQ32" s="133"/>
      <c r="DR32" s="133"/>
      <c r="DS32" s="133"/>
      <c r="DT32" s="133"/>
      <c r="DU32" s="133"/>
      <c r="DV32" s="133"/>
      <c r="DW32" s="133"/>
      <c r="DX32" s="133"/>
      <c r="DY32" s="133"/>
      <c r="DZ32" s="133"/>
      <c r="EA32" s="133"/>
      <c r="EB32" s="133"/>
      <c r="EC32" s="133"/>
      <c r="ED32" s="133"/>
    </row>
    <row r="33" spans="1:134" ht="18" customHeight="1" x14ac:dyDescent="0.25">
      <c r="A33" s="128"/>
      <c r="B33" s="128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DD33" s="130"/>
      <c r="DE33" s="130"/>
      <c r="DF33" s="128"/>
      <c r="DG33" s="128"/>
      <c r="DI33" s="133"/>
      <c r="DJ33" s="133"/>
      <c r="DK33" s="133"/>
      <c r="DL33" s="133"/>
      <c r="DM33" s="133"/>
      <c r="DN33" s="133"/>
      <c r="DO33" s="133"/>
      <c r="DP33" s="133"/>
      <c r="DQ33" s="133"/>
      <c r="DR33" s="133"/>
      <c r="DS33" s="133"/>
      <c r="DT33" s="133"/>
      <c r="DU33" s="133"/>
      <c r="DV33" s="133"/>
      <c r="DW33" s="133"/>
      <c r="DX33" s="133"/>
      <c r="DY33" s="133"/>
      <c r="DZ33" s="133"/>
      <c r="EA33" s="133"/>
      <c r="EB33" s="133"/>
      <c r="EC33" s="133"/>
      <c r="ED33" s="133"/>
    </row>
    <row r="34" spans="1:134" ht="18" customHeight="1" x14ac:dyDescent="0.25">
      <c r="A34" s="128"/>
      <c r="B34" s="128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DD34" s="130"/>
      <c r="DE34" s="130"/>
      <c r="DF34" s="128"/>
      <c r="DG34" s="128"/>
      <c r="DI34" s="133"/>
      <c r="DJ34" s="133"/>
      <c r="DK34" s="133"/>
      <c r="DL34" s="133"/>
      <c r="DM34" s="133"/>
      <c r="DN34" s="133"/>
      <c r="DO34" s="133"/>
      <c r="DP34" s="133"/>
      <c r="DQ34" s="133"/>
      <c r="DR34" s="133"/>
      <c r="DS34" s="133"/>
      <c r="DT34" s="133"/>
      <c r="DU34" s="133"/>
      <c r="DV34" s="133"/>
      <c r="DW34" s="133"/>
      <c r="DX34" s="133"/>
      <c r="DY34" s="133"/>
      <c r="DZ34" s="133"/>
      <c r="EA34" s="133"/>
      <c r="EB34" s="133"/>
      <c r="EC34" s="133"/>
      <c r="ED34" s="133"/>
    </row>
    <row r="35" spans="1:134" ht="18" customHeight="1" x14ac:dyDescent="0.25">
      <c r="A35" s="128"/>
      <c r="B35" s="128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DD35" s="130"/>
      <c r="DE35" s="130"/>
      <c r="DF35" s="128"/>
      <c r="DG35" s="128"/>
      <c r="DI35" s="133"/>
      <c r="DJ35" s="133"/>
      <c r="DK35" s="133"/>
      <c r="DL35" s="133"/>
      <c r="DM35" s="133"/>
      <c r="DN35" s="133"/>
      <c r="DO35" s="133"/>
      <c r="DP35" s="133"/>
      <c r="DQ35" s="133"/>
      <c r="DR35" s="133"/>
      <c r="DS35" s="133"/>
      <c r="DT35" s="133"/>
      <c r="DU35" s="133"/>
      <c r="DV35" s="133"/>
      <c r="DW35" s="133"/>
      <c r="DX35" s="133"/>
      <c r="DY35" s="133"/>
      <c r="DZ35" s="133"/>
      <c r="EA35" s="133"/>
      <c r="EB35" s="133"/>
      <c r="EC35" s="133"/>
      <c r="ED35" s="133"/>
    </row>
    <row r="36" spans="1:134" ht="18" customHeight="1" x14ac:dyDescent="0.25">
      <c r="A36" s="128"/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  <c r="BM36" s="130"/>
      <c r="BN36" s="130"/>
      <c r="BO36" s="130"/>
      <c r="BP36" s="130"/>
      <c r="BQ36" s="130"/>
      <c r="BR36" s="130"/>
      <c r="BS36" s="130"/>
      <c r="BT36" s="130"/>
      <c r="BU36" s="130"/>
      <c r="BV36" s="130"/>
      <c r="BW36" s="130"/>
      <c r="BX36" s="130"/>
      <c r="BY36" s="130"/>
      <c r="BZ36" s="130"/>
      <c r="CA36" s="130"/>
      <c r="CB36" s="130"/>
      <c r="CC36" s="130"/>
      <c r="CD36" s="130"/>
      <c r="CE36" s="130"/>
      <c r="CF36" s="130"/>
      <c r="CG36" s="130"/>
      <c r="DD36" s="130"/>
      <c r="DE36" s="130"/>
      <c r="DF36" s="128"/>
      <c r="DG36" s="128"/>
      <c r="DI36" s="133"/>
      <c r="DJ36" s="133"/>
      <c r="DK36" s="133"/>
      <c r="DL36" s="133"/>
      <c r="DM36" s="133"/>
      <c r="DN36" s="133"/>
      <c r="DO36" s="133"/>
      <c r="DP36" s="133"/>
      <c r="DQ36" s="133"/>
      <c r="DR36" s="133"/>
      <c r="DS36" s="133"/>
      <c r="DT36" s="133"/>
      <c r="DU36" s="133"/>
      <c r="DV36" s="133"/>
      <c r="DW36" s="133"/>
      <c r="DX36" s="133"/>
      <c r="DY36" s="133"/>
      <c r="DZ36" s="133"/>
      <c r="EA36" s="133"/>
      <c r="EB36" s="133"/>
      <c r="EC36" s="133"/>
      <c r="ED36" s="133"/>
    </row>
    <row r="37" spans="1:134" ht="18" customHeight="1" x14ac:dyDescent="0.25">
      <c r="A37" s="128"/>
      <c r="B37" s="128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  <c r="CF37" s="130"/>
      <c r="CG37" s="130"/>
      <c r="CL37" s="544" t="s">
        <v>313</v>
      </c>
      <c r="CM37" s="544"/>
      <c r="CN37" s="544"/>
      <c r="CO37" s="544"/>
      <c r="CP37" s="544"/>
      <c r="CQ37" s="544"/>
      <c r="CR37" s="544"/>
      <c r="CS37" s="544"/>
      <c r="CT37" s="544"/>
      <c r="CU37" s="544"/>
      <c r="CV37" s="544"/>
      <c r="CW37" s="544"/>
      <c r="CX37" s="544"/>
      <c r="CY37" s="544"/>
      <c r="CZ37" s="544"/>
      <c r="DA37" s="544"/>
      <c r="DB37" s="544"/>
      <c r="DC37" s="544"/>
      <c r="DD37" s="130"/>
      <c r="DE37" s="130"/>
      <c r="DF37" s="128"/>
      <c r="DG37" s="128"/>
      <c r="DI37" s="133"/>
      <c r="DJ37" s="133"/>
      <c r="DK37" s="133"/>
      <c r="DL37" s="133"/>
      <c r="DM37" s="133"/>
      <c r="DN37" s="133"/>
      <c r="DO37" s="133"/>
      <c r="DP37" s="133"/>
      <c r="DQ37" s="133"/>
      <c r="DR37" s="133"/>
      <c r="DS37" s="133"/>
      <c r="DT37" s="133"/>
      <c r="DU37" s="133"/>
      <c r="DV37" s="133"/>
      <c r="DW37" s="133"/>
      <c r="DX37" s="133"/>
      <c r="DY37" s="133"/>
      <c r="DZ37" s="133"/>
      <c r="EA37" s="133"/>
      <c r="EB37" s="133"/>
      <c r="EC37" s="133"/>
      <c r="ED37" s="133"/>
    </row>
    <row r="38" spans="1:134" ht="18" customHeight="1" x14ac:dyDescent="0.25">
      <c r="A38" s="128"/>
      <c r="B38" s="128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  <c r="BN38" s="130"/>
      <c r="BO38" s="130"/>
      <c r="BP38" s="130"/>
      <c r="BQ38" s="130"/>
      <c r="BR38" s="130"/>
      <c r="BS38" s="130"/>
      <c r="BT38" s="130"/>
      <c r="BU38" s="130"/>
      <c r="BV38" s="130"/>
      <c r="BW38" s="130"/>
      <c r="BX38" s="130"/>
      <c r="BY38" s="130"/>
      <c r="BZ38" s="130"/>
      <c r="CA38" s="130"/>
      <c r="CB38" s="130"/>
      <c r="CC38" s="130"/>
      <c r="CD38" s="130"/>
      <c r="CE38" s="130"/>
      <c r="CF38" s="130"/>
      <c r="CG38" s="130"/>
      <c r="CL38" s="544"/>
      <c r="CM38" s="544"/>
      <c r="CN38" s="544"/>
      <c r="CO38" s="544"/>
      <c r="CP38" s="544"/>
      <c r="CQ38" s="544"/>
      <c r="CR38" s="544"/>
      <c r="CS38" s="544"/>
      <c r="CT38" s="544"/>
      <c r="CU38" s="544"/>
      <c r="CV38" s="544"/>
      <c r="CW38" s="544"/>
      <c r="CX38" s="544"/>
      <c r="CY38" s="544"/>
      <c r="CZ38" s="544"/>
      <c r="DA38" s="544"/>
      <c r="DB38" s="544"/>
      <c r="DC38" s="544"/>
      <c r="DD38" s="130"/>
      <c r="DE38" s="130"/>
      <c r="DF38" s="128"/>
      <c r="DG38" s="128"/>
      <c r="DI38" s="133"/>
      <c r="DJ38" s="133"/>
      <c r="DK38" s="133"/>
      <c r="DL38" s="133"/>
      <c r="DM38" s="133"/>
      <c r="DN38" s="133"/>
      <c r="DO38" s="133"/>
      <c r="DP38" s="133"/>
      <c r="DQ38" s="133"/>
      <c r="DR38" s="133"/>
      <c r="DS38" s="133"/>
      <c r="DT38" s="133"/>
      <c r="DU38" s="133"/>
      <c r="DV38" s="133"/>
      <c r="DW38" s="133"/>
      <c r="DX38" s="133"/>
      <c r="DY38" s="133"/>
      <c r="DZ38" s="133"/>
      <c r="EA38" s="133"/>
      <c r="EB38" s="133"/>
      <c r="EC38" s="133"/>
      <c r="ED38" s="133"/>
    </row>
    <row r="39" spans="1:134" ht="18" customHeight="1" x14ac:dyDescent="0.25">
      <c r="A39" s="128"/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  <c r="BM39" s="130"/>
      <c r="BN39" s="130"/>
      <c r="BO39" s="130"/>
      <c r="BP39" s="130"/>
      <c r="BQ39" s="130"/>
      <c r="BR39" s="130"/>
      <c r="BS39" s="130"/>
      <c r="BT39" s="130"/>
      <c r="BU39" s="130"/>
      <c r="BV39" s="130"/>
      <c r="BW39" s="130"/>
      <c r="BX39" s="130"/>
      <c r="BY39" s="130"/>
      <c r="BZ39" s="130"/>
      <c r="CA39" s="130"/>
      <c r="CB39" s="130"/>
      <c r="CC39" s="130"/>
      <c r="CD39" s="130"/>
      <c r="CE39" s="130"/>
      <c r="CF39" s="130"/>
      <c r="CG39" s="130"/>
      <c r="CL39" s="544"/>
      <c r="CM39" s="544"/>
      <c r="CN39" s="544"/>
      <c r="CO39" s="544"/>
      <c r="CP39" s="544"/>
      <c r="CQ39" s="544"/>
      <c r="CR39" s="544"/>
      <c r="CS39" s="544"/>
      <c r="CT39" s="544"/>
      <c r="CU39" s="544"/>
      <c r="CV39" s="544"/>
      <c r="CW39" s="544"/>
      <c r="CX39" s="544"/>
      <c r="CY39" s="544"/>
      <c r="CZ39" s="544"/>
      <c r="DA39" s="544"/>
      <c r="DB39" s="544"/>
      <c r="DC39" s="544"/>
      <c r="DD39" s="130"/>
      <c r="DE39" s="130"/>
      <c r="DF39" s="128"/>
      <c r="DG39" s="128"/>
      <c r="DI39" s="133"/>
      <c r="DJ39" s="133"/>
      <c r="DK39" s="133"/>
      <c r="DL39" s="133"/>
      <c r="DM39" s="133"/>
      <c r="DN39" s="133"/>
      <c r="DO39" s="133"/>
      <c r="DP39" s="133"/>
      <c r="DQ39" s="133"/>
      <c r="DR39" s="133"/>
      <c r="DS39" s="133"/>
      <c r="DT39" s="133"/>
      <c r="DU39" s="133"/>
      <c r="DV39" s="133"/>
      <c r="DW39" s="133"/>
      <c r="DX39" s="133"/>
      <c r="DY39" s="133"/>
      <c r="DZ39" s="133"/>
      <c r="EA39" s="133"/>
      <c r="EB39" s="133"/>
      <c r="EC39" s="133"/>
    </row>
    <row r="40" spans="1:134" ht="18" customHeight="1" x14ac:dyDescent="0.25">
      <c r="A40" s="128"/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30"/>
      <c r="BC40" s="130"/>
      <c r="BD40" s="130"/>
      <c r="BE40" s="130"/>
      <c r="BF40" s="130"/>
      <c r="BG40" s="130"/>
      <c r="BH40" s="130"/>
      <c r="BI40" s="130"/>
      <c r="BJ40" s="130"/>
      <c r="BK40" s="130"/>
      <c r="BL40" s="130"/>
      <c r="BM40" s="130"/>
      <c r="BN40" s="130"/>
      <c r="BO40" s="130"/>
      <c r="BP40" s="130"/>
      <c r="BQ40" s="130"/>
      <c r="BR40" s="130"/>
      <c r="BS40" s="130"/>
      <c r="BT40" s="130"/>
      <c r="BU40" s="130"/>
      <c r="BV40" s="130"/>
      <c r="BW40" s="130"/>
      <c r="BX40" s="130"/>
      <c r="BY40" s="130"/>
      <c r="BZ40" s="130"/>
      <c r="CA40" s="130"/>
      <c r="CB40" s="130"/>
      <c r="CC40" s="130"/>
      <c r="CD40" s="130"/>
      <c r="CE40" s="130"/>
      <c r="CF40" s="130"/>
      <c r="CG40" s="130"/>
      <c r="CL40" s="544"/>
      <c r="CM40" s="544"/>
      <c r="CN40" s="544"/>
      <c r="CO40" s="544"/>
      <c r="CP40" s="544"/>
      <c r="CQ40" s="544"/>
      <c r="CR40" s="544"/>
      <c r="CS40" s="544"/>
      <c r="CT40" s="544"/>
      <c r="CU40" s="544"/>
      <c r="CV40" s="544"/>
      <c r="CW40" s="544"/>
      <c r="CX40" s="544"/>
      <c r="CY40" s="544"/>
      <c r="CZ40" s="544"/>
      <c r="DA40" s="544"/>
      <c r="DB40" s="544"/>
      <c r="DC40" s="544"/>
      <c r="DD40" s="130"/>
      <c r="DE40" s="130"/>
      <c r="DF40" s="128"/>
      <c r="DG40" s="128"/>
      <c r="DI40" s="133"/>
      <c r="DJ40" s="133"/>
      <c r="DK40" s="133"/>
      <c r="DL40" s="133"/>
      <c r="DM40" s="133"/>
      <c r="DN40" s="133"/>
      <c r="DO40" s="133"/>
      <c r="DP40" s="133"/>
      <c r="DQ40" s="133"/>
      <c r="DR40" s="133"/>
      <c r="DS40" s="133"/>
      <c r="DT40" s="133"/>
      <c r="DU40" s="133"/>
      <c r="DV40" s="133"/>
      <c r="DW40" s="133"/>
      <c r="DX40" s="133"/>
      <c r="DY40" s="133"/>
      <c r="DZ40" s="133"/>
      <c r="EA40" s="133"/>
      <c r="EB40" s="133"/>
      <c r="EC40" s="133"/>
    </row>
    <row r="41" spans="1:134" ht="18" customHeight="1" x14ac:dyDescent="0.25">
      <c r="A41" s="128"/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0"/>
      <c r="BH41" s="130"/>
      <c r="BI41" s="130"/>
      <c r="BJ41" s="130"/>
      <c r="BK41" s="130"/>
      <c r="BL41" s="130"/>
      <c r="BM41" s="130"/>
      <c r="BN41" s="130"/>
      <c r="BO41" s="130"/>
      <c r="BP41" s="130"/>
      <c r="BQ41" s="130"/>
      <c r="BR41" s="130"/>
      <c r="BS41" s="130"/>
      <c r="BT41" s="130"/>
      <c r="BU41" s="130"/>
      <c r="BV41" s="130"/>
      <c r="BW41" s="130"/>
      <c r="BX41" s="130"/>
      <c r="BY41" s="130"/>
      <c r="BZ41" s="130"/>
      <c r="CA41" s="130"/>
      <c r="CB41" s="130"/>
      <c r="CC41" s="130"/>
      <c r="CD41" s="130"/>
      <c r="CE41" s="130"/>
      <c r="CF41" s="130"/>
      <c r="CG41" s="130"/>
      <c r="CH41" s="130"/>
      <c r="CI41" s="130"/>
      <c r="CJ41" s="130"/>
      <c r="CK41" s="130"/>
      <c r="CL41" s="544"/>
      <c r="CM41" s="544"/>
      <c r="CN41" s="544"/>
      <c r="CO41" s="544"/>
      <c r="CP41" s="544"/>
      <c r="CQ41" s="544"/>
      <c r="CR41" s="544"/>
      <c r="CS41" s="544"/>
      <c r="CT41" s="544"/>
      <c r="CU41" s="544"/>
      <c r="CV41" s="544"/>
      <c r="CW41" s="544"/>
      <c r="CX41" s="544"/>
      <c r="CY41" s="544"/>
      <c r="CZ41" s="544"/>
      <c r="DA41" s="544"/>
      <c r="DB41" s="544"/>
      <c r="DC41" s="544"/>
      <c r="DD41" s="130"/>
      <c r="DE41" s="130"/>
      <c r="DF41" s="128"/>
      <c r="DG41" s="128"/>
    </row>
    <row r="42" spans="1:134" hidden="1" x14ac:dyDescent="0.25">
      <c r="A42" s="128"/>
      <c r="B42" s="128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  <c r="BL42" s="130"/>
      <c r="BM42" s="130"/>
      <c r="BN42" s="130"/>
      <c r="BO42" s="130"/>
      <c r="BP42" s="130"/>
      <c r="BQ42" s="130"/>
      <c r="BR42" s="130"/>
      <c r="BS42" s="130"/>
      <c r="BT42" s="130"/>
      <c r="BU42" s="130"/>
      <c r="BV42" s="130"/>
      <c r="BW42" s="130"/>
      <c r="BX42" s="130"/>
      <c r="BY42" s="130"/>
      <c r="BZ42" s="130"/>
      <c r="CA42" s="130"/>
      <c r="CB42" s="130"/>
      <c r="CC42" s="130"/>
      <c r="CD42" s="130"/>
      <c r="CE42" s="130"/>
      <c r="CF42" s="130"/>
      <c r="CG42" s="130"/>
      <c r="CH42" s="130"/>
      <c r="CI42" s="130"/>
      <c r="CJ42" s="130"/>
      <c r="CK42" s="130"/>
      <c r="CL42" s="544"/>
      <c r="CM42" s="544"/>
      <c r="CN42" s="544"/>
      <c r="CO42" s="544"/>
      <c r="CP42" s="544"/>
      <c r="CQ42" s="544"/>
      <c r="CR42" s="544"/>
      <c r="CS42" s="544"/>
      <c r="CT42" s="544"/>
      <c r="CU42" s="544"/>
      <c r="CV42" s="544"/>
      <c r="CW42" s="544"/>
      <c r="CX42" s="544"/>
      <c r="CY42" s="544"/>
      <c r="CZ42" s="544"/>
      <c r="DA42" s="544"/>
      <c r="DB42" s="544"/>
      <c r="DC42" s="544"/>
      <c r="DD42" s="130"/>
      <c r="DE42" s="130"/>
      <c r="DF42" s="128"/>
      <c r="DG42" s="128"/>
    </row>
    <row r="43" spans="1:134" hidden="1" x14ac:dyDescent="0.25">
      <c r="A43" s="128"/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  <c r="BL43" s="130"/>
      <c r="BM43" s="130"/>
      <c r="BN43" s="130"/>
      <c r="BO43" s="130"/>
      <c r="BP43" s="130"/>
      <c r="BQ43" s="130"/>
      <c r="BR43" s="130"/>
      <c r="BS43" s="130"/>
      <c r="BT43" s="130"/>
      <c r="BU43" s="130"/>
      <c r="BV43" s="130"/>
      <c r="BW43" s="130"/>
      <c r="BX43" s="130"/>
      <c r="BY43" s="130"/>
      <c r="BZ43" s="130"/>
      <c r="CA43" s="130"/>
      <c r="CB43" s="130"/>
      <c r="CC43" s="130"/>
      <c r="CD43" s="130"/>
      <c r="CE43" s="130"/>
      <c r="CF43" s="130"/>
      <c r="CG43" s="130"/>
      <c r="CH43" s="130"/>
      <c r="CI43" s="130"/>
      <c r="CJ43" s="130"/>
      <c r="CK43" s="130"/>
      <c r="CL43" s="130"/>
      <c r="CM43" s="130"/>
      <c r="CN43" s="130"/>
      <c r="CO43" s="130"/>
      <c r="CP43" s="130"/>
      <c r="CQ43" s="130"/>
      <c r="CR43" s="130"/>
      <c r="CS43" s="130"/>
      <c r="CT43" s="130"/>
      <c r="CU43" s="130"/>
      <c r="CV43" s="130"/>
      <c r="CW43" s="130"/>
      <c r="CX43" s="130"/>
      <c r="CY43" s="130"/>
      <c r="CZ43" s="130"/>
      <c r="DA43" s="130"/>
      <c r="DB43" s="130"/>
      <c r="DC43" s="130"/>
      <c r="DD43" s="130"/>
      <c r="DE43" s="130"/>
      <c r="DF43" s="128"/>
      <c r="DG43" s="128"/>
    </row>
    <row r="44" spans="1:134" hidden="1" x14ac:dyDescent="0.25">
      <c r="A44" s="128"/>
      <c r="B44" s="128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30"/>
      <c r="AY44" s="130"/>
      <c r="AZ44" s="130"/>
      <c r="BA44" s="130"/>
      <c r="BB44" s="130"/>
      <c r="BC44" s="130"/>
      <c r="BD44" s="130"/>
      <c r="BE44" s="130"/>
      <c r="BF44" s="130"/>
      <c r="BG44" s="130"/>
      <c r="BH44" s="130"/>
      <c r="BI44" s="130"/>
      <c r="BJ44" s="130"/>
      <c r="BK44" s="130"/>
      <c r="BL44" s="130"/>
      <c r="BM44" s="130"/>
      <c r="BN44" s="130"/>
      <c r="BO44" s="130"/>
      <c r="BP44" s="130"/>
      <c r="BQ44" s="130"/>
      <c r="BR44" s="130"/>
      <c r="BS44" s="130"/>
      <c r="BT44" s="130"/>
      <c r="BU44" s="130"/>
      <c r="BV44" s="130"/>
      <c r="BW44" s="130"/>
      <c r="BX44" s="130"/>
      <c r="BY44" s="130"/>
      <c r="BZ44" s="130"/>
      <c r="CA44" s="130"/>
      <c r="CB44" s="130"/>
      <c r="CC44" s="130"/>
      <c r="CD44" s="130"/>
      <c r="CE44" s="130"/>
      <c r="CF44" s="130"/>
      <c r="CG44" s="130"/>
      <c r="CH44" s="130"/>
      <c r="CI44" s="130"/>
      <c r="CJ44" s="130"/>
      <c r="CK44" s="130"/>
      <c r="CL44" s="130"/>
      <c r="CM44" s="130"/>
      <c r="CN44" s="130"/>
      <c r="CO44" s="130"/>
      <c r="CP44" s="130"/>
      <c r="CQ44" s="130"/>
      <c r="CR44" s="130"/>
      <c r="CS44" s="130"/>
      <c r="CT44" s="130"/>
      <c r="CU44" s="130"/>
      <c r="CV44" s="130"/>
      <c r="CW44" s="130"/>
      <c r="CX44" s="130"/>
      <c r="CY44" s="130"/>
      <c r="CZ44" s="130"/>
      <c r="DA44" s="130"/>
      <c r="DB44" s="130"/>
      <c r="DC44" s="130"/>
      <c r="DD44" s="130"/>
      <c r="DE44" s="130"/>
      <c r="DF44" s="128"/>
      <c r="DG44" s="128"/>
    </row>
    <row r="45" spans="1:134" hidden="1" x14ac:dyDescent="0.25">
      <c r="A45" s="128"/>
      <c r="B45" s="128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  <c r="BN45" s="130"/>
      <c r="BO45" s="130"/>
      <c r="BP45" s="130"/>
      <c r="BQ45" s="130"/>
      <c r="BR45" s="130"/>
      <c r="BS45" s="130"/>
      <c r="BT45" s="130"/>
      <c r="BU45" s="130"/>
      <c r="BV45" s="130"/>
      <c r="BW45" s="130"/>
      <c r="BX45" s="130"/>
      <c r="BY45" s="130"/>
      <c r="BZ45" s="130"/>
      <c r="CA45" s="130"/>
      <c r="CB45" s="130"/>
      <c r="CC45" s="130"/>
      <c r="CD45" s="130"/>
      <c r="CE45" s="130"/>
      <c r="CF45" s="130"/>
      <c r="CG45" s="130"/>
      <c r="CH45" s="130"/>
      <c r="CI45" s="130"/>
      <c r="CJ45" s="130"/>
      <c r="CK45" s="130"/>
      <c r="CL45" s="130"/>
      <c r="CM45" s="130"/>
      <c r="CN45" s="130"/>
      <c r="CO45" s="130"/>
      <c r="CP45" s="130"/>
      <c r="CQ45" s="130"/>
      <c r="CR45" s="130"/>
      <c r="CS45" s="130"/>
      <c r="CT45" s="130"/>
      <c r="CU45" s="130"/>
      <c r="CV45" s="130"/>
      <c r="CW45" s="130"/>
      <c r="CX45" s="130"/>
      <c r="CY45" s="130"/>
      <c r="CZ45" s="130"/>
      <c r="DA45" s="130"/>
      <c r="DB45" s="130"/>
      <c r="DC45" s="130"/>
      <c r="DD45" s="130"/>
      <c r="DE45" s="130"/>
      <c r="DF45" s="128"/>
      <c r="DG45" s="128"/>
    </row>
    <row r="46" spans="1:134" hidden="1" x14ac:dyDescent="0.25">
      <c r="A46" s="128"/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  <c r="BN46" s="130"/>
      <c r="BO46" s="130"/>
      <c r="BP46" s="130"/>
      <c r="BQ46" s="130"/>
      <c r="BR46" s="130"/>
      <c r="BS46" s="130"/>
      <c r="BT46" s="130"/>
      <c r="BU46" s="130"/>
      <c r="BV46" s="130"/>
      <c r="BW46" s="130"/>
      <c r="BX46" s="130"/>
      <c r="BY46" s="130"/>
      <c r="BZ46" s="130"/>
      <c r="CA46" s="130"/>
      <c r="CB46" s="130"/>
      <c r="CC46" s="130"/>
      <c r="CD46" s="130"/>
      <c r="CE46" s="130"/>
      <c r="CF46" s="130"/>
      <c r="CG46" s="130"/>
      <c r="CH46" s="130"/>
      <c r="CI46" s="130"/>
      <c r="CJ46" s="130"/>
      <c r="CK46" s="130"/>
      <c r="CL46" s="130"/>
      <c r="CM46" s="130"/>
      <c r="CN46" s="130"/>
      <c r="CO46" s="130"/>
      <c r="CP46" s="130"/>
      <c r="CQ46" s="130"/>
      <c r="CR46" s="130"/>
      <c r="CS46" s="130"/>
      <c r="CT46" s="130"/>
      <c r="CU46" s="130"/>
      <c r="CV46" s="130"/>
      <c r="CW46" s="130"/>
      <c r="CX46" s="130"/>
      <c r="CY46" s="130"/>
      <c r="CZ46" s="130"/>
      <c r="DA46" s="130"/>
      <c r="DB46" s="130"/>
      <c r="DC46" s="130"/>
      <c r="DD46" s="130"/>
      <c r="DE46" s="130"/>
      <c r="DF46" s="128"/>
      <c r="DG46" s="128"/>
    </row>
    <row r="47" spans="1:134" x14ac:dyDescent="0.25">
      <c r="A47" s="128"/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30"/>
      <c r="BC47" s="130"/>
      <c r="BD47" s="130"/>
      <c r="BE47" s="130"/>
      <c r="BF47" s="130"/>
      <c r="BG47" s="130"/>
      <c r="BH47" s="130"/>
      <c r="BI47" s="130"/>
      <c r="BJ47" s="130"/>
      <c r="BK47" s="130"/>
      <c r="BL47" s="130"/>
      <c r="BM47" s="130"/>
      <c r="BN47" s="130"/>
      <c r="BO47" s="130"/>
      <c r="BP47" s="130"/>
      <c r="BQ47" s="130"/>
      <c r="BR47" s="130"/>
      <c r="BS47" s="130"/>
      <c r="BT47" s="130"/>
      <c r="BU47" s="130"/>
      <c r="BV47" s="130"/>
      <c r="BW47" s="130"/>
      <c r="BX47" s="130"/>
      <c r="BY47" s="130"/>
      <c r="BZ47" s="130"/>
      <c r="CA47" s="130"/>
      <c r="CB47" s="130"/>
      <c r="CC47" s="130"/>
      <c r="CD47" s="130"/>
      <c r="CE47" s="130"/>
      <c r="CF47" s="130"/>
      <c r="CG47" s="130"/>
      <c r="CH47" s="130"/>
      <c r="CI47" s="130"/>
      <c r="CJ47" s="130"/>
      <c r="CK47" s="130"/>
      <c r="CL47" s="130"/>
      <c r="CM47" s="130"/>
      <c r="CN47" s="130"/>
      <c r="CO47" s="130"/>
      <c r="CP47" s="130"/>
      <c r="CQ47" s="130"/>
      <c r="CR47" s="130"/>
      <c r="CS47" s="130"/>
      <c r="CT47" s="130"/>
      <c r="CU47" s="130"/>
      <c r="CV47" s="130"/>
      <c r="CW47" s="130"/>
      <c r="CX47" s="130"/>
      <c r="CY47" s="130"/>
      <c r="CZ47" s="130"/>
      <c r="DA47" s="130"/>
      <c r="DB47" s="130"/>
      <c r="DC47" s="130"/>
      <c r="DD47" s="130"/>
      <c r="DE47" s="130"/>
      <c r="DF47" s="128"/>
      <c r="DG47" s="128"/>
    </row>
    <row r="48" spans="1:134" x14ac:dyDescent="0.25">
      <c r="A48" s="128"/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130"/>
      <c r="BN48" s="130"/>
      <c r="BO48" s="130"/>
      <c r="BP48" s="130"/>
      <c r="BQ48" s="130"/>
      <c r="BR48" s="130"/>
      <c r="BS48" s="130"/>
      <c r="BT48" s="130"/>
      <c r="BU48" s="130"/>
      <c r="BV48" s="130"/>
      <c r="BW48" s="130"/>
      <c r="BX48" s="130"/>
      <c r="BY48" s="130"/>
      <c r="BZ48" s="130"/>
      <c r="CA48" s="130"/>
      <c r="CB48" s="130"/>
      <c r="CC48" s="130"/>
      <c r="CD48" s="130"/>
      <c r="CE48" s="130"/>
      <c r="CF48" s="130"/>
      <c r="CG48" s="130"/>
      <c r="CH48" s="130"/>
      <c r="CI48" s="130"/>
      <c r="CJ48" s="130"/>
      <c r="CK48" s="130"/>
      <c r="CL48" s="130"/>
      <c r="CM48" s="130"/>
      <c r="CN48" s="130"/>
      <c r="CO48" s="130"/>
      <c r="CP48" s="130"/>
      <c r="CQ48" s="130"/>
      <c r="CR48" s="130"/>
      <c r="CS48" s="130"/>
      <c r="CT48" s="130"/>
      <c r="CU48" s="130"/>
      <c r="CV48" s="130"/>
      <c r="CW48" s="130"/>
      <c r="CX48" s="130"/>
      <c r="CY48" s="130"/>
      <c r="CZ48" s="130"/>
      <c r="DA48" s="130"/>
      <c r="DB48" s="130"/>
      <c r="DC48" s="130"/>
      <c r="DD48" s="130"/>
      <c r="DE48" s="130"/>
      <c r="DF48" s="128"/>
      <c r="DG48" s="128"/>
    </row>
    <row r="49" spans="1:111" x14ac:dyDescent="0.25">
      <c r="A49" s="128"/>
      <c r="B49" s="128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130"/>
      <c r="BN49" s="130"/>
      <c r="BO49" s="130"/>
      <c r="BP49" s="130"/>
      <c r="BQ49" s="130"/>
      <c r="BR49" s="130"/>
      <c r="BS49" s="130"/>
      <c r="BT49" s="130"/>
      <c r="BU49" s="130"/>
      <c r="BV49" s="130"/>
      <c r="BW49" s="130"/>
      <c r="BX49" s="130"/>
      <c r="BY49" s="130"/>
      <c r="BZ49" s="130"/>
      <c r="CA49" s="130"/>
      <c r="CB49" s="130"/>
      <c r="CC49" s="130"/>
      <c r="CD49" s="130"/>
      <c r="CE49" s="130"/>
      <c r="CF49" s="130"/>
      <c r="CG49" s="130"/>
      <c r="CH49" s="130"/>
      <c r="CI49" s="130"/>
      <c r="CJ49" s="130"/>
      <c r="CK49" s="130"/>
      <c r="CL49" s="130"/>
      <c r="CM49" s="130"/>
      <c r="CN49" s="130"/>
      <c r="CO49" s="130"/>
      <c r="CP49" s="130"/>
      <c r="CQ49" s="130"/>
      <c r="CR49" s="130"/>
      <c r="CS49" s="130"/>
      <c r="CT49" s="130"/>
      <c r="CU49" s="130"/>
      <c r="CV49" s="130"/>
      <c r="CW49" s="130"/>
      <c r="CX49" s="130"/>
      <c r="CY49" s="130"/>
      <c r="CZ49" s="130"/>
      <c r="DA49" s="130"/>
      <c r="DB49" s="130"/>
      <c r="DC49" s="130"/>
      <c r="DD49" s="130"/>
      <c r="DE49" s="130"/>
      <c r="DF49" s="128"/>
      <c r="DG49" s="128"/>
    </row>
    <row r="50" spans="1:111" x14ac:dyDescent="0.25">
      <c r="A50" s="128"/>
      <c r="B50" s="128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  <c r="BN50" s="130"/>
      <c r="BO50" s="130"/>
      <c r="BP50" s="130"/>
      <c r="BQ50" s="130"/>
      <c r="BR50" s="130"/>
      <c r="BS50" s="130"/>
      <c r="BT50" s="130"/>
      <c r="BU50" s="130"/>
      <c r="BV50" s="130"/>
      <c r="BW50" s="130"/>
      <c r="BX50" s="130"/>
      <c r="BY50" s="130"/>
      <c r="BZ50" s="130"/>
      <c r="CA50" s="130"/>
      <c r="CB50" s="130"/>
      <c r="CC50" s="130"/>
      <c r="CD50" s="130"/>
      <c r="CE50" s="130"/>
      <c r="CF50" s="130"/>
      <c r="CG50" s="130"/>
      <c r="CH50" s="130"/>
      <c r="CI50" s="130"/>
      <c r="CJ50" s="130"/>
      <c r="CK50" s="130"/>
      <c r="CL50" s="130"/>
      <c r="CM50" s="130"/>
      <c r="CN50" s="130"/>
      <c r="CO50" s="130"/>
      <c r="CP50" s="130"/>
      <c r="CQ50" s="130"/>
      <c r="CR50" s="130"/>
      <c r="CS50" s="130"/>
      <c r="CT50" s="130"/>
      <c r="CU50" s="130"/>
      <c r="CV50" s="130"/>
      <c r="CW50" s="130"/>
      <c r="CX50" s="130"/>
      <c r="CY50" s="130"/>
      <c r="CZ50" s="130"/>
      <c r="DA50" s="130"/>
      <c r="DB50" s="130"/>
      <c r="DC50" s="130"/>
      <c r="DD50" s="130"/>
      <c r="DE50" s="130"/>
      <c r="DF50" s="128"/>
      <c r="DG50" s="128"/>
    </row>
    <row r="51" spans="1:111" x14ac:dyDescent="0.25">
      <c r="A51" s="128"/>
      <c r="B51" s="128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30"/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  <c r="BM51" s="130"/>
      <c r="BN51" s="130"/>
      <c r="BO51" s="130"/>
      <c r="BP51" s="130"/>
      <c r="BQ51" s="130"/>
      <c r="BR51" s="130"/>
      <c r="BS51" s="130"/>
      <c r="BT51" s="130"/>
      <c r="BU51" s="130"/>
      <c r="BV51" s="130"/>
      <c r="BW51" s="130"/>
      <c r="BX51" s="130"/>
      <c r="BY51" s="130"/>
      <c r="BZ51" s="130"/>
      <c r="CA51" s="130"/>
      <c r="CB51" s="130"/>
      <c r="CC51" s="130"/>
      <c r="CD51" s="130"/>
      <c r="CE51" s="130"/>
      <c r="CF51" s="130"/>
      <c r="CG51" s="130"/>
      <c r="CH51" s="130"/>
      <c r="CI51" s="130"/>
      <c r="CJ51" s="130"/>
      <c r="CK51" s="130"/>
      <c r="CL51" s="544" t="s">
        <v>314</v>
      </c>
      <c r="CM51" s="544"/>
      <c r="CN51" s="544"/>
      <c r="CO51" s="544"/>
      <c r="CP51" s="544"/>
      <c r="CQ51" s="544"/>
      <c r="CR51" s="544"/>
      <c r="CS51" s="544"/>
      <c r="CT51" s="544"/>
      <c r="CU51" s="544"/>
      <c r="CV51" s="544"/>
      <c r="CW51" s="544"/>
      <c r="CX51" s="544"/>
      <c r="CY51" s="544"/>
      <c r="CZ51" s="544"/>
      <c r="DA51" s="544"/>
      <c r="DB51" s="544"/>
      <c r="DC51" s="544"/>
      <c r="DD51" s="130"/>
      <c r="DE51" s="130"/>
      <c r="DF51" s="128"/>
      <c r="DG51" s="128"/>
    </row>
    <row r="52" spans="1:111" x14ac:dyDescent="0.25">
      <c r="A52" s="128"/>
      <c r="B52" s="128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  <c r="BN52" s="130"/>
      <c r="BO52" s="130"/>
      <c r="BP52" s="130"/>
      <c r="BQ52" s="130"/>
      <c r="BR52" s="130"/>
      <c r="BS52" s="130"/>
      <c r="BT52" s="130"/>
      <c r="BU52" s="130"/>
      <c r="BV52" s="130"/>
      <c r="BW52" s="130"/>
      <c r="BX52" s="130"/>
      <c r="BY52" s="130"/>
      <c r="BZ52" s="130"/>
      <c r="CA52" s="130"/>
      <c r="CB52" s="130"/>
      <c r="CC52" s="130"/>
      <c r="CD52" s="130"/>
      <c r="CE52" s="130"/>
      <c r="CF52" s="130"/>
      <c r="CG52" s="130"/>
      <c r="CH52" s="130"/>
      <c r="CI52" s="130"/>
      <c r="CJ52" s="130"/>
      <c r="CK52" s="130"/>
      <c r="CL52" s="544"/>
      <c r="CM52" s="544"/>
      <c r="CN52" s="544"/>
      <c r="CO52" s="544"/>
      <c r="CP52" s="544"/>
      <c r="CQ52" s="544"/>
      <c r="CR52" s="544"/>
      <c r="CS52" s="544"/>
      <c r="CT52" s="544"/>
      <c r="CU52" s="544"/>
      <c r="CV52" s="544"/>
      <c r="CW52" s="544"/>
      <c r="CX52" s="544"/>
      <c r="CY52" s="544"/>
      <c r="CZ52" s="544"/>
      <c r="DA52" s="544"/>
      <c r="DB52" s="544"/>
      <c r="DC52" s="544"/>
      <c r="DD52" s="130"/>
      <c r="DE52" s="130"/>
      <c r="DF52" s="128"/>
      <c r="DG52" s="128"/>
    </row>
    <row r="53" spans="1:111" x14ac:dyDescent="0.25">
      <c r="A53" s="128"/>
      <c r="B53" s="128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  <c r="BN53" s="130"/>
      <c r="BO53" s="130"/>
      <c r="BP53" s="130"/>
      <c r="BQ53" s="130"/>
      <c r="BR53" s="130"/>
      <c r="BS53" s="130"/>
      <c r="BT53" s="130"/>
      <c r="BU53" s="130"/>
      <c r="BV53" s="130"/>
      <c r="BW53" s="130"/>
      <c r="BX53" s="130"/>
      <c r="BY53" s="130"/>
      <c r="BZ53" s="130"/>
      <c r="CA53" s="130"/>
      <c r="CB53" s="130"/>
      <c r="CC53" s="130"/>
      <c r="CD53" s="130"/>
      <c r="CE53" s="130"/>
      <c r="CF53" s="130"/>
      <c r="CG53" s="130"/>
      <c r="CH53" s="130"/>
      <c r="CI53" s="130"/>
      <c r="CJ53" s="130"/>
      <c r="CK53" s="130"/>
      <c r="CL53" s="544"/>
      <c r="CM53" s="544"/>
      <c r="CN53" s="544"/>
      <c r="CO53" s="544"/>
      <c r="CP53" s="544"/>
      <c r="CQ53" s="544"/>
      <c r="CR53" s="544"/>
      <c r="CS53" s="544"/>
      <c r="CT53" s="544"/>
      <c r="CU53" s="544"/>
      <c r="CV53" s="544"/>
      <c r="CW53" s="544"/>
      <c r="CX53" s="544"/>
      <c r="CY53" s="544"/>
      <c r="CZ53" s="544"/>
      <c r="DA53" s="544"/>
      <c r="DB53" s="544"/>
      <c r="DC53" s="544"/>
      <c r="DD53" s="130"/>
      <c r="DE53" s="130"/>
      <c r="DF53" s="128"/>
      <c r="DG53" s="128"/>
    </row>
    <row r="54" spans="1:111" x14ac:dyDescent="0.25">
      <c r="A54" s="128"/>
      <c r="B54" s="128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30"/>
      <c r="BC54" s="130"/>
      <c r="BD54" s="130"/>
      <c r="BE54" s="130"/>
      <c r="BF54" s="130"/>
      <c r="BG54" s="130"/>
      <c r="BH54" s="130"/>
      <c r="BI54" s="130"/>
      <c r="BJ54" s="130"/>
      <c r="BK54" s="130"/>
      <c r="BL54" s="130"/>
      <c r="BM54" s="130"/>
      <c r="BN54" s="130"/>
      <c r="BO54" s="130"/>
      <c r="BP54" s="130"/>
      <c r="BQ54" s="130"/>
      <c r="BR54" s="130"/>
      <c r="BS54" s="130"/>
      <c r="BT54" s="130"/>
      <c r="BU54" s="130"/>
      <c r="BV54" s="130"/>
      <c r="BW54" s="130"/>
      <c r="BX54" s="130"/>
      <c r="BY54" s="130"/>
      <c r="BZ54" s="130"/>
      <c r="CA54" s="130"/>
      <c r="CB54" s="130"/>
      <c r="CC54" s="130"/>
      <c r="CD54" s="130"/>
      <c r="CE54" s="130"/>
      <c r="CF54" s="130"/>
      <c r="CG54" s="130"/>
      <c r="CH54" s="130"/>
      <c r="CI54" s="130"/>
      <c r="CJ54" s="130"/>
      <c r="CK54" s="130"/>
      <c r="CL54" s="544"/>
      <c r="CM54" s="544"/>
      <c r="CN54" s="544"/>
      <c r="CO54" s="544"/>
      <c r="CP54" s="544"/>
      <c r="CQ54" s="544"/>
      <c r="CR54" s="544"/>
      <c r="CS54" s="544"/>
      <c r="CT54" s="544"/>
      <c r="CU54" s="544"/>
      <c r="CV54" s="544"/>
      <c r="CW54" s="544"/>
      <c r="CX54" s="544"/>
      <c r="CY54" s="544"/>
      <c r="CZ54" s="544"/>
      <c r="DA54" s="544"/>
      <c r="DB54" s="544"/>
      <c r="DC54" s="544"/>
      <c r="DD54" s="130"/>
      <c r="DE54" s="130"/>
      <c r="DF54" s="128"/>
      <c r="DG54" s="128"/>
    </row>
    <row r="55" spans="1:111" x14ac:dyDescent="0.25">
      <c r="A55" s="128"/>
      <c r="B55" s="128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  <c r="BN55" s="130"/>
      <c r="BO55" s="130"/>
      <c r="BP55" s="130"/>
      <c r="BQ55" s="130"/>
      <c r="BR55" s="130"/>
      <c r="BS55" s="130"/>
      <c r="BT55" s="130"/>
      <c r="BU55" s="130"/>
      <c r="BV55" s="130"/>
      <c r="BW55" s="130"/>
      <c r="BX55" s="130"/>
      <c r="BY55" s="130"/>
      <c r="BZ55" s="130"/>
      <c r="CA55" s="130"/>
      <c r="CB55" s="130"/>
      <c r="CC55" s="130"/>
      <c r="CD55" s="130"/>
      <c r="CE55" s="130"/>
      <c r="CF55" s="130"/>
      <c r="CG55" s="130"/>
      <c r="CH55" s="130"/>
      <c r="CI55" s="130"/>
      <c r="CJ55" s="130"/>
      <c r="CK55" s="130"/>
      <c r="CL55" s="544"/>
      <c r="CM55" s="544"/>
      <c r="CN55" s="544"/>
      <c r="CO55" s="544"/>
      <c r="CP55" s="544"/>
      <c r="CQ55" s="544"/>
      <c r="CR55" s="544"/>
      <c r="CS55" s="544"/>
      <c r="CT55" s="544"/>
      <c r="CU55" s="544"/>
      <c r="CV55" s="544"/>
      <c r="CW55" s="544"/>
      <c r="CX55" s="544"/>
      <c r="CY55" s="544"/>
      <c r="CZ55" s="544"/>
      <c r="DA55" s="544"/>
      <c r="DB55" s="544"/>
      <c r="DC55" s="544"/>
      <c r="DD55" s="130"/>
      <c r="DE55" s="130"/>
      <c r="DF55" s="128"/>
      <c r="DG55" s="128"/>
    </row>
    <row r="56" spans="1:111" x14ac:dyDescent="0.25">
      <c r="A56" s="128"/>
      <c r="B56" s="128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130"/>
      <c r="BN56" s="130"/>
      <c r="BO56" s="130"/>
      <c r="BP56" s="130"/>
      <c r="BQ56" s="130"/>
      <c r="BR56" s="130"/>
      <c r="BS56" s="130"/>
      <c r="BT56" s="130"/>
      <c r="BU56" s="130"/>
      <c r="BV56" s="130"/>
      <c r="BW56" s="130"/>
      <c r="BX56" s="130"/>
      <c r="BY56" s="130"/>
      <c r="BZ56" s="130"/>
      <c r="CA56" s="130"/>
      <c r="CB56" s="130"/>
      <c r="CC56" s="130"/>
      <c r="CD56" s="130"/>
      <c r="CE56" s="130"/>
      <c r="CF56" s="130"/>
      <c r="CG56" s="130"/>
      <c r="CH56" s="130"/>
      <c r="CI56" s="130"/>
      <c r="CJ56" s="130"/>
      <c r="CK56" s="130"/>
      <c r="CL56" s="544"/>
      <c r="CM56" s="544"/>
      <c r="CN56" s="544"/>
      <c r="CO56" s="544"/>
      <c r="CP56" s="544"/>
      <c r="CQ56" s="544"/>
      <c r="CR56" s="544"/>
      <c r="CS56" s="544"/>
      <c r="CT56" s="544"/>
      <c r="CU56" s="544"/>
      <c r="CV56" s="544"/>
      <c r="CW56" s="544"/>
      <c r="CX56" s="544"/>
      <c r="CY56" s="544"/>
      <c r="CZ56" s="544"/>
      <c r="DA56" s="544"/>
      <c r="DB56" s="544"/>
      <c r="DC56" s="544"/>
      <c r="DD56" s="130"/>
      <c r="DE56" s="130"/>
      <c r="DF56" s="128"/>
      <c r="DG56" s="128"/>
    </row>
    <row r="57" spans="1:111" x14ac:dyDescent="0.25">
      <c r="A57" s="128"/>
      <c r="B57" s="128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130"/>
      <c r="BN57" s="130"/>
      <c r="BO57" s="130"/>
      <c r="BP57" s="130"/>
      <c r="BQ57" s="130"/>
      <c r="BR57" s="130"/>
      <c r="BS57" s="130"/>
      <c r="BT57" s="130"/>
      <c r="BU57" s="130"/>
      <c r="BV57" s="130"/>
      <c r="BW57" s="130"/>
      <c r="BX57" s="130"/>
      <c r="BY57" s="130"/>
      <c r="BZ57" s="130"/>
      <c r="CA57" s="130"/>
      <c r="CB57" s="130"/>
      <c r="CC57" s="130"/>
      <c r="CD57" s="130"/>
      <c r="CE57" s="130"/>
      <c r="CF57" s="130"/>
      <c r="CG57" s="130"/>
      <c r="CH57" s="130"/>
      <c r="CI57" s="130"/>
      <c r="CJ57" s="130"/>
      <c r="CK57" s="130"/>
      <c r="CL57" s="130"/>
      <c r="CM57" s="130"/>
      <c r="CN57" s="130"/>
      <c r="CO57" s="130"/>
      <c r="CP57" s="130"/>
      <c r="CQ57" s="130"/>
      <c r="CR57" s="130"/>
      <c r="CS57" s="130"/>
      <c r="CT57" s="130"/>
      <c r="CU57" s="130"/>
      <c r="CV57" s="130"/>
      <c r="CW57" s="130"/>
      <c r="CX57" s="130"/>
      <c r="CY57" s="130"/>
      <c r="CZ57" s="130"/>
      <c r="DA57" s="130"/>
      <c r="DB57" s="130"/>
      <c r="DC57" s="130"/>
      <c r="DD57" s="130"/>
      <c r="DE57" s="130"/>
      <c r="DF57" s="128"/>
      <c r="DG57" s="128"/>
    </row>
    <row r="58" spans="1:111" x14ac:dyDescent="0.25">
      <c r="A58" s="128"/>
      <c r="B58" s="128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  <c r="BN58" s="130"/>
      <c r="BO58" s="130"/>
      <c r="BP58" s="130"/>
      <c r="BQ58" s="130"/>
      <c r="BR58" s="130"/>
      <c r="BS58" s="130"/>
      <c r="BT58" s="130"/>
      <c r="BU58" s="130"/>
      <c r="BV58" s="130"/>
      <c r="BW58" s="130"/>
      <c r="BX58" s="130"/>
      <c r="BY58" s="130"/>
      <c r="BZ58" s="130"/>
      <c r="CA58" s="130"/>
      <c r="CB58" s="130"/>
      <c r="CC58" s="130"/>
      <c r="CD58" s="130"/>
      <c r="CE58" s="130"/>
      <c r="CF58" s="130"/>
      <c r="CG58" s="130"/>
      <c r="CH58" s="130"/>
      <c r="CI58" s="130"/>
      <c r="CJ58" s="130"/>
      <c r="CK58" s="130"/>
      <c r="CL58" s="130"/>
      <c r="CM58" s="130"/>
      <c r="CN58" s="130"/>
      <c r="CO58" s="130"/>
      <c r="CP58" s="130"/>
      <c r="CQ58" s="130"/>
      <c r="CR58" s="130"/>
      <c r="CS58" s="130"/>
      <c r="CT58" s="130"/>
      <c r="CU58" s="130"/>
      <c r="CV58" s="130"/>
      <c r="CW58" s="130"/>
      <c r="CX58" s="130"/>
      <c r="CY58" s="130"/>
      <c r="CZ58" s="130"/>
      <c r="DA58" s="130"/>
      <c r="DB58" s="130"/>
      <c r="DC58" s="130"/>
      <c r="DD58" s="130"/>
      <c r="DE58" s="130"/>
      <c r="DF58" s="128"/>
      <c r="DG58" s="128"/>
    </row>
    <row r="59" spans="1:111" x14ac:dyDescent="0.25">
      <c r="A59" s="128"/>
      <c r="B59" s="128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  <c r="BN59" s="130"/>
      <c r="BO59" s="130"/>
      <c r="BP59" s="130"/>
      <c r="BQ59" s="130"/>
      <c r="BR59" s="130"/>
      <c r="BS59" s="130"/>
      <c r="BT59" s="130"/>
      <c r="BU59" s="130"/>
      <c r="BV59" s="130"/>
      <c r="BW59" s="130"/>
      <c r="BX59" s="130"/>
      <c r="BY59" s="130"/>
      <c r="BZ59" s="130"/>
      <c r="CA59" s="130"/>
      <c r="CB59" s="130"/>
      <c r="CC59" s="130"/>
      <c r="CD59" s="130"/>
      <c r="CE59" s="130"/>
      <c r="CF59" s="130"/>
      <c r="CG59" s="130"/>
      <c r="CH59" s="130"/>
      <c r="CI59" s="130"/>
      <c r="CJ59" s="130"/>
      <c r="CK59" s="130"/>
      <c r="CL59" s="545" t="s">
        <v>309</v>
      </c>
      <c r="CM59" s="545"/>
      <c r="CN59" s="545"/>
      <c r="CO59" s="545"/>
      <c r="CP59" s="545"/>
      <c r="CQ59" s="545"/>
      <c r="CR59" s="545"/>
      <c r="CS59" s="545"/>
      <c r="CT59" s="545"/>
      <c r="CU59" s="545"/>
      <c r="CV59" s="545"/>
      <c r="CW59" s="545"/>
      <c r="CX59" s="545"/>
      <c r="CY59" s="545"/>
      <c r="CZ59" s="545"/>
      <c r="DA59" s="545"/>
      <c r="DB59" s="545"/>
      <c r="DC59" s="545"/>
      <c r="DD59" s="130"/>
      <c r="DE59" s="130"/>
      <c r="DF59" s="128"/>
      <c r="DG59" s="128"/>
    </row>
    <row r="60" spans="1:111" x14ac:dyDescent="0.25">
      <c r="A60" s="128"/>
      <c r="B60" s="128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  <c r="BN60" s="130"/>
      <c r="BO60" s="130"/>
      <c r="BP60" s="130"/>
      <c r="BQ60" s="130"/>
      <c r="BR60" s="130"/>
      <c r="BS60" s="130"/>
      <c r="BT60" s="130"/>
      <c r="BU60" s="130"/>
      <c r="BV60" s="130"/>
      <c r="BW60" s="130"/>
      <c r="BX60" s="130"/>
      <c r="BY60" s="130"/>
      <c r="BZ60" s="130"/>
      <c r="CA60" s="130"/>
      <c r="CB60" s="130"/>
      <c r="CC60" s="130"/>
      <c r="CD60" s="130"/>
      <c r="CE60" s="130"/>
      <c r="CF60" s="130"/>
      <c r="CG60" s="130"/>
      <c r="CH60" s="130"/>
      <c r="CI60" s="130"/>
      <c r="CJ60" s="130"/>
      <c r="CK60" s="130"/>
      <c r="CL60" s="545"/>
      <c r="CM60" s="545"/>
      <c r="CN60" s="545"/>
      <c r="CO60" s="545"/>
      <c r="CP60" s="545"/>
      <c r="CQ60" s="545"/>
      <c r="CR60" s="545"/>
      <c r="CS60" s="545"/>
      <c r="CT60" s="545"/>
      <c r="CU60" s="545"/>
      <c r="CV60" s="545"/>
      <c r="CW60" s="545"/>
      <c r="CX60" s="545"/>
      <c r="CY60" s="545"/>
      <c r="CZ60" s="545"/>
      <c r="DA60" s="545"/>
      <c r="DB60" s="545"/>
      <c r="DC60" s="545"/>
      <c r="DD60" s="130"/>
      <c r="DE60" s="130"/>
      <c r="DF60" s="128"/>
      <c r="DG60" s="128"/>
    </row>
    <row r="61" spans="1:111" x14ac:dyDescent="0.25">
      <c r="A61" s="128"/>
      <c r="B61" s="128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30"/>
      <c r="AN61" s="130"/>
      <c r="AO61" s="130"/>
      <c r="AP61" s="130"/>
      <c r="AQ61" s="130"/>
      <c r="AR61" s="130"/>
      <c r="AS61" s="130"/>
      <c r="AT61" s="130"/>
      <c r="AU61" s="130"/>
      <c r="AV61" s="130"/>
      <c r="AW61" s="130"/>
      <c r="AX61" s="130"/>
      <c r="AY61" s="130"/>
      <c r="AZ61" s="130"/>
      <c r="BA61" s="130"/>
      <c r="BB61" s="130"/>
      <c r="BC61" s="130"/>
      <c r="BD61" s="130"/>
      <c r="BE61" s="130"/>
      <c r="BF61" s="130"/>
      <c r="BG61" s="130"/>
      <c r="BH61" s="130"/>
      <c r="BI61" s="130"/>
      <c r="BJ61" s="130"/>
      <c r="BK61" s="130"/>
      <c r="BL61" s="130"/>
      <c r="BM61" s="130"/>
      <c r="BN61" s="130"/>
      <c r="BO61" s="130"/>
      <c r="BP61" s="130"/>
      <c r="BQ61" s="130"/>
      <c r="BR61" s="130"/>
      <c r="BS61" s="130"/>
      <c r="BT61" s="130"/>
      <c r="BU61" s="130"/>
      <c r="BV61" s="130"/>
      <c r="BW61" s="130"/>
      <c r="BX61" s="130"/>
      <c r="BY61" s="130"/>
      <c r="BZ61" s="130"/>
      <c r="CA61" s="130"/>
      <c r="CB61" s="130"/>
      <c r="CC61" s="130"/>
      <c r="CD61" s="130"/>
      <c r="CE61" s="130"/>
      <c r="CF61" s="130"/>
      <c r="CG61" s="130"/>
      <c r="CH61" s="130"/>
      <c r="CI61" s="130"/>
      <c r="CJ61" s="130"/>
      <c r="CK61" s="130"/>
      <c r="CL61" s="545"/>
      <c r="CM61" s="545"/>
      <c r="CN61" s="545"/>
      <c r="CO61" s="545"/>
      <c r="CP61" s="545"/>
      <c r="CQ61" s="545"/>
      <c r="CR61" s="545"/>
      <c r="CS61" s="545"/>
      <c r="CT61" s="545"/>
      <c r="CU61" s="545"/>
      <c r="CV61" s="545"/>
      <c r="CW61" s="545"/>
      <c r="CX61" s="545"/>
      <c r="CY61" s="545"/>
      <c r="CZ61" s="545"/>
      <c r="DA61" s="545"/>
      <c r="DB61" s="545"/>
      <c r="DC61" s="545"/>
      <c r="DD61" s="130"/>
      <c r="DE61" s="130"/>
      <c r="DF61" s="128"/>
      <c r="DG61" s="128"/>
    </row>
    <row r="62" spans="1:111" x14ac:dyDescent="0.25">
      <c r="A62" s="128"/>
      <c r="B62" s="128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130"/>
      <c r="AQ62" s="130"/>
      <c r="AR62" s="130"/>
      <c r="AS62" s="130"/>
      <c r="AT62" s="130"/>
      <c r="AU62" s="130"/>
      <c r="AV62" s="130"/>
      <c r="AW62" s="130"/>
      <c r="AX62" s="130"/>
      <c r="AY62" s="130"/>
      <c r="AZ62" s="130"/>
      <c r="BA62" s="130"/>
      <c r="BB62" s="130"/>
      <c r="BC62" s="130"/>
      <c r="BD62" s="130"/>
      <c r="BE62" s="130"/>
      <c r="BF62" s="130"/>
      <c r="BG62" s="130"/>
      <c r="BH62" s="130"/>
      <c r="BI62" s="130"/>
      <c r="BJ62" s="130"/>
      <c r="BK62" s="130"/>
      <c r="BL62" s="130"/>
      <c r="BM62" s="130"/>
      <c r="BN62" s="130"/>
      <c r="BO62" s="130"/>
      <c r="BP62" s="130"/>
      <c r="BQ62" s="130"/>
      <c r="BR62" s="130"/>
      <c r="BS62" s="130"/>
      <c r="BT62" s="130"/>
      <c r="BU62" s="130"/>
      <c r="BV62" s="130"/>
      <c r="BW62" s="130"/>
      <c r="BX62" s="130"/>
      <c r="BY62" s="130"/>
      <c r="BZ62" s="130"/>
      <c r="CA62" s="130"/>
      <c r="CB62" s="130"/>
      <c r="CC62" s="130"/>
      <c r="CD62" s="130"/>
      <c r="CE62" s="130"/>
      <c r="CF62" s="130"/>
      <c r="CG62" s="130"/>
      <c r="CH62" s="130"/>
      <c r="CI62" s="130"/>
      <c r="CJ62" s="130"/>
      <c r="CK62" s="130"/>
      <c r="CL62" s="130"/>
      <c r="CM62" s="130"/>
      <c r="CN62" s="130"/>
      <c r="CO62" s="130"/>
      <c r="CP62" s="130"/>
      <c r="CQ62" s="130"/>
      <c r="CR62" s="130"/>
      <c r="CS62" s="130"/>
      <c r="CT62" s="130"/>
      <c r="CU62" s="130"/>
      <c r="CV62" s="130"/>
      <c r="CW62" s="130"/>
      <c r="CX62" s="130"/>
      <c r="CY62" s="130"/>
      <c r="CZ62" s="130"/>
      <c r="DA62" s="130"/>
      <c r="DB62" s="130"/>
      <c r="DC62" s="130"/>
      <c r="DD62" s="130"/>
      <c r="DE62" s="130"/>
      <c r="DF62" s="128"/>
      <c r="DG62" s="128"/>
    </row>
    <row r="63" spans="1:111" x14ac:dyDescent="0.25">
      <c r="A63" s="128"/>
      <c r="B63" s="128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  <c r="AN63" s="130"/>
      <c r="AO63" s="130"/>
      <c r="AP63" s="130"/>
      <c r="AQ63" s="130"/>
      <c r="AR63" s="130"/>
      <c r="AS63" s="130"/>
      <c r="AT63" s="130"/>
      <c r="AU63" s="130"/>
      <c r="AV63" s="130"/>
      <c r="AW63" s="130"/>
      <c r="AX63" s="130"/>
      <c r="AY63" s="130"/>
      <c r="AZ63" s="130"/>
      <c r="BA63" s="130"/>
      <c r="BB63" s="130"/>
      <c r="BC63" s="130"/>
      <c r="BD63" s="130"/>
      <c r="BE63" s="130"/>
      <c r="BF63" s="130"/>
      <c r="BG63" s="130"/>
      <c r="BH63" s="130"/>
      <c r="BI63" s="130"/>
      <c r="BJ63" s="130"/>
      <c r="BK63" s="130"/>
      <c r="BL63" s="130"/>
      <c r="BM63" s="130"/>
      <c r="BN63" s="130"/>
      <c r="BO63" s="130"/>
      <c r="BP63" s="130"/>
      <c r="BQ63" s="130"/>
      <c r="BR63" s="130"/>
      <c r="BS63" s="130"/>
      <c r="BT63" s="130"/>
      <c r="BU63" s="130"/>
      <c r="BV63" s="130"/>
      <c r="BW63" s="130"/>
      <c r="BX63" s="130"/>
      <c r="BY63" s="130"/>
      <c r="BZ63" s="130"/>
      <c r="CA63" s="130"/>
      <c r="CB63" s="130"/>
      <c r="CC63" s="130"/>
      <c r="CD63" s="130"/>
      <c r="CE63" s="130"/>
      <c r="CF63" s="130"/>
      <c r="CG63" s="130"/>
      <c r="CH63" s="130"/>
      <c r="CI63" s="130"/>
      <c r="CJ63" s="130"/>
      <c r="CK63" s="130"/>
      <c r="CL63" s="130"/>
      <c r="CM63" s="130"/>
      <c r="CN63" s="130"/>
      <c r="CO63" s="130"/>
      <c r="CP63" s="130"/>
      <c r="CQ63" s="130"/>
      <c r="CR63" s="130"/>
      <c r="CS63" s="130"/>
      <c r="CT63" s="130"/>
      <c r="CU63" s="130"/>
      <c r="CV63" s="130"/>
      <c r="CW63" s="130"/>
      <c r="CX63" s="130"/>
      <c r="CY63" s="130"/>
      <c r="CZ63" s="130"/>
      <c r="DA63" s="130"/>
      <c r="DB63" s="130"/>
      <c r="DC63" s="130"/>
      <c r="DD63" s="130"/>
      <c r="DE63" s="130"/>
      <c r="DF63" s="128"/>
      <c r="DG63" s="128"/>
    </row>
    <row r="64" spans="1:111" x14ac:dyDescent="0.25">
      <c r="A64" s="128"/>
      <c r="B64" s="128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  <c r="AN64" s="130"/>
      <c r="AO64" s="130"/>
      <c r="AP64" s="130"/>
      <c r="AQ64" s="130"/>
      <c r="AR64" s="130"/>
      <c r="AS64" s="130"/>
      <c r="AT64" s="130"/>
      <c r="AU64" s="130"/>
      <c r="AV64" s="130"/>
      <c r="AW64" s="130"/>
      <c r="AX64" s="130"/>
      <c r="AY64" s="130"/>
      <c r="AZ64" s="130"/>
      <c r="BA64" s="130"/>
      <c r="BB64" s="130"/>
      <c r="BC64" s="130"/>
      <c r="BD64" s="130"/>
      <c r="BE64" s="130"/>
      <c r="BF64" s="130"/>
      <c r="BG64" s="130"/>
      <c r="BH64" s="130"/>
      <c r="BI64" s="130"/>
      <c r="BJ64" s="130"/>
      <c r="BK64" s="130"/>
      <c r="BL64" s="130"/>
      <c r="BM64" s="130"/>
      <c r="BN64" s="130"/>
      <c r="BO64" s="130"/>
      <c r="BP64" s="130"/>
      <c r="BQ64" s="130"/>
      <c r="BR64" s="130"/>
      <c r="BS64" s="130"/>
      <c r="BT64" s="130"/>
      <c r="BU64" s="130"/>
      <c r="BV64" s="130"/>
      <c r="BW64" s="130"/>
      <c r="BX64" s="130"/>
      <c r="BY64" s="130"/>
      <c r="BZ64" s="130"/>
      <c r="CA64" s="130"/>
      <c r="CB64" s="130"/>
      <c r="CC64" s="130"/>
      <c r="CD64" s="130"/>
      <c r="CE64" s="130"/>
      <c r="CF64" s="130"/>
      <c r="CG64" s="130"/>
      <c r="CH64" s="130"/>
      <c r="CI64" s="130"/>
      <c r="CJ64" s="130"/>
      <c r="CK64" s="130"/>
      <c r="CL64" s="130"/>
      <c r="CM64" s="130"/>
      <c r="CN64" s="130"/>
      <c r="CO64" s="130"/>
      <c r="CP64" s="130"/>
      <c r="CQ64" s="130"/>
      <c r="CR64" s="130"/>
      <c r="CS64" s="130"/>
      <c r="CT64" s="130"/>
      <c r="CU64" s="130"/>
      <c r="CV64" s="130"/>
      <c r="CW64" s="130"/>
      <c r="CX64" s="130"/>
      <c r="CY64" s="130"/>
      <c r="CZ64" s="130"/>
      <c r="DA64" s="130"/>
      <c r="DB64" s="130"/>
      <c r="DC64" s="130"/>
      <c r="DD64" s="130"/>
      <c r="DE64" s="130"/>
      <c r="DF64" s="128"/>
      <c r="DG64" s="128"/>
    </row>
    <row r="65" spans="1:111" ht="34.5" x14ac:dyDescent="0.25">
      <c r="A65" s="128"/>
      <c r="B65" s="128"/>
      <c r="C65" s="130"/>
      <c r="D65" s="130"/>
      <c r="E65" s="209" t="s">
        <v>247</v>
      </c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V65" s="572"/>
      <c r="AW65" s="572"/>
      <c r="AX65" s="572"/>
      <c r="AY65" s="572"/>
      <c r="AZ65" s="572"/>
      <c r="BA65" s="572"/>
      <c r="BB65" s="572"/>
      <c r="BC65" s="572"/>
      <c r="BD65" s="135"/>
      <c r="BE65" s="135"/>
      <c r="BF65" s="135"/>
      <c r="BG65" s="135"/>
      <c r="BH65" s="135"/>
      <c r="BI65" s="135"/>
      <c r="BJ65" s="135"/>
      <c r="BK65" s="135"/>
      <c r="BL65" s="135"/>
      <c r="BM65" s="135"/>
      <c r="BN65" s="135"/>
      <c r="BO65" s="135"/>
      <c r="BP65" s="135"/>
      <c r="BQ65" s="135"/>
      <c r="BR65" s="130"/>
      <c r="BS65" s="136"/>
      <c r="BU65" s="130"/>
      <c r="BV65" s="130"/>
      <c r="BW65" s="130"/>
      <c r="BX65" s="130"/>
      <c r="BY65" s="130"/>
      <c r="BZ65" s="130"/>
      <c r="CA65" s="130"/>
      <c r="CB65" s="130"/>
      <c r="CC65" s="130"/>
      <c r="CD65" s="130"/>
      <c r="CE65" s="130"/>
      <c r="CF65" s="130"/>
      <c r="CG65" s="130"/>
      <c r="CH65" s="130"/>
      <c r="CI65" s="130"/>
      <c r="CJ65" s="130"/>
      <c r="CK65" s="130"/>
      <c r="CL65" s="130"/>
      <c r="CM65" s="130"/>
      <c r="CN65" s="130"/>
      <c r="CO65" s="130"/>
      <c r="CP65" s="130"/>
      <c r="CQ65" s="130"/>
      <c r="CR65" s="130"/>
      <c r="CS65" s="130"/>
      <c r="CT65" s="130"/>
      <c r="CU65" s="130"/>
      <c r="CV65" s="130"/>
      <c r="CW65" s="130"/>
      <c r="CX65" s="130"/>
      <c r="CY65" s="130"/>
      <c r="CZ65" s="130"/>
      <c r="DA65" s="130"/>
      <c r="DB65" s="130"/>
      <c r="DC65" s="130"/>
      <c r="DD65" s="130"/>
      <c r="DE65" s="130"/>
      <c r="DF65" s="128"/>
      <c r="DG65" s="128"/>
    </row>
    <row r="66" spans="1:111" ht="18.75" customHeight="1" x14ac:dyDescent="0.25">
      <c r="A66" s="128"/>
      <c r="B66" s="128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  <c r="AN66" s="130"/>
      <c r="AO66" s="130"/>
      <c r="AP66" s="130"/>
      <c r="AQ66" s="130"/>
      <c r="AR66" s="130"/>
      <c r="AS66" s="130"/>
      <c r="AT66" s="130"/>
      <c r="AU66" s="130"/>
      <c r="AV66" s="130"/>
      <c r="AW66" s="130"/>
      <c r="AX66" s="130"/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  <c r="BL66" s="130"/>
      <c r="BM66" s="130"/>
      <c r="BN66" s="130"/>
      <c r="BO66" s="130"/>
      <c r="BP66" s="130"/>
      <c r="BQ66" s="130"/>
      <c r="BR66" s="130"/>
      <c r="BS66" s="130"/>
      <c r="BT66" s="130"/>
      <c r="BU66" s="130"/>
      <c r="BV66" s="130"/>
      <c r="BW66" s="130"/>
      <c r="BX66" s="130"/>
      <c r="BY66" s="130"/>
      <c r="BZ66" s="130"/>
      <c r="CA66" s="130"/>
      <c r="CB66" s="130"/>
      <c r="CC66" s="130"/>
      <c r="CD66" s="130"/>
      <c r="CE66" s="130"/>
      <c r="CF66" s="130"/>
      <c r="CG66" s="130"/>
      <c r="CH66" s="130"/>
      <c r="CI66" s="130"/>
      <c r="CJ66" s="130"/>
      <c r="CK66" s="130"/>
      <c r="CL66" s="130"/>
      <c r="CM66" s="130"/>
      <c r="CN66" s="130"/>
      <c r="CO66" s="130"/>
      <c r="CP66" s="130"/>
      <c r="CQ66" s="130"/>
      <c r="CR66" s="130"/>
      <c r="CS66" s="130"/>
      <c r="CT66" s="130"/>
      <c r="CU66" s="130"/>
      <c r="CV66" s="130"/>
      <c r="CW66" s="130"/>
      <c r="CX66" s="130"/>
      <c r="CY66" s="130"/>
      <c r="CZ66" s="130"/>
      <c r="DA66" s="130"/>
      <c r="DB66" s="130"/>
      <c r="DC66" s="130"/>
      <c r="DD66" s="130"/>
      <c r="DE66" s="130"/>
      <c r="DF66" s="128"/>
      <c r="DG66" s="128"/>
    </row>
    <row r="67" spans="1:111" ht="30.75" x14ac:dyDescent="0.25">
      <c r="A67" s="128"/>
      <c r="B67" s="128"/>
      <c r="C67" s="130"/>
      <c r="D67" s="130"/>
      <c r="E67" s="219" t="s">
        <v>198</v>
      </c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  <c r="AN67" s="219" t="s">
        <v>196</v>
      </c>
      <c r="AO67" s="130"/>
      <c r="AP67" s="130"/>
      <c r="AQ67" s="130"/>
      <c r="AR67" s="130"/>
      <c r="AS67" s="130"/>
      <c r="AT67" s="130"/>
      <c r="AU67" s="130"/>
      <c r="AV67" s="130"/>
      <c r="AW67" s="130"/>
      <c r="AX67" s="130"/>
      <c r="AY67" s="130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  <c r="BK67" s="130"/>
      <c r="BL67" s="130"/>
      <c r="BM67" s="130"/>
      <c r="BN67" s="130"/>
      <c r="BO67" s="130"/>
      <c r="BP67" s="130"/>
      <c r="BQ67" s="130"/>
      <c r="BR67" s="130"/>
      <c r="BS67" s="130"/>
      <c r="BT67" s="130"/>
      <c r="BU67" s="130"/>
      <c r="BV67" s="130"/>
      <c r="BW67" s="219" t="s">
        <v>195</v>
      </c>
      <c r="BX67" s="130"/>
      <c r="BY67" s="130"/>
      <c r="BZ67" s="130"/>
      <c r="CA67" s="130"/>
      <c r="CB67" s="130"/>
      <c r="CC67" s="130"/>
      <c r="CD67" s="130"/>
      <c r="CE67" s="130"/>
      <c r="CF67" s="130"/>
      <c r="CG67" s="130"/>
      <c r="CH67" s="130"/>
      <c r="CI67" s="130"/>
      <c r="CJ67" s="130"/>
      <c r="CK67" s="130"/>
      <c r="CL67" s="130"/>
      <c r="CM67" s="130"/>
      <c r="CN67" s="130"/>
      <c r="CO67" s="130"/>
      <c r="CP67" s="130"/>
      <c r="CQ67" s="130"/>
      <c r="CR67" s="130"/>
      <c r="CS67" s="130"/>
      <c r="CT67" s="130"/>
      <c r="CU67" s="130"/>
      <c r="CV67" s="130"/>
      <c r="CW67" s="130"/>
      <c r="CX67" s="130"/>
      <c r="CY67" s="130"/>
      <c r="CZ67" s="130"/>
      <c r="DA67" s="130"/>
      <c r="DB67" s="130"/>
      <c r="DC67" s="130"/>
      <c r="DD67" s="130"/>
      <c r="DE67" s="130"/>
      <c r="DF67" s="128"/>
      <c r="DG67" s="128"/>
    </row>
    <row r="68" spans="1:111" ht="11.25" customHeight="1" x14ac:dyDescent="0.25">
      <c r="A68" s="128"/>
      <c r="B68" s="128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  <c r="AM68" s="130"/>
      <c r="AN68" s="130"/>
      <c r="AO68" s="130"/>
      <c r="AP68" s="130"/>
      <c r="AQ68" s="130"/>
      <c r="AR68" s="130"/>
      <c r="AS68" s="130"/>
      <c r="AT68" s="130"/>
      <c r="AU68" s="130"/>
      <c r="AV68" s="130"/>
      <c r="AW68" s="130"/>
      <c r="AX68" s="130"/>
      <c r="AY68" s="13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  <c r="BL68" s="130"/>
      <c r="BM68" s="130"/>
      <c r="BN68" s="130"/>
      <c r="BO68" s="130"/>
      <c r="BP68" s="130"/>
      <c r="BQ68" s="130"/>
      <c r="BR68" s="130"/>
      <c r="BS68" s="130"/>
      <c r="BT68" s="130"/>
      <c r="BU68" s="130"/>
      <c r="BV68" s="130"/>
      <c r="BW68" s="130"/>
      <c r="BX68" s="130"/>
      <c r="BY68" s="130"/>
      <c r="BZ68" s="130"/>
      <c r="CA68" s="130"/>
      <c r="CB68" s="130"/>
      <c r="CC68" s="130"/>
      <c r="CD68" s="130"/>
      <c r="CE68" s="130"/>
      <c r="CF68" s="130"/>
      <c r="CG68" s="130"/>
      <c r="CH68" s="130"/>
      <c r="CI68" s="130"/>
      <c r="CJ68" s="130"/>
      <c r="CK68" s="130"/>
      <c r="CL68" s="130"/>
      <c r="CM68" s="130"/>
      <c r="CN68" s="130"/>
      <c r="CO68" s="130"/>
      <c r="CP68" s="130"/>
      <c r="CQ68" s="130"/>
      <c r="CR68" s="130"/>
      <c r="CS68" s="130"/>
      <c r="CT68" s="130"/>
      <c r="CU68" s="130"/>
      <c r="CV68" s="130"/>
      <c r="CW68" s="130"/>
      <c r="CX68" s="130"/>
      <c r="CY68" s="130"/>
      <c r="CZ68" s="130"/>
      <c r="DA68" s="130"/>
      <c r="DB68" s="130"/>
      <c r="DC68" s="130"/>
      <c r="DD68" s="130"/>
      <c r="DE68" s="130"/>
      <c r="DF68" s="128"/>
      <c r="DG68" s="128"/>
    </row>
    <row r="69" spans="1:111" ht="24.95" customHeight="1" x14ac:dyDescent="0.25">
      <c r="A69" s="128"/>
      <c r="B69" s="128"/>
      <c r="C69" s="130"/>
      <c r="D69" s="130"/>
      <c r="E69" s="512" t="s">
        <v>197</v>
      </c>
      <c r="F69" s="512"/>
      <c r="G69" s="512"/>
      <c r="H69" s="512"/>
      <c r="I69" s="512"/>
      <c r="J69" s="512"/>
      <c r="K69" s="512"/>
      <c r="L69" s="512"/>
      <c r="M69" s="512"/>
      <c r="N69" s="512"/>
      <c r="O69" s="512"/>
      <c r="P69" s="512"/>
      <c r="Q69" s="512"/>
      <c r="R69" s="512"/>
      <c r="S69" s="512"/>
      <c r="T69" s="512"/>
      <c r="U69" s="512"/>
      <c r="V69" s="512"/>
      <c r="W69" s="512"/>
      <c r="X69" s="512"/>
      <c r="Y69" s="512"/>
      <c r="Z69" s="512"/>
      <c r="AA69" s="512"/>
      <c r="AB69" s="512"/>
      <c r="AC69" s="512"/>
      <c r="AD69" s="512"/>
      <c r="AE69" s="512"/>
      <c r="AF69" s="512"/>
      <c r="AG69" s="512"/>
      <c r="AH69" s="130"/>
      <c r="AI69" s="130"/>
      <c r="AJ69" s="130"/>
      <c r="AK69" s="130"/>
      <c r="AL69" s="130"/>
      <c r="AM69" s="130"/>
      <c r="AN69" s="512" t="str">
        <f>Auxiliar!G12</f>
        <v>Considerando tu patrimonio financiero actual, puedes cubrir tus gastos totales anuales por 2.92 años.</v>
      </c>
      <c r="AO69" s="512"/>
      <c r="AP69" s="512"/>
      <c r="AQ69" s="512"/>
      <c r="AR69" s="512"/>
      <c r="AS69" s="512"/>
      <c r="AT69" s="512"/>
      <c r="AU69" s="512"/>
      <c r="AV69" s="512"/>
      <c r="AW69" s="512"/>
      <c r="AX69" s="512"/>
      <c r="AY69" s="512"/>
      <c r="AZ69" s="512"/>
      <c r="BA69" s="512"/>
      <c r="BB69" s="512"/>
      <c r="BC69" s="512"/>
      <c r="BD69" s="512"/>
      <c r="BE69" s="512"/>
      <c r="BF69" s="512"/>
      <c r="BG69" s="512"/>
      <c r="BH69" s="512"/>
      <c r="BI69" s="512"/>
      <c r="BJ69" s="512"/>
      <c r="BK69" s="512"/>
      <c r="BL69" s="512"/>
      <c r="BM69" s="512"/>
      <c r="BN69" s="512"/>
      <c r="BO69" s="512"/>
      <c r="BP69" s="130"/>
      <c r="BQ69" s="130"/>
      <c r="BR69" s="130"/>
      <c r="BS69" s="130"/>
      <c r="BT69" s="130"/>
      <c r="BU69" s="130"/>
      <c r="BV69" s="130"/>
      <c r="BW69" s="547" t="s">
        <v>194</v>
      </c>
      <c r="BX69" s="547"/>
      <c r="BY69" s="547"/>
      <c r="BZ69" s="547"/>
      <c r="CA69" s="547"/>
      <c r="CB69" s="547"/>
      <c r="CC69" s="547"/>
      <c r="CD69" s="547"/>
      <c r="CE69" s="547"/>
      <c r="CF69" s="547"/>
      <c r="CG69" s="547"/>
      <c r="CH69" s="547"/>
      <c r="CI69" s="547"/>
      <c r="CJ69" s="547"/>
      <c r="CK69" s="547"/>
      <c r="CL69" s="547"/>
      <c r="CM69" s="547"/>
      <c r="CN69" s="547"/>
      <c r="CO69" s="547"/>
      <c r="CP69" s="547"/>
      <c r="CQ69" s="547"/>
      <c r="CR69" s="547"/>
      <c r="CS69" s="547"/>
      <c r="CT69" s="547"/>
      <c r="CU69" s="547"/>
      <c r="CV69" s="547"/>
      <c r="CW69" s="547"/>
      <c r="CX69" s="547"/>
      <c r="CY69" s="547"/>
      <c r="CZ69" s="547"/>
      <c r="DA69" s="547"/>
      <c r="DB69" s="130"/>
      <c r="DC69" s="130"/>
      <c r="DD69" s="130"/>
      <c r="DE69" s="130"/>
      <c r="DF69" s="128"/>
      <c r="DG69" s="128"/>
    </row>
    <row r="70" spans="1:111" ht="24.95" customHeight="1" x14ac:dyDescent="0.25">
      <c r="A70" s="128"/>
      <c r="B70" s="128"/>
      <c r="C70" s="130"/>
      <c r="D70" s="130"/>
      <c r="E70" s="512"/>
      <c r="F70" s="512"/>
      <c r="G70" s="512"/>
      <c r="H70" s="512"/>
      <c r="I70" s="512"/>
      <c r="J70" s="512"/>
      <c r="K70" s="512"/>
      <c r="L70" s="512"/>
      <c r="M70" s="512"/>
      <c r="N70" s="512"/>
      <c r="O70" s="512"/>
      <c r="P70" s="512"/>
      <c r="Q70" s="512"/>
      <c r="R70" s="512"/>
      <c r="S70" s="512"/>
      <c r="T70" s="512"/>
      <c r="U70" s="512"/>
      <c r="V70" s="512"/>
      <c r="W70" s="512"/>
      <c r="X70" s="512"/>
      <c r="Y70" s="512"/>
      <c r="Z70" s="512"/>
      <c r="AA70" s="512"/>
      <c r="AB70" s="512"/>
      <c r="AC70" s="512"/>
      <c r="AD70" s="512"/>
      <c r="AE70" s="512"/>
      <c r="AF70" s="512"/>
      <c r="AG70" s="512"/>
      <c r="AH70" s="130"/>
      <c r="AI70" s="130"/>
      <c r="AJ70" s="130"/>
      <c r="AK70" s="130"/>
      <c r="AL70" s="130"/>
      <c r="AM70" s="130"/>
      <c r="AN70" s="512"/>
      <c r="AO70" s="512"/>
      <c r="AP70" s="512"/>
      <c r="AQ70" s="512"/>
      <c r="AR70" s="512"/>
      <c r="AS70" s="512"/>
      <c r="AT70" s="512"/>
      <c r="AU70" s="512"/>
      <c r="AV70" s="512"/>
      <c r="AW70" s="512"/>
      <c r="AX70" s="512"/>
      <c r="AY70" s="512"/>
      <c r="AZ70" s="512"/>
      <c r="BA70" s="512"/>
      <c r="BB70" s="512"/>
      <c r="BC70" s="512"/>
      <c r="BD70" s="512"/>
      <c r="BE70" s="512"/>
      <c r="BF70" s="512"/>
      <c r="BG70" s="512"/>
      <c r="BH70" s="512"/>
      <c r="BI70" s="512"/>
      <c r="BJ70" s="512"/>
      <c r="BK70" s="512"/>
      <c r="BL70" s="512"/>
      <c r="BM70" s="512"/>
      <c r="BN70" s="512"/>
      <c r="BO70" s="512"/>
      <c r="BP70" s="130"/>
      <c r="BQ70" s="130"/>
      <c r="BR70" s="130"/>
      <c r="BS70" s="130"/>
      <c r="BT70" s="130"/>
      <c r="BU70" s="130"/>
      <c r="BV70" s="130"/>
      <c r="BW70" s="547"/>
      <c r="BX70" s="547"/>
      <c r="BY70" s="547"/>
      <c r="BZ70" s="547"/>
      <c r="CA70" s="547"/>
      <c r="CB70" s="547"/>
      <c r="CC70" s="547"/>
      <c r="CD70" s="547"/>
      <c r="CE70" s="547"/>
      <c r="CF70" s="547"/>
      <c r="CG70" s="547"/>
      <c r="CH70" s="547"/>
      <c r="CI70" s="547"/>
      <c r="CJ70" s="547"/>
      <c r="CK70" s="547"/>
      <c r="CL70" s="547"/>
      <c r="CM70" s="547"/>
      <c r="CN70" s="547"/>
      <c r="CO70" s="547"/>
      <c r="CP70" s="547"/>
      <c r="CQ70" s="547"/>
      <c r="CR70" s="547"/>
      <c r="CS70" s="547"/>
      <c r="CT70" s="547"/>
      <c r="CU70" s="547"/>
      <c r="CV70" s="547"/>
      <c r="CW70" s="547"/>
      <c r="CX70" s="547"/>
      <c r="CY70" s="547"/>
      <c r="CZ70" s="547"/>
      <c r="DA70" s="547"/>
      <c r="DB70" s="130"/>
      <c r="DC70" s="130"/>
      <c r="DD70" s="130"/>
      <c r="DE70" s="130"/>
      <c r="DF70" s="128"/>
      <c r="DG70" s="128"/>
    </row>
    <row r="71" spans="1:111" ht="24.95" customHeight="1" x14ac:dyDescent="0.25">
      <c r="A71" s="128"/>
      <c r="B71" s="128"/>
      <c r="C71" s="130"/>
      <c r="D71" s="130"/>
      <c r="E71" s="512"/>
      <c r="F71" s="512"/>
      <c r="G71" s="512"/>
      <c r="H71" s="512"/>
      <c r="I71" s="512"/>
      <c r="J71" s="512"/>
      <c r="K71" s="512"/>
      <c r="L71" s="512"/>
      <c r="M71" s="512"/>
      <c r="N71" s="512"/>
      <c r="O71" s="512"/>
      <c r="P71" s="512"/>
      <c r="Q71" s="512"/>
      <c r="R71" s="512"/>
      <c r="S71" s="512"/>
      <c r="T71" s="512"/>
      <c r="U71" s="512"/>
      <c r="V71" s="512"/>
      <c r="W71" s="512"/>
      <c r="X71" s="512"/>
      <c r="Y71" s="512"/>
      <c r="Z71" s="512"/>
      <c r="AA71" s="512"/>
      <c r="AB71" s="512"/>
      <c r="AC71" s="512"/>
      <c r="AD71" s="512"/>
      <c r="AE71" s="512"/>
      <c r="AF71" s="512"/>
      <c r="AG71" s="512"/>
      <c r="AH71" s="130"/>
      <c r="AI71" s="130"/>
      <c r="AJ71" s="130"/>
      <c r="AK71" s="130"/>
      <c r="AL71" s="130"/>
      <c r="AM71" s="130"/>
      <c r="AN71" s="512"/>
      <c r="AO71" s="512"/>
      <c r="AP71" s="512"/>
      <c r="AQ71" s="512"/>
      <c r="AR71" s="512"/>
      <c r="AS71" s="512"/>
      <c r="AT71" s="512"/>
      <c r="AU71" s="512"/>
      <c r="AV71" s="512"/>
      <c r="AW71" s="512"/>
      <c r="AX71" s="512"/>
      <c r="AY71" s="512"/>
      <c r="AZ71" s="512"/>
      <c r="BA71" s="512"/>
      <c r="BB71" s="512"/>
      <c r="BC71" s="512"/>
      <c r="BD71" s="512"/>
      <c r="BE71" s="512"/>
      <c r="BF71" s="512"/>
      <c r="BG71" s="512"/>
      <c r="BH71" s="512"/>
      <c r="BI71" s="512"/>
      <c r="BJ71" s="512"/>
      <c r="BK71" s="512"/>
      <c r="BL71" s="512"/>
      <c r="BM71" s="512"/>
      <c r="BN71" s="512"/>
      <c r="BO71" s="512"/>
      <c r="BP71" s="130"/>
      <c r="BQ71" s="130"/>
      <c r="BR71" s="130"/>
      <c r="BS71" s="130"/>
      <c r="BT71" s="130"/>
      <c r="BU71" s="130"/>
      <c r="BV71" s="130"/>
      <c r="BW71" s="547"/>
      <c r="BX71" s="547"/>
      <c r="BY71" s="547"/>
      <c r="BZ71" s="547"/>
      <c r="CA71" s="547"/>
      <c r="CB71" s="547"/>
      <c r="CC71" s="547"/>
      <c r="CD71" s="547"/>
      <c r="CE71" s="547"/>
      <c r="CF71" s="547"/>
      <c r="CG71" s="547"/>
      <c r="CH71" s="547"/>
      <c r="CI71" s="547"/>
      <c r="CJ71" s="547"/>
      <c r="CK71" s="547"/>
      <c r="CL71" s="547"/>
      <c r="CM71" s="547"/>
      <c r="CN71" s="547"/>
      <c r="CO71" s="547"/>
      <c r="CP71" s="547"/>
      <c r="CQ71" s="547"/>
      <c r="CR71" s="547"/>
      <c r="CS71" s="547"/>
      <c r="CT71" s="547"/>
      <c r="CU71" s="547"/>
      <c r="CV71" s="547"/>
      <c r="CW71" s="547"/>
      <c r="CX71" s="547"/>
      <c r="CY71" s="547"/>
      <c r="CZ71" s="547"/>
      <c r="DA71" s="547"/>
      <c r="DB71" s="130"/>
      <c r="DC71" s="130"/>
      <c r="DD71" s="130"/>
      <c r="DE71" s="130"/>
      <c r="DF71" s="128"/>
      <c r="DG71" s="128"/>
    </row>
    <row r="72" spans="1:111" ht="24.95" customHeight="1" x14ac:dyDescent="0.25">
      <c r="A72" s="128"/>
      <c r="B72" s="128"/>
      <c r="C72" s="130"/>
      <c r="D72" s="130"/>
      <c r="E72" s="512"/>
      <c r="F72" s="512"/>
      <c r="G72" s="512"/>
      <c r="H72" s="512"/>
      <c r="I72" s="512"/>
      <c r="J72" s="512"/>
      <c r="K72" s="512"/>
      <c r="L72" s="512"/>
      <c r="M72" s="512"/>
      <c r="N72" s="512"/>
      <c r="O72" s="512"/>
      <c r="P72" s="512"/>
      <c r="Q72" s="512"/>
      <c r="R72" s="512"/>
      <c r="S72" s="512"/>
      <c r="T72" s="512"/>
      <c r="U72" s="512"/>
      <c r="V72" s="512"/>
      <c r="W72" s="512"/>
      <c r="X72" s="512"/>
      <c r="Y72" s="512"/>
      <c r="Z72" s="512"/>
      <c r="AA72" s="512"/>
      <c r="AB72" s="512"/>
      <c r="AC72" s="512"/>
      <c r="AD72" s="512"/>
      <c r="AE72" s="512"/>
      <c r="AF72" s="512"/>
      <c r="AG72" s="512"/>
      <c r="AH72" s="130"/>
      <c r="AI72" s="130"/>
      <c r="AJ72" s="130"/>
      <c r="AK72" s="130"/>
      <c r="AL72" s="130"/>
      <c r="AM72" s="130"/>
      <c r="AN72" s="512"/>
      <c r="AO72" s="512"/>
      <c r="AP72" s="512"/>
      <c r="AQ72" s="512"/>
      <c r="AR72" s="512"/>
      <c r="AS72" s="512"/>
      <c r="AT72" s="512"/>
      <c r="AU72" s="512"/>
      <c r="AV72" s="512"/>
      <c r="AW72" s="512"/>
      <c r="AX72" s="512"/>
      <c r="AY72" s="512"/>
      <c r="AZ72" s="512"/>
      <c r="BA72" s="512"/>
      <c r="BB72" s="512"/>
      <c r="BC72" s="512"/>
      <c r="BD72" s="512"/>
      <c r="BE72" s="512"/>
      <c r="BF72" s="512"/>
      <c r="BG72" s="512"/>
      <c r="BH72" s="512"/>
      <c r="BI72" s="512"/>
      <c r="BJ72" s="512"/>
      <c r="BK72" s="512"/>
      <c r="BL72" s="512"/>
      <c r="BM72" s="512"/>
      <c r="BN72" s="512"/>
      <c r="BO72" s="512"/>
      <c r="BP72" s="130"/>
      <c r="BQ72" s="130"/>
      <c r="BR72" s="130"/>
      <c r="BS72" s="130"/>
      <c r="BT72" s="130"/>
      <c r="BU72" s="130"/>
      <c r="BV72" s="130"/>
      <c r="BW72" s="547"/>
      <c r="BX72" s="547"/>
      <c r="BY72" s="547"/>
      <c r="BZ72" s="547"/>
      <c r="CA72" s="547"/>
      <c r="CB72" s="547"/>
      <c r="CC72" s="547"/>
      <c r="CD72" s="547"/>
      <c r="CE72" s="547"/>
      <c r="CF72" s="547"/>
      <c r="CG72" s="547"/>
      <c r="CH72" s="547"/>
      <c r="CI72" s="547"/>
      <c r="CJ72" s="547"/>
      <c r="CK72" s="547"/>
      <c r="CL72" s="547"/>
      <c r="CM72" s="547"/>
      <c r="CN72" s="547"/>
      <c r="CO72" s="547"/>
      <c r="CP72" s="547"/>
      <c r="CQ72" s="547"/>
      <c r="CR72" s="547"/>
      <c r="CS72" s="547"/>
      <c r="CT72" s="547"/>
      <c r="CU72" s="547"/>
      <c r="CV72" s="547"/>
      <c r="CW72" s="547"/>
      <c r="CX72" s="547"/>
      <c r="CY72" s="547"/>
      <c r="CZ72" s="547"/>
      <c r="DA72" s="547"/>
      <c r="DB72" s="130"/>
      <c r="DC72" s="130"/>
      <c r="DD72" s="130"/>
      <c r="DE72" s="130"/>
      <c r="DF72" s="128"/>
      <c r="DG72" s="128"/>
    </row>
    <row r="73" spans="1:111" ht="15" customHeight="1" x14ac:dyDescent="0.25">
      <c r="A73" s="128"/>
      <c r="B73" s="128"/>
      <c r="C73" s="130"/>
      <c r="D73" s="130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0"/>
      <c r="AI73" s="130"/>
      <c r="AJ73" s="130"/>
      <c r="AK73" s="130"/>
      <c r="AL73" s="130"/>
      <c r="AM73" s="130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  <c r="BO73" s="137"/>
      <c r="BP73" s="130"/>
      <c r="BQ73" s="130"/>
      <c r="BR73" s="130"/>
      <c r="BS73" s="130"/>
      <c r="BT73" s="130"/>
      <c r="BU73" s="130"/>
      <c r="BV73" s="130"/>
      <c r="BW73" s="138"/>
      <c r="BX73" s="138"/>
      <c r="BY73" s="138"/>
      <c r="BZ73" s="138"/>
      <c r="CA73" s="138"/>
      <c r="CB73" s="138"/>
      <c r="CC73" s="138"/>
      <c r="CD73" s="138"/>
      <c r="CE73" s="138"/>
      <c r="CF73" s="138"/>
      <c r="CG73" s="138"/>
      <c r="CH73" s="138"/>
      <c r="CI73" s="138"/>
      <c r="CJ73" s="138"/>
      <c r="CK73" s="138"/>
      <c r="CL73" s="138"/>
      <c r="CM73" s="138"/>
      <c r="CN73" s="138"/>
      <c r="CO73" s="138"/>
      <c r="CP73" s="138"/>
      <c r="CQ73" s="138"/>
      <c r="CR73" s="138"/>
      <c r="CS73" s="138"/>
      <c r="CT73" s="138"/>
      <c r="CU73" s="138"/>
      <c r="CV73" s="138"/>
      <c r="CW73" s="138"/>
      <c r="CX73" s="138"/>
      <c r="CY73" s="138"/>
      <c r="CZ73" s="138"/>
      <c r="DA73" s="138"/>
      <c r="DB73" s="130"/>
      <c r="DC73" s="130"/>
      <c r="DD73" s="130"/>
      <c r="DE73" s="130"/>
      <c r="DF73" s="128"/>
      <c r="DG73" s="128"/>
    </row>
    <row r="74" spans="1:111" ht="24.95" customHeight="1" x14ac:dyDescent="0.25">
      <c r="A74" s="128"/>
      <c r="B74" s="128"/>
      <c r="C74" s="130"/>
      <c r="D74" s="130"/>
      <c r="E74" s="222" t="s">
        <v>188</v>
      </c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  <c r="AK74" s="130"/>
      <c r="AL74" s="130"/>
      <c r="AM74" s="130"/>
      <c r="AN74" s="512" t="str">
        <f>Auxiliar!G13</f>
        <v>Tienes tus gastos cubiertos hasta los 53 años de edad.</v>
      </c>
      <c r="AO74" s="512"/>
      <c r="AP74" s="512"/>
      <c r="AQ74" s="512"/>
      <c r="AR74" s="512"/>
      <c r="AS74" s="512"/>
      <c r="AT74" s="512"/>
      <c r="AU74" s="512"/>
      <c r="AV74" s="512"/>
      <c r="AW74" s="512"/>
      <c r="AX74" s="512"/>
      <c r="AY74" s="512"/>
      <c r="AZ74" s="512"/>
      <c r="BA74" s="512"/>
      <c r="BB74" s="512"/>
      <c r="BC74" s="512"/>
      <c r="BD74" s="512"/>
      <c r="BE74" s="512"/>
      <c r="BF74" s="512"/>
      <c r="BG74" s="512"/>
      <c r="BH74" s="512"/>
      <c r="BI74" s="512"/>
      <c r="BJ74" s="512"/>
      <c r="BK74" s="512"/>
      <c r="BL74" s="512"/>
      <c r="BM74" s="512"/>
      <c r="BN74" s="512"/>
      <c r="BO74" s="512"/>
      <c r="BP74" s="130"/>
      <c r="BQ74" s="130"/>
      <c r="BR74" s="130"/>
      <c r="BS74" s="130"/>
      <c r="BT74" s="130"/>
      <c r="BU74" s="130"/>
      <c r="BV74" s="130"/>
      <c r="BW74" s="220" t="s">
        <v>88</v>
      </c>
      <c r="CT74" s="571">
        <f>'Cálculos y Supuestos Edo.Res'!G35</f>
        <v>1000000</v>
      </c>
      <c r="CU74" s="571"/>
      <c r="CV74" s="571"/>
      <c r="CW74" s="571"/>
      <c r="CX74" s="571"/>
      <c r="CY74" s="571"/>
      <c r="CZ74" s="571"/>
      <c r="DA74" s="571"/>
      <c r="DB74" s="571"/>
      <c r="DC74" s="571"/>
      <c r="DD74" s="130"/>
      <c r="DE74" s="130"/>
      <c r="DF74" s="128"/>
      <c r="DG74" s="128"/>
    </row>
    <row r="75" spans="1:111" ht="24.95" customHeight="1" x14ac:dyDescent="0.25">
      <c r="A75" s="128"/>
      <c r="B75" s="128"/>
      <c r="C75" s="130"/>
      <c r="D75" s="130"/>
      <c r="E75" s="549" t="s">
        <v>189</v>
      </c>
      <c r="F75" s="549"/>
      <c r="G75" s="549"/>
      <c r="H75" s="549"/>
      <c r="I75" s="549"/>
      <c r="J75" s="549"/>
      <c r="K75" s="549"/>
      <c r="L75" s="549"/>
      <c r="M75" s="549"/>
      <c r="N75" s="549"/>
      <c r="O75" s="549"/>
      <c r="P75" s="549"/>
      <c r="Q75" s="549"/>
      <c r="R75" s="549"/>
      <c r="S75" s="549"/>
      <c r="T75" s="549"/>
      <c r="U75" s="549"/>
      <c r="V75" s="549"/>
      <c r="W75" s="549"/>
      <c r="X75" s="532">
        <f>'Cálculos y Supuestos Edo.Res'!C29</f>
        <v>200000</v>
      </c>
      <c r="Y75" s="532"/>
      <c r="Z75" s="532"/>
      <c r="AA75" s="532"/>
      <c r="AB75" s="532"/>
      <c r="AC75" s="532"/>
      <c r="AD75" s="532"/>
      <c r="AE75" s="532"/>
      <c r="AF75" s="532"/>
      <c r="AG75" s="532"/>
      <c r="AH75" s="130"/>
      <c r="AI75" s="130"/>
      <c r="AJ75" s="130"/>
      <c r="AK75" s="130"/>
      <c r="AL75" s="130"/>
      <c r="AM75" s="130"/>
      <c r="AN75" s="512"/>
      <c r="AO75" s="512"/>
      <c r="AP75" s="512"/>
      <c r="AQ75" s="512"/>
      <c r="AR75" s="512"/>
      <c r="AS75" s="512"/>
      <c r="AT75" s="512"/>
      <c r="AU75" s="512"/>
      <c r="AV75" s="512"/>
      <c r="AW75" s="512"/>
      <c r="AX75" s="512"/>
      <c r="AY75" s="512"/>
      <c r="AZ75" s="512"/>
      <c r="BA75" s="512"/>
      <c r="BB75" s="512"/>
      <c r="BC75" s="512"/>
      <c r="BD75" s="512"/>
      <c r="BE75" s="512"/>
      <c r="BF75" s="512"/>
      <c r="BG75" s="512"/>
      <c r="BH75" s="512"/>
      <c r="BI75" s="512"/>
      <c r="BJ75" s="512"/>
      <c r="BK75" s="512"/>
      <c r="BL75" s="512"/>
      <c r="BM75" s="512"/>
      <c r="BN75" s="512"/>
      <c r="BO75" s="512"/>
      <c r="BP75" s="130"/>
      <c r="BQ75" s="130"/>
      <c r="BR75" s="130"/>
      <c r="BS75" s="130"/>
      <c r="BT75" s="130"/>
      <c r="BU75" s="130"/>
      <c r="BV75" s="130"/>
      <c r="BW75" s="204" t="s">
        <v>193</v>
      </c>
      <c r="BX75" s="204"/>
      <c r="BY75" s="130"/>
      <c r="BZ75" s="130"/>
      <c r="CA75" s="130"/>
      <c r="CB75" s="130"/>
      <c r="CC75" s="130"/>
      <c r="CD75" s="130"/>
      <c r="CE75" s="130"/>
      <c r="CF75" s="130"/>
      <c r="CG75" s="130"/>
      <c r="CH75" s="130"/>
      <c r="CI75" s="130"/>
      <c r="CJ75" s="130"/>
      <c r="CK75" s="130"/>
      <c r="CL75" s="130"/>
      <c r="CM75" s="130"/>
      <c r="CN75" s="130"/>
      <c r="CO75" s="130"/>
      <c r="CP75" s="130"/>
      <c r="CQ75" s="130"/>
      <c r="CR75" s="130"/>
      <c r="CS75" s="130"/>
      <c r="CT75" s="130"/>
      <c r="CU75" s="130"/>
      <c r="CV75" s="130"/>
      <c r="CW75" s="130"/>
      <c r="CX75" s="130"/>
      <c r="CY75" s="130"/>
      <c r="CZ75" s="130"/>
      <c r="DA75" s="130"/>
      <c r="DB75" s="130"/>
      <c r="DC75" s="130"/>
      <c r="DD75" s="130"/>
      <c r="DE75" s="130"/>
      <c r="DF75" s="128"/>
      <c r="DG75" s="128"/>
    </row>
    <row r="76" spans="1:111" ht="24.95" customHeight="1" x14ac:dyDescent="0.25">
      <c r="A76" s="128"/>
      <c r="B76" s="128"/>
      <c r="C76" s="130"/>
      <c r="D76" s="130"/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49"/>
      <c r="P76" s="549"/>
      <c r="Q76" s="549"/>
      <c r="R76" s="549"/>
      <c r="S76" s="549"/>
      <c r="T76" s="549"/>
      <c r="U76" s="549"/>
      <c r="V76" s="549"/>
      <c r="W76" s="549"/>
      <c r="AH76" s="130"/>
      <c r="AI76" s="130"/>
      <c r="AJ76" s="130"/>
      <c r="AK76" s="130"/>
      <c r="AL76" s="130"/>
      <c r="AM76" s="130"/>
      <c r="AN76" s="512"/>
      <c r="AO76" s="512"/>
      <c r="AP76" s="512"/>
      <c r="AQ76" s="512"/>
      <c r="AR76" s="512"/>
      <c r="AS76" s="512"/>
      <c r="AT76" s="512"/>
      <c r="AU76" s="512"/>
      <c r="AV76" s="512"/>
      <c r="AW76" s="512"/>
      <c r="AX76" s="512"/>
      <c r="AY76" s="512"/>
      <c r="AZ76" s="512"/>
      <c r="BA76" s="512"/>
      <c r="BB76" s="512"/>
      <c r="BC76" s="512"/>
      <c r="BD76" s="512"/>
      <c r="BE76" s="512"/>
      <c r="BF76" s="512"/>
      <c r="BG76" s="512"/>
      <c r="BH76" s="512"/>
      <c r="BI76" s="512"/>
      <c r="BJ76" s="512"/>
      <c r="BK76" s="512"/>
      <c r="BL76" s="512"/>
      <c r="BM76" s="512"/>
      <c r="BN76" s="512"/>
      <c r="BO76" s="512"/>
      <c r="BQ76" s="130"/>
      <c r="BR76" s="130"/>
      <c r="BS76" s="130"/>
      <c r="BT76" s="130"/>
      <c r="BU76" s="130"/>
      <c r="BV76" s="130"/>
      <c r="BX76" s="139"/>
      <c r="BY76" s="139"/>
      <c r="BZ76" s="139"/>
      <c r="CA76" s="139"/>
      <c r="CB76" s="139"/>
      <c r="CC76" s="139"/>
      <c r="CD76" s="139"/>
      <c r="CE76" s="139"/>
      <c r="CF76" s="139"/>
      <c r="CG76" s="139"/>
      <c r="CH76" s="139"/>
      <c r="CI76" s="139"/>
      <c r="CJ76" s="139"/>
      <c r="CK76" s="139"/>
      <c r="CL76" s="139"/>
      <c r="CM76" s="139"/>
      <c r="CN76" s="139"/>
      <c r="CO76" s="139"/>
      <c r="CP76" s="139"/>
      <c r="CQ76" s="139"/>
      <c r="CR76" s="139"/>
      <c r="CS76" s="130"/>
      <c r="DD76" s="130"/>
      <c r="DE76" s="130"/>
      <c r="DF76" s="128"/>
      <c r="DG76" s="128"/>
    </row>
    <row r="77" spans="1:111" ht="24.95" customHeight="1" x14ac:dyDescent="0.25">
      <c r="A77" s="128"/>
      <c r="B77" s="128"/>
      <c r="C77" s="130"/>
      <c r="D77" s="130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130"/>
      <c r="AH77" s="130"/>
      <c r="AI77" s="130"/>
      <c r="AJ77" s="130"/>
      <c r="AK77" s="130"/>
      <c r="AL77" s="130"/>
      <c r="AM77" s="130"/>
      <c r="AN77" s="221" t="s">
        <v>192</v>
      </c>
      <c r="AO77" s="130"/>
      <c r="AP77" s="130"/>
      <c r="AQ77" s="130"/>
      <c r="AR77" s="130"/>
      <c r="AS77" s="130"/>
      <c r="AT77" s="130"/>
      <c r="AU77" s="130"/>
      <c r="AV77" s="130"/>
      <c r="AW77" s="130"/>
      <c r="AX77" s="130"/>
      <c r="AY77" s="130"/>
      <c r="AZ77" s="130"/>
      <c r="BA77" s="130"/>
      <c r="BB77" s="130"/>
      <c r="BC77" s="130"/>
      <c r="BD77" s="130"/>
      <c r="BE77" s="130"/>
      <c r="BF77" s="130"/>
      <c r="BG77" s="546">
        <f>'Cálculos y Supuestos Edo.Res'!G22</f>
        <v>2100000</v>
      </c>
      <c r="BH77" s="546"/>
      <c r="BI77" s="546"/>
      <c r="BJ77" s="546"/>
      <c r="BK77" s="546"/>
      <c r="BL77" s="546"/>
      <c r="BM77" s="546"/>
      <c r="BN77" s="546"/>
      <c r="BO77" s="546"/>
      <c r="BP77" s="546"/>
      <c r="BQ77" s="130"/>
      <c r="BR77" s="130"/>
      <c r="BS77" s="130"/>
      <c r="BT77" s="130"/>
      <c r="BU77" s="130"/>
      <c r="BV77" s="130"/>
      <c r="BX77" s="139"/>
      <c r="BY77" s="139"/>
      <c r="BZ77" s="139"/>
      <c r="CA77" s="139"/>
      <c r="CB77" s="139"/>
      <c r="CC77" s="139"/>
      <c r="CD77" s="139"/>
      <c r="CE77" s="139"/>
      <c r="CF77" s="139"/>
      <c r="CG77" s="139"/>
      <c r="CH77" s="139"/>
      <c r="CI77" s="139"/>
      <c r="CJ77" s="139"/>
      <c r="CK77" s="139"/>
      <c r="CL77" s="139"/>
      <c r="CM77" s="139"/>
      <c r="CN77" s="139"/>
      <c r="CO77" s="139"/>
      <c r="CP77" s="139"/>
      <c r="CQ77" s="139"/>
      <c r="CR77" s="139"/>
      <c r="CS77" s="130"/>
      <c r="DD77" s="130"/>
      <c r="DE77" s="130"/>
      <c r="DF77" s="128"/>
      <c r="DG77" s="128"/>
    </row>
    <row r="78" spans="1:111" ht="24.95" customHeight="1" x14ac:dyDescent="0.25">
      <c r="A78" s="128"/>
      <c r="B78" s="128"/>
      <c r="C78" s="130"/>
      <c r="D78" s="130"/>
      <c r="E78" s="140" t="s">
        <v>187</v>
      </c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576">
        <f>'Cálculos y Supuestos Edo.Res'!C23</f>
        <v>40000</v>
      </c>
      <c r="Y78" s="576"/>
      <c r="Z78" s="576"/>
      <c r="AA78" s="576"/>
      <c r="AB78" s="576"/>
      <c r="AC78" s="576"/>
      <c r="AD78" s="576"/>
      <c r="AE78" s="576"/>
      <c r="AF78" s="576"/>
      <c r="AG78" s="576"/>
      <c r="AH78" s="130"/>
      <c r="AI78" s="130"/>
      <c r="AJ78" s="130"/>
      <c r="AK78" s="130"/>
      <c r="AL78" s="130"/>
      <c r="AM78" s="130"/>
      <c r="AN78" s="204" t="s">
        <v>290</v>
      </c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130"/>
      <c r="BQ78" s="130"/>
      <c r="BR78" s="130"/>
      <c r="BS78" s="130"/>
      <c r="BT78" s="130"/>
      <c r="BU78" s="130"/>
      <c r="BV78" s="130"/>
      <c r="BW78" s="130"/>
      <c r="BX78" s="130"/>
      <c r="BY78" s="130"/>
      <c r="BZ78" s="130"/>
      <c r="CA78" s="130"/>
      <c r="CB78" s="130"/>
      <c r="CC78" s="130"/>
      <c r="CD78" s="130"/>
      <c r="CE78" s="130"/>
      <c r="CF78" s="130"/>
      <c r="CG78" s="130"/>
      <c r="CH78" s="130"/>
      <c r="CI78" s="130"/>
      <c r="CJ78" s="130"/>
      <c r="CK78" s="130"/>
      <c r="CL78" s="130"/>
      <c r="CM78" s="130"/>
      <c r="CN78" s="130"/>
      <c r="CO78" s="130"/>
      <c r="CP78" s="130"/>
      <c r="CQ78" s="130"/>
      <c r="CR78" s="130"/>
      <c r="CS78" s="130"/>
      <c r="DD78" s="130"/>
      <c r="DE78" s="130"/>
      <c r="DF78" s="128"/>
      <c r="DG78" s="128"/>
    </row>
    <row r="79" spans="1:111" ht="24.95" customHeight="1" x14ac:dyDescent="0.25">
      <c r="A79" s="128"/>
      <c r="B79" s="128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30"/>
      <c r="AI79" s="130"/>
      <c r="AJ79" s="130"/>
      <c r="AK79" s="130"/>
      <c r="AL79" s="130"/>
      <c r="AM79" s="130"/>
      <c r="AN79" s="203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  <c r="BF79" s="130"/>
      <c r="BQ79" s="130"/>
      <c r="BR79" s="130"/>
      <c r="BS79" s="130"/>
      <c r="BT79" s="130"/>
      <c r="BU79" s="130"/>
      <c r="BV79" s="130"/>
      <c r="BW79" s="130"/>
      <c r="BX79" s="130"/>
      <c r="BY79" s="130"/>
      <c r="BZ79" s="130"/>
      <c r="CA79" s="130"/>
      <c r="CB79" s="130"/>
      <c r="CC79" s="130"/>
      <c r="CD79" s="130"/>
      <c r="CE79" s="130"/>
      <c r="CF79" s="130"/>
      <c r="CG79" s="130"/>
      <c r="CH79" s="130"/>
      <c r="CI79" s="130"/>
      <c r="CJ79" s="130"/>
      <c r="CK79" s="130"/>
      <c r="CL79" s="130"/>
      <c r="CM79" s="130"/>
      <c r="CN79" s="130"/>
      <c r="CO79" s="130"/>
      <c r="CP79" s="130"/>
      <c r="CQ79" s="130"/>
      <c r="CR79" s="130"/>
      <c r="CS79" s="130"/>
      <c r="CT79" s="130"/>
      <c r="CU79" s="130"/>
      <c r="CV79" s="130"/>
      <c r="CW79" s="130"/>
      <c r="CX79" s="130"/>
      <c r="CY79" s="130"/>
      <c r="CZ79" s="130"/>
      <c r="DA79" s="130"/>
      <c r="DB79" s="130"/>
      <c r="DC79" s="130"/>
      <c r="DD79" s="130"/>
      <c r="DE79" s="130"/>
      <c r="DF79" s="128"/>
      <c r="DG79" s="128"/>
    </row>
    <row r="80" spans="1:111" ht="24.95" customHeight="1" x14ac:dyDescent="0.25">
      <c r="A80" s="128"/>
      <c r="B80" s="128"/>
      <c r="C80" s="130"/>
      <c r="D80" s="130"/>
      <c r="E80" s="223" t="s">
        <v>190</v>
      </c>
      <c r="X80" s="548">
        <f>'Cálculos y Supuestos Edo.Res'!G14</f>
        <v>120000</v>
      </c>
      <c r="Y80" s="548"/>
      <c r="Z80" s="548"/>
      <c r="AA80" s="548"/>
      <c r="AB80" s="548"/>
      <c r="AC80" s="548"/>
      <c r="AD80" s="548"/>
      <c r="AE80" s="548"/>
      <c r="AF80" s="548"/>
      <c r="AG80" s="548"/>
      <c r="AH80" s="130"/>
      <c r="AI80" s="130"/>
      <c r="AJ80" s="130"/>
      <c r="AK80" s="130"/>
      <c r="AL80" s="130"/>
      <c r="AM80" s="130"/>
      <c r="AN80" s="222" t="s">
        <v>79</v>
      </c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546">
        <f>Auxiliar!J18</f>
        <v>720000</v>
      </c>
      <c r="BH80" s="546"/>
      <c r="BI80" s="546"/>
      <c r="BJ80" s="546"/>
      <c r="BK80" s="546"/>
      <c r="BL80" s="546"/>
      <c r="BM80" s="546"/>
      <c r="BN80" s="546"/>
      <c r="BO80" s="546"/>
      <c r="BP80" s="546"/>
      <c r="BQ80" s="130"/>
      <c r="BR80" s="130"/>
      <c r="BS80" s="130"/>
      <c r="BT80" s="130"/>
      <c r="BU80" s="130"/>
      <c r="BV80" s="130"/>
      <c r="BW80" s="130"/>
      <c r="BX80" s="130"/>
      <c r="BY80" s="130"/>
      <c r="BZ80" s="130"/>
      <c r="CA80" s="130"/>
      <c r="CB80" s="130"/>
      <c r="CC80" s="130"/>
      <c r="CD80" s="130"/>
      <c r="CE80" s="130"/>
      <c r="CF80" s="130"/>
      <c r="CG80" s="130"/>
      <c r="CH80" s="130"/>
      <c r="CI80" s="130"/>
      <c r="CJ80" s="130"/>
      <c r="CK80" s="130"/>
      <c r="CL80" s="130"/>
      <c r="CM80" s="130"/>
      <c r="CN80" s="130"/>
      <c r="CO80" s="130"/>
      <c r="CP80" s="130"/>
      <c r="CQ80" s="130"/>
      <c r="CR80" s="130"/>
      <c r="CS80" s="130"/>
      <c r="CT80" s="130"/>
      <c r="CU80" s="130"/>
      <c r="CV80" s="130"/>
      <c r="CW80" s="130"/>
      <c r="CX80" s="130"/>
      <c r="CY80" s="130"/>
      <c r="CZ80" s="130"/>
      <c r="DA80" s="130"/>
      <c r="DB80" s="130"/>
      <c r="DC80" s="130"/>
      <c r="DD80" s="130"/>
      <c r="DE80" s="130"/>
      <c r="DF80" s="128"/>
      <c r="DG80" s="128"/>
    </row>
    <row r="81" spans="1:111" ht="24.95" customHeight="1" x14ac:dyDescent="0.25">
      <c r="A81" s="128"/>
      <c r="B81" s="128"/>
      <c r="C81" s="130"/>
      <c r="D81" s="130"/>
      <c r="E81" s="205" t="s">
        <v>191</v>
      </c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30"/>
      <c r="AI81" s="130"/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  <c r="AT81" s="130"/>
      <c r="AU81" s="130"/>
      <c r="AV81" s="130"/>
      <c r="AW81" s="130"/>
      <c r="AX81" s="130"/>
      <c r="AY81" s="130"/>
      <c r="AZ81" s="130"/>
      <c r="BA81" s="130"/>
      <c r="BB81" s="130"/>
      <c r="BC81" s="130"/>
      <c r="BD81" s="130"/>
      <c r="BE81" s="130"/>
      <c r="BF81" s="130"/>
      <c r="BG81" s="130"/>
      <c r="BH81" s="130"/>
      <c r="BI81" s="130"/>
      <c r="BJ81" s="130"/>
      <c r="BK81" s="130"/>
      <c r="BL81" s="130"/>
      <c r="BM81" s="130"/>
      <c r="BN81" s="130"/>
      <c r="BO81" s="130"/>
      <c r="BP81" s="130"/>
      <c r="BQ81" s="130"/>
      <c r="BR81" s="130"/>
      <c r="BS81" s="130"/>
      <c r="BT81" s="130"/>
      <c r="BU81" s="130"/>
      <c r="BV81" s="130"/>
      <c r="BW81" s="130"/>
      <c r="BX81" s="130"/>
      <c r="BY81" s="130"/>
      <c r="BZ81" s="130"/>
      <c r="CA81" s="130"/>
      <c r="CB81" s="130"/>
      <c r="CC81" s="130"/>
      <c r="CD81" s="130"/>
      <c r="CE81" s="130"/>
      <c r="CF81" s="130"/>
      <c r="CG81" s="130"/>
      <c r="CH81" s="130"/>
      <c r="CI81" s="130"/>
      <c r="CJ81" s="130"/>
      <c r="CK81" s="130"/>
      <c r="CL81" s="130"/>
      <c r="CM81" s="130"/>
      <c r="CN81" s="130"/>
      <c r="CO81" s="130"/>
      <c r="CP81" s="130"/>
      <c r="CQ81" s="130"/>
      <c r="CR81" s="130"/>
      <c r="CS81" s="130"/>
      <c r="CT81" s="130"/>
      <c r="CU81" s="130"/>
      <c r="CV81" s="130"/>
      <c r="CW81" s="130"/>
      <c r="CX81" s="130"/>
      <c r="CY81" s="130"/>
      <c r="CZ81" s="130"/>
      <c r="DA81" s="130"/>
      <c r="DB81" s="130"/>
      <c r="DC81" s="130"/>
      <c r="DD81" s="130"/>
      <c r="DE81" s="130"/>
      <c r="DF81" s="128"/>
      <c r="DG81" s="128"/>
    </row>
    <row r="82" spans="1:111" ht="24.95" customHeight="1" x14ac:dyDescent="0.25">
      <c r="A82" s="128"/>
      <c r="B82" s="128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  <c r="AT82" s="130"/>
      <c r="AU82" s="130"/>
      <c r="AV82" s="130"/>
      <c r="AW82" s="130"/>
      <c r="AX82" s="130"/>
      <c r="AY82" s="130"/>
      <c r="AZ82" s="130"/>
      <c r="BA82" s="130"/>
      <c r="BB82" s="130"/>
      <c r="BC82" s="130"/>
      <c r="BD82" s="130"/>
      <c r="BE82" s="130"/>
      <c r="BF82" s="130"/>
      <c r="BG82" s="130"/>
      <c r="BH82" s="130"/>
      <c r="BI82" s="130"/>
      <c r="BJ82" s="130"/>
      <c r="BK82" s="130"/>
      <c r="BL82" s="130"/>
      <c r="BM82" s="130"/>
      <c r="BN82" s="130"/>
      <c r="BO82" s="130"/>
      <c r="BP82" s="130"/>
      <c r="BQ82" s="130"/>
      <c r="BR82" s="130"/>
      <c r="BS82" s="130"/>
      <c r="BT82" s="130"/>
      <c r="BU82" s="130"/>
      <c r="BV82" s="130"/>
      <c r="DB82" s="130"/>
      <c r="DC82" s="130"/>
      <c r="DD82" s="130"/>
      <c r="DE82" s="130"/>
      <c r="DF82" s="128"/>
      <c r="DG82" s="128"/>
    </row>
    <row r="83" spans="1:111" ht="24.95" customHeight="1" x14ac:dyDescent="0.25">
      <c r="A83" s="128"/>
      <c r="B83" s="128"/>
      <c r="C83" s="130"/>
      <c r="D83" s="130"/>
      <c r="E83" s="172" t="s">
        <v>181</v>
      </c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532">
        <f>X75-X80</f>
        <v>80000</v>
      </c>
      <c r="Y83" s="532"/>
      <c r="Z83" s="532"/>
      <c r="AA83" s="532"/>
      <c r="AB83" s="532"/>
      <c r="AC83" s="532"/>
      <c r="AD83" s="532"/>
      <c r="AE83" s="532"/>
      <c r="AF83" s="532"/>
      <c r="AG83" s="532"/>
      <c r="AH83" s="130"/>
      <c r="AI83" s="130"/>
      <c r="AJ83" s="130"/>
      <c r="AK83" s="130"/>
      <c r="AL83" s="130"/>
      <c r="AM83" s="130"/>
      <c r="BQ83" s="130"/>
      <c r="BR83" s="130"/>
      <c r="BS83" s="130"/>
      <c r="BT83" s="130"/>
      <c r="BU83" s="130"/>
      <c r="BV83" s="130"/>
      <c r="DB83" s="130"/>
      <c r="DC83" s="130"/>
      <c r="DD83" s="130"/>
      <c r="DE83" s="130"/>
      <c r="DF83" s="128"/>
      <c r="DG83" s="128"/>
    </row>
    <row r="84" spans="1:111" ht="24.95" customHeight="1" x14ac:dyDescent="0.25">
      <c r="A84" s="128"/>
      <c r="B84" s="128"/>
      <c r="C84" s="130"/>
      <c r="D84" s="130"/>
      <c r="E84" s="169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533" t="str">
        <f>'Cálculos y Supuestos Edo.Res'!G16</f>
        <v>Excedido</v>
      </c>
      <c r="Y84" s="533"/>
      <c r="Z84" s="533"/>
      <c r="AA84" s="533"/>
      <c r="AB84" s="533"/>
      <c r="AC84" s="533"/>
      <c r="AD84" s="533"/>
      <c r="AE84" s="533"/>
      <c r="AF84" s="533"/>
      <c r="AG84" s="169"/>
      <c r="AH84" s="130"/>
      <c r="AI84" s="130"/>
      <c r="AJ84" s="130"/>
      <c r="AK84" s="130"/>
      <c r="AL84" s="130"/>
      <c r="AM84" s="130"/>
      <c r="AN84" s="130"/>
      <c r="AO84" s="130"/>
      <c r="AP84" s="130"/>
      <c r="AQ84" s="130"/>
      <c r="AR84" s="130"/>
      <c r="AS84" s="130"/>
      <c r="AT84" s="130"/>
      <c r="AU84" s="130"/>
      <c r="AV84" s="130"/>
      <c r="AW84" s="130"/>
      <c r="AX84" s="130"/>
      <c r="AY84" s="130"/>
      <c r="AZ84" s="130"/>
      <c r="BA84" s="130"/>
      <c r="BB84" s="130"/>
      <c r="BC84" s="130"/>
      <c r="BD84" s="130"/>
      <c r="BE84" s="130"/>
      <c r="BF84" s="130"/>
      <c r="BG84" s="130"/>
      <c r="BH84" s="130"/>
      <c r="BI84" s="130"/>
      <c r="BJ84" s="130"/>
      <c r="BK84" s="130"/>
      <c r="BL84" s="130"/>
      <c r="BM84" s="130"/>
      <c r="BN84" s="130"/>
      <c r="BO84" s="130"/>
      <c r="BP84" s="130"/>
      <c r="BQ84" s="130"/>
      <c r="BR84" s="130"/>
      <c r="BS84" s="130"/>
      <c r="BT84" s="130"/>
      <c r="BU84" s="130"/>
      <c r="BV84" s="130"/>
      <c r="BW84" s="577" t="str">
        <f>Auxiliar!G27</f>
        <v>Total de mensualidad en retiro: $ 38,552</v>
      </c>
      <c r="BX84" s="577"/>
      <c r="BY84" s="577"/>
      <c r="BZ84" s="577"/>
      <c r="CA84" s="577"/>
      <c r="CB84" s="577"/>
      <c r="CC84" s="577"/>
      <c r="CD84" s="577"/>
      <c r="CE84" s="577"/>
      <c r="CF84" s="577"/>
      <c r="CG84" s="577"/>
      <c r="CH84" s="577"/>
      <c r="CI84" s="577"/>
      <c r="CJ84" s="577"/>
      <c r="CK84" s="577"/>
      <c r="CL84" s="577"/>
      <c r="CM84" s="577"/>
      <c r="CN84" s="577"/>
      <c r="CO84" s="577"/>
      <c r="CP84" s="577"/>
      <c r="CQ84" s="577"/>
      <c r="CR84" s="577"/>
      <c r="CS84" s="577"/>
      <c r="CT84" s="577"/>
      <c r="CU84" s="577"/>
      <c r="CV84" s="577"/>
      <c r="CW84" s="577"/>
      <c r="CX84" s="577"/>
      <c r="CY84" s="577"/>
      <c r="CZ84" s="577"/>
      <c r="DA84" s="577"/>
      <c r="DB84" s="130"/>
      <c r="DC84" s="130"/>
      <c r="DD84" s="130"/>
      <c r="DE84" s="130"/>
      <c r="DF84" s="128"/>
      <c r="DG84" s="128"/>
    </row>
    <row r="85" spans="1:111" ht="24.95" customHeight="1" x14ac:dyDescent="0.25">
      <c r="A85" s="128"/>
      <c r="B85" s="128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30"/>
      <c r="AK85" s="130"/>
      <c r="AL85" s="130"/>
      <c r="AM85" s="130"/>
      <c r="AN85" s="130"/>
      <c r="AO85" s="130"/>
      <c r="AP85" s="130"/>
      <c r="AQ85" s="130"/>
      <c r="AR85" s="130"/>
      <c r="AS85" s="130"/>
      <c r="AT85" s="130"/>
      <c r="AU85" s="130"/>
      <c r="AV85" s="130"/>
      <c r="AW85" s="130"/>
      <c r="AX85" s="130"/>
      <c r="AY85" s="130"/>
      <c r="AZ85" s="130"/>
      <c r="BA85" s="130"/>
      <c r="BB85" s="130"/>
      <c r="BC85" s="130"/>
      <c r="BD85" s="130"/>
      <c r="BE85" s="130"/>
      <c r="BF85" s="130"/>
      <c r="BG85" s="130"/>
      <c r="BH85" s="130"/>
      <c r="BI85" s="130"/>
      <c r="BJ85" s="130"/>
      <c r="BK85" s="130"/>
      <c r="BL85" s="130"/>
      <c r="BM85" s="130"/>
      <c r="BN85" s="130"/>
      <c r="BO85" s="130"/>
      <c r="BP85" s="130"/>
      <c r="BQ85" s="130"/>
      <c r="BR85" s="130"/>
      <c r="BS85" s="130"/>
      <c r="BT85" s="130"/>
      <c r="BU85" s="130"/>
      <c r="BV85" s="130"/>
      <c r="BW85" s="577"/>
      <c r="BX85" s="577"/>
      <c r="BY85" s="577"/>
      <c r="BZ85" s="577"/>
      <c r="CA85" s="577"/>
      <c r="CB85" s="577"/>
      <c r="CC85" s="577"/>
      <c r="CD85" s="577"/>
      <c r="CE85" s="577"/>
      <c r="CF85" s="577"/>
      <c r="CG85" s="577"/>
      <c r="CH85" s="577"/>
      <c r="CI85" s="577"/>
      <c r="CJ85" s="577"/>
      <c r="CK85" s="577"/>
      <c r="CL85" s="577"/>
      <c r="CM85" s="577"/>
      <c r="CN85" s="577"/>
      <c r="CO85" s="577"/>
      <c r="CP85" s="577"/>
      <c r="CQ85" s="577"/>
      <c r="CR85" s="577"/>
      <c r="CS85" s="577"/>
      <c r="CT85" s="577"/>
      <c r="CU85" s="577"/>
      <c r="CV85" s="577"/>
      <c r="CW85" s="577"/>
      <c r="CX85" s="577"/>
      <c r="CY85" s="577"/>
      <c r="CZ85" s="577"/>
      <c r="DA85" s="577"/>
      <c r="DB85" s="130"/>
      <c r="DC85" s="130"/>
      <c r="DD85" s="130"/>
      <c r="DE85" s="130"/>
      <c r="DF85" s="128"/>
      <c r="DG85" s="128"/>
    </row>
    <row r="86" spans="1:111" ht="24.95" customHeight="1" x14ac:dyDescent="0.25">
      <c r="A86" s="128"/>
      <c r="B86" s="128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  <c r="AO86" s="130"/>
      <c r="AP86" s="130"/>
      <c r="AQ86" s="130"/>
      <c r="AR86" s="130"/>
      <c r="AS86" s="130"/>
      <c r="AT86" s="130"/>
      <c r="AU86" s="130"/>
      <c r="AV86" s="130"/>
      <c r="AW86" s="130"/>
      <c r="AX86" s="130"/>
      <c r="AY86" s="130"/>
      <c r="AZ86" s="130"/>
      <c r="BA86" s="130"/>
      <c r="BB86" s="130"/>
      <c r="BC86" s="130"/>
      <c r="BD86" s="130"/>
      <c r="BE86" s="130"/>
      <c r="BF86" s="130"/>
      <c r="BG86" s="130"/>
      <c r="BH86" s="130"/>
      <c r="BI86" s="130"/>
      <c r="BJ86" s="130"/>
      <c r="BK86" s="130"/>
      <c r="BL86" s="130"/>
      <c r="BM86" s="130"/>
      <c r="BN86" s="130"/>
      <c r="BO86" s="130"/>
      <c r="BP86" s="130"/>
      <c r="BQ86" s="130"/>
      <c r="BR86" s="130"/>
      <c r="BS86" s="130"/>
      <c r="BT86" s="130"/>
      <c r="BU86" s="130"/>
      <c r="BV86" s="130"/>
      <c r="BW86" s="130"/>
      <c r="BX86" s="130"/>
      <c r="BY86" s="130"/>
      <c r="BZ86" s="130"/>
      <c r="CA86" s="130"/>
      <c r="CB86" s="130"/>
      <c r="CC86" s="130"/>
      <c r="CD86" s="130"/>
      <c r="CE86" s="130"/>
      <c r="CF86" s="130"/>
      <c r="CG86" s="130"/>
      <c r="CH86" s="130"/>
      <c r="CI86" s="130"/>
      <c r="CJ86" s="130"/>
      <c r="CK86" s="130"/>
      <c r="CL86" s="130"/>
      <c r="CM86" s="130"/>
      <c r="CN86" s="130"/>
      <c r="CO86" s="130"/>
      <c r="CP86" s="130"/>
      <c r="CQ86" s="130"/>
      <c r="CR86" s="130"/>
      <c r="CS86" s="130"/>
      <c r="CT86" s="130"/>
      <c r="CU86" s="130"/>
      <c r="CV86" s="130"/>
      <c r="CW86" s="130"/>
      <c r="CX86" s="130"/>
      <c r="CY86" s="130"/>
      <c r="CZ86" s="130"/>
      <c r="DA86" s="130"/>
      <c r="DB86" s="130"/>
      <c r="DC86" s="130"/>
      <c r="DD86" s="130"/>
      <c r="DE86" s="130"/>
      <c r="DF86" s="128"/>
      <c r="DG86" s="128"/>
    </row>
    <row r="87" spans="1:111" ht="24.95" customHeight="1" x14ac:dyDescent="0.25">
      <c r="A87" s="128"/>
      <c r="B87" s="128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  <c r="AO87" s="130"/>
      <c r="AP87" s="130"/>
      <c r="AQ87" s="130"/>
      <c r="AR87" s="130"/>
      <c r="AS87" s="130"/>
      <c r="AT87" s="130"/>
      <c r="AU87" s="130"/>
      <c r="AV87" s="130"/>
      <c r="AW87" s="130"/>
      <c r="AX87" s="130"/>
      <c r="AY87" s="130"/>
      <c r="AZ87" s="130"/>
      <c r="BA87" s="130"/>
      <c r="BB87" s="130"/>
      <c r="BC87" s="130"/>
      <c r="BD87" s="130"/>
      <c r="BE87" s="130"/>
      <c r="BF87" s="130"/>
      <c r="BG87" s="130"/>
      <c r="BH87" s="130"/>
      <c r="BI87" s="130"/>
      <c r="BJ87" s="130"/>
      <c r="BK87" s="130"/>
      <c r="BL87" s="130"/>
      <c r="BM87" s="130"/>
      <c r="BN87" s="130"/>
      <c r="BO87" s="130"/>
      <c r="BP87" s="130"/>
      <c r="BQ87" s="130"/>
      <c r="BR87" s="130"/>
      <c r="BS87" s="130"/>
      <c r="BT87" s="130"/>
      <c r="BU87" s="130"/>
      <c r="BV87" s="130"/>
      <c r="BW87" s="130"/>
      <c r="BX87" s="130"/>
      <c r="BY87" s="130"/>
      <c r="BZ87" s="130"/>
      <c r="CA87" s="130"/>
      <c r="CB87" s="130"/>
      <c r="CC87" s="130"/>
      <c r="CD87" s="130"/>
      <c r="CE87" s="130"/>
      <c r="CF87" s="130"/>
      <c r="CG87" s="130"/>
      <c r="CH87" s="130"/>
      <c r="CI87" s="130"/>
      <c r="CJ87" s="130"/>
      <c r="CK87" s="130"/>
      <c r="CL87" s="130"/>
      <c r="CM87" s="130"/>
      <c r="CN87" s="130"/>
      <c r="CO87" s="130"/>
      <c r="CP87" s="130"/>
      <c r="CQ87" s="130"/>
      <c r="CR87" s="130"/>
      <c r="CS87" s="130"/>
      <c r="CT87" s="130"/>
      <c r="CU87" s="130"/>
      <c r="CV87" s="130"/>
      <c r="CW87" s="130"/>
      <c r="CX87" s="130"/>
      <c r="CY87" s="130"/>
      <c r="CZ87" s="130"/>
      <c r="DA87" s="130"/>
      <c r="DB87" s="130"/>
      <c r="DC87" s="130"/>
      <c r="DD87" s="130"/>
      <c r="DE87" s="130"/>
      <c r="DF87" s="128"/>
      <c r="DG87" s="128"/>
    </row>
    <row r="88" spans="1:111" ht="24.95" customHeight="1" x14ac:dyDescent="0.25">
      <c r="A88" s="128"/>
      <c r="B88" s="128"/>
      <c r="C88" s="130"/>
      <c r="D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U88" s="141"/>
      <c r="V88" s="141"/>
      <c r="W88" s="141"/>
      <c r="AH88" s="130"/>
      <c r="AI88" s="130"/>
      <c r="AJ88" s="130"/>
      <c r="AK88" s="130"/>
      <c r="AL88" s="130"/>
      <c r="AM88" s="130"/>
      <c r="AN88" s="130"/>
      <c r="AO88" s="130"/>
      <c r="AP88" s="130"/>
      <c r="AQ88" s="130"/>
      <c r="AR88" s="130"/>
      <c r="AS88" s="130"/>
      <c r="AT88" s="130"/>
      <c r="AU88" s="130"/>
      <c r="AV88" s="130"/>
      <c r="AW88" s="130"/>
      <c r="AX88" s="130"/>
      <c r="AY88" s="130"/>
      <c r="AZ88" s="130"/>
      <c r="BA88" s="130"/>
      <c r="BB88" s="130"/>
      <c r="BC88" s="130"/>
      <c r="BD88" s="130"/>
      <c r="BE88" s="130"/>
      <c r="BF88" s="130"/>
      <c r="BG88" s="130"/>
      <c r="BH88" s="130"/>
      <c r="BI88" s="130"/>
      <c r="BJ88" s="130"/>
      <c r="BK88" s="130"/>
      <c r="BL88" s="130"/>
      <c r="BM88" s="130"/>
      <c r="BN88" s="130"/>
      <c r="BO88" s="130"/>
      <c r="BP88" s="130"/>
      <c r="BQ88" s="130"/>
      <c r="BR88" s="130"/>
      <c r="BS88" s="130"/>
      <c r="BT88" s="130"/>
      <c r="BU88" s="130"/>
      <c r="BV88" s="130"/>
      <c r="DB88" s="130"/>
      <c r="DC88" s="130"/>
      <c r="DD88" s="130"/>
      <c r="DE88" s="130"/>
      <c r="DF88" s="128"/>
      <c r="DG88" s="128"/>
    </row>
    <row r="89" spans="1:111" ht="24.95" customHeight="1" x14ac:dyDescent="0.25">
      <c r="A89" s="128"/>
      <c r="B89" s="128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AG89" s="130"/>
      <c r="AH89" s="130"/>
      <c r="AI89" s="130"/>
      <c r="AJ89" s="130"/>
      <c r="AK89" s="130"/>
      <c r="AL89" s="130"/>
      <c r="AM89" s="130"/>
      <c r="AN89" s="130"/>
      <c r="AO89" s="130"/>
      <c r="AP89" s="130"/>
      <c r="AQ89" s="130"/>
      <c r="AR89" s="130"/>
      <c r="AS89" s="130"/>
      <c r="AT89" s="130"/>
      <c r="AU89" s="130"/>
      <c r="AV89" s="130"/>
      <c r="AW89" s="130"/>
      <c r="AX89" s="130"/>
      <c r="AY89" s="130"/>
      <c r="AZ89" s="130"/>
      <c r="BA89" s="130"/>
      <c r="BB89" s="130"/>
      <c r="BC89" s="130"/>
      <c r="BD89" s="130"/>
      <c r="BE89" s="130"/>
      <c r="BF89" s="130"/>
      <c r="BG89" s="130"/>
      <c r="BH89" s="130"/>
      <c r="BI89" s="130"/>
      <c r="BJ89" s="130"/>
      <c r="BK89" s="130"/>
      <c r="BL89" s="130"/>
      <c r="BM89" s="130"/>
      <c r="BN89" s="130"/>
      <c r="BO89" s="130"/>
      <c r="BP89" s="130"/>
      <c r="BQ89" s="130"/>
      <c r="BR89" s="130"/>
      <c r="BS89" s="130"/>
      <c r="BT89" s="130"/>
      <c r="BU89" s="130"/>
      <c r="BV89" s="130"/>
      <c r="DB89" s="130"/>
      <c r="DC89" s="130"/>
      <c r="DD89" s="130"/>
      <c r="DE89" s="130"/>
      <c r="DF89" s="128"/>
      <c r="DG89" s="128"/>
    </row>
    <row r="90" spans="1:111" x14ac:dyDescent="0.25">
      <c r="A90" s="128"/>
      <c r="B90" s="128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  <c r="AG90" s="130"/>
      <c r="AH90" s="130"/>
      <c r="AI90" s="130"/>
      <c r="AJ90" s="130"/>
      <c r="AK90" s="130"/>
      <c r="AL90" s="130"/>
      <c r="AM90" s="130"/>
      <c r="AN90" s="130"/>
      <c r="AO90" s="130"/>
      <c r="AP90" s="130"/>
      <c r="AQ90" s="130"/>
      <c r="AR90" s="130"/>
      <c r="AS90" s="130"/>
      <c r="AT90" s="130"/>
      <c r="AU90" s="130"/>
      <c r="AV90" s="130"/>
      <c r="AW90" s="130"/>
      <c r="AX90" s="130"/>
      <c r="AY90" s="130"/>
      <c r="AZ90" s="130"/>
      <c r="BA90" s="130"/>
      <c r="BB90" s="130"/>
      <c r="BC90" s="130"/>
      <c r="BD90" s="130"/>
      <c r="BE90" s="130"/>
      <c r="BF90" s="130"/>
      <c r="BG90" s="130"/>
      <c r="BH90" s="130"/>
      <c r="BI90" s="130"/>
      <c r="BJ90" s="130"/>
      <c r="BK90" s="130"/>
      <c r="BL90" s="130"/>
      <c r="BM90" s="130"/>
      <c r="BN90" s="130"/>
      <c r="BO90" s="130"/>
      <c r="BP90" s="130"/>
      <c r="BQ90" s="130"/>
      <c r="BR90" s="130"/>
      <c r="BS90" s="130"/>
      <c r="BT90" s="130"/>
      <c r="BU90" s="130"/>
      <c r="BV90" s="130"/>
      <c r="BW90" s="130"/>
      <c r="BX90" s="130"/>
      <c r="BY90" s="130"/>
      <c r="BZ90" s="130"/>
      <c r="CA90" s="130"/>
      <c r="CB90" s="130"/>
      <c r="CC90" s="130"/>
      <c r="CD90" s="130"/>
      <c r="CE90" s="130"/>
      <c r="CF90" s="130"/>
      <c r="CG90" s="130"/>
      <c r="CH90" s="130"/>
      <c r="CI90" s="130"/>
      <c r="CJ90" s="130"/>
      <c r="CK90" s="130"/>
      <c r="CL90" s="130"/>
      <c r="CM90" s="130"/>
      <c r="CN90" s="130"/>
      <c r="CO90" s="130"/>
      <c r="CP90" s="130"/>
      <c r="CQ90" s="130"/>
      <c r="CR90" s="130"/>
      <c r="CS90" s="130"/>
      <c r="CT90" s="130"/>
      <c r="CU90" s="130"/>
      <c r="CV90" s="130"/>
      <c r="CW90" s="130"/>
      <c r="CX90" s="130"/>
      <c r="CY90" s="130"/>
      <c r="CZ90" s="130"/>
      <c r="DA90" s="130"/>
      <c r="DB90" s="130"/>
      <c r="DC90" s="130"/>
      <c r="DD90" s="130"/>
      <c r="DE90" s="130"/>
      <c r="DF90" s="128"/>
      <c r="DG90" s="128"/>
    </row>
    <row r="91" spans="1:111" x14ac:dyDescent="0.25">
      <c r="A91" s="128"/>
      <c r="B91" s="128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30"/>
      <c r="AI91" s="130"/>
      <c r="AJ91" s="130"/>
      <c r="AK91" s="130"/>
      <c r="AL91" s="130"/>
      <c r="AM91" s="130"/>
      <c r="AN91" s="130"/>
      <c r="AO91" s="130"/>
      <c r="AP91" s="130"/>
      <c r="AQ91" s="130"/>
      <c r="AR91" s="130"/>
      <c r="AS91" s="130"/>
      <c r="AT91" s="130"/>
      <c r="AU91" s="130"/>
      <c r="AV91" s="130"/>
      <c r="AW91" s="130"/>
      <c r="AX91" s="130"/>
      <c r="AY91" s="130"/>
      <c r="AZ91" s="130"/>
      <c r="BA91" s="130"/>
      <c r="BB91" s="130"/>
      <c r="BC91" s="130"/>
      <c r="BD91" s="130"/>
      <c r="BE91" s="130"/>
      <c r="BF91" s="130"/>
      <c r="BG91" s="130"/>
      <c r="BH91" s="130"/>
      <c r="BI91" s="130"/>
      <c r="BJ91" s="130"/>
      <c r="BK91" s="130"/>
      <c r="BL91" s="130"/>
      <c r="BM91" s="130"/>
      <c r="BN91" s="130"/>
      <c r="BO91" s="130"/>
      <c r="BP91" s="130"/>
      <c r="BQ91" s="130"/>
      <c r="BR91" s="130"/>
      <c r="BS91" s="130"/>
      <c r="BT91" s="130"/>
      <c r="BU91" s="130"/>
      <c r="BV91" s="130"/>
      <c r="BW91" s="130"/>
      <c r="BX91" s="130"/>
      <c r="BY91" s="130"/>
      <c r="BZ91" s="130"/>
      <c r="CA91" s="130"/>
      <c r="CB91" s="130"/>
      <c r="CC91" s="130"/>
      <c r="CD91" s="130"/>
      <c r="CE91" s="130"/>
      <c r="CF91" s="130"/>
      <c r="CG91" s="130"/>
      <c r="CH91" s="130"/>
      <c r="CI91" s="130"/>
      <c r="CJ91" s="130"/>
      <c r="CK91" s="130"/>
      <c r="CL91" s="130"/>
      <c r="CM91" s="130"/>
      <c r="CN91" s="130"/>
      <c r="CO91" s="130"/>
      <c r="CP91" s="130"/>
      <c r="CQ91" s="130"/>
      <c r="CR91" s="130"/>
      <c r="CS91" s="130"/>
      <c r="CT91" s="130"/>
      <c r="CU91" s="130"/>
      <c r="CV91" s="130"/>
      <c r="CW91" s="130"/>
      <c r="CX91" s="130"/>
      <c r="CY91" s="130"/>
      <c r="CZ91" s="130"/>
      <c r="DA91" s="130"/>
      <c r="DB91" s="130"/>
      <c r="DC91" s="130"/>
      <c r="DD91" s="130"/>
      <c r="DE91" s="130"/>
      <c r="DF91" s="128"/>
      <c r="DG91" s="128"/>
    </row>
    <row r="92" spans="1:111" x14ac:dyDescent="0.25">
      <c r="A92" s="128"/>
      <c r="B92" s="128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  <c r="AG92" s="130"/>
      <c r="AH92" s="130"/>
      <c r="AI92" s="130"/>
      <c r="AJ92" s="130"/>
      <c r="AK92" s="130"/>
      <c r="AL92" s="130"/>
      <c r="AM92" s="130"/>
      <c r="AN92" s="130"/>
      <c r="AO92" s="130"/>
      <c r="AP92" s="130"/>
      <c r="AQ92" s="130"/>
      <c r="AR92" s="130"/>
      <c r="AS92" s="130"/>
      <c r="AT92" s="130"/>
      <c r="AU92" s="130"/>
      <c r="AV92" s="130"/>
      <c r="AW92" s="130"/>
      <c r="AX92" s="130"/>
      <c r="AY92" s="130"/>
      <c r="AZ92" s="130"/>
      <c r="BA92" s="130"/>
      <c r="BB92" s="130"/>
      <c r="BC92" s="130"/>
      <c r="BD92" s="130"/>
      <c r="BE92" s="130"/>
      <c r="BF92" s="130"/>
      <c r="BG92" s="130"/>
      <c r="BH92" s="130"/>
      <c r="BI92" s="130"/>
      <c r="BJ92" s="130"/>
      <c r="BK92" s="130"/>
      <c r="BL92" s="130"/>
      <c r="BM92" s="130"/>
      <c r="BN92" s="130"/>
      <c r="BO92" s="130"/>
      <c r="BP92" s="130"/>
      <c r="BQ92" s="130"/>
      <c r="BR92" s="130"/>
      <c r="BS92" s="130"/>
      <c r="BT92" s="130"/>
      <c r="BU92" s="130"/>
      <c r="BV92" s="130"/>
      <c r="BW92" s="130"/>
      <c r="BX92" s="130"/>
      <c r="BY92" s="130"/>
      <c r="BZ92" s="130"/>
      <c r="CA92" s="130"/>
      <c r="CB92" s="130"/>
      <c r="CC92" s="130"/>
      <c r="CD92" s="130"/>
      <c r="CE92" s="130"/>
      <c r="CF92" s="130"/>
      <c r="CG92" s="130"/>
      <c r="CH92" s="130"/>
      <c r="CI92" s="130"/>
      <c r="CJ92" s="130"/>
      <c r="CK92" s="130"/>
      <c r="CL92" s="130"/>
      <c r="CM92" s="130"/>
      <c r="CN92" s="130"/>
      <c r="CO92" s="130"/>
      <c r="CP92" s="130"/>
      <c r="CQ92" s="130"/>
      <c r="CR92" s="130"/>
      <c r="CS92" s="130"/>
      <c r="CT92" s="130"/>
      <c r="CU92" s="130"/>
      <c r="CV92" s="130"/>
      <c r="CW92" s="130"/>
      <c r="CX92" s="130"/>
      <c r="CY92" s="130"/>
      <c r="CZ92" s="130"/>
      <c r="DA92" s="130"/>
      <c r="DB92" s="130"/>
      <c r="DC92" s="130"/>
      <c r="DD92" s="130"/>
      <c r="DE92" s="130"/>
      <c r="DF92" s="128"/>
      <c r="DG92" s="128"/>
    </row>
    <row r="93" spans="1:111" x14ac:dyDescent="0.25">
      <c r="A93" s="128"/>
      <c r="B93" s="128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  <c r="AT93" s="130"/>
      <c r="AU93" s="130"/>
      <c r="AV93" s="130"/>
      <c r="AW93" s="130"/>
      <c r="AX93" s="130"/>
      <c r="AY93" s="130"/>
      <c r="AZ93" s="130"/>
      <c r="BA93" s="130"/>
      <c r="BB93" s="130"/>
      <c r="BC93" s="130"/>
      <c r="BD93" s="130"/>
      <c r="BE93" s="130"/>
      <c r="BF93" s="130"/>
      <c r="BG93" s="130"/>
      <c r="BH93" s="130"/>
      <c r="BI93" s="130"/>
      <c r="BJ93" s="130"/>
      <c r="BK93" s="130"/>
      <c r="BL93" s="130"/>
      <c r="BM93" s="130"/>
      <c r="BN93" s="130"/>
      <c r="BO93" s="130"/>
      <c r="BP93" s="130"/>
      <c r="BQ93" s="130"/>
      <c r="BR93" s="130"/>
      <c r="BS93" s="130"/>
      <c r="BT93" s="130"/>
      <c r="BU93" s="130"/>
      <c r="BV93" s="130"/>
      <c r="BW93" s="130"/>
      <c r="BX93" s="130"/>
      <c r="BY93" s="130"/>
      <c r="BZ93" s="130"/>
      <c r="CA93" s="130"/>
      <c r="CB93" s="130"/>
      <c r="CC93" s="130"/>
      <c r="CD93" s="130"/>
      <c r="CE93" s="130"/>
      <c r="CF93" s="130"/>
      <c r="CG93" s="130"/>
      <c r="CH93" s="130"/>
      <c r="CI93" s="130"/>
      <c r="CJ93" s="130"/>
      <c r="CK93" s="130"/>
      <c r="CL93" s="130"/>
      <c r="CM93" s="130"/>
      <c r="CN93" s="130"/>
      <c r="CO93" s="130"/>
      <c r="CP93" s="130"/>
      <c r="CQ93" s="130"/>
      <c r="CR93" s="130"/>
      <c r="CS93" s="130"/>
      <c r="CT93" s="130"/>
      <c r="CU93" s="130"/>
      <c r="CV93" s="130"/>
      <c r="CW93" s="130"/>
      <c r="CX93" s="130"/>
      <c r="CY93" s="130"/>
      <c r="CZ93" s="130"/>
      <c r="DA93" s="130"/>
      <c r="DB93" s="130"/>
      <c r="DC93" s="130"/>
      <c r="DD93" s="130"/>
      <c r="DE93" s="130"/>
      <c r="DF93" s="128"/>
      <c r="DG93" s="128"/>
    </row>
    <row r="94" spans="1:111" x14ac:dyDescent="0.25">
      <c r="A94" s="128"/>
      <c r="B94" s="128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  <c r="AG94" s="130"/>
      <c r="AH94" s="130"/>
      <c r="AI94" s="130"/>
      <c r="AJ94" s="130"/>
      <c r="AK94" s="130"/>
      <c r="AL94" s="130"/>
      <c r="AM94" s="130"/>
      <c r="AN94" s="130"/>
      <c r="AO94" s="130"/>
      <c r="AP94" s="130"/>
      <c r="AQ94" s="130"/>
      <c r="AR94" s="130"/>
      <c r="AS94" s="130"/>
      <c r="AT94" s="130"/>
      <c r="AU94" s="130"/>
      <c r="AV94" s="130"/>
      <c r="AW94" s="130"/>
      <c r="AX94" s="130"/>
      <c r="AY94" s="130"/>
      <c r="AZ94" s="130"/>
      <c r="BA94" s="130"/>
      <c r="BB94" s="130"/>
      <c r="BC94" s="130"/>
      <c r="BD94" s="130"/>
      <c r="BE94" s="130"/>
      <c r="BF94" s="130"/>
      <c r="BG94" s="130"/>
      <c r="BH94" s="130"/>
      <c r="BI94" s="130"/>
      <c r="BJ94" s="130"/>
      <c r="BK94" s="130"/>
      <c r="BL94" s="130"/>
      <c r="BM94" s="130"/>
      <c r="BN94" s="130"/>
      <c r="BO94" s="130"/>
      <c r="BP94" s="130"/>
      <c r="BQ94" s="130"/>
      <c r="BR94" s="130"/>
      <c r="BS94" s="130"/>
      <c r="BT94" s="130"/>
      <c r="BU94" s="130"/>
      <c r="BV94" s="130"/>
      <c r="BW94" s="130"/>
      <c r="BX94" s="130"/>
      <c r="BY94" s="130"/>
      <c r="BZ94" s="130"/>
      <c r="CA94" s="130"/>
      <c r="CB94" s="130"/>
      <c r="CC94" s="130"/>
      <c r="CD94" s="130"/>
      <c r="CE94" s="130"/>
      <c r="CF94" s="130"/>
      <c r="CG94" s="130"/>
      <c r="CH94" s="130"/>
      <c r="CI94" s="130"/>
      <c r="CJ94" s="130"/>
      <c r="CK94" s="130"/>
      <c r="CL94" s="130"/>
      <c r="CM94" s="130"/>
      <c r="CN94" s="130"/>
      <c r="CO94" s="130"/>
      <c r="CP94" s="130"/>
      <c r="CQ94" s="130"/>
      <c r="CR94" s="130"/>
      <c r="CS94" s="130"/>
      <c r="CT94" s="130"/>
      <c r="CU94" s="130"/>
      <c r="CV94" s="130"/>
      <c r="CW94" s="130"/>
      <c r="CX94" s="130"/>
      <c r="CY94" s="130"/>
      <c r="CZ94" s="130"/>
      <c r="DA94" s="130"/>
      <c r="DB94" s="130"/>
      <c r="DC94" s="130"/>
      <c r="DD94" s="130"/>
      <c r="DE94" s="130"/>
      <c r="DF94" s="128"/>
      <c r="DG94" s="128"/>
    </row>
    <row r="95" spans="1:111" x14ac:dyDescent="0.25">
      <c r="A95" s="128"/>
      <c r="B95" s="128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X95" s="130"/>
      <c r="AY95" s="130"/>
      <c r="AZ95" s="130"/>
      <c r="BA95" s="130"/>
      <c r="BB95" s="130"/>
      <c r="BC95" s="130"/>
      <c r="BD95" s="130"/>
      <c r="BE95" s="130"/>
      <c r="BF95" s="130"/>
      <c r="BG95" s="130"/>
      <c r="BH95" s="130"/>
      <c r="BI95" s="130"/>
      <c r="BJ95" s="130"/>
      <c r="BK95" s="130"/>
      <c r="BL95" s="130"/>
      <c r="BM95" s="130"/>
      <c r="BN95" s="130"/>
      <c r="BO95" s="130"/>
      <c r="BP95" s="130"/>
      <c r="BQ95" s="130"/>
      <c r="BR95" s="130"/>
      <c r="BS95" s="130"/>
      <c r="BT95" s="130"/>
      <c r="BU95" s="130"/>
      <c r="BV95" s="130"/>
      <c r="BW95" s="130"/>
      <c r="BX95" s="130"/>
      <c r="BY95" s="130"/>
      <c r="BZ95" s="130"/>
      <c r="CA95" s="130"/>
      <c r="CB95" s="130"/>
      <c r="CC95" s="130"/>
      <c r="CD95" s="130"/>
      <c r="CE95" s="130"/>
      <c r="CF95" s="130"/>
      <c r="CG95" s="130"/>
      <c r="CH95" s="130"/>
      <c r="CI95" s="130"/>
      <c r="CJ95" s="130"/>
      <c r="CK95" s="130"/>
      <c r="CL95" s="130"/>
      <c r="CM95" s="130"/>
      <c r="CN95" s="130"/>
      <c r="CO95" s="130"/>
      <c r="CP95" s="130"/>
      <c r="CQ95" s="130"/>
      <c r="CR95" s="130"/>
      <c r="CS95" s="130"/>
      <c r="CT95" s="130"/>
      <c r="CU95" s="130"/>
      <c r="CV95" s="130"/>
      <c r="CW95" s="130"/>
      <c r="CX95" s="130"/>
      <c r="CY95" s="130"/>
      <c r="CZ95" s="130"/>
      <c r="DA95" s="130"/>
      <c r="DB95" s="130"/>
      <c r="DC95" s="130"/>
      <c r="DD95" s="130"/>
      <c r="DE95" s="130"/>
      <c r="DF95" s="128"/>
      <c r="DG95" s="128"/>
    </row>
    <row r="96" spans="1:111" x14ac:dyDescent="0.25">
      <c r="A96" s="128"/>
      <c r="B96" s="128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  <c r="AG96" s="130"/>
      <c r="AH96" s="130"/>
      <c r="AI96" s="130"/>
      <c r="AJ96" s="130"/>
      <c r="AK96" s="130"/>
      <c r="AL96" s="130"/>
      <c r="AM96" s="130"/>
      <c r="AN96" s="130"/>
      <c r="AO96" s="130"/>
      <c r="AP96" s="130"/>
      <c r="AQ96" s="130"/>
      <c r="AR96" s="130"/>
      <c r="AS96" s="130"/>
      <c r="AT96" s="130"/>
      <c r="AU96" s="130"/>
      <c r="AV96" s="130"/>
      <c r="AW96" s="130"/>
      <c r="AX96" s="130"/>
      <c r="AY96" s="130"/>
      <c r="AZ96" s="130"/>
      <c r="BA96" s="130"/>
      <c r="BB96" s="130"/>
      <c r="BC96" s="130"/>
      <c r="BD96" s="130"/>
      <c r="BE96" s="130"/>
      <c r="BF96" s="130"/>
      <c r="BG96" s="130"/>
      <c r="BH96" s="130"/>
      <c r="BI96" s="130"/>
      <c r="BJ96" s="130"/>
      <c r="BK96" s="130"/>
      <c r="BL96" s="130"/>
      <c r="BM96" s="130"/>
      <c r="BN96" s="130"/>
      <c r="BO96" s="130"/>
      <c r="BP96" s="130"/>
      <c r="BQ96" s="130"/>
      <c r="BR96" s="130"/>
      <c r="BS96" s="130"/>
      <c r="BT96" s="130"/>
      <c r="BU96" s="130"/>
      <c r="BV96" s="130"/>
      <c r="BW96" s="130"/>
      <c r="BX96" s="130"/>
      <c r="BY96" s="130"/>
      <c r="BZ96" s="130"/>
      <c r="CA96" s="130"/>
      <c r="CB96" s="130"/>
      <c r="CC96" s="130"/>
      <c r="CD96" s="130"/>
      <c r="CE96" s="130"/>
      <c r="CF96" s="130"/>
      <c r="CG96" s="130"/>
      <c r="CH96" s="130"/>
      <c r="CI96" s="130"/>
      <c r="CJ96" s="130"/>
      <c r="CK96" s="130"/>
      <c r="CL96" s="130"/>
      <c r="CM96" s="130"/>
      <c r="CN96" s="130"/>
      <c r="CO96" s="130"/>
      <c r="CP96" s="130"/>
      <c r="CQ96" s="130"/>
      <c r="CR96" s="130"/>
      <c r="CS96" s="130"/>
      <c r="CT96" s="130"/>
      <c r="CU96" s="130"/>
      <c r="CV96" s="130"/>
      <c r="CW96" s="130"/>
      <c r="CX96" s="130"/>
      <c r="CY96" s="130"/>
      <c r="CZ96" s="130"/>
      <c r="DA96" s="130"/>
      <c r="DB96" s="130"/>
      <c r="DC96" s="130"/>
      <c r="DD96" s="130"/>
      <c r="DE96" s="130"/>
      <c r="DF96" s="128"/>
      <c r="DG96" s="128"/>
    </row>
    <row r="97" spans="1:111" x14ac:dyDescent="0.25">
      <c r="A97" s="128"/>
      <c r="B97" s="128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  <c r="AG97" s="130"/>
      <c r="AH97" s="130"/>
      <c r="AI97" s="130"/>
      <c r="AJ97" s="130"/>
      <c r="AK97" s="130"/>
      <c r="AL97" s="130"/>
      <c r="AM97" s="130"/>
      <c r="AN97" s="130"/>
      <c r="AO97" s="130"/>
      <c r="AP97" s="130"/>
      <c r="AQ97" s="130"/>
      <c r="AR97" s="130"/>
      <c r="AS97" s="130"/>
      <c r="AT97" s="130"/>
      <c r="AU97" s="130"/>
      <c r="AV97" s="130"/>
      <c r="AW97" s="130"/>
      <c r="AX97" s="130"/>
      <c r="AY97" s="130"/>
      <c r="AZ97" s="130"/>
      <c r="BA97" s="130"/>
      <c r="BB97" s="130"/>
      <c r="BC97" s="130"/>
      <c r="BD97" s="130"/>
      <c r="BE97" s="130"/>
      <c r="BF97" s="130"/>
      <c r="BG97" s="130"/>
      <c r="BH97" s="130"/>
      <c r="BI97" s="130"/>
      <c r="BJ97" s="130"/>
      <c r="BK97" s="130"/>
      <c r="BL97" s="130"/>
      <c r="BM97" s="130"/>
      <c r="BN97" s="130"/>
      <c r="BO97" s="130"/>
      <c r="BP97" s="130"/>
      <c r="BQ97" s="130"/>
      <c r="BR97" s="130"/>
      <c r="BS97" s="130"/>
      <c r="BT97" s="130"/>
      <c r="BU97" s="130"/>
      <c r="BV97" s="130"/>
      <c r="BW97" s="130"/>
      <c r="BX97" s="130"/>
      <c r="BY97" s="130"/>
      <c r="BZ97" s="130"/>
      <c r="CA97" s="130"/>
      <c r="CB97" s="130"/>
      <c r="CC97" s="130"/>
      <c r="CD97" s="130"/>
      <c r="CE97" s="130"/>
      <c r="CF97" s="130"/>
      <c r="CG97" s="130"/>
      <c r="CH97" s="130"/>
      <c r="CI97" s="130"/>
      <c r="CJ97" s="130"/>
      <c r="CK97" s="130"/>
      <c r="CL97" s="130"/>
      <c r="CM97" s="130"/>
      <c r="CN97" s="130"/>
      <c r="CO97" s="130"/>
      <c r="CP97" s="130"/>
      <c r="CQ97" s="130"/>
      <c r="CR97" s="130"/>
      <c r="CS97" s="130"/>
      <c r="CT97" s="130"/>
      <c r="CU97" s="130"/>
      <c r="CV97" s="130"/>
      <c r="CW97" s="130"/>
      <c r="CX97" s="130"/>
      <c r="CY97" s="130"/>
      <c r="CZ97" s="130"/>
      <c r="DA97" s="130"/>
      <c r="DB97" s="130"/>
      <c r="DC97" s="130"/>
      <c r="DD97" s="130"/>
      <c r="DE97" s="130"/>
      <c r="DF97" s="128"/>
      <c r="DG97" s="128"/>
    </row>
    <row r="98" spans="1:111" x14ac:dyDescent="0.25">
      <c r="A98" s="128"/>
      <c r="B98" s="128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  <c r="AH98" s="130"/>
      <c r="AI98" s="130"/>
      <c r="AJ98" s="130"/>
      <c r="AK98" s="130"/>
      <c r="AL98" s="130"/>
      <c r="AM98" s="130"/>
      <c r="AN98" s="130"/>
      <c r="AO98" s="130"/>
      <c r="AP98" s="130"/>
      <c r="AQ98" s="130"/>
      <c r="AR98" s="130"/>
      <c r="AS98" s="130"/>
      <c r="AT98" s="130"/>
      <c r="AU98" s="130"/>
      <c r="AV98" s="130"/>
      <c r="AW98" s="130"/>
      <c r="AX98" s="130"/>
      <c r="AY98" s="130"/>
      <c r="AZ98" s="130"/>
      <c r="BA98" s="130"/>
      <c r="BB98" s="130"/>
      <c r="BC98" s="130"/>
      <c r="BD98" s="130"/>
      <c r="BE98" s="130"/>
      <c r="BF98" s="130"/>
      <c r="BG98" s="130"/>
      <c r="BH98" s="130"/>
      <c r="BI98" s="130"/>
      <c r="BJ98" s="130"/>
      <c r="BK98" s="130"/>
      <c r="BL98" s="130"/>
      <c r="BM98" s="130"/>
      <c r="BN98" s="130"/>
      <c r="BO98" s="130"/>
      <c r="BP98" s="130"/>
      <c r="BQ98" s="130"/>
      <c r="BR98" s="130"/>
      <c r="BS98" s="130"/>
      <c r="BT98" s="130"/>
      <c r="BU98" s="130"/>
      <c r="BV98" s="130"/>
      <c r="BW98" s="130"/>
      <c r="BX98" s="130"/>
      <c r="BY98" s="130"/>
      <c r="BZ98" s="130"/>
      <c r="CA98" s="130"/>
      <c r="CB98" s="130"/>
      <c r="CC98" s="130"/>
      <c r="CD98" s="130"/>
      <c r="CE98" s="130"/>
      <c r="CF98" s="130"/>
      <c r="CG98" s="130"/>
      <c r="CH98" s="130"/>
      <c r="CI98" s="130"/>
      <c r="CJ98" s="130"/>
      <c r="CK98" s="130"/>
      <c r="CL98" s="130"/>
      <c r="CM98" s="130"/>
      <c r="CN98" s="130"/>
      <c r="CO98" s="130"/>
      <c r="CP98" s="130"/>
      <c r="CQ98" s="130"/>
      <c r="CR98" s="130"/>
      <c r="CS98" s="130"/>
      <c r="CT98" s="130"/>
      <c r="CU98" s="130"/>
      <c r="CV98" s="130"/>
      <c r="CW98" s="130"/>
      <c r="CX98" s="130"/>
      <c r="CY98" s="130"/>
      <c r="CZ98" s="130"/>
      <c r="DA98" s="130"/>
      <c r="DB98" s="130"/>
      <c r="DC98" s="130"/>
      <c r="DD98" s="130"/>
      <c r="DE98" s="130"/>
      <c r="DF98" s="128"/>
      <c r="DG98" s="128"/>
    </row>
    <row r="99" spans="1:111" x14ac:dyDescent="0.25">
      <c r="A99" s="128"/>
      <c r="B99" s="128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  <c r="AT99" s="130"/>
      <c r="AU99" s="130"/>
      <c r="AV99" s="130"/>
      <c r="AW99" s="130"/>
      <c r="AX99" s="130"/>
      <c r="AY99" s="130"/>
      <c r="AZ99" s="130"/>
      <c r="BA99" s="130"/>
      <c r="BB99" s="130"/>
      <c r="BC99" s="130"/>
      <c r="BD99" s="130"/>
      <c r="BE99" s="130"/>
      <c r="BF99" s="130"/>
      <c r="BG99" s="130"/>
      <c r="BH99" s="130"/>
      <c r="BI99" s="130"/>
      <c r="BJ99" s="130"/>
      <c r="BK99" s="130"/>
      <c r="BL99" s="130"/>
      <c r="BM99" s="130"/>
      <c r="BN99" s="130"/>
      <c r="BO99" s="130"/>
      <c r="BP99" s="130"/>
      <c r="BQ99" s="130"/>
      <c r="BR99" s="130"/>
      <c r="BS99" s="130"/>
      <c r="BT99" s="130"/>
      <c r="BU99" s="130"/>
      <c r="BV99" s="130"/>
      <c r="BW99" s="130"/>
      <c r="BX99" s="130"/>
      <c r="BY99" s="130"/>
      <c r="BZ99" s="130"/>
      <c r="CA99" s="130"/>
      <c r="CB99" s="130"/>
      <c r="CC99" s="130"/>
      <c r="CD99" s="130"/>
      <c r="CE99" s="130"/>
      <c r="CF99" s="130"/>
      <c r="CG99" s="130"/>
      <c r="CH99" s="130"/>
      <c r="CI99" s="130"/>
      <c r="CJ99" s="130"/>
      <c r="CK99" s="130"/>
      <c r="CL99" s="130"/>
      <c r="CM99" s="130"/>
      <c r="CN99" s="130"/>
      <c r="CO99" s="130"/>
      <c r="CP99" s="130"/>
      <c r="CQ99" s="130"/>
      <c r="CR99" s="130"/>
      <c r="CS99" s="130"/>
      <c r="CT99" s="130"/>
      <c r="CU99" s="130"/>
      <c r="CV99" s="130"/>
      <c r="CW99" s="130"/>
      <c r="CX99" s="130"/>
      <c r="CY99" s="130"/>
      <c r="CZ99" s="130"/>
      <c r="DA99" s="130"/>
      <c r="DB99" s="130"/>
      <c r="DC99" s="130"/>
      <c r="DD99" s="130"/>
      <c r="DE99" s="130"/>
      <c r="DF99" s="128"/>
      <c r="DG99" s="128"/>
    </row>
    <row r="100" spans="1:111" ht="24.95" customHeight="1" x14ac:dyDescent="0.25">
      <c r="A100" s="128"/>
      <c r="B100" s="128"/>
      <c r="C100" s="130"/>
      <c r="D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30"/>
      <c r="AT100" s="130"/>
      <c r="AU100" s="130"/>
      <c r="AV100" s="130"/>
      <c r="AW100" s="130"/>
      <c r="AX100" s="130"/>
      <c r="AY100" s="130"/>
      <c r="AZ100" s="130"/>
      <c r="BA100" s="130"/>
      <c r="BB100" s="130"/>
      <c r="BC100" s="130"/>
      <c r="BD100" s="130"/>
      <c r="BE100" s="130"/>
      <c r="BF100" s="130"/>
      <c r="BG100" s="130"/>
      <c r="BH100" s="130"/>
      <c r="BI100" s="130"/>
      <c r="BJ100" s="130"/>
      <c r="BK100" s="130"/>
      <c r="BL100" s="130"/>
      <c r="BM100" s="130"/>
      <c r="BN100" s="130"/>
      <c r="BO100" s="130"/>
      <c r="BP100" s="130"/>
      <c r="BQ100" s="130"/>
      <c r="BR100" s="130"/>
      <c r="BS100" s="130"/>
      <c r="BT100" s="130"/>
      <c r="BU100" s="130"/>
      <c r="BV100" s="130"/>
      <c r="BW100" s="130"/>
      <c r="BX100" s="130"/>
      <c r="BY100" s="130"/>
      <c r="BZ100" s="130"/>
      <c r="CA100" s="130"/>
      <c r="CB100" s="130"/>
      <c r="CC100" s="130"/>
      <c r="CD100" s="130"/>
      <c r="CE100" s="130"/>
      <c r="CF100" s="130"/>
      <c r="CG100" s="130"/>
      <c r="CH100" s="130"/>
      <c r="CI100" s="130"/>
      <c r="CJ100" s="130"/>
      <c r="CK100" s="130"/>
      <c r="CL100" s="130"/>
      <c r="CM100" s="130"/>
      <c r="CN100" s="130"/>
      <c r="CO100" s="130"/>
      <c r="CP100" s="130"/>
      <c r="CQ100" s="130"/>
      <c r="CR100" s="130"/>
      <c r="CS100" s="130"/>
      <c r="CT100" s="130"/>
      <c r="CU100" s="130"/>
      <c r="CV100" s="130"/>
      <c r="CW100" s="130"/>
      <c r="CX100" s="130"/>
      <c r="CY100" s="130"/>
      <c r="CZ100" s="130"/>
      <c r="DA100" s="130"/>
      <c r="DB100" s="130"/>
      <c r="DC100" s="130"/>
      <c r="DD100" s="130"/>
      <c r="DE100" s="130"/>
      <c r="DF100" s="128"/>
      <c r="DG100" s="128"/>
    </row>
    <row r="101" spans="1:111" ht="24.95" customHeight="1" x14ac:dyDescent="0.25">
      <c r="A101" s="128"/>
      <c r="B101" s="128"/>
      <c r="C101" s="130"/>
      <c r="D101" s="130"/>
      <c r="E101" s="209" t="s">
        <v>248</v>
      </c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  <c r="AG101" s="130"/>
      <c r="AH101" s="130"/>
      <c r="AI101" s="130"/>
      <c r="AJ101" s="130"/>
      <c r="AK101" s="130"/>
      <c r="AL101" s="130"/>
      <c r="AM101" s="130"/>
      <c r="AN101" s="130"/>
      <c r="AO101" s="130"/>
      <c r="AP101" s="130"/>
      <c r="AQ101" s="130"/>
      <c r="AR101" s="130"/>
      <c r="AS101" s="130"/>
      <c r="AT101" s="130"/>
      <c r="AU101" s="130"/>
      <c r="AV101" s="130"/>
      <c r="AW101" s="130"/>
      <c r="AX101" s="130"/>
      <c r="AY101" s="130"/>
      <c r="AZ101" s="130"/>
      <c r="BA101" s="130"/>
      <c r="BB101" s="130"/>
      <c r="BC101" s="130"/>
      <c r="BD101" s="130"/>
      <c r="BE101" s="130"/>
      <c r="BF101" s="130"/>
      <c r="BG101" s="130"/>
      <c r="BH101" s="130"/>
      <c r="BI101" s="130"/>
      <c r="BJ101" s="130"/>
      <c r="BK101" s="130"/>
      <c r="BL101" s="130"/>
      <c r="BM101" s="130"/>
      <c r="BN101" s="130"/>
      <c r="BO101" s="130"/>
      <c r="BP101" s="130"/>
      <c r="BQ101" s="130"/>
      <c r="BR101" s="130"/>
      <c r="BS101" s="130"/>
      <c r="BT101" s="130"/>
      <c r="BU101" s="130"/>
      <c r="BV101" s="130"/>
      <c r="BW101" s="130"/>
      <c r="BX101" s="130"/>
      <c r="BY101" s="130"/>
      <c r="BZ101" s="130"/>
      <c r="CA101" s="130"/>
      <c r="CB101" s="130"/>
      <c r="CC101" s="130"/>
      <c r="CD101" s="130"/>
      <c r="CE101" s="130"/>
      <c r="CF101" s="130"/>
      <c r="CG101" s="130"/>
      <c r="CH101" s="130"/>
      <c r="CI101" s="130"/>
      <c r="CJ101" s="130"/>
      <c r="CK101" s="130"/>
      <c r="CL101" s="130"/>
      <c r="CM101" s="130"/>
      <c r="CN101" s="130"/>
      <c r="CO101" s="130"/>
      <c r="CP101" s="130"/>
      <c r="CQ101" s="130"/>
      <c r="CR101" s="130"/>
      <c r="CS101" s="130"/>
      <c r="CT101" s="130"/>
      <c r="CU101" s="130"/>
      <c r="CV101" s="130"/>
      <c r="CW101" s="130"/>
      <c r="CX101" s="130"/>
      <c r="CY101" s="130"/>
      <c r="CZ101" s="130"/>
      <c r="DA101" s="130"/>
      <c r="DB101" s="130"/>
      <c r="DC101" s="130"/>
      <c r="DD101" s="130"/>
      <c r="DE101" s="130"/>
      <c r="DF101" s="128"/>
      <c r="DG101" s="128"/>
    </row>
    <row r="102" spans="1:111" ht="24.95" customHeight="1" x14ac:dyDescent="0.25">
      <c r="A102" s="128"/>
      <c r="B102" s="128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  <c r="AT102" s="130"/>
      <c r="AU102" s="130"/>
      <c r="AV102" s="130"/>
      <c r="AW102" s="130"/>
      <c r="AX102" s="130"/>
      <c r="AY102" s="130"/>
      <c r="AZ102" s="130"/>
      <c r="BA102" s="130"/>
      <c r="BB102" s="130"/>
      <c r="BC102" s="130"/>
      <c r="BD102" s="130"/>
      <c r="BE102" s="130"/>
      <c r="BF102" s="130"/>
      <c r="BG102" s="130"/>
      <c r="BH102" s="130"/>
      <c r="BI102" s="130"/>
      <c r="BJ102" s="130"/>
      <c r="BK102" s="130"/>
      <c r="BL102" s="130"/>
      <c r="BM102" s="130"/>
      <c r="BN102" s="130"/>
      <c r="BO102" s="130"/>
      <c r="BP102" s="130"/>
      <c r="BQ102" s="130"/>
      <c r="BR102" s="130"/>
      <c r="BS102" s="130"/>
      <c r="BT102" s="130"/>
      <c r="BU102" s="130"/>
      <c r="BV102" s="130"/>
      <c r="BW102" s="130"/>
      <c r="BX102" s="130"/>
      <c r="BY102" s="130"/>
      <c r="BZ102" s="130"/>
      <c r="CA102" s="130"/>
      <c r="CB102" s="130"/>
      <c r="CC102" s="130"/>
      <c r="CD102" s="130"/>
      <c r="CE102" s="130"/>
      <c r="CF102" s="130"/>
      <c r="CG102" s="130"/>
      <c r="CH102" s="130"/>
      <c r="CI102" s="130"/>
      <c r="CJ102" s="130"/>
      <c r="CK102" s="130"/>
      <c r="CL102" s="130"/>
      <c r="CM102" s="130"/>
      <c r="CN102" s="130"/>
      <c r="CO102" s="130"/>
      <c r="CP102" s="130"/>
      <c r="CQ102" s="130"/>
      <c r="CR102" s="130"/>
      <c r="CS102" s="130"/>
      <c r="CT102" s="130"/>
      <c r="CU102" s="130"/>
      <c r="CV102" s="130"/>
      <c r="CW102" s="130"/>
      <c r="CX102" s="130"/>
      <c r="CY102" s="130"/>
      <c r="CZ102" s="130"/>
      <c r="DA102" s="130"/>
      <c r="DB102" s="130"/>
      <c r="DC102" s="130"/>
      <c r="DD102" s="130"/>
      <c r="DE102" s="130"/>
      <c r="DF102" s="128"/>
      <c r="DG102" s="128"/>
    </row>
    <row r="103" spans="1:111" ht="24.95" customHeight="1" x14ac:dyDescent="0.25">
      <c r="A103" s="128"/>
      <c r="B103" s="128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  <c r="AG103" s="130"/>
      <c r="AH103" s="130"/>
      <c r="AI103" s="130"/>
      <c r="AJ103" s="130"/>
      <c r="AK103" s="130"/>
      <c r="AL103" s="130"/>
      <c r="AM103" s="130"/>
      <c r="AN103" s="130"/>
      <c r="AO103" s="130"/>
      <c r="AP103" s="130"/>
      <c r="AQ103" s="130"/>
      <c r="AR103" s="130"/>
      <c r="AS103" s="130"/>
      <c r="AT103" s="130"/>
      <c r="AU103" s="130"/>
      <c r="AV103" s="130"/>
      <c r="AW103" s="130"/>
      <c r="AX103" s="130"/>
      <c r="AY103" s="130"/>
      <c r="AZ103" s="130"/>
      <c r="BA103" s="130"/>
      <c r="BB103" s="130"/>
      <c r="BC103" s="130"/>
      <c r="DB103" s="130"/>
      <c r="DC103" s="130"/>
      <c r="DD103" s="130"/>
      <c r="DE103" s="130"/>
      <c r="DF103" s="128"/>
      <c r="DG103" s="128"/>
    </row>
    <row r="104" spans="1:111" ht="24.95" customHeight="1" x14ac:dyDescent="0.25">
      <c r="A104" s="128"/>
      <c r="B104" s="128"/>
      <c r="C104" s="130"/>
      <c r="D104" s="130"/>
      <c r="E104" s="198" t="s">
        <v>200</v>
      </c>
      <c r="F104" s="177"/>
      <c r="G104" s="177"/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  <c r="AH104" s="177"/>
      <c r="AI104" s="573">
        <f>'Cálculos y Supuestos Edo.Res'!C13</f>
        <v>50000</v>
      </c>
      <c r="AJ104" s="573"/>
      <c r="AK104" s="573"/>
      <c r="AL104" s="573"/>
      <c r="AM104" s="573"/>
      <c r="AN104" s="573"/>
      <c r="AO104" s="573"/>
      <c r="AP104" s="573"/>
      <c r="AQ104" s="573"/>
      <c r="AR104" s="573"/>
      <c r="AS104" s="573"/>
      <c r="AT104" s="130"/>
      <c r="AU104" s="130"/>
      <c r="AV104" s="130"/>
      <c r="AW104" s="130"/>
      <c r="AX104" s="130"/>
      <c r="AY104" s="130"/>
      <c r="AZ104" s="130"/>
      <c r="BA104" s="130"/>
      <c r="BB104" s="130"/>
      <c r="BC104" s="130"/>
      <c r="DB104" s="130"/>
      <c r="DC104" s="130"/>
      <c r="DD104" s="130"/>
      <c r="DE104" s="130"/>
      <c r="DF104" s="128"/>
      <c r="DG104" s="128"/>
    </row>
    <row r="105" spans="1:111" ht="24.95" customHeight="1" x14ac:dyDescent="0.25">
      <c r="A105" s="128"/>
      <c r="B105" s="128"/>
      <c r="C105" s="130"/>
      <c r="D105" s="130"/>
      <c r="E105" s="242" t="s">
        <v>201</v>
      </c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  <c r="AH105" s="177"/>
      <c r="AI105" s="573"/>
      <c r="AJ105" s="573"/>
      <c r="AK105" s="573"/>
      <c r="AL105" s="573"/>
      <c r="AM105" s="573"/>
      <c r="AN105" s="573"/>
      <c r="AO105" s="573"/>
      <c r="AP105" s="573"/>
      <c r="AQ105" s="573"/>
      <c r="AR105" s="573"/>
      <c r="AS105" s="573"/>
      <c r="AT105" s="130"/>
      <c r="AU105" s="130"/>
      <c r="AV105" s="130"/>
      <c r="AW105" s="130"/>
      <c r="AX105" s="130"/>
      <c r="AY105" s="130"/>
      <c r="AZ105" s="130"/>
      <c r="BA105" s="130"/>
      <c r="BB105" s="130"/>
      <c r="BC105" s="130"/>
      <c r="DB105" s="130"/>
      <c r="DC105" s="130"/>
      <c r="DD105" s="130"/>
      <c r="DE105" s="130"/>
      <c r="DF105" s="128"/>
      <c r="DG105" s="128"/>
    </row>
    <row r="106" spans="1:111" ht="24.95" customHeight="1" x14ac:dyDescent="0.25">
      <c r="A106" s="128"/>
      <c r="B106" s="128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  <c r="AG106" s="130"/>
      <c r="AH106" s="130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4"/>
      <c r="AT106" s="130"/>
      <c r="AU106" s="130"/>
      <c r="AV106" s="130"/>
      <c r="AW106" s="130"/>
      <c r="AX106" s="130"/>
      <c r="AY106" s="130"/>
      <c r="AZ106" s="130"/>
      <c r="BA106" s="130"/>
      <c r="BB106" s="130"/>
      <c r="BC106" s="130"/>
      <c r="DB106" s="130"/>
      <c r="DC106" s="130"/>
      <c r="DD106" s="130"/>
      <c r="DE106" s="130"/>
      <c r="DF106" s="128"/>
      <c r="DG106" s="128"/>
    </row>
    <row r="107" spans="1:111" ht="24.95" customHeight="1" x14ac:dyDescent="0.25">
      <c r="A107" s="128"/>
      <c r="B107" s="128"/>
      <c r="C107" s="130"/>
      <c r="D107" s="130"/>
      <c r="E107" s="173" t="s">
        <v>202</v>
      </c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531">
        <f>'Cálculos y Supuestos Edo.Res'!G33</f>
        <v>38551.55878290625</v>
      </c>
      <c r="AJ107" s="531"/>
      <c r="AK107" s="531"/>
      <c r="AL107" s="531"/>
      <c r="AM107" s="531"/>
      <c r="AN107" s="531"/>
      <c r="AO107" s="531"/>
      <c r="AP107" s="531"/>
      <c r="AQ107" s="531"/>
      <c r="AR107" s="531"/>
      <c r="AS107" s="531"/>
      <c r="AT107" s="130"/>
      <c r="AU107" s="130"/>
      <c r="AV107" s="130"/>
      <c r="AW107" s="130"/>
      <c r="AX107" s="130"/>
      <c r="AY107" s="130"/>
      <c r="AZ107" s="130"/>
      <c r="BA107" s="130"/>
      <c r="BB107" s="130"/>
      <c r="BC107" s="130"/>
      <c r="DB107" s="130"/>
      <c r="DC107" s="130"/>
      <c r="DD107" s="130"/>
      <c r="DE107" s="130"/>
      <c r="DF107" s="128"/>
      <c r="DG107" s="128"/>
    </row>
    <row r="108" spans="1:111" ht="9.9499999999999993" customHeight="1" x14ac:dyDescent="0.25">
      <c r="A108" s="128"/>
      <c r="B108" s="128"/>
      <c r="C108" s="130"/>
      <c r="D108" s="130"/>
      <c r="E108" s="173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7"/>
      <c r="AJ108" s="167"/>
      <c r="AK108" s="167"/>
      <c r="AL108" s="167"/>
      <c r="AM108" s="167"/>
      <c r="AN108" s="167"/>
      <c r="AO108" s="167"/>
      <c r="AP108" s="167"/>
      <c r="AQ108" s="167"/>
      <c r="AR108" s="167"/>
      <c r="AS108" s="167"/>
      <c r="AT108" s="130"/>
      <c r="AU108" s="130"/>
      <c r="AV108" s="130"/>
      <c r="AW108" s="130"/>
      <c r="AX108" s="130"/>
      <c r="AY108" s="130"/>
      <c r="AZ108" s="130"/>
      <c r="BA108" s="130"/>
      <c r="BB108" s="130"/>
      <c r="BC108" s="130"/>
      <c r="DB108" s="130"/>
      <c r="DC108" s="130"/>
      <c r="DD108" s="130"/>
      <c r="DE108" s="130"/>
      <c r="DF108" s="128"/>
      <c r="DG108" s="128"/>
    </row>
    <row r="109" spans="1:111" ht="24.95" customHeight="1" x14ac:dyDescent="0.25">
      <c r="A109" s="128"/>
      <c r="B109" s="128"/>
      <c r="C109" s="130"/>
      <c r="D109" s="130"/>
      <c r="E109" s="173" t="s">
        <v>203</v>
      </c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531">
        <f>SUM('Cálculos y Supuestos Edo.Res'!C17:C18)</f>
        <v>10000</v>
      </c>
      <c r="AJ109" s="531"/>
      <c r="AK109" s="531"/>
      <c r="AL109" s="531"/>
      <c r="AM109" s="531"/>
      <c r="AN109" s="531"/>
      <c r="AO109" s="531"/>
      <c r="AP109" s="531"/>
      <c r="AQ109" s="531"/>
      <c r="AR109" s="531"/>
      <c r="AS109" s="531"/>
      <c r="AT109" s="130"/>
      <c r="AU109" s="130"/>
      <c r="AV109" s="130"/>
      <c r="AW109" s="130"/>
      <c r="AX109" s="130"/>
      <c r="AY109" s="130"/>
      <c r="AZ109" s="130"/>
      <c r="BA109" s="130"/>
      <c r="BB109" s="130"/>
      <c r="BC109" s="130"/>
      <c r="DB109" s="130"/>
      <c r="DC109" s="130"/>
      <c r="DD109" s="130"/>
      <c r="DE109" s="130"/>
      <c r="DF109" s="128"/>
      <c r="DG109" s="128"/>
    </row>
    <row r="110" spans="1:111" ht="9.9499999999999993" customHeight="1" x14ac:dyDescent="0.25">
      <c r="A110" s="128"/>
      <c r="B110" s="128"/>
      <c r="C110" s="130"/>
      <c r="D110" s="130"/>
      <c r="E110" s="173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7"/>
      <c r="AJ110" s="167"/>
      <c r="AK110" s="167"/>
      <c r="AL110" s="167"/>
      <c r="AM110" s="167"/>
      <c r="AN110" s="167"/>
      <c r="AO110" s="167"/>
      <c r="AP110" s="167"/>
      <c r="AQ110" s="167"/>
      <c r="AR110" s="167"/>
      <c r="AS110" s="167"/>
      <c r="AT110" s="130"/>
      <c r="AU110" s="130"/>
      <c r="AV110" s="130"/>
      <c r="AW110" s="130"/>
      <c r="AX110" s="130"/>
      <c r="AY110" s="130"/>
      <c r="AZ110" s="130"/>
      <c r="BA110" s="130"/>
      <c r="BB110" s="130"/>
      <c r="BC110" s="130"/>
      <c r="DB110" s="130"/>
      <c r="DC110" s="130"/>
      <c r="DD110" s="130"/>
      <c r="DE110" s="130"/>
      <c r="DF110" s="128"/>
      <c r="DG110" s="128"/>
    </row>
    <row r="111" spans="1:111" ht="24.95" customHeight="1" x14ac:dyDescent="0.25">
      <c r="A111" s="128"/>
      <c r="B111" s="128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64"/>
      <c r="AJ111" s="164"/>
      <c r="AK111" s="164"/>
      <c r="AL111" s="164"/>
      <c r="AM111" s="164"/>
      <c r="AN111" s="164"/>
      <c r="AO111" s="164"/>
      <c r="AP111" s="164"/>
      <c r="AQ111" s="164"/>
      <c r="AR111" s="164"/>
      <c r="AS111" s="164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DB111" s="130"/>
      <c r="DC111" s="130"/>
      <c r="DD111" s="130"/>
      <c r="DE111" s="130"/>
      <c r="DF111" s="128"/>
      <c r="DG111" s="128"/>
    </row>
    <row r="112" spans="1:111" ht="24.95" customHeight="1" x14ac:dyDescent="0.25">
      <c r="A112" s="128"/>
      <c r="B112" s="128"/>
      <c r="C112" s="130"/>
      <c r="D112" s="130"/>
      <c r="E112" s="198" t="str">
        <f>Auxiliar!G29</f>
        <v>Total de ingreso mensual en retiro :</v>
      </c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517">
        <f>Auxiliar!I29</f>
        <v>48551.55878290625</v>
      </c>
      <c r="AJ112" s="517"/>
      <c r="AK112" s="517"/>
      <c r="AL112" s="517"/>
      <c r="AM112" s="517"/>
      <c r="AN112" s="517"/>
      <c r="AO112" s="517"/>
      <c r="AP112" s="517"/>
      <c r="AQ112" s="517"/>
      <c r="AR112" s="517"/>
      <c r="AS112" s="517"/>
      <c r="AT112" s="130"/>
      <c r="AU112" s="130"/>
      <c r="AV112" s="130"/>
      <c r="AW112" s="130"/>
      <c r="AX112" s="130"/>
      <c r="AY112" s="130"/>
      <c r="AZ112" s="130"/>
      <c r="BA112" s="130"/>
      <c r="BB112" s="130"/>
      <c r="BC112" s="130"/>
      <c r="DB112" s="130"/>
      <c r="DC112" s="130"/>
      <c r="DD112" s="130"/>
      <c r="DE112" s="130"/>
      <c r="DF112" s="128"/>
      <c r="DG112" s="128"/>
    </row>
    <row r="113" spans="1:111" ht="9.9499999999999993" customHeight="1" x14ac:dyDescent="0.25">
      <c r="A113" s="128"/>
      <c r="B113" s="128"/>
      <c r="C113" s="130"/>
      <c r="D113" s="130"/>
      <c r="E113" s="174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  <c r="AS113" s="168"/>
      <c r="AT113" s="130"/>
      <c r="AU113" s="130"/>
      <c r="AV113" s="130"/>
      <c r="AW113" s="130"/>
      <c r="AX113" s="130"/>
      <c r="AY113" s="130"/>
      <c r="AZ113" s="130"/>
      <c r="BA113" s="130"/>
      <c r="BB113" s="130"/>
      <c r="BC113" s="130"/>
      <c r="DB113" s="130"/>
      <c r="DC113" s="130"/>
      <c r="DD113" s="130"/>
      <c r="DE113" s="130"/>
      <c r="DF113" s="128"/>
      <c r="DG113" s="128"/>
    </row>
    <row r="114" spans="1:111" ht="24.95" customHeight="1" x14ac:dyDescent="0.25">
      <c r="A114" s="128"/>
      <c r="B114" s="128"/>
      <c r="C114" s="130"/>
      <c r="D114" s="130"/>
      <c r="E114" s="174" t="str">
        <f>Auxiliar!G31</f>
        <v>Tendrías un faltante mensual de:</v>
      </c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  <c r="AG114" s="130"/>
      <c r="AH114" s="130"/>
      <c r="AI114" s="575">
        <f>Auxiliar!I31</f>
        <v>-1448.4412170937503</v>
      </c>
      <c r="AJ114" s="575"/>
      <c r="AK114" s="575"/>
      <c r="AL114" s="575"/>
      <c r="AM114" s="575"/>
      <c r="AN114" s="575"/>
      <c r="AO114" s="575"/>
      <c r="AP114" s="575"/>
      <c r="AQ114" s="575"/>
      <c r="AR114" s="575"/>
      <c r="AS114" s="575"/>
      <c r="AT114" s="130"/>
      <c r="AU114" s="130"/>
      <c r="AV114" s="130"/>
      <c r="AW114" s="130"/>
      <c r="AX114" s="130"/>
      <c r="AY114" s="130"/>
      <c r="AZ114" s="130"/>
      <c r="BA114" s="130"/>
      <c r="BB114" s="130"/>
      <c r="BC114" s="130"/>
      <c r="DB114" s="130"/>
      <c r="DC114" s="130"/>
      <c r="DD114" s="130"/>
      <c r="DE114" s="130"/>
      <c r="DF114" s="128"/>
      <c r="DG114" s="128"/>
    </row>
    <row r="115" spans="1:111" ht="15" customHeight="1" x14ac:dyDescent="0.25">
      <c r="A115" s="128"/>
      <c r="B115" s="128"/>
      <c r="C115" s="130"/>
      <c r="D115" s="130"/>
      <c r="E115" s="174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  <c r="AH115" s="130"/>
      <c r="AI115" s="168"/>
      <c r="AJ115" s="168"/>
      <c r="AK115" s="168"/>
      <c r="AL115" s="168"/>
      <c r="AM115" s="168"/>
      <c r="AN115" s="168"/>
      <c r="AO115" s="168"/>
      <c r="AP115" s="168"/>
      <c r="AQ115" s="168"/>
      <c r="AR115" s="168"/>
      <c r="AS115" s="168"/>
      <c r="AT115" s="130"/>
      <c r="AU115" s="130"/>
      <c r="AV115" s="130"/>
      <c r="AW115" s="130"/>
      <c r="AX115" s="130"/>
      <c r="AY115" s="130"/>
      <c r="AZ115" s="130"/>
      <c r="BA115" s="130"/>
      <c r="BB115" s="130"/>
      <c r="BC115" s="133"/>
      <c r="DB115" s="130"/>
      <c r="DC115" s="130"/>
      <c r="DD115" s="130"/>
      <c r="DE115" s="130"/>
      <c r="DF115" s="128"/>
      <c r="DG115" s="128"/>
    </row>
    <row r="116" spans="1:111" ht="30" customHeight="1" x14ac:dyDescent="0.25">
      <c r="A116" s="128"/>
      <c r="B116" s="128"/>
      <c r="C116" s="130"/>
      <c r="D116" s="130"/>
      <c r="E116" s="553" t="str">
        <f>Auxiliar!G33</f>
        <v>Si ahorras durante 10 años (años hasta tu edad de retiro) puedes incrementar tus posibilidades al momento del retiro.</v>
      </c>
      <c r="F116" s="553"/>
      <c r="G116" s="553"/>
      <c r="H116" s="553"/>
      <c r="I116" s="553"/>
      <c r="J116" s="553"/>
      <c r="K116" s="553"/>
      <c r="L116" s="553"/>
      <c r="M116" s="553"/>
      <c r="N116" s="553"/>
      <c r="O116" s="553"/>
      <c r="P116" s="553"/>
      <c r="Q116" s="553"/>
      <c r="R116" s="553"/>
      <c r="S116" s="553"/>
      <c r="T116" s="553"/>
      <c r="U116" s="553"/>
      <c r="V116" s="553"/>
      <c r="W116" s="553"/>
      <c r="X116" s="553"/>
      <c r="Y116" s="553"/>
      <c r="Z116" s="553"/>
      <c r="AA116" s="553"/>
      <c r="AB116" s="553"/>
      <c r="AC116" s="553"/>
      <c r="AD116" s="553"/>
      <c r="AE116" s="553"/>
      <c r="AF116" s="553"/>
      <c r="AG116" s="553"/>
      <c r="AH116" s="553"/>
      <c r="AI116" s="553"/>
      <c r="AJ116" s="553"/>
      <c r="AK116" s="553"/>
      <c r="AL116" s="553"/>
      <c r="AM116" s="553"/>
      <c r="AN116" s="553"/>
      <c r="AO116" s="553"/>
      <c r="AP116" s="553"/>
      <c r="AQ116" s="553"/>
      <c r="AR116" s="553"/>
      <c r="AS116" s="553"/>
      <c r="AT116" s="553"/>
      <c r="AU116" s="130"/>
      <c r="AV116" s="130"/>
      <c r="AW116" s="130"/>
      <c r="AX116" s="130"/>
      <c r="AY116" s="130"/>
      <c r="AZ116" s="130"/>
      <c r="BA116" s="130"/>
      <c r="BB116" s="130"/>
      <c r="BC116" s="547" t="s">
        <v>205</v>
      </c>
      <c r="BD116" s="547"/>
      <c r="BE116" s="547"/>
      <c r="BF116" s="547"/>
      <c r="BG116" s="547"/>
      <c r="BH116" s="547"/>
      <c r="BI116" s="547"/>
      <c r="BJ116" s="547"/>
      <c r="BK116" s="547"/>
      <c r="BL116" s="547"/>
      <c r="BM116" s="547"/>
      <c r="BN116" s="547"/>
      <c r="BO116" s="547"/>
      <c r="BP116" s="547"/>
      <c r="BQ116" s="547"/>
      <c r="BR116" s="547"/>
      <c r="BS116" s="547"/>
      <c r="BT116" s="547"/>
      <c r="BU116" s="547"/>
      <c r="BV116" s="547"/>
      <c r="BW116" s="547"/>
      <c r="BX116" s="547"/>
      <c r="BY116" s="547"/>
      <c r="BZ116" s="547"/>
      <c r="CA116" s="547"/>
      <c r="CB116" s="547"/>
      <c r="CC116" s="547"/>
      <c r="CD116" s="547"/>
      <c r="CE116" s="547"/>
      <c r="CF116" s="547"/>
      <c r="CG116" s="547"/>
      <c r="CH116" s="547"/>
      <c r="CI116" s="547"/>
      <c r="CJ116" s="547"/>
      <c r="CK116" s="547"/>
      <c r="CL116" s="547"/>
      <c r="CM116" s="547"/>
      <c r="CN116" s="547"/>
      <c r="CO116" s="547"/>
      <c r="CP116" s="547"/>
      <c r="CQ116" s="547"/>
      <c r="CR116" s="547"/>
      <c r="CS116" s="547"/>
      <c r="CT116" s="547"/>
      <c r="CU116" s="547"/>
      <c r="CV116" s="547"/>
      <c r="CW116" s="547"/>
      <c r="CX116" s="547"/>
      <c r="CY116" s="547"/>
      <c r="CZ116" s="547"/>
      <c r="DB116" s="130"/>
      <c r="DC116" s="130"/>
      <c r="DD116" s="130"/>
      <c r="DE116" s="130"/>
      <c r="DF116" s="128"/>
      <c r="DG116" s="128"/>
    </row>
    <row r="117" spans="1:111" s="143" customFormat="1" ht="30" customHeight="1" x14ac:dyDescent="0.25">
      <c r="A117" s="128"/>
      <c r="B117" s="128"/>
      <c r="C117" s="130"/>
      <c r="D117" s="130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53"/>
      <c r="P117" s="553"/>
      <c r="Q117" s="553"/>
      <c r="R117" s="553"/>
      <c r="S117" s="553"/>
      <c r="T117" s="553"/>
      <c r="U117" s="553"/>
      <c r="V117" s="553"/>
      <c r="W117" s="553"/>
      <c r="X117" s="553"/>
      <c r="Y117" s="553"/>
      <c r="Z117" s="553"/>
      <c r="AA117" s="553"/>
      <c r="AB117" s="553"/>
      <c r="AC117" s="553"/>
      <c r="AD117" s="553"/>
      <c r="AE117" s="553"/>
      <c r="AF117" s="553"/>
      <c r="AG117" s="553"/>
      <c r="AH117" s="553"/>
      <c r="AI117" s="553"/>
      <c r="AJ117" s="553"/>
      <c r="AK117" s="553"/>
      <c r="AL117" s="553"/>
      <c r="AM117" s="553"/>
      <c r="AN117" s="553"/>
      <c r="AO117" s="553"/>
      <c r="AP117" s="553"/>
      <c r="AQ117" s="553"/>
      <c r="AR117" s="553"/>
      <c r="AS117" s="553"/>
      <c r="AT117" s="553"/>
      <c r="AU117" s="130"/>
      <c r="AV117" s="130"/>
      <c r="AW117" s="130"/>
      <c r="AX117" s="130"/>
      <c r="AY117" s="130"/>
      <c r="AZ117" s="130"/>
      <c r="BA117" s="130"/>
      <c r="BB117" s="130"/>
      <c r="BC117" s="547"/>
      <c r="BD117" s="547"/>
      <c r="BE117" s="547"/>
      <c r="BF117" s="547"/>
      <c r="BG117" s="547"/>
      <c r="BH117" s="547"/>
      <c r="BI117" s="547"/>
      <c r="BJ117" s="547"/>
      <c r="BK117" s="547"/>
      <c r="BL117" s="547"/>
      <c r="BM117" s="547"/>
      <c r="BN117" s="547"/>
      <c r="BO117" s="547"/>
      <c r="BP117" s="547"/>
      <c r="BQ117" s="547"/>
      <c r="BR117" s="547"/>
      <c r="BS117" s="547"/>
      <c r="BT117" s="547"/>
      <c r="BU117" s="547"/>
      <c r="BV117" s="547"/>
      <c r="BW117" s="547"/>
      <c r="BX117" s="547"/>
      <c r="BY117" s="547"/>
      <c r="BZ117" s="547"/>
      <c r="CA117" s="547"/>
      <c r="CB117" s="547"/>
      <c r="CC117" s="547"/>
      <c r="CD117" s="547"/>
      <c r="CE117" s="547"/>
      <c r="CF117" s="547"/>
      <c r="CG117" s="547"/>
      <c r="CH117" s="547"/>
      <c r="CI117" s="547"/>
      <c r="CJ117" s="547"/>
      <c r="CK117" s="547"/>
      <c r="CL117" s="547"/>
      <c r="CM117" s="547"/>
      <c r="CN117" s="547"/>
      <c r="CO117" s="547"/>
      <c r="CP117" s="547"/>
      <c r="CQ117" s="547"/>
      <c r="CR117" s="547"/>
      <c r="CS117" s="547"/>
      <c r="CT117" s="547"/>
      <c r="CU117" s="547"/>
      <c r="CV117" s="547"/>
      <c r="CW117" s="547"/>
      <c r="CX117" s="547"/>
      <c r="CY117" s="547"/>
      <c r="CZ117" s="547"/>
      <c r="DB117" s="130"/>
      <c r="DC117" s="130"/>
      <c r="DD117" s="130"/>
      <c r="DE117" s="130"/>
      <c r="DF117" s="128"/>
      <c r="DG117" s="128"/>
    </row>
    <row r="118" spans="1:111" s="143" customFormat="1" ht="15" customHeight="1" x14ac:dyDescent="0.25">
      <c r="A118" s="128"/>
      <c r="B118" s="128"/>
      <c r="C118" s="130"/>
      <c r="D118" s="130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33"/>
      <c r="AJ118" s="133"/>
      <c r="AK118" s="133"/>
      <c r="AL118" s="133"/>
      <c r="AM118" s="133"/>
      <c r="AN118" s="133"/>
      <c r="AO118" s="133"/>
      <c r="AP118" s="133"/>
      <c r="AQ118" s="133"/>
      <c r="AR118" s="133"/>
      <c r="AS118" s="133"/>
      <c r="AT118" s="133"/>
      <c r="AU118" s="130"/>
      <c r="AV118" s="130"/>
      <c r="AW118" s="130"/>
      <c r="AX118" s="130"/>
      <c r="AY118" s="130"/>
      <c r="AZ118" s="130"/>
      <c r="BA118" s="130"/>
      <c r="BB118" s="130"/>
      <c r="BC118" s="144"/>
      <c r="BD118" s="144"/>
      <c r="BE118" s="144"/>
      <c r="BF118" s="146"/>
      <c r="BG118" s="130"/>
      <c r="BH118" s="130"/>
      <c r="BI118" s="130"/>
      <c r="BJ118" s="130"/>
      <c r="BK118" s="130"/>
      <c r="BL118" s="130"/>
      <c r="BM118" s="130"/>
      <c r="BN118" s="130"/>
      <c r="BO118" s="130"/>
      <c r="BP118" s="130"/>
      <c r="BQ118" s="130"/>
      <c r="BR118" s="130"/>
      <c r="BS118" s="130"/>
      <c r="BT118" s="130"/>
      <c r="BU118" s="130"/>
      <c r="BV118" s="130"/>
      <c r="BW118" s="130"/>
      <c r="BX118" s="130"/>
      <c r="BY118" s="130"/>
      <c r="BZ118" s="130"/>
      <c r="CA118" s="130"/>
      <c r="CB118" s="130"/>
      <c r="CC118" s="130"/>
      <c r="CD118" s="130"/>
      <c r="CE118" s="130"/>
      <c r="CF118" s="130"/>
      <c r="CG118" s="130"/>
      <c r="CH118" s="130"/>
      <c r="CI118" s="130"/>
      <c r="CJ118" s="130"/>
      <c r="CK118" s="130"/>
      <c r="CL118" s="130"/>
      <c r="CM118" s="147"/>
      <c r="CN118" s="147"/>
      <c r="CO118" s="147"/>
      <c r="CP118" s="147"/>
      <c r="CQ118" s="147"/>
      <c r="CR118" s="147"/>
      <c r="CS118" s="147"/>
      <c r="CT118" s="147"/>
      <c r="CU118" s="147"/>
      <c r="CV118" s="147"/>
      <c r="CW118" s="147"/>
      <c r="CX118" s="147"/>
      <c r="CY118" s="144"/>
      <c r="CZ118" s="144"/>
      <c r="DB118" s="130"/>
      <c r="DC118" s="130"/>
      <c r="DD118" s="130"/>
      <c r="DE118" s="130"/>
      <c r="DF118" s="128"/>
      <c r="DG118" s="128"/>
    </row>
    <row r="119" spans="1:111" s="143" customFormat="1" ht="24.95" customHeight="1" x14ac:dyDescent="0.25">
      <c r="A119" s="128"/>
      <c r="B119" s="128"/>
      <c r="C119" s="130"/>
      <c r="D119" s="130"/>
      <c r="E119" s="552" t="s">
        <v>204</v>
      </c>
      <c r="F119" s="552"/>
      <c r="G119" s="552"/>
      <c r="H119" s="552"/>
      <c r="I119" s="552"/>
      <c r="J119" s="552"/>
      <c r="K119" s="552"/>
      <c r="L119" s="552"/>
      <c r="M119" s="552"/>
      <c r="N119" s="552"/>
      <c r="O119" s="552"/>
      <c r="P119" s="552"/>
      <c r="Q119" s="552"/>
      <c r="R119" s="552"/>
      <c r="S119" s="552"/>
      <c r="T119" s="552"/>
      <c r="U119" s="552"/>
      <c r="V119" s="552"/>
      <c r="W119" s="552"/>
      <c r="X119" s="552"/>
      <c r="Y119" s="552"/>
      <c r="Z119" s="552"/>
      <c r="AA119" s="552"/>
      <c r="AB119" s="552"/>
      <c r="AC119" s="552"/>
      <c r="AD119" s="552"/>
      <c r="AE119" s="552"/>
      <c r="AF119" s="552"/>
      <c r="AG119" s="552"/>
      <c r="AH119" s="552"/>
      <c r="AJ119" s="149"/>
      <c r="AK119" s="149"/>
      <c r="AL119" s="149"/>
      <c r="AM119" s="149"/>
      <c r="AN119" s="149"/>
      <c r="AO119" s="149"/>
      <c r="AP119" s="149"/>
      <c r="AQ119" s="149"/>
      <c r="AR119" s="149"/>
      <c r="AS119" s="149"/>
      <c r="AT119" s="130"/>
      <c r="AU119" s="130"/>
      <c r="AV119" s="130"/>
      <c r="AW119" s="130"/>
      <c r="AX119" s="130"/>
      <c r="AY119" s="130"/>
      <c r="AZ119" s="130"/>
      <c r="BA119" s="130"/>
      <c r="BB119" s="130"/>
      <c r="BC119" s="130"/>
      <c r="BD119" s="175" t="s">
        <v>207</v>
      </c>
      <c r="BE119" s="164"/>
      <c r="BF119" s="169"/>
      <c r="BG119" s="165"/>
      <c r="BH119" s="165"/>
      <c r="BI119" s="165"/>
      <c r="BJ119" s="165"/>
      <c r="BK119" s="165"/>
      <c r="BL119" s="165"/>
      <c r="BM119" s="165"/>
      <c r="BN119" s="165"/>
      <c r="BO119" s="165"/>
      <c r="BP119" s="165"/>
      <c r="BQ119" s="165"/>
      <c r="BR119" s="165"/>
      <c r="BS119" s="165"/>
      <c r="BT119" s="165"/>
      <c r="BU119" s="165"/>
      <c r="BV119" s="165"/>
      <c r="BW119" s="165"/>
      <c r="BX119" s="165"/>
      <c r="BY119" s="165"/>
      <c r="BZ119" s="165"/>
      <c r="CA119" s="165"/>
      <c r="CB119" s="165"/>
      <c r="CC119" s="165"/>
      <c r="CD119" s="165"/>
      <c r="CE119" s="165"/>
      <c r="CF119" s="165"/>
      <c r="CG119" s="165"/>
      <c r="CH119" s="165"/>
      <c r="CI119" s="165"/>
      <c r="CJ119" s="165"/>
      <c r="CK119" s="165"/>
      <c r="CL119" s="165"/>
      <c r="CO119" s="540">
        <f>'Cálculos y Supuestos Edo.Res'!G51</f>
        <v>2300000</v>
      </c>
      <c r="CP119" s="540"/>
      <c r="CQ119" s="540"/>
      <c r="CR119" s="540"/>
      <c r="CS119" s="540"/>
      <c r="CT119" s="540"/>
      <c r="CU119" s="540"/>
      <c r="CV119" s="540"/>
      <c r="CW119" s="540"/>
      <c r="CX119" s="540"/>
      <c r="CY119" s="540"/>
      <c r="CZ119" s="540"/>
      <c r="DB119" s="130"/>
      <c r="DC119" s="130"/>
      <c r="DD119" s="130"/>
      <c r="DE119" s="130"/>
      <c r="DF119" s="128"/>
      <c r="DG119" s="128"/>
    </row>
    <row r="120" spans="1:111" s="143" customFormat="1" ht="9.9499999999999993" customHeight="1" x14ac:dyDescent="0.25">
      <c r="A120" s="128"/>
      <c r="B120" s="128"/>
      <c r="C120" s="130"/>
      <c r="D120" s="130"/>
      <c r="E120" s="552"/>
      <c r="F120" s="552"/>
      <c r="G120" s="552"/>
      <c r="H120" s="552"/>
      <c r="I120" s="552"/>
      <c r="J120" s="552"/>
      <c r="K120" s="552"/>
      <c r="L120" s="552"/>
      <c r="M120" s="552"/>
      <c r="N120" s="552"/>
      <c r="O120" s="552"/>
      <c r="P120" s="552"/>
      <c r="Q120" s="552"/>
      <c r="R120" s="552"/>
      <c r="S120" s="552"/>
      <c r="T120" s="552"/>
      <c r="U120" s="552"/>
      <c r="V120" s="552"/>
      <c r="W120" s="552"/>
      <c r="X120" s="552"/>
      <c r="Y120" s="552"/>
      <c r="Z120" s="552"/>
      <c r="AA120" s="552"/>
      <c r="AB120" s="552"/>
      <c r="AC120" s="552"/>
      <c r="AD120" s="552"/>
      <c r="AE120" s="552"/>
      <c r="AF120" s="552"/>
      <c r="AG120" s="552"/>
      <c r="AH120" s="552"/>
      <c r="AT120" s="130"/>
      <c r="AU120" s="130"/>
      <c r="AV120" s="130"/>
      <c r="AW120" s="130"/>
      <c r="AX120" s="130"/>
      <c r="AY120" s="130"/>
      <c r="AZ120" s="130"/>
      <c r="BA120" s="130"/>
      <c r="BB120" s="130"/>
      <c r="BC120" s="130"/>
      <c r="BD120" s="175"/>
      <c r="BE120" s="164"/>
      <c r="BF120" s="169"/>
      <c r="BG120" s="165"/>
      <c r="BH120" s="165"/>
      <c r="BI120" s="165"/>
      <c r="BJ120" s="165"/>
      <c r="BK120" s="165"/>
      <c r="BL120" s="165"/>
      <c r="BM120" s="165"/>
      <c r="BN120" s="165"/>
      <c r="BO120" s="165"/>
      <c r="BP120" s="165"/>
      <c r="BQ120" s="165"/>
      <c r="BR120" s="165"/>
      <c r="BS120" s="165"/>
      <c r="BT120" s="165"/>
      <c r="BU120" s="165"/>
      <c r="BV120" s="165"/>
      <c r="BW120" s="165"/>
      <c r="BX120" s="165"/>
      <c r="BY120" s="165"/>
      <c r="BZ120" s="165"/>
      <c r="CA120" s="165"/>
      <c r="CB120" s="165"/>
      <c r="CC120" s="165"/>
      <c r="CD120" s="165"/>
      <c r="CE120" s="165"/>
      <c r="CF120" s="165"/>
      <c r="CG120" s="165"/>
      <c r="CH120" s="165"/>
      <c r="CI120" s="165"/>
      <c r="CJ120" s="165"/>
      <c r="CK120" s="165"/>
      <c r="CL120" s="165"/>
      <c r="DB120" s="130"/>
      <c r="DC120" s="130"/>
      <c r="DD120" s="130"/>
      <c r="DE120" s="130"/>
      <c r="DF120" s="128"/>
      <c r="DG120" s="128"/>
    </row>
    <row r="121" spans="1:111" s="143" customFormat="1" ht="24.95" customHeight="1" x14ac:dyDescent="0.25">
      <c r="A121" s="128"/>
      <c r="B121" s="128"/>
      <c r="C121" s="130"/>
      <c r="D121" s="130"/>
      <c r="E121" s="552"/>
      <c r="F121" s="552"/>
      <c r="G121" s="552"/>
      <c r="H121" s="552"/>
      <c r="I121" s="552"/>
      <c r="J121" s="552"/>
      <c r="K121" s="552"/>
      <c r="L121" s="552"/>
      <c r="M121" s="552"/>
      <c r="N121" s="552"/>
      <c r="O121" s="552"/>
      <c r="P121" s="552"/>
      <c r="Q121" s="552"/>
      <c r="R121" s="552"/>
      <c r="S121" s="552"/>
      <c r="T121" s="552"/>
      <c r="U121" s="552"/>
      <c r="V121" s="552"/>
      <c r="W121" s="552"/>
      <c r="X121" s="552"/>
      <c r="Y121" s="552"/>
      <c r="Z121" s="552"/>
      <c r="AA121" s="552"/>
      <c r="AB121" s="552"/>
      <c r="AC121" s="552"/>
      <c r="AD121" s="552"/>
      <c r="AE121" s="552"/>
      <c r="AF121" s="552"/>
      <c r="AG121" s="552"/>
      <c r="AH121" s="552"/>
      <c r="AI121" s="557">
        <f>'Cálculos y Supuestos Edo.Res'!G54</f>
        <v>0</v>
      </c>
      <c r="AJ121" s="557"/>
      <c r="AK121" s="557"/>
      <c r="AL121" s="557"/>
      <c r="AM121" s="557"/>
      <c r="AN121" s="557"/>
      <c r="AO121" s="557"/>
      <c r="AP121" s="557"/>
      <c r="AQ121" s="557"/>
      <c r="AR121" s="557"/>
      <c r="AS121" s="557"/>
      <c r="AT121" s="130"/>
      <c r="AU121" s="130"/>
      <c r="AV121" s="130"/>
      <c r="AW121" s="130"/>
      <c r="AX121" s="130"/>
      <c r="AY121" s="130"/>
      <c r="AZ121" s="130"/>
      <c r="BA121" s="130"/>
      <c r="BB121" s="130"/>
      <c r="BC121" s="130"/>
      <c r="BD121" s="175" t="s">
        <v>206</v>
      </c>
      <c r="BE121" s="164"/>
      <c r="BF121" s="169"/>
      <c r="BG121" s="165"/>
      <c r="BH121" s="164"/>
      <c r="BI121" s="164"/>
      <c r="BJ121" s="164"/>
      <c r="BK121" s="164"/>
      <c r="BL121" s="164"/>
      <c r="BM121" s="164"/>
      <c r="BN121" s="164"/>
      <c r="BO121" s="164"/>
      <c r="BP121" s="164"/>
      <c r="BQ121" s="164"/>
      <c r="BR121" s="164"/>
      <c r="BS121" s="164"/>
      <c r="BT121" s="164"/>
      <c r="BU121" s="164"/>
      <c r="BV121" s="164"/>
      <c r="BW121" s="164"/>
      <c r="BX121" s="164"/>
      <c r="BY121" s="164"/>
      <c r="BZ121" s="164"/>
      <c r="CA121" s="164"/>
      <c r="CB121" s="164"/>
      <c r="CC121" s="164"/>
      <c r="CD121" s="164"/>
      <c r="CE121" s="164"/>
      <c r="CF121" s="164"/>
      <c r="CG121" s="164"/>
      <c r="CH121" s="164"/>
      <c r="CI121" s="164"/>
      <c r="CJ121" s="164"/>
      <c r="CK121" s="164"/>
      <c r="CL121" s="164"/>
      <c r="CO121" s="540">
        <f>'Cálculos y Supuestos Edo.Res'!G50</f>
        <v>0</v>
      </c>
      <c r="CP121" s="540"/>
      <c r="CQ121" s="540"/>
      <c r="CR121" s="540"/>
      <c r="CS121" s="540"/>
      <c r="CT121" s="540"/>
      <c r="CU121" s="540"/>
      <c r="CV121" s="540"/>
      <c r="CW121" s="540"/>
      <c r="CX121" s="540"/>
      <c r="CY121" s="540"/>
      <c r="CZ121" s="540"/>
      <c r="DB121" s="130"/>
      <c r="DC121" s="130"/>
      <c r="DD121" s="130"/>
      <c r="DE121" s="130"/>
      <c r="DF121" s="128"/>
      <c r="DG121" s="128"/>
    </row>
    <row r="122" spans="1:111" s="143" customFormat="1" ht="9.9499999999999993" customHeight="1" x14ac:dyDescent="0.25">
      <c r="A122" s="128"/>
      <c r="B122" s="128"/>
      <c r="C122" s="130"/>
      <c r="D122" s="13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  <c r="AB122" s="200"/>
      <c r="AC122" s="200"/>
      <c r="AD122" s="200"/>
      <c r="AE122" s="200"/>
      <c r="AF122" s="200"/>
      <c r="AG122" s="200"/>
      <c r="AH122" s="200"/>
      <c r="AI122" s="201"/>
      <c r="AJ122" s="201"/>
      <c r="AK122" s="201"/>
      <c r="AL122" s="201"/>
      <c r="AM122" s="201"/>
      <c r="AN122" s="201"/>
      <c r="AO122" s="201"/>
      <c r="AP122" s="201"/>
      <c r="AQ122" s="201"/>
      <c r="AR122" s="201"/>
      <c r="AS122" s="201"/>
      <c r="AT122" s="130"/>
      <c r="AU122" s="130"/>
      <c r="AV122" s="130"/>
      <c r="AW122" s="130"/>
      <c r="AX122" s="130"/>
      <c r="AY122" s="130"/>
      <c r="AZ122" s="130"/>
      <c r="BA122" s="130"/>
      <c r="BB122" s="130"/>
      <c r="BC122" s="130"/>
      <c r="BD122" s="175"/>
      <c r="BE122" s="164"/>
      <c r="BF122" s="169"/>
      <c r="BG122" s="165"/>
      <c r="BH122" s="164"/>
      <c r="BI122" s="164"/>
      <c r="BJ122" s="164"/>
      <c r="BK122" s="164"/>
      <c r="BL122" s="164"/>
      <c r="BM122" s="164"/>
      <c r="BN122" s="164"/>
      <c r="BO122" s="164"/>
      <c r="BP122" s="164"/>
      <c r="BQ122" s="164"/>
      <c r="BR122" s="164"/>
      <c r="BS122" s="164"/>
      <c r="BT122" s="164"/>
      <c r="BU122" s="164"/>
      <c r="BV122" s="164"/>
      <c r="BW122" s="164"/>
      <c r="BX122" s="164"/>
      <c r="BY122" s="164"/>
      <c r="BZ122" s="164"/>
      <c r="CA122" s="164"/>
      <c r="CB122" s="164"/>
      <c r="CC122" s="164"/>
      <c r="CD122" s="164"/>
      <c r="CE122" s="164"/>
      <c r="CF122" s="164"/>
      <c r="CG122" s="164"/>
      <c r="CH122" s="164"/>
      <c r="CI122" s="164"/>
      <c r="CJ122" s="164"/>
      <c r="CK122" s="164"/>
      <c r="CL122" s="164"/>
      <c r="CM122" s="176"/>
      <c r="CN122" s="176"/>
      <c r="DB122" s="130"/>
      <c r="DC122" s="130"/>
      <c r="DD122" s="130"/>
      <c r="DE122" s="130"/>
      <c r="DF122" s="128"/>
      <c r="DG122" s="128"/>
    </row>
    <row r="123" spans="1:111" s="143" customFormat="1" ht="24.95" customHeight="1" x14ac:dyDescent="0.25">
      <c r="A123" s="128"/>
      <c r="B123" s="128"/>
      <c r="C123" s="130"/>
      <c r="D123" s="130"/>
      <c r="E123" s="197"/>
      <c r="F123" s="197"/>
      <c r="G123" s="197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49"/>
      <c r="AJ123" s="149"/>
      <c r="AK123" s="149"/>
      <c r="AL123" s="149"/>
      <c r="AM123" s="149"/>
      <c r="AN123" s="149"/>
      <c r="AO123" s="149"/>
      <c r="AP123" s="149"/>
      <c r="AQ123" s="149"/>
      <c r="AR123" s="149"/>
      <c r="AS123" s="149"/>
      <c r="AU123" s="130"/>
      <c r="AV123" s="130"/>
      <c r="AW123" s="130"/>
      <c r="AX123" s="130"/>
      <c r="AY123" s="130"/>
      <c r="AZ123" s="130"/>
      <c r="BA123" s="130"/>
      <c r="BB123" s="130"/>
      <c r="BC123" s="130"/>
      <c r="BD123" s="236" t="s">
        <v>243</v>
      </c>
      <c r="BE123" s="233"/>
      <c r="BF123" s="234"/>
      <c r="BG123" s="235"/>
      <c r="BH123" s="233"/>
      <c r="BI123" s="233"/>
      <c r="BJ123" s="233"/>
      <c r="BK123" s="233"/>
      <c r="BL123" s="233"/>
      <c r="BM123" s="233"/>
      <c r="BN123" s="233"/>
      <c r="BO123" s="233"/>
      <c r="BP123" s="233"/>
      <c r="BQ123" s="233"/>
      <c r="BR123" s="233"/>
      <c r="BS123" s="233"/>
      <c r="BT123" s="233"/>
      <c r="BU123" s="233"/>
      <c r="BV123" s="233"/>
      <c r="BW123" s="233"/>
      <c r="BX123" s="233"/>
      <c r="BY123" s="233"/>
      <c r="BZ123" s="233"/>
      <c r="CA123" s="233"/>
      <c r="CB123" s="233"/>
      <c r="CC123" s="233"/>
      <c r="CD123" s="233"/>
      <c r="CE123" s="233"/>
      <c r="CF123" s="233"/>
      <c r="CG123" s="233"/>
      <c r="CH123" s="233"/>
      <c r="CI123" s="233"/>
      <c r="CJ123" s="233"/>
      <c r="CK123" s="233"/>
      <c r="CL123" s="233"/>
      <c r="CM123" s="230"/>
      <c r="CN123" s="230"/>
      <c r="CO123" s="550">
        <f>'Cálculos y Supuestos Edo.Res'!G52</f>
        <v>2300000</v>
      </c>
      <c r="CP123" s="550"/>
      <c r="CQ123" s="550"/>
      <c r="CR123" s="550"/>
      <c r="CS123" s="550"/>
      <c r="CT123" s="550"/>
      <c r="CU123" s="550"/>
      <c r="CV123" s="550"/>
      <c r="CW123" s="550"/>
      <c r="CX123" s="550"/>
      <c r="CY123" s="550"/>
      <c r="CZ123" s="550"/>
      <c r="DB123" s="130"/>
      <c r="DC123" s="130"/>
      <c r="DD123" s="130"/>
      <c r="DE123" s="130"/>
      <c r="DF123" s="128"/>
      <c r="DG123" s="128"/>
    </row>
    <row r="124" spans="1:111" s="143" customFormat="1" ht="24.95" customHeight="1" x14ac:dyDescent="0.25">
      <c r="A124" s="128"/>
      <c r="B124" s="128"/>
      <c r="C124" s="130"/>
      <c r="D124" s="130"/>
      <c r="E124" s="173" t="s">
        <v>28</v>
      </c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  <c r="AH124" s="164"/>
      <c r="AI124" s="531">
        <f>'Cálculos y Supuestos Edo.Res'!G10</f>
        <v>50000</v>
      </c>
      <c r="AJ124" s="531"/>
      <c r="AK124" s="531"/>
      <c r="AL124" s="531"/>
      <c r="AM124" s="531"/>
      <c r="AN124" s="531"/>
      <c r="AO124" s="531"/>
      <c r="AP124" s="531"/>
      <c r="AQ124" s="531"/>
      <c r="AR124" s="531"/>
      <c r="AS124" s="531"/>
      <c r="AU124" s="130"/>
      <c r="AV124" s="130"/>
      <c r="AW124" s="130"/>
      <c r="AX124" s="130"/>
      <c r="AY124" s="130"/>
      <c r="AZ124" s="130"/>
      <c r="BA124" s="130"/>
      <c r="BB124" s="130"/>
      <c r="BC124" s="130"/>
      <c r="BD124" s="204" t="s">
        <v>208</v>
      </c>
      <c r="CY124" s="130"/>
      <c r="CZ124" s="130"/>
      <c r="DB124" s="130"/>
      <c r="DC124" s="130"/>
      <c r="DD124" s="130"/>
      <c r="DE124" s="130"/>
      <c r="DF124" s="128"/>
      <c r="DG124" s="128"/>
    </row>
    <row r="125" spans="1:111" s="143" customFormat="1" ht="9.9499999999999993" customHeight="1" thickBot="1" x14ac:dyDescent="0.3">
      <c r="A125" s="128"/>
      <c r="B125" s="128"/>
      <c r="C125" s="130"/>
      <c r="D125" s="130"/>
      <c r="E125" s="142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  <c r="AG125" s="130"/>
      <c r="AH125" s="130"/>
      <c r="AI125" s="195"/>
      <c r="AJ125" s="195"/>
      <c r="AK125" s="195"/>
      <c r="AL125" s="195"/>
      <c r="AM125" s="195"/>
      <c r="AN125" s="195"/>
      <c r="AO125" s="195"/>
      <c r="AP125" s="195"/>
      <c r="AQ125" s="195"/>
      <c r="AR125" s="195"/>
      <c r="AS125" s="195"/>
      <c r="AU125" s="130"/>
      <c r="AV125" s="130"/>
      <c r="AW125" s="130"/>
      <c r="AX125" s="130"/>
      <c r="AY125" s="130"/>
      <c r="AZ125" s="130"/>
      <c r="BA125" s="130"/>
      <c r="BB125" s="130"/>
      <c r="BC125" s="130"/>
      <c r="BE125" s="164"/>
      <c r="BF125" s="169"/>
      <c r="BG125" s="169"/>
      <c r="BH125" s="169"/>
      <c r="BI125" s="169"/>
      <c r="BJ125" s="169"/>
      <c r="BK125" s="169"/>
      <c r="BL125" s="169"/>
      <c r="BM125" s="169"/>
      <c r="BN125" s="169"/>
      <c r="BO125" s="169"/>
      <c r="BP125" s="169"/>
      <c r="BQ125" s="169"/>
      <c r="BR125" s="169"/>
      <c r="BS125" s="169"/>
      <c r="BT125" s="169"/>
      <c r="BU125" s="169"/>
      <c r="BV125" s="169"/>
      <c r="BW125" s="169"/>
      <c r="BX125" s="169"/>
      <c r="BY125" s="169"/>
      <c r="BZ125" s="169"/>
      <c r="CA125" s="169"/>
      <c r="CB125" s="169"/>
      <c r="CC125" s="169"/>
      <c r="CD125" s="169"/>
      <c r="CE125" s="169"/>
      <c r="CF125" s="169"/>
      <c r="CG125" s="169"/>
      <c r="CH125" s="169"/>
      <c r="CI125" s="169"/>
      <c r="CJ125" s="169"/>
      <c r="CK125" s="169"/>
      <c r="CL125" s="169"/>
      <c r="CY125" s="130"/>
      <c r="CZ125" s="130"/>
      <c r="DB125" s="130"/>
      <c r="DC125" s="130"/>
      <c r="DD125" s="130"/>
      <c r="DE125" s="130"/>
      <c r="DF125" s="128"/>
      <c r="DG125" s="128"/>
    </row>
    <row r="126" spans="1:111" s="143" customFormat="1" ht="24.95" customHeight="1" x14ac:dyDescent="0.25">
      <c r="A126" s="128"/>
      <c r="B126" s="128"/>
      <c r="C126" s="130"/>
      <c r="D126" s="130"/>
      <c r="E126" s="231" t="s">
        <v>316</v>
      </c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  <c r="AC126" s="228"/>
      <c r="AD126" s="228"/>
      <c r="AE126" s="228"/>
      <c r="AF126" s="228"/>
      <c r="AG126" s="228"/>
      <c r="AH126" s="230"/>
      <c r="AI126" s="555">
        <v>0</v>
      </c>
      <c r="AJ126" s="556"/>
      <c r="AK126" s="556"/>
      <c r="AL126" s="556"/>
      <c r="AM126" s="556"/>
      <c r="AN126" s="556"/>
      <c r="AO126" s="556"/>
      <c r="AP126" s="556"/>
      <c r="AQ126" s="556"/>
      <c r="AR126" s="556"/>
      <c r="AS126" s="556"/>
      <c r="AU126" s="130"/>
      <c r="AV126" s="130"/>
      <c r="AW126" s="130"/>
      <c r="AX126" s="130"/>
      <c r="AY126" s="130"/>
      <c r="AZ126" s="130"/>
      <c r="BA126" s="130"/>
      <c r="BB126" s="130"/>
      <c r="BC126" s="130"/>
      <c r="BD126" s="236" t="s">
        <v>244</v>
      </c>
      <c r="BE126" s="130"/>
      <c r="BF126" s="130"/>
      <c r="BG126" s="130"/>
      <c r="BH126" s="130"/>
      <c r="BI126" s="130"/>
      <c r="BJ126" s="130"/>
      <c r="BK126" s="130"/>
      <c r="BL126" s="130"/>
      <c r="BM126" s="130"/>
      <c r="BN126" s="130"/>
      <c r="BO126" s="130"/>
      <c r="BP126" s="130"/>
      <c r="BQ126" s="130"/>
      <c r="BR126" s="130"/>
      <c r="BS126" s="130"/>
      <c r="BT126" s="130"/>
      <c r="BU126" s="130"/>
      <c r="BV126" s="130"/>
      <c r="BW126" s="130"/>
      <c r="BX126" s="130"/>
      <c r="BY126" s="130"/>
      <c r="BZ126" s="130"/>
      <c r="CA126" s="130"/>
      <c r="CB126" s="130"/>
      <c r="CC126" s="130"/>
      <c r="CD126" s="130"/>
      <c r="CE126" s="130"/>
      <c r="CF126" s="130"/>
      <c r="CG126" s="130"/>
      <c r="CH126" s="130"/>
      <c r="CI126" s="130"/>
      <c r="CJ126" s="130"/>
      <c r="CK126" s="129"/>
      <c r="CL126" s="129"/>
      <c r="CO126" s="550">
        <f>'Cálculos y Supuestos Edo.Res'!G49</f>
        <v>407492.95625797438</v>
      </c>
      <c r="CP126" s="550"/>
      <c r="CQ126" s="550"/>
      <c r="CR126" s="550"/>
      <c r="CS126" s="550"/>
      <c r="CT126" s="550"/>
      <c r="CU126" s="550"/>
      <c r="CV126" s="550"/>
      <c r="CW126" s="550"/>
      <c r="CX126" s="550"/>
      <c r="CY126" s="550"/>
      <c r="CZ126" s="550"/>
      <c r="DB126" s="130"/>
      <c r="DC126" s="130"/>
      <c r="DD126" s="130"/>
      <c r="DE126" s="130"/>
      <c r="DF126" s="128"/>
      <c r="DG126" s="128"/>
    </row>
    <row r="127" spans="1:111" s="143" customFormat="1" ht="20.100000000000001" customHeight="1" x14ac:dyDescent="0.25">
      <c r="A127" s="128"/>
      <c r="B127" s="128"/>
      <c r="C127" s="130"/>
      <c r="D127" s="130"/>
      <c r="AU127" s="130"/>
      <c r="AV127" s="130"/>
      <c r="AW127" s="130"/>
      <c r="AX127" s="130"/>
      <c r="AY127" s="130"/>
      <c r="AZ127" s="130"/>
      <c r="BA127" s="130"/>
      <c r="BB127" s="130"/>
      <c r="BC127" s="130"/>
      <c r="BD127" s="204" t="s">
        <v>208</v>
      </c>
      <c r="BE127" s="130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DB127" s="130"/>
      <c r="DC127" s="130"/>
      <c r="DD127" s="130"/>
      <c r="DE127" s="130"/>
      <c r="DF127" s="128"/>
      <c r="DG127" s="128"/>
    </row>
    <row r="128" spans="1:111" s="143" customFormat="1" ht="30" customHeight="1" x14ac:dyDescent="0.25">
      <c r="A128" s="128"/>
      <c r="B128" s="128"/>
      <c r="C128" s="130"/>
      <c r="D128" s="130"/>
      <c r="E128" s="551" t="s">
        <v>199</v>
      </c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51"/>
      <c r="AB128" s="551"/>
      <c r="AC128" s="551"/>
      <c r="AD128" s="551"/>
      <c r="AE128" s="551"/>
      <c r="AF128" s="551"/>
      <c r="AG128" s="551"/>
      <c r="AI128" s="574">
        <f>'Cálculos y Supuestos Edo.Res'!G50</f>
        <v>0</v>
      </c>
      <c r="AJ128" s="574"/>
      <c r="AK128" s="574"/>
      <c r="AL128" s="574"/>
      <c r="AM128" s="574"/>
      <c r="AN128" s="574"/>
      <c r="AO128" s="574"/>
      <c r="AP128" s="574"/>
      <c r="AQ128" s="574"/>
      <c r="AR128" s="574"/>
      <c r="AS128" s="574"/>
      <c r="AU128" s="130"/>
      <c r="AV128" s="130"/>
      <c r="AW128" s="130"/>
      <c r="AX128" s="130"/>
      <c r="AY128" s="130"/>
      <c r="AZ128" s="130"/>
      <c r="BA128" s="130"/>
      <c r="BB128" s="130"/>
      <c r="BC128" s="130"/>
      <c r="BD128" s="129"/>
      <c r="BE128" s="130"/>
      <c r="BF128" s="129"/>
      <c r="BG128" s="130"/>
      <c r="BH128" s="130"/>
      <c r="BI128" s="130"/>
      <c r="BJ128" s="130"/>
      <c r="BK128" s="130"/>
      <c r="BL128" s="130"/>
      <c r="BM128" s="130"/>
      <c r="BN128" s="130"/>
      <c r="BO128" s="130"/>
      <c r="BP128" s="130"/>
      <c r="BQ128" s="130"/>
      <c r="BR128" s="130"/>
      <c r="BS128" s="130"/>
      <c r="BT128" s="130"/>
      <c r="BU128" s="130"/>
      <c r="BV128" s="130"/>
      <c r="BW128" s="130"/>
      <c r="BX128" s="130"/>
      <c r="BY128" s="130"/>
      <c r="BZ128" s="130"/>
      <c r="CA128" s="130"/>
      <c r="CB128" s="130"/>
      <c r="CC128" s="130"/>
      <c r="CD128" s="130"/>
      <c r="CE128" s="130"/>
      <c r="CF128" s="130"/>
      <c r="CG128" s="130"/>
      <c r="CH128" s="130"/>
      <c r="CI128" s="130"/>
      <c r="CJ128" s="130"/>
      <c r="CK128" s="130"/>
      <c r="CL128" s="130"/>
      <c r="CM128" s="147"/>
      <c r="CN128" s="147"/>
      <c r="CO128" s="147"/>
      <c r="CP128" s="147"/>
      <c r="CQ128" s="147"/>
      <c r="CR128" s="147"/>
      <c r="CS128" s="147"/>
      <c r="CT128" s="147"/>
      <c r="CU128" s="147"/>
      <c r="CV128" s="147"/>
      <c r="CW128" s="147"/>
      <c r="CX128" s="147"/>
      <c r="CY128" s="130"/>
      <c r="CZ128" s="130"/>
      <c r="DB128" s="130"/>
      <c r="DC128" s="130"/>
      <c r="DD128" s="130"/>
      <c r="DE128" s="130"/>
      <c r="DF128" s="128"/>
      <c r="DG128" s="128"/>
    </row>
    <row r="129" spans="1:113" s="143" customFormat="1" ht="30" customHeight="1" x14ac:dyDescent="0.25">
      <c r="A129" s="128"/>
      <c r="B129" s="128"/>
      <c r="C129" s="130"/>
      <c r="D129" s="130"/>
      <c r="E129" s="551"/>
      <c r="F129" s="551"/>
      <c r="G129" s="551"/>
      <c r="H129" s="551"/>
      <c r="I129" s="551"/>
      <c r="J129" s="551"/>
      <c r="K129" s="551"/>
      <c r="L129" s="551"/>
      <c r="M129" s="551"/>
      <c r="N129" s="551"/>
      <c r="O129" s="551"/>
      <c r="P129" s="551"/>
      <c r="Q129" s="551"/>
      <c r="R129" s="551"/>
      <c r="S129" s="551"/>
      <c r="T129" s="551"/>
      <c r="U129" s="551"/>
      <c r="V129" s="551"/>
      <c r="W129" s="551"/>
      <c r="X129" s="551"/>
      <c r="Y129" s="551"/>
      <c r="Z129" s="551"/>
      <c r="AA129" s="551"/>
      <c r="AB129" s="551"/>
      <c r="AC129" s="551"/>
      <c r="AD129" s="551"/>
      <c r="AE129" s="551"/>
      <c r="AF129" s="551"/>
      <c r="AG129" s="551"/>
      <c r="AI129" s="574"/>
      <c r="AJ129" s="574"/>
      <c r="AK129" s="574"/>
      <c r="AL129" s="574"/>
      <c r="AM129" s="574"/>
      <c r="AN129" s="574"/>
      <c r="AO129" s="574"/>
      <c r="AP129" s="574"/>
      <c r="AQ129" s="574"/>
      <c r="AR129" s="574"/>
      <c r="AS129" s="574"/>
      <c r="AT129" s="130"/>
      <c r="AU129" s="130"/>
      <c r="AV129" s="130"/>
      <c r="AW129" s="130"/>
      <c r="AX129" s="130"/>
      <c r="AY129" s="130"/>
      <c r="AZ129" s="130"/>
      <c r="BA129" s="130"/>
      <c r="BB129" s="130"/>
      <c r="BC129" s="130"/>
      <c r="BD129" s="130"/>
      <c r="BE129" s="130"/>
      <c r="BG129" s="130"/>
      <c r="BH129" s="554" t="s">
        <v>291</v>
      </c>
      <c r="BI129" s="554"/>
      <c r="BJ129" s="554"/>
      <c r="BK129" s="554"/>
      <c r="BL129" s="554"/>
      <c r="BM129" s="554"/>
      <c r="BN129" s="554"/>
      <c r="BO129" s="554"/>
      <c r="BP129" s="554"/>
      <c r="BQ129" s="554"/>
      <c r="BR129" s="554"/>
      <c r="BS129" s="554"/>
      <c r="BT129" s="554"/>
      <c r="BU129" s="554"/>
      <c r="BV129" s="554"/>
      <c r="BW129" s="554"/>
      <c r="BX129" s="554"/>
      <c r="BY129" s="554"/>
      <c r="BZ129" s="554"/>
      <c r="CA129" s="554"/>
      <c r="CB129" s="554"/>
      <c r="CC129" s="554"/>
      <c r="CD129" s="554"/>
      <c r="CE129" s="554"/>
      <c r="CF129" s="554"/>
      <c r="CG129" s="554"/>
      <c r="CH129" s="554"/>
      <c r="CI129" s="554"/>
      <c r="CJ129" s="554"/>
      <c r="CK129" s="554"/>
      <c r="CL129" s="554"/>
      <c r="CM129" s="554"/>
      <c r="CN129" s="554"/>
      <c r="CO129" s="554"/>
      <c r="CP129" s="554"/>
      <c r="CQ129" s="554"/>
      <c r="CR129" s="554"/>
      <c r="CS129" s="554"/>
      <c r="CT129" s="554"/>
      <c r="CU129" s="554"/>
      <c r="CV129" s="554"/>
      <c r="CW129" s="554"/>
      <c r="CX129" s="129"/>
      <c r="CY129" s="130"/>
      <c r="CZ129" s="130"/>
      <c r="DB129" s="130"/>
      <c r="DC129" s="130"/>
      <c r="DD129" s="130"/>
      <c r="DE129" s="130"/>
      <c r="DF129" s="128"/>
      <c r="DG129" s="128"/>
      <c r="DI129" s="150"/>
    </row>
    <row r="130" spans="1:113" s="143" customFormat="1" ht="24.95" customHeight="1" x14ac:dyDescent="0.25">
      <c r="A130" s="128"/>
      <c r="B130" s="128"/>
      <c r="C130" s="130"/>
      <c r="D130" s="130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  <c r="AA130" s="196"/>
      <c r="AB130" s="196"/>
      <c r="AC130" s="196"/>
      <c r="AD130" s="196"/>
      <c r="AE130" s="196"/>
      <c r="AF130" s="196"/>
      <c r="AG130" s="196"/>
      <c r="AH130" s="145"/>
      <c r="AT130" s="145"/>
      <c r="AU130" s="130"/>
      <c r="AV130" s="130"/>
      <c r="AW130" s="130"/>
      <c r="AX130" s="130"/>
      <c r="AY130" s="130"/>
      <c r="AZ130" s="130"/>
      <c r="BA130" s="130"/>
      <c r="BB130" s="130"/>
      <c r="BC130" s="130"/>
      <c r="BH130" s="554"/>
      <c r="BI130" s="554"/>
      <c r="BJ130" s="554"/>
      <c r="BK130" s="554"/>
      <c r="BL130" s="554"/>
      <c r="BM130" s="554"/>
      <c r="BN130" s="554"/>
      <c r="BO130" s="554"/>
      <c r="BP130" s="554"/>
      <c r="BQ130" s="554"/>
      <c r="BR130" s="554"/>
      <c r="BS130" s="554"/>
      <c r="BT130" s="554"/>
      <c r="BU130" s="554"/>
      <c r="BV130" s="554"/>
      <c r="BW130" s="554"/>
      <c r="BX130" s="554"/>
      <c r="BY130" s="554"/>
      <c r="BZ130" s="554"/>
      <c r="CA130" s="554"/>
      <c r="CB130" s="554"/>
      <c r="CC130" s="554"/>
      <c r="CD130" s="554"/>
      <c r="CE130" s="554"/>
      <c r="CF130" s="554"/>
      <c r="CG130" s="554"/>
      <c r="CH130" s="554"/>
      <c r="CI130" s="554"/>
      <c r="CJ130" s="554"/>
      <c r="CK130" s="554"/>
      <c r="CL130" s="554"/>
      <c r="CM130" s="554"/>
      <c r="CN130" s="554"/>
      <c r="CO130" s="554"/>
      <c r="CP130" s="554"/>
      <c r="CQ130" s="554"/>
      <c r="CR130" s="554"/>
      <c r="CS130" s="554"/>
      <c r="CT130" s="554"/>
      <c r="CU130" s="554"/>
      <c r="CV130" s="554"/>
      <c r="CW130" s="554"/>
      <c r="CY130" s="130"/>
      <c r="CZ130" s="130"/>
      <c r="DB130" s="130"/>
      <c r="DC130" s="130"/>
      <c r="DD130" s="130"/>
      <c r="DE130" s="130"/>
      <c r="DF130" s="128"/>
      <c r="DG130" s="128"/>
    </row>
    <row r="131" spans="1:113" s="143" customFormat="1" ht="9.9499999999999993" customHeight="1" x14ac:dyDescent="0.25">
      <c r="A131" s="128"/>
      <c r="B131" s="128"/>
      <c r="C131" s="130"/>
      <c r="D131" s="130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  <c r="AA131" s="196"/>
      <c r="AB131" s="196"/>
      <c r="AC131" s="196"/>
      <c r="AD131" s="196"/>
      <c r="AE131" s="196"/>
      <c r="AF131" s="196"/>
      <c r="AG131" s="196"/>
      <c r="AH131" s="145"/>
      <c r="AT131" s="145"/>
      <c r="AU131" s="130"/>
      <c r="AV131" s="130"/>
      <c r="AW131" s="130"/>
      <c r="AX131" s="130"/>
      <c r="AY131" s="130"/>
      <c r="AZ131" s="130"/>
      <c r="BA131" s="130"/>
      <c r="BB131" s="130"/>
      <c r="BC131" s="130"/>
      <c r="BH131" s="199"/>
      <c r="BI131" s="199"/>
      <c r="BJ131" s="199"/>
      <c r="BK131" s="199"/>
      <c r="BL131" s="199"/>
      <c r="BM131" s="199"/>
      <c r="BN131" s="199"/>
      <c r="BO131" s="199"/>
      <c r="BP131" s="199"/>
      <c r="BQ131" s="199"/>
      <c r="BR131" s="199"/>
      <c r="BS131" s="199"/>
      <c r="BT131" s="199"/>
      <c r="BU131" s="199"/>
      <c r="BV131" s="199"/>
      <c r="BW131" s="199"/>
      <c r="BX131" s="199"/>
      <c r="BY131" s="199"/>
      <c r="BZ131" s="199"/>
      <c r="CA131" s="199"/>
      <c r="CB131" s="199"/>
      <c r="CC131" s="199"/>
      <c r="CD131" s="199"/>
      <c r="CE131" s="199"/>
      <c r="CF131" s="199"/>
      <c r="CG131" s="199"/>
      <c r="CH131" s="199"/>
      <c r="CI131" s="199"/>
      <c r="CJ131" s="199"/>
      <c r="CK131" s="199"/>
      <c r="CL131" s="199"/>
      <c r="CM131" s="199"/>
      <c r="CN131" s="199"/>
      <c r="CO131" s="199"/>
      <c r="CP131" s="199"/>
      <c r="CQ131" s="199"/>
      <c r="CR131" s="199"/>
      <c r="CS131" s="199"/>
      <c r="CT131" s="199"/>
      <c r="CU131" s="199"/>
      <c r="CV131" s="199"/>
      <c r="CW131" s="199"/>
      <c r="CY131" s="130"/>
      <c r="CZ131" s="130"/>
      <c r="DB131" s="130"/>
      <c r="DC131" s="130"/>
      <c r="DD131" s="130"/>
      <c r="DE131" s="130"/>
      <c r="DF131" s="128"/>
      <c r="DG131" s="128"/>
    </row>
    <row r="132" spans="1:113" s="143" customFormat="1" ht="24.95" customHeight="1" x14ac:dyDescent="0.25">
      <c r="A132" s="128"/>
      <c r="B132" s="128"/>
      <c r="C132" s="130"/>
      <c r="D132" s="130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1"/>
      <c r="AG132" s="130"/>
      <c r="AU132" s="130"/>
      <c r="AV132" s="130"/>
      <c r="AW132" s="130"/>
      <c r="AX132" s="130"/>
      <c r="AY132" s="130"/>
      <c r="AZ132" s="130"/>
      <c r="BA132" s="130"/>
      <c r="BB132" s="130"/>
      <c r="BC132" s="130"/>
      <c r="BE132" s="130"/>
      <c r="BS132" s="237" t="str">
        <f>Auxiliar!G30</f>
        <v>SUPERÁVIT</v>
      </c>
      <c r="BT132" s="148"/>
      <c r="BU132" s="148"/>
      <c r="BV132" s="148"/>
      <c r="BW132" s="148"/>
      <c r="BX132" s="148"/>
      <c r="BY132" s="148"/>
      <c r="BZ132" s="148"/>
      <c r="CA132" s="548">
        <f>'Cálculos y Supuestos Edo.Res'!G53</f>
        <v>1892507.0437420257</v>
      </c>
      <c r="CB132" s="548"/>
      <c r="CC132" s="548"/>
      <c r="CD132" s="548"/>
      <c r="CE132" s="548"/>
      <c r="CF132" s="548"/>
      <c r="CG132" s="548"/>
      <c r="CH132" s="548"/>
      <c r="CI132" s="548"/>
      <c r="CJ132" s="548"/>
      <c r="CK132" s="548"/>
      <c r="CL132" s="548"/>
      <c r="CM132" s="548"/>
      <c r="CY132" s="130"/>
      <c r="CZ132" s="130"/>
      <c r="DB132" s="130"/>
      <c r="DC132" s="130"/>
      <c r="DD132" s="130"/>
      <c r="DE132" s="130"/>
      <c r="DF132" s="128"/>
      <c r="DG132" s="128"/>
    </row>
    <row r="133" spans="1:113" s="143" customFormat="1" ht="24.95" customHeight="1" x14ac:dyDescent="0.25">
      <c r="A133" s="128"/>
      <c r="B133" s="128"/>
      <c r="C133" s="130"/>
      <c r="D133" s="130"/>
      <c r="AG133" s="130"/>
      <c r="AH133" s="130"/>
      <c r="AI133" s="130"/>
      <c r="AJ133" s="130"/>
      <c r="AK133" s="130"/>
      <c r="AL133" s="130"/>
      <c r="AM133" s="130"/>
      <c r="AN133" s="130"/>
      <c r="AO133" s="130"/>
      <c r="AP133" s="130"/>
      <c r="AQ133" s="130"/>
      <c r="AR133" s="130"/>
      <c r="AS133" s="130"/>
      <c r="AT133" s="130"/>
      <c r="AU133" s="130"/>
      <c r="AV133" s="130"/>
      <c r="AW133" s="130"/>
      <c r="AX133" s="130"/>
      <c r="AY133" s="130"/>
      <c r="AZ133" s="130"/>
      <c r="BA133" s="130"/>
      <c r="BB133" s="130"/>
      <c r="BC133" s="130"/>
      <c r="BD133" s="130"/>
      <c r="BE133" s="130"/>
      <c r="BG133" s="130"/>
      <c r="BH133" s="130"/>
      <c r="BI133" s="130"/>
      <c r="BJ133" s="130"/>
      <c r="BK133" s="130"/>
      <c r="BL133" s="130"/>
      <c r="BM133" s="130"/>
      <c r="BN133" s="130"/>
      <c r="BO133" s="130"/>
      <c r="BP133" s="130"/>
      <c r="BQ133" s="130"/>
      <c r="BR133" s="130"/>
      <c r="BS133" s="130"/>
      <c r="BT133" s="130"/>
      <c r="BU133" s="130"/>
      <c r="BV133" s="130"/>
      <c r="BW133" s="130"/>
      <c r="BX133" s="130"/>
      <c r="BY133" s="130"/>
      <c r="BZ133" s="130"/>
      <c r="CA133" s="130"/>
      <c r="CB133" s="130"/>
      <c r="CC133" s="130"/>
      <c r="CD133" s="130"/>
      <c r="CE133" s="130"/>
      <c r="CF133" s="130"/>
      <c r="CG133" s="130"/>
      <c r="CH133" s="130"/>
      <c r="CI133" s="130"/>
      <c r="CJ133" s="130"/>
      <c r="CK133" s="130"/>
      <c r="CL133" s="130"/>
      <c r="CM133" s="147"/>
      <c r="CN133" s="147"/>
      <c r="CO133" s="147"/>
      <c r="CP133" s="147"/>
      <c r="CQ133" s="147"/>
      <c r="CR133" s="147"/>
      <c r="CS133" s="147"/>
      <c r="CT133" s="147"/>
      <c r="CU133" s="147"/>
      <c r="CV133" s="147"/>
      <c r="CW133" s="147"/>
      <c r="CX133" s="147"/>
      <c r="CY133" s="130"/>
      <c r="CZ133" s="130"/>
      <c r="DB133" s="130"/>
      <c r="DC133" s="130"/>
      <c r="DD133" s="130"/>
      <c r="DE133" s="130"/>
      <c r="DF133" s="128"/>
      <c r="DG133" s="128"/>
    </row>
    <row r="134" spans="1:113" s="143" customFormat="1" ht="24.95" customHeight="1" x14ac:dyDescent="0.25">
      <c r="A134" s="128"/>
      <c r="B134" s="128"/>
      <c r="C134" s="130"/>
      <c r="D134" s="130"/>
      <c r="AT134" s="130"/>
      <c r="AU134" s="130"/>
      <c r="AV134" s="130"/>
      <c r="AW134" s="130"/>
      <c r="AX134" s="130"/>
      <c r="AY134" s="130"/>
      <c r="AZ134" s="130"/>
      <c r="BA134" s="130"/>
      <c r="BB134" s="130"/>
      <c r="BC134" s="130"/>
      <c r="BD134" s="130"/>
      <c r="BE134" s="130"/>
      <c r="BF134" s="130"/>
      <c r="BG134" s="130"/>
      <c r="BH134" s="130"/>
      <c r="BI134" s="130"/>
      <c r="BJ134" s="130"/>
      <c r="BK134" s="130"/>
      <c r="BL134" s="130"/>
      <c r="BM134" s="130"/>
      <c r="BN134" s="130"/>
      <c r="BO134" s="130"/>
      <c r="BP134" s="130"/>
      <c r="BQ134" s="130"/>
      <c r="BR134" s="130"/>
      <c r="BS134" s="130"/>
      <c r="BT134" s="130"/>
      <c r="BU134" s="130"/>
      <c r="BV134" s="130"/>
      <c r="BW134" s="130"/>
      <c r="BX134" s="130"/>
      <c r="BY134" s="130"/>
      <c r="BZ134" s="130"/>
      <c r="CA134" s="130"/>
      <c r="CB134" s="130"/>
      <c r="CC134" s="130"/>
      <c r="CD134" s="130"/>
      <c r="CE134" s="130"/>
      <c r="CF134" s="130"/>
      <c r="CG134" s="130"/>
      <c r="CH134" s="130"/>
      <c r="CI134" s="130"/>
      <c r="CJ134" s="130"/>
      <c r="CK134" s="130"/>
      <c r="CL134" s="130"/>
      <c r="CM134" s="130"/>
      <c r="CN134" s="130"/>
      <c r="CO134" s="130"/>
      <c r="CP134" s="130"/>
      <c r="CQ134" s="130"/>
      <c r="CR134" s="130"/>
      <c r="CS134" s="130"/>
      <c r="CT134" s="130"/>
      <c r="CU134" s="130"/>
      <c r="CV134" s="130"/>
      <c r="CW134" s="130"/>
      <c r="CX134" s="130"/>
      <c r="CY134" s="130"/>
      <c r="CZ134" s="130"/>
      <c r="DA134" s="130"/>
      <c r="DB134" s="130"/>
      <c r="DC134" s="130"/>
      <c r="DD134" s="130"/>
      <c r="DE134" s="130"/>
      <c r="DF134" s="128"/>
      <c r="DG134" s="128"/>
    </row>
    <row r="135" spans="1:113" s="143" customFormat="1" ht="19.5" customHeight="1" x14ac:dyDescent="0.25">
      <c r="A135" s="128"/>
      <c r="B135" s="128"/>
      <c r="C135" s="130"/>
      <c r="D135" s="130"/>
      <c r="AT135" s="130"/>
      <c r="AU135" s="130"/>
      <c r="AV135" s="130"/>
      <c r="AW135" s="130"/>
      <c r="AX135" s="130"/>
      <c r="AY135" s="130"/>
      <c r="AZ135" s="130"/>
      <c r="BA135" s="130"/>
      <c r="BB135" s="130"/>
      <c r="BC135" s="130"/>
      <c r="BD135" s="130"/>
      <c r="BE135" s="130"/>
      <c r="BF135" s="130"/>
      <c r="BG135" s="130"/>
      <c r="BH135" s="130"/>
      <c r="BI135" s="130"/>
      <c r="BJ135" s="130"/>
      <c r="BK135" s="130"/>
      <c r="BL135" s="130"/>
      <c r="BM135" s="130"/>
      <c r="BN135" s="130"/>
      <c r="BO135" s="130"/>
      <c r="BP135" s="130"/>
      <c r="BQ135" s="130"/>
      <c r="BR135" s="130"/>
      <c r="BS135" s="130"/>
      <c r="BT135" s="130"/>
      <c r="BU135" s="130"/>
      <c r="BV135" s="130"/>
      <c r="BW135" s="130"/>
      <c r="BX135" s="130"/>
      <c r="BY135" s="130"/>
      <c r="BZ135" s="130"/>
      <c r="CA135" s="130"/>
      <c r="CB135" s="130"/>
      <c r="CC135" s="130"/>
      <c r="CD135" s="130"/>
      <c r="CE135" s="130"/>
      <c r="CF135" s="130"/>
      <c r="CG135" s="130"/>
      <c r="CH135" s="130"/>
      <c r="CI135" s="130"/>
      <c r="CJ135" s="130"/>
      <c r="CK135" s="130"/>
      <c r="CL135" s="130"/>
      <c r="CM135" s="130"/>
      <c r="CN135" s="130"/>
      <c r="CO135" s="130"/>
      <c r="CP135" s="130"/>
      <c r="CQ135" s="130"/>
      <c r="CR135" s="130"/>
      <c r="CS135" s="130"/>
      <c r="CT135" s="130"/>
      <c r="CU135" s="130"/>
      <c r="CV135" s="130"/>
      <c r="CW135" s="130"/>
      <c r="CX135" s="130"/>
      <c r="CY135" s="130"/>
      <c r="CZ135" s="130"/>
      <c r="DA135" s="130"/>
      <c r="DB135" s="130"/>
      <c r="DC135" s="130"/>
      <c r="DD135" s="130"/>
      <c r="DE135" s="130"/>
      <c r="DF135" s="128"/>
      <c r="DG135" s="128"/>
    </row>
    <row r="136" spans="1:113" s="143" customFormat="1" ht="30.75" x14ac:dyDescent="0.25">
      <c r="A136" s="128"/>
      <c r="B136" s="128"/>
      <c r="C136" s="130"/>
      <c r="D136" s="130"/>
      <c r="E136" s="198" t="s">
        <v>276</v>
      </c>
      <c r="F136" s="177"/>
      <c r="G136" s="177"/>
      <c r="H136" s="177"/>
      <c r="I136" s="177"/>
      <c r="J136" s="177"/>
      <c r="K136" s="177"/>
      <c r="L136" s="177"/>
      <c r="M136" s="177"/>
      <c r="N136" s="177"/>
      <c r="O136" s="177"/>
      <c r="P136" s="238"/>
      <c r="Q136" s="238"/>
      <c r="R136" s="238"/>
      <c r="S136" s="517">
        <f>Desacumulación!I7</f>
        <v>1448.4412170937503</v>
      </c>
      <c r="T136" s="517"/>
      <c r="U136" s="517"/>
      <c r="V136" s="517"/>
      <c r="W136" s="517"/>
      <c r="X136" s="517"/>
      <c r="Y136" s="517"/>
      <c r="Z136" s="517"/>
      <c r="AA136" s="517"/>
      <c r="AB136" s="517"/>
      <c r="AC136" s="517"/>
      <c r="BS136" s="130"/>
      <c r="BT136" s="130"/>
      <c r="BU136" s="130"/>
      <c r="BV136" s="130"/>
      <c r="BW136" s="130"/>
      <c r="BX136" s="130"/>
      <c r="BY136" s="130"/>
      <c r="BZ136" s="130"/>
      <c r="CA136" s="130"/>
      <c r="CB136" s="130"/>
      <c r="CC136" s="130"/>
      <c r="CD136" s="130"/>
      <c r="CE136" s="130"/>
      <c r="CF136" s="130"/>
      <c r="CG136" s="130"/>
      <c r="CH136" s="130"/>
      <c r="CI136" s="130"/>
      <c r="CJ136" s="130"/>
      <c r="CK136" s="130"/>
      <c r="CL136" s="130"/>
      <c r="CM136" s="130"/>
      <c r="CN136" s="130"/>
      <c r="CO136" s="130"/>
      <c r="CP136" s="130"/>
      <c r="CQ136" s="130"/>
      <c r="CR136" s="130"/>
      <c r="CS136" s="130"/>
      <c r="CT136" s="130"/>
      <c r="CU136" s="130"/>
      <c r="CV136" s="130"/>
      <c r="CW136" s="130"/>
      <c r="CX136" s="130"/>
      <c r="CY136" s="130"/>
      <c r="CZ136" s="130"/>
      <c r="DA136" s="130"/>
      <c r="DB136" s="130"/>
      <c r="DC136" s="130"/>
      <c r="DD136" s="130"/>
      <c r="DE136" s="130"/>
      <c r="DF136" s="128"/>
      <c r="DG136" s="128"/>
    </row>
    <row r="137" spans="1:113" s="143" customFormat="1" ht="9.9499999999999993" customHeight="1" x14ac:dyDescent="0.25">
      <c r="A137" s="128"/>
      <c r="B137" s="128"/>
      <c r="C137" s="130"/>
      <c r="D137" s="130"/>
      <c r="E137" s="152"/>
      <c r="AD137" s="130"/>
      <c r="AE137" s="130"/>
      <c r="AF137" s="130"/>
      <c r="AG137" s="130"/>
      <c r="AH137" s="130"/>
      <c r="AI137" s="130"/>
      <c r="AJ137" s="130"/>
      <c r="AK137" s="130"/>
      <c r="AL137" s="130"/>
      <c r="AM137" s="130"/>
      <c r="AN137" s="130"/>
      <c r="AO137" s="130"/>
      <c r="AP137" s="130"/>
      <c r="AQ137" s="130"/>
      <c r="AR137" s="130"/>
      <c r="AS137" s="130"/>
      <c r="AT137" s="130"/>
      <c r="AU137" s="130"/>
      <c r="AV137" s="130"/>
      <c r="AW137" s="130"/>
      <c r="AX137" s="130"/>
      <c r="AY137" s="130"/>
      <c r="AZ137" s="130"/>
      <c r="BA137" s="130"/>
      <c r="BB137" s="130"/>
      <c r="BC137" s="130"/>
      <c r="BD137" s="130"/>
      <c r="BE137" s="130"/>
      <c r="BF137" s="130"/>
      <c r="BG137" s="130"/>
      <c r="BH137" s="130"/>
      <c r="BI137" s="130"/>
      <c r="BJ137" s="130"/>
      <c r="BK137" s="130"/>
      <c r="BL137" s="130"/>
      <c r="BM137" s="130"/>
      <c r="BN137" s="130"/>
      <c r="BO137" s="130"/>
      <c r="BP137" s="130"/>
      <c r="BQ137" s="130"/>
      <c r="BR137" s="130"/>
      <c r="BS137" s="130"/>
      <c r="BT137" s="130"/>
      <c r="BU137" s="130"/>
      <c r="BV137" s="130"/>
      <c r="BW137" s="130"/>
      <c r="BX137" s="130"/>
      <c r="BY137" s="130"/>
      <c r="BZ137" s="130"/>
      <c r="CA137" s="130"/>
      <c r="CB137" s="130"/>
      <c r="CC137" s="130"/>
      <c r="CD137" s="130"/>
      <c r="CE137" s="130"/>
      <c r="CF137" s="130"/>
      <c r="CG137" s="130"/>
      <c r="CH137" s="130"/>
      <c r="CI137" s="130"/>
      <c r="CJ137" s="130"/>
      <c r="CK137" s="130"/>
      <c r="CL137" s="130"/>
      <c r="CM137" s="130"/>
      <c r="CN137" s="130"/>
      <c r="CO137" s="130"/>
      <c r="CP137" s="130"/>
      <c r="CQ137" s="130"/>
      <c r="CR137" s="130"/>
      <c r="CS137" s="130"/>
      <c r="CT137" s="130"/>
      <c r="CU137" s="130"/>
      <c r="CV137" s="130"/>
      <c r="CW137" s="130"/>
      <c r="CX137" s="130"/>
      <c r="CY137" s="130"/>
      <c r="CZ137" s="130"/>
      <c r="DA137" s="130"/>
      <c r="DB137" s="130"/>
      <c r="DC137" s="130"/>
      <c r="DD137" s="130"/>
      <c r="DE137" s="130"/>
      <c r="DF137" s="128"/>
      <c r="DG137" s="128"/>
    </row>
    <row r="138" spans="1:113" s="143" customFormat="1" ht="24.95" customHeight="1" x14ac:dyDescent="0.25">
      <c r="A138" s="128"/>
      <c r="B138" s="128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  <c r="AG138" s="130"/>
      <c r="AH138" s="130"/>
      <c r="AI138" s="130"/>
      <c r="AJ138" s="130"/>
      <c r="AK138" s="130"/>
      <c r="AL138" s="130"/>
      <c r="AM138" s="130"/>
      <c r="AN138" s="130"/>
      <c r="AO138" s="130"/>
      <c r="AP138" s="130"/>
      <c r="AQ138" s="130"/>
      <c r="AR138" s="130"/>
      <c r="AS138" s="130"/>
      <c r="AT138" s="130"/>
      <c r="AU138" s="130"/>
      <c r="AV138" s="130"/>
      <c r="AW138" s="130"/>
      <c r="AX138" s="130"/>
      <c r="AY138" s="130"/>
      <c r="AZ138" s="130"/>
      <c r="BA138" s="130"/>
      <c r="BB138" s="130"/>
      <c r="BC138" s="130"/>
      <c r="BD138" s="130"/>
      <c r="BE138" s="130"/>
      <c r="BF138" s="130"/>
      <c r="BG138" s="130"/>
      <c r="BH138" s="130"/>
      <c r="BI138" s="130"/>
      <c r="BJ138" s="130"/>
      <c r="BK138" s="130"/>
      <c r="BL138" s="130"/>
      <c r="BM138" s="130"/>
      <c r="BN138" s="130"/>
      <c r="BO138" s="130"/>
      <c r="BP138" s="130"/>
      <c r="BQ138" s="130"/>
      <c r="BR138" s="130"/>
      <c r="BS138" s="130"/>
      <c r="BT138" s="130"/>
      <c r="BU138" s="130"/>
      <c r="BV138" s="130"/>
      <c r="BW138" s="130"/>
      <c r="BX138" s="130"/>
      <c r="BY138" s="130"/>
      <c r="BZ138" s="130"/>
      <c r="CA138" s="130"/>
      <c r="CB138" s="130"/>
      <c r="CC138" s="130"/>
      <c r="CD138" s="130"/>
      <c r="CE138" s="130"/>
      <c r="CF138" s="130"/>
      <c r="CG138" s="130"/>
      <c r="CH138" s="130"/>
      <c r="CI138" s="130"/>
      <c r="CJ138" s="130"/>
      <c r="CK138" s="130"/>
      <c r="CL138" s="130"/>
      <c r="CM138" s="130"/>
      <c r="CN138" s="130"/>
      <c r="CO138" s="130"/>
      <c r="CP138" s="130"/>
      <c r="CQ138" s="130"/>
      <c r="CR138" s="130"/>
      <c r="CS138" s="130"/>
      <c r="CT138" s="130"/>
      <c r="CU138" s="130"/>
      <c r="CV138" s="130"/>
      <c r="CW138" s="130"/>
      <c r="CX138" s="130"/>
      <c r="CY138" s="130"/>
      <c r="CZ138" s="130"/>
      <c r="DA138" s="130"/>
      <c r="DB138" s="130"/>
      <c r="DC138" s="130"/>
      <c r="DD138" s="130"/>
      <c r="DE138" s="130"/>
      <c r="DF138" s="128"/>
      <c r="DG138" s="128"/>
    </row>
    <row r="139" spans="1:113" s="143" customFormat="1" ht="24.95" customHeight="1" x14ac:dyDescent="0.25">
      <c r="A139" s="128"/>
      <c r="B139" s="128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  <c r="AG139" s="130"/>
      <c r="AH139" s="130"/>
      <c r="AI139" s="130"/>
      <c r="AJ139" s="130"/>
      <c r="AK139" s="130"/>
      <c r="AL139" s="130"/>
      <c r="AM139" s="130"/>
      <c r="AN139" s="130"/>
      <c r="AO139" s="130"/>
      <c r="AP139" s="130"/>
      <c r="AQ139" s="130"/>
      <c r="AR139" s="130"/>
      <c r="AS139" s="130"/>
      <c r="AT139" s="130"/>
      <c r="AU139" s="130"/>
      <c r="AV139" s="130"/>
      <c r="AW139" s="130"/>
      <c r="AX139" s="130"/>
      <c r="AY139" s="130"/>
      <c r="AZ139" s="130"/>
      <c r="BA139" s="130"/>
      <c r="BB139" s="130"/>
      <c r="BC139" s="130"/>
      <c r="BD139" s="130"/>
      <c r="BE139" s="130"/>
      <c r="BF139" s="130"/>
      <c r="BG139" s="130"/>
      <c r="BH139" s="130"/>
      <c r="BI139" s="130"/>
      <c r="BJ139" s="130"/>
      <c r="BK139" s="130"/>
      <c r="BL139" s="130"/>
      <c r="BM139" s="130"/>
      <c r="BN139" s="130"/>
      <c r="BO139" s="130"/>
      <c r="BP139" s="130"/>
      <c r="BQ139" s="130"/>
      <c r="BR139" s="130"/>
      <c r="BS139" s="130"/>
      <c r="BT139" s="130"/>
      <c r="BU139" s="130"/>
      <c r="BV139" s="130"/>
      <c r="BW139" s="130"/>
      <c r="BX139" s="130"/>
      <c r="BY139" s="130"/>
      <c r="BZ139" s="130"/>
      <c r="CA139" s="130"/>
      <c r="CB139" s="130"/>
      <c r="CC139" s="130"/>
      <c r="CD139" s="130"/>
      <c r="CE139" s="130"/>
      <c r="CF139" s="130"/>
      <c r="CG139" s="130"/>
      <c r="CH139" s="130"/>
      <c r="CI139" s="130"/>
      <c r="CJ139" s="130"/>
      <c r="CK139" s="130"/>
      <c r="CL139" s="130"/>
      <c r="CM139" s="130"/>
      <c r="CN139" s="130"/>
      <c r="CO139" s="130"/>
      <c r="CP139" s="130"/>
      <c r="CQ139" s="130"/>
      <c r="CR139" s="130"/>
      <c r="CS139" s="130"/>
      <c r="CT139" s="130"/>
      <c r="CU139" s="130"/>
      <c r="CV139" s="130"/>
      <c r="CW139" s="130"/>
      <c r="CX139" s="130"/>
      <c r="CY139" s="130"/>
      <c r="CZ139" s="130"/>
      <c r="DA139" s="130"/>
      <c r="DB139" s="130"/>
      <c r="DC139" s="130"/>
      <c r="DD139" s="130"/>
      <c r="DE139" s="130"/>
      <c r="DF139" s="128"/>
      <c r="DG139" s="128"/>
    </row>
    <row r="140" spans="1:113" s="143" customFormat="1" ht="24.95" customHeight="1" x14ac:dyDescent="0.25">
      <c r="A140" s="128"/>
      <c r="B140" s="128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  <c r="AG140" s="130"/>
      <c r="AH140" s="130"/>
      <c r="AI140" s="130"/>
      <c r="AJ140" s="130"/>
      <c r="AK140" s="130"/>
      <c r="AL140" s="130"/>
      <c r="AM140" s="130"/>
      <c r="AN140" s="130"/>
      <c r="AO140" s="130"/>
      <c r="AP140" s="130"/>
      <c r="AQ140" s="130"/>
      <c r="AR140" s="130"/>
      <c r="AS140" s="130"/>
      <c r="AT140" s="130"/>
      <c r="AU140" s="130"/>
      <c r="AV140" s="130"/>
      <c r="AW140" s="130"/>
      <c r="AX140" s="130"/>
      <c r="AY140" s="130"/>
      <c r="AZ140" s="130"/>
      <c r="BA140" s="130"/>
      <c r="BB140" s="130"/>
      <c r="BC140" s="130"/>
      <c r="BD140" s="130"/>
      <c r="BE140" s="130"/>
      <c r="BF140" s="130"/>
      <c r="BG140" s="130"/>
      <c r="BH140" s="130"/>
      <c r="BI140" s="130"/>
      <c r="BJ140" s="130"/>
      <c r="BK140" s="130"/>
      <c r="BL140" s="130"/>
      <c r="BM140" s="130"/>
      <c r="BN140" s="130"/>
      <c r="BO140" s="130"/>
      <c r="BP140" s="130"/>
      <c r="BQ140" s="130"/>
      <c r="BR140" s="130"/>
      <c r="BS140" s="130"/>
      <c r="BT140" s="130"/>
      <c r="BU140" s="130"/>
      <c r="BV140" s="130"/>
      <c r="BW140" s="130"/>
      <c r="BX140" s="130"/>
      <c r="BY140" s="130"/>
      <c r="BZ140" s="130"/>
      <c r="CA140" s="130"/>
      <c r="CB140" s="130"/>
      <c r="CC140" s="130"/>
      <c r="CD140" s="130"/>
      <c r="CE140" s="130"/>
      <c r="CF140" s="130"/>
      <c r="CG140" s="130"/>
      <c r="CH140" s="130"/>
      <c r="CI140" s="130"/>
      <c r="CJ140" s="130"/>
      <c r="CK140" s="130"/>
      <c r="CL140" s="130"/>
      <c r="CM140" s="130"/>
      <c r="CN140" s="130"/>
      <c r="CO140" s="130"/>
      <c r="CP140" s="130"/>
      <c r="CQ140" s="130"/>
      <c r="CR140" s="130"/>
      <c r="CS140" s="130"/>
      <c r="CT140" s="130"/>
      <c r="CU140" s="130"/>
      <c r="CV140" s="130"/>
      <c r="CW140" s="130"/>
      <c r="CX140" s="130"/>
      <c r="CY140" s="130"/>
      <c r="CZ140" s="130"/>
      <c r="DA140" s="130"/>
      <c r="DB140" s="130"/>
      <c r="DC140" s="130"/>
      <c r="DD140" s="130"/>
      <c r="DE140" s="130"/>
      <c r="DF140" s="128"/>
      <c r="DG140" s="128"/>
    </row>
    <row r="141" spans="1:113" s="143" customFormat="1" ht="24.95" customHeight="1" x14ac:dyDescent="0.25">
      <c r="A141" s="128"/>
      <c r="B141" s="128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  <c r="AG141" s="130"/>
      <c r="AH141" s="130"/>
      <c r="AI141" s="130"/>
      <c r="AJ141" s="130"/>
      <c r="AK141" s="130"/>
      <c r="AL141" s="130"/>
      <c r="AM141" s="130"/>
      <c r="AN141" s="130"/>
      <c r="AO141" s="130"/>
      <c r="AP141" s="130"/>
      <c r="AQ141" s="130"/>
      <c r="AR141" s="130"/>
      <c r="AS141" s="130"/>
      <c r="AT141" s="130"/>
      <c r="AU141" s="130"/>
      <c r="AV141" s="130"/>
      <c r="AW141" s="130"/>
      <c r="AX141" s="130"/>
      <c r="AY141" s="130"/>
      <c r="AZ141" s="130"/>
      <c r="BA141" s="130"/>
      <c r="BB141" s="130"/>
      <c r="BC141" s="130"/>
      <c r="BD141" s="130"/>
      <c r="BE141" s="130"/>
      <c r="BF141" s="130"/>
      <c r="BG141" s="130"/>
      <c r="BH141" s="130"/>
      <c r="BI141" s="130"/>
      <c r="BJ141" s="130"/>
      <c r="BK141" s="130"/>
      <c r="BL141" s="130"/>
      <c r="BM141" s="130"/>
      <c r="BN141" s="130"/>
      <c r="BO141" s="130"/>
      <c r="BP141" s="130"/>
      <c r="BQ141" s="130"/>
      <c r="BR141" s="130"/>
      <c r="BS141" s="130"/>
      <c r="BT141" s="130"/>
      <c r="BU141" s="130"/>
      <c r="BV141" s="130"/>
      <c r="BW141" s="130"/>
      <c r="BX141" s="130"/>
      <c r="BY141" s="130"/>
      <c r="BZ141" s="130"/>
      <c r="CA141" s="130"/>
      <c r="CB141" s="130"/>
      <c r="CC141" s="130"/>
      <c r="CD141" s="130"/>
      <c r="CE141" s="130"/>
      <c r="CF141" s="130"/>
      <c r="CG141" s="130"/>
      <c r="CH141" s="130"/>
      <c r="CI141" s="130"/>
      <c r="CJ141" s="130"/>
      <c r="CK141" s="130"/>
      <c r="CL141" s="130"/>
      <c r="CM141" s="130"/>
      <c r="CN141" s="130"/>
      <c r="CO141" s="130"/>
      <c r="CP141" s="130"/>
      <c r="CQ141" s="130"/>
      <c r="CR141" s="130"/>
      <c r="CS141" s="130"/>
      <c r="CT141" s="130"/>
      <c r="CU141" s="130"/>
      <c r="CV141" s="130"/>
      <c r="CW141" s="130"/>
      <c r="CX141" s="130"/>
      <c r="CY141" s="130"/>
      <c r="CZ141" s="130"/>
      <c r="DA141" s="130"/>
      <c r="DB141" s="130"/>
      <c r="DC141" s="130"/>
      <c r="DD141" s="130"/>
      <c r="DE141" s="130"/>
      <c r="DF141" s="128"/>
      <c r="DG141" s="128"/>
    </row>
    <row r="142" spans="1:113" s="143" customFormat="1" ht="24.95" customHeight="1" x14ac:dyDescent="0.25">
      <c r="A142" s="128"/>
      <c r="B142" s="128"/>
      <c r="C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  <c r="AG142" s="130"/>
      <c r="AH142" s="130"/>
      <c r="AI142" s="130"/>
      <c r="AJ142" s="130"/>
      <c r="AK142" s="130"/>
      <c r="AL142" s="130"/>
      <c r="AM142" s="130"/>
      <c r="AN142" s="130"/>
      <c r="AO142" s="130"/>
      <c r="AP142" s="130"/>
      <c r="AQ142" s="130"/>
      <c r="AR142" s="130"/>
      <c r="AS142" s="130"/>
      <c r="AT142" s="130"/>
      <c r="AU142" s="130"/>
      <c r="AV142" s="130"/>
      <c r="AW142" s="130"/>
      <c r="AX142" s="130"/>
      <c r="AY142" s="130"/>
      <c r="AZ142" s="130"/>
      <c r="BA142" s="130"/>
      <c r="BB142" s="130"/>
      <c r="BC142" s="130"/>
      <c r="BD142" s="130"/>
      <c r="BE142" s="130"/>
      <c r="BF142" s="130"/>
      <c r="BG142" s="130"/>
      <c r="BH142" s="130"/>
      <c r="BI142" s="130"/>
      <c r="BJ142" s="130"/>
      <c r="BK142" s="130"/>
      <c r="BL142" s="130"/>
      <c r="BM142" s="130"/>
      <c r="BN142" s="130"/>
      <c r="BO142" s="130"/>
      <c r="BP142" s="130"/>
      <c r="BQ142" s="130"/>
      <c r="BR142" s="130"/>
      <c r="BS142" s="130"/>
      <c r="BT142" s="130"/>
      <c r="BU142" s="130"/>
      <c r="BV142" s="130"/>
      <c r="BW142" s="130"/>
      <c r="BX142" s="130"/>
      <c r="BY142" s="130"/>
      <c r="BZ142" s="130"/>
      <c r="CA142" s="130"/>
      <c r="CB142" s="130"/>
      <c r="CC142" s="130"/>
      <c r="CD142" s="130"/>
      <c r="CE142" s="130"/>
      <c r="CF142" s="130"/>
      <c r="CG142" s="130"/>
      <c r="CH142" s="130"/>
      <c r="CI142" s="130"/>
      <c r="CJ142" s="130"/>
      <c r="CK142" s="130"/>
      <c r="CL142" s="130"/>
      <c r="CM142" s="130"/>
      <c r="CN142" s="130"/>
      <c r="CO142" s="130"/>
      <c r="CP142" s="130"/>
      <c r="CQ142" s="130"/>
      <c r="CR142" s="130"/>
      <c r="CS142" s="130"/>
      <c r="CT142" s="130"/>
      <c r="CU142" s="130"/>
      <c r="CV142" s="130"/>
      <c r="CW142" s="130"/>
      <c r="CX142" s="130"/>
      <c r="CY142" s="130"/>
      <c r="CZ142" s="130"/>
      <c r="DA142" s="130"/>
      <c r="DB142" s="130"/>
      <c r="DC142" s="130"/>
      <c r="DD142" s="130"/>
      <c r="DE142" s="130"/>
      <c r="DF142" s="128"/>
      <c r="DG142" s="128"/>
    </row>
    <row r="143" spans="1:113" s="143" customFormat="1" ht="24.95" customHeight="1" x14ac:dyDescent="0.25">
      <c r="A143" s="128"/>
      <c r="B143" s="128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  <c r="AG143" s="130"/>
      <c r="AH143" s="130"/>
      <c r="AI143" s="130"/>
      <c r="AJ143" s="130"/>
      <c r="AK143" s="130"/>
      <c r="AL143" s="130"/>
      <c r="AM143" s="130"/>
      <c r="AN143" s="130"/>
      <c r="AO143" s="130"/>
      <c r="AP143" s="130"/>
      <c r="AQ143" s="130"/>
      <c r="AR143" s="130"/>
      <c r="AS143" s="130"/>
      <c r="AT143" s="130"/>
      <c r="AU143" s="130"/>
      <c r="AV143" s="130"/>
      <c r="AW143" s="130"/>
      <c r="AX143" s="130"/>
      <c r="AY143" s="130"/>
      <c r="AZ143" s="130"/>
      <c r="BA143" s="130"/>
      <c r="BB143" s="130"/>
      <c r="BC143" s="130"/>
      <c r="BD143" s="130"/>
      <c r="BE143" s="130"/>
      <c r="BF143" s="130"/>
      <c r="BG143" s="130"/>
      <c r="BH143" s="130"/>
      <c r="BI143" s="130"/>
      <c r="BJ143" s="130"/>
      <c r="BK143" s="130"/>
      <c r="BL143" s="130"/>
      <c r="BM143" s="130"/>
      <c r="BN143" s="130"/>
      <c r="BO143" s="130"/>
      <c r="BP143" s="130"/>
      <c r="BQ143" s="130"/>
      <c r="BR143" s="130"/>
      <c r="BS143" s="130"/>
      <c r="BT143" s="130"/>
      <c r="BU143" s="130"/>
      <c r="BV143" s="130"/>
      <c r="BW143" s="130"/>
      <c r="BX143" s="130"/>
      <c r="BY143" s="130"/>
      <c r="BZ143" s="130"/>
      <c r="CA143" s="130"/>
      <c r="CB143" s="130"/>
      <c r="CC143" s="130"/>
      <c r="CD143" s="130"/>
      <c r="CE143" s="130"/>
      <c r="CF143" s="130"/>
      <c r="CG143" s="130"/>
      <c r="CH143" s="130"/>
      <c r="CI143" s="130"/>
      <c r="CJ143" s="130"/>
      <c r="CK143" s="130"/>
      <c r="CL143" s="130"/>
      <c r="CM143" s="130"/>
      <c r="CN143" s="130"/>
      <c r="CO143" s="130"/>
      <c r="CP143" s="130"/>
      <c r="CQ143" s="130"/>
      <c r="CR143" s="130"/>
      <c r="CS143" s="130"/>
      <c r="CT143" s="130"/>
      <c r="CU143" s="130"/>
      <c r="CV143" s="130"/>
      <c r="CW143" s="130"/>
      <c r="CX143" s="130"/>
      <c r="CY143" s="130"/>
      <c r="CZ143" s="130"/>
      <c r="DA143" s="130"/>
      <c r="DB143" s="130"/>
      <c r="DC143" s="130"/>
      <c r="DD143" s="130"/>
      <c r="DE143" s="130"/>
      <c r="DF143" s="128"/>
      <c r="DG143" s="128"/>
    </row>
    <row r="144" spans="1:113" s="143" customFormat="1" ht="24.95" customHeight="1" x14ac:dyDescent="0.25">
      <c r="A144" s="128"/>
      <c r="B144" s="128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  <c r="AG144" s="130"/>
      <c r="AH144" s="130"/>
      <c r="AI144" s="130"/>
      <c r="AJ144" s="130"/>
      <c r="AK144" s="130"/>
      <c r="AL144" s="130"/>
      <c r="AM144" s="130"/>
      <c r="AN144" s="130"/>
      <c r="AO144" s="130"/>
      <c r="AP144" s="130"/>
      <c r="AQ144" s="130"/>
      <c r="AR144" s="130"/>
      <c r="AS144" s="130"/>
      <c r="AT144" s="130"/>
      <c r="AU144" s="130"/>
      <c r="AV144" s="130"/>
      <c r="AW144" s="130"/>
      <c r="AX144" s="130"/>
      <c r="AY144" s="130"/>
      <c r="AZ144" s="130"/>
      <c r="BA144" s="130"/>
      <c r="BB144" s="130"/>
      <c r="BC144" s="130"/>
      <c r="BD144" s="130"/>
      <c r="BE144" s="130"/>
      <c r="BF144" s="130"/>
      <c r="BG144" s="130"/>
      <c r="BH144" s="130"/>
      <c r="BI144" s="130"/>
      <c r="BJ144" s="130"/>
      <c r="BK144" s="130"/>
      <c r="BL144" s="130"/>
      <c r="BM144" s="130"/>
      <c r="BN144" s="130"/>
      <c r="BO144" s="130"/>
      <c r="BP144" s="130"/>
      <c r="BQ144" s="130"/>
      <c r="BR144" s="130"/>
      <c r="BS144" s="130"/>
      <c r="BT144" s="130"/>
      <c r="BU144" s="130"/>
      <c r="BV144" s="130"/>
      <c r="BW144" s="130"/>
      <c r="BX144" s="130"/>
      <c r="BY144" s="130"/>
      <c r="BZ144" s="130"/>
      <c r="CA144" s="130"/>
      <c r="CB144" s="130"/>
      <c r="CC144" s="130"/>
      <c r="CD144" s="130"/>
      <c r="CE144" s="130"/>
      <c r="CF144" s="130"/>
      <c r="CG144" s="130"/>
      <c r="CH144" s="130"/>
      <c r="CI144" s="130"/>
      <c r="CJ144" s="130"/>
      <c r="CK144" s="130"/>
      <c r="CL144" s="130"/>
      <c r="CM144" s="130"/>
      <c r="CN144" s="130"/>
      <c r="CO144" s="130"/>
      <c r="CP144" s="130"/>
      <c r="CQ144" s="130"/>
      <c r="CR144" s="130"/>
      <c r="CS144" s="130"/>
      <c r="CT144" s="130"/>
      <c r="CU144" s="130"/>
      <c r="CV144" s="130"/>
      <c r="CW144" s="130"/>
      <c r="CX144" s="130"/>
      <c r="CY144" s="130"/>
      <c r="CZ144" s="130"/>
      <c r="DA144" s="130"/>
      <c r="DB144" s="130"/>
      <c r="DC144" s="130"/>
      <c r="DD144" s="130"/>
      <c r="DE144" s="130"/>
      <c r="DF144" s="128"/>
      <c r="DG144" s="128"/>
    </row>
    <row r="145" spans="1:111" s="143" customFormat="1" ht="24.95" customHeight="1" x14ac:dyDescent="0.25">
      <c r="A145" s="128"/>
      <c r="B145" s="128"/>
      <c r="C145" s="130"/>
      <c r="D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  <c r="AT145" s="130"/>
      <c r="AU145" s="130"/>
      <c r="AV145" s="130"/>
      <c r="AW145" s="130"/>
      <c r="AX145" s="130"/>
      <c r="AY145" s="130"/>
      <c r="AZ145" s="130"/>
      <c r="BA145" s="130"/>
      <c r="BB145" s="130"/>
      <c r="BC145" s="130"/>
      <c r="BD145" s="130"/>
      <c r="BE145" s="130"/>
      <c r="BF145" s="130"/>
      <c r="BG145" s="130"/>
      <c r="BH145" s="130"/>
      <c r="BI145" s="130"/>
      <c r="BJ145" s="130"/>
      <c r="BK145" s="130"/>
      <c r="BL145" s="130"/>
      <c r="BM145" s="130"/>
      <c r="BN145" s="130"/>
      <c r="BO145" s="130"/>
      <c r="BP145" s="130"/>
      <c r="BQ145" s="130"/>
      <c r="BR145" s="130"/>
      <c r="BS145" s="130"/>
      <c r="BT145" s="130"/>
      <c r="BU145" s="130"/>
      <c r="BV145" s="130"/>
      <c r="BW145" s="130"/>
      <c r="BX145" s="130"/>
      <c r="BY145" s="130"/>
      <c r="BZ145" s="130"/>
      <c r="CA145" s="130"/>
      <c r="CB145" s="130"/>
      <c r="CC145" s="130"/>
      <c r="CD145" s="130"/>
      <c r="CE145" s="130"/>
      <c r="CF145" s="130"/>
      <c r="CG145" s="130"/>
      <c r="CH145" s="130"/>
      <c r="CI145" s="130"/>
      <c r="CJ145" s="130"/>
      <c r="CK145" s="130"/>
      <c r="CL145" s="130"/>
      <c r="CM145" s="130"/>
      <c r="CN145" s="130"/>
      <c r="CO145" s="130"/>
      <c r="CP145" s="130"/>
      <c r="CQ145" s="130"/>
      <c r="CR145" s="130"/>
      <c r="CS145" s="130"/>
      <c r="CT145" s="130"/>
      <c r="CU145" s="130"/>
      <c r="CV145" s="130"/>
      <c r="CW145" s="130"/>
      <c r="CX145" s="130"/>
      <c r="CY145" s="130"/>
      <c r="CZ145" s="130"/>
      <c r="DA145" s="130"/>
      <c r="DB145" s="130"/>
      <c r="DC145" s="130"/>
      <c r="DD145" s="130"/>
      <c r="DE145" s="130"/>
      <c r="DF145" s="128"/>
      <c r="DG145" s="128"/>
    </row>
    <row r="146" spans="1:111" s="143" customFormat="1" ht="24.95" customHeight="1" x14ac:dyDescent="0.25">
      <c r="A146" s="128"/>
      <c r="B146" s="128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  <c r="AG146" s="130"/>
      <c r="AH146" s="130"/>
      <c r="AI146" s="130"/>
      <c r="AJ146" s="130"/>
      <c r="AK146" s="130"/>
      <c r="AL146" s="130"/>
      <c r="AM146" s="130"/>
      <c r="AN146" s="130"/>
      <c r="AO146" s="130"/>
      <c r="AP146" s="130"/>
      <c r="AQ146" s="130"/>
      <c r="AR146" s="130"/>
      <c r="AS146" s="130"/>
      <c r="AT146" s="130"/>
      <c r="AU146" s="130"/>
      <c r="AV146" s="130"/>
      <c r="AW146" s="130"/>
      <c r="AX146" s="130"/>
      <c r="AY146" s="130"/>
      <c r="AZ146" s="130"/>
      <c r="BA146" s="130"/>
      <c r="BB146" s="130"/>
      <c r="BC146" s="130"/>
      <c r="BD146" s="130"/>
      <c r="BE146" s="130"/>
      <c r="BF146" s="130"/>
      <c r="BG146" s="130"/>
      <c r="BH146" s="130"/>
      <c r="BI146" s="130"/>
      <c r="BJ146" s="130"/>
      <c r="BK146" s="130"/>
      <c r="BL146" s="130"/>
      <c r="BM146" s="130"/>
      <c r="BN146" s="130"/>
      <c r="BO146" s="130"/>
      <c r="BP146" s="130"/>
      <c r="BQ146" s="130"/>
      <c r="BR146" s="130"/>
      <c r="BS146" s="130"/>
      <c r="BT146" s="130"/>
      <c r="BU146" s="130"/>
      <c r="BV146" s="130"/>
      <c r="BW146" s="130"/>
      <c r="BX146" s="130"/>
      <c r="BY146" s="130"/>
      <c r="BZ146" s="130"/>
      <c r="CA146" s="130"/>
      <c r="CB146" s="130"/>
      <c r="CC146" s="130"/>
      <c r="CD146" s="130"/>
      <c r="CE146" s="130"/>
      <c r="CF146" s="130"/>
      <c r="CG146" s="130"/>
      <c r="CH146" s="130"/>
      <c r="CI146" s="130"/>
      <c r="CJ146" s="130"/>
      <c r="CK146" s="130"/>
      <c r="CL146" s="130"/>
      <c r="CM146" s="130"/>
      <c r="CN146" s="130"/>
      <c r="CO146" s="130"/>
      <c r="CP146" s="130"/>
      <c r="CQ146" s="130"/>
      <c r="CR146" s="130"/>
      <c r="CS146" s="130"/>
      <c r="CT146" s="130"/>
      <c r="CU146" s="130"/>
      <c r="CV146" s="130"/>
      <c r="CW146" s="130"/>
      <c r="CX146" s="130"/>
      <c r="CY146" s="130"/>
      <c r="CZ146" s="130"/>
      <c r="DA146" s="130"/>
      <c r="DB146" s="130"/>
      <c r="DC146" s="130"/>
      <c r="DD146" s="130"/>
      <c r="DE146" s="130"/>
      <c r="DF146" s="128"/>
      <c r="DG146" s="128"/>
    </row>
    <row r="147" spans="1:111" s="143" customFormat="1" ht="24.95" customHeight="1" x14ac:dyDescent="0.25">
      <c r="A147" s="128"/>
      <c r="B147" s="128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  <c r="AG147" s="130"/>
      <c r="AH147" s="130"/>
      <c r="AI147" s="130"/>
      <c r="AJ147" s="130"/>
      <c r="AK147" s="130"/>
      <c r="AL147" s="130"/>
      <c r="AM147" s="130"/>
      <c r="AN147" s="130"/>
      <c r="AO147" s="130"/>
      <c r="AP147" s="130"/>
      <c r="AQ147" s="130"/>
      <c r="AR147" s="130"/>
      <c r="AS147" s="130"/>
      <c r="AT147" s="130"/>
      <c r="AU147" s="130"/>
      <c r="AV147" s="130"/>
      <c r="AW147" s="130"/>
      <c r="AX147" s="130"/>
      <c r="AY147" s="130"/>
      <c r="AZ147" s="130"/>
      <c r="BA147" s="130"/>
      <c r="BB147" s="130"/>
      <c r="BC147" s="130"/>
      <c r="BD147" s="130"/>
      <c r="BE147" s="130"/>
      <c r="BF147" s="130"/>
      <c r="BG147" s="130"/>
      <c r="BH147" s="130"/>
      <c r="BI147" s="130"/>
      <c r="BJ147" s="130"/>
      <c r="BK147" s="130"/>
      <c r="BL147" s="130"/>
      <c r="BM147" s="130"/>
      <c r="BN147" s="130"/>
      <c r="BO147" s="130"/>
      <c r="BP147" s="130"/>
      <c r="BQ147" s="130"/>
      <c r="BR147" s="130"/>
      <c r="BS147" s="130"/>
      <c r="BT147" s="130"/>
      <c r="BU147" s="130"/>
      <c r="BV147" s="130"/>
      <c r="BW147" s="130"/>
      <c r="BX147" s="130"/>
      <c r="BY147" s="130"/>
      <c r="BZ147" s="130"/>
      <c r="CA147" s="130"/>
      <c r="CB147" s="130"/>
      <c r="CC147" s="130"/>
      <c r="CD147" s="130"/>
      <c r="CE147" s="130"/>
      <c r="CF147" s="130"/>
      <c r="CG147" s="130"/>
      <c r="CH147" s="130"/>
      <c r="CI147" s="130"/>
      <c r="CJ147" s="130"/>
      <c r="CK147" s="130"/>
      <c r="CL147" s="130"/>
      <c r="CM147" s="130"/>
      <c r="CN147" s="130"/>
      <c r="CO147" s="130"/>
      <c r="CP147" s="130"/>
      <c r="CQ147" s="130"/>
      <c r="CR147" s="130"/>
      <c r="CS147" s="130"/>
      <c r="CT147" s="130"/>
      <c r="CU147" s="130"/>
      <c r="CV147" s="130"/>
      <c r="CW147" s="130"/>
      <c r="CX147" s="130"/>
      <c r="CY147" s="130"/>
      <c r="CZ147" s="130"/>
      <c r="DA147" s="130"/>
      <c r="DB147" s="130"/>
      <c r="DC147" s="130"/>
      <c r="DD147" s="130"/>
      <c r="DE147" s="130"/>
      <c r="DF147" s="128"/>
      <c r="DG147" s="128"/>
    </row>
    <row r="148" spans="1:111" s="143" customFormat="1" ht="24.95" customHeight="1" x14ac:dyDescent="0.25">
      <c r="A148" s="128"/>
      <c r="B148" s="128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  <c r="AG148" s="130"/>
      <c r="AH148" s="130"/>
      <c r="AI148" s="130"/>
      <c r="AJ148" s="130"/>
      <c r="AK148" s="130"/>
      <c r="AL148" s="130"/>
      <c r="AM148" s="130"/>
      <c r="AN148" s="130"/>
      <c r="AO148" s="130"/>
      <c r="AP148" s="130"/>
      <c r="AQ148" s="130"/>
      <c r="AR148" s="130"/>
      <c r="AS148" s="130"/>
      <c r="AT148" s="130"/>
      <c r="AU148" s="130"/>
      <c r="AV148" s="130"/>
      <c r="AW148" s="130"/>
      <c r="AX148" s="130"/>
      <c r="AY148" s="130"/>
      <c r="AZ148" s="130"/>
      <c r="BA148" s="130"/>
      <c r="BB148" s="130"/>
      <c r="BC148" s="130"/>
      <c r="BD148" s="130"/>
      <c r="BE148" s="130"/>
      <c r="BF148" s="130"/>
      <c r="BG148" s="130"/>
      <c r="BH148" s="130"/>
      <c r="BI148" s="130"/>
      <c r="BJ148" s="130"/>
      <c r="BK148" s="130"/>
      <c r="BL148" s="130"/>
      <c r="BM148" s="130"/>
      <c r="BN148" s="130"/>
      <c r="BO148" s="130"/>
      <c r="BP148" s="130"/>
      <c r="BQ148" s="130"/>
      <c r="BR148" s="130"/>
      <c r="BS148" s="130"/>
      <c r="BT148" s="130"/>
      <c r="BU148" s="130"/>
      <c r="BV148" s="130"/>
      <c r="BW148" s="130"/>
      <c r="BX148" s="130"/>
      <c r="BY148" s="130"/>
      <c r="BZ148" s="130"/>
      <c r="CA148" s="130"/>
      <c r="CB148" s="130"/>
      <c r="CC148" s="130"/>
      <c r="CD148" s="130"/>
      <c r="CE148" s="130"/>
      <c r="CF148" s="130"/>
      <c r="CG148" s="130"/>
      <c r="CH148" s="130"/>
      <c r="CI148" s="130"/>
      <c r="CJ148" s="130"/>
      <c r="CK148" s="130"/>
      <c r="CL148" s="130"/>
      <c r="CM148" s="130"/>
      <c r="CN148" s="130"/>
      <c r="CO148" s="130"/>
      <c r="CP148" s="130"/>
      <c r="CQ148" s="130"/>
      <c r="CR148" s="130"/>
      <c r="CS148" s="130"/>
      <c r="CT148" s="130"/>
      <c r="CU148" s="130"/>
      <c r="CV148" s="130"/>
      <c r="CW148" s="130"/>
      <c r="CX148" s="130"/>
      <c r="CY148" s="130"/>
      <c r="CZ148" s="130"/>
      <c r="DA148" s="130"/>
      <c r="DB148" s="130"/>
      <c r="DC148" s="130"/>
      <c r="DD148" s="130"/>
      <c r="DE148" s="130"/>
      <c r="DF148" s="128"/>
      <c r="DG148" s="128"/>
    </row>
    <row r="149" spans="1:111" s="143" customFormat="1" ht="24.95" customHeight="1" x14ac:dyDescent="0.25">
      <c r="A149" s="128"/>
      <c r="B149" s="128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  <c r="AG149" s="130"/>
      <c r="AH149" s="130"/>
      <c r="AI149" s="130"/>
      <c r="AJ149" s="130"/>
      <c r="AK149" s="130"/>
      <c r="AL149" s="130"/>
      <c r="AM149" s="130"/>
      <c r="AN149" s="130"/>
      <c r="AO149" s="130"/>
      <c r="AP149" s="130"/>
      <c r="AQ149" s="130"/>
      <c r="AR149" s="130"/>
      <c r="AS149" s="130"/>
      <c r="AT149" s="130"/>
      <c r="AU149" s="130"/>
      <c r="AV149" s="130"/>
      <c r="AW149" s="130"/>
      <c r="AX149" s="130"/>
      <c r="AY149" s="130"/>
      <c r="AZ149" s="130"/>
      <c r="BA149" s="130"/>
      <c r="BB149" s="130"/>
      <c r="BC149" s="130"/>
      <c r="BD149" s="130"/>
      <c r="BE149" s="130"/>
      <c r="BF149" s="130"/>
      <c r="BG149" s="130"/>
      <c r="BH149" s="130"/>
      <c r="BI149" s="130"/>
      <c r="BJ149" s="130"/>
      <c r="BK149" s="130"/>
      <c r="BL149" s="130"/>
      <c r="BM149" s="130"/>
      <c r="BN149" s="130"/>
      <c r="BO149" s="130"/>
      <c r="BP149" s="130"/>
      <c r="BQ149" s="130"/>
      <c r="BR149" s="130"/>
      <c r="BS149" s="130"/>
      <c r="BT149" s="130"/>
      <c r="BU149" s="130"/>
      <c r="BV149" s="130"/>
      <c r="BW149" s="130"/>
      <c r="BX149" s="130"/>
      <c r="BY149" s="130"/>
      <c r="BZ149" s="130"/>
      <c r="CA149" s="130"/>
      <c r="CB149" s="130"/>
      <c r="CC149" s="130"/>
      <c r="CD149" s="130"/>
      <c r="CE149" s="130"/>
      <c r="CF149" s="130"/>
      <c r="CG149" s="130"/>
      <c r="CH149" s="130"/>
      <c r="CI149" s="130"/>
      <c r="CJ149" s="130"/>
      <c r="CK149" s="130"/>
      <c r="CL149" s="130"/>
      <c r="CM149" s="130"/>
      <c r="CN149" s="130"/>
      <c r="CO149" s="130"/>
      <c r="CP149" s="130"/>
      <c r="CQ149" s="130"/>
      <c r="CR149" s="130"/>
      <c r="CS149" s="130"/>
      <c r="CT149" s="130"/>
      <c r="CU149" s="130"/>
      <c r="CV149" s="130"/>
      <c r="CW149" s="130"/>
      <c r="CX149" s="130"/>
      <c r="CY149" s="130"/>
      <c r="CZ149" s="130"/>
      <c r="DA149" s="130"/>
      <c r="DB149" s="130"/>
      <c r="DC149" s="130"/>
      <c r="DD149" s="130"/>
      <c r="DE149" s="130"/>
      <c r="DF149" s="128"/>
      <c r="DG149" s="128"/>
    </row>
    <row r="150" spans="1:111" s="143" customFormat="1" ht="24.95" customHeight="1" x14ac:dyDescent="0.25">
      <c r="A150" s="128"/>
      <c r="B150" s="128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  <c r="AG150" s="130"/>
      <c r="AH150" s="130"/>
      <c r="AI150" s="130"/>
      <c r="AJ150" s="130"/>
      <c r="AK150" s="130"/>
      <c r="AL150" s="130"/>
      <c r="AM150" s="130"/>
      <c r="AN150" s="130"/>
      <c r="AO150" s="130"/>
      <c r="AP150" s="130"/>
      <c r="AQ150" s="130"/>
      <c r="AR150" s="130"/>
      <c r="AS150" s="130"/>
      <c r="AT150" s="130"/>
      <c r="AU150" s="130"/>
      <c r="AV150" s="130"/>
      <c r="AW150" s="130"/>
      <c r="AX150" s="130"/>
      <c r="AY150" s="130"/>
      <c r="AZ150" s="130"/>
      <c r="BA150" s="130"/>
      <c r="BB150" s="130"/>
      <c r="BC150" s="130"/>
      <c r="BD150" s="130"/>
      <c r="BE150" s="130"/>
      <c r="BF150" s="130"/>
      <c r="BG150" s="130"/>
      <c r="BH150" s="130"/>
      <c r="BI150" s="130"/>
      <c r="BJ150" s="130"/>
      <c r="BK150" s="130"/>
      <c r="BL150" s="130"/>
      <c r="BM150" s="130"/>
      <c r="BN150" s="130"/>
      <c r="BO150" s="130"/>
      <c r="BP150" s="130"/>
      <c r="BQ150" s="130"/>
      <c r="BR150" s="130"/>
      <c r="BS150" s="130"/>
      <c r="BT150" s="130"/>
      <c r="BU150" s="130"/>
      <c r="BV150" s="130"/>
      <c r="BW150" s="130"/>
      <c r="BX150" s="130"/>
      <c r="BY150" s="130"/>
      <c r="BZ150" s="130"/>
      <c r="CA150" s="130"/>
      <c r="CB150" s="130"/>
      <c r="CC150" s="130"/>
      <c r="CD150" s="130"/>
      <c r="CE150" s="130"/>
      <c r="CF150" s="130"/>
      <c r="CG150" s="130"/>
      <c r="CH150" s="130"/>
      <c r="CI150" s="130"/>
      <c r="CJ150" s="130"/>
      <c r="CK150" s="130"/>
      <c r="CL150" s="130"/>
      <c r="CM150" s="130"/>
      <c r="CN150" s="130"/>
      <c r="CO150" s="130"/>
      <c r="CP150" s="130"/>
      <c r="CQ150" s="130"/>
      <c r="CR150" s="130"/>
      <c r="CS150" s="130"/>
      <c r="CT150" s="130"/>
      <c r="CU150" s="130"/>
      <c r="CV150" s="130"/>
      <c r="CW150" s="130"/>
      <c r="CX150" s="130"/>
      <c r="CY150" s="130"/>
      <c r="CZ150" s="130"/>
      <c r="DA150" s="130"/>
      <c r="DB150" s="130"/>
      <c r="DC150" s="130"/>
      <c r="DD150" s="130"/>
      <c r="DE150" s="130"/>
      <c r="DF150" s="128"/>
      <c r="DG150" s="128"/>
    </row>
    <row r="151" spans="1:111" s="143" customFormat="1" ht="24.95" customHeight="1" x14ac:dyDescent="0.25">
      <c r="A151" s="128"/>
      <c r="B151" s="128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  <c r="AG151" s="130"/>
      <c r="AH151" s="130"/>
      <c r="AI151" s="130"/>
      <c r="AJ151" s="130"/>
      <c r="AK151" s="130"/>
      <c r="AL151" s="130"/>
      <c r="AM151" s="130"/>
      <c r="AN151" s="130"/>
      <c r="AO151" s="130"/>
      <c r="AP151" s="130"/>
      <c r="AQ151" s="130"/>
      <c r="AR151" s="130"/>
      <c r="AS151" s="130"/>
      <c r="AT151" s="130"/>
      <c r="AU151" s="130"/>
      <c r="AV151" s="130"/>
      <c r="AW151" s="130"/>
      <c r="AX151" s="130"/>
      <c r="AY151" s="130"/>
      <c r="AZ151" s="130"/>
      <c r="BA151" s="130"/>
      <c r="BB151" s="130"/>
      <c r="BC151" s="130"/>
      <c r="BD151" s="130"/>
      <c r="BE151" s="130"/>
      <c r="BF151" s="130"/>
      <c r="BG151" s="130"/>
      <c r="BH151" s="130"/>
      <c r="BI151" s="130"/>
      <c r="BJ151" s="130"/>
      <c r="BK151" s="130"/>
      <c r="BL151" s="130"/>
      <c r="BM151" s="130"/>
      <c r="BN151" s="130"/>
      <c r="BO151" s="130"/>
      <c r="BP151" s="130"/>
      <c r="BQ151" s="130"/>
      <c r="BR151" s="130"/>
      <c r="BS151" s="130"/>
      <c r="BT151" s="130"/>
      <c r="BU151" s="130"/>
      <c r="BV151" s="130"/>
      <c r="BW151" s="130"/>
      <c r="BX151" s="130"/>
      <c r="BY151" s="130"/>
      <c r="BZ151" s="130"/>
      <c r="CA151" s="130"/>
      <c r="CB151" s="130"/>
      <c r="CC151" s="130"/>
      <c r="CD151" s="130"/>
      <c r="CE151" s="130"/>
      <c r="CF151" s="130"/>
      <c r="CG151" s="130"/>
      <c r="CH151" s="130"/>
      <c r="CI151" s="130"/>
      <c r="CJ151" s="130"/>
      <c r="CK151" s="130"/>
      <c r="CL151" s="130"/>
      <c r="CM151" s="130"/>
      <c r="CN151" s="130"/>
      <c r="CO151" s="130"/>
      <c r="CP151" s="130"/>
      <c r="CQ151" s="130"/>
      <c r="CR151" s="130"/>
      <c r="CS151" s="130"/>
      <c r="CT151" s="130"/>
      <c r="CU151" s="130"/>
      <c r="CV151" s="130"/>
      <c r="CW151" s="130"/>
      <c r="CX151" s="130"/>
      <c r="CY151" s="130"/>
      <c r="CZ151" s="130"/>
      <c r="DA151" s="130"/>
      <c r="DB151" s="130"/>
      <c r="DC151" s="130"/>
      <c r="DD151" s="130"/>
      <c r="DE151" s="130"/>
      <c r="DF151" s="128"/>
      <c r="DG151" s="128"/>
    </row>
    <row r="152" spans="1:111" s="143" customFormat="1" ht="24.95" customHeight="1" x14ac:dyDescent="0.25">
      <c r="A152" s="128"/>
      <c r="B152" s="128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  <c r="AT152" s="130"/>
      <c r="AU152" s="130"/>
      <c r="AV152" s="130"/>
      <c r="AW152" s="130"/>
      <c r="AX152" s="130"/>
      <c r="AY152" s="130"/>
      <c r="AZ152" s="130"/>
      <c r="BA152" s="130"/>
      <c r="BB152" s="130"/>
      <c r="BC152" s="130"/>
      <c r="BD152" s="130"/>
      <c r="BE152" s="130"/>
      <c r="BF152" s="130"/>
      <c r="BG152" s="130"/>
      <c r="BH152" s="130"/>
      <c r="BI152" s="130"/>
      <c r="BJ152" s="130"/>
      <c r="BK152" s="130"/>
      <c r="BL152" s="130"/>
      <c r="BM152" s="130"/>
      <c r="BN152" s="130"/>
      <c r="BO152" s="130"/>
      <c r="BP152" s="130"/>
      <c r="BQ152" s="130"/>
      <c r="BR152" s="130"/>
      <c r="BS152" s="130"/>
      <c r="BT152" s="130"/>
      <c r="BU152" s="130"/>
      <c r="BV152" s="130"/>
      <c r="BW152" s="130"/>
      <c r="BX152" s="130"/>
      <c r="BY152" s="130"/>
      <c r="BZ152" s="130"/>
      <c r="CA152" s="130"/>
      <c r="CB152" s="130"/>
      <c r="CC152" s="130"/>
      <c r="CD152" s="130"/>
      <c r="CE152" s="130"/>
      <c r="CF152" s="130"/>
      <c r="CG152" s="130"/>
      <c r="CH152" s="130"/>
      <c r="CI152" s="130"/>
      <c r="CJ152" s="130"/>
      <c r="CK152" s="130"/>
      <c r="CL152" s="130"/>
      <c r="CM152" s="130"/>
      <c r="CN152" s="130"/>
      <c r="CO152" s="130"/>
      <c r="CP152" s="130"/>
      <c r="CQ152" s="130"/>
      <c r="CR152" s="130"/>
      <c r="CS152" s="130"/>
      <c r="CT152" s="130"/>
      <c r="CU152" s="130"/>
      <c r="CV152" s="130"/>
      <c r="CW152" s="130"/>
      <c r="CX152" s="130"/>
      <c r="CY152" s="130"/>
      <c r="CZ152" s="130"/>
      <c r="DA152" s="130"/>
      <c r="DB152" s="130"/>
      <c r="DC152" s="130"/>
      <c r="DD152" s="130"/>
      <c r="DE152" s="130"/>
      <c r="DF152" s="128"/>
      <c r="DG152" s="128"/>
    </row>
    <row r="153" spans="1:111" s="143" customFormat="1" ht="24.95" customHeight="1" x14ac:dyDescent="0.25">
      <c r="A153" s="128"/>
      <c r="B153" s="128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  <c r="AG153" s="130"/>
      <c r="AH153" s="130"/>
      <c r="AI153" s="130"/>
      <c r="AJ153" s="130"/>
      <c r="AK153" s="130"/>
      <c r="AL153" s="130"/>
      <c r="AM153" s="130"/>
      <c r="AN153" s="130"/>
      <c r="AO153" s="130"/>
      <c r="AP153" s="130"/>
      <c r="AQ153" s="130"/>
      <c r="AR153" s="130"/>
      <c r="AS153" s="130"/>
      <c r="AT153" s="130"/>
      <c r="AU153" s="130"/>
      <c r="AV153" s="130"/>
      <c r="AW153" s="130"/>
      <c r="AX153" s="130"/>
      <c r="AY153" s="130"/>
      <c r="AZ153" s="130"/>
      <c r="BA153" s="130"/>
      <c r="BB153" s="130"/>
      <c r="BC153" s="130"/>
      <c r="BD153" s="130"/>
      <c r="BE153" s="130"/>
      <c r="BF153" s="130"/>
      <c r="BG153" s="130"/>
      <c r="BH153" s="130"/>
      <c r="BI153" s="130"/>
      <c r="BJ153" s="130"/>
      <c r="BK153" s="130"/>
      <c r="BL153" s="130"/>
      <c r="BM153" s="130"/>
      <c r="BN153" s="130"/>
      <c r="BO153" s="130"/>
      <c r="BP153" s="130"/>
      <c r="BQ153" s="130"/>
      <c r="BR153" s="130"/>
      <c r="BS153" s="130"/>
      <c r="BT153" s="130"/>
      <c r="BU153" s="130"/>
      <c r="BV153" s="130"/>
      <c r="BW153" s="130"/>
      <c r="BX153" s="130"/>
      <c r="BY153" s="130"/>
      <c r="BZ153" s="130"/>
      <c r="CA153" s="130"/>
      <c r="CB153" s="130"/>
      <c r="CC153" s="130"/>
      <c r="CD153" s="130"/>
      <c r="CE153" s="130"/>
      <c r="CF153" s="130"/>
      <c r="CG153" s="130"/>
      <c r="CH153" s="130"/>
      <c r="CI153" s="130"/>
      <c r="CJ153" s="130"/>
      <c r="CK153" s="130"/>
      <c r="CL153" s="130"/>
      <c r="CM153" s="130"/>
      <c r="CN153" s="130"/>
      <c r="CO153" s="130"/>
      <c r="CP153" s="130"/>
      <c r="CQ153" s="130"/>
      <c r="CR153" s="130"/>
      <c r="CS153" s="130"/>
      <c r="CT153" s="130"/>
      <c r="CU153" s="130"/>
      <c r="CV153" s="130"/>
      <c r="CW153" s="130"/>
      <c r="CX153" s="130"/>
      <c r="CY153" s="130"/>
      <c r="CZ153" s="130"/>
      <c r="DA153" s="130"/>
      <c r="DB153" s="130"/>
      <c r="DC153" s="130"/>
      <c r="DD153" s="130"/>
      <c r="DE153" s="130"/>
      <c r="DF153" s="128"/>
      <c r="DG153" s="128"/>
    </row>
    <row r="154" spans="1:111" s="143" customFormat="1" ht="24.95" customHeight="1" x14ac:dyDescent="0.25">
      <c r="A154" s="128"/>
      <c r="B154" s="128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  <c r="AG154" s="130"/>
      <c r="AH154" s="130"/>
      <c r="AI154" s="130"/>
      <c r="AJ154" s="130"/>
      <c r="AK154" s="130"/>
      <c r="AL154" s="130"/>
      <c r="AM154" s="130"/>
      <c r="AN154" s="130"/>
      <c r="AO154" s="130"/>
      <c r="AP154" s="130"/>
      <c r="AQ154" s="130"/>
      <c r="AR154" s="130"/>
      <c r="AS154" s="130"/>
      <c r="AT154" s="130"/>
      <c r="AU154" s="130"/>
      <c r="AV154" s="130"/>
      <c r="AW154" s="130"/>
      <c r="AX154" s="130"/>
      <c r="AY154" s="130"/>
      <c r="AZ154" s="130"/>
      <c r="BA154" s="130"/>
      <c r="BB154" s="130"/>
      <c r="BC154" s="130"/>
      <c r="BD154" s="130"/>
      <c r="BE154" s="130"/>
      <c r="BF154" s="130"/>
      <c r="BG154" s="130"/>
      <c r="BH154" s="130"/>
      <c r="BI154" s="130"/>
      <c r="BJ154" s="130"/>
      <c r="BK154" s="130"/>
      <c r="BL154" s="130"/>
      <c r="BM154" s="130"/>
      <c r="BN154" s="130"/>
      <c r="BO154" s="130"/>
      <c r="BP154" s="130"/>
      <c r="BQ154" s="130"/>
      <c r="BR154" s="130"/>
      <c r="BS154" s="130"/>
      <c r="BT154" s="130"/>
      <c r="BU154" s="130"/>
      <c r="BV154" s="130"/>
      <c r="BW154" s="130"/>
      <c r="BX154" s="130"/>
      <c r="BY154" s="130"/>
      <c r="BZ154" s="130"/>
      <c r="CA154" s="130"/>
      <c r="CB154" s="130"/>
      <c r="CC154" s="130"/>
      <c r="CD154" s="130"/>
      <c r="CE154" s="130"/>
      <c r="CF154" s="130"/>
      <c r="CG154" s="130"/>
      <c r="CH154" s="130"/>
      <c r="CI154" s="130"/>
      <c r="CJ154" s="130"/>
      <c r="CK154" s="130"/>
      <c r="CL154" s="130"/>
      <c r="CM154" s="130"/>
      <c r="CN154" s="130"/>
      <c r="CO154" s="130"/>
      <c r="CP154" s="130"/>
      <c r="CQ154" s="130"/>
      <c r="CR154" s="130"/>
      <c r="CS154" s="130"/>
      <c r="CT154" s="130"/>
      <c r="CU154" s="130"/>
      <c r="CV154" s="130"/>
      <c r="CW154" s="130"/>
      <c r="CX154" s="130"/>
      <c r="CY154" s="130"/>
      <c r="CZ154" s="130"/>
      <c r="DA154" s="130"/>
      <c r="DB154" s="130"/>
      <c r="DC154" s="130"/>
      <c r="DD154" s="130"/>
      <c r="DE154" s="130"/>
      <c r="DF154" s="128"/>
      <c r="DG154" s="128"/>
    </row>
    <row r="155" spans="1:111" s="143" customFormat="1" ht="24.95" customHeight="1" x14ac:dyDescent="0.25">
      <c r="A155" s="128"/>
      <c r="B155" s="128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  <c r="AG155" s="130"/>
      <c r="AH155" s="130"/>
      <c r="AI155" s="130"/>
      <c r="AJ155" s="130"/>
      <c r="AK155" s="130"/>
      <c r="AL155" s="130"/>
      <c r="AM155" s="130"/>
      <c r="AN155" s="130"/>
      <c r="AO155" s="130"/>
      <c r="AP155" s="130"/>
      <c r="AQ155" s="130"/>
      <c r="AR155" s="130"/>
      <c r="AS155" s="130"/>
      <c r="AT155" s="130"/>
      <c r="AU155" s="130"/>
      <c r="AV155" s="130"/>
      <c r="AW155" s="130"/>
      <c r="AX155" s="130"/>
      <c r="AY155" s="130"/>
      <c r="AZ155" s="130"/>
      <c r="BA155" s="130"/>
      <c r="BB155" s="130"/>
      <c r="BC155" s="130"/>
      <c r="BD155" s="130"/>
      <c r="BE155" s="130"/>
      <c r="BF155" s="130"/>
      <c r="BG155" s="130"/>
      <c r="BH155" s="130"/>
      <c r="BI155" s="130"/>
      <c r="BJ155" s="130"/>
      <c r="BK155" s="130"/>
      <c r="BL155" s="130"/>
      <c r="BM155" s="130"/>
      <c r="BN155" s="130"/>
      <c r="BO155" s="130"/>
      <c r="BP155" s="130"/>
      <c r="BQ155" s="130"/>
      <c r="BR155" s="130"/>
      <c r="BS155" s="130"/>
      <c r="BT155" s="130"/>
      <c r="BU155" s="130"/>
      <c r="BV155" s="130"/>
      <c r="BW155" s="130"/>
      <c r="BX155" s="130"/>
      <c r="BY155" s="130"/>
      <c r="BZ155" s="130"/>
      <c r="CA155" s="130"/>
      <c r="CB155" s="130"/>
      <c r="CC155" s="130"/>
      <c r="CD155" s="130"/>
      <c r="CE155" s="130"/>
      <c r="CF155" s="130"/>
      <c r="CG155" s="130"/>
      <c r="CH155" s="130"/>
      <c r="CI155" s="130"/>
      <c r="CJ155" s="130"/>
      <c r="CK155" s="130"/>
      <c r="CL155" s="130"/>
      <c r="CM155" s="130"/>
      <c r="CN155" s="130"/>
      <c r="CO155" s="130"/>
      <c r="CP155" s="130"/>
      <c r="CQ155" s="130"/>
      <c r="CR155" s="130"/>
      <c r="CS155" s="130"/>
      <c r="CT155" s="130"/>
      <c r="CU155" s="130"/>
      <c r="CV155" s="130"/>
      <c r="CW155" s="130"/>
      <c r="CX155" s="130"/>
      <c r="CY155" s="130"/>
      <c r="CZ155" s="130"/>
      <c r="DA155" s="130"/>
      <c r="DB155" s="130"/>
      <c r="DC155" s="130"/>
      <c r="DD155" s="130"/>
      <c r="DE155" s="130"/>
      <c r="DF155" s="128"/>
      <c r="DG155" s="128"/>
    </row>
    <row r="156" spans="1:111" s="143" customFormat="1" ht="24.95" customHeight="1" x14ac:dyDescent="0.25">
      <c r="A156" s="128"/>
      <c r="B156" s="128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  <c r="AG156" s="130"/>
      <c r="AH156" s="130"/>
      <c r="AI156" s="130"/>
      <c r="AJ156" s="130"/>
      <c r="AK156" s="130"/>
      <c r="AL156" s="130"/>
      <c r="AM156" s="130"/>
      <c r="AN156" s="130"/>
      <c r="AO156" s="130"/>
      <c r="AP156" s="130"/>
      <c r="AQ156" s="130"/>
      <c r="AR156" s="130"/>
      <c r="AS156" s="130"/>
      <c r="AT156" s="130"/>
      <c r="AU156" s="130"/>
      <c r="AV156" s="130"/>
      <c r="AW156" s="130"/>
      <c r="AX156" s="130"/>
      <c r="AY156" s="130"/>
      <c r="AZ156" s="130"/>
      <c r="BA156" s="130"/>
      <c r="BB156" s="130"/>
      <c r="BC156" s="130"/>
      <c r="BD156" s="130"/>
      <c r="BE156" s="130"/>
      <c r="BF156" s="130"/>
      <c r="BG156" s="130"/>
      <c r="BH156" s="130"/>
      <c r="BI156" s="130"/>
      <c r="BJ156" s="130"/>
      <c r="BK156" s="130"/>
      <c r="BL156" s="130"/>
      <c r="BM156" s="130"/>
      <c r="BN156" s="130"/>
      <c r="BO156" s="130"/>
      <c r="BP156" s="130"/>
      <c r="BQ156" s="130"/>
      <c r="BR156" s="130"/>
      <c r="BS156" s="130"/>
      <c r="BT156" s="130"/>
      <c r="BU156" s="130"/>
      <c r="BV156" s="130"/>
      <c r="BW156" s="130"/>
      <c r="BX156" s="130"/>
      <c r="BY156" s="130"/>
      <c r="BZ156" s="130"/>
      <c r="CA156" s="130"/>
      <c r="CB156" s="130"/>
      <c r="CC156" s="130"/>
      <c r="CD156" s="130"/>
      <c r="CE156" s="130"/>
      <c r="CF156" s="130"/>
      <c r="CG156" s="130"/>
      <c r="CH156" s="130"/>
      <c r="CI156" s="130"/>
      <c r="CJ156" s="130"/>
      <c r="CK156" s="130"/>
      <c r="CL156" s="130"/>
      <c r="CM156" s="130"/>
      <c r="CN156" s="130"/>
      <c r="CO156" s="130"/>
      <c r="CP156" s="130"/>
      <c r="CQ156" s="130"/>
      <c r="CR156" s="130"/>
      <c r="CS156" s="130"/>
      <c r="CT156" s="130"/>
      <c r="CU156" s="130"/>
      <c r="CV156" s="130"/>
      <c r="CW156" s="130"/>
      <c r="CX156" s="130"/>
      <c r="CY156" s="130"/>
      <c r="CZ156" s="130"/>
      <c r="DA156" s="130"/>
      <c r="DB156" s="130"/>
      <c r="DC156" s="130"/>
      <c r="DD156" s="130"/>
      <c r="DE156" s="130"/>
      <c r="DF156" s="128"/>
      <c r="DG156" s="128"/>
    </row>
    <row r="157" spans="1:111" s="143" customFormat="1" ht="24.95" customHeight="1" x14ac:dyDescent="0.25">
      <c r="A157" s="128"/>
      <c r="B157" s="128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  <c r="AG157" s="130"/>
      <c r="AH157" s="130"/>
      <c r="AI157" s="130"/>
      <c r="AJ157" s="130"/>
      <c r="AK157" s="130"/>
      <c r="AL157" s="130"/>
      <c r="AM157" s="130"/>
      <c r="AN157" s="130"/>
      <c r="AO157" s="130"/>
      <c r="AP157" s="130"/>
      <c r="AQ157" s="130"/>
      <c r="AR157" s="130"/>
      <c r="AS157" s="130"/>
      <c r="AT157" s="130"/>
      <c r="AU157" s="130"/>
      <c r="AV157" s="130"/>
      <c r="AW157" s="130"/>
      <c r="AX157" s="130"/>
      <c r="AY157" s="130"/>
      <c r="AZ157" s="130"/>
      <c r="BA157" s="130"/>
      <c r="BB157" s="130"/>
      <c r="BC157" s="130"/>
      <c r="BD157" s="130"/>
      <c r="BE157" s="130"/>
      <c r="BF157" s="130"/>
      <c r="BG157" s="130"/>
      <c r="BH157" s="130"/>
      <c r="BI157" s="130"/>
      <c r="BJ157" s="130"/>
      <c r="BK157" s="130"/>
      <c r="BL157" s="130"/>
      <c r="BM157" s="130"/>
      <c r="BN157" s="130"/>
      <c r="BO157" s="130"/>
      <c r="BP157" s="130"/>
      <c r="BQ157" s="130"/>
      <c r="BR157" s="130"/>
      <c r="BS157" s="130"/>
      <c r="BT157" s="130"/>
      <c r="BU157" s="130"/>
      <c r="BV157" s="130"/>
      <c r="BW157" s="130"/>
      <c r="BX157" s="130"/>
      <c r="BY157" s="130"/>
      <c r="BZ157" s="130"/>
      <c r="CA157" s="130"/>
      <c r="CB157" s="130"/>
      <c r="CC157" s="130"/>
      <c r="CD157" s="130"/>
      <c r="CE157" s="130"/>
      <c r="CF157" s="130"/>
      <c r="CG157" s="130"/>
      <c r="CH157" s="130"/>
      <c r="CI157" s="130"/>
      <c r="CJ157" s="130"/>
      <c r="CK157" s="130"/>
      <c r="CL157" s="130"/>
      <c r="CM157" s="130"/>
      <c r="CN157" s="130"/>
      <c r="CO157" s="130"/>
      <c r="CP157" s="130"/>
      <c r="CQ157" s="130"/>
      <c r="CR157" s="130"/>
      <c r="CS157" s="130"/>
      <c r="CT157" s="130"/>
      <c r="CU157" s="130"/>
      <c r="CV157" s="130"/>
      <c r="CW157" s="130"/>
      <c r="CX157" s="130"/>
      <c r="CY157" s="130"/>
      <c r="CZ157" s="130"/>
      <c r="DA157" s="130"/>
      <c r="DB157" s="130"/>
      <c r="DC157" s="130"/>
      <c r="DD157" s="130"/>
      <c r="DE157" s="130"/>
      <c r="DF157" s="128"/>
      <c r="DG157" s="128"/>
    </row>
    <row r="158" spans="1:111" s="143" customFormat="1" ht="24.95" customHeight="1" x14ac:dyDescent="0.25">
      <c r="A158" s="128"/>
      <c r="B158" s="128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  <c r="AG158" s="130"/>
      <c r="AH158" s="130"/>
      <c r="AI158" s="130"/>
      <c r="AJ158" s="130"/>
      <c r="AK158" s="130"/>
      <c r="AL158" s="130"/>
      <c r="AM158" s="130"/>
      <c r="AN158" s="130"/>
      <c r="AO158" s="130"/>
      <c r="AP158" s="130"/>
      <c r="AQ158" s="130"/>
      <c r="AR158" s="130"/>
      <c r="AS158" s="130"/>
      <c r="AT158" s="130"/>
      <c r="AU158" s="130"/>
      <c r="AV158" s="130"/>
      <c r="AW158" s="130"/>
      <c r="AX158" s="130"/>
      <c r="AY158" s="130"/>
      <c r="AZ158" s="130"/>
      <c r="BA158" s="130"/>
      <c r="BB158" s="130"/>
      <c r="BC158" s="130"/>
      <c r="BD158" s="130"/>
      <c r="BE158" s="130"/>
      <c r="BF158" s="130"/>
      <c r="BG158" s="130"/>
      <c r="BH158" s="130"/>
      <c r="BI158" s="130"/>
      <c r="BJ158" s="130"/>
      <c r="BK158" s="130"/>
      <c r="BL158" s="130"/>
      <c r="BM158" s="130"/>
      <c r="BN158" s="130"/>
      <c r="BO158" s="130"/>
      <c r="BP158" s="130"/>
      <c r="BQ158" s="130"/>
      <c r="BR158" s="130"/>
      <c r="BS158" s="130"/>
      <c r="BT158" s="130"/>
      <c r="BU158" s="130"/>
      <c r="BV158" s="130"/>
      <c r="BW158" s="130"/>
      <c r="BX158" s="130"/>
      <c r="BY158" s="130"/>
      <c r="BZ158" s="130"/>
      <c r="CA158" s="130"/>
      <c r="CB158" s="130"/>
      <c r="CC158" s="130"/>
      <c r="CD158" s="130"/>
      <c r="CE158" s="130"/>
      <c r="CF158" s="130"/>
      <c r="CG158" s="130"/>
      <c r="CH158" s="130"/>
      <c r="CI158" s="130"/>
      <c r="CJ158" s="130"/>
      <c r="CK158" s="130"/>
      <c r="CL158" s="130"/>
      <c r="CM158" s="130"/>
      <c r="CN158" s="130"/>
      <c r="CO158" s="130"/>
      <c r="CP158" s="130"/>
      <c r="CQ158" s="130"/>
      <c r="CR158" s="130"/>
      <c r="CS158" s="130"/>
      <c r="CT158" s="130"/>
      <c r="CU158" s="130"/>
      <c r="CV158" s="130"/>
      <c r="CW158" s="130"/>
      <c r="CX158" s="130"/>
      <c r="CY158" s="130"/>
      <c r="CZ158" s="130"/>
      <c r="DA158" s="130"/>
      <c r="DB158" s="130"/>
      <c r="DC158" s="130"/>
      <c r="DD158" s="130"/>
      <c r="DE158" s="130"/>
      <c r="DF158" s="128"/>
      <c r="DG158" s="128"/>
    </row>
    <row r="159" spans="1:111" s="143" customFormat="1" ht="24.95" customHeight="1" x14ac:dyDescent="0.25">
      <c r="A159" s="128"/>
      <c r="B159" s="128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  <c r="AT159" s="130"/>
      <c r="AU159" s="130"/>
      <c r="AV159" s="130"/>
      <c r="AW159" s="130"/>
      <c r="AX159" s="130"/>
      <c r="AY159" s="130"/>
      <c r="AZ159" s="130"/>
      <c r="BA159" s="130"/>
      <c r="BB159" s="130"/>
      <c r="BC159" s="130"/>
      <c r="BD159" s="130"/>
      <c r="BE159" s="130"/>
      <c r="BF159" s="130"/>
      <c r="BG159" s="130"/>
      <c r="BH159" s="130"/>
      <c r="BI159" s="130"/>
      <c r="BJ159" s="130"/>
      <c r="BK159" s="130"/>
      <c r="BL159" s="130"/>
      <c r="BM159" s="130"/>
      <c r="BN159" s="130"/>
      <c r="BO159" s="130"/>
      <c r="BP159" s="130"/>
      <c r="BQ159" s="130"/>
      <c r="BR159" s="130"/>
      <c r="BS159" s="130"/>
      <c r="BT159" s="130"/>
      <c r="BU159" s="130"/>
      <c r="BV159" s="130"/>
      <c r="BW159" s="130"/>
      <c r="BX159" s="130"/>
      <c r="BY159" s="130"/>
      <c r="BZ159" s="130"/>
      <c r="CA159" s="130"/>
      <c r="CB159" s="130"/>
      <c r="CC159" s="130"/>
      <c r="CD159" s="130"/>
      <c r="CE159" s="130"/>
      <c r="CF159" s="130"/>
      <c r="CG159" s="130"/>
      <c r="CH159" s="130"/>
      <c r="CI159" s="130"/>
      <c r="CJ159" s="130"/>
      <c r="CK159" s="130"/>
      <c r="CL159" s="130"/>
      <c r="CM159" s="130"/>
      <c r="CN159" s="130"/>
      <c r="CO159" s="130"/>
      <c r="CP159" s="130"/>
      <c r="CQ159" s="130"/>
      <c r="CR159" s="130"/>
      <c r="CS159" s="130"/>
      <c r="CT159" s="130"/>
      <c r="CU159" s="130"/>
      <c r="CV159" s="130"/>
      <c r="CW159" s="130"/>
      <c r="CX159" s="130"/>
      <c r="CY159" s="130"/>
      <c r="CZ159" s="130"/>
      <c r="DA159" s="130"/>
      <c r="DB159" s="130"/>
      <c r="DC159" s="130"/>
      <c r="DD159" s="130"/>
      <c r="DE159" s="130"/>
      <c r="DF159" s="128"/>
      <c r="DG159" s="128"/>
    </row>
    <row r="160" spans="1:111" s="143" customFormat="1" ht="24.95" customHeight="1" x14ac:dyDescent="0.25">
      <c r="A160" s="128"/>
      <c r="B160" s="128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  <c r="AG160" s="130"/>
      <c r="AH160" s="130"/>
      <c r="AI160" s="130"/>
      <c r="AJ160" s="130"/>
      <c r="AK160" s="130"/>
      <c r="AL160" s="130"/>
      <c r="AM160" s="130"/>
      <c r="AN160" s="130"/>
      <c r="AO160" s="130"/>
      <c r="AP160" s="130"/>
      <c r="AQ160" s="130"/>
      <c r="AR160" s="130"/>
      <c r="AS160" s="130"/>
      <c r="AT160" s="130"/>
      <c r="AU160" s="130"/>
      <c r="AV160" s="130"/>
      <c r="AW160" s="130"/>
      <c r="AX160" s="130"/>
      <c r="AY160" s="130"/>
      <c r="AZ160" s="130"/>
      <c r="BA160" s="130"/>
      <c r="BB160" s="130"/>
      <c r="BC160" s="130"/>
      <c r="BD160" s="130"/>
      <c r="BE160" s="130"/>
      <c r="BF160" s="130"/>
      <c r="BG160" s="130"/>
      <c r="BH160" s="130"/>
      <c r="BI160" s="130"/>
      <c r="BJ160" s="130"/>
      <c r="BK160" s="130"/>
      <c r="BL160" s="130"/>
      <c r="BM160" s="130"/>
      <c r="BN160" s="130"/>
      <c r="BO160" s="130"/>
      <c r="BP160" s="130"/>
      <c r="BQ160" s="130"/>
      <c r="BR160" s="130"/>
      <c r="BS160" s="130"/>
      <c r="BT160" s="130"/>
      <c r="BU160" s="130"/>
      <c r="BV160" s="130"/>
      <c r="BW160" s="130"/>
      <c r="BX160" s="130"/>
      <c r="BY160" s="130"/>
      <c r="BZ160" s="130"/>
      <c r="CA160" s="130"/>
      <c r="CB160" s="130"/>
      <c r="CC160" s="130"/>
      <c r="CD160" s="130"/>
      <c r="CE160" s="130"/>
      <c r="CF160" s="130"/>
      <c r="CG160" s="130"/>
      <c r="CH160" s="130"/>
      <c r="CI160" s="130"/>
      <c r="CJ160" s="130"/>
      <c r="CK160" s="130"/>
      <c r="CL160" s="130"/>
      <c r="CM160" s="130"/>
      <c r="CN160" s="130"/>
      <c r="CO160" s="130"/>
      <c r="CP160" s="130"/>
      <c r="CQ160" s="130"/>
      <c r="CR160" s="130"/>
      <c r="CS160" s="130"/>
      <c r="CT160" s="130"/>
      <c r="CU160" s="130"/>
      <c r="CV160" s="130"/>
      <c r="CW160" s="130"/>
      <c r="CX160" s="130"/>
      <c r="CY160" s="130"/>
      <c r="CZ160" s="130"/>
      <c r="DA160" s="130"/>
      <c r="DB160" s="130"/>
      <c r="DC160" s="130"/>
      <c r="DD160" s="130"/>
      <c r="DE160" s="130"/>
      <c r="DF160" s="128"/>
      <c r="DG160" s="128"/>
    </row>
    <row r="161" spans="1:111" s="143" customFormat="1" ht="30" customHeight="1" x14ac:dyDescent="0.25">
      <c r="A161" s="128"/>
      <c r="B161" s="128"/>
      <c r="C161" s="130"/>
      <c r="D161" s="130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74" t="s">
        <v>275</v>
      </c>
      <c r="S161" s="239"/>
      <c r="T161" s="239"/>
      <c r="U161" s="239"/>
      <c r="V161" s="239"/>
      <c r="W161" s="239"/>
      <c r="X161" s="239"/>
      <c r="Y161" s="239"/>
      <c r="Z161" s="240"/>
      <c r="AA161" s="240"/>
      <c r="AB161" s="238"/>
      <c r="AC161" s="174"/>
      <c r="AD161" s="177"/>
      <c r="AE161" s="238"/>
      <c r="AF161" s="238"/>
      <c r="AG161" s="578">
        <f>'Cálculos y Supuestos Edo.Res'!H51</f>
        <v>2541787.2603683649</v>
      </c>
      <c r="AH161" s="578"/>
      <c r="AI161" s="578"/>
      <c r="AJ161" s="578"/>
      <c r="AK161" s="578"/>
      <c r="AL161" s="578"/>
      <c r="AM161" s="578"/>
      <c r="AN161" s="578"/>
      <c r="AO161" s="578"/>
      <c r="AP161" s="578"/>
      <c r="AQ161" s="578"/>
      <c r="AR161" s="578"/>
      <c r="AS161" s="578"/>
      <c r="AT161" s="578"/>
      <c r="AU161" s="578"/>
      <c r="AV161" s="239"/>
      <c r="AW161" s="239"/>
      <c r="AX161" s="239"/>
      <c r="AY161" s="239"/>
      <c r="AZ161" s="239"/>
      <c r="BA161" s="174" t="s">
        <v>277</v>
      </c>
      <c r="BB161" s="239"/>
      <c r="BC161" s="239"/>
      <c r="BD161" s="239"/>
      <c r="BE161" s="239"/>
      <c r="BF161" s="238"/>
      <c r="BG161" s="238"/>
      <c r="BH161" s="177"/>
      <c r="BI161" s="238"/>
      <c r="BJ161" s="177"/>
      <c r="BK161" s="177"/>
      <c r="BL161" s="578">
        <f>'Cálculos y Supuestos Edo.Res'!H50</f>
        <v>0</v>
      </c>
      <c r="BM161" s="578"/>
      <c r="BN161" s="578"/>
      <c r="BO161" s="578"/>
      <c r="BP161" s="578"/>
      <c r="BQ161" s="578"/>
      <c r="BR161" s="578"/>
      <c r="BS161" s="578"/>
      <c r="BT161" s="578"/>
      <c r="BU161" s="578"/>
      <c r="BV161" s="578"/>
      <c r="BW161" s="578"/>
      <c r="BX161" s="578"/>
      <c r="BY161" s="578"/>
      <c r="BZ161" s="239"/>
      <c r="CA161" s="240"/>
      <c r="CB161" s="239"/>
      <c r="CC161" s="239"/>
      <c r="CD161" s="239"/>
      <c r="CE161" s="239"/>
      <c r="CF161" s="198" t="s">
        <v>278</v>
      </c>
      <c r="CG161" s="239"/>
      <c r="CH161" s="239"/>
      <c r="CI161" s="239"/>
      <c r="CJ161" s="548">
        <f>AG161+BL161</f>
        <v>2541787.2603683649</v>
      </c>
      <c r="CK161" s="548"/>
      <c r="CL161" s="548"/>
      <c r="CM161" s="548"/>
      <c r="CN161" s="548"/>
      <c r="CO161" s="548"/>
      <c r="CP161" s="548"/>
      <c r="CQ161" s="548"/>
      <c r="CR161" s="548"/>
      <c r="CS161" s="548"/>
      <c r="CT161" s="548"/>
      <c r="CU161" s="548"/>
      <c r="CV161" s="548"/>
      <c r="CW161" s="548"/>
      <c r="CX161" s="548"/>
      <c r="CY161" s="548"/>
      <c r="CZ161" s="548"/>
      <c r="DA161" s="548"/>
      <c r="DB161" s="130"/>
      <c r="DC161" s="130"/>
      <c r="DD161" s="130"/>
      <c r="DE161" s="130"/>
      <c r="DF161" s="128"/>
      <c r="DG161" s="128"/>
    </row>
    <row r="162" spans="1:111" s="143" customFormat="1" x14ac:dyDescent="0.25">
      <c r="A162" s="128"/>
      <c r="B162" s="128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  <c r="AG162" s="130"/>
      <c r="BG162" s="130"/>
      <c r="CD162" s="130"/>
      <c r="CE162" s="130"/>
      <c r="CF162" s="130"/>
      <c r="CG162" s="130"/>
      <c r="CH162" s="130"/>
      <c r="CI162" s="130"/>
      <c r="CJ162" s="130"/>
      <c r="CK162" s="130"/>
      <c r="CL162" s="130"/>
      <c r="CM162" s="130"/>
      <c r="CN162" s="130"/>
      <c r="CO162" s="130"/>
      <c r="CP162" s="130"/>
      <c r="CQ162" s="130"/>
      <c r="CR162" s="130"/>
      <c r="CS162" s="130"/>
      <c r="CT162" s="130"/>
      <c r="CU162" s="130"/>
      <c r="CV162" s="130"/>
      <c r="CW162" s="130"/>
      <c r="CX162" s="130"/>
      <c r="CY162" s="130"/>
      <c r="CZ162" s="130"/>
      <c r="DA162" s="130"/>
      <c r="DB162" s="130"/>
      <c r="DC162" s="130"/>
      <c r="DD162" s="130"/>
      <c r="DE162" s="130"/>
      <c r="DF162" s="128"/>
      <c r="DG162" s="128"/>
    </row>
    <row r="163" spans="1:111" s="143" customFormat="1" ht="24.95" customHeight="1" x14ac:dyDescent="0.25">
      <c r="A163" s="128"/>
      <c r="B163" s="128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  <c r="AG163" s="130"/>
      <c r="AH163" s="130"/>
      <c r="AI163" s="130"/>
      <c r="AJ163" s="130"/>
      <c r="AK163" s="130"/>
      <c r="AL163" s="130"/>
      <c r="AM163" s="130"/>
      <c r="AN163" s="130"/>
      <c r="AO163" s="130"/>
      <c r="AP163" s="130"/>
      <c r="AQ163" s="130"/>
      <c r="AR163" s="130"/>
      <c r="AS163" s="130"/>
      <c r="AT163" s="130"/>
      <c r="AU163" s="130"/>
      <c r="AV163" s="130"/>
      <c r="AW163" s="130"/>
      <c r="AX163" s="130"/>
      <c r="AY163" s="130"/>
      <c r="AZ163" s="130"/>
      <c r="BA163" s="130"/>
      <c r="BB163" s="130"/>
      <c r="BC163" s="130"/>
      <c r="BD163" s="130"/>
      <c r="BE163" s="130"/>
      <c r="BF163" s="130"/>
      <c r="BG163" s="130"/>
      <c r="BH163" s="130"/>
      <c r="BI163" s="130"/>
      <c r="BJ163" s="130"/>
      <c r="BK163" s="130"/>
      <c r="BL163" s="130"/>
      <c r="BM163" s="130"/>
      <c r="BN163" s="130"/>
      <c r="BO163" s="130"/>
      <c r="BP163" s="130"/>
      <c r="BQ163" s="130"/>
      <c r="BR163" s="130"/>
      <c r="BS163" s="130"/>
      <c r="BT163" s="130"/>
      <c r="BU163" s="130"/>
      <c r="BV163" s="130"/>
      <c r="BW163" s="130"/>
      <c r="BX163" s="130"/>
      <c r="BY163" s="130"/>
      <c r="BZ163" s="130"/>
      <c r="CA163" s="130"/>
      <c r="CB163" s="130"/>
      <c r="CC163" s="130"/>
      <c r="CD163" s="130"/>
      <c r="CE163" s="130"/>
      <c r="CF163" s="130"/>
      <c r="CG163" s="130"/>
      <c r="CH163" s="130"/>
      <c r="CI163" s="130"/>
      <c r="CJ163" s="130"/>
      <c r="CK163" s="130"/>
      <c r="CL163" s="130"/>
      <c r="CM163" s="130"/>
      <c r="CN163" s="130"/>
      <c r="CO163" s="130"/>
      <c r="CP163" s="130"/>
      <c r="CQ163" s="130"/>
      <c r="CR163" s="130"/>
      <c r="CS163" s="130"/>
      <c r="CT163" s="130"/>
      <c r="CU163" s="130"/>
      <c r="CV163" s="130"/>
      <c r="CW163" s="130"/>
      <c r="CX163" s="130"/>
      <c r="CY163" s="130"/>
      <c r="CZ163" s="130"/>
      <c r="DA163" s="130"/>
      <c r="DB163" s="130"/>
      <c r="DC163" s="130"/>
      <c r="DD163" s="130"/>
      <c r="DE163" s="130"/>
      <c r="DF163" s="128"/>
      <c r="DG163" s="128"/>
    </row>
    <row r="164" spans="1:111" s="143" customFormat="1" ht="24.95" customHeight="1" x14ac:dyDescent="0.25">
      <c r="A164" s="128"/>
      <c r="B164" s="128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30"/>
      <c r="AG164" s="130"/>
      <c r="AH164" s="130"/>
      <c r="AI164" s="130"/>
      <c r="AJ164" s="130"/>
      <c r="AK164" s="130"/>
      <c r="AL164" s="130"/>
      <c r="AM164" s="130"/>
      <c r="AN164" s="130"/>
      <c r="AO164" s="130"/>
      <c r="AP164" s="130"/>
      <c r="AQ164" s="130"/>
      <c r="AR164" s="130"/>
      <c r="AS164" s="130"/>
      <c r="AT164" s="130"/>
      <c r="AU164" s="130"/>
      <c r="AV164" s="130"/>
      <c r="AW164" s="130"/>
      <c r="AX164" s="130"/>
      <c r="AY164" s="130"/>
      <c r="AZ164" s="130"/>
      <c r="BA164" s="130"/>
      <c r="BB164" s="130"/>
      <c r="BC164" s="130"/>
      <c r="BD164" s="130"/>
      <c r="BE164" s="130"/>
      <c r="BF164" s="130"/>
      <c r="BG164" s="130"/>
      <c r="BH164" s="130"/>
      <c r="BI164" s="130"/>
      <c r="BJ164" s="130"/>
      <c r="BK164" s="130"/>
      <c r="BL164" s="130"/>
      <c r="BM164" s="130"/>
      <c r="BN164" s="130"/>
      <c r="BO164" s="130"/>
      <c r="BP164" s="130"/>
      <c r="BQ164" s="130"/>
      <c r="BR164" s="130"/>
      <c r="BS164" s="130"/>
      <c r="BT164" s="130"/>
      <c r="BU164" s="130"/>
      <c r="BV164" s="130"/>
      <c r="BW164" s="130"/>
      <c r="BX164" s="130"/>
      <c r="BY164" s="130"/>
      <c r="BZ164" s="130"/>
      <c r="CA164" s="130"/>
      <c r="CB164" s="130"/>
      <c r="CC164" s="130"/>
      <c r="CD164" s="130"/>
      <c r="CE164" s="130"/>
      <c r="CF164" s="130"/>
      <c r="CG164" s="130"/>
      <c r="CH164" s="130"/>
      <c r="CI164" s="130"/>
      <c r="CJ164" s="130"/>
      <c r="CK164" s="130"/>
      <c r="CL164" s="130"/>
      <c r="CM164" s="130"/>
      <c r="CN164" s="130"/>
      <c r="CO164" s="130"/>
      <c r="CP164" s="130"/>
      <c r="CQ164" s="130"/>
      <c r="CR164" s="130"/>
      <c r="CS164" s="130"/>
      <c r="CT164" s="130"/>
      <c r="CU164" s="130"/>
      <c r="CV164" s="130"/>
      <c r="CW164" s="130"/>
      <c r="CX164" s="130"/>
      <c r="CY164" s="130"/>
      <c r="CZ164" s="130"/>
      <c r="DA164" s="130"/>
      <c r="DB164" s="130"/>
      <c r="DC164" s="130"/>
      <c r="DD164" s="130"/>
      <c r="DE164" s="130"/>
      <c r="DF164" s="128"/>
      <c r="DG164" s="128"/>
    </row>
    <row r="165" spans="1:111" s="143" customFormat="1" ht="34.5" x14ac:dyDescent="0.25">
      <c r="A165" s="128"/>
      <c r="B165" s="128"/>
      <c r="C165" s="130"/>
      <c r="D165" s="130"/>
      <c r="E165" s="209" t="s">
        <v>249</v>
      </c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  <c r="AG165" s="130"/>
      <c r="AH165" s="130"/>
      <c r="AI165" s="130"/>
      <c r="AJ165" s="130"/>
      <c r="AK165" s="130"/>
      <c r="AL165" s="130"/>
      <c r="AM165" s="130"/>
      <c r="AN165" s="130"/>
      <c r="AO165" s="130"/>
      <c r="AP165" s="130"/>
      <c r="AQ165" s="130"/>
      <c r="AR165" s="130"/>
      <c r="AS165" s="130"/>
      <c r="AT165" s="130"/>
      <c r="AU165" s="130"/>
      <c r="AV165" s="130"/>
      <c r="AW165" s="130"/>
      <c r="AX165" s="130"/>
      <c r="AY165" s="130"/>
      <c r="AZ165" s="130"/>
      <c r="BA165" s="130"/>
      <c r="BB165" s="130"/>
      <c r="BC165" s="130"/>
      <c r="BD165" s="130"/>
      <c r="BE165" s="130"/>
      <c r="BF165" s="130"/>
      <c r="BG165" s="130"/>
      <c r="BH165" s="130"/>
      <c r="BI165" s="130"/>
      <c r="BJ165" s="130"/>
      <c r="BK165" s="130"/>
      <c r="BL165" s="130"/>
      <c r="BM165" s="130"/>
      <c r="BN165" s="130"/>
      <c r="BO165" s="130"/>
      <c r="BP165" s="130"/>
      <c r="BQ165" s="130"/>
      <c r="BR165" s="130"/>
      <c r="BS165" s="130"/>
      <c r="BT165" s="130"/>
      <c r="BU165" s="130"/>
      <c r="BV165" s="130"/>
      <c r="BW165" s="130"/>
      <c r="BX165" s="130"/>
      <c r="BY165" s="130"/>
      <c r="BZ165" s="130"/>
      <c r="CA165" s="130"/>
      <c r="CB165" s="130"/>
      <c r="CC165" s="130"/>
      <c r="CD165" s="130"/>
      <c r="CE165" s="130"/>
      <c r="CF165" s="130"/>
      <c r="CG165" s="130"/>
      <c r="CH165" s="130"/>
      <c r="CI165" s="130"/>
      <c r="CJ165" s="130"/>
      <c r="CK165" s="130"/>
      <c r="CL165" s="130"/>
      <c r="CM165" s="130"/>
      <c r="CN165" s="130"/>
      <c r="CO165" s="130"/>
      <c r="CP165" s="130"/>
      <c r="CQ165" s="130"/>
      <c r="CR165" s="130"/>
      <c r="CS165" s="130"/>
      <c r="CT165" s="130"/>
      <c r="CU165" s="130"/>
      <c r="CV165" s="130"/>
      <c r="CW165" s="130"/>
      <c r="CX165" s="130"/>
      <c r="CY165" s="130"/>
      <c r="CZ165" s="130"/>
      <c r="DA165" s="130"/>
      <c r="DB165" s="130"/>
      <c r="DC165" s="130"/>
      <c r="DD165" s="130"/>
      <c r="DE165" s="130"/>
      <c r="DF165" s="128"/>
      <c r="DG165" s="128"/>
    </row>
    <row r="166" spans="1:111" s="143" customFormat="1" ht="24.95" customHeight="1" x14ac:dyDescent="0.25">
      <c r="A166" s="128"/>
      <c r="B166" s="128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  <c r="AG166" s="130"/>
      <c r="AH166" s="130"/>
      <c r="AI166" s="130"/>
      <c r="AJ166" s="130"/>
      <c r="AK166" s="130"/>
      <c r="AL166" s="130"/>
      <c r="AM166" s="130"/>
      <c r="AN166" s="130"/>
      <c r="AO166" s="130"/>
      <c r="AP166" s="130"/>
      <c r="AQ166" s="130"/>
      <c r="AR166" s="130"/>
      <c r="AS166" s="130"/>
      <c r="AT166" s="130"/>
      <c r="AU166" s="130"/>
      <c r="AV166" s="130"/>
      <c r="AW166" s="130"/>
      <c r="AX166" s="130"/>
      <c r="AY166" s="130"/>
      <c r="AZ166" s="130"/>
      <c r="BA166" s="130"/>
      <c r="BB166" s="130"/>
      <c r="BC166" s="130"/>
      <c r="BD166" s="130"/>
      <c r="BE166" s="130"/>
      <c r="BF166" s="130"/>
      <c r="BG166" s="130"/>
      <c r="BH166" s="130"/>
      <c r="BI166" s="130"/>
      <c r="BJ166" s="130"/>
      <c r="BK166" s="130"/>
      <c r="BL166" s="130"/>
      <c r="BM166" s="130"/>
      <c r="BN166" s="130"/>
      <c r="BO166" s="130"/>
      <c r="BP166" s="130"/>
      <c r="BQ166" s="130"/>
      <c r="BR166" s="130"/>
      <c r="BS166" s="130"/>
      <c r="BT166" s="130"/>
      <c r="BU166" s="130"/>
      <c r="BV166" s="130"/>
      <c r="BW166" s="130"/>
      <c r="BX166" s="130"/>
      <c r="BY166" s="130"/>
      <c r="BZ166" s="130"/>
      <c r="CA166" s="130"/>
      <c r="CB166" s="130"/>
      <c r="CC166" s="130"/>
      <c r="CD166" s="130"/>
      <c r="CE166" s="130"/>
      <c r="CF166" s="130"/>
      <c r="CG166" s="130"/>
      <c r="CH166" s="130"/>
      <c r="CI166" s="130"/>
      <c r="CJ166" s="130"/>
      <c r="CK166" s="130"/>
      <c r="CL166" s="130"/>
      <c r="CM166" s="130"/>
      <c r="CN166" s="130"/>
      <c r="CO166" s="130"/>
      <c r="CP166" s="130"/>
      <c r="CQ166" s="130"/>
      <c r="CR166" s="130"/>
      <c r="CS166" s="130"/>
      <c r="CT166" s="130"/>
      <c r="CU166" s="130"/>
      <c r="CV166" s="130"/>
      <c r="CW166" s="130"/>
      <c r="CX166" s="130"/>
      <c r="CY166" s="130"/>
      <c r="CZ166" s="130"/>
      <c r="DA166" s="130"/>
      <c r="DB166" s="130"/>
      <c r="DC166" s="130"/>
      <c r="DD166" s="130"/>
      <c r="DE166" s="130"/>
      <c r="DF166" s="128"/>
      <c r="DG166" s="128"/>
    </row>
    <row r="167" spans="1:111" s="143" customFormat="1" ht="24.95" customHeight="1" x14ac:dyDescent="0.25">
      <c r="A167" s="128"/>
      <c r="B167" s="128"/>
      <c r="C167" s="130"/>
      <c r="D167" s="130"/>
      <c r="F167" s="130"/>
      <c r="G167" s="130"/>
      <c r="H167" s="130"/>
      <c r="I167" s="224" t="s">
        <v>144</v>
      </c>
      <c r="J167" s="130"/>
      <c r="K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0"/>
      <c r="AF167" s="130"/>
      <c r="AG167" s="130"/>
      <c r="AH167" s="130"/>
      <c r="AI167" s="130"/>
      <c r="AJ167" s="130"/>
      <c r="AK167" s="130"/>
      <c r="AL167" s="130"/>
      <c r="AM167" s="130"/>
      <c r="AN167" s="130"/>
      <c r="AO167" s="130"/>
      <c r="AP167" s="130"/>
      <c r="AR167" s="130"/>
      <c r="AT167" s="130"/>
      <c r="AU167" s="130"/>
      <c r="AW167" s="130"/>
      <c r="AX167" s="130"/>
      <c r="AY167" s="130"/>
      <c r="AZ167" s="130"/>
      <c r="BA167" s="130"/>
      <c r="BB167" s="130"/>
      <c r="BC167" s="130"/>
      <c r="BD167" s="130"/>
      <c r="BE167" s="130"/>
      <c r="BF167" s="130"/>
      <c r="BG167" s="130"/>
      <c r="BH167" s="130"/>
      <c r="BI167" s="130"/>
      <c r="BJ167" s="219" t="s">
        <v>124</v>
      </c>
      <c r="BK167" s="130"/>
      <c r="BL167" s="130"/>
      <c r="BN167" s="130"/>
      <c r="BO167" s="130"/>
      <c r="BP167" s="130"/>
      <c r="BQ167" s="130"/>
      <c r="BR167" s="130"/>
      <c r="BS167" s="130"/>
      <c r="BT167" s="130"/>
      <c r="BU167" s="130"/>
      <c r="BV167" s="130"/>
      <c r="BW167" s="130"/>
      <c r="BX167" s="130"/>
      <c r="BY167" s="153"/>
      <c r="CA167" s="130"/>
      <c r="CB167" s="130"/>
      <c r="CC167" s="130"/>
      <c r="CE167" s="130"/>
      <c r="CF167" s="130"/>
      <c r="CG167" s="130"/>
      <c r="CH167" s="130"/>
      <c r="CI167" s="130"/>
      <c r="CJ167" s="130"/>
      <c r="CK167" s="130"/>
      <c r="CL167" s="130"/>
      <c r="CM167" s="130"/>
      <c r="CN167" s="130"/>
      <c r="CO167" s="130"/>
      <c r="CP167" s="130"/>
      <c r="CQ167" s="130"/>
      <c r="CR167" s="130"/>
      <c r="CS167" s="130"/>
      <c r="CT167" s="130"/>
      <c r="CU167" s="130"/>
      <c r="CV167" s="130"/>
      <c r="CW167" s="130"/>
      <c r="CX167" s="130"/>
      <c r="CY167" s="130"/>
      <c r="CZ167" s="130"/>
      <c r="DA167" s="130"/>
      <c r="DB167" s="130"/>
      <c r="DC167" s="130"/>
      <c r="DD167" s="130"/>
      <c r="DE167" s="130"/>
      <c r="DF167" s="128"/>
      <c r="DG167" s="128"/>
    </row>
    <row r="168" spans="1:111" s="143" customFormat="1" ht="24.95" customHeight="1" x14ac:dyDescent="0.25">
      <c r="A168" s="128"/>
      <c r="B168" s="128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  <c r="AG168" s="130"/>
      <c r="AH168" s="130"/>
      <c r="AI168" s="130"/>
      <c r="AJ168" s="130"/>
      <c r="AK168" s="130"/>
      <c r="AL168" s="130"/>
      <c r="AM168" s="130"/>
      <c r="AN168" s="130"/>
      <c r="AO168" s="130"/>
      <c r="AP168" s="130"/>
      <c r="AQ168" s="130"/>
      <c r="AR168" s="130"/>
      <c r="AS168" s="130"/>
      <c r="AT168" s="130"/>
      <c r="AU168" s="130"/>
      <c r="AV168" s="130"/>
      <c r="AW168" s="130"/>
      <c r="AX168" s="130"/>
      <c r="AY168" s="130"/>
      <c r="AZ168" s="130"/>
      <c r="BA168" s="130"/>
      <c r="BB168" s="130"/>
      <c r="BC168" s="130"/>
      <c r="BD168" s="130"/>
      <c r="BE168" s="130"/>
      <c r="BF168" s="130"/>
      <c r="BG168" s="130"/>
      <c r="BH168" s="130"/>
      <c r="BI168" s="130"/>
      <c r="BJ168" s="130"/>
      <c r="BK168" s="130"/>
      <c r="BL168" s="130"/>
      <c r="BM168" s="130"/>
      <c r="BN168" s="130"/>
      <c r="BO168" s="130"/>
      <c r="BP168" s="130"/>
      <c r="BQ168" s="130"/>
      <c r="BR168" s="130"/>
      <c r="BS168" s="130"/>
      <c r="BT168" s="130"/>
      <c r="BU168" s="130"/>
      <c r="BV168" s="130"/>
      <c r="BW168" s="130"/>
      <c r="BX168" s="130"/>
      <c r="BY168" s="130"/>
      <c r="BZ168" s="130"/>
      <c r="CA168" s="130"/>
      <c r="CB168" s="130"/>
      <c r="CC168" s="130"/>
      <c r="CD168" s="130"/>
      <c r="CE168" s="130"/>
      <c r="CF168" s="130"/>
      <c r="CG168" s="130"/>
      <c r="CH168" s="130"/>
      <c r="CI168" s="130"/>
      <c r="CJ168" s="130"/>
      <c r="CK168" s="130"/>
      <c r="CL168" s="130"/>
      <c r="CM168" s="130"/>
      <c r="CN168" s="130"/>
      <c r="CO168" s="130"/>
      <c r="CP168" s="130"/>
      <c r="CQ168" s="130"/>
      <c r="CR168" s="130"/>
      <c r="CS168" s="130"/>
      <c r="CT168" s="130"/>
      <c r="CU168" s="130"/>
      <c r="CV168" s="130"/>
      <c r="CW168" s="130"/>
      <c r="CX168" s="130"/>
      <c r="CY168" s="130"/>
      <c r="CZ168" s="130"/>
      <c r="DA168" s="130"/>
      <c r="DB168" s="130"/>
      <c r="DC168" s="130"/>
      <c r="DD168" s="130"/>
      <c r="DE168" s="130"/>
      <c r="DF168" s="128"/>
      <c r="DG168" s="128"/>
    </row>
    <row r="169" spans="1:111" s="143" customFormat="1" ht="24.95" customHeight="1" x14ac:dyDescent="0.25">
      <c r="A169" s="128"/>
      <c r="B169" s="128"/>
      <c r="C169" s="130"/>
      <c r="D169" s="130"/>
      <c r="I169" s="512" t="str">
        <f>Auxiliar!G35</f>
        <v>Protege a tus dependientes por una suma que cubra al menos 0.1 años de tus gastos básicos, para alcanzar una protección de 3 años.</v>
      </c>
      <c r="J169" s="512"/>
      <c r="K169" s="512"/>
      <c r="L169" s="512"/>
      <c r="M169" s="512"/>
      <c r="N169" s="512"/>
      <c r="O169" s="512"/>
      <c r="P169" s="512"/>
      <c r="Q169" s="512"/>
      <c r="R169" s="512"/>
      <c r="S169" s="512"/>
      <c r="T169" s="512"/>
      <c r="U169" s="512"/>
      <c r="V169" s="512"/>
      <c r="W169" s="512"/>
      <c r="X169" s="512"/>
      <c r="Y169" s="512"/>
      <c r="Z169" s="512"/>
      <c r="AA169" s="512"/>
      <c r="AB169" s="512"/>
      <c r="AC169" s="512"/>
      <c r="AD169" s="512"/>
      <c r="AE169" s="512"/>
      <c r="AF169" s="512"/>
      <c r="AG169" s="512"/>
      <c r="AH169" s="512"/>
      <c r="AI169" s="512"/>
      <c r="AJ169" s="512"/>
      <c r="AK169" s="512"/>
      <c r="AL169" s="512"/>
      <c r="AM169" s="512"/>
      <c r="AN169" s="512"/>
      <c r="AO169" s="512"/>
      <c r="AP169" s="512"/>
      <c r="AQ169" s="512"/>
      <c r="AR169" s="512"/>
      <c r="AS169" s="512"/>
      <c r="AT169" s="512"/>
      <c r="AU169" s="512"/>
      <c r="BJ169" s="512" t="str">
        <f>Auxiliar!G37</f>
        <v>Protege tu propiedad por al menos una suma asegurada de:</v>
      </c>
      <c r="BK169" s="512"/>
      <c r="BL169" s="512"/>
      <c r="BM169" s="512"/>
      <c r="BN169" s="512"/>
      <c r="BO169" s="512"/>
      <c r="BP169" s="512"/>
      <c r="BQ169" s="512"/>
      <c r="BR169" s="512"/>
      <c r="BS169" s="512"/>
      <c r="BT169" s="512"/>
      <c r="BU169" s="512"/>
      <c r="BV169" s="512"/>
      <c r="BW169" s="512"/>
      <c r="BX169" s="512"/>
      <c r="BY169" s="512"/>
      <c r="BZ169" s="512"/>
      <c r="CA169" s="512"/>
      <c r="CB169" s="512"/>
      <c r="CC169" s="512"/>
      <c r="CD169" s="512"/>
      <c r="CE169" s="512"/>
      <c r="CF169" s="512"/>
      <c r="CG169" s="512"/>
      <c r="CH169" s="512"/>
      <c r="CI169" s="512"/>
      <c r="CJ169" s="512"/>
      <c r="CK169" s="512"/>
      <c r="CL169" s="512"/>
      <c r="CM169" s="512"/>
      <c r="CN169" s="512"/>
      <c r="CO169" s="512"/>
      <c r="CP169" s="512"/>
      <c r="CQ169" s="512"/>
      <c r="CR169" s="512"/>
      <c r="CS169" s="512"/>
      <c r="CT169" s="512"/>
      <c r="CU169" s="512"/>
      <c r="CV169" s="512"/>
      <c r="CW169" s="512"/>
      <c r="CX169" s="512"/>
      <c r="CY169" s="512"/>
      <c r="CZ169" s="130"/>
      <c r="DA169" s="130"/>
      <c r="DB169" s="130"/>
      <c r="DC169" s="130"/>
      <c r="DD169" s="130"/>
      <c r="DE169" s="130"/>
      <c r="DF169" s="128"/>
      <c r="DG169" s="128"/>
    </row>
    <row r="170" spans="1:111" s="143" customFormat="1" ht="24.95" customHeight="1" x14ac:dyDescent="0.25">
      <c r="A170" s="128"/>
      <c r="B170" s="128"/>
      <c r="C170" s="130"/>
      <c r="D170" s="130"/>
      <c r="I170" s="512"/>
      <c r="J170" s="512"/>
      <c r="K170" s="512"/>
      <c r="L170" s="512"/>
      <c r="M170" s="512"/>
      <c r="N170" s="512"/>
      <c r="O170" s="512"/>
      <c r="P170" s="512"/>
      <c r="Q170" s="512"/>
      <c r="R170" s="512"/>
      <c r="S170" s="512"/>
      <c r="T170" s="512"/>
      <c r="U170" s="512"/>
      <c r="V170" s="512"/>
      <c r="W170" s="512"/>
      <c r="X170" s="512"/>
      <c r="Y170" s="512"/>
      <c r="Z170" s="512"/>
      <c r="AA170" s="512"/>
      <c r="AB170" s="512"/>
      <c r="AC170" s="512"/>
      <c r="AD170" s="512"/>
      <c r="AE170" s="512"/>
      <c r="AF170" s="512"/>
      <c r="AG170" s="512"/>
      <c r="AH170" s="512"/>
      <c r="AI170" s="512"/>
      <c r="AJ170" s="512"/>
      <c r="AK170" s="512"/>
      <c r="AL170" s="512"/>
      <c r="AM170" s="512"/>
      <c r="AN170" s="512"/>
      <c r="AO170" s="512"/>
      <c r="AP170" s="512"/>
      <c r="AQ170" s="512"/>
      <c r="AR170" s="512"/>
      <c r="AS170" s="512"/>
      <c r="AT170" s="512"/>
      <c r="AU170" s="512"/>
      <c r="BJ170" s="512"/>
      <c r="BK170" s="512"/>
      <c r="BL170" s="512"/>
      <c r="BM170" s="512"/>
      <c r="BN170" s="512"/>
      <c r="BO170" s="512"/>
      <c r="BP170" s="512"/>
      <c r="BQ170" s="512"/>
      <c r="BR170" s="512"/>
      <c r="BS170" s="512"/>
      <c r="BT170" s="512"/>
      <c r="BU170" s="512"/>
      <c r="BV170" s="512"/>
      <c r="BW170" s="512"/>
      <c r="BX170" s="512"/>
      <c r="BY170" s="512"/>
      <c r="BZ170" s="512"/>
      <c r="CA170" s="512"/>
      <c r="CB170" s="512"/>
      <c r="CC170" s="512"/>
      <c r="CD170" s="512"/>
      <c r="CE170" s="512"/>
      <c r="CF170" s="512"/>
      <c r="CG170" s="512"/>
      <c r="CH170" s="512"/>
      <c r="CI170" s="512"/>
      <c r="CJ170" s="512"/>
      <c r="CK170" s="512"/>
      <c r="CL170" s="512"/>
      <c r="CM170" s="512"/>
      <c r="CN170" s="512"/>
      <c r="CO170" s="512"/>
      <c r="CP170" s="512"/>
      <c r="CQ170" s="512"/>
      <c r="CR170" s="512"/>
      <c r="CS170" s="512"/>
      <c r="CT170" s="512"/>
      <c r="CU170" s="512"/>
      <c r="CV170" s="512"/>
      <c r="CW170" s="512"/>
      <c r="CX170" s="512"/>
      <c r="CY170" s="512"/>
      <c r="CZ170" s="130"/>
      <c r="DA170" s="130"/>
      <c r="DB170" s="130"/>
      <c r="DC170" s="130"/>
      <c r="DD170" s="130"/>
      <c r="DE170" s="130"/>
      <c r="DF170" s="128"/>
      <c r="DG170" s="128"/>
    </row>
    <row r="171" spans="1:111" s="143" customFormat="1" ht="24.95" customHeight="1" x14ac:dyDescent="0.25">
      <c r="A171" s="128"/>
      <c r="B171" s="128"/>
      <c r="C171" s="130"/>
      <c r="D171" s="130"/>
      <c r="I171" s="512"/>
      <c r="J171" s="512"/>
      <c r="K171" s="512"/>
      <c r="L171" s="512"/>
      <c r="M171" s="512"/>
      <c r="N171" s="512"/>
      <c r="O171" s="512"/>
      <c r="P171" s="512"/>
      <c r="Q171" s="512"/>
      <c r="R171" s="512"/>
      <c r="S171" s="512"/>
      <c r="T171" s="512"/>
      <c r="U171" s="512"/>
      <c r="V171" s="512"/>
      <c r="W171" s="512"/>
      <c r="X171" s="512"/>
      <c r="Y171" s="512"/>
      <c r="Z171" s="512"/>
      <c r="AA171" s="512"/>
      <c r="AB171" s="512"/>
      <c r="AC171" s="512"/>
      <c r="AD171" s="512"/>
      <c r="AE171" s="512"/>
      <c r="AF171" s="512"/>
      <c r="AG171" s="512"/>
      <c r="AH171" s="512"/>
      <c r="AI171" s="512"/>
      <c r="AJ171" s="512"/>
      <c r="AK171" s="512"/>
      <c r="AL171" s="512"/>
      <c r="AM171" s="512"/>
      <c r="AN171" s="512"/>
      <c r="AO171" s="512"/>
      <c r="AP171" s="512"/>
      <c r="AQ171" s="512"/>
      <c r="AR171" s="512"/>
      <c r="AS171" s="512"/>
      <c r="AT171" s="512"/>
      <c r="AU171" s="512"/>
      <c r="BJ171" s="512"/>
      <c r="BK171" s="512"/>
      <c r="BL171" s="512"/>
      <c r="BM171" s="512"/>
      <c r="BN171" s="512"/>
      <c r="BO171" s="512"/>
      <c r="BP171" s="512"/>
      <c r="BQ171" s="512"/>
      <c r="BR171" s="512"/>
      <c r="BS171" s="512"/>
      <c r="BT171" s="512"/>
      <c r="BU171" s="512"/>
      <c r="BV171" s="512"/>
      <c r="BW171" s="512"/>
      <c r="BX171" s="512"/>
      <c r="BY171" s="512"/>
      <c r="BZ171" s="512"/>
      <c r="CA171" s="512"/>
      <c r="CB171" s="512"/>
      <c r="CC171" s="512"/>
      <c r="CD171" s="512"/>
      <c r="CE171" s="512"/>
      <c r="CF171" s="512"/>
      <c r="CG171" s="512"/>
      <c r="CH171" s="512"/>
      <c r="CI171" s="512"/>
      <c r="CJ171" s="512"/>
      <c r="CK171" s="512"/>
      <c r="CL171" s="512"/>
      <c r="CM171" s="512"/>
      <c r="CN171" s="512"/>
      <c r="CO171" s="512"/>
      <c r="CP171" s="512"/>
      <c r="CQ171" s="512"/>
      <c r="CR171" s="512"/>
      <c r="CS171" s="512"/>
      <c r="CT171" s="512"/>
      <c r="CU171" s="512"/>
      <c r="CV171" s="512"/>
      <c r="CW171" s="512"/>
      <c r="CX171" s="512"/>
      <c r="CY171" s="512"/>
      <c r="CZ171" s="130"/>
      <c r="DA171" s="130"/>
      <c r="DB171" s="130"/>
      <c r="DC171" s="130"/>
      <c r="DD171" s="130"/>
      <c r="DE171" s="130"/>
      <c r="DF171" s="128"/>
      <c r="DG171" s="128"/>
    </row>
    <row r="172" spans="1:111" s="143" customFormat="1" ht="24.95" customHeight="1" x14ac:dyDescent="0.25">
      <c r="A172" s="128"/>
      <c r="B172" s="128"/>
      <c r="C172" s="130"/>
      <c r="D172" s="130"/>
      <c r="E172" s="130"/>
      <c r="F172" s="130"/>
      <c r="G172" s="130"/>
      <c r="H172" s="130"/>
      <c r="I172" s="512"/>
      <c r="J172" s="512"/>
      <c r="K172" s="512"/>
      <c r="L172" s="512"/>
      <c r="M172" s="512"/>
      <c r="N172" s="512"/>
      <c r="O172" s="512"/>
      <c r="P172" s="512"/>
      <c r="Q172" s="512"/>
      <c r="R172" s="512"/>
      <c r="S172" s="512"/>
      <c r="T172" s="512"/>
      <c r="U172" s="512"/>
      <c r="V172" s="512"/>
      <c r="W172" s="512"/>
      <c r="X172" s="512"/>
      <c r="Y172" s="512"/>
      <c r="Z172" s="512"/>
      <c r="AA172" s="512"/>
      <c r="AB172" s="512"/>
      <c r="AC172" s="512"/>
      <c r="AD172" s="512"/>
      <c r="AE172" s="512"/>
      <c r="AF172" s="512"/>
      <c r="AG172" s="512"/>
      <c r="AH172" s="512"/>
      <c r="AI172" s="512"/>
      <c r="AJ172" s="512"/>
      <c r="AK172" s="512"/>
      <c r="AL172" s="512"/>
      <c r="AM172" s="512"/>
      <c r="AN172" s="512"/>
      <c r="AO172" s="512"/>
      <c r="AP172" s="512"/>
      <c r="AQ172" s="512"/>
      <c r="AR172" s="512"/>
      <c r="AS172" s="512"/>
      <c r="AT172" s="512"/>
      <c r="AU172" s="512"/>
      <c r="AW172" s="130"/>
      <c r="BL172" s="130"/>
      <c r="BM172" s="130"/>
      <c r="BN172" s="130"/>
      <c r="BO172" s="130"/>
      <c r="BP172" s="130"/>
      <c r="CE172" s="130"/>
      <c r="CF172" s="130"/>
      <c r="CG172" s="130"/>
      <c r="CH172" s="130"/>
      <c r="CI172" s="130"/>
      <c r="CJ172" s="130"/>
      <c r="CK172" s="130"/>
      <c r="CL172" s="130"/>
      <c r="CM172" s="130"/>
      <c r="CN172" s="130"/>
      <c r="CO172" s="130"/>
      <c r="CP172" s="130"/>
      <c r="CQ172" s="130"/>
      <c r="CR172" s="130"/>
      <c r="CS172" s="130"/>
      <c r="CT172" s="130"/>
      <c r="CU172" s="130"/>
      <c r="CV172" s="130"/>
      <c r="CW172" s="130"/>
      <c r="CX172" s="130"/>
      <c r="CY172" s="130"/>
      <c r="CZ172" s="130"/>
      <c r="DA172" s="130"/>
      <c r="DB172" s="130"/>
      <c r="DC172" s="130"/>
      <c r="DD172" s="130"/>
      <c r="DE172" s="130"/>
      <c r="DF172" s="128"/>
      <c r="DG172" s="128"/>
    </row>
    <row r="173" spans="1:111" s="143" customFormat="1" ht="24.95" customHeight="1" x14ac:dyDescent="0.25">
      <c r="A173" s="128"/>
      <c r="B173" s="128"/>
      <c r="C173" s="130"/>
      <c r="D173" s="130"/>
      <c r="E173" s="130"/>
      <c r="AP173" s="130"/>
      <c r="AQ173" s="130"/>
      <c r="AR173" s="130"/>
      <c r="AS173" s="130"/>
      <c r="AT173" s="130"/>
      <c r="AU173" s="130"/>
      <c r="AV173" s="130"/>
      <c r="AW173" s="130"/>
      <c r="BM173" s="130"/>
      <c r="BN173" s="130"/>
      <c r="BO173" s="130"/>
      <c r="BP173" s="130"/>
      <c r="BT173" s="506" t="s">
        <v>141</v>
      </c>
      <c r="BU173" s="506"/>
      <c r="BV173" s="506"/>
      <c r="BW173" s="506"/>
      <c r="BX173" s="506"/>
      <c r="BY173" s="506"/>
      <c r="BZ173" s="506"/>
      <c r="CA173" s="506"/>
      <c r="CB173" s="506"/>
      <c r="CC173" s="506"/>
      <c r="CD173" s="506"/>
      <c r="CE173" s="506"/>
      <c r="CF173" s="506"/>
      <c r="CG173" s="506"/>
      <c r="DA173" s="130"/>
      <c r="DB173" s="130"/>
      <c r="DC173" s="130"/>
      <c r="DD173" s="130"/>
      <c r="DE173" s="130"/>
      <c r="DF173" s="128"/>
      <c r="DG173" s="128"/>
    </row>
    <row r="174" spans="1:111" s="143" customFormat="1" ht="24.95" customHeight="1" x14ac:dyDescent="0.25">
      <c r="A174" s="128"/>
      <c r="B174" s="128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506" t="s">
        <v>141</v>
      </c>
      <c r="N174" s="506"/>
      <c r="O174" s="506"/>
      <c r="P174" s="506"/>
      <c r="Q174" s="506"/>
      <c r="R174" s="506"/>
      <c r="S174" s="506"/>
      <c r="T174" s="506"/>
      <c r="U174" s="506"/>
      <c r="V174" s="506"/>
      <c r="W174" s="506"/>
      <c r="X174" s="506"/>
      <c r="Y174" s="506"/>
      <c r="Z174" s="506"/>
      <c r="AA174" s="164"/>
      <c r="AB174" s="506" t="s">
        <v>209</v>
      </c>
      <c r="AC174" s="506"/>
      <c r="AD174" s="506"/>
      <c r="AE174" s="506"/>
      <c r="AF174" s="506"/>
      <c r="AG174" s="506"/>
      <c r="AH174" s="506"/>
      <c r="AI174" s="506"/>
      <c r="AJ174" s="506"/>
      <c r="AK174" s="506"/>
      <c r="AL174" s="506"/>
      <c r="AM174" s="506"/>
      <c r="AN174" s="506"/>
      <c r="AO174" s="506"/>
      <c r="AP174" s="130"/>
      <c r="AQ174" s="130"/>
      <c r="AR174" s="130"/>
      <c r="AS174" s="130"/>
      <c r="AT174" s="130"/>
      <c r="AU174" s="130"/>
      <c r="AV174" s="130"/>
      <c r="AW174" s="130"/>
      <c r="AX174" s="130"/>
      <c r="AY174" s="130"/>
      <c r="AZ174" s="130"/>
      <c r="BA174" s="130"/>
      <c r="BB174" s="130"/>
      <c r="BC174" s="130"/>
      <c r="BD174" s="130"/>
      <c r="BE174" s="130"/>
      <c r="BF174" s="130"/>
      <c r="BG174" s="130"/>
      <c r="BH174" s="130"/>
      <c r="BI174" s="130"/>
      <c r="BJ174" s="130"/>
      <c r="BK174" s="130"/>
      <c r="BL174" s="130"/>
      <c r="BM174" s="130"/>
      <c r="BN174" s="130"/>
      <c r="BO174" s="130"/>
      <c r="BP174" s="130"/>
      <c r="BQ174" s="130"/>
      <c r="BR174" s="130"/>
      <c r="BS174" s="130"/>
      <c r="DA174" s="130"/>
      <c r="DB174" s="130"/>
      <c r="DC174" s="130"/>
      <c r="DD174" s="130"/>
      <c r="DE174" s="130"/>
      <c r="DF174" s="128"/>
      <c r="DG174" s="128"/>
    </row>
    <row r="175" spans="1:111" s="143" customFormat="1" ht="24.95" customHeight="1" x14ac:dyDescent="0.25">
      <c r="A175" s="128"/>
      <c r="B175" s="128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AP175" s="130"/>
      <c r="AQ175" s="130"/>
      <c r="AR175" s="130"/>
      <c r="AS175" s="130"/>
      <c r="AT175" s="130"/>
      <c r="AU175" s="130"/>
      <c r="AV175" s="130"/>
      <c r="AW175" s="130"/>
      <c r="AX175" s="130"/>
      <c r="AY175" s="130"/>
      <c r="AZ175" s="130"/>
      <c r="BA175" s="130"/>
      <c r="BB175" s="130"/>
      <c r="BC175" s="130"/>
      <c r="BD175" s="130"/>
      <c r="BE175" s="130"/>
      <c r="BF175" s="130"/>
      <c r="BG175" s="130"/>
      <c r="BH175" s="130"/>
      <c r="BI175" s="130"/>
      <c r="BJ175" s="130"/>
      <c r="BK175" s="130"/>
      <c r="BL175" s="130"/>
      <c r="BM175" s="130"/>
      <c r="BN175" s="130"/>
      <c r="BO175" s="130"/>
      <c r="BP175" s="130"/>
      <c r="BQ175" s="130"/>
      <c r="BR175" s="130"/>
      <c r="BS175" s="130"/>
      <c r="BT175" s="130"/>
      <c r="BU175" s="130"/>
      <c r="BV175" s="130"/>
      <c r="DA175" s="130"/>
      <c r="DB175" s="130"/>
      <c r="DC175" s="130"/>
      <c r="DD175" s="130"/>
      <c r="DE175" s="130"/>
      <c r="DF175" s="128"/>
      <c r="DG175" s="128"/>
    </row>
    <row r="176" spans="1:111" s="143" customFormat="1" ht="24.95" customHeight="1" x14ac:dyDescent="0.25">
      <c r="A176" s="128"/>
      <c r="B176" s="128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  <c r="AG176" s="130"/>
      <c r="AH176" s="130"/>
      <c r="AI176" s="130"/>
      <c r="AJ176" s="130"/>
      <c r="AK176" s="130"/>
      <c r="AL176" s="130"/>
      <c r="AM176" s="130"/>
      <c r="AN176" s="130"/>
      <c r="AO176" s="130"/>
      <c r="AP176" s="130"/>
      <c r="AQ176" s="130"/>
      <c r="AR176" s="130"/>
      <c r="AS176" s="130"/>
      <c r="AT176" s="130"/>
      <c r="AU176" s="130"/>
      <c r="AV176" s="130"/>
      <c r="AW176" s="130"/>
      <c r="AX176" s="130"/>
      <c r="AY176" s="130"/>
      <c r="AZ176" s="130"/>
      <c r="BA176" s="130"/>
      <c r="BB176" s="130"/>
      <c r="BC176" s="130"/>
      <c r="BD176" s="130"/>
      <c r="BE176" s="130"/>
      <c r="BF176" s="130"/>
      <c r="BG176" s="130"/>
      <c r="BH176" s="130"/>
      <c r="BI176" s="130"/>
      <c r="BJ176" s="130"/>
      <c r="BK176" s="130"/>
      <c r="BL176" s="130"/>
      <c r="BM176" s="130"/>
      <c r="BN176" s="130"/>
      <c r="BO176" s="130"/>
      <c r="BP176" s="130"/>
      <c r="BQ176" s="130"/>
      <c r="BR176" s="130"/>
      <c r="BS176" s="130"/>
      <c r="BT176" s="130"/>
      <c r="BU176" s="130"/>
      <c r="BV176" s="130"/>
      <c r="BW176" s="130"/>
      <c r="BX176" s="130"/>
      <c r="BY176" s="130"/>
      <c r="BZ176" s="130"/>
      <c r="CA176" s="130"/>
      <c r="CB176" s="130"/>
      <c r="CC176" s="130"/>
      <c r="CD176" s="130"/>
      <c r="CE176" s="130"/>
      <c r="CF176" s="130"/>
      <c r="CG176" s="130"/>
      <c r="CH176" s="130"/>
      <c r="CI176" s="130"/>
      <c r="CJ176" s="130"/>
      <c r="CK176" s="130"/>
      <c r="CL176" s="130"/>
      <c r="CM176" s="130"/>
      <c r="CN176" s="130"/>
      <c r="CO176" s="130"/>
      <c r="CP176" s="130"/>
      <c r="CQ176" s="130"/>
      <c r="CR176" s="130"/>
      <c r="CS176" s="130"/>
      <c r="CT176" s="130"/>
      <c r="CU176" s="130"/>
      <c r="CV176" s="130"/>
      <c r="CW176" s="130"/>
      <c r="CX176" s="130"/>
      <c r="CY176" s="130"/>
      <c r="CZ176" s="130"/>
      <c r="DA176" s="130"/>
      <c r="DB176" s="130"/>
      <c r="DC176" s="130"/>
      <c r="DD176" s="130"/>
      <c r="DE176" s="130"/>
      <c r="DF176" s="128"/>
      <c r="DG176" s="128"/>
    </row>
    <row r="177" spans="1:114" s="143" customFormat="1" ht="24.95" customHeight="1" x14ac:dyDescent="0.25">
      <c r="A177" s="128"/>
      <c r="B177" s="128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  <c r="AG177" s="130"/>
      <c r="AH177" s="130"/>
      <c r="AI177" s="130"/>
      <c r="AJ177" s="130"/>
      <c r="AK177" s="130"/>
      <c r="AL177" s="130"/>
      <c r="AM177" s="130"/>
      <c r="AN177" s="130"/>
      <c r="AO177" s="130"/>
      <c r="AP177" s="130"/>
      <c r="AQ177" s="130"/>
      <c r="AR177" s="130"/>
      <c r="AS177" s="130"/>
      <c r="AT177" s="130"/>
      <c r="AU177" s="130"/>
      <c r="AV177" s="130"/>
      <c r="AW177" s="130"/>
      <c r="AX177" s="130"/>
      <c r="AY177" s="130"/>
      <c r="AZ177" s="130"/>
      <c r="BA177" s="130"/>
      <c r="BB177" s="130"/>
      <c r="BC177" s="130"/>
      <c r="BD177" s="130"/>
      <c r="BE177" s="130"/>
      <c r="BF177" s="130"/>
      <c r="BG177" s="130"/>
      <c r="BH177" s="130"/>
      <c r="BI177" s="130"/>
      <c r="BJ177" s="130"/>
      <c r="BK177" s="130"/>
      <c r="BL177" s="130"/>
      <c r="BM177" s="130"/>
      <c r="BN177" s="130"/>
      <c r="BO177" s="130"/>
      <c r="BP177" s="130"/>
      <c r="BQ177" s="130"/>
      <c r="BR177" s="130"/>
      <c r="BS177" s="130"/>
      <c r="BT177" s="130"/>
      <c r="BU177" s="130"/>
      <c r="BV177" s="130"/>
      <c r="BW177" s="130"/>
      <c r="BX177" s="130"/>
      <c r="BY177" s="130"/>
      <c r="BZ177" s="130"/>
      <c r="CA177" s="130"/>
      <c r="CB177" s="130"/>
      <c r="CC177" s="130"/>
      <c r="CD177" s="130"/>
      <c r="CE177" s="130"/>
      <c r="CF177" s="130"/>
      <c r="CG177" s="130"/>
      <c r="CH177" s="130"/>
      <c r="CI177" s="130"/>
      <c r="CJ177" s="130"/>
      <c r="CK177" s="130"/>
      <c r="CL177" s="130"/>
      <c r="CM177" s="130"/>
      <c r="CN177" s="130"/>
      <c r="CO177" s="130"/>
      <c r="CP177" s="130"/>
      <c r="CQ177" s="130"/>
      <c r="CR177" s="130"/>
      <c r="CS177" s="130"/>
      <c r="CT177" s="130"/>
      <c r="CU177" s="130"/>
      <c r="CV177" s="130"/>
      <c r="CW177" s="130"/>
      <c r="CX177" s="130"/>
      <c r="CY177" s="130"/>
      <c r="CZ177" s="130"/>
      <c r="DA177" s="130"/>
      <c r="DB177" s="130"/>
      <c r="DC177" s="130"/>
      <c r="DD177" s="130"/>
      <c r="DE177" s="130"/>
      <c r="DF177" s="128"/>
      <c r="DG177" s="128"/>
    </row>
    <row r="178" spans="1:114" s="143" customFormat="1" ht="24.95" customHeight="1" x14ac:dyDescent="0.25">
      <c r="A178" s="128"/>
      <c r="B178" s="128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  <c r="AG178" s="130"/>
      <c r="AH178" s="130"/>
      <c r="AI178" s="130"/>
      <c r="AJ178" s="130"/>
      <c r="AK178" s="130"/>
      <c r="AL178" s="130"/>
      <c r="AM178" s="130"/>
      <c r="AN178" s="130"/>
      <c r="AO178" s="130"/>
      <c r="AP178" s="130"/>
      <c r="AQ178" s="130"/>
      <c r="AR178" s="130"/>
      <c r="AS178" s="130"/>
      <c r="AT178" s="130"/>
      <c r="AU178" s="130"/>
      <c r="AV178" s="130"/>
      <c r="AW178" s="130"/>
      <c r="AX178" s="130"/>
      <c r="AY178" s="130"/>
      <c r="AZ178" s="130"/>
      <c r="BA178" s="130"/>
      <c r="BB178" s="130"/>
      <c r="BC178" s="130"/>
      <c r="BD178" s="130"/>
      <c r="BE178" s="130"/>
      <c r="BF178" s="130"/>
      <c r="BG178" s="130"/>
      <c r="BH178" s="130"/>
      <c r="BI178" s="130"/>
      <c r="BJ178" s="130"/>
      <c r="BK178" s="130"/>
      <c r="BL178" s="130"/>
      <c r="BM178" s="130"/>
      <c r="BN178" s="130"/>
      <c r="BO178" s="130"/>
      <c r="BP178" s="130"/>
      <c r="BQ178" s="130"/>
      <c r="BR178" s="130"/>
      <c r="BS178" s="130"/>
      <c r="BT178" s="130"/>
      <c r="BU178" s="130"/>
      <c r="BV178" s="130"/>
      <c r="BW178" s="130"/>
      <c r="BX178" s="130"/>
      <c r="BY178" s="130"/>
      <c r="BZ178" s="130"/>
      <c r="CA178" s="130"/>
      <c r="CB178" s="130"/>
      <c r="CC178" s="130"/>
      <c r="CD178" s="130"/>
      <c r="CE178" s="130"/>
      <c r="CF178" s="130"/>
      <c r="CG178" s="130"/>
      <c r="CH178" s="130"/>
      <c r="CI178" s="130"/>
      <c r="CJ178" s="130"/>
      <c r="CK178" s="130"/>
      <c r="CL178" s="130"/>
      <c r="CM178" s="130"/>
      <c r="CN178" s="130"/>
      <c r="CO178" s="130"/>
      <c r="CP178" s="130"/>
      <c r="CQ178" s="130"/>
      <c r="CR178" s="130"/>
      <c r="CS178" s="130"/>
      <c r="CT178" s="130"/>
      <c r="CU178" s="130"/>
      <c r="CV178" s="130"/>
      <c r="CW178" s="130"/>
      <c r="CX178" s="130"/>
      <c r="CY178" s="130"/>
      <c r="CZ178" s="130"/>
      <c r="DA178" s="130"/>
      <c r="DB178" s="130"/>
      <c r="DC178" s="130"/>
      <c r="DD178" s="130"/>
      <c r="DE178" s="130"/>
      <c r="DF178" s="128"/>
      <c r="DG178" s="128"/>
    </row>
    <row r="179" spans="1:114" s="143" customFormat="1" ht="24.95" customHeight="1" x14ac:dyDescent="0.25">
      <c r="A179" s="128"/>
      <c r="B179" s="128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  <c r="AG179" s="130"/>
      <c r="AH179" s="130"/>
      <c r="AI179" s="130"/>
      <c r="AJ179" s="130"/>
      <c r="AK179" s="130"/>
      <c r="AL179" s="130"/>
      <c r="AM179" s="130"/>
      <c r="AN179" s="130"/>
      <c r="AO179" s="130"/>
      <c r="AP179" s="130"/>
      <c r="AQ179" s="130"/>
      <c r="AR179" s="130"/>
      <c r="AS179" s="130"/>
      <c r="AT179" s="130"/>
      <c r="AU179" s="130"/>
      <c r="AV179" s="130"/>
      <c r="AW179" s="130"/>
      <c r="AX179" s="130"/>
      <c r="AY179" s="130"/>
      <c r="AZ179" s="130"/>
      <c r="BA179" s="130"/>
      <c r="BB179" s="130"/>
      <c r="BC179" s="130"/>
      <c r="BD179" s="130"/>
      <c r="BE179" s="130"/>
      <c r="BF179" s="130"/>
      <c r="BG179" s="130"/>
      <c r="BH179" s="130"/>
      <c r="BI179" s="130"/>
      <c r="BJ179" s="130"/>
      <c r="BK179" s="130"/>
      <c r="BL179" s="130"/>
      <c r="BM179" s="154" t="s">
        <v>210</v>
      </c>
      <c r="BN179" s="130"/>
      <c r="BO179" s="130"/>
      <c r="BP179" s="130"/>
      <c r="BQ179" s="130"/>
      <c r="BR179" s="130"/>
      <c r="BS179" s="130"/>
      <c r="BT179" s="130"/>
      <c r="BU179" s="130"/>
      <c r="BV179" s="130"/>
      <c r="BW179" s="130"/>
      <c r="BX179" s="130"/>
      <c r="BY179" s="130"/>
      <c r="BZ179" s="130"/>
      <c r="CA179" s="130"/>
      <c r="CB179" s="130"/>
      <c r="CC179" s="130"/>
      <c r="CD179" s="130"/>
      <c r="CE179" s="130"/>
      <c r="CF179" s="130"/>
      <c r="CG179" s="130"/>
      <c r="CH179" s="130"/>
      <c r="CI179" s="130"/>
      <c r="CJ179" s="130"/>
      <c r="CK179" s="130"/>
      <c r="CL179" s="130"/>
      <c r="CM179" s="130"/>
      <c r="CN179" s="130"/>
      <c r="CO179" s="130"/>
      <c r="CP179" s="130"/>
      <c r="CQ179" s="130"/>
      <c r="CR179" s="130"/>
      <c r="CS179" s="130"/>
      <c r="CT179" s="130"/>
      <c r="CU179" s="130"/>
      <c r="CV179" s="130"/>
      <c r="CW179" s="130"/>
      <c r="CX179" s="130"/>
      <c r="CY179" s="130"/>
      <c r="CZ179" s="130"/>
      <c r="DA179" s="130"/>
      <c r="DB179" s="130"/>
      <c r="DC179" s="130"/>
      <c r="DD179" s="130"/>
      <c r="DE179" s="130"/>
      <c r="DF179" s="128"/>
      <c r="DG179" s="128"/>
    </row>
    <row r="180" spans="1:114" s="143" customFormat="1" ht="24.95" customHeight="1" x14ac:dyDescent="0.25">
      <c r="A180" s="128"/>
      <c r="B180" s="128"/>
      <c r="C180" s="130"/>
      <c r="D180" s="130"/>
      <c r="E180" s="130"/>
      <c r="F180" s="130"/>
      <c r="G180" s="130"/>
      <c r="H180" s="130"/>
      <c r="I180" s="130"/>
      <c r="J180" s="130"/>
      <c r="K180" s="130"/>
      <c r="L180" s="154" t="s">
        <v>211</v>
      </c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  <c r="AG180" s="130"/>
      <c r="AH180" s="130"/>
      <c r="AI180" s="130"/>
      <c r="AJ180" s="130"/>
      <c r="AK180" s="130"/>
      <c r="AL180" s="130"/>
      <c r="AM180" s="130"/>
      <c r="AN180" s="130"/>
      <c r="AO180" s="130"/>
      <c r="AP180" s="130"/>
      <c r="AQ180" s="130"/>
      <c r="AR180" s="130"/>
      <c r="AS180" s="130"/>
      <c r="AT180" s="130"/>
      <c r="AU180" s="130"/>
      <c r="AV180" s="130"/>
      <c r="AW180" s="130"/>
      <c r="AX180" s="130"/>
      <c r="AY180" s="130"/>
      <c r="AZ180" s="130"/>
      <c r="BA180" s="130"/>
      <c r="BB180" s="130"/>
      <c r="BC180" s="130"/>
      <c r="BD180" s="130"/>
      <c r="BE180" s="130"/>
      <c r="BF180" s="130"/>
      <c r="BG180" s="130"/>
      <c r="BH180" s="130"/>
      <c r="BI180" s="130"/>
      <c r="BJ180" s="130"/>
      <c r="BK180" s="130"/>
      <c r="BL180" s="130"/>
      <c r="BM180" s="130"/>
      <c r="BN180" s="130"/>
      <c r="BO180" s="130"/>
      <c r="BP180" s="130"/>
      <c r="BQ180" s="130"/>
      <c r="BR180" s="130"/>
      <c r="BS180" s="130"/>
      <c r="BT180" s="130"/>
      <c r="BU180" s="130"/>
      <c r="BV180" s="130"/>
      <c r="BW180" s="130"/>
      <c r="BX180" s="130"/>
      <c r="BY180" s="130"/>
      <c r="BZ180" s="130"/>
      <c r="CA180" s="130"/>
      <c r="CB180" s="130"/>
      <c r="CC180" s="130"/>
      <c r="CD180" s="130"/>
      <c r="CE180" s="130"/>
      <c r="CF180" s="130"/>
      <c r="CG180" s="130"/>
      <c r="CH180" s="130"/>
      <c r="CI180" s="130"/>
      <c r="CJ180" s="130"/>
      <c r="CK180" s="130"/>
      <c r="CL180" s="130"/>
      <c r="CM180" s="130"/>
      <c r="CN180" s="130"/>
      <c r="CO180" s="130"/>
      <c r="CP180" s="130"/>
      <c r="CQ180" s="130"/>
      <c r="CR180" s="130"/>
      <c r="CS180" s="130"/>
      <c r="CT180" s="130"/>
      <c r="CU180" s="130"/>
      <c r="CV180" s="130"/>
      <c r="CW180" s="130"/>
      <c r="CX180" s="130"/>
      <c r="CY180" s="130"/>
      <c r="CZ180" s="130"/>
      <c r="DA180" s="130"/>
      <c r="DB180" s="130"/>
      <c r="DC180" s="130"/>
      <c r="DD180" s="130"/>
      <c r="DE180" s="130"/>
      <c r="DF180" s="128"/>
      <c r="DG180" s="128"/>
    </row>
    <row r="181" spans="1:114" s="143" customFormat="1" ht="24.95" customHeight="1" x14ac:dyDescent="0.25">
      <c r="A181" s="128"/>
      <c r="B181" s="128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  <c r="AG181" s="130"/>
      <c r="AH181" s="130"/>
      <c r="AI181" s="130"/>
      <c r="AJ181" s="130"/>
      <c r="AK181" s="130"/>
      <c r="AL181" s="130"/>
      <c r="AM181" s="130"/>
      <c r="AN181" s="130"/>
      <c r="AO181" s="130"/>
      <c r="AP181" s="130"/>
      <c r="AQ181" s="130"/>
      <c r="AR181" s="130"/>
      <c r="AS181" s="130"/>
      <c r="AT181" s="130"/>
      <c r="AU181" s="130"/>
      <c r="AV181" s="130"/>
      <c r="AW181" s="130"/>
      <c r="AX181" s="130"/>
      <c r="AY181" s="130"/>
      <c r="AZ181" s="130"/>
      <c r="BA181" s="130"/>
      <c r="BB181" s="130"/>
      <c r="BC181" s="130"/>
      <c r="BD181" s="130"/>
      <c r="BE181" s="130"/>
      <c r="BF181" s="130"/>
      <c r="BG181" s="130"/>
      <c r="BH181" s="130"/>
      <c r="BI181" s="130"/>
      <c r="BJ181" s="130"/>
      <c r="BK181" s="130"/>
      <c r="BL181" s="130"/>
      <c r="BM181" s="130"/>
      <c r="BN181" s="130"/>
      <c r="BO181" s="130"/>
      <c r="BP181" s="130"/>
      <c r="BQ181" s="130"/>
      <c r="BR181" s="130"/>
      <c r="BS181" s="130"/>
      <c r="BT181" s="130"/>
      <c r="BU181" s="130"/>
      <c r="BV181" s="130"/>
      <c r="BW181" s="130"/>
      <c r="BX181" s="130"/>
      <c r="BY181" s="130"/>
      <c r="BZ181" s="130"/>
      <c r="CA181" s="130"/>
      <c r="CB181" s="130"/>
      <c r="CC181" s="130"/>
      <c r="CD181" s="130"/>
      <c r="CE181" s="130"/>
      <c r="CF181" s="130"/>
      <c r="CG181" s="130"/>
      <c r="CH181" s="130"/>
      <c r="CI181" s="130"/>
      <c r="CJ181" s="130"/>
      <c r="CK181" s="130"/>
      <c r="CL181" s="130"/>
      <c r="CM181" s="130"/>
      <c r="CN181" s="130"/>
      <c r="CO181" s="130"/>
      <c r="CP181" s="130"/>
      <c r="CQ181" s="130"/>
      <c r="CR181" s="130"/>
      <c r="CS181" s="130"/>
      <c r="CT181" s="130"/>
      <c r="CU181" s="130"/>
      <c r="CV181" s="130"/>
      <c r="CW181" s="130"/>
      <c r="CX181" s="130"/>
      <c r="CY181" s="130"/>
      <c r="CZ181" s="130"/>
      <c r="DA181" s="130"/>
      <c r="DB181" s="130"/>
      <c r="DC181" s="130"/>
      <c r="DD181" s="130"/>
      <c r="DE181" s="130"/>
      <c r="DF181" s="128"/>
      <c r="DG181" s="128"/>
    </row>
    <row r="182" spans="1:114" s="143" customFormat="1" ht="24.95" customHeight="1" x14ac:dyDescent="0.25">
      <c r="A182" s="128"/>
      <c r="B182" s="128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  <c r="AG182" s="130"/>
      <c r="AH182" s="130"/>
      <c r="AI182" s="130"/>
      <c r="AJ182" s="130"/>
      <c r="AK182" s="130"/>
      <c r="AL182" s="130"/>
      <c r="AM182" s="130"/>
      <c r="AN182" s="130"/>
      <c r="AO182" s="130"/>
      <c r="AP182" s="130"/>
      <c r="AQ182" s="130"/>
      <c r="AR182" s="130"/>
      <c r="AS182" s="130"/>
      <c r="AT182" s="130"/>
      <c r="AU182" s="130"/>
      <c r="AV182" s="130"/>
      <c r="AW182" s="130"/>
      <c r="AX182" s="130"/>
      <c r="AY182" s="130"/>
      <c r="AZ182" s="130"/>
      <c r="BA182" s="130"/>
      <c r="BB182" s="130"/>
      <c r="BC182" s="130"/>
      <c r="BD182" s="130"/>
      <c r="BE182" s="130"/>
      <c r="BF182" s="130"/>
      <c r="BG182" s="130"/>
      <c r="BH182" s="130"/>
      <c r="BI182" s="130"/>
      <c r="BJ182" s="130"/>
      <c r="BK182" s="130"/>
      <c r="BL182" s="130"/>
      <c r="BM182" s="130"/>
      <c r="BN182" s="130"/>
      <c r="BO182" s="130"/>
      <c r="BP182" s="130"/>
      <c r="BQ182" s="130"/>
      <c r="BR182" s="130"/>
      <c r="BS182" s="130"/>
      <c r="BT182" s="130"/>
      <c r="BU182" s="130"/>
      <c r="BV182" s="130"/>
      <c r="BW182" s="130"/>
      <c r="BX182" s="130"/>
      <c r="BY182" s="130"/>
      <c r="BZ182" s="130"/>
      <c r="CA182" s="130"/>
      <c r="CB182" s="130"/>
      <c r="CC182" s="130"/>
      <c r="CD182" s="130"/>
      <c r="CE182" s="130"/>
      <c r="CF182" s="130"/>
      <c r="CG182" s="130"/>
      <c r="CH182" s="130"/>
      <c r="CI182" s="130"/>
      <c r="CJ182" s="130"/>
      <c r="CK182" s="130"/>
      <c r="CL182" s="130"/>
      <c r="CM182" s="130"/>
      <c r="CN182" s="130"/>
      <c r="CO182" s="130"/>
      <c r="CP182" s="130"/>
      <c r="CQ182" s="130"/>
      <c r="CR182" s="130"/>
      <c r="CS182" s="130"/>
      <c r="CT182" s="130"/>
      <c r="CU182" s="130"/>
      <c r="CV182" s="130"/>
      <c r="CW182" s="130"/>
      <c r="CX182" s="130"/>
      <c r="CY182" s="130"/>
      <c r="CZ182" s="130"/>
      <c r="DA182" s="130"/>
      <c r="DB182" s="130"/>
      <c r="DC182" s="130"/>
      <c r="DD182" s="130"/>
      <c r="DE182" s="130"/>
      <c r="DF182" s="128"/>
      <c r="DG182" s="128"/>
    </row>
    <row r="183" spans="1:114" s="143" customFormat="1" ht="24.95" customHeight="1" x14ac:dyDescent="0.25">
      <c r="A183" s="128"/>
      <c r="B183" s="128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  <c r="AG183" s="130"/>
      <c r="AH183" s="130"/>
      <c r="AI183" s="130"/>
      <c r="AJ183" s="130"/>
      <c r="AK183" s="130"/>
      <c r="AL183" s="130"/>
      <c r="AM183" s="130"/>
      <c r="AN183" s="130"/>
      <c r="AO183" s="130"/>
      <c r="AP183" s="130"/>
      <c r="AQ183" s="130"/>
      <c r="AR183" s="130"/>
      <c r="AS183" s="130"/>
      <c r="AT183" s="130"/>
      <c r="AU183" s="130"/>
      <c r="AV183" s="130"/>
      <c r="AW183" s="130"/>
      <c r="AX183" s="130"/>
      <c r="AY183" s="130"/>
      <c r="AZ183" s="130"/>
      <c r="BA183" s="130"/>
      <c r="BB183" s="130"/>
      <c r="BC183" s="130"/>
      <c r="BD183" s="130"/>
      <c r="BE183" s="130"/>
      <c r="BF183" s="130"/>
      <c r="BG183" s="130"/>
      <c r="BH183" s="130"/>
      <c r="BI183" s="130"/>
      <c r="BJ183" s="130"/>
      <c r="BK183" s="130"/>
      <c r="BL183" s="130"/>
      <c r="BM183" s="130"/>
      <c r="BN183" s="130"/>
      <c r="BO183" s="130"/>
      <c r="BP183" s="130"/>
      <c r="BQ183" s="130"/>
      <c r="BR183" s="130"/>
      <c r="BS183" s="130"/>
      <c r="BT183" s="130"/>
      <c r="BU183" s="130"/>
      <c r="BV183" s="130"/>
      <c r="BW183" s="130"/>
      <c r="BX183" s="130"/>
      <c r="BY183" s="130"/>
      <c r="BZ183" s="130"/>
      <c r="CA183" s="130"/>
      <c r="CB183" s="130"/>
      <c r="CC183" s="130"/>
      <c r="CD183" s="130"/>
      <c r="CE183" s="130"/>
      <c r="CF183" s="130"/>
      <c r="CG183" s="130"/>
      <c r="CH183" s="130"/>
      <c r="CI183" s="130"/>
      <c r="CJ183" s="130"/>
      <c r="CK183" s="130"/>
      <c r="CL183" s="130"/>
      <c r="CM183" s="130"/>
      <c r="CN183" s="130"/>
      <c r="CO183" s="130"/>
      <c r="CP183" s="130"/>
      <c r="CQ183" s="130"/>
      <c r="CR183" s="130"/>
      <c r="CS183" s="130"/>
      <c r="CT183" s="130"/>
      <c r="CU183" s="130"/>
      <c r="CV183" s="130"/>
      <c r="CW183" s="130"/>
      <c r="CX183" s="130"/>
      <c r="CY183" s="130"/>
      <c r="CZ183" s="130"/>
      <c r="DA183" s="130"/>
      <c r="DB183" s="130"/>
      <c r="DC183" s="130"/>
      <c r="DD183" s="130"/>
      <c r="DE183" s="130"/>
      <c r="DF183" s="128"/>
      <c r="DG183" s="128"/>
    </row>
    <row r="184" spans="1:114" s="143" customFormat="1" x14ac:dyDescent="0.25">
      <c r="A184" s="128"/>
      <c r="B184" s="128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  <c r="AG184" s="130"/>
      <c r="AH184" s="130"/>
      <c r="AI184" s="130"/>
      <c r="AJ184" s="130"/>
      <c r="AK184" s="130"/>
      <c r="AL184" s="130"/>
      <c r="AM184" s="130"/>
      <c r="AN184" s="130"/>
      <c r="AO184" s="130"/>
      <c r="AP184" s="130"/>
      <c r="AQ184" s="130"/>
      <c r="AR184" s="130"/>
      <c r="AS184" s="130"/>
      <c r="AT184" s="130"/>
      <c r="AU184" s="130"/>
      <c r="AV184" s="130"/>
      <c r="AW184" s="130"/>
      <c r="AX184" s="130"/>
      <c r="AY184" s="130"/>
      <c r="AZ184" s="130"/>
      <c r="BA184" s="130"/>
      <c r="BB184" s="130"/>
      <c r="BC184" s="130"/>
      <c r="BD184" s="130"/>
      <c r="BE184" s="130"/>
      <c r="BF184" s="130"/>
      <c r="BG184" s="130"/>
      <c r="BH184" s="130"/>
      <c r="BI184" s="130"/>
      <c r="BJ184" s="130"/>
      <c r="BK184" s="130"/>
      <c r="BL184" s="130"/>
      <c r="BM184" s="130"/>
      <c r="BN184" s="130"/>
      <c r="BO184" s="130"/>
      <c r="BP184" s="130"/>
      <c r="BQ184" s="130"/>
      <c r="BR184" s="130"/>
      <c r="BS184" s="130"/>
      <c r="BT184" s="130"/>
      <c r="BU184" s="130"/>
      <c r="BV184" s="130"/>
      <c r="BW184" s="130"/>
      <c r="BX184" s="130"/>
      <c r="BY184" s="130"/>
      <c r="BZ184" s="130"/>
      <c r="CA184" s="130"/>
      <c r="CB184" s="130"/>
      <c r="CC184" s="130"/>
      <c r="CD184" s="130"/>
      <c r="CE184" s="130"/>
      <c r="CF184" s="130"/>
      <c r="CG184" s="130"/>
      <c r="CH184" s="130"/>
      <c r="CI184" s="130"/>
      <c r="CJ184" s="130"/>
      <c r="CK184" s="130"/>
      <c r="CL184" s="130"/>
      <c r="CM184" s="130"/>
      <c r="CN184" s="130"/>
      <c r="CO184" s="130"/>
      <c r="CP184" s="130"/>
      <c r="CQ184" s="130"/>
      <c r="CR184" s="130"/>
      <c r="CS184" s="130"/>
      <c r="CT184" s="130"/>
      <c r="CU184" s="130"/>
      <c r="CV184" s="130"/>
      <c r="CW184" s="130"/>
      <c r="CX184" s="130"/>
      <c r="CY184" s="130"/>
      <c r="CZ184" s="130"/>
      <c r="DA184" s="130"/>
      <c r="DB184" s="130"/>
      <c r="DC184" s="130"/>
      <c r="DD184" s="130"/>
      <c r="DE184" s="130"/>
      <c r="DF184" s="128"/>
      <c r="DG184" s="128"/>
    </row>
    <row r="185" spans="1:114" s="143" customFormat="1" ht="34.5" x14ac:dyDescent="0.25">
      <c r="A185" s="128"/>
      <c r="B185" s="128"/>
      <c r="C185" s="130"/>
      <c r="D185" s="130"/>
      <c r="E185" s="218" t="s">
        <v>250</v>
      </c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  <c r="AG185" s="130"/>
      <c r="AH185" s="130"/>
      <c r="AI185" s="130"/>
      <c r="AJ185" s="130"/>
      <c r="AK185" s="130"/>
      <c r="AL185" s="130"/>
      <c r="AM185" s="130"/>
      <c r="AN185" s="130"/>
      <c r="AO185" s="130"/>
      <c r="AP185" s="130"/>
      <c r="AQ185" s="130"/>
      <c r="AR185" s="130"/>
      <c r="AS185" s="130"/>
      <c r="AT185" s="130"/>
      <c r="AU185" s="130"/>
      <c r="AV185" s="130"/>
      <c r="AW185" s="130"/>
      <c r="AX185" s="130"/>
      <c r="AY185" s="130"/>
      <c r="AZ185" s="130"/>
      <c r="BA185" s="130"/>
      <c r="BB185" s="130"/>
      <c r="BC185" s="130"/>
      <c r="BD185" s="130"/>
      <c r="BE185" s="130"/>
      <c r="BF185" s="130"/>
      <c r="BG185" s="130"/>
      <c r="BI185" s="156"/>
      <c r="BJ185" s="156"/>
      <c r="BK185" s="156"/>
      <c r="BL185" s="156"/>
      <c r="BM185" s="156"/>
      <c r="BN185" s="156"/>
      <c r="BO185" s="156"/>
      <c r="BP185" s="156"/>
      <c r="BQ185" s="156"/>
      <c r="BR185" s="156"/>
      <c r="BS185" s="156"/>
      <c r="BT185" s="156"/>
      <c r="BU185" s="156"/>
      <c r="BV185" s="156"/>
      <c r="BW185" s="156"/>
      <c r="BX185" s="156"/>
      <c r="BY185" s="156"/>
      <c r="BZ185" s="156"/>
      <c r="CA185" s="156"/>
      <c r="CB185" s="156"/>
      <c r="CC185" s="156"/>
      <c r="CD185" s="156"/>
      <c r="CE185" s="156"/>
      <c r="CF185" s="156"/>
      <c r="CG185" s="156"/>
      <c r="CH185" s="156"/>
      <c r="CI185" s="156"/>
      <c r="CJ185" s="156"/>
      <c r="CK185" s="156"/>
      <c r="CL185" s="156"/>
      <c r="CM185" s="156"/>
      <c r="CN185" s="156"/>
      <c r="CO185" s="156"/>
      <c r="CP185" s="156"/>
      <c r="CQ185" s="156"/>
      <c r="CR185" s="156"/>
      <c r="CS185" s="156"/>
      <c r="CT185" s="156"/>
      <c r="CU185" s="156"/>
      <c r="CV185" s="156"/>
      <c r="CW185" s="156"/>
      <c r="CX185" s="156"/>
      <c r="CY185" s="156"/>
      <c r="CZ185" s="156"/>
      <c r="DA185" s="156"/>
      <c r="DB185" s="141"/>
      <c r="DC185" s="130"/>
      <c r="DD185" s="130"/>
      <c r="DE185" s="130"/>
      <c r="DF185" s="128"/>
      <c r="DG185" s="128"/>
    </row>
    <row r="186" spans="1:114" s="143" customFormat="1" ht="9.9499999999999993" customHeight="1" x14ac:dyDescent="0.25">
      <c r="A186" s="128"/>
      <c r="B186" s="128"/>
      <c r="C186" s="130"/>
      <c r="D186" s="130"/>
      <c r="E186" s="17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  <c r="AT186" s="130"/>
      <c r="AU186" s="130"/>
      <c r="AV186" s="130"/>
      <c r="AW186" s="130"/>
      <c r="AX186" s="130"/>
      <c r="AY186" s="130"/>
      <c r="AZ186" s="130"/>
      <c r="BA186" s="130"/>
      <c r="BB186" s="130"/>
      <c r="BC186" s="130"/>
      <c r="BD186" s="130"/>
      <c r="BE186" s="130"/>
      <c r="BF186" s="130"/>
      <c r="BG186" s="130"/>
      <c r="BI186" s="156"/>
      <c r="BJ186" s="156"/>
      <c r="BK186" s="156"/>
      <c r="BL186" s="156"/>
      <c r="BM186" s="156"/>
      <c r="BN186" s="156"/>
      <c r="BO186" s="156"/>
      <c r="BP186" s="156"/>
      <c r="BQ186" s="156"/>
      <c r="BR186" s="156"/>
      <c r="BS186" s="156"/>
      <c r="BT186" s="156"/>
      <c r="BU186" s="156"/>
      <c r="BV186" s="156"/>
      <c r="BW186" s="156"/>
      <c r="BX186" s="156"/>
      <c r="BY186" s="156"/>
      <c r="BZ186" s="156"/>
      <c r="CA186" s="156"/>
      <c r="CB186" s="156"/>
      <c r="CC186" s="156"/>
      <c r="CD186" s="156"/>
      <c r="CE186" s="156"/>
      <c r="CF186" s="156"/>
      <c r="CG186" s="156"/>
      <c r="CH186" s="156"/>
      <c r="CI186" s="156"/>
      <c r="CJ186" s="156"/>
      <c r="CK186" s="156"/>
      <c r="CL186" s="156"/>
      <c r="CM186" s="156"/>
      <c r="CN186" s="156"/>
      <c r="CO186" s="156"/>
      <c r="CP186" s="156"/>
      <c r="CQ186" s="156"/>
      <c r="CR186" s="156"/>
      <c r="CS186" s="156"/>
      <c r="CT186" s="156"/>
      <c r="CU186" s="156"/>
      <c r="CV186" s="156"/>
      <c r="CW186" s="156"/>
      <c r="CX186" s="156"/>
      <c r="CY186" s="156"/>
      <c r="CZ186" s="156"/>
      <c r="DA186" s="156"/>
      <c r="DB186" s="141"/>
      <c r="DC186" s="130"/>
      <c r="DD186" s="130"/>
      <c r="DE186" s="130"/>
      <c r="DF186" s="128"/>
      <c r="DG186" s="128"/>
    </row>
    <row r="187" spans="1:114" s="143" customFormat="1" ht="30.75" x14ac:dyDescent="0.25">
      <c r="A187" s="128"/>
      <c r="B187" s="128"/>
      <c r="C187" s="130"/>
      <c r="D187" s="130"/>
      <c r="E187" s="224" t="s">
        <v>237</v>
      </c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  <c r="AG187" s="130"/>
      <c r="AH187" s="130"/>
      <c r="AI187" s="130"/>
      <c r="AJ187" s="130"/>
      <c r="AK187" s="130"/>
      <c r="AL187" s="130"/>
      <c r="AM187" s="130"/>
      <c r="AN187" s="130"/>
      <c r="AO187" s="130"/>
      <c r="AP187" s="130"/>
      <c r="AQ187" s="130"/>
      <c r="AR187" s="130"/>
      <c r="AS187" s="130"/>
      <c r="AT187" s="130"/>
      <c r="AU187" s="130"/>
      <c r="AV187" s="130"/>
      <c r="AW187" s="130"/>
      <c r="AX187" s="130"/>
      <c r="AY187" s="130"/>
      <c r="AZ187" s="130"/>
      <c r="BA187" s="130"/>
      <c r="BB187" s="130"/>
      <c r="BC187" s="130"/>
      <c r="BD187" s="130"/>
      <c r="BE187" s="130"/>
      <c r="BF187" s="130"/>
      <c r="BG187" s="130"/>
      <c r="BH187" s="225" t="s">
        <v>213</v>
      </c>
      <c r="BI187" s="156"/>
      <c r="BJ187" s="156"/>
      <c r="BK187" s="156"/>
      <c r="BL187" s="156"/>
      <c r="BM187" s="156"/>
      <c r="BN187" s="156"/>
      <c r="BO187" s="156"/>
      <c r="BP187" s="156"/>
      <c r="BQ187" s="156"/>
      <c r="BR187" s="156"/>
      <c r="BS187" s="156"/>
      <c r="BT187" s="156"/>
      <c r="BU187" s="156"/>
      <c r="BV187" s="156"/>
      <c r="BW187" s="156"/>
      <c r="BX187" s="156"/>
      <c r="BY187" s="156"/>
      <c r="BZ187" s="156"/>
      <c r="CA187" s="156"/>
      <c r="CB187" s="156"/>
      <c r="CC187" s="156"/>
      <c r="CD187" s="156"/>
      <c r="CE187" s="156"/>
      <c r="CF187" s="156"/>
      <c r="CG187" s="156"/>
      <c r="CH187" s="156"/>
      <c r="CI187" s="156"/>
      <c r="CJ187" s="156"/>
      <c r="CK187" s="156"/>
      <c r="CL187" s="156"/>
      <c r="CM187" s="156"/>
      <c r="CN187" s="156"/>
      <c r="CO187" s="156"/>
      <c r="CP187" s="156"/>
      <c r="CQ187" s="156"/>
      <c r="CR187" s="156"/>
      <c r="CS187" s="156"/>
      <c r="CT187" s="156"/>
      <c r="CU187" s="156"/>
      <c r="CV187" s="156"/>
      <c r="CW187" s="156"/>
      <c r="CX187" s="156"/>
      <c r="CY187" s="156"/>
      <c r="CZ187" s="156"/>
      <c r="DA187" s="156"/>
      <c r="DB187" s="141"/>
      <c r="DC187" s="130"/>
      <c r="DD187" s="130"/>
      <c r="DE187" s="130"/>
      <c r="DF187" s="128"/>
      <c r="DG187" s="128"/>
    </row>
    <row r="188" spans="1:114" s="165" customFormat="1" ht="24.95" customHeight="1" x14ac:dyDescent="0.25">
      <c r="A188" s="163"/>
      <c r="B188" s="163"/>
      <c r="C188" s="164"/>
      <c r="D188" s="164"/>
      <c r="E188" s="186" t="s">
        <v>184</v>
      </c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1"/>
      <c r="AC188" s="181"/>
      <c r="AD188" s="181"/>
      <c r="AE188" s="181"/>
      <c r="AF188" s="181"/>
      <c r="AG188" s="181"/>
      <c r="AH188" s="181"/>
      <c r="AI188" s="181"/>
      <c r="AJ188" s="181"/>
      <c r="AK188" s="181"/>
      <c r="AL188" s="183"/>
      <c r="AM188" s="178"/>
      <c r="AN188" s="532">
        <f>'Cálculos y Supuestos Edo.Res'!G10</f>
        <v>50000</v>
      </c>
      <c r="AO188" s="532"/>
      <c r="AP188" s="532"/>
      <c r="AQ188" s="532"/>
      <c r="AR188" s="532"/>
      <c r="AS188" s="532"/>
      <c r="AT188" s="532"/>
      <c r="AU188" s="532"/>
      <c r="AV188" s="532"/>
      <c r="AW188" s="532"/>
      <c r="AX188" s="532"/>
      <c r="AY188" s="532"/>
      <c r="AZ188" s="164"/>
      <c r="BA188" s="164"/>
      <c r="BB188" s="164"/>
      <c r="BC188" s="164"/>
      <c r="BD188" s="164"/>
      <c r="BE188" s="164"/>
      <c r="BF188" s="164"/>
      <c r="BG188" s="164"/>
      <c r="BH188" s="181" t="s">
        <v>186</v>
      </c>
      <c r="BI188" s="181"/>
      <c r="BJ188" s="181"/>
      <c r="BK188" s="181"/>
      <c r="BL188" s="181"/>
      <c r="BM188" s="181"/>
      <c r="BN188" s="181"/>
      <c r="BO188" s="181"/>
      <c r="BP188" s="181"/>
      <c r="BQ188" s="181"/>
      <c r="BR188" s="181"/>
      <c r="BS188" s="181"/>
      <c r="BT188" s="181"/>
      <c r="BU188" s="181"/>
      <c r="BV188" s="181"/>
      <c r="BW188" s="181"/>
      <c r="BX188" s="181"/>
      <c r="BY188" s="181"/>
      <c r="BZ188" s="181"/>
      <c r="CA188" s="181"/>
      <c r="CB188" s="181"/>
      <c r="CC188" s="181"/>
      <c r="CD188" s="181"/>
      <c r="CE188" s="181"/>
      <c r="CF188" s="181"/>
      <c r="CG188" s="181"/>
      <c r="CH188" s="181"/>
      <c r="CI188" s="181"/>
      <c r="CJ188" s="181"/>
      <c r="CK188" s="181"/>
      <c r="CL188" s="181"/>
      <c r="CM188" s="181"/>
      <c r="CN188" s="181"/>
      <c r="CO188" s="181"/>
      <c r="CP188" s="181"/>
      <c r="CQ188" s="181"/>
      <c r="CR188" s="181"/>
      <c r="CS188" s="181"/>
      <c r="CT188" s="181"/>
      <c r="CU188" s="181"/>
      <c r="CV188" s="181"/>
      <c r="CW188" s="181"/>
      <c r="CX188" s="181"/>
      <c r="CY188" s="181"/>
      <c r="CZ188" s="181"/>
      <c r="DA188" s="181"/>
      <c r="DB188" s="166"/>
      <c r="DC188" s="164"/>
      <c r="DD188" s="164"/>
      <c r="DE188" s="164"/>
      <c r="DF188" s="163"/>
      <c r="DG188" s="163"/>
    </row>
    <row r="189" spans="1:114" s="143" customFormat="1" ht="9.9499999999999993" customHeight="1" thickBot="1" x14ac:dyDescent="0.3">
      <c r="A189" s="128"/>
      <c r="B189" s="128"/>
      <c r="C189" s="130"/>
      <c r="D189" s="130"/>
      <c r="E189" s="186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81"/>
      <c r="AJ189" s="181"/>
      <c r="AK189" s="181"/>
      <c r="AL189" s="183"/>
      <c r="AM189" s="178"/>
      <c r="AN189" s="166"/>
      <c r="AO189" s="166"/>
      <c r="AP189" s="166"/>
      <c r="AQ189" s="166"/>
      <c r="AR189" s="166"/>
      <c r="AS189" s="166"/>
      <c r="AT189" s="166"/>
      <c r="AU189" s="166"/>
      <c r="AV189" s="166"/>
      <c r="AW189" s="166"/>
      <c r="AX189" s="166"/>
      <c r="AY189" s="166"/>
      <c r="AZ189" s="130"/>
      <c r="BA189" s="130"/>
      <c r="BB189" s="130"/>
      <c r="BC189" s="130"/>
      <c r="BD189" s="130"/>
      <c r="BE189" s="130"/>
      <c r="BF189" s="130"/>
      <c r="BG189" s="130"/>
      <c r="BH189" s="181"/>
      <c r="BI189" s="156"/>
      <c r="BJ189" s="156"/>
      <c r="BK189" s="156"/>
      <c r="BL189" s="156"/>
      <c r="BM189" s="156"/>
      <c r="BN189" s="156"/>
      <c r="BO189" s="156"/>
      <c r="BP189" s="156"/>
      <c r="BQ189" s="156"/>
      <c r="BR189" s="156"/>
      <c r="BS189" s="156"/>
      <c r="BT189" s="156"/>
      <c r="BU189" s="156"/>
      <c r="BV189" s="156"/>
      <c r="BW189" s="156"/>
      <c r="BX189" s="156"/>
      <c r="BY189" s="156"/>
      <c r="BZ189" s="156"/>
      <c r="CA189" s="156"/>
      <c r="CB189" s="156"/>
      <c r="CC189" s="156"/>
      <c r="CD189" s="156"/>
      <c r="CE189" s="156"/>
      <c r="CF189" s="156"/>
      <c r="CG189" s="156"/>
      <c r="CH189" s="156"/>
      <c r="CI189" s="156"/>
      <c r="CJ189" s="156"/>
      <c r="CK189" s="156"/>
      <c r="CL189" s="156"/>
      <c r="CM189" s="156"/>
      <c r="CN189" s="156"/>
      <c r="CO189" s="156"/>
      <c r="CP189" s="156"/>
      <c r="CQ189" s="156"/>
      <c r="CR189" s="156"/>
      <c r="CS189" s="156"/>
      <c r="CT189" s="156"/>
      <c r="CU189" s="156"/>
      <c r="CV189" s="156"/>
      <c r="CW189" s="156"/>
      <c r="CX189" s="156"/>
      <c r="CY189" s="156"/>
      <c r="CZ189" s="156"/>
      <c r="DA189" s="156"/>
      <c r="DB189" s="141"/>
      <c r="DC189" s="130"/>
      <c r="DD189" s="130"/>
      <c r="DE189" s="130"/>
      <c r="DF189" s="128"/>
      <c r="DG189" s="128"/>
    </row>
    <row r="190" spans="1:114" s="165" customFormat="1" ht="24.95" customHeight="1" thickBot="1" x14ac:dyDescent="0.3">
      <c r="A190" s="163"/>
      <c r="B190" s="163"/>
      <c r="C190" s="164"/>
      <c r="D190" s="164"/>
      <c r="E190" s="188" t="s">
        <v>234</v>
      </c>
      <c r="F190" s="189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81"/>
      <c r="AJ190" s="181"/>
      <c r="AK190" s="181"/>
      <c r="AL190" s="183"/>
      <c r="AM190" s="178"/>
      <c r="AN190" s="532">
        <f>AI126</f>
        <v>0</v>
      </c>
      <c r="AO190" s="532"/>
      <c r="AP190" s="532"/>
      <c r="AQ190" s="532"/>
      <c r="AR190" s="532"/>
      <c r="AS190" s="532"/>
      <c r="AT190" s="532"/>
      <c r="AU190" s="532"/>
      <c r="AV190" s="532"/>
      <c r="AW190" s="532"/>
      <c r="AX190" s="532"/>
      <c r="AY190" s="532"/>
      <c r="AZ190" s="164"/>
      <c r="BA190" s="164"/>
      <c r="BB190" s="164"/>
      <c r="BC190" s="164"/>
      <c r="BD190" s="164"/>
      <c r="BE190" s="164"/>
      <c r="BF190" s="164"/>
      <c r="BG190" s="164"/>
      <c r="BH190" s="184" t="s">
        <v>218</v>
      </c>
      <c r="BI190" s="184"/>
      <c r="BJ190" s="184"/>
      <c r="BK190" s="184"/>
      <c r="BL190" s="184"/>
      <c r="BM190" s="184"/>
      <c r="BN190" s="184"/>
      <c r="BO190" s="184"/>
      <c r="BP190" s="184"/>
      <c r="BQ190" s="184"/>
      <c r="BR190" s="184"/>
      <c r="BS190" s="184"/>
      <c r="BT190" s="184"/>
      <c r="BU190" s="184"/>
      <c r="BV190" s="184"/>
      <c r="BW190" s="184"/>
      <c r="BX190" s="184"/>
      <c r="BY190" s="184"/>
      <c r="BZ190" s="184"/>
      <c r="CA190" s="184"/>
      <c r="CB190" s="184" t="s">
        <v>217</v>
      </c>
      <c r="CC190" s="184"/>
      <c r="CD190" s="184"/>
      <c r="CE190" s="184"/>
      <c r="CF190" s="184"/>
      <c r="CG190" s="184"/>
      <c r="CH190" s="184"/>
      <c r="CI190" s="184"/>
      <c r="CJ190" s="184"/>
      <c r="CK190" s="184"/>
      <c r="CL190" s="184"/>
      <c r="CM190" s="184"/>
      <c r="CN190" s="184"/>
      <c r="CO190" s="184"/>
      <c r="CP190" s="184"/>
      <c r="CQ190" s="184"/>
      <c r="CR190" s="184" t="s">
        <v>220</v>
      </c>
      <c r="CS190" s="184"/>
      <c r="CT190" s="184"/>
      <c r="CU190" s="184"/>
      <c r="CV190" s="184"/>
      <c r="CW190" s="184"/>
      <c r="CX190" s="184"/>
      <c r="CY190" s="184"/>
      <c r="CZ190" s="184"/>
      <c r="DA190" s="184"/>
      <c r="DB190" s="184"/>
      <c r="DC190" s="164"/>
      <c r="DD190" s="164"/>
      <c r="DE190" s="164"/>
      <c r="DF190" s="163"/>
      <c r="DG190" s="163"/>
    </row>
    <row r="191" spans="1:114" s="143" customFormat="1" ht="9.9499999999999993" customHeight="1" thickBot="1" x14ac:dyDescent="0.3">
      <c r="A191" s="128"/>
      <c r="B191" s="128"/>
      <c r="C191" s="130"/>
      <c r="D191" s="130"/>
      <c r="E191" s="188"/>
      <c r="F191" s="189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81"/>
      <c r="AJ191" s="181"/>
      <c r="AK191" s="181"/>
      <c r="AL191" s="183"/>
      <c r="AM191" s="178"/>
      <c r="AN191" s="166"/>
      <c r="AO191" s="166"/>
      <c r="AP191" s="166"/>
      <c r="AQ191" s="166"/>
      <c r="AR191" s="166"/>
      <c r="AS191" s="166"/>
      <c r="AT191" s="166"/>
      <c r="AU191" s="166"/>
      <c r="AV191" s="166"/>
      <c r="AW191" s="166"/>
      <c r="AX191" s="166"/>
      <c r="AY191" s="166"/>
      <c r="AZ191" s="130"/>
      <c r="BA191" s="130"/>
      <c r="BB191" s="130"/>
      <c r="BC191" s="130"/>
      <c r="BD191" s="130"/>
      <c r="BE191" s="130"/>
      <c r="BF191" s="130"/>
      <c r="BG191" s="130"/>
      <c r="BH191" s="181"/>
      <c r="BI191" s="156"/>
      <c r="BJ191" s="156"/>
      <c r="BK191" s="156"/>
      <c r="BL191" s="156"/>
      <c r="BM191" s="156"/>
      <c r="BN191" s="156"/>
      <c r="BO191" s="156"/>
      <c r="BP191" s="156"/>
      <c r="BQ191" s="156"/>
      <c r="BR191" s="156"/>
      <c r="BS191" s="156"/>
      <c r="BT191" s="156"/>
      <c r="BU191" s="156"/>
      <c r="BV191" s="156"/>
      <c r="BW191" s="156"/>
      <c r="BX191" s="156"/>
      <c r="BY191" s="156"/>
      <c r="BZ191" s="156"/>
      <c r="CA191" s="156"/>
      <c r="CB191" s="156"/>
      <c r="CC191" s="156"/>
      <c r="CD191" s="156"/>
      <c r="CE191" s="156"/>
      <c r="CF191" s="156"/>
      <c r="CG191" s="156"/>
      <c r="CH191" s="156"/>
      <c r="CI191" s="156"/>
      <c r="CJ191" s="156"/>
      <c r="CK191" s="156"/>
      <c r="CL191" s="156"/>
      <c r="CM191" s="156"/>
      <c r="CN191" s="156"/>
      <c r="CO191" s="156"/>
      <c r="CP191" s="156"/>
      <c r="CQ191" s="156"/>
      <c r="CR191" s="156"/>
      <c r="CS191" s="156"/>
      <c r="CT191" s="156"/>
      <c r="CU191" s="156"/>
      <c r="CV191" s="156"/>
      <c r="CW191" s="156"/>
      <c r="CX191" s="156"/>
      <c r="CY191" s="156"/>
      <c r="CZ191" s="156"/>
      <c r="DA191" s="156"/>
      <c r="DB191" s="141"/>
      <c r="DC191" s="130"/>
      <c r="DD191" s="130"/>
      <c r="DE191" s="130"/>
      <c r="DF191" s="128"/>
      <c r="DG191" s="128"/>
    </row>
    <row r="192" spans="1:114" s="183" customFormat="1" ht="24.95" customHeight="1" x14ac:dyDescent="0.25">
      <c r="A192" s="182"/>
      <c r="B192" s="182"/>
      <c r="C192" s="181"/>
      <c r="D192" s="181"/>
      <c r="E192" s="190" t="s">
        <v>183</v>
      </c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  <c r="AA192" s="191"/>
      <c r="AB192" s="191"/>
      <c r="AC192" s="191"/>
      <c r="AD192" s="191"/>
      <c r="AE192" s="191"/>
      <c r="AF192" s="191"/>
      <c r="AG192" s="191"/>
      <c r="AH192" s="191"/>
      <c r="AI192" s="191"/>
      <c r="AJ192" s="191"/>
      <c r="AK192" s="191"/>
      <c r="AN192" s="548">
        <f>MAX(AN188-AN190,0)</f>
        <v>50000</v>
      </c>
      <c r="AO192" s="548"/>
      <c r="AP192" s="548"/>
      <c r="AQ192" s="548"/>
      <c r="AR192" s="548"/>
      <c r="AS192" s="548"/>
      <c r="AT192" s="548"/>
      <c r="AU192" s="548"/>
      <c r="AV192" s="548"/>
      <c r="AW192" s="548"/>
      <c r="AX192" s="548"/>
      <c r="AY192" s="548"/>
      <c r="AZ192" s="181"/>
      <c r="BA192" s="181"/>
      <c r="BB192" s="181"/>
      <c r="BC192" s="181"/>
      <c r="BD192" s="181"/>
      <c r="BE192" s="181"/>
      <c r="BF192" s="180"/>
      <c r="BG192" s="164"/>
      <c r="BH192" s="566" t="s">
        <v>317</v>
      </c>
      <c r="BI192" s="567"/>
      <c r="BJ192" s="567"/>
      <c r="BK192" s="567"/>
      <c r="BL192" s="567"/>
      <c r="BM192" s="567"/>
      <c r="BN192" s="567"/>
      <c r="BO192" s="567"/>
      <c r="BP192" s="567"/>
      <c r="BQ192" s="567"/>
      <c r="BR192" s="567"/>
      <c r="BS192" s="567"/>
      <c r="BT192" s="567"/>
      <c r="BU192" s="567"/>
      <c r="BV192" s="567"/>
      <c r="BW192" s="567"/>
      <c r="BX192" s="567"/>
      <c r="BY192" s="181"/>
      <c r="BZ192" s="181"/>
      <c r="CA192" s="181"/>
      <c r="CB192" s="568">
        <v>290000</v>
      </c>
      <c r="CC192" s="569"/>
      <c r="CD192" s="569"/>
      <c r="CE192" s="569"/>
      <c r="CF192" s="569"/>
      <c r="CG192" s="569"/>
      <c r="CH192" s="569"/>
      <c r="CI192" s="569"/>
      <c r="CJ192" s="569"/>
      <c r="CK192" s="569"/>
      <c r="CL192" s="569"/>
      <c r="CM192" s="569"/>
      <c r="CN192" s="569"/>
      <c r="CO192" s="181"/>
      <c r="CP192" s="181"/>
      <c r="CQ192" s="181"/>
      <c r="CR192" s="529">
        <f>IFERROR(((NPER(('Cálculos y Supuestos Edo.Res'!C4)/12,AE196,CB192,0,1)*-1)),0)</f>
        <v>19.17138648922835</v>
      </c>
      <c r="CS192" s="529"/>
      <c r="CT192" s="529"/>
      <c r="CU192" s="529"/>
      <c r="CV192" s="529"/>
      <c r="CW192" s="529"/>
      <c r="CX192" s="529"/>
      <c r="CY192" s="529"/>
      <c r="CZ192" s="529"/>
      <c r="DA192" s="529"/>
      <c r="DB192" s="529"/>
      <c r="DE192" s="181"/>
      <c r="DF192" s="182"/>
      <c r="DG192" s="182"/>
      <c r="DJ192" s="185"/>
    </row>
    <row r="193" spans="1:114" s="158" customFormat="1" ht="9.9499999999999993" customHeight="1" x14ac:dyDescent="0.25">
      <c r="A193" s="157"/>
      <c r="B193" s="157"/>
      <c r="C193" s="156"/>
      <c r="D193" s="156"/>
      <c r="E193" s="190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  <c r="AA193" s="191"/>
      <c r="AB193" s="191"/>
      <c r="AC193" s="191"/>
      <c r="AD193" s="191"/>
      <c r="AE193" s="191"/>
      <c r="AF193" s="191"/>
      <c r="AG193" s="191"/>
      <c r="AH193" s="191"/>
      <c r="AI193" s="191"/>
      <c r="AJ193" s="191"/>
      <c r="AK193" s="191"/>
      <c r="AL193" s="183"/>
      <c r="AM193" s="183"/>
      <c r="AN193" s="171"/>
      <c r="AO193" s="171"/>
      <c r="AP193" s="171"/>
      <c r="AQ193" s="171"/>
      <c r="AR193" s="171"/>
      <c r="AS193" s="171"/>
      <c r="AT193" s="171"/>
      <c r="AU193" s="171"/>
      <c r="AV193" s="171"/>
      <c r="AW193" s="171"/>
      <c r="AX193" s="171"/>
      <c r="AY193" s="171"/>
      <c r="AZ193" s="156"/>
      <c r="BA193" s="156"/>
      <c r="BB193" s="156"/>
      <c r="BC193" s="156"/>
      <c r="BD193" s="156"/>
      <c r="BE193" s="156"/>
      <c r="BF193" s="155"/>
      <c r="BG193" s="130"/>
      <c r="BH193" s="206"/>
      <c r="BI193" s="206"/>
      <c r="BJ193" s="206"/>
      <c r="BK193" s="206"/>
      <c r="BL193" s="206"/>
      <c r="BM193" s="206"/>
      <c r="BN193" s="206"/>
      <c r="BO193" s="206"/>
      <c r="BP193" s="206"/>
      <c r="BQ193" s="206"/>
      <c r="BR193" s="206"/>
      <c r="BS193" s="206"/>
      <c r="BT193" s="206"/>
      <c r="BU193" s="206"/>
      <c r="BV193" s="206"/>
      <c r="BW193" s="206"/>
      <c r="BX193" s="206"/>
      <c r="BY193" s="206"/>
      <c r="BZ193" s="206"/>
      <c r="CA193" s="206"/>
      <c r="CB193" s="206"/>
      <c r="CC193" s="206"/>
      <c r="CD193" s="206"/>
      <c r="CE193" s="206"/>
      <c r="CF193" s="206"/>
      <c r="CG193" s="206"/>
      <c r="CH193" s="206"/>
      <c r="CI193" s="206"/>
      <c r="CJ193" s="206"/>
      <c r="CK193" s="206"/>
      <c r="CL193" s="206"/>
      <c r="CM193" s="206"/>
      <c r="CN193" s="206"/>
      <c r="CO193" s="206"/>
      <c r="CP193" s="206"/>
      <c r="CQ193" s="206"/>
      <c r="CR193" s="206"/>
      <c r="CS193" s="206"/>
      <c r="CT193" s="206"/>
      <c r="CU193" s="206"/>
      <c r="CV193" s="206"/>
      <c r="CW193" s="206"/>
      <c r="CX193" s="206"/>
      <c r="CY193" s="206"/>
      <c r="CZ193" s="206"/>
      <c r="DA193" s="206"/>
      <c r="DB193" s="206"/>
      <c r="DE193" s="156"/>
      <c r="DF193" s="157"/>
      <c r="DG193" s="157"/>
      <c r="DJ193" s="160"/>
    </row>
    <row r="194" spans="1:114" s="158" customFormat="1" ht="30.75" x14ac:dyDescent="0.25">
      <c r="A194" s="157"/>
      <c r="B194" s="157"/>
      <c r="C194" s="156"/>
      <c r="D194" s="156"/>
      <c r="E194" s="190" t="s">
        <v>238</v>
      </c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183"/>
      <c r="AJ194" s="183"/>
      <c r="AK194" s="183"/>
      <c r="AL194" s="183"/>
      <c r="AM194" s="183"/>
      <c r="AN194" s="548">
        <f>IF(CO119&gt;CO126,CO126-CO119,0)*-1</f>
        <v>1892507.0437420257</v>
      </c>
      <c r="AO194" s="548"/>
      <c r="AP194" s="548"/>
      <c r="AQ194" s="548"/>
      <c r="AR194" s="548"/>
      <c r="AS194" s="548"/>
      <c r="AT194" s="548"/>
      <c r="AU194" s="548"/>
      <c r="AV194" s="548"/>
      <c r="AW194" s="548"/>
      <c r="AX194" s="548"/>
      <c r="AY194" s="548"/>
      <c r="AZ194" s="156"/>
      <c r="BA194" s="156"/>
      <c r="BB194" s="156"/>
      <c r="BC194" s="156"/>
      <c r="BD194" s="156"/>
      <c r="BE194" s="156"/>
      <c r="BF194" s="156"/>
      <c r="BG194" s="130"/>
      <c r="DE194" s="156"/>
      <c r="DF194" s="157"/>
      <c r="DG194" s="157"/>
      <c r="DJ194" s="160"/>
    </row>
    <row r="195" spans="1:114" s="158" customFormat="1" ht="31.5" thickBot="1" x14ac:dyDescent="0.3">
      <c r="A195" s="157"/>
      <c r="B195" s="157"/>
      <c r="C195" s="156"/>
      <c r="D195" s="156"/>
      <c r="E195" s="179" t="s">
        <v>252</v>
      </c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183"/>
      <c r="AD195" s="183"/>
      <c r="AE195" s="183"/>
      <c r="AF195" s="183"/>
      <c r="AG195" s="183"/>
      <c r="AH195" s="183"/>
      <c r="AI195" s="183"/>
      <c r="AJ195" s="183"/>
      <c r="AK195" s="183"/>
      <c r="AL195" s="183"/>
      <c r="AM195" s="183"/>
      <c r="AN195" s="183"/>
      <c r="AO195" s="183"/>
      <c r="AP195" s="183"/>
      <c r="AQ195" s="183"/>
      <c r="AR195" s="183"/>
      <c r="AS195" s="183"/>
      <c r="AT195" s="183"/>
      <c r="AU195" s="183"/>
      <c r="AV195" s="183"/>
      <c r="AW195" s="183"/>
      <c r="AX195" s="183"/>
      <c r="AY195" s="183"/>
      <c r="AZ195" s="156"/>
      <c r="BA195" s="156"/>
      <c r="BB195" s="156"/>
      <c r="BC195" s="156"/>
      <c r="BD195" s="156"/>
      <c r="BE195" s="156"/>
      <c r="BG195" s="130"/>
      <c r="BH195" s="224" t="s">
        <v>216</v>
      </c>
      <c r="DE195" s="156"/>
      <c r="DF195" s="157"/>
      <c r="DG195" s="157"/>
      <c r="DJ195" s="160"/>
    </row>
    <row r="196" spans="1:114" s="158" customFormat="1" ht="24.95" customHeight="1" x14ac:dyDescent="0.25">
      <c r="A196" s="157"/>
      <c r="B196" s="157"/>
      <c r="C196" s="156"/>
      <c r="D196" s="156"/>
      <c r="E196" s="183" t="s">
        <v>182</v>
      </c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83"/>
      <c r="AD196" s="183"/>
      <c r="AE196" s="492">
        <v>15000</v>
      </c>
      <c r="AF196" s="493"/>
      <c r="AG196" s="493"/>
      <c r="AH196" s="493"/>
      <c r="AI196" s="493"/>
      <c r="AJ196" s="493"/>
      <c r="AK196" s="493"/>
      <c r="AL196" s="493"/>
      <c r="AM196" s="493"/>
      <c r="AN196" s="493"/>
      <c r="AO196" s="226"/>
      <c r="AP196" s="492">
        <v>150000</v>
      </c>
      <c r="AQ196" s="493"/>
      <c r="AR196" s="493"/>
      <c r="AS196" s="493"/>
      <c r="AT196" s="493"/>
      <c r="AU196" s="493"/>
      <c r="AV196" s="493"/>
      <c r="AW196" s="493"/>
      <c r="AX196" s="493"/>
      <c r="AY196" s="493"/>
      <c r="AZ196" s="156"/>
      <c r="BA196" s="156"/>
      <c r="BB196" s="156"/>
      <c r="BC196" s="156"/>
      <c r="BD196" s="156"/>
      <c r="BE196" s="156"/>
      <c r="BG196" s="130"/>
      <c r="BH196" s="156" t="s">
        <v>180</v>
      </c>
      <c r="BI196" s="130"/>
      <c r="BJ196" s="130"/>
      <c r="BK196" s="130"/>
      <c r="BL196" s="130"/>
      <c r="BM196" s="130"/>
      <c r="BN196" s="130"/>
      <c r="BO196" s="130"/>
      <c r="BP196" s="130"/>
      <c r="BQ196" s="130"/>
      <c r="BR196" s="130"/>
      <c r="BS196" s="130"/>
      <c r="BT196" s="130"/>
      <c r="BU196" s="130"/>
      <c r="BV196" s="130"/>
      <c r="BW196" s="130"/>
      <c r="BX196" s="130"/>
      <c r="BY196" s="130"/>
      <c r="BZ196" s="130"/>
      <c r="CA196" s="130"/>
      <c r="CB196" s="130"/>
      <c r="CC196" s="130"/>
      <c r="CD196" s="130"/>
      <c r="CE196" s="130"/>
      <c r="CF196" s="130"/>
      <c r="CG196" s="130"/>
      <c r="CH196" s="130"/>
      <c r="CI196" s="130"/>
      <c r="CJ196" s="130"/>
      <c r="CK196" s="130"/>
      <c r="CL196" s="130"/>
      <c r="CM196" s="130"/>
      <c r="CN196" s="130"/>
      <c r="CO196" s="130"/>
      <c r="CP196" s="130"/>
      <c r="CQ196" s="130"/>
      <c r="CR196" s="130"/>
      <c r="CS196" s="130"/>
      <c r="CT196" s="130"/>
      <c r="CU196" s="130"/>
      <c r="CV196" s="130"/>
      <c r="CW196" s="130"/>
      <c r="CX196" s="130"/>
      <c r="CY196" s="130"/>
      <c r="CZ196" s="130"/>
      <c r="DA196" s="130"/>
      <c r="DB196" s="130"/>
      <c r="DE196" s="156"/>
      <c r="DF196" s="157"/>
      <c r="DG196" s="157"/>
      <c r="DJ196" s="160"/>
    </row>
    <row r="197" spans="1:114" s="158" customFormat="1" ht="17.100000000000001" customHeight="1" thickBot="1" x14ac:dyDescent="0.3">
      <c r="A197" s="157"/>
      <c r="B197" s="157"/>
      <c r="C197" s="156"/>
      <c r="D197" s="156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  <c r="AC197" s="183"/>
      <c r="AD197" s="183"/>
      <c r="AE197" s="563" t="s">
        <v>32</v>
      </c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183"/>
      <c r="AP197" s="563" t="s">
        <v>33</v>
      </c>
      <c r="AQ197" s="563"/>
      <c r="AR197" s="563"/>
      <c r="AS197" s="563"/>
      <c r="AT197" s="563"/>
      <c r="AU197" s="563"/>
      <c r="AV197" s="563"/>
      <c r="AW197" s="563"/>
      <c r="AX197" s="563"/>
      <c r="AY197" s="563"/>
      <c r="AZ197" s="156"/>
      <c r="BA197" s="156"/>
      <c r="BB197" s="156"/>
      <c r="BC197" s="156"/>
      <c r="BD197" s="156"/>
      <c r="BE197" s="156"/>
      <c r="BG197" s="130"/>
      <c r="BH197" s="156"/>
      <c r="BI197" s="130"/>
      <c r="BJ197" s="130"/>
      <c r="BK197" s="130"/>
      <c r="BL197" s="130"/>
      <c r="BM197" s="130"/>
      <c r="BN197" s="130"/>
      <c r="BO197" s="130"/>
      <c r="BP197" s="130"/>
      <c r="BQ197" s="130"/>
      <c r="BR197" s="130"/>
      <c r="BS197" s="130"/>
      <c r="BT197" s="130"/>
      <c r="BU197" s="130"/>
      <c r="BV197" s="130"/>
      <c r="BW197" s="130"/>
      <c r="BX197" s="130"/>
      <c r="BY197" s="130"/>
      <c r="BZ197" s="130"/>
      <c r="CA197" s="130"/>
      <c r="CB197" s="130"/>
      <c r="CC197" s="130"/>
      <c r="CD197" s="130"/>
      <c r="CE197" s="130"/>
      <c r="CF197" s="130"/>
      <c r="CG197" s="130"/>
      <c r="CH197" s="130"/>
      <c r="CI197" s="130"/>
      <c r="CJ197" s="130"/>
      <c r="CK197" s="130"/>
      <c r="CL197" s="130"/>
      <c r="CM197" s="130"/>
      <c r="CN197" s="130"/>
      <c r="CO197" s="130"/>
      <c r="CP197" s="130"/>
      <c r="CQ197" s="130"/>
      <c r="CR197" s="130"/>
      <c r="CS197" s="130"/>
      <c r="CT197" s="130"/>
      <c r="CU197" s="130"/>
      <c r="CV197" s="130"/>
      <c r="CW197" s="130"/>
      <c r="CX197" s="130"/>
      <c r="CY197" s="130"/>
      <c r="CZ197" s="130"/>
      <c r="DA197" s="130"/>
      <c r="DB197" s="130"/>
      <c r="DE197" s="156"/>
      <c r="DF197" s="157"/>
      <c r="DG197" s="157"/>
      <c r="DJ197" s="160"/>
    </row>
    <row r="198" spans="1:114" s="158" customFormat="1" ht="24.95" customHeight="1" thickBot="1" x14ac:dyDescent="0.3">
      <c r="A198" s="157"/>
      <c r="B198" s="157"/>
      <c r="C198" s="156"/>
      <c r="D198" s="156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564"/>
      <c r="AF198" s="564"/>
      <c r="AG198" s="564"/>
      <c r="AH198" s="564"/>
      <c r="AI198" s="564"/>
      <c r="AJ198" s="564"/>
      <c r="AK198" s="564"/>
      <c r="AL198" s="564"/>
      <c r="AM198" s="564"/>
      <c r="AN198" s="564"/>
      <c r="AO198" s="183"/>
      <c r="AP198" s="564"/>
      <c r="AQ198" s="564"/>
      <c r="AR198" s="564"/>
      <c r="AS198" s="564"/>
      <c r="AT198" s="564"/>
      <c r="AU198" s="564"/>
      <c r="AV198" s="564"/>
      <c r="AW198" s="564"/>
      <c r="AX198" s="564"/>
      <c r="AY198" s="564"/>
      <c r="AZ198" s="156"/>
      <c r="BA198" s="156"/>
      <c r="BB198" s="156"/>
      <c r="BC198" s="156"/>
      <c r="BD198" s="156"/>
      <c r="BE198" s="156"/>
      <c r="BG198" s="130"/>
      <c r="BH198" s="184" t="s">
        <v>218</v>
      </c>
      <c r="BI198" s="184"/>
      <c r="BJ198" s="184"/>
      <c r="BK198" s="184"/>
      <c r="BL198" s="184"/>
      <c r="BM198" s="184"/>
      <c r="BN198" s="184"/>
      <c r="BO198" s="184"/>
      <c r="BP198" s="184"/>
      <c r="BQ198" s="184"/>
      <c r="BR198" s="184"/>
      <c r="BS198" s="184"/>
      <c r="BT198" s="184"/>
      <c r="BU198" s="184"/>
      <c r="BV198" s="184"/>
      <c r="BW198" s="184"/>
      <c r="BX198" s="184"/>
      <c r="BY198" s="184"/>
      <c r="BZ198" s="184"/>
      <c r="CA198" s="184"/>
      <c r="CB198" s="184" t="s">
        <v>217</v>
      </c>
      <c r="CC198" s="184"/>
      <c r="CD198" s="184"/>
      <c r="CE198" s="184"/>
      <c r="CF198" s="184"/>
      <c r="CG198" s="184"/>
      <c r="CH198" s="184"/>
      <c r="CI198" s="184"/>
      <c r="CJ198" s="184"/>
      <c r="CK198" s="184"/>
      <c r="CL198" s="184"/>
      <c r="CM198" s="184"/>
      <c r="CN198" s="184"/>
      <c r="CO198" s="184"/>
      <c r="CP198" s="184"/>
      <c r="CQ198" s="184"/>
      <c r="CR198" s="184" t="s">
        <v>219</v>
      </c>
      <c r="CS198" s="159"/>
      <c r="CT198" s="159"/>
      <c r="CU198" s="159"/>
      <c r="CV198" s="159"/>
      <c r="CW198" s="159"/>
      <c r="CX198" s="159"/>
      <c r="CY198" s="159"/>
      <c r="CZ198" s="159"/>
      <c r="DA198" s="159"/>
      <c r="DB198" s="159"/>
      <c r="DE198" s="156"/>
      <c r="DF198" s="157"/>
      <c r="DG198" s="157"/>
      <c r="DJ198" s="160"/>
    </row>
    <row r="199" spans="1:114" s="158" customFormat="1" ht="9.9499999999999993" customHeight="1" thickBot="1" x14ac:dyDescent="0.3">
      <c r="A199" s="157"/>
      <c r="B199" s="157"/>
      <c r="C199" s="156"/>
      <c r="D199" s="156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  <c r="AC199" s="183"/>
      <c r="AD199" s="183"/>
      <c r="AE199" s="207"/>
      <c r="AF199" s="207"/>
      <c r="AG199" s="207"/>
      <c r="AH199" s="207"/>
      <c r="AI199" s="207"/>
      <c r="AJ199" s="207"/>
      <c r="AK199" s="207"/>
      <c r="AL199" s="207"/>
      <c r="AM199" s="207"/>
      <c r="AN199" s="207"/>
      <c r="AO199" s="183"/>
      <c r="AP199" s="207"/>
      <c r="AQ199" s="207"/>
      <c r="AR199" s="207"/>
      <c r="AS199" s="207"/>
      <c r="AT199" s="207"/>
      <c r="AU199" s="207"/>
      <c r="AV199" s="207"/>
      <c r="AW199" s="207"/>
      <c r="AX199" s="207"/>
      <c r="AY199" s="207"/>
      <c r="AZ199" s="156"/>
      <c r="BA199" s="156"/>
      <c r="BB199" s="156"/>
      <c r="BC199" s="156"/>
      <c r="BD199" s="156"/>
      <c r="BE199" s="156"/>
      <c r="BG199" s="130"/>
      <c r="BH199" s="206"/>
      <c r="BI199" s="206"/>
      <c r="BJ199" s="206"/>
      <c r="BK199" s="206"/>
      <c r="BL199" s="206"/>
      <c r="BM199" s="206"/>
      <c r="BN199" s="206"/>
      <c r="BO199" s="206"/>
      <c r="BP199" s="206"/>
      <c r="BQ199" s="206"/>
      <c r="BR199" s="206"/>
      <c r="BS199" s="206"/>
      <c r="BT199" s="206"/>
      <c r="BU199" s="206"/>
      <c r="BV199" s="206"/>
      <c r="BW199" s="206"/>
      <c r="BX199" s="206"/>
      <c r="BY199" s="206"/>
      <c r="BZ199" s="206"/>
      <c r="CA199" s="206"/>
      <c r="CB199" s="206"/>
      <c r="CC199" s="206"/>
      <c r="CD199" s="206"/>
      <c r="CE199" s="206"/>
      <c r="CF199" s="206"/>
      <c r="CG199" s="206"/>
      <c r="CH199" s="206"/>
      <c r="CI199" s="206"/>
      <c r="CJ199" s="206"/>
      <c r="CK199" s="206"/>
      <c r="CL199" s="206"/>
      <c r="CM199" s="206"/>
      <c r="CN199" s="206"/>
      <c r="CO199" s="206"/>
      <c r="CP199" s="206"/>
      <c r="CQ199" s="206"/>
      <c r="CR199" s="206"/>
      <c r="CS199" s="206"/>
      <c r="CT199" s="206"/>
      <c r="CU199" s="206"/>
      <c r="CV199" s="206"/>
      <c r="CW199" s="206"/>
      <c r="CX199" s="206"/>
      <c r="CY199" s="206"/>
      <c r="CZ199" s="206"/>
      <c r="DA199" s="206"/>
      <c r="DB199" s="206"/>
      <c r="DE199" s="156"/>
      <c r="DF199" s="157"/>
      <c r="DG199" s="157"/>
      <c r="DJ199" s="160"/>
    </row>
    <row r="200" spans="1:114" s="158" customFormat="1" ht="24.95" customHeight="1" x14ac:dyDescent="0.25">
      <c r="A200" s="157"/>
      <c r="B200" s="157"/>
      <c r="C200" s="156"/>
      <c r="D200" s="156"/>
      <c r="E200" s="180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183"/>
      <c r="AJ200" s="183"/>
      <c r="AK200" s="183"/>
      <c r="AL200" s="183"/>
      <c r="AM200" s="183"/>
      <c r="AN200" s="183"/>
      <c r="AO200" s="183"/>
      <c r="AP200" s="492">
        <v>400000</v>
      </c>
      <c r="AQ200" s="493"/>
      <c r="AR200" s="493"/>
      <c r="AS200" s="493"/>
      <c r="AT200" s="493"/>
      <c r="AU200" s="493"/>
      <c r="AV200" s="493"/>
      <c r="AW200" s="493"/>
      <c r="AX200" s="493"/>
      <c r="AY200" s="493"/>
      <c r="AZ200" s="156"/>
      <c r="BA200" s="156"/>
      <c r="BB200" s="156"/>
      <c r="BC200" s="156"/>
      <c r="BD200" s="156"/>
      <c r="BE200" s="156"/>
      <c r="BG200" s="130"/>
      <c r="BH200" s="561" t="s">
        <v>293</v>
      </c>
      <c r="BI200" s="562"/>
      <c r="BJ200" s="562"/>
      <c r="BK200" s="562"/>
      <c r="BL200" s="562"/>
      <c r="BM200" s="562"/>
      <c r="BN200" s="562"/>
      <c r="BO200" s="562"/>
      <c r="BP200" s="562"/>
      <c r="BQ200" s="562"/>
      <c r="BR200" s="562"/>
      <c r="BS200" s="562"/>
      <c r="BT200" s="562"/>
      <c r="BU200" s="562"/>
      <c r="BV200" s="562"/>
      <c r="BW200" s="562"/>
      <c r="BX200" s="562"/>
      <c r="BY200" s="217"/>
      <c r="BZ200" s="217"/>
      <c r="CA200" s="217"/>
      <c r="CB200" s="559">
        <v>1000000</v>
      </c>
      <c r="CC200" s="560"/>
      <c r="CD200" s="560"/>
      <c r="CE200" s="560"/>
      <c r="CF200" s="560"/>
      <c r="CG200" s="560"/>
      <c r="CH200" s="560"/>
      <c r="CI200" s="560"/>
      <c r="CJ200" s="560"/>
      <c r="CK200" s="560"/>
      <c r="CL200" s="560"/>
      <c r="CM200" s="560"/>
      <c r="CN200" s="560"/>
      <c r="CO200" s="181"/>
      <c r="CP200" s="181"/>
      <c r="CQ200" s="181"/>
      <c r="CR200" s="529">
        <f>IFERROR(Objetivos!C31/12,Objetivos!C31)</f>
        <v>1.6666666666666667</v>
      </c>
      <c r="CS200" s="529"/>
      <c r="CT200" s="529"/>
      <c r="CU200" s="529"/>
      <c r="CV200" s="529"/>
      <c r="CW200" s="529"/>
      <c r="CX200" s="529"/>
      <c r="CY200" s="529"/>
      <c r="CZ200" s="529"/>
      <c r="DA200" s="529"/>
      <c r="DB200" s="529"/>
      <c r="DE200" s="156"/>
      <c r="DF200" s="157"/>
      <c r="DG200" s="157"/>
    </row>
    <row r="201" spans="1:114" s="158" customFormat="1" ht="15" customHeight="1" thickBot="1" x14ac:dyDescent="0.3">
      <c r="A201" s="157"/>
      <c r="B201" s="157"/>
      <c r="C201" s="156"/>
      <c r="D201" s="156"/>
      <c r="E201" s="180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  <c r="AI201" s="183"/>
      <c r="AJ201" s="183"/>
      <c r="AK201" s="183"/>
      <c r="AL201" s="183"/>
      <c r="AM201" s="183"/>
      <c r="AN201" s="183"/>
      <c r="AO201" s="183"/>
      <c r="AP201" s="563" t="s">
        <v>225</v>
      </c>
      <c r="AQ201" s="563"/>
      <c r="AR201" s="563"/>
      <c r="AS201" s="563"/>
      <c r="AT201" s="563"/>
      <c r="AU201" s="563"/>
      <c r="AV201" s="563"/>
      <c r="AW201" s="563"/>
      <c r="AX201" s="563"/>
      <c r="AY201" s="563"/>
      <c r="AZ201" s="183"/>
      <c r="BA201" s="156"/>
      <c r="BB201" s="156"/>
      <c r="BC201" s="156"/>
      <c r="BD201" s="156"/>
      <c r="BE201" s="156"/>
      <c r="BG201" s="130"/>
      <c r="BH201" s="227"/>
      <c r="BI201" s="227"/>
      <c r="BJ201" s="227"/>
      <c r="BK201" s="227"/>
      <c r="BL201" s="227"/>
      <c r="BM201" s="227"/>
      <c r="BN201" s="227"/>
      <c r="BO201" s="227"/>
      <c r="BP201" s="227"/>
      <c r="BQ201" s="227"/>
      <c r="BR201" s="227"/>
      <c r="BS201" s="227"/>
      <c r="BT201" s="227"/>
      <c r="BU201" s="227"/>
      <c r="BV201" s="227"/>
      <c r="BW201" s="227"/>
      <c r="BX201" s="227"/>
      <c r="BY201" s="227"/>
      <c r="BZ201" s="227"/>
      <c r="CA201" s="227"/>
      <c r="CB201" s="227"/>
      <c r="CC201" s="227"/>
      <c r="CD201" s="227"/>
      <c r="CE201" s="227"/>
      <c r="CF201" s="227"/>
      <c r="CG201" s="227"/>
      <c r="CH201" s="227"/>
      <c r="CI201" s="227"/>
      <c r="CJ201" s="227"/>
      <c r="CK201" s="227"/>
      <c r="CL201" s="227"/>
      <c r="CM201" s="227"/>
      <c r="CN201" s="227"/>
      <c r="CO201" s="164"/>
      <c r="CP201" s="181"/>
      <c r="CQ201" s="181"/>
      <c r="CR201" s="187"/>
      <c r="CS201" s="187"/>
      <c r="CT201" s="187"/>
      <c r="CU201" s="187"/>
      <c r="CV201" s="187"/>
      <c r="CW201" s="187"/>
      <c r="CX201" s="187"/>
      <c r="CY201" s="187"/>
      <c r="CZ201" s="187"/>
      <c r="DA201" s="187"/>
      <c r="DB201" s="187"/>
      <c r="DE201" s="156"/>
      <c r="DF201" s="157"/>
      <c r="DG201" s="157"/>
    </row>
    <row r="202" spans="1:114" s="158" customFormat="1" ht="24.95" customHeight="1" x14ac:dyDescent="0.25">
      <c r="A202" s="157"/>
      <c r="B202" s="157"/>
      <c r="C202" s="156"/>
      <c r="D202" s="156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  <c r="AI202" s="183"/>
      <c r="AJ202" s="183"/>
      <c r="AK202" s="183"/>
      <c r="AL202" s="183"/>
      <c r="AM202" s="183"/>
      <c r="AN202" s="183"/>
      <c r="AO202" s="183"/>
      <c r="AP202" s="564"/>
      <c r="AQ202" s="564"/>
      <c r="AR202" s="564"/>
      <c r="AS202" s="564"/>
      <c r="AT202" s="564"/>
      <c r="AU202" s="564"/>
      <c r="AV202" s="564"/>
      <c r="AW202" s="564"/>
      <c r="AX202" s="564"/>
      <c r="AY202" s="564"/>
      <c r="AZ202" s="156"/>
      <c r="BA202" s="156"/>
      <c r="BB202" s="156"/>
      <c r="BC202" s="156"/>
      <c r="BD202" s="156"/>
      <c r="BE202" s="156"/>
      <c r="BG202" s="130"/>
      <c r="BH202" s="561" t="s">
        <v>294</v>
      </c>
      <c r="BI202" s="562"/>
      <c r="BJ202" s="562"/>
      <c r="BK202" s="562"/>
      <c r="BL202" s="562"/>
      <c r="BM202" s="562"/>
      <c r="BN202" s="562"/>
      <c r="BO202" s="562"/>
      <c r="BP202" s="562"/>
      <c r="BQ202" s="562"/>
      <c r="BR202" s="562"/>
      <c r="BS202" s="562"/>
      <c r="BT202" s="562"/>
      <c r="BU202" s="562"/>
      <c r="BV202" s="562"/>
      <c r="BW202" s="562"/>
      <c r="BX202" s="562"/>
      <c r="BY202" s="226"/>
      <c r="BZ202" s="217"/>
      <c r="CA202" s="226"/>
      <c r="CB202" s="559">
        <v>900000</v>
      </c>
      <c r="CC202" s="560"/>
      <c r="CD202" s="560"/>
      <c r="CE202" s="560"/>
      <c r="CF202" s="560"/>
      <c r="CG202" s="560"/>
      <c r="CH202" s="560"/>
      <c r="CI202" s="560"/>
      <c r="CJ202" s="560"/>
      <c r="CK202" s="560"/>
      <c r="CL202" s="560"/>
      <c r="CM202" s="560"/>
      <c r="CN202" s="560"/>
      <c r="CO202" s="183"/>
      <c r="CP202" s="181"/>
      <c r="CQ202" s="183"/>
      <c r="CR202" s="529">
        <f>IFERROR(Objetivos!C38/12,Objetivos!C38)</f>
        <v>2.4166666666666665</v>
      </c>
      <c r="CS202" s="529"/>
      <c r="CT202" s="529"/>
      <c r="CU202" s="529"/>
      <c r="CV202" s="529"/>
      <c r="CW202" s="529"/>
      <c r="CX202" s="529"/>
      <c r="CY202" s="529"/>
      <c r="CZ202" s="529"/>
      <c r="DA202" s="529"/>
      <c r="DB202" s="529"/>
      <c r="DE202" s="156"/>
      <c r="DF202" s="157"/>
      <c r="DG202" s="157"/>
    </row>
    <row r="203" spans="1:114" s="158" customFormat="1" ht="15" customHeight="1" thickBot="1" x14ac:dyDescent="0.3">
      <c r="A203" s="157"/>
      <c r="B203" s="157"/>
      <c r="C203" s="156"/>
      <c r="D203" s="156"/>
      <c r="E203" s="156"/>
      <c r="AP203" s="141"/>
      <c r="AQ203" s="141"/>
      <c r="AR203" s="141"/>
      <c r="AS203" s="141"/>
      <c r="AT203" s="141"/>
      <c r="AU203" s="141"/>
      <c r="AV203" s="141"/>
      <c r="AW203" s="141"/>
      <c r="AX203" s="141"/>
      <c r="AY203" s="141"/>
      <c r="AZ203" s="156"/>
      <c r="BA203" s="156"/>
      <c r="BB203" s="156"/>
      <c r="BC203" s="156"/>
      <c r="BD203" s="156"/>
      <c r="BE203" s="156"/>
      <c r="BG203" s="130"/>
      <c r="BH203" s="226"/>
      <c r="BI203" s="226"/>
      <c r="BJ203" s="226"/>
      <c r="BK203" s="226"/>
      <c r="BL203" s="226"/>
      <c r="BM203" s="226"/>
      <c r="BN203" s="226"/>
      <c r="BO203" s="226"/>
      <c r="BP203" s="226"/>
      <c r="BQ203" s="226"/>
      <c r="BR203" s="226"/>
      <c r="BS203" s="226"/>
      <c r="BT203" s="226"/>
      <c r="BU203" s="226"/>
      <c r="BV203" s="226"/>
      <c r="BW203" s="226"/>
      <c r="BX203" s="226"/>
      <c r="BY203" s="226"/>
      <c r="BZ203" s="226"/>
      <c r="CA203" s="226"/>
      <c r="CB203" s="226"/>
      <c r="CC203" s="226"/>
      <c r="CD203" s="226"/>
      <c r="CE203" s="226"/>
      <c r="CF203" s="226"/>
      <c r="CG203" s="226"/>
      <c r="CH203" s="226"/>
      <c r="CI203" s="226"/>
      <c r="CJ203" s="226"/>
      <c r="CK203" s="226"/>
      <c r="CL203" s="226"/>
      <c r="CM203" s="226"/>
      <c r="CN203" s="226"/>
      <c r="CO203" s="183"/>
      <c r="CP203" s="183"/>
      <c r="CQ203" s="183"/>
      <c r="CR203" s="183"/>
      <c r="CS203" s="183"/>
      <c r="CT203" s="183"/>
      <c r="CU203" s="183"/>
      <c r="CV203" s="183"/>
      <c r="CW203" s="183"/>
      <c r="CX203" s="183"/>
      <c r="CY203" s="183"/>
      <c r="CZ203" s="183"/>
      <c r="DA203" s="183"/>
      <c r="DB203" s="183"/>
      <c r="DE203" s="156"/>
      <c r="DF203" s="157"/>
      <c r="DG203" s="157"/>
    </row>
    <row r="204" spans="1:114" s="158" customFormat="1" ht="24.95" customHeight="1" x14ac:dyDescent="0.25">
      <c r="A204" s="157"/>
      <c r="B204" s="157"/>
      <c r="C204" s="156"/>
      <c r="D204" s="156"/>
      <c r="AZ204" s="156"/>
      <c r="BA204" s="156"/>
      <c r="BB204" s="156"/>
      <c r="BC204" s="156"/>
      <c r="BD204" s="156"/>
      <c r="BE204" s="156"/>
      <c r="BG204" s="130"/>
      <c r="BH204" s="561" t="s">
        <v>295</v>
      </c>
      <c r="BI204" s="562"/>
      <c r="BJ204" s="562"/>
      <c r="BK204" s="562"/>
      <c r="BL204" s="562"/>
      <c r="BM204" s="562"/>
      <c r="BN204" s="562"/>
      <c r="BO204" s="562"/>
      <c r="BP204" s="562"/>
      <c r="BQ204" s="562"/>
      <c r="BR204" s="562"/>
      <c r="BS204" s="562"/>
      <c r="BT204" s="562"/>
      <c r="BU204" s="562"/>
      <c r="BV204" s="562"/>
      <c r="BW204" s="562"/>
      <c r="BX204" s="562"/>
      <c r="BY204" s="226"/>
      <c r="BZ204" s="217"/>
      <c r="CA204" s="226"/>
      <c r="CB204" s="559">
        <v>100000</v>
      </c>
      <c r="CC204" s="560"/>
      <c r="CD204" s="560"/>
      <c r="CE204" s="560"/>
      <c r="CF204" s="560"/>
      <c r="CG204" s="560"/>
      <c r="CH204" s="560"/>
      <c r="CI204" s="560"/>
      <c r="CJ204" s="560"/>
      <c r="CK204" s="560"/>
      <c r="CL204" s="560"/>
      <c r="CM204" s="560"/>
      <c r="CN204" s="560"/>
      <c r="CO204" s="183"/>
      <c r="CP204" s="181"/>
      <c r="CQ204" s="183"/>
      <c r="CR204" s="529">
        <f>IFERROR(Objetivos!C45/12,Objetivos!C45)</f>
        <v>0.58333333333333337</v>
      </c>
      <c r="CS204" s="529"/>
      <c r="CT204" s="529"/>
      <c r="CU204" s="529"/>
      <c r="CV204" s="529"/>
      <c r="CW204" s="529"/>
      <c r="CX204" s="529"/>
      <c r="CY204" s="529"/>
      <c r="CZ204" s="529"/>
      <c r="DA204" s="529"/>
      <c r="DB204" s="529"/>
      <c r="DE204" s="156"/>
      <c r="DF204" s="157"/>
      <c r="DG204" s="157"/>
    </row>
    <row r="205" spans="1:114" s="158" customFormat="1" ht="15" customHeight="1" thickBot="1" x14ac:dyDescent="0.3">
      <c r="A205" s="157"/>
      <c r="B205" s="157"/>
      <c r="C205" s="156"/>
      <c r="D205" s="156"/>
      <c r="AZ205" s="156"/>
      <c r="BA205" s="156"/>
      <c r="BB205" s="156"/>
      <c r="BC205" s="156"/>
      <c r="BD205" s="156"/>
      <c r="BE205" s="156"/>
      <c r="BG205" s="130"/>
      <c r="BH205" s="226"/>
      <c r="BI205" s="226"/>
      <c r="BJ205" s="226"/>
      <c r="BK205" s="226"/>
      <c r="BL205" s="226"/>
      <c r="BM205" s="226"/>
      <c r="BN205" s="226"/>
      <c r="BO205" s="226"/>
      <c r="BP205" s="226"/>
      <c r="BQ205" s="226"/>
      <c r="BR205" s="226"/>
      <c r="BS205" s="226"/>
      <c r="BT205" s="226"/>
      <c r="BU205" s="226"/>
      <c r="BV205" s="226"/>
      <c r="BW205" s="226"/>
      <c r="BX205" s="226"/>
      <c r="BY205" s="226"/>
      <c r="BZ205" s="226"/>
      <c r="CA205" s="226"/>
      <c r="CB205" s="226"/>
      <c r="CC205" s="226"/>
      <c r="CD205" s="226"/>
      <c r="CE205" s="226"/>
      <c r="CF205" s="226"/>
      <c r="CG205" s="226"/>
      <c r="CH205" s="226"/>
      <c r="CI205" s="226"/>
      <c r="CJ205" s="226"/>
      <c r="CK205" s="226"/>
      <c r="CL205" s="226"/>
      <c r="CM205" s="226"/>
      <c r="CN205" s="226"/>
      <c r="CO205" s="183"/>
      <c r="CP205" s="183"/>
      <c r="CQ205" s="183"/>
      <c r="CR205" s="183"/>
      <c r="CS205" s="183"/>
      <c r="CT205" s="183"/>
      <c r="CU205" s="183"/>
      <c r="CV205" s="183"/>
      <c r="CW205" s="183"/>
      <c r="CX205" s="183"/>
      <c r="CY205" s="183"/>
      <c r="CZ205" s="183"/>
      <c r="DA205" s="183"/>
      <c r="DB205" s="183"/>
      <c r="DE205" s="156"/>
      <c r="DF205" s="157"/>
      <c r="DG205" s="157"/>
    </row>
    <row r="206" spans="1:114" s="158" customFormat="1" ht="24.95" customHeight="1" x14ac:dyDescent="0.25">
      <c r="A206" s="157"/>
      <c r="B206" s="157"/>
      <c r="C206" s="156"/>
      <c r="D206" s="156"/>
      <c r="AZ206" s="156"/>
      <c r="BA206" s="156"/>
      <c r="BB206" s="156"/>
      <c r="BC206" s="156"/>
      <c r="BD206" s="156"/>
      <c r="BE206" s="156"/>
      <c r="BG206" s="130"/>
      <c r="BH206" s="561" t="s">
        <v>296</v>
      </c>
      <c r="BI206" s="562"/>
      <c r="BJ206" s="562"/>
      <c r="BK206" s="562"/>
      <c r="BL206" s="562"/>
      <c r="BM206" s="562"/>
      <c r="BN206" s="562"/>
      <c r="BO206" s="562"/>
      <c r="BP206" s="562"/>
      <c r="BQ206" s="562"/>
      <c r="BR206" s="562"/>
      <c r="BS206" s="562"/>
      <c r="BT206" s="562"/>
      <c r="BU206" s="562"/>
      <c r="BV206" s="562"/>
      <c r="BW206" s="562"/>
      <c r="BX206" s="562"/>
      <c r="BY206" s="226"/>
      <c r="BZ206" s="217"/>
      <c r="CA206" s="226"/>
      <c r="CB206" s="559">
        <v>5000000</v>
      </c>
      <c r="CC206" s="560"/>
      <c r="CD206" s="560"/>
      <c r="CE206" s="560"/>
      <c r="CF206" s="560"/>
      <c r="CG206" s="560"/>
      <c r="CH206" s="560"/>
      <c r="CI206" s="560"/>
      <c r="CJ206" s="560"/>
      <c r="CK206" s="560"/>
      <c r="CL206" s="560"/>
      <c r="CM206" s="560"/>
      <c r="CN206" s="560"/>
      <c r="CO206" s="183"/>
      <c r="CP206" s="181"/>
      <c r="CQ206" s="183"/>
      <c r="CR206" s="529" t="str">
        <f>IFERROR(Objetivos!C52/12,Objetivos!C52)</f>
        <v>Saldo Insuficiente</v>
      </c>
      <c r="CS206" s="529"/>
      <c r="CT206" s="529"/>
      <c r="CU206" s="529"/>
      <c r="CV206" s="529"/>
      <c r="CW206" s="529"/>
      <c r="CX206" s="529"/>
      <c r="CY206" s="529"/>
      <c r="CZ206" s="529"/>
      <c r="DA206" s="529"/>
      <c r="DB206" s="529"/>
      <c r="DE206" s="156"/>
      <c r="DF206" s="157"/>
      <c r="DG206" s="157"/>
    </row>
    <row r="207" spans="1:114" s="158" customFormat="1" ht="15" customHeight="1" thickBot="1" x14ac:dyDescent="0.3">
      <c r="A207" s="157"/>
      <c r="B207" s="157"/>
      <c r="C207" s="156"/>
      <c r="D207" s="156"/>
      <c r="AZ207" s="156"/>
      <c r="BA207" s="156"/>
      <c r="BB207" s="156"/>
      <c r="BC207" s="156"/>
      <c r="BD207" s="156"/>
      <c r="BE207" s="156"/>
      <c r="BG207" s="130"/>
      <c r="BH207" s="226"/>
      <c r="BI207" s="226"/>
      <c r="BJ207" s="226"/>
      <c r="BK207" s="226"/>
      <c r="BL207" s="226"/>
      <c r="BM207" s="226"/>
      <c r="BN207" s="226"/>
      <c r="BO207" s="226"/>
      <c r="BP207" s="226"/>
      <c r="BQ207" s="226"/>
      <c r="BR207" s="226"/>
      <c r="BS207" s="226"/>
      <c r="BT207" s="226"/>
      <c r="BU207" s="226"/>
      <c r="BV207" s="226"/>
      <c r="BW207" s="226"/>
      <c r="BX207" s="226"/>
      <c r="BY207" s="226"/>
      <c r="BZ207" s="226"/>
      <c r="CA207" s="226"/>
      <c r="CB207" s="226"/>
      <c r="CC207" s="226"/>
      <c r="CD207" s="226"/>
      <c r="CE207" s="226"/>
      <c r="CF207" s="226"/>
      <c r="CG207" s="226"/>
      <c r="CH207" s="226"/>
      <c r="CI207" s="226"/>
      <c r="CJ207" s="226"/>
      <c r="CK207" s="226"/>
      <c r="CL207" s="226"/>
      <c r="CM207" s="226"/>
      <c r="CN207" s="226"/>
      <c r="CO207" s="183"/>
      <c r="CP207" s="183"/>
      <c r="CQ207" s="183"/>
      <c r="CR207" s="183"/>
      <c r="CS207" s="183"/>
      <c r="CT207" s="183"/>
      <c r="CU207" s="183"/>
      <c r="CV207" s="183"/>
      <c r="CW207" s="183"/>
      <c r="CX207" s="183"/>
      <c r="CY207" s="183"/>
      <c r="CZ207" s="183"/>
      <c r="DA207" s="183"/>
      <c r="DB207" s="183"/>
      <c r="DE207" s="156"/>
      <c r="DF207" s="157"/>
      <c r="DG207" s="157"/>
    </row>
    <row r="208" spans="1:114" s="158" customFormat="1" ht="24.95" customHeight="1" x14ac:dyDescent="0.25">
      <c r="A208" s="157"/>
      <c r="B208" s="157"/>
      <c r="C208" s="156"/>
      <c r="D208" s="156"/>
      <c r="AZ208" s="156"/>
      <c r="BA208" s="156"/>
      <c r="BB208" s="156"/>
      <c r="BC208" s="156"/>
      <c r="BD208" s="156"/>
      <c r="BE208" s="156"/>
      <c r="BG208" s="130"/>
      <c r="BH208" s="561" t="s">
        <v>297</v>
      </c>
      <c r="BI208" s="562"/>
      <c r="BJ208" s="562"/>
      <c r="BK208" s="562"/>
      <c r="BL208" s="562"/>
      <c r="BM208" s="562"/>
      <c r="BN208" s="562"/>
      <c r="BO208" s="562"/>
      <c r="BP208" s="562"/>
      <c r="BQ208" s="562"/>
      <c r="BR208" s="562"/>
      <c r="BS208" s="562"/>
      <c r="BT208" s="562"/>
      <c r="BU208" s="562"/>
      <c r="BV208" s="562"/>
      <c r="BW208" s="562"/>
      <c r="BX208" s="562"/>
      <c r="BY208" s="226"/>
      <c r="BZ208" s="226"/>
      <c r="CA208" s="226"/>
      <c r="CB208" s="559">
        <v>2500000</v>
      </c>
      <c r="CC208" s="560"/>
      <c r="CD208" s="560"/>
      <c r="CE208" s="560"/>
      <c r="CF208" s="560"/>
      <c r="CG208" s="560"/>
      <c r="CH208" s="560"/>
      <c r="CI208" s="560"/>
      <c r="CJ208" s="560"/>
      <c r="CK208" s="560"/>
      <c r="CL208" s="560"/>
      <c r="CM208" s="560"/>
      <c r="CN208" s="560"/>
      <c r="CO208" s="183"/>
      <c r="CP208" s="183"/>
      <c r="CQ208" s="183"/>
      <c r="CR208" s="529" t="str">
        <f>IFERROR(Objetivos!C59/12,Objetivos!C59)</f>
        <v>Saldo Insuficiente</v>
      </c>
      <c r="CS208" s="529"/>
      <c r="CT208" s="529"/>
      <c r="CU208" s="529"/>
      <c r="CV208" s="529"/>
      <c r="CW208" s="529"/>
      <c r="CX208" s="529"/>
      <c r="CY208" s="529"/>
      <c r="CZ208" s="529"/>
      <c r="DA208" s="529"/>
      <c r="DB208" s="529"/>
      <c r="DE208" s="156"/>
      <c r="DF208" s="157"/>
      <c r="DG208" s="157"/>
    </row>
    <row r="209" spans="1:111" s="158" customFormat="1" ht="24.95" customHeight="1" thickBot="1" x14ac:dyDescent="0.3">
      <c r="A209" s="157"/>
      <c r="B209" s="157"/>
      <c r="C209" s="156"/>
      <c r="D209" s="156"/>
      <c r="AZ209" s="156"/>
      <c r="BA209" s="156"/>
      <c r="BB209" s="156"/>
      <c r="BC209" s="156"/>
      <c r="BD209" s="156"/>
      <c r="BE209" s="156"/>
      <c r="BG209" s="130"/>
      <c r="DE209" s="156"/>
      <c r="DF209" s="157"/>
      <c r="DG209" s="157"/>
    </row>
    <row r="210" spans="1:111" s="158" customFormat="1" ht="24.95" customHeight="1" thickBot="1" x14ac:dyDescent="0.3">
      <c r="A210" s="157"/>
      <c r="B210" s="157"/>
      <c r="C210" s="156"/>
      <c r="D210" s="156"/>
      <c r="AZ210" s="156"/>
      <c r="BA210" s="156"/>
      <c r="BB210" s="156"/>
      <c r="BC210" s="156"/>
      <c r="BD210" s="156"/>
      <c r="BE210" s="156"/>
      <c r="BG210" s="130"/>
      <c r="BH210" s="192" t="s">
        <v>236</v>
      </c>
      <c r="BI210" s="193"/>
      <c r="BJ210" s="193"/>
      <c r="BK210" s="193"/>
      <c r="BL210" s="193"/>
      <c r="BM210" s="193"/>
      <c r="BN210" s="193"/>
      <c r="BO210" s="193"/>
      <c r="BP210" s="193"/>
      <c r="BQ210" s="193"/>
      <c r="BR210" s="193"/>
      <c r="BS210" s="193"/>
      <c r="BT210" s="193"/>
      <c r="BU210" s="193"/>
      <c r="BV210" s="193"/>
      <c r="BW210" s="193"/>
      <c r="BX210" s="193"/>
      <c r="BY210" s="193"/>
      <c r="BZ210" s="193"/>
      <c r="CA210" s="193"/>
      <c r="CB210" s="193"/>
      <c r="CC210" s="193"/>
      <c r="CD210" s="193"/>
      <c r="CE210" s="193"/>
      <c r="CF210" s="193"/>
      <c r="CG210" s="193"/>
      <c r="CH210" s="193"/>
      <c r="CI210" s="193"/>
      <c r="CJ210" s="193"/>
      <c r="CK210" s="193"/>
      <c r="CL210" s="193"/>
      <c r="CM210" s="193"/>
      <c r="CN210" s="193"/>
      <c r="CO210" s="193"/>
      <c r="CP210" s="193"/>
      <c r="CQ210" s="527">
        <f>MAX(CB200+CB202+CB204+CB206+CB208,0)+MAX(CB192,0)</f>
        <v>9790000</v>
      </c>
      <c r="CR210" s="527"/>
      <c r="CS210" s="527"/>
      <c r="CT210" s="527"/>
      <c r="CU210" s="527"/>
      <c r="CV210" s="527"/>
      <c r="CW210" s="527"/>
      <c r="CX210" s="527"/>
      <c r="CY210" s="527"/>
      <c r="CZ210" s="527"/>
      <c r="DA210" s="527"/>
      <c r="DB210" s="527"/>
      <c r="DE210" s="156"/>
      <c r="DF210" s="157"/>
      <c r="DG210" s="157"/>
    </row>
    <row r="211" spans="1:111" s="158" customFormat="1" ht="24.95" customHeight="1" thickBot="1" x14ac:dyDescent="0.3">
      <c r="A211" s="157"/>
      <c r="B211" s="157"/>
      <c r="C211" s="156"/>
      <c r="D211" s="156"/>
      <c r="AZ211" s="156"/>
      <c r="BA211" s="156"/>
      <c r="BB211" s="156"/>
      <c r="BC211" s="156"/>
      <c r="BD211" s="156"/>
      <c r="BE211" s="156"/>
      <c r="BG211" s="130"/>
      <c r="BH211" s="183"/>
      <c r="BI211" s="183"/>
      <c r="BJ211" s="183"/>
      <c r="BK211" s="183"/>
      <c r="BL211" s="183"/>
      <c r="BM211" s="183"/>
      <c r="BN211" s="183"/>
      <c r="BO211" s="183"/>
      <c r="BP211" s="183"/>
      <c r="BQ211" s="183"/>
      <c r="BR211" s="183"/>
      <c r="BS211" s="183"/>
      <c r="BT211" s="183"/>
      <c r="BU211" s="183"/>
      <c r="BV211" s="183"/>
      <c r="BW211" s="183"/>
      <c r="BX211" s="183"/>
      <c r="BY211" s="183"/>
      <c r="BZ211" s="183"/>
      <c r="CA211" s="183"/>
      <c r="CB211" s="183"/>
      <c r="CC211" s="183"/>
      <c r="CD211" s="183"/>
      <c r="CE211" s="183"/>
      <c r="CF211" s="183"/>
      <c r="CG211" s="183"/>
      <c r="CH211" s="183"/>
      <c r="CI211" s="183"/>
      <c r="CJ211" s="183"/>
      <c r="CK211" s="183"/>
      <c r="CL211" s="183"/>
      <c r="CM211" s="183"/>
      <c r="CN211" s="183"/>
      <c r="CO211" s="183"/>
      <c r="CP211" s="183"/>
      <c r="CQ211" s="183"/>
      <c r="CR211" s="183"/>
      <c r="CS211" s="183"/>
      <c r="CT211" s="183"/>
      <c r="CU211" s="183"/>
      <c r="CV211" s="183"/>
      <c r="CW211" s="183"/>
      <c r="CX211" s="183"/>
      <c r="CY211" s="183"/>
      <c r="CZ211" s="183"/>
      <c r="DA211" s="183"/>
      <c r="DB211" s="183"/>
      <c r="DE211" s="156"/>
      <c r="DF211" s="157"/>
      <c r="DG211" s="157"/>
    </row>
    <row r="212" spans="1:111" s="158" customFormat="1" ht="24.95" customHeight="1" thickBot="1" x14ac:dyDescent="0.3">
      <c r="A212" s="157"/>
      <c r="B212" s="157"/>
      <c r="C212" s="156"/>
      <c r="D212" s="156"/>
      <c r="AZ212" s="156"/>
      <c r="BA212" s="156"/>
      <c r="BB212" s="156"/>
      <c r="BC212" s="156"/>
      <c r="BD212" s="156"/>
      <c r="BE212" s="156"/>
      <c r="BG212" s="130"/>
      <c r="BH212" s="192" t="s">
        <v>185</v>
      </c>
      <c r="BI212" s="193"/>
      <c r="BJ212" s="193"/>
      <c r="BK212" s="193"/>
      <c r="BL212" s="193"/>
      <c r="BM212" s="193"/>
      <c r="BN212" s="193"/>
      <c r="BO212" s="193"/>
      <c r="BP212" s="193"/>
      <c r="BQ212" s="193"/>
      <c r="BR212" s="193"/>
      <c r="BS212" s="193"/>
      <c r="BT212" s="193"/>
      <c r="BU212" s="193"/>
      <c r="BV212" s="193"/>
      <c r="BW212" s="193"/>
      <c r="BX212" s="193"/>
      <c r="BY212" s="193"/>
      <c r="BZ212" s="193"/>
      <c r="CA212" s="193"/>
      <c r="CB212" s="193"/>
      <c r="CC212" s="193"/>
      <c r="CD212" s="193"/>
      <c r="CE212" s="193"/>
      <c r="CF212" s="193"/>
      <c r="CG212" s="193"/>
      <c r="CH212" s="193"/>
      <c r="CI212" s="193"/>
      <c r="CJ212" s="193"/>
      <c r="CK212" s="193"/>
      <c r="CL212" s="193"/>
      <c r="CM212" s="193"/>
      <c r="CN212" s="193"/>
      <c r="CO212" s="193"/>
      <c r="CP212" s="193"/>
      <c r="CQ212" s="193"/>
      <c r="CR212" s="193"/>
      <c r="CS212" s="193"/>
      <c r="CT212" s="528">
        <f>'Entrevista Patrimonio F.'!E9+SUM(CR200:DA208)</f>
        <v>54.666666666666664</v>
      </c>
      <c r="CU212" s="528"/>
      <c r="CV212" s="528"/>
      <c r="CW212" s="528"/>
      <c r="CX212" s="528"/>
      <c r="CY212" s="528"/>
      <c r="CZ212" s="528"/>
      <c r="DA212" s="528"/>
      <c r="DB212" s="528"/>
      <c r="DE212" s="156"/>
      <c r="DF212" s="157"/>
      <c r="DG212" s="157"/>
    </row>
    <row r="213" spans="1:111" s="158" customFormat="1" ht="30.75" x14ac:dyDescent="0.25">
      <c r="A213" s="157"/>
      <c r="B213" s="157"/>
      <c r="C213" s="156"/>
      <c r="D213" s="156"/>
      <c r="AZ213" s="156"/>
      <c r="BA213" s="156"/>
      <c r="BB213" s="156"/>
      <c r="BC213" s="156"/>
      <c r="BD213" s="156"/>
      <c r="BE213" s="156"/>
      <c r="BG213" s="130"/>
      <c r="BH213" s="194" t="s">
        <v>251</v>
      </c>
      <c r="BI213" s="183"/>
      <c r="BJ213" s="183"/>
      <c r="BK213" s="183"/>
      <c r="BL213" s="183"/>
      <c r="BM213" s="183"/>
      <c r="BN213" s="183"/>
      <c r="BO213" s="183"/>
      <c r="BP213" s="183"/>
      <c r="BQ213" s="183"/>
      <c r="BR213" s="183"/>
      <c r="BS213" s="565">
        <f>'Entrevista Patrimonio F.'!G36</f>
        <v>60</v>
      </c>
      <c r="BT213" s="565"/>
      <c r="BU213" s="565"/>
      <c r="BV213" s="565"/>
      <c r="BW213" s="565"/>
      <c r="BX213" s="565"/>
      <c r="BY213" s="565"/>
      <c r="BZ213" s="565"/>
      <c r="DE213" s="156"/>
      <c r="DF213" s="157"/>
      <c r="DG213" s="157"/>
    </row>
    <row r="214" spans="1:111" s="158" customFormat="1" ht="24.95" customHeight="1" x14ac:dyDescent="0.25">
      <c r="A214" s="157"/>
      <c r="B214" s="157"/>
      <c r="C214" s="156"/>
      <c r="D214" s="156"/>
      <c r="AZ214" s="156"/>
      <c r="BA214" s="156"/>
      <c r="BB214" s="156"/>
      <c r="BC214" s="156"/>
      <c r="BD214" s="156"/>
      <c r="BE214" s="156"/>
      <c r="BG214" s="130"/>
      <c r="DB214" s="141"/>
      <c r="DE214" s="156"/>
      <c r="DF214" s="157"/>
      <c r="DG214" s="157"/>
    </row>
    <row r="215" spans="1:111" s="158" customFormat="1" ht="30.75" x14ac:dyDescent="0.25">
      <c r="A215" s="157"/>
      <c r="B215" s="157"/>
      <c r="C215" s="156"/>
      <c r="D215" s="156"/>
      <c r="Y215" s="558"/>
      <c r="Z215" s="558"/>
      <c r="AA215" s="558"/>
      <c r="AB215" s="558"/>
      <c r="AC215" s="558"/>
      <c r="AD215" s="558"/>
      <c r="AE215" s="558"/>
      <c r="AF215" s="558"/>
      <c r="AG215" s="558"/>
      <c r="AH215" s="558"/>
      <c r="AI215" s="558"/>
      <c r="AJ215" s="558"/>
      <c r="AK215" s="558"/>
      <c r="AY215" s="156"/>
      <c r="AZ215" s="156"/>
      <c r="BA215" s="156"/>
      <c r="BB215" s="156"/>
      <c r="BC215" s="156"/>
      <c r="BD215" s="156"/>
      <c r="BE215" s="156"/>
      <c r="BF215" s="156"/>
      <c r="BG215" s="156"/>
      <c r="BH215" s="156"/>
      <c r="BI215" s="156"/>
      <c r="BJ215" s="156"/>
      <c r="BK215" s="156"/>
      <c r="BL215" s="156"/>
      <c r="BM215" s="156"/>
      <c r="BN215" s="156"/>
      <c r="BO215" s="156"/>
      <c r="BP215" s="156"/>
      <c r="BQ215" s="156"/>
      <c r="BR215" s="156"/>
      <c r="BS215" s="156"/>
      <c r="BT215" s="156"/>
      <c r="BU215" s="156"/>
      <c r="BV215" s="156"/>
      <c r="BW215" s="156"/>
      <c r="BX215" s="156"/>
      <c r="BY215" s="156"/>
      <c r="BZ215" s="156"/>
      <c r="CA215" s="156"/>
      <c r="CB215" s="156"/>
      <c r="CC215" s="156"/>
      <c r="CD215" s="156"/>
      <c r="CE215" s="156"/>
      <c r="CF215" s="156"/>
      <c r="CG215" s="156"/>
      <c r="CH215" s="156"/>
      <c r="CI215" s="156"/>
      <c r="CJ215" s="156"/>
      <c r="CK215" s="156"/>
      <c r="CL215" s="156"/>
      <c r="CM215" s="156"/>
      <c r="CN215" s="156"/>
      <c r="CO215" s="156"/>
      <c r="CP215" s="156"/>
      <c r="CQ215" s="156"/>
      <c r="CR215" s="156"/>
      <c r="CS215" s="156"/>
      <c r="CT215" s="156"/>
      <c r="CU215" s="156"/>
      <c r="CV215" s="156"/>
      <c r="CW215" s="156"/>
      <c r="CX215" s="156"/>
      <c r="CY215" s="156"/>
      <c r="CZ215" s="156"/>
      <c r="DA215" s="156"/>
      <c r="DB215" s="162"/>
      <c r="DC215" s="156"/>
      <c r="DD215" s="156"/>
      <c r="DE215" s="156"/>
      <c r="DF215" s="157"/>
      <c r="DG215" s="157"/>
    </row>
    <row r="216" spans="1:111" ht="12" customHeight="1" x14ac:dyDescent="0.25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  <c r="CJ216" s="128"/>
      <c r="CK216" s="128"/>
      <c r="CL216" s="128"/>
      <c r="CM216" s="128"/>
      <c r="CN216" s="128"/>
      <c r="CO216" s="128"/>
      <c r="CP216" s="128"/>
      <c r="CQ216" s="128"/>
      <c r="CR216" s="128"/>
      <c r="CS216" s="128"/>
      <c r="CT216" s="128"/>
      <c r="CU216" s="128"/>
      <c r="CV216" s="128"/>
      <c r="CW216" s="128"/>
      <c r="CX216" s="128"/>
      <c r="CY216" s="128"/>
      <c r="CZ216" s="128"/>
      <c r="DA216" s="128"/>
      <c r="DB216" s="128"/>
      <c r="DC216" s="128"/>
      <c r="DD216" s="128"/>
      <c r="DE216" s="128"/>
      <c r="DF216" s="128"/>
      <c r="DG216" s="128"/>
    </row>
    <row r="217" spans="1:111" ht="12" customHeight="1" x14ac:dyDescent="0.25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  <c r="CJ217" s="128"/>
      <c r="CK217" s="128"/>
      <c r="CL217" s="128"/>
      <c r="CM217" s="128"/>
      <c r="CN217" s="128"/>
      <c r="CO217" s="128"/>
      <c r="CP217" s="128"/>
      <c r="CQ217" s="128"/>
      <c r="CR217" s="128"/>
      <c r="CS217" s="128"/>
      <c r="CT217" s="128"/>
      <c r="CU217" s="128"/>
      <c r="CV217" s="128"/>
      <c r="CW217" s="128"/>
      <c r="CX217" s="128"/>
      <c r="CY217" s="128"/>
      <c r="CZ217" s="128"/>
      <c r="DA217" s="128"/>
      <c r="DB217" s="128"/>
      <c r="DC217" s="128"/>
      <c r="DD217" s="128"/>
      <c r="DE217" s="128"/>
      <c r="DF217" s="128"/>
      <c r="DG217" s="128"/>
    </row>
  </sheetData>
  <mergeCells count="88">
    <mergeCell ref="S136:AC136"/>
    <mergeCell ref="CJ161:DA161"/>
    <mergeCell ref="X78:AG78"/>
    <mergeCell ref="X80:AG80"/>
    <mergeCell ref="BW84:DA85"/>
    <mergeCell ref="BL161:BY161"/>
    <mergeCell ref="AG161:AU161"/>
    <mergeCell ref="M174:Z174"/>
    <mergeCell ref="AB174:AO174"/>
    <mergeCell ref="BT173:CG173"/>
    <mergeCell ref="I169:AU172"/>
    <mergeCell ref="BJ169:CY171"/>
    <mergeCell ref="AN188:AY188"/>
    <mergeCell ref="AP200:AY200"/>
    <mergeCell ref="M11:T11"/>
    <mergeCell ref="CB11:CY11"/>
    <mergeCell ref="CB13:CY13"/>
    <mergeCell ref="CT74:DC74"/>
    <mergeCell ref="BW69:DA72"/>
    <mergeCell ref="AN69:BO72"/>
    <mergeCell ref="AN74:BO76"/>
    <mergeCell ref="AV65:BC65"/>
    <mergeCell ref="E69:AG72"/>
    <mergeCell ref="AI104:AS105"/>
    <mergeCell ref="AI112:AS112"/>
    <mergeCell ref="AI128:AS129"/>
    <mergeCell ref="AI114:AS114"/>
    <mergeCell ref="AI107:AS107"/>
    <mergeCell ref="AN190:AY190"/>
    <mergeCell ref="CR192:DB192"/>
    <mergeCell ref="CR200:DB200"/>
    <mergeCell ref="AN192:AY192"/>
    <mergeCell ref="AE196:AN196"/>
    <mergeCell ref="AP196:AY196"/>
    <mergeCell ref="BH192:BX192"/>
    <mergeCell ref="CB192:CN192"/>
    <mergeCell ref="Y215:AK215"/>
    <mergeCell ref="AN194:AY194"/>
    <mergeCell ref="CB204:CN204"/>
    <mergeCell ref="CB206:CN206"/>
    <mergeCell ref="BH206:BX206"/>
    <mergeCell ref="BH200:BX200"/>
    <mergeCell ref="BH202:BX202"/>
    <mergeCell ref="BH204:BX204"/>
    <mergeCell ref="CB200:CN200"/>
    <mergeCell ref="CB202:CN202"/>
    <mergeCell ref="AP197:AY198"/>
    <mergeCell ref="AP201:AY202"/>
    <mergeCell ref="AE197:AN198"/>
    <mergeCell ref="BS213:BZ213"/>
    <mergeCell ref="BH208:BX208"/>
    <mergeCell ref="CB208:CN208"/>
    <mergeCell ref="BG77:BP77"/>
    <mergeCell ref="BG80:BP80"/>
    <mergeCell ref="BC116:CZ117"/>
    <mergeCell ref="CA132:CM132"/>
    <mergeCell ref="E75:W76"/>
    <mergeCell ref="CO123:CZ123"/>
    <mergeCell ref="CO126:CZ126"/>
    <mergeCell ref="E128:AG129"/>
    <mergeCell ref="E119:AH121"/>
    <mergeCell ref="E116:AT117"/>
    <mergeCell ref="BH129:CW130"/>
    <mergeCell ref="AI124:AS124"/>
    <mergeCell ref="AI126:AS126"/>
    <mergeCell ref="AI121:AS121"/>
    <mergeCell ref="CQ5:CY5"/>
    <mergeCell ref="CQ4:CY4"/>
    <mergeCell ref="CQ3:CY3"/>
    <mergeCell ref="CD7:CY7"/>
    <mergeCell ref="CO121:CZ121"/>
    <mergeCell ref="CO119:CZ119"/>
    <mergeCell ref="CB9:CY9"/>
    <mergeCell ref="CL25:DC30"/>
    <mergeCell ref="CL37:DC42"/>
    <mergeCell ref="CL51:DC56"/>
    <mergeCell ref="CL59:DC61"/>
    <mergeCell ref="L9:AT9"/>
    <mergeCell ref="AI109:AS109"/>
    <mergeCell ref="X83:AG83"/>
    <mergeCell ref="X84:AF84"/>
    <mergeCell ref="X75:AG75"/>
    <mergeCell ref="CQ210:DB210"/>
    <mergeCell ref="CT212:DB212"/>
    <mergeCell ref="CR202:DB202"/>
    <mergeCell ref="CR204:DB204"/>
    <mergeCell ref="CR206:DB206"/>
    <mergeCell ref="CR208:DB208"/>
  </mergeCells>
  <conditionalFormatting sqref="X83:AG83 AE197 AP197 AE199 AP199">
    <cfRule type="cellIs" dxfId="48" priority="98" operator="lessThan">
      <formula>0</formula>
    </cfRule>
  </conditionalFormatting>
  <conditionalFormatting sqref="AE196:AN196">
    <cfRule type="cellIs" dxfId="47" priority="104" operator="greaterThan">
      <formula>$AN$192</formula>
    </cfRule>
  </conditionalFormatting>
  <conditionalFormatting sqref="AI114:AS115">
    <cfRule type="cellIs" dxfId="46" priority="96" operator="lessThan">
      <formula>0</formula>
    </cfRule>
  </conditionalFormatting>
  <conditionalFormatting sqref="AN190:AY191">
    <cfRule type="cellIs" dxfId="45" priority="103" operator="greaterThan">
      <formula>$AN$188</formula>
    </cfRule>
  </conditionalFormatting>
  <conditionalFormatting sqref="AP201">
    <cfRule type="cellIs" dxfId="44" priority="8" operator="lessThan">
      <formula>0</formula>
    </cfRule>
  </conditionalFormatting>
  <conditionalFormatting sqref="AP200:AY200">
    <cfRule type="cellIs" dxfId="43" priority="105" operator="greaterThan">
      <formula>$AN$194</formula>
    </cfRule>
  </conditionalFormatting>
  <conditionalFormatting sqref="CA132">
    <cfRule type="cellIs" dxfId="42" priority="97" operator="lessThan">
      <formula>0</formula>
    </cfRule>
  </conditionalFormatting>
  <printOptions horizontalCentered="1"/>
  <pageMargins left="0.23622047244094491" right="0.23622047244094491" top="0.35433070866141736" bottom="0.35433070866141736" header="0.31496062992125984" footer="0.31496062992125984"/>
  <pageSetup scale="37" fitToHeight="3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01" operator="greaterThan" id="{45876737-8E3C-4843-BD77-BEC6A76B7F65}">
            <xm:f>'Entrevista Patrimonio F.'!$G$36</xm:f>
            <x14:dxf>
              <font>
                <color rgb="FFFF7C80"/>
              </font>
            </x14:dxf>
          </x14:cfRule>
          <xm:sqref>CT212:DB212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6097-6119-4CD1-AD26-BD9E96463E76}">
  <sheetPr>
    <tabColor rgb="FFE5C78A"/>
    <pageSetUpPr fitToPage="1"/>
  </sheetPr>
  <dimension ref="A1:I64"/>
  <sheetViews>
    <sheetView showGridLines="0" zoomScale="47" zoomScaleNormal="85" workbookViewId="0">
      <selection activeCell="G4" sqref="G4"/>
    </sheetView>
  </sheetViews>
  <sheetFormatPr baseColWidth="10" defaultColWidth="10.85546875" defaultRowHeight="30.75" x14ac:dyDescent="0.25"/>
  <cols>
    <col min="1" max="1" width="3.85546875" style="246" customWidth="1"/>
    <col min="2" max="2" width="6.140625" style="246" customWidth="1"/>
    <col min="3" max="3" width="134.140625" style="174" bestFit="1" customWidth="1"/>
    <col min="4" max="4" width="33.5703125" style="246" customWidth="1"/>
    <col min="5" max="5" width="21" style="246" customWidth="1"/>
    <col min="6" max="6" width="133.28515625" style="246" bestFit="1" customWidth="1"/>
    <col min="7" max="7" width="33.5703125" style="246" customWidth="1"/>
    <col min="8" max="8" width="6.140625" style="246" customWidth="1"/>
    <col min="9" max="9" width="3.85546875" style="246" customWidth="1"/>
    <col min="10" max="16384" width="10.85546875" style="246"/>
  </cols>
  <sheetData>
    <row r="1" spans="1:9" ht="20.100000000000001" customHeight="1" x14ac:dyDescent="0.25">
      <c r="A1" s="268"/>
      <c r="B1" s="268"/>
      <c r="C1" s="269"/>
      <c r="D1" s="268"/>
      <c r="E1" s="268"/>
      <c r="F1" s="268"/>
      <c r="G1" s="268"/>
      <c r="H1" s="268"/>
      <c r="I1" s="268"/>
    </row>
    <row r="2" spans="1:9" s="174" customFormat="1" x14ac:dyDescent="0.25">
      <c r="A2" s="269"/>
      <c r="I2" s="269"/>
    </row>
    <row r="3" spans="1:9" s="174" customFormat="1" ht="31.5" thickBot="1" x14ac:dyDescent="0.3">
      <c r="A3" s="269"/>
      <c r="C3" s="275" t="s">
        <v>108</v>
      </c>
      <c r="F3" s="275" t="s">
        <v>333</v>
      </c>
      <c r="I3" s="269"/>
    </row>
    <row r="4" spans="1:9" s="174" customFormat="1" x14ac:dyDescent="0.85">
      <c r="A4" s="269"/>
      <c r="C4" s="174" t="s">
        <v>282</v>
      </c>
      <c r="D4" s="376" t="s">
        <v>128</v>
      </c>
      <c r="F4" s="174" t="s">
        <v>332</v>
      </c>
      <c r="G4" s="273"/>
      <c r="I4" s="269"/>
    </row>
    <row r="5" spans="1:9" s="174" customFormat="1" ht="20.100000000000001" customHeight="1" thickBot="1" x14ac:dyDescent="0.3">
      <c r="A5" s="269"/>
      <c r="D5" s="272"/>
      <c r="G5" s="274"/>
      <c r="I5" s="269"/>
    </row>
    <row r="6" spans="1:9" s="270" customFormat="1" x14ac:dyDescent="0.85">
      <c r="A6" s="271"/>
      <c r="C6" s="174" t="s">
        <v>240</v>
      </c>
      <c r="D6" s="377">
        <v>50</v>
      </c>
      <c r="F6" s="174" t="s">
        <v>331</v>
      </c>
      <c r="G6" s="273">
        <v>1000000</v>
      </c>
      <c r="I6" s="271"/>
    </row>
    <row r="7" spans="1:9" s="174" customFormat="1" ht="20.100000000000001" customHeight="1" thickBot="1" x14ac:dyDescent="0.3">
      <c r="A7" s="269"/>
      <c r="D7" s="270"/>
      <c r="G7" s="274"/>
      <c r="I7" s="269"/>
    </row>
    <row r="8" spans="1:9" s="270" customFormat="1" x14ac:dyDescent="0.85">
      <c r="A8" s="271"/>
      <c r="C8" s="270" t="s">
        <v>330</v>
      </c>
      <c r="D8" s="376" t="s">
        <v>59</v>
      </c>
      <c r="F8" s="174" t="s">
        <v>329</v>
      </c>
      <c r="G8" s="273">
        <v>0</v>
      </c>
      <c r="I8" s="271"/>
    </row>
    <row r="9" spans="1:9" s="174" customFormat="1" ht="20.100000000000001" customHeight="1" thickBot="1" x14ac:dyDescent="0.3">
      <c r="A9" s="269"/>
      <c r="D9" s="272"/>
      <c r="G9" s="274"/>
      <c r="I9" s="269"/>
    </row>
    <row r="10" spans="1:9" s="270" customFormat="1" x14ac:dyDescent="0.85">
      <c r="A10" s="271"/>
      <c r="C10" s="270" t="s">
        <v>328</v>
      </c>
      <c r="D10" s="376" t="s">
        <v>94</v>
      </c>
      <c r="F10" s="174" t="s">
        <v>327</v>
      </c>
      <c r="G10" s="273">
        <v>0</v>
      </c>
      <c r="I10" s="271"/>
    </row>
    <row r="11" spans="1:9" s="174" customFormat="1" ht="20.100000000000001" customHeight="1" thickBot="1" x14ac:dyDescent="0.3">
      <c r="A11" s="269"/>
      <c r="D11" s="272"/>
      <c r="G11" s="274"/>
      <c r="I11" s="269"/>
    </row>
    <row r="12" spans="1:9" s="174" customFormat="1" x14ac:dyDescent="0.25">
      <c r="A12" s="269"/>
      <c r="F12" s="174" t="s">
        <v>326</v>
      </c>
      <c r="G12" s="273">
        <v>0</v>
      </c>
      <c r="I12" s="269"/>
    </row>
    <row r="13" spans="1:9" s="174" customFormat="1" ht="20.100000000000001" customHeight="1" thickBot="1" x14ac:dyDescent="0.3">
      <c r="A13" s="269"/>
      <c r="G13" s="274"/>
      <c r="I13" s="269"/>
    </row>
    <row r="14" spans="1:9" s="174" customFormat="1" ht="31.5" thickBot="1" x14ac:dyDescent="0.3">
      <c r="A14" s="269"/>
      <c r="C14" s="275" t="s">
        <v>215</v>
      </c>
      <c r="F14" s="174" t="s">
        <v>325</v>
      </c>
      <c r="G14" s="273">
        <v>0</v>
      </c>
      <c r="I14" s="269"/>
    </row>
    <row r="15" spans="1:9" s="270" customFormat="1" x14ac:dyDescent="0.85">
      <c r="A15" s="271"/>
      <c r="C15" s="174" t="s">
        <v>104</v>
      </c>
      <c r="D15" s="376">
        <v>0</v>
      </c>
      <c r="F15" s="174"/>
      <c r="G15" s="274"/>
      <c r="I15" s="271"/>
    </row>
    <row r="16" spans="1:9" s="174" customFormat="1" ht="20.100000000000001" customHeight="1" thickBot="1" x14ac:dyDescent="0.3">
      <c r="A16" s="269"/>
      <c r="D16" s="272"/>
      <c r="I16" s="269"/>
    </row>
    <row r="17" spans="1:9" s="270" customFormat="1" x14ac:dyDescent="0.85">
      <c r="A17" s="271"/>
      <c r="C17" s="174" t="s">
        <v>301</v>
      </c>
      <c r="D17" s="376">
        <v>6000000</v>
      </c>
      <c r="F17" s="579" t="s">
        <v>324</v>
      </c>
      <c r="G17" s="174"/>
      <c r="I17" s="271"/>
    </row>
    <row r="18" spans="1:9" s="174" customFormat="1" ht="20.100000000000001" customHeight="1" thickBot="1" x14ac:dyDescent="0.3">
      <c r="A18" s="269"/>
      <c r="C18" s="270"/>
      <c r="D18" s="272"/>
      <c r="F18" s="579"/>
      <c r="G18" s="270"/>
      <c r="I18" s="269"/>
    </row>
    <row r="19" spans="1:9" s="270" customFormat="1" x14ac:dyDescent="0.85">
      <c r="A19" s="271"/>
      <c r="C19" s="174" t="s">
        <v>323</v>
      </c>
      <c r="D19" s="376">
        <v>0</v>
      </c>
      <c r="F19" s="174" t="s">
        <v>322</v>
      </c>
      <c r="G19" s="273">
        <v>0</v>
      </c>
      <c r="I19" s="271"/>
    </row>
    <row r="20" spans="1:9" s="174" customFormat="1" ht="20.100000000000001" customHeight="1" thickBot="1" x14ac:dyDescent="0.3">
      <c r="A20" s="269"/>
      <c r="D20" s="272"/>
      <c r="G20" s="274"/>
      <c r="I20" s="269"/>
    </row>
    <row r="21" spans="1:9" s="270" customFormat="1" x14ac:dyDescent="0.25">
      <c r="A21" s="271"/>
      <c r="F21" s="174" t="s">
        <v>321</v>
      </c>
      <c r="G21" s="273">
        <v>1000000</v>
      </c>
      <c r="I21" s="271"/>
    </row>
    <row r="22" spans="1:9" s="174" customFormat="1" ht="20.100000000000001" customHeight="1" x14ac:dyDescent="0.25">
      <c r="A22" s="269"/>
      <c r="D22" s="272"/>
      <c r="F22" s="270"/>
      <c r="G22" s="270"/>
      <c r="I22" s="269"/>
    </row>
    <row r="23" spans="1:9" s="174" customFormat="1" ht="31.5" thickBot="1" x14ac:dyDescent="0.3">
      <c r="A23" s="269"/>
      <c r="C23" s="275" t="s">
        <v>306</v>
      </c>
      <c r="D23" s="272"/>
      <c r="I23" s="269"/>
    </row>
    <row r="24" spans="1:9" s="174" customFormat="1" x14ac:dyDescent="0.85">
      <c r="A24" s="269"/>
      <c r="C24" s="174" t="s">
        <v>116</v>
      </c>
      <c r="D24" s="376">
        <v>0</v>
      </c>
      <c r="F24" s="579" t="s">
        <v>320</v>
      </c>
      <c r="G24" s="270"/>
      <c r="I24" s="269"/>
    </row>
    <row r="25" spans="1:9" s="270" customFormat="1" ht="20.100000000000001" customHeight="1" thickBot="1" x14ac:dyDescent="0.3">
      <c r="A25" s="271"/>
      <c r="D25" s="272"/>
      <c r="F25" s="579"/>
      <c r="G25" s="174"/>
      <c r="I25" s="271"/>
    </row>
    <row r="26" spans="1:9" s="174" customFormat="1" x14ac:dyDescent="0.85">
      <c r="A26" s="269"/>
      <c r="C26" s="174" t="s">
        <v>102</v>
      </c>
      <c r="D26" s="376">
        <v>0</v>
      </c>
      <c r="F26" s="270" t="s">
        <v>319</v>
      </c>
      <c r="G26" s="375">
        <v>300000</v>
      </c>
      <c r="I26" s="269"/>
    </row>
    <row r="27" spans="1:9" s="270" customFormat="1" ht="20.100000000000001" customHeight="1" thickBot="1" x14ac:dyDescent="0.3">
      <c r="A27" s="271"/>
      <c r="D27" s="272"/>
      <c r="F27" s="174"/>
      <c r="G27" s="246"/>
      <c r="I27" s="271"/>
    </row>
    <row r="28" spans="1:9" s="174" customFormat="1" x14ac:dyDescent="0.85">
      <c r="A28" s="269"/>
      <c r="C28" s="174" t="s">
        <v>118</v>
      </c>
      <c r="D28" s="376">
        <v>0</v>
      </c>
      <c r="F28" s="270" t="s">
        <v>310</v>
      </c>
      <c r="G28" s="375">
        <v>50000</v>
      </c>
      <c r="I28" s="269"/>
    </row>
    <row r="29" spans="1:9" s="270" customFormat="1" ht="20.100000000000001" customHeight="1" thickBot="1" x14ac:dyDescent="0.3">
      <c r="A29" s="271"/>
      <c r="D29" s="272"/>
      <c r="F29" s="174"/>
      <c r="G29" s="274"/>
      <c r="I29" s="271"/>
    </row>
    <row r="30" spans="1:9" s="174" customFormat="1" x14ac:dyDescent="0.85">
      <c r="A30" s="269"/>
      <c r="C30" s="174" t="s">
        <v>103</v>
      </c>
      <c r="D30" s="376">
        <v>0</v>
      </c>
      <c r="F30" s="174" t="s">
        <v>318</v>
      </c>
      <c r="G30" s="375">
        <v>20000</v>
      </c>
      <c r="I30" s="269"/>
    </row>
    <row r="31" spans="1:9" s="270" customFormat="1" ht="20.100000000000001" customHeight="1" thickBot="1" x14ac:dyDescent="0.3">
      <c r="A31" s="271"/>
      <c r="D31" s="272"/>
      <c r="F31" s="174"/>
      <c r="G31" s="274"/>
      <c r="I31" s="271"/>
    </row>
    <row r="32" spans="1:9" s="174" customFormat="1" x14ac:dyDescent="0.85">
      <c r="A32" s="269"/>
      <c r="C32" s="174" t="s">
        <v>279</v>
      </c>
      <c r="D32" s="376">
        <v>0</v>
      </c>
      <c r="F32" s="270" t="s">
        <v>109</v>
      </c>
      <c r="G32" s="375">
        <v>0</v>
      </c>
      <c r="I32" s="269"/>
    </row>
    <row r="33" spans="1:9" s="174" customFormat="1" ht="20.100000000000001" customHeight="1" thickBot="1" x14ac:dyDescent="0.3">
      <c r="A33" s="269"/>
      <c r="D33" s="272"/>
      <c r="I33" s="269"/>
    </row>
    <row r="34" spans="1:9" s="270" customFormat="1" x14ac:dyDescent="0.85">
      <c r="A34" s="271"/>
      <c r="C34" s="270" t="s">
        <v>91</v>
      </c>
      <c r="D34" s="378">
        <v>60</v>
      </c>
      <c r="I34" s="271"/>
    </row>
    <row r="35" spans="1:9" s="174" customFormat="1" ht="20.100000000000001" customHeight="1" thickBot="1" x14ac:dyDescent="0.3">
      <c r="A35" s="269"/>
      <c r="D35" s="272"/>
      <c r="I35" s="269"/>
    </row>
    <row r="36" spans="1:9" s="270" customFormat="1" x14ac:dyDescent="0.85">
      <c r="A36" s="271"/>
      <c r="C36" s="270" t="s">
        <v>117</v>
      </c>
      <c r="D36" s="376">
        <v>50000</v>
      </c>
      <c r="I36" s="271"/>
    </row>
    <row r="37" spans="1:9" s="174" customFormat="1" x14ac:dyDescent="0.25">
      <c r="A37" s="269"/>
      <c r="I37" s="269"/>
    </row>
    <row r="38" spans="1:9" ht="20.100000000000001" customHeight="1" x14ac:dyDescent="0.25">
      <c r="A38" s="268"/>
      <c r="B38" s="268"/>
      <c r="C38" s="269"/>
      <c r="D38" s="268"/>
      <c r="E38" s="268"/>
      <c r="F38" s="268"/>
      <c r="G38" s="268"/>
      <c r="H38" s="268"/>
      <c r="I38" s="268"/>
    </row>
    <row r="40" spans="1:9" s="210" customFormat="1" ht="21.75" x14ac:dyDescent="0.25"/>
    <row r="44" spans="1:9" s="210" customFormat="1" ht="21.75" x14ac:dyDescent="0.25">
      <c r="E44" s="264"/>
    </row>
    <row r="45" spans="1:9" x14ac:dyDescent="0.25">
      <c r="E45" s="263"/>
    </row>
    <row r="46" spans="1:9" ht="21.75" x14ac:dyDescent="0.25">
      <c r="C46" s="246"/>
    </row>
    <row r="47" spans="1:9" ht="21.75" x14ac:dyDescent="0.25">
      <c r="C47" s="246"/>
    </row>
    <row r="48" spans="1:9" ht="21.75" x14ac:dyDescent="0.25">
      <c r="C48" s="246"/>
    </row>
    <row r="49" s="246" customFormat="1" ht="21.75" x14ac:dyDescent="0.25"/>
    <row r="50" s="246" customFormat="1" ht="21.75" x14ac:dyDescent="0.25"/>
    <row r="51" s="246" customFormat="1" ht="21.75" x14ac:dyDescent="0.25"/>
    <row r="52" s="246" customFormat="1" ht="21.75" x14ac:dyDescent="0.25"/>
    <row r="53" s="246" customFormat="1" ht="21.75" x14ac:dyDescent="0.25"/>
    <row r="54" s="246" customFormat="1" ht="21.75" x14ac:dyDescent="0.25"/>
    <row r="55" s="246" customFormat="1" ht="21.75" x14ac:dyDescent="0.25"/>
    <row r="56" s="246" customFormat="1" ht="21.75" x14ac:dyDescent="0.25"/>
    <row r="57" s="246" customFormat="1" ht="21.75" x14ac:dyDescent="0.25"/>
    <row r="58" s="246" customFormat="1" ht="21.75" x14ac:dyDescent="0.25"/>
    <row r="59" s="246" customFormat="1" ht="21.75" x14ac:dyDescent="0.25"/>
    <row r="60" s="246" customFormat="1" ht="21.75" x14ac:dyDescent="0.25"/>
    <row r="61" s="246" customFormat="1" ht="12.6" customHeight="1" x14ac:dyDescent="0.25"/>
    <row r="62" s="246" customFormat="1" ht="21.75" x14ac:dyDescent="0.25"/>
    <row r="63" s="246" customFormat="1" ht="21.75" x14ac:dyDescent="0.25"/>
    <row r="64" s="246" customFormat="1" ht="21.75" x14ac:dyDescent="0.25"/>
  </sheetData>
  <mergeCells count="2">
    <mergeCell ref="F17:F18"/>
    <mergeCell ref="F24:F2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32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754250B-B2DD-46FC-B479-6628FEC36355}">
          <x14:formula1>
            <xm:f>Auxiliar!$D$12:$D$14</xm:f>
          </x14:formula1>
          <xm:sqref>D8</xm:sqref>
        </x14:dataValidation>
        <x14:dataValidation type="list" allowBlank="1" showInputMessage="1" showErrorMessage="1" xr:uid="{ACBA1FC6-9D99-4322-9293-EF8CE770C973}">
          <x14:formula1>
            <xm:f>Auxiliar!$D$18:$D$19</xm:f>
          </x14:formula1>
          <xm:sqref>D10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2F43-1660-41ED-BCE0-919CF3B268C1}">
  <sheetPr>
    <tabColor rgb="FFFF9999"/>
    <pageSetUpPr fitToPage="1"/>
  </sheetPr>
  <dimension ref="B1:CB150"/>
  <sheetViews>
    <sheetView showGridLines="0" topLeftCell="I1" zoomScale="54" zoomScaleNormal="65" workbookViewId="0">
      <selection activeCell="AB9" sqref="AB9"/>
    </sheetView>
  </sheetViews>
  <sheetFormatPr baseColWidth="10" defaultRowHeight="15" x14ac:dyDescent="0.25"/>
  <cols>
    <col min="1" max="1" width="2.42578125" customWidth="1"/>
    <col min="2" max="2" width="63.28515625" bestFit="1" customWidth="1"/>
    <col min="3" max="3" width="22.42578125" customWidth="1"/>
    <col min="4" max="4" width="10.85546875" customWidth="1"/>
    <col min="8" max="8" width="40.140625" bestFit="1" customWidth="1"/>
    <col min="18" max="18" width="13.5703125" customWidth="1"/>
    <col min="19" max="19" width="21" customWidth="1"/>
    <col min="20" max="20" width="15.140625" bestFit="1" customWidth="1"/>
    <col min="21" max="22" width="16.7109375" bestFit="1" customWidth="1"/>
    <col min="23" max="23" width="13.42578125" bestFit="1" customWidth="1"/>
    <col min="24" max="24" width="8.5703125" customWidth="1"/>
    <col min="25" max="25" width="34.42578125" customWidth="1"/>
    <col min="26" max="65" width="14.5703125" customWidth="1"/>
  </cols>
  <sheetData>
    <row r="1" spans="2:50" ht="21.75" x14ac:dyDescent="0.25">
      <c r="T1" s="311"/>
    </row>
    <row r="2" spans="2:50" x14ac:dyDescent="0.25">
      <c r="H2" s="307" t="s">
        <v>433</v>
      </c>
    </row>
    <row r="3" spans="2:50" x14ac:dyDescent="0.25">
      <c r="B3" t="s">
        <v>235</v>
      </c>
      <c r="C3" s="309">
        <v>0.01</v>
      </c>
    </row>
    <row r="4" spans="2:50" ht="15.75" thickBot="1" x14ac:dyDescent="0.3">
      <c r="B4" t="s">
        <v>432</v>
      </c>
      <c r="C4" s="301">
        <v>90</v>
      </c>
      <c r="H4" s="310" t="s">
        <v>248</v>
      </c>
    </row>
    <row r="5" spans="2:50" ht="15.75" thickBot="1" x14ac:dyDescent="0.3">
      <c r="B5" t="s">
        <v>431</v>
      </c>
      <c r="C5" s="309">
        <v>0.05</v>
      </c>
      <c r="H5" s="27" t="str">
        <f>"Si ahorras durante "&amp;TEXT(EdaddeRetiro-EdadActual,"#0")&amp;" años (años hasta tu edad de retiro) puedes incrementar tus posibilidades al momento del retiro."</f>
        <v>Si ahorras durante 10 años (años hasta tu edad de retiro) puedes incrementar tus posibilidades al momento del retiro.</v>
      </c>
      <c r="Y5" s="461" t="s">
        <v>466</v>
      </c>
      <c r="Z5" s="457">
        <f>CapacidaddeAhorro-Z6</f>
        <v>30000</v>
      </c>
      <c r="AA5" s="459">
        <f>1-AA6</f>
        <v>0.6</v>
      </c>
      <c r="AB5" s="463" t="s">
        <v>465</v>
      </c>
      <c r="AV5" s="67" t="s">
        <v>26</v>
      </c>
      <c r="AX5" s="67" t="s">
        <v>93</v>
      </c>
    </row>
    <row r="6" spans="2:50" x14ac:dyDescent="0.25">
      <c r="B6" t="s">
        <v>430</v>
      </c>
      <c r="C6" s="308">
        <v>7000</v>
      </c>
      <c r="Y6" s="461" t="s">
        <v>464</v>
      </c>
      <c r="Z6" s="457">
        <f>MIN(Z7+Z8,CapacidaddeAhorro)</f>
        <v>20000</v>
      </c>
      <c r="AA6" s="459">
        <f>'Cálculos y Supuestos Balance'!Z6/CapacidaddeAhorro</f>
        <v>0.4</v>
      </c>
      <c r="AB6" s="463" t="s">
        <v>463</v>
      </c>
      <c r="AV6" s="68">
        <f>IF(EdadActual+1&gt;80,"",EdadActual+1)</f>
        <v>51</v>
      </c>
      <c r="AX6" s="70" t="s">
        <v>58</v>
      </c>
    </row>
    <row r="7" spans="2:50" x14ac:dyDescent="0.25">
      <c r="Y7" s="462" t="s">
        <v>462</v>
      </c>
      <c r="Z7" s="458">
        <f>Rentas</f>
        <v>20000</v>
      </c>
      <c r="AA7" s="460">
        <f>IFERROR(('Cálculos y Supuestos Balance'!Z7*12)/(Balance!V12),0)</f>
        <v>0.24</v>
      </c>
      <c r="AB7" s="464" t="s">
        <v>522</v>
      </c>
      <c r="AV7" s="68">
        <f>IF(AV6&lt;&gt;"",IF(AV6+1&gt;80,"",AV6+1),"")</f>
        <v>52</v>
      </c>
      <c r="AX7" s="70" t="s">
        <v>95</v>
      </c>
    </row>
    <row r="8" spans="2:50" x14ac:dyDescent="0.25">
      <c r="B8" s="307" t="s">
        <v>429</v>
      </c>
      <c r="Y8" s="462" t="s">
        <v>461</v>
      </c>
      <c r="Z8" s="458">
        <f>OtrosIngresos</f>
        <v>0</v>
      </c>
      <c r="AA8" s="460">
        <f>IFERROR(('Cálculos y Supuestos Balance'!Z8*12)/Balance!V18,0)</f>
        <v>0</v>
      </c>
      <c r="AB8" s="464" t="s">
        <v>460</v>
      </c>
      <c r="AV8" s="68">
        <f>IF(AV7&lt;&gt;"",IF(AV7+1&gt;80,"",AV7+1),"")</f>
        <v>53</v>
      </c>
      <c r="AX8" s="70" t="s">
        <v>96</v>
      </c>
    </row>
    <row r="9" spans="2:50" ht="15.75" thickBot="1" x14ac:dyDescent="0.3">
      <c r="AV9" s="68">
        <f>IF(AV8&lt;&gt;"",IF(AV8+1&gt;80,"",AV8+1),"")</f>
        <v>54</v>
      </c>
      <c r="AX9" s="71" t="s">
        <v>97</v>
      </c>
    </row>
    <row r="10" spans="2:50" x14ac:dyDescent="0.25">
      <c r="B10" s="18" t="s">
        <v>428</v>
      </c>
      <c r="C10" s="21">
        <f>Afore+PPR+PlanPrivadodePensión+OtrosPlanesdeSegurosparaRetiro</f>
        <v>0</v>
      </c>
      <c r="Y10" s="114" t="s">
        <v>558</v>
      </c>
      <c r="AV10" s="68">
        <f>IF(AV9&lt;&gt;"",IF(AV9+1&gt;80,"",AV9+1),"")</f>
        <v>55</v>
      </c>
    </row>
    <row r="11" spans="2:50" x14ac:dyDescent="0.25">
      <c r="B11" t="s">
        <v>23</v>
      </c>
      <c r="C11" s="22">
        <f>PMT(1%/12,(EdaddeDefunción-MAX(60,EdaddeRetiro))*12,((Afore*(1+1%/12)^((MAX(60,EdaddeRetiro)-EdadActual)*12))),0,1)*-1</f>
        <v>0</v>
      </c>
      <c r="Y11" s="274" t="s">
        <v>559</v>
      </c>
      <c r="Z11" s="284">
        <f>'Entrevista Balance'!G26+CapacidaddeAhorro</f>
        <v>350000</v>
      </c>
      <c r="AA11" s="304">
        <f>Z11/SUM($Z$12:$Z$14)</f>
        <v>1</v>
      </c>
      <c r="AV11" s="68">
        <f>IF(AV10&lt;&gt;"",IF(AV10+1&gt;80,"",AV10+1),"")</f>
        <v>56</v>
      </c>
    </row>
    <row r="12" spans="2:50" x14ac:dyDescent="0.25">
      <c r="B12" t="s">
        <v>24</v>
      </c>
      <c r="C12" s="22">
        <f>PMT(1%/12,(EdaddeDefunción-MAX(60,EdaddeRetiro))*12,(((PPR+PlanPrivadodePensión+OtrosPlanesdeSegurosparaRetiro)*(1+1%/12)^((MAX(60,EdaddeRetiro)-EdadActual)*12))),0,1)*-1</f>
        <v>0</v>
      </c>
      <c r="Y12" s="274" t="s">
        <v>560</v>
      </c>
      <c r="Z12" s="294">
        <f>'Entrevista Balance'!G26</f>
        <v>300000</v>
      </c>
      <c r="AA12" s="304">
        <f>Z12/SUM($Z$12:$Z$14)</f>
        <v>0.8571428571428571</v>
      </c>
      <c r="AV12" s="68">
        <f t="shared" ref="AV12:AV51" si="0">IF(AV11&lt;&gt;"",IF(AV11+1&gt;80,"",AV11+1),"")</f>
        <v>57</v>
      </c>
    </row>
    <row r="13" spans="2:50" x14ac:dyDescent="0.25">
      <c r="B13" t="s">
        <v>47</v>
      </c>
      <c r="C13" s="22">
        <f>MLey73</f>
        <v>0</v>
      </c>
      <c r="Y13" s="274" t="s">
        <v>561</v>
      </c>
      <c r="Z13" s="294">
        <f>Z5</f>
        <v>30000</v>
      </c>
      <c r="AA13" s="304">
        <f>Z13/SUM($Z$12:$Z$14)</f>
        <v>8.5714285714285715E-2</v>
      </c>
      <c r="AV13" s="68">
        <f t="shared" si="0"/>
        <v>58</v>
      </c>
    </row>
    <row r="14" spans="2:50" x14ac:dyDescent="0.25">
      <c r="B14" s="6" t="s">
        <v>25</v>
      </c>
      <c r="C14" s="94">
        <f>C11+C12+C13</f>
        <v>0</v>
      </c>
      <c r="Y14" s="274" t="s">
        <v>562</v>
      </c>
      <c r="Z14" s="284">
        <f>Z6</f>
        <v>20000</v>
      </c>
      <c r="AA14" s="304">
        <f>Z14/SUM($Z$12:$Z$14)</f>
        <v>5.7142857142857141E-2</v>
      </c>
      <c r="AV14" s="68">
        <f t="shared" si="0"/>
        <v>59</v>
      </c>
    </row>
    <row r="15" spans="2:50" x14ac:dyDescent="0.25">
      <c r="C15" s="22"/>
      <c r="AV15" s="68">
        <f t="shared" si="0"/>
        <v>60</v>
      </c>
    </row>
    <row r="16" spans="2:50" x14ac:dyDescent="0.25">
      <c r="B16" s="6" t="s">
        <v>427</v>
      </c>
      <c r="C16" s="94">
        <f>Rentas+OtrosIngresos</f>
        <v>20000</v>
      </c>
      <c r="AV16" s="68">
        <f t="shared" si="0"/>
        <v>61</v>
      </c>
    </row>
    <row r="17" spans="2:50" x14ac:dyDescent="0.25">
      <c r="C17" s="22"/>
      <c r="Y17" s="274"/>
      <c r="Z17" s="284"/>
      <c r="AA17" s="304"/>
      <c r="AV17" s="68">
        <f t="shared" si="0"/>
        <v>62</v>
      </c>
    </row>
    <row r="18" spans="2:50" ht="15.75" thickBot="1" x14ac:dyDescent="0.3">
      <c r="B18" s="6" t="s">
        <v>426</v>
      </c>
      <c r="C18" s="94">
        <f>MensualidaddeseadaenelRetiro-C14-C16</f>
        <v>30000</v>
      </c>
      <c r="D18" t="s">
        <v>425</v>
      </c>
      <c r="AV18" s="68">
        <f t="shared" si="0"/>
        <v>63</v>
      </c>
    </row>
    <row r="19" spans="2:50" ht="15.75" thickBot="1" x14ac:dyDescent="0.3">
      <c r="AV19" s="68">
        <f t="shared" si="0"/>
        <v>64</v>
      </c>
      <c r="AX19" s="67" t="s">
        <v>121</v>
      </c>
    </row>
    <row r="20" spans="2:50" x14ac:dyDescent="0.25">
      <c r="B20" t="s">
        <v>424</v>
      </c>
      <c r="C20">
        <f>( EdaddeDefunción - EdaddeRetiro ) * 12</f>
        <v>360</v>
      </c>
      <c r="S20" t="s">
        <v>423</v>
      </c>
      <c r="Y20" s="114" t="s">
        <v>422</v>
      </c>
      <c r="AV20" s="68">
        <f t="shared" si="0"/>
        <v>65</v>
      </c>
      <c r="AX20" s="70" t="s">
        <v>59</v>
      </c>
    </row>
    <row r="21" spans="2:50" x14ac:dyDescent="0.25">
      <c r="B21" s="306" t="s">
        <v>421</v>
      </c>
      <c r="C21" s="306">
        <f>1 / ( 1 + TasaReal / 12 )</f>
        <v>0.99916736053288935</v>
      </c>
      <c r="S21" t="s">
        <v>420</v>
      </c>
      <c r="T21" s="284">
        <f>ReservaCortoPlazo+Acumulación</f>
        <v>6000000</v>
      </c>
      <c r="Y21" s="274" t="s">
        <v>8</v>
      </c>
      <c r="Z21" s="284">
        <f>Balance!E25</f>
        <v>6000000</v>
      </c>
      <c r="AV21" s="68">
        <f t="shared" si="0"/>
        <v>66</v>
      </c>
      <c r="AX21" s="70" t="s">
        <v>98</v>
      </c>
    </row>
    <row r="22" spans="2:50" ht="15.75" thickBot="1" x14ac:dyDescent="0.3">
      <c r="B22" t="s">
        <v>419</v>
      </c>
      <c r="C22" s="22">
        <f xml:space="preserve"> ReservaCortoPlazo + Acumulación</f>
        <v>6000000</v>
      </c>
      <c r="Y22" s="274" t="s">
        <v>418</v>
      </c>
      <c r="Z22" s="284">
        <f>Balance!V25</f>
        <v>1000000</v>
      </c>
      <c r="AV22" s="68">
        <f t="shared" si="0"/>
        <v>67</v>
      </c>
      <c r="AX22" s="71" t="s">
        <v>99</v>
      </c>
    </row>
    <row r="23" spans="2:50" ht="15.75" thickBot="1" x14ac:dyDescent="0.3">
      <c r="B23" s="306" t="s">
        <v>417</v>
      </c>
      <c r="C23" s="305">
        <f>( EdaddeRetiro - EdadActual ) *12</f>
        <v>120</v>
      </c>
      <c r="S23" s="120"/>
      <c r="T23" s="122">
        <v>0.08</v>
      </c>
      <c r="U23" s="122">
        <v>0.12</v>
      </c>
      <c r="V23" s="122">
        <v>0.14000000000000001</v>
      </c>
      <c r="Y23" s="274"/>
      <c r="Z23" s="284"/>
      <c r="AV23" s="68">
        <f t="shared" si="0"/>
        <v>68</v>
      </c>
    </row>
    <row r="24" spans="2:50" ht="15.75" thickBot="1" x14ac:dyDescent="0.3">
      <c r="S24" s="125">
        <f>EdadActual</f>
        <v>50</v>
      </c>
      <c r="T24" s="126">
        <f>1*Montoaproximadodeinversión</f>
        <v>6000000</v>
      </c>
      <c r="U24" s="126">
        <f>1*Montoaproximadodeinversión</f>
        <v>6000000</v>
      </c>
      <c r="V24" s="126">
        <f>1*Montoaproximadodeinversión</f>
        <v>6000000</v>
      </c>
      <c r="Y24" s="274" t="s">
        <v>72</v>
      </c>
      <c r="Z24" s="284">
        <f>Balance!AM25</f>
        <v>1000000</v>
      </c>
      <c r="AV24" s="68">
        <f t="shared" si="0"/>
        <v>69</v>
      </c>
      <c r="AX24" s="67" t="s">
        <v>100</v>
      </c>
    </row>
    <row r="25" spans="2:50" x14ac:dyDescent="0.25">
      <c r="B25" s="18" t="s">
        <v>416</v>
      </c>
      <c r="S25" s="125">
        <f t="shared" ref="S25:S56" si="1">S24+1</f>
        <v>51</v>
      </c>
      <c r="T25" s="126"/>
      <c r="U25" s="126"/>
      <c r="V25" s="126"/>
      <c r="Y25" s="274" t="s">
        <v>415</v>
      </c>
      <c r="Z25" s="284">
        <f>Balance!BD25</f>
        <v>6000000</v>
      </c>
      <c r="AV25" s="68">
        <f t="shared" si="0"/>
        <v>70</v>
      </c>
      <c r="AX25" s="70" t="s">
        <v>94</v>
      </c>
    </row>
    <row r="26" spans="2:50" ht="15.75" thickBot="1" x14ac:dyDescent="0.3">
      <c r="B26" s="299" t="s">
        <v>414</v>
      </c>
      <c r="C26" s="290">
        <f>( ( (PPR+PlanPrivadodePensión+OtrosPlanesdeSegurosparaRetiro)* ( 1 + TasaReal / 12 ) ^ ( ( MAX(60,EdaddeRetiro) - EdadActual ) * 12 ) ) )</f>
        <v>0</v>
      </c>
      <c r="S26" s="125">
        <f t="shared" si="1"/>
        <v>52</v>
      </c>
      <c r="T26" s="126"/>
      <c r="U26" s="126"/>
      <c r="V26" s="126"/>
      <c r="AV26" s="68">
        <f t="shared" si="0"/>
        <v>71</v>
      </c>
      <c r="AX26" s="71" t="s">
        <v>56</v>
      </c>
    </row>
    <row r="27" spans="2:50" ht="15.75" thickBot="1" x14ac:dyDescent="0.3">
      <c r="B27" t="s">
        <v>413</v>
      </c>
      <c r="C27" s="22">
        <f>( C26 * ( 1 + TasaReal / 12 ) ^ ( ( MAX(60,EdaddeRetiro) - EdadActual ) * 12 ) )</f>
        <v>0</v>
      </c>
      <c r="S27" s="125">
        <f t="shared" si="1"/>
        <v>53</v>
      </c>
      <c r="T27" s="126"/>
      <c r="U27" s="126"/>
      <c r="V27" s="126"/>
      <c r="AV27" s="68">
        <f t="shared" si="0"/>
        <v>72</v>
      </c>
    </row>
    <row r="28" spans="2:50" ht="15.75" thickBot="1" x14ac:dyDescent="0.3">
      <c r="B28" s="299" t="s">
        <v>412</v>
      </c>
      <c r="C28" s="290">
        <f>( ( (Afore)* ( 1 + TasaReal / 12 ) ^ ( ( MAX(60,EdaddeRetiro) - EdadActual ) * 12 ) ) )</f>
        <v>0</v>
      </c>
      <c r="S28" s="125">
        <f t="shared" si="1"/>
        <v>54</v>
      </c>
      <c r="T28" s="126"/>
      <c r="U28" s="126"/>
      <c r="V28" s="126"/>
      <c r="Y28" s="114" t="s">
        <v>411</v>
      </c>
      <c r="AV28" s="68">
        <f t="shared" si="0"/>
        <v>73</v>
      </c>
      <c r="AX28" s="67" t="s">
        <v>89</v>
      </c>
    </row>
    <row r="29" spans="2:50" x14ac:dyDescent="0.25">
      <c r="B29" t="s">
        <v>410</v>
      </c>
      <c r="C29" s="22">
        <f>( ValorActualEsquemasdePension * ( 1 + TasaReal / 12 ) ^ ( ( MAX(60,EdaddeRetiro) - EdadActual ) * 12 ) )</f>
        <v>0</v>
      </c>
      <c r="S29" s="125">
        <f t="shared" si="1"/>
        <v>55</v>
      </c>
      <c r="T29" s="126"/>
      <c r="U29" s="126"/>
      <c r="V29" s="126">
        <f>2*Montoaproximadodeinversión</f>
        <v>12000000</v>
      </c>
      <c r="X29" t="s">
        <v>553</v>
      </c>
      <c r="Y29" s="274" t="s">
        <v>269</v>
      </c>
      <c r="Z29" s="284">
        <f>Balance!E18</f>
        <v>0</v>
      </c>
      <c r="AA29" s="304">
        <f>Z29/SUM($Z$29:$Z$33)</f>
        <v>0</v>
      </c>
      <c r="AV29" s="68">
        <f t="shared" si="0"/>
        <v>74</v>
      </c>
      <c r="AX29" s="70" t="s">
        <v>32</v>
      </c>
    </row>
    <row r="30" spans="2:50" x14ac:dyDescent="0.25">
      <c r="S30" s="125">
        <f t="shared" si="1"/>
        <v>56</v>
      </c>
      <c r="T30" s="126"/>
      <c r="U30" s="126">
        <f>2*Montoaproximadodeinversión</f>
        <v>12000000</v>
      </c>
      <c r="V30" s="126"/>
      <c r="X30" t="s">
        <v>555</v>
      </c>
      <c r="Y30" s="274" t="s">
        <v>409</v>
      </c>
      <c r="Z30" s="294">
        <f>Balance!V12+Balance!V18</f>
        <v>1000000</v>
      </c>
      <c r="AA30" s="304">
        <f>Z30/SUM($Z$29:$Z$33)</f>
        <v>0.14285714285714285</v>
      </c>
      <c r="AV30" s="68">
        <f t="shared" si="0"/>
        <v>75</v>
      </c>
      <c r="AX30" s="70" t="s">
        <v>126</v>
      </c>
    </row>
    <row r="31" spans="2:50" x14ac:dyDescent="0.25">
      <c r="B31" s="18" t="s">
        <v>408</v>
      </c>
      <c r="C31" s="21">
        <f>AN71</f>
        <v>9327212.0162203088</v>
      </c>
      <c r="S31" s="125">
        <f t="shared" si="1"/>
        <v>57</v>
      </c>
      <c r="T31" s="126"/>
      <c r="U31" s="126"/>
      <c r="V31" s="126"/>
      <c r="X31" t="s">
        <v>556</v>
      </c>
      <c r="Y31" s="274" t="s">
        <v>407</v>
      </c>
      <c r="Z31" s="294">
        <f>Balance!V25-Z30</f>
        <v>0</v>
      </c>
      <c r="AA31" s="304">
        <f>Z31/SUM($Z$29:$Z$33)</f>
        <v>0</v>
      </c>
      <c r="AV31" s="68">
        <f t="shared" si="0"/>
        <v>76</v>
      </c>
      <c r="AX31" s="70" t="s">
        <v>127</v>
      </c>
    </row>
    <row r="32" spans="2:50" ht="15.75" thickBot="1" x14ac:dyDescent="0.3">
      <c r="S32" s="125">
        <f t="shared" si="1"/>
        <v>58</v>
      </c>
      <c r="T32" s="126"/>
      <c r="U32" s="126"/>
      <c r="V32" s="126"/>
      <c r="X32" t="s">
        <v>557</v>
      </c>
      <c r="Y32" s="274" t="s">
        <v>143</v>
      </c>
      <c r="Z32" s="284">
        <f>Balance!E12+Balance!E15</f>
        <v>6000000</v>
      </c>
      <c r="AA32" s="304">
        <f>Z32/SUM($Z$29:$Z$33)</f>
        <v>0.8571428571428571</v>
      </c>
      <c r="AV32" s="68">
        <f t="shared" si="0"/>
        <v>77</v>
      </c>
      <c r="AX32" s="71" t="s">
        <v>33</v>
      </c>
    </row>
    <row r="33" spans="2:48" x14ac:dyDescent="0.25">
      <c r="B33" s="299" t="s">
        <v>406</v>
      </c>
      <c r="C33" s="290">
        <f>Balance!E25</f>
        <v>6000000</v>
      </c>
      <c r="S33" s="125">
        <f t="shared" si="1"/>
        <v>59</v>
      </c>
      <c r="T33" s="126">
        <f>2*Montoaproximadodeinversión</f>
        <v>12000000</v>
      </c>
      <c r="U33" s="126"/>
      <c r="V33" s="126"/>
      <c r="X33" t="s">
        <v>554</v>
      </c>
      <c r="Y33" s="274" t="s">
        <v>405</v>
      </c>
      <c r="Z33" s="284">
        <f>Balance!E9</f>
        <v>0</v>
      </c>
      <c r="AA33" s="304">
        <f>Z33/SUM($Z$29:$Z$33)</f>
        <v>0</v>
      </c>
      <c r="AV33" s="68">
        <f t="shared" si="0"/>
        <v>78</v>
      </c>
    </row>
    <row r="34" spans="2:48" x14ac:dyDescent="0.25">
      <c r="B34" t="s">
        <v>404</v>
      </c>
      <c r="C34" s="22">
        <f>( PatrimonioFinancieroActualTotal * ( 1 + TasaReal / 12 ) ^ ( ( EdaddeRetiro - EdadActual ) * 12 ) ) + ( PlanesdeSeguroAcumulación1 * ( 1 + TasaReal / 12 ) ^ ( ( EdaddeRetiro - ( EdadActual ) ) * 12 ) )</f>
        <v>6630749.3748739948</v>
      </c>
      <c r="S34" s="125">
        <f t="shared" si="1"/>
        <v>60</v>
      </c>
      <c r="T34" s="126"/>
      <c r="U34" s="126"/>
      <c r="V34" s="126">
        <f>4*Montoaproximadodeinversión</f>
        <v>24000000</v>
      </c>
      <c r="AV34" s="68">
        <f t="shared" si="0"/>
        <v>79</v>
      </c>
    </row>
    <row r="35" spans="2:48" x14ac:dyDescent="0.25">
      <c r="B35" s="18" t="s">
        <v>403</v>
      </c>
      <c r="C35" s="21">
        <f>PatrimonioFinancieroActualTotalVF</f>
        <v>6630749.3748739948</v>
      </c>
      <c r="D35" t="s">
        <v>402</v>
      </c>
      <c r="S35" s="125">
        <f t="shared" si="1"/>
        <v>61</v>
      </c>
      <c r="T35" s="126"/>
      <c r="U35" s="126"/>
      <c r="V35" s="126"/>
      <c r="AV35" s="68">
        <f t="shared" si="0"/>
        <v>80</v>
      </c>
    </row>
    <row r="36" spans="2:48" x14ac:dyDescent="0.25">
      <c r="S36" s="125">
        <f t="shared" si="1"/>
        <v>62</v>
      </c>
      <c r="T36" s="126"/>
      <c r="U36" s="126">
        <f>4*Montoaproximadodeinversión</f>
        <v>24000000</v>
      </c>
      <c r="V36" s="126"/>
      <c r="AV36" s="68" t="str">
        <f t="shared" si="0"/>
        <v/>
      </c>
    </row>
    <row r="37" spans="2:48" x14ac:dyDescent="0.25">
      <c r="B37" s="299" t="s">
        <v>401</v>
      </c>
      <c r="C37" s="290">
        <f>Balance!AM25</f>
        <v>1000000</v>
      </c>
      <c r="S37" s="125">
        <f t="shared" si="1"/>
        <v>63</v>
      </c>
      <c r="T37" s="126"/>
      <c r="U37" s="126"/>
      <c r="V37" s="126"/>
      <c r="AV37" s="68" t="str">
        <f t="shared" si="0"/>
        <v/>
      </c>
    </row>
    <row r="38" spans="2:48" x14ac:dyDescent="0.25">
      <c r="B38" s="18" t="s">
        <v>400</v>
      </c>
      <c r="C38" s="21">
        <f>C37</f>
        <v>1000000</v>
      </c>
      <c r="S38" s="125">
        <f t="shared" si="1"/>
        <v>64</v>
      </c>
      <c r="T38" s="126"/>
      <c r="U38" s="126"/>
      <c r="V38" s="126"/>
      <c r="AV38" s="68" t="str">
        <f t="shared" si="0"/>
        <v/>
      </c>
    </row>
    <row r="39" spans="2:48" x14ac:dyDescent="0.25">
      <c r="S39" s="125">
        <f t="shared" si="1"/>
        <v>65</v>
      </c>
      <c r="T39" s="126"/>
      <c r="U39" s="126"/>
      <c r="V39" s="126">
        <f>8*Montoaproximadodeinversión</f>
        <v>48000000</v>
      </c>
      <c r="Y39" s="274" t="s">
        <v>399</v>
      </c>
      <c r="Z39" s="303">
        <f>MAX(((Balance!V25+Balance!E25-Balance!V21-Balance!E18)-(Balance!AM9+Balance!AM12+Balance!AM15))/(Balance!V25+Balance!E25-Balance!V21-Balance!E18),0)</f>
        <v>0.8571428571428571</v>
      </c>
      <c r="AA39" s="302">
        <f>MAX(Z41:Z45)</f>
        <v>0.8571428571428571</v>
      </c>
      <c r="AB39" t="str">
        <f>VLOOKUP(AA39,$Z$41:$AA$45,2,0)</f>
        <v>Tienes un nivel de solvencia excelente que te permite apalancarte en tus activos para seguir creciendo tu patrimonio.</v>
      </c>
      <c r="AD39" t="s">
        <v>398</v>
      </c>
      <c r="AV39" s="68" t="str">
        <f t="shared" si="0"/>
        <v/>
      </c>
    </row>
    <row r="40" spans="2:48" x14ac:dyDescent="0.25">
      <c r="B40" s="18" t="s">
        <v>397</v>
      </c>
      <c r="C40" s="282">
        <f>C35-C38</f>
        <v>5630749.3748739948</v>
      </c>
      <c r="S40" s="125">
        <f t="shared" si="1"/>
        <v>66</v>
      </c>
      <c r="T40" s="126"/>
      <c r="U40" s="126"/>
      <c r="V40" s="126"/>
      <c r="Y40" s="114" t="s">
        <v>396</v>
      </c>
      <c r="AV40" s="68" t="str">
        <f t="shared" si="0"/>
        <v/>
      </c>
    </row>
    <row r="41" spans="2:48" x14ac:dyDescent="0.25">
      <c r="S41" s="125">
        <f t="shared" si="1"/>
        <v>67</v>
      </c>
      <c r="T41" s="126"/>
      <c r="U41" s="126"/>
      <c r="V41" s="126"/>
      <c r="Y41" s="274" t="s">
        <v>395</v>
      </c>
      <c r="Z41" s="303">
        <f>IF(AND(Z39&gt;0%,Z39&lt;=30%),Z39,0)</f>
        <v>0</v>
      </c>
      <c r="AA41" t="s">
        <v>529</v>
      </c>
      <c r="AV41" s="68" t="str">
        <f t="shared" si="0"/>
        <v/>
      </c>
    </row>
    <row r="42" spans="2:48" x14ac:dyDescent="0.25">
      <c r="B42" t="s">
        <v>394</v>
      </c>
      <c r="C42" s="282">
        <f>PMT(1%/12,(EdaddeDefunción-EdaddeRetiro)*12,((C40*(1+1%/12)^((EdaddeRetiro-EdadActual)*12))),0,1)*-1</f>
        <v>19997.937396677615</v>
      </c>
      <c r="S42" s="125">
        <f t="shared" si="1"/>
        <v>68</v>
      </c>
      <c r="T42" s="126">
        <f>4*Montoaproximadodeinversión</f>
        <v>24000000</v>
      </c>
      <c r="U42" s="126">
        <f>8*Montoaproximadodeinversión</f>
        <v>48000000</v>
      </c>
      <c r="V42" s="126"/>
      <c r="Y42" s="274" t="s">
        <v>393</v>
      </c>
      <c r="Z42" s="303">
        <f>IF(AND(Z39&gt;30%,Z39&lt;=50%),Z39,0)</f>
        <v>0</v>
      </c>
      <c r="AA42" t="s">
        <v>530</v>
      </c>
      <c r="AV42" s="68" t="str">
        <f t="shared" si="0"/>
        <v/>
      </c>
    </row>
    <row r="43" spans="2:48" x14ac:dyDescent="0.25">
      <c r="S43" s="125">
        <f t="shared" si="1"/>
        <v>69</v>
      </c>
      <c r="T43" s="126"/>
      <c r="U43" s="126"/>
      <c r="V43" s="126"/>
      <c r="Y43" s="274" t="s">
        <v>392</v>
      </c>
      <c r="Z43" s="303">
        <f>IF(AND(Z39&gt;50%,Z39&lt;=70%),Z39,0)</f>
        <v>0</v>
      </c>
      <c r="AA43" t="s">
        <v>527</v>
      </c>
      <c r="AV43" s="68" t="str">
        <f t="shared" si="0"/>
        <v/>
      </c>
    </row>
    <row r="44" spans="2:48" x14ac:dyDescent="0.25">
      <c r="B44" s="299" t="s">
        <v>391</v>
      </c>
      <c r="C44" s="290">
        <f>Balance!N126</f>
        <v>2000000</v>
      </c>
      <c r="S44" s="125">
        <f t="shared" si="1"/>
        <v>70</v>
      </c>
      <c r="T44" s="126"/>
      <c r="U44" s="126"/>
      <c r="V44" s="126"/>
      <c r="Y44" s="274" t="s">
        <v>390</v>
      </c>
      <c r="Z44" s="303">
        <f>IF(Z39&gt;70%,Z39,0)</f>
        <v>0.8571428571428571</v>
      </c>
      <c r="AA44" t="s">
        <v>528</v>
      </c>
      <c r="AV44" s="68" t="str">
        <f t="shared" si="0"/>
        <v/>
      </c>
    </row>
    <row r="45" spans="2:48" x14ac:dyDescent="0.25">
      <c r="B45" s="299" t="s">
        <v>358</v>
      </c>
      <c r="C45" s="300">
        <f>Balance!U124</f>
        <v>77</v>
      </c>
      <c r="D45" s="300" t="s">
        <v>373</v>
      </c>
      <c r="S45" s="125">
        <f t="shared" si="1"/>
        <v>71</v>
      </c>
      <c r="T45" s="126"/>
      <c r="U45" s="126"/>
      <c r="V45" s="126">
        <f>16*Montoaproximadodeinversión</f>
        <v>96000000</v>
      </c>
      <c r="Y45" s="274" t="s">
        <v>389</v>
      </c>
      <c r="Z45" s="302">
        <f>1-Z39</f>
        <v>0.1428571428571429</v>
      </c>
      <c r="AA45" t="s">
        <v>388</v>
      </c>
      <c r="AV45" s="68" t="str">
        <f t="shared" si="0"/>
        <v/>
      </c>
    </row>
    <row r="46" spans="2:48" x14ac:dyDescent="0.25">
      <c r="B46" s="299" t="s">
        <v>359</v>
      </c>
      <c r="C46" s="298">
        <f>IF(Balance!H124="Sí",1,0)</f>
        <v>0</v>
      </c>
      <c r="S46" s="125">
        <f t="shared" si="1"/>
        <v>72</v>
      </c>
      <c r="T46" s="126"/>
      <c r="U46" s="126"/>
      <c r="V46" s="126"/>
      <c r="Z46" s="302"/>
      <c r="AV46" s="68" t="str">
        <f t="shared" si="0"/>
        <v/>
      </c>
    </row>
    <row r="47" spans="2:48" x14ac:dyDescent="0.25">
      <c r="B47" t="s">
        <v>387</v>
      </c>
      <c r="C47" s="22">
        <f>C44 / (1 + TasaReal)^(C45-EdaddeRetiro)*C46</f>
        <v>0</v>
      </c>
      <c r="S47" s="125">
        <f t="shared" si="1"/>
        <v>73</v>
      </c>
      <c r="T47" s="126"/>
      <c r="U47" s="126"/>
      <c r="V47" s="126"/>
      <c r="AV47" s="68" t="str">
        <f t="shared" si="0"/>
        <v/>
      </c>
    </row>
    <row r="48" spans="2:48" x14ac:dyDescent="0.25">
      <c r="B48" s="299" t="s">
        <v>386</v>
      </c>
      <c r="C48" s="290">
        <f>Balance!AL126</f>
        <v>0</v>
      </c>
      <c r="S48" s="125">
        <f t="shared" si="1"/>
        <v>74</v>
      </c>
      <c r="T48" s="126"/>
      <c r="U48" s="126">
        <f>16*Montoaproximadodeinversión</f>
        <v>96000000</v>
      </c>
      <c r="V48" s="126"/>
      <c r="AV48" s="68" t="str">
        <f t="shared" si="0"/>
        <v/>
      </c>
    </row>
    <row r="49" spans="2:48" x14ac:dyDescent="0.25">
      <c r="B49" s="299" t="s">
        <v>358</v>
      </c>
      <c r="C49" s="300">
        <f>Balance!AS124</f>
        <v>65</v>
      </c>
      <c r="D49" s="300" t="s">
        <v>373</v>
      </c>
      <c r="S49" s="125">
        <f t="shared" si="1"/>
        <v>75</v>
      </c>
      <c r="T49" s="126"/>
      <c r="U49" s="126"/>
      <c r="V49" s="126"/>
      <c r="AV49" s="68" t="str">
        <f t="shared" si="0"/>
        <v/>
      </c>
    </row>
    <row r="50" spans="2:48" x14ac:dyDescent="0.25">
      <c r="B50" s="299" t="s">
        <v>359</v>
      </c>
      <c r="C50" s="298">
        <f>IF(Balance!AE124="Sí",1,0)</f>
        <v>1</v>
      </c>
      <c r="S50" s="125">
        <f t="shared" si="1"/>
        <v>76</v>
      </c>
      <c r="T50" s="126"/>
      <c r="U50" s="126"/>
      <c r="V50" s="126">
        <f>32*Montoaproximadodeinversión</f>
        <v>192000000</v>
      </c>
      <c r="AV50" s="68" t="str">
        <f t="shared" si="0"/>
        <v/>
      </c>
    </row>
    <row r="51" spans="2:48" ht="15.75" thickBot="1" x14ac:dyDescent="0.3">
      <c r="B51" t="s">
        <v>385</v>
      </c>
      <c r="C51" s="22">
        <f>C48 / (1 + TasaReal)^(C49-EdaddeRetiro)*C50</f>
        <v>0</v>
      </c>
      <c r="S51" s="125">
        <f t="shared" si="1"/>
        <v>77</v>
      </c>
      <c r="T51" s="126">
        <f>8*Montoaproximadodeinversión</f>
        <v>48000000</v>
      </c>
      <c r="U51" s="126"/>
      <c r="V51" s="126"/>
      <c r="AV51" s="69" t="str">
        <f t="shared" si="0"/>
        <v/>
      </c>
    </row>
    <row r="52" spans="2:48" x14ac:dyDescent="0.25">
      <c r="B52" s="299" t="s">
        <v>384</v>
      </c>
      <c r="C52" s="290">
        <f>Balance!BL126</f>
        <v>1000000</v>
      </c>
      <c r="S52" s="125">
        <f t="shared" si="1"/>
        <v>78</v>
      </c>
      <c r="T52" s="126"/>
      <c r="U52" s="126"/>
      <c r="V52" s="126"/>
    </row>
    <row r="53" spans="2:48" x14ac:dyDescent="0.25">
      <c r="B53" s="299" t="s">
        <v>358</v>
      </c>
      <c r="C53" s="300">
        <f>Balance!BS124</f>
        <v>66</v>
      </c>
      <c r="D53" s="300" t="s">
        <v>373</v>
      </c>
      <c r="S53" s="125">
        <f t="shared" si="1"/>
        <v>79</v>
      </c>
      <c r="T53" s="126"/>
      <c r="U53" s="126"/>
      <c r="V53" s="126"/>
    </row>
    <row r="54" spans="2:48" x14ac:dyDescent="0.25">
      <c r="B54" s="299" t="s">
        <v>359</v>
      </c>
      <c r="C54" s="298">
        <f>IF(Balance!BC124="Sí",1,0)</f>
        <v>0</v>
      </c>
      <c r="S54" s="125">
        <f t="shared" si="1"/>
        <v>80</v>
      </c>
      <c r="T54" s="126"/>
      <c r="U54" s="126">
        <f>32*Montoaproximadodeinversión</f>
        <v>192000000</v>
      </c>
      <c r="V54" s="126"/>
    </row>
    <row r="55" spans="2:48" x14ac:dyDescent="0.25">
      <c r="B55" t="s">
        <v>383</v>
      </c>
      <c r="C55" s="22">
        <f>C52 / (1 + TasaReal)^(C53-EdaddeRetiro)*C54</f>
        <v>0</v>
      </c>
      <c r="S55" s="125">
        <f t="shared" si="1"/>
        <v>81</v>
      </c>
      <c r="T55" s="126"/>
      <c r="U55" s="126"/>
      <c r="V55" s="126">
        <f>64*Montoaproximadodeinversión</f>
        <v>384000000</v>
      </c>
      <c r="Y55" s="114" t="s">
        <v>382</v>
      </c>
    </row>
    <row r="56" spans="2:48" x14ac:dyDescent="0.25">
      <c r="B56" s="299" t="s">
        <v>381</v>
      </c>
      <c r="C56" s="290">
        <f>Balance!CH126</f>
        <v>0</v>
      </c>
      <c r="S56" s="125">
        <f t="shared" si="1"/>
        <v>82</v>
      </c>
      <c r="T56" s="126"/>
      <c r="U56" s="126"/>
      <c r="V56" s="126"/>
      <c r="Z56" t="s">
        <v>380</v>
      </c>
      <c r="AA56" t="s">
        <v>379</v>
      </c>
      <c r="AB56" t="s">
        <v>379</v>
      </c>
    </row>
    <row r="57" spans="2:48" x14ac:dyDescent="0.25">
      <c r="B57" s="299" t="s">
        <v>358</v>
      </c>
      <c r="C57" s="300">
        <f>Balance!CO124</f>
        <v>60</v>
      </c>
      <c r="D57" s="300" t="s">
        <v>373</v>
      </c>
      <c r="S57" s="125">
        <f t="shared" ref="S57:S79" si="2">S56+1</f>
        <v>83</v>
      </c>
      <c r="T57" s="126"/>
      <c r="U57" s="126"/>
      <c r="V57" s="126"/>
      <c r="Y57" t="s">
        <v>378</v>
      </c>
      <c r="Z57" s="60">
        <f>Balance!BW22-Balance!E18-Balance!V21-AA57-AB57</f>
        <v>3500000</v>
      </c>
      <c r="AA57" s="60">
        <f>Balance!AM25</f>
        <v>1000000</v>
      </c>
      <c r="AB57" s="60">
        <f>Balance!Y74</f>
        <v>2500000</v>
      </c>
    </row>
    <row r="58" spans="2:48" x14ac:dyDescent="0.25">
      <c r="B58" s="299" t="s">
        <v>359</v>
      </c>
      <c r="C58" s="298">
        <f>IF(Balance!CC124="Sí",1,0)</f>
        <v>0</v>
      </c>
      <c r="S58" s="125">
        <f t="shared" si="2"/>
        <v>84</v>
      </c>
      <c r="T58" s="126"/>
      <c r="U58" s="126"/>
      <c r="V58" s="126"/>
      <c r="Y58" t="s">
        <v>377</v>
      </c>
      <c r="Z58">
        <v>0</v>
      </c>
      <c r="AA58">
        <v>0</v>
      </c>
      <c r="AB58" s="60">
        <f>'Potencial del balance'!D40</f>
        <v>3500000</v>
      </c>
    </row>
    <row r="59" spans="2:48" x14ac:dyDescent="0.25">
      <c r="B59" t="s">
        <v>376</v>
      </c>
      <c r="C59" s="22">
        <f>C56 / (1 + TasaReal)^(C57-EdaddeRetiro)*C58</f>
        <v>0</v>
      </c>
      <c r="S59" s="125">
        <f t="shared" si="2"/>
        <v>85</v>
      </c>
      <c r="T59" s="126"/>
      <c r="U59" s="126"/>
      <c r="V59" s="126"/>
    </row>
    <row r="60" spans="2:48" x14ac:dyDescent="0.25">
      <c r="B60" s="299" t="s">
        <v>375</v>
      </c>
      <c r="C60" s="290">
        <f>'Entrevista Balance'!G14</f>
        <v>0</v>
      </c>
      <c r="S60" s="125">
        <f t="shared" si="2"/>
        <v>86</v>
      </c>
      <c r="T60" s="126">
        <f>16*Montoaproximadodeinversión</f>
        <v>96000000</v>
      </c>
      <c r="U60" s="126">
        <f>64*Montoaproximadodeinversión</f>
        <v>384000000</v>
      </c>
      <c r="V60" s="126">
        <f>128*Montoaproximadodeinversión</f>
        <v>768000000</v>
      </c>
    </row>
    <row r="61" spans="2:48" x14ac:dyDescent="0.25">
      <c r="B61" s="299" t="s">
        <v>374</v>
      </c>
      <c r="C61" s="301">
        <v>70</v>
      </c>
      <c r="D61" s="300" t="s">
        <v>373</v>
      </c>
      <c r="S61" s="125">
        <f t="shared" si="2"/>
        <v>87</v>
      </c>
      <c r="T61" s="126"/>
      <c r="U61" s="126"/>
      <c r="V61" s="126"/>
      <c r="Y61" s="114" t="s">
        <v>363</v>
      </c>
      <c r="AB61" s="291" t="s">
        <v>362</v>
      </c>
      <c r="AC61" s="290">
        <f>C18</f>
        <v>30000</v>
      </c>
    </row>
    <row r="62" spans="2:48" ht="13.5" customHeight="1" x14ac:dyDescent="0.25">
      <c r="B62" s="299" t="s">
        <v>359</v>
      </c>
      <c r="C62" s="298">
        <f>IF(C60&gt;0,1,0)</f>
        <v>0</v>
      </c>
      <c r="E62" s="297"/>
      <c r="H62" s="297"/>
      <c r="I62" s="297"/>
      <c r="J62" s="297"/>
      <c r="K62" s="297"/>
      <c r="L62" s="297"/>
      <c r="M62" s="297"/>
      <c r="S62" s="125">
        <f t="shared" si="2"/>
        <v>88</v>
      </c>
      <c r="T62" s="126"/>
      <c r="U62" s="126"/>
      <c r="V62" s="126"/>
    </row>
    <row r="63" spans="2:48" ht="13.5" customHeight="1" x14ac:dyDescent="0.25">
      <c r="B63" t="s">
        <v>372</v>
      </c>
      <c r="C63" s="22">
        <f>C60 / (1 + TasaReal)^(C61-EdaddeRetiro)*C62</f>
        <v>0</v>
      </c>
      <c r="S63" s="125">
        <f t="shared" si="2"/>
        <v>89</v>
      </c>
      <c r="T63" s="126"/>
      <c r="U63" s="126"/>
      <c r="V63" s="126"/>
      <c r="X63" s="287" t="s">
        <v>361</v>
      </c>
      <c r="Y63" s="289" t="s">
        <v>360</v>
      </c>
      <c r="Z63" s="287" t="s">
        <v>359</v>
      </c>
      <c r="AA63" s="287" t="s">
        <v>358</v>
      </c>
      <c r="AB63" s="288" t="s">
        <v>357</v>
      </c>
      <c r="AC63" s="288" t="s">
        <v>354</v>
      </c>
      <c r="AE63" s="288" t="s">
        <v>356</v>
      </c>
      <c r="AF63" s="288" t="s">
        <v>355</v>
      </c>
      <c r="AG63" s="288" t="s">
        <v>354</v>
      </c>
      <c r="AH63" s="287" t="s">
        <v>353</v>
      </c>
      <c r="AI63" s="287" t="s">
        <v>352</v>
      </c>
      <c r="AJ63" s="287" t="s">
        <v>351</v>
      </c>
      <c r="AK63" s="287" t="s">
        <v>350</v>
      </c>
      <c r="AL63" s="287" t="s">
        <v>349</v>
      </c>
      <c r="AM63" s="287" t="s">
        <v>348</v>
      </c>
      <c r="AN63" s="287" t="s">
        <v>347</v>
      </c>
      <c r="AO63" s="287" t="s">
        <v>346</v>
      </c>
      <c r="AP63" s="287" t="s">
        <v>345</v>
      </c>
      <c r="AQ63" s="287" t="s">
        <v>344</v>
      </c>
    </row>
    <row r="64" spans="2:48" x14ac:dyDescent="0.25">
      <c r="D64" s="63"/>
      <c r="S64" s="125">
        <f t="shared" si="2"/>
        <v>90</v>
      </c>
      <c r="T64" s="126"/>
      <c r="U64" s="126"/>
      <c r="V64" s="126"/>
      <c r="X64" s="1">
        <f t="shared" ref="X64:X69" si="3">_xlfn.RANK.EQ(AA64,$AA$64:$AA$69,1)</f>
        <v>1</v>
      </c>
      <c r="Y64" t="s">
        <v>343</v>
      </c>
      <c r="Z64" s="286">
        <f>C46</f>
        <v>0</v>
      </c>
      <c r="AA64" s="285">
        <f>Balance!U124*Z64</f>
        <v>0</v>
      </c>
      <c r="AB64" s="284">
        <f>Balance!N126*Z64</f>
        <v>0</v>
      </c>
      <c r="AC64" s="284">
        <f>Balance!O128*Z64</f>
        <v>0</v>
      </c>
      <c r="AE64">
        <v>0</v>
      </c>
      <c r="AF64" s="284">
        <v>0</v>
      </c>
      <c r="AG64" s="284">
        <v>0</v>
      </c>
      <c r="AH64" s="1">
        <f>MAX(EdaddeRetiro,60)</f>
        <v>60</v>
      </c>
      <c r="AI64" s="1">
        <f>IF(AH65&gt;0,AH65,IF(AND(AH65=0,AH66&gt;0),AH66,IF(AND(AH65=0,AH66=0,AH67&gt;0),AH67,IF(AND(AH65=0,AH66=0,AH67=0,AH68&gt;0),AH68,IF(AND(AH65=0,AH66=0,AH67=0,AH68=0,AH69&gt;0),AH69,IF(AND(AH65=0,AH66=0,AH67=0,AH68=0,AH69=0,AH70&gt;0),AH70,EdaddeDefunción))))))</f>
        <v>65</v>
      </c>
      <c r="AJ64" s="1">
        <f t="shared" ref="AJ64:AJ68" si="4">MAX(IF(AH64=0,0,1*AI64-AH64),0)</f>
        <v>5</v>
      </c>
      <c r="AK64" s="1">
        <f>MAX((AH64-EdaddeRetiro)*12,0)</f>
        <v>0</v>
      </c>
      <c r="AL64" s="1">
        <f t="shared" ref="AL64:AL68" si="5">AJ64*12</f>
        <v>60</v>
      </c>
      <c r="AM64" s="63">
        <f>AC61</f>
        <v>30000</v>
      </c>
      <c r="AN64" s="63">
        <f t="shared" ref="AN64:AN70" si="6">IFERROR( AM64 * ((1 - (1 + (TasaReal/12))^(-AL64)) / (TasaReal/12)) * (1 + (TasaReal/12))^-AK64,0)</f>
        <v>1755027.6845804465</v>
      </c>
      <c r="AO64" s="283">
        <f>MAX(EdaddeRetiro,60)</f>
        <v>60</v>
      </c>
      <c r="AP64" s="283">
        <f t="shared" ref="AP64:AP69" si="7">IF(AN64&gt;0,AI64,0)</f>
        <v>65</v>
      </c>
      <c r="AQ64" s="63">
        <f>IF(AN64&gt;0,AM64,0)</f>
        <v>30000</v>
      </c>
    </row>
    <row r="65" spans="2:65" x14ac:dyDescent="0.25">
      <c r="B65" s="18" t="s">
        <v>371</v>
      </c>
      <c r="C65" s="21">
        <f>C47+C51+C55+C59+C63</f>
        <v>0</v>
      </c>
      <c r="S65" s="125">
        <f t="shared" si="2"/>
        <v>91</v>
      </c>
      <c r="T65" s="126"/>
      <c r="U65" s="126"/>
      <c r="V65" s="126">
        <f>256*Montoaproximadodeinversión</f>
        <v>1536000000</v>
      </c>
      <c r="X65" s="1">
        <f t="shared" si="3"/>
        <v>6</v>
      </c>
      <c r="Y65" t="s">
        <v>342</v>
      </c>
      <c r="Z65" s="286">
        <f>C50</f>
        <v>1</v>
      </c>
      <c r="AA65" s="285">
        <f>Balance!AS124*Z65</f>
        <v>65</v>
      </c>
      <c r="AB65" s="284">
        <f>Balance!AL126*Z65</f>
        <v>0</v>
      </c>
      <c r="AC65" s="284">
        <v>0</v>
      </c>
      <c r="AE65" s="283">
        <v>1</v>
      </c>
      <c r="AF65" s="284">
        <f t="shared" ref="AF65:AF70" si="8">SUMIF($X$64:$X$68,AE65,$AB$64:$AB$69)</f>
        <v>0</v>
      </c>
      <c r="AG65" s="284">
        <f t="shared" ref="AG65:AG70" si="9">SUMIF($X$64:$X$69,AE65,$AC$64:$AC$69)</f>
        <v>0</v>
      </c>
      <c r="AH65" s="1">
        <f t="shared" ref="AH65:AH70" si="10">IFERROR(VLOOKUP(AE65,$X$64:$AA$69,4,0),0)</f>
        <v>0</v>
      </c>
      <c r="AI65" s="1">
        <f>IF(AH66&gt;0,AH66,IF(AND(AH66=0,AH67&gt;0),AH67,IF(AND(AH66=0,AH67=0,AH68&gt;0),AH68,IF(AND(AH66=0,AH67=0,AH68=0,AH69&gt;0),AH69,IF(AND(AH66=0,AH67=0,AH68=0,AH69=0,AH70&gt;0),AH70,EdaddeDefunción)))))</f>
        <v>65</v>
      </c>
      <c r="AJ65" s="1">
        <f t="shared" si="4"/>
        <v>0</v>
      </c>
      <c r="AK65" s="1">
        <f t="shared" ref="AK65:AK68" si="11">MAX((AH65-EdaddeRetiro)*12,0)</f>
        <v>0</v>
      </c>
      <c r="AL65" s="1">
        <f t="shared" si="5"/>
        <v>0</v>
      </c>
      <c r="AM65" s="63">
        <f t="shared" ref="AM65:AM70" si="12">AM64+AG65</f>
        <v>30000</v>
      </c>
      <c r="AN65" s="63">
        <f t="shared" si="6"/>
        <v>0</v>
      </c>
      <c r="AO65" s="283">
        <f t="shared" ref="AO65:AO70" si="13">IF(AN65&gt;0,AH65,0)</f>
        <v>0</v>
      </c>
      <c r="AP65" s="283">
        <f t="shared" si="7"/>
        <v>0</v>
      </c>
      <c r="AQ65" s="63">
        <f>IF(AN65&gt;0,AM65,0)</f>
        <v>0</v>
      </c>
    </row>
    <row r="66" spans="2:65" x14ac:dyDescent="0.25">
      <c r="S66" s="125">
        <f t="shared" si="2"/>
        <v>92</v>
      </c>
      <c r="T66" s="126"/>
      <c r="U66" s="126">
        <f>128*Montoaproximadodeinversión</f>
        <v>768000000</v>
      </c>
      <c r="V66" s="126"/>
      <c r="X66" s="1">
        <f t="shared" si="3"/>
        <v>1</v>
      </c>
      <c r="Y66" t="s">
        <v>341</v>
      </c>
      <c r="Z66" s="286">
        <f>C54</f>
        <v>0</v>
      </c>
      <c r="AA66" s="285">
        <f>Balance!BS124*Z66</f>
        <v>0</v>
      </c>
      <c r="AB66" s="284">
        <f>Balance!BL126*Z66</f>
        <v>0</v>
      </c>
      <c r="AC66" s="284">
        <f>Balance!BL128*Z66</f>
        <v>0</v>
      </c>
      <c r="AE66" s="283">
        <v>2</v>
      </c>
      <c r="AF66" s="284">
        <f t="shared" si="8"/>
        <v>0</v>
      </c>
      <c r="AG66" s="284">
        <f t="shared" si="9"/>
        <v>0</v>
      </c>
      <c r="AH66" s="1">
        <f t="shared" si="10"/>
        <v>0</v>
      </c>
      <c r="AI66" s="1">
        <f>IF(AH67&gt;0,AH67,IF(AND(AH67=0,AH68&gt;0),AH68,IF(AND(AH67=0,AH68=0,AH69&gt;0),AH69,IF(AND(AH67=0,AH68=0,AH69=0,AH70&gt;0),AH70,EdaddeDefunción))))</f>
        <v>65</v>
      </c>
      <c r="AJ66" s="1">
        <f t="shared" si="4"/>
        <v>0</v>
      </c>
      <c r="AK66" s="1">
        <f t="shared" si="11"/>
        <v>0</v>
      </c>
      <c r="AL66" s="1">
        <f t="shared" si="5"/>
        <v>0</v>
      </c>
      <c r="AM66" s="63">
        <f t="shared" si="12"/>
        <v>30000</v>
      </c>
      <c r="AN66" s="63">
        <f t="shared" si="6"/>
        <v>0</v>
      </c>
      <c r="AO66" s="283">
        <f t="shared" si="13"/>
        <v>0</v>
      </c>
      <c r="AP66" s="283">
        <f t="shared" si="7"/>
        <v>0</v>
      </c>
      <c r="AQ66" s="63">
        <f t="shared" ref="AQ66:AQ68" si="14">IF(AN66&gt;0,AM66,0)</f>
        <v>0</v>
      </c>
    </row>
    <row r="67" spans="2:65" x14ac:dyDescent="0.25">
      <c r="B67" s="18" t="s">
        <v>370</v>
      </c>
      <c r="C67" s="282">
        <f>C40+C65</f>
        <v>5630749.3748739948</v>
      </c>
      <c r="S67" s="125">
        <f t="shared" si="2"/>
        <v>93</v>
      </c>
      <c r="T67" s="126"/>
      <c r="U67" s="126"/>
      <c r="V67" s="126"/>
      <c r="X67" s="1">
        <f t="shared" si="3"/>
        <v>1</v>
      </c>
      <c r="Y67" t="s">
        <v>340</v>
      </c>
      <c r="Z67" s="286">
        <f>C58</f>
        <v>0</v>
      </c>
      <c r="AA67" s="285">
        <f>Balance!CO124*Z67</f>
        <v>0</v>
      </c>
      <c r="AB67" s="284">
        <f>Balance!CH126*Z67</f>
        <v>0</v>
      </c>
      <c r="AC67" s="284">
        <f>Balance!CH128*Z67</f>
        <v>0</v>
      </c>
      <c r="AE67" s="283">
        <v>3</v>
      </c>
      <c r="AF67" s="284">
        <f t="shared" si="8"/>
        <v>0</v>
      </c>
      <c r="AG67" s="284">
        <f t="shared" si="9"/>
        <v>0</v>
      </c>
      <c r="AH67" s="1">
        <f t="shared" si="10"/>
        <v>0</v>
      </c>
      <c r="AI67" s="1">
        <f>IF(AH68&gt;0,AH68,IF(AND(AH68=0,AH69&gt;0),AH69,IF(AND(AH68=0,AH69=0,AH70&gt;0),AH70,EdaddeDefunción)))</f>
        <v>65</v>
      </c>
      <c r="AJ67" s="1">
        <f t="shared" si="4"/>
        <v>0</v>
      </c>
      <c r="AK67" s="1">
        <f t="shared" si="11"/>
        <v>0</v>
      </c>
      <c r="AL67" s="1">
        <f t="shared" si="5"/>
        <v>0</v>
      </c>
      <c r="AM67" s="63">
        <f t="shared" si="12"/>
        <v>30000</v>
      </c>
      <c r="AN67" s="63">
        <f t="shared" si="6"/>
        <v>0</v>
      </c>
      <c r="AO67" s="283">
        <f t="shared" si="13"/>
        <v>0</v>
      </c>
      <c r="AP67" s="283">
        <f t="shared" si="7"/>
        <v>0</v>
      </c>
      <c r="AQ67" s="63">
        <f t="shared" si="14"/>
        <v>0</v>
      </c>
    </row>
    <row r="68" spans="2:65" ht="14.1" customHeight="1" x14ac:dyDescent="0.25">
      <c r="F68" s="297"/>
      <c r="G68" s="297"/>
      <c r="S68" s="125">
        <f t="shared" si="2"/>
        <v>94</v>
      </c>
      <c r="T68" s="126"/>
      <c r="U68" s="126"/>
      <c r="V68" s="126"/>
      <c r="X68" s="1">
        <f t="shared" si="3"/>
        <v>1</v>
      </c>
      <c r="Y68" t="s">
        <v>339</v>
      </c>
      <c r="Z68" s="286">
        <f>C62</f>
        <v>0</v>
      </c>
      <c r="AA68" s="285">
        <f>C61*Z68</f>
        <v>0</v>
      </c>
      <c r="AB68" s="284">
        <f>C60*Z68</f>
        <v>0</v>
      </c>
      <c r="AC68" s="284">
        <v>0</v>
      </c>
      <c r="AE68" s="283">
        <v>4</v>
      </c>
      <c r="AF68" s="284">
        <f t="shared" si="8"/>
        <v>0</v>
      </c>
      <c r="AG68" s="284">
        <f t="shared" si="9"/>
        <v>0</v>
      </c>
      <c r="AH68" s="1">
        <f t="shared" si="10"/>
        <v>0</v>
      </c>
      <c r="AI68" s="1">
        <f>IF(AH69&gt;0,AH69,IF(AND(AH69=0,AH70&gt;0),AH70,EdaddeDefunción))</f>
        <v>65</v>
      </c>
      <c r="AJ68" s="1">
        <f t="shared" si="4"/>
        <v>0</v>
      </c>
      <c r="AK68" s="1">
        <f t="shared" si="11"/>
        <v>0</v>
      </c>
      <c r="AL68" s="1">
        <f t="shared" si="5"/>
        <v>0</v>
      </c>
      <c r="AM68" s="63">
        <f t="shared" si="12"/>
        <v>30000</v>
      </c>
      <c r="AN68" s="63">
        <f t="shared" si="6"/>
        <v>0</v>
      </c>
      <c r="AO68" s="283">
        <f t="shared" si="13"/>
        <v>0</v>
      </c>
      <c r="AP68" s="283">
        <f t="shared" si="7"/>
        <v>0</v>
      </c>
      <c r="AQ68" s="63">
        <f t="shared" si="14"/>
        <v>0</v>
      </c>
    </row>
    <row r="69" spans="2:65" x14ac:dyDescent="0.25">
      <c r="B69" s="18" t="s">
        <v>368</v>
      </c>
      <c r="C69" s="282">
        <f>C67-C31</f>
        <v>-3696462.641346314</v>
      </c>
      <c r="S69" s="125">
        <f t="shared" si="2"/>
        <v>95</v>
      </c>
      <c r="T69" s="126">
        <f>32*Montoaproximadodeinversión</f>
        <v>192000000</v>
      </c>
      <c r="U69" s="126"/>
      <c r="V69" s="126"/>
      <c r="X69" s="1">
        <f t="shared" si="3"/>
        <v>1</v>
      </c>
      <c r="Y69" t="s">
        <v>473</v>
      </c>
      <c r="Z69" s="286">
        <f>IF(EdaddeRetiro&lt;60,1,0)</f>
        <v>0</v>
      </c>
      <c r="AA69" s="285">
        <f>EdaddeRetiro*Z69</f>
        <v>0</v>
      </c>
      <c r="AB69" s="284">
        <v>0</v>
      </c>
      <c r="AC69" s="284">
        <f>C14*Z69</f>
        <v>0</v>
      </c>
      <c r="AE69" s="283">
        <v>5</v>
      </c>
      <c r="AF69" s="284">
        <f t="shared" si="8"/>
        <v>0</v>
      </c>
      <c r="AG69" s="284">
        <f t="shared" si="9"/>
        <v>0</v>
      </c>
      <c r="AH69" s="1">
        <f t="shared" si="10"/>
        <v>0</v>
      </c>
      <c r="AI69" s="1">
        <f>IF(AH70&gt;0,AH70,EdaddeDefunción)</f>
        <v>65</v>
      </c>
      <c r="AJ69" s="1">
        <f>MAX(IF(AH69=0,0,1*AI69-AH69),0)</f>
        <v>0</v>
      </c>
      <c r="AK69" s="1">
        <f>MAX((AH69-EdaddeRetiro)*12,0)</f>
        <v>0</v>
      </c>
      <c r="AL69" s="1">
        <f>AJ69*12</f>
        <v>0</v>
      </c>
      <c r="AM69" s="63">
        <f t="shared" si="12"/>
        <v>30000</v>
      </c>
      <c r="AN69" s="63">
        <f t="shared" si="6"/>
        <v>0</v>
      </c>
      <c r="AO69" s="283">
        <f t="shared" si="13"/>
        <v>0</v>
      </c>
      <c r="AP69" s="283">
        <f t="shared" si="7"/>
        <v>0</v>
      </c>
      <c r="AQ69" s="63">
        <f>IF(AN69&gt;0,AM69,0)</f>
        <v>0</v>
      </c>
    </row>
    <row r="70" spans="2:65" x14ac:dyDescent="0.25">
      <c r="C70" s="63"/>
      <c r="S70" s="125">
        <f t="shared" si="2"/>
        <v>96</v>
      </c>
      <c r="T70" s="126"/>
      <c r="U70" s="126"/>
      <c r="V70" s="126">
        <f>512*Montoaproximadodeinversión</f>
        <v>3072000000</v>
      </c>
      <c r="AE70" s="283">
        <v>6</v>
      </c>
      <c r="AF70" s="284">
        <f t="shared" si="8"/>
        <v>0</v>
      </c>
      <c r="AG70" s="284">
        <f t="shared" si="9"/>
        <v>0</v>
      </c>
      <c r="AH70" s="1">
        <f t="shared" si="10"/>
        <v>65</v>
      </c>
      <c r="AI70" s="1">
        <f>EdaddeDefunción</f>
        <v>90</v>
      </c>
      <c r="AJ70" s="1">
        <f>MAX(IF(AH70=0,0,1*AI70-AH70),0)</f>
        <v>25</v>
      </c>
      <c r="AK70" s="1">
        <f>MAX((AH70-EdaddeRetiro)*12,0)</f>
        <v>60</v>
      </c>
      <c r="AL70" s="1">
        <f>AJ70*12</f>
        <v>300</v>
      </c>
      <c r="AM70" s="63">
        <f t="shared" si="12"/>
        <v>30000</v>
      </c>
      <c r="AN70" s="63">
        <f t="shared" si="6"/>
        <v>7572184.3316398626</v>
      </c>
      <c r="AO70" s="283">
        <f t="shared" si="13"/>
        <v>65</v>
      </c>
      <c r="AP70" s="283">
        <f t="shared" ref="AP70" si="15">IF(AN70&gt;0,AI70,0)</f>
        <v>90</v>
      </c>
      <c r="AQ70" s="63">
        <f>IF(AN70&gt;0,AM70,0)</f>
        <v>30000</v>
      </c>
    </row>
    <row r="71" spans="2:65" x14ac:dyDescent="0.25">
      <c r="B71" s="18" t="s">
        <v>367</v>
      </c>
      <c r="C71" s="111">
        <f>MAX(-C69 * (TasaReal/12) / ((1 + (TasaReal/12))^(Númerodeperiodosacumulación) - 1),0)</f>
        <v>29302.150652822736</v>
      </c>
      <c r="S71" s="125">
        <f t="shared" si="2"/>
        <v>97</v>
      </c>
      <c r="T71" s="126"/>
      <c r="U71" s="126"/>
      <c r="V71" s="126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>
        <f>SUM(AN64:AN70)</f>
        <v>9327212.0162203088</v>
      </c>
      <c r="AO71" s="63"/>
      <c r="AP71" s="63"/>
      <c r="AQ71" s="63"/>
      <c r="AR71" s="63"/>
      <c r="AS71" s="63"/>
      <c r="AT71" s="63"/>
    </row>
    <row r="72" spans="2:65" x14ac:dyDescent="0.25">
      <c r="S72" s="125">
        <f t="shared" si="2"/>
        <v>98</v>
      </c>
      <c r="T72" s="126"/>
      <c r="U72" s="126">
        <f>256*Montoaproximadodeinversión</f>
        <v>1536000000</v>
      </c>
      <c r="V72" s="126"/>
    </row>
    <row r="73" spans="2:65" x14ac:dyDescent="0.25">
      <c r="S73" s="125">
        <f t="shared" si="2"/>
        <v>99</v>
      </c>
      <c r="T73" s="126"/>
      <c r="U73" s="126"/>
      <c r="V73" s="126"/>
    </row>
    <row r="74" spans="2:65" ht="15.75" x14ac:dyDescent="0.25">
      <c r="B74" s="4" t="s">
        <v>54</v>
      </c>
      <c r="C74" s="1"/>
      <c r="S74" s="125">
        <f t="shared" si="2"/>
        <v>100</v>
      </c>
      <c r="T74" s="126"/>
      <c r="U74" s="126"/>
      <c r="V74" s="126"/>
      <c r="Y74" s="281"/>
      <c r="Z74" s="280">
        <f>EdaddeRetiro</f>
        <v>60</v>
      </c>
      <c r="AA74" s="280">
        <f>EdaddeRetiro+1</f>
        <v>61</v>
      </c>
      <c r="AB74" s="280">
        <f>EdaddeRetiro+2</f>
        <v>62</v>
      </c>
      <c r="AC74" s="280">
        <f>EdaddeRetiro+3</f>
        <v>63</v>
      </c>
      <c r="AD74" s="280">
        <f>EdaddeRetiro+4</f>
        <v>64</v>
      </c>
      <c r="AE74" s="280">
        <f>EdaddeRetiro+5</f>
        <v>65</v>
      </c>
      <c r="AF74" s="280">
        <f>EdaddeRetiro+6</f>
        <v>66</v>
      </c>
      <c r="AG74" s="280">
        <f>EdaddeRetiro+7</f>
        <v>67</v>
      </c>
      <c r="AH74" s="280">
        <f>EdaddeRetiro+8</f>
        <v>68</v>
      </c>
      <c r="AI74" s="280">
        <f>EdaddeRetiro+9</f>
        <v>69</v>
      </c>
      <c r="AJ74" s="280">
        <f>EdaddeRetiro+10</f>
        <v>70</v>
      </c>
      <c r="AK74" s="280">
        <f>EdaddeRetiro+11</f>
        <v>71</v>
      </c>
      <c r="AL74" s="280">
        <f>EdaddeRetiro+12</f>
        <v>72</v>
      </c>
      <c r="AM74" s="280">
        <f>EdaddeRetiro+13</f>
        <v>73</v>
      </c>
      <c r="AN74" s="280">
        <f>EdaddeRetiro+14</f>
        <v>74</v>
      </c>
      <c r="AO74" s="280">
        <f>EdaddeRetiro+15</f>
        <v>75</v>
      </c>
      <c r="AP74" s="280">
        <f>EdaddeRetiro+16</f>
        <v>76</v>
      </c>
      <c r="AQ74" s="280">
        <f>EdaddeRetiro+17</f>
        <v>77</v>
      </c>
      <c r="AR74" s="280">
        <f>EdaddeRetiro+18</f>
        <v>78</v>
      </c>
      <c r="AS74" s="280">
        <f>EdaddeRetiro+19</f>
        <v>79</v>
      </c>
      <c r="AT74" s="280">
        <f>EdaddeRetiro+20</f>
        <v>80</v>
      </c>
      <c r="AU74" s="280">
        <f>EdaddeRetiro+21</f>
        <v>81</v>
      </c>
      <c r="AV74" s="280">
        <f>EdaddeRetiro+22</f>
        <v>82</v>
      </c>
      <c r="AW74" s="280">
        <f>EdaddeRetiro+23</f>
        <v>83</v>
      </c>
      <c r="AX74" s="280">
        <f>EdaddeRetiro+24</f>
        <v>84</v>
      </c>
      <c r="AY74" s="280">
        <f>EdaddeRetiro+25</f>
        <v>85</v>
      </c>
      <c r="AZ74" s="280">
        <f>EdaddeRetiro+26</f>
        <v>86</v>
      </c>
      <c r="BA74" s="280">
        <f>EdaddeRetiro+27</f>
        <v>87</v>
      </c>
      <c r="BB74" s="280">
        <f>EdaddeRetiro+28</f>
        <v>88</v>
      </c>
      <c r="BC74" s="280">
        <f>EdaddeRetiro+29</f>
        <v>89</v>
      </c>
      <c r="BD74" s="280">
        <f>EdaddeRetiro+30</f>
        <v>90</v>
      </c>
      <c r="BE74" s="280">
        <f>EdaddeRetiro+31</f>
        <v>91</v>
      </c>
      <c r="BF74" s="280">
        <f>EdaddeRetiro+32</f>
        <v>92</v>
      </c>
      <c r="BG74" s="280">
        <f>EdaddeRetiro+33</f>
        <v>93</v>
      </c>
      <c r="BH74" s="280">
        <f>EdaddeRetiro+34</f>
        <v>94</v>
      </c>
      <c r="BI74" s="280">
        <f>EdaddeRetiro+35</f>
        <v>95</v>
      </c>
      <c r="BJ74" s="280">
        <f>EdaddeRetiro+36</f>
        <v>96</v>
      </c>
      <c r="BK74" s="280">
        <f>EdaddeRetiro+37</f>
        <v>97</v>
      </c>
      <c r="BL74" s="280">
        <f>EdaddeRetiro+38</f>
        <v>98</v>
      </c>
      <c r="BM74" s="382">
        <f>EdaddeRetiro+39</f>
        <v>99</v>
      </c>
    </row>
    <row r="75" spans="2:65" x14ac:dyDescent="0.25">
      <c r="B75" t="s">
        <v>542</v>
      </c>
      <c r="S75" s="125">
        <f t="shared" si="2"/>
        <v>101</v>
      </c>
      <c r="T75" s="126"/>
      <c r="U75" s="126"/>
      <c r="V75" s="126">
        <f>1024*Montoaproximadodeinversión</f>
        <v>6144000000</v>
      </c>
      <c r="Y75" s="279" t="s">
        <v>343</v>
      </c>
      <c r="Z75" s="278">
        <f>IF(AND(Balance!$U$124='Cálculos y Supuestos Balance'!Z74,Balance!$H$124="Sí"),Balance!$N$126,0)</f>
        <v>0</v>
      </c>
      <c r="AA75" s="63">
        <f>IF(AND(Balance!$U$124='Cálculos y Supuestos Balance'!AA74,Balance!$H$124="Sí"),Balance!$N$126,0)</f>
        <v>0</v>
      </c>
      <c r="AB75" s="63">
        <f>IF(AND(Balance!$U$124='Cálculos y Supuestos Balance'!AB74,Balance!$H$124="Sí"),Balance!$N$126,0)</f>
        <v>0</v>
      </c>
      <c r="AC75" s="63">
        <f>IF(AND(Balance!$U$124='Cálculos y Supuestos Balance'!AC74,Balance!$H$124="Sí"),Balance!$N$126,0)</f>
        <v>0</v>
      </c>
      <c r="AD75" s="63">
        <f>IF(AND(Balance!$U$124='Cálculos y Supuestos Balance'!AD74,Balance!$H$124="Sí"),Balance!$N$126,0)</f>
        <v>0</v>
      </c>
      <c r="AE75" s="63">
        <f>IF(AND(Balance!$U$124='Cálculos y Supuestos Balance'!AE74,Balance!$H$124="Sí"),Balance!$N$126,0)</f>
        <v>0</v>
      </c>
      <c r="AF75" s="63">
        <f>IF(AND(Balance!$U$124='Cálculos y Supuestos Balance'!AF74,Balance!$H$124="Sí"),Balance!$N$126,0)</f>
        <v>0</v>
      </c>
      <c r="AG75" s="63">
        <f>IF(AND(Balance!$U$124='Cálculos y Supuestos Balance'!AG74,Balance!$H$124="Sí"),Balance!$N$126,0)</f>
        <v>0</v>
      </c>
      <c r="AH75" s="63">
        <f>IF(AND(Balance!$U$124='Cálculos y Supuestos Balance'!AH74,Balance!$H$124="Sí"),Balance!$N$126,0)</f>
        <v>0</v>
      </c>
      <c r="AI75" s="63">
        <f>IF(AND(Balance!$U$124='Cálculos y Supuestos Balance'!AI74,Balance!$H$124="Sí"),Balance!$N$126,0)</f>
        <v>0</v>
      </c>
      <c r="AJ75" s="63">
        <f>IF(AND(Balance!$U$124='Cálculos y Supuestos Balance'!AJ74,Balance!$H$124="Sí"),Balance!$N$126,0)</f>
        <v>0</v>
      </c>
      <c r="AK75" s="63">
        <f>IF(AND(Balance!$U$124='Cálculos y Supuestos Balance'!AK74,Balance!$H$124="Sí"),Balance!$N$126,0)</f>
        <v>0</v>
      </c>
      <c r="AL75" s="63">
        <f>IF(AND(Balance!$U$124='Cálculos y Supuestos Balance'!AL74,Balance!$H$124="Sí"),Balance!$N$126,0)</f>
        <v>0</v>
      </c>
      <c r="AM75" s="63">
        <f>IF(AND(Balance!$U$124='Cálculos y Supuestos Balance'!AM74,Balance!$H$124="Sí"),Balance!$N$126,0)</f>
        <v>0</v>
      </c>
      <c r="AN75" s="63">
        <f>IF(AND(Balance!$U$124='Cálculos y Supuestos Balance'!AN74,Balance!$H$124="Sí"),Balance!$N$126,0)</f>
        <v>0</v>
      </c>
      <c r="AO75" s="63">
        <f>IF(AND(Balance!$U$124='Cálculos y Supuestos Balance'!AO74,Balance!$H$124="Sí"),Balance!$N$126,0)</f>
        <v>0</v>
      </c>
      <c r="AP75" s="63">
        <f>IF(AND(Balance!$U$124='Cálculos y Supuestos Balance'!AP74,Balance!$H$124="Sí"),Balance!$N$126,0)</f>
        <v>0</v>
      </c>
      <c r="AQ75" s="63">
        <f>IF(AND(Balance!$U$124='Cálculos y Supuestos Balance'!AQ74,Balance!$H$124="Sí"),Balance!$N$126,0)</f>
        <v>0</v>
      </c>
      <c r="AR75" s="63">
        <f>IF(AND(Balance!$U$124='Cálculos y Supuestos Balance'!AR74,Balance!$H$124="Sí"),Balance!$N$126,0)</f>
        <v>0</v>
      </c>
      <c r="AS75" s="63">
        <f>IF(AND(Balance!$U$124='Cálculos y Supuestos Balance'!AS74,Balance!$H$124="Sí"),Balance!$N$126,0)</f>
        <v>0</v>
      </c>
      <c r="AT75" s="63">
        <f>IF(AND(Balance!$U$124='Cálculos y Supuestos Balance'!AT74,Balance!$H$124="Sí"),Balance!$N$126,0)</f>
        <v>0</v>
      </c>
      <c r="AU75" s="63">
        <f>IF(AND(Balance!$U$124='Cálculos y Supuestos Balance'!AU74,Balance!$H$124="Sí"),Balance!$N$126,0)</f>
        <v>0</v>
      </c>
      <c r="AV75" s="63">
        <f>IF(AND(Balance!$U$124='Cálculos y Supuestos Balance'!AV74,Balance!$H$124="Sí"),Balance!$N$126,0)</f>
        <v>0</v>
      </c>
      <c r="AW75" s="63">
        <f>IF(AND(Balance!$U$124='Cálculos y Supuestos Balance'!AW74,Balance!$H$124="Sí"),Balance!$N$126,0)</f>
        <v>0</v>
      </c>
      <c r="AX75" s="63">
        <f>IF(AND(Balance!$U$124='Cálculos y Supuestos Balance'!AX74,Balance!$H$124="Sí"),Balance!$N$126,0)</f>
        <v>0</v>
      </c>
      <c r="AY75" s="63">
        <f>IF(AND(Balance!$U$124='Cálculos y Supuestos Balance'!AY74,Balance!$H$124="Sí"),Balance!$N$126,0)</f>
        <v>0</v>
      </c>
      <c r="AZ75" s="63">
        <f>IF(AND(Balance!$U$124='Cálculos y Supuestos Balance'!AZ74,Balance!$H$124="Sí"),Balance!$N$126,0)</f>
        <v>0</v>
      </c>
      <c r="BA75" s="63">
        <f>IF(AND(Balance!$U$124='Cálculos y Supuestos Balance'!BA74,Balance!$H$124="Sí"),Balance!$N$126,0)</f>
        <v>0</v>
      </c>
      <c r="BB75" s="63">
        <f>IF(AND(Balance!$U$124='Cálculos y Supuestos Balance'!BB74,Balance!$H$124="Sí"),Balance!$N$126,0)</f>
        <v>0</v>
      </c>
      <c r="BC75" s="63">
        <f>IF(AND(Balance!$U$124='Cálculos y Supuestos Balance'!BC74,Balance!$H$124="Sí"),Balance!$N$126,0)</f>
        <v>0</v>
      </c>
      <c r="BD75" s="63">
        <f>IF(AND(Balance!$U$124='Cálculos y Supuestos Balance'!BD74,Balance!$H$124="Sí"),Balance!$N$126,0)</f>
        <v>0</v>
      </c>
      <c r="BE75" s="63">
        <f>IF(AND(Balance!$U$124='Cálculos y Supuestos Balance'!BE74,Balance!$H$124="Sí"),Balance!$N$126,0)</f>
        <v>0</v>
      </c>
      <c r="BF75" s="63">
        <f>IF(AND(Balance!$U$124='Cálculos y Supuestos Balance'!BF74,Balance!$H$124="Sí"),Balance!$N$126,0)</f>
        <v>0</v>
      </c>
      <c r="BG75" s="63">
        <f>IF(AND(Balance!$U$124='Cálculos y Supuestos Balance'!BG74,Balance!$H$124="Sí"),Balance!$N$126,0)</f>
        <v>0</v>
      </c>
      <c r="BH75" s="63">
        <f>IF(AND(Balance!$U$124='Cálculos y Supuestos Balance'!BH74,Balance!$H$124="Sí"),Balance!$N$126,0)</f>
        <v>0</v>
      </c>
      <c r="BI75" s="63">
        <f>IF(AND(Balance!$U$124='Cálculos y Supuestos Balance'!BI74,Balance!$H$124="Sí"),Balance!$N$126,0)</f>
        <v>0</v>
      </c>
      <c r="BJ75" s="63">
        <f>IF(AND(Balance!$U$124='Cálculos y Supuestos Balance'!BJ74,Balance!$H$124="Sí"),Balance!$N$126,0)</f>
        <v>0</v>
      </c>
      <c r="BK75" s="63">
        <f>IF(AND(Balance!$U$124='Cálculos y Supuestos Balance'!BK74,Balance!$H$124="Sí"),Balance!$N$126,0)</f>
        <v>0</v>
      </c>
      <c r="BL75" s="63">
        <f>IF(AND(Balance!$U$124='Cálculos y Supuestos Balance'!BL74,Balance!$H$124="Sí"),Balance!$N$126,0)</f>
        <v>0</v>
      </c>
      <c r="BM75" s="383">
        <f>IF(AND(Balance!$U$124='Cálculos y Supuestos Balance'!BM74,Balance!$H$124="Sí"),Balance!$N$126,0)</f>
        <v>0</v>
      </c>
    </row>
    <row r="76" spans="2:65" x14ac:dyDescent="0.25">
      <c r="B76" s="6" t="s">
        <v>52</v>
      </c>
      <c r="C76" s="17">
        <f>(Balance!E12/'Entrevista Balance'!G26)/12</f>
        <v>1.6666666666666667</v>
      </c>
      <c r="S76" s="125">
        <f t="shared" si="2"/>
        <v>102</v>
      </c>
      <c r="T76" s="126"/>
      <c r="U76" s="126"/>
      <c r="V76" s="126"/>
      <c r="Y76" s="279" t="s">
        <v>342</v>
      </c>
      <c r="Z76" s="278">
        <f>IF(AND(Balance!$AS$124='Cálculos y Supuestos Balance'!Z74,Balance!$AE$124="Sí"),Balance!$AL$126,0)</f>
        <v>0</v>
      </c>
      <c r="AA76" s="63">
        <f>IF(AND(Balance!$AS$124='Cálculos y Supuestos Balance'!AA74,Balance!$AE$124="Sí"),Balance!$AL$126,0)</f>
        <v>0</v>
      </c>
      <c r="AB76" s="63">
        <f>IF(AND(Balance!$AS$124='Cálculos y Supuestos Balance'!AB74,Balance!$AE$124="Sí"),Balance!$AL$126,0)</f>
        <v>0</v>
      </c>
      <c r="AC76" s="63">
        <f>IF(AND(Balance!$AS$124='Cálculos y Supuestos Balance'!AC74,Balance!$AE$124="Sí"),Balance!$AL$126,0)</f>
        <v>0</v>
      </c>
      <c r="AD76" s="63">
        <f>IF(AND(Balance!$AS$124='Cálculos y Supuestos Balance'!AD74,Balance!$AE$124="Sí"),Balance!$AL$126,0)</f>
        <v>0</v>
      </c>
      <c r="AE76" s="63">
        <f>IF(AND(Balance!$AS$124='Cálculos y Supuestos Balance'!AE74,Balance!$AE$124="Sí"),Balance!$AL$126,0)</f>
        <v>0</v>
      </c>
      <c r="AF76" s="63">
        <f>IF(AND(Balance!$AS$124='Cálculos y Supuestos Balance'!AF74,Balance!$AE$124="Sí"),Balance!$AL$126,0)</f>
        <v>0</v>
      </c>
      <c r="AG76" s="63">
        <f>IF(AND(Balance!$AS$124='Cálculos y Supuestos Balance'!AG74,Balance!$AE$124="Sí"),Balance!$AL$126,0)</f>
        <v>0</v>
      </c>
      <c r="AH76" s="63">
        <f>IF(AND(Balance!$AS$124='Cálculos y Supuestos Balance'!AH74,Balance!$AE$124="Sí"),Balance!$AL$126,0)</f>
        <v>0</v>
      </c>
      <c r="AI76" s="63">
        <f>IF(AND(Balance!$AS$124='Cálculos y Supuestos Balance'!AI74,Balance!$AE$124="Sí"),Balance!$AL$126,0)</f>
        <v>0</v>
      </c>
      <c r="AJ76" s="63">
        <f>IF(AND(Balance!$AS$124='Cálculos y Supuestos Balance'!AJ74,Balance!$AE$124="Sí"),Balance!$AL$126,0)</f>
        <v>0</v>
      </c>
      <c r="AK76" s="63">
        <f>IF(AND(Balance!$AS$124='Cálculos y Supuestos Balance'!AK74,Balance!$AE$124="Sí"),Balance!$AL$126,0)</f>
        <v>0</v>
      </c>
      <c r="AL76" s="63">
        <f>IF(AND(Balance!$AS$124='Cálculos y Supuestos Balance'!AL74,Balance!$AE$124="Sí"),Balance!$AL$126,0)</f>
        <v>0</v>
      </c>
      <c r="AM76" s="63">
        <f>IF(AND(Balance!$AS$124='Cálculos y Supuestos Balance'!AM74,Balance!$AE$124="Sí"),Balance!$AL$126,0)</f>
        <v>0</v>
      </c>
      <c r="AN76" s="63">
        <f>IF(AND(Balance!$AS$124='Cálculos y Supuestos Balance'!AN74,Balance!$AE$124="Sí"),Balance!$AL$126,0)</f>
        <v>0</v>
      </c>
      <c r="AO76" s="63">
        <f>IF(AND(Balance!$AS$124='Cálculos y Supuestos Balance'!AO74,Balance!$AE$124="Sí"),Balance!$AL$126,0)</f>
        <v>0</v>
      </c>
      <c r="AP76" s="63">
        <f>IF(AND(Balance!$AS$124='Cálculos y Supuestos Balance'!AP74,Balance!$AE$124="Sí"),Balance!$AL$126,0)</f>
        <v>0</v>
      </c>
      <c r="AQ76" s="63">
        <f>IF(AND(Balance!$AS$124='Cálculos y Supuestos Balance'!AQ74,Balance!$AE$124="Sí"),Balance!$AL$126,0)</f>
        <v>0</v>
      </c>
      <c r="AR76" s="63">
        <f>IF(AND(Balance!$AS$124='Cálculos y Supuestos Balance'!AR74,Balance!$AE$124="Sí"),Balance!$AL$126,0)</f>
        <v>0</v>
      </c>
      <c r="AS76" s="63">
        <f>IF(AND(Balance!$AS$124='Cálculos y Supuestos Balance'!AS74,Balance!$AE$124="Sí"),Balance!$AL$126,0)</f>
        <v>0</v>
      </c>
      <c r="AT76" s="63">
        <f>IF(AND(Balance!$AS$124='Cálculos y Supuestos Balance'!AT74,Balance!$AE$124="Sí"),Balance!$AL$126,0)</f>
        <v>0</v>
      </c>
      <c r="AU76" s="63">
        <f>IF(AND(Balance!$AS$124='Cálculos y Supuestos Balance'!AU74,Balance!$AE$124="Sí"),Balance!$AL$126,0)</f>
        <v>0</v>
      </c>
      <c r="AV76" s="63">
        <f>IF(AND(Balance!$AS$124='Cálculos y Supuestos Balance'!AV74,Balance!$AE$124="Sí"),Balance!$AL$126,0)</f>
        <v>0</v>
      </c>
      <c r="AW76" s="63">
        <f>IF(AND(Balance!$AS$124='Cálculos y Supuestos Balance'!AW74,Balance!$AE$124="Sí"),Balance!$AL$126,0)</f>
        <v>0</v>
      </c>
      <c r="AX76" s="63">
        <f>IF(AND(Balance!$AS$124='Cálculos y Supuestos Balance'!AX74,Balance!$AE$124="Sí"),Balance!$AL$126,0)</f>
        <v>0</v>
      </c>
      <c r="AY76" s="63">
        <f>IF(AND(Balance!$AS$124='Cálculos y Supuestos Balance'!AY74,Balance!$AE$124="Sí"),Balance!$AL$126,0)</f>
        <v>0</v>
      </c>
      <c r="AZ76" s="63">
        <f>IF(AND(Balance!$AS$124='Cálculos y Supuestos Balance'!AZ74,Balance!$AE$124="Sí"),Balance!$AL$126,0)</f>
        <v>0</v>
      </c>
      <c r="BA76" s="63">
        <f>IF(AND(Balance!$AS$124='Cálculos y Supuestos Balance'!BA74,Balance!$AE$124="Sí"),Balance!$AL$126,0)</f>
        <v>0</v>
      </c>
      <c r="BB76" s="63">
        <f>IF(AND(Balance!$AS$124='Cálculos y Supuestos Balance'!BB74,Balance!$AE$124="Sí"),Balance!$AL$126,0)</f>
        <v>0</v>
      </c>
      <c r="BC76" s="63">
        <f>IF(AND(Balance!$AS$124='Cálculos y Supuestos Balance'!BC74,Balance!$AE$124="Sí"),Balance!$AL$126,0)</f>
        <v>0</v>
      </c>
      <c r="BD76" s="63">
        <f>IF(AND(Balance!$AS$124='Cálculos y Supuestos Balance'!BD74,Balance!$AE$124="Sí"),Balance!$AL$126,0)</f>
        <v>0</v>
      </c>
      <c r="BE76" s="63">
        <f>IF(AND(Balance!$AS$124='Cálculos y Supuestos Balance'!BE74,Balance!$AE$124="Sí"),Balance!$AL$126,0)</f>
        <v>0</v>
      </c>
      <c r="BF76" s="63">
        <f>IF(AND(Balance!$AS$124='Cálculos y Supuestos Balance'!BF74,Balance!$AE$124="Sí"),Balance!$AL$126,0)</f>
        <v>0</v>
      </c>
      <c r="BG76" s="63">
        <f>IF(AND(Balance!$AS$124='Cálculos y Supuestos Balance'!BG74,Balance!$AE$124="Sí"),Balance!$AL$126,0)</f>
        <v>0</v>
      </c>
      <c r="BH76" s="63">
        <f>IF(AND(Balance!$AS$124='Cálculos y Supuestos Balance'!BH74,Balance!$AE$124="Sí"),Balance!$AL$126,0)</f>
        <v>0</v>
      </c>
      <c r="BI76" s="63">
        <f>IF(AND(Balance!$AS$124='Cálculos y Supuestos Balance'!BI74,Balance!$AE$124="Sí"),Balance!$AL$126,0)</f>
        <v>0</v>
      </c>
      <c r="BJ76" s="63">
        <f>IF(AND(Balance!$AS$124='Cálculos y Supuestos Balance'!BJ74,Balance!$AE$124="Sí"),Balance!$AL$126,0)</f>
        <v>0</v>
      </c>
      <c r="BK76" s="63">
        <f>IF(AND(Balance!$AS$124='Cálculos y Supuestos Balance'!BK74,Balance!$AE$124="Sí"),Balance!$AL$126,0)</f>
        <v>0</v>
      </c>
      <c r="BL76" s="63">
        <f>IF(AND(Balance!$AS$124='Cálculos y Supuestos Balance'!BL74,Balance!$AE$124="Sí"),Balance!$AL$126,0)</f>
        <v>0</v>
      </c>
      <c r="BM76" s="383">
        <f>IF(AND(Balance!$AS$124='Cálculos y Supuestos Balance'!BM74,Balance!$AE$124="Sí"),Balance!$AL$126,0)</f>
        <v>0</v>
      </c>
    </row>
    <row r="77" spans="2:65" x14ac:dyDescent="0.25">
      <c r="B77" s="5" t="s">
        <v>90</v>
      </c>
      <c r="C77" s="12" t="str">
        <f>DependientesEconómicos</f>
        <v>Sí</v>
      </c>
      <c r="S77" s="125">
        <f t="shared" si="2"/>
        <v>103</v>
      </c>
      <c r="T77" s="126"/>
      <c r="U77" s="126"/>
      <c r="V77" s="126"/>
      <c r="Y77" s="279" t="s">
        <v>341</v>
      </c>
      <c r="Z77" s="278">
        <f>IF(AND(Balance!$BS$124='Cálculos y Supuestos Balance'!Z74,Balance!$BC$124="Sí"),Balance!$BL$126,0)</f>
        <v>0</v>
      </c>
      <c r="AA77" s="63">
        <f>IF(AND(Balance!$BS$124='Cálculos y Supuestos Balance'!AA74,Balance!$BC$124="Sí"),Balance!$BL$126,0)</f>
        <v>0</v>
      </c>
      <c r="AB77" s="63">
        <f>IF(AND(Balance!$BS$124='Cálculos y Supuestos Balance'!AB74,Balance!$BC$124="Sí"),Balance!$BL$126,0)</f>
        <v>0</v>
      </c>
      <c r="AC77" s="63">
        <f>IF(AND(Balance!$BS$124='Cálculos y Supuestos Balance'!AC74,Balance!$BC$124="Sí"),Balance!$BL$126,0)</f>
        <v>0</v>
      </c>
      <c r="AD77" s="63">
        <f>IF(AND(Balance!$BS$124='Cálculos y Supuestos Balance'!AD74,Balance!$BC$124="Sí"),Balance!$BL$126,0)</f>
        <v>0</v>
      </c>
      <c r="AE77" s="63">
        <f>IF(AND(Balance!$BS$124='Cálculos y Supuestos Balance'!AE74,Balance!$BC$124="Sí"),Balance!$BL$126,0)</f>
        <v>0</v>
      </c>
      <c r="AF77" s="63">
        <f>IF(AND(Balance!$BS$124='Cálculos y Supuestos Balance'!AF74,Balance!$BC$124="Sí"),Balance!$BL$126,0)</f>
        <v>0</v>
      </c>
      <c r="AG77" s="63">
        <f>IF(AND(Balance!$BS$124='Cálculos y Supuestos Balance'!AG74,Balance!$BC$124="Sí"),Balance!$BL$126,0)</f>
        <v>0</v>
      </c>
      <c r="AH77" s="63">
        <f>IF(AND(Balance!$BS$124='Cálculos y Supuestos Balance'!AH74,Balance!$BC$124="Sí"),Balance!$BL$126,0)</f>
        <v>0</v>
      </c>
      <c r="AI77" s="63">
        <f>IF(AND(Balance!$BS$124='Cálculos y Supuestos Balance'!AI74,Balance!$BC$124="Sí"),Balance!$BL$126,0)</f>
        <v>0</v>
      </c>
      <c r="AJ77" s="63">
        <f>IF(AND(Balance!$BS$124='Cálculos y Supuestos Balance'!AJ74,Balance!$BC$124="Sí"),Balance!$BL$126,0)</f>
        <v>0</v>
      </c>
      <c r="AK77" s="63">
        <f>IF(AND(Balance!$BS$124='Cálculos y Supuestos Balance'!AK74,Balance!$BC$124="Sí"),Balance!$BL$126,0)</f>
        <v>0</v>
      </c>
      <c r="AL77" s="63">
        <f>IF(AND(Balance!$BS$124='Cálculos y Supuestos Balance'!AL74,Balance!$BC$124="Sí"),Balance!$BL$126,0)</f>
        <v>0</v>
      </c>
      <c r="AM77" s="63">
        <f>IF(AND(Balance!$BS$124='Cálculos y Supuestos Balance'!AM74,Balance!$BC$124="Sí"),Balance!$BL$126,0)</f>
        <v>0</v>
      </c>
      <c r="AN77" s="63">
        <f>IF(AND(Balance!$BS$124='Cálculos y Supuestos Balance'!AN74,Balance!$BC$124="Sí"),Balance!$BL$126,0)</f>
        <v>0</v>
      </c>
      <c r="AO77" s="63">
        <f>IF(AND(Balance!$BS$124='Cálculos y Supuestos Balance'!AO74,Balance!$BC$124="Sí"),Balance!$BL$126,0)</f>
        <v>0</v>
      </c>
      <c r="AP77" s="63">
        <f>IF(AND(Balance!$BS$124='Cálculos y Supuestos Balance'!AP74,Balance!$BC$124="Sí"),Balance!$BL$126,0)</f>
        <v>0</v>
      </c>
      <c r="AQ77" s="63">
        <f>IF(AND(Balance!$BS$124='Cálculos y Supuestos Balance'!AQ74,Balance!$BC$124="Sí"),Balance!$BL$126,0)</f>
        <v>0</v>
      </c>
      <c r="AR77" s="63">
        <f>IF(AND(Balance!$BS$124='Cálculos y Supuestos Balance'!AR74,Balance!$BC$124="Sí"),Balance!$BL$126,0)</f>
        <v>0</v>
      </c>
      <c r="AS77" s="63">
        <f>IF(AND(Balance!$BS$124='Cálculos y Supuestos Balance'!AS74,Balance!$BC$124="Sí"),Balance!$BL$126,0)</f>
        <v>0</v>
      </c>
      <c r="AT77" s="63">
        <f>IF(AND(Balance!$BS$124='Cálculos y Supuestos Balance'!AT74,Balance!$BC$124="Sí"),Balance!$BL$126,0)</f>
        <v>0</v>
      </c>
      <c r="AU77" s="63">
        <f>IF(AND(Balance!$BS$124='Cálculos y Supuestos Balance'!AU74,Balance!$BC$124="Sí"),Balance!$BL$126,0)</f>
        <v>0</v>
      </c>
      <c r="AV77" s="63">
        <f>IF(AND(Balance!$BS$124='Cálculos y Supuestos Balance'!AV74,Balance!$BC$124="Sí"),Balance!$BL$126,0)</f>
        <v>0</v>
      </c>
      <c r="AW77" s="63">
        <f>IF(AND(Balance!$BS$124='Cálculos y Supuestos Balance'!AW74,Balance!$BC$124="Sí"),Balance!$BL$126,0)</f>
        <v>0</v>
      </c>
      <c r="AX77" s="63">
        <f>IF(AND(Balance!$BS$124='Cálculos y Supuestos Balance'!AX74,Balance!$BC$124="Sí"),Balance!$BL$126,0)</f>
        <v>0</v>
      </c>
      <c r="AY77" s="63">
        <f>IF(AND(Balance!$BS$124='Cálculos y Supuestos Balance'!AY74,Balance!$BC$124="Sí"),Balance!$BL$126,0)</f>
        <v>0</v>
      </c>
      <c r="AZ77" s="63">
        <f>IF(AND(Balance!$BS$124='Cálculos y Supuestos Balance'!AZ74,Balance!$BC$124="Sí"),Balance!$BL$126,0)</f>
        <v>0</v>
      </c>
      <c r="BA77" s="63">
        <f>IF(AND(Balance!$BS$124='Cálculos y Supuestos Balance'!BA74,Balance!$BC$124="Sí"),Balance!$BL$126,0)</f>
        <v>0</v>
      </c>
      <c r="BB77" s="63">
        <f>IF(AND(Balance!$BS$124='Cálculos y Supuestos Balance'!BB74,Balance!$BC$124="Sí"),Balance!$BL$126,0)</f>
        <v>0</v>
      </c>
      <c r="BC77" s="63">
        <f>IF(AND(Balance!$BS$124='Cálculos y Supuestos Balance'!BC74,Balance!$BC$124="Sí"),Balance!$BL$126,0)</f>
        <v>0</v>
      </c>
      <c r="BD77" s="63">
        <f>IF(AND(Balance!$BS$124='Cálculos y Supuestos Balance'!BD74,Balance!$BC$124="Sí"),Balance!$BL$126,0)</f>
        <v>0</v>
      </c>
      <c r="BE77" s="63">
        <f>IF(AND(Balance!$BS$124='Cálculos y Supuestos Balance'!BE74,Balance!$BC$124="Sí"),Balance!$BL$126,0)</f>
        <v>0</v>
      </c>
      <c r="BF77" s="63">
        <f>IF(AND(Balance!$BS$124='Cálculos y Supuestos Balance'!BF74,Balance!$BC$124="Sí"),Balance!$BL$126,0)</f>
        <v>0</v>
      </c>
      <c r="BG77" s="63">
        <f>IF(AND(Balance!$BS$124='Cálculos y Supuestos Balance'!BG74,Balance!$BC$124="Sí"),Balance!$BL$126,0)</f>
        <v>0</v>
      </c>
      <c r="BH77" s="63">
        <f>IF(AND(Balance!$BS$124='Cálculos y Supuestos Balance'!BH74,Balance!$BC$124="Sí"),Balance!$BL$126,0)</f>
        <v>0</v>
      </c>
      <c r="BI77" s="63">
        <f>IF(AND(Balance!$BS$124='Cálculos y Supuestos Balance'!BI74,Balance!$BC$124="Sí"),Balance!$BL$126,0)</f>
        <v>0</v>
      </c>
      <c r="BJ77" s="63">
        <f>IF(AND(Balance!$BS$124='Cálculos y Supuestos Balance'!BJ74,Balance!$BC$124="Sí"),Balance!$BL$126,0)</f>
        <v>0</v>
      </c>
      <c r="BK77" s="63">
        <f>IF(AND(Balance!$BS$124='Cálculos y Supuestos Balance'!BK74,Balance!$BC$124="Sí"),Balance!$BL$126,0)</f>
        <v>0</v>
      </c>
      <c r="BL77" s="63">
        <f>IF(AND(Balance!$BS$124='Cálculos y Supuestos Balance'!BL74,Balance!$BC$124="Sí"),Balance!$BL$126,0)</f>
        <v>0</v>
      </c>
      <c r="BM77" s="383">
        <f>IF(AND(Balance!$BS$124='Cálculos y Supuestos Balance'!BM74,Balance!$BC$124="Sí"),Balance!$BL$126,0)</f>
        <v>0</v>
      </c>
    </row>
    <row r="78" spans="2:65" x14ac:dyDescent="0.25">
      <c r="B78" s="29" t="s">
        <v>42</v>
      </c>
      <c r="C78" s="30">
        <f>IF(C77="No",0,1)</f>
        <v>1</v>
      </c>
      <c r="S78" s="125">
        <f t="shared" si="2"/>
        <v>104</v>
      </c>
      <c r="T78" s="126">
        <f>64*Montoaproximadodeinversión</f>
        <v>384000000</v>
      </c>
      <c r="U78" s="126">
        <f>512*Montoaproximadodeinversión</f>
        <v>3072000000</v>
      </c>
      <c r="V78" s="126"/>
      <c r="Y78" s="279" t="s">
        <v>340</v>
      </c>
      <c r="Z78" s="278">
        <f>IF(AND(Balance!$CO$124='Cálculos y Supuestos Balance'!Z74,Balance!$CC$124="Sí"),Balance!$CH$126,0)</f>
        <v>0</v>
      </c>
      <c r="AA78" s="63">
        <f>IF(AND(Balance!$CO$124='Cálculos y Supuestos Balance'!AA74,Balance!$CC$124="Sí"),Balance!$CH$126,0)</f>
        <v>0</v>
      </c>
      <c r="AB78" s="63">
        <f>IF(AND(Balance!$CO$124='Cálculos y Supuestos Balance'!AB74,Balance!$CC$124="Sí"),Balance!$CH$126,0)</f>
        <v>0</v>
      </c>
      <c r="AC78" s="63">
        <f>IF(AND(Balance!$CO$124='Cálculos y Supuestos Balance'!AC74,Balance!$CC$124="Sí"),Balance!$CH$126,0)</f>
        <v>0</v>
      </c>
      <c r="AD78" s="63">
        <f>IF(AND(Balance!$CO$124='Cálculos y Supuestos Balance'!AD74,Balance!$CC$124="Sí"),Balance!$CH$126,0)</f>
        <v>0</v>
      </c>
      <c r="AE78" s="63">
        <f>IF(AND(Balance!$CO$124='Cálculos y Supuestos Balance'!AE74,Balance!$CC$124="Sí"),Balance!$CH$126,0)</f>
        <v>0</v>
      </c>
      <c r="AF78" s="63">
        <f>IF(AND(Balance!$CO$124='Cálculos y Supuestos Balance'!AF74,Balance!$CC$124="Sí"),Balance!$CH$126,0)</f>
        <v>0</v>
      </c>
      <c r="AG78" s="63">
        <f>IF(AND(Balance!$CO$124='Cálculos y Supuestos Balance'!AG74,Balance!$CC$124="Sí"),Balance!$CH$126,0)</f>
        <v>0</v>
      </c>
      <c r="AH78" s="63">
        <f>IF(AND(Balance!$CO$124='Cálculos y Supuestos Balance'!AH74,Balance!$CC$124="Sí"),Balance!$CH$126,0)</f>
        <v>0</v>
      </c>
      <c r="AI78" s="63">
        <f>IF(AND(Balance!$CO$124='Cálculos y Supuestos Balance'!AI74,Balance!$CC$124="Sí"),Balance!$CH$126,0)</f>
        <v>0</v>
      </c>
      <c r="AJ78" s="63">
        <f>IF(AND(Balance!$CO$124='Cálculos y Supuestos Balance'!AJ74,Balance!$CC$124="Sí"),Balance!$CH$126,0)</f>
        <v>0</v>
      </c>
      <c r="AK78" s="63">
        <f>IF(AND(Balance!$CO$124='Cálculos y Supuestos Balance'!AK74,Balance!$CC$124="Sí"),Balance!$CH$126,0)</f>
        <v>0</v>
      </c>
      <c r="AL78" s="63">
        <f>IF(AND(Balance!$CO$124='Cálculos y Supuestos Balance'!AL74,Balance!$CC$124="Sí"),Balance!$CH$126,0)</f>
        <v>0</v>
      </c>
      <c r="AM78" s="63">
        <f>IF(AND(Balance!$CO$124='Cálculos y Supuestos Balance'!AM74,Balance!$CC$124="Sí"),Balance!$CH$126,0)</f>
        <v>0</v>
      </c>
      <c r="AN78" s="63">
        <f>IF(AND(Balance!$CO$124='Cálculos y Supuestos Balance'!AN74,Balance!$CC$124="Sí"),Balance!$CH$126,0)</f>
        <v>0</v>
      </c>
      <c r="AO78" s="63">
        <f>IF(AND(Balance!$CO$124='Cálculos y Supuestos Balance'!AO74,Balance!$CC$124="Sí"),Balance!$CH$126,0)</f>
        <v>0</v>
      </c>
      <c r="AP78" s="63">
        <f>IF(AND(Balance!$CO$124='Cálculos y Supuestos Balance'!AP74,Balance!$CC$124="Sí"),Balance!$CH$126,0)</f>
        <v>0</v>
      </c>
      <c r="AQ78" s="63">
        <f>IF(AND(Balance!$CO$124='Cálculos y Supuestos Balance'!AQ74,Balance!$CC$124="Sí"),Balance!$CH$126,0)</f>
        <v>0</v>
      </c>
      <c r="AR78" s="63">
        <f>IF(AND(Balance!$CO$124='Cálculos y Supuestos Balance'!AR74,Balance!$CC$124="Sí"),Balance!$CH$126,0)</f>
        <v>0</v>
      </c>
      <c r="AS78" s="63">
        <f>IF(AND(Balance!$CO$124='Cálculos y Supuestos Balance'!AS74,Balance!$CC$124="Sí"),Balance!$CH$126,0)</f>
        <v>0</v>
      </c>
      <c r="AT78" s="63">
        <f>IF(AND(Balance!$CO$124='Cálculos y Supuestos Balance'!AT74,Balance!$CC$124="Sí"),Balance!$CH$126,0)</f>
        <v>0</v>
      </c>
      <c r="AU78" s="63">
        <f>IF(AND(Balance!$CO$124='Cálculos y Supuestos Balance'!AU74,Balance!$CC$124="Sí"),Balance!$CH$126,0)</f>
        <v>0</v>
      </c>
      <c r="AV78" s="63">
        <f>IF(AND(Balance!$CO$124='Cálculos y Supuestos Balance'!AV74,Balance!$CC$124="Sí"),Balance!$CH$126,0)</f>
        <v>0</v>
      </c>
      <c r="AW78" s="63">
        <f>IF(AND(Balance!$CO$124='Cálculos y Supuestos Balance'!AW74,Balance!$CC$124="Sí"),Balance!$CH$126,0)</f>
        <v>0</v>
      </c>
      <c r="AX78" s="63">
        <f>IF(AND(Balance!$CO$124='Cálculos y Supuestos Balance'!AX74,Balance!$CC$124="Sí"),Balance!$CH$126,0)</f>
        <v>0</v>
      </c>
      <c r="AY78" s="63">
        <f>IF(AND(Balance!$CO$124='Cálculos y Supuestos Balance'!AY74,Balance!$CC$124="Sí"),Balance!$CH$126,0)</f>
        <v>0</v>
      </c>
      <c r="AZ78" s="63">
        <f>IF(AND(Balance!$CO$124='Cálculos y Supuestos Balance'!AZ74,Balance!$CC$124="Sí"),Balance!$CH$126,0)</f>
        <v>0</v>
      </c>
      <c r="BA78" s="63">
        <f>IF(AND(Balance!$CO$124='Cálculos y Supuestos Balance'!BA74,Balance!$CC$124="Sí"),Balance!$CH$126,0)</f>
        <v>0</v>
      </c>
      <c r="BB78" s="63">
        <f>IF(AND(Balance!$CO$124='Cálculos y Supuestos Balance'!BB74,Balance!$CC$124="Sí"),Balance!$CH$126,0)</f>
        <v>0</v>
      </c>
      <c r="BC78" s="63">
        <f>IF(AND(Balance!$CO$124='Cálculos y Supuestos Balance'!BC74,Balance!$CC$124="Sí"),Balance!$CH$126,0)</f>
        <v>0</v>
      </c>
      <c r="BD78" s="63">
        <f>IF(AND(Balance!$CO$124='Cálculos y Supuestos Balance'!BD74,Balance!$CC$124="Sí"),Balance!$CH$126,0)</f>
        <v>0</v>
      </c>
      <c r="BE78" s="63">
        <f>IF(AND(Balance!$CO$124='Cálculos y Supuestos Balance'!BE74,Balance!$CC$124="Sí"),Balance!$CH$126,0)</f>
        <v>0</v>
      </c>
      <c r="BF78" s="63">
        <f>IF(AND(Balance!$CO$124='Cálculos y Supuestos Balance'!BF74,Balance!$CC$124="Sí"),Balance!$CH$126,0)</f>
        <v>0</v>
      </c>
      <c r="BG78" s="63">
        <f>IF(AND(Balance!$CO$124='Cálculos y Supuestos Balance'!BG74,Balance!$CC$124="Sí"),Balance!$CH$126,0)</f>
        <v>0</v>
      </c>
      <c r="BH78" s="63">
        <f>IF(AND(Balance!$CO$124='Cálculos y Supuestos Balance'!BH74,Balance!$CC$124="Sí"),Balance!$CH$126,0)</f>
        <v>0</v>
      </c>
      <c r="BI78" s="63">
        <f>IF(AND(Balance!$CO$124='Cálculos y Supuestos Balance'!BI74,Balance!$CC$124="Sí"),Balance!$CH$126,0)</f>
        <v>0</v>
      </c>
      <c r="BJ78" s="63">
        <f>IF(AND(Balance!$CO$124='Cálculos y Supuestos Balance'!BJ74,Balance!$CC$124="Sí"),Balance!$CH$126,0)</f>
        <v>0</v>
      </c>
      <c r="BK78" s="63">
        <f>IF(AND(Balance!$CO$124='Cálculos y Supuestos Balance'!BK74,Balance!$CC$124="Sí"),Balance!$CH$126,0)</f>
        <v>0</v>
      </c>
      <c r="BL78" s="63">
        <f>IF(AND(Balance!$CO$124='Cálculos y Supuestos Balance'!BL74,Balance!$CC$124="Sí"),Balance!$CH$126,0)</f>
        <v>0</v>
      </c>
      <c r="BM78" s="383">
        <f>IF(AND(Balance!$CO$124='Cálculos y Supuestos Balance'!BM74,Balance!$CC$124="Sí"),Balance!$CH$126,0)</f>
        <v>0</v>
      </c>
    </row>
    <row r="79" spans="2:65" x14ac:dyDescent="0.25">
      <c r="B79" s="29" t="s">
        <v>130</v>
      </c>
      <c r="C79" s="31">
        <f>C76</f>
        <v>1.6666666666666667</v>
      </c>
      <c r="S79" s="125">
        <f t="shared" si="2"/>
        <v>105</v>
      </c>
      <c r="T79" s="126"/>
      <c r="U79" s="126"/>
      <c r="V79" s="126"/>
      <c r="Y79" s="279" t="s">
        <v>339</v>
      </c>
      <c r="Z79" s="278">
        <f t="shared" ref="Z79:BM79" si="16">IF(AND($C$62=1,Z74=$C$61),$C$60,0)</f>
        <v>0</v>
      </c>
      <c r="AA79" s="278">
        <f t="shared" si="16"/>
        <v>0</v>
      </c>
      <c r="AB79" s="278">
        <f t="shared" si="16"/>
        <v>0</v>
      </c>
      <c r="AC79" s="278">
        <f t="shared" si="16"/>
        <v>0</v>
      </c>
      <c r="AD79" s="278">
        <f t="shared" si="16"/>
        <v>0</v>
      </c>
      <c r="AE79" s="278">
        <f t="shared" si="16"/>
        <v>0</v>
      </c>
      <c r="AF79" s="278">
        <f t="shared" si="16"/>
        <v>0</v>
      </c>
      <c r="AG79" s="278">
        <f t="shared" si="16"/>
        <v>0</v>
      </c>
      <c r="AH79" s="278">
        <f t="shared" si="16"/>
        <v>0</v>
      </c>
      <c r="AI79" s="278">
        <f t="shared" si="16"/>
        <v>0</v>
      </c>
      <c r="AJ79" s="278">
        <f t="shared" si="16"/>
        <v>0</v>
      </c>
      <c r="AK79" s="278">
        <f t="shared" si="16"/>
        <v>0</v>
      </c>
      <c r="AL79" s="278">
        <f t="shared" si="16"/>
        <v>0</v>
      </c>
      <c r="AM79" s="278">
        <f t="shared" si="16"/>
        <v>0</v>
      </c>
      <c r="AN79" s="278">
        <f t="shared" si="16"/>
        <v>0</v>
      </c>
      <c r="AO79" s="278">
        <f t="shared" si="16"/>
        <v>0</v>
      </c>
      <c r="AP79" s="278">
        <f t="shared" si="16"/>
        <v>0</v>
      </c>
      <c r="AQ79" s="278">
        <f t="shared" si="16"/>
        <v>0</v>
      </c>
      <c r="AR79" s="278">
        <f t="shared" si="16"/>
        <v>0</v>
      </c>
      <c r="AS79" s="278">
        <f t="shared" si="16"/>
        <v>0</v>
      </c>
      <c r="AT79" s="278">
        <f t="shared" si="16"/>
        <v>0</v>
      </c>
      <c r="AU79" s="278">
        <f t="shared" si="16"/>
        <v>0</v>
      </c>
      <c r="AV79" s="278">
        <f t="shared" si="16"/>
        <v>0</v>
      </c>
      <c r="AW79" s="278">
        <f t="shared" si="16"/>
        <v>0</v>
      </c>
      <c r="AX79" s="278">
        <f t="shared" si="16"/>
        <v>0</v>
      </c>
      <c r="AY79" s="278">
        <f t="shared" si="16"/>
        <v>0</v>
      </c>
      <c r="AZ79" s="278">
        <f t="shared" si="16"/>
        <v>0</v>
      </c>
      <c r="BA79" s="278">
        <f t="shared" si="16"/>
        <v>0</v>
      </c>
      <c r="BB79" s="278">
        <f t="shared" si="16"/>
        <v>0</v>
      </c>
      <c r="BC79" s="278">
        <f t="shared" si="16"/>
        <v>0</v>
      </c>
      <c r="BD79" s="278">
        <f t="shared" si="16"/>
        <v>0</v>
      </c>
      <c r="BE79" s="278">
        <f t="shared" si="16"/>
        <v>0</v>
      </c>
      <c r="BF79" s="278">
        <f t="shared" si="16"/>
        <v>0</v>
      </c>
      <c r="BG79" s="278">
        <f t="shared" si="16"/>
        <v>0</v>
      </c>
      <c r="BH79" s="278">
        <f t="shared" si="16"/>
        <v>0</v>
      </c>
      <c r="BI79" s="278">
        <f t="shared" si="16"/>
        <v>0</v>
      </c>
      <c r="BJ79" s="278">
        <f t="shared" si="16"/>
        <v>0</v>
      </c>
      <c r="BK79" s="278">
        <f t="shared" si="16"/>
        <v>0</v>
      </c>
      <c r="BL79" s="278">
        <f t="shared" si="16"/>
        <v>0</v>
      </c>
      <c r="BM79" s="384">
        <f t="shared" si="16"/>
        <v>0</v>
      </c>
    </row>
    <row r="80" spans="2:65" x14ac:dyDescent="0.25">
      <c r="B80" s="6" t="s">
        <v>133</v>
      </c>
      <c r="C80" s="33">
        <f>MAX(IF(C79&lt;3,3-C79,5-C79)*C78,0)</f>
        <v>1.3333333333333333</v>
      </c>
      <c r="D80" s="34" t="s">
        <v>136</v>
      </c>
      <c r="Y80" s="279" t="s">
        <v>369</v>
      </c>
      <c r="Z80" s="278">
        <f t="shared" ref="Z80:BM80" si="17">IF(AND(Z74&gt;=$AO$64,Z74&lt;$AP$64),$AQ$64,IF(AND(Z74&gt;=$AO$65,Z74&lt;$AP$65),$AQ$65,IF(AND(Z74&gt;=$AO$66,Z74&lt;$AP$66),$AQ$66,IF(AND(Z74&gt;=$AO$67,Z74&lt;$AP$67),$AQ$67,IF(AND(Z74&gt;=$AO$68,Z74&lt;$AP$68),$AQ$68,IF(AND(Z74&gt;=$AO$69,Z74&lt;$AP$69),$AQ$69,IF(AND(Z74&gt;=$AO$70,Z74&lt;$AP$70),$AQ$70,0)))))))</f>
        <v>30000</v>
      </c>
      <c r="AA80" s="278">
        <f t="shared" si="17"/>
        <v>30000</v>
      </c>
      <c r="AB80" s="278">
        <f t="shared" si="17"/>
        <v>30000</v>
      </c>
      <c r="AC80" s="63">
        <f t="shared" si="17"/>
        <v>30000</v>
      </c>
      <c r="AD80" s="63">
        <f t="shared" si="17"/>
        <v>30000</v>
      </c>
      <c r="AE80" s="63">
        <f t="shared" si="17"/>
        <v>30000</v>
      </c>
      <c r="AF80" s="63">
        <f t="shared" si="17"/>
        <v>30000</v>
      </c>
      <c r="AG80" s="63">
        <f t="shared" si="17"/>
        <v>30000</v>
      </c>
      <c r="AH80" s="63">
        <f t="shared" si="17"/>
        <v>30000</v>
      </c>
      <c r="AI80" s="63">
        <f t="shared" si="17"/>
        <v>30000</v>
      </c>
      <c r="AJ80" s="63">
        <f t="shared" si="17"/>
        <v>30000</v>
      </c>
      <c r="AK80" s="63">
        <f t="shared" si="17"/>
        <v>30000</v>
      </c>
      <c r="AL80" s="63">
        <f t="shared" si="17"/>
        <v>30000</v>
      </c>
      <c r="AM80" s="63">
        <f t="shared" si="17"/>
        <v>30000</v>
      </c>
      <c r="AN80" s="63">
        <f t="shared" si="17"/>
        <v>30000</v>
      </c>
      <c r="AO80" s="63">
        <f t="shared" si="17"/>
        <v>30000</v>
      </c>
      <c r="AP80" s="63">
        <f t="shared" si="17"/>
        <v>30000</v>
      </c>
      <c r="AQ80" s="63">
        <f t="shared" si="17"/>
        <v>30000</v>
      </c>
      <c r="AR80" s="63">
        <f t="shared" si="17"/>
        <v>30000</v>
      </c>
      <c r="AS80" s="63">
        <f t="shared" si="17"/>
        <v>30000</v>
      </c>
      <c r="AT80" s="63">
        <f t="shared" si="17"/>
        <v>30000</v>
      </c>
      <c r="AU80" s="63">
        <f t="shared" si="17"/>
        <v>30000</v>
      </c>
      <c r="AV80" s="63">
        <f t="shared" si="17"/>
        <v>30000</v>
      </c>
      <c r="AW80" s="63">
        <f t="shared" si="17"/>
        <v>30000</v>
      </c>
      <c r="AX80" s="63">
        <f t="shared" si="17"/>
        <v>30000</v>
      </c>
      <c r="AY80" s="63">
        <f t="shared" si="17"/>
        <v>30000</v>
      </c>
      <c r="AZ80" s="63">
        <f t="shared" si="17"/>
        <v>30000</v>
      </c>
      <c r="BA80" s="63">
        <f t="shared" si="17"/>
        <v>30000</v>
      </c>
      <c r="BB80" s="63">
        <f t="shared" si="17"/>
        <v>30000</v>
      </c>
      <c r="BC80" s="63">
        <f t="shared" si="17"/>
        <v>30000</v>
      </c>
      <c r="BD80" s="63">
        <f t="shared" si="17"/>
        <v>0</v>
      </c>
      <c r="BE80" s="63">
        <f t="shared" si="17"/>
        <v>0</v>
      </c>
      <c r="BF80" s="63">
        <f t="shared" si="17"/>
        <v>0</v>
      </c>
      <c r="BG80" s="63">
        <f t="shared" si="17"/>
        <v>0</v>
      </c>
      <c r="BH80" s="63">
        <f t="shared" si="17"/>
        <v>0</v>
      </c>
      <c r="BI80" s="63">
        <f t="shared" si="17"/>
        <v>0</v>
      </c>
      <c r="BJ80" s="63">
        <f t="shared" si="17"/>
        <v>0</v>
      </c>
      <c r="BK80" s="63">
        <f t="shared" si="17"/>
        <v>0</v>
      </c>
      <c r="BL80" s="63">
        <f t="shared" si="17"/>
        <v>0</v>
      </c>
      <c r="BM80" s="383">
        <f t="shared" si="17"/>
        <v>0</v>
      </c>
    </row>
    <row r="81" spans="2:80" x14ac:dyDescent="0.25">
      <c r="B81" s="6" t="s">
        <v>137</v>
      </c>
      <c r="C81" s="23">
        <f>C80*'Entrevista Balance'!G26*12</f>
        <v>4800000</v>
      </c>
      <c r="D81" s="15"/>
      <c r="Y81" s="279" t="s">
        <v>175</v>
      </c>
      <c r="Z81" s="278">
        <f>Balance!CA133+Z75+Z76+Z77+Z78+Z79</f>
        <v>9327193.0113855563</v>
      </c>
      <c r="AA81" s="63">
        <f t="shared" ref="AA81:BM81" si="18">Z82+AA75+AA76+AA77+AA78+AA79</f>
        <v>9058937.6568000037</v>
      </c>
      <c r="AB81" s="63">
        <f t="shared" si="18"/>
        <v>8787987.4194145072</v>
      </c>
      <c r="AC81" s="63">
        <f t="shared" si="18"/>
        <v>8514315.2265418638</v>
      </c>
      <c r="AD81" s="63">
        <f t="shared" si="18"/>
        <v>8237893.7335237134</v>
      </c>
      <c r="AE81" s="63">
        <f t="shared" si="18"/>
        <v>7958695.3209983269</v>
      </c>
      <c r="AF81" s="63">
        <f t="shared" si="18"/>
        <v>7676692.0921409475</v>
      </c>
      <c r="AG81" s="63">
        <f t="shared" si="18"/>
        <v>7391855.869876408</v>
      </c>
      <c r="AH81" s="63">
        <f t="shared" si="18"/>
        <v>7104158.1940637473</v>
      </c>
      <c r="AI81" s="63">
        <f t="shared" si="18"/>
        <v>6813570.3186525395</v>
      </c>
      <c r="AJ81" s="63">
        <f t="shared" si="18"/>
        <v>6520063.2088106619</v>
      </c>
      <c r="AK81" s="63">
        <f t="shared" si="18"/>
        <v>6223607.5380232036</v>
      </c>
      <c r="AL81" s="63">
        <f t="shared" si="18"/>
        <v>5924173.6851622313</v>
      </c>
      <c r="AM81" s="63">
        <f t="shared" si="18"/>
        <v>5621731.7315271199</v>
      </c>
      <c r="AN81" s="63">
        <f t="shared" si="18"/>
        <v>5316251.4578551473</v>
      </c>
      <c r="AO81" s="63">
        <f t="shared" si="18"/>
        <v>5007702.3413020615</v>
      </c>
      <c r="AP81" s="63">
        <f t="shared" si="18"/>
        <v>4696053.5523923086</v>
      </c>
      <c r="AQ81" s="63">
        <f t="shared" si="18"/>
        <v>4381273.951938631</v>
      </c>
      <c r="AR81" s="63">
        <f t="shared" si="18"/>
        <v>4063332.0879307133</v>
      </c>
      <c r="AS81" s="63">
        <f t="shared" si="18"/>
        <v>3742196.1923925751</v>
      </c>
      <c r="AT81" s="63">
        <f t="shared" si="18"/>
        <v>3417834.1782083907</v>
      </c>
      <c r="AU81" s="63">
        <f t="shared" si="18"/>
        <v>3090213.6359164249</v>
      </c>
      <c r="AV81" s="63">
        <f t="shared" si="18"/>
        <v>2759301.8304707571</v>
      </c>
      <c r="AW81" s="63">
        <f t="shared" si="18"/>
        <v>2425065.697970476</v>
      </c>
      <c r="AX81" s="63">
        <f t="shared" si="18"/>
        <v>2087471.8423560148</v>
      </c>
      <c r="AY81" s="63">
        <f t="shared" si="18"/>
        <v>1746486.532072298</v>
      </c>
      <c r="AZ81" s="63">
        <f t="shared" si="18"/>
        <v>1402075.6966983681</v>
      </c>
      <c r="BA81" s="63">
        <f t="shared" si="18"/>
        <v>1054204.9235431503</v>
      </c>
      <c r="BB81" s="63">
        <f t="shared" si="18"/>
        <v>702839.45420702198</v>
      </c>
      <c r="BC81" s="63">
        <f t="shared" si="18"/>
        <v>347944.18110883707</v>
      </c>
      <c r="BD81" s="63">
        <f t="shared" si="18"/>
        <v>-10516.356021937449</v>
      </c>
      <c r="BE81" s="63">
        <f t="shared" si="18"/>
        <v>-10622.002923209498</v>
      </c>
      <c r="BF81" s="63">
        <f t="shared" si="18"/>
        <v>-10728.711149119579</v>
      </c>
      <c r="BG81" s="63">
        <f t="shared" si="18"/>
        <v>-10836.491361693492</v>
      </c>
      <c r="BH81" s="63">
        <f t="shared" si="18"/>
        <v>-10945.354330067335</v>
      </c>
      <c r="BI81" s="63">
        <f t="shared" si="18"/>
        <v>-11055.310931563525</v>
      </c>
      <c r="BJ81" s="63">
        <f t="shared" si="18"/>
        <v>-11166.372152777632</v>
      </c>
      <c r="BK81" s="63">
        <f t="shared" si="18"/>
        <v>-11278.549090676139</v>
      </c>
      <c r="BL81" s="63">
        <f t="shared" si="18"/>
        <v>-11391.852953705218</v>
      </c>
      <c r="BM81" s="383">
        <f t="shared" si="18"/>
        <v>-11506.295062910653</v>
      </c>
    </row>
    <row r="82" spans="2:80" x14ac:dyDescent="0.25">
      <c r="B82" s="6" t="s">
        <v>86</v>
      </c>
      <c r="C82" s="23">
        <f>IF(C80=0,0,INDEX($BS$94:$CB$102,MATCH(1,$BP$94:$BP$102,0),MATCH(1,$BS$91:$CB$91,0)))</f>
        <v>75265</v>
      </c>
      <c r="D82" s="34"/>
      <c r="Y82" s="293" t="s">
        <v>179</v>
      </c>
      <c r="Z82" s="292">
        <f t="shared" ref="Z82:BM82" si="19">(Z81 * (1 + (TasaReal/12))^12) - ( ( Z80 ) * ( (1 + (TasaReal/12))^12 - 1) / (TasaReal/12) * (1 + (TasaReal/12)))</f>
        <v>9058937.6568000037</v>
      </c>
      <c r="AA82" s="292">
        <f t="shared" si="19"/>
        <v>8787987.4194145072</v>
      </c>
      <c r="AB82" s="292">
        <f t="shared" si="19"/>
        <v>8514315.2265418638</v>
      </c>
      <c r="AC82" s="292">
        <f t="shared" si="19"/>
        <v>8237893.7335237134</v>
      </c>
      <c r="AD82" s="292">
        <f t="shared" si="19"/>
        <v>7958695.3209983269</v>
      </c>
      <c r="AE82" s="292">
        <f t="shared" si="19"/>
        <v>7676692.0921409475</v>
      </c>
      <c r="AF82" s="292">
        <f t="shared" si="19"/>
        <v>7391855.869876408</v>
      </c>
      <c r="AG82" s="292">
        <f t="shared" si="19"/>
        <v>7104158.1940637473</v>
      </c>
      <c r="AH82" s="292">
        <f t="shared" si="19"/>
        <v>6813570.3186525395</v>
      </c>
      <c r="AI82" s="292">
        <f t="shared" si="19"/>
        <v>6520063.2088106619</v>
      </c>
      <c r="AJ82" s="292">
        <f t="shared" si="19"/>
        <v>6223607.5380232036</v>
      </c>
      <c r="AK82" s="292">
        <f t="shared" si="19"/>
        <v>5924173.6851622313</v>
      </c>
      <c r="AL82" s="292">
        <f t="shared" si="19"/>
        <v>5621731.7315271199</v>
      </c>
      <c r="AM82" s="292">
        <f t="shared" si="19"/>
        <v>5316251.4578551473</v>
      </c>
      <c r="AN82" s="292">
        <f t="shared" si="19"/>
        <v>5007702.3413020615</v>
      </c>
      <c r="AO82" s="292">
        <f t="shared" si="19"/>
        <v>4696053.5523923086</v>
      </c>
      <c r="AP82" s="292">
        <f t="shared" si="19"/>
        <v>4381273.951938631</v>
      </c>
      <c r="AQ82" s="292">
        <f t="shared" si="19"/>
        <v>4063332.0879307133</v>
      </c>
      <c r="AR82" s="292">
        <f t="shared" si="19"/>
        <v>3742196.1923925751</v>
      </c>
      <c r="AS82" s="292">
        <f t="shared" si="19"/>
        <v>3417834.1782083907</v>
      </c>
      <c r="AT82" s="292">
        <f t="shared" si="19"/>
        <v>3090213.6359164249</v>
      </c>
      <c r="AU82" s="292">
        <f t="shared" si="19"/>
        <v>2759301.8304707571</v>
      </c>
      <c r="AV82" s="292">
        <f t="shared" si="19"/>
        <v>2425065.697970476</v>
      </c>
      <c r="AW82" s="292">
        <f t="shared" si="19"/>
        <v>2087471.8423560148</v>
      </c>
      <c r="AX82" s="292">
        <f t="shared" si="19"/>
        <v>1746486.532072298</v>
      </c>
      <c r="AY82" s="292">
        <f t="shared" si="19"/>
        <v>1402075.6966983681</v>
      </c>
      <c r="AZ82" s="292">
        <f t="shared" si="19"/>
        <v>1054204.9235431503</v>
      </c>
      <c r="BA82" s="292">
        <f t="shared" si="19"/>
        <v>702839.45420702198</v>
      </c>
      <c r="BB82" s="292">
        <f t="shared" si="19"/>
        <v>347944.18110883707</v>
      </c>
      <c r="BC82" s="292">
        <f t="shared" si="19"/>
        <v>-10516.356021937449</v>
      </c>
      <c r="BD82" s="292">
        <f t="shared" si="19"/>
        <v>-10622.002923209498</v>
      </c>
      <c r="BE82" s="292">
        <f t="shared" si="19"/>
        <v>-10728.711149119579</v>
      </c>
      <c r="BF82" s="292">
        <f t="shared" si="19"/>
        <v>-10836.491361693492</v>
      </c>
      <c r="BG82" s="292">
        <f t="shared" si="19"/>
        <v>-10945.354330067335</v>
      </c>
      <c r="BH82" s="292">
        <f t="shared" si="19"/>
        <v>-11055.310931563525</v>
      </c>
      <c r="BI82" s="292">
        <f t="shared" si="19"/>
        <v>-11166.372152777632</v>
      </c>
      <c r="BJ82" s="292">
        <f t="shared" si="19"/>
        <v>-11278.549090676139</v>
      </c>
      <c r="BK82" s="292">
        <f t="shared" si="19"/>
        <v>-11391.852953705218</v>
      </c>
      <c r="BL82" s="292">
        <f t="shared" si="19"/>
        <v>-11506.295062910653</v>
      </c>
      <c r="BM82" s="385">
        <f t="shared" si="19"/>
        <v>-11621.886853069012</v>
      </c>
    </row>
    <row r="83" spans="2:80" x14ac:dyDescent="0.25">
      <c r="B83" t="s">
        <v>543</v>
      </c>
    </row>
    <row r="84" spans="2:80" x14ac:dyDescent="0.25">
      <c r="B84" s="6" t="s">
        <v>137</v>
      </c>
      <c r="C84" s="23">
        <f>IFERROR(VLOOKUP(1,$R$111:$S$128,2,0),0)</f>
        <v>0</v>
      </c>
    </row>
    <row r="85" spans="2:80" x14ac:dyDescent="0.25">
      <c r="B85" s="6" t="s">
        <v>86</v>
      </c>
      <c r="C85" s="23">
        <f>IFERROR(VLOOKUP(1,$R$111:$T$128,3,0),0)</f>
        <v>0</v>
      </c>
      <c r="Y85" t="s">
        <v>366</v>
      </c>
      <c r="Z85" s="284">
        <f>IF(SUM($Z75:Z$75)&gt;0,1,0)</f>
        <v>0</v>
      </c>
      <c r="AA85" s="284">
        <f>IF(SUM($Z75:AA$75)&gt;0,1,0)</f>
        <v>0</v>
      </c>
      <c r="AB85" s="284">
        <f>IF(SUM($Z75:AB$75)&gt;0,1,0)</f>
        <v>0</v>
      </c>
      <c r="AC85" s="284">
        <f>IF(SUM($Z75:AC$75)&gt;0,1,0)</f>
        <v>0</v>
      </c>
      <c r="AD85" s="284">
        <f>IF(SUM($Z75:AD$75)&gt;0,1,0)</f>
        <v>0</v>
      </c>
      <c r="AE85" s="284">
        <f>IF(SUM($Z75:AE$75)&gt;0,1,0)</f>
        <v>0</v>
      </c>
      <c r="AF85" s="284">
        <f>IF(SUM($Z75:AF$75)&gt;0,1,0)</f>
        <v>0</v>
      </c>
      <c r="AG85" s="284">
        <f>IF(SUM($Z75:AG$75)&gt;0,1,0)</f>
        <v>0</v>
      </c>
      <c r="AH85" s="284">
        <f>IF(SUM($Z75:AH$75)&gt;0,1,0)</f>
        <v>0</v>
      </c>
      <c r="AI85" s="284">
        <f>IF(SUM($Z75:AI$75)&gt;0,1,0)</f>
        <v>0</v>
      </c>
      <c r="AJ85" s="284">
        <f>IF(SUM($Z75:AJ$75)&gt;0,1,0)</f>
        <v>0</v>
      </c>
      <c r="AK85" s="284">
        <f>IF(SUM($Z75:AK$75)&gt;0,1,0)</f>
        <v>0</v>
      </c>
      <c r="AL85" s="284">
        <f>IF(SUM($Z75:AL$75)&gt;0,1,0)</f>
        <v>0</v>
      </c>
      <c r="AM85" s="284">
        <f>IF(SUM($Z75:AM$75)&gt;0,1,0)</f>
        <v>0</v>
      </c>
      <c r="AN85" s="284">
        <f>IF(SUM($Z75:AN$75)&gt;0,1,0)</f>
        <v>0</v>
      </c>
      <c r="AO85" s="284">
        <f>IF(SUM($Z75:AO$75)&gt;0,1,0)</f>
        <v>0</v>
      </c>
      <c r="AP85" s="284">
        <f>IF(SUM($Z75:AP$75)&gt;0,1,0)</f>
        <v>0</v>
      </c>
      <c r="AQ85" s="284">
        <f>IF(SUM($Z75:AQ$75)&gt;0,1,0)</f>
        <v>0</v>
      </c>
      <c r="AR85" s="284">
        <f>IF(SUM($Z75:AR$75)&gt;0,1,0)</f>
        <v>0</v>
      </c>
      <c r="AS85" s="284">
        <f>IF(SUM($Z75:AS$75)&gt;0,1,0)</f>
        <v>0</v>
      </c>
      <c r="AT85" s="284">
        <f>IF(SUM($Z75:AT$75)&gt;0,1,0)</f>
        <v>0</v>
      </c>
      <c r="AU85" s="284">
        <f>IF(SUM($Z75:AU$75)&gt;0,1,0)</f>
        <v>0</v>
      </c>
      <c r="AV85" s="284">
        <f>IF(SUM($Z75:AV$75)&gt;0,1,0)</f>
        <v>0</v>
      </c>
      <c r="AW85" s="284">
        <f>IF(SUM($Z75:AW$75)&gt;0,1,0)</f>
        <v>0</v>
      </c>
      <c r="AX85" s="284">
        <f>IF(SUM($Z75:AX$75)&gt;0,1,0)</f>
        <v>0</v>
      </c>
      <c r="AY85" s="284">
        <f>IF(SUM($Z75:AY$75)&gt;0,1,0)</f>
        <v>0</v>
      </c>
      <c r="AZ85" s="284">
        <f>IF(SUM($Z75:AZ$75)&gt;0,1,0)</f>
        <v>0</v>
      </c>
      <c r="BA85" s="284">
        <f>IF(SUM($Z75:BA$75)&gt;0,1,0)</f>
        <v>0</v>
      </c>
      <c r="BB85" s="284">
        <f>IF(SUM($Z75:BB$75)&gt;0,1,0)</f>
        <v>0</v>
      </c>
      <c r="BC85" s="284">
        <f>IF(SUM($Z75:BC$75)&gt;0,1,0)</f>
        <v>0</v>
      </c>
      <c r="BD85" s="284">
        <f>IF(SUM($Z75:BD$75)&gt;0,1,0)</f>
        <v>0</v>
      </c>
      <c r="BE85" s="284">
        <f>IF(SUM($Z75:BE$75)&gt;0,1,0)</f>
        <v>0</v>
      </c>
      <c r="BF85" s="284">
        <f>IF(SUM($Z75:BF$75)&gt;0,1,0)</f>
        <v>0</v>
      </c>
      <c r="BG85" s="284">
        <f>IF(SUM($Z75:BG$75)&gt;0,1,0)</f>
        <v>0</v>
      </c>
      <c r="BH85" s="284">
        <f>IF(SUM($Z75:BH$75)&gt;0,1,0)</f>
        <v>0</v>
      </c>
      <c r="BI85" s="284">
        <f>IF(SUM($Z75:BI$75)&gt;0,1,0)</f>
        <v>0</v>
      </c>
      <c r="BJ85" s="284">
        <f>IF(SUM($Z75:BJ$75)&gt;0,1,0)</f>
        <v>0</v>
      </c>
      <c r="BK85" s="284">
        <f>IF(SUM($Z75:BK$75)&gt;0,1,0)</f>
        <v>0</v>
      </c>
      <c r="BL85" s="284">
        <f>IF(SUM($Z75:BL$75)&gt;0,1,0)</f>
        <v>0</v>
      </c>
      <c r="BM85" s="284">
        <f>IF(SUM($Z75:BM$75)&gt;0,1,0)</f>
        <v>0</v>
      </c>
    </row>
    <row r="86" spans="2:80" x14ac:dyDescent="0.25">
      <c r="B86" t="s">
        <v>546</v>
      </c>
      <c r="Y86" t="s">
        <v>365</v>
      </c>
      <c r="Z86" s="284">
        <f>IF(SUM($Z77:Z$77)&gt;0,1,0)</f>
        <v>0</v>
      </c>
      <c r="AA86" s="284">
        <f>IF(SUM($Z77:AA$77)&gt;0,1,0)</f>
        <v>0</v>
      </c>
      <c r="AB86" s="284">
        <f>IF(SUM($Z77:AB$77)&gt;0,1,0)</f>
        <v>0</v>
      </c>
      <c r="AC86" s="284">
        <f>IF(SUM($Z77:AC$77)&gt;0,1,0)</f>
        <v>0</v>
      </c>
      <c r="AD86" s="284">
        <f>IF(SUM($Z77:AD$77)&gt;0,1,0)</f>
        <v>0</v>
      </c>
      <c r="AE86" s="284">
        <f>IF(SUM($Z77:AE$77)&gt;0,1,0)</f>
        <v>0</v>
      </c>
      <c r="AF86" s="284">
        <f>IF(SUM($Z77:AF$77)&gt;0,1,0)</f>
        <v>0</v>
      </c>
      <c r="AG86" s="284">
        <f>IF(SUM($Z77:AG$77)&gt;0,1,0)</f>
        <v>0</v>
      </c>
      <c r="AH86" s="284">
        <f>IF(SUM($Z77:AH$77)&gt;0,1,0)</f>
        <v>0</v>
      </c>
      <c r="AI86" s="284">
        <f>IF(SUM($Z77:AI$77)&gt;0,1,0)</f>
        <v>0</v>
      </c>
      <c r="AJ86" s="284">
        <f>IF(SUM($Z77:AJ$77)&gt;0,1,0)</f>
        <v>0</v>
      </c>
      <c r="AK86" s="284">
        <f>IF(SUM($Z77:AK$77)&gt;0,1,0)</f>
        <v>0</v>
      </c>
      <c r="AL86" s="284">
        <f>IF(SUM($Z77:AL$77)&gt;0,1,0)</f>
        <v>0</v>
      </c>
      <c r="AM86" s="284">
        <f>IF(SUM($Z77:AM$77)&gt;0,1,0)</f>
        <v>0</v>
      </c>
      <c r="AN86" s="284">
        <f>IF(SUM($Z77:AN$77)&gt;0,1,0)</f>
        <v>0</v>
      </c>
      <c r="AO86" s="284">
        <f>IF(SUM($Z77:AO$77)&gt;0,1,0)</f>
        <v>0</v>
      </c>
      <c r="AP86" s="284">
        <f>IF(SUM($Z77:AP$77)&gt;0,1,0)</f>
        <v>0</v>
      </c>
      <c r="AQ86" s="284">
        <f>IF(SUM($Z77:AQ$77)&gt;0,1,0)</f>
        <v>0</v>
      </c>
      <c r="AR86" s="284">
        <f>IF(SUM($Z77:AR$77)&gt;0,1,0)</f>
        <v>0</v>
      </c>
      <c r="AS86" s="284">
        <f>IF(SUM($Z77:AS$77)&gt;0,1,0)</f>
        <v>0</v>
      </c>
      <c r="AT86" s="284">
        <f>IF(SUM($Z77:AT$77)&gt;0,1,0)</f>
        <v>0</v>
      </c>
      <c r="AU86" s="284">
        <f>IF(SUM($Z77:AU$77)&gt;0,1,0)</f>
        <v>0</v>
      </c>
      <c r="AV86" s="284">
        <f>IF(SUM($Z77:AV$77)&gt;0,1,0)</f>
        <v>0</v>
      </c>
      <c r="AW86" s="284">
        <f>IF(SUM($Z77:AW$77)&gt;0,1,0)</f>
        <v>0</v>
      </c>
      <c r="AX86" s="284">
        <f>IF(SUM($Z77:AX$77)&gt;0,1,0)</f>
        <v>0</v>
      </c>
      <c r="AY86" s="284">
        <f>IF(SUM($Z77:AY$77)&gt;0,1,0)</f>
        <v>0</v>
      </c>
      <c r="AZ86" s="284">
        <f>IF(SUM($Z77:AZ$77)&gt;0,1,0)</f>
        <v>0</v>
      </c>
      <c r="BA86" s="284">
        <f>IF(SUM($Z77:BA$77)&gt;0,1,0)</f>
        <v>0</v>
      </c>
      <c r="BB86" s="284">
        <f>IF(SUM($Z77:BB$77)&gt;0,1,0)</f>
        <v>0</v>
      </c>
      <c r="BC86" s="284">
        <f>IF(SUM($Z77:BC$77)&gt;0,1,0)</f>
        <v>0</v>
      </c>
      <c r="BD86" s="284">
        <f>IF(SUM($Z77:BD$77)&gt;0,1,0)</f>
        <v>0</v>
      </c>
      <c r="BE86" s="284">
        <f>IF(SUM($Z77:BE$77)&gt;0,1,0)</f>
        <v>0</v>
      </c>
      <c r="BF86" s="284">
        <f>IF(SUM($Z77:BF$77)&gt;0,1,0)</f>
        <v>0</v>
      </c>
      <c r="BG86" s="284">
        <f>IF(SUM($Z77:BG$77)&gt;0,1,0)</f>
        <v>0</v>
      </c>
      <c r="BH86" s="284">
        <f>IF(SUM($Z77:BH$77)&gt;0,1,0)</f>
        <v>0</v>
      </c>
      <c r="BI86" s="284">
        <f>IF(SUM($Z77:BI$77)&gt;0,1,0)</f>
        <v>0</v>
      </c>
      <c r="BJ86" s="284">
        <f>IF(SUM($Z77:BJ$77)&gt;0,1,0)</f>
        <v>0</v>
      </c>
      <c r="BK86" s="284">
        <f>IF(SUM($Z77:BK$77)&gt;0,1,0)</f>
        <v>0</v>
      </c>
      <c r="BL86" s="284">
        <f>IF(SUM($Z77:BL$77)&gt;0,1,0)</f>
        <v>0</v>
      </c>
      <c r="BM86" s="284">
        <f>IF(SUM($Z77:BM$77)&gt;0,1,0)</f>
        <v>0</v>
      </c>
    </row>
    <row r="87" spans="2:80" x14ac:dyDescent="0.25">
      <c r="B87" s="6" t="s">
        <v>137</v>
      </c>
      <c r="C87" s="23">
        <f>IFERROR(VLOOKUP(1,$R$133:$S$150,2,0),0)</f>
        <v>1500000</v>
      </c>
      <c r="Y87" t="s">
        <v>364</v>
      </c>
      <c r="Z87" s="284">
        <f>IF(SUM($Z$78:Z78)&gt;0,1,0)</f>
        <v>0</v>
      </c>
      <c r="AA87" s="284">
        <f>IF(SUM($Z$78:AA78)&gt;0,1,0)</f>
        <v>0</v>
      </c>
      <c r="AB87" s="284">
        <f>IF(SUM($Z$78:AB78)&gt;0,1,0)</f>
        <v>0</v>
      </c>
      <c r="AC87" s="284">
        <f>IF(SUM($Z$78:AC78)&gt;0,1,0)</f>
        <v>0</v>
      </c>
      <c r="AD87" s="284">
        <f>IF(SUM($Z$78:AD78)&gt;0,1,0)</f>
        <v>0</v>
      </c>
      <c r="AE87" s="284">
        <f>IF(SUM($Z$78:AE78)&gt;0,1,0)</f>
        <v>0</v>
      </c>
      <c r="AF87" s="284">
        <f>IF(SUM($Z$78:AF78)&gt;0,1,0)</f>
        <v>0</v>
      </c>
      <c r="AG87" s="284">
        <f>IF(SUM($Z$78:AG78)&gt;0,1,0)</f>
        <v>0</v>
      </c>
      <c r="AH87" s="284">
        <f>IF(SUM($Z$78:AH78)&gt;0,1,0)</f>
        <v>0</v>
      </c>
      <c r="AI87" s="284">
        <f>IF(SUM($Z$78:AI78)&gt;0,1,0)</f>
        <v>0</v>
      </c>
      <c r="AJ87" s="284">
        <f>IF(SUM($Z$78:AJ78)&gt;0,1,0)</f>
        <v>0</v>
      </c>
      <c r="AK87" s="284">
        <f>IF(SUM($Z$78:AK78)&gt;0,1,0)</f>
        <v>0</v>
      </c>
      <c r="AL87" s="284">
        <f>IF(SUM($Z$78:AL78)&gt;0,1,0)</f>
        <v>0</v>
      </c>
      <c r="AM87" s="284">
        <f>IF(SUM($Z$78:AM78)&gt;0,1,0)</f>
        <v>0</v>
      </c>
      <c r="AN87" s="284">
        <f>IF(SUM($Z$78:AN78)&gt;0,1,0)</f>
        <v>0</v>
      </c>
      <c r="AO87" s="284">
        <f>IF(SUM($Z$78:AO78)&gt;0,1,0)</f>
        <v>0</v>
      </c>
      <c r="AP87" s="284">
        <f>IF(SUM($Z$78:AP78)&gt;0,1,0)</f>
        <v>0</v>
      </c>
      <c r="AQ87" s="284">
        <f>IF(SUM($Z$78:AQ78)&gt;0,1,0)</f>
        <v>0</v>
      </c>
      <c r="AR87" s="284">
        <f>IF(SUM($Z$78:AR78)&gt;0,1,0)</f>
        <v>0</v>
      </c>
      <c r="AS87" s="284">
        <f>IF(SUM($Z$78:AS78)&gt;0,1,0)</f>
        <v>0</v>
      </c>
      <c r="AT87" s="284">
        <f>IF(SUM($Z$78:AT78)&gt;0,1,0)</f>
        <v>0</v>
      </c>
      <c r="AU87" s="284">
        <f>IF(SUM($Z$78:AU78)&gt;0,1,0)</f>
        <v>0</v>
      </c>
      <c r="AV87" s="284">
        <f>IF(SUM($Z$78:AV78)&gt;0,1,0)</f>
        <v>0</v>
      </c>
      <c r="AW87" s="284">
        <f>IF(SUM($Z$78:AW78)&gt;0,1,0)</f>
        <v>0</v>
      </c>
      <c r="AX87" s="284">
        <f>IF(SUM($Z$78:AX78)&gt;0,1,0)</f>
        <v>0</v>
      </c>
      <c r="AY87" s="284">
        <f>IF(SUM($Z$78:AY78)&gt;0,1,0)</f>
        <v>0</v>
      </c>
      <c r="AZ87" s="284">
        <f>IF(SUM($Z$78:AZ78)&gt;0,1,0)</f>
        <v>0</v>
      </c>
      <c r="BA87" s="284">
        <f>IF(SUM($Z$78:BA78)&gt;0,1,0)</f>
        <v>0</v>
      </c>
      <c r="BB87" s="284">
        <f>IF(SUM($Z$78:BB78)&gt;0,1,0)</f>
        <v>0</v>
      </c>
      <c r="BC87" s="284">
        <f>IF(SUM($Z$78:BC78)&gt;0,1,0)</f>
        <v>0</v>
      </c>
      <c r="BD87" s="284">
        <f>IF(SUM($Z$78:BD78)&gt;0,1,0)</f>
        <v>0</v>
      </c>
      <c r="BE87" s="284">
        <f>IF(SUM($Z$78:BE78)&gt;0,1,0)</f>
        <v>0</v>
      </c>
      <c r="BF87" s="284">
        <f>IF(SUM($Z$78:BF78)&gt;0,1,0)</f>
        <v>0</v>
      </c>
      <c r="BG87" s="284">
        <f>IF(SUM($Z$78:BG78)&gt;0,1,0)</f>
        <v>0</v>
      </c>
      <c r="BH87" s="284">
        <f>IF(SUM($Z$78:BH78)&gt;0,1,0)</f>
        <v>0</v>
      </c>
      <c r="BI87" s="284">
        <f>IF(SUM($Z$78:BI78)&gt;0,1,0)</f>
        <v>0</v>
      </c>
      <c r="BJ87" s="284">
        <f>IF(SUM($Z$78:BJ78)&gt;0,1,0)</f>
        <v>0</v>
      </c>
      <c r="BK87" s="284">
        <f>IF(SUM($Z$78:BK78)&gt;0,1,0)</f>
        <v>0</v>
      </c>
      <c r="BL87" s="284">
        <f>IF(SUM($Z$78:BL78)&gt;0,1,0)</f>
        <v>0</v>
      </c>
      <c r="BM87" s="284">
        <f>IF(SUM($Z$78:BM78)&gt;0,1,0)</f>
        <v>0</v>
      </c>
    </row>
    <row r="88" spans="2:80" x14ac:dyDescent="0.25">
      <c r="B88" s="6" t="s">
        <v>86</v>
      </c>
      <c r="C88" s="23">
        <f>IFERROR(VLOOKUP(1,$R$133:$T$150,3,0),0)</f>
        <v>2221.35</v>
      </c>
    </row>
    <row r="90" spans="2:80" x14ac:dyDescent="0.25">
      <c r="Y90" t="s">
        <v>338</v>
      </c>
    </row>
    <row r="91" spans="2:80" x14ac:dyDescent="0.25">
      <c r="Y91" s="281"/>
      <c r="Z91" s="280">
        <f t="shared" ref="Z91:BM91" si="20">Z74</f>
        <v>60</v>
      </c>
      <c r="AA91" s="280">
        <f t="shared" si="20"/>
        <v>61</v>
      </c>
      <c r="AB91" s="280">
        <f t="shared" si="20"/>
        <v>62</v>
      </c>
      <c r="AC91" s="280">
        <f t="shared" si="20"/>
        <v>63</v>
      </c>
      <c r="AD91" s="280">
        <f t="shared" si="20"/>
        <v>64</v>
      </c>
      <c r="AE91" s="280">
        <f t="shared" si="20"/>
        <v>65</v>
      </c>
      <c r="AF91" s="280">
        <f t="shared" si="20"/>
        <v>66</v>
      </c>
      <c r="AG91" s="280">
        <f t="shared" si="20"/>
        <v>67</v>
      </c>
      <c r="AH91" s="280">
        <f t="shared" si="20"/>
        <v>68</v>
      </c>
      <c r="AI91" s="280">
        <f t="shared" si="20"/>
        <v>69</v>
      </c>
      <c r="AJ91" s="280">
        <f t="shared" si="20"/>
        <v>70</v>
      </c>
      <c r="AK91" s="280">
        <f t="shared" si="20"/>
        <v>71</v>
      </c>
      <c r="AL91" s="280">
        <f t="shared" si="20"/>
        <v>72</v>
      </c>
      <c r="AM91" s="280">
        <f t="shared" si="20"/>
        <v>73</v>
      </c>
      <c r="AN91" s="280">
        <f t="shared" si="20"/>
        <v>74</v>
      </c>
      <c r="AO91" s="280">
        <f t="shared" si="20"/>
        <v>75</v>
      </c>
      <c r="AP91" s="280">
        <f t="shared" si="20"/>
        <v>76</v>
      </c>
      <c r="AQ91" s="280">
        <f t="shared" si="20"/>
        <v>77</v>
      </c>
      <c r="AR91" s="280">
        <f t="shared" si="20"/>
        <v>78</v>
      </c>
      <c r="AS91" s="280">
        <f t="shared" si="20"/>
        <v>79</v>
      </c>
      <c r="AT91" s="280">
        <f t="shared" si="20"/>
        <v>80</v>
      </c>
      <c r="AU91" s="280">
        <f t="shared" si="20"/>
        <v>81</v>
      </c>
      <c r="AV91" s="280">
        <f t="shared" si="20"/>
        <v>82</v>
      </c>
      <c r="AW91" s="280">
        <f t="shared" si="20"/>
        <v>83</v>
      </c>
      <c r="AX91" s="280">
        <f t="shared" si="20"/>
        <v>84</v>
      </c>
      <c r="AY91" s="280">
        <f t="shared" si="20"/>
        <v>85</v>
      </c>
      <c r="AZ91" s="280">
        <f t="shared" si="20"/>
        <v>86</v>
      </c>
      <c r="BA91" s="280">
        <f t="shared" si="20"/>
        <v>87</v>
      </c>
      <c r="BB91" s="280">
        <f t="shared" si="20"/>
        <v>88</v>
      </c>
      <c r="BC91" s="280">
        <f t="shared" si="20"/>
        <v>89</v>
      </c>
      <c r="BD91" s="280">
        <f t="shared" si="20"/>
        <v>90</v>
      </c>
      <c r="BE91" s="280">
        <f t="shared" si="20"/>
        <v>91</v>
      </c>
      <c r="BF91" s="280">
        <f t="shared" si="20"/>
        <v>92</v>
      </c>
      <c r="BG91" s="280">
        <f t="shared" si="20"/>
        <v>93</v>
      </c>
      <c r="BH91" s="280">
        <f t="shared" si="20"/>
        <v>94</v>
      </c>
      <c r="BI91" s="280">
        <f t="shared" si="20"/>
        <v>95</v>
      </c>
      <c r="BJ91" s="280">
        <f t="shared" si="20"/>
        <v>96</v>
      </c>
      <c r="BK91" s="280">
        <f t="shared" si="20"/>
        <v>97</v>
      </c>
      <c r="BL91" s="280">
        <f t="shared" si="20"/>
        <v>98</v>
      </c>
      <c r="BM91" s="382">
        <f t="shared" si="20"/>
        <v>99</v>
      </c>
      <c r="BP91" s="446" t="s">
        <v>535</v>
      </c>
      <c r="BQ91" s="447"/>
      <c r="BR91" s="447"/>
      <c r="BS91" s="448">
        <f>IF(AND(SumaAseguradadeSegurodeVida&lt;=BS92),1,0)</f>
        <v>0</v>
      </c>
      <c r="BT91" s="448">
        <f>IF(AND(SumaAseguradadeSegurodeVida&lt;=BT92,SumaAseguradadeSegurodeVida&gt;=BS92),1,0)</f>
        <v>0</v>
      </c>
      <c r="BU91" s="448">
        <f>IF(AND(SumaAseguradadeSegurodeVida&lt;=BU92,SumaAseguradadeSegurodeVida&gt;=BT92),1,0)</f>
        <v>0</v>
      </c>
      <c r="BV91" s="448">
        <f>IF(AND(SumaAseguradadeSegurodeVida&lt;=BV92,SumaAseguradadeSegurodeVida&gt;=BU92),1,0)</f>
        <v>0</v>
      </c>
      <c r="BW91" s="448">
        <f>IF(AND(SumaAseguradadeSegurodeVida&lt;=BW92,SumaAseguradadeSegurodeVida&gt;=BV92),1,0)</f>
        <v>0</v>
      </c>
      <c r="BX91" s="448">
        <f t="shared" ref="BX91:CA91" si="21">IF(AND(SumaAseguradadeSegurodeVida&lt;=BX92,SumaAseguradadeSegurodeVida&gt;=BW92),1,0)</f>
        <v>0</v>
      </c>
      <c r="BY91" s="448">
        <f t="shared" si="21"/>
        <v>0</v>
      </c>
      <c r="BZ91" s="448">
        <f t="shared" si="21"/>
        <v>0</v>
      </c>
      <c r="CA91" s="448">
        <f t="shared" si="21"/>
        <v>0</v>
      </c>
      <c r="CB91" s="448">
        <f>IF(AND(SumaAseguradadeSegurodeVida&gt;=CA92),1,0)</f>
        <v>1</v>
      </c>
    </row>
    <row r="92" spans="2:80" x14ac:dyDescent="0.25">
      <c r="Y92" s="279" t="s">
        <v>38</v>
      </c>
      <c r="Z92" s="278">
        <f>IF(Z91&lt;90,IF(Z91&lt;60,0,$C$11+$C$13),0)</f>
        <v>0</v>
      </c>
      <c r="AA92" s="278">
        <f t="shared" ref="AA92:BM92" si="22">IF(AA91&lt;90,IF(AA91&lt;60,0,$C$11+$C$13),0)</f>
        <v>0</v>
      </c>
      <c r="AB92" s="278">
        <f t="shared" si="22"/>
        <v>0</v>
      </c>
      <c r="AC92" s="278">
        <f t="shared" si="22"/>
        <v>0</v>
      </c>
      <c r="AD92" s="278">
        <f t="shared" si="22"/>
        <v>0</v>
      </c>
      <c r="AE92" s="278">
        <f t="shared" si="22"/>
        <v>0</v>
      </c>
      <c r="AF92" s="278">
        <f t="shared" si="22"/>
        <v>0</v>
      </c>
      <c r="AG92" s="278">
        <f t="shared" si="22"/>
        <v>0</v>
      </c>
      <c r="AH92" s="278">
        <f t="shared" si="22"/>
        <v>0</v>
      </c>
      <c r="AI92" s="278">
        <f t="shared" si="22"/>
        <v>0</v>
      </c>
      <c r="AJ92" s="278">
        <f t="shared" si="22"/>
        <v>0</v>
      </c>
      <c r="AK92" s="278">
        <f t="shared" si="22"/>
        <v>0</v>
      </c>
      <c r="AL92" s="278">
        <f t="shared" si="22"/>
        <v>0</v>
      </c>
      <c r="AM92" s="278">
        <f t="shared" si="22"/>
        <v>0</v>
      </c>
      <c r="AN92" s="278">
        <f t="shared" si="22"/>
        <v>0</v>
      </c>
      <c r="AO92" s="278">
        <f t="shared" si="22"/>
        <v>0</v>
      </c>
      <c r="AP92" s="278">
        <f t="shared" si="22"/>
        <v>0</v>
      </c>
      <c r="AQ92" s="278">
        <f t="shared" si="22"/>
        <v>0</v>
      </c>
      <c r="AR92" s="278">
        <f t="shared" si="22"/>
        <v>0</v>
      </c>
      <c r="AS92" s="278">
        <f t="shared" si="22"/>
        <v>0</v>
      </c>
      <c r="AT92" s="278">
        <f t="shared" si="22"/>
        <v>0</v>
      </c>
      <c r="AU92" s="278">
        <f t="shared" si="22"/>
        <v>0</v>
      </c>
      <c r="AV92" s="278">
        <f t="shared" si="22"/>
        <v>0</v>
      </c>
      <c r="AW92" s="278">
        <f t="shared" si="22"/>
        <v>0</v>
      </c>
      <c r="AX92" s="278">
        <f t="shared" si="22"/>
        <v>0</v>
      </c>
      <c r="AY92" s="278">
        <f t="shared" si="22"/>
        <v>0</v>
      </c>
      <c r="AZ92" s="278">
        <f t="shared" si="22"/>
        <v>0</v>
      </c>
      <c r="BA92" s="278">
        <f t="shared" si="22"/>
        <v>0</v>
      </c>
      <c r="BB92" s="278">
        <f t="shared" si="22"/>
        <v>0</v>
      </c>
      <c r="BC92" s="278">
        <f t="shared" si="22"/>
        <v>0</v>
      </c>
      <c r="BD92" s="278">
        <f t="shared" si="22"/>
        <v>0</v>
      </c>
      <c r="BE92" s="278">
        <f t="shared" si="22"/>
        <v>0</v>
      </c>
      <c r="BF92" s="278">
        <f t="shared" si="22"/>
        <v>0</v>
      </c>
      <c r="BG92" s="278">
        <f t="shared" si="22"/>
        <v>0</v>
      </c>
      <c r="BH92" s="278">
        <f t="shared" si="22"/>
        <v>0</v>
      </c>
      <c r="BI92" s="278">
        <f t="shared" si="22"/>
        <v>0</v>
      </c>
      <c r="BJ92" s="278">
        <f t="shared" si="22"/>
        <v>0</v>
      </c>
      <c r="BK92" s="278">
        <f t="shared" si="22"/>
        <v>0</v>
      </c>
      <c r="BL92" s="278">
        <f t="shared" si="22"/>
        <v>0</v>
      </c>
      <c r="BM92" s="384">
        <f t="shared" si="22"/>
        <v>0</v>
      </c>
      <c r="BP92" s="447"/>
      <c r="BQ92" s="580" t="s">
        <v>141</v>
      </c>
      <c r="BR92" s="580"/>
      <c r="BS92" s="449">
        <v>500000</v>
      </c>
      <c r="BT92" s="449">
        <v>1000000</v>
      </c>
      <c r="BU92" s="449">
        <v>1500000</v>
      </c>
      <c r="BV92" s="449">
        <v>2000000</v>
      </c>
      <c r="BW92" s="449">
        <v>2500000</v>
      </c>
      <c r="BX92" s="449">
        <v>3000000</v>
      </c>
      <c r="BY92" s="449">
        <v>3500000</v>
      </c>
      <c r="BZ92" s="449">
        <v>4000000</v>
      </c>
      <c r="CA92" s="449">
        <v>4500000</v>
      </c>
      <c r="CB92" s="449">
        <v>5000000</v>
      </c>
    </row>
    <row r="93" spans="2:80" x14ac:dyDescent="0.25">
      <c r="Y93" s="279" t="s">
        <v>337</v>
      </c>
      <c r="Z93" s="63">
        <f>IF(Z91&lt;90,IF(Z91&lt;60,0,$C$12),0)</f>
        <v>0</v>
      </c>
      <c r="AA93" s="63">
        <f t="shared" ref="AA93:BM93" si="23">IF(AA91&lt;90,IF(AA91&lt;60,0,$C$12),0)</f>
        <v>0</v>
      </c>
      <c r="AB93" s="63">
        <f t="shared" si="23"/>
        <v>0</v>
      </c>
      <c r="AC93" s="63">
        <f t="shared" si="23"/>
        <v>0</v>
      </c>
      <c r="AD93" s="63">
        <f t="shared" si="23"/>
        <v>0</v>
      </c>
      <c r="AE93" s="63">
        <f t="shared" si="23"/>
        <v>0</v>
      </c>
      <c r="AF93" s="63">
        <f t="shared" si="23"/>
        <v>0</v>
      </c>
      <c r="AG93" s="63">
        <f t="shared" si="23"/>
        <v>0</v>
      </c>
      <c r="AH93" s="63">
        <f t="shared" si="23"/>
        <v>0</v>
      </c>
      <c r="AI93" s="63">
        <f t="shared" si="23"/>
        <v>0</v>
      </c>
      <c r="AJ93" s="63">
        <f t="shared" si="23"/>
        <v>0</v>
      </c>
      <c r="AK93" s="63">
        <f t="shared" si="23"/>
        <v>0</v>
      </c>
      <c r="AL93" s="63">
        <f t="shared" si="23"/>
        <v>0</v>
      </c>
      <c r="AM93" s="63">
        <f t="shared" si="23"/>
        <v>0</v>
      </c>
      <c r="AN93" s="63">
        <f t="shared" si="23"/>
        <v>0</v>
      </c>
      <c r="AO93" s="63">
        <f t="shared" si="23"/>
        <v>0</v>
      </c>
      <c r="AP93" s="63">
        <f t="shared" si="23"/>
        <v>0</v>
      </c>
      <c r="AQ93" s="63">
        <f t="shared" si="23"/>
        <v>0</v>
      </c>
      <c r="AR93" s="63">
        <f t="shared" si="23"/>
        <v>0</v>
      </c>
      <c r="AS93" s="63">
        <f t="shared" si="23"/>
        <v>0</v>
      </c>
      <c r="AT93" s="63">
        <f t="shared" si="23"/>
        <v>0</v>
      </c>
      <c r="AU93" s="63">
        <f t="shared" si="23"/>
        <v>0</v>
      </c>
      <c r="AV93" s="63">
        <f t="shared" si="23"/>
        <v>0</v>
      </c>
      <c r="AW93" s="63">
        <f t="shared" si="23"/>
        <v>0</v>
      </c>
      <c r="AX93" s="63">
        <f t="shared" si="23"/>
        <v>0</v>
      </c>
      <c r="AY93" s="63">
        <f t="shared" si="23"/>
        <v>0</v>
      </c>
      <c r="AZ93" s="63">
        <f t="shared" si="23"/>
        <v>0</v>
      </c>
      <c r="BA93" s="63">
        <f t="shared" si="23"/>
        <v>0</v>
      </c>
      <c r="BB93" s="63">
        <f t="shared" si="23"/>
        <v>0</v>
      </c>
      <c r="BC93" s="63">
        <f t="shared" si="23"/>
        <v>0</v>
      </c>
      <c r="BD93" s="63">
        <f t="shared" si="23"/>
        <v>0</v>
      </c>
      <c r="BE93" s="63">
        <f t="shared" si="23"/>
        <v>0</v>
      </c>
      <c r="BF93" s="63">
        <f t="shared" si="23"/>
        <v>0</v>
      </c>
      <c r="BG93" s="63">
        <f t="shared" si="23"/>
        <v>0</v>
      </c>
      <c r="BH93" s="63">
        <f t="shared" si="23"/>
        <v>0</v>
      </c>
      <c r="BI93" s="63">
        <f t="shared" si="23"/>
        <v>0</v>
      </c>
      <c r="BJ93" s="63">
        <f t="shared" si="23"/>
        <v>0</v>
      </c>
      <c r="BK93" s="63">
        <f t="shared" si="23"/>
        <v>0</v>
      </c>
      <c r="BL93" s="63">
        <f t="shared" si="23"/>
        <v>0</v>
      </c>
      <c r="BM93" s="383">
        <f t="shared" si="23"/>
        <v>0</v>
      </c>
      <c r="BP93" s="447"/>
      <c r="BQ93" s="450" t="s">
        <v>536</v>
      </c>
      <c r="BR93" s="450" t="s">
        <v>537</v>
      </c>
      <c r="BS93" s="581" t="s">
        <v>209</v>
      </c>
      <c r="BT93" s="581"/>
      <c r="BU93" s="581"/>
      <c r="BV93" s="581"/>
      <c r="BW93" s="581"/>
      <c r="BX93" s="581"/>
      <c r="BY93" s="581"/>
      <c r="BZ93" s="581"/>
      <c r="CA93" s="581"/>
      <c r="CB93" s="581"/>
    </row>
    <row r="94" spans="2:80" x14ac:dyDescent="0.25">
      <c r="Y94" s="279" t="s">
        <v>336</v>
      </c>
      <c r="Z94" s="278">
        <f t="shared" ref="Z94:BM94" si="24">IF(Z91&lt;90,MIN(MAX(MIN(Z80,(PMT(TasaReal/12,(1)*12,((Z98*(1+TasaReal/12)^((1)*12))),0,1)*-1)),0),MensualidaddeseadaenelRetiro-(Z92+Z93+Z95+Z96)),0)</f>
        <v>30000</v>
      </c>
      <c r="AA94" s="278">
        <f t="shared" si="24"/>
        <v>30000</v>
      </c>
      <c r="AB94" s="278">
        <f t="shared" si="24"/>
        <v>30000</v>
      </c>
      <c r="AC94" s="278">
        <f t="shared" si="24"/>
        <v>30000</v>
      </c>
      <c r="AD94" s="278">
        <f t="shared" si="24"/>
        <v>30000</v>
      </c>
      <c r="AE94" s="278">
        <f t="shared" si="24"/>
        <v>30000</v>
      </c>
      <c r="AF94" s="278">
        <f t="shared" si="24"/>
        <v>30000</v>
      </c>
      <c r="AG94" s="278">
        <f t="shared" si="24"/>
        <v>30000</v>
      </c>
      <c r="AH94" s="278">
        <f t="shared" si="24"/>
        <v>30000</v>
      </c>
      <c r="AI94" s="278">
        <f t="shared" si="24"/>
        <v>30000</v>
      </c>
      <c r="AJ94" s="278">
        <f t="shared" si="24"/>
        <v>30000</v>
      </c>
      <c r="AK94" s="278">
        <f t="shared" si="24"/>
        <v>30000</v>
      </c>
      <c r="AL94" s="278">
        <f t="shared" si="24"/>
        <v>30000</v>
      </c>
      <c r="AM94" s="278">
        <f t="shared" si="24"/>
        <v>30000</v>
      </c>
      <c r="AN94" s="278">
        <f t="shared" si="24"/>
        <v>30000</v>
      </c>
      <c r="AO94" s="278">
        <f t="shared" si="24"/>
        <v>30000</v>
      </c>
      <c r="AP94" s="278">
        <f t="shared" si="24"/>
        <v>30000</v>
      </c>
      <c r="AQ94" s="278">
        <f t="shared" si="24"/>
        <v>30000</v>
      </c>
      <c r="AR94" s="278">
        <f t="shared" si="24"/>
        <v>30000</v>
      </c>
      <c r="AS94" s="278">
        <f t="shared" si="24"/>
        <v>30000</v>
      </c>
      <c r="AT94" s="278">
        <f t="shared" si="24"/>
        <v>30000</v>
      </c>
      <c r="AU94" s="278">
        <f t="shared" si="24"/>
        <v>30000</v>
      </c>
      <c r="AV94" s="278">
        <f t="shared" si="24"/>
        <v>30000</v>
      </c>
      <c r="AW94" s="278">
        <f t="shared" si="24"/>
        <v>30000</v>
      </c>
      <c r="AX94" s="278">
        <f t="shared" si="24"/>
        <v>30000</v>
      </c>
      <c r="AY94" s="278">
        <f t="shared" si="24"/>
        <v>30000</v>
      </c>
      <c r="AZ94" s="278">
        <f t="shared" si="24"/>
        <v>30000</v>
      </c>
      <c r="BA94" s="278">
        <f t="shared" si="24"/>
        <v>30000</v>
      </c>
      <c r="BB94" s="278">
        <f t="shared" si="24"/>
        <v>30000</v>
      </c>
      <c r="BC94" s="278">
        <f t="shared" si="24"/>
        <v>29420.995262216104</v>
      </c>
      <c r="BD94" s="278">
        <f t="shared" si="24"/>
        <v>0</v>
      </c>
      <c r="BE94" s="278">
        <f t="shared" si="24"/>
        <v>0</v>
      </c>
      <c r="BF94" s="278">
        <f t="shared" si="24"/>
        <v>0</v>
      </c>
      <c r="BG94" s="278">
        <f t="shared" si="24"/>
        <v>0</v>
      </c>
      <c r="BH94" s="278">
        <f t="shared" si="24"/>
        <v>0</v>
      </c>
      <c r="BI94" s="278">
        <f t="shared" si="24"/>
        <v>0</v>
      </c>
      <c r="BJ94" s="278">
        <f t="shared" si="24"/>
        <v>0</v>
      </c>
      <c r="BK94" s="278">
        <f t="shared" si="24"/>
        <v>0</v>
      </c>
      <c r="BL94" s="278">
        <f t="shared" si="24"/>
        <v>0</v>
      </c>
      <c r="BM94" s="384">
        <f t="shared" si="24"/>
        <v>0</v>
      </c>
      <c r="BP94" s="448">
        <f>IF(AND(EdadActual&gt;=BQ94,EdadActual&lt;=BR94),1,0)</f>
        <v>0</v>
      </c>
      <c r="BQ94" s="450">
        <v>18</v>
      </c>
      <c r="BR94" s="450">
        <v>29</v>
      </c>
      <c r="BS94" s="451">
        <v>2352</v>
      </c>
      <c r="BT94" s="451">
        <v>4293</v>
      </c>
      <c r="BU94" s="451">
        <v>5898</v>
      </c>
      <c r="BV94" s="451">
        <v>7502</v>
      </c>
      <c r="BW94" s="451">
        <v>9107</v>
      </c>
      <c r="BX94" s="451">
        <v>10712</v>
      </c>
      <c r="BY94" s="451">
        <v>12316</v>
      </c>
      <c r="BZ94" s="451">
        <v>13921</v>
      </c>
      <c r="CA94" s="451">
        <v>15526</v>
      </c>
      <c r="CB94" s="451">
        <v>17131</v>
      </c>
    </row>
    <row r="95" spans="2:80" ht="14.45" customHeight="1" x14ac:dyDescent="0.25">
      <c r="Y95" s="279" t="s">
        <v>335</v>
      </c>
      <c r="Z95" s="278">
        <f>IF(Z91&lt;90,Rentas-IF(SUM($Z$77:Z77)&gt;0,Balance!$BL$128,0),0)</f>
        <v>20000</v>
      </c>
      <c r="AA95" s="278">
        <f>IF(AA91&lt;90,Rentas-IF(SUM($Z$77:AA77)&gt;0,Balance!$BL$128,0),0)</f>
        <v>20000</v>
      </c>
      <c r="AB95" s="278">
        <f>IF(AB91&lt;90,Rentas-IF(SUM($Z$77:AB77)&gt;0,Balance!$BL$128,0),0)</f>
        <v>20000</v>
      </c>
      <c r="AC95" s="278">
        <f>IF(AC91&lt;90,Rentas-IF(SUM($Z$77:AC77)&gt;0,Balance!$BL$128,0),0)</f>
        <v>20000</v>
      </c>
      <c r="AD95" s="278">
        <f>IF(AD91&lt;90,Rentas-IF(SUM($Z$77:AD77)&gt;0,Balance!$BL$128,0),0)</f>
        <v>20000</v>
      </c>
      <c r="AE95" s="278">
        <f>IF(AE91&lt;90,Rentas-IF(SUM($Z$77:AE77)&gt;0,Balance!$BL$128,0),0)</f>
        <v>20000</v>
      </c>
      <c r="AF95" s="278">
        <f>IF(AF91&lt;90,Rentas-IF(SUM($Z$77:AF77)&gt;0,Balance!$BL$128,0),0)</f>
        <v>20000</v>
      </c>
      <c r="AG95" s="278">
        <f>IF(AG91&lt;90,Rentas-IF(SUM($Z$77:AG77)&gt;0,Balance!$BL$128,0),0)</f>
        <v>20000</v>
      </c>
      <c r="AH95" s="278">
        <f>IF(AH91&lt;90,Rentas-IF(SUM($Z$77:AH77)&gt;0,Balance!$BL$128,0),0)</f>
        <v>20000</v>
      </c>
      <c r="AI95" s="278">
        <f>IF(AI91&lt;90,Rentas-IF(SUM($Z$77:AI77)&gt;0,Balance!$BL$128,0),0)</f>
        <v>20000</v>
      </c>
      <c r="AJ95" s="278">
        <f>IF(AJ91&lt;90,Rentas-IF(SUM($Z$77:AJ77)&gt;0,Balance!$BL$128,0),0)</f>
        <v>20000</v>
      </c>
      <c r="AK95" s="278">
        <f>IF(AK91&lt;90,Rentas-IF(SUM($Z$77:AK77)&gt;0,Balance!$BL$128,0),0)</f>
        <v>20000</v>
      </c>
      <c r="AL95" s="278">
        <f>IF(AL91&lt;90,Rentas-IF(SUM($Z$77:AL77)&gt;0,Balance!$BL$128,0),0)</f>
        <v>20000</v>
      </c>
      <c r="AM95" s="278">
        <f>IF(AM91&lt;90,Rentas-IF(SUM($Z$77:AM77)&gt;0,Balance!$BL$128,0),0)</f>
        <v>20000</v>
      </c>
      <c r="AN95" s="278">
        <f>IF(AN91&lt;90,Rentas-IF(SUM($Z$77:AN77)&gt;0,Balance!$BL$128,0),0)</f>
        <v>20000</v>
      </c>
      <c r="AO95" s="278">
        <f>IF(AO91&lt;90,Rentas-IF(SUM($Z$77:AO77)&gt;0,Balance!$BL$128,0),0)</f>
        <v>20000</v>
      </c>
      <c r="AP95" s="278">
        <f>IF(AP91&lt;90,Rentas-IF(SUM($Z$77:AP77)&gt;0,Balance!$BL$128,0),0)</f>
        <v>20000</v>
      </c>
      <c r="AQ95" s="278">
        <f>IF(AQ91&lt;90,Rentas-IF(SUM($Z$77:AQ77)&gt;0,Balance!$BL$128,0),0)</f>
        <v>20000</v>
      </c>
      <c r="AR95" s="278">
        <f>IF(AR91&lt;90,Rentas-IF(SUM($Z$77:AR77)&gt;0,Balance!$BL$128,0),0)</f>
        <v>20000</v>
      </c>
      <c r="AS95" s="278">
        <f>IF(AS91&lt;90,Rentas-IF(SUM($Z$77:AS77)&gt;0,Balance!$BL$128,0),0)</f>
        <v>20000</v>
      </c>
      <c r="AT95" s="278">
        <f>IF(AT91&lt;90,Rentas-IF(SUM($Z$77:AT77)&gt;0,Balance!$BL$128,0),0)</f>
        <v>20000</v>
      </c>
      <c r="AU95" s="278">
        <f>IF(AU91&lt;90,Rentas-IF(SUM($Z$77:AU77)&gt;0,Balance!$BL$128,0),0)</f>
        <v>20000</v>
      </c>
      <c r="AV95" s="278">
        <f>IF(AV91&lt;90,Rentas-IF(SUM($Z$77:AV77)&gt;0,Balance!$BL$128,0),0)</f>
        <v>20000</v>
      </c>
      <c r="AW95" s="278">
        <f>IF(AW91&lt;90,Rentas-IF(SUM($Z$77:AW77)&gt;0,Balance!$BL$128,0),0)</f>
        <v>20000</v>
      </c>
      <c r="AX95" s="278">
        <f>IF(AX91&lt;90,Rentas-IF(SUM($Z$77:AX77)&gt;0,Balance!$BL$128,0),0)</f>
        <v>20000</v>
      </c>
      <c r="AY95" s="278">
        <f>IF(AY91&lt;90,Rentas-IF(SUM($Z$77:AY77)&gt;0,Balance!$BL$128,0),0)</f>
        <v>20000</v>
      </c>
      <c r="AZ95" s="278">
        <f>IF(AZ91&lt;90,Rentas-IF(SUM($Z$77:AZ77)&gt;0,Balance!$BL$128,0),0)</f>
        <v>20000</v>
      </c>
      <c r="BA95" s="278">
        <f>IF(BA91&lt;90,Rentas-IF(SUM($Z$77:BA77)&gt;0,Balance!$BL$128,0),0)</f>
        <v>20000</v>
      </c>
      <c r="BB95" s="278">
        <f>IF(BB91&lt;90,Rentas-IF(SUM($Z$77:BB77)&gt;0,Balance!$BL$128,0),0)</f>
        <v>20000</v>
      </c>
      <c r="BC95" s="278">
        <f>IF(BC91&lt;90,Rentas-IF(SUM($Z$77:BC77)&gt;0,Balance!$BL$128,0),0)</f>
        <v>20000</v>
      </c>
      <c r="BD95" s="278">
        <f>IF(BD91&lt;90,Rentas-IF(SUM($Z$77:BD77)&gt;0,Balance!$BL$128,0),0)</f>
        <v>0</v>
      </c>
      <c r="BE95" s="278">
        <f>IF(BE91&lt;90,Rentas-IF(SUM($Z$77:BE77)&gt;0,Balance!$BL$128,0),0)</f>
        <v>0</v>
      </c>
      <c r="BF95" s="278">
        <f>IF(BF91&lt;90,Rentas-IF(SUM($Z$77:BF77)&gt;0,Balance!$BL$128,0),0)</f>
        <v>0</v>
      </c>
      <c r="BG95" s="278">
        <f>IF(BG91&lt;90,Rentas-IF(SUM($Z$77:BG77)&gt;0,Balance!$BL$128,0),0)</f>
        <v>0</v>
      </c>
      <c r="BH95" s="278">
        <f>IF(BH91&lt;90,Rentas-IF(SUM($Z$77:BH77)&gt;0,Balance!$BL$128,0),0)</f>
        <v>0</v>
      </c>
      <c r="BI95" s="278">
        <f>IF(BI91&lt;90,Rentas-IF(SUM($Z$77:BI77)&gt;0,Balance!$BL$128,0),0)</f>
        <v>0</v>
      </c>
      <c r="BJ95" s="278">
        <f>IF(BJ91&lt;90,Rentas-IF(SUM($Z$77:BJ77)&gt;0,Balance!$BL$128,0),0)</f>
        <v>0</v>
      </c>
      <c r="BK95" s="278">
        <f>IF(BK91&lt;90,Rentas-IF(SUM($Z$77:BK77)&gt;0,Balance!$BL$128,0),0)</f>
        <v>0</v>
      </c>
      <c r="BL95" s="278">
        <f>IF(BL91&lt;90,Rentas-IF(SUM($Z$77:BL77)&gt;0,Balance!$BL$128,0),0)</f>
        <v>0</v>
      </c>
      <c r="BM95" s="384">
        <f>IF(BM91&lt;90,Rentas-IF(SUM($Z$77:BM77)&gt;0,Balance!$BL$128,0),0)</f>
        <v>0</v>
      </c>
      <c r="BP95" s="448">
        <f t="shared" ref="BP95:BP102" si="25">IF(AND(EdadActual&gt;=BQ95,EdadActual&lt;=BR95),1,0)</f>
        <v>0</v>
      </c>
      <c r="BQ95" s="450">
        <v>30</v>
      </c>
      <c r="BR95" s="450">
        <v>34</v>
      </c>
      <c r="BS95" s="451">
        <v>2825</v>
      </c>
      <c r="BT95" s="451">
        <v>5239</v>
      </c>
      <c r="BU95" s="451">
        <v>7222</v>
      </c>
      <c r="BV95" s="451">
        <v>9204</v>
      </c>
      <c r="BW95" s="451">
        <v>11187</v>
      </c>
      <c r="BX95" s="451">
        <v>13170</v>
      </c>
      <c r="BY95" s="451">
        <v>15152</v>
      </c>
      <c r="BZ95" s="451">
        <v>17135</v>
      </c>
      <c r="CA95" s="451">
        <v>19117</v>
      </c>
      <c r="CB95" s="451">
        <v>21100</v>
      </c>
    </row>
    <row r="96" spans="2:80" ht="14.45" customHeight="1" x14ac:dyDescent="0.25">
      <c r="Y96" s="279" t="s">
        <v>334</v>
      </c>
      <c r="Z96" s="278">
        <f>IF(Z91&lt;90,OtrosIngresos-IF(SUM($Z$78:Z78)&gt;0,Balance!$CH$128,0),0)</f>
        <v>0</v>
      </c>
      <c r="AA96" s="278">
        <f>IF(AA91&lt;90,OtrosIngresos-IF(SUM($Z$78:AA78)&gt;0,Balance!$CH$128,0),0)</f>
        <v>0</v>
      </c>
      <c r="AB96" s="278">
        <f>IF(AB91&lt;90,OtrosIngresos-IF(SUM($Z$78:AB78)&gt;0,Balance!$CH$128,0),0)</f>
        <v>0</v>
      </c>
      <c r="AC96" s="278">
        <f>IF(AC91&lt;90,OtrosIngresos-IF(SUM($Z$78:AC78)&gt;0,Balance!$CH$128,0),0)</f>
        <v>0</v>
      </c>
      <c r="AD96" s="278">
        <f>IF(AD91&lt;90,OtrosIngresos-IF(SUM($Z$78:AD78)&gt;0,Balance!$CH$128,0),0)</f>
        <v>0</v>
      </c>
      <c r="AE96" s="278">
        <f>IF(AE91&lt;90,OtrosIngresos-IF(SUM($Z$78:AE78)&gt;0,Balance!$CH$128,0),0)</f>
        <v>0</v>
      </c>
      <c r="AF96" s="278">
        <f>IF(AF91&lt;90,OtrosIngresos-IF(SUM($Z$78:AF78)&gt;0,Balance!$CH$128,0),0)</f>
        <v>0</v>
      </c>
      <c r="AG96" s="278">
        <f>IF(AG91&lt;90,OtrosIngresos-IF(SUM($Z$78:AG78)&gt;0,Balance!$CH$128,0),0)</f>
        <v>0</v>
      </c>
      <c r="AH96" s="278">
        <f>IF(AH91&lt;90,OtrosIngresos-IF(SUM($Z$78:AH78)&gt;0,Balance!$CH$128,0),0)</f>
        <v>0</v>
      </c>
      <c r="AI96" s="278">
        <f>IF(AI91&lt;90,OtrosIngresos-IF(SUM($Z$78:AI78)&gt;0,Balance!$CH$128,0),0)</f>
        <v>0</v>
      </c>
      <c r="AJ96" s="278">
        <f>IF(AJ91&lt;90,OtrosIngresos-IF(SUM($Z$78:AJ78)&gt;0,Balance!$CH$128,0),0)</f>
        <v>0</v>
      </c>
      <c r="AK96" s="278">
        <f>IF(AK91&lt;90,OtrosIngresos-IF(SUM($Z$78:AK78)&gt;0,Balance!$CH$128,0),0)</f>
        <v>0</v>
      </c>
      <c r="AL96" s="278">
        <f>IF(AL91&lt;90,OtrosIngresos-IF(SUM($Z$78:AL78)&gt;0,Balance!$CH$128,0),0)</f>
        <v>0</v>
      </c>
      <c r="AM96" s="278">
        <f>IF(AM91&lt;90,OtrosIngresos-IF(SUM($Z$78:AM78)&gt;0,Balance!$CH$128,0),0)</f>
        <v>0</v>
      </c>
      <c r="AN96" s="278">
        <f>IF(AN91&lt;90,OtrosIngresos-IF(SUM($Z$78:AN78)&gt;0,Balance!$CH$128,0),0)</f>
        <v>0</v>
      </c>
      <c r="AO96" s="278">
        <f>IF(AO91&lt;90,OtrosIngresos-IF(SUM($Z$78:AO78)&gt;0,Balance!$CH$128,0),0)</f>
        <v>0</v>
      </c>
      <c r="AP96" s="278">
        <f>IF(AP91&lt;90,OtrosIngresos-IF(SUM($Z$78:AP78)&gt;0,Balance!$CH$128,0),0)</f>
        <v>0</v>
      </c>
      <c r="AQ96" s="278">
        <f>IF(AQ91&lt;90,OtrosIngresos-IF(SUM($Z$78:AQ78)&gt;0,Balance!$CH$128,0),0)</f>
        <v>0</v>
      </c>
      <c r="AR96" s="278">
        <f>IF(AR91&lt;90,OtrosIngresos-IF(SUM($Z$78:AR78)&gt;0,Balance!$CH$128,0),0)</f>
        <v>0</v>
      </c>
      <c r="AS96" s="278">
        <f>IF(AS91&lt;90,OtrosIngresos-IF(SUM($Z$78:AS78)&gt;0,Balance!$CH$128,0),0)</f>
        <v>0</v>
      </c>
      <c r="AT96" s="278">
        <f>IF(AT91&lt;90,OtrosIngresos-IF(SUM($Z$78:AT78)&gt;0,Balance!$CH$128,0),0)</f>
        <v>0</v>
      </c>
      <c r="AU96" s="278">
        <f>IF(AU91&lt;90,OtrosIngresos-IF(SUM($Z$78:AU78)&gt;0,Balance!$CH$128,0),0)</f>
        <v>0</v>
      </c>
      <c r="AV96" s="278">
        <f>IF(AV91&lt;90,OtrosIngresos-IF(SUM($Z$78:AV78)&gt;0,Balance!$CH$128,0),0)</f>
        <v>0</v>
      </c>
      <c r="AW96" s="278">
        <f>IF(AW91&lt;90,OtrosIngresos-IF(SUM($Z$78:AW78)&gt;0,Balance!$CH$128,0),0)</f>
        <v>0</v>
      </c>
      <c r="AX96" s="278">
        <f>IF(AX91&lt;90,OtrosIngresos-IF(SUM($Z$78:AX78)&gt;0,Balance!$CH$128,0),0)</f>
        <v>0</v>
      </c>
      <c r="AY96" s="278">
        <f>IF(AY91&lt;90,OtrosIngresos-IF(SUM($Z$78:AY78)&gt;0,Balance!$CH$128,0),0)</f>
        <v>0</v>
      </c>
      <c r="AZ96" s="278">
        <f>IF(AZ91&lt;90,OtrosIngresos-IF(SUM($Z$78:AZ78)&gt;0,Balance!$CH$128,0),0)</f>
        <v>0</v>
      </c>
      <c r="BA96" s="278">
        <f>IF(BA91&lt;90,OtrosIngresos-IF(SUM($Z$78:BA78)&gt;0,Balance!$CH$128,0),0)</f>
        <v>0</v>
      </c>
      <c r="BB96" s="278">
        <f>IF(BB91&lt;90,OtrosIngresos-IF(SUM($Z$78:BB78)&gt;0,Balance!$CH$128,0),0)</f>
        <v>0</v>
      </c>
      <c r="BC96" s="278">
        <f>IF(BC91&lt;90,OtrosIngresos-IF(SUM($Z$78:BC78)&gt;0,Balance!$CH$128,0),0)</f>
        <v>0</v>
      </c>
      <c r="BD96" s="278">
        <f>IF(BD91&lt;90,OtrosIngresos-IF(SUM($Z$78:BD78)&gt;0,Balance!$CH$128,0),0)</f>
        <v>0</v>
      </c>
      <c r="BE96" s="278">
        <f>IF(BE91&lt;90,OtrosIngresos-IF(SUM($Z$78:BE78)&gt;0,Balance!$CH$128,0),0)</f>
        <v>0</v>
      </c>
      <c r="BF96" s="278">
        <f>IF(BF91&lt;90,OtrosIngresos-IF(SUM($Z$78:BF78)&gt;0,Balance!$CH$128,0),0)</f>
        <v>0</v>
      </c>
      <c r="BG96" s="278">
        <f>IF(BG91&lt;90,OtrosIngresos-IF(SUM($Z$78:BG78)&gt;0,Balance!$CH$128,0),0)</f>
        <v>0</v>
      </c>
      <c r="BH96" s="278">
        <f>IF(BH91&lt;90,OtrosIngresos-IF(SUM($Z$78:BH78)&gt;0,Balance!$CH$128,0),0)</f>
        <v>0</v>
      </c>
      <c r="BI96" s="278">
        <f>IF(BI91&lt;90,OtrosIngresos-IF(SUM($Z$78:BI78)&gt;0,Balance!$CH$128,0),0)</f>
        <v>0</v>
      </c>
      <c r="BJ96" s="278">
        <f>IF(BJ91&lt;90,OtrosIngresos-IF(SUM($Z$78:BJ78)&gt;0,Balance!$CH$128,0),0)</f>
        <v>0</v>
      </c>
      <c r="BK96" s="278">
        <f>IF(BK91&lt;90,OtrosIngresos-IF(SUM($Z$78:BK78)&gt;0,Balance!$CH$128,0),0)</f>
        <v>0</v>
      </c>
      <c r="BL96" s="278">
        <f>IF(BL91&lt;90,OtrosIngresos-IF(SUM($Z$78:BL78)&gt;0,Balance!$CH$128,0),0)</f>
        <v>0</v>
      </c>
      <c r="BM96" s="384">
        <f>IF(BM91&lt;90,OtrosIngresos-IF(SUM($Z$78:BM78)&gt;0,Balance!$CH$128,0),0)</f>
        <v>0</v>
      </c>
      <c r="BP96" s="448">
        <f t="shared" si="25"/>
        <v>0</v>
      </c>
      <c r="BQ96" s="450">
        <v>35</v>
      </c>
      <c r="BR96" s="450">
        <v>39</v>
      </c>
      <c r="BS96" s="451">
        <v>3542</v>
      </c>
      <c r="BT96" s="451">
        <v>6674</v>
      </c>
      <c r="BU96" s="451">
        <v>9229</v>
      </c>
      <c r="BV96" s="451">
        <v>11784</v>
      </c>
      <c r="BW96" s="451">
        <v>14339</v>
      </c>
      <c r="BX96" s="451">
        <v>16894</v>
      </c>
      <c r="BY96" s="451">
        <v>19449</v>
      </c>
      <c r="BZ96" s="451">
        <v>22004</v>
      </c>
      <c r="CA96" s="451">
        <v>24559</v>
      </c>
      <c r="CB96" s="451">
        <v>27115</v>
      </c>
    </row>
    <row r="97" spans="18:80" x14ac:dyDescent="0.25">
      <c r="Y97" s="277" t="s">
        <v>232</v>
      </c>
      <c r="Z97" s="276">
        <f>SUM(Z92:Z96)</f>
        <v>50000</v>
      </c>
      <c r="AA97" s="276">
        <f t="shared" ref="AA97:AX97" si="26">SUM(AA92:AA96)</f>
        <v>50000</v>
      </c>
      <c r="AB97" s="276">
        <f t="shared" si="26"/>
        <v>50000</v>
      </c>
      <c r="AC97" s="276">
        <f t="shared" si="26"/>
        <v>50000</v>
      </c>
      <c r="AD97" s="276">
        <f t="shared" si="26"/>
        <v>50000</v>
      </c>
      <c r="AE97" s="276">
        <f t="shared" si="26"/>
        <v>50000</v>
      </c>
      <c r="AF97" s="276">
        <f t="shared" si="26"/>
        <v>50000</v>
      </c>
      <c r="AG97" s="276">
        <f t="shared" si="26"/>
        <v>50000</v>
      </c>
      <c r="AH97" s="276">
        <f t="shared" si="26"/>
        <v>50000</v>
      </c>
      <c r="AI97" s="276">
        <f t="shared" si="26"/>
        <v>50000</v>
      </c>
      <c r="AJ97" s="276">
        <f t="shared" si="26"/>
        <v>50000</v>
      </c>
      <c r="AK97" s="276">
        <f t="shared" si="26"/>
        <v>50000</v>
      </c>
      <c r="AL97" s="276">
        <f t="shared" si="26"/>
        <v>50000</v>
      </c>
      <c r="AM97" s="276">
        <f t="shared" si="26"/>
        <v>50000</v>
      </c>
      <c r="AN97" s="276">
        <f t="shared" si="26"/>
        <v>50000</v>
      </c>
      <c r="AO97" s="276">
        <f t="shared" si="26"/>
        <v>50000</v>
      </c>
      <c r="AP97" s="276">
        <f t="shared" si="26"/>
        <v>50000</v>
      </c>
      <c r="AQ97" s="276">
        <f t="shared" si="26"/>
        <v>50000</v>
      </c>
      <c r="AR97" s="276">
        <f t="shared" si="26"/>
        <v>50000</v>
      </c>
      <c r="AS97" s="276">
        <f t="shared" si="26"/>
        <v>50000</v>
      </c>
      <c r="AT97" s="276">
        <f t="shared" si="26"/>
        <v>50000</v>
      </c>
      <c r="AU97" s="276">
        <f t="shared" si="26"/>
        <v>50000</v>
      </c>
      <c r="AV97" s="276">
        <f t="shared" si="26"/>
        <v>50000</v>
      </c>
      <c r="AW97" s="276">
        <f t="shared" si="26"/>
        <v>50000</v>
      </c>
      <c r="AX97" s="276">
        <f t="shared" si="26"/>
        <v>50000</v>
      </c>
      <c r="AY97" s="276">
        <f t="shared" ref="AY97" si="27">SUM(AY92:AY96)</f>
        <v>50000</v>
      </c>
      <c r="AZ97" s="276">
        <f t="shared" ref="AZ97" si="28">SUM(AZ92:AZ96)</f>
        <v>50000</v>
      </c>
      <c r="BA97" s="276">
        <f t="shared" ref="BA97" si="29">SUM(BA92:BA96)</f>
        <v>50000</v>
      </c>
      <c r="BB97" s="276">
        <f t="shared" ref="BB97" si="30">SUM(BB92:BB96)</f>
        <v>50000</v>
      </c>
      <c r="BC97" s="276">
        <f t="shared" ref="BC97" si="31">SUM(BC92:BC96)</f>
        <v>49420.995262216107</v>
      </c>
      <c r="BD97" s="276">
        <f t="shared" ref="BD97" si="32">SUM(BD92:BD96)</f>
        <v>0</v>
      </c>
      <c r="BE97" s="276">
        <f t="shared" ref="BE97" si="33">SUM(BE92:BE96)</f>
        <v>0</v>
      </c>
      <c r="BF97" s="276">
        <f t="shared" ref="BF97" si="34">SUM(BF92:BF96)</f>
        <v>0</v>
      </c>
      <c r="BG97" s="276">
        <f t="shared" ref="BG97" si="35">SUM(BG92:BG96)</f>
        <v>0</v>
      </c>
      <c r="BH97" s="276">
        <f t="shared" ref="BH97" si="36">SUM(BH92:BH96)</f>
        <v>0</v>
      </c>
      <c r="BI97" s="276">
        <f t="shared" ref="BI97" si="37">SUM(BI92:BI96)</f>
        <v>0</v>
      </c>
      <c r="BJ97" s="276">
        <f t="shared" ref="BJ97" si="38">SUM(BJ92:BJ96)</f>
        <v>0</v>
      </c>
      <c r="BK97" s="276">
        <f t="shared" ref="BK97" si="39">SUM(BK92:BK96)</f>
        <v>0</v>
      </c>
      <c r="BL97" s="276">
        <f t="shared" ref="BL97" si="40">SUM(BL92:BL96)</f>
        <v>0</v>
      </c>
      <c r="BM97" s="386">
        <f t="shared" ref="BM97" si="41">SUM(BM92:BM96)</f>
        <v>0</v>
      </c>
      <c r="BP97" s="448">
        <f t="shared" si="25"/>
        <v>0</v>
      </c>
      <c r="BQ97" s="450">
        <v>40</v>
      </c>
      <c r="BR97" s="450">
        <v>44</v>
      </c>
      <c r="BS97" s="451">
        <v>4652</v>
      </c>
      <c r="BT97" s="451">
        <v>8894</v>
      </c>
      <c r="BU97" s="451">
        <v>12335</v>
      </c>
      <c r="BV97" s="451">
        <v>15776</v>
      </c>
      <c r="BW97" s="451">
        <v>19217</v>
      </c>
      <c r="BX97" s="451">
        <v>22658</v>
      </c>
      <c r="BY97" s="451">
        <v>26100</v>
      </c>
      <c r="BZ97" s="451">
        <v>29541</v>
      </c>
      <c r="CA97" s="451">
        <v>32982</v>
      </c>
      <c r="CB97" s="451">
        <v>36423</v>
      </c>
    </row>
    <row r="98" spans="18:80" x14ac:dyDescent="0.25">
      <c r="Y98" s="281" t="s">
        <v>175</v>
      </c>
      <c r="Z98" s="296">
        <f>Balance!CA133+Z75+Z76+Z77+Z78+Z79</f>
        <v>9327193.0113855563</v>
      </c>
      <c r="AA98" s="295">
        <f t="shared" ref="AA98:BM98" si="42">MAX(Z99+AA75+AA76+AA77+AA78+AA79,0)</f>
        <v>9058937.6568000037</v>
      </c>
      <c r="AB98" s="295">
        <f t="shared" si="42"/>
        <v>8787987.4194145072</v>
      </c>
      <c r="AC98" s="295">
        <f t="shared" si="42"/>
        <v>8514315.2265418638</v>
      </c>
      <c r="AD98" s="295">
        <f t="shared" si="42"/>
        <v>8237893.7335237134</v>
      </c>
      <c r="AE98" s="295">
        <f t="shared" si="42"/>
        <v>7958695.3209983269</v>
      </c>
      <c r="AF98" s="295">
        <f t="shared" si="42"/>
        <v>7676692.0921409475</v>
      </c>
      <c r="AG98" s="295">
        <f t="shared" si="42"/>
        <v>7391855.869876408</v>
      </c>
      <c r="AH98" s="295">
        <f t="shared" si="42"/>
        <v>7104158.1940637473</v>
      </c>
      <c r="AI98" s="295">
        <f t="shared" si="42"/>
        <v>6813570.3186525395</v>
      </c>
      <c r="AJ98" s="295">
        <f t="shared" si="42"/>
        <v>6520063.2088106619</v>
      </c>
      <c r="AK98" s="295">
        <f t="shared" si="42"/>
        <v>6223607.5380232036</v>
      </c>
      <c r="AL98" s="295">
        <f t="shared" si="42"/>
        <v>5924173.6851622313</v>
      </c>
      <c r="AM98" s="295">
        <f t="shared" si="42"/>
        <v>5621731.7315271199</v>
      </c>
      <c r="AN98" s="295">
        <f t="shared" si="42"/>
        <v>5316251.4578551473</v>
      </c>
      <c r="AO98" s="295">
        <f t="shared" si="42"/>
        <v>5007702.3413020615</v>
      </c>
      <c r="AP98" s="295">
        <f t="shared" si="42"/>
        <v>4696053.5523923086</v>
      </c>
      <c r="AQ98" s="295">
        <f t="shared" si="42"/>
        <v>4381273.951938631</v>
      </c>
      <c r="AR98" s="295">
        <f t="shared" si="42"/>
        <v>4063332.0879307133</v>
      </c>
      <c r="AS98" s="295">
        <f t="shared" si="42"/>
        <v>3742196.1923925751</v>
      </c>
      <c r="AT98" s="295">
        <f t="shared" si="42"/>
        <v>3417834.1782083907</v>
      </c>
      <c r="AU98" s="295">
        <f t="shared" si="42"/>
        <v>3090213.6359164249</v>
      </c>
      <c r="AV98" s="295">
        <f t="shared" si="42"/>
        <v>2759301.8304707571</v>
      </c>
      <c r="AW98" s="295">
        <f t="shared" si="42"/>
        <v>2425065.697970476</v>
      </c>
      <c r="AX98" s="295">
        <f t="shared" si="42"/>
        <v>2087471.8423560148</v>
      </c>
      <c r="AY98" s="295">
        <f t="shared" si="42"/>
        <v>1746486.532072298</v>
      </c>
      <c r="AZ98" s="295">
        <f t="shared" si="42"/>
        <v>1402075.6966983681</v>
      </c>
      <c r="BA98" s="295">
        <f t="shared" si="42"/>
        <v>1054204.9235431503</v>
      </c>
      <c r="BB98" s="295">
        <f t="shared" si="42"/>
        <v>702839.45420702198</v>
      </c>
      <c r="BC98" s="295">
        <f t="shared" si="42"/>
        <v>347944.18110883707</v>
      </c>
      <c r="BD98" s="295">
        <f t="shared" si="42"/>
        <v>0</v>
      </c>
      <c r="BE98" s="295">
        <f t="shared" si="42"/>
        <v>0</v>
      </c>
      <c r="BF98" s="295">
        <f t="shared" si="42"/>
        <v>0</v>
      </c>
      <c r="BG98" s="295">
        <f t="shared" si="42"/>
        <v>0</v>
      </c>
      <c r="BH98" s="295">
        <f t="shared" si="42"/>
        <v>0</v>
      </c>
      <c r="BI98" s="295">
        <f t="shared" si="42"/>
        <v>0</v>
      </c>
      <c r="BJ98" s="295">
        <f t="shared" si="42"/>
        <v>0</v>
      </c>
      <c r="BK98" s="295">
        <f t="shared" si="42"/>
        <v>0</v>
      </c>
      <c r="BL98" s="295">
        <f t="shared" si="42"/>
        <v>0</v>
      </c>
      <c r="BM98" s="387">
        <f t="shared" si="42"/>
        <v>0</v>
      </c>
      <c r="BP98" s="448">
        <f t="shared" si="25"/>
        <v>0</v>
      </c>
      <c r="BQ98" s="450">
        <v>45</v>
      </c>
      <c r="BR98" s="450">
        <v>49</v>
      </c>
      <c r="BS98" s="451">
        <v>6413</v>
      </c>
      <c r="BT98" s="451">
        <v>12416</v>
      </c>
      <c r="BU98" s="451">
        <v>17263</v>
      </c>
      <c r="BV98" s="451">
        <v>22111</v>
      </c>
      <c r="BW98" s="451">
        <v>26958</v>
      </c>
      <c r="BX98" s="451">
        <v>31805</v>
      </c>
      <c r="BY98" s="451">
        <v>36653</v>
      </c>
      <c r="BZ98" s="451">
        <v>41500</v>
      </c>
      <c r="CA98" s="451">
        <v>46347</v>
      </c>
      <c r="CB98" s="451">
        <v>51195</v>
      </c>
    </row>
    <row r="99" spans="18:80" x14ac:dyDescent="0.25">
      <c r="Y99" s="293" t="s">
        <v>179</v>
      </c>
      <c r="Z99" s="292">
        <f>MAX((Z98 * (1 + (TasaReal/12))^12) - ( ( Z94 ) * ( (1 + (TasaReal/12))^12 - 1) / (TasaReal/12) * (1 + (TasaReal/12))),0)</f>
        <v>9058937.6568000037</v>
      </c>
      <c r="AA99" s="292">
        <f t="shared" ref="AA99:BM99" si="43">MAX((AA98 * (1 + (TasaReal/12))^12) - ( ( AA94 ) * ( (1 + (TasaReal/12))^12 - 1) / (TasaReal/12) * (1 + (TasaReal/12))),0)</f>
        <v>8787987.4194145072</v>
      </c>
      <c r="AB99" s="292">
        <f t="shared" si="43"/>
        <v>8514315.2265418638</v>
      </c>
      <c r="AC99" s="292">
        <f t="shared" si="43"/>
        <v>8237893.7335237134</v>
      </c>
      <c r="AD99" s="292">
        <f t="shared" si="43"/>
        <v>7958695.3209983269</v>
      </c>
      <c r="AE99" s="292">
        <f t="shared" si="43"/>
        <v>7676692.0921409475</v>
      </c>
      <c r="AF99" s="292">
        <f t="shared" si="43"/>
        <v>7391855.869876408</v>
      </c>
      <c r="AG99" s="292">
        <f t="shared" si="43"/>
        <v>7104158.1940637473</v>
      </c>
      <c r="AH99" s="292">
        <f t="shared" si="43"/>
        <v>6813570.3186525395</v>
      </c>
      <c r="AI99" s="292">
        <f t="shared" si="43"/>
        <v>6520063.2088106619</v>
      </c>
      <c r="AJ99" s="292">
        <f t="shared" si="43"/>
        <v>6223607.5380232036</v>
      </c>
      <c r="AK99" s="292">
        <f t="shared" si="43"/>
        <v>5924173.6851622313</v>
      </c>
      <c r="AL99" s="292">
        <f t="shared" si="43"/>
        <v>5621731.7315271199</v>
      </c>
      <c r="AM99" s="292">
        <f t="shared" si="43"/>
        <v>5316251.4578551473</v>
      </c>
      <c r="AN99" s="292">
        <f t="shared" si="43"/>
        <v>5007702.3413020615</v>
      </c>
      <c r="AO99" s="292">
        <f t="shared" si="43"/>
        <v>4696053.5523923086</v>
      </c>
      <c r="AP99" s="292">
        <f t="shared" si="43"/>
        <v>4381273.951938631</v>
      </c>
      <c r="AQ99" s="292">
        <f t="shared" si="43"/>
        <v>4063332.0879307133</v>
      </c>
      <c r="AR99" s="292">
        <f t="shared" si="43"/>
        <v>3742196.1923925751</v>
      </c>
      <c r="AS99" s="292">
        <f t="shared" si="43"/>
        <v>3417834.1782083907</v>
      </c>
      <c r="AT99" s="292">
        <f t="shared" si="43"/>
        <v>3090213.6359164249</v>
      </c>
      <c r="AU99" s="292">
        <f t="shared" si="43"/>
        <v>2759301.8304707571</v>
      </c>
      <c r="AV99" s="292">
        <f t="shared" si="43"/>
        <v>2425065.697970476</v>
      </c>
      <c r="AW99" s="292">
        <f t="shared" si="43"/>
        <v>2087471.8423560148</v>
      </c>
      <c r="AX99" s="292">
        <f t="shared" si="43"/>
        <v>1746486.532072298</v>
      </c>
      <c r="AY99" s="292">
        <f t="shared" si="43"/>
        <v>1402075.6966983681</v>
      </c>
      <c r="AZ99" s="292">
        <f t="shared" si="43"/>
        <v>1054204.9235431503</v>
      </c>
      <c r="BA99" s="292">
        <f t="shared" si="43"/>
        <v>702839.45420702198</v>
      </c>
      <c r="BB99" s="292">
        <f t="shared" si="43"/>
        <v>347944.18110883707</v>
      </c>
      <c r="BC99" s="292">
        <f t="shared" si="43"/>
        <v>0</v>
      </c>
      <c r="BD99" s="292">
        <f t="shared" si="43"/>
        <v>0</v>
      </c>
      <c r="BE99" s="292">
        <f t="shared" si="43"/>
        <v>0</v>
      </c>
      <c r="BF99" s="292">
        <f t="shared" si="43"/>
        <v>0</v>
      </c>
      <c r="BG99" s="292">
        <f t="shared" si="43"/>
        <v>0</v>
      </c>
      <c r="BH99" s="292">
        <f t="shared" si="43"/>
        <v>0</v>
      </c>
      <c r="BI99" s="292">
        <f t="shared" si="43"/>
        <v>0</v>
      </c>
      <c r="BJ99" s="292">
        <f t="shared" si="43"/>
        <v>0</v>
      </c>
      <c r="BK99" s="292">
        <f t="shared" si="43"/>
        <v>0</v>
      </c>
      <c r="BL99" s="292">
        <f t="shared" si="43"/>
        <v>0</v>
      </c>
      <c r="BM99" s="385">
        <f t="shared" si="43"/>
        <v>0</v>
      </c>
      <c r="BP99" s="448">
        <f t="shared" si="25"/>
        <v>1</v>
      </c>
      <c r="BQ99" s="450">
        <v>50</v>
      </c>
      <c r="BR99" s="450">
        <v>54</v>
      </c>
      <c r="BS99" s="451">
        <v>9283</v>
      </c>
      <c r="BT99" s="451">
        <v>18156</v>
      </c>
      <c r="BU99" s="451">
        <v>25294</v>
      </c>
      <c r="BV99" s="451">
        <v>32433</v>
      </c>
      <c r="BW99" s="451">
        <v>39572</v>
      </c>
      <c r="BX99" s="451">
        <v>46710</v>
      </c>
      <c r="BY99" s="451">
        <v>53849</v>
      </c>
      <c r="BZ99" s="451">
        <v>60988</v>
      </c>
      <c r="CA99" s="451">
        <v>68126</v>
      </c>
      <c r="CB99" s="451">
        <v>75265</v>
      </c>
    </row>
    <row r="100" spans="18:80" x14ac:dyDescent="0.25">
      <c r="BP100" s="448">
        <f t="shared" si="25"/>
        <v>0</v>
      </c>
      <c r="BQ100" s="450">
        <v>55</v>
      </c>
      <c r="BR100" s="450">
        <v>59</v>
      </c>
      <c r="BS100" s="451">
        <v>14090</v>
      </c>
      <c r="BT100" s="451">
        <v>27769</v>
      </c>
      <c r="BU100" s="451">
        <v>38745</v>
      </c>
      <c r="BV100" s="451">
        <v>49722</v>
      </c>
      <c r="BW100" s="451">
        <v>60698</v>
      </c>
      <c r="BX100" s="451">
        <v>71674</v>
      </c>
      <c r="BY100" s="451">
        <v>82651</v>
      </c>
      <c r="BZ100" s="451">
        <v>93627</v>
      </c>
      <c r="CA100" s="451">
        <v>104603</v>
      </c>
      <c r="CB100" s="451">
        <v>115579</v>
      </c>
    </row>
    <row r="101" spans="18:80" x14ac:dyDescent="0.25">
      <c r="BP101" s="448">
        <f t="shared" si="25"/>
        <v>0</v>
      </c>
      <c r="BQ101" s="450">
        <v>60</v>
      </c>
      <c r="BR101" s="450">
        <v>64</v>
      </c>
      <c r="BS101" s="451">
        <v>22367</v>
      </c>
      <c r="BT101" s="451">
        <v>44323</v>
      </c>
      <c r="BU101" s="451">
        <v>61907</v>
      </c>
      <c r="BV101" s="451">
        <v>79491</v>
      </c>
      <c r="BW101" s="451">
        <v>97075</v>
      </c>
      <c r="BX101" s="451">
        <v>114660</v>
      </c>
      <c r="BY101" s="451">
        <v>132244</v>
      </c>
      <c r="BZ101" s="451">
        <v>149828</v>
      </c>
      <c r="CA101" s="451">
        <v>167413</v>
      </c>
      <c r="CB101" s="451">
        <v>184997</v>
      </c>
    </row>
    <row r="102" spans="18:80" x14ac:dyDescent="0.25">
      <c r="BP102" s="448">
        <f t="shared" si="25"/>
        <v>0</v>
      </c>
      <c r="BQ102" s="450">
        <v>65</v>
      </c>
      <c r="BR102" s="450">
        <v>69</v>
      </c>
      <c r="BS102" s="451">
        <v>29661</v>
      </c>
      <c r="BT102" s="451">
        <v>58911</v>
      </c>
      <c r="BU102" s="451">
        <v>88161</v>
      </c>
      <c r="BV102" s="451">
        <v>117411</v>
      </c>
      <c r="BW102" s="451">
        <v>146661</v>
      </c>
      <c r="BX102" s="451">
        <v>175911</v>
      </c>
      <c r="BY102" s="451">
        <v>205161</v>
      </c>
      <c r="BZ102" s="451">
        <v>234411</v>
      </c>
      <c r="CA102" s="451">
        <v>263661</v>
      </c>
      <c r="CB102" s="451">
        <v>292911</v>
      </c>
    </row>
    <row r="108" spans="18:80" x14ac:dyDescent="0.25">
      <c r="T108" s="13"/>
    </row>
    <row r="109" spans="18:80" x14ac:dyDescent="0.25">
      <c r="S109" s="18" t="s">
        <v>545</v>
      </c>
      <c r="T109" s="443">
        <f>'Entrevista Balance'!G4</f>
        <v>0</v>
      </c>
    </row>
    <row r="110" spans="18:80" x14ac:dyDescent="0.25">
      <c r="S110" s="3" t="s">
        <v>541</v>
      </c>
      <c r="T110" s="1" t="s">
        <v>534</v>
      </c>
    </row>
    <row r="111" spans="18:80" x14ac:dyDescent="0.25">
      <c r="R111" s="448">
        <f>IF(T109=0,0,IF(AND(T109&lt;=S111),1,0))</f>
        <v>0</v>
      </c>
      <c r="S111" s="444">
        <v>1500000</v>
      </c>
      <c r="T111" s="445">
        <v>4021.8</v>
      </c>
    </row>
    <row r="112" spans="18:80" x14ac:dyDescent="0.25">
      <c r="R112" s="448">
        <f>IF(AND($T$109&lt;=S112,$T$109&gt;S111),1,0)</f>
        <v>0</v>
      </c>
      <c r="S112" s="444">
        <v>2000000</v>
      </c>
      <c r="T112" s="445">
        <v>5362.4</v>
      </c>
    </row>
    <row r="113" spans="18:20" x14ac:dyDescent="0.25">
      <c r="R113" s="448">
        <f>IF(AND($T$109&lt;=S113,$T$109&gt;S112),1,0)</f>
        <v>0</v>
      </c>
      <c r="S113" s="444">
        <v>2500000</v>
      </c>
      <c r="T113" s="445">
        <v>6703</v>
      </c>
    </row>
    <row r="114" spans="18:20" x14ac:dyDescent="0.25">
      <c r="R114" s="448">
        <f t="shared" ref="R114:R127" si="44">IF(AND($T$109&lt;=S114,$T$109&gt;S113),1,0)</f>
        <v>0</v>
      </c>
      <c r="S114" s="444">
        <v>3000000</v>
      </c>
      <c r="T114" s="445">
        <v>8043.6</v>
      </c>
    </row>
    <row r="115" spans="18:20" x14ac:dyDescent="0.25">
      <c r="R115" s="448">
        <f t="shared" si="44"/>
        <v>0</v>
      </c>
      <c r="S115" s="444">
        <v>3500000</v>
      </c>
      <c r="T115" s="445">
        <v>9384.2000000000007</v>
      </c>
    </row>
    <row r="116" spans="18:20" x14ac:dyDescent="0.25">
      <c r="R116" s="448">
        <f t="shared" si="44"/>
        <v>0</v>
      </c>
      <c r="S116" s="444">
        <v>4000000</v>
      </c>
      <c r="T116" s="445">
        <v>10724.8</v>
      </c>
    </row>
    <row r="117" spans="18:20" x14ac:dyDescent="0.25">
      <c r="R117" s="448">
        <f t="shared" si="44"/>
        <v>0</v>
      </c>
      <c r="S117" s="444">
        <v>4500000</v>
      </c>
      <c r="T117" s="445">
        <v>12065.4</v>
      </c>
    </row>
    <row r="118" spans="18:20" x14ac:dyDescent="0.25">
      <c r="R118" s="448">
        <f t="shared" si="44"/>
        <v>0</v>
      </c>
      <c r="S118" s="444">
        <v>5000000</v>
      </c>
      <c r="T118" s="445">
        <v>13406</v>
      </c>
    </row>
    <row r="119" spans="18:20" x14ac:dyDescent="0.25">
      <c r="R119" s="448">
        <f t="shared" si="44"/>
        <v>0</v>
      </c>
      <c r="S119" s="444">
        <v>5500000</v>
      </c>
      <c r="T119" s="445">
        <v>14746.6</v>
      </c>
    </row>
    <row r="120" spans="18:20" x14ac:dyDescent="0.25">
      <c r="R120" s="448">
        <f t="shared" si="44"/>
        <v>0</v>
      </c>
      <c r="S120" s="444">
        <v>6000000</v>
      </c>
      <c r="T120" s="445">
        <v>16087.2</v>
      </c>
    </row>
    <row r="121" spans="18:20" x14ac:dyDescent="0.25">
      <c r="R121" s="448">
        <f t="shared" si="44"/>
        <v>0</v>
      </c>
      <c r="S121" s="444">
        <v>6500000</v>
      </c>
      <c r="T121" s="445">
        <v>17427.8</v>
      </c>
    </row>
    <row r="122" spans="18:20" x14ac:dyDescent="0.25">
      <c r="R122" s="448">
        <f t="shared" si="44"/>
        <v>0</v>
      </c>
      <c r="S122" s="444">
        <v>7000000</v>
      </c>
      <c r="T122" s="445">
        <v>18768.400000000001</v>
      </c>
    </row>
    <row r="123" spans="18:20" x14ac:dyDescent="0.25">
      <c r="R123" s="448">
        <f t="shared" si="44"/>
        <v>0</v>
      </c>
      <c r="S123" s="444">
        <v>7500000</v>
      </c>
      <c r="T123" s="445">
        <v>20109</v>
      </c>
    </row>
    <row r="124" spans="18:20" x14ac:dyDescent="0.25">
      <c r="R124" s="448">
        <f t="shared" si="44"/>
        <v>0</v>
      </c>
      <c r="S124" s="444">
        <v>8000000</v>
      </c>
      <c r="T124" s="445">
        <v>21449.599999999999</v>
      </c>
    </row>
    <row r="125" spans="18:20" x14ac:dyDescent="0.25">
      <c r="R125" s="448">
        <f t="shared" si="44"/>
        <v>0</v>
      </c>
      <c r="S125" s="444">
        <v>8500000</v>
      </c>
      <c r="T125" s="445">
        <v>22790.2</v>
      </c>
    </row>
    <row r="126" spans="18:20" x14ac:dyDescent="0.25">
      <c r="R126" s="448">
        <f t="shared" si="44"/>
        <v>0</v>
      </c>
      <c r="S126" s="444">
        <v>9000000</v>
      </c>
      <c r="T126" s="445">
        <v>24130.799999999999</v>
      </c>
    </row>
    <row r="127" spans="18:20" x14ac:dyDescent="0.25">
      <c r="R127" s="448">
        <f t="shared" si="44"/>
        <v>0</v>
      </c>
      <c r="S127" s="444">
        <v>9500000</v>
      </c>
      <c r="T127" s="445">
        <v>25471.4</v>
      </c>
    </row>
    <row r="128" spans="18:20" x14ac:dyDescent="0.25">
      <c r="R128" s="448">
        <f>IF(AND(T109&gt;=S128),1,0)</f>
        <v>0</v>
      </c>
      <c r="S128" s="444">
        <v>10000000</v>
      </c>
      <c r="T128" s="445">
        <v>26812</v>
      </c>
    </row>
    <row r="130" spans="18:20" x14ac:dyDescent="0.25">
      <c r="T130" s="13"/>
    </row>
    <row r="131" spans="18:20" x14ac:dyDescent="0.25">
      <c r="S131" s="18" t="s">
        <v>544</v>
      </c>
      <c r="T131" s="443">
        <f>'Entrevista Balance'!G6</f>
        <v>1000000</v>
      </c>
    </row>
    <row r="132" spans="18:20" x14ac:dyDescent="0.25">
      <c r="S132" s="3" t="s">
        <v>540</v>
      </c>
      <c r="T132" s="1" t="s">
        <v>534</v>
      </c>
    </row>
    <row r="133" spans="18:20" x14ac:dyDescent="0.25">
      <c r="R133" s="448">
        <f>IF(T131=0,0,IF(AND(T131&lt;=S133),1,0))</f>
        <v>1</v>
      </c>
      <c r="S133" s="444">
        <v>1500000</v>
      </c>
      <c r="T133" s="445">
        <v>2221.35</v>
      </c>
    </row>
    <row r="134" spans="18:20" x14ac:dyDescent="0.25">
      <c r="R134" s="448">
        <f>IF(AND($T$131&lt;=S134,$T$131&gt;S133),1,0)</f>
        <v>0</v>
      </c>
      <c r="S134" s="444">
        <v>2000000</v>
      </c>
      <c r="T134" s="445">
        <v>2961.8</v>
      </c>
    </row>
    <row r="135" spans="18:20" x14ac:dyDescent="0.25">
      <c r="R135" s="448">
        <f t="shared" ref="R135:R149" si="45">IF(AND($T$131&lt;=S135,$T$131&gt;S134),1,0)</f>
        <v>0</v>
      </c>
      <c r="S135" s="444">
        <v>2500000</v>
      </c>
      <c r="T135" s="445">
        <v>3702.2500000000005</v>
      </c>
    </row>
    <row r="136" spans="18:20" x14ac:dyDescent="0.25">
      <c r="R136" s="448">
        <f t="shared" si="45"/>
        <v>0</v>
      </c>
      <c r="S136" s="444">
        <v>3000000</v>
      </c>
      <c r="T136" s="445">
        <v>4442.7</v>
      </c>
    </row>
    <row r="137" spans="18:20" x14ac:dyDescent="0.25">
      <c r="R137" s="448">
        <f t="shared" si="45"/>
        <v>0</v>
      </c>
      <c r="S137" s="444">
        <v>3500000</v>
      </c>
      <c r="T137" s="445">
        <v>5183.1499999999996</v>
      </c>
    </row>
    <row r="138" spans="18:20" x14ac:dyDescent="0.25">
      <c r="R138" s="448">
        <f t="shared" si="45"/>
        <v>0</v>
      </c>
      <c r="S138" s="444">
        <v>4000000</v>
      </c>
      <c r="T138" s="445">
        <v>5923.6</v>
      </c>
    </row>
    <row r="139" spans="18:20" x14ac:dyDescent="0.25">
      <c r="R139" s="448">
        <f t="shared" si="45"/>
        <v>0</v>
      </c>
      <c r="S139" s="444">
        <v>4500000</v>
      </c>
      <c r="T139" s="445">
        <v>6664.0500000000011</v>
      </c>
    </row>
    <row r="140" spans="18:20" x14ac:dyDescent="0.25">
      <c r="R140" s="448">
        <f t="shared" si="45"/>
        <v>0</v>
      </c>
      <c r="S140" s="444">
        <v>5000000</v>
      </c>
      <c r="T140" s="445">
        <v>7404.5000000000009</v>
      </c>
    </row>
    <row r="141" spans="18:20" x14ac:dyDescent="0.25">
      <c r="R141" s="448">
        <f t="shared" si="45"/>
        <v>0</v>
      </c>
      <c r="S141" s="444">
        <v>5500000</v>
      </c>
      <c r="T141" s="445">
        <v>8144.9500000000007</v>
      </c>
    </row>
    <row r="142" spans="18:20" x14ac:dyDescent="0.25">
      <c r="R142" s="448">
        <f t="shared" si="45"/>
        <v>0</v>
      </c>
      <c r="S142" s="444">
        <v>6000000</v>
      </c>
      <c r="T142" s="445">
        <v>8885.4</v>
      </c>
    </row>
    <row r="143" spans="18:20" x14ac:dyDescent="0.25">
      <c r="R143" s="448">
        <f t="shared" si="45"/>
        <v>0</v>
      </c>
      <c r="S143" s="444">
        <v>6500000</v>
      </c>
      <c r="T143" s="445">
        <v>9625.85</v>
      </c>
    </row>
    <row r="144" spans="18:20" x14ac:dyDescent="0.25">
      <c r="R144" s="448">
        <f t="shared" si="45"/>
        <v>0</v>
      </c>
      <c r="S144" s="444">
        <v>7000000</v>
      </c>
      <c r="T144" s="445">
        <v>10366.299999999999</v>
      </c>
    </row>
    <row r="145" spans="18:20" x14ac:dyDescent="0.25">
      <c r="R145" s="448">
        <f t="shared" si="45"/>
        <v>0</v>
      </c>
      <c r="S145" s="444">
        <v>7500000</v>
      </c>
      <c r="T145" s="445">
        <v>11106.75</v>
      </c>
    </row>
    <row r="146" spans="18:20" x14ac:dyDescent="0.25">
      <c r="R146" s="448">
        <f t="shared" si="45"/>
        <v>0</v>
      </c>
      <c r="S146" s="444">
        <v>8000000</v>
      </c>
      <c r="T146" s="445">
        <v>11847.2</v>
      </c>
    </row>
    <row r="147" spans="18:20" x14ac:dyDescent="0.25">
      <c r="R147" s="448">
        <f t="shared" si="45"/>
        <v>0</v>
      </c>
      <c r="S147" s="444">
        <v>8500000</v>
      </c>
      <c r="T147" s="445">
        <v>12587.65</v>
      </c>
    </row>
    <row r="148" spans="18:20" x14ac:dyDescent="0.25">
      <c r="R148" s="448">
        <f t="shared" si="45"/>
        <v>0</v>
      </c>
      <c r="S148" s="444">
        <v>9000000</v>
      </c>
      <c r="T148" s="445">
        <v>13328.100000000002</v>
      </c>
    </row>
    <row r="149" spans="18:20" x14ac:dyDescent="0.25">
      <c r="R149" s="448">
        <f t="shared" si="45"/>
        <v>0</v>
      </c>
      <c r="S149" s="444">
        <v>9500000</v>
      </c>
      <c r="T149" s="445">
        <v>14068.550000000001</v>
      </c>
    </row>
    <row r="150" spans="18:20" x14ac:dyDescent="0.25">
      <c r="R150" s="448">
        <f>IF(AND(T131&gt;=S150),1,0)</f>
        <v>0</v>
      </c>
      <c r="S150" s="444">
        <v>10000000</v>
      </c>
      <c r="T150" s="445">
        <v>14809.000000000002</v>
      </c>
    </row>
  </sheetData>
  <mergeCells count="2">
    <mergeCell ref="BQ92:BR92"/>
    <mergeCell ref="BS93:CB93"/>
  </mergeCells>
  <conditionalFormatting sqref="C40">
    <cfRule type="cellIs" dxfId="40" priority="5" operator="lessThan">
      <formula>0</formula>
    </cfRule>
  </conditionalFormatting>
  <conditionalFormatting sqref="C42">
    <cfRule type="cellIs" dxfId="39" priority="4" operator="lessThan">
      <formula>0</formula>
    </cfRule>
  </conditionalFormatting>
  <conditionalFormatting sqref="C69">
    <cfRule type="cellIs" dxfId="38" priority="6" operator="lessThan">
      <formula>0</formula>
    </cfRule>
  </conditionalFormatting>
  <conditionalFormatting sqref="Q30">
    <cfRule type="containsText" dxfId="37" priority="8" operator="containsText" text="NO BORRAR">
      <formula>NOT(ISERROR(SEARCH("NO BORRAR",Q30)))</formula>
    </cfRule>
  </conditionalFormatting>
  <conditionalFormatting sqref="Z81:BM82">
    <cfRule type="cellIs" dxfId="36" priority="2" operator="lessThan">
      <formula>0</formula>
    </cfRule>
  </conditionalFormatting>
  <conditionalFormatting sqref="Z98:BM99">
    <cfRule type="cellIs" dxfId="35" priority="1" operator="lessThan">
      <formula>0</formula>
    </cfRule>
  </conditionalFormatting>
  <pageMargins left="0.7" right="0.7" top="0.75" bottom="0.75" header="0.3" footer="0.3"/>
  <pageSetup scale="75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11F15-9D47-4F16-BFAA-2EC6FAE819E0}">
  <sheetPr>
    <tabColor rgb="FF314566"/>
    <pageSetUpPr fitToPage="1"/>
  </sheetPr>
  <dimension ref="A1:EH156"/>
  <sheetViews>
    <sheetView showGridLines="0" topLeftCell="A38" zoomScale="46" zoomScaleNormal="54" workbookViewId="0">
      <selection activeCell="DG118" sqref="DG118"/>
    </sheetView>
  </sheetViews>
  <sheetFormatPr baseColWidth="10" defaultColWidth="10.85546875" defaultRowHeight="28.5" x14ac:dyDescent="0.25"/>
  <cols>
    <col min="1" max="110" width="2.5703125" style="274" customWidth="1"/>
    <col min="111" max="111" width="27.7109375" style="274" customWidth="1"/>
    <col min="112" max="112" width="30.140625" style="312" bestFit="1" customWidth="1"/>
    <col min="113" max="113" width="37.5703125" style="274" customWidth="1"/>
    <col min="114" max="114" width="27.42578125" style="274" customWidth="1"/>
    <col min="115" max="16384" width="10.85546875" style="274"/>
  </cols>
  <sheetData>
    <row r="1" spans="1:119" ht="12" customHeight="1" x14ac:dyDescent="0.25">
      <c r="A1" s="371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1"/>
      <c r="AH1" s="371"/>
      <c r="AI1" s="371"/>
      <c r="AJ1" s="371"/>
      <c r="AK1" s="371"/>
      <c r="AL1" s="371"/>
      <c r="AM1" s="371"/>
      <c r="AN1" s="371"/>
      <c r="AO1" s="371"/>
      <c r="AP1" s="371"/>
      <c r="AQ1" s="371"/>
      <c r="AR1" s="371"/>
      <c r="AS1" s="371"/>
      <c r="AT1" s="371"/>
      <c r="AU1" s="371"/>
      <c r="AV1" s="371"/>
      <c r="AW1" s="371"/>
      <c r="AX1" s="371"/>
      <c r="AY1" s="371"/>
      <c r="AZ1" s="371"/>
      <c r="BA1" s="371"/>
      <c r="BB1" s="371"/>
      <c r="BC1" s="371"/>
      <c r="BD1" s="371"/>
      <c r="BE1" s="371"/>
      <c r="BF1" s="371"/>
      <c r="BG1" s="371"/>
      <c r="BH1" s="371"/>
      <c r="BI1" s="371"/>
      <c r="BJ1" s="371"/>
      <c r="BK1" s="371"/>
      <c r="BL1" s="371"/>
      <c r="BM1" s="371"/>
      <c r="BN1" s="371"/>
      <c r="BO1" s="371"/>
      <c r="BP1" s="371"/>
      <c r="BQ1" s="371"/>
      <c r="BR1" s="371"/>
      <c r="BS1" s="371"/>
      <c r="BT1" s="371"/>
      <c r="BU1" s="371"/>
      <c r="BV1" s="371"/>
      <c r="BW1" s="371"/>
      <c r="BX1" s="371"/>
      <c r="BY1" s="371"/>
      <c r="BZ1" s="371"/>
      <c r="CA1" s="371"/>
      <c r="CB1" s="371"/>
      <c r="CC1" s="371"/>
      <c r="CD1" s="371"/>
      <c r="CE1" s="371"/>
      <c r="CF1" s="371"/>
      <c r="CG1" s="371"/>
      <c r="CH1" s="371"/>
      <c r="CI1" s="371"/>
      <c r="CJ1" s="371"/>
      <c r="CK1" s="371"/>
      <c r="CL1" s="371"/>
      <c r="CM1" s="371"/>
      <c r="CN1" s="371"/>
      <c r="CO1" s="371"/>
      <c r="CP1" s="371"/>
      <c r="CQ1" s="371"/>
      <c r="CR1" s="371"/>
      <c r="CS1" s="371"/>
      <c r="CT1" s="371"/>
      <c r="CU1" s="371"/>
      <c r="CV1" s="371"/>
      <c r="CW1" s="371"/>
      <c r="CX1" s="371"/>
      <c r="CY1" s="371"/>
      <c r="CZ1" s="371"/>
      <c r="DA1" s="371"/>
      <c r="DB1" s="371"/>
      <c r="DC1" s="371"/>
      <c r="DD1" s="371"/>
      <c r="DE1" s="371"/>
      <c r="DF1" s="371"/>
    </row>
    <row r="2" spans="1:119" ht="12" customHeight="1" x14ac:dyDescent="0.25">
      <c r="A2" s="371"/>
      <c r="B2" s="371"/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1"/>
      <c r="AC2" s="371"/>
      <c r="AD2" s="371"/>
      <c r="AE2" s="371"/>
      <c r="AF2" s="371"/>
      <c r="AG2" s="371"/>
      <c r="AH2" s="371"/>
      <c r="AI2" s="371"/>
      <c r="AJ2" s="371"/>
      <c r="AK2" s="371"/>
      <c r="AL2" s="371"/>
      <c r="AM2" s="371"/>
      <c r="AN2" s="371"/>
      <c r="AO2" s="371"/>
      <c r="AP2" s="371"/>
      <c r="AQ2" s="371"/>
      <c r="AR2" s="371"/>
      <c r="AS2" s="371"/>
      <c r="AT2" s="371"/>
      <c r="AU2" s="371"/>
      <c r="AV2" s="371"/>
      <c r="AW2" s="371"/>
      <c r="AX2" s="371"/>
      <c r="AY2" s="371"/>
      <c r="AZ2" s="371"/>
      <c r="BA2" s="371"/>
      <c r="BB2" s="371"/>
      <c r="BC2" s="371"/>
      <c r="BD2" s="371"/>
      <c r="BE2" s="371"/>
      <c r="BF2" s="371"/>
      <c r="BG2" s="371"/>
      <c r="BH2" s="371"/>
      <c r="BI2" s="371"/>
      <c r="BJ2" s="371"/>
      <c r="BK2" s="371"/>
      <c r="BL2" s="371"/>
      <c r="BM2" s="371"/>
      <c r="BN2" s="371"/>
      <c r="BO2" s="371"/>
      <c r="BP2" s="371"/>
      <c r="BQ2" s="371"/>
      <c r="BR2" s="371"/>
      <c r="BS2" s="371"/>
      <c r="BT2" s="371"/>
      <c r="BU2" s="371"/>
      <c r="BV2" s="371"/>
      <c r="BW2" s="371"/>
      <c r="BX2" s="371"/>
      <c r="BY2" s="371"/>
      <c r="BZ2" s="371"/>
      <c r="CA2" s="371"/>
      <c r="CB2" s="371"/>
      <c r="CC2" s="371"/>
      <c r="CD2" s="371"/>
      <c r="CE2" s="371"/>
      <c r="CF2" s="371"/>
      <c r="CG2" s="371"/>
      <c r="CH2" s="371"/>
      <c r="CI2" s="371"/>
      <c r="CJ2" s="371"/>
      <c r="CK2" s="371"/>
      <c r="CL2" s="371"/>
      <c r="CM2" s="371"/>
      <c r="CN2" s="371"/>
      <c r="CO2" s="371"/>
      <c r="CP2" s="371"/>
      <c r="CQ2" s="371"/>
      <c r="CR2" s="371"/>
      <c r="CS2" s="371"/>
      <c r="CT2" s="371"/>
      <c r="CU2" s="371"/>
      <c r="CV2" s="371"/>
      <c r="CW2" s="371"/>
      <c r="CX2" s="371"/>
      <c r="CY2" s="371"/>
      <c r="CZ2" s="371"/>
      <c r="DA2" s="371"/>
      <c r="DB2" s="371"/>
      <c r="DC2" s="371"/>
      <c r="DD2" s="371"/>
      <c r="DE2" s="371"/>
      <c r="DF2" s="371"/>
    </row>
    <row r="3" spans="1:119" x14ac:dyDescent="0.25">
      <c r="A3" s="371"/>
      <c r="B3" s="372"/>
      <c r="C3" s="372"/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2"/>
      <c r="O3" s="372"/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2"/>
      <c r="AA3" s="372"/>
      <c r="AB3" s="372"/>
      <c r="AC3" s="372"/>
      <c r="AD3" s="372"/>
      <c r="AE3" s="372"/>
      <c r="AF3" s="372"/>
      <c r="AG3" s="372"/>
      <c r="AH3" s="372"/>
      <c r="AI3" s="372"/>
      <c r="AJ3" s="372"/>
      <c r="AK3" s="372"/>
      <c r="AL3" s="372"/>
      <c r="AM3" s="372"/>
      <c r="AN3" s="372"/>
      <c r="AO3" s="372"/>
      <c r="AP3" s="372"/>
      <c r="AQ3" s="372"/>
      <c r="AR3" s="372"/>
      <c r="AS3" s="372"/>
      <c r="AT3" s="372"/>
      <c r="AU3" s="372"/>
      <c r="AV3" s="372"/>
      <c r="AW3" s="372"/>
      <c r="AX3" s="372"/>
      <c r="AY3" s="372"/>
      <c r="AZ3" s="372"/>
      <c r="BA3" s="372"/>
      <c r="BB3" s="372"/>
      <c r="BC3" s="372"/>
      <c r="BD3" s="372"/>
      <c r="BE3" s="372"/>
      <c r="BF3" s="372"/>
      <c r="BG3" s="372"/>
      <c r="BH3" s="372"/>
      <c r="BI3" s="372"/>
      <c r="BJ3" s="372"/>
      <c r="BK3" s="372"/>
      <c r="BL3" s="372"/>
      <c r="BM3" s="372"/>
      <c r="BN3" s="372"/>
      <c r="BO3" s="372"/>
      <c r="BP3" s="372"/>
      <c r="BQ3" s="372"/>
      <c r="BR3" s="372"/>
      <c r="BS3" s="372"/>
      <c r="BT3" s="372"/>
      <c r="BU3" s="372"/>
      <c r="BV3" s="372"/>
      <c r="BW3" s="372"/>
      <c r="BX3" s="372"/>
      <c r="BY3" s="372"/>
      <c r="BZ3" s="372"/>
      <c r="CA3" s="372"/>
      <c r="CB3" s="372"/>
      <c r="CC3" s="372"/>
      <c r="CD3" s="372"/>
      <c r="CE3" s="372"/>
      <c r="CF3" s="372"/>
      <c r="CG3" s="372"/>
      <c r="CH3" s="372"/>
      <c r="CI3" s="372"/>
      <c r="CJ3" s="372"/>
      <c r="CK3" s="372"/>
      <c r="CL3" s="372"/>
      <c r="CM3" s="372"/>
      <c r="CN3" s="372"/>
      <c r="CO3" s="372"/>
      <c r="CP3" s="372"/>
      <c r="CQ3" s="372"/>
      <c r="CR3" s="372"/>
      <c r="CS3" s="372"/>
      <c r="CT3" s="372"/>
      <c r="CU3" s="372"/>
      <c r="CV3" s="372"/>
      <c r="CW3" s="372"/>
      <c r="CX3" s="372"/>
      <c r="CY3" s="372"/>
      <c r="CZ3" s="372"/>
      <c r="DA3" s="372"/>
      <c r="DB3" s="372"/>
      <c r="DC3" s="372"/>
      <c r="DD3" s="372"/>
      <c r="DE3" s="371"/>
      <c r="DF3" s="371"/>
    </row>
    <row r="4" spans="1:119" ht="12.95" customHeight="1" x14ac:dyDescent="0.25">
      <c r="A4" s="371"/>
      <c r="B4" s="372"/>
      <c r="C4" s="372"/>
      <c r="D4" s="372"/>
      <c r="E4" s="372"/>
      <c r="F4" s="372"/>
      <c r="G4" s="372"/>
      <c r="H4" s="372"/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2"/>
      <c r="T4" s="372"/>
      <c r="U4" s="372"/>
      <c r="V4" s="372"/>
      <c r="W4" s="372"/>
      <c r="X4" s="372"/>
      <c r="Y4" s="372"/>
      <c r="Z4" s="372"/>
      <c r="AA4" s="372"/>
      <c r="AB4" s="372"/>
      <c r="AC4" s="372"/>
      <c r="AD4" s="372"/>
      <c r="AE4" s="372"/>
      <c r="AF4" s="372"/>
      <c r="AG4" s="372"/>
      <c r="AH4" s="372"/>
      <c r="AI4" s="372"/>
      <c r="AJ4" s="372"/>
      <c r="AK4" s="372"/>
      <c r="AL4" s="372"/>
      <c r="AM4" s="372"/>
      <c r="AN4" s="372"/>
      <c r="AO4" s="372"/>
      <c r="AP4" s="372"/>
      <c r="AQ4" s="372"/>
      <c r="AR4" s="372"/>
      <c r="AS4" s="372"/>
      <c r="AT4" s="372"/>
      <c r="AU4" s="372"/>
      <c r="AV4" s="372"/>
      <c r="AW4" s="372"/>
      <c r="AX4" s="372"/>
      <c r="AY4" s="372"/>
      <c r="AZ4" s="372"/>
      <c r="BA4" s="372"/>
      <c r="BB4" s="372"/>
      <c r="BC4" s="372"/>
      <c r="BD4" s="372"/>
      <c r="BE4" s="372"/>
      <c r="BF4" s="372"/>
      <c r="BG4" s="372"/>
      <c r="BH4" s="372"/>
      <c r="BI4" s="372"/>
      <c r="BJ4" s="372"/>
      <c r="BK4" s="372"/>
      <c r="BL4" s="372"/>
      <c r="BM4" s="372"/>
      <c r="BN4" s="372"/>
      <c r="BO4" s="372"/>
      <c r="BP4" s="372"/>
      <c r="BQ4" s="372"/>
      <c r="BR4" s="372"/>
      <c r="BS4" s="372"/>
      <c r="BT4" s="372"/>
      <c r="BU4" s="372"/>
      <c r="BV4" s="372"/>
      <c r="BW4" s="372"/>
      <c r="BX4" s="372"/>
      <c r="BY4" s="372"/>
      <c r="BZ4" s="372"/>
      <c r="CA4" s="372"/>
      <c r="CB4" s="372"/>
      <c r="CC4" s="372"/>
      <c r="CD4" s="372"/>
      <c r="CE4" s="372"/>
      <c r="CF4" s="372"/>
      <c r="CG4" s="372"/>
      <c r="CH4" s="372"/>
      <c r="CI4" s="372"/>
      <c r="CJ4" s="372"/>
      <c r="CK4" s="372"/>
      <c r="CL4" s="372"/>
      <c r="CM4" s="372"/>
      <c r="CN4" s="372"/>
      <c r="CO4" s="372"/>
      <c r="CP4" s="372"/>
      <c r="CQ4" s="372"/>
      <c r="CR4" s="372"/>
      <c r="CS4" s="372"/>
      <c r="CT4" s="372"/>
      <c r="CU4" s="372"/>
      <c r="CV4" s="372"/>
      <c r="CW4" s="372"/>
      <c r="CX4" s="372"/>
      <c r="CY4" s="372"/>
      <c r="CZ4" s="372"/>
      <c r="DA4" s="372"/>
      <c r="DB4" s="372"/>
      <c r="DC4" s="372"/>
      <c r="DD4" s="372"/>
      <c r="DE4" s="371"/>
      <c r="DF4" s="371"/>
    </row>
    <row r="5" spans="1:119" s="370" customFormat="1" ht="18.600000000000001" customHeight="1" x14ac:dyDescent="0.25">
      <c r="A5" s="371"/>
      <c r="B5" s="372"/>
      <c r="C5" s="372"/>
      <c r="D5" s="374"/>
      <c r="E5" s="374"/>
      <c r="F5" s="374"/>
      <c r="G5" s="374"/>
      <c r="H5" s="374"/>
      <c r="I5" s="374"/>
      <c r="J5" s="374"/>
      <c r="K5" s="374"/>
      <c r="L5" s="374"/>
      <c r="M5" s="374"/>
      <c r="N5" s="374"/>
      <c r="O5" s="374"/>
      <c r="P5" s="374"/>
      <c r="Q5" s="374"/>
      <c r="R5" s="374"/>
      <c r="S5" s="374"/>
      <c r="T5" s="374"/>
      <c r="U5" s="374"/>
      <c r="V5" s="374"/>
      <c r="W5" s="374"/>
      <c r="X5" s="374"/>
      <c r="Y5" s="374"/>
      <c r="Z5" s="374"/>
      <c r="AA5" s="374"/>
      <c r="AB5" s="374"/>
      <c r="AC5" s="374"/>
      <c r="AD5" s="374"/>
      <c r="AE5" s="374"/>
      <c r="AF5" s="372"/>
      <c r="AT5" s="372"/>
      <c r="AU5" s="372"/>
      <c r="AV5" s="372"/>
      <c r="AW5" s="372"/>
      <c r="AX5" s="372"/>
      <c r="AY5" s="372"/>
      <c r="AZ5" s="372"/>
      <c r="BA5" s="372"/>
      <c r="BB5" s="372"/>
      <c r="BC5" s="372"/>
      <c r="BD5" s="372"/>
      <c r="BE5" s="372"/>
      <c r="BG5" s="372"/>
      <c r="BH5" s="372"/>
      <c r="BI5" s="372"/>
      <c r="BJ5" s="372"/>
      <c r="BK5" s="372"/>
      <c r="BL5" s="372"/>
      <c r="BM5" s="372"/>
      <c r="BN5" s="372"/>
      <c r="BO5" s="372"/>
      <c r="BP5" s="372"/>
      <c r="BQ5" s="372"/>
      <c r="BR5" s="372"/>
      <c r="BS5" s="372"/>
      <c r="BT5" s="372"/>
      <c r="BU5" s="372"/>
      <c r="BV5" s="372"/>
      <c r="BW5" s="372"/>
      <c r="BX5" s="372"/>
      <c r="BY5" s="372"/>
      <c r="BZ5" s="372"/>
      <c r="CA5" s="372"/>
      <c r="CB5" s="372"/>
      <c r="CC5" s="372"/>
      <c r="CD5" s="372"/>
      <c r="CE5" s="372"/>
      <c r="CF5" s="372"/>
      <c r="CG5" s="372"/>
      <c r="CH5" s="372"/>
      <c r="CI5" s="372"/>
      <c r="CJ5" s="372"/>
      <c r="CK5" s="372"/>
      <c r="CL5" s="372"/>
      <c r="CM5" s="373"/>
      <c r="CN5" s="373"/>
      <c r="CO5" s="373"/>
      <c r="CP5" s="373"/>
      <c r="CQ5" s="373"/>
      <c r="CR5" s="373"/>
      <c r="CS5" s="373"/>
      <c r="CT5" s="373"/>
      <c r="CU5" s="373"/>
      <c r="CV5" s="373"/>
      <c r="CW5" s="373"/>
      <c r="CX5" s="373"/>
      <c r="CY5" s="372"/>
      <c r="CZ5" s="372"/>
      <c r="DA5" s="372"/>
      <c r="DB5" s="372"/>
      <c r="DC5" s="372"/>
      <c r="DD5" s="372"/>
      <c r="DE5" s="371"/>
      <c r="DF5" s="371"/>
      <c r="DH5" s="316"/>
    </row>
    <row r="6" spans="1:119" s="314" customFormat="1" ht="34.5" x14ac:dyDescent="0.25">
      <c r="A6" s="315"/>
      <c r="B6" s="317"/>
      <c r="C6" s="317"/>
      <c r="D6" s="209" t="s">
        <v>479</v>
      </c>
      <c r="X6" s="320"/>
      <c r="Y6" s="320"/>
      <c r="Z6" s="320"/>
      <c r="AA6" s="320"/>
      <c r="AB6" s="320"/>
      <c r="AC6" s="320"/>
      <c r="AD6" s="320"/>
      <c r="AE6" s="320"/>
      <c r="AF6" s="320"/>
      <c r="AG6" s="320"/>
      <c r="AH6" s="320"/>
      <c r="AI6" s="320"/>
      <c r="AJ6" s="320"/>
      <c r="AX6" s="317"/>
      <c r="AY6" s="317"/>
      <c r="AZ6" s="317"/>
      <c r="BA6" s="317"/>
      <c r="BB6" s="317"/>
      <c r="BC6" s="317"/>
      <c r="BD6" s="317"/>
      <c r="BE6" s="317"/>
      <c r="BF6" s="317"/>
      <c r="BG6" s="317"/>
      <c r="BH6" s="317"/>
      <c r="BI6" s="317"/>
      <c r="BJ6" s="317"/>
      <c r="BK6" s="317"/>
      <c r="BL6" s="317"/>
      <c r="BM6" s="317"/>
      <c r="BN6" s="317"/>
      <c r="BO6" s="317"/>
      <c r="BP6" s="317"/>
      <c r="BQ6" s="317"/>
      <c r="BR6" s="317"/>
      <c r="BS6" s="317"/>
      <c r="BT6" s="317"/>
      <c r="BU6" s="317"/>
      <c r="BV6" s="317"/>
      <c r="BW6" s="317"/>
      <c r="BX6" s="317"/>
      <c r="BY6" s="317"/>
      <c r="BZ6" s="317"/>
      <c r="CA6" s="317"/>
      <c r="CB6" s="317"/>
      <c r="CC6" s="317"/>
      <c r="CD6" s="317"/>
      <c r="CE6" s="317"/>
      <c r="CF6" s="317"/>
      <c r="CG6" s="317"/>
      <c r="CH6" s="317"/>
      <c r="CI6" s="317"/>
      <c r="CJ6" s="317"/>
      <c r="CK6" s="317"/>
      <c r="CL6" s="317"/>
      <c r="CM6" s="317"/>
      <c r="CN6" s="317"/>
      <c r="CO6" s="317"/>
      <c r="CP6" s="317"/>
      <c r="CQ6" s="317"/>
      <c r="CR6" s="317"/>
      <c r="CS6" s="317"/>
      <c r="CT6" s="317"/>
      <c r="CU6" s="317"/>
      <c r="CV6" s="317"/>
      <c r="CW6" s="317"/>
      <c r="CX6" s="317"/>
      <c r="CY6" s="317"/>
      <c r="CZ6" s="317"/>
      <c r="DA6" s="326"/>
      <c r="DB6" s="317"/>
      <c r="DC6" s="317"/>
      <c r="DD6" s="317"/>
      <c r="DE6" s="315"/>
      <c r="DF6" s="315"/>
      <c r="DH6" s="316"/>
    </row>
    <row r="7" spans="1:119" s="314" customFormat="1" ht="15.6" customHeight="1" x14ac:dyDescent="0.25">
      <c r="A7" s="315"/>
      <c r="B7" s="317"/>
      <c r="C7" s="317"/>
      <c r="X7" s="320"/>
      <c r="Y7" s="320"/>
      <c r="Z7" s="320"/>
      <c r="AA7" s="320"/>
      <c r="AB7" s="320"/>
      <c r="AC7" s="320"/>
      <c r="AD7" s="320"/>
      <c r="AE7" s="320"/>
      <c r="AF7" s="320"/>
      <c r="AG7" s="320"/>
      <c r="AH7" s="320"/>
      <c r="AI7" s="320"/>
      <c r="AJ7" s="320"/>
      <c r="AX7" s="317"/>
      <c r="AY7" s="317"/>
      <c r="AZ7" s="317"/>
      <c r="BA7" s="317"/>
      <c r="BB7" s="317"/>
      <c r="BC7" s="317"/>
      <c r="BD7" s="317"/>
      <c r="BE7" s="317"/>
      <c r="BF7" s="317"/>
      <c r="BG7" s="317"/>
      <c r="BH7" s="317"/>
      <c r="BI7" s="317"/>
      <c r="BJ7" s="317"/>
      <c r="BK7" s="317"/>
      <c r="BL7" s="317"/>
      <c r="BM7" s="317"/>
      <c r="BN7" s="317"/>
      <c r="BO7" s="317"/>
      <c r="BP7" s="317"/>
      <c r="BQ7" s="317"/>
      <c r="BR7" s="317"/>
      <c r="BS7" s="317"/>
      <c r="BT7" s="317"/>
      <c r="BU7" s="317"/>
      <c r="BV7" s="317"/>
      <c r="BW7" s="317"/>
      <c r="BX7" s="317"/>
      <c r="BY7" s="317"/>
      <c r="BZ7" s="317"/>
      <c r="CA7" s="317"/>
      <c r="CB7" s="317"/>
      <c r="CC7" s="317"/>
      <c r="CD7" s="317"/>
      <c r="CE7" s="317"/>
      <c r="CF7" s="317"/>
      <c r="CG7" s="317"/>
      <c r="CH7" s="317"/>
      <c r="CI7" s="317"/>
      <c r="CJ7" s="317"/>
      <c r="CK7" s="317"/>
      <c r="CL7" s="317"/>
      <c r="CM7" s="317"/>
      <c r="CN7" s="317"/>
      <c r="CO7" s="317"/>
      <c r="CP7" s="317"/>
      <c r="CQ7" s="317"/>
      <c r="CR7" s="317"/>
      <c r="CS7" s="317"/>
      <c r="CT7" s="317"/>
      <c r="CU7" s="317"/>
      <c r="CV7" s="317"/>
      <c r="CW7" s="317"/>
      <c r="CX7" s="317"/>
      <c r="CY7" s="317"/>
      <c r="CZ7" s="317"/>
      <c r="DA7" s="326"/>
      <c r="DB7" s="317"/>
      <c r="DC7" s="317"/>
      <c r="DD7" s="317"/>
      <c r="DE7" s="315"/>
      <c r="DF7" s="315"/>
      <c r="DH7" s="316"/>
    </row>
    <row r="8" spans="1:119" s="314" customFormat="1" ht="30" x14ac:dyDescent="0.25">
      <c r="A8" s="315"/>
      <c r="B8" s="317"/>
      <c r="C8" s="317"/>
      <c r="D8" s="366"/>
      <c r="E8" s="364" t="s">
        <v>76</v>
      </c>
      <c r="F8" s="363"/>
      <c r="G8" s="338"/>
      <c r="H8" s="338"/>
      <c r="I8" s="338"/>
      <c r="J8" s="338"/>
      <c r="K8" s="338"/>
      <c r="L8" s="338"/>
      <c r="M8" s="338"/>
      <c r="N8" s="338"/>
      <c r="O8" s="338"/>
      <c r="P8" s="338"/>
      <c r="Q8" s="338"/>
      <c r="U8" s="362"/>
      <c r="V8" s="364" t="s">
        <v>441</v>
      </c>
      <c r="W8" s="363"/>
      <c r="X8" s="338"/>
      <c r="Y8" s="338"/>
      <c r="Z8" s="338"/>
      <c r="AA8" s="338"/>
      <c r="AB8" s="338"/>
      <c r="AC8" s="338"/>
      <c r="AD8" s="338"/>
      <c r="AE8" s="337"/>
      <c r="AF8" s="337"/>
      <c r="AG8" s="338"/>
      <c r="AH8" s="320"/>
      <c r="AL8" s="367"/>
      <c r="AM8" s="364" t="s">
        <v>472</v>
      </c>
      <c r="AN8" s="363"/>
      <c r="AO8" s="338"/>
      <c r="AP8" s="338"/>
      <c r="AQ8" s="338"/>
      <c r="AR8" s="338"/>
      <c r="AS8" s="338"/>
      <c r="AT8" s="338"/>
      <c r="AU8" s="338"/>
      <c r="BC8" s="369"/>
      <c r="BD8" s="364" t="s">
        <v>415</v>
      </c>
      <c r="BE8" s="363"/>
      <c r="BF8" s="338"/>
      <c r="BG8" s="338"/>
      <c r="BH8" s="338"/>
      <c r="BI8" s="338"/>
      <c r="BJ8" s="338"/>
      <c r="BK8" s="338"/>
      <c r="BL8" s="338"/>
      <c r="CB8" s="317"/>
      <c r="CC8" s="317"/>
      <c r="CD8" s="317"/>
      <c r="CO8" s="317"/>
      <c r="CP8" s="317"/>
      <c r="CQ8" s="317"/>
      <c r="DB8" s="317"/>
      <c r="DC8" s="317"/>
      <c r="DD8" s="317"/>
      <c r="DE8" s="315"/>
      <c r="DF8" s="315"/>
      <c r="DH8" s="316"/>
    </row>
    <row r="9" spans="1:119" s="314" customFormat="1" ht="30" x14ac:dyDescent="0.25">
      <c r="A9" s="315"/>
      <c r="B9" s="317"/>
      <c r="C9" s="317"/>
      <c r="D9" s="366"/>
      <c r="E9" s="503">
        <f>ReservaCortoPlazo</f>
        <v>0</v>
      </c>
      <c r="F9" s="503"/>
      <c r="G9" s="503"/>
      <c r="H9" s="503"/>
      <c r="I9" s="503"/>
      <c r="J9" s="503"/>
      <c r="K9" s="503"/>
      <c r="L9" s="503"/>
      <c r="M9" s="503"/>
      <c r="N9" s="338"/>
      <c r="Q9" s="338"/>
      <c r="U9" s="362"/>
      <c r="V9" s="503">
        <f>'Entrevista Balance'!G4</f>
        <v>0</v>
      </c>
      <c r="W9" s="503"/>
      <c r="X9" s="503"/>
      <c r="Y9" s="503"/>
      <c r="Z9" s="503"/>
      <c r="AA9" s="503"/>
      <c r="AB9" s="503"/>
      <c r="AC9" s="503"/>
      <c r="AD9" s="503"/>
      <c r="AG9" s="338"/>
      <c r="AH9" s="320"/>
      <c r="AL9" s="367"/>
      <c r="AM9" s="503">
        <f>'Entrevista Balance'!G10</f>
        <v>0</v>
      </c>
      <c r="AN9" s="503"/>
      <c r="AO9" s="503"/>
      <c r="AP9" s="503"/>
      <c r="AQ9" s="503"/>
      <c r="AR9" s="503"/>
      <c r="AS9" s="503"/>
      <c r="AT9" s="503"/>
      <c r="AU9" s="503"/>
      <c r="AX9" s="338"/>
      <c r="BC9" s="369"/>
      <c r="BD9" s="503">
        <f>E25+V25-AM25</f>
        <v>6000000</v>
      </c>
      <c r="BE9" s="503"/>
      <c r="BF9" s="503"/>
      <c r="BG9" s="503"/>
      <c r="BH9" s="503"/>
      <c r="BI9" s="503"/>
      <c r="BJ9" s="503"/>
      <c r="BK9" s="503"/>
      <c r="BL9" s="503"/>
      <c r="BO9" s="338"/>
      <c r="CB9" s="317"/>
      <c r="CC9" s="317"/>
      <c r="CD9" s="317"/>
      <c r="CO9" s="317"/>
      <c r="CP9" s="317"/>
      <c r="CQ9" s="317"/>
      <c r="DB9" s="317"/>
      <c r="DC9" s="317"/>
      <c r="DD9" s="317"/>
      <c r="DE9" s="315"/>
      <c r="DF9" s="315"/>
      <c r="DH9" s="316"/>
    </row>
    <row r="10" spans="1:119" s="314" customFormat="1" ht="15" customHeight="1" x14ac:dyDescent="0.25">
      <c r="A10" s="315"/>
      <c r="B10" s="317"/>
      <c r="C10" s="317"/>
      <c r="D10" s="338"/>
      <c r="E10" s="338"/>
      <c r="F10" s="338"/>
      <c r="G10" s="338"/>
      <c r="H10" s="338"/>
      <c r="I10" s="338"/>
      <c r="J10" s="338"/>
      <c r="K10" s="338"/>
      <c r="L10" s="338"/>
      <c r="M10" s="338"/>
      <c r="N10" s="338"/>
      <c r="O10" s="338"/>
      <c r="P10" s="338"/>
      <c r="Q10" s="338"/>
      <c r="U10" s="337"/>
      <c r="V10" s="337"/>
      <c r="W10" s="337"/>
      <c r="X10" s="337"/>
      <c r="Y10" s="337"/>
      <c r="Z10" s="338"/>
      <c r="AA10" s="338"/>
      <c r="AB10" s="338"/>
      <c r="AC10" s="338"/>
      <c r="AD10" s="338"/>
      <c r="AG10" s="338"/>
      <c r="AH10" s="320"/>
      <c r="AL10" s="338"/>
      <c r="AM10" s="338"/>
      <c r="AN10" s="338"/>
      <c r="AO10" s="338"/>
      <c r="AP10" s="338"/>
      <c r="AQ10" s="338"/>
      <c r="AR10" s="338"/>
      <c r="AS10" s="338"/>
      <c r="AT10" s="338"/>
      <c r="AU10" s="338"/>
      <c r="AX10" s="338"/>
      <c r="BB10" s="338"/>
      <c r="BU10" s="317"/>
      <c r="BV10" s="317"/>
      <c r="BW10" s="317"/>
      <c r="BX10" s="317"/>
      <c r="BY10" s="317"/>
      <c r="BZ10" s="317"/>
      <c r="CA10" s="317"/>
      <c r="CB10" s="317"/>
      <c r="CC10" s="317"/>
      <c r="CD10" s="317"/>
      <c r="CE10" s="317"/>
      <c r="CF10" s="317"/>
      <c r="CG10" s="317"/>
      <c r="CH10" s="317"/>
      <c r="CI10" s="317"/>
      <c r="CJ10" s="317"/>
      <c r="CK10" s="317"/>
      <c r="CL10" s="317"/>
      <c r="CM10" s="317"/>
      <c r="CN10" s="317"/>
      <c r="CO10" s="317"/>
      <c r="CP10" s="317"/>
      <c r="CQ10" s="317"/>
      <c r="CR10" s="317"/>
      <c r="CS10" s="317"/>
      <c r="CT10" s="317"/>
      <c r="CU10" s="317"/>
      <c r="CV10" s="317"/>
      <c r="CW10" s="317"/>
      <c r="CX10" s="317"/>
      <c r="CY10" s="317"/>
      <c r="CZ10" s="317"/>
      <c r="DA10" s="326"/>
      <c r="DB10" s="317"/>
      <c r="DC10" s="317"/>
      <c r="DD10" s="317"/>
      <c r="DE10" s="315"/>
      <c r="DF10" s="315"/>
      <c r="DG10"/>
      <c r="DH10" s="316"/>
    </row>
    <row r="11" spans="1:119" s="314" customFormat="1" ht="30" x14ac:dyDescent="0.25">
      <c r="A11" s="315"/>
      <c r="B11" s="317"/>
      <c r="C11" s="317"/>
      <c r="D11" s="366"/>
      <c r="E11" s="364" t="s">
        <v>471</v>
      </c>
      <c r="F11" s="363"/>
      <c r="G11" s="338"/>
      <c r="H11" s="338"/>
      <c r="I11" s="338"/>
      <c r="J11" s="338"/>
      <c r="K11" s="338"/>
      <c r="L11" s="338"/>
      <c r="M11" s="338"/>
      <c r="N11" s="338"/>
      <c r="Q11" s="338"/>
      <c r="U11" s="362"/>
      <c r="V11" s="364" t="s">
        <v>439</v>
      </c>
      <c r="W11" s="363"/>
      <c r="X11" s="338"/>
      <c r="Y11" s="338"/>
      <c r="Z11" s="338"/>
      <c r="AA11" s="338"/>
      <c r="AB11" s="338"/>
      <c r="AC11" s="338"/>
      <c r="AD11" s="338"/>
      <c r="AG11" s="338"/>
      <c r="AH11" s="320"/>
      <c r="AL11" s="367"/>
      <c r="AM11" s="364" t="s">
        <v>470</v>
      </c>
      <c r="AN11" s="363"/>
      <c r="AO11" s="338"/>
      <c r="AP11" s="338"/>
      <c r="AQ11" s="338"/>
      <c r="AR11" s="338"/>
      <c r="AS11" s="338"/>
      <c r="AT11" s="338"/>
      <c r="AU11" s="338"/>
      <c r="AX11" s="338"/>
      <c r="BB11" s="338"/>
      <c r="BU11" s="317"/>
      <c r="BV11" s="317"/>
      <c r="BW11" s="317"/>
      <c r="BX11" s="317"/>
      <c r="BY11" s="317"/>
      <c r="BZ11" s="317"/>
      <c r="CA11" s="317"/>
      <c r="CB11" s="317"/>
      <c r="CC11" s="317"/>
      <c r="CD11" s="317"/>
      <c r="CE11" s="317"/>
      <c r="CF11" s="317"/>
      <c r="CG11" s="317"/>
      <c r="CH11" s="317"/>
      <c r="CI11" s="317"/>
      <c r="CJ11" s="317"/>
      <c r="CK11" s="317"/>
      <c r="CL11" s="317"/>
      <c r="CM11" s="317"/>
      <c r="CN11" s="317"/>
      <c r="CO11" s="317"/>
      <c r="CP11" s="317"/>
      <c r="CQ11" s="317"/>
      <c r="CR11" s="317"/>
      <c r="CS11" s="317"/>
      <c r="CT11" s="317"/>
      <c r="CU11" s="317"/>
      <c r="CV11" s="317"/>
      <c r="CW11" s="317"/>
      <c r="CX11" s="317"/>
      <c r="CY11" s="317"/>
      <c r="CZ11" s="317"/>
      <c r="DA11" s="326"/>
      <c r="DB11" s="317"/>
      <c r="DC11" s="317"/>
      <c r="DD11" s="317"/>
      <c r="DE11" s="315"/>
      <c r="DF11" s="315"/>
      <c r="DH11" s="316"/>
    </row>
    <row r="12" spans="1:119" s="314" customFormat="1" ht="30.75" x14ac:dyDescent="0.25">
      <c r="A12" s="315"/>
      <c r="B12" s="317"/>
      <c r="C12" s="317"/>
      <c r="D12" s="366"/>
      <c r="E12" s="503">
        <f>Acumulación</f>
        <v>6000000</v>
      </c>
      <c r="F12" s="503"/>
      <c r="G12" s="503"/>
      <c r="H12" s="503"/>
      <c r="I12" s="503"/>
      <c r="J12" s="503"/>
      <c r="K12" s="503"/>
      <c r="L12" s="503"/>
      <c r="M12" s="503"/>
      <c r="N12" s="338"/>
      <c r="Q12" s="338"/>
      <c r="U12" s="362"/>
      <c r="V12" s="503">
        <f>'Entrevista Balance'!G6</f>
        <v>1000000</v>
      </c>
      <c r="W12" s="503"/>
      <c r="X12" s="503"/>
      <c r="Y12" s="503"/>
      <c r="Z12" s="503"/>
      <c r="AA12" s="503"/>
      <c r="AB12" s="503"/>
      <c r="AC12" s="503"/>
      <c r="AD12" s="503"/>
      <c r="AG12" s="338"/>
      <c r="AH12" s="320"/>
      <c r="AL12" s="367"/>
      <c r="AM12" s="503">
        <f>'Entrevista Balance'!G19</f>
        <v>0</v>
      </c>
      <c r="AN12" s="503"/>
      <c r="AO12" s="503"/>
      <c r="AP12" s="503"/>
      <c r="AQ12" s="503"/>
      <c r="AR12" s="503"/>
      <c r="AS12" s="503"/>
      <c r="AT12" s="503"/>
      <c r="AU12" s="503"/>
      <c r="AX12" s="338"/>
      <c r="BB12" s="338"/>
      <c r="BC12" s="338"/>
      <c r="BD12" s="338"/>
      <c r="BE12" s="338"/>
      <c r="BF12" s="338"/>
      <c r="BG12" s="338"/>
      <c r="BH12" s="338"/>
      <c r="BI12" s="338"/>
      <c r="BJ12" s="338"/>
      <c r="BK12" s="338"/>
      <c r="BL12" s="317"/>
      <c r="BM12" s="317"/>
      <c r="BN12" s="317"/>
      <c r="BU12" s="317"/>
      <c r="BV12" s="317"/>
      <c r="BW12" s="317"/>
      <c r="BX12" s="317"/>
      <c r="BY12" s="317"/>
      <c r="BZ12" s="317"/>
      <c r="CA12" s="317"/>
      <c r="CB12" s="317"/>
      <c r="CC12" s="317"/>
      <c r="CD12" s="317"/>
      <c r="CE12" s="317"/>
      <c r="CF12" s="317"/>
      <c r="CG12" s="317"/>
      <c r="CH12" s="317"/>
      <c r="CI12" s="317"/>
      <c r="CJ12" s="317"/>
      <c r="CK12" s="317"/>
      <c r="CL12" s="317"/>
      <c r="CM12" s="317"/>
      <c r="CN12" s="317"/>
      <c r="CO12" s="317"/>
      <c r="CP12" s="317"/>
      <c r="CQ12" s="317"/>
      <c r="CR12" s="317"/>
      <c r="CS12" s="317"/>
      <c r="CT12" s="317"/>
      <c r="CU12" s="317"/>
      <c r="CV12" s="317"/>
      <c r="CW12" s="317"/>
      <c r="CX12" s="317"/>
      <c r="CY12" s="317"/>
      <c r="CZ12" s="317"/>
      <c r="DA12" s="326"/>
      <c r="DB12" s="317"/>
      <c r="DC12" s="317"/>
      <c r="DD12" s="317"/>
      <c r="DE12" s="315"/>
      <c r="DF12" s="315"/>
      <c r="DG12" s="342"/>
      <c r="DH12" s="368"/>
      <c r="DI12" s="342"/>
      <c r="DJ12" s="342"/>
      <c r="DK12" s="342"/>
      <c r="DL12" s="342"/>
      <c r="DM12" s="342"/>
      <c r="DN12" s="342"/>
      <c r="DO12" s="342"/>
    </row>
    <row r="13" spans="1:119" s="314" customFormat="1" ht="15" customHeight="1" x14ac:dyDescent="0.25">
      <c r="A13" s="315"/>
      <c r="B13" s="317"/>
      <c r="C13" s="317"/>
      <c r="D13" s="338"/>
      <c r="E13" s="338"/>
      <c r="F13" s="338"/>
      <c r="G13" s="338"/>
      <c r="H13" s="338"/>
      <c r="I13" s="338"/>
      <c r="J13" s="338"/>
      <c r="K13" s="338"/>
      <c r="L13" s="338"/>
      <c r="M13" s="338"/>
      <c r="N13" s="338"/>
      <c r="Q13" s="338"/>
      <c r="U13" s="337"/>
      <c r="V13" s="337"/>
      <c r="W13" s="337"/>
      <c r="X13" s="337"/>
      <c r="Y13" s="337"/>
      <c r="Z13" s="338"/>
      <c r="AA13" s="338"/>
      <c r="AB13" s="338"/>
      <c r="AC13" s="338"/>
      <c r="AD13" s="338"/>
      <c r="AG13" s="338"/>
      <c r="AH13" s="320"/>
      <c r="AL13" s="338"/>
      <c r="AM13" s="338"/>
      <c r="AN13" s="338"/>
      <c r="AO13" s="338"/>
      <c r="AP13" s="338"/>
      <c r="AQ13" s="338"/>
      <c r="AR13" s="338"/>
      <c r="AS13" s="338"/>
      <c r="AT13" s="338"/>
      <c r="AU13" s="338"/>
      <c r="AX13" s="338"/>
      <c r="BB13" s="338"/>
      <c r="BC13" s="338"/>
      <c r="BD13" s="338"/>
      <c r="BE13" s="338"/>
      <c r="BF13" s="338"/>
      <c r="BG13" s="338"/>
      <c r="BH13" s="338"/>
      <c r="BI13" s="338"/>
      <c r="BJ13" s="338"/>
      <c r="BK13" s="338"/>
      <c r="BL13" s="317"/>
      <c r="BM13" s="317"/>
      <c r="BN13" s="317"/>
      <c r="BU13" s="317"/>
      <c r="BV13" s="317"/>
      <c r="BW13" s="317"/>
      <c r="BX13" s="317"/>
      <c r="BY13" s="317"/>
      <c r="BZ13" s="317"/>
      <c r="CA13" s="317"/>
      <c r="CB13" s="317"/>
      <c r="CC13" s="317"/>
      <c r="CD13" s="317"/>
      <c r="CE13" s="317"/>
      <c r="CF13" s="317"/>
      <c r="CG13" s="317"/>
      <c r="CH13" s="317"/>
      <c r="CI13" s="317"/>
      <c r="CJ13" s="317"/>
      <c r="CK13" s="317"/>
      <c r="CL13" s="317"/>
      <c r="CM13" s="317"/>
      <c r="CN13" s="317"/>
      <c r="CO13" s="317"/>
      <c r="CP13" s="317"/>
      <c r="CQ13" s="317"/>
      <c r="CR13" s="317"/>
      <c r="CS13" s="317"/>
      <c r="CT13" s="317"/>
      <c r="CU13" s="317"/>
      <c r="CV13" s="317"/>
      <c r="CW13" s="317"/>
      <c r="CX13" s="317"/>
      <c r="CY13" s="317"/>
      <c r="CZ13" s="317"/>
      <c r="DA13" s="326"/>
      <c r="DB13" s="317"/>
      <c r="DC13" s="317"/>
      <c r="DD13" s="317"/>
      <c r="DE13" s="315"/>
      <c r="DF13" s="315"/>
      <c r="DH13" s="368"/>
      <c r="DI13" s="368"/>
      <c r="DJ13" s="368"/>
      <c r="DK13" s="368"/>
      <c r="DL13" s="368"/>
      <c r="DM13" s="368"/>
      <c r="DN13" s="368"/>
      <c r="DO13" s="368"/>
    </row>
    <row r="14" spans="1:119" s="314" customFormat="1" ht="30.75" x14ac:dyDescent="0.25">
      <c r="A14" s="315"/>
      <c r="B14" s="317"/>
      <c r="C14" s="317"/>
      <c r="D14" s="366"/>
      <c r="E14" s="364" t="s">
        <v>303</v>
      </c>
      <c r="F14" s="129"/>
      <c r="N14" s="338"/>
      <c r="Q14" s="338"/>
      <c r="U14" s="362"/>
      <c r="V14" s="364" t="s">
        <v>440</v>
      </c>
      <c r="W14" s="363"/>
      <c r="X14" s="338"/>
      <c r="Y14" s="338"/>
      <c r="Z14" s="338"/>
      <c r="AA14" s="338"/>
      <c r="AB14" s="338"/>
      <c r="AC14" s="338"/>
      <c r="AD14" s="338"/>
      <c r="AG14" s="338"/>
      <c r="AH14" s="320"/>
      <c r="AL14" s="367"/>
      <c r="AM14" s="364" t="s">
        <v>469</v>
      </c>
      <c r="AN14" s="363"/>
      <c r="AO14" s="338"/>
      <c r="AP14" s="338"/>
      <c r="AQ14" s="338"/>
      <c r="AR14" s="338"/>
      <c r="AS14" s="338"/>
      <c r="AT14" s="338"/>
      <c r="AU14" s="338"/>
      <c r="AX14" s="338"/>
      <c r="BB14" s="338"/>
      <c r="BC14" s="338"/>
      <c r="BD14" s="338"/>
      <c r="BE14" s="338"/>
      <c r="BF14" s="338"/>
      <c r="BG14" s="338"/>
      <c r="BH14" s="338"/>
      <c r="BI14" s="338"/>
      <c r="BJ14" s="338"/>
      <c r="BK14" s="338"/>
      <c r="BL14" s="317"/>
      <c r="BM14" s="317"/>
      <c r="BN14" s="317"/>
      <c r="BU14" s="317"/>
      <c r="BV14" s="317"/>
      <c r="BW14" s="317"/>
      <c r="BX14" s="317"/>
      <c r="BY14" s="317"/>
      <c r="BZ14" s="317"/>
      <c r="CA14" s="317"/>
      <c r="CB14" s="317"/>
      <c r="CC14" s="317"/>
      <c r="CD14" s="317"/>
      <c r="CE14" s="317"/>
      <c r="CF14" s="317"/>
      <c r="CG14" s="317"/>
      <c r="CH14" s="317"/>
      <c r="CI14" s="317"/>
      <c r="CJ14" s="317"/>
      <c r="CK14" s="317"/>
      <c r="CL14" s="317"/>
      <c r="CM14" s="317"/>
      <c r="CN14" s="317"/>
      <c r="CO14" s="317"/>
      <c r="CP14" s="317"/>
      <c r="CQ14" s="317"/>
      <c r="CR14" s="317"/>
      <c r="CS14" s="317"/>
      <c r="CT14" s="317"/>
      <c r="CU14" s="317"/>
      <c r="CV14" s="317"/>
      <c r="CW14" s="317"/>
      <c r="CX14" s="317"/>
      <c r="CY14" s="317"/>
      <c r="CZ14" s="317"/>
      <c r="DA14" s="326"/>
      <c r="DB14" s="317"/>
      <c r="DC14" s="317"/>
      <c r="DD14" s="317"/>
      <c r="DE14" s="315"/>
      <c r="DF14" s="315"/>
      <c r="DG14" s="342"/>
      <c r="DH14" s="316"/>
    </row>
    <row r="15" spans="1:119" s="314" customFormat="1" ht="30" x14ac:dyDescent="0.25">
      <c r="A15" s="315"/>
      <c r="B15" s="317"/>
      <c r="C15" s="317"/>
      <c r="D15" s="366"/>
      <c r="E15" s="503">
        <f>PlanesdeSeguroAcumulación1</f>
        <v>0</v>
      </c>
      <c r="F15" s="503"/>
      <c r="G15" s="503"/>
      <c r="H15" s="503"/>
      <c r="I15" s="503"/>
      <c r="J15" s="503"/>
      <c r="K15" s="503"/>
      <c r="L15" s="503"/>
      <c r="M15" s="503"/>
      <c r="N15" s="338"/>
      <c r="Q15" s="338"/>
      <c r="U15" s="362"/>
      <c r="V15" s="503">
        <f>'Entrevista Balance'!G8</f>
        <v>0</v>
      </c>
      <c r="W15" s="503"/>
      <c r="X15" s="503"/>
      <c r="Y15" s="503"/>
      <c r="Z15" s="503"/>
      <c r="AA15" s="503"/>
      <c r="AB15" s="503"/>
      <c r="AC15" s="503"/>
      <c r="AD15" s="503"/>
      <c r="AG15" s="338"/>
      <c r="AH15" s="320"/>
      <c r="AL15" s="367"/>
      <c r="AM15" s="503">
        <f>'Entrevista Balance'!G21</f>
        <v>1000000</v>
      </c>
      <c r="AN15" s="503"/>
      <c r="AO15" s="503"/>
      <c r="AP15" s="503"/>
      <c r="AQ15" s="503"/>
      <c r="AR15" s="503"/>
      <c r="AS15" s="503"/>
      <c r="AT15" s="503"/>
      <c r="AU15" s="503"/>
      <c r="AX15" s="338"/>
      <c r="BB15" s="338"/>
      <c r="BC15" s="338"/>
      <c r="BD15" s="338"/>
      <c r="BE15" s="338"/>
      <c r="BF15" s="338"/>
      <c r="BG15" s="338"/>
      <c r="BH15" s="338"/>
      <c r="BI15" s="338"/>
      <c r="BJ15" s="338"/>
      <c r="BK15" s="338"/>
      <c r="BL15" s="317"/>
      <c r="BM15" s="317"/>
      <c r="BN15" s="317"/>
      <c r="BU15" s="317"/>
      <c r="BV15" s="317"/>
      <c r="BW15" s="317"/>
      <c r="BX15" s="317"/>
      <c r="BY15" s="317"/>
      <c r="BZ15" s="317"/>
      <c r="CA15" s="317"/>
      <c r="CB15" s="317"/>
      <c r="CC15" s="317"/>
      <c r="CD15" s="317"/>
      <c r="CE15" s="317"/>
      <c r="CF15" s="317"/>
      <c r="CG15" s="317"/>
      <c r="CH15" s="317"/>
      <c r="CI15" s="317"/>
      <c r="CJ15" s="317"/>
      <c r="CK15" s="317"/>
      <c r="CL15" s="317"/>
      <c r="CM15" s="317"/>
      <c r="CN15" s="317"/>
      <c r="CO15" s="317"/>
      <c r="CP15" s="317"/>
      <c r="CQ15" s="317"/>
      <c r="CR15" s="317"/>
      <c r="CS15" s="317"/>
      <c r="CT15" s="317"/>
      <c r="CU15" s="317"/>
      <c r="CV15" s="317"/>
      <c r="CW15" s="317"/>
      <c r="CX15" s="317"/>
      <c r="CY15" s="317"/>
      <c r="CZ15" s="317"/>
      <c r="DA15" s="326"/>
      <c r="DB15" s="317"/>
      <c r="DC15" s="317"/>
      <c r="DD15" s="317"/>
      <c r="DE15" s="315"/>
      <c r="DF15" s="315"/>
      <c r="DH15" s="316"/>
    </row>
    <row r="16" spans="1:119" s="314" customFormat="1" ht="15" customHeight="1" x14ac:dyDescent="0.25">
      <c r="A16" s="315"/>
      <c r="B16" s="317"/>
      <c r="C16" s="317"/>
      <c r="D16" s="338"/>
      <c r="E16" s="338"/>
      <c r="F16" s="338"/>
      <c r="G16" s="338"/>
      <c r="H16" s="338"/>
      <c r="I16" s="338"/>
      <c r="J16" s="338"/>
      <c r="K16" s="338"/>
      <c r="L16" s="338"/>
      <c r="M16" s="338"/>
      <c r="N16" s="338"/>
      <c r="Q16" s="338"/>
      <c r="U16" s="337"/>
      <c r="V16" s="337"/>
      <c r="W16" s="337"/>
      <c r="X16" s="337"/>
      <c r="Y16" s="337"/>
      <c r="Z16" s="338"/>
      <c r="AA16" s="338"/>
      <c r="AB16" s="338"/>
      <c r="AC16" s="338"/>
      <c r="AD16" s="338"/>
      <c r="AG16" s="338"/>
      <c r="AH16" s="320"/>
      <c r="AL16" s="338"/>
      <c r="AM16" s="338"/>
      <c r="AN16" s="338"/>
      <c r="AO16" s="338"/>
      <c r="AP16" s="365"/>
      <c r="AQ16" s="365"/>
      <c r="AR16" s="365"/>
      <c r="AS16" s="365"/>
      <c r="AT16" s="365"/>
      <c r="AU16" s="365"/>
      <c r="AV16" s="317"/>
      <c r="AW16" s="317"/>
      <c r="AX16" s="317"/>
      <c r="BB16" s="338"/>
      <c r="BC16" s="338"/>
      <c r="BD16" s="338"/>
      <c r="BE16" s="338"/>
      <c r="BF16" s="365"/>
      <c r="BG16" s="365"/>
      <c r="BH16" s="365"/>
      <c r="BI16" s="365"/>
      <c r="BJ16" s="365"/>
      <c r="BK16" s="365"/>
      <c r="BL16" s="317"/>
      <c r="BM16" s="317"/>
      <c r="BN16" s="317"/>
      <c r="BU16" s="317"/>
      <c r="BV16" s="317"/>
      <c r="BW16" s="317"/>
      <c r="BX16" s="317"/>
      <c r="BY16" s="317"/>
      <c r="BZ16" s="317"/>
      <c r="CA16" s="317"/>
      <c r="CB16" s="317"/>
      <c r="CC16" s="317"/>
      <c r="CD16" s="317"/>
      <c r="CE16" s="317"/>
      <c r="CF16" s="317"/>
      <c r="CG16" s="317"/>
      <c r="CH16" s="317"/>
      <c r="CI16" s="317"/>
      <c r="CJ16" s="317"/>
      <c r="CK16" s="317"/>
      <c r="CL16" s="317"/>
      <c r="CM16" s="317"/>
      <c r="CN16" s="317"/>
      <c r="CO16" s="317"/>
      <c r="CP16" s="317"/>
      <c r="CQ16" s="317"/>
      <c r="CR16" s="317"/>
      <c r="CS16" s="317"/>
      <c r="CT16" s="317"/>
      <c r="CU16" s="317"/>
      <c r="CV16" s="317"/>
      <c r="CW16" s="317"/>
      <c r="CX16" s="317"/>
      <c r="CY16" s="317"/>
      <c r="CZ16" s="317"/>
      <c r="DA16" s="326"/>
      <c r="DB16" s="317"/>
      <c r="DC16" s="317"/>
      <c r="DD16" s="317"/>
      <c r="DE16" s="315"/>
      <c r="DF16" s="315"/>
      <c r="DH16" s="316"/>
    </row>
    <row r="17" spans="1:112" s="314" customFormat="1" ht="30" x14ac:dyDescent="0.25">
      <c r="A17" s="315"/>
      <c r="B17" s="317"/>
      <c r="C17" s="317"/>
      <c r="D17" s="366"/>
      <c r="E17" s="364" t="s">
        <v>269</v>
      </c>
      <c r="F17" s="129"/>
      <c r="N17" s="338"/>
      <c r="Q17" s="338"/>
      <c r="U17" s="362"/>
      <c r="V17" s="364" t="s">
        <v>334</v>
      </c>
      <c r="W17" s="363"/>
      <c r="X17" s="338"/>
      <c r="Y17" s="338"/>
      <c r="Z17" s="338"/>
      <c r="AA17" s="338"/>
      <c r="AB17" s="338"/>
      <c r="AC17" s="338"/>
      <c r="AD17" s="338"/>
      <c r="AG17" s="338"/>
      <c r="AH17" s="320"/>
      <c r="AL17" s="338"/>
      <c r="AM17" s="338"/>
      <c r="AN17" s="338"/>
      <c r="AO17" s="338"/>
      <c r="AP17" s="365"/>
      <c r="AQ17" s="365"/>
      <c r="AR17" s="365"/>
      <c r="AS17" s="365"/>
      <c r="AT17" s="365"/>
      <c r="AU17" s="365"/>
      <c r="AV17" s="317"/>
      <c r="AW17" s="317"/>
      <c r="AX17" s="317"/>
      <c r="BB17" s="338"/>
      <c r="BC17" s="338"/>
      <c r="BD17" s="338"/>
      <c r="BE17" s="338"/>
      <c r="BF17" s="365"/>
      <c r="BG17" s="365"/>
      <c r="BH17" s="365"/>
      <c r="BI17" s="365"/>
      <c r="BJ17" s="365"/>
      <c r="BK17" s="365"/>
      <c r="BL17" s="317"/>
      <c r="BM17" s="317"/>
      <c r="BN17" s="317"/>
      <c r="BU17" s="317"/>
      <c r="BV17" s="317"/>
      <c r="BW17" s="317"/>
      <c r="BX17" s="317"/>
      <c r="BY17" s="317"/>
      <c r="BZ17" s="317"/>
      <c r="CA17" s="317"/>
      <c r="CB17" s="317"/>
      <c r="CC17" s="317"/>
      <c r="CD17" s="317"/>
      <c r="CE17" s="317"/>
      <c r="CF17" s="317"/>
      <c r="CG17" s="317"/>
      <c r="CH17" s="317"/>
      <c r="CI17" s="317"/>
      <c r="CJ17" s="317"/>
      <c r="CK17" s="317"/>
      <c r="CL17" s="317"/>
      <c r="CM17" s="317"/>
      <c r="CN17" s="317"/>
      <c r="CO17" s="317"/>
      <c r="CP17" s="317"/>
      <c r="CQ17" s="317"/>
      <c r="CR17" s="317"/>
      <c r="CS17" s="317"/>
      <c r="CT17" s="317"/>
      <c r="CU17" s="317"/>
      <c r="CV17" s="317"/>
      <c r="CW17" s="317"/>
      <c r="CX17" s="317"/>
      <c r="CY17" s="317"/>
      <c r="CZ17" s="317"/>
      <c r="DA17" s="326"/>
      <c r="DB17" s="317"/>
      <c r="DC17" s="317"/>
      <c r="DD17" s="317"/>
      <c r="DE17" s="315"/>
      <c r="DF17" s="315"/>
      <c r="DH17" s="316"/>
    </row>
    <row r="18" spans="1:112" s="314" customFormat="1" ht="30" x14ac:dyDescent="0.25">
      <c r="A18" s="315"/>
      <c r="B18" s="317"/>
      <c r="C18" s="317"/>
      <c r="D18" s="366"/>
      <c r="E18" s="503">
        <f>OtrosPlanesdeSegurosparaRetiro+Afore+PPR+PlanPrivadodePensión</f>
        <v>0</v>
      </c>
      <c r="F18" s="503"/>
      <c r="G18" s="503"/>
      <c r="H18" s="503"/>
      <c r="I18" s="503"/>
      <c r="J18" s="503"/>
      <c r="K18" s="503"/>
      <c r="L18" s="503"/>
      <c r="M18" s="503"/>
      <c r="N18" s="338"/>
      <c r="Q18" s="338"/>
      <c r="U18" s="362"/>
      <c r="V18" s="503">
        <f>'Entrevista Balance'!G12</f>
        <v>0</v>
      </c>
      <c r="W18" s="503"/>
      <c r="X18" s="503"/>
      <c r="Y18" s="503"/>
      <c r="Z18" s="503"/>
      <c r="AA18" s="503"/>
      <c r="AB18" s="503"/>
      <c r="AC18" s="503"/>
      <c r="AD18" s="503"/>
      <c r="AG18" s="338"/>
      <c r="AH18" s="320"/>
      <c r="AL18" s="338"/>
      <c r="AM18" s="338"/>
      <c r="AN18" s="338"/>
      <c r="AO18" s="338"/>
      <c r="AP18" s="365"/>
      <c r="AQ18" s="365"/>
      <c r="AR18" s="365"/>
      <c r="AS18" s="365"/>
      <c r="AT18" s="365"/>
      <c r="AU18" s="365"/>
      <c r="AV18" s="317"/>
      <c r="AW18" s="317"/>
      <c r="AX18" s="317"/>
      <c r="BB18" s="338"/>
      <c r="BC18" s="338"/>
      <c r="BD18" s="338"/>
      <c r="BE18" s="338"/>
      <c r="BF18" s="365"/>
      <c r="BG18" s="365"/>
      <c r="BH18" s="365"/>
      <c r="BI18" s="365"/>
      <c r="BJ18" s="365"/>
      <c r="BK18" s="365"/>
      <c r="BL18" s="317"/>
      <c r="BM18" s="317"/>
      <c r="BN18" s="317"/>
      <c r="BU18" s="317"/>
      <c r="BV18" s="317"/>
      <c r="BW18" s="317"/>
      <c r="BX18" s="317"/>
      <c r="BY18" s="317"/>
      <c r="BZ18" s="317"/>
      <c r="CA18" s="317"/>
      <c r="CB18" s="317"/>
      <c r="CC18" s="317"/>
      <c r="CD18" s="317"/>
      <c r="CE18" s="317"/>
      <c r="CF18" s="317"/>
      <c r="CG18" s="317"/>
      <c r="CH18" s="317"/>
      <c r="CI18" s="317"/>
      <c r="CJ18" s="317"/>
      <c r="CK18" s="317"/>
      <c r="CL18" s="317"/>
      <c r="CM18" s="317"/>
      <c r="CN18" s="317"/>
      <c r="CO18" s="317"/>
      <c r="CP18" s="317"/>
      <c r="CQ18" s="317"/>
      <c r="CR18" s="317"/>
      <c r="CS18" s="317"/>
      <c r="CT18" s="317"/>
      <c r="CU18" s="317"/>
      <c r="CV18" s="317"/>
      <c r="CW18" s="317"/>
      <c r="CX18" s="317"/>
      <c r="CY18" s="317"/>
      <c r="CZ18" s="317"/>
      <c r="DA18" s="326"/>
      <c r="DB18" s="317"/>
      <c r="DC18" s="317"/>
      <c r="DD18" s="317"/>
      <c r="DE18" s="315"/>
      <c r="DF18" s="315"/>
      <c r="DH18" s="316"/>
    </row>
    <row r="19" spans="1:112" s="314" customFormat="1" x14ac:dyDescent="0.25">
      <c r="A19" s="315"/>
      <c r="B19" s="317"/>
      <c r="C19" s="317"/>
      <c r="N19" s="338"/>
      <c r="AA19" s="320"/>
      <c r="AB19" s="320"/>
      <c r="AC19" s="320"/>
      <c r="AD19" s="320"/>
      <c r="AG19" s="338"/>
      <c r="AH19" s="320"/>
      <c r="AP19" s="317"/>
      <c r="AQ19" s="317"/>
      <c r="AR19" s="317"/>
      <c r="AS19" s="317"/>
      <c r="AT19" s="317"/>
      <c r="AU19" s="317"/>
      <c r="AV19" s="317"/>
      <c r="AW19" s="317"/>
      <c r="AX19" s="317"/>
      <c r="BF19" s="317"/>
      <c r="BG19" s="317"/>
      <c r="BH19" s="317"/>
      <c r="BI19" s="317"/>
      <c r="BJ19" s="317"/>
      <c r="BK19" s="317"/>
      <c r="BL19" s="317"/>
      <c r="BM19" s="317"/>
      <c r="BN19" s="317"/>
      <c r="BU19" s="317"/>
      <c r="BV19" s="317"/>
      <c r="BW19" s="317"/>
      <c r="BX19" s="317"/>
      <c r="BY19" s="317"/>
      <c r="BZ19" s="317"/>
      <c r="CA19" s="317"/>
      <c r="CB19" s="317"/>
      <c r="CC19" s="317"/>
      <c r="CD19" s="317"/>
      <c r="CE19" s="317"/>
      <c r="CF19" s="317"/>
      <c r="CG19" s="317"/>
      <c r="CH19" s="317"/>
      <c r="CI19" s="317"/>
      <c r="CJ19" s="317"/>
      <c r="CK19" s="317"/>
      <c r="CL19" s="317"/>
      <c r="CM19" s="317"/>
      <c r="CN19" s="317"/>
      <c r="CO19" s="317"/>
      <c r="CP19" s="317"/>
      <c r="CQ19" s="317"/>
      <c r="CR19" s="317"/>
      <c r="CS19" s="317"/>
      <c r="CT19" s="317"/>
      <c r="CU19" s="317"/>
      <c r="CV19" s="317"/>
      <c r="CW19" s="317"/>
      <c r="CX19" s="317"/>
      <c r="CY19" s="317"/>
      <c r="CZ19" s="317"/>
      <c r="DA19" s="326"/>
      <c r="DB19" s="317"/>
      <c r="DC19" s="317"/>
      <c r="DD19" s="317"/>
      <c r="DE19" s="315"/>
      <c r="DF19" s="315"/>
      <c r="DH19" s="316"/>
    </row>
    <row r="20" spans="1:112" s="314" customFormat="1" ht="30" x14ac:dyDescent="0.25">
      <c r="A20" s="315"/>
      <c r="B20" s="317"/>
      <c r="C20" s="317"/>
      <c r="U20" s="362"/>
      <c r="V20" s="364" t="s">
        <v>339</v>
      </c>
      <c r="W20" s="363"/>
      <c r="X20" s="338"/>
      <c r="Y20" s="338"/>
      <c r="Z20" s="338"/>
      <c r="AA20" s="338"/>
      <c r="AB20" s="338"/>
      <c r="AC20" s="338"/>
      <c r="AD20" s="338"/>
      <c r="AG20" s="338"/>
      <c r="AH20" s="320"/>
      <c r="AP20" s="317"/>
      <c r="AQ20" s="317"/>
      <c r="AR20" s="317"/>
      <c r="AS20" s="317"/>
      <c r="AT20" s="317"/>
      <c r="AU20" s="317"/>
      <c r="AV20" s="317"/>
      <c r="AW20" s="317"/>
      <c r="AX20" s="317"/>
      <c r="BF20" s="317"/>
      <c r="BG20" s="317"/>
      <c r="BH20" s="317"/>
      <c r="BI20" s="317"/>
      <c r="BJ20" s="317"/>
      <c r="BK20" s="317"/>
      <c r="BL20" s="317"/>
      <c r="BM20" s="317"/>
      <c r="BN20" s="317"/>
      <c r="BU20" s="317"/>
      <c r="BV20" s="317"/>
      <c r="BW20" s="317"/>
      <c r="BX20" s="317"/>
      <c r="BY20" s="317"/>
      <c r="BZ20" s="317"/>
      <c r="CA20" s="317"/>
      <c r="CB20" s="317"/>
      <c r="CC20" s="317"/>
      <c r="CD20" s="317"/>
      <c r="CE20" s="317"/>
      <c r="CF20" s="317"/>
      <c r="CG20" s="317"/>
      <c r="CH20" s="317"/>
      <c r="CI20" s="317"/>
      <c r="CJ20" s="317"/>
      <c r="CK20" s="317"/>
      <c r="CL20" s="317"/>
      <c r="CM20" s="317"/>
      <c r="CN20" s="317"/>
      <c r="CO20" s="317"/>
      <c r="CP20" s="317"/>
      <c r="CQ20" s="317"/>
      <c r="CR20" s="317"/>
      <c r="CS20" s="317"/>
      <c r="CT20" s="317"/>
      <c r="CU20" s="317"/>
      <c r="CV20" s="317"/>
      <c r="CW20" s="317"/>
      <c r="CX20" s="317"/>
      <c r="CY20" s="317"/>
      <c r="CZ20" s="317"/>
      <c r="DA20" s="326"/>
      <c r="DB20" s="317"/>
      <c r="DC20" s="317"/>
      <c r="DD20" s="317"/>
      <c r="DE20" s="315"/>
      <c r="DF20" s="315"/>
      <c r="DH20" s="316"/>
    </row>
    <row r="21" spans="1:112" s="314" customFormat="1" ht="30.75" x14ac:dyDescent="0.25">
      <c r="A21" s="315"/>
      <c r="B21" s="317"/>
      <c r="C21" s="317"/>
      <c r="U21" s="362"/>
      <c r="V21" s="503">
        <f>'Entrevista Balance'!G14</f>
        <v>0</v>
      </c>
      <c r="W21" s="503"/>
      <c r="X21" s="503"/>
      <c r="Y21" s="503"/>
      <c r="Z21" s="503"/>
      <c r="AA21" s="503"/>
      <c r="AB21" s="503"/>
      <c r="AC21" s="503"/>
      <c r="AD21" s="503"/>
      <c r="AG21" s="338"/>
      <c r="AH21" s="320"/>
      <c r="AP21" s="317"/>
      <c r="AQ21" s="317"/>
      <c r="AR21" s="317"/>
      <c r="AS21" s="317"/>
      <c r="AT21" s="317"/>
      <c r="AU21" s="317"/>
      <c r="AV21" s="317"/>
      <c r="AW21" s="317"/>
      <c r="AX21" s="317"/>
      <c r="BF21" s="317"/>
      <c r="BG21" s="317"/>
      <c r="BH21" s="317"/>
      <c r="BI21" s="317"/>
      <c r="BJ21" s="317"/>
      <c r="BK21" s="317"/>
      <c r="BL21" s="317"/>
      <c r="BM21" s="317"/>
      <c r="BN21" s="317"/>
      <c r="BV21" s="358"/>
      <c r="BW21" s="359" t="s">
        <v>468</v>
      </c>
      <c r="BX21" s="129"/>
      <c r="CH21" s="317"/>
      <c r="CI21" s="317"/>
      <c r="CM21" s="360"/>
      <c r="CN21" s="359" t="s">
        <v>467</v>
      </c>
      <c r="CO21" s="129"/>
      <c r="CW21" s="317"/>
      <c r="CX21" s="317"/>
      <c r="CY21" s="317"/>
      <c r="CZ21" s="317"/>
      <c r="DA21" s="326"/>
      <c r="DB21" s="317"/>
      <c r="DC21" s="317"/>
      <c r="DD21" s="317"/>
      <c r="DE21" s="315"/>
      <c r="DF21" s="315"/>
      <c r="DH21" s="316"/>
    </row>
    <row r="22" spans="1:112" s="314" customFormat="1" ht="30.75" x14ac:dyDescent="0.25">
      <c r="A22" s="315"/>
      <c r="B22" s="317"/>
      <c r="C22" s="317"/>
      <c r="AA22" s="320"/>
      <c r="AB22" s="320"/>
      <c r="AC22" s="320"/>
      <c r="AD22" s="320"/>
      <c r="AE22" s="320"/>
      <c r="AF22" s="320"/>
      <c r="AG22" s="320"/>
      <c r="AH22" s="320"/>
      <c r="AP22" s="317"/>
      <c r="AQ22" s="317"/>
      <c r="AR22" s="317"/>
      <c r="AS22" s="317"/>
      <c r="AT22" s="317"/>
      <c r="AU22" s="317"/>
      <c r="AV22" s="317"/>
      <c r="AW22" s="317"/>
      <c r="AX22" s="317"/>
      <c r="BV22" s="358"/>
      <c r="BW22" s="486">
        <f>E25+V25</f>
        <v>7000000</v>
      </c>
      <c r="BX22" s="486"/>
      <c r="BY22" s="486"/>
      <c r="BZ22" s="486"/>
      <c r="CA22" s="486"/>
      <c r="CB22" s="486"/>
      <c r="CC22" s="486"/>
      <c r="CD22" s="486"/>
      <c r="CE22" s="486"/>
      <c r="CH22" s="317"/>
      <c r="CI22" s="317"/>
      <c r="CM22" s="360"/>
      <c r="CN22" s="486">
        <f>AM25</f>
        <v>1000000</v>
      </c>
      <c r="CO22" s="486"/>
      <c r="CP22" s="486"/>
      <c r="CQ22" s="486"/>
      <c r="CR22" s="486"/>
      <c r="CS22" s="486"/>
      <c r="CT22" s="486"/>
      <c r="CU22" s="486"/>
      <c r="CV22" s="486"/>
      <c r="CW22" s="317"/>
      <c r="CX22" s="317"/>
      <c r="CY22" s="317"/>
      <c r="CZ22" s="317"/>
      <c r="DA22" s="326"/>
      <c r="DB22" s="317"/>
      <c r="DC22" s="317"/>
      <c r="DD22" s="317"/>
      <c r="DE22" s="315"/>
      <c r="DF22" s="315"/>
      <c r="DH22" s="316"/>
    </row>
    <row r="23" spans="1:112" s="314" customFormat="1" x14ac:dyDescent="0.25">
      <c r="A23" s="315"/>
      <c r="B23" s="317"/>
      <c r="C23" s="317"/>
      <c r="AA23" s="320"/>
      <c r="AB23" s="320"/>
      <c r="AC23" s="320"/>
      <c r="AD23" s="320"/>
      <c r="AE23" s="320"/>
      <c r="AF23" s="320"/>
      <c r="AG23" s="320"/>
      <c r="AH23" s="320"/>
      <c r="DB23" s="317"/>
      <c r="DC23" s="317"/>
      <c r="DD23" s="317"/>
      <c r="DE23" s="315"/>
      <c r="DF23" s="315"/>
      <c r="DH23" s="316"/>
    </row>
    <row r="24" spans="1:112" s="314" customFormat="1" ht="30.75" x14ac:dyDescent="0.25">
      <c r="A24" s="315"/>
      <c r="B24" s="317"/>
      <c r="C24" s="317"/>
      <c r="D24" s="358"/>
      <c r="E24" s="359" t="s">
        <v>336</v>
      </c>
      <c r="F24" s="129"/>
      <c r="U24" s="361"/>
      <c r="V24" s="359" t="s">
        <v>418</v>
      </c>
      <c r="W24" s="129"/>
      <c r="AE24" s="320"/>
      <c r="AF24" s="320"/>
      <c r="AG24" s="320"/>
      <c r="AL24" s="360"/>
      <c r="AM24" s="359" t="s">
        <v>72</v>
      </c>
      <c r="AN24" s="129"/>
      <c r="AV24" s="317"/>
      <c r="AW24" s="317"/>
      <c r="AX24" s="317"/>
      <c r="BC24" s="353"/>
      <c r="BD24" s="359" t="s">
        <v>415</v>
      </c>
      <c r="BE24" s="129"/>
      <c r="BM24" s="317"/>
      <c r="BN24" s="317"/>
      <c r="BO24" s="317"/>
      <c r="BV24" s="128"/>
      <c r="BW24" s="439" t="s">
        <v>521</v>
      </c>
      <c r="BX24" s="440"/>
      <c r="BY24" s="441"/>
      <c r="BZ24" s="441"/>
      <c r="CA24" s="441"/>
      <c r="CB24" s="441"/>
      <c r="CC24" s="441"/>
      <c r="CD24" s="441"/>
      <c r="CE24" s="441"/>
      <c r="CM24" s="353"/>
      <c r="CN24" s="359" t="s">
        <v>415</v>
      </c>
      <c r="CO24" s="129"/>
      <c r="DE24" s="315"/>
      <c r="DF24" s="315"/>
      <c r="DH24" s="316"/>
    </row>
    <row r="25" spans="1:112" s="314" customFormat="1" ht="30.75" x14ac:dyDescent="0.25">
      <c r="A25" s="315"/>
      <c r="B25" s="317"/>
      <c r="C25" s="317"/>
      <c r="D25" s="358"/>
      <c r="E25" s="486">
        <f>E9+E12+E15+E18</f>
        <v>6000000</v>
      </c>
      <c r="F25" s="486"/>
      <c r="G25" s="486"/>
      <c r="H25" s="486"/>
      <c r="I25" s="486"/>
      <c r="J25" s="486"/>
      <c r="K25" s="486"/>
      <c r="L25" s="486"/>
      <c r="M25" s="486"/>
      <c r="N25" s="504">
        <f>E25/$BW$22</f>
        <v>0.8571428571428571</v>
      </c>
      <c r="O25" s="504"/>
      <c r="P25" s="504"/>
      <c r="U25" s="357"/>
      <c r="V25" s="486">
        <f>V9+V12+V15+V18+V21</f>
        <v>1000000</v>
      </c>
      <c r="W25" s="486"/>
      <c r="X25" s="486"/>
      <c r="Y25" s="486"/>
      <c r="Z25" s="486"/>
      <c r="AA25" s="486"/>
      <c r="AB25" s="486"/>
      <c r="AC25" s="486"/>
      <c r="AD25" s="486"/>
      <c r="AE25" s="504">
        <f>V25/$BW$22</f>
        <v>0.14285714285714285</v>
      </c>
      <c r="AF25" s="504"/>
      <c r="AG25" s="504"/>
      <c r="AL25" s="356"/>
      <c r="AM25" s="486">
        <f>AM9+AM12+AM15</f>
        <v>1000000</v>
      </c>
      <c r="AN25" s="486"/>
      <c r="AO25" s="486"/>
      <c r="AP25" s="486"/>
      <c r="AQ25" s="486"/>
      <c r="AR25" s="486"/>
      <c r="AS25" s="486"/>
      <c r="AT25" s="486"/>
      <c r="AU25" s="486"/>
      <c r="AV25" s="354"/>
      <c r="AW25" s="354"/>
      <c r="AX25" s="354"/>
      <c r="BC25" s="355"/>
      <c r="BD25" s="486">
        <f>BD9</f>
        <v>6000000</v>
      </c>
      <c r="BE25" s="486"/>
      <c r="BF25" s="486"/>
      <c r="BG25" s="486"/>
      <c r="BH25" s="486"/>
      <c r="BI25" s="486"/>
      <c r="BJ25" s="486"/>
      <c r="BK25" s="486"/>
      <c r="BL25" s="486"/>
      <c r="BM25" s="354"/>
      <c r="BN25" s="354"/>
      <c r="BO25" s="354"/>
      <c r="BV25" s="128"/>
      <c r="BW25" s="505">
        <f>E25-AM25</f>
        <v>5000000</v>
      </c>
      <c r="BX25" s="505"/>
      <c r="BY25" s="505"/>
      <c r="BZ25" s="505"/>
      <c r="CA25" s="505"/>
      <c r="CB25" s="505"/>
      <c r="CC25" s="505"/>
      <c r="CD25" s="505"/>
      <c r="CE25" s="505"/>
      <c r="CM25" s="353"/>
      <c r="CN25" s="486">
        <f>BD25</f>
        <v>6000000</v>
      </c>
      <c r="CO25" s="486"/>
      <c r="CP25" s="486"/>
      <c r="CQ25" s="486"/>
      <c r="CR25" s="486"/>
      <c r="CS25" s="486"/>
      <c r="CT25" s="486"/>
      <c r="CU25" s="486"/>
      <c r="CV25" s="486"/>
      <c r="DE25" s="315"/>
      <c r="DF25" s="315"/>
      <c r="DH25" s="316"/>
    </row>
    <row r="26" spans="1:112" s="314" customFormat="1" ht="36.6" customHeight="1" x14ac:dyDescent="0.25">
      <c r="A26" s="315"/>
      <c r="B26" s="317"/>
      <c r="C26" s="317"/>
      <c r="X26" s="320"/>
      <c r="Y26" s="320"/>
      <c r="Z26" s="320"/>
      <c r="AA26" s="320"/>
      <c r="AB26" s="320"/>
      <c r="AC26" s="320"/>
      <c r="AD26" s="320"/>
      <c r="AE26" s="320"/>
      <c r="AF26" s="320"/>
      <c r="AG26" s="320"/>
      <c r="AH26" s="320"/>
      <c r="AI26" s="320"/>
      <c r="AJ26" s="320"/>
      <c r="AX26" s="317"/>
      <c r="AY26" s="317"/>
      <c r="AZ26" s="317"/>
      <c r="BA26" s="317"/>
      <c r="BB26" s="317"/>
      <c r="BC26" s="317"/>
      <c r="BD26" s="317"/>
      <c r="BE26" s="317"/>
      <c r="BF26" s="317"/>
      <c r="BG26" s="317"/>
      <c r="BH26" s="317"/>
      <c r="BI26" s="317"/>
      <c r="BJ26" s="317"/>
      <c r="BK26" s="317"/>
      <c r="BL26" s="317"/>
      <c r="BM26" s="317"/>
      <c r="BN26" s="317"/>
      <c r="BO26" s="317"/>
      <c r="BP26" s="317"/>
      <c r="BQ26" s="317"/>
      <c r="BR26" s="317"/>
      <c r="BS26" s="317"/>
      <c r="BT26" s="317"/>
      <c r="BU26" s="317"/>
      <c r="DD26" s="317"/>
      <c r="DE26" s="315"/>
      <c r="DF26" s="315"/>
      <c r="DH26" s="316"/>
    </row>
    <row r="27" spans="1:112" s="314" customFormat="1" ht="46.5" customHeight="1" x14ac:dyDescent="0.85">
      <c r="A27" s="315"/>
      <c r="B27" s="317"/>
      <c r="C27" s="317"/>
      <c r="D27" s="438" t="s">
        <v>551</v>
      </c>
      <c r="X27" s="320"/>
      <c r="Y27" s="320"/>
      <c r="Z27" s="320"/>
      <c r="AA27" s="320"/>
      <c r="AB27" s="320"/>
      <c r="AC27" s="320"/>
      <c r="AD27" s="320"/>
      <c r="AE27" s="320"/>
      <c r="AF27" s="320"/>
      <c r="AG27" s="320"/>
      <c r="AH27" s="320"/>
      <c r="AI27" s="320"/>
      <c r="AJ27" s="436"/>
      <c r="AK27" s="436"/>
      <c r="AL27" s="436"/>
      <c r="AM27" s="436"/>
      <c r="AN27" s="436"/>
      <c r="AX27" s="317"/>
      <c r="AY27" s="317"/>
      <c r="AZ27" s="317"/>
      <c r="BA27" s="317"/>
      <c r="BB27" s="485">
        <f>'Entrevista Balance'!G26*12</f>
        <v>3600000</v>
      </c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317"/>
      <c r="BN27" s="317"/>
      <c r="BO27" s="317"/>
      <c r="BP27" s="317"/>
      <c r="BQ27" s="317"/>
      <c r="BR27" s="317"/>
      <c r="BS27" s="317"/>
      <c r="BT27" s="317"/>
      <c r="BU27" s="317"/>
      <c r="CI27" s="437"/>
      <c r="CJ27" s="437"/>
      <c r="CK27" s="437"/>
      <c r="CL27" s="437"/>
      <c r="CM27" s="437"/>
      <c r="CN27" s="437"/>
      <c r="CO27" s="437"/>
      <c r="CP27" s="437"/>
      <c r="CQ27" s="437"/>
      <c r="CR27" s="437"/>
      <c r="CS27" s="437"/>
      <c r="CT27" s="437"/>
      <c r="CU27" s="437"/>
      <c r="CV27" s="437"/>
      <c r="CW27" s="437"/>
      <c r="CX27" s="437"/>
      <c r="CY27" s="437"/>
      <c r="CZ27" s="437"/>
      <c r="DD27" s="317"/>
      <c r="DE27" s="315"/>
      <c r="DF27" s="315"/>
      <c r="DH27" s="316"/>
    </row>
    <row r="28" spans="1:112" s="314" customFormat="1" ht="59.1" customHeight="1" x14ac:dyDescent="0.25">
      <c r="A28" s="315"/>
      <c r="B28" s="317"/>
      <c r="C28" s="317"/>
      <c r="H28" s="487" t="s">
        <v>549</v>
      </c>
      <c r="I28" s="487"/>
      <c r="J28" s="487"/>
      <c r="K28" s="487"/>
      <c r="L28" s="487"/>
      <c r="M28" s="487"/>
      <c r="N28" s="487"/>
      <c r="O28" s="487"/>
      <c r="P28" s="487"/>
      <c r="Q28" s="487"/>
      <c r="R28" s="487"/>
      <c r="S28" s="487"/>
      <c r="T28" s="487"/>
      <c r="U28" s="487"/>
      <c r="V28" s="487"/>
      <c r="W28" s="487"/>
      <c r="X28" s="487" t="s">
        <v>393</v>
      </c>
      <c r="Y28" s="487"/>
      <c r="Z28" s="487"/>
      <c r="AA28" s="487"/>
      <c r="AB28" s="487"/>
      <c r="AC28" s="487"/>
      <c r="AD28" s="487"/>
      <c r="AE28" s="487"/>
      <c r="AF28" s="487"/>
      <c r="AG28" s="487"/>
      <c r="AH28" s="487"/>
      <c r="AI28" s="487"/>
      <c r="AJ28" s="487"/>
      <c r="AK28" s="487"/>
      <c r="AL28" s="487"/>
      <c r="AM28" s="487"/>
      <c r="AN28" s="487" t="s">
        <v>486</v>
      </c>
      <c r="AO28" s="487"/>
      <c r="AP28" s="487"/>
      <c r="AQ28" s="487"/>
      <c r="AR28" s="487"/>
      <c r="AS28" s="487"/>
      <c r="AT28" s="487"/>
      <c r="AU28" s="487"/>
      <c r="AV28" s="487"/>
      <c r="AW28" s="487"/>
      <c r="AX28" s="487"/>
      <c r="AY28" s="487"/>
      <c r="AZ28" s="487"/>
      <c r="BA28" s="487"/>
      <c r="BB28" s="487"/>
      <c r="BC28" s="487"/>
      <c r="BD28" s="487" t="s">
        <v>487</v>
      </c>
      <c r="BE28" s="487"/>
      <c r="BF28" s="487"/>
      <c r="BG28" s="487"/>
      <c r="BH28" s="487"/>
      <c r="BI28" s="487"/>
      <c r="BJ28" s="487"/>
      <c r="BK28" s="487"/>
      <c r="BL28" s="487"/>
      <c r="BM28" s="487"/>
      <c r="BN28" s="487"/>
      <c r="BO28" s="487"/>
      <c r="BP28" s="487"/>
      <c r="BQ28" s="487"/>
      <c r="BR28" s="487"/>
      <c r="BS28" s="487"/>
      <c r="BT28" s="487" t="s">
        <v>488</v>
      </c>
      <c r="BU28" s="487"/>
      <c r="BV28" s="487"/>
      <c r="BW28" s="487"/>
      <c r="BX28" s="487"/>
      <c r="BY28" s="487"/>
      <c r="BZ28" s="487"/>
      <c r="CA28" s="487"/>
      <c r="CB28" s="487"/>
      <c r="CC28" s="487"/>
      <c r="CD28" s="487"/>
      <c r="CE28" s="487"/>
      <c r="CF28" s="487"/>
      <c r="CG28" s="487"/>
      <c r="CH28" s="487"/>
      <c r="CI28" s="487"/>
      <c r="CJ28" s="487" t="s">
        <v>390</v>
      </c>
      <c r="CK28" s="487"/>
      <c r="CL28" s="487"/>
      <c r="CM28" s="487"/>
      <c r="CN28" s="487"/>
      <c r="CO28" s="487"/>
      <c r="CP28" s="487"/>
      <c r="CQ28" s="487"/>
      <c r="CR28" s="487"/>
      <c r="CS28" s="487"/>
      <c r="CT28" s="487"/>
      <c r="CU28" s="487"/>
      <c r="CV28" s="487"/>
      <c r="CW28" s="487"/>
      <c r="CX28" s="487"/>
      <c r="CY28" s="487"/>
      <c r="CZ28" s="437"/>
      <c r="DD28" s="317"/>
      <c r="DE28" s="315"/>
      <c r="DF28" s="315"/>
    </row>
    <row r="29" spans="1:112" s="314" customFormat="1" ht="17.100000000000001" customHeight="1" x14ac:dyDescent="0.25">
      <c r="A29" s="315"/>
      <c r="B29" s="317"/>
      <c r="C29" s="317"/>
      <c r="X29" s="320"/>
      <c r="Y29" s="320"/>
      <c r="Z29" s="320"/>
      <c r="AA29" s="320"/>
      <c r="AB29" s="320"/>
      <c r="AC29" s="320"/>
      <c r="AD29" s="320"/>
      <c r="AE29" s="320"/>
      <c r="AF29" s="320"/>
      <c r="AG29" s="320"/>
      <c r="AH29" s="320"/>
      <c r="AI29" s="320"/>
      <c r="AJ29" s="320"/>
      <c r="AX29" s="317"/>
      <c r="AY29" s="317"/>
      <c r="AZ29" s="317"/>
      <c r="BA29" s="317"/>
      <c r="BB29" s="317"/>
      <c r="BC29" s="317"/>
      <c r="BD29" s="317"/>
      <c r="BE29" s="317"/>
      <c r="BF29" s="317"/>
      <c r="BG29" s="317"/>
      <c r="BH29" s="317"/>
      <c r="BI29" s="317"/>
      <c r="BJ29" s="317"/>
      <c r="BK29" s="317"/>
      <c r="BL29" s="317"/>
      <c r="BM29" s="317"/>
      <c r="BN29" s="317"/>
      <c r="BO29" s="317"/>
      <c r="BP29" s="317"/>
      <c r="BQ29" s="317"/>
      <c r="BR29" s="317"/>
      <c r="BS29" s="317"/>
      <c r="BT29" s="317"/>
      <c r="BU29" s="317"/>
      <c r="CH29" s="437"/>
      <c r="CI29" s="437"/>
      <c r="CJ29" s="437"/>
      <c r="CK29" s="437"/>
      <c r="CL29" s="437"/>
      <c r="CM29" s="437"/>
      <c r="CN29" s="437"/>
      <c r="CO29" s="437"/>
      <c r="CP29" s="437"/>
      <c r="CQ29" s="437"/>
      <c r="CR29" s="437"/>
      <c r="CS29" s="437"/>
      <c r="CT29" s="437"/>
      <c r="CU29" s="437"/>
      <c r="CV29" s="437"/>
      <c r="CW29" s="437"/>
      <c r="CX29" s="437"/>
      <c r="CY29" s="437"/>
      <c r="CZ29" s="437"/>
      <c r="DD29" s="317"/>
      <c r="DE29" s="315"/>
      <c r="DF29" s="315"/>
      <c r="DH29" s="316"/>
    </row>
    <row r="30" spans="1:112" s="314" customFormat="1" ht="32.450000000000003" customHeight="1" x14ac:dyDescent="0.85">
      <c r="A30" s="315"/>
      <c r="B30" s="317"/>
      <c r="C30" s="317"/>
      <c r="D30" s="438" t="s">
        <v>550</v>
      </c>
      <c r="P30" s="483">
        <f>IF('Patrimonio Neto'!K18=0,"",'Patrimonio Neto'!K18)</f>
        <v>6</v>
      </c>
      <c r="Q30" s="483"/>
      <c r="R30" s="483"/>
      <c r="Z30" s="320"/>
      <c r="AA30" s="320"/>
      <c r="AB30" s="320"/>
      <c r="AC30" s="320"/>
      <c r="AD30" s="320"/>
      <c r="AE30" s="320"/>
      <c r="AF30" s="320"/>
      <c r="AG30" s="320"/>
      <c r="AH30" s="320"/>
      <c r="AI30" s="320"/>
      <c r="AJ30" s="320"/>
      <c r="AX30" s="317"/>
      <c r="AY30" s="317"/>
      <c r="AZ30" s="317"/>
      <c r="BA30" s="317"/>
      <c r="BB30" s="317"/>
      <c r="BC30" s="317"/>
      <c r="BD30" s="317"/>
      <c r="BE30" s="317"/>
      <c r="BF30" s="317"/>
      <c r="BG30" s="317"/>
      <c r="BH30" s="317"/>
      <c r="BI30" s="317"/>
      <c r="BJ30" s="317"/>
      <c r="BK30" s="317"/>
      <c r="BL30" s="317"/>
      <c r="BM30" s="317"/>
      <c r="BN30" s="317"/>
      <c r="BO30" s="317"/>
      <c r="BP30" s="317"/>
      <c r="BQ30" s="317"/>
      <c r="BR30" s="317"/>
      <c r="BS30" s="317"/>
      <c r="BT30" s="317"/>
      <c r="BU30" s="317"/>
      <c r="CH30" s="437"/>
      <c r="CI30" s="437"/>
      <c r="CJ30" s="437"/>
      <c r="CK30" s="437"/>
      <c r="CL30" s="437"/>
      <c r="CM30" s="437"/>
      <c r="CN30" s="437"/>
      <c r="CO30" s="437"/>
      <c r="CP30" s="437"/>
      <c r="CQ30" s="437"/>
      <c r="CR30" s="437"/>
      <c r="CS30" s="437"/>
      <c r="CT30" s="437"/>
      <c r="CU30" s="437"/>
      <c r="CV30" s="437"/>
      <c r="CW30" s="437"/>
      <c r="CX30" s="437"/>
      <c r="CY30" s="437"/>
      <c r="CZ30" s="437"/>
      <c r="DD30" s="317"/>
      <c r="DE30" s="315"/>
      <c r="DF30" s="315"/>
      <c r="DH30" s="316"/>
    </row>
    <row r="31" spans="1:112" s="314" customFormat="1" ht="33.950000000000003" customHeight="1" x14ac:dyDescent="0.25">
      <c r="A31" s="315"/>
      <c r="B31" s="317"/>
      <c r="C31" s="317"/>
      <c r="D31" s="496" t="str">
        <f>IF('Patrimonio Neto'!K18&gt;=1,"Suficiente para hacer frente a tus obligaciones.",IF('Patrimonio Neto'!K18=0,"Tu liquidez esta en función de tu calidad de vida deseada y no por tus obligaciones.","Deseable incrementar tu liquidez para cubrir compromisos futuros."))</f>
        <v>Suficiente para hacer frente a tus obligaciones.</v>
      </c>
      <c r="E31" s="496"/>
      <c r="F31" s="496"/>
      <c r="G31" s="496"/>
      <c r="H31" s="496"/>
      <c r="I31" s="496"/>
      <c r="J31" s="496"/>
      <c r="K31" s="496"/>
      <c r="L31" s="496"/>
      <c r="M31" s="496"/>
      <c r="N31" s="496"/>
      <c r="O31" s="496"/>
      <c r="P31" s="496"/>
      <c r="Q31" s="496"/>
      <c r="R31" s="496"/>
      <c r="S31" s="496"/>
      <c r="T31" s="496"/>
      <c r="U31" s="496"/>
      <c r="V31" s="496"/>
      <c r="W31" s="496"/>
      <c r="X31" s="496"/>
      <c r="Y31" s="496"/>
      <c r="Z31" s="496"/>
      <c r="AA31" s="496"/>
      <c r="AB31" s="496"/>
      <c r="AC31" s="496"/>
      <c r="AD31" s="496"/>
      <c r="AE31" s="496"/>
      <c r="AF31" s="496"/>
      <c r="AG31" s="496"/>
      <c r="AH31" s="496"/>
      <c r="AI31" s="496"/>
      <c r="AJ31" s="496"/>
      <c r="AK31" s="496"/>
      <c r="AL31" s="496"/>
      <c r="AM31" s="496"/>
      <c r="AN31" s="496"/>
      <c r="AO31" s="496"/>
      <c r="AP31" s="496"/>
      <c r="AQ31" s="496"/>
      <c r="AR31" s="496"/>
      <c r="AS31" s="496"/>
      <c r="AT31" s="496"/>
      <c r="AU31" s="496"/>
      <c r="AV31" s="496"/>
      <c r="AW31" s="496"/>
      <c r="AX31" s="496"/>
      <c r="AY31" s="496"/>
      <c r="AZ31" s="496"/>
      <c r="BA31" s="496"/>
      <c r="BB31" s="496"/>
      <c r="BC31" s="496"/>
      <c r="BD31" s="496"/>
      <c r="BE31" s="496"/>
      <c r="BF31" s="496"/>
      <c r="BG31" s="496"/>
      <c r="BH31" s="496"/>
      <c r="BI31" s="496"/>
      <c r="BJ31" s="496"/>
      <c r="BK31" s="496"/>
      <c r="BL31" s="496"/>
      <c r="BM31" s="496"/>
      <c r="BN31" s="496"/>
      <c r="BO31" s="496"/>
      <c r="BP31" s="496"/>
      <c r="BQ31" s="496"/>
      <c r="BR31" s="496"/>
      <c r="BS31" s="496"/>
      <c r="BT31" s="496"/>
      <c r="BU31" s="437"/>
      <c r="BV31" s="437"/>
      <c r="BW31" s="437"/>
      <c r="BX31" s="437"/>
      <c r="BY31" s="437"/>
      <c r="BZ31" s="437"/>
      <c r="CA31" s="437"/>
      <c r="CB31" s="437"/>
      <c r="CC31" s="437"/>
      <c r="CD31" s="437"/>
      <c r="CE31" s="437"/>
      <c r="CH31" s="393"/>
      <c r="CI31" s="393"/>
      <c r="CJ31" s="393"/>
      <c r="CK31" s="393"/>
      <c r="CL31" s="393"/>
      <c r="CM31" s="393"/>
      <c r="CN31" s="393"/>
      <c r="CO31" s="393"/>
      <c r="CP31" s="393"/>
      <c r="CQ31" s="393"/>
      <c r="CR31" s="393"/>
      <c r="CS31" s="393"/>
      <c r="CT31" s="393"/>
      <c r="CU31" s="393"/>
      <c r="CV31" s="393"/>
      <c r="CW31" s="393"/>
      <c r="CX31" s="393"/>
      <c r="CY31" s="393"/>
      <c r="CZ31" s="393"/>
      <c r="DD31" s="317"/>
      <c r="DE31" s="315"/>
      <c r="DF31" s="315"/>
      <c r="DH31" s="316"/>
    </row>
    <row r="32" spans="1:112" s="314" customFormat="1" ht="17.100000000000001" customHeight="1" x14ac:dyDescent="0.25">
      <c r="A32" s="315"/>
      <c r="B32" s="317"/>
      <c r="C32" s="317"/>
      <c r="D32" s="313"/>
      <c r="X32" s="320"/>
      <c r="Y32" s="320"/>
      <c r="Z32" s="320"/>
      <c r="AA32" s="320"/>
      <c r="AB32" s="320"/>
      <c r="AC32" s="320"/>
      <c r="AD32" s="320"/>
      <c r="AE32" s="320"/>
      <c r="AF32" s="320"/>
      <c r="AG32" s="320"/>
      <c r="AH32" s="320"/>
      <c r="AI32" s="320"/>
      <c r="AJ32" s="320"/>
      <c r="AX32" s="317"/>
      <c r="AY32" s="317"/>
      <c r="AZ32" s="317"/>
      <c r="BA32" s="317"/>
      <c r="BB32" s="317"/>
      <c r="BC32" s="317"/>
      <c r="BD32" s="317"/>
      <c r="BE32" s="317"/>
      <c r="BF32" s="317"/>
      <c r="BG32" s="317"/>
      <c r="BH32" s="317"/>
      <c r="BI32" s="317"/>
      <c r="BJ32" s="317"/>
      <c r="BK32" s="317"/>
      <c r="BL32" s="317"/>
      <c r="BM32" s="317"/>
      <c r="BN32" s="317"/>
      <c r="BO32" s="317"/>
      <c r="BP32" s="317"/>
      <c r="BQ32" s="317"/>
      <c r="BR32" s="317"/>
      <c r="BS32" s="317"/>
      <c r="BT32" s="317"/>
      <c r="BU32" s="317"/>
      <c r="CH32" s="393"/>
      <c r="CI32" s="393"/>
      <c r="CJ32" s="393"/>
      <c r="CK32" s="393"/>
      <c r="CL32" s="393"/>
      <c r="CM32" s="393"/>
      <c r="CN32" s="393"/>
      <c r="CO32" s="393"/>
      <c r="CP32" s="393"/>
      <c r="CQ32" s="393"/>
      <c r="CR32" s="393"/>
      <c r="CS32" s="393"/>
      <c r="CT32" s="393"/>
      <c r="CU32" s="393"/>
      <c r="CV32" s="393"/>
      <c r="CW32" s="393"/>
      <c r="CX32" s="393"/>
      <c r="CY32" s="393"/>
      <c r="CZ32" s="393"/>
      <c r="DD32" s="317"/>
      <c r="DE32" s="315"/>
      <c r="DF32" s="315"/>
      <c r="DH32" s="316"/>
    </row>
    <row r="33" spans="1:112" s="314" customFormat="1" x14ac:dyDescent="0.25">
      <c r="A33" s="315"/>
      <c r="B33" s="317"/>
      <c r="C33" s="317"/>
      <c r="X33" s="320"/>
      <c r="Y33" s="320"/>
      <c r="Z33" s="320"/>
      <c r="AA33" s="320"/>
      <c r="AB33" s="320"/>
      <c r="AC33" s="320"/>
      <c r="AD33" s="320"/>
      <c r="AE33" s="320"/>
      <c r="AF33" s="320"/>
      <c r="AG33" s="320"/>
      <c r="AH33" s="320"/>
      <c r="AI33" s="320"/>
      <c r="AJ33" s="320"/>
      <c r="AX33" s="317"/>
      <c r="AY33" s="317"/>
      <c r="AZ33" s="317"/>
      <c r="BA33" s="317"/>
      <c r="BB33" s="317"/>
      <c r="BC33" s="317"/>
      <c r="BD33" s="317"/>
      <c r="BE33" s="317"/>
      <c r="BF33" s="317"/>
      <c r="BG33" s="317"/>
      <c r="BH33" s="317"/>
      <c r="BI33" s="317"/>
      <c r="BJ33" s="317"/>
      <c r="BK33" s="317"/>
      <c r="BL33" s="317"/>
      <c r="BM33" s="317"/>
      <c r="BN33" s="317"/>
      <c r="BO33" s="317"/>
      <c r="BP33" s="317"/>
      <c r="BQ33" s="317"/>
      <c r="BR33" s="317"/>
      <c r="BS33" s="317"/>
      <c r="BT33" s="317"/>
      <c r="BU33" s="317"/>
      <c r="DD33" s="317"/>
      <c r="DE33" s="315"/>
      <c r="DF33" s="315"/>
      <c r="DH33" s="316"/>
    </row>
    <row r="34" spans="1:112" s="314" customFormat="1" ht="34.5" x14ac:dyDescent="0.25">
      <c r="A34" s="315"/>
      <c r="B34" s="317"/>
      <c r="C34" s="317"/>
      <c r="D34" s="209" t="s">
        <v>474</v>
      </c>
      <c r="X34" s="320"/>
      <c r="Y34" s="320"/>
      <c r="Z34" s="320"/>
      <c r="AA34" s="320"/>
      <c r="AB34" s="320"/>
      <c r="AC34" s="320"/>
      <c r="AD34" s="320"/>
      <c r="AE34" s="320"/>
      <c r="AF34" s="320"/>
      <c r="AG34" s="320"/>
      <c r="AH34" s="320"/>
      <c r="AI34" s="320"/>
      <c r="AJ34" s="320"/>
      <c r="AX34" s="317"/>
      <c r="AY34" s="317"/>
      <c r="AZ34" s="317"/>
      <c r="BA34" s="317"/>
      <c r="BB34" s="317"/>
      <c r="BC34" s="317"/>
      <c r="BD34" s="317"/>
      <c r="BE34" s="317"/>
      <c r="BF34" s="317"/>
      <c r="BG34" s="317"/>
      <c r="BH34" s="317"/>
      <c r="BI34" s="317"/>
      <c r="BJ34" s="317"/>
      <c r="BK34" s="317"/>
      <c r="BL34" s="317"/>
      <c r="BM34" s="317"/>
      <c r="BN34" s="317"/>
      <c r="BO34" s="317"/>
      <c r="BP34" s="317"/>
      <c r="BQ34" s="317"/>
      <c r="BR34" s="317"/>
      <c r="BS34" s="317"/>
      <c r="BT34" s="317"/>
      <c r="BU34" s="317"/>
      <c r="BV34" s="467" t="s">
        <v>563</v>
      </c>
      <c r="DD34" s="317"/>
      <c r="DE34" s="315"/>
      <c r="DF34" s="315"/>
      <c r="DH34" s="316"/>
    </row>
    <row r="35" spans="1:112" s="314" customFormat="1" ht="14.45" customHeight="1" x14ac:dyDescent="0.25">
      <c r="A35" s="315"/>
      <c r="B35" s="317"/>
      <c r="C35" s="317"/>
      <c r="X35" s="320"/>
      <c r="Y35" s="320"/>
      <c r="Z35" s="320"/>
      <c r="AA35" s="320"/>
      <c r="AB35" s="320"/>
      <c r="AC35" s="320"/>
      <c r="AD35" s="320"/>
      <c r="AE35" s="320"/>
      <c r="AF35" s="320"/>
      <c r="AG35" s="320"/>
      <c r="AH35" s="320"/>
      <c r="AI35" s="320"/>
      <c r="AJ35" s="320"/>
      <c r="AX35" s="317"/>
      <c r="AY35" s="317"/>
      <c r="AZ35" s="317"/>
      <c r="BA35" s="317"/>
      <c r="BB35" s="317"/>
      <c r="BC35" s="317"/>
      <c r="BD35" s="317"/>
      <c r="BE35" s="317"/>
      <c r="BF35" s="317"/>
      <c r="BG35" s="317"/>
      <c r="BH35" s="317"/>
      <c r="BI35" s="317"/>
      <c r="BJ35" s="317"/>
      <c r="BK35" s="317"/>
      <c r="BL35" s="317"/>
      <c r="BM35" s="317"/>
      <c r="BN35" s="317"/>
      <c r="BO35" s="317"/>
      <c r="BP35" s="317"/>
      <c r="BQ35" s="317"/>
      <c r="BR35" s="317"/>
      <c r="BS35" s="317"/>
      <c r="BT35" s="317"/>
      <c r="BU35" s="317"/>
      <c r="BV35" s="317"/>
      <c r="BW35" s="317"/>
      <c r="BX35" s="317"/>
      <c r="BY35" s="317"/>
      <c r="BZ35" s="317"/>
      <c r="CA35" s="317"/>
      <c r="CB35" s="317"/>
      <c r="CC35" s="317"/>
      <c r="CD35" s="317"/>
      <c r="CE35" s="317"/>
      <c r="CF35" s="317"/>
      <c r="CG35" s="317"/>
      <c r="CH35" s="317"/>
      <c r="CI35" s="317"/>
      <c r="CJ35" s="317"/>
      <c r="CK35" s="317"/>
      <c r="CL35" s="317"/>
      <c r="CM35" s="317"/>
      <c r="CN35" s="317"/>
      <c r="CO35" s="317"/>
      <c r="CP35" s="317"/>
      <c r="CQ35" s="317"/>
      <c r="CR35" s="317"/>
      <c r="CS35" s="317"/>
      <c r="CT35" s="317"/>
      <c r="CU35" s="317"/>
      <c r="CV35" s="317"/>
      <c r="CW35" s="317"/>
      <c r="CX35" s="317"/>
      <c r="CY35" s="317"/>
      <c r="CZ35" s="317"/>
      <c r="DA35" s="326"/>
      <c r="DB35" s="317"/>
      <c r="DC35" s="317"/>
      <c r="DD35" s="317"/>
      <c r="DE35" s="315"/>
      <c r="DF35" s="315"/>
      <c r="DH35" s="316"/>
    </row>
    <row r="36" spans="1:112" s="314" customFormat="1" ht="30.6" customHeight="1" x14ac:dyDescent="0.25">
      <c r="A36" s="315"/>
      <c r="B36" s="317"/>
      <c r="C36" s="317"/>
      <c r="D36" s="465"/>
      <c r="E36" s="317"/>
      <c r="F36" s="313" t="s">
        <v>2</v>
      </c>
      <c r="G36" s="317"/>
      <c r="H36" s="317"/>
      <c r="I36" s="317"/>
      <c r="J36" s="317"/>
      <c r="K36" s="317"/>
      <c r="L36" s="317"/>
      <c r="M36" s="317"/>
      <c r="N36" s="317"/>
      <c r="O36" s="317"/>
      <c r="P36" s="317"/>
      <c r="Q36" s="317"/>
      <c r="R36" s="317"/>
      <c r="S36" s="317"/>
      <c r="T36" s="338"/>
      <c r="U36" s="338"/>
      <c r="V36" s="338"/>
      <c r="W36" s="338"/>
      <c r="X36" s="337"/>
      <c r="Y36" s="324"/>
      <c r="Z36" s="324"/>
      <c r="AA36" s="324"/>
      <c r="AB36" s="324"/>
      <c r="AC36" s="324"/>
      <c r="AD36" s="484"/>
      <c r="AE36" s="484"/>
      <c r="AF36" s="484"/>
      <c r="AG36" s="484"/>
      <c r="AH36" s="484"/>
      <c r="AI36" s="455"/>
      <c r="AJ36" s="455"/>
      <c r="AK36" s="455"/>
      <c r="AL36" s="455"/>
      <c r="AN36" s="342"/>
      <c r="AO36" s="342"/>
      <c r="AP36" s="342"/>
      <c r="AX36" s="317"/>
      <c r="AY36" s="317"/>
      <c r="BV36" s="468" t="s">
        <v>462</v>
      </c>
      <c r="CK36" s="486">
        <f>'Cálculos y Supuestos Balance'!Z7</f>
        <v>20000</v>
      </c>
      <c r="CL36" s="486"/>
      <c r="CM36" s="486"/>
      <c r="CN36" s="486"/>
      <c r="CO36" s="486"/>
      <c r="CP36" s="486"/>
      <c r="CQ36" s="486"/>
      <c r="CR36" s="486"/>
      <c r="CS36" s="486"/>
      <c r="CT36" s="452"/>
      <c r="CU36" s="494">
        <f>'Cálculos y Supuestos Balance'!AA7</f>
        <v>0.24</v>
      </c>
      <c r="CV36" s="494"/>
      <c r="CW36" s="494"/>
      <c r="CX36" s="494"/>
      <c r="DB36" s="317"/>
      <c r="DC36" s="317"/>
      <c r="DD36" s="317"/>
      <c r="DE36" s="315"/>
      <c r="DF36" s="315"/>
    </row>
    <row r="37" spans="1:112" s="314" customFormat="1" ht="30.6" customHeight="1" x14ac:dyDescent="0.25">
      <c r="A37" s="315"/>
      <c r="B37" s="317"/>
      <c r="C37" s="317"/>
      <c r="D37" s="329"/>
      <c r="E37" s="338"/>
      <c r="F37" s="338"/>
      <c r="G37" s="338"/>
      <c r="H37" s="338"/>
      <c r="I37" s="338"/>
      <c r="J37" s="338"/>
      <c r="K37" s="338"/>
      <c r="L37" s="338"/>
      <c r="M37" s="338"/>
      <c r="N37" s="338"/>
      <c r="O37" s="338"/>
      <c r="P37" s="338"/>
      <c r="Q37" s="338"/>
      <c r="R37" s="338"/>
      <c r="S37" s="338"/>
      <c r="T37" s="338"/>
      <c r="U37" s="338"/>
      <c r="V37" s="338"/>
      <c r="W37" s="338"/>
      <c r="X37" s="337"/>
      <c r="Y37" s="324"/>
      <c r="Z37" s="324"/>
      <c r="AA37" s="324"/>
      <c r="AB37" s="324"/>
      <c r="AC37" s="324"/>
      <c r="AD37" s="324"/>
      <c r="AE37" s="324"/>
      <c r="AF37" s="324"/>
      <c r="AG37" s="324"/>
      <c r="AH37" s="336"/>
      <c r="AX37" s="317"/>
      <c r="AY37" s="317"/>
      <c r="BW37" s="469" t="s">
        <v>522</v>
      </c>
      <c r="DB37" s="317"/>
      <c r="DC37" s="317"/>
      <c r="DD37" s="317"/>
      <c r="DE37" s="315"/>
      <c r="DF37" s="315"/>
    </row>
    <row r="38" spans="1:112" s="314" customFormat="1" ht="30.6" customHeight="1" x14ac:dyDescent="0.25">
      <c r="A38" s="315"/>
      <c r="B38" s="317"/>
      <c r="C38" s="317"/>
      <c r="D38" s="466"/>
      <c r="E38" s="317"/>
      <c r="F38" s="313" t="s">
        <v>3</v>
      </c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38"/>
      <c r="U38" s="338"/>
      <c r="V38" s="338"/>
      <c r="W38" s="338"/>
      <c r="X38" s="337"/>
      <c r="Y38" s="324"/>
      <c r="Z38" s="324"/>
      <c r="AA38" s="324"/>
      <c r="AB38" s="324"/>
      <c r="AC38" s="324"/>
      <c r="AD38" s="484">
        <f>'Cálculos y Supuestos Balance'!AA12</f>
        <v>0.8571428571428571</v>
      </c>
      <c r="AE38" s="484"/>
      <c r="AF38" s="484"/>
      <c r="AG38" s="484"/>
      <c r="AH38" s="484"/>
      <c r="AI38" s="455"/>
      <c r="AJ38" s="455"/>
      <c r="AK38" s="455"/>
      <c r="AL38" s="455"/>
      <c r="AX38" s="317"/>
      <c r="AY38" s="317"/>
      <c r="BV38" s="468" t="s">
        <v>461</v>
      </c>
      <c r="CK38" s="486">
        <f>'Cálculos y Supuestos Balance'!Z8</f>
        <v>0</v>
      </c>
      <c r="CL38" s="486"/>
      <c r="CM38" s="486"/>
      <c r="CN38" s="486"/>
      <c r="CO38" s="486"/>
      <c r="CP38" s="486"/>
      <c r="CQ38" s="486"/>
      <c r="CR38" s="486"/>
      <c r="CS38" s="486"/>
      <c r="CT38" s="452"/>
      <c r="CU38" s="484">
        <f>'Cálculos y Supuestos Balance'!AA8</f>
        <v>0</v>
      </c>
      <c r="CV38" s="484"/>
      <c r="CW38" s="484"/>
      <c r="CX38" s="484"/>
      <c r="DB38" s="317"/>
      <c r="DC38" s="317"/>
      <c r="DD38" s="317"/>
      <c r="DE38" s="315"/>
      <c r="DF38" s="315"/>
    </row>
    <row r="39" spans="1:112" s="314" customFormat="1" ht="30.6" customHeight="1" x14ac:dyDescent="0.25">
      <c r="A39" s="315"/>
      <c r="B39" s="317"/>
      <c r="C39" s="317"/>
      <c r="D39" s="329"/>
      <c r="E39" s="338"/>
      <c r="F39" s="338"/>
      <c r="G39" s="338"/>
      <c r="H39" s="338"/>
      <c r="I39" s="338"/>
      <c r="J39" s="338"/>
      <c r="K39" s="338"/>
      <c r="L39" s="338"/>
      <c r="M39" s="338"/>
      <c r="N39" s="338"/>
      <c r="O39" s="338"/>
      <c r="P39" s="338"/>
      <c r="Q39" s="338"/>
      <c r="R39" s="338"/>
      <c r="S39" s="338"/>
      <c r="T39" s="338"/>
      <c r="U39" s="338"/>
      <c r="V39" s="338"/>
      <c r="W39" s="338"/>
      <c r="X39" s="337"/>
      <c r="Y39" s="324"/>
      <c r="Z39" s="324"/>
      <c r="AA39" s="324"/>
      <c r="AB39" s="324"/>
      <c r="AC39" s="324"/>
      <c r="AD39" s="324"/>
      <c r="AE39" s="324"/>
      <c r="AF39" s="324"/>
      <c r="AG39" s="324"/>
      <c r="AH39" s="336"/>
      <c r="AI39" s="320"/>
      <c r="AJ39" s="320"/>
      <c r="AX39" s="317"/>
      <c r="AY39" s="317"/>
      <c r="AZ39" s="317"/>
      <c r="BA39" s="317"/>
      <c r="BB39" s="317"/>
      <c r="BC39" s="317"/>
      <c r="BD39" s="317"/>
      <c r="BE39" s="317"/>
      <c r="BF39" s="317"/>
      <c r="BG39" s="317"/>
      <c r="BH39" s="317"/>
      <c r="BI39" s="317"/>
      <c r="BJ39" s="317"/>
      <c r="BK39" s="317"/>
      <c r="BL39" s="317"/>
      <c r="BM39" s="317"/>
      <c r="BN39" s="317"/>
      <c r="BO39" s="317"/>
      <c r="BP39" s="317"/>
      <c r="BQ39" s="317"/>
      <c r="BR39" s="317"/>
      <c r="BS39" s="317"/>
      <c r="BT39" s="317"/>
      <c r="BU39" s="317"/>
      <c r="BV39" s="317"/>
      <c r="BW39" s="469" t="s">
        <v>460</v>
      </c>
      <c r="DB39" s="317"/>
      <c r="DC39" s="317"/>
      <c r="DD39" s="317"/>
      <c r="DE39" s="315"/>
      <c r="DF39" s="315"/>
    </row>
    <row r="40" spans="1:112" s="314" customFormat="1" ht="30.6" customHeight="1" x14ac:dyDescent="0.25">
      <c r="A40" s="315"/>
      <c r="B40" s="317"/>
      <c r="C40" s="317"/>
      <c r="D40" s="350"/>
      <c r="E40" s="317"/>
      <c r="F40" s="313" t="s">
        <v>561</v>
      </c>
      <c r="G40" s="317"/>
      <c r="H40" s="317"/>
      <c r="I40" s="317"/>
      <c r="J40" s="317"/>
      <c r="K40" s="317"/>
      <c r="L40" s="317"/>
      <c r="M40" s="317"/>
      <c r="N40" s="317"/>
      <c r="O40" s="317"/>
      <c r="P40" s="317"/>
      <c r="Q40" s="317"/>
      <c r="R40" s="317"/>
      <c r="S40" s="317"/>
      <c r="T40" s="338"/>
      <c r="U40" s="338"/>
      <c r="V40" s="338"/>
      <c r="W40" s="338"/>
      <c r="X40" s="337"/>
      <c r="Y40" s="324"/>
      <c r="Z40" s="324"/>
      <c r="AA40" s="324"/>
      <c r="AB40" s="324"/>
      <c r="AC40" s="324"/>
      <c r="AD40" s="484">
        <f>'Cálculos y Supuestos Balance'!AA13</f>
        <v>8.5714285714285715E-2</v>
      </c>
      <c r="AE40" s="484"/>
      <c r="AF40" s="484"/>
      <c r="AG40" s="484"/>
      <c r="AH40" s="484"/>
      <c r="AI40" s="320"/>
      <c r="AJ40" s="320"/>
      <c r="AX40" s="317"/>
      <c r="AY40" s="317"/>
      <c r="AZ40" s="317"/>
      <c r="BA40" s="317"/>
      <c r="BB40" s="317"/>
      <c r="BC40" s="317"/>
      <c r="BD40" s="317"/>
      <c r="BE40" s="317"/>
      <c r="BF40" s="317"/>
      <c r="BG40" s="317"/>
      <c r="BH40" s="317"/>
      <c r="BI40" s="317"/>
      <c r="BJ40" s="317"/>
      <c r="BK40" s="317"/>
      <c r="BL40" s="317"/>
      <c r="BM40" s="317"/>
      <c r="BN40" s="317"/>
      <c r="BO40" s="317"/>
      <c r="BP40" s="317"/>
      <c r="BQ40" s="317"/>
      <c r="BR40" s="317"/>
      <c r="BS40" s="317"/>
      <c r="BT40" s="317"/>
      <c r="BU40" s="317"/>
      <c r="BV40" s="317"/>
      <c r="BW40" s="497" t="str">
        <f>IF('Cálculos y Supuestos Balance'!Z6&gt;0,"Los ingresos pasivos son una buena fuente para seguir creciendo tu patrimonio y hacer frente a obligaciones.","Es importante diversificar la fuentes de ingresos para que no solo dependan de una sola actividad.")</f>
        <v>Los ingresos pasivos son una buena fuente para seguir creciendo tu patrimonio y hacer frente a obligaciones.</v>
      </c>
      <c r="BX40" s="497"/>
      <c r="BY40" s="497"/>
      <c r="BZ40" s="497"/>
      <c r="CA40" s="497"/>
      <c r="CB40" s="497"/>
      <c r="CC40" s="497"/>
      <c r="CD40" s="497"/>
      <c r="CE40" s="497"/>
      <c r="CF40" s="497"/>
      <c r="CG40" s="497"/>
      <c r="CH40" s="497"/>
      <c r="CI40" s="497"/>
      <c r="CJ40" s="497"/>
      <c r="CK40" s="497"/>
      <c r="CL40" s="497"/>
      <c r="CM40" s="497"/>
      <c r="CN40" s="497"/>
      <c r="CO40" s="497"/>
      <c r="CP40" s="497"/>
      <c r="CQ40" s="497"/>
      <c r="CR40" s="497"/>
      <c r="CS40" s="497"/>
      <c r="CT40" s="497"/>
      <c r="CU40" s="497"/>
      <c r="CV40" s="497"/>
      <c r="CW40" s="497"/>
      <c r="CX40" s="497"/>
      <c r="CY40" s="497"/>
      <c r="CZ40" s="497"/>
      <c r="DA40" s="497"/>
      <c r="DB40" s="317"/>
      <c r="DC40" s="317"/>
      <c r="DD40" s="317"/>
      <c r="DE40" s="315"/>
      <c r="DF40" s="315"/>
    </row>
    <row r="41" spans="1:112" s="314" customFormat="1" ht="30.6" customHeight="1" x14ac:dyDescent="0.25">
      <c r="A41" s="315"/>
      <c r="B41" s="317"/>
      <c r="C41" s="317"/>
      <c r="D41" s="329"/>
      <c r="E41" s="338"/>
      <c r="F41" s="338"/>
      <c r="G41" s="338"/>
      <c r="H41" s="338"/>
      <c r="I41" s="338"/>
      <c r="J41" s="338"/>
      <c r="K41" s="338"/>
      <c r="L41" s="338"/>
      <c r="M41" s="338"/>
      <c r="N41" s="338"/>
      <c r="O41" s="338"/>
      <c r="P41" s="338"/>
      <c r="Q41" s="338"/>
      <c r="R41" s="338"/>
      <c r="S41" s="338"/>
      <c r="T41" s="338"/>
      <c r="U41" s="338"/>
      <c r="V41" s="338"/>
      <c r="W41" s="338"/>
      <c r="X41" s="337"/>
      <c r="Y41" s="324"/>
      <c r="Z41" s="324"/>
      <c r="AA41" s="324"/>
      <c r="AB41" s="324"/>
      <c r="AC41" s="324"/>
      <c r="AD41" s="324"/>
      <c r="AE41" s="324"/>
      <c r="AF41" s="324"/>
      <c r="AG41" s="324"/>
      <c r="AH41" s="336"/>
      <c r="AI41" s="456"/>
      <c r="AJ41" s="456"/>
      <c r="AK41" s="456"/>
      <c r="AL41" s="456"/>
      <c r="AX41" s="317"/>
      <c r="AY41" s="317"/>
      <c r="AZ41" s="317"/>
      <c r="BA41" s="317"/>
      <c r="BB41" s="317"/>
      <c r="BC41" s="317"/>
      <c r="BD41" s="317"/>
      <c r="BE41" s="317"/>
      <c r="BF41" s="317"/>
      <c r="BG41" s="317"/>
      <c r="BH41" s="317"/>
      <c r="BI41" s="317"/>
      <c r="BJ41" s="317"/>
      <c r="BK41" s="317"/>
      <c r="BL41" s="317"/>
      <c r="BM41" s="317"/>
      <c r="BN41" s="317"/>
      <c r="BO41" s="317"/>
      <c r="BP41" s="317"/>
      <c r="BQ41" s="317"/>
      <c r="BR41" s="317"/>
      <c r="BS41" s="317"/>
      <c r="BT41" s="317"/>
      <c r="BU41" s="317"/>
      <c r="BV41" s="317"/>
      <c r="BW41" s="497"/>
      <c r="BX41" s="497"/>
      <c r="BY41" s="497"/>
      <c r="BZ41" s="497"/>
      <c r="CA41" s="497"/>
      <c r="CB41" s="497"/>
      <c r="CC41" s="497"/>
      <c r="CD41" s="497"/>
      <c r="CE41" s="497"/>
      <c r="CF41" s="497"/>
      <c r="CG41" s="497"/>
      <c r="CH41" s="497"/>
      <c r="CI41" s="497"/>
      <c r="CJ41" s="497"/>
      <c r="CK41" s="497"/>
      <c r="CL41" s="497"/>
      <c r="CM41" s="497"/>
      <c r="CN41" s="497"/>
      <c r="CO41" s="497"/>
      <c r="CP41" s="497"/>
      <c r="CQ41" s="497"/>
      <c r="CR41" s="497"/>
      <c r="CS41" s="497"/>
      <c r="CT41" s="497"/>
      <c r="CU41" s="497"/>
      <c r="CV41" s="497"/>
      <c r="CW41" s="497"/>
      <c r="CX41" s="497"/>
      <c r="CY41" s="497"/>
      <c r="CZ41" s="497"/>
      <c r="DA41" s="497"/>
      <c r="DB41" s="317"/>
      <c r="DC41" s="317"/>
      <c r="DD41" s="317"/>
      <c r="DE41" s="315"/>
      <c r="DF41" s="315"/>
    </row>
    <row r="42" spans="1:112" s="314" customFormat="1" ht="30.6" customHeight="1" x14ac:dyDescent="0.25">
      <c r="A42" s="315"/>
      <c r="B42" s="317"/>
      <c r="C42" s="317"/>
      <c r="D42" s="349"/>
      <c r="E42" s="317"/>
      <c r="F42" s="313" t="s">
        <v>562</v>
      </c>
      <c r="G42" s="317"/>
      <c r="H42" s="317"/>
      <c r="I42" s="317"/>
      <c r="J42" s="317"/>
      <c r="K42" s="317"/>
      <c r="L42" s="317"/>
      <c r="M42" s="317"/>
      <c r="N42" s="317"/>
      <c r="O42" s="317"/>
      <c r="P42" s="317"/>
      <c r="Q42" s="317"/>
      <c r="R42" s="317"/>
      <c r="S42" s="317"/>
      <c r="T42" s="338"/>
      <c r="U42" s="338"/>
      <c r="V42" s="338"/>
      <c r="W42" s="338"/>
      <c r="X42" s="337"/>
      <c r="Y42" s="324"/>
      <c r="Z42" s="324"/>
      <c r="AA42" s="324"/>
      <c r="AB42" s="324"/>
      <c r="AC42" s="324"/>
      <c r="AD42" s="484">
        <f>'Cálculos y Supuestos Balance'!AA14</f>
        <v>5.7142857142857141E-2</v>
      </c>
      <c r="AE42" s="484"/>
      <c r="AF42" s="484"/>
      <c r="AG42" s="484"/>
      <c r="AH42" s="484"/>
      <c r="AI42" s="456"/>
      <c r="AJ42" s="456"/>
      <c r="AK42" s="456"/>
      <c r="AL42" s="456"/>
      <c r="AX42" s="317"/>
      <c r="AY42" s="317"/>
      <c r="AZ42" s="317"/>
      <c r="BA42" s="317"/>
      <c r="BB42" s="317"/>
      <c r="BC42" s="317"/>
      <c r="BD42" s="317"/>
      <c r="BE42" s="317"/>
      <c r="BF42" s="317"/>
      <c r="BG42" s="317"/>
      <c r="BH42" s="317"/>
      <c r="BI42" s="317"/>
      <c r="BJ42" s="317"/>
      <c r="BK42" s="317"/>
      <c r="BL42" s="317"/>
      <c r="BM42" s="317"/>
      <c r="BN42" s="317"/>
      <c r="BO42" s="317"/>
      <c r="BP42" s="317"/>
      <c r="BQ42" s="317"/>
      <c r="BR42" s="317"/>
      <c r="BS42" s="317"/>
      <c r="BT42" s="317"/>
      <c r="BU42" s="317"/>
      <c r="BV42" s="317"/>
      <c r="BW42" s="497"/>
      <c r="BX42" s="497"/>
      <c r="BY42" s="497"/>
      <c r="BZ42" s="497"/>
      <c r="CA42" s="497"/>
      <c r="CB42" s="497"/>
      <c r="CC42" s="497"/>
      <c r="CD42" s="497"/>
      <c r="CE42" s="497"/>
      <c r="CF42" s="497"/>
      <c r="CG42" s="497"/>
      <c r="CH42" s="497"/>
      <c r="CI42" s="497"/>
      <c r="CJ42" s="497"/>
      <c r="CK42" s="497"/>
      <c r="CL42" s="497"/>
      <c r="CM42" s="497"/>
      <c r="CN42" s="497"/>
      <c r="CO42" s="497"/>
      <c r="CP42" s="497"/>
      <c r="CQ42" s="497"/>
      <c r="CR42" s="497"/>
      <c r="CS42" s="497"/>
      <c r="CT42" s="497"/>
      <c r="CU42" s="497"/>
      <c r="CV42" s="497"/>
      <c r="CW42" s="497"/>
      <c r="CX42" s="497"/>
      <c r="CY42" s="497"/>
      <c r="CZ42" s="497"/>
      <c r="DA42" s="497"/>
      <c r="DB42" s="317"/>
      <c r="DC42" s="317"/>
      <c r="DD42" s="317"/>
      <c r="DE42" s="315"/>
      <c r="DF42" s="315"/>
    </row>
    <row r="43" spans="1:112" s="314" customFormat="1" ht="30.6" customHeight="1" x14ac:dyDescent="0.25">
      <c r="A43" s="315"/>
      <c r="B43" s="317"/>
      <c r="C43" s="317"/>
      <c r="F43" s="338"/>
      <c r="G43" s="338"/>
      <c r="H43" s="338"/>
      <c r="I43" s="338"/>
      <c r="J43" s="338"/>
      <c r="K43" s="338"/>
      <c r="L43" s="338"/>
      <c r="M43" s="338"/>
      <c r="N43" s="338"/>
      <c r="O43" s="338"/>
      <c r="P43" s="338"/>
      <c r="Q43" s="338"/>
      <c r="R43" s="338"/>
      <c r="S43" s="338"/>
      <c r="T43" s="338"/>
      <c r="U43" s="338"/>
      <c r="V43" s="338"/>
      <c r="W43" s="338"/>
      <c r="X43" s="337"/>
      <c r="Z43" s="454"/>
      <c r="AA43" s="454"/>
      <c r="AB43" s="454"/>
      <c r="AC43" s="454"/>
      <c r="AD43" s="454"/>
      <c r="AE43" s="454"/>
      <c r="AF43" s="454"/>
      <c r="AG43" s="454"/>
      <c r="AI43" s="456"/>
      <c r="AJ43" s="456"/>
      <c r="AK43" s="456"/>
      <c r="AL43" s="456"/>
      <c r="AX43" s="317"/>
      <c r="AY43" s="317"/>
      <c r="AZ43" s="317"/>
      <c r="BA43" s="317"/>
      <c r="BB43" s="317"/>
      <c r="BC43" s="317"/>
      <c r="BD43" s="317"/>
      <c r="BE43" s="317"/>
      <c r="BF43" s="317"/>
      <c r="BG43" s="317"/>
      <c r="BH43" s="317"/>
      <c r="BI43" s="317"/>
      <c r="BJ43" s="317"/>
      <c r="BK43" s="317"/>
      <c r="BL43" s="317"/>
      <c r="BM43" s="317"/>
      <c r="BN43" s="317"/>
      <c r="BO43" s="317"/>
      <c r="BP43" s="317"/>
      <c r="BQ43" s="317"/>
      <c r="BR43" s="317"/>
      <c r="BS43" s="317"/>
      <c r="BT43" s="317"/>
      <c r="BU43" s="317"/>
      <c r="BV43" s="317"/>
      <c r="BW43" s="497"/>
      <c r="BX43" s="497"/>
      <c r="BY43" s="497"/>
      <c r="BZ43" s="497"/>
      <c r="CA43" s="497"/>
      <c r="CB43" s="497"/>
      <c r="CC43" s="497"/>
      <c r="CD43" s="497"/>
      <c r="CE43" s="497"/>
      <c r="CF43" s="497"/>
      <c r="CG43" s="497"/>
      <c r="CH43" s="497"/>
      <c r="CI43" s="497"/>
      <c r="CJ43" s="497"/>
      <c r="CK43" s="497"/>
      <c r="CL43" s="497"/>
      <c r="CM43" s="497"/>
      <c r="CN43" s="497"/>
      <c r="CO43" s="497"/>
      <c r="CP43" s="497"/>
      <c r="CQ43" s="497"/>
      <c r="CR43" s="497"/>
      <c r="CS43" s="497"/>
      <c r="CT43" s="497"/>
      <c r="CU43" s="497"/>
      <c r="CV43" s="497"/>
      <c r="CW43" s="497"/>
      <c r="CX43" s="497"/>
      <c r="CY43" s="497"/>
      <c r="CZ43" s="497"/>
      <c r="DA43" s="497"/>
      <c r="DB43" s="317"/>
      <c r="DC43" s="317"/>
      <c r="DD43" s="317"/>
      <c r="DE43" s="315"/>
      <c r="DF43" s="315"/>
      <c r="DH43" s="316"/>
    </row>
    <row r="44" spans="1:112" s="314" customFormat="1" ht="30.6" customHeight="1" x14ac:dyDescent="0.25">
      <c r="A44" s="315"/>
      <c r="B44" s="317"/>
      <c r="C44" s="317"/>
      <c r="F44" s="338"/>
      <c r="G44" s="338"/>
      <c r="H44" s="338"/>
      <c r="I44" s="338"/>
      <c r="J44" s="338"/>
      <c r="K44" s="338"/>
      <c r="L44" s="338"/>
      <c r="M44" s="338"/>
      <c r="N44" s="338"/>
      <c r="O44" s="338"/>
      <c r="P44" s="338"/>
      <c r="Q44" s="338"/>
      <c r="R44" s="338"/>
      <c r="S44" s="338"/>
      <c r="T44" s="338"/>
      <c r="U44" s="338"/>
      <c r="V44" s="338"/>
      <c r="W44" s="338"/>
      <c r="X44" s="337"/>
      <c r="Z44" s="454"/>
      <c r="AA44" s="454"/>
      <c r="AB44" s="454"/>
      <c r="AC44" s="454"/>
      <c r="AD44" s="454"/>
      <c r="AE44" s="454"/>
      <c r="AF44" s="454"/>
      <c r="AG44" s="454"/>
      <c r="AI44" s="456"/>
      <c r="AJ44" s="456"/>
      <c r="AK44" s="456"/>
      <c r="AL44" s="456"/>
      <c r="AX44" s="317"/>
      <c r="AY44" s="317"/>
      <c r="AZ44" s="317"/>
      <c r="BA44" s="317"/>
      <c r="BB44" s="317"/>
      <c r="BC44" s="317"/>
      <c r="BD44" s="317"/>
      <c r="BE44" s="317"/>
      <c r="BF44" s="317"/>
      <c r="BG44" s="317"/>
      <c r="BH44" s="317"/>
      <c r="BI44" s="317"/>
      <c r="BJ44" s="317"/>
      <c r="BK44" s="317"/>
      <c r="BL44" s="317"/>
      <c r="BM44" s="317"/>
      <c r="BN44" s="317"/>
      <c r="BO44" s="317"/>
      <c r="BP44" s="317"/>
      <c r="BQ44" s="317"/>
      <c r="BR44" s="317"/>
      <c r="BS44" s="317"/>
      <c r="BT44" s="317"/>
      <c r="BU44" s="317"/>
      <c r="BV44" s="317"/>
      <c r="BW44" s="317"/>
      <c r="BX44" s="317"/>
      <c r="BY44" s="317"/>
      <c r="BZ44" s="317"/>
      <c r="CA44" s="317"/>
      <c r="CB44" s="317"/>
      <c r="CC44" s="317"/>
      <c r="CD44" s="317"/>
      <c r="CE44" s="317"/>
      <c r="CF44" s="317"/>
      <c r="CG44" s="317"/>
      <c r="CH44" s="317"/>
      <c r="CI44" s="317"/>
      <c r="CJ44" s="317"/>
      <c r="CK44" s="317"/>
      <c r="CL44" s="317"/>
      <c r="CM44" s="317"/>
      <c r="CN44" s="317"/>
      <c r="CO44" s="317"/>
      <c r="CP44" s="317"/>
      <c r="CQ44" s="317"/>
      <c r="CR44" s="317"/>
      <c r="CS44" s="317"/>
      <c r="CT44" s="317"/>
      <c r="CU44" s="317"/>
      <c r="CV44" s="317"/>
      <c r="CW44" s="317"/>
      <c r="CX44" s="317"/>
      <c r="CY44" s="317"/>
      <c r="CZ44" s="317"/>
      <c r="DA44" s="326"/>
      <c r="DB44" s="317"/>
      <c r="DC44" s="317"/>
      <c r="DD44" s="317"/>
      <c r="DE44" s="315"/>
      <c r="DF44" s="315"/>
      <c r="DH44" s="316"/>
    </row>
    <row r="45" spans="1:112" s="314" customFormat="1" ht="30.75" x14ac:dyDescent="0.25">
      <c r="A45" s="315"/>
      <c r="B45" s="317"/>
      <c r="C45" s="317"/>
      <c r="D45" s="329"/>
      <c r="E45" s="338"/>
      <c r="F45" s="338"/>
      <c r="G45" s="338"/>
      <c r="H45" s="338"/>
      <c r="I45" s="338"/>
      <c r="J45" s="338"/>
      <c r="K45" s="338"/>
      <c r="L45" s="338"/>
      <c r="M45" s="338"/>
      <c r="N45" s="338"/>
      <c r="O45" s="338"/>
      <c r="P45" s="338"/>
      <c r="Q45" s="338"/>
      <c r="R45" s="338"/>
      <c r="S45" s="338"/>
      <c r="T45" s="338"/>
      <c r="U45" s="338"/>
      <c r="V45" s="338"/>
      <c r="W45" s="338"/>
      <c r="X45" s="337"/>
      <c r="Y45" s="324"/>
      <c r="Z45" s="324"/>
      <c r="AA45" s="324"/>
      <c r="AB45" s="324"/>
      <c r="AC45" s="324"/>
      <c r="AD45" s="324"/>
      <c r="AE45" s="324"/>
      <c r="AF45" s="324"/>
      <c r="AG45" s="324"/>
      <c r="AH45" s="336"/>
      <c r="AI45" s="336"/>
      <c r="AJ45" s="336"/>
      <c r="AK45" s="336"/>
      <c r="AL45" s="336"/>
      <c r="AM45" s="335"/>
      <c r="AX45" s="317"/>
      <c r="AY45" s="317"/>
      <c r="AZ45" s="317"/>
      <c r="BA45" s="317"/>
      <c r="BB45" s="317"/>
      <c r="BC45" s="317"/>
      <c r="BD45" s="317"/>
      <c r="BE45" s="317"/>
      <c r="BF45" s="317"/>
      <c r="BG45" s="317"/>
      <c r="BH45" s="317"/>
      <c r="BI45" s="317"/>
      <c r="BJ45" s="317"/>
      <c r="BK45" s="317"/>
      <c r="BL45" s="317"/>
      <c r="BM45" s="317"/>
      <c r="BN45" s="317"/>
      <c r="BO45" s="317"/>
      <c r="BP45" s="317"/>
      <c r="BQ45" s="317"/>
      <c r="BR45" s="317"/>
      <c r="BS45" s="317"/>
      <c r="BT45" s="317"/>
      <c r="BU45" s="317"/>
      <c r="BV45" s="317"/>
      <c r="BW45" s="317"/>
      <c r="BX45" s="317"/>
      <c r="BY45" s="317"/>
      <c r="BZ45" s="317"/>
      <c r="CA45" s="317"/>
      <c r="CB45" s="317"/>
      <c r="CC45" s="317"/>
      <c r="CD45" s="317"/>
      <c r="CE45" s="317"/>
      <c r="CF45" s="317"/>
      <c r="CG45" s="317"/>
      <c r="CH45" s="317"/>
      <c r="CI45" s="317"/>
      <c r="CJ45" s="317"/>
      <c r="CK45" s="317"/>
      <c r="CL45" s="317"/>
      <c r="CM45" s="317"/>
      <c r="CN45" s="317"/>
      <c r="CO45" s="317"/>
      <c r="CP45" s="317"/>
      <c r="CQ45" s="317"/>
      <c r="CR45" s="317"/>
      <c r="CS45" s="317"/>
      <c r="CT45" s="317"/>
      <c r="CU45" s="317"/>
      <c r="CV45" s="317"/>
      <c r="CW45" s="317"/>
      <c r="CX45" s="317"/>
      <c r="CY45" s="317"/>
      <c r="CZ45" s="317"/>
      <c r="DA45" s="326"/>
      <c r="DB45" s="317"/>
      <c r="DC45" s="317"/>
      <c r="DD45" s="317"/>
      <c r="DE45" s="315"/>
      <c r="DF45" s="315"/>
      <c r="DH45" s="316"/>
    </row>
    <row r="46" spans="1:112" s="314" customFormat="1" ht="34.5" x14ac:dyDescent="0.25">
      <c r="A46" s="315"/>
      <c r="B46" s="317"/>
      <c r="C46" s="317"/>
      <c r="D46" s="209" t="s">
        <v>475</v>
      </c>
      <c r="E46" s="338"/>
      <c r="F46" s="338"/>
      <c r="G46" s="338"/>
      <c r="H46" s="338"/>
      <c r="I46" s="338"/>
      <c r="J46" s="338"/>
      <c r="K46" s="338"/>
      <c r="L46" s="338"/>
      <c r="M46" s="338"/>
      <c r="N46" s="338"/>
      <c r="O46" s="338"/>
      <c r="P46" s="338"/>
      <c r="Q46" s="338"/>
      <c r="R46" s="338"/>
      <c r="S46" s="338"/>
      <c r="T46" s="338"/>
      <c r="U46" s="338"/>
      <c r="V46" s="338"/>
      <c r="W46" s="338"/>
      <c r="X46" s="337"/>
      <c r="Y46" s="324"/>
      <c r="Z46" s="324"/>
      <c r="AA46" s="324"/>
      <c r="AB46" s="324"/>
      <c r="AC46" s="324"/>
      <c r="AD46" s="324"/>
      <c r="AE46" s="324"/>
      <c r="AF46" s="324"/>
      <c r="AG46" s="324"/>
      <c r="AH46" s="336"/>
      <c r="AI46" s="336"/>
      <c r="AJ46" s="336"/>
      <c r="AK46" s="336"/>
      <c r="AL46" s="336"/>
      <c r="AM46" s="335"/>
      <c r="AX46" s="317"/>
      <c r="AY46" s="317"/>
      <c r="AZ46" s="317"/>
      <c r="BA46" s="317"/>
      <c r="BB46" s="317"/>
      <c r="BC46" s="317"/>
      <c r="BD46" s="317"/>
      <c r="BE46" s="317"/>
      <c r="BF46" s="317"/>
      <c r="BG46" s="317"/>
      <c r="BH46" s="317"/>
      <c r="BI46" s="317"/>
      <c r="BJ46" s="317"/>
      <c r="BK46" s="317"/>
      <c r="BL46" s="317"/>
      <c r="BM46" s="317"/>
      <c r="BN46" s="317"/>
      <c r="BO46" s="317"/>
      <c r="BP46" s="317"/>
      <c r="BQ46" s="317"/>
      <c r="BR46" s="317"/>
      <c r="BS46" s="317"/>
      <c r="BT46" s="317"/>
      <c r="BU46" s="317"/>
      <c r="BV46" s="317"/>
      <c r="BW46" s="317"/>
      <c r="BX46" s="317"/>
      <c r="BY46" s="317"/>
      <c r="BZ46" s="317"/>
      <c r="CA46" s="317"/>
      <c r="CB46" s="317"/>
      <c r="CC46" s="317"/>
      <c r="CD46" s="317"/>
      <c r="CE46" s="317"/>
      <c r="CF46" s="317"/>
      <c r="CG46" s="317"/>
      <c r="CH46" s="317"/>
      <c r="CI46" s="317"/>
      <c r="CJ46" s="317"/>
      <c r="CK46" s="317"/>
      <c r="CL46" s="317"/>
      <c r="CM46" s="317"/>
      <c r="CN46" s="317"/>
      <c r="CO46" s="317"/>
      <c r="CP46" s="317"/>
      <c r="CQ46" s="317"/>
      <c r="CR46" s="317"/>
      <c r="CS46" s="317"/>
      <c r="CT46" s="317"/>
      <c r="CU46" s="317"/>
      <c r="CV46" s="317"/>
      <c r="CW46" s="317"/>
      <c r="CX46" s="317"/>
      <c r="CY46" s="317"/>
      <c r="CZ46" s="317"/>
      <c r="DA46" s="326"/>
      <c r="DB46" s="317"/>
      <c r="DC46" s="317"/>
      <c r="DD46" s="317"/>
      <c r="DE46" s="315"/>
      <c r="DF46" s="315"/>
      <c r="DH46" s="316"/>
    </row>
    <row r="47" spans="1:112" s="314" customFormat="1" ht="30.6" customHeight="1" x14ac:dyDescent="0.25">
      <c r="A47" s="315"/>
      <c r="B47" s="317"/>
      <c r="C47" s="317"/>
      <c r="D47" s="329"/>
      <c r="E47" s="338"/>
      <c r="F47" s="338"/>
      <c r="G47" s="338"/>
      <c r="H47" s="338"/>
      <c r="I47" s="338"/>
      <c r="J47" s="338"/>
      <c r="K47" s="338"/>
      <c r="L47" s="338"/>
      <c r="M47" s="338"/>
      <c r="N47" s="338"/>
      <c r="O47" s="338"/>
      <c r="P47" s="338"/>
      <c r="Q47" s="338"/>
      <c r="R47" s="338"/>
      <c r="S47" s="338"/>
      <c r="T47" s="338"/>
      <c r="U47" s="338"/>
      <c r="V47" s="338"/>
      <c r="W47" s="338"/>
      <c r="X47" s="337"/>
      <c r="Y47" s="324"/>
      <c r="Z47" s="324"/>
      <c r="AA47" s="324"/>
      <c r="AB47" s="324"/>
      <c r="AC47" s="324"/>
      <c r="AD47" s="324"/>
      <c r="AE47" s="324"/>
      <c r="AF47" s="324"/>
      <c r="AG47" s="324"/>
      <c r="AH47" s="336"/>
      <c r="AI47" s="336"/>
      <c r="AJ47" s="336"/>
      <c r="AK47" s="336"/>
      <c r="AL47" s="336"/>
      <c r="AM47" s="335"/>
      <c r="AX47" s="317"/>
      <c r="AY47" s="317"/>
      <c r="AZ47" s="317"/>
      <c r="BA47" s="317"/>
      <c r="BB47" s="317"/>
      <c r="BC47" s="317"/>
      <c r="BD47" s="317"/>
      <c r="BE47" s="317"/>
      <c r="BF47" s="317"/>
      <c r="BG47" s="317"/>
      <c r="BH47" s="317"/>
      <c r="BI47" s="499"/>
      <c r="BJ47" s="499"/>
      <c r="BK47" s="499"/>
      <c r="BL47" s="499"/>
      <c r="BM47" s="499"/>
      <c r="BN47" s="499"/>
      <c r="BO47" s="499"/>
      <c r="BP47" s="499"/>
      <c r="BQ47" s="499"/>
      <c r="BR47" s="499"/>
      <c r="BS47" s="499"/>
      <c r="BW47" s="497" t="str">
        <f>"Considerando tu patrimonio financiero actual, puedes cubrir tus gastos totales anuales por " &amp;TRUNC((E25/'Patrimonio Neto'!N1),2)&amp;" años con lo cual, tienes tus gastos cubiertos hasta los " &amp;ROUND('Entrevista Balance'!D6+(E25/'Patrimonio Neto'!N1),0)&amp;" años de edad."</f>
        <v>Considerando tu patrimonio financiero actual, puedes cubrir tus gastos totales anuales por 1.66 años con lo cual, tienes tus gastos cubiertos hasta los 52 años de edad.</v>
      </c>
      <c r="BX47" s="497"/>
      <c r="BY47" s="497"/>
      <c r="BZ47" s="497"/>
      <c r="CA47" s="497"/>
      <c r="CB47" s="497"/>
      <c r="CC47" s="497"/>
      <c r="CD47" s="497"/>
      <c r="CE47" s="497"/>
      <c r="CF47" s="497"/>
      <c r="CG47" s="497"/>
      <c r="CH47" s="497"/>
      <c r="CI47" s="497"/>
      <c r="CJ47" s="497"/>
      <c r="CK47" s="497"/>
      <c r="CL47" s="497"/>
      <c r="CM47" s="497"/>
      <c r="CN47" s="497"/>
      <c r="CO47" s="497"/>
      <c r="CP47" s="497"/>
      <c r="CQ47" s="497"/>
      <c r="CR47" s="497"/>
      <c r="CS47" s="497"/>
      <c r="CT47" s="497"/>
      <c r="CU47" s="497"/>
      <c r="CV47" s="497"/>
      <c r="CW47" s="497"/>
      <c r="CX47" s="497"/>
      <c r="CY47" s="497"/>
      <c r="CZ47" s="497"/>
      <c r="DA47" s="497"/>
      <c r="DB47" s="317"/>
      <c r="DC47" s="317"/>
      <c r="DD47" s="317"/>
      <c r="DE47" s="315"/>
      <c r="DF47" s="315"/>
      <c r="DH47" s="316"/>
    </row>
    <row r="48" spans="1:112" s="314" customFormat="1" ht="30.6" customHeight="1" x14ac:dyDescent="0.25">
      <c r="A48" s="315"/>
      <c r="B48" s="317"/>
      <c r="C48" s="317"/>
      <c r="D48" s="348"/>
      <c r="E48" s="317"/>
      <c r="F48" s="313" t="s">
        <v>269</v>
      </c>
      <c r="G48" s="317"/>
      <c r="H48" s="317"/>
      <c r="I48" s="317"/>
      <c r="J48" s="317"/>
      <c r="K48" s="317"/>
      <c r="L48" s="317"/>
      <c r="M48" s="317"/>
      <c r="N48" s="317"/>
      <c r="O48" s="317"/>
      <c r="P48" s="317"/>
      <c r="Q48" s="317"/>
      <c r="R48" s="317"/>
      <c r="S48" s="317"/>
      <c r="T48" s="338"/>
      <c r="U48" s="338"/>
      <c r="V48" s="338"/>
      <c r="W48" s="338"/>
      <c r="X48" s="337"/>
      <c r="Y48" s="324"/>
      <c r="Z48" s="324"/>
      <c r="AA48" s="324"/>
      <c r="AB48" s="324"/>
      <c r="AC48" s="324"/>
      <c r="AD48" s="484">
        <f>'Cálculos y Supuestos Balance'!AA29</f>
        <v>0</v>
      </c>
      <c r="AE48" s="484"/>
      <c r="AF48" s="484"/>
      <c r="AG48" s="484"/>
      <c r="AH48" s="484"/>
      <c r="AI48" s="336"/>
      <c r="AJ48" s="336"/>
      <c r="AK48" s="336"/>
      <c r="AL48" s="336"/>
      <c r="AM48" s="335"/>
      <c r="AX48" s="317"/>
      <c r="AY48" s="317"/>
      <c r="AZ48" s="317"/>
      <c r="BF48" s="317"/>
      <c r="BG48" s="317"/>
      <c r="BR48" s="317"/>
      <c r="BS48" s="317"/>
      <c r="BT48" s="317"/>
      <c r="BU48" s="317"/>
      <c r="BV48" s="317"/>
      <c r="BW48" s="497"/>
      <c r="BX48" s="497"/>
      <c r="BY48" s="497"/>
      <c r="BZ48" s="497"/>
      <c r="CA48" s="497"/>
      <c r="CB48" s="497"/>
      <c r="CC48" s="497"/>
      <c r="CD48" s="497"/>
      <c r="CE48" s="497"/>
      <c r="CF48" s="497"/>
      <c r="CG48" s="497"/>
      <c r="CH48" s="497"/>
      <c r="CI48" s="497"/>
      <c r="CJ48" s="497"/>
      <c r="CK48" s="497"/>
      <c r="CL48" s="497"/>
      <c r="CM48" s="497"/>
      <c r="CN48" s="497"/>
      <c r="CO48" s="497"/>
      <c r="CP48" s="497"/>
      <c r="CQ48" s="497"/>
      <c r="CR48" s="497"/>
      <c r="CS48" s="497"/>
      <c r="CT48" s="497"/>
      <c r="CU48" s="497"/>
      <c r="CV48" s="497"/>
      <c r="CW48" s="497"/>
      <c r="CX48" s="497"/>
      <c r="CY48" s="497"/>
      <c r="CZ48" s="497"/>
      <c r="DA48" s="497"/>
      <c r="DB48" s="317"/>
      <c r="DC48" s="317"/>
      <c r="DD48" s="317"/>
      <c r="DE48" s="315"/>
      <c r="DF48" s="315"/>
      <c r="DH48" s="316"/>
    </row>
    <row r="49" spans="1:112" s="314" customFormat="1" ht="30.6" customHeight="1" x14ac:dyDescent="0.25">
      <c r="A49" s="315"/>
      <c r="B49" s="317"/>
      <c r="C49" s="317"/>
      <c r="D49" s="329"/>
      <c r="E49" s="338"/>
      <c r="F49" s="338"/>
      <c r="G49" s="338"/>
      <c r="H49" s="338"/>
      <c r="I49" s="338"/>
      <c r="J49" s="338"/>
      <c r="K49" s="338"/>
      <c r="L49" s="338"/>
      <c r="M49" s="338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7"/>
      <c r="Y49" s="324"/>
      <c r="Z49" s="324"/>
      <c r="AA49" s="324"/>
      <c r="AB49" s="324"/>
      <c r="AC49" s="324"/>
      <c r="AD49" s="324"/>
      <c r="AE49" s="324"/>
      <c r="AF49" s="324"/>
      <c r="AG49" s="324"/>
      <c r="AH49" s="336"/>
      <c r="AI49" s="336"/>
      <c r="AJ49" s="336"/>
      <c r="AK49" s="336"/>
      <c r="AL49" s="336"/>
      <c r="AM49" s="335"/>
      <c r="AX49" s="317"/>
      <c r="AY49" s="317"/>
      <c r="AZ49" s="317"/>
      <c r="BF49" s="317"/>
      <c r="BG49" s="317"/>
      <c r="BR49" s="317"/>
      <c r="BS49" s="317"/>
      <c r="BT49" s="317"/>
      <c r="BU49" s="317"/>
      <c r="BV49" s="317"/>
      <c r="BW49" s="497"/>
      <c r="BX49" s="497"/>
      <c r="BY49" s="497"/>
      <c r="BZ49" s="497"/>
      <c r="CA49" s="497"/>
      <c r="CB49" s="497"/>
      <c r="CC49" s="497"/>
      <c r="CD49" s="497"/>
      <c r="CE49" s="497"/>
      <c r="CF49" s="497"/>
      <c r="CG49" s="497"/>
      <c r="CH49" s="497"/>
      <c r="CI49" s="497"/>
      <c r="CJ49" s="497"/>
      <c r="CK49" s="497"/>
      <c r="CL49" s="497"/>
      <c r="CM49" s="497"/>
      <c r="CN49" s="497"/>
      <c r="CO49" s="497"/>
      <c r="CP49" s="497"/>
      <c r="CQ49" s="497"/>
      <c r="CR49" s="497"/>
      <c r="CS49" s="497"/>
      <c r="CT49" s="497"/>
      <c r="CU49" s="497"/>
      <c r="CV49" s="497"/>
      <c r="CW49" s="497"/>
      <c r="CX49" s="497"/>
      <c r="CY49" s="497"/>
      <c r="CZ49" s="497"/>
      <c r="DA49" s="497"/>
      <c r="DB49" s="317"/>
      <c r="DC49" s="317"/>
      <c r="DD49" s="317"/>
      <c r="DE49" s="315"/>
      <c r="DF49" s="315"/>
    </row>
    <row r="50" spans="1:112" s="314" customFormat="1" ht="30.75" x14ac:dyDescent="0.25">
      <c r="A50" s="315"/>
      <c r="B50" s="317"/>
      <c r="C50" s="317"/>
      <c r="D50" s="349"/>
      <c r="E50" s="317"/>
      <c r="F50" s="313" t="s">
        <v>409</v>
      </c>
      <c r="G50" s="317"/>
      <c r="H50" s="317"/>
      <c r="I50" s="317"/>
      <c r="J50" s="317"/>
      <c r="K50" s="317"/>
      <c r="L50" s="317"/>
      <c r="M50" s="317"/>
      <c r="N50" s="317"/>
      <c r="O50" s="317"/>
      <c r="P50" s="317"/>
      <c r="Q50" s="317"/>
      <c r="R50" s="317"/>
      <c r="S50" s="317"/>
      <c r="T50" s="338"/>
      <c r="U50" s="338"/>
      <c r="V50" s="338"/>
      <c r="W50" s="338"/>
      <c r="X50" s="337"/>
      <c r="Y50" s="324"/>
      <c r="Z50" s="324"/>
      <c r="AA50" s="324"/>
      <c r="AB50" s="324"/>
      <c r="AC50" s="324"/>
      <c r="AD50" s="484">
        <f>'Cálculos y Supuestos Balance'!AA30</f>
        <v>0.14285714285714285</v>
      </c>
      <c r="AE50" s="484"/>
      <c r="AF50" s="484"/>
      <c r="AG50" s="484"/>
      <c r="AH50" s="484"/>
      <c r="AI50" s="336"/>
      <c r="AJ50" s="336"/>
      <c r="AK50" s="336"/>
      <c r="AL50" s="336"/>
      <c r="AM50" s="335"/>
      <c r="AX50" s="317"/>
      <c r="AY50" s="317"/>
      <c r="AZ50" s="317"/>
      <c r="BF50" s="317"/>
      <c r="BG50" s="317"/>
      <c r="BR50" s="317"/>
      <c r="BS50" s="317"/>
      <c r="BT50" s="317"/>
      <c r="BU50" s="317"/>
      <c r="BV50" s="317"/>
      <c r="BW50" s="497"/>
      <c r="BX50" s="497"/>
      <c r="BY50" s="497"/>
      <c r="BZ50" s="497"/>
      <c r="CA50" s="497"/>
      <c r="CB50" s="497"/>
      <c r="CC50" s="497"/>
      <c r="CD50" s="497"/>
      <c r="CE50" s="497"/>
      <c r="CF50" s="497"/>
      <c r="CG50" s="497"/>
      <c r="CH50" s="497"/>
      <c r="CI50" s="497"/>
      <c r="CJ50" s="497"/>
      <c r="CK50" s="497"/>
      <c r="CL50" s="497"/>
      <c r="CM50" s="497"/>
      <c r="CN50" s="497"/>
      <c r="CO50" s="497"/>
      <c r="CP50" s="497"/>
      <c r="CQ50" s="497"/>
      <c r="CR50" s="497"/>
      <c r="CS50" s="497"/>
      <c r="CT50" s="497"/>
      <c r="CU50" s="497"/>
      <c r="CV50" s="497"/>
      <c r="CW50" s="497"/>
      <c r="CX50" s="497"/>
      <c r="CY50" s="497"/>
      <c r="CZ50" s="497"/>
      <c r="DA50" s="497"/>
      <c r="DB50" s="317"/>
      <c r="DC50" s="317"/>
      <c r="DD50" s="317"/>
      <c r="DE50" s="315"/>
      <c r="DF50" s="315"/>
    </row>
    <row r="51" spans="1:112" s="314" customFormat="1" ht="30.6" customHeight="1" x14ac:dyDescent="0.25">
      <c r="A51" s="315"/>
      <c r="B51" s="317"/>
      <c r="C51" s="317"/>
      <c r="D51" s="329"/>
      <c r="E51" s="338"/>
      <c r="F51" s="338"/>
      <c r="G51" s="338"/>
      <c r="H51" s="338"/>
      <c r="I51" s="338"/>
      <c r="J51" s="338"/>
      <c r="K51" s="338"/>
      <c r="L51" s="338"/>
      <c r="M51" s="338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7"/>
      <c r="Y51" s="324"/>
      <c r="Z51" s="324"/>
      <c r="AA51" s="324"/>
      <c r="AB51" s="324"/>
      <c r="AC51" s="324"/>
      <c r="AD51" s="324"/>
      <c r="AE51" s="324"/>
      <c r="AF51" s="324"/>
      <c r="AG51" s="324"/>
      <c r="AH51" s="336"/>
      <c r="AI51" s="336"/>
      <c r="AJ51" s="336"/>
      <c r="AK51" s="336"/>
      <c r="AL51" s="336"/>
      <c r="AM51" s="335"/>
      <c r="AX51" s="317"/>
      <c r="AY51" s="317"/>
      <c r="AZ51" s="317"/>
      <c r="BF51" s="317"/>
      <c r="BG51" s="317"/>
      <c r="BR51" s="317"/>
      <c r="BS51" s="317"/>
      <c r="BT51" s="317"/>
      <c r="BU51" s="317"/>
      <c r="BV51" s="317"/>
      <c r="BW51" s="442"/>
      <c r="BX51" s="442"/>
      <c r="BY51" s="442"/>
      <c r="BZ51" s="442"/>
      <c r="CA51" s="442"/>
      <c r="CB51" s="442"/>
      <c r="CC51" s="442"/>
      <c r="CD51" s="442"/>
      <c r="CE51" s="442"/>
      <c r="CF51" s="442"/>
      <c r="CG51" s="442"/>
      <c r="CH51" s="442"/>
      <c r="CI51" s="442"/>
      <c r="CJ51" s="442"/>
      <c r="CK51" s="442"/>
      <c r="CL51" s="442"/>
      <c r="CM51" s="442"/>
      <c r="CN51" s="442"/>
      <c r="CO51" s="442"/>
      <c r="CP51" s="442"/>
      <c r="CQ51" s="442"/>
      <c r="CR51" s="442"/>
      <c r="CS51" s="442"/>
      <c r="CT51" s="442"/>
      <c r="DA51" s="430"/>
      <c r="DB51" s="317"/>
      <c r="DC51" s="317"/>
      <c r="DD51" s="317"/>
      <c r="DE51" s="315"/>
      <c r="DF51" s="315"/>
    </row>
    <row r="52" spans="1:112" s="314" customFormat="1" ht="30.75" x14ac:dyDescent="0.25">
      <c r="A52" s="315"/>
      <c r="B52" s="317"/>
      <c r="C52" s="317"/>
      <c r="D52" s="352"/>
      <c r="E52" s="317"/>
      <c r="F52" s="313" t="s">
        <v>459</v>
      </c>
      <c r="G52" s="317"/>
      <c r="H52" s="317"/>
      <c r="I52" s="317"/>
      <c r="J52" s="317"/>
      <c r="K52" s="317"/>
      <c r="L52" s="317"/>
      <c r="M52" s="317"/>
      <c r="N52" s="317"/>
      <c r="O52" s="317"/>
      <c r="P52" s="317"/>
      <c r="Q52" s="317"/>
      <c r="R52" s="317"/>
      <c r="S52" s="317"/>
      <c r="T52" s="338"/>
      <c r="U52" s="338"/>
      <c r="V52" s="338"/>
      <c r="W52" s="338"/>
      <c r="X52" s="337"/>
      <c r="Y52" s="324"/>
      <c r="Z52" s="324"/>
      <c r="AA52" s="324"/>
      <c r="AB52" s="324"/>
      <c r="AC52" s="324"/>
      <c r="AD52" s="484">
        <f>'Cálculos y Supuestos Balance'!AA31</f>
        <v>0</v>
      </c>
      <c r="AE52" s="484"/>
      <c r="AF52" s="484"/>
      <c r="AG52" s="484"/>
      <c r="AH52" s="484"/>
      <c r="AI52" s="336"/>
      <c r="AJ52" s="336"/>
      <c r="AK52" s="336"/>
      <c r="AL52" s="336"/>
      <c r="AM52" s="335"/>
      <c r="AX52" s="317"/>
      <c r="AY52" s="317"/>
      <c r="AZ52" s="317"/>
      <c r="BF52" s="317"/>
      <c r="BG52" s="317"/>
      <c r="BR52" s="317"/>
      <c r="BS52" s="317"/>
      <c r="BT52" s="317"/>
      <c r="BU52" s="317"/>
      <c r="BV52" s="317"/>
      <c r="BW52" s="498" t="str">
        <f>IF('Patrimonio Neto'!K18&gt;=1,"","Te recordamos que los activos de retiro no pueden ser utilizados para hacer frente a otras obligaciones. Es recomendable hacer liquidez sobre los activos no productivos para no afectar tu flujo.")</f>
        <v/>
      </c>
      <c r="BX52" s="498"/>
      <c r="BY52" s="498"/>
      <c r="BZ52" s="498"/>
      <c r="CA52" s="498"/>
      <c r="CB52" s="498"/>
      <c r="CC52" s="498"/>
      <c r="CD52" s="498"/>
      <c r="CE52" s="498"/>
      <c r="CF52" s="498"/>
      <c r="CG52" s="498"/>
      <c r="CH52" s="498"/>
      <c r="CI52" s="498"/>
      <c r="CJ52" s="498"/>
      <c r="CK52" s="498"/>
      <c r="CL52" s="498"/>
      <c r="CM52" s="498"/>
      <c r="CN52" s="498"/>
      <c r="CO52" s="498"/>
      <c r="CP52" s="498"/>
      <c r="CQ52" s="498"/>
      <c r="CR52" s="498"/>
      <c r="CS52" s="498"/>
      <c r="CT52" s="498"/>
      <c r="CU52" s="498"/>
      <c r="CV52" s="498"/>
      <c r="CW52" s="498"/>
      <c r="CX52" s="498"/>
      <c r="CY52" s="498"/>
      <c r="CZ52" s="498"/>
      <c r="DA52" s="498"/>
      <c r="DB52" s="317"/>
      <c r="DC52" s="317"/>
      <c r="DD52" s="317"/>
      <c r="DE52" s="315"/>
      <c r="DF52" s="315"/>
    </row>
    <row r="53" spans="1:112" s="314" customFormat="1" ht="30.6" customHeight="1" x14ac:dyDescent="0.25">
      <c r="A53" s="315"/>
      <c r="B53" s="317"/>
      <c r="C53" s="317"/>
      <c r="D53" s="329"/>
      <c r="E53" s="338"/>
      <c r="F53" s="338"/>
      <c r="G53" s="338"/>
      <c r="H53" s="338"/>
      <c r="I53" s="338"/>
      <c r="J53" s="338"/>
      <c r="K53" s="338"/>
      <c r="L53" s="338"/>
      <c r="M53" s="338"/>
      <c r="N53" s="338"/>
      <c r="O53" s="338"/>
      <c r="P53" s="338"/>
      <c r="Q53" s="338"/>
      <c r="R53" s="338"/>
      <c r="S53" s="338"/>
      <c r="T53" s="338"/>
      <c r="U53" s="338"/>
      <c r="V53" s="338"/>
      <c r="W53" s="338"/>
      <c r="X53" s="337"/>
      <c r="Y53" s="324"/>
      <c r="Z53" s="324"/>
      <c r="AA53" s="324"/>
      <c r="AB53" s="324"/>
      <c r="AC53" s="324"/>
      <c r="AD53" s="324"/>
      <c r="AE53" s="324"/>
      <c r="AF53" s="324"/>
      <c r="AG53" s="324"/>
      <c r="AH53" s="336"/>
      <c r="AI53" s="336"/>
      <c r="AJ53" s="336"/>
      <c r="AK53" s="336"/>
      <c r="AL53" s="336"/>
      <c r="AM53" s="335"/>
      <c r="AX53" s="317"/>
      <c r="AY53" s="317"/>
      <c r="AZ53" s="317"/>
      <c r="BF53" s="317"/>
      <c r="BG53" s="317"/>
      <c r="BR53" s="317"/>
      <c r="BS53" s="317"/>
      <c r="BT53" s="317"/>
      <c r="BU53" s="317"/>
      <c r="BV53" s="317"/>
      <c r="BW53" s="498"/>
      <c r="BX53" s="498"/>
      <c r="BY53" s="498"/>
      <c r="BZ53" s="498"/>
      <c r="CA53" s="498"/>
      <c r="CB53" s="498"/>
      <c r="CC53" s="498"/>
      <c r="CD53" s="498"/>
      <c r="CE53" s="498"/>
      <c r="CF53" s="498"/>
      <c r="CG53" s="498"/>
      <c r="CH53" s="498"/>
      <c r="CI53" s="498"/>
      <c r="CJ53" s="498"/>
      <c r="CK53" s="498"/>
      <c r="CL53" s="498"/>
      <c r="CM53" s="498"/>
      <c r="CN53" s="498"/>
      <c r="CO53" s="498"/>
      <c r="CP53" s="498"/>
      <c r="CQ53" s="498"/>
      <c r="CR53" s="498"/>
      <c r="CS53" s="498"/>
      <c r="CT53" s="498"/>
      <c r="CU53" s="498"/>
      <c r="CV53" s="498"/>
      <c r="CW53" s="498"/>
      <c r="CX53" s="498"/>
      <c r="CY53" s="498"/>
      <c r="CZ53" s="498"/>
      <c r="DA53" s="498"/>
      <c r="DB53" s="317"/>
      <c r="DC53" s="317"/>
      <c r="DD53" s="317"/>
      <c r="DE53" s="315"/>
      <c r="DF53" s="315"/>
    </row>
    <row r="54" spans="1:112" s="314" customFormat="1" ht="30.6" customHeight="1" x14ac:dyDescent="0.25">
      <c r="A54" s="315"/>
      <c r="B54" s="317"/>
      <c r="C54" s="317"/>
      <c r="D54" s="351"/>
      <c r="E54" s="317"/>
      <c r="F54" s="313" t="s">
        <v>143</v>
      </c>
      <c r="G54" s="317"/>
      <c r="H54" s="317"/>
      <c r="I54" s="317"/>
      <c r="J54" s="317"/>
      <c r="K54" s="317"/>
      <c r="L54" s="317"/>
      <c r="M54" s="317"/>
      <c r="N54" s="317"/>
      <c r="O54" s="317"/>
      <c r="P54" s="317"/>
      <c r="Q54" s="317"/>
      <c r="R54" s="317"/>
      <c r="S54" s="317"/>
      <c r="T54" s="338"/>
      <c r="U54" s="338"/>
      <c r="V54" s="338"/>
      <c r="W54" s="338"/>
      <c r="X54" s="337"/>
      <c r="Y54" s="324"/>
      <c r="Z54" s="324"/>
      <c r="AA54" s="324"/>
      <c r="AB54" s="324"/>
      <c r="AC54" s="324"/>
      <c r="AD54" s="484">
        <f>'Cálculos y Supuestos Balance'!AA32</f>
        <v>0.8571428571428571</v>
      </c>
      <c r="AE54" s="484"/>
      <c r="AF54" s="484"/>
      <c r="AG54" s="484"/>
      <c r="AH54" s="484"/>
      <c r="AI54" s="336"/>
      <c r="AJ54" s="336"/>
      <c r="AK54" s="336"/>
      <c r="AL54" s="336"/>
      <c r="AM54" s="335"/>
      <c r="AX54" s="317"/>
      <c r="AY54" s="317"/>
      <c r="AZ54" s="317"/>
      <c r="BF54" s="317"/>
      <c r="BG54" s="317"/>
      <c r="BR54" s="317"/>
      <c r="BS54" s="317"/>
      <c r="BT54" s="317"/>
      <c r="BU54" s="317"/>
      <c r="BW54" s="498"/>
      <c r="BX54" s="498"/>
      <c r="BY54" s="498"/>
      <c r="BZ54" s="498"/>
      <c r="CA54" s="498"/>
      <c r="CB54" s="498"/>
      <c r="CC54" s="498"/>
      <c r="CD54" s="498"/>
      <c r="CE54" s="498"/>
      <c r="CF54" s="498"/>
      <c r="CG54" s="498"/>
      <c r="CH54" s="498"/>
      <c r="CI54" s="498"/>
      <c r="CJ54" s="498"/>
      <c r="CK54" s="498"/>
      <c r="CL54" s="498"/>
      <c r="CM54" s="498"/>
      <c r="CN54" s="498"/>
      <c r="CO54" s="498"/>
      <c r="CP54" s="498"/>
      <c r="CQ54" s="498"/>
      <c r="CR54" s="498"/>
      <c r="CS54" s="498"/>
      <c r="CT54" s="498"/>
      <c r="CU54" s="498"/>
      <c r="CV54" s="498"/>
      <c r="CW54" s="498"/>
      <c r="CX54" s="498"/>
      <c r="CY54" s="498"/>
      <c r="CZ54" s="498"/>
      <c r="DA54" s="498"/>
      <c r="DB54" s="317"/>
      <c r="DC54" s="317"/>
      <c r="DD54" s="317"/>
      <c r="DE54" s="315"/>
      <c r="DF54" s="315"/>
    </row>
    <row r="55" spans="1:112" s="314" customFormat="1" ht="30.6" customHeight="1" x14ac:dyDescent="0.25">
      <c r="A55" s="315"/>
      <c r="B55" s="317"/>
      <c r="C55" s="317"/>
      <c r="D55" s="329"/>
      <c r="E55" s="338"/>
      <c r="F55" s="338"/>
      <c r="G55" s="338"/>
      <c r="H55" s="338"/>
      <c r="I55" s="338"/>
      <c r="J55" s="338"/>
      <c r="K55" s="338"/>
      <c r="L55" s="338"/>
      <c r="M55" s="338"/>
      <c r="N55" s="338"/>
      <c r="O55" s="338"/>
      <c r="P55" s="338"/>
      <c r="Q55" s="338"/>
      <c r="R55" s="338"/>
      <c r="S55" s="338"/>
      <c r="T55" s="338"/>
      <c r="U55" s="338"/>
      <c r="V55" s="338"/>
      <c r="W55" s="338"/>
      <c r="X55" s="337"/>
      <c r="Y55" s="324"/>
      <c r="Z55" s="324"/>
      <c r="AA55" s="324"/>
      <c r="AB55" s="324"/>
      <c r="AC55" s="324"/>
      <c r="AD55" s="324"/>
      <c r="AE55" s="324"/>
      <c r="AF55" s="324"/>
      <c r="AG55" s="324"/>
      <c r="AH55" s="336"/>
      <c r="AI55" s="336"/>
      <c r="AJ55" s="336"/>
      <c r="AK55" s="336"/>
      <c r="AL55" s="336"/>
      <c r="AM55" s="335"/>
      <c r="AX55" s="317"/>
      <c r="AY55" s="317"/>
      <c r="AZ55" s="317"/>
      <c r="BF55" s="317"/>
      <c r="BG55" s="317"/>
      <c r="BR55" s="317"/>
      <c r="BS55" s="317"/>
      <c r="BT55" s="317"/>
      <c r="BU55" s="317"/>
      <c r="BV55" s="431"/>
      <c r="BW55" s="498"/>
      <c r="BX55" s="498"/>
      <c r="BY55" s="498"/>
      <c r="BZ55" s="498"/>
      <c r="CA55" s="498"/>
      <c r="CB55" s="498"/>
      <c r="CC55" s="498"/>
      <c r="CD55" s="498"/>
      <c r="CE55" s="498"/>
      <c r="CF55" s="498"/>
      <c r="CG55" s="498"/>
      <c r="CH55" s="498"/>
      <c r="CI55" s="498"/>
      <c r="CJ55" s="498"/>
      <c r="CK55" s="498"/>
      <c r="CL55" s="498"/>
      <c r="CM55" s="498"/>
      <c r="CN55" s="498"/>
      <c r="CO55" s="498"/>
      <c r="CP55" s="498"/>
      <c r="CQ55" s="498"/>
      <c r="CR55" s="498"/>
      <c r="CS55" s="498"/>
      <c r="CT55" s="498"/>
      <c r="CU55" s="498"/>
      <c r="CV55" s="498"/>
      <c r="CW55" s="498"/>
      <c r="CX55" s="498"/>
      <c r="CY55" s="498"/>
      <c r="CZ55" s="498"/>
      <c r="DA55" s="498"/>
      <c r="DB55" s="317"/>
      <c r="DC55" s="317"/>
      <c r="DD55" s="317"/>
      <c r="DE55" s="315"/>
      <c r="DF55" s="315"/>
    </row>
    <row r="56" spans="1:112" s="314" customFormat="1" ht="30.75" x14ac:dyDescent="0.25">
      <c r="A56" s="315"/>
      <c r="B56" s="317"/>
      <c r="C56" s="317"/>
      <c r="D56" s="350"/>
      <c r="E56" s="317"/>
      <c r="F56" s="313" t="s">
        <v>458</v>
      </c>
      <c r="G56" s="317"/>
      <c r="H56" s="317"/>
      <c r="I56" s="317"/>
      <c r="J56" s="317"/>
      <c r="K56" s="317"/>
      <c r="L56" s="317"/>
      <c r="M56" s="317"/>
      <c r="N56" s="317"/>
      <c r="O56" s="317"/>
      <c r="P56" s="317"/>
      <c r="Q56" s="317"/>
      <c r="R56" s="317"/>
      <c r="S56" s="317"/>
      <c r="T56" s="338"/>
      <c r="U56" s="338"/>
      <c r="V56" s="338"/>
      <c r="W56" s="338"/>
      <c r="X56" s="337"/>
      <c r="Y56" s="324"/>
      <c r="Z56" s="324"/>
      <c r="AA56" s="324"/>
      <c r="AB56" s="324"/>
      <c r="AC56" s="324"/>
      <c r="AD56" s="484">
        <f>'Cálculos y Supuestos Balance'!AA33</f>
        <v>0</v>
      </c>
      <c r="AE56" s="484"/>
      <c r="AF56" s="484"/>
      <c r="AG56" s="484"/>
      <c r="AH56" s="484"/>
      <c r="AI56" s="336"/>
      <c r="AJ56" s="336"/>
      <c r="AK56" s="336"/>
      <c r="AL56" s="336"/>
      <c r="AM56" s="335"/>
      <c r="AX56" s="317"/>
      <c r="AY56" s="317"/>
      <c r="AZ56" s="317"/>
      <c r="BF56" s="317"/>
      <c r="BG56" s="317"/>
      <c r="BR56" s="317"/>
      <c r="BS56" s="317"/>
      <c r="BT56" s="317"/>
      <c r="BU56" s="317"/>
      <c r="BV56" s="431"/>
      <c r="BW56" s="498"/>
      <c r="BX56" s="498"/>
      <c r="BY56" s="498"/>
      <c r="BZ56" s="498"/>
      <c r="CA56" s="498"/>
      <c r="CB56" s="498"/>
      <c r="CC56" s="498"/>
      <c r="CD56" s="498"/>
      <c r="CE56" s="498"/>
      <c r="CF56" s="498"/>
      <c r="CG56" s="498"/>
      <c r="CH56" s="498"/>
      <c r="CI56" s="498"/>
      <c r="CJ56" s="498"/>
      <c r="CK56" s="498"/>
      <c r="CL56" s="498"/>
      <c r="CM56" s="498"/>
      <c r="CN56" s="498"/>
      <c r="CO56" s="498"/>
      <c r="CP56" s="498"/>
      <c r="CQ56" s="498"/>
      <c r="CR56" s="498"/>
      <c r="CS56" s="498"/>
      <c r="CT56" s="498"/>
      <c r="CU56" s="498"/>
      <c r="CV56" s="498"/>
      <c r="CW56" s="498"/>
      <c r="CX56" s="498"/>
      <c r="CY56" s="498"/>
      <c r="CZ56" s="498"/>
      <c r="DA56" s="498"/>
      <c r="DB56" s="317"/>
      <c r="DC56" s="317"/>
      <c r="DD56" s="317"/>
      <c r="DE56" s="315"/>
      <c r="DF56" s="315"/>
    </row>
    <row r="57" spans="1:112" s="314" customFormat="1" ht="30.75" x14ac:dyDescent="0.25">
      <c r="A57" s="315"/>
      <c r="B57" s="317"/>
      <c r="C57" s="317"/>
      <c r="D57" s="329"/>
      <c r="E57" s="338"/>
      <c r="F57" s="338"/>
      <c r="G57" s="338"/>
      <c r="H57" s="338"/>
      <c r="I57" s="338"/>
      <c r="J57" s="338"/>
      <c r="K57" s="338"/>
      <c r="L57" s="338"/>
      <c r="M57" s="338"/>
      <c r="N57" s="338"/>
      <c r="O57" s="338"/>
      <c r="P57" s="338"/>
      <c r="Q57" s="338"/>
      <c r="R57" s="338"/>
      <c r="S57" s="338"/>
      <c r="T57" s="338"/>
      <c r="U57" s="338"/>
      <c r="V57" s="338"/>
      <c r="W57" s="338"/>
      <c r="X57" s="337"/>
      <c r="Y57" s="324"/>
      <c r="Z57" s="324"/>
      <c r="AA57" s="324"/>
      <c r="AB57" s="324"/>
      <c r="AC57" s="324"/>
      <c r="AD57" s="324"/>
      <c r="AE57" s="324"/>
      <c r="AF57" s="324"/>
      <c r="AG57" s="324"/>
      <c r="AH57" s="336"/>
      <c r="AI57" s="336"/>
      <c r="AJ57" s="336"/>
      <c r="AK57" s="336"/>
      <c r="AL57" s="336"/>
      <c r="AM57" s="335"/>
      <c r="AX57" s="317"/>
      <c r="AY57" s="317"/>
      <c r="AZ57" s="317"/>
      <c r="BA57" s="317"/>
      <c r="BB57" s="317"/>
      <c r="BC57" s="317"/>
      <c r="BD57" s="317"/>
      <c r="BE57" s="317"/>
      <c r="BF57" s="317"/>
      <c r="BG57" s="317"/>
      <c r="BH57" s="317"/>
      <c r="BI57" s="317"/>
      <c r="BJ57" s="317"/>
      <c r="BK57" s="317"/>
      <c r="BL57" s="317"/>
      <c r="BM57" s="317"/>
      <c r="BN57" s="317"/>
      <c r="BO57" s="317"/>
      <c r="BP57" s="317"/>
      <c r="BQ57" s="317"/>
      <c r="BR57" s="317"/>
      <c r="BS57" s="317"/>
      <c r="BT57" s="317"/>
      <c r="BU57" s="317"/>
      <c r="BV57" s="431"/>
      <c r="BW57" s="431"/>
      <c r="BX57" s="431"/>
      <c r="BY57" s="431"/>
      <c r="BZ57" s="431"/>
      <c r="CA57" s="431"/>
      <c r="CB57" s="431"/>
      <c r="CC57" s="431"/>
      <c r="CD57" s="431"/>
      <c r="CE57" s="431"/>
      <c r="CF57" s="431"/>
      <c r="CG57" s="431"/>
      <c r="CH57" s="431"/>
      <c r="CI57" s="431"/>
      <c r="CJ57" s="431"/>
      <c r="CK57" s="431"/>
      <c r="CL57" s="431"/>
      <c r="CM57" s="431"/>
      <c r="CN57" s="431"/>
      <c r="CO57" s="431"/>
      <c r="CP57" s="431"/>
      <c r="CQ57" s="431"/>
      <c r="CR57" s="431"/>
      <c r="CS57" s="431"/>
      <c r="CT57" s="431"/>
      <c r="CU57" s="431"/>
      <c r="CV57" s="431"/>
      <c r="CW57" s="431"/>
      <c r="CX57" s="431"/>
      <c r="CY57" s="431"/>
      <c r="CZ57" s="431"/>
      <c r="DA57" s="326"/>
      <c r="DB57" s="317"/>
      <c r="DC57" s="317"/>
      <c r="DD57" s="317"/>
      <c r="DE57" s="315"/>
      <c r="DF57" s="315"/>
    </row>
    <row r="58" spans="1:112" s="314" customFormat="1" ht="30.75" x14ac:dyDescent="0.25">
      <c r="A58" s="315"/>
      <c r="B58" s="317"/>
      <c r="C58" s="317"/>
      <c r="AI58" s="336"/>
      <c r="AJ58" s="336"/>
      <c r="AK58" s="336"/>
      <c r="AL58" s="336"/>
      <c r="AM58" s="335"/>
      <c r="AX58" s="317"/>
      <c r="AY58" s="317"/>
      <c r="AZ58" s="317"/>
      <c r="BA58" s="317"/>
      <c r="BB58" s="317"/>
      <c r="BC58" s="317"/>
      <c r="BD58" s="317"/>
      <c r="BE58" s="317"/>
      <c r="BF58" s="317"/>
      <c r="BG58" s="317"/>
      <c r="BH58" s="317"/>
      <c r="BI58" s="317"/>
      <c r="BJ58" s="317"/>
      <c r="BK58" s="317"/>
      <c r="BL58" s="317"/>
      <c r="BM58" s="317"/>
      <c r="BN58" s="317"/>
      <c r="BO58" s="317"/>
      <c r="BP58" s="317"/>
      <c r="BQ58" s="317"/>
      <c r="BR58" s="317"/>
      <c r="BS58" s="317"/>
      <c r="BT58" s="317"/>
      <c r="BU58" s="317"/>
      <c r="BV58" s="317"/>
      <c r="BW58" s="317"/>
      <c r="BX58" s="317"/>
      <c r="BY58" s="317"/>
      <c r="BZ58" s="317"/>
      <c r="CA58" s="317"/>
      <c r="CB58" s="317"/>
      <c r="CC58" s="317"/>
      <c r="CD58" s="317"/>
      <c r="CE58" s="317"/>
      <c r="CF58" s="317"/>
      <c r="CG58" s="317"/>
      <c r="CH58" s="317"/>
      <c r="CI58" s="317"/>
      <c r="CJ58" s="317"/>
      <c r="CK58" s="317"/>
      <c r="CL58" s="317"/>
      <c r="CM58" s="317"/>
      <c r="CN58" s="317"/>
      <c r="CO58" s="317"/>
      <c r="CP58" s="317"/>
      <c r="CQ58" s="317"/>
      <c r="CR58" s="317"/>
      <c r="CS58" s="317"/>
      <c r="CT58" s="317"/>
      <c r="CU58" s="317"/>
      <c r="CV58" s="317"/>
      <c r="CW58" s="317"/>
      <c r="CX58" s="317"/>
      <c r="CY58" s="317"/>
      <c r="CZ58" s="317"/>
      <c r="DA58" s="326"/>
      <c r="DB58" s="317"/>
      <c r="DC58" s="317"/>
      <c r="DD58" s="317"/>
      <c r="DE58" s="315"/>
      <c r="DF58" s="315"/>
      <c r="DH58" s="316"/>
    </row>
    <row r="59" spans="1:112" s="314" customFormat="1" ht="30.75" x14ac:dyDescent="0.25">
      <c r="A59" s="315"/>
      <c r="B59" s="317"/>
      <c r="C59" s="317"/>
      <c r="D59" s="329"/>
      <c r="E59" s="338"/>
      <c r="F59" s="338"/>
      <c r="G59" s="338"/>
      <c r="H59" s="338"/>
      <c r="I59" s="338"/>
      <c r="J59" s="338"/>
      <c r="K59" s="338"/>
      <c r="L59" s="338"/>
      <c r="M59" s="338"/>
      <c r="N59" s="338"/>
      <c r="O59" s="338"/>
      <c r="P59" s="338"/>
      <c r="Q59" s="338"/>
      <c r="R59" s="338"/>
      <c r="S59" s="338"/>
      <c r="T59" s="338"/>
      <c r="U59" s="338"/>
      <c r="V59" s="338"/>
      <c r="W59" s="338"/>
      <c r="X59" s="337"/>
      <c r="Y59" s="324"/>
      <c r="Z59" s="324"/>
      <c r="AA59" s="324"/>
      <c r="AB59" s="324"/>
      <c r="AC59" s="324"/>
      <c r="AD59" s="324"/>
      <c r="AE59" s="324"/>
      <c r="AF59" s="324"/>
      <c r="AG59" s="324"/>
      <c r="AH59" s="336"/>
      <c r="AI59" s="336"/>
      <c r="AJ59" s="336"/>
      <c r="AK59" s="336"/>
      <c r="AL59" s="336"/>
      <c r="AM59" s="335"/>
      <c r="AX59" s="317"/>
      <c r="AY59" s="317"/>
      <c r="AZ59" s="317"/>
      <c r="BA59" s="317"/>
      <c r="BB59" s="317"/>
      <c r="BC59" s="317"/>
      <c r="BD59" s="317"/>
      <c r="BE59" s="317"/>
      <c r="BF59" s="317"/>
      <c r="BG59" s="317"/>
      <c r="BH59" s="317"/>
      <c r="BI59" s="317"/>
      <c r="BJ59" s="317"/>
      <c r="BK59" s="317"/>
      <c r="BL59" s="317"/>
      <c r="BM59" s="317"/>
      <c r="BN59" s="317"/>
      <c r="BO59" s="317"/>
      <c r="BP59" s="317"/>
      <c r="BQ59" s="317"/>
      <c r="BR59" s="317"/>
      <c r="BS59" s="317"/>
      <c r="BT59" s="317"/>
      <c r="BU59" s="317"/>
      <c r="BV59" s="317"/>
      <c r="BW59" s="317"/>
      <c r="BX59" s="317"/>
      <c r="BY59" s="317"/>
      <c r="BZ59" s="317"/>
      <c r="CA59" s="317"/>
      <c r="CB59" s="317"/>
      <c r="CC59" s="317"/>
      <c r="CD59" s="317"/>
      <c r="CE59" s="317"/>
      <c r="CF59" s="317"/>
      <c r="CG59" s="317"/>
      <c r="CH59" s="317"/>
      <c r="CI59" s="317"/>
      <c r="CJ59" s="317"/>
      <c r="CK59" s="317"/>
      <c r="CL59" s="317"/>
      <c r="CM59" s="317"/>
      <c r="CN59" s="317"/>
      <c r="CO59" s="317"/>
      <c r="CP59" s="317"/>
      <c r="CQ59" s="317"/>
      <c r="CR59" s="317"/>
      <c r="CS59" s="317"/>
      <c r="CT59" s="317"/>
      <c r="CU59" s="317"/>
      <c r="CV59" s="317"/>
      <c r="CW59" s="317"/>
      <c r="CX59" s="317"/>
      <c r="CY59" s="317"/>
      <c r="CZ59" s="317"/>
      <c r="DA59" s="326"/>
      <c r="DB59" s="317"/>
      <c r="DC59" s="317"/>
      <c r="DD59" s="317"/>
      <c r="DE59" s="315"/>
      <c r="DF59" s="315"/>
      <c r="DH59" s="316"/>
    </row>
    <row r="60" spans="1:112" s="314" customFormat="1" ht="34.5" x14ac:dyDescent="0.25">
      <c r="A60" s="315"/>
      <c r="B60" s="317"/>
      <c r="C60" s="317"/>
      <c r="D60" s="209" t="s">
        <v>476</v>
      </c>
      <c r="E60" s="338"/>
      <c r="F60" s="338"/>
      <c r="G60" s="338"/>
      <c r="H60" s="338"/>
      <c r="I60" s="338"/>
      <c r="J60" s="338"/>
      <c r="K60" s="338"/>
      <c r="L60" s="338"/>
      <c r="M60" s="338"/>
      <c r="N60" s="338"/>
      <c r="O60" s="338"/>
      <c r="P60" s="338"/>
      <c r="Q60" s="338"/>
      <c r="R60" s="338"/>
      <c r="S60" s="338"/>
      <c r="T60" s="338"/>
      <c r="U60" s="338"/>
      <c r="V60" s="338"/>
      <c r="W60" s="338"/>
      <c r="X60" s="337"/>
      <c r="Y60" s="324"/>
      <c r="Z60" s="324"/>
      <c r="AA60" s="324"/>
      <c r="AB60" s="324"/>
      <c r="AC60" s="324"/>
      <c r="AD60" s="324"/>
      <c r="AE60" s="324"/>
      <c r="AF60" s="324"/>
      <c r="AG60" s="324"/>
      <c r="AH60" s="336"/>
      <c r="AI60" s="336"/>
      <c r="AJ60" s="336"/>
      <c r="AK60" s="336"/>
      <c r="AL60" s="336"/>
      <c r="AM60" s="335"/>
      <c r="AX60" s="317"/>
      <c r="AY60" s="317"/>
      <c r="AZ60" s="317"/>
      <c r="BA60" s="317"/>
      <c r="BB60" s="317"/>
      <c r="BC60" s="317"/>
      <c r="BD60" s="317"/>
      <c r="BE60" s="317"/>
      <c r="BF60" s="317"/>
      <c r="BG60" s="317"/>
      <c r="BH60" s="317"/>
      <c r="BI60" s="317"/>
      <c r="BJ60" s="317"/>
      <c r="BK60" s="317"/>
      <c r="BL60" s="317"/>
      <c r="BM60" s="317"/>
      <c r="BN60" s="317"/>
      <c r="BO60" s="317"/>
      <c r="BP60" s="317"/>
      <c r="BQ60" s="317"/>
      <c r="BR60" s="317"/>
      <c r="BS60" s="317"/>
      <c r="BT60" s="317"/>
      <c r="BU60" s="317"/>
      <c r="BV60" s="317"/>
      <c r="BW60" s="317"/>
      <c r="BX60" s="317"/>
      <c r="BY60" s="317"/>
      <c r="BZ60" s="317"/>
      <c r="CA60" s="317"/>
      <c r="CB60" s="317"/>
      <c r="CC60" s="317"/>
      <c r="CD60" s="317"/>
      <c r="CE60" s="317"/>
      <c r="CF60" s="317"/>
      <c r="CG60" s="317"/>
      <c r="CH60" s="317"/>
      <c r="CI60" s="317"/>
      <c r="CJ60" s="317"/>
      <c r="CK60" s="317"/>
      <c r="CL60" s="317"/>
      <c r="CM60" s="317"/>
      <c r="CN60" s="317"/>
      <c r="CO60" s="317"/>
      <c r="CP60" s="317"/>
      <c r="CQ60" s="317"/>
      <c r="CR60" s="317"/>
      <c r="CS60" s="317"/>
      <c r="CT60" s="317"/>
      <c r="CU60" s="317"/>
      <c r="CV60" s="317"/>
      <c r="CW60" s="317"/>
      <c r="CX60" s="317"/>
      <c r="CY60" s="317"/>
      <c r="CZ60" s="317"/>
      <c r="DA60" s="326"/>
      <c r="DB60" s="317"/>
      <c r="DC60" s="317"/>
      <c r="DD60" s="317"/>
      <c r="DE60" s="315"/>
      <c r="DF60" s="315"/>
      <c r="DH60" s="316"/>
    </row>
    <row r="61" spans="1:112" s="314" customFormat="1" ht="30.6" customHeight="1" x14ac:dyDescent="0.25">
      <c r="A61" s="315"/>
      <c r="B61" s="317"/>
      <c r="C61" s="317"/>
      <c r="D61" s="347" t="s">
        <v>457</v>
      </c>
      <c r="U61" s="338"/>
      <c r="V61" s="338"/>
      <c r="W61" s="338"/>
      <c r="X61" s="337"/>
      <c r="Y61" s="324"/>
      <c r="Z61" s="324"/>
      <c r="AA61" s="324"/>
      <c r="AB61" s="324"/>
      <c r="AC61" s="324"/>
      <c r="AD61" s="324"/>
      <c r="AE61" s="324"/>
      <c r="AF61" s="324"/>
      <c r="AG61" s="324"/>
      <c r="AH61" s="336"/>
      <c r="AI61" s="336"/>
      <c r="AJ61" s="336"/>
      <c r="AK61" s="336"/>
      <c r="AL61" s="336"/>
      <c r="AM61" s="335"/>
      <c r="AX61" s="317"/>
      <c r="BB61" s="317"/>
      <c r="BC61" s="313"/>
      <c r="DC61" s="431"/>
      <c r="DD61" s="431"/>
      <c r="DE61" s="315"/>
      <c r="DF61" s="315"/>
      <c r="DH61" s="316"/>
    </row>
    <row r="62" spans="1:112" s="314" customFormat="1" ht="30.75" x14ac:dyDescent="0.25">
      <c r="A62" s="315"/>
      <c r="B62" s="317"/>
      <c r="C62" s="317"/>
      <c r="D62" s="329"/>
      <c r="E62" s="338"/>
      <c r="F62" s="338"/>
      <c r="G62" s="338"/>
      <c r="H62" s="338"/>
      <c r="I62" s="338"/>
      <c r="J62" s="338"/>
      <c r="K62" s="338"/>
      <c r="L62" s="338"/>
      <c r="M62" s="338"/>
      <c r="N62" s="338"/>
      <c r="O62" s="338"/>
      <c r="P62" s="338"/>
      <c r="Q62" s="338"/>
      <c r="R62" s="338"/>
      <c r="S62" s="338"/>
      <c r="T62" s="338"/>
      <c r="U62" s="338"/>
      <c r="V62" s="338"/>
      <c r="W62" s="338"/>
      <c r="X62" s="337"/>
      <c r="Y62" s="324"/>
      <c r="Z62" s="324"/>
      <c r="AA62" s="324"/>
      <c r="AB62" s="324"/>
      <c r="AC62" s="324"/>
      <c r="AD62" s="324"/>
      <c r="AE62" s="324"/>
      <c r="AF62" s="324"/>
      <c r="AG62" s="324"/>
      <c r="AH62" s="336"/>
      <c r="AI62" s="336"/>
      <c r="AJ62" s="336"/>
      <c r="AK62" s="336"/>
      <c r="AL62" s="336"/>
      <c r="AM62" s="335"/>
      <c r="AX62" s="317"/>
      <c r="AY62" s="317"/>
      <c r="AZ62" s="317"/>
      <c r="BO62" s="488" t="str">
        <f>'Cálculos y Supuestos Balance'!AB39</f>
        <v>Tienes un nivel de solvencia excelente que te permite apalancarte en tus activos para seguir creciendo tu patrimonio.</v>
      </c>
      <c r="BP62" s="488"/>
      <c r="BQ62" s="488"/>
      <c r="BR62" s="488"/>
      <c r="BS62" s="488"/>
      <c r="BT62" s="488"/>
      <c r="BU62" s="488"/>
      <c r="BV62" s="488"/>
      <c r="BW62" s="488"/>
      <c r="BX62" s="488"/>
      <c r="BY62" s="488"/>
      <c r="BZ62" s="488"/>
      <c r="CA62" s="488"/>
      <c r="CB62" s="488"/>
      <c r="CC62" s="488"/>
      <c r="CD62" s="488"/>
      <c r="CE62" s="488"/>
      <c r="CF62" s="488"/>
      <c r="CG62" s="488"/>
      <c r="CH62" s="488"/>
      <c r="CI62" s="488"/>
      <c r="CJ62" s="488"/>
      <c r="CK62" s="488"/>
      <c r="CL62" s="488"/>
      <c r="CM62" s="488"/>
      <c r="CN62" s="488"/>
      <c r="CO62" s="488"/>
      <c r="CP62" s="488"/>
      <c r="CQ62" s="488"/>
      <c r="CR62" s="488"/>
      <c r="CS62" s="488"/>
      <c r="CT62" s="488"/>
      <c r="CU62" s="488"/>
      <c r="CV62" s="488"/>
      <c r="CW62" s="488"/>
      <c r="CX62" s="488"/>
      <c r="CY62" s="488"/>
      <c r="CZ62" s="488"/>
      <c r="DC62" s="431"/>
      <c r="DD62" s="431"/>
      <c r="DE62" s="315"/>
      <c r="DF62" s="315"/>
      <c r="DH62" s="316"/>
    </row>
    <row r="63" spans="1:112" s="314" customFormat="1" ht="30.6" customHeight="1" x14ac:dyDescent="0.25">
      <c r="A63" s="315"/>
      <c r="B63" s="317"/>
      <c r="C63" s="317"/>
      <c r="D63" s="329"/>
      <c r="E63" s="338"/>
      <c r="F63" s="338"/>
      <c r="G63" s="338"/>
      <c r="H63" s="338"/>
      <c r="I63" s="338"/>
      <c r="J63" s="338"/>
      <c r="K63" s="338"/>
      <c r="L63" s="338"/>
      <c r="M63" s="338"/>
      <c r="N63" s="338"/>
      <c r="O63" s="338"/>
      <c r="P63" s="338"/>
      <c r="Q63" s="338"/>
      <c r="R63" s="338"/>
      <c r="S63" s="338"/>
      <c r="T63" s="338"/>
      <c r="U63" s="338"/>
      <c r="V63" s="338"/>
      <c r="W63" s="338"/>
      <c r="X63" s="337"/>
      <c r="Y63" s="324"/>
      <c r="Z63" s="324"/>
      <c r="AA63" s="324"/>
      <c r="AB63" s="324"/>
      <c r="AC63" s="324"/>
      <c r="AD63" s="324"/>
      <c r="AE63" s="324"/>
      <c r="AF63" s="324"/>
      <c r="AG63" s="324"/>
      <c r="AH63" s="336"/>
      <c r="AI63" s="336"/>
      <c r="AJ63" s="336"/>
      <c r="AK63" s="336"/>
      <c r="AL63" s="336"/>
      <c r="AM63" s="335"/>
      <c r="AX63" s="317"/>
      <c r="BO63" s="488"/>
      <c r="BP63" s="488"/>
      <c r="BQ63" s="488"/>
      <c r="BR63" s="488"/>
      <c r="BS63" s="488"/>
      <c r="BT63" s="488"/>
      <c r="BU63" s="488"/>
      <c r="BV63" s="488"/>
      <c r="BW63" s="488"/>
      <c r="BX63" s="488"/>
      <c r="BY63" s="488"/>
      <c r="BZ63" s="488"/>
      <c r="CA63" s="488"/>
      <c r="CB63" s="488"/>
      <c r="CC63" s="488"/>
      <c r="CD63" s="488"/>
      <c r="CE63" s="488"/>
      <c r="CF63" s="488"/>
      <c r="CG63" s="488"/>
      <c r="CH63" s="488"/>
      <c r="CI63" s="488"/>
      <c r="CJ63" s="488"/>
      <c r="CK63" s="488"/>
      <c r="CL63" s="488"/>
      <c r="CM63" s="488"/>
      <c r="CN63" s="488"/>
      <c r="CO63" s="488"/>
      <c r="CP63" s="488"/>
      <c r="CQ63" s="488"/>
      <c r="CR63" s="488"/>
      <c r="CS63" s="488"/>
      <c r="CT63" s="488"/>
      <c r="CU63" s="488"/>
      <c r="CV63" s="488"/>
      <c r="CW63" s="488"/>
      <c r="CX63" s="488"/>
      <c r="CY63" s="488"/>
      <c r="CZ63" s="488"/>
      <c r="DC63" s="431"/>
      <c r="DD63" s="431"/>
      <c r="DE63" s="315"/>
      <c r="DF63" s="315"/>
      <c r="DH63" s="316"/>
    </row>
    <row r="64" spans="1:112" s="314" customFormat="1" ht="30.75" x14ac:dyDescent="0.25">
      <c r="A64" s="315"/>
      <c r="B64" s="317"/>
      <c r="C64" s="317"/>
      <c r="D64" s="329"/>
      <c r="E64" s="338"/>
      <c r="F64" s="338"/>
      <c r="G64" s="338"/>
      <c r="H64" s="338"/>
      <c r="I64" s="338"/>
      <c r="J64" s="338"/>
      <c r="K64" s="338"/>
      <c r="L64" s="338"/>
      <c r="M64" s="338"/>
      <c r="N64" s="338"/>
      <c r="O64" s="338"/>
      <c r="P64" s="338"/>
      <c r="Q64" s="338"/>
      <c r="R64" s="338"/>
      <c r="S64" s="338"/>
      <c r="T64" s="338"/>
      <c r="U64" s="338"/>
      <c r="V64" s="338"/>
      <c r="W64" s="338"/>
      <c r="X64" s="337"/>
      <c r="Y64" s="324"/>
      <c r="Z64" s="324"/>
      <c r="AA64" s="324"/>
      <c r="AB64" s="324"/>
      <c r="AC64" s="324"/>
      <c r="AD64" s="324"/>
      <c r="AE64" s="324"/>
      <c r="AF64" s="324"/>
      <c r="AG64" s="324"/>
      <c r="AH64" s="336"/>
      <c r="AI64" s="336"/>
      <c r="AJ64" s="336"/>
      <c r="AK64" s="336"/>
      <c r="AL64" s="336"/>
      <c r="AM64" s="335"/>
      <c r="AX64" s="317"/>
      <c r="BO64" s="488"/>
      <c r="BP64" s="488"/>
      <c r="BQ64" s="488"/>
      <c r="BR64" s="488"/>
      <c r="BS64" s="488"/>
      <c r="BT64" s="488"/>
      <c r="BU64" s="488"/>
      <c r="BV64" s="488"/>
      <c r="BW64" s="488"/>
      <c r="BX64" s="488"/>
      <c r="BY64" s="488"/>
      <c r="BZ64" s="488"/>
      <c r="CA64" s="488"/>
      <c r="CB64" s="488"/>
      <c r="CC64" s="488"/>
      <c r="CD64" s="488"/>
      <c r="CE64" s="488"/>
      <c r="CF64" s="488"/>
      <c r="CG64" s="488"/>
      <c r="CH64" s="488"/>
      <c r="CI64" s="488"/>
      <c r="CJ64" s="488"/>
      <c r="CK64" s="488"/>
      <c r="CL64" s="488"/>
      <c r="CM64" s="488"/>
      <c r="CN64" s="488"/>
      <c r="CO64" s="488"/>
      <c r="CP64" s="488"/>
      <c r="CQ64" s="488"/>
      <c r="CR64" s="488"/>
      <c r="CS64" s="488"/>
      <c r="CT64" s="488"/>
      <c r="CU64" s="488"/>
      <c r="CV64" s="488"/>
      <c r="CW64" s="488"/>
      <c r="CX64" s="488"/>
      <c r="CY64" s="488"/>
      <c r="CZ64" s="488"/>
      <c r="DC64" s="431"/>
      <c r="DD64" s="431"/>
      <c r="DE64" s="315"/>
      <c r="DF64" s="315"/>
      <c r="DH64" s="316"/>
    </row>
    <row r="65" spans="1:112" s="314" customFormat="1" ht="30.75" x14ac:dyDescent="0.25">
      <c r="A65" s="315"/>
      <c r="B65" s="317"/>
      <c r="C65" s="317"/>
      <c r="D65" s="329"/>
      <c r="E65" s="338"/>
      <c r="F65" s="338"/>
      <c r="G65" s="338"/>
      <c r="H65" s="338"/>
      <c r="I65" s="338"/>
      <c r="J65" s="338"/>
      <c r="K65" s="338"/>
      <c r="L65" s="338"/>
      <c r="M65" s="338"/>
      <c r="N65" s="338"/>
      <c r="O65" s="338"/>
      <c r="P65" s="338"/>
      <c r="Q65" s="338"/>
      <c r="R65" s="338"/>
      <c r="S65" s="338"/>
      <c r="T65" s="338"/>
      <c r="U65" s="338"/>
      <c r="V65" s="338"/>
      <c r="W65" s="338"/>
      <c r="X65" s="337"/>
      <c r="Y65" s="324"/>
      <c r="Z65" s="324"/>
      <c r="AA65" s="324"/>
      <c r="AB65" s="324"/>
      <c r="AC65" s="324"/>
      <c r="AD65" s="324"/>
      <c r="AE65" s="324"/>
      <c r="AF65" s="324"/>
      <c r="AG65" s="324"/>
      <c r="AH65" s="336"/>
      <c r="AI65" s="336"/>
      <c r="AJ65" s="336"/>
      <c r="AK65" s="336"/>
      <c r="AL65" s="336"/>
      <c r="AM65" s="335"/>
      <c r="AX65" s="317"/>
      <c r="BO65" s="488"/>
      <c r="BP65" s="488"/>
      <c r="BQ65" s="488"/>
      <c r="BR65" s="488"/>
      <c r="BS65" s="488"/>
      <c r="BT65" s="488"/>
      <c r="BU65" s="488"/>
      <c r="BV65" s="488"/>
      <c r="BW65" s="488"/>
      <c r="BX65" s="488"/>
      <c r="BY65" s="488"/>
      <c r="BZ65" s="488"/>
      <c r="CA65" s="488"/>
      <c r="CB65" s="488"/>
      <c r="CC65" s="488"/>
      <c r="CD65" s="488"/>
      <c r="CE65" s="488"/>
      <c r="CF65" s="488"/>
      <c r="CG65" s="488"/>
      <c r="CH65" s="488"/>
      <c r="CI65" s="488"/>
      <c r="CJ65" s="488"/>
      <c r="CK65" s="488"/>
      <c r="CL65" s="488"/>
      <c r="CM65" s="488"/>
      <c r="CN65" s="488"/>
      <c r="CO65" s="488"/>
      <c r="CP65" s="488"/>
      <c r="CQ65" s="488"/>
      <c r="CR65" s="488"/>
      <c r="CS65" s="488"/>
      <c r="CT65" s="488"/>
      <c r="CU65" s="488"/>
      <c r="CV65" s="488"/>
      <c r="CW65" s="488"/>
      <c r="CX65" s="488"/>
      <c r="CY65" s="488"/>
      <c r="CZ65" s="488"/>
      <c r="DC65" s="317"/>
      <c r="DD65" s="317"/>
      <c r="DE65" s="315"/>
      <c r="DF65" s="315"/>
      <c r="DH65" s="316"/>
    </row>
    <row r="66" spans="1:112" s="314" customFormat="1" ht="30.75" x14ac:dyDescent="0.25">
      <c r="A66" s="315"/>
      <c r="B66" s="317"/>
      <c r="C66" s="317"/>
      <c r="D66" s="329"/>
      <c r="E66" s="338"/>
      <c r="F66" s="338"/>
      <c r="G66" s="338"/>
      <c r="H66" s="338"/>
      <c r="I66" s="338"/>
      <c r="J66" s="338"/>
      <c r="K66" s="338"/>
      <c r="L66" s="338"/>
      <c r="M66" s="338"/>
      <c r="N66" s="338"/>
      <c r="O66" s="338"/>
      <c r="P66" s="338"/>
      <c r="Q66" s="338"/>
      <c r="R66" s="338"/>
      <c r="S66" s="338"/>
      <c r="T66" s="338"/>
      <c r="U66" s="338"/>
      <c r="V66" s="338"/>
      <c r="W66" s="338"/>
      <c r="X66" s="337"/>
      <c r="Y66" s="324"/>
      <c r="Z66" s="324"/>
      <c r="AA66" s="324"/>
      <c r="AB66" s="324"/>
      <c r="AC66" s="324"/>
      <c r="AD66" s="324"/>
      <c r="AE66" s="324"/>
      <c r="AF66" s="324"/>
      <c r="AG66" s="324"/>
      <c r="AH66" s="336"/>
      <c r="AI66" s="336"/>
      <c r="AJ66" s="336"/>
      <c r="AK66" s="336"/>
      <c r="AL66" s="336"/>
      <c r="AM66" s="335"/>
      <c r="AX66" s="317"/>
      <c r="DC66" s="317"/>
      <c r="DD66" s="317"/>
      <c r="DE66" s="315"/>
      <c r="DF66" s="315"/>
      <c r="DH66" s="316"/>
    </row>
    <row r="67" spans="1:112" s="314" customFormat="1" ht="30.75" x14ac:dyDescent="0.25">
      <c r="A67" s="315"/>
      <c r="B67" s="317"/>
      <c r="C67" s="317"/>
      <c r="D67" s="313" t="s">
        <v>399</v>
      </c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494">
        <f>'Cálculos y Supuestos Balance'!Z39</f>
        <v>0.8571428571428571</v>
      </c>
      <c r="Q67" s="494"/>
      <c r="R67" s="494"/>
      <c r="S67" s="494"/>
      <c r="T67" s="494"/>
      <c r="U67" s="338"/>
      <c r="W67" s="338"/>
      <c r="X67" s="337"/>
      <c r="Y67" s="324"/>
      <c r="Z67" s="324"/>
      <c r="AA67" s="324"/>
      <c r="AB67" s="324"/>
      <c r="AC67" s="324"/>
      <c r="AD67" s="324"/>
      <c r="AE67" s="324"/>
      <c r="AF67" s="324"/>
      <c r="AG67" s="324"/>
      <c r="AH67" s="336"/>
      <c r="AI67" s="336"/>
      <c r="AJ67" s="336"/>
      <c r="AK67" s="336"/>
      <c r="AL67" s="336"/>
      <c r="AM67" s="335"/>
      <c r="AX67" s="317"/>
      <c r="AY67" s="317"/>
      <c r="AZ67" s="317"/>
      <c r="BA67" s="317"/>
      <c r="BB67" s="317"/>
      <c r="DC67" s="317"/>
      <c r="DD67" s="317"/>
      <c r="DE67" s="315"/>
      <c r="DF67" s="315"/>
      <c r="DH67" s="316"/>
    </row>
    <row r="68" spans="1:112" s="314" customFormat="1" ht="30.75" x14ac:dyDescent="0.25">
      <c r="A68" s="315"/>
      <c r="B68" s="317"/>
      <c r="C68" s="317"/>
      <c r="D68" s="329"/>
      <c r="E68" s="338"/>
      <c r="F68" s="338"/>
      <c r="G68" s="338"/>
      <c r="H68" s="338"/>
      <c r="I68" s="338"/>
      <c r="J68" s="338"/>
      <c r="K68" s="338"/>
      <c r="L68" s="338"/>
      <c r="M68" s="338"/>
      <c r="N68" s="338"/>
      <c r="O68" s="338"/>
      <c r="P68" s="338"/>
      <c r="Q68" s="338"/>
      <c r="R68" s="338"/>
      <c r="S68" s="338"/>
      <c r="T68" s="338"/>
      <c r="U68" s="338"/>
      <c r="V68" s="338"/>
      <c r="W68" s="338"/>
      <c r="X68" s="337"/>
      <c r="Y68" s="324"/>
      <c r="Z68" s="324"/>
      <c r="AA68" s="324"/>
      <c r="AB68" s="324"/>
      <c r="AC68" s="324"/>
      <c r="AD68" s="324"/>
      <c r="AE68" s="324"/>
      <c r="AF68" s="324"/>
      <c r="AG68" s="324"/>
      <c r="AH68" s="336"/>
      <c r="AI68" s="336"/>
      <c r="AJ68" s="336"/>
      <c r="AK68" s="336"/>
      <c r="AL68" s="336"/>
      <c r="AM68" s="335"/>
      <c r="AX68" s="317"/>
      <c r="AY68" s="317"/>
      <c r="AZ68" s="317"/>
      <c r="BA68" s="317"/>
      <c r="BB68" s="317"/>
      <c r="BC68" s="317"/>
      <c r="BD68" s="317"/>
      <c r="BE68" s="317"/>
      <c r="BF68" s="317"/>
      <c r="BG68" s="317"/>
      <c r="BH68" s="317"/>
      <c r="BI68" s="317"/>
      <c r="BJ68" s="317"/>
      <c r="BK68" s="317"/>
      <c r="BL68" s="317"/>
      <c r="BM68" s="317"/>
      <c r="BN68" s="317"/>
      <c r="BO68" s="317"/>
      <c r="BP68" s="317"/>
      <c r="BQ68" s="317"/>
      <c r="BR68" s="317"/>
      <c r="BS68" s="317"/>
      <c r="BT68" s="317"/>
      <c r="BU68" s="317"/>
      <c r="BV68" s="317"/>
      <c r="BW68" s="317"/>
      <c r="BX68" s="317"/>
      <c r="BY68" s="317"/>
      <c r="BZ68" s="317"/>
      <c r="CA68" s="317"/>
      <c r="CB68" s="317"/>
      <c r="CC68" s="317"/>
      <c r="CD68" s="317"/>
      <c r="CE68" s="317"/>
      <c r="CF68" s="317"/>
      <c r="CG68" s="317"/>
      <c r="CH68" s="317"/>
      <c r="CI68" s="317"/>
      <c r="CJ68" s="317"/>
      <c r="CK68" s="317"/>
      <c r="CL68" s="317"/>
      <c r="CM68" s="317"/>
      <c r="CN68" s="317"/>
      <c r="CO68" s="317"/>
      <c r="CU68" s="317"/>
      <c r="CV68" s="317"/>
      <c r="CW68" s="317"/>
      <c r="CX68" s="317"/>
      <c r="CY68" s="317"/>
      <c r="CZ68" s="317"/>
      <c r="DA68" s="326"/>
      <c r="DB68" s="317"/>
      <c r="DC68" s="317"/>
      <c r="DD68" s="317"/>
      <c r="DE68" s="315"/>
      <c r="DF68" s="315"/>
      <c r="DH68" s="316"/>
    </row>
    <row r="69" spans="1:112" s="314" customFormat="1" ht="31.5" thickBot="1" x14ac:dyDescent="0.3">
      <c r="A69" s="315"/>
      <c r="B69" s="317"/>
      <c r="C69" s="317"/>
      <c r="D69" s="329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8"/>
      <c r="Q69" s="338"/>
      <c r="R69" s="338"/>
      <c r="S69" s="338"/>
      <c r="T69" s="338"/>
      <c r="U69" s="338"/>
      <c r="V69" s="338"/>
      <c r="W69" s="338"/>
      <c r="X69" s="337"/>
      <c r="Y69" s="324"/>
      <c r="Z69" s="324"/>
      <c r="AA69" s="324"/>
      <c r="AB69" s="324"/>
      <c r="AC69" s="324"/>
      <c r="AD69" s="324"/>
      <c r="AE69" s="324"/>
      <c r="AF69" s="324"/>
      <c r="AG69" s="324"/>
      <c r="AH69" s="336"/>
      <c r="AI69" s="336"/>
      <c r="AJ69" s="336"/>
      <c r="AK69" s="336"/>
      <c r="AL69" s="336"/>
      <c r="AM69" s="335"/>
      <c r="AX69" s="317"/>
      <c r="AY69" s="317"/>
      <c r="AZ69" s="317"/>
      <c r="BA69" s="317"/>
      <c r="BB69" s="317"/>
      <c r="BC69" s="317"/>
      <c r="BD69" s="317"/>
      <c r="BE69" s="317"/>
      <c r="BF69" s="317"/>
      <c r="BG69" s="317"/>
      <c r="BH69" s="317"/>
      <c r="BI69" s="317"/>
      <c r="BJ69" s="317"/>
      <c r="BK69" s="317"/>
      <c r="BL69" s="317"/>
      <c r="BN69" s="317"/>
      <c r="BO69" s="317"/>
      <c r="BP69" s="317"/>
      <c r="BR69" s="317"/>
      <c r="BS69" s="317"/>
      <c r="CU69" s="317"/>
      <c r="CV69" s="317"/>
      <c r="CW69" s="317"/>
      <c r="CX69" s="317"/>
      <c r="CY69" s="317"/>
      <c r="CZ69" s="317"/>
      <c r="DA69" s="326"/>
      <c r="DB69" s="317"/>
      <c r="DC69" s="317"/>
      <c r="DD69" s="317"/>
      <c r="DE69" s="315"/>
      <c r="DF69" s="315"/>
      <c r="DH69" s="316"/>
    </row>
    <row r="70" spans="1:112" s="314" customFormat="1" ht="30.75" x14ac:dyDescent="0.25">
      <c r="A70" s="315"/>
      <c r="B70" s="317"/>
      <c r="C70" s="317"/>
      <c r="D70" s="347" t="s">
        <v>531</v>
      </c>
      <c r="E70" s="338"/>
      <c r="F70" s="338"/>
      <c r="G70" s="338"/>
      <c r="H70" s="338"/>
      <c r="I70" s="338"/>
      <c r="J70" s="338"/>
      <c r="K70" s="338"/>
      <c r="L70" s="338"/>
      <c r="M70" s="338"/>
      <c r="N70" s="338"/>
      <c r="O70" s="338"/>
      <c r="P70" s="338"/>
      <c r="Q70" s="338"/>
      <c r="R70" s="338"/>
      <c r="S70" s="338"/>
      <c r="T70" s="338"/>
      <c r="U70" s="338"/>
      <c r="V70" s="338"/>
      <c r="W70" s="338"/>
      <c r="X70" s="337"/>
      <c r="Y70" s="324"/>
      <c r="Z70" s="324"/>
      <c r="AA70" s="324"/>
      <c r="AB70" s="324"/>
      <c r="AC70" s="324"/>
      <c r="AD70" s="324"/>
      <c r="AE70" s="324"/>
      <c r="AF70" s="324"/>
      <c r="AG70" s="324"/>
      <c r="AH70" s="336"/>
      <c r="AI70" s="336"/>
      <c r="AJ70" s="336"/>
      <c r="AK70" s="336"/>
      <c r="AL70" s="336"/>
      <c r="AM70" s="335"/>
      <c r="AX70" s="317"/>
      <c r="AY70" s="317"/>
      <c r="AZ70" s="317"/>
      <c r="BA70" s="317"/>
      <c r="BB70" s="317"/>
      <c r="BC70" s="317"/>
      <c r="BD70" s="317"/>
      <c r="BE70" s="317"/>
      <c r="BF70" s="317"/>
      <c r="BG70" s="317"/>
      <c r="BH70" s="317"/>
      <c r="BI70" s="317"/>
      <c r="BJ70" s="317"/>
      <c r="CI70" s="313" t="s">
        <v>515</v>
      </c>
      <c r="CP70" s="492">
        <v>2000000</v>
      </c>
      <c r="CQ70" s="493"/>
      <c r="CR70" s="493"/>
      <c r="CS70" s="493"/>
      <c r="CT70" s="493"/>
      <c r="CU70" s="493"/>
      <c r="CV70" s="493"/>
      <c r="CW70" s="493"/>
      <c r="CX70" s="493"/>
      <c r="CY70" s="493"/>
      <c r="CZ70" s="493"/>
      <c r="DA70" s="326"/>
      <c r="DB70" s="317"/>
      <c r="DC70" s="317"/>
      <c r="DD70" s="317"/>
      <c r="DE70" s="315"/>
      <c r="DF70" s="315"/>
    </row>
    <row r="71" spans="1:112" s="314" customFormat="1" ht="30.6" customHeight="1" x14ac:dyDescent="0.25">
      <c r="A71" s="315"/>
      <c r="B71" s="317"/>
      <c r="C71" s="317"/>
      <c r="D71" s="329"/>
      <c r="E71" s="338"/>
      <c r="F71" s="338"/>
      <c r="G71" s="338"/>
      <c r="H71" s="338"/>
      <c r="I71" s="338"/>
      <c r="J71" s="338"/>
      <c r="K71" s="338"/>
      <c r="L71" s="338"/>
      <c r="M71" s="338"/>
      <c r="N71" s="338"/>
      <c r="O71" s="338"/>
      <c r="P71" s="338"/>
      <c r="Q71" s="338"/>
      <c r="R71" s="338"/>
      <c r="S71" s="338"/>
      <c r="T71" s="338"/>
      <c r="U71" s="338"/>
      <c r="AA71" s="324"/>
      <c r="AB71" s="324"/>
      <c r="AC71" s="324"/>
      <c r="AD71" s="324"/>
      <c r="AE71" s="324"/>
      <c r="AF71" s="324"/>
      <c r="AG71" s="324"/>
      <c r="AH71" s="336"/>
      <c r="AI71" s="336"/>
      <c r="AJ71" s="336"/>
      <c r="AK71" s="336"/>
      <c r="AL71" s="336"/>
      <c r="AM71" s="335"/>
      <c r="AX71" s="317"/>
      <c r="AY71" s="317"/>
      <c r="AZ71" s="317"/>
      <c r="BA71" s="317"/>
      <c r="BB71" s="317"/>
      <c r="BC71" s="317"/>
      <c r="BD71" s="317"/>
      <c r="BE71" s="317"/>
      <c r="BF71" s="317"/>
      <c r="BG71" s="317"/>
      <c r="BH71" s="317"/>
      <c r="BI71" s="317"/>
      <c r="BJ71" s="317"/>
      <c r="DA71" s="326"/>
      <c r="DB71" s="317"/>
      <c r="DC71" s="317"/>
      <c r="DD71" s="317"/>
      <c r="DE71" s="315"/>
      <c r="DF71" s="315"/>
    </row>
    <row r="72" spans="1:112" s="314" customFormat="1" ht="30.6" customHeight="1" x14ac:dyDescent="0.25">
      <c r="A72" s="315"/>
      <c r="B72" s="317"/>
      <c r="C72" s="317"/>
      <c r="D72" s="348"/>
      <c r="E72" s="338"/>
      <c r="F72" s="313" t="s">
        <v>533</v>
      </c>
      <c r="G72" s="338"/>
      <c r="H72" s="338"/>
      <c r="I72" s="338"/>
      <c r="J72" s="338"/>
      <c r="K72" s="338"/>
      <c r="L72" s="338"/>
      <c r="M72" s="338"/>
      <c r="N72" s="338"/>
      <c r="O72" s="338"/>
      <c r="P72" s="338"/>
      <c r="Q72" s="338"/>
      <c r="S72" s="342"/>
      <c r="U72" s="342"/>
      <c r="V72" s="342"/>
      <c r="W72" s="342"/>
      <c r="X72" s="342"/>
      <c r="Y72" s="486">
        <f>AM25</f>
        <v>1000000</v>
      </c>
      <c r="Z72" s="486"/>
      <c r="AA72" s="486"/>
      <c r="AB72" s="486"/>
      <c r="AC72" s="486"/>
      <c r="AD72" s="486"/>
      <c r="AE72" s="486"/>
      <c r="AF72" s="486"/>
      <c r="AG72" s="486"/>
      <c r="AH72" s="486"/>
      <c r="AI72" s="486"/>
      <c r="AJ72" s="486"/>
      <c r="AK72" s="336"/>
      <c r="AL72" s="336"/>
      <c r="AM72" s="335"/>
      <c r="AX72" s="317"/>
      <c r="AY72" s="317"/>
      <c r="AZ72" s="317"/>
      <c r="BA72" s="317"/>
      <c r="BV72" s="347" t="s">
        <v>524</v>
      </c>
      <c r="BZ72" s="317"/>
      <c r="CA72" s="317"/>
      <c r="CB72" s="317"/>
      <c r="CC72" s="317"/>
      <c r="CD72" s="317"/>
      <c r="CE72" s="317"/>
      <c r="CF72" s="317"/>
      <c r="CG72" s="317"/>
      <c r="DA72" s="326"/>
      <c r="DB72" s="317"/>
      <c r="DC72" s="317"/>
      <c r="DD72" s="317"/>
      <c r="DE72" s="315"/>
      <c r="DF72" s="315"/>
    </row>
    <row r="73" spans="1:112" s="314" customFormat="1" ht="30.6" customHeight="1" x14ac:dyDescent="0.25">
      <c r="A73" s="315"/>
      <c r="B73" s="317"/>
      <c r="C73" s="317"/>
      <c r="D73" s="329"/>
      <c r="E73" s="338"/>
      <c r="F73" s="338"/>
      <c r="G73" s="338"/>
      <c r="H73" s="338"/>
      <c r="I73" s="338"/>
      <c r="J73" s="338"/>
      <c r="K73" s="338"/>
      <c r="L73" s="338"/>
      <c r="M73" s="338"/>
      <c r="N73" s="338"/>
      <c r="O73" s="338"/>
      <c r="P73" s="338"/>
      <c r="Q73" s="338"/>
      <c r="R73" s="338"/>
      <c r="AB73" s="324"/>
      <c r="AC73" s="324"/>
      <c r="AD73" s="324"/>
      <c r="AE73" s="324"/>
      <c r="AF73" s="324"/>
      <c r="AG73" s="324"/>
      <c r="AH73" s="336"/>
      <c r="AI73" s="336"/>
      <c r="AJ73" s="336"/>
      <c r="AK73" s="336"/>
      <c r="AL73" s="336"/>
      <c r="AM73" s="335"/>
      <c r="AX73" s="317"/>
      <c r="AY73" s="317"/>
      <c r="AZ73" s="317"/>
      <c r="BA73" s="317"/>
      <c r="BB73" s="317"/>
      <c r="BC73" s="317"/>
      <c r="BD73" s="317"/>
      <c r="BE73" s="317"/>
      <c r="BF73" s="317"/>
      <c r="BG73" s="317"/>
      <c r="BH73" s="317"/>
      <c r="BI73" s="317"/>
      <c r="BJ73" s="317"/>
      <c r="BV73" s="495" t="s">
        <v>525</v>
      </c>
      <c r="BW73" s="495"/>
      <c r="BX73" s="495"/>
      <c r="BY73" s="495"/>
      <c r="BZ73" s="495"/>
      <c r="CA73" s="495"/>
      <c r="CB73" s="495"/>
      <c r="CC73" s="495"/>
      <c r="CD73" s="495"/>
      <c r="CE73" s="495"/>
      <c r="CF73" s="495"/>
      <c r="CG73" s="495"/>
      <c r="CH73" s="495"/>
      <c r="CN73" s="495" t="s">
        <v>526</v>
      </c>
      <c r="CO73" s="495"/>
      <c r="CP73" s="495"/>
      <c r="CQ73" s="495"/>
      <c r="CR73" s="495"/>
      <c r="CS73" s="495"/>
      <c r="CT73" s="495"/>
      <c r="CU73" s="495"/>
      <c r="CV73" s="495"/>
      <c r="CW73" s="495"/>
      <c r="CX73" s="495"/>
      <c r="CY73" s="495"/>
      <c r="CZ73" s="495"/>
      <c r="DA73" s="326"/>
      <c r="DB73" s="317"/>
      <c r="DC73" s="317"/>
      <c r="DD73" s="317"/>
      <c r="DE73" s="315"/>
      <c r="DF73" s="315"/>
    </row>
    <row r="74" spans="1:112" s="314" customFormat="1" ht="30.6" customHeight="1" x14ac:dyDescent="0.25">
      <c r="A74" s="315"/>
      <c r="B74" s="317"/>
      <c r="C74" s="317"/>
      <c r="D74" s="348"/>
      <c r="E74" s="317"/>
      <c r="F74" s="313" t="s">
        <v>455</v>
      </c>
      <c r="G74" s="317"/>
      <c r="Y74" s="486">
        <f>((BW22-E18-V21)*0.5)-AM25</f>
        <v>2500000</v>
      </c>
      <c r="Z74" s="486"/>
      <c r="AA74" s="486"/>
      <c r="AB74" s="486"/>
      <c r="AC74" s="486"/>
      <c r="AD74" s="486"/>
      <c r="AE74" s="486"/>
      <c r="AF74" s="486"/>
      <c r="AG74" s="486"/>
      <c r="AH74" s="486"/>
      <c r="AI74" s="486"/>
      <c r="AJ74" s="486"/>
      <c r="AK74" s="342"/>
      <c r="AL74" s="342"/>
      <c r="AM74" s="342"/>
      <c r="AN74" s="342"/>
      <c r="AO74" s="342"/>
      <c r="AP74" s="342"/>
      <c r="AQ74" s="342"/>
      <c r="AR74" s="342"/>
      <c r="AS74" s="342"/>
      <c r="AT74" s="342"/>
      <c r="AU74" s="342"/>
      <c r="AX74" s="317"/>
      <c r="AY74" s="317"/>
      <c r="AZ74" s="317"/>
      <c r="BA74" s="317"/>
      <c r="BB74" s="317"/>
      <c r="BC74" s="317"/>
      <c r="BD74" s="317"/>
      <c r="BE74" s="317"/>
      <c r="BF74" s="317"/>
      <c r="BG74" s="317"/>
      <c r="BH74" s="317"/>
      <c r="BI74" s="317"/>
      <c r="BJ74" s="317"/>
      <c r="BV74" s="489">
        <f>'Potencial del balance'!D24</f>
        <v>0.14285714285714285</v>
      </c>
      <c r="BW74" s="490"/>
      <c r="BX74" s="490"/>
      <c r="BY74" s="490"/>
      <c r="BZ74" s="490"/>
      <c r="CA74" s="490"/>
      <c r="CB74" s="490"/>
      <c r="CC74" s="490"/>
      <c r="CD74" s="490"/>
      <c r="CE74" s="490"/>
      <c r="CF74" s="490"/>
      <c r="CG74" s="490"/>
      <c r="CH74" s="491"/>
      <c r="CN74" s="489">
        <f>'Potencial del balance'!D31</f>
        <v>0.33333333333333331</v>
      </c>
      <c r="CO74" s="490"/>
      <c r="CP74" s="490"/>
      <c r="CQ74" s="490"/>
      <c r="CR74" s="490"/>
      <c r="CS74" s="490"/>
      <c r="CT74" s="490"/>
      <c r="CU74" s="490"/>
      <c r="CV74" s="490"/>
      <c r="CW74" s="490"/>
      <c r="CX74" s="490"/>
      <c r="CY74" s="490"/>
      <c r="CZ74" s="491"/>
      <c r="DA74" s="326"/>
      <c r="DB74" s="317"/>
      <c r="DC74" s="317"/>
      <c r="DD74" s="317"/>
      <c r="DE74" s="315"/>
      <c r="DF74" s="315"/>
    </row>
    <row r="75" spans="1:112" s="314" customFormat="1" ht="30.6" customHeight="1" x14ac:dyDescent="0.25">
      <c r="A75" s="315"/>
      <c r="B75" s="317"/>
      <c r="C75" s="317"/>
      <c r="BA75" s="317"/>
      <c r="BB75" s="317"/>
      <c r="BC75" s="317"/>
      <c r="BD75" s="317"/>
      <c r="BE75" s="317"/>
      <c r="BF75" s="317"/>
      <c r="BG75" s="317"/>
      <c r="BH75" s="317"/>
      <c r="BI75" s="317"/>
      <c r="BJ75" s="317"/>
      <c r="BV75" s="489"/>
      <c r="BW75" s="490"/>
      <c r="BX75" s="490"/>
      <c r="BY75" s="490"/>
      <c r="BZ75" s="490"/>
      <c r="CA75" s="490"/>
      <c r="CB75" s="490"/>
      <c r="CC75" s="490"/>
      <c r="CD75" s="490"/>
      <c r="CE75" s="490"/>
      <c r="CF75" s="490"/>
      <c r="CG75" s="490"/>
      <c r="CH75" s="491"/>
      <c r="CN75" s="489"/>
      <c r="CO75" s="490"/>
      <c r="CP75" s="490"/>
      <c r="CQ75" s="490"/>
      <c r="CR75" s="490"/>
      <c r="CS75" s="490"/>
      <c r="CT75" s="490"/>
      <c r="CU75" s="490"/>
      <c r="CV75" s="490"/>
      <c r="CW75" s="490"/>
      <c r="CX75" s="490"/>
      <c r="CY75" s="490"/>
      <c r="CZ75" s="491"/>
      <c r="DA75" s="326"/>
      <c r="DB75" s="317"/>
      <c r="DC75" s="317"/>
      <c r="DD75" s="317"/>
      <c r="DE75" s="315"/>
      <c r="DF75" s="315"/>
    </row>
    <row r="76" spans="1:112" s="314" customFormat="1" ht="30.6" customHeight="1" x14ac:dyDescent="0.25">
      <c r="A76" s="315"/>
      <c r="B76" s="317"/>
      <c r="C76" s="317"/>
      <c r="D76" s="351"/>
      <c r="E76" s="317"/>
      <c r="F76" s="313" t="s">
        <v>552</v>
      </c>
      <c r="G76" s="317"/>
      <c r="Y76" s="486">
        <f>MAX(Y74-Y72,0)</f>
        <v>1500000</v>
      </c>
      <c r="Z76" s="486"/>
      <c r="AA76" s="486"/>
      <c r="AB76" s="486"/>
      <c r="AC76" s="486"/>
      <c r="AD76" s="486"/>
      <c r="AE76" s="486"/>
      <c r="AF76" s="486"/>
      <c r="AG76" s="486"/>
      <c r="AH76" s="486"/>
      <c r="AI76" s="486"/>
      <c r="AJ76" s="486"/>
      <c r="BA76" s="317"/>
      <c r="BB76" s="317"/>
      <c r="BC76" s="317"/>
      <c r="BD76" s="317"/>
      <c r="BE76" s="317"/>
      <c r="BF76" s="317"/>
      <c r="BG76" s="317"/>
      <c r="BH76" s="317"/>
      <c r="BI76" s="317"/>
      <c r="BJ76" s="317"/>
      <c r="BV76" s="500" t="str">
        <f>'Potencial del balance'!I20</f>
        <v>Elevado</v>
      </c>
      <c r="BW76" s="501"/>
      <c r="BX76" s="501"/>
      <c r="BY76" s="501"/>
      <c r="BZ76" s="501"/>
      <c r="CA76" s="501"/>
      <c r="CB76" s="501"/>
      <c r="CC76" s="501"/>
      <c r="CD76" s="501"/>
      <c r="CE76" s="501"/>
      <c r="CF76" s="501"/>
      <c r="CG76" s="501"/>
      <c r="CH76" s="502"/>
      <c r="CN76" s="500" t="str">
        <f>'Potencial del balance'!I20</f>
        <v>Elevado</v>
      </c>
      <c r="CO76" s="501"/>
      <c r="CP76" s="501"/>
      <c r="CQ76" s="501"/>
      <c r="CR76" s="501"/>
      <c r="CS76" s="501"/>
      <c r="CT76" s="501"/>
      <c r="CU76" s="501"/>
      <c r="CV76" s="501"/>
      <c r="CW76" s="501"/>
      <c r="CX76" s="501"/>
      <c r="CY76" s="501"/>
      <c r="CZ76" s="502"/>
      <c r="DA76" s="326"/>
      <c r="DB76" s="317"/>
      <c r="DC76" s="317"/>
      <c r="DD76" s="317"/>
      <c r="DE76" s="315"/>
      <c r="DF76" s="315"/>
    </row>
    <row r="77" spans="1:112" s="314" customFormat="1" ht="30.6" customHeight="1" x14ac:dyDescent="0.25">
      <c r="A77" s="315"/>
      <c r="B77" s="317"/>
      <c r="C77" s="317"/>
      <c r="BA77" s="317"/>
      <c r="BB77" s="317"/>
      <c r="BC77" s="317"/>
      <c r="BD77" s="317"/>
      <c r="BE77" s="317"/>
      <c r="BF77" s="317"/>
      <c r="BG77" s="317"/>
      <c r="BH77" s="317"/>
      <c r="BI77" s="317"/>
      <c r="BJ77" s="317"/>
      <c r="BV77" s="500"/>
      <c r="BW77" s="501"/>
      <c r="BX77" s="501"/>
      <c r="BY77" s="501"/>
      <c r="BZ77" s="501"/>
      <c r="CA77" s="501"/>
      <c r="CB77" s="501"/>
      <c r="CC77" s="501"/>
      <c r="CD77" s="501"/>
      <c r="CE77" s="501"/>
      <c r="CF77" s="501"/>
      <c r="CG77" s="501"/>
      <c r="CH77" s="502"/>
      <c r="CN77" s="500"/>
      <c r="CO77" s="501"/>
      <c r="CP77" s="501"/>
      <c r="CQ77" s="501"/>
      <c r="CR77" s="501"/>
      <c r="CS77" s="501"/>
      <c r="CT77" s="501"/>
      <c r="CU77" s="501"/>
      <c r="CV77" s="501"/>
      <c r="CW77" s="501"/>
      <c r="CX77" s="501"/>
      <c r="CY77" s="501"/>
      <c r="CZ77" s="502"/>
      <c r="DA77" s="326"/>
      <c r="DB77" s="317"/>
      <c r="DC77" s="317"/>
      <c r="DD77" s="317"/>
      <c r="DE77" s="315"/>
      <c r="DF77" s="315"/>
    </row>
    <row r="78" spans="1:112" s="314" customFormat="1" ht="30.6" customHeight="1" x14ac:dyDescent="0.25">
      <c r="A78" s="315"/>
      <c r="B78" s="317"/>
      <c r="C78" s="317"/>
      <c r="BA78" s="317"/>
      <c r="BB78" s="317"/>
      <c r="BC78" s="317"/>
      <c r="BD78" s="317"/>
      <c r="BE78" s="317"/>
      <c r="BF78" s="317"/>
      <c r="BG78" s="317"/>
      <c r="BH78" s="317"/>
      <c r="BI78" s="317"/>
      <c r="BJ78" s="317"/>
      <c r="BV78" s="500" t="str">
        <f>'Potencial del balance'!I21</f>
        <v>Aceptable</v>
      </c>
      <c r="BW78" s="501"/>
      <c r="BX78" s="501"/>
      <c r="BY78" s="501"/>
      <c r="BZ78" s="501"/>
      <c r="CA78" s="501"/>
      <c r="CB78" s="501"/>
      <c r="CC78" s="501"/>
      <c r="CD78" s="501"/>
      <c r="CE78" s="501"/>
      <c r="CF78" s="501"/>
      <c r="CG78" s="501"/>
      <c r="CH78" s="502"/>
      <c r="CN78" s="500" t="str">
        <f>'Potencial del balance'!I21</f>
        <v>Aceptable</v>
      </c>
      <c r="CO78" s="501"/>
      <c r="CP78" s="501"/>
      <c r="CQ78" s="501"/>
      <c r="CR78" s="501"/>
      <c r="CS78" s="501"/>
      <c r="CT78" s="501"/>
      <c r="CU78" s="501"/>
      <c r="CV78" s="501"/>
      <c r="CW78" s="501"/>
      <c r="CX78" s="501"/>
      <c r="CY78" s="501"/>
      <c r="CZ78" s="502"/>
      <c r="DA78" s="326"/>
      <c r="DB78" s="317"/>
      <c r="DC78" s="317"/>
      <c r="DD78" s="317"/>
      <c r="DE78" s="315"/>
      <c r="DF78" s="315"/>
    </row>
    <row r="79" spans="1:112" s="314" customFormat="1" ht="30.6" customHeight="1" x14ac:dyDescent="0.25">
      <c r="A79" s="315"/>
      <c r="B79" s="317"/>
      <c r="C79" s="317"/>
      <c r="D79" s="498" t="str">
        <f>IF('Potencial del balance'!J2="Si","De acuerdo a tu nivel de apalancamiento actual, puedes recurrir a un crédito por "&amp;TEXT('Potencial del balance'!F11,"#,0")&amp;" sobre tus activos financieros.","No cuentas con capacidad de apalancamiento")</f>
        <v>De acuerdo a tu nivel de apalancamiento actual, puedes recurrir a un crédito por 2,142,857 sobre tus activos financieros.</v>
      </c>
      <c r="E79" s="498"/>
      <c r="F79" s="498"/>
      <c r="G79" s="498"/>
      <c r="H79" s="498"/>
      <c r="I79" s="498"/>
      <c r="J79" s="498"/>
      <c r="K79" s="498"/>
      <c r="L79" s="498"/>
      <c r="M79" s="498"/>
      <c r="N79" s="498"/>
      <c r="O79" s="498"/>
      <c r="P79" s="498"/>
      <c r="Q79" s="498"/>
      <c r="R79" s="498"/>
      <c r="S79" s="498"/>
      <c r="T79" s="498"/>
      <c r="U79" s="498"/>
      <c r="V79" s="498"/>
      <c r="W79" s="498"/>
      <c r="X79" s="498"/>
      <c r="Y79" s="498"/>
      <c r="Z79" s="498"/>
      <c r="AA79" s="498"/>
      <c r="AB79" s="498"/>
      <c r="AC79" s="498"/>
      <c r="AD79" s="498"/>
      <c r="AE79" s="498"/>
      <c r="AF79" s="498"/>
      <c r="AG79" s="498"/>
      <c r="AH79" s="498"/>
      <c r="AI79" s="498"/>
      <c r="AJ79" s="498"/>
      <c r="AK79" s="498"/>
      <c r="AL79" s="498"/>
      <c r="AM79" s="498"/>
      <c r="AN79" s="498"/>
      <c r="AO79" s="498"/>
      <c r="AP79" s="498"/>
      <c r="AQ79" s="498"/>
      <c r="AR79" s="498"/>
      <c r="AS79" s="498"/>
      <c r="AT79" s="498"/>
      <c r="AU79" s="498"/>
      <c r="AV79" s="498"/>
      <c r="AW79" s="498"/>
      <c r="AX79" s="498"/>
      <c r="AY79" s="498"/>
      <c r="AZ79" s="498"/>
      <c r="BA79" s="317"/>
      <c r="BB79" s="317"/>
      <c r="BC79" s="317"/>
      <c r="BD79" s="317"/>
      <c r="BE79" s="317"/>
      <c r="BF79" s="317"/>
      <c r="BG79" s="317"/>
      <c r="BH79" s="317"/>
      <c r="BI79" s="317"/>
      <c r="BJ79" s="317"/>
      <c r="BV79" s="500"/>
      <c r="BW79" s="501"/>
      <c r="BX79" s="501"/>
      <c r="BY79" s="501"/>
      <c r="BZ79" s="501"/>
      <c r="CA79" s="501"/>
      <c r="CB79" s="501"/>
      <c r="CC79" s="501"/>
      <c r="CD79" s="501"/>
      <c r="CE79" s="501"/>
      <c r="CF79" s="501"/>
      <c r="CG79" s="501"/>
      <c r="CH79" s="502"/>
      <c r="CN79" s="500"/>
      <c r="CO79" s="501"/>
      <c r="CP79" s="501"/>
      <c r="CQ79" s="501"/>
      <c r="CR79" s="501"/>
      <c r="CS79" s="501"/>
      <c r="CT79" s="501"/>
      <c r="CU79" s="501"/>
      <c r="CV79" s="501"/>
      <c r="CW79" s="501"/>
      <c r="CX79" s="501"/>
      <c r="CY79" s="501"/>
      <c r="CZ79" s="502"/>
      <c r="DA79" s="326"/>
      <c r="DB79" s="317"/>
      <c r="DC79" s="317"/>
      <c r="DD79" s="317"/>
      <c r="DE79" s="315"/>
      <c r="DF79" s="315"/>
    </row>
    <row r="80" spans="1:112" s="314" customFormat="1" ht="30.6" customHeight="1" x14ac:dyDescent="0.25">
      <c r="A80" s="315"/>
      <c r="B80" s="317"/>
      <c r="C80" s="317"/>
      <c r="D80" s="498"/>
      <c r="E80" s="498"/>
      <c r="F80" s="498"/>
      <c r="G80" s="498"/>
      <c r="H80" s="498"/>
      <c r="I80" s="498"/>
      <c r="J80" s="498"/>
      <c r="K80" s="498"/>
      <c r="L80" s="498"/>
      <c r="M80" s="498"/>
      <c r="N80" s="498"/>
      <c r="O80" s="498"/>
      <c r="P80" s="498"/>
      <c r="Q80" s="498"/>
      <c r="R80" s="498"/>
      <c r="S80" s="498"/>
      <c r="T80" s="498"/>
      <c r="U80" s="498"/>
      <c r="V80" s="498"/>
      <c r="W80" s="498"/>
      <c r="X80" s="498"/>
      <c r="Y80" s="498"/>
      <c r="Z80" s="498"/>
      <c r="AA80" s="498"/>
      <c r="AB80" s="498"/>
      <c r="AC80" s="498"/>
      <c r="AD80" s="498"/>
      <c r="AE80" s="498"/>
      <c r="AF80" s="498"/>
      <c r="AG80" s="498"/>
      <c r="AH80" s="498"/>
      <c r="AI80" s="498"/>
      <c r="AJ80" s="498"/>
      <c r="AK80" s="498"/>
      <c r="AL80" s="498"/>
      <c r="AM80" s="498"/>
      <c r="AN80" s="498"/>
      <c r="AO80" s="498"/>
      <c r="AP80" s="498"/>
      <c r="AQ80" s="498"/>
      <c r="AR80" s="498"/>
      <c r="AS80" s="498"/>
      <c r="AT80" s="498"/>
      <c r="AU80" s="498"/>
      <c r="AV80" s="498"/>
      <c r="AW80" s="498"/>
      <c r="AX80" s="498"/>
      <c r="AY80" s="498"/>
      <c r="AZ80" s="498"/>
      <c r="BE80" s="317"/>
      <c r="BF80" s="317"/>
      <c r="BG80" s="317"/>
      <c r="BH80" s="317"/>
      <c r="BI80" s="317"/>
      <c r="BJ80" s="317"/>
      <c r="BV80" s="500" t="str">
        <f>'Potencial del balance'!I22</f>
        <v>Recomendable</v>
      </c>
      <c r="BW80" s="501"/>
      <c r="BX80" s="501"/>
      <c r="BY80" s="501"/>
      <c r="BZ80" s="501"/>
      <c r="CA80" s="501"/>
      <c r="CB80" s="501"/>
      <c r="CC80" s="501"/>
      <c r="CD80" s="501"/>
      <c r="CE80" s="501"/>
      <c r="CF80" s="501"/>
      <c r="CG80" s="501"/>
      <c r="CH80" s="502"/>
      <c r="CN80" s="500" t="str">
        <f>'Potencial del balance'!I22</f>
        <v>Recomendable</v>
      </c>
      <c r="CO80" s="501"/>
      <c r="CP80" s="501"/>
      <c r="CQ80" s="501"/>
      <c r="CR80" s="501"/>
      <c r="CS80" s="501"/>
      <c r="CT80" s="501"/>
      <c r="CU80" s="501"/>
      <c r="CV80" s="501"/>
      <c r="CW80" s="501"/>
      <c r="CX80" s="501"/>
      <c r="CY80" s="501"/>
      <c r="CZ80" s="502"/>
      <c r="DA80" s="326"/>
      <c r="DB80" s="317"/>
      <c r="DC80" s="317"/>
      <c r="DD80" s="317"/>
      <c r="DE80" s="315"/>
      <c r="DF80" s="315"/>
    </row>
    <row r="81" spans="1:138" s="314" customFormat="1" ht="30.6" customHeight="1" x14ac:dyDescent="0.25">
      <c r="A81" s="315"/>
      <c r="B81" s="317"/>
      <c r="C81" s="317"/>
      <c r="BE81" s="317"/>
      <c r="BF81" s="317"/>
      <c r="BG81" s="317"/>
      <c r="BH81" s="317"/>
      <c r="BI81" s="317"/>
      <c r="BJ81" s="317"/>
      <c r="BV81" s="500"/>
      <c r="BW81" s="501"/>
      <c r="BX81" s="501"/>
      <c r="BY81" s="501"/>
      <c r="BZ81" s="501"/>
      <c r="CA81" s="501"/>
      <c r="CB81" s="501"/>
      <c r="CC81" s="501"/>
      <c r="CD81" s="501"/>
      <c r="CE81" s="501"/>
      <c r="CF81" s="501"/>
      <c r="CG81" s="501"/>
      <c r="CH81" s="502"/>
      <c r="CN81" s="500"/>
      <c r="CO81" s="501"/>
      <c r="CP81" s="501"/>
      <c r="CQ81" s="501"/>
      <c r="CR81" s="501"/>
      <c r="CS81" s="501"/>
      <c r="CT81" s="501"/>
      <c r="CU81" s="501"/>
      <c r="CV81" s="501"/>
      <c r="CW81" s="501"/>
      <c r="CX81" s="501"/>
      <c r="CY81" s="501"/>
      <c r="CZ81" s="502"/>
      <c r="DA81" s="326"/>
      <c r="DB81" s="317"/>
      <c r="DC81" s="317"/>
      <c r="DD81" s="317"/>
      <c r="DE81" s="315"/>
      <c r="DF81" s="315"/>
    </row>
    <row r="82" spans="1:138" s="314" customFormat="1" ht="30.6" customHeight="1" x14ac:dyDescent="0.25">
      <c r="A82" s="315"/>
      <c r="B82" s="317"/>
      <c r="C82" s="317"/>
      <c r="D82" s="498" t="str">
        <f>IF('Potencial del balance'!J2="Si","De acuerdo a tu nivel de apalancamiento actual, puedes recurrir a un crédito por "&amp;TEXT('Potencial del balance'!F12,"#,0")&amp;" sobre tus activos inmobiliarios.","No cuentas con capacidad de apalancamiento")</f>
        <v>De acuerdo a tu nivel de apalancamiento actual, puedes recurrir a un crédito por 357,143 sobre tus activos inmobiliarios.</v>
      </c>
      <c r="E82" s="498"/>
      <c r="F82" s="498"/>
      <c r="G82" s="498"/>
      <c r="H82" s="498"/>
      <c r="I82" s="498"/>
      <c r="J82" s="498"/>
      <c r="K82" s="498"/>
      <c r="L82" s="498"/>
      <c r="M82" s="498"/>
      <c r="N82" s="498"/>
      <c r="O82" s="498"/>
      <c r="P82" s="498"/>
      <c r="Q82" s="498"/>
      <c r="R82" s="498"/>
      <c r="S82" s="498"/>
      <c r="T82" s="498"/>
      <c r="U82" s="498"/>
      <c r="V82" s="498"/>
      <c r="W82" s="498"/>
      <c r="X82" s="498"/>
      <c r="Y82" s="498"/>
      <c r="Z82" s="498"/>
      <c r="AA82" s="498"/>
      <c r="AB82" s="498"/>
      <c r="AC82" s="498"/>
      <c r="AD82" s="498"/>
      <c r="AE82" s="498"/>
      <c r="AF82" s="498"/>
      <c r="AG82" s="498"/>
      <c r="AH82" s="498"/>
      <c r="AI82" s="498"/>
      <c r="AJ82" s="498"/>
      <c r="AK82" s="498"/>
      <c r="AL82" s="498"/>
      <c r="AM82" s="498"/>
      <c r="AN82" s="498"/>
      <c r="AO82" s="498"/>
      <c r="AP82" s="498"/>
      <c r="AQ82" s="498"/>
      <c r="AR82" s="498"/>
      <c r="AS82" s="498"/>
      <c r="AT82" s="498"/>
      <c r="AU82" s="498"/>
      <c r="AV82" s="498"/>
      <c r="AW82" s="498"/>
      <c r="AX82" s="498"/>
      <c r="AY82" s="498"/>
      <c r="AZ82" s="498"/>
      <c r="BE82" s="317"/>
      <c r="BF82" s="317"/>
      <c r="BG82" s="317"/>
      <c r="BH82" s="317"/>
      <c r="BI82" s="317"/>
      <c r="BJ82" s="317"/>
      <c r="BV82" s="500" t="str">
        <f>'Potencial del balance'!I23</f>
        <v>Muy saludable</v>
      </c>
      <c r="BW82" s="501"/>
      <c r="BX82" s="501"/>
      <c r="BY82" s="501"/>
      <c r="BZ82" s="501"/>
      <c r="CA82" s="501"/>
      <c r="CB82" s="501"/>
      <c r="CC82" s="501"/>
      <c r="CD82" s="501"/>
      <c r="CE82" s="501"/>
      <c r="CF82" s="501"/>
      <c r="CG82" s="501"/>
      <c r="CH82" s="502"/>
      <c r="CN82" s="500" t="str">
        <f>'Potencial del balance'!I23</f>
        <v>Muy saludable</v>
      </c>
      <c r="CO82" s="501"/>
      <c r="CP82" s="501"/>
      <c r="CQ82" s="501"/>
      <c r="CR82" s="501"/>
      <c r="CS82" s="501"/>
      <c r="CT82" s="501"/>
      <c r="CU82" s="501"/>
      <c r="CV82" s="501"/>
      <c r="CW82" s="501"/>
      <c r="CX82" s="501"/>
      <c r="CY82" s="501"/>
      <c r="CZ82" s="502"/>
      <c r="DA82" s="326"/>
      <c r="DB82" s="317"/>
      <c r="DC82" s="317"/>
      <c r="DD82" s="317"/>
      <c r="DE82" s="315"/>
      <c r="DF82" s="315"/>
    </row>
    <row r="83" spans="1:138" s="314" customFormat="1" ht="30.6" customHeight="1" x14ac:dyDescent="0.25">
      <c r="A83" s="315"/>
      <c r="B83" s="317"/>
      <c r="C83" s="317"/>
      <c r="D83" s="498"/>
      <c r="E83" s="498"/>
      <c r="F83" s="498"/>
      <c r="G83" s="498"/>
      <c r="H83" s="498"/>
      <c r="I83" s="498"/>
      <c r="J83" s="498"/>
      <c r="K83" s="498"/>
      <c r="L83" s="498"/>
      <c r="M83" s="498"/>
      <c r="N83" s="498"/>
      <c r="O83" s="498"/>
      <c r="P83" s="498"/>
      <c r="Q83" s="498"/>
      <c r="R83" s="498"/>
      <c r="S83" s="498"/>
      <c r="T83" s="498"/>
      <c r="U83" s="498"/>
      <c r="V83" s="498"/>
      <c r="W83" s="498"/>
      <c r="X83" s="498"/>
      <c r="Y83" s="498"/>
      <c r="Z83" s="498"/>
      <c r="AA83" s="498"/>
      <c r="AB83" s="498"/>
      <c r="AC83" s="498"/>
      <c r="AD83" s="498"/>
      <c r="AE83" s="498"/>
      <c r="AF83" s="498"/>
      <c r="AG83" s="498"/>
      <c r="AH83" s="498"/>
      <c r="AI83" s="498"/>
      <c r="AJ83" s="498"/>
      <c r="AK83" s="498"/>
      <c r="AL83" s="498"/>
      <c r="AM83" s="498"/>
      <c r="AN83" s="498"/>
      <c r="AO83" s="498"/>
      <c r="AP83" s="498"/>
      <c r="AQ83" s="498"/>
      <c r="AR83" s="498"/>
      <c r="AS83" s="498"/>
      <c r="AT83" s="498"/>
      <c r="AU83" s="498"/>
      <c r="AV83" s="498"/>
      <c r="AW83" s="498"/>
      <c r="AX83" s="498"/>
      <c r="AY83" s="498"/>
      <c r="AZ83" s="498"/>
      <c r="BE83" s="317"/>
      <c r="BF83" s="317"/>
      <c r="BG83" s="317"/>
      <c r="BH83" s="317"/>
      <c r="BI83" s="317"/>
      <c r="BJ83" s="317"/>
      <c r="BK83" s="317"/>
      <c r="BL83" s="317"/>
      <c r="BV83" s="500"/>
      <c r="BW83" s="501"/>
      <c r="BX83" s="501"/>
      <c r="BY83" s="501"/>
      <c r="BZ83" s="501"/>
      <c r="CA83" s="501"/>
      <c r="CB83" s="501"/>
      <c r="CC83" s="501"/>
      <c r="CD83" s="501"/>
      <c r="CE83" s="501"/>
      <c r="CF83" s="501"/>
      <c r="CG83" s="501"/>
      <c r="CH83" s="502"/>
      <c r="CN83" s="500"/>
      <c r="CO83" s="501"/>
      <c r="CP83" s="501"/>
      <c r="CQ83" s="501"/>
      <c r="CR83" s="501"/>
      <c r="CS83" s="501"/>
      <c r="CT83" s="501"/>
      <c r="CU83" s="501"/>
      <c r="CV83" s="501"/>
      <c r="CW83" s="501"/>
      <c r="CX83" s="501"/>
      <c r="CY83" s="501"/>
      <c r="CZ83" s="502"/>
      <c r="DA83" s="326"/>
      <c r="DB83" s="317"/>
      <c r="DC83" s="317"/>
      <c r="DD83" s="317"/>
      <c r="DE83" s="315"/>
      <c r="DF83" s="315"/>
    </row>
    <row r="84" spans="1:138" s="314" customFormat="1" ht="47.1" customHeight="1" x14ac:dyDescent="0.25">
      <c r="A84" s="315"/>
      <c r="B84" s="317"/>
      <c r="C84" s="317"/>
      <c r="BA84" s="317"/>
      <c r="BB84" s="317"/>
      <c r="BC84" s="317"/>
      <c r="BD84" s="317"/>
      <c r="BE84" s="317"/>
      <c r="BF84" s="317"/>
      <c r="BG84" s="317"/>
      <c r="BH84" s="317"/>
      <c r="BI84" s="317"/>
      <c r="BJ84" s="317"/>
      <c r="BK84" s="317"/>
      <c r="BL84" s="317"/>
      <c r="BM84" s="317"/>
      <c r="BN84" s="317"/>
      <c r="BO84" s="317"/>
      <c r="BP84" s="317"/>
      <c r="BQ84" s="317"/>
      <c r="BR84" s="317"/>
      <c r="BS84" s="317"/>
      <c r="BT84" s="317"/>
      <c r="BU84" s="317"/>
      <c r="BV84" s="317"/>
      <c r="BW84" s="317"/>
      <c r="BX84" s="317"/>
      <c r="BY84" s="317"/>
      <c r="BZ84" s="317"/>
      <c r="CA84" s="317"/>
      <c r="CB84" s="317"/>
      <c r="CC84" s="317"/>
      <c r="CD84" s="317"/>
      <c r="CE84" s="317"/>
      <c r="CF84" s="317"/>
      <c r="CG84" s="317"/>
      <c r="CH84" s="317"/>
      <c r="CI84" s="317"/>
      <c r="CJ84" s="317"/>
      <c r="CK84" s="317"/>
      <c r="CL84" s="317"/>
      <c r="CM84" s="317"/>
      <c r="CN84" s="317"/>
      <c r="CO84" s="317"/>
      <c r="CU84" s="317"/>
      <c r="CV84" s="317"/>
      <c r="CW84" s="317"/>
      <c r="CX84" s="317"/>
      <c r="CY84" s="317"/>
      <c r="CZ84" s="317"/>
      <c r="DA84" s="326"/>
      <c r="DB84" s="317"/>
      <c r="DC84" s="317"/>
      <c r="DD84" s="317"/>
      <c r="DE84" s="315"/>
      <c r="DF84" s="315"/>
      <c r="DH84" s="316"/>
    </row>
    <row r="85" spans="1:138" s="314" customFormat="1" ht="30.75" x14ac:dyDescent="0.25">
      <c r="A85" s="315"/>
      <c r="B85" s="317"/>
      <c r="C85" s="317"/>
      <c r="D85" s="329"/>
      <c r="E85" s="338"/>
      <c r="F85" s="338"/>
      <c r="G85" s="338"/>
      <c r="H85" s="338"/>
      <c r="I85" s="338"/>
      <c r="J85" s="338"/>
      <c r="K85" s="338"/>
      <c r="L85" s="338"/>
      <c r="M85" s="338"/>
      <c r="N85" s="338"/>
      <c r="O85" s="338"/>
      <c r="P85" s="338"/>
      <c r="Q85" s="338"/>
      <c r="R85" s="338"/>
      <c r="S85" s="338"/>
      <c r="T85" s="338"/>
      <c r="U85" s="338"/>
      <c r="V85" s="338"/>
      <c r="W85" s="338"/>
      <c r="X85" s="337"/>
      <c r="Y85" s="324"/>
      <c r="Z85" s="324"/>
      <c r="AA85" s="324"/>
      <c r="AB85" s="324"/>
      <c r="AC85" s="324"/>
      <c r="AD85" s="324"/>
      <c r="AE85" s="324"/>
      <c r="AF85" s="324"/>
      <c r="AG85" s="324"/>
      <c r="AH85" s="336"/>
      <c r="AI85" s="336"/>
      <c r="AJ85" s="336"/>
      <c r="AK85" s="336"/>
      <c r="AL85" s="336"/>
      <c r="AM85" s="335"/>
      <c r="AX85" s="317"/>
      <c r="AY85" s="317"/>
      <c r="AZ85" s="317"/>
      <c r="BA85" s="317"/>
      <c r="BB85" s="317"/>
      <c r="BC85" s="317"/>
      <c r="BD85" s="317"/>
      <c r="BE85" s="317"/>
      <c r="BF85" s="317"/>
      <c r="BG85" s="317"/>
      <c r="BH85" s="317"/>
      <c r="BI85" s="317"/>
      <c r="BJ85" s="317"/>
      <c r="BK85" s="317"/>
      <c r="BL85" s="317"/>
      <c r="BM85" s="317"/>
      <c r="BN85" s="317"/>
      <c r="BO85" s="317"/>
      <c r="BP85" s="317"/>
      <c r="BQ85" s="317"/>
      <c r="BR85" s="317"/>
      <c r="BS85" s="317"/>
      <c r="BT85" s="317"/>
      <c r="BU85" s="317"/>
      <c r="BV85" s="317"/>
      <c r="BW85" s="317"/>
      <c r="BX85" s="317"/>
      <c r="BY85" s="317"/>
      <c r="BZ85" s="317"/>
      <c r="CA85" s="317"/>
      <c r="CB85" s="317"/>
      <c r="CC85" s="317"/>
      <c r="CD85" s="317"/>
      <c r="CE85" s="317"/>
      <c r="CF85" s="317"/>
      <c r="CG85" s="317"/>
      <c r="CH85" s="317"/>
      <c r="CI85" s="317"/>
      <c r="CJ85" s="317"/>
      <c r="CK85" s="317"/>
      <c r="CL85" s="317"/>
      <c r="CM85" s="317"/>
      <c r="CN85" s="317"/>
      <c r="CO85" s="317"/>
      <c r="CU85" s="317"/>
      <c r="CV85" s="317"/>
      <c r="CW85" s="317"/>
      <c r="CX85" s="317"/>
      <c r="CY85" s="317"/>
      <c r="CZ85" s="317"/>
      <c r="DA85" s="326"/>
      <c r="DB85" s="317"/>
      <c r="DC85" s="317"/>
      <c r="DD85" s="317"/>
      <c r="DE85" s="315"/>
      <c r="DF85" s="315"/>
      <c r="DH85" s="316"/>
    </row>
    <row r="86" spans="1:138" s="314" customFormat="1" ht="34.5" x14ac:dyDescent="0.25">
      <c r="A86" s="315"/>
      <c r="B86" s="317"/>
      <c r="C86" s="317"/>
      <c r="D86" s="209" t="s">
        <v>477</v>
      </c>
      <c r="E86" s="338"/>
      <c r="F86" s="338"/>
      <c r="G86" s="338"/>
      <c r="H86" s="338"/>
      <c r="I86" s="338"/>
      <c r="J86" s="338"/>
      <c r="K86" s="338"/>
      <c r="L86" s="338"/>
      <c r="M86" s="338"/>
      <c r="N86" s="338"/>
      <c r="O86" s="338"/>
      <c r="P86" s="338"/>
      <c r="Q86" s="338"/>
      <c r="R86" s="338"/>
      <c r="S86" s="338"/>
      <c r="T86" s="338"/>
      <c r="U86" s="338"/>
      <c r="V86" s="338"/>
      <c r="W86" s="338"/>
      <c r="X86" s="337"/>
      <c r="Y86" s="324"/>
      <c r="Z86" s="324"/>
      <c r="AA86" s="324"/>
      <c r="AB86" s="324"/>
      <c r="AC86" s="324"/>
      <c r="AD86" s="324"/>
      <c r="AE86" s="324"/>
      <c r="AF86" s="324"/>
      <c r="AG86" s="324"/>
      <c r="AH86" s="336"/>
      <c r="AI86" s="336"/>
      <c r="AJ86" s="336"/>
      <c r="AK86" s="336"/>
      <c r="AL86" s="336"/>
      <c r="AM86" s="335"/>
      <c r="AX86" s="317"/>
      <c r="AY86" s="317"/>
      <c r="AZ86" s="317"/>
      <c r="BA86" s="317"/>
      <c r="BB86" s="317"/>
      <c r="BC86" s="317"/>
      <c r="BD86" s="317"/>
      <c r="BE86" s="317"/>
      <c r="BF86" s="317"/>
      <c r="BG86" s="317"/>
      <c r="BH86" s="317"/>
      <c r="BI86" s="317"/>
      <c r="BJ86" s="317"/>
      <c r="BK86" s="317"/>
      <c r="BL86" s="317"/>
      <c r="BM86" s="317"/>
      <c r="BN86" s="317"/>
      <c r="BO86" s="317"/>
      <c r="BP86" s="317"/>
      <c r="BQ86" s="317"/>
      <c r="BR86" s="317"/>
      <c r="BS86" s="317"/>
      <c r="BT86" s="317"/>
      <c r="BU86" s="317"/>
      <c r="BV86" s="317"/>
      <c r="BW86" s="317"/>
      <c r="BX86" s="317"/>
      <c r="BY86" s="317"/>
      <c r="BZ86" s="317"/>
      <c r="CA86" s="317"/>
      <c r="CB86" s="317"/>
      <c r="CC86" s="317"/>
      <c r="CD86" s="317"/>
      <c r="CE86" s="317"/>
      <c r="CF86" s="317"/>
      <c r="CG86" s="317"/>
      <c r="CH86" s="317"/>
      <c r="CI86" s="317"/>
      <c r="CJ86" s="317"/>
      <c r="CK86" s="317"/>
      <c r="CL86" s="317"/>
      <c r="CM86" s="317"/>
      <c r="CN86" s="317"/>
      <c r="CO86" s="317"/>
      <c r="CU86" s="317"/>
      <c r="CV86" s="317"/>
      <c r="CW86" s="317"/>
      <c r="CX86" s="317"/>
      <c r="CY86" s="317"/>
      <c r="CZ86" s="317"/>
      <c r="DA86" s="326"/>
      <c r="DB86" s="317"/>
      <c r="DC86" s="317"/>
      <c r="DD86" s="317"/>
      <c r="DE86" s="315"/>
      <c r="DF86" s="315"/>
      <c r="DH86" s="316"/>
    </row>
    <row r="87" spans="1:138" s="314" customFormat="1" ht="30.75" x14ac:dyDescent="0.25">
      <c r="A87" s="315"/>
      <c r="B87" s="317"/>
      <c r="C87" s="317"/>
      <c r="D87" s="329"/>
      <c r="E87" s="338"/>
      <c r="F87" s="338"/>
      <c r="G87" s="338"/>
      <c r="H87" s="338"/>
      <c r="I87" s="338"/>
      <c r="J87" s="338"/>
      <c r="K87" s="338"/>
      <c r="L87" s="338"/>
      <c r="M87" s="338"/>
      <c r="N87" s="338"/>
      <c r="O87" s="338"/>
      <c r="P87" s="338"/>
      <c r="Q87" s="338"/>
      <c r="R87" s="338"/>
      <c r="S87" s="338"/>
      <c r="T87" s="338"/>
      <c r="U87" s="338"/>
      <c r="V87" s="338"/>
      <c r="W87" s="338"/>
      <c r="X87" s="337"/>
      <c r="Y87" s="324"/>
      <c r="Z87" s="324"/>
      <c r="AA87" s="324"/>
      <c r="AB87" s="324"/>
      <c r="AC87" s="324"/>
      <c r="AD87" s="324"/>
      <c r="AE87" s="324"/>
      <c r="AF87" s="324"/>
      <c r="AG87" s="324"/>
      <c r="AH87" s="336"/>
      <c r="AI87" s="336"/>
      <c r="AJ87" s="336"/>
      <c r="AK87" s="336"/>
      <c r="AL87" s="336"/>
      <c r="AM87" s="335"/>
      <c r="AX87" s="317"/>
      <c r="AY87" s="317"/>
      <c r="AZ87" s="317"/>
      <c r="BA87" s="317"/>
      <c r="BB87" s="317"/>
      <c r="BC87" s="317"/>
      <c r="BD87" s="317"/>
      <c r="BE87" s="317"/>
      <c r="BF87" s="317"/>
      <c r="BG87" s="317"/>
      <c r="BH87" s="317"/>
      <c r="BI87" s="317"/>
      <c r="BJ87" s="317"/>
      <c r="BK87" s="317"/>
      <c r="BL87" s="317"/>
      <c r="BM87" s="317"/>
      <c r="BN87" s="317"/>
      <c r="BO87" s="317"/>
      <c r="BP87" s="317"/>
      <c r="BQ87" s="317"/>
      <c r="BR87" s="317"/>
      <c r="BS87" s="317"/>
      <c r="BT87" s="317"/>
      <c r="BU87" s="317"/>
      <c r="BV87" s="317"/>
      <c r="BW87" s="317"/>
      <c r="BX87" s="317"/>
      <c r="BY87" s="317"/>
      <c r="BZ87" s="317"/>
      <c r="CA87" s="317"/>
      <c r="CB87" s="317"/>
      <c r="CC87" s="317"/>
      <c r="CD87" s="317"/>
      <c r="CE87" s="317"/>
      <c r="CF87" s="317"/>
      <c r="CG87" s="317"/>
      <c r="CH87" s="317"/>
      <c r="CI87" s="317"/>
      <c r="CJ87" s="317"/>
      <c r="CK87" s="317"/>
      <c r="CL87" s="317"/>
      <c r="CM87" s="317"/>
      <c r="CN87" s="317"/>
      <c r="CO87" s="317"/>
      <c r="CU87" s="317"/>
      <c r="CV87" s="317"/>
      <c r="CW87" s="317"/>
      <c r="CX87" s="317"/>
      <c r="CY87" s="317"/>
      <c r="CZ87" s="317"/>
      <c r="DA87" s="326"/>
      <c r="DB87" s="317"/>
      <c r="DC87" s="317"/>
      <c r="DD87" s="317"/>
      <c r="DE87" s="315"/>
      <c r="DF87" s="315"/>
      <c r="DH87" s="316"/>
    </row>
    <row r="88" spans="1:138" s="314" customFormat="1" ht="30.75" x14ac:dyDescent="0.25">
      <c r="A88" s="315"/>
      <c r="B88" s="317"/>
      <c r="C88" s="317"/>
      <c r="D88" s="347" t="s">
        <v>454</v>
      </c>
      <c r="E88" s="338"/>
      <c r="F88" s="338"/>
      <c r="G88" s="338"/>
      <c r="H88" s="338"/>
      <c r="I88" s="338"/>
      <c r="J88" s="338"/>
      <c r="K88" s="338"/>
      <c r="L88" s="338"/>
      <c r="M88" s="338"/>
      <c r="N88" s="338"/>
      <c r="O88" s="338"/>
      <c r="P88" s="338"/>
      <c r="Q88" s="338"/>
      <c r="R88" s="338"/>
      <c r="S88" s="338"/>
      <c r="T88" s="338"/>
      <c r="U88" s="338"/>
      <c r="V88" s="338"/>
      <c r="W88" s="338"/>
      <c r="X88" s="337"/>
      <c r="Y88" s="324"/>
      <c r="Z88" s="324"/>
      <c r="AA88" s="324"/>
      <c r="AB88" s="324"/>
      <c r="AC88" s="324"/>
      <c r="AD88" s="324"/>
      <c r="AE88" s="324"/>
      <c r="AF88" s="324"/>
      <c r="AG88" s="324"/>
      <c r="AH88" s="336"/>
      <c r="AI88" s="336"/>
      <c r="AJ88" s="336"/>
      <c r="AK88" s="336"/>
      <c r="AL88" s="336"/>
      <c r="AM88" s="335"/>
      <c r="AX88" s="317"/>
      <c r="AY88" s="317"/>
      <c r="AZ88" s="317"/>
      <c r="BA88" s="317"/>
      <c r="BB88" s="317"/>
      <c r="BC88" s="317"/>
      <c r="BD88" s="347" t="s">
        <v>453</v>
      </c>
      <c r="BE88" s="317"/>
      <c r="BF88" s="317"/>
      <c r="BG88" s="317"/>
      <c r="BH88" s="317"/>
      <c r="BI88" s="317"/>
      <c r="BJ88" s="317"/>
      <c r="BK88" s="317"/>
      <c r="BL88" s="317"/>
      <c r="BM88" s="317"/>
      <c r="BN88" s="317"/>
      <c r="BO88" s="317"/>
      <c r="BP88" s="317"/>
      <c r="BQ88" s="317"/>
      <c r="BR88" s="317"/>
      <c r="BS88" s="317"/>
      <c r="BT88" s="317"/>
      <c r="BU88" s="317"/>
      <c r="BV88" s="317"/>
      <c r="BW88" s="317"/>
      <c r="BX88" s="317"/>
      <c r="BY88" s="317"/>
      <c r="BZ88" s="317"/>
      <c r="CA88" s="317"/>
      <c r="CB88" s="317"/>
      <c r="CC88" s="317"/>
      <c r="CD88" s="317"/>
      <c r="CE88" s="317"/>
      <c r="CF88" s="317"/>
      <c r="CG88" s="317"/>
      <c r="CH88" s="317"/>
      <c r="CI88" s="317"/>
      <c r="CJ88" s="317"/>
      <c r="CK88" s="317"/>
      <c r="CL88" s="317"/>
      <c r="CM88" s="317"/>
      <c r="CN88" s="317"/>
      <c r="CO88" s="317"/>
      <c r="CU88" s="317"/>
      <c r="CV88" s="317"/>
      <c r="CW88" s="317"/>
      <c r="CX88" s="317"/>
      <c r="CY88" s="317"/>
      <c r="CZ88" s="317"/>
      <c r="DA88" s="326"/>
      <c r="DB88" s="317"/>
      <c r="DC88" s="317"/>
      <c r="DD88" s="317"/>
      <c r="DE88" s="315"/>
      <c r="DF88" s="315"/>
      <c r="DH88" s="316"/>
    </row>
    <row r="89" spans="1:138" s="314" customFormat="1" ht="30.75" x14ac:dyDescent="0.25">
      <c r="A89" s="315"/>
      <c r="B89" s="317"/>
      <c r="C89" s="317"/>
      <c r="E89" s="338"/>
      <c r="F89" s="338"/>
      <c r="G89" s="338"/>
      <c r="H89" s="338"/>
      <c r="I89" s="338"/>
      <c r="J89" s="338"/>
      <c r="K89" s="338"/>
      <c r="L89" s="338"/>
      <c r="M89" s="338"/>
      <c r="N89" s="338"/>
      <c r="O89" s="338"/>
      <c r="P89" s="338"/>
      <c r="Q89" s="338"/>
      <c r="R89" s="338"/>
      <c r="S89" s="338"/>
      <c r="T89" s="338"/>
      <c r="U89" s="338"/>
      <c r="V89" s="338"/>
      <c r="W89" s="338"/>
      <c r="X89" s="337"/>
      <c r="Y89" s="324"/>
      <c r="Z89" s="324"/>
      <c r="AA89" s="324"/>
      <c r="AB89" s="324"/>
      <c r="AC89" s="324"/>
      <c r="AD89" s="324"/>
      <c r="AE89" s="324"/>
      <c r="AF89" s="324"/>
      <c r="AG89" s="324"/>
      <c r="AH89" s="336"/>
      <c r="AI89" s="336"/>
      <c r="AJ89" s="336"/>
      <c r="AK89" s="336"/>
      <c r="AL89" s="336"/>
      <c r="AM89" s="335"/>
      <c r="AX89" s="317"/>
      <c r="AY89" s="317"/>
      <c r="AZ89" s="317"/>
      <c r="BA89" s="317"/>
      <c r="BB89" s="317"/>
      <c r="BC89" s="317"/>
      <c r="BD89" s="317"/>
      <c r="BE89" s="317"/>
      <c r="BF89" s="317"/>
      <c r="BG89" s="317"/>
      <c r="BH89" s="317"/>
      <c r="BI89" s="317"/>
      <c r="BJ89" s="317"/>
      <c r="BK89" s="317"/>
      <c r="BL89" s="317"/>
      <c r="BM89" s="317"/>
      <c r="BN89" s="317"/>
      <c r="BO89" s="317"/>
      <c r="BP89" s="317"/>
      <c r="BQ89" s="317"/>
      <c r="BR89" s="317"/>
      <c r="BS89" s="317"/>
      <c r="BT89" s="317"/>
      <c r="BU89" s="317"/>
      <c r="BV89" s="317"/>
      <c r="BW89" s="317"/>
      <c r="BX89" s="317"/>
      <c r="BY89" s="317"/>
      <c r="BZ89" s="317"/>
      <c r="CA89" s="317"/>
      <c r="CB89" s="317"/>
      <c r="CC89" s="317"/>
      <c r="CD89" s="317"/>
      <c r="CE89" s="317"/>
      <c r="CF89" s="317"/>
      <c r="CG89" s="317"/>
      <c r="CH89" s="317"/>
      <c r="CI89" s="317"/>
      <c r="CJ89" s="317"/>
      <c r="CK89" s="317"/>
      <c r="CL89" s="317"/>
      <c r="CM89" s="317"/>
      <c r="CN89" s="317"/>
      <c r="CO89" s="317"/>
      <c r="CR89" s="488" t="s">
        <v>452</v>
      </c>
      <c r="CS89" s="488"/>
      <c r="CT89" s="488"/>
      <c r="CU89" s="488"/>
      <c r="CV89" s="488"/>
      <c r="CW89" s="488"/>
      <c r="CX89" s="488"/>
      <c r="CY89" s="488"/>
      <c r="CZ89" s="488"/>
      <c r="DA89" s="488"/>
      <c r="DB89" s="488"/>
      <c r="DC89" s="317"/>
      <c r="DD89" s="317"/>
      <c r="DE89" s="315"/>
      <c r="DF89" s="315"/>
      <c r="DH89" s="316"/>
    </row>
    <row r="90" spans="1:138" s="314" customFormat="1" ht="30.75" x14ac:dyDescent="0.25">
      <c r="A90" s="315"/>
      <c r="B90" s="317"/>
      <c r="C90" s="317"/>
      <c r="D90" s="313" t="s">
        <v>451</v>
      </c>
      <c r="E90" s="338"/>
      <c r="F90" s="338"/>
      <c r="G90" s="338"/>
      <c r="H90" s="338"/>
      <c r="I90" s="338"/>
      <c r="J90" s="338"/>
      <c r="K90" s="338"/>
      <c r="L90" s="338"/>
      <c r="M90" s="338"/>
      <c r="N90" s="338"/>
      <c r="O90" s="338"/>
      <c r="P90" s="338"/>
      <c r="Q90" s="338"/>
      <c r="T90" s="486">
        <f>CN25</f>
        <v>6000000</v>
      </c>
      <c r="U90" s="486"/>
      <c r="V90" s="486"/>
      <c r="W90" s="486"/>
      <c r="X90" s="486"/>
      <c r="Y90" s="486"/>
      <c r="Z90" s="486"/>
      <c r="AA90" s="486"/>
      <c r="AB90" s="486"/>
      <c r="AC90" s="486"/>
      <c r="AD90" s="486"/>
      <c r="AE90" s="324"/>
      <c r="AF90" s="346" t="s">
        <v>450</v>
      </c>
      <c r="AH90" s="345"/>
      <c r="AI90" s="345"/>
      <c r="AJ90" s="345"/>
      <c r="AK90" s="345"/>
      <c r="AL90" s="345"/>
      <c r="AM90" s="344"/>
      <c r="AN90" s="343"/>
      <c r="AO90" s="513">
        <f>P67</f>
        <v>0.8571428571428571</v>
      </c>
      <c r="AP90" s="513"/>
      <c r="AQ90" s="513"/>
      <c r="AR90" s="513"/>
      <c r="AS90" s="344"/>
      <c r="AX90" s="317"/>
      <c r="AY90" s="317"/>
      <c r="AZ90" s="317"/>
      <c r="BA90" s="317"/>
      <c r="BB90" s="317"/>
      <c r="BC90" s="317"/>
      <c r="BD90" s="317"/>
      <c r="BE90" s="317"/>
      <c r="BF90" s="317"/>
      <c r="BG90" s="317"/>
      <c r="BH90" s="317"/>
      <c r="BI90" s="317"/>
      <c r="BJ90" s="317"/>
      <c r="BK90" s="317"/>
      <c r="BL90" s="317"/>
      <c r="BM90" s="317"/>
      <c r="BN90" s="317"/>
      <c r="BO90" s="317"/>
      <c r="BP90" s="317"/>
      <c r="BQ90" s="317"/>
      <c r="BR90" s="317"/>
      <c r="BS90" s="317"/>
      <c r="BT90" s="514" t="s">
        <v>77</v>
      </c>
      <c r="BU90" s="514"/>
      <c r="BV90" s="514"/>
      <c r="BW90" s="514"/>
      <c r="BX90" s="514"/>
      <c r="BY90" s="514"/>
      <c r="BZ90" s="514"/>
      <c r="CA90" s="514"/>
      <c r="CB90" s="514"/>
      <c r="CC90" s="514"/>
      <c r="CD90" s="514"/>
      <c r="CE90" s="317"/>
      <c r="CF90" s="514" t="s">
        <v>449</v>
      </c>
      <c r="CG90" s="514"/>
      <c r="CH90" s="514"/>
      <c r="CI90" s="514"/>
      <c r="CJ90" s="514"/>
      <c r="CK90" s="514"/>
      <c r="CL90" s="514"/>
      <c r="CM90" s="514"/>
      <c r="CN90" s="514"/>
      <c r="CO90" s="514"/>
      <c r="CP90" s="514"/>
      <c r="CR90" s="488"/>
      <c r="CS90" s="488"/>
      <c r="CT90" s="488"/>
      <c r="CU90" s="488"/>
      <c r="CV90" s="488"/>
      <c r="CW90" s="488"/>
      <c r="CX90" s="488"/>
      <c r="CY90" s="488"/>
      <c r="CZ90" s="488"/>
      <c r="DA90" s="488"/>
      <c r="DB90" s="488"/>
      <c r="DC90" s="317"/>
      <c r="DD90" s="317"/>
      <c r="DE90" s="315"/>
      <c r="DF90" s="315"/>
      <c r="DH90" s="316"/>
    </row>
    <row r="91" spans="1:138" s="314" customFormat="1" ht="30.75" x14ac:dyDescent="0.25">
      <c r="A91" s="315"/>
      <c r="B91" s="317"/>
      <c r="C91" s="317"/>
      <c r="D91" s="329"/>
      <c r="E91" s="338"/>
      <c r="F91" s="338"/>
      <c r="G91" s="338"/>
      <c r="H91" s="338"/>
      <c r="I91" s="338"/>
      <c r="J91" s="338"/>
      <c r="K91" s="338"/>
      <c r="L91" s="338"/>
      <c r="M91" s="338"/>
      <c r="N91" s="338"/>
      <c r="O91" s="338"/>
      <c r="P91" s="338"/>
      <c r="Q91" s="338"/>
      <c r="R91" s="338"/>
      <c r="S91" s="338"/>
      <c r="AE91" s="324"/>
      <c r="AF91" s="324"/>
      <c r="AG91" s="324"/>
      <c r="AH91" s="336"/>
      <c r="AI91" s="336"/>
      <c r="AJ91" s="336"/>
      <c r="AK91" s="336"/>
      <c r="AL91" s="336"/>
      <c r="AM91" s="335"/>
      <c r="AX91" s="317"/>
      <c r="AY91" s="317"/>
      <c r="AZ91" s="317"/>
      <c r="BA91" s="317"/>
      <c r="BB91" s="317"/>
      <c r="BC91" s="317"/>
      <c r="BD91" s="317"/>
      <c r="BE91" s="317"/>
      <c r="BF91" s="317"/>
      <c r="BG91" s="317"/>
      <c r="BH91" s="317"/>
      <c r="BI91" s="317"/>
      <c r="BJ91" s="317"/>
      <c r="BK91" s="317"/>
      <c r="BL91" s="317"/>
      <c r="BM91" s="317"/>
      <c r="BN91" s="317"/>
      <c r="BO91" s="317"/>
      <c r="BP91" s="317"/>
      <c r="BQ91" s="317"/>
      <c r="BR91" s="317"/>
      <c r="BS91" s="317"/>
      <c r="BT91" s="317"/>
      <c r="BU91" s="317"/>
      <c r="BV91" s="317"/>
      <c r="BW91" s="317"/>
      <c r="BX91" s="317"/>
      <c r="BY91" s="317"/>
      <c r="BZ91" s="317"/>
      <c r="CA91" s="317"/>
      <c r="CB91" s="317"/>
      <c r="CC91" s="317"/>
      <c r="CD91" s="317"/>
      <c r="CE91" s="317"/>
      <c r="CF91" s="317"/>
      <c r="CG91" s="317"/>
      <c r="CH91" s="317"/>
      <c r="CI91" s="317"/>
      <c r="CJ91" s="317"/>
      <c r="CK91" s="317"/>
      <c r="CL91" s="317"/>
      <c r="CM91" s="317"/>
      <c r="CN91" s="317"/>
      <c r="CO91" s="317"/>
      <c r="CP91" s="317"/>
      <c r="CR91" s="317"/>
      <c r="CS91" s="317"/>
      <c r="CT91" s="317"/>
      <c r="CU91" s="317"/>
      <c r="CV91" s="317"/>
      <c r="CW91" s="317"/>
      <c r="CX91" s="317"/>
      <c r="CY91" s="317"/>
      <c r="CZ91" s="317"/>
      <c r="DA91" s="317"/>
      <c r="DB91" s="317"/>
      <c r="DC91" s="317"/>
      <c r="DD91" s="317"/>
      <c r="DE91" s="315"/>
      <c r="DF91" s="315"/>
      <c r="DH91" s="316"/>
    </row>
    <row r="92" spans="1:138" s="314" customFormat="1" ht="30.75" x14ac:dyDescent="0.25">
      <c r="A92" s="315"/>
      <c r="B92" s="317"/>
      <c r="C92" s="317"/>
      <c r="D92" s="313" t="s">
        <v>448</v>
      </c>
      <c r="E92" s="338"/>
      <c r="F92" s="338"/>
      <c r="G92" s="338"/>
      <c r="H92" s="338"/>
      <c r="I92" s="338"/>
      <c r="J92" s="338"/>
      <c r="K92" s="338"/>
      <c r="L92" s="338"/>
      <c r="M92" s="338"/>
      <c r="N92" s="338"/>
      <c r="O92" s="338"/>
      <c r="P92" s="338"/>
      <c r="Q92" s="338"/>
      <c r="T92" s="486">
        <f>V9+V12</f>
        <v>1000000</v>
      </c>
      <c r="U92" s="486"/>
      <c r="V92" s="486"/>
      <c r="W92" s="486"/>
      <c r="X92" s="486"/>
      <c r="Y92" s="486"/>
      <c r="Z92" s="486"/>
      <c r="AA92" s="486"/>
      <c r="AB92" s="486"/>
      <c r="AC92" s="486"/>
      <c r="AD92" s="486"/>
      <c r="AE92" s="324"/>
      <c r="AF92" s="324"/>
      <c r="AG92" s="324"/>
      <c r="AH92" s="336"/>
      <c r="AI92" s="336"/>
      <c r="AJ92" s="336"/>
      <c r="AK92" s="336"/>
      <c r="AL92" s="336"/>
      <c r="AM92" s="335"/>
      <c r="AX92" s="317"/>
      <c r="AY92" s="317"/>
      <c r="AZ92" s="317"/>
      <c r="BA92" s="317"/>
      <c r="BB92" s="317"/>
      <c r="BC92" s="317"/>
      <c r="BD92" s="313" t="s">
        <v>447</v>
      </c>
      <c r="BE92" s="338"/>
      <c r="BF92" s="338"/>
      <c r="BG92" s="338"/>
      <c r="BH92" s="338"/>
      <c r="BI92" s="338"/>
      <c r="BJ92" s="338"/>
      <c r="BK92" s="338"/>
      <c r="BL92" s="338"/>
      <c r="BM92" s="338"/>
      <c r="BN92" s="338"/>
      <c r="BO92" s="338"/>
      <c r="BP92" s="338"/>
      <c r="BQ92" s="338"/>
      <c r="BT92" s="486">
        <f>Rentas + OtrosIngresos</f>
        <v>20000</v>
      </c>
      <c r="BU92" s="486"/>
      <c r="BV92" s="486"/>
      <c r="BW92" s="486"/>
      <c r="BX92" s="486"/>
      <c r="BY92" s="486"/>
      <c r="BZ92" s="486"/>
      <c r="CA92" s="486"/>
      <c r="CB92" s="486"/>
      <c r="CC92" s="486"/>
      <c r="CD92" s="486"/>
      <c r="CE92" s="317"/>
      <c r="CF92" s="486">
        <f>BT92-Rentas</f>
        <v>0</v>
      </c>
      <c r="CG92" s="486"/>
      <c r="CH92" s="486"/>
      <c r="CI92" s="486"/>
      <c r="CJ92" s="486"/>
      <c r="CK92" s="486"/>
      <c r="CL92" s="486"/>
      <c r="CM92" s="486"/>
      <c r="CN92" s="486"/>
      <c r="CO92" s="486"/>
      <c r="CP92" s="486"/>
      <c r="CR92" s="494">
        <f>IFERROR((CF92/BT92)-1,0)</f>
        <v>-1</v>
      </c>
      <c r="CS92" s="494"/>
      <c r="CT92" s="494"/>
      <c r="CU92" s="494"/>
      <c r="CV92" s="494"/>
      <c r="CW92" s="494"/>
      <c r="CX92" s="494"/>
      <c r="CY92" s="494"/>
      <c r="CZ92" s="494"/>
      <c r="DA92" s="494"/>
      <c r="DB92" s="494"/>
      <c r="DC92" s="317"/>
      <c r="DD92" s="317"/>
      <c r="DE92" s="315"/>
      <c r="DF92" s="315"/>
      <c r="DH92" s="316"/>
    </row>
    <row r="93" spans="1:138" s="314" customFormat="1" ht="30.75" x14ac:dyDescent="0.25">
      <c r="A93" s="315"/>
      <c r="B93" s="317"/>
      <c r="C93" s="317"/>
      <c r="D93" s="329"/>
      <c r="E93" s="338"/>
      <c r="F93" s="338"/>
      <c r="G93" s="338"/>
      <c r="H93" s="338"/>
      <c r="I93" s="338"/>
      <c r="J93" s="338"/>
      <c r="K93" s="338"/>
      <c r="L93" s="338"/>
      <c r="M93" s="338"/>
      <c r="N93" s="338"/>
      <c r="O93" s="338"/>
      <c r="P93" s="338"/>
      <c r="Q93" s="338"/>
      <c r="R93" s="338"/>
      <c r="AE93" s="324"/>
      <c r="AF93" s="324"/>
      <c r="AG93" s="324"/>
      <c r="AH93" s="336"/>
      <c r="AI93" s="336"/>
      <c r="AJ93" s="336"/>
      <c r="AK93" s="336"/>
      <c r="AL93" s="336"/>
      <c r="AM93" s="335"/>
      <c r="AX93" s="317"/>
      <c r="AY93" s="317"/>
      <c r="AZ93" s="317"/>
      <c r="BA93" s="317"/>
      <c r="BB93" s="317"/>
      <c r="BC93" s="317"/>
      <c r="BD93" s="335" t="s">
        <v>446</v>
      </c>
      <c r="BE93" s="317"/>
      <c r="BF93" s="317"/>
      <c r="BG93" s="317"/>
      <c r="BH93" s="317"/>
      <c r="BI93" s="317"/>
      <c r="BJ93" s="317"/>
      <c r="BK93" s="317"/>
      <c r="BL93" s="317"/>
      <c r="BM93" s="317"/>
      <c r="BN93" s="317"/>
      <c r="BO93" s="317"/>
      <c r="BP93" s="317"/>
      <c r="BQ93" s="317"/>
      <c r="BR93" s="317"/>
      <c r="BS93" s="317"/>
      <c r="BT93" s="317"/>
      <c r="BU93" s="317"/>
      <c r="BV93" s="317"/>
      <c r="BW93" s="317"/>
      <c r="BX93" s="317"/>
      <c r="BY93" s="317"/>
      <c r="BZ93" s="317"/>
      <c r="CA93" s="317"/>
      <c r="CB93" s="317"/>
      <c r="CC93" s="317"/>
      <c r="CD93" s="317"/>
      <c r="CE93" s="317"/>
      <c r="CF93" s="317"/>
      <c r="CG93" s="317"/>
      <c r="CH93" s="317"/>
      <c r="CI93" s="317"/>
      <c r="CJ93" s="317"/>
      <c r="CK93" s="317"/>
      <c r="CL93" s="317"/>
      <c r="CM93" s="317"/>
      <c r="CN93" s="317"/>
      <c r="CO93" s="317"/>
      <c r="CP93" s="317"/>
      <c r="CR93" s="317"/>
      <c r="CS93" s="317"/>
      <c r="CT93" s="317"/>
      <c r="CU93" s="317"/>
      <c r="CV93" s="317"/>
      <c r="CW93" s="317"/>
      <c r="CX93" s="317"/>
      <c r="CY93" s="317"/>
      <c r="CZ93" s="317"/>
      <c r="DA93" s="317"/>
      <c r="DB93" s="317"/>
      <c r="DC93" s="317"/>
      <c r="DD93" s="317"/>
      <c r="DE93" s="315"/>
      <c r="DF93" s="315"/>
      <c r="DH93" s="316"/>
    </row>
    <row r="94" spans="1:138" s="314" customFormat="1" ht="30.75" x14ac:dyDescent="0.25">
      <c r="A94" s="315"/>
      <c r="B94" s="317"/>
      <c r="C94" s="317"/>
      <c r="D94" s="313" t="s">
        <v>445</v>
      </c>
      <c r="E94" s="338"/>
      <c r="F94" s="338"/>
      <c r="G94" s="338"/>
      <c r="H94" s="338"/>
      <c r="I94" s="338"/>
      <c r="J94" s="338"/>
      <c r="K94" s="338"/>
      <c r="L94" s="338"/>
      <c r="M94" s="338"/>
      <c r="N94" s="338"/>
      <c r="O94" s="338"/>
      <c r="P94" s="338"/>
      <c r="Q94" s="338"/>
      <c r="T94" s="486">
        <f>T90-T92</f>
        <v>5000000</v>
      </c>
      <c r="U94" s="486"/>
      <c r="V94" s="486"/>
      <c r="W94" s="486"/>
      <c r="X94" s="486"/>
      <c r="Y94" s="486"/>
      <c r="Z94" s="486"/>
      <c r="AA94" s="486"/>
      <c r="AB94" s="486"/>
      <c r="AC94" s="486"/>
      <c r="AD94" s="486"/>
      <c r="AE94" s="324"/>
      <c r="AF94" s="346" t="s">
        <v>444</v>
      </c>
      <c r="AH94" s="345"/>
      <c r="AI94" s="345"/>
      <c r="AJ94" s="345"/>
      <c r="AK94" s="345"/>
      <c r="AL94" s="345"/>
      <c r="AM94" s="344"/>
      <c r="AN94" s="343"/>
      <c r="AQ94" s="513">
        <f>((V25-T92+E25-E18-V21)-(AM9+AM12+AM15))/(V25-T92+E25-E18-V21)</f>
        <v>0.83333333333333337</v>
      </c>
      <c r="AR94" s="513"/>
      <c r="AS94" s="513"/>
      <c r="AT94" s="513"/>
      <c r="AX94" s="317"/>
      <c r="AY94" s="317"/>
      <c r="AZ94" s="317"/>
      <c r="BA94" s="317"/>
      <c r="BB94" s="317"/>
      <c r="BC94" s="317"/>
      <c r="BD94" s="317"/>
      <c r="BE94" s="317"/>
      <c r="BF94" s="317"/>
      <c r="BG94" s="317"/>
      <c r="BH94" s="317"/>
      <c r="BI94" s="317"/>
      <c r="BJ94" s="317"/>
      <c r="BK94" s="317"/>
      <c r="BL94" s="317"/>
      <c r="BM94" s="317"/>
      <c r="BN94" s="317"/>
      <c r="BO94" s="317"/>
      <c r="BP94" s="317"/>
      <c r="BQ94" s="317"/>
      <c r="BR94" s="317"/>
      <c r="BS94" s="317"/>
      <c r="BT94" s="342"/>
      <c r="BU94" s="342"/>
      <c r="BV94" s="342"/>
      <c r="BW94" s="342"/>
      <c r="BX94" s="342"/>
      <c r="BY94" s="342"/>
      <c r="BZ94" s="342"/>
      <c r="CA94" s="342"/>
      <c r="CB94" s="342"/>
      <c r="CC94" s="342"/>
      <c r="CD94" s="342"/>
      <c r="CE94" s="317"/>
      <c r="CF94" s="317"/>
      <c r="CG94" s="317"/>
      <c r="CH94" s="317"/>
      <c r="CI94" s="317"/>
      <c r="CJ94" s="317"/>
      <c r="CK94" s="317"/>
      <c r="CL94" s="317"/>
      <c r="CM94" s="317"/>
      <c r="CN94" s="317"/>
      <c r="CO94" s="317"/>
      <c r="CU94" s="317"/>
      <c r="CV94" s="317"/>
      <c r="CW94" s="317"/>
      <c r="CX94" s="317"/>
      <c r="CY94" s="317"/>
      <c r="CZ94" s="317"/>
      <c r="DA94" s="326"/>
      <c r="DB94" s="317"/>
      <c r="DC94" s="317"/>
      <c r="DD94" s="317"/>
      <c r="DE94" s="315"/>
      <c r="DF94" s="315"/>
      <c r="DH94" s="316"/>
      <c r="DK94" s="148"/>
      <c r="DL94" s="148"/>
      <c r="DM94" s="148"/>
      <c r="DN94" s="148"/>
      <c r="DO94" s="148"/>
      <c r="DP94" s="148"/>
      <c r="DQ94" s="148"/>
      <c r="DR94" s="148"/>
      <c r="DS94" s="148"/>
      <c r="DT94" s="148"/>
      <c r="DU94" s="148"/>
      <c r="DV94" s="148"/>
      <c r="DW94" s="148"/>
      <c r="DY94" s="341"/>
      <c r="DZ94" s="341"/>
      <c r="EA94" s="341"/>
      <c r="EB94" s="341"/>
      <c r="EC94" s="341"/>
      <c r="ED94" s="341"/>
      <c r="EE94" s="341"/>
      <c r="EF94" s="341"/>
      <c r="EG94" s="341"/>
      <c r="EH94" s="341"/>
    </row>
    <row r="95" spans="1:138" s="314" customFormat="1" ht="30.75" x14ac:dyDescent="0.25">
      <c r="A95" s="315"/>
      <c r="B95" s="317"/>
      <c r="C95" s="317"/>
      <c r="D95" s="329"/>
      <c r="E95" s="338"/>
      <c r="F95" s="338"/>
      <c r="G95" s="338"/>
      <c r="H95" s="338"/>
      <c r="I95" s="338"/>
      <c r="J95" s="338"/>
      <c r="K95" s="338"/>
      <c r="L95" s="338"/>
      <c r="M95" s="338"/>
      <c r="N95" s="338"/>
      <c r="O95" s="338"/>
      <c r="P95" s="338"/>
      <c r="Q95" s="338"/>
      <c r="R95" s="338"/>
      <c r="S95" s="338"/>
      <c r="T95" s="338"/>
      <c r="U95" s="338"/>
      <c r="V95" s="338"/>
      <c r="W95" s="338"/>
      <c r="X95" s="337"/>
      <c r="Y95" s="324"/>
      <c r="Z95" s="324"/>
      <c r="AA95" s="324"/>
      <c r="AB95" s="324"/>
      <c r="AC95" s="324"/>
      <c r="AD95" s="324"/>
      <c r="AE95" s="324"/>
      <c r="AF95" s="324"/>
      <c r="AG95" s="324"/>
      <c r="AH95" s="336"/>
      <c r="AI95" s="336"/>
      <c r="AJ95" s="336"/>
      <c r="AK95" s="336"/>
      <c r="AL95" s="336"/>
      <c r="AM95" s="335"/>
      <c r="AX95" s="317"/>
      <c r="AY95" s="317"/>
      <c r="AZ95" s="317"/>
      <c r="BA95" s="317"/>
      <c r="BB95" s="317"/>
      <c r="BC95" s="317"/>
      <c r="BD95" s="317"/>
      <c r="BE95" s="317"/>
      <c r="BF95" s="317"/>
      <c r="BG95" s="317"/>
      <c r="BH95" s="317"/>
      <c r="BI95" s="317"/>
      <c r="BJ95" s="317"/>
      <c r="BK95" s="317"/>
      <c r="BL95" s="317"/>
      <c r="BM95" s="317"/>
      <c r="BN95" s="317"/>
      <c r="BO95" s="317"/>
      <c r="BP95" s="317"/>
      <c r="BQ95" s="317"/>
      <c r="BR95" s="317"/>
      <c r="BS95" s="317"/>
      <c r="BT95" s="342"/>
      <c r="BU95" s="342"/>
      <c r="BV95" s="342"/>
      <c r="BW95" s="342"/>
      <c r="BX95" s="342"/>
      <c r="BY95" s="342"/>
      <c r="BZ95" s="342"/>
      <c r="CA95" s="342"/>
      <c r="CB95" s="342"/>
      <c r="CC95" s="342"/>
      <c r="CD95" s="342"/>
      <c r="CE95" s="317"/>
      <c r="CF95" s="317"/>
      <c r="CG95" s="317"/>
      <c r="CH95" s="317"/>
      <c r="CI95" s="317"/>
      <c r="CJ95" s="317"/>
      <c r="CK95" s="317"/>
      <c r="CL95" s="317"/>
      <c r="CM95" s="317"/>
      <c r="CN95" s="317"/>
      <c r="CO95" s="317"/>
      <c r="CU95" s="317"/>
      <c r="CV95" s="317"/>
      <c r="CW95" s="317"/>
      <c r="CX95" s="317"/>
      <c r="CY95" s="317"/>
      <c r="CZ95" s="317"/>
      <c r="DA95" s="326"/>
      <c r="DB95" s="317"/>
      <c r="DC95" s="317"/>
      <c r="DD95" s="317"/>
      <c r="DE95" s="315"/>
      <c r="DF95" s="315"/>
      <c r="DH95" s="316"/>
      <c r="DK95" s="148"/>
      <c r="DL95" s="148"/>
      <c r="DM95" s="148"/>
      <c r="DN95" s="148"/>
      <c r="DO95" s="148"/>
      <c r="DP95" s="148"/>
      <c r="DQ95" s="148"/>
      <c r="DR95" s="148"/>
      <c r="DT95" s="341"/>
      <c r="DU95" s="341"/>
      <c r="DV95" s="341"/>
      <c r="DW95" s="341"/>
      <c r="DX95" s="341"/>
      <c r="DY95" s="341"/>
      <c r="DZ95" s="341"/>
      <c r="EA95" s="341"/>
      <c r="EB95" s="341"/>
      <c r="EC95" s="341"/>
    </row>
    <row r="96" spans="1:138" s="314" customFormat="1" ht="30.75" x14ac:dyDescent="0.25">
      <c r="A96" s="315"/>
      <c r="B96" s="317"/>
      <c r="C96" s="317"/>
      <c r="D96" s="329"/>
      <c r="E96" s="338"/>
      <c r="F96" s="338"/>
      <c r="G96" s="338"/>
      <c r="H96" s="338"/>
      <c r="I96" s="338"/>
      <c r="J96" s="338"/>
      <c r="K96" s="338"/>
      <c r="L96" s="338"/>
      <c r="M96" s="338"/>
      <c r="N96" s="338"/>
      <c r="O96" s="338"/>
      <c r="P96" s="338"/>
      <c r="Q96" s="338"/>
      <c r="R96" s="338"/>
      <c r="S96" s="338"/>
      <c r="T96" s="338"/>
      <c r="U96" s="338"/>
      <c r="V96" s="338"/>
      <c r="W96" s="338"/>
      <c r="X96" s="337"/>
      <c r="Y96" s="324"/>
      <c r="Z96" s="324"/>
      <c r="AA96" s="324"/>
      <c r="AB96" s="324"/>
      <c r="AC96" s="324"/>
      <c r="AD96" s="324"/>
      <c r="AE96" s="324"/>
      <c r="AF96" s="324"/>
      <c r="AG96" s="324"/>
      <c r="AH96" s="336"/>
      <c r="AI96" s="336"/>
      <c r="AJ96" s="336"/>
      <c r="AK96" s="336"/>
      <c r="AL96" s="336"/>
      <c r="AM96" s="335"/>
      <c r="AX96" s="317"/>
      <c r="AY96" s="317"/>
      <c r="AZ96" s="317"/>
      <c r="BA96" s="317"/>
      <c r="BB96" s="317"/>
      <c r="BC96" s="317"/>
      <c r="BD96" s="317"/>
      <c r="BE96" s="317"/>
      <c r="BF96" s="317"/>
      <c r="BG96" s="317"/>
      <c r="BH96" s="317"/>
      <c r="BI96" s="317"/>
      <c r="BJ96" s="317"/>
      <c r="BK96" s="317"/>
      <c r="BL96" s="317"/>
      <c r="BM96" s="317"/>
      <c r="BN96" s="317"/>
      <c r="BO96" s="317"/>
      <c r="BP96" s="317"/>
      <c r="BQ96" s="317"/>
      <c r="BR96" s="317"/>
      <c r="BS96" s="317"/>
      <c r="BT96" s="342"/>
      <c r="BU96" s="342"/>
      <c r="BV96" s="342"/>
      <c r="BW96" s="342"/>
      <c r="BX96" s="342"/>
      <c r="BY96" s="342"/>
      <c r="BZ96" s="342"/>
      <c r="CA96" s="342"/>
      <c r="CB96" s="342"/>
      <c r="CC96" s="342"/>
      <c r="CD96" s="342"/>
      <c r="CE96" s="317"/>
      <c r="CF96" s="317"/>
      <c r="CG96" s="317"/>
      <c r="CH96" s="317"/>
      <c r="CI96" s="317"/>
      <c r="CJ96" s="317"/>
      <c r="CK96" s="317"/>
      <c r="CL96" s="317"/>
      <c r="CM96" s="317"/>
      <c r="CN96" s="317"/>
      <c r="CO96" s="317"/>
      <c r="CU96" s="317"/>
      <c r="CV96" s="317"/>
      <c r="CW96" s="317"/>
      <c r="CX96" s="317"/>
      <c r="CY96" s="317"/>
      <c r="CZ96" s="317"/>
      <c r="DA96" s="326"/>
      <c r="DB96" s="317"/>
      <c r="DC96" s="317"/>
      <c r="DD96" s="317"/>
      <c r="DE96" s="315"/>
      <c r="DF96" s="315"/>
      <c r="DH96" s="316"/>
      <c r="DK96" s="148"/>
      <c r="DL96" s="148"/>
      <c r="DM96" s="148"/>
      <c r="DN96" s="148"/>
      <c r="DO96" s="148"/>
      <c r="DP96" s="148"/>
      <c r="DQ96" s="148"/>
      <c r="DR96" s="148"/>
      <c r="DT96" s="341"/>
      <c r="DU96" s="341"/>
      <c r="DV96" s="341"/>
      <c r="DW96" s="341"/>
      <c r="DX96" s="341"/>
      <c r="DY96" s="341"/>
      <c r="DZ96" s="341"/>
      <c r="EA96" s="341"/>
      <c r="EB96" s="341"/>
      <c r="EC96" s="341"/>
    </row>
    <row r="97" spans="1:110" s="143" customFormat="1" ht="34.5" x14ac:dyDescent="0.25">
      <c r="A97" s="128"/>
      <c r="B97" s="130"/>
      <c r="D97" s="209" t="s">
        <v>548</v>
      </c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  <c r="AG97" s="130"/>
      <c r="AH97" s="130"/>
      <c r="AI97" s="130"/>
      <c r="AJ97" s="130"/>
      <c r="AK97" s="130"/>
      <c r="AL97" s="130"/>
      <c r="AM97" s="130"/>
      <c r="AN97" s="130"/>
      <c r="AO97" s="130"/>
      <c r="AP97" s="130"/>
      <c r="AQ97" s="130"/>
      <c r="AR97" s="130"/>
      <c r="AS97" s="130"/>
      <c r="AT97" s="130"/>
      <c r="AU97" s="130"/>
      <c r="AV97" s="130"/>
      <c r="AW97" s="130"/>
      <c r="AX97" s="130"/>
      <c r="AY97" s="130"/>
      <c r="AZ97" s="130"/>
      <c r="BA97" s="130"/>
      <c r="BB97" s="130"/>
      <c r="BC97" s="130"/>
      <c r="BD97" s="130"/>
      <c r="BE97" s="130"/>
      <c r="BF97" s="130"/>
      <c r="BG97" s="130"/>
      <c r="BH97" s="130"/>
      <c r="BI97" s="130"/>
      <c r="BJ97" s="130"/>
      <c r="BK97" s="130"/>
      <c r="BL97" s="130"/>
      <c r="BM97" s="130"/>
      <c r="BN97" s="130"/>
      <c r="BO97" s="130"/>
      <c r="BP97" s="130"/>
      <c r="BQ97" s="130"/>
      <c r="BR97" s="130"/>
      <c r="BS97" s="130"/>
      <c r="BT97" s="130"/>
      <c r="BU97" s="130"/>
      <c r="BV97" s="130"/>
      <c r="BW97" s="130"/>
      <c r="BX97" s="130"/>
      <c r="BY97" s="130"/>
      <c r="BZ97" s="130"/>
      <c r="CA97" s="130"/>
      <c r="CB97" s="130"/>
      <c r="CC97" s="130"/>
      <c r="CD97" s="130"/>
      <c r="CE97" s="130"/>
      <c r="CF97" s="130"/>
      <c r="CG97" s="130"/>
      <c r="CH97" s="130"/>
      <c r="CI97" s="130"/>
      <c r="CJ97" s="130"/>
      <c r="CK97" s="130"/>
      <c r="CL97" s="130"/>
      <c r="CM97" s="130"/>
      <c r="CN97" s="130"/>
      <c r="CO97" s="130"/>
      <c r="CP97" s="130"/>
      <c r="CQ97" s="130"/>
      <c r="CR97" s="130"/>
      <c r="CS97" s="130"/>
      <c r="CT97" s="130"/>
      <c r="CU97" s="130"/>
      <c r="CV97" s="130"/>
      <c r="CW97" s="130"/>
      <c r="CX97" s="130"/>
      <c r="CY97" s="130"/>
      <c r="CZ97" s="130"/>
      <c r="DA97" s="130"/>
      <c r="DB97" s="130"/>
      <c r="DC97" s="130"/>
      <c r="DD97" s="130"/>
      <c r="DE97" s="128"/>
      <c r="DF97" s="128"/>
    </row>
    <row r="98" spans="1:110" s="143" customFormat="1" ht="24.95" customHeight="1" x14ac:dyDescent="0.25">
      <c r="A98" s="128"/>
      <c r="B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  <c r="AH98" s="130"/>
      <c r="AI98" s="130"/>
      <c r="AJ98" s="130"/>
      <c r="AK98" s="130"/>
      <c r="AL98" s="130"/>
      <c r="AM98" s="130"/>
      <c r="AN98" s="130"/>
      <c r="AO98" s="130"/>
      <c r="AP98" s="130"/>
      <c r="AQ98" s="130"/>
      <c r="AR98" s="130"/>
      <c r="AS98" s="130"/>
      <c r="AT98" s="130"/>
      <c r="AU98" s="130"/>
      <c r="AV98" s="130"/>
      <c r="AW98" s="130"/>
      <c r="AX98" s="130"/>
      <c r="AY98" s="130"/>
      <c r="AZ98" s="130"/>
      <c r="BA98" s="130"/>
      <c r="BB98" s="130"/>
      <c r="BC98" s="130"/>
      <c r="BD98" s="130"/>
      <c r="BE98" s="130"/>
      <c r="BF98" s="130"/>
      <c r="BG98" s="130"/>
      <c r="BH98" s="130"/>
      <c r="BI98" s="130"/>
      <c r="BJ98" s="130"/>
      <c r="BK98" s="130"/>
      <c r="BL98" s="130"/>
      <c r="BM98" s="130"/>
      <c r="BN98" s="130"/>
      <c r="BO98" s="130"/>
      <c r="BP98" s="130"/>
      <c r="BQ98" s="130"/>
      <c r="BR98" s="130"/>
      <c r="BS98" s="130"/>
      <c r="BT98" s="130"/>
      <c r="BU98" s="130"/>
      <c r="BV98" s="130"/>
      <c r="BW98" s="130"/>
      <c r="BX98" s="130"/>
      <c r="BY98" s="130"/>
      <c r="BZ98" s="130"/>
      <c r="CA98" s="130"/>
      <c r="CB98" s="130"/>
      <c r="CC98" s="130"/>
      <c r="CD98" s="130"/>
      <c r="CE98" s="130"/>
      <c r="CF98" s="130"/>
      <c r="CG98" s="130"/>
      <c r="CH98" s="130"/>
      <c r="CI98" s="130"/>
      <c r="CJ98" s="130"/>
      <c r="CK98" s="130"/>
      <c r="CL98" s="130"/>
      <c r="CM98" s="130"/>
      <c r="CN98" s="130"/>
      <c r="CO98" s="130"/>
      <c r="CP98" s="130"/>
      <c r="CQ98" s="130"/>
      <c r="CR98" s="130"/>
      <c r="CS98" s="130"/>
      <c r="CT98" s="130"/>
      <c r="CU98" s="130"/>
      <c r="CV98" s="130"/>
      <c r="CW98" s="130"/>
      <c r="CX98" s="130"/>
      <c r="CY98" s="130"/>
      <c r="CZ98" s="130"/>
      <c r="DA98" s="130"/>
      <c r="DB98" s="130"/>
      <c r="DC98" s="130"/>
      <c r="DD98" s="130"/>
      <c r="DE98" s="128"/>
      <c r="DF98" s="128"/>
    </row>
    <row r="99" spans="1:110" s="143" customFormat="1" ht="24.95" customHeight="1" x14ac:dyDescent="0.25">
      <c r="A99" s="128"/>
      <c r="B99" s="130"/>
      <c r="D99" s="130"/>
      <c r="F99" s="130"/>
      <c r="G99" s="130"/>
      <c r="H99" s="130"/>
      <c r="I99" s="224" t="s">
        <v>144</v>
      </c>
      <c r="J99" s="130"/>
      <c r="K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R99" s="130"/>
      <c r="AT99" s="130"/>
      <c r="AU99" s="130"/>
      <c r="AW99" s="130"/>
      <c r="AX99" s="130"/>
      <c r="AY99" s="130"/>
      <c r="AZ99" s="130"/>
      <c r="BA99" s="130"/>
      <c r="BB99" s="130"/>
      <c r="BC99" s="130"/>
      <c r="BD99" s="130"/>
      <c r="BE99" s="130"/>
      <c r="BF99" s="130"/>
      <c r="BG99" s="130"/>
      <c r="BH99" s="130"/>
      <c r="BI99" s="130"/>
      <c r="BJ99" s="219" t="s">
        <v>124</v>
      </c>
      <c r="BK99" s="130"/>
      <c r="BL99" s="130"/>
      <c r="BN99" s="130"/>
      <c r="BO99" s="130"/>
      <c r="BP99" s="130"/>
      <c r="BQ99" s="130"/>
      <c r="BR99" s="130"/>
      <c r="BS99" s="130"/>
      <c r="BT99" s="130"/>
      <c r="BU99" s="130"/>
      <c r="BV99" s="130"/>
      <c r="BW99" s="130"/>
      <c r="BX99" s="130"/>
      <c r="BY99" s="153"/>
      <c r="CA99" s="130"/>
      <c r="CB99" s="130"/>
      <c r="CC99" s="130"/>
      <c r="CE99" s="130"/>
      <c r="CF99" s="130"/>
      <c r="CG99" s="130"/>
      <c r="CH99" s="130"/>
      <c r="CI99" s="130"/>
      <c r="CJ99" s="130"/>
      <c r="CK99" s="130"/>
      <c r="CL99" s="130"/>
      <c r="CM99" s="130"/>
      <c r="CN99" s="130"/>
      <c r="CO99" s="130"/>
      <c r="CP99" s="130"/>
      <c r="CQ99" s="130"/>
      <c r="CR99" s="130"/>
      <c r="CS99" s="130"/>
      <c r="CT99" s="130"/>
      <c r="CU99" s="130"/>
      <c r="CV99" s="130"/>
      <c r="CW99" s="130"/>
      <c r="CX99" s="130"/>
      <c r="CY99" s="130"/>
      <c r="CZ99" s="130"/>
      <c r="DA99" s="130"/>
      <c r="DB99" s="130"/>
      <c r="DC99" s="130"/>
      <c r="DD99" s="130"/>
      <c r="DE99" s="128"/>
      <c r="DF99" s="128"/>
    </row>
    <row r="100" spans="1:110" s="143" customFormat="1" ht="24.95" customHeight="1" x14ac:dyDescent="0.25">
      <c r="A100" s="128"/>
      <c r="B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30"/>
      <c r="AT100" s="130"/>
      <c r="AU100" s="130"/>
      <c r="AV100" s="130"/>
      <c r="AW100" s="130"/>
      <c r="AX100" s="130"/>
      <c r="AY100" s="130"/>
      <c r="AZ100" s="130"/>
      <c r="BA100" s="130"/>
      <c r="BB100" s="130"/>
      <c r="BC100" s="130"/>
      <c r="BD100" s="130"/>
      <c r="BE100" s="130"/>
      <c r="BF100" s="130"/>
      <c r="BG100" s="130"/>
      <c r="BH100" s="130"/>
      <c r="BI100" s="130"/>
      <c r="BJ100" s="130"/>
      <c r="BK100" s="130"/>
      <c r="BL100" s="130"/>
      <c r="BM100" s="130"/>
      <c r="BN100" s="130"/>
      <c r="BO100" s="130"/>
      <c r="BP100" s="130"/>
      <c r="BQ100" s="130"/>
      <c r="BR100" s="130"/>
      <c r="BS100" s="130"/>
      <c r="BT100" s="130"/>
      <c r="BU100" s="130"/>
      <c r="BV100" s="130"/>
      <c r="BW100" s="130"/>
      <c r="BX100" s="130"/>
      <c r="BY100" s="130"/>
      <c r="BZ100" s="130"/>
      <c r="CA100" s="130"/>
      <c r="CB100" s="130"/>
      <c r="CC100" s="130"/>
      <c r="CD100" s="130"/>
      <c r="CE100" s="130"/>
      <c r="CF100" s="130"/>
      <c r="CG100" s="130"/>
      <c r="CH100" s="130"/>
      <c r="CI100" s="130"/>
      <c r="CJ100" s="130"/>
      <c r="CK100" s="130"/>
      <c r="CL100" s="130"/>
      <c r="CM100" s="130"/>
      <c r="CN100" s="130"/>
      <c r="CO100" s="130"/>
      <c r="CP100" s="130"/>
      <c r="CQ100" s="130"/>
      <c r="CR100" s="130"/>
      <c r="CS100" s="130"/>
      <c r="CT100" s="130"/>
      <c r="CU100" s="130"/>
      <c r="CV100" s="130"/>
      <c r="CW100" s="130"/>
      <c r="CX100" s="130"/>
      <c r="CY100" s="130"/>
      <c r="CZ100" s="130"/>
      <c r="DA100" s="130"/>
      <c r="DB100" s="130"/>
      <c r="DC100" s="130"/>
      <c r="DD100" s="130"/>
      <c r="DE100" s="128"/>
      <c r="DF100" s="128"/>
    </row>
    <row r="101" spans="1:110" s="143" customFormat="1" ht="24.95" customHeight="1" x14ac:dyDescent="0.25">
      <c r="A101" s="128"/>
      <c r="B101" s="130"/>
      <c r="D101" s="130"/>
      <c r="I101" s="512" t="s">
        <v>547</v>
      </c>
      <c r="J101" s="512"/>
      <c r="K101" s="512"/>
      <c r="L101" s="512"/>
      <c r="M101" s="512"/>
      <c r="N101" s="512"/>
      <c r="O101" s="512"/>
      <c r="P101" s="512"/>
      <c r="Q101" s="512"/>
      <c r="R101" s="512"/>
      <c r="S101" s="512"/>
      <c r="T101" s="512"/>
      <c r="U101" s="512"/>
      <c r="V101" s="512"/>
      <c r="W101" s="512"/>
      <c r="X101" s="512"/>
      <c r="Y101" s="512"/>
      <c r="Z101" s="512"/>
      <c r="AA101" s="512"/>
      <c r="AB101" s="512"/>
      <c r="AC101" s="512"/>
      <c r="AD101" s="512"/>
      <c r="AE101" s="512"/>
      <c r="AF101" s="512"/>
      <c r="AG101" s="512"/>
      <c r="AH101" s="512"/>
      <c r="AI101" s="512"/>
      <c r="AJ101" s="512"/>
      <c r="AK101" s="512"/>
      <c r="AL101" s="512"/>
      <c r="AM101" s="512"/>
      <c r="AN101" s="512"/>
      <c r="AO101" s="512"/>
      <c r="AP101" s="512"/>
      <c r="AQ101" s="512"/>
      <c r="AR101" s="512"/>
      <c r="AS101" s="512"/>
      <c r="AT101" s="512"/>
      <c r="AU101" s="512"/>
      <c r="BJ101" s="512" t="str">
        <f>IF(COUNTIF('Entrevista Balance'!G4:G8,"&gt;0")=1,"Contrata un seguro de hogar por:",IF(COUNTIF('Entrevista Balance'!G4:G8,"&gt;0")&gt;1,"Contrata Multi-Seguro de Hogar",IF(COUNTIF('Entrevista Balance'!G4:G8,"&gt;0")=0,"No es imperante la contratación de un seguro de hogar",0)))</f>
        <v>Contrata un seguro de hogar por:</v>
      </c>
      <c r="BK101" s="512"/>
      <c r="BL101" s="512"/>
      <c r="BM101" s="512"/>
      <c r="BN101" s="512"/>
      <c r="BO101" s="512"/>
      <c r="BP101" s="512"/>
      <c r="BQ101" s="512"/>
      <c r="BR101" s="512"/>
      <c r="BS101" s="512"/>
      <c r="BT101" s="512"/>
      <c r="BU101" s="512"/>
      <c r="BV101" s="512"/>
      <c r="BW101" s="512"/>
      <c r="BX101" s="512"/>
      <c r="BY101" s="512"/>
      <c r="BZ101" s="512"/>
      <c r="CA101" s="512"/>
      <c r="CB101" s="512"/>
      <c r="CC101" s="512"/>
      <c r="CD101" s="512"/>
      <c r="CE101" s="512"/>
      <c r="CF101" s="512"/>
      <c r="CG101" s="512"/>
      <c r="CH101" s="512"/>
      <c r="CI101" s="512"/>
      <c r="CJ101" s="512"/>
      <c r="CK101" s="512"/>
      <c r="CL101" s="512"/>
      <c r="CM101" s="512"/>
      <c r="CN101" s="512"/>
      <c r="CO101" s="512"/>
      <c r="CP101" s="512"/>
      <c r="CQ101" s="512"/>
      <c r="CR101" s="512"/>
      <c r="CS101" s="512"/>
      <c r="CT101" s="512"/>
      <c r="CU101" s="512"/>
      <c r="CV101" s="512"/>
      <c r="CW101" s="512"/>
      <c r="CX101" s="512"/>
      <c r="CY101" s="512"/>
      <c r="CZ101" s="130"/>
      <c r="DA101" s="130"/>
      <c r="DB101" s="130"/>
      <c r="DC101" s="130"/>
      <c r="DD101" s="130"/>
      <c r="DE101" s="128"/>
      <c r="DF101" s="128"/>
    </row>
    <row r="102" spans="1:110" s="143" customFormat="1" ht="24.95" customHeight="1" x14ac:dyDescent="0.25">
      <c r="A102" s="128"/>
      <c r="B102" s="130"/>
      <c r="D102" s="130"/>
      <c r="I102" s="512"/>
      <c r="J102" s="512"/>
      <c r="K102" s="512"/>
      <c r="L102" s="512"/>
      <c r="M102" s="512"/>
      <c r="N102" s="512"/>
      <c r="O102" s="512"/>
      <c r="P102" s="512"/>
      <c r="Q102" s="512"/>
      <c r="R102" s="512"/>
      <c r="S102" s="512"/>
      <c r="T102" s="512"/>
      <c r="U102" s="512"/>
      <c r="V102" s="512"/>
      <c r="W102" s="512"/>
      <c r="X102" s="512"/>
      <c r="Y102" s="512"/>
      <c r="Z102" s="512"/>
      <c r="AA102" s="512"/>
      <c r="AB102" s="512"/>
      <c r="AC102" s="512"/>
      <c r="AD102" s="512"/>
      <c r="AE102" s="512"/>
      <c r="AF102" s="512"/>
      <c r="AG102" s="512"/>
      <c r="AH102" s="512"/>
      <c r="AI102" s="512"/>
      <c r="AJ102" s="512"/>
      <c r="AK102" s="512"/>
      <c r="AL102" s="512"/>
      <c r="AM102" s="512"/>
      <c r="AN102" s="512"/>
      <c r="AO102" s="512"/>
      <c r="AP102" s="512"/>
      <c r="AQ102" s="512"/>
      <c r="AR102" s="512"/>
      <c r="AS102" s="512"/>
      <c r="AT102" s="512"/>
      <c r="AU102" s="512"/>
      <c r="BJ102" s="512"/>
      <c r="BK102" s="512"/>
      <c r="BL102" s="512"/>
      <c r="BM102" s="512"/>
      <c r="BN102" s="512"/>
      <c r="BO102" s="512"/>
      <c r="BP102" s="512"/>
      <c r="BQ102" s="512"/>
      <c r="BR102" s="512"/>
      <c r="BS102" s="512"/>
      <c r="BT102" s="512"/>
      <c r="BU102" s="512"/>
      <c r="BV102" s="512"/>
      <c r="BW102" s="512"/>
      <c r="BX102" s="512"/>
      <c r="BY102" s="512"/>
      <c r="BZ102" s="512"/>
      <c r="CA102" s="512"/>
      <c r="CB102" s="512"/>
      <c r="CC102" s="512"/>
      <c r="CD102" s="512"/>
      <c r="CE102" s="512"/>
      <c r="CF102" s="512"/>
      <c r="CG102" s="512"/>
      <c r="CH102" s="512"/>
      <c r="CI102" s="512"/>
      <c r="CJ102" s="512"/>
      <c r="CK102" s="512"/>
      <c r="CL102" s="512"/>
      <c r="CM102" s="512"/>
      <c r="CN102" s="512"/>
      <c r="CO102" s="512"/>
      <c r="CP102" s="512"/>
      <c r="CQ102" s="512"/>
      <c r="CR102" s="512"/>
      <c r="CS102" s="512"/>
      <c r="CT102" s="512"/>
      <c r="CU102" s="512"/>
      <c r="CV102" s="512"/>
      <c r="CW102" s="512"/>
      <c r="CX102" s="512"/>
      <c r="CY102" s="512"/>
      <c r="CZ102" s="130"/>
      <c r="DA102" s="130"/>
      <c r="DB102" s="130"/>
      <c r="DC102" s="130"/>
      <c r="DD102" s="130"/>
      <c r="DE102" s="128"/>
      <c r="DF102" s="128"/>
    </row>
    <row r="103" spans="1:110" s="143" customFormat="1" ht="24.95" customHeight="1" x14ac:dyDescent="0.25">
      <c r="A103" s="128"/>
      <c r="B103" s="130"/>
      <c r="D103" s="130"/>
      <c r="I103" s="512"/>
      <c r="J103" s="512"/>
      <c r="K103" s="512"/>
      <c r="L103" s="512"/>
      <c r="M103" s="512"/>
      <c r="N103" s="512"/>
      <c r="O103" s="512"/>
      <c r="P103" s="512"/>
      <c r="Q103" s="512"/>
      <c r="R103" s="512"/>
      <c r="S103" s="512"/>
      <c r="T103" s="512"/>
      <c r="U103" s="512"/>
      <c r="V103" s="512"/>
      <c r="W103" s="512"/>
      <c r="X103" s="512"/>
      <c r="Y103" s="512"/>
      <c r="Z103" s="512"/>
      <c r="AA103" s="512"/>
      <c r="AB103" s="512"/>
      <c r="AC103" s="512"/>
      <c r="AD103" s="512"/>
      <c r="AE103" s="512"/>
      <c r="AF103" s="512"/>
      <c r="AG103" s="512"/>
      <c r="AH103" s="512"/>
      <c r="AI103" s="512"/>
      <c r="AJ103" s="512"/>
      <c r="AK103" s="512"/>
      <c r="AL103" s="512"/>
      <c r="AM103" s="512"/>
      <c r="AN103" s="512"/>
      <c r="AO103" s="512"/>
      <c r="AP103" s="512"/>
      <c r="AQ103" s="512"/>
      <c r="AR103" s="512"/>
      <c r="AS103" s="512"/>
      <c r="AT103" s="512"/>
      <c r="AU103" s="512"/>
      <c r="BJ103" s="512"/>
      <c r="BK103" s="512"/>
      <c r="BL103" s="512"/>
      <c r="BM103" s="512"/>
      <c r="BN103" s="512"/>
      <c r="BO103" s="512"/>
      <c r="BP103" s="512"/>
      <c r="BQ103" s="512"/>
      <c r="BR103" s="512"/>
      <c r="BS103" s="512"/>
      <c r="BT103" s="512"/>
      <c r="BU103" s="512"/>
      <c r="BV103" s="512"/>
      <c r="BW103" s="512"/>
      <c r="BX103" s="512"/>
      <c r="BY103" s="512"/>
      <c r="BZ103" s="512"/>
      <c r="CA103" s="512"/>
      <c r="CB103" s="512"/>
      <c r="CC103" s="512"/>
      <c r="CD103" s="512"/>
      <c r="CE103" s="512"/>
      <c r="CF103" s="512"/>
      <c r="CG103" s="512"/>
      <c r="CH103" s="512"/>
      <c r="CI103" s="512"/>
      <c r="CJ103" s="512"/>
      <c r="CK103" s="512"/>
      <c r="CL103" s="512"/>
      <c r="CM103" s="512"/>
      <c r="CN103" s="512"/>
      <c r="CO103" s="512"/>
      <c r="CP103" s="512"/>
      <c r="CQ103" s="512"/>
      <c r="CR103" s="512"/>
      <c r="CS103" s="512"/>
      <c r="CT103" s="512"/>
      <c r="CU103" s="512"/>
      <c r="CV103" s="512"/>
      <c r="CW103" s="512"/>
      <c r="CX103" s="512"/>
      <c r="CY103" s="512"/>
      <c r="CZ103" s="130"/>
      <c r="DA103" s="130"/>
      <c r="DB103" s="130"/>
      <c r="DC103" s="130"/>
      <c r="DD103" s="130"/>
      <c r="DE103" s="128"/>
      <c r="DF103" s="128"/>
    </row>
    <row r="104" spans="1:110" s="143" customFormat="1" ht="24.95" customHeight="1" x14ac:dyDescent="0.25">
      <c r="A104" s="128"/>
      <c r="B104" s="130"/>
      <c r="D104" s="130"/>
      <c r="E104" s="130"/>
      <c r="F104" s="130"/>
      <c r="G104" s="130"/>
      <c r="H104" s="130"/>
      <c r="I104" s="512"/>
      <c r="J104" s="512"/>
      <c r="K104" s="512"/>
      <c r="L104" s="512"/>
      <c r="M104" s="512"/>
      <c r="N104" s="512"/>
      <c r="O104" s="512"/>
      <c r="P104" s="512"/>
      <c r="Q104" s="512"/>
      <c r="R104" s="512"/>
      <c r="S104" s="512"/>
      <c r="T104" s="512"/>
      <c r="U104" s="512"/>
      <c r="V104" s="512"/>
      <c r="W104" s="512"/>
      <c r="X104" s="512"/>
      <c r="Y104" s="512"/>
      <c r="Z104" s="512"/>
      <c r="AA104" s="512"/>
      <c r="AB104" s="512"/>
      <c r="AC104" s="512"/>
      <c r="AD104" s="512"/>
      <c r="AE104" s="512"/>
      <c r="AF104" s="512"/>
      <c r="AG104" s="512"/>
      <c r="AH104" s="512"/>
      <c r="AI104" s="512"/>
      <c r="AJ104" s="512"/>
      <c r="AK104" s="512"/>
      <c r="AL104" s="512"/>
      <c r="AM104" s="512"/>
      <c r="AN104" s="512"/>
      <c r="AO104" s="512"/>
      <c r="AP104" s="512"/>
      <c r="AQ104" s="512"/>
      <c r="AR104" s="512"/>
      <c r="AS104" s="512"/>
      <c r="AT104" s="512"/>
      <c r="AU104" s="512"/>
      <c r="AW104" s="130"/>
      <c r="BY104" s="506" t="s">
        <v>141</v>
      </c>
      <c r="BZ104" s="506"/>
      <c r="CA104" s="506"/>
      <c r="CB104" s="506"/>
      <c r="CC104" s="506"/>
      <c r="CD104" s="506"/>
      <c r="CE104" s="506"/>
      <c r="CF104" s="506"/>
      <c r="CG104" s="506"/>
      <c r="CH104" s="506"/>
      <c r="CI104" s="506"/>
      <c r="CJ104" s="506"/>
      <c r="CK104" s="506"/>
      <c r="CL104" s="506"/>
      <c r="CO104" s="506" t="s">
        <v>209</v>
      </c>
      <c r="CP104" s="506"/>
      <c r="CQ104" s="506"/>
      <c r="CR104" s="506"/>
      <c r="CS104" s="506"/>
      <c r="CT104" s="506"/>
      <c r="CU104" s="506"/>
      <c r="CV104" s="506"/>
      <c r="CW104" s="506"/>
      <c r="CX104" s="506"/>
      <c r="CY104" s="506"/>
      <c r="CZ104" s="506"/>
      <c r="DA104" s="506"/>
      <c r="DB104" s="506"/>
      <c r="DC104" s="130"/>
      <c r="DD104" s="130"/>
      <c r="DE104" s="128"/>
      <c r="DF104" s="128"/>
    </row>
    <row r="105" spans="1:110" s="143" customFormat="1" ht="24.95" customHeight="1" x14ac:dyDescent="0.25">
      <c r="A105" s="128"/>
      <c r="B105" s="130"/>
      <c r="D105" s="130"/>
      <c r="E105" s="130"/>
      <c r="AP105" s="130"/>
      <c r="AQ105" s="130"/>
      <c r="AR105" s="130"/>
      <c r="AS105" s="130"/>
      <c r="AT105" s="130"/>
      <c r="AU105" s="130"/>
      <c r="AV105" s="130"/>
      <c r="AW105" s="130"/>
      <c r="DA105" s="130"/>
      <c r="DB105" s="130"/>
      <c r="DC105" s="130"/>
      <c r="DD105" s="130"/>
      <c r="DE105" s="128"/>
      <c r="DF105" s="128"/>
    </row>
    <row r="106" spans="1:110" s="143" customFormat="1" ht="24.95" customHeight="1" x14ac:dyDescent="0.25">
      <c r="A106" s="128"/>
      <c r="B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506" t="s">
        <v>141</v>
      </c>
      <c r="N106" s="506"/>
      <c r="O106" s="506"/>
      <c r="P106" s="506"/>
      <c r="Q106" s="506"/>
      <c r="R106" s="506"/>
      <c r="S106" s="506"/>
      <c r="T106" s="506"/>
      <c r="U106" s="506"/>
      <c r="V106" s="506"/>
      <c r="W106" s="506"/>
      <c r="X106" s="506"/>
      <c r="Y106" s="506"/>
      <c r="Z106" s="506"/>
      <c r="AA106" s="164"/>
      <c r="AB106" s="506" t="s">
        <v>209</v>
      </c>
      <c r="AC106" s="506"/>
      <c r="AD106" s="506"/>
      <c r="AE106" s="506"/>
      <c r="AF106" s="506"/>
      <c r="AG106" s="506"/>
      <c r="AH106" s="506"/>
      <c r="AI106" s="506"/>
      <c r="AJ106" s="506"/>
      <c r="AK106" s="506"/>
      <c r="AL106" s="506"/>
      <c r="AM106" s="506"/>
      <c r="AN106" s="506"/>
      <c r="AO106" s="506"/>
      <c r="AP106" s="130"/>
      <c r="AQ106" s="130"/>
      <c r="AR106" s="130"/>
      <c r="AS106" s="130"/>
      <c r="AT106" s="130"/>
      <c r="AU106" s="130"/>
      <c r="AV106" s="130"/>
      <c r="AW106" s="130"/>
      <c r="AX106" s="130"/>
      <c r="AY106" s="130"/>
      <c r="AZ106" s="130"/>
      <c r="BA106" s="130"/>
      <c r="BB106" s="130"/>
      <c r="BC106" s="130"/>
      <c r="BD106" s="130"/>
      <c r="BE106" s="130"/>
      <c r="BF106" s="130"/>
      <c r="BG106" s="130"/>
      <c r="BH106" s="130"/>
      <c r="BI106" s="130"/>
      <c r="BJ106" s="507" t="s">
        <v>538</v>
      </c>
      <c r="BK106" s="507"/>
      <c r="BL106" s="507"/>
      <c r="BM106" s="507"/>
      <c r="BN106" s="507"/>
      <c r="BO106" s="507"/>
      <c r="BP106" s="507"/>
      <c r="BQ106" s="507"/>
      <c r="BR106" s="507"/>
      <c r="BS106" s="507"/>
      <c r="BT106" s="507"/>
      <c r="BU106" s="507"/>
      <c r="BV106" s="507"/>
      <c r="BW106" s="507"/>
      <c r="DA106" s="130"/>
      <c r="DB106" s="130"/>
      <c r="DC106" s="130"/>
      <c r="DD106" s="130"/>
      <c r="DE106" s="128"/>
      <c r="DF106" s="128"/>
    </row>
    <row r="107" spans="1:110" s="143" customFormat="1" ht="24.95" customHeight="1" x14ac:dyDescent="0.25">
      <c r="A107" s="128"/>
      <c r="B107" s="130"/>
      <c r="D107" s="130"/>
      <c r="E107" s="130"/>
      <c r="F107" s="130"/>
      <c r="G107" s="130"/>
      <c r="H107" s="130"/>
      <c r="I107" s="130"/>
      <c r="J107" s="130"/>
      <c r="K107" s="130"/>
      <c r="L107" s="130"/>
      <c r="AP107" s="130"/>
      <c r="AQ107" s="130"/>
      <c r="AR107" s="130"/>
      <c r="AS107" s="130"/>
      <c r="AT107" s="130"/>
      <c r="AU107" s="130"/>
      <c r="AV107" s="130"/>
      <c r="AW107" s="130"/>
      <c r="AX107" s="130"/>
      <c r="AY107" s="130"/>
      <c r="AZ107" s="130"/>
      <c r="BA107" s="130"/>
      <c r="BB107" s="130"/>
      <c r="BC107" s="130"/>
      <c r="BD107" s="130"/>
      <c r="BE107" s="130"/>
      <c r="BF107" s="130"/>
      <c r="BG107" s="130"/>
      <c r="BH107" s="130"/>
      <c r="BI107" s="130"/>
      <c r="BJ107" s="507"/>
      <c r="BK107" s="507"/>
      <c r="BL107" s="507"/>
      <c r="BM107" s="507"/>
      <c r="BN107" s="507"/>
      <c r="BO107" s="507"/>
      <c r="BP107" s="507"/>
      <c r="BQ107" s="507"/>
      <c r="BR107" s="507"/>
      <c r="BS107" s="507"/>
      <c r="BT107" s="507"/>
      <c r="BU107" s="507"/>
      <c r="BV107" s="507"/>
      <c r="BW107" s="507"/>
      <c r="DA107" s="130"/>
      <c r="DB107" s="130"/>
      <c r="DC107" s="130"/>
      <c r="DD107" s="130"/>
      <c r="DE107" s="128"/>
      <c r="DF107" s="128"/>
    </row>
    <row r="108" spans="1:110" s="143" customFormat="1" ht="24.95" customHeight="1" x14ac:dyDescent="0.25">
      <c r="A108" s="128"/>
      <c r="B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  <c r="AG108" s="130"/>
      <c r="AH108" s="130"/>
      <c r="AI108" s="130"/>
      <c r="AJ108" s="130"/>
      <c r="AK108" s="130"/>
      <c r="AL108" s="130"/>
      <c r="AM108" s="130"/>
      <c r="AN108" s="130"/>
      <c r="AO108" s="130"/>
      <c r="AP108" s="130"/>
      <c r="AQ108" s="130"/>
      <c r="AR108" s="130"/>
      <c r="AS108" s="130"/>
      <c r="AT108" s="130"/>
      <c r="AU108" s="130"/>
      <c r="AV108" s="130"/>
      <c r="AW108" s="130"/>
      <c r="AX108" s="130"/>
      <c r="AY108" s="130"/>
      <c r="AZ108" s="130"/>
      <c r="BA108" s="130"/>
      <c r="BB108" s="130"/>
      <c r="BC108" s="130"/>
      <c r="BD108" s="130"/>
      <c r="BE108" s="130"/>
      <c r="BF108" s="130"/>
      <c r="BG108" s="130"/>
      <c r="BH108" s="130"/>
      <c r="BI108" s="130"/>
      <c r="BJ108" s="156"/>
      <c r="BK108" s="156"/>
      <c r="BL108" s="156"/>
      <c r="BM108" s="156"/>
      <c r="BN108" s="156"/>
      <c r="BO108" s="156"/>
      <c r="BP108" s="156"/>
      <c r="BQ108" s="156"/>
      <c r="BR108" s="156"/>
      <c r="BS108" s="156"/>
      <c r="BT108" s="156"/>
      <c r="BU108" s="156"/>
      <c r="BV108" s="156"/>
      <c r="BW108" s="156"/>
      <c r="BX108" s="130"/>
      <c r="BY108" s="130"/>
      <c r="BZ108" s="130"/>
      <c r="CA108" s="130"/>
      <c r="CB108" s="130"/>
      <c r="CC108" s="130"/>
      <c r="CD108" s="130"/>
      <c r="CE108" s="130"/>
      <c r="CF108" s="130"/>
      <c r="CG108" s="130"/>
      <c r="CH108" s="130"/>
      <c r="CI108" s="130"/>
      <c r="CJ108" s="130"/>
      <c r="CK108" s="130"/>
      <c r="CL108" s="130"/>
      <c r="CM108" s="130"/>
      <c r="CN108" s="130"/>
      <c r="CO108" s="130"/>
      <c r="CP108" s="130"/>
      <c r="CQ108" s="130"/>
      <c r="CR108" s="130"/>
      <c r="CS108" s="130"/>
      <c r="CT108" s="130"/>
      <c r="CU108" s="130"/>
      <c r="CV108" s="130"/>
      <c r="CW108" s="130"/>
      <c r="CX108" s="130"/>
      <c r="CY108" s="130"/>
      <c r="CZ108" s="130"/>
      <c r="DA108" s="130"/>
      <c r="DB108" s="130"/>
      <c r="DC108" s="130"/>
      <c r="DD108" s="130"/>
      <c r="DE108" s="128"/>
      <c r="DF108" s="128"/>
    </row>
    <row r="109" spans="1:110" s="143" customFormat="1" ht="24.95" customHeight="1" x14ac:dyDescent="0.25">
      <c r="A109" s="128"/>
      <c r="B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  <c r="AT109" s="130"/>
      <c r="AU109" s="130"/>
      <c r="AV109" s="130"/>
      <c r="AW109" s="130"/>
      <c r="AX109" s="130"/>
      <c r="AY109" s="130"/>
      <c r="AZ109" s="130"/>
      <c r="BA109" s="130"/>
      <c r="BB109" s="130"/>
      <c r="BC109" s="130"/>
      <c r="BD109" s="130"/>
      <c r="BE109" s="130"/>
      <c r="BF109" s="130"/>
      <c r="BG109" s="130"/>
      <c r="BH109" s="130"/>
      <c r="BI109" s="130"/>
      <c r="BJ109" s="156"/>
      <c r="BK109" s="156"/>
      <c r="BL109" s="156"/>
      <c r="BM109" s="156"/>
      <c r="BN109" s="156"/>
      <c r="BO109" s="156"/>
      <c r="BP109" s="156"/>
      <c r="BQ109" s="156"/>
      <c r="BR109" s="156"/>
      <c r="BS109" s="156"/>
      <c r="BT109" s="156"/>
      <c r="BU109" s="156"/>
      <c r="BV109" s="156"/>
      <c r="BW109" s="156"/>
      <c r="BX109" s="130"/>
      <c r="BY109" s="130"/>
      <c r="BZ109" s="130"/>
      <c r="CA109" s="130"/>
      <c r="CB109" s="130"/>
      <c r="CC109" s="130"/>
      <c r="CD109" s="130"/>
      <c r="CE109" s="130"/>
      <c r="CF109" s="130"/>
      <c r="CG109" s="130"/>
      <c r="CH109" s="130"/>
      <c r="CI109" s="130"/>
      <c r="CJ109" s="130"/>
      <c r="CK109" s="130"/>
      <c r="CL109" s="130"/>
      <c r="CM109" s="130"/>
      <c r="CN109" s="130"/>
      <c r="CO109" s="130"/>
      <c r="CP109" s="130"/>
      <c r="CQ109" s="130"/>
      <c r="CR109" s="130"/>
      <c r="CS109" s="130"/>
      <c r="CT109" s="130"/>
      <c r="CU109" s="130"/>
      <c r="CV109" s="130"/>
      <c r="CW109" s="130"/>
      <c r="CX109" s="130"/>
      <c r="CY109" s="130"/>
      <c r="CZ109" s="130"/>
      <c r="DA109" s="130"/>
      <c r="DB109" s="130"/>
      <c r="DC109" s="130"/>
      <c r="DD109" s="130"/>
      <c r="DE109" s="128"/>
      <c r="DF109" s="128"/>
    </row>
    <row r="110" spans="1:110" s="143" customFormat="1" ht="24.95" customHeight="1" x14ac:dyDescent="0.25">
      <c r="A110" s="128"/>
      <c r="B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  <c r="AG110" s="130"/>
      <c r="AH110" s="130"/>
      <c r="AI110" s="130"/>
      <c r="AJ110" s="130"/>
      <c r="AK110" s="130"/>
      <c r="AL110" s="130"/>
      <c r="AM110" s="130"/>
      <c r="AN110" s="130"/>
      <c r="AO110" s="130"/>
      <c r="AP110" s="130"/>
      <c r="AQ110" s="130"/>
      <c r="AR110" s="130"/>
      <c r="AS110" s="130"/>
      <c r="AT110" s="130"/>
      <c r="AU110" s="130"/>
      <c r="AV110" s="130"/>
      <c r="AW110" s="130"/>
      <c r="AX110" s="130"/>
      <c r="AY110" s="130"/>
      <c r="AZ110" s="130"/>
      <c r="BA110" s="130"/>
      <c r="BB110" s="130"/>
      <c r="BC110" s="130"/>
      <c r="BD110" s="130"/>
      <c r="BE110" s="130"/>
      <c r="BF110" s="130"/>
      <c r="BG110" s="130"/>
      <c r="BH110" s="130"/>
      <c r="BI110" s="130"/>
      <c r="BJ110" s="507" t="s">
        <v>539</v>
      </c>
      <c r="BK110" s="507"/>
      <c r="BL110" s="507"/>
      <c r="BM110" s="507"/>
      <c r="BN110" s="507"/>
      <c r="BO110" s="507"/>
      <c r="BP110" s="507"/>
      <c r="BQ110" s="507"/>
      <c r="BR110" s="507"/>
      <c r="BS110" s="507"/>
      <c r="BT110" s="507"/>
      <c r="BU110" s="507"/>
      <c r="BV110" s="507"/>
      <c r="BW110" s="507"/>
      <c r="BX110" s="130"/>
      <c r="BY110" s="130"/>
      <c r="BZ110" s="130"/>
      <c r="CA110" s="130"/>
      <c r="CB110" s="130"/>
      <c r="CC110" s="130"/>
      <c r="CD110" s="130"/>
      <c r="CE110" s="130"/>
      <c r="CF110" s="130"/>
      <c r="CG110" s="130"/>
      <c r="CH110" s="130"/>
      <c r="CI110" s="130"/>
      <c r="CJ110" s="130"/>
      <c r="CK110" s="130"/>
      <c r="CL110" s="130"/>
      <c r="CM110" s="130"/>
      <c r="CN110" s="130"/>
      <c r="CO110" s="130"/>
      <c r="CP110" s="130"/>
      <c r="CQ110" s="130"/>
      <c r="CR110" s="130"/>
      <c r="CS110" s="130"/>
      <c r="CT110" s="130"/>
      <c r="CU110" s="130"/>
      <c r="CV110" s="130"/>
      <c r="CW110" s="130"/>
      <c r="CX110" s="130"/>
      <c r="CY110" s="130"/>
      <c r="CZ110" s="130"/>
      <c r="DA110" s="130"/>
      <c r="DB110" s="130"/>
      <c r="DC110" s="130"/>
      <c r="DD110" s="130"/>
      <c r="DE110" s="128"/>
      <c r="DF110" s="128"/>
    </row>
    <row r="111" spans="1:110" s="143" customFormat="1" ht="24.95" customHeight="1" x14ac:dyDescent="0.25">
      <c r="A111" s="128"/>
      <c r="B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  <c r="BJ111" s="507"/>
      <c r="BK111" s="507"/>
      <c r="BL111" s="507"/>
      <c r="BM111" s="507"/>
      <c r="BN111" s="507"/>
      <c r="BO111" s="507"/>
      <c r="BP111" s="507"/>
      <c r="BQ111" s="507"/>
      <c r="BR111" s="507"/>
      <c r="BS111" s="507"/>
      <c r="BT111" s="507"/>
      <c r="BU111" s="507"/>
      <c r="BV111" s="507"/>
      <c r="BW111" s="507"/>
      <c r="BX111" s="130"/>
      <c r="BY111" s="130"/>
      <c r="BZ111" s="130"/>
      <c r="CA111" s="130"/>
      <c r="CB111" s="130"/>
      <c r="CC111" s="130"/>
      <c r="CD111" s="130"/>
      <c r="CE111" s="130"/>
      <c r="CF111" s="130"/>
      <c r="CG111" s="130"/>
      <c r="CH111" s="130"/>
      <c r="CI111" s="130"/>
      <c r="CJ111" s="130"/>
      <c r="CK111" s="130"/>
      <c r="CL111" s="130"/>
      <c r="CM111" s="130"/>
      <c r="CN111" s="130"/>
      <c r="CO111" s="130"/>
      <c r="CP111" s="130"/>
      <c r="CQ111" s="130"/>
      <c r="CR111" s="130"/>
      <c r="CS111" s="130"/>
      <c r="CT111" s="130"/>
      <c r="CU111" s="130"/>
      <c r="CV111" s="130"/>
      <c r="CW111" s="130"/>
      <c r="CX111" s="130"/>
      <c r="CY111" s="130"/>
      <c r="CZ111" s="130"/>
      <c r="DA111" s="130"/>
      <c r="DB111" s="130"/>
      <c r="DC111" s="130"/>
      <c r="DD111" s="130"/>
      <c r="DE111" s="128"/>
      <c r="DF111" s="128"/>
    </row>
    <row r="112" spans="1:110" s="143" customFormat="1" ht="24.95" customHeight="1" x14ac:dyDescent="0.25">
      <c r="A112" s="128"/>
      <c r="B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  <c r="AG112" s="130"/>
      <c r="AH112" s="130"/>
      <c r="AI112" s="130"/>
      <c r="AJ112" s="130"/>
      <c r="AK112" s="130"/>
      <c r="AL112" s="130"/>
      <c r="AM112" s="130"/>
      <c r="AN112" s="130"/>
      <c r="AO112" s="130"/>
      <c r="AP112" s="130"/>
      <c r="AQ112" s="130"/>
      <c r="AR112" s="130"/>
      <c r="AS112" s="130"/>
      <c r="AT112" s="130"/>
      <c r="AU112" s="130"/>
      <c r="AV112" s="130"/>
      <c r="AW112" s="130"/>
      <c r="AX112" s="130"/>
      <c r="AY112" s="130"/>
      <c r="AZ112" s="130"/>
      <c r="BA112" s="130"/>
      <c r="BB112" s="130"/>
      <c r="BC112" s="130"/>
      <c r="BD112" s="130"/>
      <c r="BE112" s="130"/>
      <c r="BF112" s="130"/>
      <c r="BG112" s="130"/>
      <c r="BH112" s="130"/>
      <c r="BI112" s="130"/>
      <c r="BJ112" s="130"/>
      <c r="BK112" s="130"/>
      <c r="BL112" s="130"/>
      <c r="BN112" s="130"/>
      <c r="BO112" s="130"/>
      <c r="BP112" s="130"/>
      <c r="BQ112" s="130"/>
      <c r="BR112" s="130"/>
      <c r="BS112" s="130"/>
      <c r="BT112" s="130"/>
      <c r="BU112" s="130"/>
      <c r="BV112" s="130"/>
      <c r="BW112" s="130"/>
      <c r="BX112" s="130"/>
      <c r="BY112" s="130"/>
      <c r="BZ112" s="130"/>
      <c r="CA112" s="130"/>
      <c r="CB112" s="130"/>
      <c r="CC112" s="130"/>
      <c r="CD112" s="130"/>
      <c r="CE112" s="130"/>
      <c r="CF112" s="130"/>
      <c r="CG112" s="130"/>
      <c r="CH112" s="130"/>
      <c r="CI112" s="130"/>
      <c r="CJ112" s="130"/>
      <c r="CK112" s="130"/>
      <c r="CL112" s="130"/>
      <c r="CM112" s="130"/>
      <c r="CN112" s="130"/>
      <c r="CO112" s="130"/>
      <c r="CP112" s="130"/>
      <c r="CQ112" s="130"/>
      <c r="CR112" s="130"/>
      <c r="CS112" s="130"/>
      <c r="CT112" s="130"/>
      <c r="CU112" s="130"/>
      <c r="CV112" s="130"/>
      <c r="CW112" s="130"/>
      <c r="CX112" s="130"/>
      <c r="CY112" s="130"/>
      <c r="CZ112" s="130"/>
      <c r="DA112" s="130"/>
      <c r="DB112" s="130"/>
      <c r="DC112" s="130"/>
      <c r="DD112" s="130"/>
      <c r="DE112" s="128"/>
      <c r="DF112" s="128"/>
    </row>
    <row r="113" spans="1:112" s="143" customFormat="1" ht="24.95" customHeight="1" x14ac:dyDescent="0.25">
      <c r="A113" s="128"/>
      <c r="B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  <c r="BL113" s="130"/>
      <c r="BN113" s="130"/>
      <c r="BO113" s="130"/>
      <c r="BP113" s="130"/>
      <c r="BQ113" s="130"/>
      <c r="BR113" s="130"/>
      <c r="BS113" s="130"/>
      <c r="BT113" s="130"/>
      <c r="BU113" s="130"/>
      <c r="BV113" s="130"/>
      <c r="BW113" s="130"/>
      <c r="BX113" s="130"/>
      <c r="BY113" s="130"/>
      <c r="BZ113" s="130"/>
      <c r="CA113" s="130"/>
      <c r="CB113" s="130"/>
      <c r="CC113" s="130"/>
      <c r="CD113" s="130"/>
      <c r="CE113" s="130"/>
      <c r="CF113" s="130"/>
      <c r="CG113" s="130"/>
      <c r="CH113" s="130"/>
      <c r="CI113" s="130"/>
      <c r="CJ113" s="130"/>
      <c r="CK113" s="130"/>
      <c r="CL113" s="130"/>
      <c r="CM113" s="130"/>
      <c r="CN113" s="130"/>
      <c r="CO113" s="130"/>
      <c r="CP113" s="130"/>
      <c r="CQ113" s="130"/>
      <c r="CR113" s="130"/>
      <c r="CS113" s="130"/>
      <c r="CT113" s="130"/>
      <c r="CU113" s="130"/>
      <c r="CV113" s="130"/>
      <c r="CW113" s="130"/>
      <c r="CX113" s="130"/>
      <c r="CY113" s="130"/>
      <c r="CZ113" s="130"/>
      <c r="DA113" s="130"/>
      <c r="DB113" s="130"/>
      <c r="DC113" s="130"/>
      <c r="DD113" s="130"/>
      <c r="DE113" s="128"/>
      <c r="DF113" s="128"/>
    </row>
    <row r="114" spans="1:112" s="143" customFormat="1" ht="24.95" customHeight="1" x14ac:dyDescent="0.25">
      <c r="A114" s="128"/>
      <c r="B114" s="130"/>
      <c r="D114" s="130"/>
      <c r="E114" s="130"/>
      <c r="F114" s="130"/>
      <c r="G114" s="130"/>
      <c r="H114" s="130"/>
      <c r="I114" s="130"/>
      <c r="J114" s="130"/>
      <c r="K114" s="130"/>
      <c r="L114" s="154" t="s">
        <v>211</v>
      </c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  <c r="AT114" s="130"/>
      <c r="AU114" s="130"/>
      <c r="AV114" s="130"/>
      <c r="AW114" s="130"/>
      <c r="AX114" s="130"/>
      <c r="AY114" s="130"/>
      <c r="AZ114" s="130"/>
      <c r="BA114" s="130"/>
      <c r="BB114" s="130"/>
      <c r="BC114" s="130"/>
      <c r="BD114" s="130"/>
      <c r="BE114" s="130"/>
      <c r="BF114" s="130"/>
      <c r="BG114" s="130"/>
      <c r="BH114" s="130"/>
      <c r="BI114" s="130"/>
      <c r="BJ114" s="130"/>
      <c r="BK114" s="130"/>
      <c r="BL114" s="130"/>
      <c r="BM114" s="154" t="s">
        <v>210</v>
      </c>
      <c r="BN114" s="130"/>
      <c r="BO114" s="130"/>
      <c r="BP114" s="130"/>
      <c r="BQ114" s="130"/>
      <c r="BR114" s="130"/>
      <c r="BS114" s="130"/>
      <c r="BT114" s="130"/>
      <c r="BU114" s="130"/>
      <c r="BV114" s="130"/>
      <c r="BW114" s="130"/>
      <c r="BX114" s="130"/>
      <c r="BY114" s="130"/>
      <c r="BZ114" s="130"/>
      <c r="CA114" s="130"/>
      <c r="CB114" s="130"/>
      <c r="CC114" s="130"/>
      <c r="CD114" s="130"/>
      <c r="CE114" s="130"/>
      <c r="CF114" s="130"/>
      <c r="CG114" s="130"/>
      <c r="CH114" s="130"/>
      <c r="CI114" s="130"/>
      <c r="CJ114" s="130"/>
      <c r="CK114" s="130"/>
      <c r="CL114" s="130"/>
      <c r="CM114" s="130"/>
      <c r="CN114" s="130"/>
      <c r="CO114" s="130"/>
      <c r="CP114" s="130"/>
      <c r="CQ114" s="130"/>
      <c r="CR114" s="130"/>
      <c r="CS114" s="130"/>
      <c r="CT114" s="130"/>
      <c r="CU114" s="130"/>
      <c r="CV114" s="130"/>
      <c r="CW114" s="130"/>
      <c r="CX114" s="130"/>
      <c r="CY114" s="130"/>
      <c r="CZ114" s="130"/>
      <c r="DA114" s="130"/>
      <c r="DB114" s="130"/>
      <c r="DC114" s="130"/>
      <c r="DD114" s="130"/>
      <c r="DE114" s="128"/>
      <c r="DF114" s="128"/>
    </row>
    <row r="115" spans="1:112" s="143" customFormat="1" ht="24.95" customHeight="1" x14ac:dyDescent="0.25">
      <c r="A115" s="128"/>
      <c r="B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  <c r="AT115" s="130"/>
      <c r="AU115" s="130"/>
      <c r="AV115" s="130"/>
      <c r="AW115" s="130"/>
      <c r="AX115" s="130"/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  <c r="BK115" s="130"/>
      <c r="BL115" s="130"/>
      <c r="BM115" s="130"/>
      <c r="BN115" s="130"/>
      <c r="BO115" s="130"/>
      <c r="BP115" s="130"/>
      <c r="BQ115" s="130"/>
      <c r="BR115" s="130"/>
      <c r="BS115" s="130"/>
      <c r="BT115" s="130"/>
      <c r="BU115" s="130"/>
      <c r="BV115" s="130"/>
      <c r="BW115" s="130"/>
      <c r="BX115" s="130"/>
      <c r="BY115" s="130"/>
      <c r="BZ115" s="130"/>
      <c r="CA115" s="130"/>
      <c r="CB115" s="130"/>
      <c r="CC115" s="130"/>
      <c r="CD115" s="130"/>
      <c r="CE115" s="130"/>
      <c r="CF115" s="130"/>
      <c r="CG115" s="130"/>
      <c r="CH115" s="130"/>
      <c r="CI115" s="130"/>
      <c r="CJ115" s="130"/>
      <c r="CK115" s="130"/>
      <c r="CL115" s="130"/>
      <c r="CM115" s="130"/>
      <c r="CN115" s="130"/>
      <c r="CO115" s="130"/>
      <c r="CP115" s="130"/>
      <c r="CQ115" s="130"/>
      <c r="CR115" s="130"/>
      <c r="CS115" s="130"/>
      <c r="CT115" s="130"/>
      <c r="CU115" s="130"/>
      <c r="CV115" s="130"/>
      <c r="CW115" s="130"/>
      <c r="CX115" s="130"/>
      <c r="CY115" s="130"/>
      <c r="CZ115" s="130"/>
      <c r="DA115" s="130"/>
      <c r="DB115" s="130"/>
      <c r="DC115" s="130"/>
      <c r="DD115" s="130"/>
      <c r="DE115" s="128"/>
      <c r="DF115" s="128"/>
    </row>
    <row r="116" spans="1:112" s="314" customFormat="1" ht="15.6" customHeight="1" x14ac:dyDescent="0.25">
      <c r="A116" s="315"/>
      <c r="B116" s="317"/>
      <c r="C116" s="317"/>
      <c r="D116" s="329"/>
      <c r="E116" s="338"/>
      <c r="F116" s="338"/>
      <c r="G116" s="338"/>
      <c r="H116" s="338"/>
      <c r="I116" s="338"/>
      <c r="J116" s="338"/>
      <c r="K116" s="338"/>
      <c r="L116" s="338"/>
      <c r="M116" s="338"/>
      <c r="N116" s="338"/>
      <c r="O116" s="338"/>
      <c r="P116" s="338"/>
      <c r="Q116" s="338"/>
      <c r="R116" s="338"/>
      <c r="S116" s="338"/>
      <c r="T116" s="338"/>
      <c r="U116" s="338"/>
      <c r="V116" s="338"/>
      <c r="W116" s="338"/>
      <c r="X116" s="337"/>
      <c r="Y116" s="324"/>
      <c r="Z116" s="324"/>
      <c r="AA116" s="324"/>
      <c r="AB116" s="324"/>
      <c r="AC116" s="324"/>
      <c r="AD116" s="324"/>
      <c r="AE116" s="324"/>
      <c r="AF116" s="324"/>
      <c r="AG116" s="324"/>
      <c r="AH116" s="336"/>
      <c r="AI116" s="336"/>
      <c r="AJ116" s="336"/>
      <c r="AK116" s="336"/>
      <c r="AL116" s="336"/>
      <c r="AM116" s="335"/>
      <c r="AX116" s="317"/>
      <c r="AY116" s="317"/>
      <c r="AZ116" s="317"/>
      <c r="BA116" s="317"/>
      <c r="BB116" s="317"/>
      <c r="BC116" s="317"/>
      <c r="BD116" s="317"/>
      <c r="BE116" s="317"/>
      <c r="BF116" s="317"/>
      <c r="BG116" s="317"/>
      <c r="BH116" s="317"/>
      <c r="BI116" s="317"/>
      <c r="BJ116" s="317"/>
      <c r="BK116" s="317"/>
      <c r="BL116" s="317"/>
      <c r="BM116" s="317"/>
      <c r="BN116" s="317"/>
      <c r="BO116" s="317"/>
      <c r="BP116" s="317"/>
      <c r="BQ116" s="317"/>
      <c r="BR116" s="317"/>
      <c r="BS116" s="317"/>
      <c r="BT116" s="317"/>
      <c r="BU116" s="317"/>
      <c r="BV116" s="317"/>
      <c r="BW116" s="317"/>
      <c r="BX116" s="317"/>
      <c r="BY116" s="317"/>
      <c r="BZ116" s="317"/>
      <c r="CA116" s="317"/>
      <c r="CB116" s="317"/>
      <c r="CC116" s="317"/>
      <c r="CD116" s="317"/>
      <c r="CE116" s="317"/>
      <c r="CF116" s="317"/>
      <c r="CG116" s="317"/>
      <c r="CH116" s="317"/>
      <c r="CI116" s="317"/>
      <c r="CJ116" s="317"/>
      <c r="CK116" s="317"/>
      <c r="CL116" s="317"/>
      <c r="CM116" s="317"/>
      <c r="CN116" s="317"/>
      <c r="CO116" s="317"/>
      <c r="CP116" s="317"/>
      <c r="CQ116" s="317"/>
      <c r="CR116" s="317"/>
      <c r="CS116" s="317"/>
      <c r="CT116" s="317"/>
      <c r="CU116" s="317"/>
      <c r="CV116" s="317"/>
      <c r="CW116" s="317"/>
      <c r="CX116" s="317"/>
      <c r="CY116" s="317"/>
      <c r="CZ116" s="317"/>
      <c r="DA116" s="326"/>
      <c r="DB116" s="317"/>
      <c r="DC116" s="317"/>
      <c r="DD116" s="317"/>
      <c r="DE116" s="315"/>
      <c r="DF116" s="315"/>
      <c r="DH116" s="316"/>
    </row>
    <row r="117" spans="1:112" s="314" customFormat="1" ht="30.75" x14ac:dyDescent="0.25">
      <c r="A117" s="315"/>
      <c r="B117" s="317"/>
      <c r="C117" s="317"/>
      <c r="E117" s="338"/>
      <c r="F117" s="338"/>
      <c r="G117" s="338"/>
      <c r="H117" s="338"/>
      <c r="I117" s="338"/>
      <c r="J117" s="338"/>
      <c r="K117" s="338"/>
      <c r="L117" s="338"/>
      <c r="M117" s="338"/>
      <c r="N117" s="338"/>
      <c r="O117" s="338"/>
      <c r="P117" s="338"/>
      <c r="Q117" s="338"/>
      <c r="R117" s="338"/>
      <c r="S117" s="338"/>
      <c r="T117" s="338"/>
      <c r="U117" s="338"/>
      <c r="V117" s="338"/>
      <c r="W117" s="338"/>
      <c r="X117" s="337"/>
      <c r="Y117" s="324"/>
      <c r="Z117" s="324"/>
      <c r="AA117" s="324"/>
      <c r="AB117" s="324"/>
      <c r="AC117" s="324"/>
      <c r="AD117" s="324"/>
      <c r="AE117" s="324"/>
      <c r="AF117" s="324"/>
      <c r="AG117" s="324"/>
      <c r="AH117" s="336"/>
      <c r="AI117" s="336"/>
      <c r="AJ117" s="336"/>
      <c r="AK117" s="336"/>
      <c r="AL117" s="336"/>
      <c r="AM117" s="335"/>
      <c r="AX117" s="317"/>
      <c r="AY117" s="317"/>
      <c r="AZ117" s="317"/>
      <c r="BA117" s="317"/>
      <c r="BB117" s="317"/>
      <c r="BC117" s="317"/>
      <c r="BD117" s="317"/>
      <c r="BE117" s="317"/>
      <c r="BF117" s="317"/>
      <c r="BG117" s="317"/>
      <c r="BH117" s="317"/>
      <c r="BI117" s="317"/>
      <c r="BJ117" s="317"/>
      <c r="BK117" s="317"/>
      <c r="BL117" s="317"/>
      <c r="BM117" s="317"/>
      <c r="BN117" s="317"/>
      <c r="BO117" s="317"/>
      <c r="BP117" s="317"/>
      <c r="BQ117" s="317"/>
      <c r="BR117" s="317"/>
      <c r="BS117" s="317"/>
      <c r="BT117" s="317"/>
      <c r="BU117" s="317"/>
      <c r="BV117" s="317"/>
      <c r="BW117" s="317"/>
      <c r="BX117" s="317"/>
      <c r="BY117" s="317"/>
      <c r="BZ117" s="317"/>
      <c r="CA117" s="317"/>
      <c r="CB117" s="317"/>
      <c r="CC117" s="317"/>
      <c r="CD117" s="317"/>
      <c r="CE117" s="317"/>
      <c r="CF117" s="317"/>
      <c r="CG117" s="317"/>
      <c r="CH117" s="317"/>
      <c r="CI117" s="317"/>
      <c r="CJ117" s="317"/>
      <c r="CK117" s="317"/>
      <c r="CL117" s="317"/>
      <c r="CM117" s="317"/>
      <c r="CN117" s="317"/>
      <c r="CO117" s="317"/>
      <c r="CP117" s="317"/>
      <c r="CQ117" s="317"/>
      <c r="CR117" s="317"/>
      <c r="CS117" s="317"/>
      <c r="CT117" s="317"/>
      <c r="CU117" s="317"/>
      <c r="CV117" s="317"/>
      <c r="CW117" s="317"/>
      <c r="CX117" s="317"/>
      <c r="CY117" s="317"/>
      <c r="CZ117" s="317"/>
      <c r="DA117" s="326"/>
      <c r="DB117" s="317"/>
      <c r="DC117" s="317"/>
      <c r="DD117" s="317"/>
      <c r="DE117" s="315"/>
      <c r="DF117" s="315"/>
      <c r="DH117" s="316"/>
    </row>
    <row r="118" spans="1:112" s="314" customFormat="1" ht="34.5" x14ac:dyDescent="0.25">
      <c r="A118" s="315"/>
      <c r="B118" s="317"/>
      <c r="C118" s="317"/>
      <c r="D118" s="209" t="s">
        <v>478</v>
      </c>
      <c r="E118" s="338"/>
      <c r="F118" s="338"/>
      <c r="G118" s="338"/>
      <c r="H118" s="338"/>
      <c r="I118" s="338"/>
      <c r="J118" s="338"/>
      <c r="K118" s="338"/>
      <c r="L118" s="338"/>
      <c r="M118" s="338"/>
      <c r="N118" s="338"/>
      <c r="O118" s="338"/>
      <c r="P118" s="338"/>
      <c r="Q118" s="338"/>
      <c r="R118" s="338"/>
      <c r="S118" s="338"/>
      <c r="T118" s="338"/>
      <c r="U118" s="338"/>
      <c r="V118" s="338"/>
      <c r="W118" s="338"/>
      <c r="X118" s="337"/>
      <c r="Y118" s="324"/>
      <c r="Z118" s="324"/>
      <c r="AA118" s="324"/>
      <c r="AB118" s="324"/>
      <c r="AC118" s="324"/>
      <c r="AD118" s="324"/>
      <c r="AE118" s="324"/>
      <c r="AF118" s="324"/>
      <c r="AG118" s="324"/>
      <c r="AH118" s="336"/>
      <c r="AI118" s="336"/>
      <c r="AJ118" s="336"/>
      <c r="AK118" s="336"/>
      <c r="AL118" s="336"/>
      <c r="AM118" s="335"/>
      <c r="AX118" s="317"/>
      <c r="AY118" s="317"/>
      <c r="AZ118" s="317"/>
      <c r="BA118" s="317"/>
      <c r="BB118" s="317"/>
      <c r="BC118" s="317"/>
      <c r="BD118" s="317"/>
      <c r="BE118" s="317"/>
      <c r="BF118" s="317"/>
      <c r="BG118" s="317"/>
      <c r="BH118" s="317"/>
      <c r="BI118" s="317"/>
      <c r="BJ118" s="317"/>
      <c r="BK118" s="317"/>
      <c r="BL118" s="317"/>
      <c r="BM118" s="317"/>
      <c r="BN118" s="317"/>
      <c r="BO118" s="317"/>
      <c r="BP118" s="317"/>
      <c r="BQ118" s="317"/>
      <c r="BR118" s="317"/>
      <c r="BS118" s="317"/>
      <c r="BT118" s="317"/>
      <c r="BU118" s="317"/>
      <c r="BV118" s="317"/>
      <c r="BW118" s="317"/>
      <c r="BX118" s="317"/>
      <c r="BY118" s="317"/>
      <c r="BZ118" s="317"/>
      <c r="CA118" s="317"/>
      <c r="CB118" s="317"/>
      <c r="CC118" s="317"/>
      <c r="CD118" s="317"/>
      <c r="CE118" s="317"/>
      <c r="CF118" s="317"/>
      <c r="CG118" s="317"/>
      <c r="CH118" s="317"/>
      <c r="CI118" s="317"/>
      <c r="CJ118" s="317"/>
      <c r="CK118" s="317"/>
      <c r="CL118" s="317"/>
      <c r="CM118" s="317"/>
      <c r="CN118" s="317"/>
      <c r="CO118" s="317"/>
      <c r="CP118" s="317"/>
      <c r="CQ118" s="317"/>
      <c r="CR118" s="317"/>
      <c r="CS118" s="317"/>
      <c r="CT118" s="317"/>
      <c r="CU118" s="317"/>
      <c r="CV118" s="317"/>
      <c r="CW118" s="317"/>
      <c r="CX118" s="317"/>
      <c r="CY118" s="317"/>
      <c r="CZ118" s="317"/>
      <c r="DA118" s="326"/>
      <c r="DB118" s="317"/>
      <c r="DC118" s="317"/>
      <c r="DD118" s="317"/>
      <c r="DE118" s="315"/>
      <c r="DF118" s="315"/>
      <c r="DH118" s="316"/>
    </row>
    <row r="119" spans="1:112" s="314" customFormat="1" ht="8.4499999999999993" customHeight="1" thickBot="1" x14ac:dyDescent="0.3">
      <c r="A119" s="315"/>
      <c r="B119" s="317"/>
      <c r="C119" s="317"/>
      <c r="D119" s="329"/>
      <c r="E119" s="338"/>
      <c r="F119" s="338"/>
      <c r="G119" s="338"/>
      <c r="H119" s="338"/>
      <c r="I119" s="338"/>
      <c r="J119" s="338"/>
      <c r="K119" s="338"/>
      <c r="L119" s="338"/>
      <c r="M119" s="338"/>
      <c r="N119" s="338"/>
      <c r="O119" s="338"/>
      <c r="P119" s="338"/>
      <c r="Q119" s="338"/>
      <c r="R119" s="338"/>
      <c r="S119" s="338"/>
      <c r="T119" s="338"/>
      <c r="U119" s="338"/>
      <c r="V119" s="338"/>
      <c r="W119" s="338"/>
      <c r="X119" s="337"/>
      <c r="Y119" s="324"/>
      <c r="Z119" s="324"/>
      <c r="AA119" s="324"/>
      <c r="AB119" s="324"/>
      <c r="AC119" s="324"/>
      <c r="AD119" s="324"/>
      <c r="AE119" s="324"/>
      <c r="AF119" s="324"/>
      <c r="AG119" s="324"/>
      <c r="AH119" s="336"/>
      <c r="AI119" s="336"/>
      <c r="AJ119" s="336"/>
      <c r="AK119" s="336"/>
      <c r="AL119" s="336"/>
      <c r="AM119" s="335"/>
      <c r="CI119" s="317"/>
      <c r="CJ119" s="317"/>
      <c r="CK119" s="317"/>
      <c r="CL119" s="317"/>
      <c r="CM119" s="317"/>
      <c r="CN119" s="317"/>
      <c r="CO119" s="317"/>
      <c r="CP119" s="317"/>
      <c r="CQ119" s="317"/>
      <c r="CR119" s="317"/>
      <c r="CS119" s="317"/>
      <c r="CT119" s="317"/>
      <c r="CU119" s="317"/>
      <c r="CV119" s="317"/>
      <c r="CW119" s="317"/>
      <c r="CX119" s="317"/>
      <c r="CY119" s="317"/>
      <c r="CZ119" s="317"/>
      <c r="DA119" s="326"/>
      <c r="DB119" s="317"/>
      <c r="DC119" s="317"/>
      <c r="DD119" s="317"/>
      <c r="DE119" s="315"/>
      <c r="DF119" s="315"/>
      <c r="DH119" s="316"/>
    </row>
    <row r="120" spans="1:112" s="314" customFormat="1" ht="27.6" customHeight="1" x14ac:dyDescent="0.25">
      <c r="A120" s="315"/>
      <c r="B120" s="317"/>
      <c r="C120" s="317"/>
      <c r="D120" s="313" t="s">
        <v>204</v>
      </c>
      <c r="E120" s="338"/>
      <c r="F120" s="338"/>
      <c r="G120" s="338"/>
      <c r="H120" s="338"/>
      <c r="I120" s="338"/>
      <c r="J120" s="338"/>
      <c r="K120" s="338"/>
      <c r="L120" s="338"/>
      <c r="M120" s="338"/>
      <c r="N120" s="338"/>
      <c r="O120" s="338"/>
      <c r="P120" s="338"/>
      <c r="Q120" s="338"/>
      <c r="R120" s="338"/>
      <c r="S120" s="338"/>
      <c r="T120" s="338"/>
      <c r="U120" s="338"/>
      <c r="V120" s="338"/>
      <c r="W120" s="338"/>
      <c r="X120" s="337"/>
      <c r="Y120" s="324"/>
      <c r="Z120" s="324"/>
      <c r="AA120" s="324"/>
      <c r="AB120" s="324"/>
      <c r="AC120" s="324"/>
      <c r="AD120" s="324"/>
      <c r="AE120" s="324"/>
      <c r="AF120" s="324"/>
      <c r="AG120" s="324"/>
      <c r="AH120" s="336"/>
      <c r="AI120" s="336"/>
      <c r="AJ120" s="320"/>
      <c r="AK120" s="320"/>
      <c r="AL120" s="320"/>
      <c r="AM120" s="320"/>
      <c r="AX120" s="516">
        <f>'Cálculos y Supuestos Balance'!C71</f>
        <v>29302.150652822736</v>
      </c>
      <c r="AY120" s="516"/>
      <c r="AZ120" s="516"/>
      <c r="BA120" s="516"/>
      <c r="BB120" s="516"/>
      <c r="BC120" s="516"/>
      <c r="BD120" s="516"/>
      <c r="BE120" s="516"/>
      <c r="BF120" s="330"/>
      <c r="BG120" s="330"/>
      <c r="BH120" s="330"/>
      <c r="BI120" s="330"/>
      <c r="BJ120" s="330"/>
      <c r="BK120" s="330"/>
      <c r="BL120" s="330"/>
      <c r="BM120" s="330"/>
      <c r="BN120" s="330"/>
      <c r="BO120" s="340" t="s">
        <v>443</v>
      </c>
      <c r="BP120" s="330"/>
      <c r="BQ120" s="492">
        <v>29302</v>
      </c>
      <c r="BR120" s="493"/>
      <c r="BS120" s="493"/>
      <c r="BT120" s="493"/>
      <c r="BU120" s="493"/>
      <c r="BV120" s="493"/>
      <c r="BW120" s="493"/>
      <c r="BX120" s="493"/>
      <c r="BY120" s="330"/>
      <c r="BZ120" s="204" t="s">
        <v>442</v>
      </c>
      <c r="CA120" s="339"/>
      <c r="CB120" s="339"/>
      <c r="CC120" s="339"/>
      <c r="CD120" s="339"/>
      <c r="CE120" s="339"/>
      <c r="CF120" s="339"/>
      <c r="CG120" s="339"/>
      <c r="CH120" s="339"/>
      <c r="CI120" s="339"/>
      <c r="CJ120" s="339"/>
      <c r="CK120" s="339"/>
      <c r="CL120" s="515">
        <f>'Entrevista Balance'!G28</f>
        <v>50000</v>
      </c>
      <c r="CM120" s="515"/>
      <c r="CN120" s="515"/>
      <c r="CO120" s="515"/>
      <c r="CP120" s="515"/>
      <c r="CQ120" s="515"/>
      <c r="CR120" s="515"/>
      <c r="CS120" s="515"/>
      <c r="CY120" s="317"/>
      <c r="CZ120" s="317"/>
      <c r="DA120" s="326"/>
      <c r="DB120" s="317"/>
      <c r="DC120" s="317"/>
      <c r="DD120" s="317"/>
      <c r="DE120" s="315"/>
      <c r="DF120" s="315"/>
      <c r="DH120" s="316"/>
    </row>
    <row r="121" spans="1:112" s="314" customFormat="1" ht="18.600000000000001" customHeight="1" x14ac:dyDescent="0.25">
      <c r="A121" s="315"/>
      <c r="B121" s="317"/>
      <c r="C121" s="317"/>
      <c r="D121" s="329"/>
      <c r="E121" s="338"/>
      <c r="F121" s="338"/>
      <c r="G121" s="338"/>
      <c r="H121" s="338"/>
      <c r="I121" s="338"/>
      <c r="J121" s="338"/>
      <c r="K121" s="338"/>
      <c r="L121" s="338"/>
      <c r="M121" s="338"/>
      <c r="N121" s="338"/>
      <c r="O121" s="338"/>
      <c r="P121" s="338"/>
      <c r="Q121" s="338"/>
      <c r="R121" s="338"/>
      <c r="S121" s="338"/>
      <c r="T121" s="338"/>
      <c r="U121" s="338"/>
      <c r="V121" s="338"/>
      <c r="W121" s="338"/>
      <c r="X121" s="337"/>
      <c r="Y121" s="324"/>
      <c r="Z121" s="324"/>
      <c r="AA121" s="324"/>
      <c r="AB121" s="324"/>
      <c r="AC121" s="324"/>
      <c r="AD121" s="324"/>
      <c r="AE121" s="324"/>
      <c r="AF121" s="324"/>
      <c r="AG121" s="324"/>
      <c r="AH121" s="336"/>
      <c r="AI121" s="336"/>
      <c r="AJ121" s="320"/>
      <c r="AK121" s="320"/>
      <c r="AL121" s="320"/>
      <c r="AM121" s="320"/>
      <c r="CT121" s="317"/>
      <c r="CU121" s="317"/>
      <c r="CV121" s="317"/>
      <c r="CW121" s="317"/>
      <c r="CX121" s="317"/>
      <c r="CY121" s="317"/>
      <c r="CZ121" s="317"/>
      <c r="DA121" s="326"/>
      <c r="DB121" s="317"/>
      <c r="DC121" s="317"/>
      <c r="DD121" s="317"/>
      <c r="DE121" s="315"/>
      <c r="DF121" s="315"/>
      <c r="DH121" s="316"/>
    </row>
    <row r="122" spans="1:112" s="330" customFormat="1" ht="30.75" x14ac:dyDescent="0.25">
      <c r="A122" s="332"/>
      <c r="B122" s="333"/>
      <c r="C122" s="333"/>
      <c r="D122" s="198" t="s">
        <v>441</v>
      </c>
      <c r="E122" s="328"/>
      <c r="F122" s="328"/>
      <c r="G122" s="328"/>
      <c r="H122" s="328"/>
      <c r="I122" s="328"/>
      <c r="J122" s="328"/>
      <c r="K122" s="328"/>
      <c r="L122" s="328"/>
      <c r="N122" s="517">
        <f>V9</f>
        <v>0</v>
      </c>
      <c r="O122" s="517"/>
      <c r="P122" s="517"/>
      <c r="Q122" s="517"/>
      <c r="R122" s="517"/>
      <c r="S122" s="517"/>
      <c r="T122" s="517"/>
      <c r="U122" s="517"/>
      <c r="V122" s="517"/>
      <c r="W122" s="517"/>
      <c r="X122" s="517"/>
      <c r="AA122" s="198" t="s">
        <v>440</v>
      </c>
      <c r="AB122" s="334"/>
      <c r="AC122" s="334"/>
      <c r="AD122" s="334"/>
      <c r="AE122" s="334"/>
      <c r="AF122" s="334"/>
      <c r="AG122" s="334"/>
      <c r="AH122" s="334"/>
      <c r="AI122" s="334"/>
      <c r="AL122" s="517">
        <f>V15</f>
        <v>0</v>
      </c>
      <c r="AM122" s="517"/>
      <c r="AN122" s="517"/>
      <c r="AO122" s="517"/>
      <c r="AP122" s="517"/>
      <c r="AQ122" s="517"/>
      <c r="AR122" s="517"/>
      <c r="AS122" s="517"/>
      <c r="AT122" s="517"/>
      <c r="AU122" s="517"/>
      <c r="AV122" s="517"/>
      <c r="AY122" s="198" t="s">
        <v>439</v>
      </c>
      <c r="AZ122" s="328"/>
      <c r="BA122" s="328"/>
      <c r="BB122" s="328"/>
      <c r="BC122" s="328"/>
      <c r="BD122" s="328"/>
      <c r="BE122" s="328"/>
      <c r="BF122" s="328"/>
      <c r="BG122" s="328"/>
      <c r="BL122" s="517">
        <f>V12</f>
        <v>1000000</v>
      </c>
      <c r="BM122" s="517"/>
      <c r="BN122" s="517"/>
      <c r="BO122" s="517"/>
      <c r="BP122" s="517"/>
      <c r="BQ122" s="517"/>
      <c r="BR122" s="517"/>
      <c r="BS122" s="517"/>
      <c r="BT122" s="517"/>
      <c r="BU122" s="517"/>
      <c r="BV122" s="517"/>
      <c r="BY122" s="198" t="s">
        <v>334</v>
      </c>
      <c r="BZ122" s="328"/>
      <c r="CA122" s="328"/>
      <c r="CB122" s="328"/>
      <c r="CC122" s="328"/>
      <c r="CD122" s="328"/>
      <c r="CE122" s="328"/>
      <c r="CF122" s="328"/>
      <c r="CG122" s="328"/>
      <c r="CH122" s="517">
        <f>V18</f>
        <v>0</v>
      </c>
      <c r="CI122" s="517"/>
      <c r="CJ122" s="517"/>
      <c r="CK122" s="517"/>
      <c r="CL122" s="517"/>
      <c r="CM122" s="517"/>
      <c r="CN122" s="517"/>
      <c r="CO122" s="517"/>
      <c r="CP122" s="517"/>
      <c r="CQ122" s="517"/>
      <c r="CR122" s="517"/>
      <c r="CU122" s="198" t="s">
        <v>339</v>
      </c>
      <c r="DC122" s="333"/>
      <c r="DD122" s="333"/>
      <c r="DE122" s="332"/>
      <c r="DF122" s="332"/>
      <c r="DH122" s="331"/>
    </row>
    <row r="123" spans="1:112" s="314" customFormat="1" ht="9.9499999999999993" customHeight="1" thickBot="1" x14ac:dyDescent="0.3">
      <c r="A123" s="315"/>
      <c r="B123" s="317"/>
      <c r="C123" s="317"/>
      <c r="D123" s="329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AA123" s="329"/>
      <c r="AC123" s="148"/>
      <c r="AD123" s="148"/>
      <c r="AE123" s="148"/>
      <c r="AF123" s="148"/>
      <c r="AG123" s="148"/>
      <c r="AH123" s="148"/>
      <c r="AI123" s="148"/>
      <c r="AJ123" s="148"/>
      <c r="AK123" s="148"/>
      <c r="AY123" s="329"/>
      <c r="BA123" s="148"/>
      <c r="BB123" s="148"/>
      <c r="BC123" s="148"/>
      <c r="BD123" s="148"/>
      <c r="BE123" s="148"/>
      <c r="BF123" s="148"/>
      <c r="BG123" s="148"/>
      <c r="BH123" s="148"/>
      <c r="BI123" s="148"/>
      <c r="BJ123" s="148"/>
      <c r="BL123" s="148"/>
      <c r="BM123" s="148"/>
      <c r="BN123" s="148"/>
      <c r="BY123" s="329"/>
      <c r="CA123" s="148"/>
      <c r="CB123" s="148"/>
      <c r="CC123" s="148"/>
      <c r="CD123" s="148"/>
      <c r="CE123" s="148"/>
      <c r="CF123" s="148"/>
      <c r="CG123" s="148"/>
      <c r="DC123" s="317"/>
      <c r="DD123" s="317"/>
      <c r="DE123" s="315"/>
      <c r="DF123" s="315"/>
      <c r="DH123" s="316"/>
    </row>
    <row r="124" spans="1:112" s="314" customFormat="1" ht="30.75" x14ac:dyDescent="0.85">
      <c r="A124" s="315"/>
      <c r="B124" s="317"/>
      <c r="C124" s="317"/>
      <c r="D124" s="270" t="s">
        <v>438</v>
      </c>
      <c r="E124" s="313"/>
      <c r="F124" s="313"/>
      <c r="G124" s="313"/>
      <c r="H124" s="510" t="s">
        <v>56</v>
      </c>
      <c r="I124" s="511"/>
      <c r="J124" s="511"/>
      <c r="K124" s="511"/>
      <c r="L124" s="148"/>
      <c r="M124" s="148"/>
      <c r="N124" s="313"/>
      <c r="O124" s="313"/>
      <c r="P124" s="270" t="s">
        <v>22</v>
      </c>
      <c r="Q124" s="148"/>
      <c r="R124" s="148"/>
      <c r="S124" s="148"/>
      <c r="T124" s="148"/>
      <c r="U124" s="510">
        <v>77</v>
      </c>
      <c r="V124" s="511"/>
      <c r="W124" s="511"/>
      <c r="X124" s="511"/>
      <c r="AA124" s="270" t="s">
        <v>438</v>
      </c>
      <c r="AB124" s="313"/>
      <c r="AC124" s="313"/>
      <c r="AD124" s="313"/>
      <c r="AE124" s="510" t="s">
        <v>94</v>
      </c>
      <c r="AF124" s="511"/>
      <c r="AG124" s="511"/>
      <c r="AH124" s="511"/>
      <c r="AI124" s="148"/>
      <c r="AJ124" s="148"/>
      <c r="AK124" s="148"/>
      <c r="AL124" s="313"/>
      <c r="AM124" s="313"/>
      <c r="AN124" s="270" t="s">
        <v>22</v>
      </c>
      <c r="AO124" s="148"/>
      <c r="AP124" s="148"/>
      <c r="AQ124" s="148"/>
      <c r="AR124" s="148"/>
      <c r="AS124" s="510">
        <v>65</v>
      </c>
      <c r="AT124" s="511"/>
      <c r="AU124" s="511"/>
      <c r="AV124" s="511"/>
      <c r="AY124" s="270" t="s">
        <v>438</v>
      </c>
      <c r="AZ124" s="313"/>
      <c r="BA124" s="313"/>
      <c r="BB124" s="313"/>
      <c r="BC124" s="510" t="s">
        <v>56</v>
      </c>
      <c r="BD124" s="511"/>
      <c r="BE124" s="511"/>
      <c r="BF124" s="511"/>
      <c r="BG124" s="148"/>
      <c r="BH124" s="148"/>
      <c r="BI124" s="148"/>
      <c r="BJ124" s="313"/>
      <c r="BK124" s="313"/>
      <c r="BL124" s="313"/>
      <c r="BM124" s="313"/>
      <c r="BN124" s="270" t="s">
        <v>22</v>
      </c>
      <c r="BO124" s="148"/>
      <c r="BP124" s="148"/>
      <c r="BQ124" s="148"/>
      <c r="BR124" s="148"/>
      <c r="BS124" s="510">
        <v>66</v>
      </c>
      <c r="BT124" s="511"/>
      <c r="BU124" s="511"/>
      <c r="BV124" s="511"/>
      <c r="BY124" s="270" t="s">
        <v>438</v>
      </c>
      <c r="BZ124" s="313"/>
      <c r="CA124" s="313"/>
      <c r="CB124" s="313"/>
      <c r="CC124" s="510" t="s">
        <v>56</v>
      </c>
      <c r="CD124" s="511"/>
      <c r="CE124" s="511"/>
      <c r="CF124" s="511"/>
      <c r="CG124" s="148"/>
      <c r="CH124" s="313"/>
      <c r="CI124" s="313"/>
      <c r="CJ124" s="270" t="s">
        <v>22</v>
      </c>
      <c r="CK124" s="148"/>
      <c r="CL124" s="148"/>
      <c r="CM124" s="148"/>
      <c r="CN124" s="148"/>
      <c r="CO124" s="510">
        <v>60</v>
      </c>
      <c r="CP124" s="511"/>
      <c r="CQ124" s="511"/>
      <c r="CR124" s="511"/>
      <c r="CT124" s="517">
        <f>V21</f>
        <v>0</v>
      </c>
      <c r="CU124" s="517"/>
      <c r="CV124" s="517"/>
      <c r="CW124" s="517"/>
      <c r="CX124" s="517"/>
      <c r="CY124" s="517"/>
      <c r="CZ124" s="517"/>
      <c r="DA124" s="517"/>
      <c r="DB124" s="517"/>
      <c r="DC124" s="517"/>
      <c r="DD124" s="317"/>
      <c r="DE124" s="315"/>
      <c r="DF124" s="315"/>
      <c r="DH124" s="316"/>
    </row>
    <row r="125" spans="1:112" s="314" customFormat="1" ht="15" customHeight="1" thickBot="1" x14ac:dyDescent="0.3">
      <c r="A125" s="315"/>
      <c r="B125" s="317"/>
      <c r="C125" s="317"/>
      <c r="AA125" s="329"/>
      <c r="AC125" s="148"/>
      <c r="AD125" s="148"/>
      <c r="AE125" s="148"/>
      <c r="AF125" s="148"/>
      <c r="AG125" s="148"/>
      <c r="AH125" s="148"/>
      <c r="AI125" s="148"/>
      <c r="AJ125" s="148"/>
      <c r="AK125" s="148"/>
      <c r="AL125" s="148"/>
      <c r="AM125" s="148"/>
      <c r="AN125" s="148"/>
      <c r="DC125" s="317"/>
      <c r="DD125" s="317"/>
      <c r="DE125" s="315"/>
      <c r="DF125" s="315"/>
      <c r="DH125" s="316"/>
    </row>
    <row r="126" spans="1:112" s="313" customFormat="1" ht="30.75" x14ac:dyDescent="0.25">
      <c r="A126" s="327"/>
      <c r="B126" s="161"/>
      <c r="C126" s="161"/>
      <c r="D126" s="270" t="s">
        <v>355</v>
      </c>
      <c r="E126" s="314"/>
      <c r="F126" s="314"/>
      <c r="G126" s="314"/>
      <c r="H126" s="314"/>
      <c r="I126" s="314"/>
      <c r="J126" s="314"/>
      <c r="K126" s="314"/>
      <c r="L126" s="314"/>
      <c r="M126" s="314"/>
      <c r="N126" s="508">
        <v>2000000</v>
      </c>
      <c r="O126" s="509"/>
      <c r="P126" s="509"/>
      <c r="Q126" s="509"/>
      <c r="R126" s="509"/>
      <c r="S126" s="509"/>
      <c r="T126" s="509"/>
      <c r="U126" s="509"/>
      <c r="V126" s="509"/>
      <c r="W126" s="509"/>
      <c r="X126" s="509"/>
      <c r="AA126" s="270" t="s">
        <v>355</v>
      </c>
      <c r="AB126" s="314"/>
      <c r="AC126" s="314"/>
      <c r="AD126" s="314"/>
      <c r="AE126" s="314"/>
      <c r="AF126" s="314"/>
      <c r="AG126" s="314"/>
      <c r="AH126" s="314"/>
      <c r="AI126" s="314"/>
      <c r="AJ126" s="314"/>
      <c r="AK126" s="314"/>
      <c r="AL126" s="508">
        <v>0</v>
      </c>
      <c r="AM126" s="509"/>
      <c r="AN126" s="509"/>
      <c r="AO126" s="509"/>
      <c r="AP126" s="509"/>
      <c r="AQ126" s="509"/>
      <c r="AR126" s="509"/>
      <c r="AS126" s="509"/>
      <c r="AT126" s="509"/>
      <c r="AU126" s="509"/>
      <c r="AV126" s="509"/>
      <c r="AY126" s="270" t="s">
        <v>355</v>
      </c>
      <c r="AZ126" s="314"/>
      <c r="BA126" s="314"/>
      <c r="BB126" s="314"/>
      <c r="BC126" s="314"/>
      <c r="BD126" s="314"/>
      <c r="BE126" s="314"/>
      <c r="BF126" s="314"/>
      <c r="BG126" s="314"/>
      <c r="BH126" s="314"/>
      <c r="BI126" s="314"/>
      <c r="BJ126" s="314"/>
      <c r="BK126" s="314"/>
      <c r="BL126" s="508">
        <v>1000000</v>
      </c>
      <c r="BM126" s="509"/>
      <c r="BN126" s="509"/>
      <c r="BO126" s="509"/>
      <c r="BP126" s="509"/>
      <c r="BQ126" s="509"/>
      <c r="BR126" s="509"/>
      <c r="BS126" s="509"/>
      <c r="BT126" s="509"/>
      <c r="BU126" s="509"/>
      <c r="BV126" s="509"/>
      <c r="BY126" s="270" t="s">
        <v>355</v>
      </c>
      <c r="BZ126" s="328"/>
      <c r="CA126" s="328"/>
      <c r="CB126" s="328"/>
      <c r="CC126" s="328"/>
      <c r="CD126" s="328"/>
      <c r="CE126" s="328"/>
      <c r="CF126" s="328"/>
      <c r="CG126" s="328"/>
      <c r="CH126" s="508">
        <v>0</v>
      </c>
      <c r="CI126" s="509"/>
      <c r="CJ126" s="509"/>
      <c r="CK126" s="509"/>
      <c r="CL126" s="509"/>
      <c r="CM126" s="509"/>
      <c r="CN126" s="509"/>
      <c r="CO126" s="509"/>
      <c r="CP126" s="509"/>
      <c r="CQ126" s="509"/>
      <c r="CR126" s="509"/>
      <c r="CU126" s="270" t="s">
        <v>22</v>
      </c>
      <c r="CV126" s="148"/>
      <c r="CW126" s="148"/>
      <c r="CX126" s="148"/>
      <c r="CY126" s="148"/>
      <c r="CZ126" s="514" t="str">
        <f>IF(CT124=0,"N/A",'Cálculos y Supuestos Balance'!C61)</f>
        <v>N/A</v>
      </c>
      <c r="DA126" s="514"/>
      <c r="DB126" s="514"/>
      <c r="DC126" s="514"/>
      <c r="DD126" s="161"/>
      <c r="DE126" s="327"/>
      <c r="DF126" s="327"/>
      <c r="DH126" s="316"/>
    </row>
    <row r="127" spans="1:112" s="314" customFormat="1" ht="15" customHeight="1" thickBot="1" x14ac:dyDescent="0.3">
      <c r="A127" s="315"/>
      <c r="B127" s="317"/>
      <c r="C127" s="317"/>
      <c r="V127" s="320"/>
      <c r="W127" s="320"/>
      <c r="X127" s="320"/>
      <c r="AB127" s="320"/>
      <c r="AC127" s="320"/>
      <c r="AD127" s="320"/>
      <c r="AE127" s="320"/>
      <c r="AF127" s="320"/>
      <c r="AG127" s="320"/>
      <c r="AH127" s="320"/>
      <c r="AI127" s="320"/>
      <c r="AJ127" s="320"/>
      <c r="BT127" s="320"/>
      <c r="BU127" s="320"/>
      <c r="BV127" s="320"/>
      <c r="BY127" s="317"/>
      <c r="BZ127" s="317"/>
      <c r="CA127" s="317"/>
      <c r="CB127" s="317"/>
      <c r="CC127" s="317"/>
      <c r="CD127" s="317"/>
      <c r="CE127" s="317"/>
      <c r="CF127" s="317"/>
      <c r="CG127" s="317"/>
      <c r="CQ127" s="326"/>
      <c r="CR127" s="317"/>
      <c r="DB127" s="325" t="str">
        <f>IF(CT124&gt;0,"*Supuesto","")</f>
        <v/>
      </c>
      <c r="DC127" s="317"/>
      <c r="DD127" s="317"/>
      <c r="DE127" s="315"/>
      <c r="DF127" s="315"/>
      <c r="DH127" s="316"/>
    </row>
    <row r="128" spans="1:112" s="314" customFormat="1" ht="30.75" x14ac:dyDescent="0.25">
      <c r="A128" s="315"/>
      <c r="B128" s="317"/>
      <c r="C128" s="317"/>
      <c r="D128" s="270" t="s">
        <v>354</v>
      </c>
      <c r="O128" s="508">
        <v>0</v>
      </c>
      <c r="P128" s="509"/>
      <c r="Q128" s="509"/>
      <c r="R128" s="509"/>
      <c r="S128" s="509"/>
      <c r="T128" s="509"/>
      <c r="U128" s="509"/>
      <c r="V128" s="509"/>
      <c r="W128" s="509"/>
      <c r="X128" s="509"/>
      <c r="AB128" s="320"/>
      <c r="AC128" s="320"/>
      <c r="AY128" s="270" t="s">
        <v>437</v>
      </c>
      <c r="BL128" s="508">
        <f>BP129</f>
        <v>20000</v>
      </c>
      <c r="BM128" s="509"/>
      <c r="BN128" s="509"/>
      <c r="BO128" s="509"/>
      <c r="BP128" s="509"/>
      <c r="BQ128" s="509"/>
      <c r="BR128" s="509"/>
      <c r="BS128" s="509"/>
      <c r="BT128" s="509"/>
      <c r="BU128" s="509"/>
      <c r="BV128" s="509"/>
      <c r="BY128" s="270" t="s">
        <v>437</v>
      </c>
      <c r="CH128" s="508">
        <f>CL129</f>
        <v>0</v>
      </c>
      <c r="CI128" s="509"/>
      <c r="CJ128" s="509"/>
      <c r="CK128" s="509"/>
      <c r="CL128" s="509"/>
      <c r="CM128" s="509"/>
      <c r="CN128" s="509"/>
      <c r="CO128" s="509"/>
      <c r="CP128" s="509"/>
      <c r="CQ128" s="509"/>
      <c r="CR128" s="509"/>
      <c r="DC128" s="317"/>
      <c r="DD128" s="317"/>
      <c r="DE128" s="315"/>
      <c r="DF128" s="315"/>
      <c r="DH128" s="316"/>
    </row>
    <row r="129" spans="1:112" s="314" customFormat="1" ht="18.600000000000001" customHeight="1" x14ac:dyDescent="0.25">
      <c r="A129" s="315"/>
      <c r="B129" s="317"/>
      <c r="C129" s="317"/>
      <c r="D129" s="204" t="s">
        <v>436</v>
      </c>
      <c r="AB129" s="320"/>
      <c r="AC129" s="320"/>
      <c r="AD129" s="320"/>
      <c r="AE129" s="320"/>
      <c r="AF129" s="320"/>
      <c r="AG129" s="320"/>
      <c r="AH129" s="320"/>
      <c r="AI129" s="320"/>
      <c r="AJ129" s="320"/>
      <c r="AY129" s="204" t="s">
        <v>483</v>
      </c>
      <c r="BM129" s="318"/>
      <c r="BN129" s="318"/>
      <c r="BO129" s="318"/>
      <c r="BP129" s="515">
        <f>'Entrevista Balance'!G30</f>
        <v>20000</v>
      </c>
      <c r="BQ129" s="515"/>
      <c r="BR129" s="515"/>
      <c r="BS129" s="515"/>
      <c r="BT129" s="515"/>
      <c r="BU129" s="515"/>
      <c r="BV129" s="515"/>
      <c r="BY129" s="204" t="s">
        <v>482</v>
      </c>
      <c r="BZ129" s="380"/>
      <c r="CA129" s="379"/>
      <c r="CB129" s="379"/>
      <c r="CC129" s="379"/>
      <c r="CD129" s="379"/>
      <c r="CE129" s="379"/>
      <c r="CL129" s="515">
        <f>'Entrevista Balance'!G32</f>
        <v>0</v>
      </c>
      <c r="CM129" s="515"/>
      <c r="CN129" s="515"/>
      <c r="CO129" s="515"/>
      <c r="CP129" s="515"/>
      <c r="CQ129" s="515"/>
      <c r="CR129" s="515"/>
      <c r="CS129" s="318"/>
      <c r="CT129" s="318"/>
      <c r="CV129" s="318"/>
      <c r="DC129" s="317"/>
      <c r="DD129" s="317"/>
      <c r="DE129" s="315"/>
      <c r="DF129" s="315"/>
      <c r="DH129" s="316"/>
    </row>
    <row r="130" spans="1:112" s="314" customFormat="1" ht="18.600000000000001" customHeight="1" x14ac:dyDescent="0.25">
      <c r="A130" s="315"/>
      <c r="B130" s="317"/>
      <c r="C130" s="317"/>
      <c r="D130" s="204"/>
      <c r="AB130" s="320"/>
      <c r="AC130" s="320"/>
      <c r="AD130" s="320"/>
      <c r="AE130" s="320"/>
      <c r="AF130" s="320"/>
      <c r="AG130" s="320"/>
      <c r="AH130" s="320"/>
      <c r="AI130" s="320"/>
      <c r="AJ130" s="320"/>
      <c r="AY130" s="204"/>
      <c r="BM130" s="318"/>
      <c r="BN130" s="318"/>
      <c r="BO130" s="318"/>
      <c r="BP130" s="381"/>
      <c r="BQ130" s="381"/>
      <c r="BR130" s="381"/>
      <c r="BS130" s="381"/>
      <c r="BT130" s="381"/>
      <c r="BU130" s="381"/>
      <c r="BV130" s="381"/>
      <c r="BY130" s="204"/>
      <c r="BZ130" s="380"/>
      <c r="CA130" s="379"/>
      <c r="CB130" s="379"/>
      <c r="CC130" s="379"/>
      <c r="CD130" s="379"/>
      <c r="CE130" s="379"/>
      <c r="CL130" s="381"/>
      <c r="CM130" s="381"/>
      <c r="CN130" s="381"/>
      <c r="CO130" s="381"/>
      <c r="CP130" s="381"/>
      <c r="CQ130" s="381"/>
      <c r="CR130" s="381"/>
      <c r="CS130" s="318"/>
      <c r="CT130" s="318"/>
      <c r="CV130" s="318"/>
      <c r="DC130" s="317"/>
      <c r="DD130" s="317"/>
      <c r="DE130" s="315"/>
      <c r="DF130" s="315"/>
      <c r="DH130" s="316"/>
    </row>
    <row r="131" spans="1:112" s="314" customFormat="1" ht="18.600000000000001" customHeight="1" x14ac:dyDescent="0.25">
      <c r="A131" s="315"/>
      <c r="B131" s="317"/>
      <c r="C131" s="317"/>
      <c r="D131" s="319"/>
      <c r="AB131" s="320"/>
      <c r="AC131" s="320"/>
      <c r="AD131" s="320"/>
      <c r="AE131" s="320"/>
      <c r="AF131" s="320"/>
      <c r="AG131" s="320"/>
      <c r="AH131" s="320"/>
      <c r="AI131" s="320"/>
      <c r="AJ131" s="320"/>
      <c r="BA131" s="317"/>
      <c r="BB131" s="317"/>
      <c r="BC131" s="317"/>
      <c r="BD131" s="317"/>
      <c r="BE131" s="319"/>
      <c r="BS131" s="318"/>
      <c r="BT131" s="318"/>
      <c r="BU131" s="318"/>
      <c r="BV131" s="318"/>
      <c r="BW131" s="318"/>
      <c r="BX131" s="318"/>
      <c r="BY131" s="318"/>
      <c r="BZ131" s="318"/>
      <c r="CA131" s="318"/>
      <c r="CB131" s="318"/>
      <c r="CC131" s="317"/>
      <c r="CD131" s="317"/>
      <c r="CE131" s="319"/>
      <c r="CS131" s="318"/>
      <c r="CT131" s="318"/>
      <c r="CU131" s="318"/>
      <c r="CV131" s="318"/>
      <c r="CW131" s="318"/>
      <c r="CX131" s="318"/>
      <c r="CY131" s="318"/>
      <c r="CZ131" s="318"/>
      <c r="DA131" s="318"/>
      <c r="DB131" s="318"/>
      <c r="DC131" s="317"/>
      <c r="DD131" s="317"/>
      <c r="DE131" s="315"/>
      <c r="DF131" s="315"/>
      <c r="DH131" s="316"/>
    </row>
    <row r="132" spans="1:112" s="314" customFormat="1" ht="11.1" customHeight="1" x14ac:dyDescent="0.25">
      <c r="A132" s="315"/>
      <c r="B132" s="317"/>
      <c r="C132" s="317"/>
      <c r="D132" s="319"/>
      <c r="AB132" s="320"/>
      <c r="AC132" s="320"/>
      <c r="AD132" s="320"/>
      <c r="AE132" s="320"/>
      <c r="AF132" s="320"/>
      <c r="AG132" s="320"/>
      <c r="AH132" s="320"/>
      <c r="AI132" s="320"/>
      <c r="AJ132" s="320"/>
      <c r="BA132" s="317"/>
      <c r="BB132" s="317"/>
      <c r="BC132" s="317"/>
      <c r="BD132" s="317"/>
      <c r="BE132" s="319"/>
      <c r="BS132" s="318"/>
      <c r="BT132" s="318"/>
      <c r="BU132" s="318"/>
      <c r="BV132" s="318"/>
      <c r="BW132" s="318"/>
      <c r="BX132" s="318"/>
      <c r="BY132" s="318"/>
      <c r="BZ132" s="318"/>
      <c r="CA132" s="318"/>
      <c r="CB132" s="318"/>
      <c r="CC132" s="317"/>
      <c r="CD132" s="317"/>
      <c r="CE132" s="319"/>
      <c r="CS132" s="318"/>
      <c r="CT132" s="318"/>
      <c r="CU132" s="318"/>
      <c r="CV132" s="318"/>
      <c r="CW132" s="318"/>
      <c r="CX132" s="318"/>
      <c r="CY132" s="318"/>
      <c r="CZ132" s="318"/>
      <c r="DA132" s="318"/>
      <c r="DB132" s="318"/>
      <c r="DC132" s="317"/>
      <c r="DD132" s="317"/>
      <c r="DE132" s="315"/>
      <c r="DF132" s="315"/>
      <c r="DH132" s="316"/>
    </row>
    <row r="133" spans="1:112" s="314" customFormat="1" ht="30.75" x14ac:dyDescent="0.25">
      <c r="A133" s="315"/>
      <c r="B133" s="317"/>
      <c r="C133" s="317"/>
      <c r="D133" s="270" t="s">
        <v>275</v>
      </c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520">
        <f>'Cálculos y Supuestos Balance'!C35</f>
        <v>6630749.3748739948</v>
      </c>
      <c r="S133" s="520"/>
      <c r="T133" s="520"/>
      <c r="U133" s="520"/>
      <c r="V133" s="520"/>
      <c r="W133" s="520"/>
      <c r="X133" s="520"/>
      <c r="Y133" s="520"/>
      <c r="Z133" s="520"/>
      <c r="AA133" s="520"/>
      <c r="AB133" s="520"/>
      <c r="AD133" s="270" t="s">
        <v>435</v>
      </c>
      <c r="AM133" s="522">
        <f>'Cálculos y Supuestos Balance'!C38</f>
        <v>1000000</v>
      </c>
      <c r="AN133" s="522"/>
      <c r="AO133" s="522"/>
      <c r="AP133" s="522"/>
      <c r="AQ133" s="522"/>
      <c r="AR133" s="522"/>
      <c r="AS133" s="522"/>
      <c r="AT133" s="522"/>
      <c r="AU133" s="522"/>
      <c r="AV133" s="522"/>
      <c r="AW133" s="522"/>
      <c r="AZ133" s="270" t="s">
        <v>434</v>
      </c>
      <c r="BJ133" s="520">
        <f xml:space="preserve"> BQ120 * (((1 + (TasaReal/12))^((EdaddeRetiro - EdadActual)*12) - 1) / (TasaReal/12))</f>
        <v>3696443.6365115615</v>
      </c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232"/>
      <c r="BV133" s="232"/>
      <c r="BW133" s="231" t="s">
        <v>278</v>
      </c>
      <c r="BX133" s="232"/>
      <c r="BY133" s="232"/>
      <c r="BZ133" s="232"/>
      <c r="CA133" s="521">
        <f>R133-AM133+BJ133</f>
        <v>9327193.0113855563</v>
      </c>
      <c r="CB133" s="521"/>
      <c r="CC133" s="521"/>
      <c r="CD133" s="521"/>
      <c r="CE133" s="521"/>
      <c r="CF133" s="521"/>
      <c r="CG133" s="521"/>
      <c r="CH133" s="521"/>
      <c r="CI133" s="521"/>
      <c r="CJ133" s="521"/>
      <c r="CK133" s="521"/>
      <c r="CN133" s="231" t="s">
        <v>480</v>
      </c>
      <c r="CT133" s="519">
        <f>'Cálculos y Supuestos Balance'!BC99+IF(H124="No",N122,N122-N126)+IF(AE124="No",AL122,AL122-AL126)+IF(BC124="No",BL122,BL122-BL126)+IF(CC124="No",CH122,CH122-CH126)</f>
        <v>1000000</v>
      </c>
      <c r="CU133" s="519"/>
      <c r="CV133" s="519"/>
      <c r="CW133" s="519"/>
      <c r="CX133" s="519"/>
      <c r="CY133" s="519"/>
      <c r="CZ133" s="519"/>
      <c r="DA133" s="519"/>
      <c r="DB133" s="519"/>
      <c r="DC133" s="519"/>
      <c r="DD133" s="317"/>
      <c r="DE133" s="315"/>
      <c r="DF133" s="315"/>
      <c r="DH133" s="316"/>
    </row>
    <row r="134" spans="1:112" s="314" customFormat="1" ht="18" customHeight="1" x14ac:dyDescent="0.25">
      <c r="A134" s="315"/>
      <c r="B134" s="317"/>
      <c r="C134" s="317"/>
      <c r="BA134" s="148"/>
      <c r="BB134" s="148"/>
      <c r="CD134" s="232"/>
      <c r="CE134" s="232"/>
      <c r="CF134" s="232"/>
      <c r="CG134" s="232"/>
      <c r="CH134" s="232"/>
      <c r="CI134" s="232"/>
      <c r="CJ134" s="232"/>
      <c r="CK134" s="232"/>
      <c r="CL134" s="232"/>
      <c r="CM134" s="232"/>
      <c r="CN134" s="231"/>
      <c r="CO134" s="232"/>
      <c r="CP134" s="232"/>
      <c r="CQ134" s="232"/>
      <c r="CR134" s="322"/>
      <c r="CS134" s="322"/>
      <c r="CT134" s="322"/>
      <c r="CU134" s="322"/>
      <c r="CV134" s="322"/>
      <c r="CW134" s="322"/>
      <c r="CX134" s="322"/>
      <c r="CY134" s="322"/>
      <c r="CZ134" s="322"/>
      <c r="DA134" s="322"/>
      <c r="DB134" s="322"/>
      <c r="DC134" s="317"/>
      <c r="DD134" s="317"/>
      <c r="DE134" s="315"/>
      <c r="DF134" s="315"/>
      <c r="DH134" s="316"/>
    </row>
    <row r="135" spans="1:112" s="314" customFormat="1" ht="30.6" customHeight="1" x14ac:dyDescent="0.25">
      <c r="A135" s="315"/>
      <c r="B135" s="317"/>
      <c r="C135" s="317"/>
      <c r="BA135" s="148"/>
      <c r="BB135" s="148"/>
      <c r="CD135" s="232"/>
      <c r="CE135" s="232"/>
      <c r="CF135" s="232"/>
      <c r="CG135" s="232"/>
      <c r="CH135" s="232"/>
      <c r="CI135" s="232"/>
      <c r="CJ135" s="232"/>
      <c r="CK135" s="232"/>
      <c r="CL135" s="232"/>
      <c r="CM135" s="518" t="str">
        <f>IF(AND(CT133&gt;=500000,CT133&lt;=10000000),"Blindaje Patrimonial",IF(CT133&gt;10000000,"Fideicomiso","No aplica producto de legado"))</f>
        <v>Blindaje Patrimonial</v>
      </c>
      <c r="CN135" s="518"/>
      <c r="CO135" s="518"/>
      <c r="CP135" s="518"/>
      <c r="CQ135" s="518"/>
      <c r="CR135" s="518"/>
      <c r="CS135" s="518"/>
      <c r="CT135" s="518"/>
      <c r="CU135" s="518"/>
      <c r="CV135" s="518"/>
      <c r="CW135" s="518"/>
      <c r="CX135" s="518"/>
      <c r="CY135" s="518"/>
      <c r="CZ135" s="518"/>
      <c r="DA135" s="518"/>
      <c r="DB135" s="518"/>
      <c r="DC135" s="518"/>
      <c r="DD135" s="317"/>
      <c r="DE135" s="315"/>
      <c r="DF135" s="315"/>
      <c r="DH135" s="316"/>
    </row>
    <row r="136" spans="1:112" s="314" customFormat="1" ht="30.75" x14ac:dyDescent="0.25">
      <c r="A136" s="315"/>
      <c r="B136" s="317"/>
      <c r="C136" s="317"/>
      <c r="BA136" s="148"/>
      <c r="BB136" s="148"/>
      <c r="CD136" s="232"/>
      <c r="CE136" s="232"/>
      <c r="CF136" s="232"/>
      <c r="CG136" s="232"/>
      <c r="CH136" s="232"/>
      <c r="CI136" s="232"/>
      <c r="CJ136" s="232"/>
      <c r="CK136" s="232"/>
      <c r="CL136" s="232"/>
      <c r="CM136" s="232"/>
      <c r="CN136" s="231"/>
      <c r="CO136" s="232"/>
      <c r="CP136" s="232"/>
      <c r="CQ136" s="232"/>
      <c r="CR136" s="322"/>
      <c r="CS136" s="322"/>
      <c r="CT136" s="322"/>
      <c r="CU136" s="322"/>
      <c r="CV136" s="322"/>
      <c r="CW136" s="322"/>
      <c r="CX136" s="322"/>
      <c r="CY136" s="322"/>
      <c r="CZ136" s="322"/>
      <c r="DA136" s="322"/>
      <c r="DB136" s="322"/>
      <c r="DC136" s="317"/>
      <c r="DD136" s="317"/>
      <c r="DE136" s="315"/>
      <c r="DF136" s="315"/>
      <c r="DH136" s="316"/>
    </row>
    <row r="137" spans="1:112" s="314" customFormat="1" ht="30.75" x14ac:dyDescent="0.25">
      <c r="A137" s="315"/>
      <c r="B137" s="317"/>
      <c r="C137" s="317"/>
      <c r="BA137" s="148"/>
      <c r="BB137" s="148"/>
      <c r="CD137" s="232"/>
      <c r="CE137" s="232"/>
      <c r="CF137" s="232"/>
      <c r="CG137" s="232"/>
      <c r="CH137" s="232"/>
      <c r="CI137" s="232"/>
      <c r="CJ137" s="232"/>
      <c r="CK137" s="232"/>
      <c r="CL137" s="232"/>
      <c r="CM137" s="232"/>
      <c r="CN137" s="231"/>
      <c r="CO137" s="232"/>
      <c r="CP137" s="232"/>
      <c r="CQ137" s="232"/>
      <c r="CR137" s="322"/>
      <c r="CS137" s="322"/>
      <c r="CT137" s="322"/>
      <c r="CU137" s="322"/>
      <c r="CV137" s="322"/>
      <c r="CW137" s="322"/>
      <c r="CX137" s="322"/>
      <c r="CY137" s="322"/>
      <c r="CZ137" s="322"/>
      <c r="DA137" s="322"/>
      <c r="DB137" s="322"/>
      <c r="DC137" s="317"/>
      <c r="DD137" s="317"/>
      <c r="DE137" s="315"/>
      <c r="DF137" s="315"/>
      <c r="DH137" s="316"/>
    </row>
    <row r="138" spans="1:112" s="314" customFormat="1" ht="30.75" x14ac:dyDescent="0.25">
      <c r="A138" s="315"/>
      <c r="B138" s="317"/>
      <c r="C138" s="317"/>
      <c r="CL138" s="232"/>
      <c r="CM138" s="232"/>
      <c r="CN138" s="231"/>
      <c r="CO138" s="232"/>
      <c r="CP138" s="232"/>
      <c r="CQ138" s="232"/>
      <c r="CR138" s="322"/>
      <c r="CS138" s="322"/>
      <c r="CT138" s="322"/>
      <c r="CU138" s="322"/>
      <c r="CV138" s="322"/>
      <c r="CW138" s="322"/>
      <c r="CX138" s="322"/>
      <c r="CY138" s="322"/>
      <c r="CZ138" s="322"/>
      <c r="DA138" s="322"/>
      <c r="DB138" s="322"/>
      <c r="DC138" s="317"/>
      <c r="DD138" s="317"/>
      <c r="DE138" s="315"/>
      <c r="DF138" s="315"/>
      <c r="DH138" s="316"/>
    </row>
    <row r="139" spans="1:112" s="314" customFormat="1" ht="30.75" x14ac:dyDescent="0.25">
      <c r="A139" s="315"/>
      <c r="B139" s="317"/>
      <c r="C139" s="317"/>
      <c r="D139" s="270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323"/>
      <c r="S139" s="323"/>
      <c r="T139" s="323"/>
      <c r="U139" s="323"/>
      <c r="V139" s="323"/>
      <c r="W139" s="323"/>
      <c r="X139" s="323"/>
      <c r="Y139" s="323"/>
      <c r="Z139" s="323"/>
      <c r="AA139" s="323"/>
      <c r="AB139" s="323"/>
      <c r="AD139" s="324"/>
      <c r="AE139" s="324"/>
      <c r="AG139" s="270"/>
      <c r="AP139" s="323"/>
      <c r="AQ139" s="323"/>
      <c r="AR139" s="323"/>
      <c r="AS139" s="323"/>
      <c r="AT139" s="323"/>
      <c r="AU139" s="323"/>
      <c r="AV139" s="323"/>
      <c r="AW139" s="323"/>
      <c r="AX139" s="323"/>
      <c r="AY139" s="323"/>
      <c r="AZ139" s="323"/>
      <c r="BA139" s="148"/>
      <c r="BB139" s="148"/>
      <c r="BE139" s="270"/>
      <c r="BO139" s="323"/>
      <c r="BP139" s="323"/>
      <c r="BQ139" s="323"/>
      <c r="BR139" s="323"/>
      <c r="BS139" s="323"/>
      <c r="BT139" s="323"/>
      <c r="BU139" s="323"/>
      <c r="BV139" s="323"/>
      <c r="BW139" s="323"/>
      <c r="BX139" s="323"/>
      <c r="BY139" s="323"/>
      <c r="CD139" s="232"/>
      <c r="CE139" s="232"/>
      <c r="CF139" s="232"/>
      <c r="CG139" s="232"/>
      <c r="CH139" s="232"/>
      <c r="CI139" s="232"/>
      <c r="CJ139" s="232"/>
      <c r="CK139" s="232"/>
      <c r="CL139" s="232"/>
      <c r="CM139" s="232"/>
      <c r="CN139" s="231"/>
      <c r="CO139" s="232"/>
      <c r="CP139" s="232"/>
      <c r="CQ139" s="232"/>
      <c r="CR139" s="322"/>
      <c r="CS139" s="322"/>
      <c r="CT139" s="322"/>
      <c r="CU139" s="322"/>
      <c r="CV139" s="322"/>
      <c r="CW139" s="322"/>
      <c r="CX139" s="322"/>
      <c r="CY139" s="322"/>
      <c r="CZ139" s="322"/>
      <c r="DA139" s="322"/>
      <c r="DB139" s="322"/>
      <c r="DC139" s="317"/>
      <c r="DD139" s="317"/>
      <c r="DE139" s="315"/>
      <c r="DF139" s="315"/>
      <c r="DH139" s="316"/>
    </row>
    <row r="140" spans="1:112" s="314" customFormat="1" ht="30.75" x14ac:dyDescent="0.25">
      <c r="A140" s="315"/>
      <c r="B140" s="317"/>
      <c r="C140" s="317"/>
      <c r="D140" s="270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323"/>
      <c r="S140" s="323"/>
      <c r="T140" s="323"/>
      <c r="U140" s="323"/>
      <c r="V140" s="323"/>
      <c r="W140" s="323"/>
      <c r="X140" s="323"/>
      <c r="Y140" s="323"/>
      <c r="Z140" s="323"/>
      <c r="AA140" s="323"/>
      <c r="AB140" s="323"/>
      <c r="AD140" s="324"/>
      <c r="AE140" s="324"/>
      <c r="AG140" s="270"/>
      <c r="AP140" s="323"/>
      <c r="AQ140" s="323"/>
      <c r="AR140" s="323"/>
      <c r="AS140" s="323"/>
      <c r="AT140" s="323"/>
      <c r="AU140" s="323"/>
      <c r="AV140" s="323"/>
      <c r="AW140" s="323"/>
      <c r="AX140" s="323"/>
      <c r="AY140" s="323"/>
      <c r="AZ140" s="323"/>
      <c r="BA140" s="148"/>
      <c r="BB140" s="148"/>
      <c r="BE140" s="270"/>
      <c r="BO140" s="323"/>
      <c r="BP140" s="323"/>
      <c r="BQ140" s="323"/>
      <c r="BR140" s="323"/>
      <c r="BS140" s="323"/>
      <c r="BT140" s="323"/>
      <c r="BU140" s="323"/>
      <c r="BV140" s="323"/>
      <c r="BW140" s="323"/>
      <c r="BX140" s="323"/>
      <c r="BY140" s="323"/>
      <c r="CD140" s="232"/>
      <c r="CE140" s="232"/>
      <c r="CF140" s="232"/>
      <c r="CG140" s="232"/>
      <c r="CH140" s="232"/>
      <c r="CI140" s="232"/>
      <c r="CJ140" s="232"/>
      <c r="CK140" s="232"/>
      <c r="CL140" s="232"/>
      <c r="CM140" s="232"/>
      <c r="CN140" s="231"/>
      <c r="CO140" s="232"/>
      <c r="CP140" s="232"/>
      <c r="CQ140" s="232"/>
      <c r="CR140" s="322"/>
      <c r="CS140" s="322"/>
      <c r="CT140" s="322"/>
      <c r="CU140" s="322"/>
      <c r="CV140" s="322"/>
      <c r="CW140" s="322"/>
      <c r="CX140" s="322"/>
      <c r="CY140" s="322"/>
      <c r="CZ140" s="322"/>
      <c r="DA140" s="322"/>
      <c r="DB140" s="322"/>
      <c r="DC140" s="317"/>
      <c r="DD140" s="317"/>
      <c r="DE140" s="315"/>
      <c r="DF140" s="315"/>
      <c r="DH140" s="316"/>
    </row>
    <row r="141" spans="1:112" s="314" customFormat="1" ht="30.75" x14ac:dyDescent="0.25">
      <c r="A141" s="315"/>
      <c r="B141" s="317"/>
      <c r="C141" s="317"/>
      <c r="D141" s="270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323"/>
      <c r="S141" s="323"/>
      <c r="T141" s="323"/>
      <c r="U141" s="323"/>
      <c r="V141" s="323"/>
      <c r="W141" s="323"/>
      <c r="X141" s="323"/>
      <c r="Y141" s="323"/>
      <c r="Z141" s="323"/>
      <c r="AA141" s="323"/>
      <c r="AB141" s="323"/>
      <c r="AD141" s="324"/>
      <c r="AE141" s="324"/>
      <c r="AG141" s="270"/>
      <c r="AP141" s="323"/>
      <c r="AQ141" s="323"/>
      <c r="AR141" s="323"/>
      <c r="AS141" s="323"/>
      <c r="AT141" s="323"/>
      <c r="AU141" s="323"/>
      <c r="AV141" s="323"/>
      <c r="AW141" s="323"/>
      <c r="AX141" s="323"/>
      <c r="AY141" s="323"/>
      <c r="AZ141" s="323"/>
      <c r="BA141" s="148"/>
      <c r="BB141" s="148"/>
      <c r="BE141" s="270"/>
      <c r="BO141" s="323"/>
      <c r="BP141" s="323"/>
      <c r="BQ141" s="323"/>
      <c r="BR141" s="323"/>
      <c r="BS141" s="323"/>
      <c r="BT141" s="323"/>
      <c r="BU141" s="323"/>
      <c r="BV141" s="323"/>
      <c r="BW141" s="323"/>
      <c r="BX141" s="323"/>
      <c r="BY141" s="323"/>
      <c r="CD141" s="232"/>
      <c r="CE141" s="232"/>
      <c r="CF141" s="232"/>
      <c r="CG141" s="232"/>
      <c r="CH141" s="232"/>
      <c r="CI141" s="232"/>
      <c r="CJ141" s="232"/>
      <c r="CK141" s="232"/>
      <c r="CL141" s="232"/>
      <c r="CM141" s="232"/>
      <c r="CN141" s="231"/>
      <c r="CO141" s="232"/>
      <c r="CP141" s="232"/>
      <c r="CQ141" s="232"/>
      <c r="CR141" s="322"/>
      <c r="CS141" s="322"/>
      <c r="CT141" s="322"/>
      <c r="CU141" s="322"/>
      <c r="CV141" s="322"/>
      <c r="CW141" s="322"/>
      <c r="CX141" s="322"/>
      <c r="CY141" s="322"/>
      <c r="CZ141" s="322"/>
      <c r="DA141" s="322"/>
      <c r="DB141" s="322"/>
      <c r="DC141" s="317"/>
      <c r="DD141" s="317"/>
      <c r="DE141" s="315"/>
      <c r="DF141" s="315"/>
      <c r="DH141" s="316"/>
    </row>
    <row r="142" spans="1:112" s="314" customFormat="1" ht="30.75" x14ac:dyDescent="0.25">
      <c r="A142" s="315"/>
      <c r="B142" s="317"/>
      <c r="C142" s="317"/>
      <c r="D142" s="270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323"/>
      <c r="S142" s="323"/>
      <c r="T142" s="323"/>
      <c r="U142" s="323"/>
      <c r="V142" s="323"/>
      <c r="W142" s="323"/>
      <c r="X142" s="323"/>
      <c r="Y142" s="323"/>
      <c r="Z142" s="323"/>
      <c r="AA142" s="323"/>
      <c r="AB142" s="323"/>
      <c r="AD142" s="324"/>
      <c r="AE142" s="324"/>
      <c r="AG142" s="270"/>
      <c r="AP142" s="323"/>
      <c r="AQ142" s="323"/>
      <c r="AR142" s="323"/>
      <c r="AS142" s="323"/>
      <c r="AT142" s="323"/>
      <c r="AU142" s="323"/>
      <c r="AV142" s="323"/>
      <c r="AW142" s="323"/>
      <c r="AX142" s="323"/>
      <c r="AY142" s="323"/>
      <c r="AZ142" s="323"/>
      <c r="BA142" s="148"/>
      <c r="BB142" s="148"/>
      <c r="BE142" s="270"/>
      <c r="BO142" s="323"/>
      <c r="BP142" s="323"/>
      <c r="BQ142" s="323"/>
      <c r="BR142" s="323"/>
      <c r="BS142" s="323"/>
      <c r="BT142" s="323"/>
      <c r="BU142" s="323"/>
      <c r="BV142" s="323"/>
      <c r="BW142" s="323"/>
      <c r="BX142" s="323"/>
      <c r="BY142" s="323"/>
      <c r="CD142" s="232"/>
      <c r="CE142" s="232"/>
      <c r="CF142" s="232"/>
      <c r="CG142" s="232"/>
      <c r="CH142" s="232"/>
      <c r="CI142" s="232"/>
      <c r="CJ142" s="232"/>
      <c r="CK142" s="232"/>
      <c r="CL142" s="232"/>
      <c r="CM142" s="232"/>
      <c r="CN142" s="231"/>
      <c r="CO142" s="232"/>
      <c r="CP142" s="232"/>
      <c r="CQ142" s="232"/>
      <c r="CR142" s="322"/>
      <c r="CS142" s="322"/>
      <c r="CT142" s="322"/>
      <c r="CU142" s="322"/>
      <c r="CV142" s="322"/>
      <c r="CW142" s="322"/>
      <c r="CX142" s="322"/>
      <c r="CY142" s="322"/>
      <c r="CZ142" s="322"/>
      <c r="DA142" s="322"/>
      <c r="DB142" s="322"/>
      <c r="DC142" s="317"/>
      <c r="DD142" s="317"/>
      <c r="DE142" s="315"/>
      <c r="DF142" s="315"/>
      <c r="DH142" s="316"/>
    </row>
    <row r="143" spans="1:112" s="314" customFormat="1" ht="30.75" x14ac:dyDescent="0.25">
      <c r="A143" s="315"/>
      <c r="B143" s="317"/>
      <c r="C143" s="317"/>
      <c r="D143" s="270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323"/>
      <c r="S143" s="323"/>
      <c r="T143" s="323"/>
      <c r="U143" s="323"/>
      <c r="V143" s="323"/>
      <c r="W143" s="323"/>
      <c r="X143" s="323"/>
      <c r="Y143" s="323"/>
      <c r="Z143" s="323"/>
      <c r="AA143" s="323"/>
      <c r="AB143" s="323"/>
      <c r="AD143" s="324"/>
      <c r="AE143" s="324"/>
      <c r="AG143" s="270"/>
      <c r="AP143" s="323"/>
      <c r="AQ143" s="323"/>
      <c r="AR143" s="323"/>
      <c r="AS143" s="323"/>
      <c r="AT143" s="323"/>
      <c r="AU143" s="323"/>
      <c r="AV143" s="323"/>
      <c r="AW143" s="323"/>
      <c r="AX143" s="323"/>
      <c r="AY143" s="323"/>
      <c r="AZ143" s="323"/>
      <c r="BA143" s="148"/>
      <c r="BB143" s="148"/>
      <c r="BE143" s="270"/>
      <c r="BO143" s="323"/>
      <c r="BP143" s="323"/>
      <c r="BQ143" s="323"/>
      <c r="BR143" s="323"/>
      <c r="BS143" s="323"/>
      <c r="BT143" s="323"/>
      <c r="BU143" s="323"/>
      <c r="BV143" s="323"/>
      <c r="BW143" s="323"/>
      <c r="BX143" s="323"/>
      <c r="BY143" s="323"/>
      <c r="CD143" s="232"/>
      <c r="CE143" s="232"/>
      <c r="CF143" s="232"/>
      <c r="CG143" s="232"/>
      <c r="CH143" s="232"/>
      <c r="CI143" s="232"/>
      <c r="CJ143" s="232"/>
      <c r="CK143" s="232"/>
      <c r="CL143" s="232"/>
      <c r="CM143" s="232"/>
      <c r="CN143" s="231"/>
      <c r="CO143" s="232"/>
      <c r="CP143" s="232"/>
      <c r="CQ143" s="232"/>
      <c r="CR143" s="322"/>
      <c r="CS143" s="322"/>
      <c r="CT143" s="322"/>
      <c r="CU143" s="322"/>
      <c r="CV143" s="322"/>
      <c r="CW143" s="322"/>
      <c r="CX143" s="322"/>
      <c r="CY143" s="322"/>
      <c r="CZ143" s="322"/>
      <c r="DA143" s="322"/>
      <c r="DB143" s="322"/>
      <c r="DC143" s="317"/>
      <c r="DD143" s="317"/>
      <c r="DE143" s="315"/>
      <c r="DF143" s="315"/>
      <c r="DH143" s="316"/>
    </row>
    <row r="144" spans="1:112" s="314" customFormat="1" ht="30.75" x14ac:dyDescent="0.25">
      <c r="A144" s="315"/>
      <c r="B144" s="317"/>
      <c r="C144" s="317"/>
      <c r="D144" s="270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323"/>
      <c r="S144" s="323"/>
      <c r="T144" s="323"/>
      <c r="U144" s="323"/>
      <c r="V144" s="323"/>
      <c r="W144" s="323"/>
      <c r="X144" s="323"/>
      <c r="Y144" s="323"/>
      <c r="Z144" s="323"/>
      <c r="AA144" s="323"/>
      <c r="AB144" s="323"/>
      <c r="AD144" s="324"/>
      <c r="AE144" s="324"/>
      <c r="AG144" s="270"/>
      <c r="AP144" s="323"/>
      <c r="AQ144" s="323"/>
      <c r="AR144" s="323"/>
      <c r="AS144" s="323"/>
      <c r="AT144" s="323"/>
      <c r="AU144" s="323"/>
      <c r="AV144" s="323"/>
      <c r="AW144" s="323"/>
      <c r="AX144" s="323"/>
      <c r="AY144" s="323"/>
      <c r="AZ144" s="323"/>
      <c r="BA144" s="148"/>
      <c r="BB144" s="148"/>
      <c r="BE144" s="270"/>
      <c r="BO144" s="323"/>
      <c r="BP144" s="323"/>
      <c r="BQ144" s="323"/>
      <c r="BR144" s="323"/>
      <c r="BS144" s="323"/>
      <c r="BT144" s="323"/>
      <c r="BU144" s="323"/>
      <c r="BV144" s="323"/>
      <c r="BW144" s="323"/>
      <c r="BX144" s="323"/>
      <c r="BY144" s="323"/>
      <c r="CD144" s="232"/>
      <c r="CE144" s="232"/>
      <c r="CF144" s="232"/>
      <c r="CG144" s="232"/>
      <c r="CH144" s="232"/>
      <c r="CI144" s="232"/>
      <c r="CJ144" s="232"/>
      <c r="CK144" s="232"/>
      <c r="CL144" s="232"/>
      <c r="CM144" s="232"/>
      <c r="CN144" s="231"/>
      <c r="CO144" s="232"/>
      <c r="CP144" s="232"/>
      <c r="CQ144" s="232"/>
      <c r="CR144" s="322"/>
      <c r="CS144" s="322"/>
      <c r="CT144" s="322"/>
      <c r="CU144" s="322"/>
      <c r="CV144" s="322"/>
      <c r="CW144" s="322"/>
      <c r="CX144" s="322"/>
      <c r="CY144" s="322"/>
      <c r="CZ144" s="322"/>
      <c r="DA144" s="322"/>
      <c r="DB144" s="322"/>
      <c r="DC144" s="317"/>
      <c r="DD144" s="317"/>
      <c r="DE144" s="315"/>
      <c r="DF144" s="315"/>
      <c r="DH144" s="316"/>
    </row>
    <row r="145" spans="1:112" s="314" customFormat="1" ht="30.75" x14ac:dyDescent="0.25">
      <c r="A145" s="315"/>
      <c r="B145" s="317"/>
      <c r="C145" s="317"/>
      <c r="D145" s="270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323"/>
      <c r="S145" s="323"/>
      <c r="T145" s="323"/>
      <c r="U145" s="323"/>
      <c r="V145" s="323"/>
      <c r="W145" s="323"/>
      <c r="X145" s="323"/>
      <c r="Y145" s="323"/>
      <c r="Z145" s="323"/>
      <c r="AA145" s="323"/>
      <c r="AB145" s="323"/>
      <c r="AD145" s="324"/>
      <c r="AE145" s="324"/>
      <c r="AG145" s="270"/>
      <c r="AP145" s="323"/>
      <c r="AQ145" s="323"/>
      <c r="AR145" s="323"/>
      <c r="AS145" s="323"/>
      <c r="AT145" s="323"/>
      <c r="AU145" s="323"/>
      <c r="AV145" s="323"/>
      <c r="AW145" s="323"/>
      <c r="AX145" s="323"/>
      <c r="AY145" s="323"/>
      <c r="AZ145" s="323"/>
      <c r="BA145" s="148"/>
      <c r="BB145" s="148"/>
      <c r="BE145" s="270"/>
      <c r="BO145" s="323"/>
      <c r="BP145" s="323"/>
      <c r="BQ145" s="323"/>
      <c r="BR145" s="323"/>
      <c r="BS145" s="323"/>
      <c r="BT145" s="323"/>
      <c r="BU145" s="323"/>
      <c r="BV145" s="323"/>
      <c r="BW145" s="323"/>
      <c r="BX145" s="323"/>
      <c r="BY145" s="323"/>
      <c r="CD145" s="232"/>
      <c r="CE145" s="232"/>
      <c r="CF145" s="232"/>
      <c r="CG145" s="232"/>
      <c r="CH145" s="232"/>
      <c r="CI145" s="232"/>
      <c r="CJ145" s="232"/>
      <c r="CK145" s="232"/>
      <c r="CL145" s="232"/>
      <c r="CM145" s="232"/>
      <c r="CN145" s="231"/>
      <c r="CO145" s="232"/>
      <c r="CP145" s="232"/>
      <c r="CQ145" s="232"/>
      <c r="CR145" s="322"/>
      <c r="CS145" s="322"/>
      <c r="CT145" s="322"/>
      <c r="CU145" s="322"/>
      <c r="CV145" s="322"/>
      <c r="CW145" s="322"/>
      <c r="CX145" s="322"/>
      <c r="CY145" s="322"/>
      <c r="CZ145" s="322"/>
      <c r="DA145" s="322"/>
      <c r="DB145" s="322"/>
      <c r="DC145" s="317"/>
      <c r="DD145" s="317"/>
      <c r="DE145" s="315"/>
      <c r="DF145" s="315"/>
      <c r="DH145" s="316"/>
    </row>
    <row r="146" spans="1:112" s="314" customFormat="1" ht="30.75" x14ac:dyDescent="0.25">
      <c r="A146" s="315"/>
      <c r="B146" s="317"/>
      <c r="C146" s="317"/>
      <c r="D146" s="270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323"/>
      <c r="S146" s="323"/>
      <c r="T146" s="323"/>
      <c r="U146" s="323"/>
      <c r="V146" s="323"/>
      <c r="W146" s="323"/>
      <c r="X146" s="323"/>
      <c r="Y146" s="323"/>
      <c r="Z146" s="323"/>
      <c r="AA146" s="323"/>
      <c r="AB146" s="323"/>
      <c r="AD146" s="324"/>
      <c r="AE146" s="324"/>
      <c r="AG146" s="270"/>
      <c r="AP146" s="323"/>
      <c r="AQ146" s="323"/>
      <c r="AR146" s="323"/>
      <c r="AS146" s="323"/>
      <c r="AT146" s="323"/>
      <c r="AU146" s="323"/>
      <c r="AV146" s="323"/>
      <c r="AW146" s="323"/>
      <c r="AX146" s="323"/>
      <c r="AY146" s="323"/>
      <c r="AZ146" s="323"/>
      <c r="BA146" s="148"/>
      <c r="BB146" s="148"/>
      <c r="BE146" s="270"/>
      <c r="BO146" s="323"/>
      <c r="BP146" s="323"/>
      <c r="BQ146" s="323"/>
      <c r="BR146" s="323"/>
      <c r="BS146" s="323"/>
      <c r="BT146" s="323"/>
      <c r="BU146" s="323"/>
      <c r="BV146" s="323"/>
      <c r="BW146" s="323"/>
      <c r="BX146" s="323"/>
      <c r="BY146" s="323"/>
      <c r="CD146" s="232"/>
      <c r="CE146" s="232"/>
      <c r="CF146" s="232"/>
      <c r="CG146" s="232"/>
      <c r="CH146" s="232"/>
      <c r="CI146" s="232"/>
      <c r="CJ146" s="232"/>
      <c r="CK146" s="232"/>
      <c r="CL146" s="232"/>
      <c r="CM146" s="232"/>
      <c r="CN146" s="231"/>
      <c r="CO146" s="232"/>
      <c r="CP146" s="232"/>
      <c r="CQ146" s="232"/>
      <c r="CR146" s="322"/>
      <c r="CS146" s="322"/>
      <c r="CT146" s="322"/>
      <c r="CU146" s="322"/>
      <c r="CV146" s="322"/>
      <c r="CW146" s="322"/>
      <c r="CX146" s="322"/>
      <c r="CY146" s="322"/>
      <c r="CZ146" s="322"/>
      <c r="DA146" s="322"/>
      <c r="DB146" s="322"/>
      <c r="DC146" s="317"/>
      <c r="DD146" s="317"/>
      <c r="DE146" s="315"/>
      <c r="DF146" s="315"/>
      <c r="DH146" s="316"/>
    </row>
    <row r="147" spans="1:112" s="314" customFormat="1" ht="30.75" x14ac:dyDescent="0.25">
      <c r="A147" s="315"/>
      <c r="B147" s="317"/>
      <c r="C147" s="317"/>
      <c r="D147" s="270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323"/>
      <c r="S147" s="323"/>
      <c r="T147" s="323"/>
      <c r="U147" s="323"/>
      <c r="V147" s="323"/>
      <c r="W147" s="323"/>
      <c r="X147" s="323"/>
      <c r="Y147" s="323"/>
      <c r="Z147" s="323"/>
      <c r="AA147" s="323"/>
      <c r="AB147" s="323"/>
      <c r="AD147" s="324"/>
      <c r="AE147" s="324"/>
      <c r="AG147" s="270"/>
      <c r="AP147" s="323"/>
      <c r="AQ147" s="323"/>
      <c r="AR147" s="323"/>
      <c r="AS147" s="323"/>
      <c r="AT147" s="323"/>
      <c r="AU147" s="323"/>
      <c r="AV147" s="323"/>
      <c r="AW147" s="323"/>
      <c r="AX147" s="323"/>
      <c r="AY147" s="323"/>
      <c r="AZ147" s="323"/>
      <c r="BA147" s="148"/>
      <c r="BB147" s="148"/>
      <c r="BE147" s="270"/>
      <c r="BO147" s="323"/>
      <c r="BP147" s="323"/>
      <c r="BQ147" s="323"/>
      <c r="BR147" s="323"/>
      <c r="BS147" s="323"/>
      <c r="BT147" s="323"/>
      <c r="BU147" s="323"/>
      <c r="BV147" s="323"/>
      <c r="BW147" s="323"/>
      <c r="BX147" s="323"/>
      <c r="BY147" s="323"/>
      <c r="CD147" s="232"/>
      <c r="CE147" s="232"/>
      <c r="CF147" s="232"/>
      <c r="CG147" s="232"/>
      <c r="CH147" s="232"/>
      <c r="CI147" s="232"/>
      <c r="CJ147" s="232"/>
      <c r="CK147" s="232"/>
      <c r="CL147" s="232"/>
      <c r="CM147" s="232"/>
      <c r="CN147" s="231"/>
      <c r="CO147" s="232"/>
      <c r="CP147" s="232"/>
      <c r="CQ147" s="232"/>
      <c r="CR147" s="322"/>
      <c r="CS147" s="322"/>
      <c r="CT147" s="322"/>
      <c r="CU147" s="322"/>
      <c r="CV147" s="322"/>
      <c r="CW147" s="322"/>
      <c r="CX147" s="322"/>
      <c r="CY147" s="322"/>
      <c r="CZ147" s="322"/>
      <c r="DA147" s="322"/>
      <c r="DB147" s="322"/>
      <c r="DC147" s="317"/>
      <c r="DD147" s="317"/>
      <c r="DE147" s="315"/>
      <c r="DF147" s="315"/>
      <c r="DH147" s="316"/>
    </row>
    <row r="148" spans="1:112" s="314" customFormat="1" ht="30.75" x14ac:dyDescent="0.25">
      <c r="A148" s="315"/>
      <c r="B148" s="317"/>
      <c r="C148" s="317"/>
      <c r="D148" s="270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323"/>
      <c r="S148" s="323"/>
      <c r="T148" s="323"/>
      <c r="U148" s="323"/>
      <c r="V148" s="323"/>
      <c r="W148" s="323"/>
      <c r="X148" s="323"/>
      <c r="Y148" s="323"/>
      <c r="Z148" s="323"/>
      <c r="AA148" s="323"/>
      <c r="AB148" s="323"/>
      <c r="AD148" s="324"/>
      <c r="AE148" s="324"/>
      <c r="AG148" s="270"/>
      <c r="AP148" s="323"/>
      <c r="AQ148" s="323"/>
      <c r="AR148" s="323"/>
      <c r="AS148" s="323"/>
      <c r="AT148" s="323"/>
      <c r="AU148" s="323"/>
      <c r="AV148" s="323"/>
      <c r="AW148" s="323"/>
      <c r="AX148" s="323"/>
      <c r="AY148" s="323"/>
      <c r="AZ148" s="323"/>
      <c r="BA148" s="148"/>
      <c r="BB148" s="148"/>
      <c r="BE148" s="270"/>
      <c r="BO148" s="323"/>
      <c r="BP148" s="323"/>
      <c r="BQ148" s="323"/>
      <c r="BR148" s="323"/>
      <c r="BS148" s="323"/>
      <c r="BT148" s="323"/>
      <c r="BU148" s="323"/>
      <c r="BV148" s="323"/>
      <c r="BW148" s="323"/>
      <c r="BX148" s="323"/>
      <c r="BY148" s="323"/>
      <c r="CD148" s="232"/>
      <c r="CE148" s="232"/>
      <c r="CF148" s="232"/>
      <c r="CG148" s="232"/>
      <c r="CH148" s="232"/>
      <c r="CI148" s="232"/>
      <c r="CJ148" s="232"/>
      <c r="CK148" s="232"/>
      <c r="CL148" s="232"/>
      <c r="CM148" s="232"/>
      <c r="CN148" s="231"/>
      <c r="CO148" s="232"/>
      <c r="CP148" s="232"/>
      <c r="CQ148" s="232"/>
      <c r="CR148" s="322"/>
      <c r="CS148" s="322"/>
      <c r="CT148" s="322"/>
      <c r="CU148" s="322"/>
      <c r="CV148" s="322"/>
      <c r="CW148" s="322"/>
      <c r="CX148" s="322"/>
      <c r="CY148" s="322"/>
      <c r="CZ148" s="322"/>
      <c r="DA148" s="322"/>
      <c r="DB148" s="322"/>
      <c r="DC148" s="317"/>
      <c r="DD148" s="317"/>
      <c r="DE148" s="315"/>
      <c r="DF148" s="315"/>
      <c r="DH148" s="316"/>
    </row>
    <row r="149" spans="1:112" s="314" customFormat="1" ht="30.75" x14ac:dyDescent="0.25">
      <c r="A149" s="315"/>
      <c r="B149" s="317"/>
      <c r="C149" s="317"/>
      <c r="D149" s="270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323"/>
      <c r="S149" s="323"/>
      <c r="T149" s="323"/>
      <c r="U149" s="323"/>
      <c r="V149" s="323"/>
      <c r="W149" s="323"/>
      <c r="X149" s="323"/>
      <c r="Y149" s="323"/>
      <c r="Z149" s="323"/>
      <c r="AA149" s="323"/>
      <c r="AB149" s="323"/>
      <c r="AD149" s="324"/>
      <c r="AE149" s="324"/>
      <c r="AG149" s="270"/>
      <c r="AP149" s="323"/>
      <c r="AQ149" s="323"/>
      <c r="AR149" s="323"/>
      <c r="AS149" s="323"/>
      <c r="AT149" s="323"/>
      <c r="AU149" s="323"/>
      <c r="AV149" s="323"/>
      <c r="AW149" s="323"/>
      <c r="AX149" s="323"/>
      <c r="AY149" s="323"/>
      <c r="AZ149" s="323"/>
      <c r="BA149" s="148"/>
      <c r="BB149" s="148"/>
      <c r="BE149" s="270"/>
      <c r="BO149" s="323"/>
      <c r="BP149" s="323"/>
      <c r="BQ149" s="323"/>
      <c r="BR149" s="323"/>
      <c r="BS149" s="323"/>
      <c r="BT149" s="323"/>
      <c r="BU149" s="323"/>
      <c r="BV149" s="323"/>
      <c r="BW149" s="323"/>
      <c r="BX149" s="323"/>
      <c r="BY149" s="323"/>
      <c r="CD149" s="232"/>
      <c r="CE149" s="232"/>
      <c r="CF149" s="232"/>
      <c r="CG149" s="232"/>
      <c r="CH149" s="232"/>
      <c r="CI149" s="232"/>
      <c r="CJ149" s="232"/>
      <c r="CK149" s="232"/>
      <c r="CL149" s="232"/>
      <c r="CM149" s="232"/>
      <c r="CN149" s="231"/>
      <c r="CO149" s="232"/>
      <c r="CP149" s="232"/>
      <c r="CQ149" s="232"/>
      <c r="CR149" s="322"/>
      <c r="CS149" s="322"/>
      <c r="CT149" s="322"/>
      <c r="CU149" s="322"/>
      <c r="CV149" s="322"/>
      <c r="CW149" s="322"/>
      <c r="CX149" s="322"/>
      <c r="CY149" s="322"/>
      <c r="CZ149" s="322"/>
      <c r="DA149" s="322"/>
      <c r="DB149" s="322"/>
      <c r="DC149" s="317"/>
      <c r="DD149" s="317"/>
      <c r="DE149" s="315"/>
      <c r="DF149" s="315"/>
      <c r="DH149" s="316"/>
    </row>
    <row r="150" spans="1:112" s="314" customFormat="1" ht="30.75" x14ac:dyDescent="0.25">
      <c r="A150" s="315"/>
      <c r="B150" s="317"/>
      <c r="C150" s="317"/>
      <c r="D150" s="270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323"/>
      <c r="S150" s="323"/>
      <c r="T150" s="323"/>
      <c r="U150" s="323"/>
      <c r="V150" s="323"/>
      <c r="W150" s="323"/>
      <c r="X150" s="323"/>
      <c r="Y150" s="323"/>
      <c r="Z150" s="323"/>
      <c r="AA150" s="323"/>
      <c r="AB150" s="323"/>
      <c r="AD150" s="324"/>
      <c r="AE150" s="324"/>
      <c r="AG150" s="270"/>
      <c r="AP150" s="323"/>
      <c r="AQ150" s="323"/>
      <c r="AR150" s="323"/>
      <c r="AS150" s="323"/>
      <c r="AT150" s="323"/>
      <c r="AU150" s="323"/>
      <c r="AV150" s="323"/>
      <c r="AW150" s="323"/>
      <c r="AX150" s="323"/>
      <c r="AY150" s="323"/>
      <c r="AZ150" s="323"/>
      <c r="BA150" s="148"/>
      <c r="BB150" s="148"/>
      <c r="BE150" s="270"/>
      <c r="BO150" s="323"/>
      <c r="BP150" s="323"/>
      <c r="BQ150" s="323"/>
      <c r="BR150" s="323"/>
      <c r="BS150" s="323"/>
      <c r="BT150" s="323"/>
      <c r="BU150" s="323"/>
      <c r="BV150" s="323"/>
      <c r="BW150" s="323"/>
      <c r="BX150" s="323"/>
      <c r="BY150" s="323"/>
      <c r="CD150" s="232"/>
      <c r="CE150" s="232"/>
      <c r="CF150" s="232"/>
      <c r="CG150" s="232"/>
      <c r="CH150" s="232"/>
      <c r="CI150" s="232"/>
      <c r="CJ150" s="232"/>
      <c r="CK150" s="232"/>
      <c r="CL150" s="232"/>
      <c r="CM150" s="232"/>
      <c r="CN150" s="231"/>
      <c r="CO150" s="232"/>
      <c r="CP150" s="232"/>
      <c r="CQ150" s="232"/>
      <c r="CR150" s="322"/>
      <c r="CS150" s="322"/>
      <c r="CT150" s="322"/>
      <c r="CU150" s="322"/>
      <c r="CV150" s="322"/>
      <c r="CW150" s="322"/>
      <c r="CX150" s="322"/>
      <c r="CY150" s="322"/>
      <c r="CZ150" s="322"/>
      <c r="DA150" s="322"/>
      <c r="DB150" s="322"/>
      <c r="DC150" s="317"/>
      <c r="DD150" s="317"/>
      <c r="DE150" s="315"/>
      <c r="DF150" s="315"/>
      <c r="DH150" s="316"/>
    </row>
    <row r="151" spans="1:112" s="314" customFormat="1" ht="30.75" x14ac:dyDescent="0.25">
      <c r="A151" s="315"/>
      <c r="B151" s="317"/>
      <c r="C151" s="317"/>
      <c r="D151" s="270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323"/>
      <c r="S151" s="323"/>
      <c r="T151" s="323"/>
      <c r="U151" s="323"/>
      <c r="V151" s="323"/>
      <c r="W151" s="323"/>
      <c r="X151" s="323"/>
      <c r="Y151" s="323"/>
      <c r="Z151" s="323"/>
      <c r="AA151" s="323"/>
      <c r="AB151" s="323"/>
      <c r="AD151" s="324"/>
      <c r="AE151" s="324"/>
      <c r="AG151" s="270"/>
      <c r="AP151" s="323"/>
      <c r="AQ151" s="323"/>
      <c r="AR151" s="323"/>
      <c r="AS151" s="323"/>
      <c r="AT151" s="323"/>
      <c r="AU151" s="323"/>
      <c r="AV151" s="323"/>
      <c r="AW151" s="323"/>
      <c r="AX151" s="323"/>
      <c r="AY151" s="323"/>
      <c r="AZ151" s="323"/>
      <c r="BA151" s="148"/>
      <c r="BB151" s="148"/>
      <c r="BE151" s="270"/>
      <c r="BO151" s="323"/>
      <c r="BP151" s="323"/>
      <c r="BQ151" s="323"/>
      <c r="BR151" s="323"/>
      <c r="BS151" s="323"/>
      <c r="BT151" s="323"/>
      <c r="BU151" s="323"/>
      <c r="BV151" s="323"/>
      <c r="BW151" s="323"/>
      <c r="BX151" s="323"/>
      <c r="BY151" s="323"/>
      <c r="CD151" s="232"/>
      <c r="CE151" s="232"/>
      <c r="CF151" s="232"/>
      <c r="CG151" s="232"/>
      <c r="CH151" s="232"/>
      <c r="CI151" s="232"/>
      <c r="CJ151" s="232"/>
      <c r="CK151" s="232"/>
      <c r="CL151" s="232"/>
      <c r="CM151" s="232"/>
      <c r="CN151" s="231"/>
      <c r="CO151" s="232"/>
      <c r="CP151" s="232"/>
      <c r="CQ151" s="232"/>
      <c r="CR151" s="322"/>
      <c r="CS151" s="322"/>
      <c r="CT151" s="322"/>
      <c r="CU151" s="322"/>
      <c r="CV151" s="322"/>
      <c r="CW151" s="322"/>
      <c r="CX151" s="322"/>
      <c r="CY151" s="322"/>
      <c r="CZ151" s="322"/>
      <c r="DA151" s="322"/>
      <c r="DB151" s="322"/>
      <c r="DC151" s="317"/>
      <c r="DD151" s="317"/>
      <c r="DE151" s="315"/>
      <c r="DF151" s="315"/>
      <c r="DH151" s="316"/>
    </row>
    <row r="152" spans="1:112" s="314" customFormat="1" ht="30.75" x14ac:dyDescent="0.25">
      <c r="A152" s="315"/>
      <c r="B152" s="317"/>
      <c r="C152" s="317"/>
      <c r="D152" s="270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323"/>
      <c r="S152" s="323"/>
      <c r="T152" s="323"/>
      <c r="U152" s="323"/>
      <c r="V152" s="323"/>
      <c r="W152" s="323"/>
      <c r="X152" s="323"/>
      <c r="Y152" s="323"/>
      <c r="Z152" s="323"/>
      <c r="AA152" s="323"/>
      <c r="AB152" s="323"/>
      <c r="AD152" s="324"/>
      <c r="AE152" s="324"/>
      <c r="AG152" s="270"/>
      <c r="AP152" s="323"/>
      <c r="AQ152" s="323"/>
      <c r="AR152" s="323"/>
      <c r="AS152" s="323"/>
      <c r="AT152" s="323"/>
      <c r="AU152" s="323"/>
      <c r="AV152" s="323"/>
      <c r="AW152" s="323"/>
      <c r="AX152" s="323"/>
      <c r="AY152" s="323"/>
      <c r="AZ152" s="323"/>
      <c r="BA152" s="148"/>
      <c r="BB152" s="148"/>
      <c r="BE152" s="270"/>
      <c r="BO152" s="323"/>
      <c r="BP152" s="323"/>
      <c r="BQ152" s="323"/>
      <c r="BR152" s="323"/>
      <c r="BS152" s="323"/>
      <c r="BT152" s="323"/>
      <c r="BU152" s="323"/>
      <c r="BV152" s="323"/>
      <c r="BW152" s="323"/>
      <c r="BX152" s="323"/>
      <c r="BY152" s="323"/>
      <c r="CD152" s="232"/>
      <c r="CE152" s="232"/>
      <c r="CF152" s="232"/>
      <c r="CG152" s="232"/>
      <c r="CH152" s="232"/>
      <c r="CI152" s="232"/>
      <c r="CJ152" s="232"/>
      <c r="CK152" s="232"/>
      <c r="CL152" s="232"/>
      <c r="CM152" s="232"/>
      <c r="CN152" s="231"/>
      <c r="CO152" s="232"/>
      <c r="CP152" s="232"/>
      <c r="CQ152" s="232"/>
      <c r="CR152" s="322"/>
      <c r="CS152" s="322"/>
      <c r="CT152" s="322"/>
      <c r="CU152" s="322"/>
      <c r="CV152" s="322"/>
      <c r="CW152" s="322"/>
      <c r="CX152" s="322"/>
      <c r="CY152" s="322"/>
      <c r="CZ152" s="322"/>
      <c r="DA152" s="322"/>
      <c r="DB152" s="322"/>
      <c r="DC152" s="317"/>
      <c r="DD152" s="317"/>
      <c r="DE152" s="315"/>
      <c r="DF152" s="315"/>
      <c r="DH152" s="316"/>
    </row>
    <row r="153" spans="1:112" s="314" customFormat="1" ht="30.75" x14ac:dyDescent="0.25">
      <c r="A153" s="315"/>
      <c r="B153" s="317"/>
      <c r="C153" s="317"/>
      <c r="D153" s="270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323"/>
      <c r="S153" s="323"/>
      <c r="T153" s="323"/>
      <c r="U153" s="323"/>
      <c r="V153" s="323"/>
      <c r="W153" s="323"/>
      <c r="X153" s="323"/>
      <c r="Y153" s="323"/>
      <c r="Z153" s="323"/>
      <c r="AA153" s="323"/>
      <c r="AB153" s="323"/>
      <c r="AD153" s="324"/>
      <c r="AE153" s="324"/>
      <c r="AG153" s="270"/>
      <c r="AP153" s="323"/>
      <c r="AQ153" s="323"/>
      <c r="AR153" s="323"/>
      <c r="AS153" s="323"/>
      <c r="AT153" s="323"/>
      <c r="AU153" s="323"/>
      <c r="AV153" s="323"/>
      <c r="AW153" s="323"/>
      <c r="AX153" s="323"/>
      <c r="AY153" s="323"/>
      <c r="AZ153" s="323"/>
      <c r="BA153" s="148"/>
      <c r="BB153" s="148"/>
      <c r="BE153" s="270"/>
      <c r="BO153" s="323"/>
      <c r="BP153" s="323"/>
      <c r="BQ153" s="323"/>
      <c r="BR153" s="323"/>
      <c r="BS153" s="323"/>
      <c r="BT153" s="323"/>
      <c r="BU153" s="323"/>
      <c r="BV153" s="323"/>
      <c r="BW153" s="323"/>
      <c r="BX153" s="323"/>
      <c r="BY153" s="323"/>
      <c r="CD153" s="232"/>
      <c r="CE153" s="232"/>
      <c r="CF153" s="232"/>
      <c r="CG153" s="232"/>
      <c r="CH153" s="232"/>
      <c r="CI153" s="232"/>
      <c r="CJ153" s="232"/>
      <c r="CK153" s="232"/>
      <c r="CL153" s="232"/>
      <c r="CM153" s="232"/>
      <c r="CN153" s="231"/>
      <c r="CO153" s="232"/>
      <c r="CP153" s="232"/>
      <c r="CQ153" s="232"/>
      <c r="CR153" s="322"/>
      <c r="CS153" s="322"/>
      <c r="CT153" s="322"/>
      <c r="CU153" s="322"/>
      <c r="CV153" s="322"/>
      <c r="CW153" s="322"/>
      <c r="CX153" s="322"/>
      <c r="CY153" s="322"/>
      <c r="CZ153" s="322"/>
      <c r="DA153" s="322"/>
      <c r="DB153" s="322"/>
      <c r="DC153" s="317"/>
      <c r="DD153" s="317"/>
      <c r="DE153" s="315"/>
      <c r="DF153" s="315"/>
      <c r="DH153" s="316"/>
    </row>
    <row r="154" spans="1:112" s="314" customFormat="1" ht="30.75" x14ac:dyDescent="0.25">
      <c r="A154" s="315"/>
      <c r="B154" s="317"/>
      <c r="C154" s="317"/>
      <c r="D154" s="270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323"/>
      <c r="S154" s="323"/>
      <c r="T154" s="323"/>
      <c r="U154" s="323"/>
      <c r="V154" s="323"/>
      <c r="W154" s="323"/>
      <c r="X154" s="323"/>
      <c r="Y154" s="323"/>
      <c r="Z154" s="323"/>
      <c r="AA154" s="323"/>
      <c r="AB154" s="323"/>
      <c r="AD154" s="324"/>
      <c r="AE154" s="324"/>
      <c r="AG154" s="270"/>
      <c r="AP154" s="323"/>
      <c r="AQ154" s="323"/>
      <c r="AR154" s="323"/>
      <c r="AS154" s="323"/>
      <c r="AT154" s="323"/>
      <c r="AU154" s="323"/>
      <c r="AV154" s="323"/>
      <c r="AW154" s="323"/>
      <c r="AX154" s="323"/>
      <c r="AY154" s="323"/>
      <c r="AZ154" s="323"/>
      <c r="BA154" s="148"/>
      <c r="BB154" s="148"/>
      <c r="BE154" s="270"/>
      <c r="BO154" s="323"/>
      <c r="BP154" s="323"/>
      <c r="BQ154" s="323"/>
      <c r="BR154" s="323"/>
      <c r="BS154" s="323"/>
      <c r="BT154" s="323"/>
      <c r="BU154" s="323"/>
      <c r="BV154" s="323"/>
      <c r="BW154" s="323"/>
      <c r="BX154" s="323"/>
      <c r="BY154" s="323"/>
      <c r="CD154" s="232"/>
      <c r="CE154" s="232"/>
      <c r="CF154" s="232"/>
      <c r="CG154" s="232"/>
      <c r="CH154" s="232"/>
      <c r="CI154" s="232"/>
      <c r="CJ154" s="232"/>
      <c r="CK154" s="232"/>
      <c r="CL154" s="232"/>
      <c r="CM154" s="232"/>
      <c r="CN154" s="231"/>
      <c r="CO154" s="232"/>
      <c r="CP154" s="232"/>
      <c r="CQ154" s="232"/>
      <c r="CR154" s="322"/>
      <c r="CS154" s="322"/>
      <c r="CT154" s="322"/>
      <c r="CU154" s="322"/>
      <c r="CV154" s="322"/>
      <c r="CW154" s="322"/>
      <c r="CX154" s="322"/>
      <c r="CY154" s="322"/>
      <c r="CZ154" s="322"/>
      <c r="DA154" s="322"/>
      <c r="DB154" s="322"/>
      <c r="DC154" s="317"/>
      <c r="DD154" s="317"/>
      <c r="DE154" s="315"/>
      <c r="DF154" s="315"/>
      <c r="DH154" s="316"/>
    </row>
    <row r="155" spans="1:112" s="314" customFormat="1" ht="46.5" customHeight="1" x14ac:dyDescent="0.25">
      <c r="A155" s="315"/>
      <c r="B155" s="317"/>
      <c r="C155" s="321"/>
      <c r="AC155" s="320"/>
      <c r="AD155" s="320"/>
      <c r="AE155" s="320"/>
      <c r="BS155" s="318"/>
      <c r="BT155" s="318"/>
      <c r="BU155" s="318"/>
      <c r="BV155" s="318"/>
      <c r="BW155" s="318"/>
      <c r="BX155" s="318"/>
      <c r="BY155" s="318"/>
      <c r="BZ155" s="318"/>
      <c r="CA155" s="318"/>
      <c r="CB155" s="318"/>
      <c r="CC155" s="317"/>
      <c r="CD155" s="317"/>
      <c r="CE155" s="319"/>
      <c r="CS155" s="318"/>
      <c r="CT155" s="318"/>
      <c r="CU155" s="318"/>
      <c r="CV155" s="318"/>
      <c r="CW155" s="318"/>
      <c r="CX155" s="318"/>
      <c r="CY155" s="318"/>
      <c r="CZ155" s="318"/>
      <c r="DA155" s="318"/>
      <c r="DB155" s="318"/>
      <c r="DC155" s="317"/>
      <c r="DD155" s="317"/>
      <c r="DE155" s="315"/>
      <c r="DF155" s="315"/>
      <c r="DH155" s="316"/>
    </row>
    <row r="156" spans="1:112" x14ac:dyDescent="0.25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  <c r="CJ156" s="128"/>
      <c r="CK156" s="128"/>
      <c r="CL156" s="128"/>
      <c r="CM156" s="128"/>
      <c r="CN156" s="128"/>
      <c r="CO156" s="128"/>
      <c r="CP156" s="128"/>
      <c r="CQ156" s="128"/>
      <c r="CR156" s="128"/>
      <c r="CS156" s="128"/>
      <c r="CT156" s="128"/>
      <c r="CU156" s="128"/>
      <c r="CV156" s="128"/>
      <c r="CW156" s="128"/>
      <c r="CX156" s="128"/>
      <c r="CY156" s="128"/>
      <c r="CZ156" s="128"/>
      <c r="DA156" s="128"/>
      <c r="DB156" s="128"/>
      <c r="DC156" s="128"/>
      <c r="DD156" s="128"/>
      <c r="DE156" s="128"/>
      <c r="DF156" s="128"/>
    </row>
  </sheetData>
  <dataConsolidate/>
  <mergeCells count="120">
    <mergeCell ref="CM135:DC135"/>
    <mergeCell ref="CT133:DC133"/>
    <mergeCell ref="R133:AB133"/>
    <mergeCell ref="BJ133:BT133"/>
    <mergeCell ref="CA133:CK133"/>
    <mergeCell ref="AM133:AW133"/>
    <mergeCell ref="BP129:BV129"/>
    <mergeCell ref="CL129:CR129"/>
    <mergeCell ref="AQ94:AT94"/>
    <mergeCell ref="T94:AD94"/>
    <mergeCell ref="O128:X128"/>
    <mergeCell ref="BL128:BV128"/>
    <mergeCell ref="CH128:CR128"/>
    <mergeCell ref="CN73:CZ73"/>
    <mergeCell ref="CN76:CZ77"/>
    <mergeCell ref="CH126:CR126"/>
    <mergeCell ref="AE124:AH124"/>
    <mergeCell ref="AS124:AV124"/>
    <mergeCell ref="BT90:CD90"/>
    <mergeCell ref="BS124:BV124"/>
    <mergeCell ref="CL120:CS120"/>
    <mergeCell ref="H124:K124"/>
    <mergeCell ref="CZ126:DC126"/>
    <mergeCell ref="BJ101:CY103"/>
    <mergeCell ref="BY104:CL104"/>
    <mergeCell ref="AX120:BE120"/>
    <mergeCell ref="BQ120:BX120"/>
    <mergeCell ref="U124:X124"/>
    <mergeCell ref="CC124:CF124"/>
    <mergeCell ref="CO124:CR124"/>
    <mergeCell ref="AL122:AV122"/>
    <mergeCell ref="N122:X122"/>
    <mergeCell ref="BL122:BV122"/>
    <mergeCell ref="CT124:DC124"/>
    <mergeCell ref="CH122:CR122"/>
    <mergeCell ref="CN78:CZ79"/>
    <mergeCell ref="CN80:CZ81"/>
    <mergeCell ref="M106:Z106"/>
    <mergeCell ref="AB106:AO106"/>
    <mergeCell ref="CO104:DB104"/>
    <mergeCell ref="BJ106:BW107"/>
    <mergeCell ref="CN74:CZ75"/>
    <mergeCell ref="N126:X126"/>
    <mergeCell ref="AL126:AV126"/>
    <mergeCell ref="BL126:BV126"/>
    <mergeCell ref="BC124:BF124"/>
    <mergeCell ref="BJ110:BW111"/>
    <mergeCell ref="I101:AU104"/>
    <mergeCell ref="CR92:DB92"/>
    <mergeCell ref="AO90:AR90"/>
    <mergeCell ref="CN82:CZ83"/>
    <mergeCell ref="BT92:CD92"/>
    <mergeCell ref="CF90:CP90"/>
    <mergeCell ref="CF92:CP92"/>
    <mergeCell ref="CR89:DB90"/>
    <mergeCell ref="BV82:CH83"/>
    <mergeCell ref="CK36:CS36"/>
    <mergeCell ref="AE25:AG25"/>
    <mergeCell ref="V12:AD12"/>
    <mergeCell ref="BW22:CE22"/>
    <mergeCell ref="CN22:CV22"/>
    <mergeCell ref="CN25:CV25"/>
    <mergeCell ref="BW25:CE25"/>
    <mergeCell ref="BT28:CI28"/>
    <mergeCell ref="E9:M9"/>
    <mergeCell ref="AM9:AU9"/>
    <mergeCell ref="AM12:AU12"/>
    <mergeCell ref="E12:M12"/>
    <mergeCell ref="V9:AD9"/>
    <mergeCell ref="E25:M25"/>
    <mergeCell ref="E18:M18"/>
    <mergeCell ref="AM15:AU15"/>
    <mergeCell ref="AM25:AU25"/>
    <mergeCell ref="E15:M15"/>
    <mergeCell ref="N25:P25"/>
    <mergeCell ref="BV78:CH79"/>
    <mergeCell ref="BV80:CH81"/>
    <mergeCell ref="BV76:CH77"/>
    <mergeCell ref="BD9:BL9"/>
    <mergeCell ref="BD25:BL25"/>
    <mergeCell ref="V15:AD15"/>
    <mergeCell ref="V18:AD18"/>
    <mergeCell ref="V21:AD21"/>
    <mergeCell ref="V25:AD25"/>
    <mergeCell ref="AD56:AH56"/>
    <mergeCell ref="AD50:AH50"/>
    <mergeCell ref="D79:AZ80"/>
    <mergeCell ref="D82:AZ83"/>
    <mergeCell ref="T90:AD90"/>
    <mergeCell ref="T92:AD92"/>
    <mergeCell ref="AD54:AH54"/>
    <mergeCell ref="Y74:AJ74"/>
    <mergeCell ref="Y72:AJ72"/>
    <mergeCell ref="BI47:BS47"/>
    <mergeCell ref="AD52:AH52"/>
    <mergeCell ref="P67:T67"/>
    <mergeCell ref="P30:R30"/>
    <mergeCell ref="AD48:AH48"/>
    <mergeCell ref="BB27:BL27"/>
    <mergeCell ref="Y76:AJ76"/>
    <mergeCell ref="AD36:AH36"/>
    <mergeCell ref="AD38:AH38"/>
    <mergeCell ref="AD40:AH40"/>
    <mergeCell ref="AD42:AH42"/>
    <mergeCell ref="H28:W28"/>
    <mergeCell ref="X28:AM28"/>
    <mergeCell ref="AN28:BC28"/>
    <mergeCell ref="BD28:BS28"/>
    <mergeCell ref="BO62:CZ65"/>
    <mergeCell ref="BV74:CH75"/>
    <mergeCell ref="CP70:CZ70"/>
    <mergeCell ref="CK38:CS38"/>
    <mergeCell ref="CU36:CX36"/>
    <mergeCell ref="CU38:CX38"/>
    <mergeCell ref="BV73:CH73"/>
    <mergeCell ref="D31:BT31"/>
    <mergeCell ref="BW47:DA50"/>
    <mergeCell ref="BW52:DA56"/>
    <mergeCell ref="BW40:DA43"/>
    <mergeCell ref="CJ28:CY28"/>
  </mergeCells>
  <conditionalFormatting sqref="H124:K124">
    <cfRule type="containsText" dxfId="33" priority="18" operator="containsText" text="Sí">
      <formula>NOT(ISERROR(SEARCH("Sí",H124)))</formula>
    </cfRule>
  </conditionalFormatting>
  <conditionalFormatting sqref="N126:X126">
    <cfRule type="cellIs" dxfId="32" priority="31" operator="greaterThan">
      <formula>$N$122</formula>
    </cfRule>
  </conditionalFormatting>
  <conditionalFormatting sqref="R133:AB133 CA133:CK133 CT133 CR134:DB134 CR136:DB154 R139:AB154">
    <cfRule type="cellIs" dxfId="31" priority="29" operator="lessThan">
      <formula>0</formula>
    </cfRule>
  </conditionalFormatting>
  <conditionalFormatting sqref="AE124:AH124">
    <cfRule type="containsText" dxfId="29" priority="19" operator="containsText" text="Sí">
      <formula>NOT(ISERROR(SEARCH("Sí",AE124)))</formula>
    </cfRule>
  </conditionalFormatting>
  <conditionalFormatting sqref="AL126:AV126">
    <cfRule type="cellIs" dxfId="28" priority="32" operator="greaterThan">
      <formula>$AL$122</formula>
    </cfRule>
  </conditionalFormatting>
  <conditionalFormatting sqref="BC124:BF124">
    <cfRule type="containsText" dxfId="26" priority="30" operator="containsText" text="Sí">
      <formula>NOT(ISERROR(SEARCH("Sí",BC124)))</formula>
    </cfRule>
  </conditionalFormatting>
  <conditionalFormatting sqref="BL126:BV126">
    <cfRule type="cellIs" dxfId="24" priority="33" operator="greaterThan">
      <formula>$BL$122</formula>
    </cfRule>
  </conditionalFormatting>
  <conditionalFormatting sqref="BL128:BV128">
    <cfRule type="cellIs" dxfId="22" priority="22" operator="greaterThan">
      <formula>$BL$122</formula>
    </cfRule>
  </conditionalFormatting>
  <conditionalFormatting sqref="BW25:CE25">
    <cfRule type="cellIs" dxfId="16" priority="28" operator="lessThan">
      <formula>0</formula>
    </cfRule>
  </conditionalFormatting>
  <conditionalFormatting sqref="CC124:CF124">
    <cfRule type="containsText" dxfId="15" priority="20" operator="containsText" text="Sí">
      <formula>NOT(ISERROR(SEARCH("Sí",CC124)))</formula>
    </cfRule>
  </conditionalFormatting>
  <conditionalFormatting sqref="CH126:CR126">
    <cfRule type="cellIs" dxfId="14" priority="34" operator="greaterThan">
      <formula>$CH$122</formula>
    </cfRule>
  </conditionalFormatting>
  <conditionalFormatting sqref="CH128:CR128">
    <cfRule type="cellIs" dxfId="12" priority="21" operator="greaterThan">
      <formula>$CH$122</formula>
    </cfRule>
  </conditionalFormatting>
  <printOptions horizontalCentered="1"/>
  <pageMargins left="0.23622047244094491" right="0.23622047244094491" top="0.35433070866141736" bottom="0.35433070866141736" header="0.31496062992125984" footer="0.31496062992125984"/>
  <pageSetup scale="4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F8EA3094-6AF9-4A21-B30E-5BBA0AB0AFAA}">
            <xm:f>'Patrimonio Neto'!$J$4=1</xm:f>
            <x14:dxf>
              <font>
                <b/>
                <i val="0"/>
                <color auto="1"/>
              </font>
              <fill>
                <patternFill>
                  <bgColor rgb="FFFF9999"/>
                </patternFill>
              </fill>
            </x14:dxf>
          </x14:cfRule>
          <xm:sqref>H28</xm:sqref>
        </x14:conditionalFormatting>
        <x14:conditionalFormatting xmlns:xm="http://schemas.microsoft.com/office/excel/2006/main">
          <x14:cfRule type="expression" priority="13" id="{4B7071CA-1CE8-4BB4-B7AB-17F95E51A9F6}">
            <xm:f>'Patrimonio Neto'!$K$4=1</xm:f>
            <x14:dxf>
              <font>
                <b/>
                <i val="0"/>
                <color theme="0"/>
              </font>
              <fill>
                <patternFill>
                  <bgColor rgb="FF317A70"/>
                </patternFill>
              </fill>
            </x14:dxf>
          </x14:cfRule>
          <xm:sqref>X28</xm:sqref>
        </x14:conditionalFormatting>
        <x14:conditionalFormatting xmlns:xm="http://schemas.microsoft.com/office/excel/2006/main">
          <x14:cfRule type="expression" priority="12" id="{C8578F64-028E-4398-B0AA-E3CE219A621C}">
            <xm:f>'Patrimonio Neto'!$L$4=1</xm:f>
            <x14:dxf>
              <font>
                <b/>
                <i val="0"/>
                <color theme="0"/>
              </font>
              <fill>
                <patternFill>
                  <bgColor rgb="FF317A70"/>
                </patternFill>
              </fill>
            </x14:dxf>
          </x14:cfRule>
          <xm:sqref>AN28</xm:sqref>
        </x14:conditionalFormatting>
        <x14:conditionalFormatting xmlns:xm="http://schemas.microsoft.com/office/excel/2006/main">
          <x14:cfRule type="expression" priority="11" id="{278A2D98-30E7-4224-8D9A-93445B4E45F4}">
            <xm:f>'Patrimonio Neto'!$M$4=1</xm:f>
            <x14:dxf>
              <font>
                <b/>
                <i val="0"/>
                <color theme="0"/>
              </font>
              <fill>
                <patternFill>
                  <bgColor rgb="FF317A70"/>
                </patternFill>
              </fill>
            </x14:dxf>
          </x14:cfRule>
          <xm:sqref>BD28</xm:sqref>
        </x14:conditionalFormatting>
        <x14:conditionalFormatting xmlns:xm="http://schemas.microsoft.com/office/excel/2006/main">
          <x14:cfRule type="cellIs" priority="17" operator="greaterThan" id="{446FE6F3-6912-4BA7-811A-9ECC24CC75EC}">
            <xm:f>'Entrevista Balance'!$G$30</xm:f>
            <x14:dxf>
              <font>
                <b/>
                <i val="0"/>
                <color rgb="FFFF9999"/>
              </font>
            </x14:dxf>
          </x14:cfRule>
          <xm:sqref>BL128:BV128</xm:sqref>
        </x14:conditionalFormatting>
        <x14:conditionalFormatting xmlns:xm="http://schemas.microsoft.com/office/excel/2006/main">
          <x14:cfRule type="expression" priority="10" id="{4070CAD8-2DD2-431A-BBE1-A979C58355A2}">
            <xm:f>'Patrimonio Neto'!$N$4=1</xm:f>
            <x14:dxf>
              <font>
                <b/>
                <i val="0"/>
                <color theme="0"/>
              </font>
              <fill>
                <patternFill>
                  <bgColor rgb="FF317A70"/>
                </patternFill>
              </fill>
            </x14:dxf>
          </x14:cfRule>
          <xm:sqref>BT28</xm:sqref>
        </x14:conditionalFormatting>
        <x14:conditionalFormatting xmlns:xm="http://schemas.microsoft.com/office/excel/2006/main">
          <x14:cfRule type="expression" priority="5" id="{DFC7FE1B-DEB8-4B32-B282-5B6A0FB22978}">
            <xm:f>'Potencial del balance'!$K$20=1</xm:f>
            <x14:dxf>
              <font>
                <b/>
                <i val="0"/>
                <color theme="0"/>
              </font>
              <fill>
                <patternFill>
                  <bgColor rgb="FF317A70"/>
                </patternFill>
              </fill>
            </x14:dxf>
          </x14:cfRule>
          <xm:sqref>BV76</xm:sqref>
        </x14:conditionalFormatting>
        <x14:conditionalFormatting xmlns:xm="http://schemas.microsoft.com/office/excel/2006/main">
          <x14:cfRule type="expression" priority="6" id="{4CD9EC27-6ABA-4713-AF41-972C58AF32EB}">
            <xm:f>'Potencial del balance'!$K$21=1</xm:f>
            <x14:dxf>
              <font>
                <b/>
                <i val="0"/>
                <color theme="0"/>
              </font>
              <fill>
                <patternFill>
                  <bgColor rgb="FF317A70"/>
                </patternFill>
              </fill>
            </x14:dxf>
          </x14:cfRule>
          <xm:sqref>BV78</xm:sqref>
        </x14:conditionalFormatting>
        <x14:conditionalFormatting xmlns:xm="http://schemas.microsoft.com/office/excel/2006/main">
          <x14:cfRule type="expression" priority="7" id="{0A2A7C71-7873-4ECC-927A-A05DF6CA25DC}">
            <xm:f>'Potencial del balance'!$K$22=1</xm:f>
            <x14:dxf>
              <font>
                <b/>
                <i val="0"/>
                <color theme="0"/>
              </font>
              <fill>
                <patternFill>
                  <bgColor rgb="FF317A70"/>
                </patternFill>
              </fill>
            </x14:dxf>
          </x14:cfRule>
          <xm:sqref>BV80</xm:sqref>
        </x14:conditionalFormatting>
        <x14:conditionalFormatting xmlns:xm="http://schemas.microsoft.com/office/excel/2006/main">
          <x14:cfRule type="expression" priority="9" id="{BEECFFC2-36F7-4501-B4A7-0F488AE6D641}">
            <xm:f>'Potencial del balance'!$K$23=1</xm:f>
            <x14:dxf>
              <font>
                <b/>
                <i val="0"/>
                <color theme="0"/>
              </font>
              <fill>
                <patternFill>
                  <bgColor rgb="FF317A70"/>
                </patternFill>
              </fill>
            </x14:dxf>
          </x14:cfRule>
          <xm:sqref>BV82</xm:sqref>
        </x14:conditionalFormatting>
        <x14:conditionalFormatting xmlns:xm="http://schemas.microsoft.com/office/excel/2006/main">
          <x14:cfRule type="cellIs" priority="16" operator="greaterThan" id="{0A693538-4E0B-4E1F-9E76-B80A84E40207}">
            <xm:f>'Entrevista Balance'!$G$32</xm:f>
            <x14:dxf>
              <font>
                <b/>
                <i val="0"/>
                <color rgb="FFFF9999"/>
              </font>
            </x14:dxf>
          </x14:cfRule>
          <xm:sqref>CH128:CR128</xm:sqref>
        </x14:conditionalFormatting>
        <x14:conditionalFormatting xmlns:xm="http://schemas.microsoft.com/office/excel/2006/main">
          <x14:cfRule type="expression" priority="1" id="{13AA26BB-399A-4617-A4FD-237956F83137}">
            <xm:f>'Patrimonio Neto'!$O$4=1</xm:f>
            <x14:dxf>
              <font>
                <b/>
                <i val="0"/>
                <color theme="0"/>
              </font>
              <fill>
                <patternFill>
                  <bgColor rgb="FF317A70"/>
                </patternFill>
              </fill>
            </x14:dxf>
          </x14:cfRule>
          <xm:sqref>CJ28</xm:sqref>
        </x14:conditionalFormatting>
        <x14:conditionalFormatting xmlns:xm="http://schemas.microsoft.com/office/excel/2006/main">
          <x14:cfRule type="expression" priority="2" id="{9E5C95E1-C66E-4828-BEE9-F1579C471D3E}">
            <xm:f>'Potencial del balance'!$L$20=1</xm:f>
            <x14:dxf>
              <font>
                <b/>
                <i val="0"/>
                <color theme="0"/>
              </font>
              <fill>
                <patternFill>
                  <bgColor rgb="FF317A70"/>
                </patternFill>
              </fill>
            </x14:dxf>
          </x14:cfRule>
          <xm:sqref>CN76</xm:sqref>
        </x14:conditionalFormatting>
        <x14:conditionalFormatting xmlns:xm="http://schemas.microsoft.com/office/excel/2006/main">
          <x14:cfRule type="expression" priority="3" id="{DC695E44-5291-41B7-8357-EBBF594E7C05}">
            <xm:f>'Potencial del balance'!$L$21=1</xm:f>
            <x14:dxf>
              <font>
                <b/>
                <i val="0"/>
                <color theme="0"/>
              </font>
              <fill>
                <patternFill>
                  <bgColor rgb="FF317A70"/>
                </patternFill>
              </fill>
            </x14:dxf>
          </x14:cfRule>
          <xm:sqref>CN78</xm:sqref>
        </x14:conditionalFormatting>
        <x14:conditionalFormatting xmlns:xm="http://schemas.microsoft.com/office/excel/2006/main">
          <x14:cfRule type="expression" priority="4" id="{92EDCB10-8892-4655-B01F-FF49FB1045EA}">
            <xm:f>'Potencial del balance'!$L$22=1</xm:f>
            <x14:dxf>
              <font>
                <b/>
                <i val="0"/>
                <color theme="0"/>
              </font>
              <fill>
                <patternFill>
                  <bgColor rgb="FF317A70"/>
                </patternFill>
              </fill>
            </x14:dxf>
          </x14:cfRule>
          <xm:sqref>CN80</xm:sqref>
        </x14:conditionalFormatting>
        <x14:conditionalFormatting xmlns:xm="http://schemas.microsoft.com/office/excel/2006/main">
          <x14:cfRule type="expression" priority="8" id="{3EABE432-2014-45B5-8478-648878A3F108}">
            <xm:f>'Potencial del balance'!$L$23=1</xm:f>
            <x14:dxf>
              <font>
                <b/>
                <i val="0"/>
                <color theme="0"/>
              </font>
              <fill>
                <patternFill>
                  <bgColor rgb="FF317A70"/>
                </patternFill>
              </fill>
            </x14:dxf>
          </x14:cfRule>
          <xm:sqref>CN82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FF8A2A-0234-47EF-BF77-74BCC13BD068}">
          <x14:formula1>
            <xm:f>Auxiliar!$D$18:$D$19</xm:f>
          </x14:formula1>
          <xm:sqref>BC124:BF124 CC124:CF124 AE124:AH124 H124:K124</xm:sqref>
        </x14:dataValidation>
        <x14:dataValidation type="list" allowBlank="1" showInputMessage="1" showErrorMessage="1" xr:uid="{C39C9E45-E766-4C0E-9612-0678CF00B98A}">
          <x14:formula1>
            <xm:f>Auxiliar!$R$5:$R$50</xm:f>
          </x14:formula1>
          <xm:sqref>U124:X124 AS124:AV124 BS124:BV124 CO124:CR124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67076-ECD0-4992-B2ED-410371DADDEF}">
  <sheetPr>
    <tabColor rgb="FF314566"/>
    <pageSetUpPr fitToPage="1"/>
  </sheetPr>
  <dimension ref="A1:EC62"/>
  <sheetViews>
    <sheetView showGridLines="0" tabSelected="1" zoomScale="46" zoomScaleNormal="54" workbookViewId="0">
      <selection activeCell="D7" sqref="D7"/>
    </sheetView>
  </sheetViews>
  <sheetFormatPr baseColWidth="10" defaultColWidth="10.85546875" defaultRowHeight="28.5" x14ac:dyDescent="0.25"/>
  <cols>
    <col min="1" max="110" width="2.5703125" style="274" customWidth="1"/>
    <col min="111" max="111" width="27.7109375" style="274" customWidth="1"/>
    <col min="112" max="112" width="30.140625" style="312" bestFit="1" customWidth="1"/>
    <col min="113" max="113" width="37.5703125" style="274" customWidth="1"/>
    <col min="114" max="114" width="27.42578125" style="274" customWidth="1"/>
    <col min="115" max="16384" width="10.85546875" style="274"/>
  </cols>
  <sheetData>
    <row r="1" spans="1:112" ht="12" customHeight="1" x14ac:dyDescent="0.25">
      <c r="A1" s="371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1"/>
      <c r="AH1" s="371"/>
      <c r="AI1" s="371"/>
      <c r="AJ1" s="371"/>
      <c r="AK1" s="371"/>
      <c r="AL1" s="371"/>
      <c r="AM1" s="371"/>
      <c r="AN1" s="371"/>
      <c r="AO1" s="371"/>
      <c r="AP1" s="371"/>
      <c r="AQ1" s="371"/>
      <c r="AR1" s="371"/>
      <c r="AS1" s="371"/>
      <c r="AT1" s="371"/>
      <c r="AU1" s="371"/>
      <c r="AV1" s="371"/>
      <c r="AW1" s="371"/>
      <c r="AX1" s="371"/>
      <c r="AY1" s="371"/>
      <c r="AZ1" s="371"/>
      <c r="BA1" s="371"/>
      <c r="BB1" s="371"/>
      <c r="BC1" s="371"/>
      <c r="BD1" s="371"/>
      <c r="BE1" s="371"/>
      <c r="BF1" s="371"/>
      <c r="BG1" s="371"/>
      <c r="BH1" s="371"/>
      <c r="BI1" s="371"/>
      <c r="BJ1" s="371"/>
      <c r="BK1" s="371"/>
      <c r="BL1" s="371"/>
      <c r="BM1" s="371"/>
      <c r="BN1" s="371"/>
      <c r="BO1" s="371"/>
      <c r="BP1" s="371"/>
      <c r="BQ1" s="371"/>
      <c r="BR1" s="371"/>
      <c r="BS1" s="371"/>
      <c r="BT1" s="371"/>
      <c r="BU1" s="371"/>
      <c r="BV1" s="371"/>
      <c r="BW1" s="371"/>
      <c r="BX1" s="371"/>
      <c r="BY1" s="371"/>
      <c r="BZ1" s="371"/>
      <c r="CA1" s="371"/>
      <c r="CB1" s="371"/>
      <c r="CC1" s="371"/>
      <c r="CD1" s="371"/>
      <c r="CE1" s="371"/>
      <c r="CF1" s="371"/>
      <c r="CG1" s="371"/>
      <c r="CH1" s="371"/>
      <c r="CI1" s="371"/>
      <c r="CJ1" s="371"/>
      <c r="CK1" s="371"/>
      <c r="CL1" s="371"/>
      <c r="CM1" s="371"/>
      <c r="CN1" s="371"/>
      <c r="CO1" s="371"/>
      <c r="CP1" s="371"/>
      <c r="CQ1" s="371"/>
      <c r="CR1" s="371"/>
      <c r="CS1" s="371"/>
      <c r="CT1" s="371"/>
      <c r="CU1" s="371"/>
      <c r="CV1" s="371"/>
      <c r="CW1" s="371"/>
      <c r="CX1" s="371"/>
      <c r="CY1" s="371"/>
      <c r="CZ1" s="371"/>
      <c r="DA1" s="371"/>
      <c r="DB1" s="371"/>
      <c r="DC1" s="371"/>
      <c r="DD1" s="371"/>
      <c r="DE1" s="371"/>
      <c r="DF1" s="371"/>
    </row>
    <row r="2" spans="1:112" ht="12" customHeight="1" x14ac:dyDescent="0.25">
      <c r="A2" s="371"/>
      <c r="B2" s="371"/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1"/>
      <c r="AC2" s="371"/>
      <c r="AD2" s="371"/>
      <c r="AE2" s="371"/>
      <c r="AF2" s="371"/>
      <c r="AG2" s="371"/>
      <c r="AH2" s="371"/>
      <c r="AI2" s="371"/>
      <c r="AJ2" s="371"/>
      <c r="AK2" s="371"/>
      <c r="AL2" s="371"/>
      <c r="AM2" s="371"/>
      <c r="AN2" s="371"/>
      <c r="AO2" s="371"/>
      <c r="AP2" s="371"/>
      <c r="AQ2" s="371"/>
      <c r="AR2" s="371"/>
      <c r="AS2" s="371"/>
      <c r="AT2" s="371"/>
      <c r="AU2" s="371"/>
      <c r="AV2" s="371"/>
      <c r="AW2" s="371"/>
      <c r="AX2" s="371"/>
      <c r="AY2" s="371"/>
      <c r="AZ2" s="371"/>
      <c r="BA2" s="371"/>
      <c r="BB2" s="371"/>
      <c r="BC2" s="371"/>
      <c r="BD2" s="371"/>
      <c r="BE2" s="371"/>
      <c r="BF2" s="371"/>
      <c r="BG2" s="371"/>
      <c r="BH2" s="371"/>
      <c r="BI2" s="371"/>
      <c r="BJ2" s="371"/>
      <c r="BK2" s="371"/>
      <c r="BL2" s="371"/>
      <c r="BM2" s="371"/>
      <c r="BN2" s="371"/>
      <c r="BO2" s="371"/>
      <c r="BP2" s="371"/>
      <c r="BQ2" s="371"/>
      <c r="BR2" s="371"/>
      <c r="BS2" s="371"/>
      <c r="BT2" s="371"/>
      <c r="BU2" s="371"/>
      <c r="BV2" s="371"/>
      <c r="BW2" s="371"/>
      <c r="BX2" s="371"/>
      <c r="BY2" s="371"/>
      <c r="BZ2" s="371"/>
      <c r="CA2" s="371"/>
      <c r="CB2" s="371"/>
      <c r="CC2" s="371"/>
      <c r="CD2" s="371"/>
      <c r="CE2" s="371"/>
      <c r="CF2" s="371"/>
      <c r="CG2" s="371"/>
      <c r="CH2" s="371"/>
      <c r="CI2" s="371"/>
      <c r="CJ2" s="371"/>
      <c r="CK2" s="371"/>
      <c r="CL2" s="371"/>
      <c r="CM2" s="371"/>
      <c r="CN2" s="371"/>
      <c r="CO2" s="371"/>
      <c r="CP2" s="371"/>
      <c r="CQ2" s="371"/>
      <c r="CR2" s="371"/>
      <c r="CS2" s="371"/>
      <c r="CT2" s="371"/>
      <c r="CU2" s="371"/>
      <c r="CV2" s="371"/>
      <c r="CW2" s="371"/>
      <c r="CX2" s="371"/>
      <c r="CY2" s="371"/>
      <c r="CZ2" s="371"/>
      <c r="DA2" s="371"/>
      <c r="DB2" s="371"/>
      <c r="DC2" s="371"/>
      <c r="DD2" s="371"/>
      <c r="DE2" s="371"/>
      <c r="DF2" s="371"/>
    </row>
    <row r="3" spans="1:112" x14ac:dyDescent="0.25">
      <c r="A3" s="371"/>
      <c r="B3" s="372"/>
      <c r="C3" s="372"/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2"/>
      <c r="O3" s="372"/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2"/>
      <c r="AA3" s="372"/>
      <c r="AB3" s="372"/>
      <c r="AC3" s="372"/>
      <c r="AD3" s="372"/>
      <c r="AE3" s="372"/>
      <c r="AF3" s="372"/>
      <c r="AG3" s="372"/>
      <c r="AH3" s="372"/>
      <c r="AI3" s="372"/>
      <c r="AJ3" s="372"/>
      <c r="AK3" s="372"/>
      <c r="AL3" s="372"/>
      <c r="AM3" s="372"/>
      <c r="AN3" s="372"/>
      <c r="AO3" s="372"/>
      <c r="AP3" s="372"/>
      <c r="AQ3" s="372"/>
      <c r="AR3" s="372"/>
      <c r="AS3" s="372"/>
      <c r="AT3" s="372"/>
      <c r="AU3" s="372"/>
      <c r="AV3" s="372"/>
      <c r="AW3" s="372"/>
      <c r="AX3" s="372"/>
      <c r="AY3" s="372"/>
      <c r="AZ3" s="372"/>
      <c r="BA3" s="372"/>
      <c r="BB3" s="372"/>
      <c r="BC3" s="372"/>
      <c r="BD3" s="372"/>
      <c r="BE3" s="372"/>
      <c r="BF3" s="372"/>
      <c r="BG3" s="372"/>
      <c r="BH3" s="372"/>
      <c r="BI3" s="372"/>
      <c r="BJ3" s="372"/>
      <c r="BK3" s="372"/>
      <c r="BL3" s="372"/>
      <c r="BM3" s="372"/>
      <c r="BN3" s="372"/>
      <c r="BO3" s="372"/>
      <c r="BP3" s="372"/>
      <c r="BQ3" s="372"/>
      <c r="BR3" s="372"/>
      <c r="BS3" s="372"/>
      <c r="BT3" s="372"/>
      <c r="BU3" s="372"/>
      <c r="BV3" s="372"/>
      <c r="BW3" s="372"/>
      <c r="BX3" s="372"/>
      <c r="BY3" s="372"/>
      <c r="BZ3" s="372"/>
      <c r="CA3" s="372"/>
      <c r="CB3" s="372"/>
      <c r="CC3" s="372"/>
      <c r="CD3" s="372"/>
      <c r="CE3" s="372"/>
      <c r="CF3" s="372"/>
      <c r="CG3" s="372"/>
      <c r="CH3" s="372"/>
      <c r="CI3" s="372"/>
      <c r="CJ3" s="372"/>
      <c r="CK3" s="372"/>
      <c r="CL3" s="372"/>
      <c r="CM3" s="372"/>
      <c r="CN3" s="372"/>
      <c r="CO3" s="372"/>
      <c r="CP3" s="372"/>
      <c r="CQ3" s="372"/>
      <c r="CR3" s="372"/>
      <c r="CS3" s="372"/>
      <c r="CT3" s="372"/>
      <c r="CU3" s="372"/>
      <c r="CV3" s="372"/>
      <c r="CW3" s="372"/>
      <c r="CX3" s="372"/>
      <c r="CY3" s="372"/>
      <c r="CZ3" s="372"/>
      <c r="DA3" s="372"/>
      <c r="DB3" s="372"/>
      <c r="DC3" s="372"/>
      <c r="DD3" s="372"/>
      <c r="DE3" s="371"/>
      <c r="DF3" s="371"/>
    </row>
    <row r="4" spans="1:112" ht="12.95" customHeight="1" x14ac:dyDescent="0.25">
      <c r="A4" s="371"/>
      <c r="B4" s="372"/>
      <c r="C4" s="372"/>
      <c r="D4" s="372"/>
      <c r="E4" s="372"/>
      <c r="F4" s="372"/>
      <c r="G4" s="372"/>
      <c r="H4" s="372"/>
      <c r="I4" s="372"/>
      <c r="J4" s="372"/>
      <c r="K4" s="372"/>
      <c r="L4" s="372"/>
      <c r="M4" s="372"/>
      <c r="N4" s="372"/>
      <c r="O4" s="372"/>
      <c r="P4" s="372"/>
      <c r="Q4" s="372"/>
      <c r="R4" s="372"/>
      <c r="S4" s="372"/>
      <c r="T4" s="372"/>
      <c r="U4" s="372"/>
      <c r="V4" s="372"/>
      <c r="W4" s="372"/>
      <c r="X4" s="372"/>
      <c r="Y4" s="372"/>
      <c r="Z4" s="372"/>
      <c r="AA4" s="372"/>
      <c r="AB4" s="372"/>
      <c r="AC4" s="372"/>
      <c r="AD4" s="372"/>
      <c r="AE4" s="372"/>
      <c r="AF4" s="372"/>
      <c r="AG4" s="372"/>
      <c r="AH4" s="372"/>
      <c r="AI4" s="372"/>
      <c r="AJ4" s="372"/>
      <c r="AK4" s="372"/>
      <c r="AL4" s="372"/>
      <c r="AM4" s="372"/>
      <c r="AN4" s="372"/>
      <c r="AO4" s="372"/>
      <c r="AP4" s="372"/>
      <c r="AQ4" s="372"/>
      <c r="AR4" s="372"/>
      <c r="AS4" s="372"/>
      <c r="AT4" s="372"/>
      <c r="AU4" s="372"/>
      <c r="AV4" s="372"/>
      <c r="AW4" s="372"/>
      <c r="AX4" s="372"/>
      <c r="AY4" s="372"/>
      <c r="AZ4" s="372"/>
      <c r="BA4" s="372"/>
      <c r="BB4" s="372"/>
      <c r="BC4" s="372"/>
      <c r="BD4" s="372"/>
      <c r="BE4" s="372"/>
      <c r="BF4" s="372"/>
      <c r="BG4" s="372"/>
      <c r="BH4" s="372"/>
      <c r="BI4" s="372"/>
      <c r="BJ4" s="372"/>
      <c r="BK4" s="372"/>
      <c r="BL4" s="372"/>
      <c r="BM4" s="372"/>
      <c r="BN4" s="372"/>
      <c r="BO4" s="372"/>
      <c r="BP4" s="372"/>
      <c r="BQ4" s="372"/>
      <c r="BR4" s="372"/>
      <c r="BS4" s="372"/>
      <c r="BT4" s="372"/>
      <c r="BU4" s="372"/>
      <c r="BV4" s="372"/>
      <c r="BW4" s="372"/>
      <c r="BX4" s="372"/>
      <c r="BY4" s="372"/>
      <c r="BZ4" s="372"/>
      <c r="CA4" s="372"/>
      <c r="CB4" s="372"/>
      <c r="CC4" s="372"/>
      <c r="CD4" s="372"/>
      <c r="CE4" s="372"/>
      <c r="CF4" s="372"/>
      <c r="CG4" s="372"/>
      <c r="CH4" s="372"/>
      <c r="CI4" s="372"/>
      <c r="CJ4" s="372"/>
      <c r="CK4" s="372"/>
      <c r="CL4" s="372"/>
      <c r="CM4" s="372"/>
      <c r="CN4" s="372"/>
      <c r="CO4" s="372"/>
      <c r="CP4" s="372"/>
      <c r="CQ4" s="372"/>
      <c r="CR4" s="372"/>
      <c r="CS4" s="372"/>
      <c r="CT4" s="372"/>
      <c r="CU4" s="372"/>
      <c r="CV4" s="372"/>
      <c r="CW4" s="372"/>
      <c r="CX4" s="372"/>
      <c r="CY4" s="372"/>
      <c r="CZ4" s="372"/>
      <c r="DA4" s="372"/>
      <c r="DB4" s="372"/>
      <c r="DC4" s="372"/>
      <c r="DD4" s="372"/>
      <c r="DE4" s="371"/>
      <c r="DF4" s="371"/>
    </row>
    <row r="5" spans="1:112" s="370" customFormat="1" ht="18.600000000000001" customHeight="1" x14ac:dyDescent="0.25">
      <c r="A5" s="371"/>
      <c r="B5" s="372"/>
      <c r="C5" s="372"/>
      <c r="D5" s="374"/>
      <c r="E5" s="374"/>
      <c r="F5" s="374"/>
      <c r="G5" s="374"/>
      <c r="H5" s="374"/>
      <c r="I5" s="374"/>
      <c r="J5" s="374"/>
      <c r="K5" s="374"/>
      <c r="L5" s="374"/>
      <c r="M5" s="374"/>
      <c r="N5" s="374"/>
      <c r="O5" s="374"/>
      <c r="P5" s="374"/>
      <c r="Q5" s="374"/>
      <c r="R5" s="374"/>
      <c r="S5" s="374"/>
      <c r="T5" s="374"/>
      <c r="U5" s="374"/>
      <c r="V5" s="374"/>
      <c r="W5" s="374"/>
      <c r="X5" s="374"/>
      <c r="Y5" s="374"/>
      <c r="Z5" s="374"/>
      <c r="AA5" s="374"/>
      <c r="AB5" s="374"/>
      <c r="AC5" s="374"/>
      <c r="AD5" s="374"/>
      <c r="AE5" s="374"/>
      <c r="AF5" s="372"/>
      <c r="AT5" s="372"/>
      <c r="AU5" s="372"/>
      <c r="AV5" s="372"/>
      <c r="AW5" s="372"/>
      <c r="AX5" s="372"/>
      <c r="AY5" s="372"/>
      <c r="AZ5" s="372"/>
      <c r="BA5" s="372"/>
      <c r="BB5" s="372"/>
      <c r="BC5" s="372"/>
      <c r="BD5" s="372"/>
      <c r="BE5" s="372"/>
      <c r="BG5" s="372"/>
      <c r="BH5" s="372"/>
      <c r="BI5" s="372"/>
      <c r="BJ5" s="372"/>
      <c r="BK5" s="372"/>
      <c r="BL5" s="372"/>
      <c r="BM5" s="372"/>
      <c r="BN5" s="372"/>
      <c r="BO5" s="372"/>
      <c r="BP5" s="372"/>
      <c r="BQ5" s="372"/>
      <c r="BR5" s="372"/>
      <c r="BS5" s="372"/>
      <c r="BT5" s="372"/>
      <c r="BU5" s="372"/>
      <c r="BV5" s="372"/>
      <c r="BW5" s="372"/>
      <c r="BX5" s="372"/>
      <c r="BY5" s="372"/>
      <c r="BZ5" s="372"/>
      <c r="CA5" s="372"/>
      <c r="CB5" s="372"/>
      <c r="CC5" s="372"/>
      <c r="CD5" s="372"/>
      <c r="CE5" s="372"/>
      <c r="CF5" s="372"/>
      <c r="CG5" s="372"/>
      <c r="CH5" s="372"/>
      <c r="CI5" s="372"/>
      <c r="CJ5" s="372"/>
      <c r="CK5" s="372"/>
      <c r="CL5" s="372"/>
      <c r="CM5" s="373"/>
      <c r="CN5" s="373"/>
      <c r="CO5" s="373"/>
      <c r="CP5" s="373"/>
      <c r="CQ5" s="373"/>
      <c r="CR5" s="373"/>
      <c r="CS5" s="373"/>
      <c r="CT5" s="373"/>
      <c r="CU5" s="373"/>
      <c r="CV5" s="373"/>
      <c r="CW5" s="373"/>
      <c r="CX5" s="373"/>
      <c r="CY5" s="372"/>
      <c r="CZ5" s="372"/>
      <c r="DA5" s="372"/>
      <c r="DB5" s="372"/>
      <c r="DC5" s="372"/>
      <c r="DD5" s="372"/>
      <c r="DE5" s="371"/>
      <c r="DF5" s="371"/>
      <c r="DH5" s="316"/>
    </row>
    <row r="6" spans="1:112" s="475" customFormat="1" ht="68.25" x14ac:dyDescent="0.25">
      <c r="A6" s="472"/>
      <c r="B6" s="473"/>
      <c r="C6" s="473"/>
      <c r="D6" s="474" t="s">
        <v>569</v>
      </c>
      <c r="X6" s="476"/>
      <c r="Y6" s="476"/>
      <c r="Z6" s="476"/>
      <c r="AA6" s="476"/>
      <c r="AB6" s="476"/>
      <c r="AC6" s="476"/>
      <c r="AD6" s="476"/>
      <c r="AE6" s="476"/>
      <c r="AF6" s="476"/>
      <c r="AG6" s="476"/>
      <c r="AH6" s="476"/>
      <c r="AI6" s="476"/>
      <c r="AJ6" s="476"/>
      <c r="AX6" s="473"/>
      <c r="AY6" s="473"/>
      <c r="AZ6" s="473"/>
      <c r="BA6" s="473"/>
      <c r="BB6" s="473"/>
      <c r="BC6" s="473"/>
      <c r="BD6" s="473"/>
      <c r="BE6" s="473"/>
      <c r="BF6" s="473"/>
      <c r="BG6" s="473"/>
      <c r="BH6" s="473"/>
      <c r="BI6" s="473"/>
      <c r="BJ6" s="473"/>
      <c r="BK6" s="473"/>
      <c r="BL6" s="473"/>
      <c r="BM6" s="473"/>
      <c r="BN6" s="473"/>
      <c r="BO6" s="473"/>
      <c r="BP6" s="473"/>
      <c r="BQ6" s="473"/>
      <c r="BR6" s="473"/>
      <c r="BS6" s="473"/>
      <c r="BT6" s="473"/>
      <c r="BU6" s="473"/>
      <c r="BV6" s="473"/>
      <c r="BW6" s="473"/>
      <c r="BX6" s="473"/>
      <c r="BY6" s="473"/>
      <c r="BZ6" s="473"/>
      <c r="CA6" s="473"/>
      <c r="CB6" s="473"/>
      <c r="CC6" s="473"/>
      <c r="CD6" s="473"/>
      <c r="CE6" s="473"/>
      <c r="CF6" s="473"/>
      <c r="CG6" s="473"/>
      <c r="CH6" s="473"/>
      <c r="CI6" s="473"/>
      <c r="CJ6" s="473"/>
      <c r="CK6" s="473"/>
      <c r="CL6" s="473"/>
      <c r="CM6" s="473"/>
      <c r="CN6" s="473"/>
      <c r="CO6" s="473"/>
      <c r="CP6" s="473"/>
      <c r="CQ6" s="473"/>
      <c r="CR6" s="473"/>
      <c r="CS6" s="473"/>
      <c r="CT6" s="473"/>
      <c r="CU6" s="473"/>
      <c r="CV6" s="473"/>
      <c r="CW6" s="473"/>
      <c r="CX6" s="473"/>
      <c r="CY6" s="473"/>
      <c r="CZ6" s="473"/>
      <c r="DA6" s="477"/>
      <c r="DB6" s="473"/>
      <c r="DC6" s="473"/>
      <c r="DD6" s="473"/>
      <c r="DE6" s="472"/>
      <c r="DF6" s="472"/>
      <c r="DH6" s="478"/>
    </row>
    <row r="7" spans="1:112" s="314" customFormat="1" ht="46.5" customHeight="1" x14ac:dyDescent="1.1499999999999999">
      <c r="A7" s="315"/>
      <c r="B7" s="317"/>
      <c r="C7" s="317"/>
      <c r="D7" s="480" t="s">
        <v>564</v>
      </c>
      <c r="E7" s="479"/>
      <c r="F7" s="321"/>
      <c r="G7" s="321"/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1"/>
      <c r="S7" s="321"/>
      <c r="T7" s="321"/>
      <c r="U7" s="321"/>
      <c r="V7" s="321"/>
      <c r="W7" s="321"/>
      <c r="X7" s="321"/>
      <c r="Y7" s="321"/>
      <c r="Z7" s="321"/>
      <c r="AA7" s="321"/>
      <c r="AB7" s="321"/>
      <c r="AC7" s="321"/>
      <c r="AD7" s="321"/>
      <c r="AE7" s="321"/>
      <c r="AF7" s="321"/>
      <c r="AG7" s="321"/>
      <c r="AH7" s="321"/>
      <c r="AI7" s="321"/>
      <c r="AJ7" s="321"/>
      <c r="AK7" s="321"/>
      <c r="AL7" s="321"/>
      <c r="AM7" s="321"/>
      <c r="AN7" s="321"/>
      <c r="AO7" s="321"/>
      <c r="AP7" s="321"/>
      <c r="AQ7" s="321"/>
      <c r="AR7" s="321"/>
      <c r="AS7" s="321"/>
      <c r="AT7" s="321"/>
      <c r="AU7" s="321"/>
      <c r="AV7" s="321"/>
      <c r="AW7" s="321"/>
      <c r="AX7" s="321"/>
      <c r="AY7" s="321"/>
      <c r="AZ7" s="321"/>
      <c r="BA7" s="321"/>
      <c r="BB7" s="321"/>
      <c r="BC7" s="321"/>
      <c r="BD7" s="321"/>
      <c r="BE7" s="321"/>
      <c r="BF7" s="321"/>
      <c r="BG7" s="321"/>
      <c r="BH7" s="321"/>
      <c r="BI7" s="321"/>
      <c r="BJ7" s="321"/>
      <c r="BK7" s="321"/>
      <c r="BL7" s="321"/>
      <c r="BM7" s="321"/>
      <c r="BN7" s="321"/>
      <c r="BO7" s="321"/>
      <c r="BP7" s="321"/>
      <c r="BQ7" s="321"/>
      <c r="BR7" s="321"/>
      <c r="BS7" s="321"/>
      <c r="BT7" s="321"/>
      <c r="BU7" s="321"/>
      <c r="BV7" s="321"/>
      <c r="BW7" s="321"/>
      <c r="BX7" s="321"/>
      <c r="BY7" s="321"/>
      <c r="BZ7" s="321"/>
      <c r="CA7" s="321"/>
      <c r="CB7" s="321"/>
      <c r="CC7" s="321"/>
      <c r="CD7" s="321"/>
      <c r="CE7" s="321"/>
      <c r="CF7" s="321"/>
      <c r="CG7" s="321"/>
      <c r="CH7" s="321"/>
      <c r="CI7" s="321"/>
      <c r="CJ7" s="321"/>
      <c r="CK7" s="321"/>
      <c r="CL7" s="321"/>
      <c r="CM7" s="321"/>
      <c r="CN7" s="321"/>
      <c r="CO7" s="321"/>
      <c r="CP7" s="321"/>
      <c r="CQ7" s="321"/>
      <c r="CR7" s="321"/>
      <c r="CS7" s="321"/>
      <c r="CT7" s="321"/>
      <c r="CU7" s="321"/>
      <c r="CV7" s="321"/>
      <c r="CW7" s="321"/>
      <c r="CX7" s="321"/>
      <c r="CY7" s="437"/>
      <c r="CZ7" s="437"/>
      <c r="DD7" s="317"/>
      <c r="DE7" s="315"/>
      <c r="DF7" s="315"/>
      <c r="DH7" s="316"/>
    </row>
    <row r="8" spans="1:112" s="314" customFormat="1" ht="48.75" customHeight="1" x14ac:dyDescent="0.25">
      <c r="A8" s="315"/>
      <c r="B8" s="317"/>
      <c r="C8" s="317"/>
      <c r="H8" s="487" t="s">
        <v>549</v>
      </c>
      <c r="I8" s="487"/>
      <c r="J8" s="487"/>
      <c r="K8" s="487"/>
      <c r="L8" s="487"/>
      <c r="M8" s="487"/>
      <c r="N8" s="487"/>
      <c r="O8" s="487"/>
      <c r="P8" s="487"/>
      <c r="Q8" s="487"/>
      <c r="R8" s="487"/>
      <c r="S8" s="487"/>
      <c r="T8" s="487"/>
      <c r="U8" s="487"/>
      <c r="V8" s="487"/>
      <c r="W8" s="487"/>
      <c r="X8" s="487" t="s">
        <v>393</v>
      </c>
      <c r="Y8" s="487"/>
      <c r="Z8" s="487"/>
      <c r="AA8" s="487"/>
      <c r="AB8" s="487"/>
      <c r="AC8" s="487"/>
      <c r="AD8" s="487"/>
      <c r="AE8" s="487"/>
      <c r="AF8" s="487"/>
      <c r="AG8" s="487"/>
      <c r="AH8" s="487"/>
      <c r="AI8" s="487"/>
      <c r="AJ8" s="487"/>
      <c r="AK8" s="487"/>
      <c r="AL8" s="487"/>
      <c r="AM8" s="487"/>
      <c r="AN8" s="487" t="s">
        <v>486</v>
      </c>
      <c r="AO8" s="487"/>
      <c r="AP8" s="487"/>
      <c r="AQ8" s="487"/>
      <c r="AR8" s="487"/>
      <c r="AS8" s="487"/>
      <c r="AT8" s="487"/>
      <c r="AU8" s="487"/>
      <c r="AV8" s="487"/>
      <c r="AW8" s="487"/>
      <c r="AX8" s="487"/>
      <c r="AY8" s="487"/>
      <c r="AZ8" s="487"/>
      <c r="BA8" s="487"/>
      <c r="BB8" s="487"/>
      <c r="BC8" s="487"/>
      <c r="BD8" s="487" t="s">
        <v>487</v>
      </c>
      <c r="BE8" s="487"/>
      <c r="BF8" s="487"/>
      <c r="BG8" s="487"/>
      <c r="BH8" s="487"/>
      <c r="BI8" s="487"/>
      <c r="BJ8" s="487"/>
      <c r="BK8" s="487"/>
      <c r="BL8" s="487"/>
      <c r="BM8" s="487"/>
      <c r="BN8" s="487"/>
      <c r="BO8" s="487"/>
      <c r="BP8" s="487"/>
      <c r="BQ8" s="487"/>
      <c r="BR8" s="487"/>
      <c r="BS8" s="487"/>
      <c r="BT8" s="487" t="s">
        <v>488</v>
      </c>
      <c r="BU8" s="487"/>
      <c r="BV8" s="487"/>
      <c r="BW8" s="487"/>
      <c r="BX8" s="487"/>
      <c r="BY8" s="487"/>
      <c r="BZ8" s="487"/>
      <c r="CA8" s="487"/>
      <c r="CB8" s="487"/>
      <c r="CC8" s="487"/>
      <c r="CD8" s="487"/>
      <c r="CE8" s="487"/>
      <c r="CF8" s="487"/>
      <c r="CG8" s="487"/>
      <c r="CH8" s="487"/>
      <c r="CI8" s="487"/>
      <c r="CJ8" s="487" t="s">
        <v>390</v>
      </c>
      <c r="CK8" s="487"/>
      <c r="CL8" s="487"/>
      <c r="CM8" s="487"/>
      <c r="CN8" s="487"/>
      <c r="CO8" s="487"/>
      <c r="CP8" s="487"/>
      <c r="CQ8" s="487"/>
      <c r="CR8" s="487"/>
      <c r="CS8" s="487"/>
      <c r="CT8" s="487"/>
      <c r="CU8" s="487"/>
      <c r="CV8" s="487"/>
      <c r="CW8" s="487"/>
      <c r="CX8" s="487"/>
      <c r="CY8" s="487"/>
      <c r="CZ8" s="437"/>
      <c r="DD8" s="317"/>
      <c r="DE8" s="315"/>
      <c r="DF8" s="315"/>
    </row>
    <row r="9" spans="1:112" s="314" customFormat="1" ht="29.25" customHeight="1" x14ac:dyDescent="0.25">
      <c r="A9" s="315"/>
      <c r="B9" s="317"/>
      <c r="C9" s="317"/>
      <c r="X9" s="320"/>
      <c r="Y9" s="320"/>
      <c r="Z9" s="320"/>
      <c r="AA9" s="320"/>
      <c r="AB9" s="320"/>
      <c r="AC9" s="320"/>
      <c r="AD9" s="320"/>
      <c r="AE9" s="320"/>
      <c r="AF9" s="320"/>
      <c r="AG9" s="320"/>
      <c r="AH9" s="320"/>
      <c r="AI9" s="320"/>
      <c r="AJ9" s="320"/>
      <c r="AX9" s="317"/>
      <c r="AY9" s="317"/>
      <c r="AZ9" s="317"/>
      <c r="BA9" s="317"/>
      <c r="BB9" s="317"/>
      <c r="BC9" s="317"/>
      <c r="BD9" s="317"/>
      <c r="BE9" s="317"/>
      <c r="BF9" s="317"/>
      <c r="BG9" s="317"/>
      <c r="BH9" s="317"/>
      <c r="BI9" s="317"/>
      <c r="BJ9" s="317"/>
      <c r="BK9" s="317"/>
      <c r="BL9" s="317"/>
      <c r="BM9" s="317"/>
      <c r="BN9" s="317"/>
      <c r="BO9" s="317"/>
      <c r="BP9" s="317"/>
      <c r="BQ9" s="317"/>
      <c r="BR9" s="317"/>
      <c r="BS9" s="317"/>
      <c r="BT9" s="317"/>
      <c r="BU9" s="317"/>
      <c r="CD9" s="582" t="s">
        <v>563</v>
      </c>
      <c r="CE9" s="582"/>
      <c r="CF9" s="582"/>
      <c r="CG9" s="582"/>
      <c r="CH9" s="582"/>
      <c r="CI9" s="582"/>
      <c r="CJ9" s="582"/>
      <c r="CK9" s="582"/>
      <c r="CL9" s="582"/>
      <c r="CM9" s="582"/>
      <c r="CN9" s="582"/>
      <c r="CO9" s="582"/>
      <c r="CP9" s="582"/>
      <c r="CQ9" s="582"/>
      <c r="CR9" s="582"/>
      <c r="CS9" s="582"/>
      <c r="CT9" s="582"/>
      <c r="CU9" s="582"/>
      <c r="CV9" s="582"/>
      <c r="CW9" s="582"/>
      <c r="CX9" s="582"/>
      <c r="CY9" s="582"/>
      <c r="CZ9" s="582"/>
      <c r="DD9" s="317"/>
      <c r="DE9" s="315"/>
      <c r="DF9" s="315"/>
      <c r="DH9" s="316"/>
    </row>
    <row r="10" spans="1:112" s="314" customFormat="1" ht="17.100000000000001" customHeight="1" x14ac:dyDescent="0.25">
      <c r="A10" s="315"/>
      <c r="B10" s="317"/>
      <c r="C10" s="317"/>
      <c r="H10" s="497" t="str">
        <f>Balance!BW47</f>
        <v>Considerando tu patrimonio financiero actual, puedes cubrir tus gastos totales anuales por 1.66 años con lo cual, tienes tus gastos cubiertos hasta los 52 años de edad.</v>
      </c>
      <c r="I10" s="497"/>
      <c r="J10" s="497"/>
      <c r="K10" s="497"/>
      <c r="L10" s="497"/>
      <c r="M10" s="497"/>
      <c r="N10" s="497"/>
      <c r="O10" s="497"/>
      <c r="P10" s="497"/>
      <c r="Q10" s="497"/>
      <c r="R10" s="497"/>
      <c r="S10" s="497"/>
      <c r="T10" s="497"/>
      <c r="U10" s="497"/>
      <c r="V10" s="497"/>
      <c r="W10" s="497"/>
      <c r="X10" s="497"/>
      <c r="Y10" s="497"/>
      <c r="Z10" s="497"/>
      <c r="AA10" s="497"/>
      <c r="AB10" s="497"/>
      <c r="AC10" s="497"/>
      <c r="AD10" s="497"/>
      <c r="AE10" s="497"/>
      <c r="AF10" s="497"/>
      <c r="AG10" s="497"/>
      <c r="AH10" s="497"/>
      <c r="AI10" s="497"/>
      <c r="AJ10" s="497"/>
      <c r="AK10" s="497"/>
      <c r="AL10" s="497"/>
      <c r="AV10" s="497" t="str">
        <f>IF('Cálculos y Supuestos Balance'!Z6&gt;0,"Los ingresos pasivos son una buena fuente para seguir creciendo tu patrimonio y hacer frente a obligaciones.","Es importante diversificar la fuentes de ingresos para que no solo dependan de una sola actividad.")</f>
        <v>Los ingresos pasivos son una buena fuente para seguir creciendo tu patrimonio y hacer frente a obligaciones.</v>
      </c>
      <c r="AW10" s="497"/>
      <c r="AX10" s="497"/>
      <c r="AY10" s="497"/>
      <c r="AZ10" s="497"/>
      <c r="BA10" s="497"/>
      <c r="BB10" s="497"/>
      <c r="BC10" s="497"/>
      <c r="BD10" s="497"/>
      <c r="BE10" s="497"/>
      <c r="BF10" s="497"/>
      <c r="BG10" s="497"/>
      <c r="BH10" s="497"/>
      <c r="BI10" s="497"/>
      <c r="BJ10" s="497"/>
      <c r="BK10" s="497"/>
      <c r="BL10" s="497"/>
      <c r="BM10" s="497"/>
      <c r="BN10" s="497"/>
      <c r="BO10" s="497"/>
      <c r="BP10" s="497"/>
      <c r="BQ10" s="497"/>
      <c r="BR10" s="497"/>
      <c r="BS10" s="497"/>
      <c r="BT10" s="497"/>
      <c r="BU10" s="497"/>
      <c r="BV10" s="497"/>
      <c r="BW10" s="497"/>
      <c r="BX10" s="497"/>
      <c r="BY10" s="497"/>
      <c r="BZ10" s="497"/>
      <c r="CC10" s="317"/>
      <c r="CD10" s="582"/>
      <c r="CE10" s="582"/>
      <c r="CF10" s="582"/>
      <c r="CG10" s="582"/>
      <c r="CH10" s="582"/>
      <c r="CI10" s="582"/>
      <c r="CJ10" s="582"/>
      <c r="CK10" s="582"/>
      <c r="CL10" s="582"/>
      <c r="CM10" s="582"/>
      <c r="CN10" s="582"/>
      <c r="CO10" s="582"/>
      <c r="CP10" s="582"/>
      <c r="CQ10" s="582"/>
      <c r="CR10" s="582"/>
      <c r="CS10" s="582"/>
      <c r="CT10" s="582"/>
      <c r="CU10" s="582"/>
      <c r="CV10" s="582"/>
      <c r="CW10" s="582"/>
      <c r="CX10" s="582"/>
      <c r="CY10" s="582"/>
      <c r="CZ10" s="582"/>
      <c r="DD10" s="317"/>
      <c r="DE10" s="315"/>
      <c r="DF10" s="315"/>
      <c r="DH10" s="316"/>
    </row>
    <row r="11" spans="1:112" s="314" customFormat="1" ht="17.100000000000001" customHeight="1" x14ac:dyDescent="0.25">
      <c r="A11" s="315"/>
      <c r="B11" s="317"/>
      <c r="C11" s="317"/>
      <c r="H11" s="497"/>
      <c r="I11" s="497"/>
      <c r="J11" s="497"/>
      <c r="K11" s="497"/>
      <c r="L11" s="497"/>
      <c r="M11" s="497"/>
      <c r="N11" s="497"/>
      <c r="O11" s="497"/>
      <c r="P11" s="497"/>
      <c r="Q11" s="497"/>
      <c r="R11" s="497"/>
      <c r="S11" s="497"/>
      <c r="T11" s="497"/>
      <c r="U11" s="497"/>
      <c r="V11" s="497"/>
      <c r="W11" s="497"/>
      <c r="X11" s="497"/>
      <c r="Y11" s="497"/>
      <c r="Z11" s="497"/>
      <c r="AA11" s="497"/>
      <c r="AB11" s="497"/>
      <c r="AC11" s="497"/>
      <c r="AD11" s="497"/>
      <c r="AE11" s="497"/>
      <c r="AF11" s="497"/>
      <c r="AG11" s="497"/>
      <c r="AH11" s="497"/>
      <c r="AI11" s="497"/>
      <c r="AJ11" s="497"/>
      <c r="AK11" s="497"/>
      <c r="AL11" s="497"/>
      <c r="AV11" s="497"/>
      <c r="AW11" s="497"/>
      <c r="AX11" s="497"/>
      <c r="AY11" s="497"/>
      <c r="AZ11" s="497"/>
      <c r="BA11" s="497"/>
      <c r="BB11" s="497"/>
      <c r="BC11" s="497"/>
      <c r="BD11" s="497"/>
      <c r="BE11" s="497"/>
      <c r="BF11" s="497"/>
      <c r="BG11" s="497"/>
      <c r="BH11" s="497"/>
      <c r="BI11" s="497"/>
      <c r="BJ11" s="497"/>
      <c r="BK11" s="497"/>
      <c r="BL11" s="497"/>
      <c r="BM11" s="497"/>
      <c r="BN11" s="497"/>
      <c r="BO11" s="497"/>
      <c r="BP11" s="497"/>
      <c r="BQ11" s="497"/>
      <c r="BR11" s="497"/>
      <c r="BS11" s="497"/>
      <c r="BT11" s="497"/>
      <c r="BU11" s="497"/>
      <c r="BV11" s="497"/>
      <c r="BW11" s="497"/>
      <c r="BX11" s="497"/>
      <c r="BY11" s="497"/>
      <c r="BZ11" s="497"/>
      <c r="CC11" s="317"/>
      <c r="CD11" s="317"/>
      <c r="CE11" s="317"/>
      <c r="CF11" s="317"/>
      <c r="CG11" s="317"/>
      <c r="CH11" s="317"/>
      <c r="CI11" s="317"/>
      <c r="CJ11" s="317"/>
      <c r="CK11" s="317"/>
      <c r="CL11" s="317"/>
      <c r="CM11" s="317"/>
      <c r="CN11" s="317"/>
      <c r="CO11" s="317"/>
      <c r="CP11" s="317"/>
      <c r="CQ11" s="317"/>
      <c r="CR11" s="317"/>
      <c r="CS11" s="317"/>
      <c r="CT11" s="317"/>
      <c r="CU11" s="317"/>
      <c r="CV11" s="317"/>
      <c r="CW11" s="317"/>
      <c r="CX11" s="317"/>
      <c r="CY11" s="317"/>
      <c r="CZ11" s="317"/>
      <c r="DA11" s="317"/>
      <c r="DD11" s="317"/>
      <c r="DE11" s="315"/>
      <c r="DF11" s="315"/>
      <c r="DH11" s="316"/>
    </row>
    <row r="12" spans="1:112" s="314" customFormat="1" ht="17.100000000000001" customHeight="1" x14ac:dyDescent="0.25">
      <c r="A12" s="315"/>
      <c r="B12" s="317"/>
      <c r="C12" s="317"/>
      <c r="H12" s="497"/>
      <c r="I12" s="497"/>
      <c r="J12" s="497"/>
      <c r="K12" s="497"/>
      <c r="L12" s="497"/>
      <c r="M12" s="497"/>
      <c r="N12" s="497"/>
      <c r="O12" s="497"/>
      <c r="P12" s="497"/>
      <c r="Q12" s="497"/>
      <c r="R12" s="497"/>
      <c r="S12" s="497"/>
      <c r="T12" s="497"/>
      <c r="U12" s="497"/>
      <c r="V12" s="497"/>
      <c r="W12" s="497"/>
      <c r="X12" s="497"/>
      <c r="Y12" s="497"/>
      <c r="Z12" s="497"/>
      <c r="AA12" s="497"/>
      <c r="AB12" s="497"/>
      <c r="AC12" s="497"/>
      <c r="AD12" s="497"/>
      <c r="AE12" s="497"/>
      <c r="AF12" s="497"/>
      <c r="AG12" s="497"/>
      <c r="AH12" s="497"/>
      <c r="AI12" s="497"/>
      <c r="AJ12" s="497"/>
      <c r="AK12" s="497"/>
      <c r="AL12" s="497"/>
      <c r="AV12" s="497"/>
      <c r="AW12" s="497"/>
      <c r="AX12" s="497"/>
      <c r="AY12" s="497"/>
      <c r="AZ12" s="497"/>
      <c r="BA12" s="497"/>
      <c r="BB12" s="497"/>
      <c r="BC12" s="497"/>
      <c r="BD12" s="497"/>
      <c r="BE12" s="497"/>
      <c r="BF12" s="497"/>
      <c r="BG12" s="497"/>
      <c r="BH12" s="497"/>
      <c r="BI12" s="497"/>
      <c r="BJ12" s="497"/>
      <c r="BK12" s="497"/>
      <c r="BL12" s="497"/>
      <c r="BM12" s="497"/>
      <c r="BN12" s="497"/>
      <c r="BO12" s="497"/>
      <c r="BP12" s="497"/>
      <c r="BQ12" s="497"/>
      <c r="BR12" s="497"/>
      <c r="BS12" s="497"/>
      <c r="BT12" s="497"/>
      <c r="BU12" s="497"/>
      <c r="BV12" s="497"/>
      <c r="BW12" s="497"/>
      <c r="BX12" s="497"/>
      <c r="BY12" s="497"/>
      <c r="BZ12" s="497"/>
      <c r="CD12" s="468" t="s">
        <v>462</v>
      </c>
      <c r="CS12" s="486">
        <f>'Cálculos y Supuestos Balance'!Z7</f>
        <v>20000</v>
      </c>
      <c r="CT12" s="486"/>
      <c r="CU12" s="486"/>
      <c r="CV12" s="486"/>
      <c r="CW12" s="486"/>
      <c r="CX12" s="486"/>
      <c r="CY12" s="486"/>
      <c r="CZ12" s="486"/>
      <c r="DA12" s="486"/>
      <c r="DD12" s="317"/>
      <c r="DE12" s="315"/>
      <c r="DF12" s="315"/>
      <c r="DH12" s="316"/>
    </row>
    <row r="13" spans="1:112" s="314" customFormat="1" ht="17.100000000000001" customHeight="1" x14ac:dyDescent="0.25">
      <c r="A13" s="315"/>
      <c r="B13" s="317"/>
      <c r="C13" s="317"/>
      <c r="H13" s="497"/>
      <c r="I13" s="497"/>
      <c r="J13" s="497"/>
      <c r="K13" s="497"/>
      <c r="L13" s="497"/>
      <c r="M13" s="497"/>
      <c r="N13" s="497"/>
      <c r="O13" s="497"/>
      <c r="P13" s="497"/>
      <c r="Q13" s="497"/>
      <c r="R13" s="497"/>
      <c r="S13" s="497"/>
      <c r="T13" s="497"/>
      <c r="U13" s="497"/>
      <c r="V13" s="497"/>
      <c r="W13" s="497"/>
      <c r="X13" s="497"/>
      <c r="Y13" s="497"/>
      <c r="Z13" s="497"/>
      <c r="AA13" s="497"/>
      <c r="AB13" s="497"/>
      <c r="AC13" s="497"/>
      <c r="AD13" s="497"/>
      <c r="AE13" s="497"/>
      <c r="AF13" s="497"/>
      <c r="AG13" s="497"/>
      <c r="AH13" s="497"/>
      <c r="AI13" s="497"/>
      <c r="AJ13" s="497"/>
      <c r="AK13" s="497"/>
      <c r="AL13" s="497"/>
      <c r="AV13" s="497"/>
      <c r="AW13" s="497"/>
      <c r="AX13" s="497"/>
      <c r="AY13" s="497"/>
      <c r="AZ13" s="497"/>
      <c r="BA13" s="497"/>
      <c r="BB13" s="497"/>
      <c r="BC13" s="497"/>
      <c r="BD13" s="497"/>
      <c r="BE13" s="497"/>
      <c r="BF13" s="497"/>
      <c r="BG13" s="497"/>
      <c r="BH13" s="497"/>
      <c r="BI13" s="497"/>
      <c r="BJ13" s="497"/>
      <c r="BK13" s="497"/>
      <c r="BL13" s="497"/>
      <c r="BM13" s="497"/>
      <c r="BN13" s="497"/>
      <c r="BO13" s="497"/>
      <c r="BP13" s="497"/>
      <c r="BQ13" s="497"/>
      <c r="BR13" s="497"/>
      <c r="BS13" s="497"/>
      <c r="BT13" s="497"/>
      <c r="BU13" s="497"/>
      <c r="BV13" s="497"/>
      <c r="BW13" s="497"/>
      <c r="BX13" s="497"/>
      <c r="BY13" s="497"/>
      <c r="BZ13" s="497"/>
      <c r="CE13" s="469"/>
      <c r="DD13" s="317"/>
      <c r="DE13" s="315"/>
      <c r="DF13" s="315"/>
      <c r="DH13" s="316"/>
    </row>
    <row r="14" spans="1:112" s="314" customFormat="1" ht="17.100000000000001" customHeight="1" x14ac:dyDescent="0.25">
      <c r="A14" s="315"/>
      <c r="B14" s="317"/>
      <c r="C14" s="317"/>
      <c r="H14" s="497"/>
      <c r="I14" s="497"/>
      <c r="J14" s="497"/>
      <c r="K14" s="497"/>
      <c r="L14" s="497"/>
      <c r="M14" s="497"/>
      <c r="N14" s="497"/>
      <c r="O14" s="497"/>
      <c r="P14" s="497"/>
      <c r="Q14" s="497"/>
      <c r="R14" s="497"/>
      <c r="S14" s="497"/>
      <c r="T14" s="497"/>
      <c r="U14" s="497"/>
      <c r="V14" s="497"/>
      <c r="W14" s="497"/>
      <c r="X14" s="497"/>
      <c r="Y14" s="497"/>
      <c r="Z14" s="497"/>
      <c r="AA14" s="497"/>
      <c r="AB14" s="497"/>
      <c r="AC14" s="497"/>
      <c r="AD14" s="497"/>
      <c r="AE14" s="497"/>
      <c r="AF14" s="497"/>
      <c r="AG14" s="497"/>
      <c r="AH14" s="497"/>
      <c r="AI14" s="497"/>
      <c r="AJ14" s="497"/>
      <c r="AK14" s="497"/>
      <c r="AL14" s="497"/>
      <c r="AV14" s="497"/>
      <c r="AW14" s="497"/>
      <c r="AX14" s="497"/>
      <c r="AY14" s="497"/>
      <c r="AZ14" s="497"/>
      <c r="BA14" s="497"/>
      <c r="BB14" s="497"/>
      <c r="BC14" s="497"/>
      <c r="BD14" s="497"/>
      <c r="BE14" s="497"/>
      <c r="BF14" s="497"/>
      <c r="BG14" s="497"/>
      <c r="BH14" s="497"/>
      <c r="BI14" s="497"/>
      <c r="BJ14" s="497"/>
      <c r="BK14" s="497"/>
      <c r="BL14" s="497"/>
      <c r="BM14" s="497"/>
      <c r="BN14" s="497"/>
      <c r="BO14" s="497"/>
      <c r="BP14" s="497"/>
      <c r="BQ14" s="497"/>
      <c r="BR14" s="497"/>
      <c r="BS14" s="497"/>
      <c r="BT14" s="497"/>
      <c r="BU14" s="497"/>
      <c r="BV14" s="497"/>
      <c r="BW14" s="497"/>
      <c r="BX14" s="497"/>
      <c r="BY14" s="497"/>
      <c r="BZ14" s="497"/>
      <c r="CD14" s="468" t="s">
        <v>461</v>
      </c>
      <c r="CS14" s="486">
        <f>'Cálculos y Supuestos Balance'!Z8</f>
        <v>0</v>
      </c>
      <c r="CT14" s="486"/>
      <c r="CU14" s="486"/>
      <c r="CV14" s="486"/>
      <c r="CW14" s="486"/>
      <c r="CX14" s="486"/>
      <c r="CY14" s="486"/>
      <c r="CZ14" s="486"/>
      <c r="DA14" s="486"/>
      <c r="DD14" s="317"/>
      <c r="DE14" s="315"/>
      <c r="DF14" s="315"/>
      <c r="DH14" s="316"/>
    </row>
    <row r="15" spans="1:112" s="314" customFormat="1" ht="17.100000000000001" customHeight="1" x14ac:dyDescent="0.25">
      <c r="A15" s="315"/>
      <c r="B15" s="317"/>
      <c r="C15" s="317"/>
      <c r="H15" s="497"/>
      <c r="I15" s="497"/>
      <c r="J15" s="497"/>
      <c r="K15" s="497"/>
      <c r="L15" s="497"/>
      <c r="M15" s="497"/>
      <c r="N15" s="497"/>
      <c r="O15" s="497"/>
      <c r="P15" s="497"/>
      <c r="Q15" s="497"/>
      <c r="R15" s="497"/>
      <c r="S15" s="497"/>
      <c r="T15" s="497"/>
      <c r="U15" s="497"/>
      <c r="V15" s="497"/>
      <c r="W15" s="497"/>
      <c r="X15" s="497"/>
      <c r="Y15" s="497"/>
      <c r="Z15" s="497"/>
      <c r="AA15" s="497"/>
      <c r="AB15" s="497"/>
      <c r="AC15" s="497"/>
      <c r="AD15" s="497"/>
      <c r="AE15" s="497"/>
      <c r="AF15" s="497"/>
      <c r="AG15" s="497"/>
      <c r="AH15" s="497"/>
      <c r="AI15" s="497"/>
      <c r="AJ15" s="497"/>
      <c r="AK15" s="497"/>
      <c r="AL15" s="497"/>
      <c r="AV15" s="497"/>
      <c r="AW15" s="497"/>
      <c r="AX15" s="497"/>
      <c r="AY15" s="497"/>
      <c r="AZ15" s="497"/>
      <c r="BA15" s="497"/>
      <c r="BB15" s="497"/>
      <c r="BC15" s="497"/>
      <c r="BD15" s="497"/>
      <c r="BE15" s="497"/>
      <c r="BF15" s="497"/>
      <c r="BG15" s="497"/>
      <c r="BH15" s="497"/>
      <c r="BI15" s="497"/>
      <c r="BJ15" s="497"/>
      <c r="BK15" s="497"/>
      <c r="BL15" s="497"/>
      <c r="BM15" s="497"/>
      <c r="BN15" s="497"/>
      <c r="BO15" s="497"/>
      <c r="BP15" s="497"/>
      <c r="BQ15" s="497"/>
      <c r="BR15" s="497"/>
      <c r="BS15" s="497"/>
      <c r="BT15" s="497"/>
      <c r="BU15" s="497"/>
      <c r="BV15" s="497"/>
      <c r="BW15" s="497"/>
      <c r="BX15" s="497"/>
      <c r="BY15" s="497"/>
      <c r="BZ15" s="497"/>
      <c r="CH15" s="437"/>
      <c r="CI15" s="437"/>
      <c r="CJ15" s="437"/>
      <c r="CK15" s="437"/>
      <c r="CL15" s="437"/>
      <c r="CM15" s="437"/>
      <c r="CN15" s="437"/>
      <c r="CO15" s="437"/>
      <c r="CP15" s="437"/>
      <c r="CQ15" s="437"/>
      <c r="CR15" s="437"/>
      <c r="CS15" s="437"/>
      <c r="CT15" s="437"/>
      <c r="CU15" s="437"/>
      <c r="CV15" s="437"/>
      <c r="CW15" s="437"/>
      <c r="CX15" s="437"/>
      <c r="CY15" s="437"/>
      <c r="CZ15" s="437"/>
      <c r="DD15" s="317"/>
      <c r="DE15" s="315"/>
      <c r="DF15" s="315"/>
      <c r="DH15" s="316"/>
    </row>
    <row r="16" spans="1:112" s="314" customFormat="1" ht="17.100000000000001" customHeight="1" x14ac:dyDescent="0.25">
      <c r="A16" s="315"/>
      <c r="B16" s="317"/>
      <c r="C16" s="317"/>
      <c r="H16" s="497"/>
      <c r="I16" s="497"/>
      <c r="J16" s="497"/>
      <c r="K16" s="497"/>
      <c r="L16" s="497"/>
      <c r="M16" s="497"/>
      <c r="N16" s="497"/>
      <c r="O16" s="497"/>
      <c r="P16" s="497"/>
      <c r="Q16" s="497"/>
      <c r="R16" s="497"/>
      <c r="S16" s="497"/>
      <c r="T16" s="497"/>
      <c r="U16" s="497"/>
      <c r="V16" s="497"/>
      <c r="W16" s="497"/>
      <c r="X16" s="497"/>
      <c r="Y16" s="497"/>
      <c r="Z16" s="497"/>
      <c r="AA16" s="497"/>
      <c r="AB16" s="497"/>
      <c r="AC16" s="497"/>
      <c r="AD16" s="497"/>
      <c r="AE16" s="497"/>
      <c r="AF16" s="497"/>
      <c r="AG16" s="497"/>
      <c r="AH16" s="497"/>
      <c r="AI16" s="497"/>
      <c r="AJ16" s="497"/>
      <c r="AK16" s="497"/>
      <c r="AL16" s="497"/>
      <c r="AX16" s="317"/>
      <c r="AY16" s="317"/>
      <c r="AZ16" s="317"/>
      <c r="BA16" s="317"/>
      <c r="BB16" s="317"/>
      <c r="BC16" s="317"/>
      <c r="BD16" s="317"/>
      <c r="BE16" s="317"/>
      <c r="BF16" s="317"/>
      <c r="BG16" s="317"/>
      <c r="BH16" s="317"/>
      <c r="BI16" s="317"/>
      <c r="BJ16" s="317"/>
      <c r="BK16" s="317"/>
      <c r="BL16" s="317"/>
      <c r="BM16" s="317"/>
      <c r="BN16" s="317"/>
      <c r="BO16" s="317"/>
      <c r="BP16" s="317"/>
      <c r="BQ16" s="317"/>
      <c r="BR16" s="317"/>
      <c r="BS16" s="317"/>
      <c r="BT16" s="317"/>
      <c r="BU16" s="317"/>
      <c r="CH16" s="437"/>
      <c r="CI16" s="437"/>
      <c r="CJ16" s="437"/>
      <c r="CK16" s="437"/>
      <c r="CL16" s="437"/>
      <c r="CM16" s="437"/>
      <c r="CN16" s="437"/>
      <c r="CO16" s="437"/>
      <c r="CP16" s="437"/>
      <c r="CQ16" s="437"/>
      <c r="CR16" s="437"/>
      <c r="CS16" s="437"/>
      <c r="CT16" s="437"/>
      <c r="CU16" s="437"/>
      <c r="CV16" s="437"/>
      <c r="CW16" s="437"/>
      <c r="CX16" s="437"/>
      <c r="CY16" s="437"/>
      <c r="CZ16" s="437"/>
      <c r="DD16" s="317"/>
      <c r="DE16" s="315"/>
      <c r="DF16" s="315"/>
      <c r="DH16" s="316"/>
    </row>
    <row r="17" spans="1:133" s="314" customFormat="1" ht="17.100000000000001" customHeight="1" x14ac:dyDescent="0.25">
      <c r="A17" s="315"/>
      <c r="B17" s="317"/>
      <c r="C17" s="317"/>
      <c r="H17" s="497"/>
      <c r="I17" s="497"/>
      <c r="J17" s="497"/>
      <c r="K17" s="497"/>
      <c r="L17" s="497"/>
      <c r="M17" s="497"/>
      <c r="N17" s="497"/>
      <c r="O17" s="497"/>
      <c r="P17" s="497"/>
      <c r="Q17" s="497"/>
      <c r="R17" s="497"/>
      <c r="S17" s="497"/>
      <c r="T17" s="497"/>
      <c r="U17" s="497"/>
      <c r="V17" s="497"/>
      <c r="W17" s="497"/>
      <c r="X17" s="497"/>
      <c r="Y17" s="497"/>
      <c r="Z17" s="497"/>
      <c r="AA17" s="497"/>
      <c r="AB17" s="497"/>
      <c r="AC17" s="497"/>
      <c r="AD17" s="497"/>
      <c r="AE17" s="497"/>
      <c r="AF17" s="497"/>
      <c r="AG17" s="497"/>
      <c r="AH17" s="497"/>
      <c r="AI17" s="497"/>
      <c r="AJ17" s="497"/>
      <c r="AK17" s="497"/>
      <c r="AL17" s="497"/>
      <c r="AX17" s="317"/>
      <c r="AY17" s="317"/>
      <c r="AZ17" s="317"/>
      <c r="BA17" s="317"/>
      <c r="BB17" s="317"/>
      <c r="BC17" s="317"/>
      <c r="BD17" s="317"/>
      <c r="BE17" s="317"/>
      <c r="BF17" s="317"/>
      <c r="BG17" s="317"/>
      <c r="BH17" s="317"/>
      <c r="BI17" s="317"/>
      <c r="BJ17" s="317"/>
      <c r="BK17" s="317"/>
      <c r="BL17" s="317"/>
      <c r="BM17" s="317"/>
      <c r="BN17" s="317"/>
      <c r="BO17" s="317"/>
      <c r="BP17" s="317"/>
      <c r="BQ17" s="317"/>
      <c r="BR17" s="317"/>
      <c r="BS17" s="317"/>
      <c r="BT17" s="317"/>
      <c r="BU17" s="317"/>
      <c r="CH17" s="437"/>
      <c r="CI17" s="437"/>
      <c r="CJ17" s="437"/>
      <c r="CK17" s="437"/>
      <c r="CL17" s="437"/>
      <c r="CM17" s="437"/>
      <c r="CN17" s="437"/>
      <c r="CO17" s="437"/>
      <c r="CP17" s="437"/>
      <c r="CQ17" s="437"/>
      <c r="CR17" s="437"/>
      <c r="CS17" s="437"/>
      <c r="CT17" s="437"/>
      <c r="CU17" s="437"/>
      <c r="CV17" s="437"/>
      <c r="CW17" s="437"/>
      <c r="CX17" s="437"/>
      <c r="CY17" s="437"/>
      <c r="CZ17" s="437"/>
      <c r="DD17" s="317"/>
      <c r="DE17" s="315"/>
      <c r="DF17" s="315"/>
      <c r="DH17" s="316"/>
    </row>
    <row r="18" spans="1:133" s="314" customFormat="1" ht="17.100000000000001" customHeight="1" x14ac:dyDescent="0.25">
      <c r="A18" s="315"/>
      <c r="B18" s="317"/>
      <c r="C18" s="317"/>
      <c r="X18" s="320"/>
      <c r="Y18" s="320"/>
      <c r="Z18" s="320"/>
      <c r="AA18" s="320"/>
      <c r="AB18" s="320"/>
      <c r="AC18" s="320"/>
      <c r="AD18" s="320"/>
      <c r="AE18" s="320"/>
      <c r="AF18" s="320"/>
      <c r="AG18" s="320"/>
      <c r="AH18" s="320"/>
      <c r="AI18" s="320"/>
      <c r="AJ18" s="320"/>
      <c r="AX18" s="317"/>
      <c r="AY18" s="317"/>
      <c r="AZ18" s="317"/>
      <c r="BA18" s="317"/>
      <c r="BB18" s="317"/>
      <c r="BC18" s="317"/>
      <c r="BD18" s="317"/>
      <c r="BE18" s="317"/>
      <c r="BF18" s="317"/>
      <c r="BG18" s="317"/>
      <c r="BH18" s="317"/>
      <c r="BI18" s="317"/>
      <c r="BJ18" s="317"/>
      <c r="BK18" s="317"/>
      <c r="BL18" s="317"/>
      <c r="BM18" s="317"/>
      <c r="BN18" s="317"/>
      <c r="BO18" s="317"/>
      <c r="BP18" s="317"/>
      <c r="BQ18" s="317"/>
      <c r="BR18" s="317"/>
      <c r="BS18" s="317"/>
      <c r="BT18" s="317"/>
      <c r="BU18" s="317"/>
      <c r="CH18" s="437"/>
      <c r="CI18" s="437"/>
      <c r="CJ18" s="437"/>
      <c r="CK18" s="437"/>
      <c r="CL18" s="437"/>
      <c r="CM18" s="437"/>
      <c r="CN18" s="437"/>
      <c r="CO18" s="437"/>
      <c r="CP18" s="437"/>
      <c r="CQ18" s="437"/>
      <c r="CR18" s="437"/>
      <c r="CS18" s="437"/>
      <c r="CT18" s="437"/>
      <c r="CU18" s="437"/>
      <c r="CV18" s="437"/>
      <c r="CW18" s="437"/>
      <c r="CX18" s="437"/>
      <c r="CY18" s="437"/>
      <c r="CZ18" s="437"/>
      <c r="DD18" s="317"/>
      <c r="DE18" s="315"/>
      <c r="DF18" s="315"/>
      <c r="DH18" s="316"/>
    </row>
    <row r="19" spans="1:133" s="314" customFormat="1" ht="32.450000000000003" customHeight="1" x14ac:dyDescent="1.1499999999999999">
      <c r="A19" s="315"/>
      <c r="B19" s="317"/>
      <c r="C19" s="471"/>
      <c r="D19" s="480" t="s">
        <v>565</v>
      </c>
      <c r="P19" s="470"/>
      <c r="Q19" s="470"/>
      <c r="R19" s="470"/>
      <c r="Z19" s="320"/>
      <c r="AA19" s="320"/>
      <c r="AB19" s="320"/>
      <c r="AC19" s="320"/>
      <c r="AD19" s="320"/>
      <c r="AE19" s="320"/>
      <c r="AF19" s="320"/>
      <c r="AG19" s="320"/>
      <c r="AH19" s="320"/>
      <c r="AI19" s="320"/>
      <c r="AJ19" s="320"/>
      <c r="AX19" s="317"/>
      <c r="AY19" s="317"/>
      <c r="AZ19" s="317"/>
      <c r="BA19" s="317"/>
      <c r="BB19" s="317"/>
      <c r="BC19" s="317"/>
      <c r="BD19" s="317"/>
      <c r="BE19" s="317"/>
      <c r="BF19" s="317"/>
      <c r="BG19" s="317"/>
      <c r="BH19" s="317"/>
      <c r="BI19" s="317"/>
      <c r="BJ19" s="317"/>
      <c r="BK19" s="317"/>
      <c r="BL19" s="317"/>
      <c r="BM19" s="317"/>
      <c r="BN19" s="317"/>
      <c r="BO19" s="317"/>
      <c r="BP19" s="317"/>
      <c r="BQ19" s="317"/>
      <c r="BR19" s="317"/>
      <c r="BS19" s="317"/>
      <c r="BT19" s="317"/>
      <c r="BU19" s="317"/>
      <c r="CH19" s="437"/>
      <c r="CI19" s="437"/>
      <c r="CJ19" s="437"/>
      <c r="CK19" s="437"/>
      <c r="CL19" s="437"/>
      <c r="CM19" s="437"/>
      <c r="CN19" s="437"/>
      <c r="CO19" s="437"/>
      <c r="CP19" s="437"/>
      <c r="CQ19" s="437"/>
      <c r="CR19" s="437"/>
      <c r="CS19" s="437"/>
      <c r="CT19" s="437"/>
      <c r="CU19" s="437"/>
      <c r="CV19" s="437"/>
      <c r="CW19" s="437"/>
      <c r="CX19" s="437"/>
      <c r="CY19" s="437"/>
      <c r="CZ19" s="437"/>
      <c r="DD19" s="317"/>
      <c r="DE19" s="315"/>
      <c r="DF19" s="315"/>
      <c r="DH19" s="316"/>
    </row>
    <row r="20" spans="1:133" s="314" customFormat="1" ht="33.950000000000003" customHeight="1" x14ac:dyDescent="0.25">
      <c r="A20" s="315"/>
      <c r="B20" s="317"/>
      <c r="C20" s="317"/>
      <c r="D20" s="496" t="str">
        <f>IF('Patrimonio Neto'!K18&gt;=1,"Suficiente para hacer frente a tus obligaciones.",IF('Patrimonio Neto'!K18=0,"Tu liquidez esta en función de tu calidad de vida deseada y no por tus obligaciones.","Deseable incrementar tu liquidez para cubrir compromisos futuros."))</f>
        <v>Suficiente para hacer frente a tus obligaciones.</v>
      </c>
      <c r="E20" s="496"/>
      <c r="F20" s="496"/>
      <c r="G20" s="496"/>
      <c r="H20" s="496"/>
      <c r="I20" s="496"/>
      <c r="J20" s="496"/>
      <c r="K20" s="496"/>
      <c r="L20" s="496"/>
      <c r="M20" s="496"/>
      <c r="N20" s="496"/>
      <c r="O20" s="496"/>
      <c r="P20" s="496"/>
      <c r="Q20" s="496"/>
      <c r="R20" s="496"/>
      <c r="S20" s="496"/>
      <c r="T20" s="496"/>
      <c r="U20" s="496"/>
      <c r="V20" s="496"/>
      <c r="W20" s="496"/>
      <c r="X20" s="496"/>
      <c r="Y20" s="496"/>
      <c r="Z20" s="496"/>
      <c r="AA20" s="496"/>
      <c r="AB20" s="496"/>
      <c r="AC20" s="496"/>
      <c r="AD20" s="496"/>
      <c r="AE20" s="496"/>
      <c r="AF20" s="496"/>
      <c r="AG20" s="496"/>
      <c r="AH20" s="496"/>
      <c r="AI20" s="496"/>
      <c r="AJ20" s="496"/>
      <c r="AK20" s="496"/>
      <c r="AL20" s="496"/>
      <c r="AM20" s="496"/>
      <c r="AN20" s="496"/>
      <c r="AO20" s="496"/>
      <c r="AP20" s="496"/>
      <c r="AQ20" s="496"/>
      <c r="AR20" s="496"/>
      <c r="AS20" s="496"/>
      <c r="AT20" s="496"/>
      <c r="AU20" s="496"/>
      <c r="AV20" s="496"/>
      <c r="AW20" s="496"/>
      <c r="AX20" s="496"/>
      <c r="AY20" s="496"/>
      <c r="AZ20" s="496"/>
      <c r="BA20" s="496"/>
      <c r="BB20" s="496"/>
      <c r="BC20" s="496"/>
      <c r="BD20" s="496"/>
      <c r="BE20" s="496"/>
      <c r="BF20" s="496"/>
      <c r="BG20" s="496"/>
      <c r="BH20" s="496"/>
      <c r="BI20" s="496"/>
      <c r="BJ20" s="496"/>
      <c r="BK20" s="496"/>
      <c r="BL20" s="496"/>
      <c r="BM20" s="496"/>
      <c r="BN20" s="496"/>
      <c r="BO20" s="496"/>
      <c r="BP20" s="496"/>
      <c r="BQ20" s="496"/>
      <c r="BR20" s="496"/>
      <c r="BS20" s="496"/>
      <c r="BT20" s="496"/>
      <c r="BU20" s="437"/>
      <c r="BV20" s="437"/>
      <c r="BW20" s="437"/>
      <c r="BX20" s="437"/>
      <c r="BY20" s="437"/>
      <c r="BZ20" s="437"/>
      <c r="CA20" s="437"/>
      <c r="CB20" s="437"/>
      <c r="CC20" s="437"/>
      <c r="CD20" s="437"/>
      <c r="CE20" s="437"/>
      <c r="CH20" s="393"/>
      <c r="CI20" s="393"/>
      <c r="CJ20" s="393"/>
      <c r="CK20" s="393"/>
      <c r="CL20" s="393"/>
      <c r="CM20" s="393"/>
      <c r="CN20" s="393"/>
      <c r="CO20" s="393"/>
      <c r="CP20" s="393"/>
      <c r="CQ20" s="393"/>
      <c r="CR20" s="393"/>
      <c r="CS20" s="393"/>
      <c r="CT20" s="393"/>
      <c r="CU20" s="393"/>
      <c r="CV20" s="393"/>
      <c r="CW20" s="393"/>
      <c r="CX20" s="393"/>
      <c r="CY20" s="393"/>
      <c r="CZ20" s="393"/>
      <c r="DD20" s="317"/>
      <c r="DE20" s="315"/>
      <c r="DF20" s="315"/>
      <c r="DH20" s="316"/>
    </row>
    <row r="21" spans="1:133" s="314" customFormat="1" ht="17.100000000000001" customHeight="1" x14ac:dyDescent="0.25">
      <c r="A21" s="315"/>
      <c r="B21" s="317"/>
      <c r="C21" s="317"/>
      <c r="D21" s="313"/>
      <c r="X21" s="320"/>
      <c r="Y21" s="320"/>
      <c r="Z21" s="320"/>
      <c r="AA21" s="320"/>
      <c r="AB21" s="320"/>
      <c r="AC21" s="320"/>
      <c r="AD21" s="320"/>
      <c r="AE21" s="320"/>
      <c r="AF21" s="320"/>
      <c r="AG21" s="320"/>
      <c r="AH21" s="320"/>
      <c r="AI21" s="320"/>
      <c r="AJ21" s="320"/>
      <c r="AX21" s="317"/>
      <c r="AY21" s="317"/>
      <c r="AZ21" s="317"/>
      <c r="BA21" s="317"/>
      <c r="BB21" s="317"/>
      <c r="BC21" s="317"/>
      <c r="BD21" s="317"/>
      <c r="BE21" s="317"/>
      <c r="BF21" s="317"/>
      <c r="BG21" s="317"/>
      <c r="BH21" s="317"/>
      <c r="BI21" s="317"/>
      <c r="BJ21" s="317"/>
      <c r="BK21" s="317"/>
      <c r="BL21" s="317"/>
      <c r="BM21" s="317"/>
      <c r="BN21" s="317"/>
      <c r="BO21" s="317"/>
      <c r="BP21" s="317"/>
      <c r="BQ21" s="317"/>
      <c r="BR21" s="317"/>
      <c r="BS21" s="317"/>
      <c r="BT21" s="317"/>
      <c r="BU21" s="317"/>
      <c r="CH21" s="393"/>
      <c r="CI21" s="393"/>
      <c r="CJ21" s="393"/>
      <c r="CK21" s="393"/>
      <c r="CL21" s="393"/>
      <c r="CM21" s="393"/>
      <c r="CN21" s="393"/>
      <c r="CO21" s="393"/>
      <c r="CP21" s="393"/>
      <c r="CQ21" s="393"/>
      <c r="CR21" s="393"/>
      <c r="CS21" s="393"/>
      <c r="CT21" s="393"/>
      <c r="CU21" s="393"/>
      <c r="CV21" s="393"/>
      <c r="CW21" s="393"/>
      <c r="CX21" s="393"/>
      <c r="CY21" s="393"/>
      <c r="CZ21" s="393"/>
      <c r="DD21" s="317"/>
      <c r="DE21" s="315"/>
      <c r="DF21" s="315"/>
      <c r="DH21" s="316"/>
    </row>
    <row r="22" spans="1:133" s="314" customFormat="1" ht="30.75" x14ac:dyDescent="0.25">
      <c r="A22" s="315"/>
      <c r="B22" s="317"/>
      <c r="C22" s="317"/>
      <c r="D22" s="329"/>
      <c r="E22" s="338"/>
      <c r="F22" s="338"/>
      <c r="G22" s="338"/>
      <c r="H22" s="338"/>
      <c r="I22" s="338"/>
      <c r="J22" s="338"/>
      <c r="K22" s="338"/>
      <c r="L22" s="338"/>
      <c r="M22" s="338"/>
      <c r="N22" s="338"/>
      <c r="O22" s="338"/>
      <c r="P22" s="338"/>
      <c r="Q22" s="338"/>
      <c r="R22" s="338"/>
      <c r="S22" s="338"/>
      <c r="T22" s="338"/>
      <c r="U22" s="338"/>
      <c r="V22" s="338"/>
      <c r="W22" s="338"/>
      <c r="X22" s="337"/>
      <c r="Y22" s="324"/>
      <c r="Z22" s="324"/>
      <c r="AA22" s="324"/>
      <c r="AB22" s="324"/>
      <c r="AC22" s="324"/>
      <c r="AD22" s="324"/>
      <c r="AE22" s="324"/>
      <c r="AF22" s="324"/>
      <c r="AG22" s="324"/>
      <c r="AH22" s="336"/>
      <c r="AI22" s="336"/>
      <c r="AJ22" s="336"/>
      <c r="AK22" s="336"/>
      <c r="AL22" s="336"/>
      <c r="AM22" s="335"/>
      <c r="AX22" s="317"/>
      <c r="AY22" s="317"/>
      <c r="AZ22" s="317"/>
      <c r="BA22" s="317"/>
      <c r="BB22" s="317"/>
      <c r="BC22" s="317"/>
      <c r="BD22" s="317"/>
      <c r="BE22" s="317"/>
      <c r="BF22" s="317"/>
      <c r="BG22" s="317"/>
      <c r="BH22" s="317"/>
      <c r="BI22" s="317"/>
      <c r="BJ22" s="317"/>
      <c r="BK22" s="317"/>
      <c r="BL22" s="317"/>
      <c r="BM22" s="317"/>
      <c r="BN22" s="317"/>
      <c r="BO22" s="317"/>
      <c r="BP22" s="317"/>
      <c r="BQ22" s="317"/>
      <c r="BR22" s="317"/>
      <c r="BS22" s="317"/>
      <c r="BT22" s="317"/>
      <c r="BU22" s="317"/>
      <c r="BV22" s="317"/>
      <c r="BW22" s="317"/>
      <c r="BX22" s="317"/>
      <c r="BY22" s="317"/>
      <c r="BZ22" s="317"/>
      <c r="CA22" s="317"/>
      <c r="CB22" s="317"/>
      <c r="CC22" s="317"/>
      <c r="CD22" s="317"/>
      <c r="CE22" s="317"/>
      <c r="CF22" s="317"/>
      <c r="CG22" s="317"/>
      <c r="CH22" s="317"/>
      <c r="CI22" s="317"/>
      <c r="CJ22" s="317"/>
      <c r="CK22" s="317"/>
      <c r="CL22" s="317"/>
      <c r="CM22" s="317"/>
      <c r="CN22" s="317"/>
      <c r="CO22" s="317"/>
      <c r="CP22" s="317"/>
      <c r="CQ22" s="317"/>
      <c r="CR22" s="317"/>
      <c r="CS22" s="317"/>
      <c r="CT22" s="317"/>
      <c r="CU22" s="317"/>
      <c r="CV22" s="317"/>
      <c r="CW22" s="317"/>
      <c r="CX22" s="317"/>
      <c r="CY22" s="317"/>
      <c r="CZ22" s="317"/>
      <c r="DA22" s="326"/>
      <c r="DB22" s="317"/>
      <c r="DC22" s="317"/>
      <c r="DD22" s="317"/>
      <c r="DE22" s="315"/>
      <c r="DF22" s="315"/>
      <c r="DH22" s="316"/>
    </row>
    <row r="23" spans="1:133" s="314" customFormat="1" ht="30.6" customHeight="1" x14ac:dyDescent="0.25">
      <c r="A23" s="315"/>
      <c r="C23" s="317"/>
      <c r="D23" s="481" t="s">
        <v>566</v>
      </c>
      <c r="U23" s="338"/>
      <c r="V23" s="338"/>
      <c r="W23" s="338"/>
      <c r="X23" s="337"/>
      <c r="Y23" s="324"/>
      <c r="Z23" s="324"/>
      <c r="AA23" s="324"/>
      <c r="AB23" s="324"/>
      <c r="AC23" s="324"/>
      <c r="AD23" s="324"/>
      <c r="AE23" s="324"/>
      <c r="AF23" s="324"/>
      <c r="AG23" s="324"/>
      <c r="AH23" s="336"/>
      <c r="AI23" s="336"/>
      <c r="AJ23" s="336"/>
      <c r="AK23" s="336"/>
      <c r="AL23" s="336"/>
      <c r="AM23" s="335"/>
      <c r="AX23" s="317"/>
      <c r="BB23" s="317"/>
      <c r="BC23" s="313"/>
      <c r="DC23" s="431"/>
      <c r="DD23" s="431"/>
      <c r="DE23" s="315"/>
      <c r="DF23" s="315"/>
      <c r="DH23" s="316"/>
    </row>
    <row r="24" spans="1:133" s="314" customFormat="1" ht="30.75" x14ac:dyDescent="0.25">
      <c r="A24" s="315"/>
      <c r="B24" s="317"/>
      <c r="C24" s="317"/>
      <c r="D24" s="329"/>
      <c r="E24" s="488" t="str">
        <f>'Cálculos y Supuestos Balance'!AB39</f>
        <v>Tienes un nivel de solvencia excelente que te permite apalancarte en tus activos para seguir creciendo tu patrimonio.</v>
      </c>
      <c r="F24" s="488"/>
      <c r="G24" s="488"/>
      <c r="H24" s="488"/>
      <c r="I24" s="488"/>
      <c r="J24" s="488"/>
      <c r="K24" s="488"/>
      <c r="L24" s="488"/>
      <c r="M24" s="488"/>
      <c r="N24" s="488"/>
      <c r="O24" s="488"/>
      <c r="P24" s="488"/>
      <c r="Q24" s="488"/>
      <c r="R24" s="488"/>
      <c r="S24" s="488"/>
      <c r="T24" s="488"/>
      <c r="U24" s="488"/>
      <c r="V24" s="488"/>
      <c r="W24" s="488"/>
      <c r="X24" s="488"/>
      <c r="Y24" s="488"/>
      <c r="Z24" s="488"/>
      <c r="AA24" s="488"/>
      <c r="AB24" s="488"/>
      <c r="AC24" s="488"/>
      <c r="AD24" s="488"/>
      <c r="AE24" s="488"/>
      <c r="AF24" s="488"/>
      <c r="AG24" s="488"/>
      <c r="AH24" s="488"/>
      <c r="AI24" s="488"/>
      <c r="AJ24" s="488"/>
      <c r="AK24" s="488"/>
      <c r="AL24" s="488"/>
      <c r="AM24" s="488"/>
      <c r="AN24" s="488"/>
      <c r="AO24" s="488"/>
      <c r="AP24" s="488"/>
      <c r="AX24" s="317"/>
      <c r="AY24" s="317"/>
      <c r="AZ24" s="317"/>
      <c r="BB24" s="498" t="str">
        <f>IF('Potencial del balance'!J2="Si","De acuerdo a tu nivel de apalancamiento actual, puedes recurrir a un crédito por "&amp;TEXT('Potencial del balance'!F11,"#,0")&amp;" sobre tus activos financieros.","No cuentas con capacidad de apalancamiento")</f>
        <v>De acuerdo a tu nivel de apalancamiento actual, puedes recurrir a un crédito por 2,142,857 sobre tus activos financieros.</v>
      </c>
      <c r="BC24" s="498"/>
      <c r="BD24" s="498"/>
      <c r="BE24" s="498"/>
      <c r="BF24" s="498"/>
      <c r="BG24" s="498"/>
      <c r="BH24" s="498"/>
      <c r="BI24" s="498"/>
      <c r="BJ24" s="498"/>
      <c r="BK24" s="498"/>
      <c r="BL24" s="498"/>
      <c r="BM24" s="498"/>
      <c r="BN24" s="498"/>
      <c r="BO24" s="498"/>
      <c r="BP24" s="498"/>
      <c r="BQ24" s="498"/>
      <c r="BR24" s="498"/>
      <c r="BS24" s="498"/>
      <c r="BT24" s="498"/>
      <c r="BU24" s="498"/>
      <c r="BV24" s="498"/>
      <c r="BW24" s="498"/>
      <c r="BX24" s="498"/>
      <c r="BY24" s="498"/>
      <c r="BZ24" s="498"/>
      <c r="CA24" s="498"/>
      <c r="CB24" s="498"/>
      <c r="CC24" s="498"/>
      <c r="CD24" s="498"/>
      <c r="CE24" s="498"/>
      <c r="CF24" s="498"/>
      <c r="CG24" s="498"/>
      <c r="CH24" s="498"/>
      <c r="CI24" s="498"/>
      <c r="CJ24" s="498"/>
      <c r="CK24" s="498"/>
      <c r="CL24" s="498"/>
      <c r="CM24" s="498"/>
      <c r="CN24" s="498"/>
      <c r="CO24" s="498"/>
      <c r="CP24" s="498"/>
      <c r="CQ24" s="498"/>
      <c r="CR24" s="498"/>
      <c r="CS24" s="498"/>
      <c r="CT24" s="498"/>
      <c r="CU24" s="498"/>
      <c r="CV24" s="498"/>
      <c r="CW24" s="498"/>
      <c r="CX24" s="498"/>
      <c r="DC24" s="431"/>
      <c r="DD24" s="431"/>
      <c r="DE24" s="315"/>
      <c r="DF24" s="315"/>
      <c r="DH24" s="316"/>
    </row>
    <row r="25" spans="1:133" s="314" customFormat="1" ht="30.6" customHeight="1" x14ac:dyDescent="0.25">
      <c r="A25" s="315"/>
      <c r="B25" s="317"/>
      <c r="C25" s="317"/>
      <c r="D25" s="329"/>
      <c r="E25" s="488"/>
      <c r="F25" s="488"/>
      <c r="G25" s="488"/>
      <c r="H25" s="488"/>
      <c r="I25" s="488"/>
      <c r="J25" s="488"/>
      <c r="K25" s="488"/>
      <c r="L25" s="488"/>
      <c r="M25" s="488"/>
      <c r="N25" s="488"/>
      <c r="O25" s="488"/>
      <c r="P25" s="488"/>
      <c r="Q25" s="488"/>
      <c r="R25" s="488"/>
      <c r="S25" s="488"/>
      <c r="T25" s="488"/>
      <c r="U25" s="488"/>
      <c r="V25" s="488"/>
      <c r="W25" s="488"/>
      <c r="X25" s="488"/>
      <c r="Y25" s="488"/>
      <c r="Z25" s="488"/>
      <c r="AA25" s="488"/>
      <c r="AB25" s="488"/>
      <c r="AC25" s="488"/>
      <c r="AD25" s="488"/>
      <c r="AE25" s="488"/>
      <c r="AF25" s="488"/>
      <c r="AG25" s="488"/>
      <c r="AH25" s="488"/>
      <c r="AI25" s="488"/>
      <c r="AJ25" s="488"/>
      <c r="AK25" s="488"/>
      <c r="AL25" s="488"/>
      <c r="AM25" s="488"/>
      <c r="AN25" s="488"/>
      <c r="AO25" s="488"/>
      <c r="AP25" s="488"/>
      <c r="AX25" s="317"/>
      <c r="BB25" s="498"/>
      <c r="BC25" s="498"/>
      <c r="BD25" s="498"/>
      <c r="BE25" s="498"/>
      <c r="BF25" s="498"/>
      <c r="BG25" s="498"/>
      <c r="BH25" s="498"/>
      <c r="BI25" s="498"/>
      <c r="BJ25" s="498"/>
      <c r="BK25" s="498"/>
      <c r="BL25" s="498"/>
      <c r="BM25" s="498"/>
      <c r="BN25" s="498"/>
      <c r="BO25" s="498"/>
      <c r="BP25" s="498"/>
      <c r="BQ25" s="498"/>
      <c r="BR25" s="498"/>
      <c r="BS25" s="498"/>
      <c r="BT25" s="498"/>
      <c r="BU25" s="498"/>
      <c r="BV25" s="498"/>
      <c r="BW25" s="498"/>
      <c r="BX25" s="498"/>
      <c r="BY25" s="498"/>
      <c r="BZ25" s="498"/>
      <c r="CA25" s="498"/>
      <c r="CB25" s="498"/>
      <c r="CC25" s="498"/>
      <c r="CD25" s="498"/>
      <c r="CE25" s="498"/>
      <c r="CF25" s="498"/>
      <c r="CG25" s="498"/>
      <c r="CH25" s="498"/>
      <c r="CI25" s="498"/>
      <c r="CJ25" s="498"/>
      <c r="CK25" s="498"/>
      <c r="CL25" s="498"/>
      <c r="CM25" s="498"/>
      <c r="CN25" s="498"/>
      <c r="CO25" s="498"/>
      <c r="CP25" s="498"/>
      <c r="CQ25" s="498"/>
      <c r="CR25" s="498"/>
      <c r="CS25" s="498"/>
      <c r="CT25" s="498"/>
      <c r="CU25" s="498"/>
      <c r="CV25" s="498"/>
      <c r="CW25" s="498"/>
      <c r="CX25" s="498"/>
      <c r="DC25" s="431"/>
      <c r="DD25" s="431"/>
      <c r="DE25" s="315"/>
      <c r="DF25" s="315"/>
      <c r="DH25" s="316"/>
    </row>
    <row r="26" spans="1:133" s="314" customFormat="1" ht="30.75" x14ac:dyDescent="0.25">
      <c r="A26" s="315"/>
      <c r="B26" s="317"/>
      <c r="C26" s="317"/>
      <c r="D26" s="329"/>
      <c r="E26" s="488"/>
      <c r="F26" s="488"/>
      <c r="G26" s="488"/>
      <c r="H26" s="488"/>
      <c r="I26" s="488"/>
      <c r="J26" s="488"/>
      <c r="K26" s="488"/>
      <c r="L26" s="488"/>
      <c r="M26" s="488"/>
      <c r="N26" s="488"/>
      <c r="O26" s="488"/>
      <c r="P26" s="488"/>
      <c r="Q26" s="488"/>
      <c r="R26" s="488"/>
      <c r="S26" s="488"/>
      <c r="T26" s="488"/>
      <c r="U26" s="488"/>
      <c r="V26" s="488"/>
      <c r="W26" s="488"/>
      <c r="X26" s="488"/>
      <c r="Y26" s="488"/>
      <c r="Z26" s="488"/>
      <c r="AA26" s="488"/>
      <c r="AB26" s="488"/>
      <c r="AC26" s="488"/>
      <c r="AD26" s="488"/>
      <c r="AE26" s="488"/>
      <c r="AF26" s="488"/>
      <c r="AG26" s="488"/>
      <c r="AH26" s="488"/>
      <c r="AI26" s="488"/>
      <c r="AJ26" s="488"/>
      <c r="AK26" s="488"/>
      <c r="AL26" s="488"/>
      <c r="AM26" s="488"/>
      <c r="AN26" s="488"/>
      <c r="AO26" s="488"/>
      <c r="AP26" s="488"/>
      <c r="AX26" s="317"/>
      <c r="DC26" s="431"/>
      <c r="DD26" s="431"/>
      <c r="DE26" s="315"/>
      <c r="DF26" s="315"/>
      <c r="DH26" s="316"/>
    </row>
    <row r="27" spans="1:133" s="314" customFormat="1" ht="30" x14ac:dyDescent="0.25">
      <c r="A27" s="315"/>
      <c r="B27" s="317"/>
      <c r="C27" s="317"/>
      <c r="D27" s="329"/>
      <c r="E27" s="488"/>
      <c r="F27" s="488"/>
      <c r="G27" s="488"/>
      <c r="H27" s="488"/>
      <c r="I27" s="488"/>
      <c r="J27" s="488"/>
      <c r="K27" s="488"/>
      <c r="L27" s="488"/>
      <c r="M27" s="488"/>
      <c r="N27" s="488"/>
      <c r="O27" s="488"/>
      <c r="P27" s="488"/>
      <c r="Q27" s="488"/>
      <c r="R27" s="488"/>
      <c r="S27" s="488"/>
      <c r="T27" s="488"/>
      <c r="U27" s="488"/>
      <c r="V27" s="488"/>
      <c r="W27" s="488"/>
      <c r="X27" s="488"/>
      <c r="Y27" s="488"/>
      <c r="Z27" s="488"/>
      <c r="AA27" s="488"/>
      <c r="AB27" s="488"/>
      <c r="AC27" s="488"/>
      <c r="AD27" s="488"/>
      <c r="AE27" s="488"/>
      <c r="AF27" s="488"/>
      <c r="AG27" s="488"/>
      <c r="AH27" s="488"/>
      <c r="AI27" s="488"/>
      <c r="AJ27" s="488"/>
      <c r="AK27" s="488"/>
      <c r="AL27" s="488"/>
      <c r="AM27" s="488"/>
      <c r="AN27" s="488"/>
      <c r="AO27" s="488"/>
      <c r="AP27" s="488"/>
      <c r="AX27" s="317"/>
      <c r="BB27" s="498" t="str">
        <f>IF('Potencial del balance'!J2="Si","De acuerdo a tu nivel de apalancamiento actual, puedes recurrir a un crédito por "&amp;TEXT('Potencial del balance'!F12,"#,0")&amp;" sobre tus activos inmobiliarios.","No cuentas con capacidad de apalancamiento")</f>
        <v>De acuerdo a tu nivel de apalancamiento actual, puedes recurrir a un crédito por 357,143 sobre tus activos inmobiliarios.</v>
      </c>
      <c r="BC27" s="498"/>
      <c r="BD27" s="498"/>
      <c r="BE27" s="498"/>
      <c r="BF27" s="498"/>
      <c r="BG27" s="498"/>
      <c r="BH27" s="498"/>
      <c r="BI27" s="498"/>
      <c r="BJ27" s="498"/>
      <c r="BK27" s="498"/>
      <c r="BL27" s="498"/>
      <c r="BM27" s="498"/>
      <c r="BN27" s="498"/>
      <c r="BO27" s="498"/>
      <c r="BP27" s="498"/>
      <c r="BQ27" s="498"/>
      <c r="BR27" s="498"/>
      <c r="BS27" s="498"/>
      <c r="BT27" s="498"/>
      <c r="BU27" s="498"/>
      <c r="BV27" s="498"/>
      <c r="BW27" s="498"/>
      <c r="BX27" s="498"/>
      <c r="BY27" s="498"/>
      <c r="BZ27" s="498"/>
      <c r="CA27" s="498"/>
      <c r="CB27" s="498"/>
      <c r="CC27" s="498"/>
      <c r="CD27" s="498"/>
      <c r="CE27" s="498"/>
      <c r="CF27" s="498"/>
      <c r="CG27" s="498"/>
      <c r="CH27" s="498"/>
      <c r="CI27" s="498"/>
      <c r="CJ27" s="498"/>
      <c r="CK27" s="498"/>
      <c r="CL27" s="498"/>
      <c r="CM27" s="498"/>
      <c r="CN27" s="498"/>
      <c r="CO27" s="498"/>
      <c r="CP27" s="498"/>
      <c r="CQ27" s="498"/>
      <c r="CR27" s="498"/>
      <c r="CS27" s="498"/>
      <c r="CT27" s="498"/>
      <c r="CU27" s="498"/>
      <c r="CV27" s="498"/>
      <c r="CW27" s="498"/>
      <c r="CX27" s="498"/>
      <c r="DC27" s="317"/>
      <c r="DD27" s="317"/>
      <c r="DE27" s="315"/>
      <c r="DF27" s="315"/>
      <c r="DH27" s="316"/>
    </row>
    <row r="28" spans="1:133" s="314" customFormat="1" ht="30.75" x14ac:dyDescent="0.25">
      <c r="A28" s="315"/>
      <c r="B28" s="317"/>
      <c r="U28" s="338"/>
      <c r="W28" s="338"/>
      <c r="X28" s="337"/>
      <c r="Y28" s="324"/>
      <c r="Z28" s="324"/>
      <c r="AA28" s="324"/>
      <c r="AB28" s="324"/>
      <c r="AC28" s="324"/>
      <c r="AD28" s="324"/>
      <c r="AE28" s="324"/>
      <c r="AF28" s="324"/>
      <c r="AG28" s="324"/>
      <c r="AH28" s="336"/>
      <c r="AI28" s="336"/>
      <c r="AJ28" s="336"/>
      <c r="AK28" s="336"/>
      <c r="AL28" s="336"/>
      <c r="AM28" s="335"/>
      <c r="AX28" s="317"/>
      <c r="AY28" s="317"/>
      <c r="AZ28" s="317"/>
      <c r="BA28" s="317"/>
      <c r="BB28" s="498"/>
      <c r="BC28" s="498"/>
      <c r="BD28" s="498"/>
      <c r="BE28" s="498"/>
      <c r="BF28" s="498"/>
      <c r="BG28" s="498"/>
      <c r="BH28" s="498"/>
      <c r="BI28" s="498"/>
      <c r="BJ28" s="498"/>
      <c r="BK28" s="498"/>
      <c r="BL28" s="498"/>
      <c r="BM28" s="498"/>
      <c r="BN28" s="498"/>
      <c r="BO28" s="498"/>
      <c r="BP28" s="498"/>
      <c r="BQ28" s="498"/>
      <c r="BR28" s="498"/>
      <c r="BS28" s="498"/>
      <c r="BT28" s="498"/>
      <c r="BU28" s="498"/>
      <c r="BV28" s="498"/>
      <c r="BW28" s="498"/>
      <c r="BX28" s="498"/>
      <c r="BY28" s="498"/>
      <c r="BZ28" s="498"/>
      <c r="CA28" s="498"/>
      <c r="CB28" s="498"/>
      <c r="CC28" s="498"/>
      <c r="CD28" s="498"/>
      <c r="CE28" s="498"/>
      <c r="CF28" s="498"/>
      <c r="CG28" s="498"/>
      <c r="CH28" s="498"/>
      <c r="CI28" s="498"/>
      <c r="CJ28" s="498"/>
      <c r="CK28" s="498"/>
      <c r="CL28" s="498"/>
      <c r="CM28" s="498"/>
      <c r="CN28" s="498"/>
      <c r="CO28" s="498"/>
      <c r="CP28" s="498"/>
      <c r="CQ28" s="498"/>
      <c r="CR28" s="498"/>
      <c r="CS28" s="498"/>
      <c r="CT28" s="498"/>
      <c r="CU28" s="498"/>
      <c r="CV28" s="498"/>
      <c r="CW28" s="498"/>
      <c r="CX28" s="498"/>
      <c r="DC28" s="317"/>
      <c r="DD28" s="317"/>
      <c r="DE28" s="315"/>
      <c r="DF28" s="315"/>
      <c r="DH28" s="316"/>
    </row>
    <row r="29" spans="1:133" s="314" customFormat="1" ht="30.75" x14ac:dyDescent="0.25">
      <c r="A29" s="315"/>
      <c r="B29" s="317"/>
      <c r="C29" s="317"/>
      <c r="D29" s="313" t="s">
        <v>399</v>
      </c>
      <c r="E29" s="338"/>
      <c r="F29" s="338"/>
      <c r="G29" s="338"/>
      <c r="H29" s="338"/>
      <c r="I29" s="338"/>
      <c r="J29" s="338"/>
      <c r="K29" s="338"/>
      <c r="L29" s="338"/>
      <c r="M29" s="338"/>
      <c r="N29" s="338"/>
      <c r="O29" s="338"/>
      <c r="P29" s="494">
        <f>'Cálculos y Supuestos Balance'!Z39</f>
        <v>0.8571428571428571</v>
      </c>
      <c r="Q29" s="494"/>
      <c r="R29" s="494"/>
      <c r="S29" s="494"/>
      <c r="T29" s="494"/>
      <c r="U29" s="338"/>
      <c r="V29" s="338"/>
      <c r="W29" s="338"/>
      <c r="X29" s="337"/>
      <c r="Y29" s="324"/>
      <c r="Z29" s="324"/>
      <c r="AA29" s="324"/>
      <c r="AB29" s="324"/>
      <c r="AC29" s="324"/>
      <c r="AD29" s="324"/>
      <c r="AE29" s="324"/>
      <c r="AF29" s="324"/>
      <c r="AG29" s="324"/>
      <c r="AH29" s="336"/>
      <c r="AI29" s="336"/>
      <c r="AJ29" s="336"/>
      <c r="AK29" s="336"/>
      <c r="AL29" s="336"/>
      <c r="AM29" s="335"/>
      <c r="AX29" s="317"/>
      <c r="AY29" s="317"/>
      <c r="AZ29" s="317"/>
      <c r="BA29" s="317"/>
      <c r="BB29" s="317"/>
      <c r="BC29" s="317"/>
      <c r="BD29" s="317"/>
      <c r="BE29" s="317"/>
      <c r="BF29" s="317"/>
      <c r="BG29" s="317"/>
      <c r="BH29" s="317"/>
      <c r="BI29" s="317"/>
      <c r="BJ29" s="317"/>
      <c r="BK29" s="317"/>
      <c r="BL29" s="317"/>
      <c r="CY29" s="317"/>
      <c r="CZ29" s="317"/>
      <c r="DA29" s="326"/>
      <c r="DB29" s="317"/>
      <c r="DC29" s="317"/>
      <c r="DD29" s="317"/>
      <c r="DE29" s="315"/>
      <c r="DF29" s="315"/>
      <c r="DH29" s="316"/>
    </row>
    <row r="30" spans="1:133" s="314" customFormat="1" x14ac:dyDescent="0.25">
      <c r="A30" s="315"/>
      <c r="B30" s="317"/>
      <c r="C30" s="317"/>
      <c r="BA30" s="317"/>
      <c r="BB30" s="317"/>
      <c r="BC30" s="317"/>
      <c r="BD30" s="317"/>
      <c r="BE30" s="317"/>
      <c r="BF30" s="317"/>
      <c r="BG30" s="317"/>
      <c r="BH30" s="317"/>
      <c r="BI30" s="317"/>
      <c r="BJ30" s="317"/>
      <c r="BK30" s="317"/>
      <c r="BL30" s="317"/>
      <c r="CY30" s="317"/>
      <c r="CZ30" s="317"/>
      <c r="DA30" s="326"/>
      <c r="DB30" s="317"/>
      <c r="DC30" s="317"/>
      <c r="DD30" s="317"/>
      <c r="DE30" s="315"/>
      <c r="DF30" s="315"/>
      <c r="DH30" s="316"/>
    </row>
    <row r="31" spans="1:133" s="314" customFormat="1" ht="30.75" x14ac:dyDescent="0.25">
      <c r="A31" s="315"/>
      <c r="B31" s="317"/>
      <c r="C31" s="317"/>
      <c r="D31" s="329"/>
      <c r="E31" s="338"/>
      <c r="F31" s="338"/>
      <c r="G31" s="338"/>
      <c r="H31" s="338"/>
      <c r="I31" s="338"/>
      <c r="J31" s="338"/>
      <c r="K31" s="338"/>
      <c r="L31" s="338"/>
      <c r="M31" s="338"/>
      <c r="N31" s="338"/>
      <c r="O31" s="338"/>
      <c r="P31" s="338"/>
      <c r="Q31" s="338"/>
      <c r="R31" s="338"/>
      <c r="S31" s="338"/>
      <c r="T31" s="338"/>
      <c r="U31" s="338"/>
      <c r="V31" s="338"/>
      <c r="W31" s="338"/>
      <c r="X31" s="337"/>
      <c r="Y31" s="324"/>
      <c r="Z31" s="324"/>
      <c r="AA31" s="324"/>
      <c r="AB31" s="324"/>
      <c r="AC31" s="324"/>
      <c r="AD31" s="324"/>
      <c r="AE31" s="324"/>
      <c r="AF31" s="324"/>
      <c r="AG31" s="324"/>
      <c r="AH31" s="336"/>
      <c r="AI31" s="336"/>
      <c r="AJ31" s="336"/>
      <c r="AK31" s="336"/>
      <c r="AL31" s="336"/>
      <c r="AM31" s="335"/>
      <c r="AX31" s="317"/>
      <c r="AY31" s="317"/>
      <c r="AZ31" s="317"/>
      <c r="BA31" s="317"/>
      <c r="BB31" s="317"/>
      <c r="BC31" s="317"/>
      <c r="BD31" s="317"/>
      <c r="BE31" s="317"/>
      <c r="BF31" s="317"/>
      <c r="BG31" s="317"/>
      <c r="BH31" s="317"/>
      <c r="BI31" s="317"/>
      <c r="BJ31" s="317"/>
      <c r="BK31" s="317"/>
      <c r="BL31" s="317"/>
      <c r="BM31" s="317"/>
      <c r="BN31" s="317"/>
      <c r="BO31" s="317"/>
      <c r="BP31" s="317"/>
      <c r="BQ31" s="317"/>
      <c r="BR31" s="317"/>
      <c r="BS31" s="317"/>
      <c r="BT31" s="342"/>
      <c r="BU31" s="342"/>
      <c r="BV31" s="342"/>
      <c r="BW31" s="342"/>
      <c r="BX31" s="342"/>
      <c r="BY31" s="342"/>
      <c r="BZ31" s="342"/>
      <c r="CA31" s="342"/>
      <c r="CB31" s="342"/>
      <c r="CC31" s="342"/>
      <c r="CD31" s="342"/>
      <c r="CE31" s="317"/>
      <c r="CF31" s="317"/>
      <c r="CG31" s="317"/>
      <c r="CH31" s="317"/>
      <c r="CI31" s="317"/>
      <c r="CJ31" s="317"/>
      <c r="CK31" s="317"/>
      <c r="CL31" s="317"/>
      <c r="CM31" s="317"/>
      <c r="CN31" s="317"/>
      <c r="CO31" s="317"/>
      <c r="CU31" s="317"/>
      <c r="CV31" s="317"/>
      <c r="CW31" s="317"/>
      <c r="CX31" s="317"/>
      <c r="CY31" s="317"/>
      <c r="CZ31" s="317"/>
      <c r="DA31" s="326"/>
      <c r="DB31" s="317"/>
      <c r="DC31" s="317"/>
      <c r="DD31" s="317"/>
      <c r="DE31" s="315"/>
      <c r="DF31" s="315"/>
      <c r="DH31" s="316"/>
      <c r="DK31" s="148"/>
      <c r="DL31" s="148"/>
      <c r="DM31" s="148"/>
      <c r="DN31" s="148"/>
      <c r="DO31" s="148"/>
      <c r="DP31" s="148"/>
      <c r="DQ31" s="148"/>
      <c r="DR31" s="148"/>
      <c r="DT31" s="341"/>
      <c r="DU31" s="341"/>
      <c r="DV31" s="341"/>
      <c r="DW31" s="341"/>
      <c r="DX31" s="341"/>
      <c r="DY31" s="341"/>
      <c r="DZ31" s="341"/>
      <c r="EA31" s="341"/>
      <c r="EB31" s="341"/>
      <c r="EC31" s="341"/>
    </row>
    <row r="32" spans="1:133" s="143" customFormat="1" ht="42" x14ac:dyDescent="0.25">
      <c r="A32" s="128"/>
      <c r="B32" s="130"/>
      <c r="D32" s="482" t="s">
        <v>567</v>
      </c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  <c r="CK32" s="130"/>
      <c r="CL32" s="130"/>
      <c r="CM32" s="130"/>
      <c r="CN32" s="130"/>
      <c r="CO32" s="130"/>
      <c r="CP32" s="130"/>
      <c r="CQ32" s="130"/>
      <c r="CR32" s="130"/>
      <c r="CS32" s="130"/>
      <c r="CT32" s="130"/>
      <c r="CU32" s="130"/>
      <c r="CV32" s="130"/>
      <c r="CW32" s="130"/>
      <c r="CX32" s="130"/>
      <c r="CY32" s="130"/>
      <c r="CZ32" s="130"/>
      <c r="DA32" s="130"/>
      <c r="DB32" s="130"/>
      <c r="DC32" s="130"/>
      <c r="DD32" s="130"/>
      <c r="DE32" s="128"/>
      <c r="DF32" s="128"/>
    </row>
    <row r="33" spans="1:110" s="143" customFormat="1" ht="24.95" customHeight="1" x14ac:dyDescent="0.25">
      <c r="A33" s="128"/>
      <c r="B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  <c r="CK33" s="130"/>
      <c r="CL33" s="130"/>
      <c r="CM33" s="130"/>
      <c r="CN33" s="130"/>
      <c r="CO33" s="130"/>
      <c r="CP33" s="130"/>
      <c r="CQ33" s="130"/>
      <c r="CR33" s="130"/>
      <c r="CS33" s="130"/>
      <c r="CT33" s="130"/>
      <c r="CU33" s="130"/>
      <c r="CV33" s="130"/>
      <c r="CW33" s="130"/>
      <c r="CX33" s="130"/>
      <c r="CY33" s="130"/>
      <c r="CZ33" s="130"/>
      <c r="DA33" s="130"/>
      <c r="DB33" s="130"/>
      <c r="DC33" s="130"/>
      <c r="DD33" s="130"/>
      <c r="DE33" s="128"/>
      <c r="DF33" s="128"/>
    </row>
    <row r="34" spans="1:110" s="143" customFormat="1" ht="24.95" customHeight="1" x14ac:dyDescent="0.25">
      <c r="A34" s="128"/>
      <c r="B34" s="130"/>
      <c r="D34" s="130"/>
      <c r="F34" s="130"/>
      <c r="G34" s="130"/>
      <c r="H34" s="130"/>
      <c r="I34" s="224" t="s">
        <v>144</v>
      </c>
      <c r="J34" s="130"/>
      <c r="K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R34" s="130"/>
      <c r="AT34" s="130"/>
      <c r="AU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219" t="s">
        <v>124</v>
      </c>
      <c r="BK34" s="130"/>
      <c r="BL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53"/>
      <c r="CA34" s="130"/>
      <c r="CB34" s="130"/>
      <c r="CC34" s="130"/>
      <c r="CE34" s="130"/>
      <c r="CF34" s="130"/>
      <c r="CG34" s="130"/>
      <c r="CH34" s="130"/>
      <c r="CI34" s="130"/>
      <c r="CJ34" s="130"/>
      <c r="CK34" s="130"/>
      <c r="CL34" s="130"/>
      <c r="CM34" s="130"/>
      <c r="CN34" s="130"/>
      <c r="CO34" s="130"/>
      <c r="CP34" s="130"/>
      <c r="CQ34" s="130"/>
      <c r="CR34" s="130"/>
      <c r="CS34" s="130"/>
      <c r="CT34" s="130"/>
      <c r="CU34" s="130"/>
      <c r="CV34" s="130"/>
      <c r="CW34" s="130"/>
      <c r="CX34" s="130"/>
      <c r="CY34" s="130"/>
      <c r="CZ34" s="130"/>
      <c r="DA34" s="130"/>
      <c r="DB34" s="130"/>
      <c r="DC34" s="130"/>
      <c r="DD34" s="130"/>
      <c r="DE34" s="128"/>
      <c r="DF34" s="128"/>
    </row>
    <row r="35" spans="1:110" s="143" customFormat="1" ht="24.95" customHeight="1" x14ac:dyDescent="0.25">
      <c r="A35" s="128"/>
      <c r="B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  <c r="CK35" s="130"/>
      <c r="CL35" s="130"/>
      <c r="CM35" s="130"/>
      <c r="CN35" s="130"/>
      <c r="CO35" s="130"/>
      <c r="CP35" s="130"/>
      <c r="CQ35" s="130"/>
      <c r="CR35" s="130"/>
      <c r="CS35" s="130"/>
      <c r="CT35" s="130"/>
      <c r="CU35" s="130"/>
      <c r="CV35" s="130"/>
      <c r="CW35" s="130"/>
      <c r="CX35" s="130"/>
      <c r="CY35" s="130"/>
      <c r="CZ35" s="130"/>
      <c r="DA35" s="130"/>
      <c r="DB35" s="130"/>
      <c r="DC35" s="130"/>
      <c r="DD35" s="130"/>
      <c r="DE35" s="128"/>
      <c r="DF35" s="128"/>
    </row>
    <row r="36" spans="1:110" s="143" customFormat="1" ht="24.95" customHeight="1" x14ac:dyDescent="0.25">
      <c r="A36" s="128"/>
      <c r="B36" s="130"/>
      <c r="D36" s="130"/>
      <c r="I36" s="512" t="s">
        <v>547</v>
      </c>
      <c r="J36" s="512"/>
      <c r="K36" s="512"/>
      <c r="L36" s="512"/>
      <c r="M36" s="512"/>
      <c r="N36" s="512"/>
      <c r="O36" s="512"/>
      <c r="P36" s="512"/>
      <c r="Q36" s="512"/>
      <c r="R36" s="512"/>
      <c r="S36" s="512"/>
      <c r="T36" s="512"/>
      <c r="U36" s="512"/>
      <c r="V36" s="512"/>
      <c r="W36" s="512"/>
      <c r="X36" s="512"/>
      <c r="Y36" s="512"/>
      <c r="Z36" s="512"/>
      <c r="AA36" s="512"/>
      <c r="AB36" s="512"/>
      <c r="AC36" s="512"/>
      <c r="AD36" s="512"/>
      <c r="AE36" s="512"/>
      <c r="AF36" s="512"/>
      <c r="AG36" s="512"/>
      <c r="AH36" s="512"/>
      <c r="AI36" s="512"/>
      <c r="AJ36" s="512"/>
      <c r="AK36" s="512"/>
      <c r="AL36" s="512"/>
      <c r="AM36" s="512"/>
      <c r="AN36" s="512"/>
      <c r="AO36" s="512"/>
      <c r="AP36" s="512"/>
      <c r="AQ36" s="512"/>
      <c r="AR36" s="512"/>
      <c r="AS36" s="512"/>
      <c r="AT36" s="512"/>
      <c r="AU36" s="512"/>
      <c r="BJ36" s="512" t="str">
        <f>IF(COUNTIF('Entrevista Balance'!G4:G8,"&gt;0")=1,"Contrata un seguro de hogar por:",IF(COUNTIF('Entrevista Balance'!G4:G8,"&gt;0")&gt;1,"Contrata Multi-Seguro de Hogar",IF(COUNTIF('Entrevista Balance'!G4:G8,"&gt;0")=0,"No es imperante la contratación de un seguro de hogar",0)))</f>
        <v>Contrata un seguro de hogar por:</v>
      </c>
      <c r="BK36" s="512"/>
      <c r="BL36" s="512"/>
      <c r="BM36" s="512"/>
      <c r="BN36" s="512"/>
      <c r="BO36" s="512"/>
      <c r="BP36" s="512"/>
      <c r="BQ36" s="512"/>
      <c r="BR36" s="512"/>
      <c r="BS36" s="512"/>
      <c r="BT36" s="512"/>
      <c r="BU36" s="512"/>
      <c r="BV36" s="512"/>
      <c r="BW36" s="512"/>
      <c r="BX36" s="512"/>
      <c r="BY36" s="512"/>
      <c r="BZ36" s="512"/>
      <c r="CA36" s="512"/>
      <c r="CB36" s="512"/>
      <c r="CC36" s="512"/>
      <c r="CD36" s="512"/>
      <c r="CE36" s="512"/>
      <c r="CF36" s="512"/>
      <c r="CG36" s="512"/>
      <c r="CH36" s="512"/>
      <c r="CI36" s="512"/>
      <c r="CJ36" s="512"/>
      <c r="CK36" s="512"/>
      <c r="CL36" s="512"/>
      <c r="CM36" s="512"/>
      <c r="CN36" s="512"/>
      <c r="CO36" s="512"/>
      <c r="CP36" s="512"/>
      <c r="CQ36" s="512"/>
      <c r="CR36" s="512"/>
      <c r="CS36" s="512"/>
      <c r="CT36" s="512"/>
      <c r="CU36" s="512"/>
      <c r="CV36" s="512"/>
      <c r="CW36" s="512"/>
      <c r="CX36" s="512"/>
      <c r="CY36" s="512"/>
      <c r="CZ36" s="130"/>
      <c r="DA36" s="130"/>
      <c r="DB36" s="130"/>
      <c r="DC36" s="130"/>
      <c r="DD36" s="130"/>
      <c r="DE36" s="128"/>
      <c r="DF36" s="128"/>
    </row>
    <row r="37" spans="1:110" s="143" customFormat="1" ht="24.95" customHeight="1" x14ac:dyDescent="0.25">
      <c r="A37" s="128"/>
      <c r="B37" s="130"/>
      <c r="D37" s="130"/>
      <c r="I37" s="512"/>
      <c r="J37" s="512"/>
      <c r="K37" s="512"/>
      <c r="L37" s="512"/>
      <c r="M37" s="512"/>
      <c r="N37" s="512"/>
      <c r="O37" s="512"/>
      <c r="P37" s="512"/>
      <c r="Q37" s="512"/>
      <c r="R37" s="512"/>
      <c r="S37" s="512"/>
      <c r="T37" s="512"/>
      <c r="U37" s="512"/>
      <c r="V37" s="512"/>
      <c r="W37" s="512"/>
      <c r="X37" s="512"/>
      <c r="Y37" s="512"/>
      <c r="Z37" s="512"/>
      <c r="AA37" s="512"/>
      <c r="AB37" s="512"/>
      <c r="AC37" s="512"/>
      <c r="AD37" s="512"/>
      <c r="AE37" s="512"/>
      <c r="AF37" s="512"/>
      <c r="AG37" s="512"/>
      <c r="AH37" s="512"/>
      <c r="AI37" s="512"/>
      <c r="AJ37" s="512"/>
      <c r="AK37" s="512"/>
      <c r="AL37" s="512"/>
      <c r="AM37" s="512"/>
      <c r="AN37" s="512"/>
      <c r="AO37" s="512"/>
      <c r="AP37" s="512"/>
      <c r="AQ37" s="512"/>
      <c r="AR37" s="512"/>
      <c r="AS37" s="512"/>
      <c r="AT37" s="512"/>
      <c r="AU37" s="512"/>
      <c r="BJ37" s="512"/>
      <c r="BK37" s="512"/>
      <c r="BL37" s="512"/>
      <c r="BM37" s="512"/>
      <c r="BN37" s="512"/>
      <c r="BO37" s="512"/>
      <c r="BP37" s="512"/>
      <c r="BQ37" s="512"/>
      <c r="BR37" s="512"/>
      <c r="BS37" s="512"/>
      <c r="BT37" s="512"/>
      <c r="BU37" s="512"/>
      <c r="BV37" s="512"/>
      <c r="BW37" s="512"/>
      <c r="BX37" s="512"/>
      <c r="BY37" s="512"/>
      <c r="BZ37" s="512"/>
      <c r="CA37" s="512"/>
      <c r="CB37" s="512"/>
      <c r="CC37" s="512"/>
      <c r="CD37" s="512"/>
      <c r="CE37" s="512"/>
      <c r="CF37" s="512"/>
      <c r="CG37" s="512"/>
      <c r="CH37" s="512"/>
      <c r="CI37" s="512"/>
      <c r="CJ37" s="512"/>
      <c r="CK37" s="512"/>
      <c r="CL37" s="512"/>
      <c r="CM37" s="512"/>
      <c r="CN37" s="512"/>
      <c r="CO37" s="512"/>
      <c r="CP37" s="512"/>
      <c r="CQ37" s="512"/>
      <c r="CR37" s="512"/>
      <c r="CS37" s="512"/>
      <c r="CT37" s="512"/>
      <c r="CU37" s="512"/>
      <c r="CV37" s="512"/>
      <c r="CW37" s="512"/>
      <c r="CX37" s="512"/>
      <c r="CY37" s="512"/>
      <c r="CZ37" s="130"/>
      <c r="DA37" s="130"/>
      <c r="DB37" s="130"/>
      <c r="DC37" s="130"/>
      <c r="DD37" s="130"/>
      <c r="DE37" s="128"/>
      <c r="DF37" s="128"/>
    </row>
    <row r="38" spans="1:110" s="143" customFormat="1" ht="24.95" customHeight="1" x14ac:dyDescent="0.25">
      <c r="A38" s="128"/>
      <c r="B38" s="130"/>
      <c r="D38" s="130"/>
      <c r="I38" s="512"/>
      <c r="J38" s="512"/>
      <c r="K38" s="512"/>
      <c r="L38" s="512"/>
      <c r="M38" s="512"/>
      <c r="N38" s="512"/>
      <c r="O38" s="512"/>
      <c r="P38" s="512"/>
      <c r="Q38" s="512"/>
      <c r="R38" s="512"/>
      <c r="S38" s="512"/>
      <c r="T38" s="512"/>
      <c r="U38" s="512"/>
      <c r="V38" s="512"/>
      <c r="W38" s="512"/>
      <c r="X38" s="512"/>
      <c r="Y38" s="512"/>
      <c r="Z38" s="512"/>
      <c r="AA38" s="512"/>
      <c r="AB38" s="512"/>
      <c r="AC38" s="512"/>
      <c r="AD38" s="512"/>
      <c r="AE38" s="512"/>
      <c r="AF38" s="512"/>
      <c r="AG38" s="512"/>
      <c r="AH38" s="512"/>
      <c r="AI38" s="512"/>
      <c r="AJ38" s="512"/>
      <c r="AK38" s="512"/>
      <c r="AL38" s="512"/>
      <c r="AM38" s="512"/>
      <c r="AN38" s="512"/>
      <c r="AO38" s="512"/>
      <c r="AP38" s="512"/>
      <c r="AQ38" s="512"/>
      <c r="AR38" s="512"/>
      <c r="AS38" s="512"/>
      <c r="AT38" s="512"/>
      <c r="AU38" s="512"/>
      <c r="BJ38" s="512"/>
      <c r="BK38" s="512"/>
      <c r="BL38" s="512"/>
      <c r="BM38" s="512"/>
      <c r="BN38" s="512"/>
      <c r="BO38" s="512"/>
      <c r="BP38" s="512"/>
      <c r="BQ38" s="512"/>
      <c r="BR38" s="512"/>
      <c r="BS38" s="512"/>
      <c r="BT38" s="512"/>
      <c r="BU38" s="512"/>
      <c r="BV38" s="512"/>
      <c r="BW38" s="512"/>
      <c r="BX38" s="512"/>
      <c r="BY38" s="512"/>
      <c r="BZ38" s="512"/>
      <c r="CA38" s="512"/>
      <c r="CB38" s="512"/>
      <c r="CC38" s="512"/>
      <c r="CD38" s="512"/>
      <c r="CE38" s="512"/>
      <c r="CF38" s="512"/>
      <c r="CG38" s="512"/>
      <c r="CH38" s="512"/>
      <c r="CI38" s="512"/>
      <c r="CJ38" s="512"/>
      <c r="CK38" s="512"/>
      <c r="CL38" s="512"/>
      <c r="CM38" s="512"/>
      <c r="CN38" s="512"/>
      <c r="CO38" s="512"/>
      <c r="CP38" s="512"/>
      <c r="CQ38" s="512"/>
      <c r="CR38" s="512"/>
      <c r="CS38" s="512"/>
      <c r="CT38" s="512"/>
      <c r="CU38" s="512"/>
      <c r="CV38" s="512"/>
      <c r="CW38" s="512"/>
      <c r="CX38" s="512"/>
      <c r="CY38" s="512"/>
      <c r="CZ38" s="130"/>
      <c r="DA38" s="130"/>
      <c r="DB38" s="130"/>
      <c r="DC38" s="130"/>
      <c r="DD38" s="130"/>
      <c r="DE38" s="128"/>
      <c r="DF38" s="128"/>
    </row>
    <row r="39" spans="1:110" s="143" customFormat="1" ht="24.95" customHeight="1" x14ac:dyDescent="0.25">
      <c r="A39" s="128"/>
      <c r="B39" s="130"/>
      <c r="D39" s="130"/>
      <c r="E39" s="130"/>
      <c r="F39" s="130"/>
      <c r="G39" s="130"/>
      <c r="H39" s="130"/>
      <c r="I39" s="512"/>
      <c r="J39" s="512"/>
      <c r="K39" s="512"/>
      <c r="L39" s="512"/>
      <c r="M39" s="512"/>
      <c r="N39" s="512"/>
      <c r="O39" s="512"/>
      <c r="P39" s="512"/>
      <c r="Q39" s="512"/>
      <c r="R39" s="512"/>
      <c r="S39" s="512"/>
      <c r="T39" s="512"/>
      <c r="U39" s="512"/>
      <c r="V39" s="512"/>
      <c r="W39" s="512"/>
      <c r="X39" s="512"/>
      <c r="Y39" s="512"/>
      <c r="Z39" s="512"/>
      <c r="AA39" s="512"/>
      <c r="AB39" s="512"/>
      <c r="AC39" s="512"/>
      <c r="AD39" s="512"/>
      <c r="AE39" s="512"/>
      <c r="AF39" s="512"/>
      <c r="AG39" s="512"/>
      <c r="AH39" s="512"/>
      <c r="AI39" s="512"/>
      <c r="AJ39" s="512"/>
      <c r="AK39" s="512"/>
      <c r="AL39" s="512"/>
      <c r="AM39" s="512"/>
      <c r="AN39" s="512"/>
      <c r="AO39" s="512"/>
      <c r="AP39" s="512"/>
      <c r="AQ39" s="512"/>
      <c r="AR39" s="512"/>
      <c r="AS39" s="512"/>
      <c r="AT39" s="512"/>
      <c r="AU39" s="512"/>
      <c r="AW39" s="130"/>
      <c r="BY39" s="506" t="s">
        <v>141</v>
      </c>
      <c r="BZ39" s="506"/>
      <c r="CA39" s="506"/>
      <c r="CB39" s="506"/>
      <c r="CC39" s="506"/>
      <c r="CD39" s="506"/>
      <c r="CE39" s="506"/>
      <c r="CF39" s="506"/>
      <c r="CG39" s="506"/>
      <c r="CH39" s="506"/>
      <c r="CI39" s="506"/>
      <c r="CJ39" s="506"/>
      <c r="CK39" s="506"/>
      <c r="CL39" s="506"/>
      <c r="CO39" s="506" t="s">
        <v>209</v>
      </c>
      <c r="CP39" s="506"/>
      <c r="CQ39" s="506"/>
      <c r="CR39" s="506"/>
      <c r="CS39" s="506"/>
      <c r="CT39" s="506"/>
      <c r="CU39" s="506"/>
      <c r="CV39" s="506"/>
      <c r="CW39" s="506"/>
      <c r="CX39" s="506"/>
      <c r="CY39" s="506"/>
      <c r="CZ39" s="506"/>
      <c r="DA39" s="506"/>
      <c r="DB39" s="506"/>
      <c r="DC39" s="130"/>
      <c r="DD39" s="130"/>
      <c r="DE39" s="128"/>
      <c r="DF39" s="128"/>
    </row>
    <row r="40" spans="1:110" s="143" customFormat="1" ht="24.95" customHeight="1" x14ac:dyDescent="0.25">
      <c r="A40" s="128"/>
      <c r="B40" s="130"/>
      <c r="D40" s="130"/>
      <c r="E40" s="130"/>
      <c r="AP40" s="130"/>
      <c r="AQ40" s="130"/>
      <c r="AR40" s="130"/>
      <c r="AS40" s="130"/>
      <c r="AT40" s="130"/>
      <c r="AU40" s="130"/>
      <c r="AV40" s="130"/>
      <c r="AW40" s="130"/>
      <c r="DA40" s="130"/>
      <c r="DB40" s="130"/>
      <c r="DC40" s="130"/>
      <c r="DD40" s="130"/>
      <c r="DE40" s="128"/>
      <c r="DF40" s="128"/>
    </row>
    <row r="41" spans="1:110" s="143" customFormat="1" ht="24.95" customHeight="1" x14ac:dyDescent="0.25">
      <c r="A41" s="128"/>
      <c r="B41" s="130"/>
      <c r="D41" s="130"/>
      <c r="E41" s="130"/>
      <c r="F41" s="130"/>
      <c r="G41" s="130"/>
      <c r="H41" s="130"/>
      <c r="I41" s="130"/>
      <c r="J41" s="130"/>
      <c r="K41" s="130"/>
      <c r="L41" s="130"/>
      <c r="M41" s="506" t="s">
        <v>141</v>
      </c>
      <c r="N41" s="506"/>
      <c r="O41" s="506"/>
      <c r="P41" s="506"/>
      <c r="Q41" s="506"/>
      <c r="R41" s="506"/>
      <c r="S41" s="506"/>
      <c r="T41" s="506"/>
      <c r="U41" s="506"/>
      <c r="V41" s="506"/>
      <c r="W41" s="506"/>
      <c r="X41" s="506"/>
      <c r="Y41" s="506"/>
      <c r="Z41" s="506"/>
      <c r="AA41" s="164"/>
      <c r="AB41" s="506" t="s">
        <v>209</v>
      </c>
      <c r="AC41" s="506"/>
      <c r="AD41" s="506"/>
      <c r="AE41" s="506"/>
      <c r="AF41" s="506"/>
      <c r="AG41" s="506"/>
      <c r="AH41" s="506"/>
      <c r="AI41" s="506"/>
      <c r="AJ41" s="506"/>
      <c r="AK41" s="506"/>
      <c r="AL41" s="506"/>
      <c r="AM41" s="506"/>
      <c r="AN41" s="506"/>
      <c r="AO41" s="506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0"/>
      <c r="BH41" s="130"/>
      <c r="BI41" s="130"/>
      <c r="BJ41" s="507" t="s">
        <v>538</v>
      </c>
      <c r="BK41" s="507"/>
      <c r="BL41" s="507"/>
      <c r="BM41" s="507"/>
      <c r="BN41" s="507"/>
      <c r="BO41" s="507"/>
      <c r="BP41" s="507"/>
      <c r="BQ41" s="507"/>
      <c r="BR41" s="507"/>
      <c r="BS41" s="507"/>
      <c r="BT41" s="507"/>
      <c r="BU41" s="507"/>
      <c r="BV41" s="507"/>
      <c r="BW41" s="507"/>
      <c r="DA41" s="130"/>
      <c r="DB41" s="130"/>
      <c r="DC41" s="130"/>
      <c r="DD41" s="130"/>
      <c r="DE41" s="128"/>
      <c r="DF41" s="128"/>
    </row>
    <row r="42" spans="1:110" s="143" customFormat="1" ht="24.95" customHeight="1" x14ac:dyDescent="0.25">
      <c r="A42" s="128"/>
      <c r="B42" s="130"/>
      <c r="D42" s="130"/>
      <c r="E42" s="130"/>
      <c r="F42" s="130"/>
      <c r="G42" s="130"/>
      <c r="H42" s="130"/>
      <c r="I42" s="130"/>
      <c r="J42" s="130"/>
      <c r="K42" s="130"/>
      <c r="L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507"/>
      <c r="BK42" s="507"/>
      <c r="BL42" s="507"/>
      <c r="BM42" s="507"/>
      <c r="BN42" s="507"/>
      <c r="BO42" s="507"/>
      <c r="BP42" s="507"/>
      <c r="BQ42" s="507"/>
      <c r="BR42" s="507"/>
      <c r="BS42" s="507"/>
      <c r="BT42" s="507"/>
      <c r="BU42" s="507"/>
      <c r="BV42" s="507"/>
      <c r="BW42" s="507"/>
      <c r="DA42" s="130"/>
      <c r="DB42" s="130"/>
      <c r="DC42" s="130"/>
      <c r="DD42" s="130"/>
      <c r="DE42" s="128"/>
      <c r="DF42" s="128"/>
    </row>
    <row r="43" spans="1:110" s="143" customFormat="1" ht="24.95" customHeight="1" x14ac:dyDescent="0.25">
      <c r="A43" s="128"/>
      <c r="B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56"/>
      <c r="BK43" s="156"/>
      <c r="BL43" s="156"/>
      <c r="BM43" s="156"/>
      <c r="BN43" s="156"/>
      <c r="BO43" s="156"/>
      <c r="BP43" s="156"/>
      <c r="BQ43" s="156"/>
      <c r="BR43" s="156"/>
      <c r="BS43" s="156"/>
      <c r="BT43" s="156"/>
      <c r="BU43" s="156"/>
      <c r="BV43" s="156"/>
      <c r="BW43" s="156"/>
      <c r="BX43" s="130"/>
      <c r="BY43" s="130"/>
      <c r="BZ43" s="130"/>
      <c r="CA43" s="130"/>
      <c r="CB43" s="130"/>
      <c r="CC43" s="130"/>
      <c r="CD43" s="130"/>
      <c r="CE43" s="130"/>
      <c r="CF43" s="130"/>
      <c r="CG43" s="130"/>
      <c r="CH43" s="130"/>
      <c r="CI43" s="130"/>
      <c r="CJ43" s="130"/>
      <c r="CK43" s="130"/>
      <c r="CL43" s="130"/>
      <c r="CM43" s="130"/>
      <c r="CN43" s="130"/>
      <c r="CO43" s="130"/>
      <c r="CP43" s="130"/>
      <c r="CQ43" s="130"/>
      <c r="CR43" s="130"/>
      <c r="CS43" s="130"/>
      <c r="CT43" s="130"/>
      <c r="CU43" s="130"/>
      <c r="CV43" s="130"/>
      <c r="CW43" s="130"/>
      <c r="CX43" s="130"/>
      <c r="CY43" s="130"/>
      <c r="CZ43" s="130"/>
      <c r="DA43" s="130"/>
      <c r="DB43" s="130"/>
      <c r="DC43" s="130"/>
      <c r="DD43" s="130"/>
      <c r="DE43" s="128"/>
      <c r="DF43" s="128"/>
    </row>
    <row r="44" spans="1:110" s="143" customFormat="1" ht="24.95" customHeight="1" x14ac:dyDescent="0.25">
      <c r="A44" s="128"/>
      <c r="B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30"/>
      <c r="AY44" s="130"/>
      <c r="AZ44" s="130"/>
      <c r="BA44" s="130"/>
      <c r="BB44" s="130"/>
      <c r="BC44" s="130"/>
      <c r="BD44" s="130"/>
      <c r="BE44" s="130"/>
      <c r="BF44" s="130"/>
      <c r="BG44" s="130"/>
      <c r="BH44" s="130"/>
      <c r="BI44" s="130"/>
      <c r="BJ44" s="156"/>
      <c r="BK44" s="156"/>
      <c r="BL44" s="156"/>
      <c r="BM44" s="156"/>
      <c r="BN44" s="156"/>
      <c r="BO44" s="156"/>
      <c r="BP44" s="156"/>
      <c r="BQ44" s="156"/>
      <c r="BR44" s="156"/>
      <c r="BS44" s="156"/>
      <c r="BT44" s="156"/>
      <c r="BU44" s="156"/>
      <c r="BV44" s="156"/>
      <c r="BW44" s="156"/>
      <c r="BX44" s="130"/>
      <c r="BY44" s="130"/>
      <c r="BZ44" s="130"/>
      <c r="CA44" s="130"/>
      <c r="CB44" s="130"/>
      <c r="CC44" s="130"/>
      <c r="CD44" s="130"/>
      <c r="CE44" s="130"/>
      <c r="CF44" s="130"/>
      <c r="CG44" s="130"/>
      <c r="CH44" s="130"/>
      <c r="CI44" s="130"/>
      <c r="CJ44" s="130"/>
      <c r="CK44" s="130"/>
      <c r="CL44" s="130"/>
      <c r="CM44" s="130"/>
      <c r="CN44" s="130"/>
      <c r="CO44" s="130"/>
      <c r="CP44" s="130"/>
      <c r="CQ44" s="130"/>
      <c r="CR44" s="130"/>
      <c r="CS44" s="130"/>
      <c r="CT44" s="130"/>
      <c r="CU44" s="130"/>
      <c r="CV44" s="130"/>
      <c r="CW44" s="130"/>
      <c r="CX44" s="130"/>
      <c r="CY44" s="130"/>
      <c r="CZ44" s="130"/>
      <c r="DA44" s="130"/>
      <c r="DB44" s="130"/>
      <c r="DC44" s="130"/>
      <c r="DD44" s="130"/>
      <c r="DE44" s="128"/>
      <c r="DF44" s="128"/>
    </row>
    <row r="45" spans="1:110" s="143" customFormat="1" ht="24.95" customHeight="1" x14ac:dyDescent="0.25">
      <c r="A45" s="128"/>
      <c r="B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507" t="s">
        <v>539</v>
      </c>
      <c r="BK45" s="507"/>
      <c r="BL45" s="507"/>
      <c r="BM45" s="507"/>
      <c r="BN45" s="507"/>
      <c r="BO45" s="507"/>
      <c r="BP45" s="507"/>
      <c r="BQ45" s="507"/>
      <c r="BR45" s="507"/>
      <c r="BS45" s="507"/>
      <c r="BT45" s="507"/>
      <c r="BU45" s="507"/>
      <c r="BV45" s="507"/>
      <c r="BW45" s="507"/>
      <c r="BX45" s="130"/>
      <c r="BY45" s="130"/>
      <c r="BZ45" s="130"/>
      <c r="CA45" s="130"/>
      <c r="CB45" s="130"/>
      <c r="CC45" s="130"/>
      <c r="CD45" s="130"/>
      <c r="CE45" s="130"/>
      <c r="CF45" s="130"/>
      <c r="CG45" s="130"/>
      <c r="CH45" s="130"/>
      <c r="CI45" s="130"/>
      <c r="CJ45" s="130"/>
      <c r="CK45" s="130"/>
      <c r="CL45" s="130"/>
      <c r="CM45" s="130"/>
      <c r="CN45" s="130"/>
      <c r="CO45" s="130"/>
      <c r="CP45" s="130"/>
      <c r="CQ45" s="130"/>
      <c r="CR45" s="130"/>
      <c r="CS45" s="130"/>
      <c r="CT45" s="130"/>
      <c r="CU45" s="130"/>
      <c r="CV45" s="130"/>
      <c r="CW45" s="130"/>
      <c r="CX45" s="130"/>
      <c r="CY45" s="130"/>
      <c r="CZ45" s="130"/>
      <c r="DA45" s="130"/>
      <c r="DB45" s="130"/>
      <c r="DC45" s="130"/>
      <c r="DD45" s="130"/>
      <c r="DE45" s="128"/>
      <c r="DF45" s="128"/>
    </row>
    <row r="46" spans="1:110" s="143" customFormat="1" ht="24.95" customHeight="1" x14ac:dyDescent="0.25">
      <c r="A46" s="128"/>
      <c r="B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507"/>
      <c r="BK46" s="507"/>
      <c r="BL46" s="507"/>
      <c r="BM46" s="507"/>
      <c r="BN46" s="507"/>
      <c r="BO46" s="507"/>
      <c r="BP46" s="507"/>
      <c r="BQ46" s="507"/>
      <c r="BR46" s="507"/>
      <c r="BS46" s="507"/>
      <c r="BT46" s="507"/>
      <c r="BU46" s="507"/>
      <c r="BV46" s="507"/>
      <c r="BW46" s="507"/>
      <c r="BX46" s="130"/>
      <c r="BY46" s="130"/>
      <c r="BZ46" s="130"/>
      <c r="CA46" s="130"/>
      <c r="CB46" s="130"/>
      <c r="CC46" s="130"/>
      <c r="CD46" s="130"/>
      <c r="CE46" s="130"/>
      <c r="CF46" s="130"/>
      <c r="CG46" s="130"/>
      <c r="CH46" s="130"/>
      <c r="CI46" s="130"/>
      <c r="CJ46" s="130"/>
      <c r="CK46" s="130"/>
      <c r="CL46" s="130"/>
      <c r="CM46" s="130"/>
      <c r="CN46" s="130"/>
      <c r="CO46" s="130"/>
      <c r="CP46" s="130"/>
      <c r="CQ46" s="130"/>
      <c r="CR46" s="130"/>
      <c r="CS46" s="130"/>
      <c r="CT46" s="130"/>
      <c r="CU46" s="130"/>
      <c r="CV46" s="130"/>
      <c r="CW46" s="130"/>
      <c r="CX46" s="130"/>
      <c r="CY46" s="130"/>
      <c r="CZ46" s="130"/>
      <c r="DA46" s="130"/>
      <c r="DB46" s="130"/>
      <c r="DC46" s="130"/>
      <c r="DD46" s="130"/>
      <c r="DE46" s="128"/>
      <c r="DF46" s="128"/>
    </row>
    <row r="47" spans="1:110" s="143" customFormat="1" ht="24.95" customHeight="1" x14ac:dyDescent="0.25">
      <c r="A47" s="128"/>
      <c r="B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30"/>
      <c r="BC47" s="130"/>
      <c r="BD47" s="130"/>
      <c r="BE47" s="130"/>
      <c r="BF47" s="130"/>
      <c r="BG47" s="130"/>
      <c r="BH47" s="130"/>
      <c r="BI47" s="130"/>
      <c r="BJ47" s="130"/>
      <c r="BK47" s="130"/>
      <c r="BL47" s="130"/>
      <c r="BN47" s="130"/>
      <c r="BO47" s="130"/>
      <c r="BP47" s="130"/>
      <c r="BQ47" s="130"/>
      <c r="BR47" s="130"/>
      <c r="BS47" s="130"/>
      <c r="BT47" s="130"/>
      <c r="BU47" s="130"/>
      <c r="BV47" s="130"/>
      <c r="BW47" s="130"/>
      <c r="BX47" s="130"/>
      <c r="BY47" s="130"/>
      <c r="BZ47" s="130"/>
      <c r="CA47" s="130"/>
      <c r="CB47" s="130"/>
      <c r="CC47" s="130"/>
      <c r="CD47" s="130"/>
      <c r="CE47" s="130"/>
      <c r="CF47" s="130"/>
      <c r="CG47" s="130"/>
      <c r="CH47" s="130"/>
      <c r="CI47" s="130"/>
      <c r="CJ47" s="130"/>
      <c r="CK47" s="130"/>
      <c r="CL47" s="130"/>
      <c r="CM47" s="130"/>
      <c r="CN47" s="130"/>
      <c r="CO47" s="130"/>
      <c r="CP47" s="130"/>
      <c r="CQ47" s="130"/>
      <c r="CR47" s="130"/>
      <c r="CS47" s="130"/>
      <c r="CT47" s="130"/>
      <c r="CU47" s="130"/>
      <c r="CV47" s="130"/>
      <c r="CW47" s="130"/>
      <c r="CX47" s="130"/>
      <c r="CY47" s="130"/>
      <c r="CZ47" s="130"/>
      <c r="DA47" s="130"/>
      <c r="DB47" s="130"/>
      <c r="DC47" s="130"/>
      <c r="DD47" s="130"/>
      <c r="DE47" s="128"/>
      <c r="DF47" s="128"/>
    </row>
    <row r="48" spans="1:110" s="143" customFormat="1" ht="24.95" customHeight="1" x14ac:dyDescent="0.25">
      <c r="A48" s="128"/>
      <c r="B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N48" s="130"/>
      <c r="BO48" s="130"/>
      <c r="BP48" s="130"/>
      <c r="BQ48" s="130"/>
      <c r="BR48" s="130"/>
      <c r="BS48" s="130"/>
      <c r="BT48" s="130"/>
      <c r="BU48" s="130"/>
      <c r="BV48" s="130"/>
      <c r="BW48" s="130"/>
      <c r="BX48" s="130"/>
      <c r="BY48" s="130"/>
      <c r="BZ48" s="130"/>
      <c r="CA48" s="130"/>
      <c r="CB48" s="130"/>
      <c r="CC48" s="130"/>
      <c r="CD48" s="130"/>
      <c r="CE48" s="130"/>
      <c r="CF48" s="130"/>
      <c r="CG48" s="130"/>
      <c r="CH48" s="130"/>
      <c r="CI48" s="130"/>
      <c r="CJ48" s="130"/>
      <c r="CK48" s="130"/>
      <c r="CL48" s="130"/>
      <c r="CM48" s="130"/>
      <c r="CN48" s="130"/>
      <c r="CO48" s="130"/>
      <c r="CP48" s="130"/>
      <c r="CQ48" s="130"/>
      <c r="CR48" s="130"/>
      <c r="CS48" s="130"/>
      <c r="CT48" s="130"/>
      <c r="CU48" s="130"/>
      <c r="CV48" s="130"/>
      <c r="CW48" s="130"/>
      <c r="CX48" s="130"/>
      <c r="CY48" s="130"/>
      <c r="CZ48" s="130"/>
      <c r="DA48" s="130"/>
      <c r="DB48" s="130"/>
      <c r="DC48" s="130"/>
      <c r="DD48" s="130"/>
      <c r="DE48" s="128"/>
      <c r="DF48" s="128"/>
    </row>
    <row r="49" spans="1:112" s="143" customFormat="1" ht="24.95" customHeight="1" x14ac:dyDescent="0.25">
      <c r="A49" s="128"/>
      <c r="B49" s="130"/>
      <c r="D49" s="130"/>
      <c r="E49" s="130"/>
      <c r="F49" s="130"/>
      <c r="G49" s="130"/>
      <c r="H49" s="130"/>
      <c r="I49" s="130"/>
      <c r="J49" s="130"/>
      <c r="K49" s="130"/>
      <c r="L49" s="154" t="s">
        <v>211</v>
      </c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154" t="s">
        <v>210</v>
      </c>
      <c r="BN49" s="130"/>
      <c r="BO49" s="130"/>
      <c r="BP49" s="130"/>
      <c r="BQ49" s="130"/>
      <c r="BR49" s="130"/>
      <c r="BS49" s="130"/>
      <c r="BT49" s="130"/>
      <c r="BU49" s="130"/>
      <c r="BV49" s="130"/>
      <c r="BW49" s="130"/>
      <c r="BX49" s="130"/>
      <c r="BY49" s="130"/>
      <c r="BZ49" s="130"/>
      <c r="CA49" s="130"/>
      <c r="CB49" s="130"/>
      <c r="CC49" s="130"/>
      <c r="CD49" s="130"/>
      <c r="CE49" s="130"/>
      <c r="CF49" s="130"/>
      <c r="CG49" s="130"/>
      <c r="CH49" s="130"/>
      <c r="CI49" s="130"/>
      <c r="CJ49" s="130"/>
      <c r="CK49" s="130"/>
      <c r="CL49" s="130"/>
      <c r="CM49" s="130"/>
      <c r="CN49" s="130"/>
      <c r="CO49" s="130"/>
      <c r="CP49" s="130"/>
      <c r="CQ49" s="130"/>
      <c r="CR49" s="130"/>
      <c r="CS49" s="130"/>
      <c r="CT49" s="130"/>
      <c r="CU49" s="130"/>
      <c r="CV49" s="130"/>
      <c r="CW49" s="130"/>
      <c r="CX49" s="130"/>
      <c r="CY49" s="130"/>
      <c r="CZ49" s="130"/>
      <c r="DA49" s="130"/>
      <c r="DB49" s="130"/>
      <c r="DC49" s="130"/>
      <c r="DD49" s="130"/>
      <c r="DE49" s="128"/>
      <c r="DF49" s="128"/>
    </row>
    <row r="50" spans="1:112" s="143" customFormat="1" ht="24.95" customHeight="1" x14ac:dyDescent="0.25">
      <c r="A50" s="128"/>
      <c r="B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  <c r="BN50" s="130"/>
      <c r="BO50" s="130"/>
      <c r="BP50" s="130"/>
      <c r="BQ50" s="130"/>
      <c r="BR50" s="130"/>
      <c r="BS50" s="130"/>
      <c r="BT50" s="130"/>
      <c r="BU50" s="130"/>
      <c r="BV50" s="130"/>
      <c r="BW50" s="130"/>
      <c r="BX50" s="130"/>
      <c r="BY50" s="130"/>
      <c r="BZ50" s="130"/>
      <c r="CA50" s="130"/>
      <c r="CB50" s="130"/>
      <c r="CC50" s="130"/>
      <c r="CD50" s="130"/>
      <c r="CE50" s="130"/>
      <c r="CF50" s="130"/>
      <c r="CG50" s="130"/>
      <c r="CH50" s="130"/>
      <c r="CI50" s="130"/>
      <c r="CJ50" s="130"/>
      <c r="CK50" s="130"/>
      <c r="CL50" s="130"/>
      <c r="CM50" s="130"/>
      <c r="CN50" s="130"/>
      <c r="CO50" s="130"/>
      <c r="CP50" s="130"/>
      <c r="CQ50" s="130"/>
      <c r="CR50" s="130"/>
      <c r="CS50" s="130"/>
      <c r="CT50" s="130"/>
      <c r="CU50" s="130"/>
      <c r="CV50" s="130"/>
      <c r="CW50" s="130"/>
      <c r="CX50" s="130"/>
      <c r="CY50" s="130"/>
      <c r="CZ50" s="130"/>
      <c r="DA50" s="130"/>
      <c r="DB50" s="130"/>
      <c r="DC50" s="130"/>
      <c r="DD50" s="130"/>
      <c r="DE50" s="128"/>
      <c r="DF50" s="128"/>
    </row>
    <row r="51" spans="1:112" s="314" customFormat="1" ht="15.6" customHeight="1" x14ac:dyDescent="0.25">
      <c r="A51" s="315"/>
      <c r="B51" s="317"/>
      <c r="C51" s="317"/>
      <c r="D51" s="329"/>
      <c r="E51" s="338"/>
      <c r="F51" s="338"/>
      <c r="G51" s="338"/>
      <c r="H51" s="338"/>
      <c r="I51" s="338"/>
      <c r="J51" s="338"/>
      <c r="K51" s="338"/>
      <c r="L51" s="338"/>
      <c r="M51" s="338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7"/>
      <c r="Y51" s="324"/>
      <c r="Z51" s="324"/>
      <c r="AA51" s="324"/>
      <c r="AB51" s="324"/>
      <c r="AC51" s="324"/>
      <c r="AD51" s="324"/>
      <c r="AE51" s="324"/>
      <c r="AF51" s="324"/>
      <c r="AG51" s="324"/>
      <c r="AH51" s="336"/>
      <c r="AI51" s="336"/>
      <c r="AJ51" s="336"/>
      <c r="AK51" s="336"/>
      <c r="AL51" s="336"/>
      <c r="AM51" s="335"/>
      <c r="AX51" s="317"/>
      <c r="AY51" s="317"/>
      <c r="AZ51" s="317"/>
      <c r="BA51" s="317"/>
      <c r="BB51" s="317"/>
      <c r="BC51" s="317"/>
      <c r="BD51" s="317"/>
      <c r="BE51" s="317"/>
      <c r="BF51" s="317"/>
      <c r="BG51" s="317"/>
      <c r="BH51" s="317"/>
      <c r="BI51" s="317"/>
      <c r="BJ51" s="317"/>
      <c r="BK51" s="317"/>
      <c r="BL51" s="317"/>
      <c r="BM51" s="317"/>
      <c r="BN51" s="317"/>
      <c r="BO51" s="317"/>
      <c r="BP51" s="317"/>
      <c r="BQ51" s="317"/>
      <c r="BR51" s="317"/>
      <c r="BS51" s="317"/>
      <c r="BT51" s="317"/>
      <c r="BU51" s="317"/>
      <c r="BV51" s="317"/>
      <c r="BW51" s="317"/>
      <c r="BX51" s="317"/>
      <c r="BY51" s="317"/>
      <c r="BZ51" s="317"/>
      <c r="CA51" s="317"/>
      <c r="CB51" s="317"/>
      <c r="CC51" s="317"/>
      <c r="CD51" s="317"/>
      <c r="CE51" s="317"/>
      <c r="CF51" s="317"/>
      <c r="CG51" s="317"/>
      <c r="CH51" s="317"/>
      <c r="CI51" s="317"/>
      <c r="CJ51" s="317"/>
      <c r="CK51" s="317"/>
      <c r="CL51" s="317"/>
      <c r="CM51" s="317"/>
      <c r="CN51" s="317"/>
      <c r="CO51" s="317"/>
      <c r="CP51" s="317"/>
      <c r="CQ51" s="317"/>
      <c r="CR51" s="317"/>
      <c r="CS51" s="317"/>
      <c r="CT51" s="317"/>
      <c r="CU51" s="317"/>
      <c r="CV51" s="317"/>
      <c r="CW51" s="317"/>
      <c r="CX51" s="317"/>
      <c r="CY51" s="317"/>
      <c r="CZ51" s="317"/>
      <c r="DA51" s="326"/>
      <c r="DB51" s="317"/>
      <c r="DC51" s="317"/>
      <c r="DD51" s="317"/>
      <c r="DE51" s="315"/>
      <c r="DF51" s="315"/>
      <c r="DH51" s="316"/>
    </row>
    <row r="52" spans="1:112" s="314" customFormat="1" ht="30.75" x14ac:dyDescent="0.25">
      <c r="A52" s="315"/>
      <c r="B52" s="317"/>
      <c r="C52" s="317"/>
      <c r="E52" s="338"/>
      <c r="F52" s="338"/>
      <c r="G52" s="338"/>
      <c r="H52" s="338"/>
      <c r="I52" s="338"/>
      <c r="J52" s="338"/>
      <c r="K52" s="338"/>
      <c r="L52" s="338"/>
      <c r="M52" s="338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7"/>
      <c r="Y52" s="324"/>
      <c r="Z52" s="324"/>
      <c r="AA52" s="324"/>
      <c r="AB52" s="324"/>
      <c r="AC52" s="324"/>
      <c r="AD52" s="324"/>
      <c r="AE52" s="324"/>
      <c r="AF52" s="324"/>
      <c r="AG52" s="324"/>
      <c r="AH52" s="336"/>
      <c r="AI52" s="336"/>
      <c r="AJ52" s="336"/>
      <c r="AK52" s="336"/>
      <c r="AL52" s="336"/>
      <c r="AM52" s="335"/>
      <c r="AX52" s="317"/>
      <c r="AY52" s="317"/>
      <c r="AZ52" s="317"/>
      <c r="BA52" s="317"/>
      <c r="BB52" s="317"/>
      <c r="BC52" s="317"/>
      <c r="BD52" s="317"/>
      <c r="BE52" s="317"/>
      <c r="BF52" s="317"/>
      <c r="BG52" s="317"/>
      <c r="BH52" s="317"/>
      <c r="BI52" s="317"/>
      <c r="BJ52" s="317"/>
      <c r="BK52" s="317"/>
      <c r="BL52" s="317"/>
      <c r="BM52" s="317"/>
      <c r="BN52" s="317"/>
      <c r="BO52" s="317"/>
      <c r="BP52" s="317"/>
      <c r="BQ52" s="317"/>
      <c r="BR52" s="317"/>
      <c r="BS52" s="317"/>
      <c r="BT52" s="317"/>
      <c r="BU52" s="317"/>
      <c r="BV52" s="317"/>
      <c r="BW52" s="317"/>
      <c r="BX52" s="317"/>
      <c r="BY52" s="317"/>
      <c r="BZ52" s="317"/>
      <c r="CA52" s="317"/>
      <c r="CB52" s="317"/>
      <c r="CC52" s="317"/>
      <c r="CD52" s="317"/>
      <c r="CE52" s="317"/>
      <c r="CF52" s="317"/>
      <c r="CG52" s="317"/>
      <c r="CH52" s="317"/>
      <c r="CI52" s="317"/>
      <c r="CJ52" s="317"/>
      <c r="CK52" s="317"/>
      <c r="CL52" s="317"/>
      <c r="CM52" s="317"/>
      <c r="CN52" s="317"/>
      <c r="CO52" s="317"/>
      <c r="CP52" s="317"/>
      <c r="CQ52" s="317"/>
      <c r="CR52" s="317"/>
      <c r="CS52" s="317"/>
      <c r="CT52" s="317"/>
      <c r="CU52" s="317"/>
      <c r="CV52" s="317"/>
      <c r="CW52" s="317"/>
      <c r="CX52" s="317"/>
      <c r="CY52" s="317"/>
      <c r="CZ52" s="317"/>
      <c r="DA52" s="326"/>
      <c r="DB52" s="317"/>
      <c r="DC52" s="317"/>
      <c r="DD52" s="317"/>
      <c r="DE52" s="315"/>
      <c r="DF52" s="315"/>
      <c r="DH52" s="316"/>
    </row>
    <row r="53" spans="1:112" s="314" customFormat="1" ht="42" x14ac:dyDescent="0.25">
      <c r="A53" s="315"/>
      <c r="B53" s="317"/>
      <c r="C53" s="317"/>
      <c r="D53" s="208" t="s">
        <v>568</v>
      </c>
      <c r="E53" s="338"/>
      <c r="F53" s="338"/>
      <c r="G53" s="338"/>
      <c r="H53" s="338"/>
      <c r="I53" s="338"/>
      <c r="J53" s="338"/>
      <c r="K53" s="338"/>
      <c r="L53" s="338"/>
      <c r="M53" s="338"/>
      <c r="N53" s="338"/>
      <c r="O53" s="338"/>
      <c r="P53" s="338"/>
      <c r="Q53" s="338"/>
      <c r="R53" s="338"/>
      <c r="S53" s="338"/>
      <c r="T53" s="338"/>
      <c r="U53" s="338"/>
      <c r="V53" s="338"/>
      <c r="W53" s="338"/>
      <c r="X53" s="337"/>
      <c r="Y53" s="324"/>
      <c r="Z53" s="324"/>
      <c r="AA53" s="324"/>
      <c r="AB53" s="324"/>
      <c r="AC53" s="324"/>
      <c r="AD53" s="324"/>
      <c r="AE53" s="324"/>
      <c r="AF53" s="324"/>
      <c r="AG53" s="324"/>
      <c r="AH53" s="336"/>
      <c r="AI53" s="336"/>
      <c r="AJ53" s="336"/>
      <c r="AK53" s="336"/>
      <c r="AL53" s="336"/>
      <c r="AM53" s="335"/>
      <c r="AX53" s="317"/>
      <c r="AY53" s="317"/>
      <c r="AZ53" s="317"/>
      <c r="BA53" s="317"/>
      <c r="BB53" s="317"/>
      <c r="BC53" s="317"/>
      <c r="BD53" s="317"/>
      <c r="BE53" s="317"/>
      <c r="BF53" s="317"/>
      <c r="BG53" s="317"/>
      <c r="BH53" s="317"/>
      <c r="BI53" s="317"/>
      <c r="BJ53" s="317"/>
      <c r="BK53" s="317"/>
      <c r="BL53" s="317"/>
      <c r="BM53" s="317"/>
      <c r="BN53" s="317"/>
      <c r="BO53" s="317"/>
      <c r="BP53" s="317"/>
      <c r="BQ53" s="317"/>
      <c r="BR53" s="317"/>
      <c r="BS53" s="317"/>
      <c r="BT53" s="317"/>
      <c r="BU53" s="317"/>
      <c r="BV53" s="317"/>
      <c r="BW53" s="317"/>
      <c r="BX53" s="317"/>
      <c r="BY53" s="317"/>
      <c r="BZ53" s="317"/>
      <c r="CA53" s="317"/>
      <c r="CB53" s="317"/>
      <c r="CC53" s="317"/>
      <c r="CD53" s="317"/>
      <c r="CE53" s="317"/>
      <c r="CF53" s="317"/>
      <c r="CG53" s="317"/>
      <c r="CH53" s="317"/>
      <c r="CI53" s="317"/>
      <c r="CJ53" s="317"/>
      <c r="CK53" s="317"/>
      <c r="CL53" s="317"/>
      <c r="CM53" s="317"/>
      <c r="CN53" s="317"/>
      <c r="CO53" s="317"/>
      <c r="CP53" s="317"/>
      <c r="CQ53" s="317"/>
      <c r="CR53" s="317"/>
      <c r="CS53" s="317"/>
      <c r="CT53" s="317"/>
      <c r="CU53" s="317"/>
      <c r="CV53" s="317"/>
      <c r="CW53" s="317"/>
      <c r="CX53" s="317"/>
      <c r="CY53" s="317"/>
      <c r="CZ53" s="317"/>
      <c r="DA53" s="326"/>
      <c r="DB53" s="317"/>
      <c r="DC53" s="317"/>
      <c r="DD53" s="317"/>
      <c r="DE53" s="315"/>
      <c r="DF53" s="315"/>
      <c r="DH53" s="316"/>
    </row>
    <row r="54" spans="1:112" s="314" customFormat="1" ht="8.4499999999999993" customHeight="1" x14ac:dyDescent="0.25">
      <c r="A54" s="315"/>
      <c r="B54" s="317"/>
      <c r="C54" s="317"/>
      <c r="D54" s="329"/>
      <c r="E54" s="338"/>
      <c r="F54" s="338"/>
      <c r="G54" s="338"/>
      <c r="H54" s="338"/>
      <c r="I54" s="338"/>
      <c r="J54" s="338"/>
      <c r="K54" s="338"/>
      <c r="L54" s="338"/>
      <c r="M54" s="338"/>
      <c r="N54" s="338"/>
      <c r="O54" s="338"/>
      <c r="P54" s="338"/>
      <c r="Q54" s="338"/>
      <c r="R54" s="338"/>
      <c r="S54" s="338"/>
      <c r="T54" s="338"/>
      <c r="U54" s="338"/>
      <c r="V54" s="338"/>
      <c r="W54" s="338"/>
      <c r="X54" s="337"/>
      <c r="Y54" s="324"/>
      <c r="Z54" s="324"/>
      <c r="AA54" s="324"/>
      <c r="AB54" s="324"/>
      <c r="AC54" s="324"/>
      <c r="AD54" s="324"/>
      <c r="AE54" s="324"/>
      <c r="AF54" s="324"/>
      <c r="AG54" s="324"/>
      <c r="AH54" s="336"/>
      <c r="AI54" s="336"/>
      <c r="AJ54" s="336"/>
      <c r="AK54" s="336"/>
      <c r="AL54" s="336"/>
      <c r="AM54" s="335"/>
      <c r="CI54" s="317"/>
      <c r="CJ54" s="317"/>
      <c r="CK54" s="317"/>
      <c r="CL54" s="317"/>
      <c r="CM54" s="317"/>
      <c r="CN54" s="317"/>
      <c r="CO54" s="317"/>
      <c r="CP54" s="317"/>
      <c r="CQ54" s="317"/>
      <c r="CR54" s="317"/>
      <c r="CS54" s="317"/>
      <c r="CT54" s="317"/>
      <c r="CU54" s="317"/>
      <c r="CV54" s="317"/>
      <c r="CW54" s="317"/>
      <c r="CX54" s="317"/>
      <c r="CY54" s="317"/>
      <c r="CZ54" s="317"/>
      <c r="DA54" s="326"/>
      <c r="DB54" s="317"/>
      <c r="DC54" s="317"/>
      <c r="DD54" s="317"/>
      <c r="DE54" s="315"/>
      <c r="DF54" s="315"/>
      <c r="DH54" s="316"/>
    </row>
    <row r="55" spans="1:112" s="314" customFormat="1" ht="18.600000000000001" customHeight="1" x14ac:dyDescent="0.25">
      <c r="A55" s="315"/>
      <c r="B55" s="317"/>
      <c r="C55" s="317"/>
      <c r="D55" s="204"/>
      <c r="AB55" s="320"/>
      <c r="AC55" s="320"/>
      <c r="AD55" s="320"/>
      <c r="AE55" s="320"/>
      <c r="AF55" s="320"/>
      <c r="AG55" s="320"/>
      <c r="AH55" s="320"/>
      <c r="AI55" s="320"/>
      <c r="AJ55" s="320"/>
      <c r="AY55" s="204"/>
      <c r="BM55" s="318"/>
      <c r="BN55" s="318"/>
      <c r="BO55" s="318"/>
      <c r="BP55" s="381"/>
      <c r="BQ55" s="381"/>
      <c r="BR55" s="381"/>
      <c r="BS55" s="381"/>
      <c r="BT55" s="381"/>
      <c r="BU55" s="381"/>
      <c r="BV55" s="381"/>
      <c r="BY55" s="204"/>
      <c r="BZ55" s="380"/>
      <c r="CA55" s="379"/>
      <c r="CB55" s="379"/>
      <c r="CC55" s="379"/>
      <c r="CD55" s="379"/>
      <c r="CE55" s="379"/>
      <c r="CL55" s="381"/>
      <c r="CM55" s="381"/>
      <c r="CN55" s="381"/>
      <c r="CO55" s="381"/>
      <c r="CP55" s="381"/>
      <c r="CQ55" s="381"/>
      <c r="CR55" s="381"/>
      <c r="CS55" s="318"/>
      <c r="CT55" s="318"/>
      <c r="CV55" s="318"/>
      <c r="DC55" s="317"/>
      <c r="DD55" s="317"/>
      <c r="DE55" s="315"/>
      <c r="DF55" s="315"/>
      <c r="DH55" s="316"/>
    </row>
    <row r="56" spans="1:112" s="314" customFormat="1" ht="18.600000000000001" customHeight="1" x14ac:dyDescent="0.25">
      <c r="A56" s="315"/>
      <c r="B56" s="317"/>
      <c r="C56" s="317"/>
      <c r="E56" s="231" t="s">
        <v>480</v>
      </c>
      <c r="K56" s="519">
        <f>Balance!CT133</f>
        <v>1000000</v>
      </c>
      <c r="L56" s="519"/>
      <c r="M56" s="519"/>
      <c r="N56" s="519"/>
      <c r="O56" s="519"/>
      <c r="P56" s="519"/>
      <c r="Q56" s="519"/>
      <c r="R56" s="519"/>
      <c r="S56" s="519"/>
      <c r="T56" s="519"/>
      <c r="AB56" s="320"/>
      <c r="AC56" s="320"/>
      <c r="AD56" s="320"/>
      <c r="AE56" s="320"/>
      <c r="AF56" s="320"/>
      <c r="AG56" s="320"/>
      <c r="AH56" s="320"/>
      <c r="AI56" s="320"/>
      <c r="AJ56" s="320"/>
      <c r="AL56" s="518" t="str">
        <f>IF(AND(K56&gt;=500000,K56&lt;=10000000),"Blindaje Patrimonial",IF(K56&gt;10000000,"Fideicomiso","No aplica producto de legado"))</f>
        <v>Blindaje Patrimonial</v>
      </c>
      <c r="AM56" s="518"/>
      <c r="AN56" s="518"/>
      <c r="AO56" s="518"/>
      <c r="AP56" s="518"/>
      <c r="AQ56" s="518"/>
      <c r="AR56" s="518"/>
      <c r="AS56" s="518"/>
      <c r="AT56" s="518"/>
      <c r="AU56" s="518"/>
      <c r="AV56" s="518"/>
      <c r="AW56" s="518"/>
      <c r="AX56" s="518"/>
      <c r="AY56" s="518"/>
      <c r="AZ56" s="518"/>
      <c r="BA56" s="518"/>
      <c r="BB56" s="518"/>
      <c r="BC56" s="317"/>
      <c r="BD56" s="317"/>
      <c r="BE56" s="319"/>
      <c r="BS56" s="318"/>
      <c r="BT56" s="318"/>
      <c r="BU56" s="318"/>
      <c r="BV56" s="318"/>
      <c r="BW56" s="318"/>
      <c r="BX56" s="318"/>
      <c r="BY56" s="318"/>
      <c r="BZ56" s="318"/>
      <c r="CA56" s="318"/>
      <c r="CB56" s="318"/>
      <c r="CC56" s="317"/>
      <c r="CD56" s="317"/>
      <c r="CE56" s="319"/>
      <c r="CS56" s="318"/>
      <c r="CT56" s="318"/>
      <c r="CU56" s="318"/>
      <c r="CV56" s="318"/>
      <c r="CW56" s="318"/>
      <c r="CX56" s="318"/>
      <c r="CY56" s="318"/>
      <c r="CZ56" s="318"/>
      <c r="DA56" s="318"/>
      <c r="DB56" s="318"/>
      <c r="DC56" s="317"/>
      <c r="DD56" s="317"/>
      <c r="DE56" s="315"/>
      <c r="DF56" s="315"/>
      <c r="DH56" s="316"/>
    </row>
    <row r="57" spans="1:112" s="314" customFormat="1" ht="11.1" customHeight="1" x14ac:dyDescent="0.25">
      <c r="A57" s="315"/>
      <c r="B57" s="317"/>
      <c r="C57" s="317"/>
      <c r="D57" s="319"/>
      <c r="AB57" s="320"/>
      <c r="AC57" s="320"/>
      <c r="AD57" s="320"/>
      <c r="AE57" s="320"/>
      <c r="AF57" s="320"/>
      <c r="AG57" s="320"/>
      <c r="AH57" s="320"/>
      <c r="AI57" s="320"/>
      <c r="AJ57" s="320"/>
      <c r="BA57" s="317"/>
      <c r="BB57" s="317"/>
      <c r="BC57" s="317"/>
      <c r="BD57" s="317"/>
      <c r="BE57" s="319"/>
      <c r="BS57" s="318"/>
      <c r="BT57" s="318"/>
      <c r="BU57" s="318"/>
      <c r="BV57" s="318"/>
      <c r="BW57" s="318"/>
      <c r="BX57" s="318"/>
      <c r="BY57" s="318"/>
      <c r="BZ57" s="318"/>
      <c r="CA57" s="318"/>
      <c r="CB57" s="318"/>
      <c r="CC57" s="317"/>
      <c r="CD57" s="317"/>
      <c r="CE57" s="319"/>
      <c r="CS57" s="318"/>
      <c r="CT57" s="318"/>
      <c r="CU57" s="318"/>
      <c r="CV57" s="318"/>
      <c r="CW57" s="318"/>
      <c r="CX57" s="318"/>
      <c r="CY57" s="318"/>
      <c r="CZ57" s="318"/>
      <c r="DA57" s="318"/>
      <c r="DB57" s="318"/>
      <c r="DC57" s="317"/>
      <c r="DD57" s="317"/>
      <c r="DE57" s="315"/>
      <c r="DF57" s="315"/>
      <c r="DH57" s="316"/>
    </row>
    <row r="58" spans="1:112" s="314" customFormat="1" ht="18" customHeight="1" x14ac:dyDescent="0.25">
      <c r="A58" s="315"/>
      <c r="B58" s="317"/>
      <c r="C58" s="317"/>
      <c r="BA58" s="148"/>
      <c r="BB58" s="148"/>
      <c r="CD58" s="232"/>
      <c r="CE58" s="232"/>
      <c r="CF58" s="232"/>
      <c r="CG58" s="232"/>
      <c r="CH58" s="232"/>
      <c r="CI58" s="232"/>
      <c r="CJ58" s="232"/>
      <c r="CK58" s="232"/>
      <c r="CL58" s="232"/>
      <c r="CM58" s="232"/>
      <c r="CN58" s="231"/>
      <c r="CO58" s="232"/>
      <c r="CP58" s="232"/>
      <c r="CQ58" s="232"/>
      <c r="CR58" s="322"/>
      <c r="CS58" s="322"/>
      <c r="CT58" s="322"/>
      <c r="CU58" s="322"/>
      <c r="CV58" s="322"/>
      <c r="CW58" s="322"/>
      <c r="CX58" s="322"/>
      <c r="CY58" s="322"/>
      <c r="CZ58" s="322"/>
      <c r="DA58" s="322"/>
      <c r="DB58" s="322"/>
      <c r="DC58" s="317"/>
      <c r="DD58" s="317"/>
      <c r="DE58" s="315"/>
      <c r="DF58" s="315"/>
      <c r="DH58" s="316"/>
    </row>
    <row r="59" spans="1:112" s="314" customFormat="1" ht="30.6" customHeight="1" x14ac:dyDescent="0.25">
      <c r="A59" s="315"/>
      <c r="B59" s="317"/>
      <c r="C59" s="317"/>
      <c r="BA59" s="148"/>
      <c r="BB59" s="148"/>
      <c r="CD59" s="232"/>
      <c r="CE59" s="232"/>
      <c r="CF59" s="232"/>
      <c r="CG59" s="232"/>
      <c r="CH59" s="232"/>
      <c r="CI59" s="232"/>
      <c r="CJ59" s="232"/>
      <c r="CK59" s="232"/>
      <c r="CL59" s="232"/>
      <c r="DD59" s="317"/>
      <c r="DE59" s="315"/>
      <c r="DF59" s="315"/>
      <c r="DH59" s="316"/>
    </row>
    <row r="60" spans="1:112" s="314" customFormat="1" ht="30.75" x14ac:dyDescent="0.25">
      <c r="A60" s="315"/>
      <c r="B60" s="317"/>
      <c r="C60" s="317"/>
      <c r="BA60" s="148"/>
      <c r="BB60" s="148"/>
      <c r="CD60" s="232"/>
      <c r="CE60" s="232"/>
      <c r="CF60" s="232"/>
      <c r="CG60" s="232"/>
      <c r="CH60" s="232"/>
      <c r="CI60" s="232"/>
      <c r="CJ60" s="232"/>
      <c r="CK60" s="232"/>
      <c r="CL60" s="232"/>
      <c r="CM60" s="232"/>
      <c r="CN60" s="231"/>
      <c r="CO60" s="232"/>
      <c r="CP60" s="232"/>
      <c r="CQ60" s="232"/>
      <c r="CR60" s="322"/>
      <c r="CS60" s="322"/>
      <c r="CT60" s="322"/>
      <c r="CU60" s="322"/>
      <c r="CV60" s="322"/>
      <c r="CW60" s="322"/>
      <c r="CX60" s="322"/>
      <c r="CY60" s="322"/>
      <c r="CZ60" s="322"/>
      <c r="DA60" s="322"/>
      <c r="DB60" s="322"/>
      <c r="DC60" s="317"/>
      <c r="DD60" s="317"/>
      <c r="DE60" s="315"/>
      <c r="DF60" s="315"/>
      <c r="DH60" s="316"/>
    </row>
    <row r="61" spans="1:112" s="314" customFormat="1" ht="46.5" customHeight="1" x14ac:dyDescent="0.25">
      <c r="A61" s="315"/>
      <c r="B61" s="317"/>
      <c r="C61" s="321"/>
      <c r="AC61" s="320"/>
      <c r="AD61" s="320"/>
      <c r="AE61" s="320"/>
      <c r="BS61" s="318"/>
      <c r="BT61" s="318"/>
      <c r="BU61" s="318"/>
      <c r="BV61" s="318"/>
      <c r="BW61" s="318"/>
      <c r="BX61" s="318"/>
      <c r="BY61" s="318"/>
      <c r="BZ61" s="318"/>
      <c r="CA61" s="318"/>
      <c r="CB61" s="318"/>
      <c r="CC61" s="317"/>
      <c r="CD61" s="317"/>
      <c r="CE61" s="319"/>
      <c r="CS61" s="318"/>
      <c r="CT61" s="318"/>
      <c r="CU61" s="318"/>
      <c r="CV61" s="318"/>
      <c r="CW61" s="318"/>
      <c r="CX61" s="318"/>
      <c r="CY61" s="318"/>
      <c r="CZ61" s="318"/>
      <c r="DA61" s="318"/>
      <c r="DB61" s="318"/>
      <c r="DC61" s="317"/>
      <c r="DD61" s="317"/>
      <c r="DE61" s="315"/>
      <c r="DF61" s="315"/>
      <c r="DH61" s="316"/>
    </row>
    <row r="62" spans="1:112" x14ac:dyDescent="0.25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  <c r="BP62" s="128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  <c r="CJ62" s="128"/>
      <c r="CK62" s="128"/>
      <c r="CL62" s="128"/>
      <c r="CM62" s="128"/>
      <c r="CN62" s="128"/>
      <c r="CO62" s="128"/>
      <c r="CP62" s="128"/>
      <c r="CQ62" s="128"/>
      <c r="CR62" s="128"/>
      <c r="CS62" s="128"/>
      <c r="CT62" s="128"/>
      <c r="CU62" s="128"/>
      <c r="CV62" s="128"/>
      <c r="CW62" s="128"/>
      <c r="CX62" s="128"/>
      <c r="CY62" s="128"/>
      <c r="CZ62" s="128"/>
      <c r="DA62" s="128"/>
      <c r="DB62" s="128"/>
      <c r="DC62" s="128"/>
      <c r="DD62" s="128"/>
      <c r="DE62" s="128"/>
      <c r="DF62" s="128"/>
    </row>
  </sheetData>
  <dataConsolidate/>
  <mergeCells count="26">
    <mergeCell ref="K56:T56"/>
    <mergeCell ref="AL56:BB56"/>
    <mergeCell ref="H10:AL17"/>
    <mergeCell ref="AV10:BZ15"/>
    <mergeCell ref="M41:Z41"/>
    <mergeCell ref="AB41:AO41"/>
    <mergeCell ref="BJ41:BW42"/>
    <mergeCell ref="BJ45:BW46"/>
    <mergeCell ref="I36:AU39"/>
    <mergeCell ref="BJ36:CY38"/>
    <mergeCell ref="BY39:CL39"/>
    <mergeCell ref="CO39:DB39"/>
    <mergeCell ref="BB24:CX25"/>
    <mergeCell ref="BB27:CX28"/>
    <mergeCell ref="E24:AP27"/>
    <mergeCell ref="P29:T29"/>
    <mergeCell ref="CS14:DA14"/>
    <mergeCell ref="CJ8:CY8"/>
    <mergeCell ref="D20:BT20"/>
    <mergeCell ref="CS12:DA12"/>
    <mergeCell ref="CD9:CZ10"/>
    <mergeCell ref="H8:W8"/>
    <mergeCell ref="X8:AM8"/>
    <mergeCell ref="AN8:BC8"/>
    <mergeCell ref="BD8:BS8"/>
    <mergeCell ref="BT8:CI8"/>
  </mergeCells>
  <conditionalFormatting sqref="K56 CR58:DB58 CR60:DB60">
    <cfRule type="cellIs" dxfId="5" priority="23" operator="lessThan">
      <formula>0</formula>
    </cfRule>
  </conditionalFormatting>
  <printOptions horizontalCentered="1"/>
  <pageMargins left="0.23622047244094491" right="0.23622047244094491" top="0.35433070866141736" bottom="0.35433070866141736" header="0.31496062992125984" footer="0.31496062992125984"/>
  <pageSetup scale="4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85C0F9B0-8003-4D35-9A29-804821979F39}">
            <xm:f>'Patrimonio Neto'!$J$4=1</xm:f>
            <x14:dxf>
              <font>
                <b/>
                <i val="0"/>
                <color auto="1"/>
              </font>
              <fill>
                <patternFill>
                  <bgColor rgb="FFFF9999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expression" priority="13" id="{B50CBD04-373B-4C42-BD8B-5BC1FD89B66D}">
            <xm:f>'Patrimonio Neto'!$K$4=1</xm:f>
            <x14:dxf>
              <font>
                <b/>
                <i val="0"/>
                <color theme="0"/>
              </font>
              <fill>
                <patternFill>
                  <bgColor rgb="FF317A70"/>
                </patternFill>
              </fill>
            </x14:dxf>
          </x14:cfRule>
          <xm:sqref>X8</xm:sqref>
        </x14:conditionalFormatting>
        <x14:conditionalFormatting xmlns:xm="http://schemas.microsoft.com/office/excel/2006/main">
          <x14:cfRule type="expression" priority="12" id="{FD42107B-F647-41E1-B205-6148F1B05468}">
            <xm:f>'Patrimonio Neto'!$L$4=1</xm:f>
            <x14:dxf>
              <font>
                <b/>
                <i val="0"/>
                <color theme="0"/>
              </font>
              <fill>
                <patternFill>
                  <bgColor rgb="FF317A70"/>
                </patternFill>
              </fill>
            </x14:dxf>
          </x14:cfRule>
          <xm:sqref>AN8</xm:sqref>
        </x14:conditionalFormatting>
        <x14:conditionalFormatting xmlns:xm="http://schemas.microsoft.com/office/excel/2006/main">
          <x14:cfRule type="expression" priority="11" id="{23D271AE-3B8F-48AF-AF85-33C64D365B27}">
            <xm:f>'Patrimonio Neto'!$M$4=1</xm:f>
            <x14:dxf>
              <font>
                <b/>
                <i val="0"/>
                <color theme="0"/>
              </font>
              <fill>
                <patternFill>
                  <bgColor rgb="FF317A70"/>
                </patternFill>
              </fill>
            </x14:dxf>
          </x14:cfRule>
          <xm:sqref>BD8</xm:sqref>
        </x14:conditionalFormatting>
        <x14:conditionalFormatting xmlns:xm="http://schemas.microsoft.com/office/excel/2006/main">
          <x14:cfRule type="expression" priority="10" id="{C09D854D-2DFE-403D-AEE2-49A2D852D8AE}">
            <xm:f>'Patrimonio Neto'!$N$4=1</xm:f>
            <x14:dxf>
              <font>
                <b/>
                <i val="0"/>
                <color theme="0"/>
              </font>
              <fill>
                <patternFill>
                  <bgColor rgb="FF317A70"/>
                </patternFill>
              </fill>
            </x14:dxf>
          </x14:cfRule>
          <xm:sqref>BT8</xm:sqref>
        </x14:conditionalFormatting>
        <x14:conditionalFormatting xmlns:xm="http://schemas.microsoft.com/office/excel/2006/main">
          <x14:cfRule type="expression" priority="1" id="{A3CDAB4A-7DAA-4DCA-BA05-D1139348AD01}">
            <xm:f>'Patrimonio Neto'!$O$4=1</xm:f>
            <x14:dxf>
              <font>
                <b/>
                <i val="0"/>
                <color theme="0"/>
              </font>
              <fill>
                <patternFill>
                  <bgColor rgb="FF317A70"/>
                </patternFill>
              </fill>
            </x14:dxf>
          </x14:cfRule>
          <xm:sqref>CJ8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48AC-FB0D-4625-848A-598D081C929D}">
  <sheetPr>
    <tabColor rgb="FF00B050"/>
  </sheetPr>
  <dimension ref="A1:P20"/>
  <sheetViews>
    <sheetView zoomScale="82" workbookViewId="0">
      <selection activeCell="I39" sqref="I39"/>
    </sheetView>
  </sheetViews>
  <sheetFormatPr baseColWidth="10" defaultRowHeight="15" x14ac:dyDescent="0.25"/>
  <cols>
    <col min="1" max="1" width="8.85546875" customWidth="1"/>
    <col min="4" max="4" width="14.140625" bestFit="1" customWidth="1"/>
    <col min="5" max="5" width="15.42578125" customWidth="1"/>
    <col min="6" max="6" width="17.85546875" customWidth="1"/>
    <col min="8" max="8" width="10" customWidth="1"/>
    <col min="9" max="9" width="12.85546875" customWidth="1"/>
    <col min="10" max="10" width="15.140625" customWidth="1"/>
    <col min="11" max="12" width="13.140625" bestFit="1" customWidth="1"/>
    <col min="13" max="13" width="13.140625" customWidth="1"/>
    <col min="14" max="14" width="13.85546875" bestFit="1" customWidth="1"/>
    <col min="15" max="15" width="13.85546875" customWidth="1"/>
    <col min="16" max="16" width="13.28515625" customWidth="1"/>
  </cols>
  <sheetData>
    <row r="1" spans="1:15" x14ac:dyDescent="0.25">
      <c r="B1" s="18" t="s">
        <v>22</v>
      </c>
      <c r="C1" s="18">
        <f>'Entrevista Balance'!D6</f>
        <v>50</v>
      </c>
      <c r="E1" s="18" t="s">
        <v>415</v>
      </c>
      <c r="F1" s="388">
        <f>Balance!CN25</f>
        <v>6000000</v>
      </c>
      <c r="H1" s="18" t="s">
        <v>484</v>
      </c>
      <c r="I1" s="18"/>
      <c r="J1" s="18"/>
      <c r="K1" s="388">
        <f>'Entrevista Balance'!G26</f>
        <v>300000</v>
      </c>
      <c r="M1" s="18" t="s">
        <v>485</v>
      </c>
      <c r="N1" s="389">
        <f>K1*12</f>
        <v>3600000</v>
      </c>
    </row>
    <row r="3" spans="1:15" x14ac:dyDescent="0.25">
      <c r="A3" t="s">
        <v>22</v>
      </c>
      <c r="B3" s="287" t="s">
        <v>393</v>
      </c>
      <c r="C3" s="287" t="s">
        <v>486</v>
      </c>
      <c r="D3" s="287" t="s">
        <v>487</v>
      </c>
      <c r="E3" s="287" t="s">
        <v>488</v>
      </c>
      <c r="F3" s="287" t="s">
        <v>489</v>
      </c>
      <c r="H3" t="s">
        <v>22</v>
      </c>
      <c r="J3" s="287" t="s">
        <v>549</v>
      </c>
      <c r="K3" s="287" t="s">
        <v>393</v>
      </c>
      <c r="L3" s="287" t="s">
        <v>486</v>
      </c>
      <c r="M3" s="287" t="s">
        <v>487</v>
      </c>
      <c r="N3" s="287" t="s">
        <v>488</v>
      </c>
      <c r="O3" s="287" t="s">
        <v>489</v>
      </c>
    </row>
    <row r="4" spans="1:15" x14ac:dyDescent="0.25">
      <c r="J4">
        <f>IF($F$1&lt;K15,1,0)</f>
        <v>1</v>
      </c>
      <c r="K4">
        <f>IF(AND($F$1&gt;=K15,$F$1&lt;L15),1,0)</f>
        <v>0</v>
      </c>
      <c r="L4">
        <f>IF(AND($F$1&gt;=L15,$F$1&lt;M15),1,0)</f>
        <v>0</v>
      </c>
      <c r="M4">
        <f>IF(AND($F$1&gt;=M15,$F$1&lt;N15),1,0)</f>
        <v>0</v>
      </c>
      <c r="N4">
        <f>IF(AND($F$1&gt;=N15,$F$1&lt;O15),1,0)</f>
        <v>0</v>
      </c>
      <c r="O4">
        <f>IF($F$1&gt;O15,1,0)</f>
        <v>0</v>
      </c>
    </row>
    <row r="5" spans="1:15" x14ac:dyDescent="0.25">
      <c r="A5" s="3">
        <v>25</v>
      </c>
      <c r="B5" s="123">
        <v>0</v>
      </c>
      <c r="C5" s="123">
        <v>0.1</v>
      </c>
      <c r="D5" s="123">
        <v>0.25</v>
      </c>
      <c r="E5" s="123">
        <v>0.4</v>
      </c>
      <c r="F5" s="123">
        <v>0.5</v>
      </c>
      <c r="H5" s="3">
        <v>25</v>
      </c>
      <c r="I5" s="1">
        <f>IF($C$1&lt;H6,1,0)</f>
        <v>0</v>
      </c>
      <c r="J5" s="126">
        <f>$N$1*B5</f>
        <v>0</v>
      </c>
      <c r="K5" s="126">
        <f>$N$1*B5</f>
        <v>0</v>
      </c>
      <c r="L5" s="126">
        <f t="shared" ref="L5:L13" si="0">$N$1*C5</f>
        <v>360000</v>
      </c>
      <c r="M5" s="126">
        <f t="shared" ref="M5:M13" si="1">$N$1*D5</f>
        <v>900000</v>
      </c>
      <c r="N5" s="126">
        <f t="shared" ref="N5:N13" si="2">$N$1*E5</f>
        <v>1440000</v>
      </c>
      <c r="O5" s="126">
        <f t="shared" ref="O5:O13" si="3">$N$1*F5</f>
        <v>1800000</v>
      </c>
    </row>
    <row r="6" spans="1:15" x14ac:dyDescent="0.25">
      <c r="A6" s="3">
        <v>28</v>
      </c>
      <c r="B6" s="123">
        <v>0</v>
      </c>
      <c r="C6" s="123">
        <v>0.25</v>
      </c>
      <c r="D6" s="123">
        <v>0.4</v>
      </c>
      <c r="E6" s="123">
        <v>0.5</v>
      </c>
      <c r="F6" s="123">
        <v>1</v>
      </c>
      <c r="H6" s="3">
        <v>28</v>
      </c>
      <c r="I6" s="1">
        <f t="shared" ref="I6:I12" si="4">IF(AND($C$1&lt;H7,$C$1&gt;=H6),1,0)</f>
        <v>0</v>
      </c>
      <c r="J6" s="126">
        <f t="shared" ref="J6:J13" si="5">$N$1*B6</f>
        <v>0</v>
      </c>
      <c r="K6" s="126">
        <f t="shared" ref="K6:K13" si="6">$N$1*B6</f>
        <v>0</v>
      </c>
      <c r="L6" s="126">
        <f t="shared" si="0"/>
        <v>900000</v>
      </c>
      <c r="M6" s="126">
        <f t="shared" si="1"/>
        <v>1440000</v>
      </c>
      <c r="N6" s="126">
        <f t="shared" si="2"/>
        <v>1800000</v>
      </c>
      <c r="O6" s="126">
        <f t="shared" si="3"/>
        <v>3600000</v>
      </c>
    </row>
    <row r="7" spans="1:15" x14ac:dyDescent="0.25">
      <c r="A7" s="3">
        <v>30</v>
      </c>
      <c r="B7" s="123">
        <v>0.5</v>
      </c>
      <c r="C7" s="123">
        <v>0.75</v>
      </c>
      <c r="D7" s="123">
        <v>1</v>
      </c>
      <c r="E7" s="123">
        <v>1.5</v>
      </c>
      <c r="F7" s="123">
        <v>2</v>
      </c>
      <c r="H7" s="3">
        <v>30</v>
      </c>
      <c r="I7" s="1">
        <f t="shared" si="4"/>
        <v>0</v>
      </c>
      <c r="J7" s="126">
        <f t="shared" si="5"/>
        <v>1800000</v>
      </c>
      <c r="K7" s="126">
        <f t="shared" si="6"/>
        <v>1800000</v>
      </c>
      <c r="L7" s="126">
        <f t="shared" si="0"/>
        <v>2700000</v>
      </c>
      <c r="M7" s="126">
        <f t="shared" si="1"/>
        <v>3600000</v>
      </c>
      <c r="N7" s="126">
        <f t="shared" si="2"/>
        <v>5400000</v>
      </c>
      <c r="O7" s="126">
        <f t="shared" si="3"/>
        <v>7200000</v>
      </c>
    </row>
    <row r="8" spans="1:15" x14ac:dyDescent="0.25">
      <c r="A8" s="3">
        <v>35</v>
      </c>
      <c r="B8" s="123">
        <v>1</v>
      </c>
      <c r="C8" s="123">
        <v>2</v>
      </c>
      <c r="D8" s="123">
        <v>3</v>
      </c>
      <c r="E8" s="123">
        <v>4</v>
      </c>
      <c r="F8" s="123">
        <v>5</v>
      </c>
      <c r="H8" s="3">
        <v>35</v>
      </c>
      <c r="I8" s="1">
        <f t="shared" si="4"/>
        <v>0</v>
      </c>
      <c r="J8" s="126">
        <f t="shared" si="5"/>
        <v>3600000</v>
      </c>
      <c r="K8" s="126">
        <f t="shared" si="6"/>
        <v>3600000</v>
      </c>
      <c r="L8" s="126">
        <f t="shared" si="0"/>
        <v>7200000</v>
      </c>
      <c r="M8" s="126">
        <f t="shared" si="1"/>
        <v>10800000</v>
      </c>
      <c r="N8" s="126">
        <f t="shared" si="2"/>
        <v>14400000</v>
      </c>
      <c r="O8" s="126">
        <f t="shared" si="3"/>
        <v>18000000</v>
      </c>
    </row>
    <row r="9" spans="1:15" x14ac:dyDescent="0.25">
      <c r="A9" s="3">
        <v>40</v>
      </c>
      <c r="B9" s="123">
        <v>2</v>
      </c>
      <c r="C9" s="123">
        <v>4</v>
      </c>
      <c r="D9" s="123">
        <v>6</v>
      </c>
      <c r="E9" s="123">
        <v>8</v>
      </c>
      <c r="F9" s="123">
        <v>10</v>
      </c>
      <c r="H9" s="3">
        <v>40</v>
      </c>
      <c r="I9" s="1">
        <f t="shared" si="4"/>
        <v>0</v>
      </c>
      <c r="J9" s="126">
        <f t="shared" si="5"/>
        <v>7200000</v>
      </c>
      <c r="K9" s="126">
        <f t="shared" si="6"/>
        <v>7200000</v>
      </c>
      <c r="L9" s="126">
        <f t="shared" si="0"/>
        <v>14400000</v>
      </c>
      <c r="M9" s="126">
        <f t="shared" si="1"/>
        <v>21600000</v>
      </c>
      <c r="N9" s="126">
        <f t="shared" si="2"/>
        <v>28800000</v>
      </c>
      <c r="O9" s="126">
        <f t="shared" si="3"/>
        <v>36000000</v>
      </c>
    </row>
    <row r="10" spans="1:15" x14ac:dyDescent="0.25">
      <c r="A10" s="3">
        <v>45</v>
      </c>
      <c r="B10" s="123">
        <v>3</v>
      </c>
      <c r="C10" s="123">
        <v>6</v>
      </c>
      <c r="D10" s="123">
        <v>8</v>
      </c>
      <c r="E10" s="123">
        <v>10</v>
      </c>
      <c r="F10" s="123">
        <v>13</v>
      </c>
      <c r="H10" s="3">
        <v>45</v>
      </c>
      <c r="I10" s="1">
        <f t="shared" si="4"/>
        <v>0</v>
      </c>
      <c r="J10" s="126">
        <f t="shared" si="5"/>
        <v>10800000</v>
      </c>
      <c r="K10" s="126">
        <f t="shared" si="6"/>
        <v>10800000</v>
      </c>
      <c r="L10" s="126">
        <f t="shared" si="0"/>
        <v>21600000</v>
      </c>
      <c r="M10" s="126">
        <f t="shared" si="1"/>
        <v>28800000</v>
      </c>
      <c r="N10" s="126">
        <f t="shared" si="2"/>
        <v>36000000</v>
      </c>
      <c r="O10" s="126">
        <f t="shared" si="3"/>
        <v>46800000</v>
      </c>
    </row>
    <row r="11" spans="1:15" x14ac:dyDescent="0.25">
      <c r="A11" s="3">
        <v>50</v>
      </c>
      <c r="B11" s="123">
        <v>4</v>
      </c>
      <c r="C11" s="123">
        <v>7</v>
      </c>
      <c r="D11" s="123">
        <v>9</v>
      </c>
      <c r="E11" s="123">
        <v>12</v>
      </c>
      <c r="F11" s="123">
        <v>15</v>
      </c>
      <c r="H11" s="6">
        <v>50</v>
      </c>
      <c r="I11" s="1">
        <f>IF(AND($C$1&lt;H12,$C$1&gt;=H11),1,0)</f>
        <v>1</v>
      </c>
      <c r="J11" s="126">
        <f t="shared" si="5"/>
        <v>14400000</v>
      </c>
      <c r="K11" s="126">
        <f t="shared" si="6"/>
        <v>14400000</v>
      </c>
      <c r="L11" s="126">
        <f t="shared" si="0"/>
        <v>25200000</v>
      </c>
      <c r="M11" s="126">
        <f t="shared" si="1"/>
        <v>32400000</v>
      </c>
      <c r="N11" s="126">
        <f t="shared" si="2"/>
        <v>43200000</v>
      </c>
      <c r="O11" s="126">
        <f t="shared" si="3"/>
        <v>54000000</v>
      </c>
    </row>
    <row r="12" spans="1:15" x14ac:dyDescent="0.25">
      <c r="A12" s="3">
        <v>55</v>
      </c>
      <c r="B12" s="123">
        <v>5</v>
      </c>
      <c r="C12" s="123">
        <v>8</v>
      </c>
      <c r="D12" s="123">
        <v>11</v>
      </c>
      <c r="E12" s="123">
        <v>14</v>
      </c>
      <c r="F12" s="123">
        <v>17</v>
      </c>
      <c r="H12" s="3">
        <v>55</v>
      </c>
      <c r="I12" s="1">
        <f t="shared" si="4"/>
        <v>0</v>
      </c>
      <c r="J12" s="126">
        <f t="shared" si="5"/>
        <v>18000000</v>
      </c>
      <c r="K12" s="126">
        <f t="shared" si="6"/>
        <v>18000000</v>
      </c>
      <c r="L12" s="126">
        <f t="shared" si="0"/>
        <v>28800000</v>
      </c>
      <c r="M12" s="126">
        <f t="shared" si="1"/>
        <v>39600000</v>
      </c>
      <c r="N12" s="126">
        <f t="shared" si="2"/>
        <v>50400000</v>
      </c>
      <c r="O12" s="126">
        <f t="shared" si="3"/>
        <v>61200000</v>
      </c>
    </row>
    <row r="13" spans="1:15" x14ac:dyDescent="0.25">
      <c r="A13" t="s">
        <v>490</v>
      </c>
      <c r="B13" s="123">
        <v>6</v>
      </c>
      <c r="C13" s="123">
        <v>9</v>
      </c>
      <c r="D13" s="123">
        <v>13</v>
      </c>
      <c r="E13" s="123">
        <v>16</v>
      </c>
      <c r="F13" s="123">
        <v>20</v>
      </c>
      <c r="H13" s="3">
        <v>60</v>
      </c>
      <c r="I13" s="1">
        <f>IF(C1&gt;=H13,1,0)</f>
        <v>0</v>
      </c>
      <c r="J13" s="126">
        <f t="shared" si="5"/>
        <v>21600000</v>
      </c>
      <c r="K13" s="126">
        <f t="shared" si="6"/>
        <v>21600000</v>
      </c>
      <c r="L13" s="126">
        <f t="shared" si="0"/>
        <v>32400000</v>
      </c>
      <c r="M13" s="126">
        <f t="shared" si="1"/>
        <v>46800000</v>
      </c>
      <c r="N13" s="126">
        <f t="shared" si="2"/>
        <v>57600000</v>
      </c>
      <c r="O13" s="126">
        <f t="shared" si="3"/>
        <v>72000000</v>
      </c>
    </row>
    <row r="14" spans="1:15" x14ac:dyDescent="0.25">
      <c r="B14" s="1"/>
      <c r="C14" s="1"/>
      <c r="D14" s="1"/>
      <c r="E14" s="1"/>
      <c r="F14" s="1"/>
      <c r="H14" s="3"/>
      <c r="I14" s="1"/>
      <c r="J14" s="1"/>
      <c r="K14" s="63"/>
      <c r="L14" s="63"/>
      <c r="M14" s="63"/>
      <c r="N14" s="63"/>
      <c r="O14" s="63"/>
    </row>
    <row r="15" spans="1:15" x14ac:dyDescent="0.25">
      <c r="B15" s="1"/>
      <c r="C15" s="1"/>
      <c r="D15" s="1"/>
      <c r="E15" s="1"/>
      <c r="F15" s="1"/>
      <c r="J15" s="63">
        <f>VLOOKUP(1,$I$5:J13,2,0)</f>
        <v>14400000</v>
      </c>
      <c r="K15" s="63">
        <f>VLOOKUP(1,$I$5:K13,3,0)</f>
        <v>14400000</v>
      </c>
      <c r="L15" s="63">
        <f>VLOOKUP(1,$I$5:L13,4,0)</f>
        <v>25200000</v>
      </c>
      <c r="M15" s="63">
        <f>VLOOKUP(1,$I$5:M13,5,0)</f>
        <v>32400000</v>
      </c>
      <c r="N15" s="63">
        <f>VLOOKUP(1,$I$5:N13,6,0)</f>
        <v>43200000</v>
      </c>
      <c r="O15" s="63">
        <f>VLOOKUP(1,$I$5:O13,7,0)</f>
        <v>54000000</v>
      </c>
    </row>
    <row r="17" spans="8:16" x14ac:dyDescent="0.25">
      <c r="H17" s="390" t="s">
        <v>491</v>
      </c>
      <c r="I17" s="390"/>
      <c r="J17" s="390"/>
    </row>
    <row r="18" spans="8:16" x14ac:dyDescent="0.25">
      <c r="H18" s="18" t="s">
        <v>492</v>
      </c>
      <c r="I18" s="18"/>
      <c r="J18" s="18"/>
      <c r="K18" s="435">
        <f>IFERROR((Balance!E9+Balance!E12)/Balance!AM25,0)</f>
        <v>6</v>
      </c>
      <c r="M18" s="391" t="s">
        <v>493</v>
      </c>
    </row>
    <row r="19" spans="8:16" ht="40.5" customHeight="1" x14ac:dyDescent="0.25"/>
    <row r="20" spans="8:16" ht="120" x14ac:dyDescent="0.25">
      <c r="M20" s="392" t="s">
        <v>494</v>
      </c>
      <c r="N20" s="392"/>
      <c r="O20" s="392"/>
      <c r="P20" s="392"/>
    </row>
  </sheetData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B7A8-E489-4B73-971C-E89ED95DCBAE}">
  <sheetPr>
    <tabColor rgb="FF00B050"/>
  </sheetPr>
  <dimension ref="B2:L40"/>
  <sheetViews>
    <sheetView zoomScale="94" workbookViewId="0">
      <selection activeCell="F68" sqref="F68"/>
    </sheetView>
  </sheetViews>
  <sheetFormatPr baseColWidth="10" defaultRowHeight="15" x14ac:dyDescent="0.25"/>
  <cols>
    <col min="2" max="2" width="16.28515625" customWidth="1"/>
    <col min="3" max="3" width="14.7109375" customWidth="1"/>
    <col min="4" max="4" width="16.85546875" customWidth="1"/>
    <col min="5" max="5" width="14.140625" bestFit="1" customWidth="1"/>
    <col min="6" max="6" width="13.5703125" bestFit="1" customWidth="1"/>
    <col min="7" max="7" width="14.140625" bestFit="1" customWidth="1"/>
    <col min="12" max="12" width="14.140625" bestFit="1" customWidth="1"/>
  </cols>
  <sheetData>
    <row r="2" spans="2:10" x14ac:dyDescent="0.25">
      <c r="B2" s="18" t="s">
        <v>495</v>
      </c>
      <c r="E2" s="394">
        <f>Balance!Y74</f>
        <v>2500000</v>
      </c>
      <c r="I2" s="283" t="s">
        <v>518</v>
      </c>
      <c r="J2" s="1" t="str">
        <f>IF(E2&gt;0,"Si","No")</f>
        <v>Si</v>
      </c>
    </row>
    <row r="4" spans="2:10" x14ac:dyDescent="0.25">
      <c r="B4" t="s">
        <v>519</v>
      </c>
      <c r="E4" s="432">
        <f>Balance!AM25+E2</f>
        <v>3500000</v>
      </c>
    </row>
    <row r="6" spans="2:10" x14ac:dyDescent="0.25">
      <c r="B6" t="s">
        <v>520</v>
      </c>
      <c r="E6" s="63">
        <f>E7+E8</f>
        <v>7000000</v>
      </c>
    </row>
    <row r="7" spans="2:10" x14ac:dyDescent="0.25">
      <c r="B7" s="396" t="s">
        <v>496</v>
      </c>
      <c r="C7" s="397"/>
      <c r="E7" s="398">
        <f>Balance!E12</f>
        <v>6000000</v>
      </c>
      <c r="F7" s="433">
        <f>E7/($E$7+$E$8)</f>
        <v>0.8571428571428571</v>
      </c>
    </row>
    <row r="8" spans="2:10" x14ac:dyDescent="0.25">
      <c r="B8" s="396" t="s">
        <v>498</v>
      </c>
      <c r="C8" s="397"/>
      <c r="E8" s="398">
        <f>Balance!V9+Balance!V12+Balance!V15</f>
        <v>1000000</v>
      </c>
      <c r="F8" s="434">
        <f>1-F7</f>
        <v>0.1428571428571429</v>
      </c>
    </row>
    <row r="9" spans="2:10" x14ac:dyDescent="0.25">
      <c r="B9" s="306"/>
      <c r="C9" s="306"/>
      <c r="D9" s="306"/>
      <c r="E9" s="306"/>
      <c r="F9" s="303"/>
    </row>
    <row r="11" spans="2:10" x14ac:dyDescent="0.25">
      <c r="B11" s="399" t="s">
        <v>497</v>
      </c>
      <c r="C11" s="399"/>
      <c r="E11" s="400">
        <f>E7*0.6</f>
        <v>3600000</v>
      </c>
      <c r="F11" s="111">
        <f>MIN(E2*F7,E11)</f>
        <v>2142857.1428571427</v>
      </c>
    </row>
    <row r="12" spans="2:10" x14ac:dyDescent="0.25">
      <c r="B12" s="402" t="s">
        <v>499</v>
      </c>
      <c r="C12" s="402"/>
      <c r="E12" s="403">
        <f>E8*0.5</f>
        <v>500000</v>
      </c>
      <c r="F12" s="111">
        <f>MIN(F8*E2,E12)</f>
        <v>357142.85714285728</v>
      </c>
      <c r="G12" s="111"/>
    </row>
    <row r="13" spans="2:10" x14ac:dyDescent="0.25">
      <c r="B13" s="404" t="s">
        <v>500</v>
      </c>
      <c r="E13" s="405">
        <f>E11+E12</f>
        <v>4100000</v>
      </c>
      <c r="F13" s="111">
        <f>F11+F12</f>
        <v>2500000</v>
      </c>
    </row>
    <row r="16" spans="2:10" s="401" customFormat="1" ht="15.75" thickBot="1" x14ac:dyDescent="0.3"/>
    <row r="19" spans="2:12" ht="17.25" x14ac:dyDescent="0.4">
      <c r="C19" s="406"/>
      <c r="D19" s="406" t="s">
        <v>501</v>
      </c>
      <c r="G19" t="s">
        <v>502</v>
      </c>
      <c r="K19" t="s">
        <v>516</v>
      </c>
      <c r="L19" t="s">
        <v>517</v>
      </c>
    </row>
    <row r="20" spans="2:12" x14ac:dyDescent="0.25">
      <c r="B20" s="395" t="s">
        <v>503</v>
      </c>
      <c r="C20" s="407"/>
      <c r="D20" s="407">
        <f>Balance!AM25</f>
        <v>1000000</v>
      </c>
      <c r="G20" s="416" t="s">
        <v>509</v>
      </c>
      <c r="H20" s="417">
        <v>0.5</v>
      </c>
      <c r="I20" s="416" t="s">
        <v>523</v>
      </c>
      <c r="J20" s="416"/>
      <c r="K20">
        <f>IF($D$24&gt;$H$20,1,0)</f>
        <v>0</v>
      </c>
      <c r="L20">
        <f>IF($D$31&gt;$H$20,1,0)</f>
        <v>0</v>
      </c>
    </row>
    <row r="21" spans="2:12" x14ac:dyDescent="0.25">
      <c r="B21" s="18" t="s">
        <v>506</v>
      </c>
      <c r="C21" s="407"/>
      <c r="D21" s="410">
        <f>Balance!V9+Balance!V12+Balance!V15+Balance!E9+Balance!E12</f>
        <v>7000000</v>
      </c>
      <c r="G21" s="414" t="s">
        <v>81</v>
      </c>
      <c r="H21" s="415">
        <v>0.4</v>
      </c>
      <c r="I21" s="414" t="s">
        <v>508</v>
      </c>
      <c r="J21" s="414"/>
      <c r="K21">
        <f>IF(AND($D$24&lt;=$H$20,$D$24&gt;$H$21),1,0)</f>
        <v>0</v>
      </c>
      <c r="L21">
        <f>IF(AND($D$31&lt;=$H$20,$D$31&gt;$H$21),1,0)</f>
        <v>0</v>
      </c>
    </row>
    <row r="22" spans="2:12" x14ac:dyDescent="0.25">
      <c r="C22" s="413"/>
      <c r="D22" s="407"/>
      <c r="G22" s="411" t="s">
        <v>80</v>
      </c>
      <c r="H22" s="412">
        <v>0.3</v>
      </c>
      <c r="I22" s="411" t="s">
        <v>507</v>
      </c>
      <c r="J22" s="411"/>
      <c r="K22">
        <f>IF(AND($D$24&lt;=$H$21,$D$24&gt;$H$22),1,0)</f>
        <v>0</v>
      </c>
      <c r="L22">
        <f>IF(AND($D$31&lt;=$H$21,$D$31&gt;$H$22),1,0)</f>
        <v>1</v>
      </c>
    </row>
    <row r="23" spans="2:12" ht="15.75" thickBot="1" x14ac:dyDescent="0.3">
      <c r="C23" s="407"/>
      <c r="D23" s="407"/>
      <c r="G23" s="408" t="s">
        <v>504</v>
      </c>
      <c r="H23" s="409">
        <v>0.1</v>
      </c>
      <c r="I23" s="408" t="s">
        <v>505</v>
      </c>
      <c r="J23" s="408"/>
      <c r="K23">
        <f>IF($D$24&lt;=$H$22,1,0)</f>
        <v>1</v>
      </c>
      <c r="L23">
        <f>IF($D$31&lt;=$H$22,1,0)</f>
        <v>0</v>
      </c>
    </row>
    <row r="24" spans="2:12" ht="15.75" thickBot="1" x14ac:dyDescent="0.3">
      <c r="B24" s="18" t="s">
        <v>510</v>
      </c>
      <c r="C24" s="419"/>
      <c r="D24" s="428">
        <f>D20/D21</f>
        <v>0.14285714285714285</v>
      </c>
    </row>
    <row r="25" spans="2:12" x14ac:dyDescent="0.25">
      <c r="C25" s="418"/>
      <c r="D25" s="407"/>
    </row>
    <row r="26" spans="2:12" ht="15.75" thickBot="1" x14ac:dyDescent="0.3">
      <c r="C26" s="420"/>
      <c r="D26" s="421"/>
    </row>
    <row r="27" spans="2:12" ht="15.75" thickBot="1" x14ac:dyDescent="0.3">
      <c r="B27" s="422" t="s">
        <v>511</v>
      </c>
      <c r="C27" s="422"/>
      <c r="D27" s="423">
        <f>Balance!CP70</f>
        <v>2000000</v>
      </c>
    </row>
    <row r="28" spans="2:12" x14ac:dyDescent="0.25">
      <c r="B28" s="395" t="s">
        <v>512</v>
      </c>
      <c r="C28" s="111"/>
      <c r="D28" s="424">
        <f>D20+D27</f>
        <v>3000000</v>
      </c>
    </row>
    <row r="29" spans="2:12" x14ac:dyDescent="0.25">
      <c r="B29" s="18" t="s">
        <v>513</v>
      </c>
      <c r="C29" s="111"/>
      <c r="D29" s="425">
        <f>D21+D27</f>
        <v>9000000</v>
      </c>
    </row>
    <row r="30" spans="2:12" x14ac:dyDescent="0.25">
      <c r="C30" s="111"/>
    </row>
    <row r="31" spans="2:12" x14ac:dyDescent="0.25">
      <c r="B31" s="18" t="s">
        <v>510</v>
      </c>
      <c r="C31" s="426"/>
      <c r="D31" s="429">
        <f>D28/D29</f>
        <v>0.33333333333333331</v>
      </c>
    </row>
    <row r="33" spans="2:4" x14ac:dyDescent="0.25">
      <c r="B33" s="18" t="s">
        <v>514</v>
      </c>
      <c r="D33" s="427">
        <f>(D29/D21)-1</f>
        <v>0.28571428571428581</v>
      </c>
    </row>
    <row r="39" spans="2:4" x14ac:dyDescent="0.25">
      <c r="B39" s="18" t="s">
        <v>456</v>
      </c>
      <c r="D39" s="453">
        <f>IF(Balance!AM25&gt;0,(Balance!BW22-Balance!E18-Balance!V21)/(Balance!AM9+Balance!AM12+Balance!AM15),0)</f>
        <v>7</v>
      </c>
    </row>
    <row r="40" spans="2:4" x14ac:dyDescent="0.25">
      <c r="B40" s="18" t="s">
        <v>532</v>
      </c>
      <c r="D40" s="453">
        <f>(Balance!BW22-Balance!E18-Balance!V21)*0.5</f>
        <v>3500000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F0203B-DA95-4336-9C7C-CB005888FB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48</vt:i4>
      </vt:variant>
    </vt:vector>
  </HeadingPairs>
  <TitlesOfParts>
    <vt:vector size="60" baseType="lpstr">
      <vt:lpstr>Entrevista Patrimonio F.</vt:lpstr>
      <vt:lpstr>Cálculos y Supuestos Edo.Res</vt:lpstr>
      <vt:lpstr>Desacumulación</vt:lpstr>
      <vt:lpstr>Objetivos</vt:lpstr>
      <vt:lpstr>Auxiliar</vt:lpstr>
      <vt:lpstr>Patrimonio Financiero</vt:lpstr>
      <vt:lpstr>Entrevista Balance</vt:lpstr>
      <vt:lpstr>Cálculos y Supuestos Balance</vt:lpstr>
      <vt:lpstr>Balance</vt:lpstr>
      <vt:lpstr>To do list</vt:lpstr>
      <vt:lpstr>Patrimonio Neto</vt:lpstr>
      <vt:lpstr>Potencial del balance</vt:lpstr>
      <vt:lpstr>Acumulación</vt:lpstr>
      <vt:lpstr>Afore</vt:lpstr>
      <vt:lpstr>Balance!Área_de_impresión</vt:lpstr>
      <vt:lpstr>'Entrevista Patrimonio F.'!Área_de_impresión</vt:lpstr>
      <vt:lpstr>'Patrimonio Financiero'!Área_de_impresión</vt:lpstr>
      <vt:lpstr>'To do list'!Área_de_impresión</vt:lpstr>
      <vt:lpstr>CapacidaddeAhorro</vt:lpstr>
      <vt:lpstr>CapitalHumanoPotencialVF</vt:lpstr>
      <vt:lpstr>CapitalHumanoPotencialVP</vt:lpstr>
      <vt:lpstr>CapRatePropiedades</vt:lpstr>
      <vt:lpstr>CoberturaCortoPlazo</vt:lpstr>
      <vt:lpstr>CostoSegurodeVidaporMillón</vt:lpstr>
      <vt:lpstr>DependientesEconómicos</vt:lpstr>
      <vt:lpstr>Balance!EdadActual</vt:lpstr>
      <vt:lpstr>'Cálculos y Supuestos Balance'!EdadActual</vt:lpstr>
      <vt:lpstr>'To do list'!EdadActual</vt:lpstr>
      <vt:lpstr>EdadActual</vt:lpstr>
      <vt:lpstr>EdadActual2</vt:lpstr>
      <vt:lpstr>EdaddeDefunción</vt:lpstr>
      <vt:lpstr>EdaddeRetiro</vt:lpstr>
      <vt:lpstr>FinRecursos</vt:lpstr>
      <vt:lpstr>IngresosPrincipales</vt:lpstr>
      <vt:lpstr>InicioDesacumulacion</vt:lpstr>
      <vt:lpstr>MensualidaddeseadaenelRetiro</vt:lpstr>
      <vt:lpstr>MiNivel</vt:lpstr>
      <vt:lpstr>MLey73</vt:lpstr>
      <vt:lpstr>Montoaproximadodeinversión</vt:lpstr>
      <vt:lpstr>Númerodeperiodosacumulación</vt:lpstr>
      <vt:lpstr>Númerodeperiodosdesacumulación</vt:lpstr>
      <vt:lpstr>OtrosIngresos</vt:lpstr>
      <vt:lpstr>OtrosPlanesdeSegurosparaRetiro</vt:lpstr>
      <vt:lpstr>PatrimonioFinancieroActualTotal</vt:lpstr>
      <vt:lpstr>PatrimonioFinancieroActualTotalVF</vt:lpstr>
      <vt:lpstr>PlanesdeSeguroAcumulación1</vt:lpstr>
      <vt:lpstr>PlanPrivadodePensión</vt:lpstr>
      <vt:lpstr>Plazo2</vt:lpstr>
      <vt:lpstr>PPR</vt:lpstr>
      <vt:lpstr>Rentas</vt:lpstr>
      <vt:lpstr>ReservaCortoPlazo</vt:lpstr>
      <vt:lpstr>Saldoenesquemasderetiro</vt:lpstr>
      <vt:lpstr>SumaAseguradadeSegurodeVida</vt:lpstr>
      <vt:lpstr>Balance!TasaReal</vt:lpstr>
      <vt:lpstr>'Cálculos y Supuestos Balance'!TasaReal</vt:lpstr>
      <vt:lpstr>'To do list'!TasaReal</vt:lpstr>
      <vt:lpstr>TasaReal</vt:lpstr>
      <vt:lpstr>Tipo</vt:lpstr>
      <vt:lpstr>TsaReal</vt:lpstr>
      <vt:lpstr>ValorActualEsquemasdePension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Maldonado Villegas</dc:creator>
  <cp:lastModifiedBy>Francisco Manuel Lopez Ramirez</cp:lastModifiedBy>
  <cp:lastPrinted>2025-05-07T22:24:16Z</cp:lastPrinted>
  <dcterms:created xsi:type="dcterms:W3CDTF">2025-03-13T17:40:36Z</dcterms:created>
  <dcterms:modified xsi:type="dcterms:W3CDTF">2026-03-02T19:43:42Z</dcterms:modified>
</cp:coreProperties>
</file>